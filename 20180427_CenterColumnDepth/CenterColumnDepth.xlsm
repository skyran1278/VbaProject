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427_CenterColumnDepth\"/>
    </mc:Choice>
  </mc:AlternateContent>
  <xr:revisionPtr revIDLastSave="0" documentId="13_ncr:1_{D40381A8-91B4-48B0-A24B-FB88E4111DB5}" xr6:coauthVersionLast="33" xr6:coauthVersionMax="33" xr10:uidLastSave="{00000000-0000-0000-0000-000000000000}"/>
  <bookViews>
    <workbookView xWindow="0" yWindow="456" windowWidth="28800" windowHeight="15936" tabRatio="500" activeTab="2" xr2:uid="{00000000-000D-0000-FFFF-FFFF00000000}"/>
  </bookViews>
  <sheets>
    <sheet name="工作表1" sheetId="1" r:id="rId1"/>
    <sheet name="工作表3" sheetId="4" r:id="rId2"/>
    <sheet name="工作表2" sheetId="3" r:id="rId3"/>
    <sheet name="Release Notes" sheetId="5" r:id="rId4"/>
  </sheet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4" l="1"/>
  <c r="H14" i="4"/>
  <c r="H15" i="4"/>
  <c r="H16" i="4"/>
  <c r="H17" i="4"/>
  <c r="H12" i="4"/>
</calcChain>
</file>

<file path=xl/sharedStrings.xml><?xml version="1.0" encoding="utf-8"?>
<sst xmlns="http://schemas.openxmlformats.org/spreadsheetml/2006/main" count="69" uniqueCount="44">
  <si>
    <t>Project</t>
    <phoneticPr fontId="2" type="noConversion"/>
  </si>
  <si>
    <t>Current version</t>
    <phoneticPr fontId="2" type="noConversion"/>
  </si>
  <si>
    <t xml:space="preserve"> 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</si>
  <si>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</si>
  <si>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</si>
  <si>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</si>
  <si>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</si>
  <si>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Depth</t>
    <phoneticPr fontId="2" type="noConversion"/>
  </si>
  <si>
    <t>Soil</t>
    <phoneticPr fontId="2" type="noConversion"/>
  </si>
  <si>
    <t>SPT-N</t>
    <phoneticPr fontId="2" type="noConversion"/>
  </si>
  <si>
    <t>Cu</t>
    <phoneticPr fontId="2" type="noConversion"/>
  </si>
  <si>
    <t>m</t>
    <phoneticPr fontId="2" type="noConversion"/>
  </si>
  <si>
    <t>H250</t>
    <phoneticPr fontId="2" type="noConversion"/>
  </si>
  <si>
    <t>H300</t>
    <phoneticPr fontId="2" type="noConversion"/>
  </si>
  <si>
    <t>H350</t>
    <phoneticPr fontId="2" type="noConversion"/>
  </si>
  <si>
    <t>H400</t>
    <phoneticPr fontId="2" type="noConversion"/>
  </si>
  <si>
    <t>H414</t>
    <phoneticPr fontId="2" type="noConversion"/>
  </si>
  <si>
    <t>H428</t>
    <phoneticPr fontId="2" type="noConversion"/>
  </si>
  <si>
    <t>2H250</t>
    <phoneticPr fontId="2" type="noConversion"/>
  </si>
  <si>
    <t>2H300</t>
    <phoneticPr fontId="2" type="noConversion"/>
  </si>
  <si>
    <t>2H350</t>
    <phoneticPr fontId="2" type="noConversion"/>
  </si>
  <si>
    <t>2H400</t>
    <phoneticPr fontId="2" type="noConversion"/>
  </si>
  <si>
    <t>2H414</t>
    <phoneticPr fontId="2" type="noConversion"/>
  </si>
  <si>
    <t>2H428</t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</si>
  <si>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</si>
  <si>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</si>
  <si>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</si>
  <si>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</si>
  <si>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r>
      <rPr>
        <sz val="12"/>
        <color theme="1"/>
        <rFont val="細明體"/>
        <family val="3"/>
        <charset val="136"/>
      </rPr>
      <t>土層資訊</t>
    </r>
    <phoneticPr fontId="2" type="noConversion"/>
  </si>
  <si>
    <r>
      <rPr>
        <sz val="12"/>
        <color theme="1"/>
        <rFont val="細明體"/>
        <family val="3"/>
        <charset val="136"/>
      </rPr>
      <t>開挖深度</t>
    </r>
    <phoneticPr fontId="2" type="noConversion"/>
  </si>
  <si>
    <r>
      <rPr>
        <sz val="12"/>
        <color theme="1"/>
        <rFont val="細明體"/>
        <family val="3"/>
        <charset val="136"/>
      </rPr>
      <t>水平支撐</t>
    </r>
    <phoneticPr fontId="2" type="noConversion"/>
  </si>
  <si>
    <r>
      <rPr>
        <sz val="12"/>
        <color theme="1"/>
        <rFont val="細明體"/>
        <family val="3"/>
        <charset val="136"/>
      </rPr>
      <t>支撐反力</t>
    </r>
    <phoneticPr fontId="2" type="noConversion"/>
  </si>
  <si>
    <r>
      <rPr>
        <sz val="12"/>
        <color theme="1"/>
        <rFont val="細明體"/>
        <family val="3"/>
        <charset val="136"/>
      </rPr>
      <t>中央支柱</t>
    </r>
    <phoneticPr fontId="2" type="noConversion"/>
  </si>
  <si>
    <r>
      <rPr>
        <sz val="12"/>
        <color theme="1"/>
        <rFont val="新細明體"/>
        <family val="2"/>
        <charset val="136"/>
      </rPr>
      <t>水平支撐總類</t>
    </r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</si>
  <si>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</si>
  <si>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</si>
  <si>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</si>
  <si>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</si>
  <si>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t>單位質量</t>
    <phoneticPr fontId="2" type="noConversion"/>
  </si>
  <si>
    <t>支撐長度</t>
    <phoneticPr fontId="2" type="noConversion"/>
  </si>
  <si>
    <t>mm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</si>
  <si>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</si>
  <si>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</si>
  <si>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Center Column Depth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</si>
</sst>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2"/>
      <charset val="136"/>
    </font>
    <font>
      <sz val="12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</cellStyleXfs>
  <cellXfs count="1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left" vertical="center"/>
    </xf>
    <xf numFmtId="14" fontId="3" fillId="2" borderId="0" xfId="1" applyNumberFormat="1" applyFont="1" applyFill="1" applyAlignment="1">
      <alignment horizontal="center" vertical="center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T18"/>
  <sheetViews>
    <sheetView showGridLines="0" workbookViewId="0">
      <selection activeCell="D7" sqref="D7"/>
    </sheetView>
  </sheetViews>
  <sheetFormatPr defaultColWidth="10.77734375" defaultRowHeight="15.6" x14ac:dyDescent="0.3"/>
  <cols>
    <col min="1" max="1" width="10.77734375" style="5"/>
    <col min="2" max="2" width="11.109375" style="5" bestFit="1" customWidth="1"/>
    <col min="3" max="3" width="11.109375" style="5" customWidth="1"/>
    <col min="4" max="14" width="10.77734375" style="5"/>
    <col min="15" max="15" width="13.88671875" style="5" bestFit="1" customWidth="1"/>
    <col min="16" max="16384" width="10.77734375" style="5"/>
  </cols>
  <sheetData>
    <row r="1" spans="1:20" x14ac:dyDescent="0.3">
      <c r="A1" s="5" t="s">
        <v>4</v>
      </c>
      <c r="B1" s="6">
        <v>43126</v>
      </c>
      <c r="C1" s="6"/>
    </row>
    <row r="2" spans="1:20" x14ac:dyDescent="0.3">
      <c r="A2" s="5" t="s">
        <v>5</v>
      </c>
      <c r="B2" s="5" t="s">
        <v>3</v>
      </c>
    </row>
    <row r="3" spans="1:20" x14ac:dyDescent="0.3">
      <c r="A3" s="5" t="s">
        <v>6</v>
      </c>
    </row>
    <row r="5" spans="1:20" ht="16.2" x14ac:dyDescent="0.3">
      <c r="D5" s="5" t="s">
        <v>28</v>
      </c>
    </row>
    <row r="6" spans="1:20" ht="16.2" x14ac:dyDescent="0.3">
      <c r="D6" s="5" t="s">
        <v>7</v>
      </c>
      <c r="E6" s="5" t="s">
        <v>8</v>
      </c>
      <c r="F6" s="5" t="s">
        <v>9</v>
      </c>
      <c r="G6" s="5" t="s">
        <v>10</v>
      </c>
      <c r="I6" s="8" t="s">
        <v>29</v>
      </c>
      <c r="L6" s="5" t="s">
        <v>30</v>
      </c>
      <c r="M6" s="5" t="s">
        <v>31</v>
      </c>
      <c r="N6" s="7" t="s">
        <v>39</v>
      </c>
      <c r="O6" s="5" t="s">
        <v>33</v>
      </c>
      <c r="Q6" s="5" t="s">
        <v>32</v>
      </c>
    </row>
    <row r="7" spans="1:20" x14ac:dyDescent="0.3">
      <c r="J7" s="8"/>
      <c r="K7" s="5">
        <v>1</v>
      </c>
      <c r="O7" s="5" t="s">
        <v>12</v>
      </c>
      <c r="Q7" s="5" t="s">
        <v>24</v>
      </c>
      <c r="R7" s="5" t="s">
        <v>25</v>
      </c>
      <c r="S7" s="5" t="s">
        <v>26</v>
      </c>
      <c r="T7" s="5" t="s">
        <v>27</v>
      </c>
    </row>
    <row r="8" spans="1:20" x14ac:dyDescent="0.3">
      <c r="I8" s="5" t="s">
        <v>11</v>
      </c>
      <c r="K8" s="5">
        <v>2</v>
      </c>
      <c r="O8" s="5" t="s">
        <v>13</v>
      </c>
    </row>
    <row r="9" spans="1:20" x14ac:dyDescent="0.3">
      <c r="K9" s="5">
        <v>3</v>
      </c>
      <c r="O9" s="5" t="s">
        <v>14</v>
      </c>
      <c r="Q9" s="5" t="s">
        <v>40</v>
      </c>
      <c r="R9" s="5" t="s">
        <v>40</v>
      </c>
      <c r="S9" s="5" t="s">
        <v>40</v>
      </c>
      <c r="T9" s="5" t="s">
        <v>40</v>
      </c>
    </row>
    <row r="10" spans="1:20" x14ac:dyDescent="0.3">
      <c r="K10" s="5">
        <v>4</v>
      </c>
      <c r="O10" s="5" t="s">
        <v>15</v>
      </c>
    </row>
    <row r="11" spans="1:20" x14ac:dyDescent="0.3">
      <c r="K11" s="5">
        <v>5</v>
      </c>
      <c r="O11" s="5" t="s">
        <v>16</v>
      </c>
    </row>
    <row r="12" spans="1:20" x14ac:dyDescent="0.3">
      <c r="K12" s="5">
        <v>6</v>
      </c>
      <c r="O12" s="5" t="s">
        <v>17</v>
      </c>
    </row>
    <row r="13" spans="1:20" x14ac:dyDescent="0.3">
      <c r="K13" s="5">
        <v>7</v>
      </c>
      <c r="O13" s="5" t="s">
        <v>18</v>
      </c>
    </row>
    <row r="14" spans="1:20" x14ac:dyDescent="0.3">
      <c r="K14" s="5">
        <v>8</v>
      </c>
      <c r="O14" s="5" t="s">
        <v>19</v>
      </c>
    </row>
    <row r="15" spans="1:20" x14ac:dyDescent="0.3">
      <c r="K15" s="5">
        <v>9</v>
      </c>
      <c r="O15" s="5" t="s">
        <v>20</v>
      </c>
    </row>
    <row r="16" spans="1:20" x14ac:dyDescent="0.3">
      <c r="K16" s="5">
        <v>10</v>
      </c>
      <c r="O16" s="5" t="s">
        <v>21</v>
      </c>
    </row>
    <row r="17" spans="15:15" x14ac:dyDescent="0.3">
      <c r="O17" s="5" t="s">
        <v>22</v>
      </c>
    </row>
    <row r="18" spans="15:15" x14ac:dyDescent="0.3">
      <c r="O18" s="5" t="s">
        <v>23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H17"/>
  <sheetViews>
    <sheetView workbookViewId="0">
      <selection activeCell="D29" sqref="D29"/>
    </sheetView>
  </sheetViews>
  <sheetFormatPr defaultColWidth="8.88671875" defaultRowHeight="15.6" x14ac:dyDescent="0.3"/>
  <cols>
    <col min="1" max="1" width="8.88671875" style="5"/>
    <col min="2" max="3" width="15.33203125" style="5" bestFit="1" customWidth="1"/>
    <col min="4" max="7" width="8.88671875" style="5"/>
    <col min="8" max="8" width="10.44140625" style="5" bestFit="1" customWidth="1"/>
    <col min="9" max="16384" width="8.88671875" style="5"/>
  </cols>
  <sheetData>
    <row r="1" spans="1:8" x14ac:dyDescent="0.3">
      <c r="A1" s="5" t="s">
        <v>4</v>
      </c>
      <c r="B1" s="6">
        <v>43126</v>
      </c>
    </row>
    <row r="2" spans="1:8" x14ac:dyDescent="0.3">
      <c r="A2" s="5" t="s">
        <v>5</v>
      </c>
      <c r="B2" s="5" t="s">
        <v>3</v>
      </c>
    </row>
    <row r="3" spans="1:8" x14ac:dyDescent="0.3">
      <c r="A3" s="5" t="s">
        <v>6</v>
      </c>
    </row>
    <row r="4" spans="1:8" ht="16.2" x14ac:dyDescent="0.3">
      <c r="C4" s="5" t="s">
        <v>33</v>
      </c>
      <c r="D4" s="5" t="s">
        <v>34</v>
      </c>
      <c r="E4" s="5" t="s">
        <v>35</v>
      </c>
      <c r="F4" s="5" t="s">
        <v>36</v>
      </c>
      <c r="G4" s="5" t="s">
        <v>37</v>
      </c>
      <c r="H4" s="7" t="s">
        <v>38</v>
      </c>
    </row>
    <row r="5" spans="1:8" ht="16.2" x14ac:dyDescent="0.3">
      <c r="H5" s="7"/>
    </row>
    <row r="6" spans="1:8" x14ac:dyDescent="0.3">
      <c r="C6" s="5" t="s">
        <v>12</v>
      </c>
      <c r="D6" s="5">
        <v>250</v>
      </c>
      <c r="E6" s="5">
        <v>250</v>
      </c>
      <c r="F6" s="5">
        <v>9</v>
      </c>
      <c r="G6" s="5">
        <v>14</v>
      </c>
      <c r="H6" s="5">
        <v>71.8</v>
      </c>
    </row>
    <row r="7" spans="1:8" x14ac:dyDescent="0.3">
      <c r="C7" s="5" t="s">
        <v>13</v>
      </c>
      <c r="D7" s="5">
        <v>300</v>
      </c>
      <c r="E7" s="5">
        <v>300</v>
      </c>
      <c r="F7" s="5">
        <v>10</v>
      </c>
      <c r="G7" s="5">
        <v>15</v>
      </c>
      <c r="H7" s="5">
        <v>93</v>
      </c>
    </row>
    <row r="8" spans="1:8" x14ac:dyDescent="0.3">
      <c r="C8" s="5" t="s">
        <v>14</v>
      </c>
      <c r="D8" s="5">
        <v>350</v>
      </c>
      <c r="E8" s="5">
        <v>350</v>
      </c>
      <c r="F8" s="5">
        <v>12</v>
      </c>
      <c r="G8" s="5">
        <v>19</v>
      </c>
      <c r="H8" s="5">
        <v>135</v>
      </c>
    </row>
    <row r="9" spans="1:8" x14ac:dyDescent="0.3">
      <c r="C9" s="5" t="s">
        <v>15</v>
      </c>
      <c r="D9" s="5">
        <v>400</v>
      </c>
      <c r="E9" s="5">
        <v>400</v>
      </c>
      <c r="F9" s="5">
        <v>13</v>
      </c>
      <c r="G9" s="5">
        <v>21</v>
      </c>
      <c r="H9" s="5">
        <v>172</v>
      </c>
    </row>
    <row r="10" spans="1:8" x14ac:dyDescent="0.3">
      <c r="C10" s="5" t="s">
        <v>16</v>
      </c>
      <c r="D10" s="5">
        <v>414</v>
      </c>
      <c r="E10" s="5">
        <v>405</v>
      </c>
      <c r="F10" s="5">
        <v>18</v>
      </c>
      <c r="G10" s="5">
        <v>28</v>
      </c>
      <c r="H10" s="5">
        <v>232</v>
      </c>
    </row>
    <row r="11" spans="1:8" x14ac:dyDescent="0.3">
      <c r="C11" s="5" t="s">
        <v>17</v>
      </c>
      <c r="D11" s="5">
        <v>428</v>
      </c>
      <c r="E11" s="5">
        <v>407</v>
      </c>
      <c r="F11" s="5">
        <v>20</v>
      </c>
      <c r="G11" s="5">
        <v>35</v>
      </c>
      <c r="H11" s="5">
        <v>283</v>
      </c>
    </row>
    <row r="12" spans="1:8" x14ac:dyDescent="0.3">
      <c r="C12" s="5" t="s">
        <v>18</v>
      </c>
      <c r="D12" s="5">
        <v>250</v>
      </c>
      <c r="E12" s="5">
        <v>250</v>
      </c>
      <c r="F12" s="5">
        <v>9</v>
      </c>
      <c r="G12" s="5">
        <v>14</v>
      </c>
      <c r="H12" s="5">
        <f>H6*2</f>
        <v>143.6</v>
      </c>
    </row>
    <row r="13" spans="1:8" x14ac:dyDescent="0.3">
      <c r="C13" s="5" t="s">
        <v>19</v>
      </c>
      <c r="D13" s="5">
        <v>300</v>
      </c>
      <c r="E13" s="5">
        <v>300</v>
      </c>
      <c r="F13" s="5">
        <v>10</v>
      </c>
      <c r="G13" s="5">
        <v>15</v>
      </c>
      <c r="H13" s="5">
        <f t="shared" ref="H13:H17" si="0">H7*2</f>
        <v>186</v>
      </c>
    </row>
    <row r="14" spans="1:8" x14ac:dyDescent="0.3">
      <c r="C14" s="5" t="s">
        <v>20</v>
      </c>
      <c r="D14" s="5">
        <v>350</v>
      </c>
      <c r="E14" s="5">
        <v>350</v>
      </c>
      <c r="F14" s="5">
        <v>12</v>
      </c>
      <c r="G14" s="5">
        <v>19</v>
      </c>
      <c r="H14" s="5">
        <f t="shared" si="0"/>
        <v>270</v>
      </c>
    </row>
    <row r="15" spans="1:8" x14ac:dyDescent="0.3">
      <c r="C15" s="5" t="s">
        <v>21</v>
      </c>
      <c r="D15" s="5">
        <v>400</v>
      </c>
      <c r="E15" s="5">
        <v>400</v>
      </c>
      <c r="F15" s="5">
        <v>13</v>
      </c>
      <c r="G15" s="5">
        <v>21</v>
      </c>
      <c r="H15" s="5">
        <f t="shared" si="0"/>
        <v>344</v>
      </c>
    </row>
    <row r="16" spans="1:8" x14ac:dyDescent="0.3">
      <c r="C16" s="5" t="s">
        <v>22</v>
      </c>
      <c r="D16" s="5">
        <v>414</v>
      </c>
      <c r="E16" s="5">
        <v>405</v>
      </c>
      <c r="F16" s="5">
        <v>18</v>
      </c>
      <c r="G16" s="5">
        <v>28</v>
      </c>
      <c r="H16" s="5">
        <f t="shared" si="0"/>
        <v>464</v>
      </c>
    </row>
    <row r="17" spans="3:8" x14ac:dyDescent="0.3">
      <c r="C17" s="5" t="s">
        <v>23</v>
      </c>
      <c r="D17" s="5">
        <v>428</v>
      </c>
      <c r="E17" s="5">
        <v>407</v>
      </c>
      <c r="F17" s="5">
        <v>20</v>
      </c>
      <c r="G17" s="5">
        <v>35</v>
      </c>
      <c r="H17" s="5">
        <f t="shared" si="0"/>
        <v>566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B3"/>
  <sheetViews>
    <sheetView tabSelected="1" workbookViewId="0">
      <selection activeCell="E21" sqref="E21"/>
    </sheetView>
  </sheetViews>
  <sheetFormatPr defaultRowHeight="16.2" x14ac:dyDescent="0.3"/>
  <cols>
    <col min="1" max="1" width="9.44140625" bestFit="1" customWidth="1"/>
    <col min="2" max="2" width="11.21875" bestFit="1" customWidth="1"/>
  </cols>
  <sheetData>
    <row r="1" spans="1:2" x14ac:dyDescent="0.3">
      <c r="A1" s="5" t="s">
        <v>4</v>
      </c>
      <c r="B1" s="6">
        <v>43126</v>
      </c>
    </row>
    <row r="2" spans="1:2" x14ac:dyDescent="0.3">
      <c r="A2" s="5" t="s">
        <v>5</v>
      </c>
      <c r="B2" s="5" t="s">
        <v>3</v>
      </c>
    </row>
    <row r="3" spans="1:2" x14ac:dyDescent="0.3">
      <c r="A3" s="5" t="s">
        <v>6</v>
      </c>
      <c r="B3" s="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569F-D922-4F44-936A-97266340C3E3}">
  <sheetPr codeName="工作表3">
    <tabColor theme="9" tint="0.39997558519241921"/>
  </sheetPr>
  <dimension ref="B2:E9"/>
  <sheetViews>
    <sheetView workbookViewId="0">
      <selection activeCell="E6" sqref="E6"/>
    </sheetView>
  </sheetViews>
  <sheetFormatPr defaultColWidth="8.6640625" defaultRowHeight="15.6" x14ac:dyDescent="0.3"/>
  <cols>
    <col min="1" max="1" width="8.6640625" style="1"/>
    <col min="2" max="2" width="13.6640625" style="10" customWidth="1"/>
    <col min="3" max="4" width="8.6640625" style="10"/>
    <col min="5" max="16384" width="8.6640625" style="1"/>
  </cols>
  <sheetData>
    <row r="2" spans="2:5" x14ac:dyDescent="0.3">
      <c r="B2" s="1" t="s">
        <v>0</v>
      </c>
      <c r="C2" s="9" t="s">
        <v>43</v>
      </c>
    </row>
    <row r="3" spans="2:5" x14ac:dyDescent="0.3">
      <c r="B3" s="1" t="s">
        <v>1</v>
      </c>
      <c r="C3" s="4" t="s">
        <v>41</v>
      </c>
    </row>
    <row r="4" spans="2:5" x14ac:dyDescent="0.3">
      <c r="C4" s="10" t="s">
        <v>2</v>
      </c>
    </row>
    <row r="5" spans="2:5" x14ac:dyDescent="0.3">
      <c r="B5" s="11"/>
    </row>
    <row r="6" spans="2:5" s="13" customFormat="1" ht="16.2" thickBot="1" x14ac:dyDescent="0.35">
      <c r="B6" s="12"/>
      <c r="C6" s="12"/>
      <c r="D6" s="12"/>
    </row>
    <row r="7" spans="2:5" ht="16.2" thickTop="1" x14ac:dyDescent="0.3"/>
    <row r="8" spans="2:5" x14ac:dyDescent="0.3">
      <c r="B8" s="14">
        <v>43283</v>
      </c>
      <c r="C8" s="10" t="s">
        <v>41</v>
      </c>
      <c r="D8" s="10">
        <v>1</v>
      </c>
      <c r="E8" s="1" t="s">
        <v>42</v>
      </c>
    </row>
    <row r="9" spans="2:5" s="3" customFormat="1" x14ac:dyDescent="0.3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工作表3</vt:lpstr>
      <vt:lpstr>工作表2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2018-07-02T06:04:11Z</dcterms:modified>
</cp:coreProperties>
</file>