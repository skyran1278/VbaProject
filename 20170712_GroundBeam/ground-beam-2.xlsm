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45" windowWidth="15360" windowHeight="7440" activeTab="2"/>
  </bookViews>
  <sheets>
    <sheet name="編號對照表" sheetId="7" r:id="rId1"/>
    <sheet name="SAFE" sheetId="1" r:id="rId2"/>
    <sheet name="計算表" sheetId="2" r:id="rId3"/>
    <sheet name="RCAD" sheetId="3" r:id="rId4"/>
    <sheet name="工作表4" sheetId="4" r:id="rId5"/>
    <sheet name=" Instructions" sheetId="6" r:id="rId6"/>
    <sheet name="工作表5" sheetId="8" r:id="rId7"/>
    <sheet name="參數設定" sheetId="11" r:id="rId8"/>
    <sheet name="地梁配筋" sheetId="10" r:id="rId9"/>
    <sheet name="版本資訊" sheetId="9" r:id="rId10"/>
  </sheets>
  <calcPr calcId="162913"/>
</workbook>
</file>

<file path=xl/calcChain.xml><?xml version="1.0" encoding="utf-8"?>
<calcChain xmlns="http://schemas.openxmlformats.org/spreadsheetml/2006/main">
  <c r="B8" i="9" l="1"/>
  <c r="B14" i="9"/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2" i="2" l="1"/>
  <c r="F21" i="8" l="1"/>
  <c r="F22" i="8" s="1"/>
  <c r="I13" i="8" s="1"/>
  <c r="F19" i="8"/>
  <c r="F20" i="8" s="1"/>
  <c r="I12" i="8" s="1"/>
  <c r="C13" i="8"/>
  <c r="C21" i="8" s="1"/>
  <c r="C12" i="8"/>
  <c r="C19" i="8" s="1"/>
  <c r="C9" i="8"/>
  <c r="C10" i="8" s="1"/>
  <c r="C11" i="8" s="1"/>
</calcChain>
</file>

<file path=xl/sharedStrings.xml><?xml version="1.0" encoding="utf-8"?>
<sst xmlns="http://schemas.openxmlformats.org/spreadsheetml/2006/main" count="7115" uniqueCount="939">
  <si>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</si>
  <si>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</si>
  <si>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</si>
  <si>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</si>
  <si>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</si>
  <si>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</si>
  <si>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</si>
  <si>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</si>
  <si>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</si>
  <si>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</si>
  <si>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</si>
  <si>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</si>
  <si>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</si>
  <si>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</si>
  <si>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OK</t>
  </si>
  <si>
    <t>Middle</t>
  </si>
  <si>
    <t>End</t>
  </si>
  <si>
    <t>BY6-0</t>
  </si>
  <si>
    <t>TOP</t>
    <phoneticPr fontId="2" type="noConversion"/>
  </si>
  <si>
    <t>BOT</t>
    <phoneticPr fontId="2" type="noConversion"/>
  </si>
  <si>
    <t>STIR</t>
    <phoneticPr fontId="2" type="noConversion"/>
  </si>
  <si>
    <t>SBY6-1</t>
    <phoneticPr fontId="2" type="noConversion"/>
  </si>
  <si>
    <t>SBY6-2</t>
    <phoneticPr fontId="2" type="noConversion"/>
  </si>
  <si>
    <t>SBY6-4</t>
    <phoneticPr fontId="2" type="noConversion"/>
  </si>
  <si>
    <t>SGX5'-3</t>
    <phoneticPr fontId="2" type="noConversion"/>
  </si>
  <si>
    <t>SBY5-2</t>
    <phoneticPr fontId="2" type="noConversion"/>
  </si>
  <si>
    <t>左端</t>
    <phoneticPr fontId="2" type="noConversion"/>
  </si>
  <si>
    <t>中端</t>
    <phoneticPr fontId="2" type="noConversion"/>
  </si>
  <si>
    <t>右端</t>
    <phoneticPr fontId="2" type="noConversion"/>
  </si>
  <si>
    <t>TOP</t>
    <phoneticPr fontId="2" type="noConversion"/>
  </si>
  <si>
    <t>BOT</t>
    <phoneticPr fontId="2" type="noConversion"/>
  </si>
  <si>
    <t>STIR</t>
    <phoneticPr fontId="2" type="noConversion"/>
  </si>
  <si>
    <t>TOP</t>
    <phoneticPr fontId="2" type="noConversion"/>
  </si>
  <si>
    <t>BOT</t>
    <phoneticPr fontId="2" type="noConversion"/>
  </si>
  <si>
    <t>STIR</t>
    <phoneticPr fontId="2" type="noConversion"/>
  </si>
  <si>
    <t>SBY6-3</t>
    <phoneticPr fontId="2" type="noConversion"/>
  </si>
  <si>
    <t>TOP</t>
    <phoneticPr fontId="2" type="noConversion"/>
  </si>
  <si>
    <t>BOT</t>
    <phoneticPr fontId="2" type="noConversion"/>
  </si>
  <si>
    <t>STIR</t>
    <phoneticPr fontId="2" type="noConversion"/>
  </si>
  <si>
    <t>SBY6-5</t>
    <phoneticPr fontId="2" type="noConversion"/>
  </si>
  <si>
    <t>TOP</t>
    <phoneticPr fontId="2" type="noConversion"/>
  </si>
  <si>
    <t>BOT</t>
    <phoneticPr fontId="2" type="noConversion"/>
  </si>
  <si>
    <t>STIR</t>
    <phoneticPr fontId="2" type="noConversion"/>
  </si>
  <si>
    <t>SGX2'-3</t>
    <phoneticPr fontId="2" type="noConversion"/>
  </si>
  <si>
    <t>TOP</t>
    <phoneticPr fontId="2" type="noConversion"/>
  </si>
  <si>
    <t>STIR</t>
    <phoneticPr fontId="2" type="noConversion"/>
  </si>
  <si>
    <t>SGX3'-3</t>
    <phoneticPr fontId="2" type="noConversion"/>
  </si>
  <si>
    <t>TOP</t>
    <phoneticPr fontId="2" type="noConversion"/>
  </si>
  <si>
    <t>BOT</t>
    <phoneticPr fontId="2" type="noConversion"/>
  </si>
  <si>
    <t>SGX1'-1</t>
    <phoneticPr fontId="2" type="noConversion"/>
  </si>
  <si>
    <t>SGX2'-1</t>
    <phoneticPr fontId="2" type="noConversion"/>
  </si>
  <si>
    <t>SGX3'-1</t>
    <phoneticPr fontId="2" type="noConversion"/>
  </si>
  <si>
    <t>SGX4'-1</t>
    <phoneticPr fontId="2" type="noConversion"/>
  </si>
  <si>
    <t>SGX5'-1</t>
    <phoneticPr fontId="2" type="noConversion"/>
  </si>
  <si>
    <t>SGX6'-1</t>
    <phoneticPr fontId="2" type="noConversion"/>
  </si>
  <si>
    <t>BY5-0</t>
    <phoneticPr fontId="2" type="noConversion"/>
  </si>
  <si>
    <t>SBY5-3</t>
    <phoneticPr fontId="2" type="noConversion"/>
  </si>
  <si>
    <t>SBY5-4</t>
    <phoneticPr fontId="2" type="noConversion"/>
  </si>
  <si>
    <t>SBY5-5</t>
    <phoneticPr fontId="2" type="noConversion"/>
  </si>
  <si>
    <t>SGX2'-2</t>
    <phoneticPr fontId="2" type="noConversion"/>
  </si>
  <si>
    <t>SGX1'-2</t>
    <phoneticPr fontId="2" type="noConversion"/>
  </si>
  <si>
    <t>SGX3'-2</t>
    <phoneticPr fontId="2" type="noConversion"/>
  </si>
  <si>
    <t>SGX5'-2</t>
    <phoneticPr fontId="2" type="noConversion"/>
  </si>
  <si>
    <t>SBY4-2</t>
    <phoneticPr fontId="2" type="noConversion"/>
  </si>
  <si>
    <t>SBY4-3</t>
    <phoneticPr fontId="2" type="noConversion"/>
  </si>
  <si>
    <t>SGX4'-3</t>
    <phoneticPr fontId="2" type="noConversion"/>
  </si>
  <si>
    <t>SBY4-4</t>
    <phoneticPr fontId="2" type="noConversion"/>
  </si>
  <si>
    <t>Line</t>
  </si>
  <si>
    <t>NOTICE</t>
    <phoneticPr fontId="2" type="noConversion"/>
  </si>
  <si>
    <t>update</t>
    <phoneticPr fontId="6" type="noConversion"/>
  </si>
  <si>
    <t>subject</t>
    <phoneticPr fontId="6" type="noConversion"/>
  </si>
  <si>
    <t>2017.02.05</t>
    <phoneticPr fontId="6" type="noConversion"/>
  </si>
  <si>
    <t>地梁VBA</t>
    <phoneticPr fontId="6" type="noConversion"/>
  </si>
  <si>
    <t>1.使用前請先詳閱此頁</t>
    <phoneticPr fontId="2" type="noConversion"/>
  </si>
  <si>
    <t>2.程式仍在發展中，可能會有BUG。</t>
    <phoneticPr fontId="2" type="noConversion"/>
  </si>
  <si>
    <t>USD9</t>
  </si>
  <si>
    <t>B75</t>
  </si>
  <si>
    <t>B262</t>
  </si>
  <si>
    <t>B165</t>
  </si>
  <si>
    <t>B4</t>
  </si>
  <si>
    <t>B19</t>
  </si>
  <si>
    <t>B29</t>
  </si>
  <si>
    <t>B123</t>
  </si>
  <si>
    <t>B125</t>
  </si>
  <si>
    <t>B147</t>
  </si>
  <si>
    <t>B156</t>
  </si>
  <si>
    <t>B159</t>
  </si>
  <si>
    <t>B161</t>
  </si>
  <si>
    <t>B162</t>
  </si>
  <si>
    <t>B163</t>
  </si>
  <si>
    <t>B164</t>
  </si>
  <si>
    <t>B205</t>
  </si>
  <si>
    <t>B211</t>
  </si>
  <si>
    <t>B213</t>
  </si>
  <si>
    <t>B216</t>
  </si>
  <si>
    <t>2#4</t>
    <phoneticPr fontId="2" type="noConversion"/>
  </si>
  <si>
    <t>USD12</t>
  </si>
  <si>
    <t>USD7</t>
  </si>
  <si>
    <t>USD4</t>
  </si>
  <si>
    <t>USD5</t>
  </si>
  <si>
    <t>USD11</t>
  </si>
  <si>
    <t>USD8</t>
  </si>
  <si>
    <t>USD14</t>
  </si>
  <si>
    <t/>
  </si>
  <si>
    <t>USD2</t>
  </si>
  <si>
    <t>USD47</t>
  </si>
  <si>
    <t>USD23</t>
  </si>
  <si>
    <t>USD39</t>
  </si>
  <si>
    <t>USD20</t>
  </si>
  <si>
    <t>USD16</t>
  </si>
  <si>
    <t>USD19</t>
  </si>
  <si>
    <t>USD1</t>
  </si>
  <si>
    <t>F.NO=XX-13</t>
  </si>
  <si>
    <t>TOP1</t>
  </si>
  <si>
    <t>TOP2</t>
  </si>
  <si>
    <t>BOT2</t>
  </si>
  <si>
    <t>BOT1</t>
  </si>
  <si>
    <t>STIR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</si>
  <si>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</si>
  <si>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</si>
  <si>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</si>
  <si>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</si>
  <si>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</si>
  <si>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</si>
  <si>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</si>
  <si>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</si>
  <si>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F.NO=XX-11</t>
  </si>
  <si>
    <t>F.NO=YY-7</t>
  </si>
  <si>
    <t>WEB</t>
    <phoneticPr fontId="2" type="noConversion"/>
  </si>
  <si>
    <t xml:space="preserve">樑寬 = </t>
    <phoneticPr fontId="2" type="noConversion"/>
  </si>
  <si>
    <t xml:space="preserve">樑深 = </t>
    <phoneticPr fontId="2" type="noConversion"/>
  </si>
  <si>
    <t>(BS+FS)厚度=</t>
    <phoneticPr fontId="2" type="noConversion"/>
  </si>
  <si>
    <t>號數=</t>
    <phoneticPr fontId="2" type="noConversion"/>
  </si>
  <si>
    <t xml:space="preserve">面積= </t>
    <phoneticPr fontId="2" type="noConversion"/>
  </si>
  <si>
    <t>S2=</t>
    <phoneticPr fontId="2" type="noConversion"/>
  </si>
  <si>
    <t>單邊需要根數</t>
    <phoneticPr fontId="2" type="noConversion"/>
  </si>
  <si>
    <t>兩側總鋼筋量</t>
    <phoneticPr fontId="2" type="noConversion"/>
  </si>
  <si>
    <t>(cm^2)</t>
    <phoneticPr fontId="2" type="noConversion"/>
  </si>
  <si>
    <t>若改為</t>
    <phoneticPr fontId="2" type="noConversion"/>
  </si>
  <si>
    <t>號筋</t>
    <phoneticPr fontId="2" type="noConversion"/>
  </si>
  <si>
    <t>面積</t>
    <phoneticPr fontId="2" type="noConversion"/>
  </si>
  <si>
    <t>兩側總鋼筋量</t>
    <phoneticPr fontId="2" type="noConversion"/>
  </si>
  <si>
    <t>面積</t>
    <phoneticPr fontId="2" type="noConversion"/>
  </si>
  <si>
    <t>號的</t>
    <phoneticPr fontId="2" type="noConversion"/>
  </si>
  <si>
    <t>S</t>
    <phoneticPr fontId="2" type="noConversion"/>
  </si>
  <si>
    <t>單邊根數</t>
    <phoneticPr fontId="2" type="noConversion"/>
  </si>
  <si>
    <t>號的</t>
    <phoneticPr fontId="2" type="noConversion"/>
  </si>
  <si>
    <t>S</t>
    <phoneticPr fontId="2" type="noConversion"/>
  </si>
  <si>
    <t>單邊根數</t>
    <phoneticPr fontId="2" type="noConversion"/>
  </si>
  <si>
    <t>工作筋</t>
    <phoneticPr fontId="2" type="noConversion"/>
  </si>
  <si>
    <t>80*200)</t>
  </si>
  <si>
    <t>F.NO=-70-1</t>
  </si>
  <si>
    <t>60*200)</t>
  </si>
  <si>
    <t>"B4Fb1-E1"(</t>
  </si>
  <si>
    <t>F.NO=-69-1</t>
  </si>
  <si>
    <t>"B4Fb1-D1"(</t>
  </si>
  <si>
    <t>F.NO=-67-1</t>
  </si>
  <si>
    <t>F.NO=-65-1</t>
  </si>
  <si>
    <t>F.NO=-65-2</t>
  </si>
  <si>
    <t>F.NO=XX-1</t>
  </si>
  <si>
    <t>F.NO=XX-4</t>
  </si>
  <si>
    <t>"B4FG1-91"(</t>
  </si>
  <si>
    <t>"B4FG1-92"(</t>
  </si>
  <si>
    <t>"B4FG1-93"(</t>
  </si>
  <si>
    <t>F.NO=XX-6</t>
  </si>
  <si>
    <t>"B4FG1-81"(</t>
  </si>
  <si>
    <t>"B4FG1-82"(</t>
  </si>
  <si>
    <t>F.NO=XX-8</t>
  </si>
  <si>
    <t>"B4Fb1-71"(</t>
  </si>
  <si>
    <t>"B4Fb1-72"(</t>
  </si>
  <si>
    <t>F.NO=XX-9</t>
  </si>
  <si>
    <t>"B4FG1-71"(</t>
  </si>
  <si>
    <t>"B4FG1-72"(</t>
  </si>
  <si>
    <t>"B4Fb1-61"(</t>
  </si>
  <si>
    <t>"B4Fb1-62"(</t>
  </si>
  <si>
    <t>"B4FG1-61"(</t>
  </si>
  <si>
    <t>"B4FG1-62"(</t>
  </si>
  <si>
    <t>"B4FG1-5'4"(</t>
  </si>
  <si>
    <t>"B4FG1-5'5"(</t>
  </si>
  <si>
    <t>F.NO=XX-14</t>
  </si>
  <si>
    <t>"B4Fb1-51"(</t>
  </si>
  <si>
    <t>"B4Fb1-52"(</t>
  </si>
  <si>
    <t>F.NO=XX-16</t>
  </si>
  <si>
    <t>"B4FG1-51"(</t>
  </si>
  <si>
    <t>"B4FG1-52"(</t>
  </si>
  <si>
    <t>F.NO=XX-18</t>
  </si>
  <si>
    <t>"B4Fb1-41"(</t>
  </si>
  <si>
    <t>"B4Fb1-42"(</t>
  </si>
  <si>
    <t>"B4Fb1-43"(</t>
  </si>
  <si>
    <t>"B4Fb1-44"(</t>
  </si>
  <si>
    <t>"B4FG1-41"(</t>
  </si>
  <si>
    <t>"B4FG1-42"(</t>
  </si>
  <si>
    <t>"B4FG1-43"(</t>
  </si>
  <si>
    <t>"B4FG1-44"(</t>
  </si>
  <si>
    <t>"B4Fb1-31"(</t>
  </si>
  <si>
    <t>"B4Fb1-32"(</t>
  </si>
  <si>
    <t>"B4Fb1-33"(</t>
  </si>
  <si>
    <t>"B4Fb1-34"(</t>
  </si>
  <si>
    <t>"B4FG1-31"(</t>
  </si>
  <si>
    <t>"B4FG1-32"(</t>
  </si>
  <si>
    <t>"B4FG1-33"(</t>
  </si>
  <si>
    <t>"B4FG1-34"(</t>
  </si>
  <si>
    <t>"B4Fb1-21"(</t>
  </si>
  <si>
    <t>"B4Fb1-23"(</t>
  </si>
  <si>
    <t>"B4Fb1-24"(</t>
  </si>
  <si>
    <t>"B4FG1-21"(</t>
  </si>
  <si>
    <t>"B4FG1-22"(</t>
  </si>
  <si>
    <t>"B4FG1-23"(</t>
  </si>
  <si>
    <t>"B4FG1-24"(</t>
  </si>
  <si>
    <t>"B4Fb1-11"(</t>
  </si>
  <si>
    <t>"B4Fb1-12"(</t>
  </si>
  <si>
    <t>"B4Fb1-13"(</t>
  </si>
  <si>
    <t>"B4Fb1-14"(</t>
  </si>
  <si>
    <t>"B4Fb1-15"(</t>
  </si>
  <si>
    <t>"B4FG1-3'4"(</t>
  </si>
  <si>
    <t>"B4FG1-3'5"(</t>
  </si>
  <si>
    <t>F.NO=24-1</t>
  </si>
  <si>
    <t>"B4FG1-86"(</t>
  </si>
  <si>
    <t>"B4FG1-87"(</t>
  </si>
  <si>
    <t>F.NO=25-2</t>
  </si>
  <si>
    <t>"B4Fb1-76"(</t>
  </si>
  <si>
    <t>"B4Fb1-77"(</t>
  </si>
  <si>
    <t>F.NO=25-5</t>
  </si>
  <si>
    <t>F.NO=25-6</t>
  </si>
  <si>
    <t>F.NO=25-8</t>
  </si>
  <si>
    <t>"B4Fb1-56"(</t>
  </si>
  <si>
    <t>F.NO=24-2</t>
  </si>
  <si>
    <t>"B4Fb1-45"(</t>
  </si>
  <si>
    <t>"B4Fb1-46"(</t>
  </si>
  <si>
    <t>F.NO=24-3</t>
  </si>
  <si>
    <t>"B4FG1-4'4"(</t>
  </si>
  <si>
    <t>"B4FG1-4'5"(</t>
  </si>
  <si>
    <t>F.NO=24-4</t>
  </si>
  <si>
    <t>"B4Fb1-36"(</t>
  </si>
  <si>
    <t>"B4Fb1-26"(</t>
  </si>
  <si>
    <t>"B4FG1-2'5"(</t>
  </si>
  <si>
    <t>F.NO=YY-4</t>
  </si>
  <si>
    <t>"B4Fb1-A1"(</t>
  </si>
  <si>
    <t>"B4Fb1-A2"(</t>
  </si>
  <si>
    <t>"B4Fb1-C1"(</t>
  </si>
  <si>
    <t>"B4FG2-6'4"(</t>
  </si>
  <si>
    <t>"B4FG2-6'5"(</t>
  </si>
  <si>
    <t>B30</t>
  </si>
  <si>
    <t>USD31</t>
  </si>
  <si>
    <t>B36</t>
  </si>
  <si>
    <t>USD15</t>
  </si>
  <si>
    <t>B39</t>
  </si>
  <si>
    <t>USD32</t>
  </si>
  <si>
    <t>B50</t>
  </si>
  <si>
    <t>B51</t>
  </si>
  <si>
    <t>B54</t>
  </si>
  <si>
    <t>B57</t>
  </si>
  <si>
    <t>B63</t>
  </si>
  <si>
    <t>B66</t>
  </si>
  <si>
    <t>USD28</t>
  </si>
  <si>
    <t>USD35</t>
  </si>
  <si>
    <t>B70</t>
  </si>
  <si>
    <t>B82</t>
  </si>
  <si>
    <t>B83</t>
  </si>
  <si>
    <t>B84</t>
  </si>
  <si>
    <t>B90</t>
  </si>
  <si>
    <t>B93</t>
  </si>
  <si>
    <t>B112</t>
  </si>
  <si>
    <t>B114</t>
  </si>
  <si>
    <t>B121</t>
  </si>
  <si>
    <t>B122</t>
  </si>
  <si>
    <t>USD27</t>
  </si>
  <si>
    <t>USD64</t>
  </si>
  <si>
    <t>B124</t>
  </si>
  <si>
    <t>B128</t>
  </si>
  <si>
    <t>B131</t>
  </si>
  <si>
    <t>B134</t>
  </si>
  <si>
    <t>B136</t>
  </si>
  <si>
    <t>B138</t>
  </si>
  <si>
    <t>B139</t>
  </si>
  <si>
    <t>B140</t>
  </si>
  <si>
    <t>B142</t>
  </si>
  <si>
    <t>B143</t>
  </si>
  <si>
    <t>B144</t>
  </si>
  <si>
    <t>B145</t>
  </si>
  <si>
    <t>B146</t>
  </si>
  <si>
    <t>B148</t>
  </si>
  <si>
    <t>USD13</t>
  </si>
  <si>
    <t>B149</t>
  </si>
  <si>
    <t>B151</t>
  </si>
  <si>
    <t>B171</t>
  </si>
  <si>
    <t>B173</t>
  </si>
  <si>
    <t>B174</t>
  </si>
  <si>
    <t>B175</t>
  </si>
  <si>
    <t>B176</t>
  </si>
  <si>
    <t>B179</t>
  </si>
  <si>
    <t>B182</t>
  </si>
  <si>
    <t>B184</t>
  </si>
  <si>
    <t>B189</t>
  </si>
  <si>
    <t>B192</t>
  </si>
  <si>
    <t>B200</t>
  </si>
  <si>
    <t>B201</t>
  </si>
  <si>
    <t>USD24</t>
  </si>
  <si>
    <t>B202</t>
  </si>
  <si>
    <t>B203</t>
  </si>
  <si>
    <t>B208</t>
  </si>
  <si>
    <t>B212</t>
  </si>
  <si>
    <t>USD36</t>
  </si>
  <si>
    <t>B215</t>
  </si>
  <si>
    <t>B403</t>
  </si>
  <si>
    <t>B405</t>
  </si>
  <si>
    <t>B416</t>
  </si>
  <si>
    <t>B462</t>
  </si>
  <si>
    <t>B463</t>
  </si>
  <si>
    <t>B476</t>
  </si>
  <si>
    <t>B477</t>
  </si>
  <si>
    <t>B648</t>
  </si>
  <si>
    <t>B649</t>
  </si>
  <si>
    <t>B675</t>
  </si>
  <si>
    <t>B678</t>
  </si>
  <si>
    <t>B680</t>
  </si>
  <si>
    <t>USD67</t>
  </si>
  <si>
    <t>B681</t>
  </si>
  <si>
    <t>B682</t>
  </si>
  <si>
    <t>B683</t>
  </si>
  <si>
    <t>B685</t>
  </si>
  <si>
    <t>B702</t>
  </si>
  <si>
    <t>B708</t>
  </si>
  <si>
    <t>B711</t>
  </si>
  <si>
    <t>B795</t>
  </si>
  <si>
    <t>B796</t>
  </si>
  <si>
    <t>B806</t>
  </si>
  <si>
    <t>B807</t>
  </si>
  <si>
    <t>B810</t>
  </si>
  <si>
    <t>B811</t>
  </si>
  <si>
    <t>B814</t>
  </si>
  <si>
    <t>B815</t>
  </si>
  <si>
    <t>B816</t>
  </si>
  <si>
    <t>B817</t>
  </si>
  <si>
    <t>B818</t>
  </si>
  <si>
    <t>B819</t>
  </si>
  <si>
    <t>B820</t>
  </si>
  <si>
    <t>B821</t>
  </si>
  <si>
    <t>B822</t>
  </si>
  <si>
    <t>B823</t>
  </si>
  <si>
    <t>B824</t>
  </si>
  <si>
    <t>B825</t>
  </si>
  <si>
    <t>B831</t>
  </si>
  <si>
    <t>B854</t>
  </si>
  <si>
    <t>B855</t>
  </si>
  <si>
    <t>B856</t>
  </si>
  <si>
    <t>B859</t>
  </si>
  <si>
    <t>B860</t>
  </si>
  <si>
    <t>B864</t>
  </si>
  <si>
    <t>B879</t>
  </si>
  <si>
    <t>B882</t>
  </si>
  <si>
    <t>B890</t>
  </si>
  <si>
    <t>B891</t>
  </si>
  <si>
    <t>B892</t>
  </si>
  <si>
    <t>B922</t>
  </si>
  <si>
    <t>B932</t>
  </si>
  <si>
    <t>B936</t>
  </si>
  <si>
    <t>B941</t>
  </si>
  <si>
    <t>B942</t>
  </si>
  <si>
    <t>B943</t>
  </si>
  <si>
    <t>B944</t>
  </si>
  <si>
    <t>B946</t>
  </si>
  <si>
    <t>B949</t>
  </si>
  <si>
    <t>B950</t>
  </si>
  <si>
    <t>B951</t>
  </si>
  <si>
    <t>B954</t>
  </si>
  <si>
    <t>B955</t>
  </si>
  <si>
    <t>B960</t>
  </si>
  <si>
    <t>USD3</t>
  </si>
  <si>
    <t>B961</t>
  </si>
  <si>
    <t>B964</t>
  </si>
  <si>
    <t>B965</t>
  </si>
  <si>
    <t>Fb1-12</t>
  </si>
  <si>
    <t>Fb1-13</t>
  </si>
  <si>
    <t>Fb1-15</t>
  </si>
  <si>
    <t>Fb1-21</t>
  </si>
  <si>
    <t>Fb1-23</t>
  </si>
  <si>
    <t>Fb1-26</t>
  </si>
  <si>
    <t>Fb1-31</t>
  </si>
  <si>
    <t>Fb1-32</t>
  </si>
  <si>
    <t>Fb1-33</t>
  </si>
  <si>
    <t>Fb1-34</t>
  </si>
  <si>
    <t>Fb1-36</t>
  </si>
  <si>
    <t>Fb1-41</t>
  </si>
  <si>
    <t>Fb1-42</t>
  </si>
  <si>
    <t>Fb1-43</t>
  </si>
  <si>
    <t>Fb1-44</t>
  </si>
  <si>
    <t>Fb1-45</t>
  </si>
  <si>
    <t>Fb1-46</t>
  </si>
  <si>
    <t>Fb1-51</t>
  </si>
  <si>
    <t>Fb1-52</t>
  </si>
  <si>
    <t>Fb1-56</t>
  </si>
  <si>
    <t>Fb1-61</t>
  </si>
  <si>
    <t>Fb1-62</t>
  </si>
  <si>
    <t>FG2-63</t>
  </si>
  <si>
    <t>FG2-64</t>
  </si>
  <si>
    <t>Fb1-71</t>
  </si>
  <si>
    <t>Fb1-72</t>
  </si>
  <si>
    <t>Fb2-73</t>
  </si>
  <si>
    <t>Fb2-74</t>
  </si>
  <si>
    <t>Fb2-75</t>
  </si>
  <si>
    <t>Fb1-76</t>
  </si>
  <si>
    <t>Fb1-77</t>
  </si>
  <si>
    <t>FG1-21</t>
  </si>
  <si>
    <t>FG1-22</t>
  </si>
  <si>
    <t>FG1-24</t>
  </si>
  <si>
    <t>FG1-2'5</t>
  </si>
  <si>
    <t>FG1-31</t>
  </si>
  <si>
    <t>FG1-32</t>
  </si>
  <si>
    <t>FG1-33</t>
  </si>
  <si>
    <t>FG1-34</t>
  </si>
  <si>
    <t>FG1-3'4</t>
  </si>
  <si>
    <t>FG1-3'5</t>
  </si>
  <si>
    <t>FG1-41</t>
  </si>
  <si>
    <t>FG1-42</t>
  </si>
  <si>
    <t>FG1-43</t>
  </si>
  <si>
    <t>FG1-44</t>
  </si>
  <si>
    <t>FG1-4'4</t>
  </si>
  <si>
    <t>FG1-4'5</t>
  </si>
  <si>
    <t>FG1-51</t>
  </si>
  <si>
    <t>FG1-52</t>
  </si>
  <si>
    <t>FG1-5'4</t>
  </si>
  <si>
    <t>FG1-5'5</t>
  </si>
  <si>
    <t>FG2-53</t>
  </si>
  <si>
    <t>FG1-61</t>
  </si>
  <si>
    <t>FG1-62</t>
  </si>
  <si>
    <t>FG1-71</t>
  </si>
  <si>
    <t>FG1-72</t>
  </si>
  <si>
    <t>FG2-73</t>
  </si>
  <si>
    <t>FG2-74</t>
  </si>
  <si>
    <t>FG2-6'4</t>
  </si>
  <si>
    <t>FG2-6'5</t>
  </si>
  <si>
    <t>FG1-81</t>
  </si>
  <si>
    <t>FG1-82</t>
  </si>
  <si>
    <t>FG2-83</t>
  </si>
  <si>
    <t>FG2-84</t>
  </si>
  <si>
    <t>FG2-85</t>
  </si>
  <si>
    <t>FG1-86</t>
  </si>
  <si>
    <t>FG1-87</t>
  </si>
  <si>
    <t>Fb1-A1</t>
  </si>
  <si>
    <t>Fb1-A2</t>
  </si>
  <si>
    <t>FG1-91</t>
  </si>
  <si>
    <t>FG1-92</t>
  </si>
  <si>
    <t>FG1-93</t>
  </si>
  <si>
    <t>Fb1-C1</t>
  </si>
  <si>
    <t>Fb1-D1</t>
  </si>
  <si>
    <t>Fb1-E1</t>
  </si>
  <si>
    <t>"B4Fb1-43"(</t>
    <phoneticPr fontId="2" type="noConversion"/>
  </si>
  <si>
    <t>"B4Fb1-34"(</t>
    <phoneticPr fontId="2" type="noConversion"/>
  </si>
  <si>
    <t>"B4FG1-21"(</t>
    <phoneticPr fontId="2" type="noConversion"/>
  </si>
  <si>
    <t>"B4Fb1-12"(</t>
    <phoneticPr fontId="2" type="noConversion"/>
  </si>
  <si>
    <t>"B4Fb1-D1"(</t>
    <phoneticPr fontId="2" type="noConversion"/>
  </si>
  <si>
    <t>2#4@12</t>
  </si>
  <si>
    <t>2#4@10</t>
  </si>
  <si>
    <t>2#4@15</t>
  </si>
  <si>
    <t>"B4FG2-53"(</t>
    <phoneticPr fontId="2" type="noConversion"/>
  </si>
  <si>
    <t>"B4Fb1-44"(</t>
    <phoneticPr fontId="2" type="noConversion"/>
  </si>
  <si>
    <t>"B4FG1-41"(</t>
    <phoneticPr fontId="2" type="noConversion"/>
  </si>
  <si>
    <t>"B4FG1-44"(</t>
    <phoneticPr fontId="2" type="noConversion"/>
  </si>
  <si>
    <t>"B4Fb1-46"(</t>
    <phoneticPr fontId="2" type="noConversion"/>
  </si>
  <si>
    <t>"B4Fb1-31"(</t>
    <phoneticPr fontId="2" type="noConversion"/>
  </si>
  <si>
    <t>"B4Fb1-33"(</t>
    <phoneticPr fontId="2" type="noConversion"/>
  </si>
  <si>
    <t>"B4FG1-4'5"(</t>
    <phoneticPr fontId="2" type="noConversion"/>
  </si>
  <si>
    <t>"B4FG1-31"(</t>
    <phoneticPr fontId="2" type="noConversion"/>
  </si>
  <si>
    <t>"B4FG1-34"(</t>
    <phoneticPr fontId="2" type="noConversion"/>
  </si>
  <si>
    <t>"B4Fb1-21"(</t>
    <phoneticPr fontId="2" type="noConversion"/>
  </si>
  <si>
    <t>"B4Fb1-23"(</t>
    <phoneticPr fontId="2" type="noConversion"/>
  </si>
  <si>
    <t>"B4FG2-64"(</t>
    <phoneticPr fontId="2" type="noConversion"/>
  </si>
  <si>
    <t>"B4FG1-93"(</t>
    <phoneticPr fontId="2" type="noConversion"/>
  </si>
  <si>
    <t>FG1-101</t>
  </si>
  <si>
    <t>FG1-102</t>
  </si>
  <si>
    <t>FB1-C'1</t>
  </si>
  <si>
    <t>FB1-D'2</t>
  </si>
  <si>
    <t>FB2-D'4</t>
  </si>
  <si>
    <t>FB2-D'3</t>
  </si>
  <si>
    <t>FB1-D'5</t>
  </si>
  <si>
    <t>FB1-D'6</t>
  </si>
  <si>
    <t>FB1-E'2</t>
  </si>
  <si>
    <t>FB1-E'3</t>
  </si>
  <si>
    <t>FB1-E'4</t>
  </si>
  <si>
    <t>FB1-E'5</t>
  </si>
  <si>
    <t>FB1-E'6</t>
  </si>
  <si>
    <t>FB1-E'7</t>
  </si>
  <si>
    <t>FB2-C'2</t>
  </si>
  <si>
    <t>USD33</t>
  </si>
  <si>
    <t>B208</t>
    <phoneticPr fontId="2" type="noConversion"/>
  </si>
  <si>
    <t>Fb1-14</t>
  </si>
  <si>
    <t>Fb1-22</t>
  </si>
  <si>
    <t>Fb1-35</t>
  </si>
  <si>
    <t>Fb1-55</t>
  </si>
  <si>
    <t>FB1-B0</t>
  </si>
  <si>
    <t>FB1-B1</t>
  </si>
  <si>
    <t>FB1-B2</t>
  </si>
  <si>
    <t>FB1-B3</t>
  </si>
  <si>
    <t>FB1-B4</t>
  </si>
  <si>
    <t>FB1-B5</t>
  </si>
  <si>
    <t>FB1-B6</t>
  </si>
  <si>
    <t>FB1-B7</t>
  </si>
  <si>
    <t>FB1-B8</t>
  </si>
  <si>
    <t>FB1-C1</t>
  </si>
  <si>
    <t>FB1-C5</t>
  </si>
  <si>
    <t>FB1-C6</t>
  </si>
  <si>
    <t>FB1-C7</t>
  </si>
  <si>
    <t>FB1-C8</t>
  </si>
  <si>
    <t>FB2-C2</t>
  </si>
  <si>
    <t>FB2-C3</t>
  </si>
  <si>
    <t>FB2-C4</t>
  </si>
  <si>
    <t>Fb2-D2</t>
  </si>
  <si>
    <t>Fb2-D3</t>
  </si>
  <si>
    <t>Fb2-D4</t>
  </si>
  <si>
    <t>Fb2-D5</t>
  </si>
  <si>
    <t>FB1-D2</t>
  </si>
  <si>
    <t>FB2-D3</t>
  </si>
  <si>
    <t>FB2-D4</t>
  </si>
  <si>
    <t>FB1-D5</t>
  </si>
  <si>
    <t>FB1-D6</t>
  </si>
  <si>
    <t>FB1-D7</t>
  </si>
  <si>
    <t>FB1-D8</t>
  </si>
  <si>
    <t>Fb2-E2</t>
  </si>
  <si>
    <t>Fb2-E3</t>
  </si>
  <si>
    <t>Fb2-E4</t>
  </si>
  <si>
    <t>Fb2-E5</t>
  </si>
  <si>
    <t>FB1-E7</t>
  </si>
  <si>
    <t>FB1-E8</t>
  </si>
  <si>
    <t>FB1-F8</t>
  </si>
  <si>
    <t>FG2-54</t>
  </si>
  <si>
    <t>Fb1-11</t>
    <phoneticPr fontId="2" type="noConversion"/>
  </si>
  <si>
    <t>F.NO=XX-28</t>
  </si>
  <si>
    <t>F.NO=XX-24</t>
  </si>
  <si>
    <t>F.NO=XX-20</t>
  </si>
  <si>
    <t>"B4FB1-B0"(</t>
  </si>
  <si>
    <t>"B4FB1-B1"(</t>
  </si>
  <si>
    <t>"B4FB1-B2"(</t>
  </si>
  <si>
    <t>"B4FB1-B3"(</t>
  </si>
  <si>
    <t>"B4FB1-B4"(</t>
  </si>
  <si>
    <t>"B4FB1-B5"(</t>
  </si>
  <si>
    <t>"B4FB1-B6"(</t>
  </si>
  <si>
    <t>"B4FB1-B7"(</t>
  </si>
  <si>
    <t>"B4FB1-B8"(</t>
  </si>
  <si>
    <t>F.NO=YY-9</t>
  </si>
  <si>
    <t>"B4FB1-C1"(</t>
  </si>
  <si>
    <t>"B4FB1-C5"(</t>
  </si>
  <si>
    <t>"B4FB1-C6"(</t>
  </si>
  <si>
    <t>"B4FB1-C7"(</t>
  </si>
  <si>
    <t>"B4FB1-C8"(</t>
  </si>
  <si>
    <t>"B4FB1-C'1"(</t>
  </si>
  <si>
    <t>F.NO=YY-11</t>
  </si>
  <si>
    <t>"B4FB1-D2"(</t>
  </si>
  <si>
    <t>"B4FB1-D5"(</t>
  </si>
  <si>
    <t>"B4FB1-D6"(</t>
  </si>
  <si>
    <t>"B4FB1-D7"(</t>
  </si>
  <si>
    <t>"B4FB1-D8"(</t>
  </si>
  <si>
    <t>"B4FB1-D'2"(</t>
  </si>
  <si>
    <t>"B4FB1-D'5"(</t>
  </si>
  <si>
    <t>"B4FB1-D'6"(</t>
  </si>
  <si>
    <t>"B4FB1-E7"(</t>
  </si>
  <si>
    <t>"B4FB1-E8"(</t>
  </si>
  <si>
    <t>"B4FB1-E'2"(</t>
  </si>
  <si>
    <t>"B4FB1-E'3"(</t>
  </si>
  <si>
    <t>"B4FB1-E'4"(</t>
  </si>
  <si>
    <t>"B4FB1-E'5"(</t>
  </si>
  <si>
    <t>"B4FB1-E'6"(</t>
  </si>
  <si>
    <t>"B4FB1-E'7"(</t>
  </si>
  <si>
    <t>F.NO=YY-14</t>
  </si>
  <si>
    <t>"B4FB1-F8"(</t>
  </si>
  <si>
    <t>F.NO=XX-30</t>
  </si>
  <si>
    <t>F.NO=XX-26</t>
  </si>
  <si>
    <t>F.NO=XX-25</t>
  </si>
  <si>
    <t>"B4Fb1-22"(</t>
  </si>
  <si>
    <t>F.NO=25-17</t>
  </si>
  <si>
    <t>F.NO=XX-22</t>
  </si>
  <si>
    <t>F.NO=25-14</t>
  </si>
  <si>
    <t>"B4Fb1-35"(</t>
  </si>
  <si>
    <t>"B4Fb1-55"(</t>
  </si>
  <si>
    <t>F.NO=YY-10</t>
  </si>
  <si>
    <t>"B4FG1-101"(</t>
  </si>
  <si>
    <t>"B4FG1-102"(</t>
  </si>
  <si>
    <t>"B4FB1-E'2"(</t>
    <phoneticPr fontId="2" type="noConversion"/>
  </si>
  <si>
    <t>"B4FB1-E'3"(</t>
    <phoneticPr fontId="2" type="noConversion"/>
  </si>
  <si>
    <t>"B4FB1-E'4"(</t>
    <phoneticPr fontId="2" type="noConversion"/>
  </si>
  <si>
    <t>"B4FB1-D5"(</t>
    <phoneticPr fontId="2" type="noConversion"/>
  </si>
  <si>
    <t>"B4FB1-D6"(</t>
    <phoneticPr fontId="2" type="noConversion"/>
  </si>
  <si>
    <t>"B4FG1-23"(</t>
    <phoneticPr fontId="2" type="noConversion"/>
  </si>
  <si>
    <t>"B4Fb1-13"(</t>
    <phoneticPr fontId="2" type="noConversion"/>
  </si>
  <si>
    <t>Fb1-24</t>
    <phoneticPr fontId="2" type="noConversion"/>
  </si>
  <si>
    <t>"B4Fb1-22"(</t>
    <phoneticPr fontId="2" type="noConversion"/>
  </si>
  <si>
    <t>"B4Fb1-35"(</t>
    <phoneticPr fontId="2" type="noConversion"/>
  </si>
  <si>
    <t>"B4FB1-E'7"(</t>
    <phoneticPr fontId="2" type="noConversion"/>
  </si>
  <si>
    <t>"B4FB1-E7"(</t>
    <phoneticPr fontId="2" type="noConversion"/>
  </si>
  <si>
    <t>"B4FB1-B0"(</t>
    <phoneticPr fontId="2" type="noConversion"/>
  </si>
  <si>
    <t>"B4FG1-101"(</t>
    <phoneticPr fontId="2" type="noConversion"/>
  </si>
  <si>
    <t>"B4Fb1-A1"(</t>
    <phoneticPr fontId="2" type="noConversion"/>
  </si>
  <si>
    <t>"B4FB1-B7"(</t>
    <phoneticPr fontId="2" type="noConversion"/>
  </si>
  <si>
    <t>"B4FB1-B4"(</t>
    <phoneticPr fontId="2" type="noConversion"/>
  </si>
  <si>
    <t>"B4FB2-C4"(</t>
    <phoneticPr fontId="2" type="noConversion"/>
  </si>
  <si>
    <t>"B4FB1-B2"(</t>
    <phoneticPr fontId="2" type="noConversion"/>
  </si>
  <si>
    <t>"B4FB1-B3"(</t>
    <phoneticPr fontId="2" type="noConversion"/>
  </si>
  <si>
    <t>"B4FB1-C5"(</t>
    <phoneticPr fontId="2" type="noConversion"/>
  </si>
  <si>
    <t>"B4FB1-D7"(</t>
    <phoneticPr fontId="2" type="noConversion"/>
  </si>
  <si>
    <t>"B4FB2-C'2"(</t>
    <phoneticPr fontId="2" type="noConversion"/>
  </si>
  <si>
    <t>"B4FB1-F8"(</t>
    <phoneticPr fontId="2" type="noConversion"/>
  </si>
  <si>
    <t>"B4Fb1-36"(</t>
    <phoneticPr fontId="2" type="noConversion"/>
  </si>
  <si>
    <t>"B4Fb2-E4"(</t>
    <phoneticPr fontId="2" type="noConversion"/>
  </si>
  <si>
    <t>"B4FB1-C'1"(</t>
    <phoneticPr fontId="2" type="noConversion"/>
  </si>
  <si>
    <t>"B4Fb2-D4"(</t>
    <phoneticPr fontId="2" type="noConversion"/>
  </si>
  <si>
    <t>"B4Fb2-D2"(</t>
    <phoneticPr fontId="2" type="noConversion"/>
  </si>
  <si>
    <t>"B4Fb2-E2"(</t>
    <phoneticPr fontId="2" type="noConversion"/>
  </si>
  <si>
    <t>FG1-23</t>
    <phoneticPr fontId="2" type="noConversion"/>
  </si>
  <si>
    <t>"B4FG1-91"(</t>
    <phoneticPr fontId="2" type="noConversion"/>
  </si>
  <si>
    <t>"B4Fb1-71"(</t>
    <phoneticPr fontId="2" type="noConversion"/>
  </si>
  <si>
    <t>"B4FG1-86"(</t>
    <phoneticPr fontId="2" type="noConversion"/>
  </si>
  <si>
    <t>"B4Fb1-61"(</t>
    <phoneticPr fontId="2" type="noConversion"/>
  </si>
  <si>
    <t>"B4FG1-62"(</t>
    <phoneticPr fontId="2" type="noConversion"/>
  </si>
  <si>
    <t>"B4Fb1-41"(</t>
    <phoneticPr fontId="2" type="noConversion"/>
  </si>
  <si>
    <t>"B4FG1-5'5"(</t>
    <phoneticPr fontId="2" type="noConversion"/>
  </si>
  <si>
    <t>"B4FG1-33"(</t>
    <phoneticPr fontId="2" type="noConversion"/>
  </si>
  <si>
    <t>"B4Fb1-24"(</t>
    <phoneticPr fontId="2" type="noConversion"/>
  </si>
  <si>
    <t>"B4FG1-22"(</t>
    <phoneticPr fontId="2" type="noConversion"/>
  </si>
  <si>
    <t>"B4FG1-2'5"(</t>
    <phoneticPr fontId="2" type="noConversion"/>
  </si>
  <si>
    <t>"B4Fb1-56"(</t>
    <phoneticPr fontId="2" type="noConversion"/>
  </si>
  <si>
    <t>"B4FG2-73"(</t>
    <phoneticPr fontId="2" type="noConversion"/>
  </si>
  <si>
    <t>"B4Fb1-15"(</t>
    <phoneticPr fontId="2" type="noConversion"/>
  </si>
  <si>
    <t>"B4Fb1-76"(</t>
    <phoneticPr fontId="2" type="noConversion"/>
  </si>
  <si>
    <t>"B4FG2-63"(</t>
    <phoneticPr fontId="2" type="noConversion"/>
  </si>
  <si>
    <t>"B4FB2-D3"(</t>
    <phoneticPr fontId="2" type="noConversion"/>
  </si>
  <si>
    <t>"B4FG2-84"(</t>
    <phoneticPr fontId="2" type="noConversion"/>
  </si>
  <si>
    <t>"B4Fb2-D5"(</t>
    <phoneticPr fontId="2" type="noConversion"/>
  </si>
  <si>
    <t>"B4Fb2-E3"(</t>
    <phoneticPr fontId="2" type="noConversion"/>
  </si>
  <si>
    <t>"B4FG1-81"(</t>
    <phoneticPr fontId="2" type="noConversion"/>
  </si>
  <si>
    <t>"B4FG1-87"(</t>
    <phoneticPr fontId="2" type="noConversion"/>
  </si>
  <si>
    <t>"B4FG1-61"(</t>
    <phoneticPr fontId="2" type="noConversion"/>
  </si>
  <si>
    <t>"B4Fb1-77"(</t>
    <phoneticPr fontId="2" type="noConversion"/>
  </si>
  <si>
    <t>#4@12</t>
  </si>
  <si>
    <t>2#4@18</t>
  </si>
  <si>
    <t>#4@10</t>
  </si>
  <si>
    <t>#4@15</t>
  </si>
  <si>
    <t>"B4Fb1-72"(</t>
    <phoneticPr fontId="2" type="noConversion"/>
  </si>
  <si>
    <t>"B4FG2-6'4"(</t>
    <phoneticPr fontId="2" type="noConversion"/>
  </si>
  <si>
    <t>"B4FG1-51"(</t>
    <phoneticPr fontId="2" type="noConversion"/>
  </si>
  <si>
    <t>"B4Fb1-32"(</t>
    <phoneticPr fontId="2" type="noConversion"/>
  </si>
  <si>
    <t>"B4FB1-D8"(</t>
    <phoneticPr fontId="2" type="noConversion"/>
  </si>
  <si>
    <t>"B4FB2-D4"(</t>
    <phoneticPr fontId="2" type="noConversion"/>
  </si>
  <si>
    <t>"B4FB2-D'4"(</t>
    <phoneticPr fontId="2" type="noConversion"/>
  </si>
  <si>
    <t>"B4FG2-6'5"(</t>
    <phoneticPr fontId="2" type="noConversion"/>
  </si>
  <si>
    <t>"B4FG1-3'5"(</t>
    <phoneticPr fontId="2" type="noConversion"/>
  </si>
  <si>
    <t>"B4FG1-102"(</t>
    <phoneticPr fontId="2" type="noConversion"/>
  </si>
  <si>
    <t>"B4FB1-D'2"(</t>
    <phoneticPr fontId="2" type="noConversion"/>
  </si>
  <si>
    <t>"B4FB1-B6"(</t>
    <phoneticPr fontId="2" type="noConversion"/>
  </si>
  <si>
    <t>"B4FB2-C2"(</t>
    <phoneticPr fontId="2" type="noConversion"/>
  </si>
  <si>
    <t>"B4FB1-E8"(</t>
    <phoneticPr fontId="2" type="noConversion"/>
  </si>
  <si>
    <t>"B4Fb1-A2"(</t>
    <phoneticPr fontId="2" type="noConversion"/>
  </si>
  <si>
    <t>"B4Fb1-52"(</t>
    <phoneticPr fontId="2" type="noConversion"/>
  </si>
  <si>
    <t>"B4Fb2-73"(</t>
    <phoneticPr fontId="2" type="noConversion"/>
  </si>
  <si>
    <t>"B4FG2-85"(</t>
    <phoneticPr fontId="2" type="noConversion"/>
  </si>
  <si>
    <t>"B4Fb1-E1"(</t>
    <phoneticPr fontId="2" type="noConversion"/>
  </si>
  <si>
    <t>"B4Fb2-74"(</t>
    <phoneticPr fontId="2" type="noConversion"/>
  </si>
  <si>
    <t>VBarArea</t>
    <phoneticPr fontId="2" type="noConversion"/>
  </si>
  <si>
    <t>maxspacingM</t>
    <phoneticPr fontId="2" type="noConversion"/>
  </si>
  <si>
    <t>"B4FB2-D'3"(</t>
    <phoneticPr fontId="2" type="noConversion"/>
  </si>
  <si>
    <t>"B4FG1-52"(</t>
    <phoneticPr fontId="2" type="noConversion"/>
  </si>
  <si>
    <t>"B4FG1-5'4"(</t>
    <phoneticPr fontId="2" type="noConversion"/>
  </si>
  <si>
    <t>"B4Fb1-42"(</t>
    <phoneticPr fontId="2" type="noConversion"/>
  </si>
  <si>
    <t>"B4FG1-42"(</t>
    <phoneticPr fontId="2" type="noConversion"/>
  </si>
  <si>
    <t>"B4FG1-43"(</t>
    <phoneticPr fontId="2" type="noConversion"/>
  </si>
  <si>
    <t>"B4FG1-4'4"(</t>
    <phoneticPr fontId="2" type="noConversion"/>
  </si>
  <si>
    <t>"B4FG1-32"(</t>
    <phoneticPr fontId="2" type="noConversion"/>
  </si>
  <si>
    <t>"B4Fb1-11"(</t>
    <phoneticPr fontId="2" type="noConversion"/>
  </si>
  <si>
    <t>"B4Fb1-14"(</t>
    <phoneticPr fontId="2" type="noConversion"/>
  </si>
  <si>
    <t>"B4FG1-92"(</t>
    <phoneticPr fontId="2" type="noConversion"/>
  </si>
  <si>
    <t>"B4FG2-83"(</t>
    <phoneticPr fontId="2" type="noConversion"/>
  </si>
  <si>
    <t>"B4Fb1-55"(</t>
    <phoneticPr fontId="2" type="noConversion"/>
  </si>
  <si>
    <t>"B4FB1-B5"(</t>
    <phoneticPr fontId="2" type="noConversion"/>
  </si>
  <si>
    <t>"B4FB2-C3"(</t>
    <phoneticPr fontId="2" type="noConversion"/>
  </si>
  <si>
    <t>"B4Fb1-51"(</t>
    <phoneticPr fontId="2" type="noConversion"/>
  </si>
  <si>
    <t>"B4FB1-D2"(</t>
    <phoneticPr fontId="2" type="noConversion"/>
  </si>
  <si>
    <t>"B4Fb2-75"(</t>
    <phoneticPr fontId="2" type="noConversion"/>
  </si>
  <si>
    <t>"B4FG1-82"(</t>
    <phoneticPr fontId="2" type="noConversion"/>
  </si>
  <si>
    <t>"B4FG1-72"(</t>
    <phoneticPr fontId="2" type="noConversion"/>
  </si>
  <si>
    <t>"B4Fb1-45"(</t>
    <phoneticPr fontId="2" type="noConversion"/>
  </si>
  <si>
    <t>"B4FB1-D'6"(</t>
    <phoneticPr fontId="2" type="noConversion"/>
  </si>
  <si>
    <t>"B4FB1-E'6"(</t>
    <phoneticPr fontId="2" type="noConversion"/>
  </si>
  <si>
    <t>"B4FB1-B1"(</t>
    <phoneticPr fontId="2" type="noConversion"/>
  </si>
  <si>
    <t>"B4FB1-B8"(</t>
    <phoneticPr fontId="2" type="noConversion"/>
  </si>
  <si>
    <t>#4</t>
  </si>
  <si>
    <t>"B4Fb1-62"(</t>
    <phoneticPr fontId="2" type="noConversion"/>
  </si>
  <si>
    <t>"B4FB1-D'5"(</t>
    <phoneticPr fontId="2" type="noConversion"/>
  </si>
  <si>
    <t>"B4FB1-E'5"(</t>
    <phoneticPr fontId="2" type="noConversion"/>
  </si>
  <si>
    <t>"B4FG2-74"(</t>
    <phoneticPr fontId="2" type="noConversion"/>
  </si>
  <si>
    <t>"B4Fb1-26"(</t>
    <phoneticPr fontId="2" type="noConversion"/>
  </si>
  <si>
    <t xml:space="preserve">BarArea </t>
    <phoneticPr fontId="2" type="noConversion"/>
  </si>
  <si>
    <t>VSize</t>
    <phoneticPr fontId="2" type="noConversion"/>
  </si>
  <si>
    <t>VSpacing</t>
    <phoneticPr fontId="2" type="noConversion"/>
  </si>
  <si>
    <t>maxspacingLNR</t>
    <phoneticPr fontId="2" type="noConversion"/>
  </si>
  <si>
    <t>"B4FB1-C7"(</t>
    <phoneticPr fontId="2" type="noConversion"/>
  </si>
  <si>
    <t>2#4</t>
    <phoneticPr fontId="2" type="noConversion"/>
  </si>
  <si>
    <t>2#5</t>
    <phoneticPr fontId="2" type="noConversion"/>
  </si>
  <si>
    <t>"B4FB2-D'3"(</t>
  </si>
  <si>
    <t>"B4FB2-D'4"(</t>
  </si>
  <si>
    <t>"B4FG2-53"(</t>
  </si>
  <si>
    <t>"B4FG2-54"(</t>
  </si>
  <si>
    <t>"B4FG2-73"(</t>
  </si>
  <si>
    <t>"B4FG2-74"(</t>
  </si>
  <si>
    <t>"B4FB2-D4"(</t>
  </si>
  <si>
    <t>"B4FG2-83"(</t>
  </si>
  <si>
    <t>"B4FB2-C4"(</t>
  </si>
  <si>
    <t>"B4FB2-C2"(</t>
  </si>
  <si>
    <t>"B4FB2-C3"(</t>
  </si>
  <si>
    <t>"B4FB2-C'2"(</t>
  </si>
  <si>
    <t>"B4Fb2-73"(</t>
  </si>
  <si>
    <t>"B4FG2-63"(</t>
  </si>
  <si>
    <t>"B4Fb2-E5"(</t>
  </si>
  <si>
    <t>"B4Fb2-E4"(</t>
  </si>
  <si>
    <t>"B4FG2-64"(</t>
  </si>
  <si>
    <t>"B4FB2-D3"(</t>
  </si>
  <si>
    <t>"B4FG2-84"(</t>
  </si>
  <si>
    <t>"B4FG2-85"(</t>
  </si>
  <si>
    <t>"B4Fb2-74"(</t>
  </si>
  <si>
    <t>"B4Fb2-75"(</t>
  </si>
  <si>
    <t>"B4Fb2-D5"(</t>
  </si>
  <si>
    <t>"B4Fb2-D4"(</t>
  </si>
  <si>
    <t>"B4Fb2-D3"(</t>
  </si>
  <si>
    <t>"B4Fb2-D2"(</t>
  </si>
  <si>
    <t>"B4Fb2-E3"(</t>
  </si>
  <si>
    <t>"B4Fb2-E2"(</t>
  </si>
  <si>
    <t>3#4</t>
    <phoneticPr fontId="2" type="noConversion"/>
  </si>
  <si>
    <t>3#4</t>
    <phoneticPr fontId="2" type="noConversion"/>
  </si>
  <si>
    <t>3#4</t>
    <phoneticPr fontId="2" type="noConversion"/>
  </si>
  <si>
    <t>3#4</t>
    <phoneticPr fontId="2" type="noConversion"/>
  </si>
  <si>
    <t>3#4</t>
    <phoneticPr fontId="2" type="noConversion"/>
  </si>
  <si>
    <t>3#4</t>
    <phoneticPr fontId="2" type="noConversion"/>
  </si>
  <si>
    <t>2#5@15</t>
  </si>
  <si>
    <t>3#4</t>
    <phoneticPr fontId="2" type="noConversion"/>
  </si>
  <si>
    <t>3#4</t>
    <phoneticPr fontId="2" type="noConversion"/>
  </si>
  <si>
    <t>2#5@12</t>
  </si>
  <si>
    <t>3#4</t>
    <phoneticPr fontId="2" type="noConversion"/>
  </si>
  <si>
    <t>3#4</t>
    <phoneticPr fontId="2" type="noConversion"/>
  </si>
  <si>
    <t>3#4</t>
    <phoneticPr fontId="2" type="noConversion"/>
  </si>
  <si>
    <t>3#4</t>
    <phoneticPr fontId="2" type="noConversion"/>
  </si>
  <si>
    <t>3#4</t>
    <phoneticPr fontId="2" type="noConversion"/>
  </si>
  <si>
    <t>3#4</t>
    <phoneticPr fontId="2" type="noConversion"/>
  </si>
  <si>
    <t>120*280)</t>
  </si>
  <si>
    <t>"B4FG1-81"(</t>
    <phoneticPr fontId="2" type="noConversion"/>
  </si>
  <si>
    <t>"B4Fb1-71"(</t>
    <phoneticPr fontId="2" type="noConversion"/>
  </si>
  <si>
    <t>"B4Fb1-72"(</t>
    <phoneticPr fontId="2" type="noConversion"/>
  </si>
  <si>
    <t>"B4FG1-71"(</t>
    <phoneticPr fontId="2" type="noConversion"/>
  </si>
  <si>
    <t>"B4FG1-72"(</t>
    <phoneticPr fontId="2" type="noConversion"/>
  </si>
  <si>
    <t>"B4FB1-E'2"(</t>
    <phoneticPr fontId="2" type="noConversion"/>
  </si>
  <si>
    <t>"B4FG1-86"(</t>
    <phoneticPr fontId="2" type="noConversion"/>
  </si>
  <si>
    <t>"B4Fb1-62"(</t>
    <phoneticPr fontId="2" type="noConversion"/>
  </si>
  <si>
    <t>"B4FB2-D'3"(</t>
    <phoneticPr fontId="2" type="noConversion"/>
  </si>
  <si>
    <t>"B4FG1-61"(</t>
    <phoneticPr fontId="2" type="noConversion"/>
  </si>
  <si>
    <t>"B4FG1-62"(</t>
    <phoneticPr fontId="2" type="noConversion"/>
  </si>
  <si>
    <t>"B4Fb1-77"(</t>
    <phoneticPr fontId="2" type="noConversion"/>
  </si>
  <si>
    <t>"B4FG2-6'4"(</t>
    <phoneticPr fontId="2" type="noConversion"/>
  </si>
  <si>
    <t>"B4FB1-E'4"(</t>
    <phoneticPr fontId="2" type="noConversion"/>
  </si>
  <si>
    <t>"B4FG1-52"(</t>
    <phoneticPr fontId="2" type="noConversion"/>
  </si>
  <si>
    <t>"B4FG2-53"(</t>
    <phoneticPr fontId="2" type="noConversion"/>
  </si>
  <si>
    <t>"B4FG1-5'4"(</t>
    <phoneticPr fontId="2" type="noConversion"/>
  </si>
  <si>
    <t>"B4Fb1-43"(</t>
    <phoneticPr fontId="2" type="noConversion"/>
  </si>
  <si>
    <t>"B4FB1-D5"(</t>
    <phoneticPr fontId="2" type="noConversion"/>
  </si>
  <si>
    <t>"B4FB1-D'5"(</t>
    <phoneticPr fontId="2" type="noConversion"/>
  </si>
  <si>
    <t>"B4Fb1-45"(</t>
    <phoneticPr fontId="2" type="noConversion"/>
  </si>
  <si>
    <t>"B4FB1-E'5"(</t>
    <phoneticPr fontId="2" type="noConversion"/>
  </si>
  <si>
    <t>"B4FG1-41"(</t>
    <phoneticPr fontId="2" type="noConversion"/>
  </si>
  <si>
    <t>"B4FG1-42"(</t>
    <phoneticPr fontId="2" type="noConversion"/>
  </si>
  <si>
    <t>"B4FG1-43"(</t>
    <phoneticPr fontId="2" type="noConversion"/>
  </si>
  <si>
    <t>"B4FG1-44"(</t>
    <phoneticPr fontId="2" type="noConversion"/>
  </si>
  <si>
    <t>"B4Fb1-46"(</t>
    <phoneticPr fontId="2" type="noConversion"/>
  </si>
  <si>
    <t>"B4FG1-4'4"(</t>
    <phoneticPr fontId="2" type="noConversion"/>
  </si>
  <si>
    <t>"B4Fb1-31"(</t>
    <phoneticPr fontId="2" type="noConversion"/>
  </si>
  <si>
    <t>"B4Fb1-32"(</t>
    <phoneticPr fontId="2" type="noConversion"/>
  </si>
  <si>
    <t>"B4Fb1-33"(</t>
    <phoneticPr fontId="2" type="noConversion"/>
  </si>
  <si>
    <t>"B4FB1-D6"(</t>
    <phoneticPr fontId="2" type="noConversion"/>
  </si>
  <si>
    <t>"B4Fb1-34"(</t>
    <phoneticPr fontId="2" type="noConversion"/>
  </si>
  <si>
    <t>"B4FB1-D'6"(</t>
    <phoneticPr fontId="2" type="noConversion"/>
  </si>
  <si>
    <t>"B4FG1-4'5"(</t>
    <phoneticPr fontId="2" type="noConversion"/>
  </si>
  <si>
    <t>"B4FG1-31"(</t>
    <phoneticPr fontId="2" type="noConversion"/>
  </si>
  <si>
    <t>"B4FG1-33"(</t>
    <phoneticPr fontId="2" type="noConversion"/>
  </si>
  <si>
    <t>"B4FG1-34"(</t>
    <phoneticPr fontId="2" type="noConversion"/>
  </si>
  <si>
    <t>"B4FG1-3'4"(</t>
    <phoneticPr fontId="2" type="noConversion"/>
  </si>
  <si>
    <t>"B4Fb1-21"(</t>
    <phoneticPr fontId="2" type="noConversion"/>
  </si>
  <si>
    <t>"B4Fb1-23"(</t>
    <phoneticPr fontId="2" type="noConversion"/>
  </si>
  <si>
    <t>"B4FG1-21"(</t>
    <phoneticPr fontId="2" type="noConversion"/>
  </si>
  <si>
    <t>"B4FG1-23"(</t>
    <phoneticPr fontId="2" type="noConversion"/>
  </si>
  <si>
    <t>"B4FG1-24"(</t>
    <phoneticPr fontId="2" type="noConversion"/>
  </si>
  <si>
    <t>"B4Fb1-11"(</t>
    <phoneticPr fontId="2" type="noConversion"/>
  </si>
  <si>
    <t>"B4Fb1-12"(</t>
    <phoneticPr fontId="2" type="noConversion"/>
  </si>
  <si>
    <t>"B4FB1-C8"(</t>
    <phoneticPr fontId="2" type="noConversion"/>
  </si>
  <si>
    <t>"B4Fb1-13"(</t>
    <phoneticPr fontId="2" type="noConversion"/>
  </si>
  <si>
    <t>"B4FB1-D8"(</t>
    <phoneticPr fontId="2" type="noConversion"/>
  </si>
  <si>
    <t>"B4Fb1-14"(</t>
    <phoneticPr fontId="2" type="noConversion"/>
  </si>
  <si>
    <t>"B4Fb1-56"(</t>
    <phoneticPr fontId="2" type="noConversion"/>
  </si>
  <si>
    <t>"B4FG2-73"(</t>
    <phoneticPr fontId="2" type="noConversion"/>
  </si>
  <si>
    <t>"B4Fb1-22"(</t>
    <phoneticPr fontId="2" type="noConversion"/>
  </si>
  <si>
    <t>"B4Fb1-35"(</t>
    <phoneticPr fontId="2" type="noConversion"/>
  </si>
  <si>
    <t>"B4FB1-E'7"(</t>
    <phoneticPr fontId="2" type="noConversion"/>
  </si>
  <si>
    <t>"B4Fb1-26"(</t>
    <phoneticPr fontId="2" type="noConversion"/>
  </si>
  <si>
    <t>"B4FB1-E7"(</t>
    <phoneticPr fontId="2" type="noConversion"/>
  </si>
  <si>
    <t>"B4FB1-B0"(</t>
    <phoneticPr fontId="2" type="noConversion"/>
  </si>
  <si>
    <t>"B4FB1-C1"(</t>
    <phoneticPr fontId="2" type="noConversion"/>
  </si>
  <si>
    <t>"B4FG1-102"(</t>
    <phoneticPr fontId="2" type="noConversion"/>
  </si>
  <si>
    <t>"B4FG1-101"(</t>
    <phoneticPr fontId="2" type="noConversion"/>
  </si>
  <si>
    <t>"B4Fb1-A1"(</t>
    <phoneticPr fontId="2" type="noConversion"/>
  </si>
  <si>
    <t>"B4FG2-83"(</t>
    <phoneticPr fontId="2" type="noConversion"/>
  </si>
  <si>
    <t>"B4FB1-D'2"(</t>
    <phoneticPr fontId="2" type="noConversion"/>
  </si>
  <si>
    <t>"B4FB1-B7"(</t>
    <phoneticPr fontId="2" type="noConversion"/>
  </si>
  <si>
    <t>"B4Fb1-55"(</t>
    <phoneticPr fontId="2" type="noConversion"/>
  </si>
  <si>
    <t>"B4FB1-B4"(</t>
    <phoneticPr fontId="2" type="noConversion"/>
  </si>
  <si>
    <t>"B4FB2-C4"(</t>
    <phoneticPr fontId="2" type="noConversion"/>
  </si>
  <si>
    <t>"B4FB1-B2"(</t>
    <phoneticPr fontId="2" type="noConversion"/>
  </si>
  <si>
    <t>"B4FB1-B3"(</t>
    <phoneticPr fontId="2" type="noConversion"/>
  </si>
  <si>
    <t>"B4FB1-B5"(</t>
    <phoneticPr fontId="2" type="noConversion"/>
  </si>
  <si>
    <t>"B4FB1-B6"(</t>
    <phoneticPr fontId="2" type="noConversion"/>
  </si>
  <si>
    <t>"B4FB1-B8"(</t>
    <phoneticPr fontId="2" type="noConversion"/>
  </si>
  <si>
    <t>"B4FB2-C2"(</t>
    <phoneticPr fontId="2" type="noConversion"/>
  </si>
  <si>
    <t>"B4FB1-C5"(</t>
    <phoneticPr fontId="2" type="noConversion"/>
  </si>
  <si>
    <t>"B4FB1-C6"(</t>
    <phoneticPr fontId="2" type="noConversion"/>
  </si>
  <si>
    <t>"B4FB1-D7"(</t>
    <phoneticPr fontId="2" type="noConversion"/>
  </si>
  <si>
    <t>"B4FB1-E8"(</t>
    <phoneticPr fontId="2" type="noConversion"/>
  </si>
  <si>
    <t>"B4Fb1-A2"(</t>
    <phoneticPr fontId="2" type="noConversion"/>
  </si>
  <si>
    <t>"B4Fb1-51"(</t>
    <phoneticPr fontId="2" type="noConversion"/>
  </si>
  <si>
    <t>"B4Fb1-52"(</t>
    <phoneticPr fontId="2" type="noConversion"/>
  </si>
  <si>
    <t>"B4Fb1-15"(</t>
    <phoneticPr fontId="2" type="noConversion"/>
  </si>
  <si>
    <t>"B4FB1-F8"(</t>
    <phoneticPr fontId="2" type="noConversion"/>
  </si>
  <si>
    <t>"B4Fb1-36"(</t>
    <phoneticPr fontId="2" type="noConversion"/>
  </si>
  <si>
    <t>"B4Fb2-73"(</t>
    <phoneticPr fontId="2" type="noConversion"/>
  </si>
  <si>
    <t>"B4Fb1-76"(</t>
    <phoneticPr fontId="2" type="noConversion"/>
  </si>
  <si>
    <t>"B4FG2-63"(</t>
    <phoneticPr fontId="2" type="noConversion"/>
  </si>
  <si>
    <t>"B4Fb2-E5"(</t>
    <phoneticPr fontId="2" type="noConversion"/>
  </si>
  <si>
    <t>"B4Fb2-E4"(</t>
    <phoneticPr fontId="2" type="noConversion"/>
  </si>
  <si>
    <t>"B4FG2-64"(</t>
    <phoneticPr fontId="2" type="noConversion"/>
  </si>
  <si>
    <t>"B4FB1-C'1"(</t>
    <phoneticPr fontId="2" type="noConversion"/>
  </si>
  <si>
    <t>"B4FG1-93"(</t>
    <phoneticPr fontId="2" type="noConversion"/>
  </si>
  <si>
    <t>"B4FB2-D3"(</t>
    <phoneticPr fontId="2" type="noConversion"/>
  </si>
  <si>
    <t>"B4FB1-D2"(</t>
    <phoneticPr fontId="2" type="noConversion"/>
  </si>
  <si>
    <t>"B4FG2-84"(</t>
    <phoneticPr fontId="2" type="noConversion"/>
  </si>
  <si>
    <t>"B4FG2-85"(</t>
    <phoneticPr fontId="2" type="noConversion"/>
  </si>
  <si>
    <t>"B4Fb1-E1"(</t>
    <phoneticPr fontId="2" type="noConversion"/>
  </si>
  <si>
    <t>"B4Fb1-D1"(</t>
    <phoneticPr fontId="2" type="noConversion"/>
  </si>
  <si>
    <t>"B4Fb2-75"(</t>
    <phoneticPr fontId="2" type="noConversion"/>
  </si>
  <si>
    <t>"B4Fb2-D5"(</t>
    <phoneticPr fontId="2" type="noConversion"/>
  </si>
  <si>
    <t>"B4Fb2-D2"(</t>
    <phoneticPr fontId="2" type="noConversion"/>
  </si>
  <si>
    <t>"B4Fb2-E3"(</t>
    <phoneticPr fontId="2" type="noConversion"/>
  </si>
  <si>
    <t>"B4Fb2-E2"(</t>
    <phoneticPr fontId="2" type="noConversion"/>
  </si>
  <si>
    <t>3#4</t>
    <phoneticPr fontId="2" type="noConversion"/>
  </si>
  <si>
    <t>3#4</t>
    <phoneticPr fontId="2" type="noConversion"/>
  </si>
  <si>
    <t>3#4</t>
    <phoneticPr fontId="2" type="noConversion"/>
  </si>
  <si>
    <t>#8</t>
    <phoneticPr fontId="2" type="noConversion"/>
  </si>
  <si>
    <t>100*280)</t>
  </si>
  <si>
    <t>"B4FG1-91"(</t>
    <phoneticPr fontId="2" type="noConversion"/>
  </si>
  <si>
    <t>"B4FG1-82"(</t>
    <phoneticPr fontId="2" type="noConversion"/>
  </si>
  <si>
    <t>"B4FB1-E'3"(</t>
    <phoneticPr fontId="2" type="noConversion"/>
  </si>
  <si>
    <t>"B4FG2-6'5"(</t>
    <phoneticPr fontId="2" type="noConversion"/>
  </si>
  <si>
    <t>"B4FG1-51"(</t>
    <phoneticPr fontId="2" type="noConversion"/>
  </si>
  <si>
    <t>"B4FG2-54"(</t>
    <phoneticPr fontId="2" type="noConversion"/>
  </si>
  <si>
    <t>"B4Fb1-41"(</t>
    <phoneticPr fontId="2" type="noConversion"/>
  </si>
  <si>
    <t>"B4FG1-5'5"(</t>
    <phoneticPr fontId="2" type="noConversion"/>
  </si>
  <si>
    <t>"B4FB1-E'6"(</t>
    <phoneticPr fontId="2" type="noConversion"/>
  </si>
  <si>
    <t>"B4FG1-22"(</t>
    <phoneticPr fontId="2" type="noConversion"/>
  </si>
  <si>
    <t>"B4FB2-D4"(</t>
    <phoneticPr fontId="2" type="noConversion"/>
  </si>
  <si>
    <t>"B4FG1-92"(</t>
    <phoneticPr fontId="2" type="noConversion"/>
  </si>
  <si>
    <t>"B4Fb1-C1"(</t>
    <phoneticPr fontId="2" type="noConversion"/>
  </si>
  <si>
    <t>"B4FB1-B1"(</t>
    <phoneticPr fontId="2" type="noConversion"/>
  </si>
  <si>
    <t>"B4FB2-C'2"(</t>
    <phoneticPr fontId="2" type="noConversion"/>
  </si>
  <si>
    <t>"B4Fb2-74"(</t>
    <phoneticPr fontId="2" type="noConversion"/>
  </si>
  <si>
    <t>"B4Fb2-D4"(</t>
    <phoneticPr fontId="2" type="noConversion"/>
  </si>
  <si>
    <t>"B4Fb2-D3"(</t>
    <phoneticPr fontId="2" type="noConversion"/>
  </si>
  <si>
    <t>3#4</t>
    <phoneticPr fontId="2" type="noConversion"/>
  </si>
  <si>
    <t>VArea cm^2/cm</t>
    <phoneticPr fontId="2" type="noConversion"/>
  </si>
  <si>
    <t>BarSize</t>
    <phoneticPr fontId="2" type="noConversion"/>
  </si>
  <si>
    <t>TopNumber</t>
    <phoneticPr fontId="2" type="noConversion"/>
  </si>
  <si>
    <t>BotNumber</t>
    <phoneticPr fontId="2" type="noConversion"/>
  </si>
  <si>
    <t>BName</t>
    <phoneticPr fontId="2" type="noConversion"/>
  </si>
  <si>
    <t>AdjBname</t>
    <phoneticPr fontId="2" type="noConversion"/>
  </si>
  <si>
    <t>2#4</t>
    <phoneticPr fontId="2" type="noConversion"/>
  </si>
  <si>
    <t>3#4</t>
    <phoneticPr fontId="2" type="noConversion"/>
  </si>
  <si>
    <t>3#4</t>
    <phoneticPr fontId="2" type="noConversion"/>
  </si>
  <si>
    <t>#8</t>
    <phoneticPr fontId="2" type="noConversion"/>
  </si>
  <si>
    <t>新增上下層主筋可以不同的功能</t>
    <phoneticPr fontId="2" type="noConversion"/>
  </si>
  <si>
    <t>Update: The update addresses these issues</t>
  </si>
  <si>
    <t xml:space="preserve"> </t>
  </si>
  <si>
    <t>Latest version</t>
    <phoneticPr fontId="6" type="noConversion"/>
  </si>
  <si>
    <t>Current version</t>
    <phoneticPr fontId="6" type="noConversion"/>
  </si>
  <si>
    <t>地梁配筋</t>
    <phoneticPr fontId="6" type="noConversion"/>
  </si>
  <si>
    <t>Project</t>
    <phoneticPr fontId="6" type="noConversion"/>
  </si>
  <si>
    <t>3#4</t>
    <phoneticPr fontId="6" type="noConversion"/>
  </si>
  <si>
    <t>FB</t>
    <phoneticPr fontId="6" type="noConversion"/>
  </si>
  <si>
    <t>腰筋替代格式</t>
    <phoneticPr fontId="6" type="noConversion"/>
  </si>
  <si>
    <t>上層版厚度
cm</t>
    <phoneticPr fontId="6" type="noConversion"/>
  </si>
  <si>
    <t>筏基版厚度
cm</t>
    <phoneticPr fontId="6" type="noConversion"/>
  </si>
  <si>
    <t>圍束區最大箍筋間距
cm</t>
    <phoneticPr fontId="6" type="noConversion"/>
  </si>
  <si>
    <t>非圍束區最大箍筋間距
cm</t>
    <phoneticPr fontId="6" type="noConversion"/>
  </si>
  <si>
    <r>
      <rPr>
        <sz val="12"/>
        <color theme="1"/>
        <rFont val="微軟正黑體"/>
        <family val="2"/>
        <charset val="136"/>
      </rPr>
      <t xml:space="preserve">腰筋直徑
</t>
    </r>
    <r>
      <rPr>
        <sz val="12"/>
        <color theme="1"/>
        <rFont val="Calibri"/>
        <family val="2"/>
      </rPr>
      <t>mm</t>
    </r>
    <phoneticPr fontId="6" type="noConversion"/>
  </si>
  <si>
    <t>箍筋直徑
mm</t>
    <phoneticPr fontId="6" type="noConversion"/>
  </si>
  <si>
    <t>主筋直徑
mm</t>
    <phoneticPr fontId="6" type="noConversion"/>
  </si>
  <si>
    <t>主筋最小中心距
Db</t>
    <phoneticPr fontId="6" type="noConversion"/>
  </si>
  <si>
    <t>保護層
cm</t>
    <phoneticPr fontId="6" type="noConversion"/>
  </si>
  <si>
    <t>樓層名稱</t>
    <phoneticPr fontId="6" type="noConversion"/>
  </si>
  <si>
    <t>SUBJECT</t>
    <phoneticPr fontId="6" type="noConversion"/>
  </si>
  <si>
    <t>地梁配筋</t>
  </si>
  <si>
    <t>PROJECT</t>
    <phoneticPr fontId="6" type="noConversion"/>
  </si>
  <si>
    <t>UPDATE</t>
    <phoneticPr fontId="6" type="noConversion"/>
  </si>
  <si>
    <r>
      <rPr>
        <sz val="12"/>
        <color theme="1"/>
        <rFont val="微軟正黑體"/>
        <family val="2"/>
        <charset val="136"/>
      </rPr>
      <t>下右</t>
    </r>
    <phoneticPr fontId="2" type="noConversion"/>
  </si>
  <si>
    <r>
      <rPr>
        <sz val="12"/>
        <color theme="1"/>
        <rFont val="微軟正黑體"/>
        <family val="2"/>
        <charset val="136"/>
      </rPr>
      <t>下中</t>
    </r>
    <phoneticPr fontId="2" type="noConversion"/>
  </si>
  <si>
    <r>
      <rPr>
        <sz val="12"/>
        <color theme="1"/>
        <rFont val="微軟正黑體"/>
        <family val="2"/>
        <charset val="136"/>
      </rPr>
      <t>下左</t>
    </r>
    <phoneticPr fontId="2" type="noConversion"/>
  </si>
  <si>
    <r>
      <rPr>
        <sz val="12"/>
        <color theme="1"/>
        <rFont val="微軟正黑體"/>
        <family val="2"/>
        <charset val="136"/>
      </rPr>
      <t>上右</t>
    </r>
    <phoneticPr fontId="2" type="noConversion"/>
  </si>
  <si>
    <r>
      <rPr>
        <sz val="12"/>
        <color theme="1"/>
        <rFont val="微軟正黑體"/>
        <family val="2"/>
        <charset val="136"/>
      </rPr>
      <t>上中</t>
    </r>
    <phoneticPr fontId="2" type="noConversion"/>
  </si>
  <si>
    <r>
      <rPr>
        <sz val="12"/>
        <color theme="1"/>
        <rFont val="微軟正黑體"/>
        <family val="2"/>
        <charset val="136"/>
      </rPr>
      <t>上左</t>
    </r>
    <phoneticPr fontId="2" type="noConversion"/>
  </si>
  <si>
    <r>
      <rPr>
        <sz val="12"/>
        <color theme="1"/>
        <rFont val="微軟正黑體"/>
        <family val="2"/>
        <charset val="136"/>
      </rPr>
      <t>號數</t>
    </r>
    <phoneticPr fontId="2" type="noConversion"/>
  </si>
  <si>
    <r>
      <rPr>
        <sz val="12"/>
        <color theme="1"/>
        <rFont val="微軟正黑體"/>
        <family val="2"/>
        <charset val="136"/>
      </rPr>
      <t>支數</t>
    </r>
    <phoneticPr fontId="2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</si>
  <si>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2" type="noConversion"/>
  </si>
  <si>
    <t>(cm)</t>
    <phoneticPr fontId="2" type="noConversion"/>
  </si>
  <si>
    <t>#</t>
    <phoneticPr fontId="2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</si>
  <si>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2" type="noConversion"/>
  </si>
  <si>
    <r>
      <rPr>
        <sz val="12"/>
        <color theme="1"/>
        <rFont val="微軟正黑體"/>
        <family val="2"/>
        <charset val="136"/>
      </rPr>
      <t>腰筋配置</t>
    </r>
    <phoneticPr fontId="2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</si>
  <si>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2" type="noConversion"/>
  </si>
  <si>
    <t>Depth</t>
    <phoneticPr fontId="2" type="noConversion"/>
  </si>
  <si>
    <t>Width</t>
    <phoneticPr fontId="2" type="noConversion"/>
  </si>
  <si>
    <t>地梁設定→</t>
    <phoneticPr fontId="2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</si>
  <si>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2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</si>
  <si>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2" type="noConversion"/>
  </si>
  <si>
    <r>
      <rPr>
        <sz val="12"/>
        <color theme="1"/>
        <rFont val="微軟正黑體"/>
        <family val="2"/>
        <charset val="136"/>
      </rPr>
      <t>箍筋號數</t>
    </r>
    <phoneticPr fontId="2" type="noConversion"/>
  </si>
  <si>
    <r>
      <rPr>
        <sz val="12"/>
        <color theme="1"/>
        <rFont val="微軟正黑體"/>
        <family val="2"/>
        <charset val="136"/>
      </rPr>
      <t>主筋號數</t>
    </r>
    <phoneticPr fontId="2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</si>
  <si>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2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</si>
  <si>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2" type="noConversion"/>
  </si>
  <si>
    <t>B4</t>
    <phoneticPr fontId="2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</si>
  <si>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2" type="noConversion"/>
  </si>
  <si>
    <t>參數設定</t>
    <phoneticPr fontId="2" type="noConversion"/>
  </si>
  <si>
    <t>Subject</t>
    <phoneticPr fontId="2" type="noConversion"/>
  </si>
  <si>
    <r>
      <rPr>
        <sz val="12"/>
        <color theme="1"/>
        <rFont val="細明體"/>
        <family val="3"/>
        <charset val="136"/>
      </rPr>
      <t>瑞光市場</t>
    </r>
    <phoneticPr fontId="2" type="noConversion"/>
  </si>
  <si>
    <t>Project</t>
    <phoneticPr fontId="2" type="noConversion"/>
  </si>
  <si>
    <t>2017-0714</t>
    <phoneticPr fontId="2" type="noConversion"/>
  </si>
  <si>
    <t>Update</t>
    <phoneticPr fontId="2" type="noConversion"/>
  </si>
  <si>
    <r>
      <t xml:space="preserve">Welcome to the version 1.0 release of </t>
    </r>
    <r>
      <rPr>
        <sz val="12"/>
        <color theme="1"/>
        <rFont val="細明體"/>
        <family val="3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2" type="noConversion"/>
  </si>
  <si>
    <r>
      <t xml:space="preserve">Welcome to the version 2.0 release of </t>
    </r>
    <r>
      <rPr>
        <sz val="12"/>
        <color theme="1"/>
        <rFont val="細明體"/>
        <family val="3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2" type="noConversion"/>
  </si>
  <si>
    <t>by 德礎</t>
    <phoneticPr fontId="2" type="noConversion"/>
  </si>
  <si>
    <t>增加 WEB</t>
    <phoneticPr fontId="2" type="noConversion"/>
  </si>
  <si>
    <t>修正雙箍</t>
    <phoneticPr fontId="2" type="noConversion"/>
  </si>
  <si>
    <t>BUG：3 位數須加空格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</si>
</sst>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D&quot;0"/>
  </numFmts>
  <fonts count="21" x14ac:knownFonts="1"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rgb="FFFF000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indexed="8"/>
      <name val="Calibri"/>
      <family val="2"/>
    </font>
    <font>
      <sz val="12"/>
      <name val="Calibri"/>
      <family val="2"/>
    </font>
    <font>
      <b/>
      <sz val="12"/>
      <color rgb="FFFA7D00"/>
      <name val="Calibri"/>
      <family val="2"/>
    </font>
    <font>
      <sz val="12"/>
      <color theme="1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3" fillId="0" borderId="0"/>
    <xf numFmtId="0" fontId="3" fillId="0" borderId="0"/>
    <xf numFmtId="0" fontId="7" fillId="3" borderId="12" applyNumberFormat="0" applyAlignment="0" applyProtection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67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4" fillId="2" borderId="10" xfId="1" applyFont="1" applyFill="1" applyBorder="1" applyAlignment="1">
      <alignment horizontal="center"/>
    </xf>
    <xf numFmtId="0" fontId="4" fillId="0" borderId="11" xfId="1" applyFont="1" applyFill="1" applyBorder="1" applyAlignment="1">
      <alignment wrapText="1"/>
    </xf>
    <xf numFmtId="0" fontId="4" fillId="0" borderId="11" xfId="1" applyFont="1" applyFill="1" applyBorder="1" applyAlignment="1">
      <alignment horizontal="right" wrapText="1"/>
    </xf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4" fillId="0" borderId="11" xfId="2" applyFont="1" applyFill="1" applyBorder="1" applyAlignment="1">
      <alignment wrapText="1"/>
    </xf>
    <xf numFmtId="0" fontId="4" fillId="0" borderId="11" xfId="2" applyFont="1" applyFill="1" applyBorder="1" applyAlignment="1">
      <alignment horizontal="right" wrapText="1"/>
    </xf>
    <xf numFmtId="0" fontId="4" fillId="2" borderId="10" xfId="3" applyFont="1" applyFill="1" applyBorder="1" applyAlignment="1">
      <alignment horizontal="center"/>
    </xf>
    <xf numFmtId="0" fontId="4" fillId="0" borderId="11" xfId="3" applyFont="1" applyFill="1" applyBorder="1" applyAlignment="1">
      <alignment wrapText="1"/>
    </xf>
    <xf numFmtId="0" fontId="4" fillId="0" borderId="11" xfId="3" applyFont="1" applyFill="1" applyBorder="1" applyAlignment="1">
      <alignment horizontal="right" wrapText="1"/>
    </xf>
    <xf numFmtId="0" fontId="8" fillId="0" borderId="0" xfId="2" applyFont="1"/>
    <xf numFmtId="0" fontId="9" fillId="0" borderId="0" xfId="2" applyFont="1"/>
    <xf numFmtId="0" fontId="10" fillId="3" borderId="12" xfId="4" applyFont="1" applyAlignment="1"/>
    <xf numFmtId="0" fontId="11" fillId="4" borderId="0" xfId="5" applyFont="1" applyFill="1" applyAlignment="1">
      <alignment horizontal="left" vertical="center"/>
    </xf>
    <xf numFmtId="0" fontId="11" fillId="4" borderId="0" xfId="6" applyFont="1" applyFill="1" applyAlignment="1">
      <alignment horizontal="left" vertical="center"/>
    </xf>
    <xf numFmtId="0" fontId="11" fillId="4" borderId="0" xfId="6" applyFont="1" applyFill="1" applyAlignment="1">
      <alignment horizontal="center" vertical="center"/>
    </xf>
    <xf numFmtId="0" fontId="13" fillId="4" borderId="0" xfId="6" applyFont="1" applyFill="1" applyAlignment="1">
      <alignment horizontal="left" vertical="center"/>
    </xf>
    <xf numFmtId="0" fontId="14" fillId="4" borderId="0" xfId="6" applyFont="1" applyFill="1" applyAlignment="1">
      <alignment horizontal="left" vertical="center"/>
    </xf>
    <xf numFmtId="0" fontId="11" fillId="4" borderId="13" xfId="5" applyFont="1" applyFill="1" applyBorder="1" applyAlignment="1">
      <alignment horizontal="left" vertical="center"/>
    </xf>
    <xf numFmtId="0" fontId="11" fillId="4" borderId="13" xfId="6" applyFont="1" applyFill="1" applyBorder="1" applyAlignment="1">
      <alignment horizontal="left" vertical="center"/>
    </xf>
    <xf numFmtId="0" fontId="16" fillId="4" borderId="0" xfId="7" applyFont="1" applyFill="1" applyAlignment="1">
      <alignment horizontal="left" vertical="center"/>
    </xf>
    <xf numFmtId="0" fontId="17" fillId="4" borderId="0" xfId="5" applyNumberFormat="1" applyFont="1" applyFill="1" applyAlignment="1">
      <alignment horizontal="left" vertical="center"/>
    </xf>
    <xf numFmtId="0" fontId="18" fillId="4" borderId="0" xfId="5" applyFont="1" applyFill="1" applyAlignment="1">
      <alignment horizontal="left" vertical="center"/>
    </xf>
    <xf numFmtId="0" fontId="11" fillId="0" borderId="0" xfId="5" applyFont="1" applyAlignment="1">
      <alignment horizontal="center" vertical="center"/>
    </xf>
    <xf numFmtId="0" fontId="11" fillId="0" borderId="0" xfId="5" applyNumberFormat="1" applyFont="1" applyAlignment="1">
      <alignment horizontal="center" vertical="center"/>
    </xf>
    <xf numFmtId="176" fontId="11" fillId="0" borderId="0" xfId="5" applyNumberFormat="1" applyFont="1" applyAlignment="1">
      <alignment horizontal="center" vertical="center"/>
    </xf>
    <xf numFmtId="0" fontId="11" fillId="0" borderId="0" xfId="5" applyNumberFormat="1" applyFont="1" applyBorder="1" applyAlignment="1">
      <alignment horizontal="center" vertical="center"/>
    </xf>
    <xf numFmtId="0" fontId="17" fillId="0" borderId="0" xfId="5" applyNumberFormat="1" applyFont="1" applyBorder="1" applyAlignment="1">
      <alignment horizontal="center" vertical="center"/>
    </xf>
    <xf numFmtId="176" fontId="17" fillId="0" borderId="0" xfId="5" applyNumberFormat="1" applyFont="1" applyBorder="1" applyAlignment="1">
      <alignment horizontal="center" vertical="center"/>
    </xf>
    <xf numFmtId="0" fontId="17" fillId="0" borderId="0" xfId="5" applyFont="1" applyBorder="1" applyAlignment="1">
      <alignment horizontal="center" vertical="center"/>
    </xf>
    <xf numFmtId="0" fontId="14" fillId="0" borderId="14" xfId="5" applyNumberFormat="1" applyFont="1" applyBorder="1" applyAlignment="1">
      <alignment horizontal="center" vertical="center" wrapText="1"/>
    </xf>
    <xf numFmtId="176" fontId="19" fillId="0" borderId="14" xfId="5" applyNumberFormat="1" applyFont="1" applyBorder="1" applyAlignment="1">
      <alignment horizontal="center" vertical="center" wrapText="1"/>
    </xf>
    <xf numFmtId="0" fontId="14" fillId="0" borderId="14" xfId="5" applyFont="1" applyBorder="1" applyAlignment="1">
      <alignment horizontal="center" vertical="center" wrapText="1"/>
    </xf>
    <xf numFmtId="0" fontId="13" fillId="0" borderId="0" xfId="5" applyFont="1" applyAlignment="1">
      <alignment horizontal="center" vertical="center"/>
    </xf>
    <xf numFmtId="14" fontId="11" fillId="0" borderId="0" xfId="5" applyNumberFormat="1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15" xfId="0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20" fillId="0" borderId="17" xfId="0" applyFont="1" applyBorder="1" applyAlignment="1">
      <alignment horizontal="center"/>
    </xf>
    <xf numFmtId="0" fontId="20" fillId="0" borderId="18" xfId="0" applyFont="1" applyBorder="1" applyAlignment="1">
      <alignment horizontal="center"/>
    </xf>
    <xf numFmtId="0" fontId="20" fillId="5" borderId="19" xfId="0" applyFont="1" applyFill="1" applyBorder="1" applyAlignment="1">
      <alignment horizontal="center"/>
    </xf>
    <xf numFmtId="0" fontId="20" fillId="6" borderId="19" xfId="0" applyFont="1" applyFill="1" applyBorder="1" applyAlignment="1">
      <alignment horizontal="center"/>
    </xf>
    <xf numFmtId="0" fontId="20" fillId="7" borderId="19" xfId="0" applyFont="1" applyFill="1" applyBorder="1" applyAlignment="1">
      <alignment horizontal="center"/>
    </xf>
    <xf numFmtId="0" fontId="20" fillId="8" borderId="19" xfId="0" applyFont="1" applyFill="1" applyBorder="1" applyAlignment="1">
      <alignment horizontal="center"/>
    </xf>
    <xf numFmtId="0" fontId="20" fillId="5" borderId="20" xfId="0" applyFont="1" applyFill="1" applyBorder="1" applyAlignment="1">
      <alignment horizontal="center"/>
    </xf>
    <xf numFmtId="0" fontId="20" fillId="6" borderId="20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20" fillId="0" borderId="0" xfId="0" applyFont="1" applyAlignment="1"/>
    <xf numFmtId="0" fontId="13" fillId="0" borderId="0" xfId="0" applyFont="1" applyAlignment="1"/>
    <xf numFmtId="0" fontId="20" fillId="9" borderId="20" xfId="0" applyFont="1" applyFill="1" applyBorder="1" applyAlignment="1">
      <alignment horizontal="center"/>
    </xf>
    <xf numFmtId="0" fontId="20" fillId="8" borderId="20" xfId="0" applyFont="1" applyFill="1" applyBorder="1" applyAlignment="1">
      <alignment horizontal="center"/>
    </xf>
    <xf numFmtId="0" fontId="20" fillId="7" borderId="20" xfId="0" applyFont="1" applyFill="1" applyBorder="1" applyAlignment="1">
      <alignment horizontal="center"/>
    </xf>
  </cellXfs>
  <cellStyles count="8">
    <cellStyle name="一般" xfId="0" builtinId="0"/>
    <cellStyle name="一般 2" xfId="5"/>
    <cellStyle name="一般 2 2" xfId="6"/>
    <cellStyle name="一般_SAFE" xfId="3"/>
    <cellStyle name="一般_SAFE_1" xfId="2"/>
    <cellStyle name="一般_工作表1" xfId="1"/>
    <cellStyle name="計算方式" xfId="4" builtinId="22"/>
    <cellStyle name="超連結 2" xfId="7"/>
  </cellStyles>
  <dxfs count="3"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257175</xdr:colOff>
      <xdr:row>7</xdr:row>
      <xdr:rowOff>123824</xdr:rowOff>
    </xdr:from>
    <xdr:ext cx="2667000" cy="476251"/>
    <xdr:sp macro="[0]!WITH4_9_3.WITH4_9_3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1231225" y="1590674"/>
          <a:ext cx="2667000" cy="476251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TW" altLang="en-US" sz="2500" b="1"/>
            <a:t>考慮</a:t>
          </a:r>
          <a:r>
            <a:rPr lang="en-US" altLang="zh-TW" sz="2500" b="1"/>
            <a:t>RC4.9.3</a:t>
          </a:r>
          <a:endParaRPr lang="zh-TW" altLang="en-US" sz="2500" b="1"/>
        </a:p>
      </xdr:txBody>
    </xdr:sp>
    <xdr:clientData/>
  </xdr:oneCellAnchor>
  <xdr:oneCellAnchor>
    <xdr:from>
      <xdr:col>22</xdr:col>
      <xdr:colOff>600075</xdr:colOff>
      <xdr:row>1</xdr:row>
      <xdr:rowOff>171450</xdr:rowOff>
    </xdr:from>
    <xdr:ext cx="1790700" cy="761999"/>
    <xdr:sp macro="[0]!NO_4_9_3.NO_4_9_3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574125" y="381000"/>
          <a:ext cx="1790700" cy="76199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altLang="zh-TW" sz="1800" b="1"/>
        </a:p>
        <a:p>
          <a:r>
            <a:rPr lang="zh-TW" altLang="en-US" sz="1800" b="1"/>
            <a:t>不考慮</a:t>
          </a:r>
          <a:r>
            <a:rPr lang="en-US" altLang="zh-TW" sz="1800" b="1"/>
            <a:t>RC4.9.3</a:t>
          </a:r>
          <a:endParaRPr lang="zh-TW" altLang="en-US" sz="1800" b="1"/>
        </a:p>
      </xdr:txBody>
    </xdr:sp>
    <xdr:clientData/>
  </xdr:oneCellAnchor>
  <xdr:twoCellAnchor>
    <xdr:from>
      <xdr:col>22</xdr:col>
      <xdr:colOff>476250</xdr:colOff>
      <xdr:row>12</xdr:row>
      <xdr:rowOff>133350</xdr:rowOff>
    </xdr:from>
    <xdr:to>
      <xdr:col>25</xdr:col>
      <xdr:colOff>628650</xdr:colOff>
      <xdr:row>17</xdr:row>
      <xdr:rowOff>142875</xdr:rowOff>
    </xdr:to>
    <xdr:sp macro="[0]!WITH4_9_3" textlink="">
      <xdr:nvSpPr>
        <xdr:cNvPr id="3" name="矩形 2"/>
        <xdr:cNvSpPr/>
      </xdr:nvSpPr>
      <xdr:spPr>
        <a:xfrm>
          <a:off x="15011400" y="2533650"/>
          <a:ext cx="2209800" cy="10096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400">
              <a:latin typeface="+mn-lt"/>
            </a:rPr>
            <a:t>RC</a:t>
          </a:r>
          <a:r>
            <a:rPr lang="zh-TW" altLang="en-US" sz="2400">
              <a:latin typeface="+mn-lt"/>
            </a:rPr>
            <a:t> </a:t>
          </a:r>
          <a:r>
            <a:rPr lang="en-US" altLang="zh-TW" sz="2400">
              <a:latin typeface="+mn-lt"/>
            </a:rPr>
            <a:t>4.9.3</a:t>
          </a:r>
          <a:endParaRPr lang="zh-TW" altLang="en-US" sz="2400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5927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6865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7823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780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928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1082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6384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7722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8585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9828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90976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41458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7537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8778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B1:C137"/>
  <sheetViews>
    <sheetView topLeftCell="A25" workbookViewId="0">
      <selection activeCell="C37" sqref="C37"/>
    </sheetView>
  </sheetViews>
  <sheetFormatPr defaultRowHeight="16.5" x14ac:dyDescent="0.25"/>
  <cols>
    <col min="1" max="1" width="14.125" bestFit="1" customWidth="1"/>
    <col min="2" max="2" width="17.375" bestFit="1" customWidth="1"/>
    <col min="3" max="3" width="7.875" bestFit="1" customWidth="1"/>
    <col min="4" max="4" width="14.375" bestFit="1" customWidth="1"/>
    <col min="5" max="5" width="17.375" bestFit="1" customWidth="1"/>
    <col min="6" max="6" width="7.875" bestFit="1" customWidth="1"/>
    <col min="10" max="10" width="2.5" bestFit="1" customWidth="1"/>
    <col min="11" max="11" width="9.5" bestFit="1" customWidth="1"/>
    <col min="13" max="13" width="11.625" bestFit="1" customWidth="1"/>
    <col min="25" max="25" width="2.5" bestFit="1" customWidth="1"/>
    <col min="26" max="26" width="18.875" bestFit="1" customWidth="1"/>
    <col min="27" max="27" width="5.5" bestFit="1" customWidth="1"/>
    <col min="30" max="30" width="3.375" bestFit="1" customWidth="1"/>
    <col min="44" max="44" width="4.875" bestFit="1" customWidth="1"/>
    <col min="47" max="47" width="7.5" bestFit="1" customWidth="1"/>
    <col min="48" max="48" width="3.375" bestFit="1" customWidth="1"/>
    <col min="49" max="49" width="7.5" bestFit="1" customWidth="1"/>
    <col min="50" max="51" width="2.5" bestFit="1" customWidth="1"/>
    <col min="52" max="52" width="9.125" bestFit="1" customWidth="1"/>
    <col min="53" max="53" width="6.5" bestFit="1" customWidth="1"/>
    <col min="55" max="55" width="8.625" bestFit="1" customWidth="1"/>
    <col min="56" max="56" width="16.75" bestFit="1" customWidth="1"/>
    <col min="60" max="60" width="7.5" bestFit="1" customWidth="1"/>
  </cols>
  <sheetData>
    <row r="1" spans="2:3" x14ac:dyDescent="0.25">
      <c r="B1" t="s">
        <v>485</v>
      </c>
      <c r="C1" t="s">
        <v>526</v>
      </c>
    </row>
    <row r="2" spans="2:3" x14ac:dyDescent="0.25">
      <c r="B2" t="s">
        <v>92</v>
      </c>
      <c r="C2" t="s">
        <v>372</v>
      </c>
    </row>
    <row r="3" spans="2:3" x14ac:dyDescent="0.25">
      <c r="B3" t="s">
        <v>93</v>
      </c>
      <c r="C3" t="s">
        <v>373</v>
      </c>
    </row>
    <row r="4" spans="2:3" x14ac:dyDescent="0.25">
      <c r="B4" t="s">
        <v>94</v>
      </c>
      <c r="C4" t="s">
        <v>486</v>
      </c>
    </row>
    <row r="5" spans="2:3" x14ac:dyDescent="0.25">
      <c r="B5" t="s">
        <v>346</v>
      </c>
      <c r="C5" t="s">
        <v>374</v>
      </c>
    </row>
    <row r="6" spans="2:3" x14ac:dyDescent="0.25">
      <c r="B6" t="s">
        <v>292</v>
      </c>
      <c r="C6" t="s">
        <v>375</v>
      </c>
    </row>
    <row r="7" spans="2:3" x14ac:dyDescent="0.25">
      <c r="B7" t="s">
        <v>293</v>
      </c>
      <c r="C7" t="s">
        <v>376</v>
      </c>
    </row>
    <row r="8" spans="2:3" x14ac:dyDescent="0.25">
      <c r="B8" t="s">
        <v>294</v>
      </c>
      <c r="C8" t="s">
        <v>584</v>
      </c>
    </row>
    <row r="9" spans="2:3" x14ac:dyDescent="0.25">
      <c r="B9" t="s">
        <v>312</v>
      </c>
      <c r="C9" t="s">
        <v>377</v>
      </c>
    </row>
    <row r="10" spans="2:3" x14ac:dyDescent="0.25">
      <c r="B10" t="s">
        <v>85</v>
      </c>
      <c r="C10" t="s">
        <v>378</v>
      </c>
    </row>
    <row r="11" spans="2:3" x14ac:dyDescent="0.25">
      <c r="B11" t="s">
        <v>86</v>
      </c>
      <c r="C11" t="s">
        <v>379</v>
      </c>
    </row>
    <row r="12" spans="2:3" x14ac:dyDescent="0.25">
      <c r="B12" t="s">
        <v>87</v>
      </c>
      <c r="C12" t="s">
        <v>380</v>
      </c>
    </row>
    <row r="13" spans="2:3" x14ac:dyDescent="0.25">
      <c r="B13" t="s">
        <v>89</v>
      </c>
      <c r="C13" t="s">
        <v>381</v>
      </c>
    </row>
    <row r="14" spans="2:3" x14ac:dyDescent="0.25">
      <c r="B14" t="s">
        <v>348</v>
      </c>
      <c r="C14" t="s">
        <v>382</v>
      </c>
    </row>
    <row r="15" spans="2:3" x14ac:dyDescent="0.25">
      <c r="B15" t="s">
        <v>270</v>
      </c>
      <c r="C15" t="s">
        <v>383</v>
      </c>
    </row>
    <row r="16" spans="2:3" x14ac:dyDescent="0.25">
      <c r="B16" t="s">
        <v>271</v>
      </c>
      <c r="C16" t="s">
        <v>384</v>
      </c>
    </row>
    <row r="17" spans="2:3" x14ac:dyDescent="0.25">
      <c r="B17" t="s">
        <v>272</v>
      </c>
      <c r="C17" t="s">
        <v>385</v>
      </c>
    </row>
    <row r="18" spans="2:3" x14ac:dyDescent="0.25">
      <c r="B18" t="s">
        <v>274</v>
      </c>
      <c r="C18" t="s">
        <v>386</v>
      </c>
    </row>
    <row r="19" spans="2:3" x14ac:dyDescent="0.25">
      <c r="B19" t="s">
        <v>277</v>
      </c>
      <c r="C19" t="s">
        <v>387</v>
      </c>
    </row>
    <row r="20" spans="2:3" x14ac:dyDescent="0.25">
      <c r="B20" t="s">
        <v>283</v>
      </c>
      <c r="C20" t="s">
        <v>388</v>
      </c>
    </row>
    <row r="21" spans="2:3" x14ac:dyDescent="0.25">
      <c r="B21" t="s">
        <v>344</v>
      </c>
      <c r="C21" t="s">
        <v>389</v>
      </c>
    </row>
    <row r="22" spans="2:3" x14ac:dyDescent="0.25">
      <c r="B22" t="s">
        <v>345</v>
      </c>
      <c r="C22" t="s">
        <v>390</v>
      </c>
    </row>
    <row r="23" spans="2:3" x14ac:dyDescent="0.25">
      <c r="B23" t="s">
        <v>77</v>
      </c>
      <c r="C23" t="s">
        <v>391</v>
      </c>
    </row>
    <row r="24" spans="2:3" x14ac:dyDescent="0.25">
      <c r="B24" t="s">
        <v>252</v>
      </c>
      <c r="C24" t="s">
        <v>392</v>
      </c>
    </row>
    <row r="25" spans="2:3" x14ac:dyDescent="0.25">
      <c r="B25" t="s">
        <v>253</v>
      </c>
      <c r="C25" t="s">
        <v>393</v>
      </c>
    </row>
    <row r="26" spans="2:3" x14ac:dyDescent="0.25">
      <c r="B26" t="s">
        <v>351</v>
      </c>
      <c r="C26" t="s">
        <v>394</v>
      </c>
    </row>
    <row r="27" spans="2:3" x14ac:dyDescent="0.25">
      <c r="B27" t="s">
        <v>354</v>
      </c>
      <c r="C27" t="s">
        <v>395</v>
      </c>
    </row>
    <row r="28" spans="2:3" x14ac:dyDescent="0.25">
      <c r="B28" t="s">
        <v>244</v>
      </c>
      <c r="C28" t="s">
        <v>396</v>
      </c>
    </row>
    <row r="29" spans="2:3" x14ac:dyDescent="0.25">
      <c r="B29" t="s">
        <v>246</v>
      </c>
      <c r="C29" t="s">
        <v>397</v>
      </c>
    </row>
    <row r="30" spans="2:3" x14ac:dyDescent="0.25">
      <c r="B30" t="s">
        <v>349</v>
      </c>
      <c r="C30" t="s">
        <v>398</v>
      </c>
    </row>
    <row r="31" spans="2:3" x14ac:dyDescent="0.25">
      <c r="B31" t="s">
        <v>363</v>
      </c>
      <c r="C31" t="s">
        <v>399</v>
      </c>
    </row>
    <row r="32" spans="2:3" x14ac:dyDescent="0.25">
      <c r="B32" t="s">
        <v>364</v>
      </c>
      <c r="C32" t="s">
        <v>400</v>
      </c>
    </row>
    <row r="33" spans="2:3" x14ac:dyDescent="0.25">
      <c r="B33" t="s">
        <v>350</v>
      </c>
      <c r="C33" t="s">
        <v>401</v>
      </c>
    </row>
    <row r="34" spans="2:3" x14ac:dyDescent="0.25">
      <c r="B34" t="s">
        <v>260</v>
      </c>
      <c r="C34" t="s">
        <v>402</v>
      </c>
    </row>
    <row r="35" spans="2:3" x14ac:dyDescent="0.25">
      <c r="B35" t="s">
        <v>295</v>
      </c>
      <c r="C35" t="s">
        <v>403</v>
      </c>
    </row>
    <row r="36" spans="2:3" x14ac:dyDescent="0.25">
      <c r="B36" t="s">
        <v>296</v>
      </c>
      <c r="C36" t="s">
        <v>404</v>
      </c>
    </row>
    <row r="37" spans="2:3" x14ac:dyDescent="0.25">
      <c r="B37" t="s">
        <v>298</v>
      </c>
      <c r="C37" t="s">
        <v>607</v>
      </c>
    </row>
    <row r="38" spans="2:3" x14ac:dyDescent="0.25">
      <c r="B38" t="s">
        <v>299</v>
      </c>
      <c r="C38" t="s">
        <v>405</v>
      </c>
    </row>
    <row r="39" spans="2:3" x14ac:dyDescent="0.25">
      <c r="B39" t="s">
        <v>91</v>
      </c>
      <c r="C39" t="s">
        <v>406</v>
      </c>
    </row>
    <row r="40" spans="2:3" x14ac:dyDescent="0.25">
      <c r="B40" t="s">
        <v>286</v>
      </c>
      <c r="C40" t="s">
        <v>407</v>
      </c>
    </row>
    <row r="41" spans="2:3" x14ac:dyDescent="0.25">
      <c r="B41" t="s">
        <v>287</v>
      </c>
      <c r="C41" t="s">
        <v>408</v>
      </c>
    </row>
    <row r="42" spans="2:3" x14ac:dyDescent="0.25">
      <c r="B42" t="s">
        <v>288</v>
      </c>
      <c r="C42" t="s">
        <v>409</v>
      </c>
    </row>
    <row r="43" spans="2:3" x14ac:dyDescent="0.25">
      <c r="B43" t="s">
        <v>289</v>
      </c>
      <c r="C43" t="s">
        <v>410</v>
      </c>
    </row>
    <row r="44" spans="2:3" x14ac:dyDescent="0.25">
      <c r="B44" t="s">
        <v>290</v>
      </c>
      <c r="C44" t="s">
        <v>411</v>
      </c>
    </row>
    <row r="45" spans="2:3" x14ac:dyDescent="0.25">
      <c r="B45" t="s">
        <v>291</v>
      </c>
      <c r="C45" t="s">
        <v>412</v>
      </c>
    </row>
    <row r="46" spans="2:3" x14ac:dyDescent="0.25">
      <c r="B46" t="s">
        <v>279</v>
      </c>
      <c r="C46" t="s">
        <v>413</v>
      </c>
    </row>
    <row r="47" spans="2:3" x14ac:dyDescent="0.25">
      <c r="B47" t="s">
        <v>280</v>
      </c>
      <c r="C47" t="s">
        <v>414</v>
      </c>
    </row>
    <row r="48" spans="2:3" x14ac:dyDescent="0.25">
      <c r="B48" t="s">
        <v>84</v>
      </c>
      <c r="C48" t="s">
        <v>415</v>
      </c>
    </row>
    <row r="49" spans="2:3" x14ac:dyDescent="0.25">
      <c r="B49" t="s">
        <v>281</v>
      </c>
      <c r="C49" t="s">
        <v>416</v>
      </c>
    </row>
    <row r="50" spans="2:3" x14ac:dyDescent="0.25">
      <c r="B50" t="s">
        <v>284</v>
      </c>
      <c r="C50" t="s">
        <v>417</v>
      </c>
    </row>
    <row r="51" spans="2:3" x14ac:dyDescent="0.25">
      <c r="B51" t="s">
        <v>78</v>
      </c>
      <c r="C51" t="s">
        <v>418</v>
      </c>
    </row>
    <row r="52" spans="2:3" x14ac:dyDescent="0.25">
      <c r="B52" t="s">
        <v>265</v>
      </c>
      <c r="C52" t="s">
        <v>419</v>
      </c>
    </row>
    <row r="53" spans="2:3" x14ac:dyDescent="0.25">
      <c r="B53" t="s">
        <v>82</v>
      </c>
      <c r="C53" t="s">
        <v>420</v>
      </c>
    </row>
    <row r="54" spans="2:3" x14ac:dyDescent="0.25">
      <c r="B54" t="s">
        <v>269</v>
      </c>
      <c r="C54" t="s">
        <v>421</v>
      </c>
    </row>
    <row r="55" spans="2:3" x14ac:dyDescent="0.25">
      <c r="B55" t="s">
        <v>276</v>
      </c>
      <c r="C55" t="s">
        <v>422</v>
      </c>
    </row>
    <row r="56" spans="2:3" x14ac:dyDescent="0.25">
      <c r="B56" t="s">
        <v>268</v>
      </c>
      <c r="C56" t="s">
        <v>423</v>
      </c>
    </row>
    <row r="57" spans="2:3" x14ac:dyDescent="0.25">
      <c r="B57" t="s">
        <v>258</v>
      </c>
      <c r="C57" t="s">
        <v>424</v>
      </c>
    </row>
    <row r="58" spans="2:3" x14ac:dyDescent="0.25">
      <c r="B58" t="s">
        <v>259</v>
      </c>
      <c r="C58" t="s">
        <v>425</v>
      </c>
    </row>
    <row r="59" spans="2:3" x14ac:dyDescent="0.25">
      <c r="B59" t="s">
        <v>248</v>
      </c>
      <c r="C59" t="s">
        <v>426</v>
      </c>
    </row>
    <row r="60" spans="2:3" x14ac:dyDescent="0.25">
      <c r="B60" t="s">
        <v>249</v>
      </c>
      <c r="C60" t="s">
        <v>427</v>
      </c>
    </row>
    <row r="61" spans="2:3" x14ac:dyDescent="0.25">
      <c r="B61" t="s">
        <v>304</v>
      </c>
      <c r="C61" t="s">
        <v>428</v>
      </c>
    </row>
    <row r="62" spans="2:3" x14ac:dyDescent="0.25">
      <c r="B62" t="s">
        <v>305</v>
      </c>
      <c r="C62" t="s">
        <v>429</v>
      </c>
    </row>
    <row r="63" spans="2:3" x14ac:dyDescent="0.25">
      <c r="B63" t="s">
        <v>261</v>
      </c>
      <c r="C63" t="s">
        <v>430</v>
      </c>
    </row>
    <row r="64" spans="2:3" x14ac:dyDescent="0.25">
      <c r="B64" t="s">
        <v>263</v>
      </c>
      <c r="C64" t="s">
        <v>431</v>
      </c>
    </row>
    <row r="65" spans="2:3" x14ac:dyDescent="0.25">
      <c r="B65" t="s">
        <v>81</v>
      </c>
      <c r="C65" t="s">
        <v>432</v>
      </c>
    </row>
    <row r="66" spans="2:3" x14ac:dyDescent="0.25">
      <c r="B66" t="s">
        <v>242</v>
      </c>
      <c r="C66" t="s">
        <v>433</v>
      </c>
    </row>
    <row r="67" spans="2:3" x14ac:dyDescent="0.25">
      <c r="B67" t="s">
        <v>321</v>
      </c>
      <c r="C67" t="s">
        <v>434</v>
      </c>
    </row>
    <row r="68" spans="2:3" x14ac:dyDescent="0.25">
      <c r="B68" t="s">
        <v>359</v>
      </c>
      <c r="C68" t="s">
        <v>435</v>
      </c>
    </row>
    <row r="69" spans="2:3" x14ac:dyDescent="0.25">
      <c r="B69" t="s">
        <v>360</v>
      </c>
      <c r="C69" t="s">
        <v>436</v>
      </c>
    </row>
    <row r="70" spans="2:3" x14ac:dyDescent="0.25">
      <c r="B70" t="s">
        <v>251</v>
      </c>
      <c r="C70" t="s">
        <v>437</v>
      </c>
    </row>
    <row r="71" spans="2:3" x14ac:dyDescent="0.25">
      <c r="B71" t="s">
        <v>76</v>
      </c>
      <c r="C71" t="s">
        <v>438</v>
      </c>
    </row>
    <row r="72" spans="2:3" x14ac:dyDescent="0.25">
      <c r="B72" t="s">
        <v>320</v>
      </c>
      <c r="C72" t="s">
        <v>439</v>
      </c>
    </row>
    <row r="73" spans="2:3" x14ac:dyDescent="0.25">
      <c r="B73" t="s">
        <v>343</v>
      </c>
      <c r="C73" t="s">
        <v>440</v>
      </c>
    </row>
    <row r="74" spans="2:3" x14ac:dyDescent="0.25">
      <c r="B74" t="s">
        <v>80</v>
      </c>
      <c r="C74" t="s">
        <v>441</v>
      </c>
    </row>
    <row r="75" spans="2:3" x14ac:dyDescent="0.25">
      <c r="B75" t="s">
        <v>317</v>
      </c>
      <c r="C75" t="s">
        <v>442</v>
      </c>
    </row>
    <row r="76" spans="2:3" x14ac:dyDescent="0.25">
      <c r="B76" t="s">
        <v>356</v>
      </c>
      <c r="C76" t="s">
        <v>443</v>
      </c>
    </row>
    <row r="77" spans="2:3" x14ac:dyDescent="0.25">
      <c r="B77" t="s">
        <v>322</v>
      </c>
      <c r="C77" t="s">
        <v>444</v>
      </c>
    </row>
    <row r="78" spans="2:3" x14ac:dyDescent="0.25">
      <c r="B78" t="s">
        <v>362</v>
      </c>
      <c r="C78" t="s">
        <v>445</v>
      </c>
    </row>
    <row r="79" spans="2:3" x14ac:dyDescent="0.25">
      <c r="B79" t="s">
        <v>361</v>
      </c>
      <c r="C79" t="s">
        <v>446</v>
      </c>
    </row>
    <row r="80" spans="2:3" x14ac:dyDescent="0.25">
      <c r="B80" t="s">
        <v>308</v>
      </c>
      <c r="C80" t="s">
        <v>487</v>
      </c>
    </row>
    <row r="81" spans="2:3" x14ac:dyDescent="0.25">
      <c r="B81" t="s">
        <v>310</v>
      </c>
      <c r="C81" t="s">
        <v>488</v>
      </c>
    </row>
    <row r="82" spans="2:3" x14ac:dyDescent="0.25">
      <c r="B82" t="s">
        <v>327</v>
      </c>
      <c r="C82" t="s">
        <v>489</v>
      </c>
    </row>
    <row r="83" spans="2:3" x14ac:dyDescent="0.25">
      <c r="B83" t="s">
        <v>319</v>
      </c>
      <c r="C83" t="s">
        <v>469</v>
      </c>
    </row>
    <row r="84" spans="2:3" x14ac:dyDescent="0.25">
      <c r="B84" t="s">
        <v>318</v>
      </c>
      <c r="C84" t="s">
        <v>470</v>
      </c>
    </row>
    <row r="85" spans="2:3" x14ac:dyDescent="0.25">
      <c r="B85" t="s">
        <v>314</v>
      </c>
      <c r="C85" t="s">
        <v>490</v>
      </c>
    </row>
    <row r="86" spans="2:3" x14ac:dyDescent="0.25">
      <c r="B86" t="s">
        <v>330</v>
      </c>
      <c r="C86" t="s">
        <v>491</v>
      </c>
    </row>
    <row r="87" spans="2:3" x14ac:dyDescent="0.25">
      <c r="B87" t="s">
        <v>331</v>
      </c>
      <c r="C87" t="s">
        <v>492</v>
      </c>
    </row>
    <row r="88" spans="2:3" x14ac:dyDescent="0.25">
      <c r="B88" t="s">
        <v>332</v>
      </c>
      <c r="C88" t="s">
        <v>493</v>
      </c>
    </row>
    <row r="89" spans="2:3" x14ac:dyDescent="0.25">
      <c r="B89" t="s">
        <v>328</v>
      </c>
      <c r="C89" t="s">
        <v>494</v>
      </c>
    </row>
    <row r="90" spans="2:3" x14ac:dyDescent="0.25">
      <c r="B90" t="s">
        <v>333</v>
      </c>
      <c r="C90" t="s">
        <v>495</v>
      </c>
    </row>
    <row r="91" spans="2:3" x14ac:dyDescent="0.25">
      <c r="B91" t="s">
        <v>334</v>
      </c>
      <c r="C91" t="s">
        <v>496</v>
      </c>
    </row>
    <row r="92" spans="2:3" x14ac:dyDescent="0.25">
      <c r="B92" t="s">
        <v>324</v>
      </c>
      <c r="C92" t="s">
        <v>497</v>
      </c>
    </row>
    <row r="93" spans="2:3" x14ac:dyDescent="0.25">
      <c r="B93" t="s">
        <v>335</v>
      </c>
      <c r="C93" t="s">
        <v>498</v>
      </c>
    </row>
    <row r="94" spans="2:3" x14ac:dyDescent="0.25">
      <c r="B94" t="s">
        <v>315</v>
      </c>
      <c r="C94" t="s">
        <v>499</v>
      </c>
    </row>
    <row r="95" spans="2:3" x14ac:dyDescent="0.25">
      <c r="B95" t="s">
        <v>338</v>
      </c>
      <c r="C95" t="s">
        <v>500</v>
      </c>
    </row>
    <row r="96" spans="2:3" x14ac:dyDescent="0.25">
      <c r="B96" t="s">
        <v>339</v>
      </c>
      <c r="C96" t="s">
        <v>501</v>
      </c>
    </row>
    <row r="97" spans="2:3" x14ac:dyDescent="0.25">
      <c r="B97" t="s">
        <v>325</v>
      </c>
      <c r="C97" t="s">
        <v>502</v>
      </c>
    </row>
    <row r="98" spans="2:3" x14ac:dyDescent="0.25">
      <c r="B98" t="s">
        <v>301</v>
      </c>
      <c r="C98" t="s">
        <v>503</v>
      </c>
    </row>
    <row r="99" spans="2:3" x14ac:dyDescent="0.25">
      <c r="B99" t="s">
        <v>336</v>
      </c>
      <c r="C99" t="s">
        <v>504</v>
      </c>
    </row>
    <row r="100" spans="2:3" x14ac:dyDescent="0.25">
      <c r="B100" t="s">
        <v>337</v>
      </c>
      <c r="C100" t="s">
        <v>505</v>
      </c>
    </row>
    <row r="101" spans="2:3" x14ac:dyDescent="0.25">
      <c r="B101" t="s">
        <v>329</v>
      </c>
      <c r="C101" t="s">
        <v>506</v>
      </c>
    </row>
    <row r="102" spans="2:3" x14ac:dyDescent="0.25">
      <c r="B102" t="s">
        <v>355</v>
      </c>
      <c r="C102" t="s">
        <v>471</v>
      </c>
    </row>
    <row r="103" spans="2:3" x14ac:dyDescent="0.25">
      <c r="B103" t="s">
        <v>369</v>
      </c>
      <c r="C103" t="s">
        <v>507</v>
      </c>
    </row>
    <row r="104" spans="2:3" x14ac:dyDescent="0.25">
      <c r="B104" t="s">
        <v>367</v>
      </c>
      <c r="C104" t="s">
        <v>508</v>
      </c>
    </row>
    <row r="105" spans="2:3" x14ac:dyDescent="0.25">
      <c r="B105" t="s">
        <v>366</v>
      </c>
      <c r="C105" t="s">
        <v>509</v>
      </c>
    </row>
    <row r="106" spans="2:3" x14ac:dyDescent="0.25">
      <c r="B106" t="s">
        <v>365</v>
      </c>
      <c r="C106" t="s">
        <v>510</v>
      </c>
    </row>
    <row r="107" spans="2:3" x14ac:dyDescent="0.25">
      <c r="B107" t="s">
        <v>358</v>
      </c>
      <c r="C107" t="s">
        <v>511</v>
      </c>
    </row>
    <row r="108" spans="2:3" x14ac:dyDescent="0.25">
      <c r="B108" t="s">
        <v>357</v>
      </c>
      <c r="C108" t="s">
        <v>512</v>
      </c>
    </row>
    <row r="109" spans="2:3" x14ac:dyDescent="0.25">
      <c r="B109" t="s">
        <v>306</v>
      </c>
      <c r="C109" t="s">
        <v>513</v>
      </c>
    </row>
    <row r="110" spans="2:3" x14ac:dyDescent="0.25">
      <c r="B110" t="s">
        <v>273</v>
      </c>
      <c r="C110" t="s">
        <v>514</v>
      </c>
    </row>
    <row r="111" spans="2:3" x14ac:dyDescent="0.25">
      <c r="B111" t="s">
        <v>88</v>
      </c>
      <c r="C111" t="s">
        <v>515</v>
      </c>
    </row>
    <row r="112" spans="2:3" x14ac:dyDescent="0.25">
      <c r="B112" t="s">
        <v>340</v>
      </c>
      <c r="C112" t="s">
        <v>516</v>
      </c>
    </row>
    <row r="113" spans="2:3" x14ac:dyDescent="0.25">
      <c r="B113" t="s">
        <v>303</v>
      </c>
      <c r="C113" t="s">
        <v>517</v>
      </c>
    </row>
    <row r="114" spans="2:3" x14ac:dyDescent="0.25">
      <c r="B114" t="s">
        <v>371</v>
      </c>
      <c r="C114" t="s">
        <v>518</v>
      </c>
    </row>
    <row r="115" spans="2:3" x14ac:dyDescent="0.25">
      <c r="B115" t="s">
        <v>370</v>
      </c>
      <c r="C115" t="s">
        <v>519</v>
      </c>
    </row>
    <row r="116" spans="2:3" x14ac:dyDescent="0.25">
      <c r="B116" t="s">
        <v>353</v>
      </c>
      <c r="C116" t="s">
        <v>520</v>
      </c>
    </row>
    <row r="117" spans="2:3" x14ac:dyDescent="0.25">
      <c r="B117" t="s">
        <v>352</v>
      </c>
      <c r="C117" t="s">
        <v>521</v>
      </c>
    </row>
    <row r="118" spans="2:3" x14ac:dyDescent="0.25">
      <c r="B118" t="s">
        <v>323</v>
      </c>
      <c r="C118" t="s">
        <v>472</v>
      </c>
    </row>
    <row r="119" spans="2:3" x14ac:dyDescent="0.25">
      <c r="B119" t="s">
        <v>262</v>
      </c>
      <c r="C119" t="s">
        <v>473</v>
      </c>
    </row>
    <row r="120" spans="2:3" x14ac:dyDescent="0.25">
      <c r="B120" t="s">
        <v>256</v>
      </c>
      <c r="C120" t="s">
        <v>474</v>
      </c>
    </row>
    <row r="121" spans="2:3" x14ac:dyDescent="0.25">
      <c r="B121" t="s">
        <v>275</v>
      </c>
      <c r="C121" t="s">
        <v>475</v>
      </c>
    </row>
    <row r="122" spans="2:3" x14ac:dyDescent="0.25">
      <c r="B122" t="s">
        <v>90</v>
      </c>
      <c r="C122" t="s">
        <v>476</v>
      </c>
    </row>
    <row r="123" spans="2:3" x14ac:dyDescent="0.25">
      <c r="B123" t="s">
        <v>313</v>
      </c>
      <c r="C123" t="s">
        <v>522</v>
      </c>
    </row>
    <row r="124" spans="2:3" x14ac:dyDescent="0.25">
      <c r="B124" t="s">
        <v>341</v>
      </c>
      <c r="C124" t="s">
        <v>523</v>
      </c>
    </row>
    <row r="125" spans="2:3" x14ac:dyDescent="0.25">
      <c r="B125" t="s">
        <v>347</v>
      </c>
      <c r="C125" t="s">
        <v>524</v>
      </c>
    </row>
    <row r="126" spans="2:3" x14ac:dyDescent="0.25">
      <c r="B126" t="s">
        <v>250</v>
      </c>
      <c r="C126" t="s">
        <v>477</v>
      </c>
    </row>
    <row r="127" spans="2:3" x14ac:dyDescent="0.25">
      <c r="B127" t="s">
        <v>257</v>
      </c>
      <c r="C127" t="s">
        <v>478</v>
      </c>
    </row>
    <row r="128" spans="2:3" x14ac:dyDescent="0.25">
      <c r="B128" t="s">
        <v>264</v>
      </c>
      <c r="C128" t="s">
        <v>479</v>
      </c>
    </row>
    <row r="129" spans="2:3" x14ac:dyDescent="0.25">
      <c r="B129" t="s">
        <v>278</v>
      </c>
      <c r="C129" t="s">
        <v>480</v>
      </c>
    </row>
    <row r="130" spans="2:3" x14ac:dyDescent="0.25">
      <c r="B130" t="s">
        <v>285</v>
      </c>
      <c r="C130" t="s">
        <v>481</v>
      </c>
    </row>
    <row r="131" spans="2:3" x14ac:dyDescent="0.25">
      <c r="B131" t="s">
        <v>311</v>
      </c>
      <c r="C131" t="s">
        <v>482</v>
      </c>
    </row>
    <row r="132" spans="2:3" x14ac:dyDescent="0.25">
      <c r="B132" t="s">
        <v>83</v>
      </c>
      <c r="C132" t="s">
        <v>525</v>
      </c>
    </row>
    <row r="133" spans="2:3" x14ac:dyDescent="0.25">
      <c r="B133" t="s">
        <v>342</v>
      </c>
      <c r="C133" t="s">
        <v>483</v>
      </c>
    </row>
    <row r="134" spans="2:3" x14ac:dyDescent="0.25">
      <c r="B134" t="s">
        <v>103</v>
      </c>
      <c r="C134" t="s">
        <v>103</v>
      </c>
    </row>
    <row r="135" spans="2:3" x14ac:dyDescent="0.25">
      <c r="B135" t="s">
        <v>103</v>
      </c>
      <c r="C135" t="s">
        <v>103</v>
      </c>
    </row>
    <row r="136" spans="2:3" x14ac:dyDescent="0.25">
      <c r="B136" t="s">
        <v>103</v>
      </c>
      <c r="C136" t="s">
        <v>103</v>
      </c>
    </row>
    <row r="137" spans="2:3" x14ac:dyDescent="0.25">
      <c r="B137" t="s">
        <v>103</v>
      </c>
      <c r="C137" t="s">
        <v>103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24"/>
  <sheetViews>
    <sheetView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L1" sqref="L1:L1048576"/>
    </sheetView>
  </sheetViews>
  <sheetFormatPr defaultRowHeight="16.5" x14ac:dyDescent="0.25"/>
  <cols>
    <col min="4" max="4" width="13.625" customWidth="1"/>
    <col min="5" max="5" width="11" customWidth="1"/>
    <col min="6" max="6" width="11.25" customWidth="1"/>
    <col min="7" max="7" width="11.5" customWidth="1"/>
    <col min="8" max="8" width="11.25" customWidth="1"/>
    <col min="9" max="9" width="9.875" customWidth="1"/>
  </cols>
  <sheetData>
    <row r="1" spans="1:17" x14ac:dyDescent="0.25">
      <c r="A1" s="21" t="s">
        <v>67</v>
      </c>
      <c r="B1" s="21" t="s">
        <v>0</v>
      </c>
      <c r="C1" s="21" t="s">
        <v>1</v>
      </c>
      <c r="D1" s="21" t="s">
        <v>2</v>
      </c>
      <c r="E1" s="21" t="s">
        <v>3</v>
      </c>
      <c r="F1" s="21" t="s">
        <v>4</v>
      </c>
      <c r="G1" s="21" t="s">
        <v>5</v>
      </c>
      <c r="H1" s="21" t="s">
        <v>6</v>
      </c>
      <c r="I1" s="21" t="s">
        <v>7</v>
      </c>
      <c r="J1" s="21" t="s">
        <v>8</v>
      </c>
      <c r="K1" s="21" t="s">
        <v>9</v>
      </c>
      <c r="L1" s="21" t="s">
        <v>10</v>
      </c>
      <c r="M1" s="21" t="s">
        <v>11</v>
      </c>
      <c r="N1" s="12"/>
      <c r="O1" s="12"/>
      <c r="P1" s="12"/>
      <c r="Q1" s="12"/>
    </row>
    <row r="2" spans="1:17" x14ac:dyDescent="0.25">
      <c r="A2" s="22" t="s">
        <v>80</v>
      </c>
      <c r="B2" s="22" t="s">
        <v>12</v>
      </c>
      <c r="C2" s="22" t="s">
        <v>13</v>
      </c>
      <c r="D2" s="22" t="s">
        <v>111</v>
      </c>
      <c r="E2" s="23">
        <v>-62853399.658203103</v>
      </c>
      <c r="F2" s="23">
        <v>94.488142058253302</v>
      </c>
      <c r="G2" s="22" t="s">
        <v>96</v>
      </c>
      <c r="H2" s="23">
        <v>3083359.90905762</v>
      </c>
      <c r="I2" s="23">
        <v>4.3874830589629701</v>
      </c>
      <c r="J2" s="22" t="s">
        <v>111</v>
      </c>
      <c r="K2" s="23">
        <v>93949.783325195298</v>
      </c>
      <c r="L2" s="23">
        <v>6.6959013929590597E-2</v>
      </c>
      <c r="M2" s="22" t="s">
        <v>14</v>
      </c>
      <c r="N2" s="14"/>
      <c r="O2" s="13"/>
      <c r="P2" s="14"/>
      <c r="Q2" s="14"/>
    </row>
    <row r="3" spans="1:17" x14ac:dyDescent="0.25">
      <c r="A3" s="22" t="s">
        <v>80</v>
      </c>
      <c r="B3" s="22" t="s">
        <v>12</v>
      </c>
      <c r="C3" s="22" t="s">
        <v>15</v>
      </c>
      <c r="D3" s="22" t="s">
        <v>111</v>
      </c>
      <c r="E3" s="23">
        <v>-83161968.994140595</v>
      </c>
      <c r="F3" s="23">
        <v>161.15074977278701</v>
      </c>
      <c r="G3" s="22" t="s">
        <v>103</v>
      </c>
      <c r="H3" s="23">
        <v>0</v>
      </c>
      <c r="I3" s="23">
        <v>33.477053511887803</v>
      </c>
      <c r="J3" s="22" t="s">
        <v>111</v>
      </c>
      <c r="K3" s="23">
        <v>87453.430175781294</v>
      </c>
      <c r="L3" s="23">
        <v>6.6959013929590597E-2</v>
      </c>
      <c r="M3" s="22" t="s">
        <v>14</v>
      </c>
      <c r="N3" s="14"/>
      <c r="O3" s="13"/>
      <c r="P3" s="14"/>
      <c r="Q3" s="14"/>
    </row>
    <row r="4" spans="1:17" x14ac:dyDescent="0.25">
      <c r="A4" s="22" t="s">
        <v>80</v>
      </c>
      <c r="B4" s="22" t="s">
        <v>12</v>
      </c>
      <c r="C4" s="22" t="s">
        <v>16</v>
      </c>
      <c r="D4" s="22" t="s">
        <v>109</v>
      </c>
      <c r="E4" s="23">
        <v>-52504388.427734397</v>
      </c>
      <c r="F4" s="23">
        <v>78.129321336746202</v>
      </c>
      <c r="G4" s="22" t="s">
        <v>96</v>
      </c>
      <c r="H4" s="23">
        <v>82790087.890625</v>
      </c>
      <c r="I4" s="23">
        <v>127.05223634839101</v>
      </c>
      <c r="J4" s="22" t="s">
        <v>96</v>
      </c>
      <c r="K4" s="23">
        <v>198486.465454102</v>
      </c>
      <c r="L4" s="23">
        <v>0.16902073984965699</v>
      </c>
      <c r="M4" s="22" t="s">
        <v>14</v>
      </c>
      <c r="N4" s="14"/>
      <c r="O4" s="13"/>
      <c r="P4" s="14"/>
      <c r="Q4" s="14"/>
    </row>
    <row r="5" spans="1:17" x14ac:dyDescent="0.25">
      <c r="A5" s="22" t="s">
        <v>81</v>
      </c>
      <c r="B5" s="22" t="s">
        <v>12</v>
      </c>
      <c r="C5" s="22" t="s">
        <v>13</v>
      </c>
      <c r="D5" s="22" t="s">
        <v>100</v>
      </c>
      <c r="E5" s="23">
        <v>-38398760.986328103</v>
      </c>
      <c r="F5" s="23">
        <v>56.378636509180097</v>
      </c>
      <c r="G5" s="22" t="s">
        <v>96</v>
      </c>
      <c r="H5" s="23">
        <v>1361747.9324340799</v>
      </c>
      <c r="I5" s="23">
        <v>1.9348910427652299</v>
      </c>
      <c r="J5" s="22" t="s">
        <v>96</v>
      </c>
      <c r="K5" s="23">
        <v>158993.19458007801</v>
      </c>
      <c r="L5" s="23">
        <v>0.101759226527065</v>
      </c>
      <c r="M5" s="22" t="s">
        <v>14</v>
      </c>
      <c r="N5" s="14"/>
      <c r="O5" s="13"/>
      <c r="P5" s="14"/>
      <c r="Q5" s="14"/>
    </row>
    <row r="6" spans="1:17" x14ac:dyDescent="0.25">
      <c r="A6" s="22" t="s">
        <v>81</v>
      </c>
      <c r="B6" s="22" t="s">
        <v>12</v>
      </c>
      <c r="C6" s="22" t="s">
        <v>15</v>
      </c>
      <c r="D6" s="22" t="s">
        <v>111</v>
      </c>
      <c r="E6" s="23">
        <v>-65902545.166015603</v>
      </c>
      <c r="F6" s="23">
        <v>99.376421421766295</v>
      </c>
      <c r="G6" s="22" t="s">
        <v>103</v>
      </c>
      <c r="H6" s="23">
        <v>0</v>
      </c>
      <c r="I6" s="23">
        <v>0</v>
      </c>
      <c r="J6" s="22" t="s">
        <v>110</v>
      </c>
      <c r="K6" s="23">
        <v>231275.970458984</v>
      </c>
      <c r="L6" s="23">
        <v>0.22486499510705499</v>
      </c>
      <c r="M6" s="22" t="s">
        <v>14</v>
      </c>
      <c r="N6" s="14"/>
      <c r="O6" s="13"/>
      <c r="P6" s="14"/>
      <c r="Q6" s="14"/>
    </row>
    <row r="7" spans="1:17" x14ac:dyDescent="0.25">
      <c r="A7" s="22" t="s">
        <v>81</v>
      </c>
      <c r="B7" s="22" t="s">
        <v>12</v>
      </c>
      <c r="C7" s="22" t="s">
        <v>16</v>
      </c>
      <c r="D7" s="22" t="s">
        <v>109</v>
      </c>
      <c r="E7" s="23">
        <v>-25212380.981445301</v>
      </c>
      <c r="F7" s="23">
        <v>36.574471741914699</v>
      </c>
      <c r="G7" s="22" t="s">
        <v>110</v>
      </c>
      <c r="H7" s="23">
        <v>89306317.138671905</v>
      </c>
      <c r="I7" s="23">
        <v>138.02084140479599</v>
      </c>
      <c r="J7" s="22" t="s">
        <v>100</v>
      </c>
      <c r="K7" s="23">
        <v>327432.73925781302</v>
      </c>
      <c r="L7" s="23">
        <v>0.38863082882016903</v>
      </c>
      <c r="M7" s="22" t="s">
        <v>14</v>
      </c>
      <c r="N7" s="14"/>
      <c r="O7" s="13"/>
      <c r="P7" s="14"/>
      <c r="Q7" s="14"/>
    </row>
    <row r="8" spans="1:17" x14ac:dyDescent="0.25">
      <c r="A8" s="22" t="s">
        <v>242</v>
      </c>
      <c r="B8" s="22" t="s">
        <v>12</v>
      </c>
      <c r="C8" s="22" t="s">
        <v>13</v>
      </c>
      <c r="D8" s="22" t="s">
        <v>103</v>
      </c>
      <c r="E8" s="23">
        <v>0</v>
      </c>
      <c r="F8" s="23">
        <v>0</v>
      </c>
      <c r="G8" s="22" t="s">
        <v>110</v>
      </c>
      <c r="H8" s="23">
        <v>75697375.488281295</v>
      </c>
      <c r="I8" s="23">
        <v>115.300631150603</v>
      </c>
      <c r="J8" s="22" t="s">
        <v>110</v>
      </c>
      <c r="K8" s="23">
        <v>307092.25463867199</v>
      </c>
      <c r="L8" s="23">
        <v>0.35398870240896901</v>
      </c>
      <c r="M8" s="22" t="s">
        <v>14</v>
      </c>
      <c r="N8" s="14"/>
      <c r="O8" s="13"/>
      <c r="P8" s="14"/>
      <c r="Q8" s="14"/>
    </row>
    <row r="9" spans="1:17" x14ac:dyDescent="0.25">
      <c r="A9" s="22" t="s">
        <v>242</v>
      </c>
      <c r="B9" s="22" t="s">
        <v>12</v>
      </c>
      <c r="C9" s="22" t="s">
        <v>15</v>
      </c>
      <c r="D9" s="22" t="s">
        <v>110</v>
      </c>
      <c r="E9" s="23">
        <v>-37559378.051757798</v>
      </c>
      <c r="F9" s="23">
        <v>55.103199556469903</v>
      </c>
      <c r="G9" s="22" t="s">
        <v>243</v>
      </c>
      <c r="H9" s="23">
        <v>24007585.144042999</v>
      </c>
      <c r="I9" s="23">
        <v>34.789165947586298</v>
      </c>
      <c r="J9" s="22" t="s">
        <v>110</v>
      </c>
      <c r="K9" s="23">
        <v>312818.51196289097</v>
      </c>
      <c r="L9" s="23">
        <v>0.36374116316437699</v>
      </c>
      <c r="M9" s="22" t="s">
        <v>14</v>
      </c>
      <c r="N9" s="14"/>
      <c r="O9" s="13"/>
      <c r="P9" s="14"/>
      <c r="Q9" s="14"/>
    </row>
    <row r="10" spans="1:17" x14ac:dyDescent="0.25">
      <c r="A10" s="22" t="s">
        <v>242</v>
      </c>
      <c r="B10" s="22" t="s">
        <v>12</v>
      </c>
      <c r="C10" s="22" t="s">
        <v>16</v>
      </c>
      <c r="D10" s="22" t="s">
        <v>110</v>
      </c>
      <c r="E10" s="23">
        <v>-77433239.746093795</v>
      </c>
      <c r="F10" s="23">
        <v>118.15913952887099</v>
      </c>
      <c r="G10" s="22" t="s">
        <v>245</v>
      </c>
      <c r="H10" s="23">
        <v>58281787.109375</v>
      </c>
      <c r="I10" s="23">
        <v>87.218191474676104</v>
      </c>
      <c r="J10" s="22" t="s">
        <v>110</v>
      </c>
      <c r="K10" s="23">
        <v>198723.20556640599</v>
      </c>
      <c r="L10" s="23">
        <v>0.16942394431680399</v>
      </c>
      <c r="M10" s="22" t="s">
        <v>14</v>
      </c>
      <c r="N10" s="14"/>
      <c r="O10" s="13"/>
      <c r="P10" s="14"/>
      <c r="Q10" s="14"/>
    </row>
    <row r="11" spans="1:17" x14ac:dyDescent="0.25">
      <c r="A11" s="22" t="s">
        <v>244</v>
      </c>
      <c r="B11" s="22" t="s">
        <v>12</v>
      </c>
      <c r="C11" s="22" t="s">
        <v>13</v>
      </c>
      <c r="D11" s="22" t="s">
        <v>100</v>
      </c>
      <c r="E11" s="23">
        <v>-42721136.474609397</v>
      </c>
      <c r="F11" s="23">
        <v>63.8486910611391</v>
      </c>
      <c r="G11" s="22" t="s">
        <v>103</v>
      </c>
      <c r="H11" s="23">
        <v>0</v>
      </c>
      <c r="I11" s="23">
        <v>0</v>
      </c>
      <c r="J11" s="22" t="s">
        <v>100</v>
      </c>
      <c r="K11" s="23">
        <v>223822.57080078099</v>
      </c>
      <c r="L11" s="23">
        <v>0.25442703627049901</v>
      </c>
      <c r="M11" s="22" t="s">
        <v>14</v>
      </c>
      <c r="N11" s="14"/>
      <c r="O11" s="13"/>
      <c r="P11" s="14"/>
      <c r="Q11" s="14"/>
    </row>
    <row r="12" spans="1:17" x14ac:dyDescent="0.25">
      <c r="A12" s="22" t="s">
        <v>244</v>
      </c>
      <c r="B12" s="22" t="s">
        <v>12</v>
      </c>
      <c r="C12" s="22" t="s">
        <v>15</v>
      </c>
      <c r="D12" s="22" t="s">
        <v>100</v>
      </c>
      <c r="E12" s="23">
        <v>-58514880.371093802</v>
      </c>
      <c r="F12" s="23">
        <v>89.345751330256505</v>
      </c>
      <c r="G12" s="22" t="s">
        <v>103</v>
      </c>
      <c r="H12" s="23">
        <v>0</v>
      </c>
      <c r="I12" s="23">
        <v>0</v>
      </c>
      <c r="J12" s="22" t="s">
        <v>110</v>
      </c>
      <c r="K12" s="23">
        <v>143035.43090820301</v>
      </c>
      <c r="L12" s="23">
        <v>0.116837408859283</v>
      </c>
      <c r="M12" s="22" t="s">
        <v>14</v>
      </c>
      <c r="N12" s="14"/>
      <c r="O12" s="13"/>
      <c r="P12" s="14"/>
      <c r="Q12" s="14"/>
    </row>
    <row r="13" spans="1:17" x14ac:dyDescent="0.25">
      <c r="A13" s="22" t="s">
        <v>244</v>
      </c>
      <c r="B13" s="22" t="s">
        <v>12</v>
      </c>
      <c r="C13" s="22" t="s">
        <v>16</v>
      </c>
      <c r="D13" s="22" t="s">
        <v>245</v>
      </c>
      <c r="E13" s="23">
        <v>-23440765.380859401</v>
      </c>
      <c r="F13" s="23">
        <v>34.190851729363203</v>
      </c>
      <c r="G13" s="22" t="s">
        <v>110</v>
      </c>
      <c r="H13" s="23">
        <v>54943835.449218802</v>
      </c>
      <c r="I13" s="23">
        <v>83.477366715669604</v>
      </c>
      <c r="J13" s="22" t="s">
        <v>111</v>
      </c>
      <c r="K13" s="23">
        <v>171230.01098632801</v>
      </c>
      <c r="L13" s="23">
        <v>0.16485597006976599</v>
      </c>
      <c r="M13" s="22" t="s">
        <v>14</v>
      </c>
      <c r="N13" s="14"/>
      <c r="O13" s="13"/>
      <c r="P13" s="14"/>
      <c r="Q13" s="14"/>
    </row>
    <row r="14" spans="1:17" x14ac:dyDescent="0.25">
      <c r="A14" s="22" t="s">
        <v>246</v>
      </c>
      <c r="B14" s="22" t="s">
        <v>12</v>
      </c>
      <c r="C14" s="22" t="s">
        <v>13</v>
      </c>
      <c r="D14" s="22" t="s">
        <v>103</v>
      </c>
      <c r="E14" s="23">
        <v>0</v>
      </c>
      <c r="F14" s="23">
        <v>0</v>
      </c>
      <c r="G14" s="22" t="s">
        <v>110</v>
      </c>
      <c r="H14" s="23">
        <v>55103198.2421875</v>
      </c>
      <c r="I14" s="23">
        <v>83.737922832369804</v>
      </c>
      <c r="J14" s="22" t="s">
        <v>110</v>
      </c>
      <c r="K14" s="23">
        <v>142356.65893554699</v>
      </c>
      <c r="L14" s="23">
        <v>0.115681358147413</v>
      </c>
      <c r="M14" s="22" t="s">
        <v>14</v>
      </c>
      <c r="N14" s="14"/>
      <c r="O14" s="13"/>
      <c r="P14" s="14"/>
      <c r="Q14" s="14"/>
    </row>
    <row r="15" spans="1:17" x14ac:dyDescent="0.25">
      <c r="A15" s="22" t="s">
        <v>246</v>
      </c>
      <c r="B15" s="22" t="s">
        <v>12</v>
      </c>
      <c r="C15" s="22" t="s">
        <v>15</v>
      </c>
      <c r="D15" s="22" t="s">
        <v>98</v>
      </c>
      <c r="E15" s="23">
        <v>-9925029.75463867</v>
      </c>
      <c r="F15" s="23">
        <v>14.2463308293372</v>
      </c>
      <c r="G15" s="22" t="s">
        <v>247</v>
      </c>
      <c r="H15" s="23">
        <v>14350498.962402301</v>
      </c>
      <c r="I15" s="23">
        <v>20.705331116914699</v>
      </c>
      <c r="J15" s="22" t="s">
        <v>110</v>
      </c>
      <c r="K15" s="23">
        <v>143670.48645019499</v>
      </c>
      <c r="L15" s="23">
        <v>0.117918977048248</v>
      </c>
      <c r="M15" s="22" t="s">
        <v>14</v>
      </c>
      <c r="N15" s="14"/>
      <c r="O15" s="13"/>
      <c r="P15" s="14"/>
      <c r="Q15" s="14"/>
    </row>
    <row r="16" spans="1:17" x14ac:dyDescent="0.25">
      <c r="A16" s="22" t="s">
        <v>246</v>
      </c>
      <c r="B16" s="22" t="s">
        <v>12</v>
      </c>
      <c r="C16" s="22" t="s">
        <v>16</v>
      </c>
      <c r="D16" s="22" t="s">
        <v>110</v>
      </c>
      <c r="E16" s="23">
        <v>-14666787.7197266</v>
      </c>
      <c r="F16" s="23">
        <v>21.169565152376901</v>
      </c>
      <c r="G16" s="22" t="s">
        <v>245</v>
      </c>
      <c r="H16" s="23">
        <v>28681811.5234375</v>
      </c>
      <c r="I16" s="23">
        <v>42.105689644813502</v>
      </c>
      <c r="J16" s="22" t="s">
        <v>97</v>
      </c>
      <c r="K16" s="23">
        <v>115979.89654541</v>
      </c>
      <c r="L16" s="23">
        <v>7.0758757647126899E-2</v>
      </c>
      <c r="M16" s="22" t="s">
        <v>14</v>
      </c>
      <c r="N16" s="14"/>
      <c r="O16" s="13"/>
      <c r="P16" s="14"/>
      <c r="Q16" s="14"/>
    </row>
    <row r="17" spans="1:17" x14ac:dyDescent="0.25">
      <c r="A17" s="22" t="s">
        <v>248</v>
      </c>
      <c r="B17" s="22" t="s">
        <v>12</v>
      </c>
      <c r="C17" s="22" t="s">
        <v>13</v>
      </c>
      <c r="D17" s="22" t="s">
        <v>100</v>
      </c>
      <c r="E17" s="23">
        <v>-58502423.095703103</v>
      </c>
      <c r="F17" s="23">
        <v>87.567456066608401</v>
      </c>
      <c r="G17" s="22" t="s">
        <v>97</v>
      </c>
      <c r="H17" s="23">
        <v>694577.12173461902</v>
      </c>
      <c r="I17" s="23">
        <v>0.98636191978584997</v>
      </c>
      <c r="J17" s="22" t="s">
        <v>100</v>
      </c>
      <c r="K17" s="23">
        <v>199344.329833984</v>
      </c>
      <c r="L17" s="23">
        <v>0.170481775421649</v>
      </c>
      <c r="M17" s="22" t="s">
        <v>14</v>
      </c>
      <c r="N17" s="14"/>
      <c r="O17" s="13"/>
      <c r="P17" s="14"/>
      <c r="Q17" s="14"/>
    </row>
    <row r="18" spans="1:17" x14ac:dyDescent="0.25">
      <c r="A18" s="22" t="s">
        <v>248</v>
      </c>
      <c r="B18" s="22" t="s">
        <v>12</v>
      </c>
      <c r="C18" s="22" t="s">
        <v>15</v>
      </c>
      <c r="D18" s="22" t="s">
        <v>100</v>
      </c>
      <c r="E18" s="23">
        <v>-83480133.056640595</v>
      </c>
      <c r="F18" s="23">
        <v>128.20582836866399</v>
      </c>
      <c r="G18" s="22" t="s">
        <v>103</v>
      </c>
      <c r="H18" s="23">
        <v>0</v>
      </c>
      <c r="I18" s="23">
        <v>0</v>
      </c>
      <c r="J18" s="22" t="s">
        <v>110</v>
      </c>
      <c r="K18" s="23">
        <v>275893.49365234398</v>
      </c>
      <c r="L18" s="23">
        <v>0.30085365287959598</v>
      </c>
      <c r="M18" s="22" t="s">
        <v>14</v>
      </c>
      <c r="N18" s="14"/>
      <c r="O18" s="13"/>
      <c r="P18" s="14"/>
      <c r="Q18" s="14"/>
    </row>
    <row r="19" spans="1:17" x14ac:dyDescent="0.25">
      <c r="A19" s="22" t="s">
        <v>248</v>
      </c>
      <c r="B19" s="22" t="s">
        <v>12</v>
      </c>
      <c r="C19" s="22" t="s">
        <v>16</v>
      </c>
      <c r="D19" s="22" t="s">
        <v>245</v>
      </c>
      <c r="E19" s="23">
        <v>-35421615.6005859</v>
      </c>
      <c r="F19" s="23">
        <v>51.8641481176019</v>
      </c>
      <c r="G19" s="22" t="s">
        <v>110</v>
      </c>
      <c r="H19" s="23">
        <v>104813037.109375</v>
      </c>
      <c r="I19" s="23">
        <v>164.83385115861901</v>
      </c>
      <c r="J19" s="22" t="s">
        <v>110</v>
      </c>
      <c r="K19" s="23">
        <v>390493.25561523403</v>
      </c>
      <c r="L19" s="23">
        <v>0.49603004008531598</v>
      </c>
      <c r="M19" s="22" t="s">
        <v>14</v>
      </c>
      <c r="N19" s="14"/>
      <c r="O19" s="13"/>
      <c r="P19" s="14"/>
      <c r="Q19" s="14"/>
    </row>
    <row r="20" spans="1:17" x14ac:dyDescent="0.25">
      <c r="A20" s="22" t="s">
        <v>249</v>
      </c>
      <c r="B20" s="22" t="s">
        <v>12</v>
      </c>
      <c r="C20" s="22" t="s">
        <v>13</v>
      </c>
      <c r="D20" s="22" t="s">
        <v>103</v>
      </c>
      <c r="E20" s="23">
        <v>0</v>
      </c>
      <c r="F20" s="23">
        <v>0</v>
      </c>
      <c r="G20" s="22" t="s">
        <v>110</v>
      </c>
      <c r="H20" s="23">
        <v>102264013.671875</v>
      </c>
      <c r="I20" s="23">
        <v>160.35415232181501</v>
      </c>
      <c r="J20" s="22" t="s">
        <v>110</v>
      </c>
      <c r="K20" s="23">
        <v>318260.498046875</v>
      </c>
      <c r="L20" s="23">
        <v>0.373009475879371</v>
      </c>
      <c r="M20" s="22" t="s">
        <v>14</v>
      </c>
      <c r="N20" s="14"/>
      <c r="O20" s="13"/>
      <c r="P20" s="14"/>
      <c r="Q20" s="14"/>
    </row>
    <row r="21" spans="1:17" x14ac:dyDescent="0.25">
      <c r="A21" s="22" t="s">
        <v>249</v>
      </c>
      <c r="B21" s="22" t="s">
        <v>12</v>
      </c>
      <c r="C21" s="22" t="s">
        <v>15</v>
      </c>
      <c r="D21" s="22" t="s">
        <v>110</v>
      </c>
      <c r="E21" s="23">
        <v>-12563362.884521499</v>
      </c>
      <c r="F21" s="23">
        <v>18.0228927638382</v>
      </c>
      <c r="G21" s="22" t="s">
        <v>247</v>
      </c>
      <c r="H21" s="23">
        <v>40144442.7490234</v>
      </c>
      <c r="I21" s="23">
        <v>59.037813916802399</v>
      </c>
      <c r="J21" s="22" t="s">
        <v>110</v>
      </c>
      <c r="K21" s="23">
        <v>323986.75537109398</v>
      </c>
      <c r="L21" s="23">
        <v>0.38276193663477898</v>
      </c>
      <c r="M21" s="22" t="s">
        <v>14</v>
      </c>
      <c r="N21" s="14"/>
      <c r="O21" s="13"/>
      <c r="P21" s="14"/>
      <c r="Q21" s="14"/>
    </row>
    <row r="22" spans="1:17" x14ac:dyDescent="0.25">
      <c r="A22" s="22" t="s">
        <v>249</v>
      </c>
      <c r="B22" s="22" t="s">
        <v>12</v>
      </c>
      <c r="C22" s="22" t="s">
        <v>16</v>
      </c>
      <c r="D22" s="22" t="s">
        <v>110</v>
      </c>
      <c r="E22" s="23">
        <v>-49651568.603515603</v>
      </c>
      <c r="F22" s="23">
        <v>73.680835776031003</v>
      </c>
      <c r="G22" s="22" t="s">
        <v>245</v>
      </c>
      <c r="H22" s="23">
        <v>88800000</v>
      </c>
      <c r="I22" s="23">
        <v>137.162478640676</v>
      </c>
      <c r="J22" s="22" t="s">
        <v>245</v>
      </c>
      <c r="K22" s="23">
        <v>262106.689453125</v>
      </c>
      <c r="L22" s="23">
        <v>0.27737319469451899</v>
      </c>
      <c r="M22" s="22" t="s">
        <v>14</v>
      </c>
      <c r="N22" s="14"/>
      <c r="O22" s="13"/>
      <c r="P22" s="14"/>
      <c r="Q22" s="14"/>
    </row>
    <row r="23" spans="1:17" x14ac:dyDescent="0.25">
      <c r="A23" s="22" t="s">
        <v>250</v>
      </c>
      <c r="B23" s="22" t="s">
        <v>12</v>
      </c>
      <c r="C23" s="22" t="s">
        <v>13</v>
      </c>
      <c r="D23" s="22" t="s">
        <v>247</v>
      </c>
      <c r="E23" s="23">
        <v>-82144732.666015595</v>
      </c>
      <c r="F23" s="23">
        <v>125.97503140568701</v>
      </c>
      <c r="G23" s="22" t="s">
        <v>103</v>
      </c>
      <c r="H23" s="23">
        <v>0</v>
      </c>
      <c r="I23" s="23">
        <v>0</v>
      </c>
      <c r="J23" s="22" t="s">
        <v>247</v>
      </c>
      <c r="K23" s="23">
        <v>25465.562820434599</v>
      </c>
      <c r="L23" s="23">
        <v>0</v>
      </c>
      <c r="M23" s="22" t="s">
        <v>14</v>
      </c>
      <c r="N23" s="14"/>
      <c r="O23" s="13"/>
      <c r="P23" s="14"/>
      <c r="Q23" s="14"/>
    </row>
    <row r="24" spans="1:17" x14ac:dyDescent="0.25">
      <c r="A24" s="22" t="s">
        <v>250</v>
      </c>
      <c r="B24" s="22" t="s">
        <v>12</v>
      </c>
      <c r="C24" s="22" t="s">
        <v>15</v>
      </c>
      <c r="D24" s="22" t="s">
        <v>247</v>
      </c>
      <c r="E24" s="23">
        <v>-79016851.806640595</v>
      </c>
      <c r="F24" s="23">
        <v>120.776789262891</v>
      </c>
      <c r="G24" s="22" t="s">
        <v>103</v>
      </c>
      <c r="H24" s="23">
        <v>0</v>
      </c>
      <c r="I24" s="23">
        <v>0</v>
      </c>
      <c r="J24" s="22" t="s">
        <v>111</v>
      </c>
      <c r="K24" s="23">
        <v>232268.61572265599</v>
      </c>
      <c r="L24" s="23">
        <v>0.22655555512756101</v>
      </c>
      <c r="M24" s="22" t="s">
        <v>14</v>
      </c>
      <c r="N24" s="14"/>
      <c r="O24" s="13"/>
      <c r="P24" s="14"/>
      <c r="Q24" s="14"/>
    </row>
    <row r="25" spans="1:17" x14ac:dyDescent="0.25">
      <c r="A25" s="22" t="s">
        <v>250</v>
      </c>
      <c r="B25" s="22" t="s">
        <v>12</v>
      </c>
      <c r="C25" s="22" t="s">
        <v>16</v>
      </c>
      <c r="D25" s="22" t="s">
        <v>97</v>
      </c>
      <c r="E25" s="23">
        <v>-16702438.354492201</v>
      </c>
      <c r="F25" s="23">
        <v>24.047286715358499</v>
      </c>
      <c r="G25" s="22" t="s">
        <v>110</v>
      </c>
      <c r="H25" s="23">
        <v>5583968.73474121</v>
      </c>
      <c r="I25" s="23">
        <v>7.9626258229836804</v>
      </c>
      <c r="J25" s="22" t="s">
        <v>111</v>
      </c>
      <c r="K25" s="23">
        <v>224109.237670898</v>
      </c>
      <c r="L25" s="23">
        <v>0.21265922114253</v>
      </c>
      <c r="M25" s="22" t="s">
        <v>14</v>
      </c>
      <c r="N25" s="14"/>
      <c r="O25" s="13"/>
      <c r="P25" s="14"/>
      <c r="Q25" s="14"/>
    </row>
    <row r="26" spans="1:17" x14ac:dyDescent="0.25">
      <c r="A26" s="22" t="s">
        <v>251</v>
      </c>
      <c r="B26" s="22" t="s">
        <v>12</v>
      </c>
      <c r="C26" s="22" t="s">
        <v>13</v>
      </c>
      <c r="D26" s="22" t="s">
        <v>109</v>
      </c>
      <c r="E26" s="23">
        <v>-9869835.6628418006</v>
      </c>
      <c r="F26" s="23">
        <v>14.1259434167296</v>
      </c>
      <c r="G26" s="22" t="s">
        <v>110</v>
      </c>
      <c r="H26" s="23">
        <v>37965740.966796897</v>
      </c>
      <c r="I26" s="23">
        <v>55.720410309732003</v>
      </c>
      <c r="J26" s="22" t="s">
        <v>111</v>
      </c>
      <c r="K26" s="23">
        <v>22986.021041870099</v>
      </c>
      <c r="L26" s="23">
        <v>0</v>
      </c>
      <c r="M26" s="22" t="s">
        <v>14</v>
      </c>
      <c r="N26" s="14"/>
      <c r="O26" s="13"/>
      <c r="P26" s="14"/>
      <c r="Q26" s="14"/>
    </row>
    <row r="27" spans="1:17" x14ac:dyDescent="0.25">
      <c r="A27" s="22" t="s">
        <v>251</v>
      </c>
      <c r="B27" s="22" t="s">
        <v>12</v>
      </c>
      <c r="C27" s="22" t="s">
        <v>15</v>
      </c>
      <c r="D27" s="22" t="s">
        <v>109</v>
      </c>
      <c r="E27" s="23">
        <v>-14423593.1396484</v>
      </c>
      <c r="F27" s="23">
        <v>20.724998321384199</v>
      </c>
      <c r="G27" s="22" t="s">
        <v>110</v>
      </c>
      <c r="H27" s="23">
        <v>27809292.6025391</v>
      </c>
      <c r="I27" s="23">
        <v>40.436130948364699</v>
      </c>
      <c r="J27" s="22" t="s">
        <v>110</v>
      </c>
      <c r="K27" s="23">
        <v>13839.625358581499</v>
      </c>
      <c r="L27" s="23">
        <v>0</v>
      </c>
      <c r="M27" s="22" t="s">
        <v>14</v>
      </c>
      <c r="N27" s="14"/>
      <c r="O27" s="13"/>
      <c r="P27" s="14"/>
      <c r="Q27" s="14"/>
    </row>
    <row r="28" spans="1:17" x14ac:dyDescent="0.25">
      <c r="A28" s="22" t="s">
        <v>251</v>
      </c>
      <c r="B28" s="22" t="s">
        <v>12</v>
      </c>
      <c r="C28" s="22" t="s">
        <v>16</v>
      </c>
      <c r="D28" s="22" t="s">
        <v>267</v>
      </c>
      <c r="E28" s="23">
        <v>-6274258.4228515597</v>
      </c>
      <c r="F28" s="23">
        <v>8.95223114639521</v>
      </c>
      <c r="G28" s="22" t="s">
        <v>104</v>
      </c>
      <c r="H28" s="23">
        <v>23389933.776855499</v>
      </c>
      <c r="I28" s="23">
        <v>33.875433728098898</v>
      </c>
      <c r="J28" s="22" t="s">
        <v>98</v>
      </c>
      <c r="K28" s="23">
        <v>12496.6640472412</v>
      </c>
      <c r="L28" s="23">
        <v>0</v>
      </c>
      <c r="M28" s="22" t="s">
        <v>14</v>
      </c>
      <c r="N28" s="14"/>
      <c r="O28" s="13"/>
      <c r="P28" s="14"/>
      <c r="Q28" s="14"/>
    </row>
    <row r="29" spans="1:17" x14ac:dyDescent="0.25">
      <c r="A29" s="22" t="s">
        <v>252</v>
      </c>
      <c r="B29" s="22" t="s">
        <v>12</v>
      </c>
      <c r="C29" s="22" t="s">
        <v>13</v>
      </c>
      <c r="D29" s="22" t="s">
        <v>100</v>
      </c>
      <c r="E29" s="23">
        <v>-46845266.723632798</v>
      </c>
      <c r="F29" s="23">
        <v>70.395260117948098</v>
      </c>
      <c r="G29" s="22" t="s">
        <v>103</v>
      </c>
      <c r="H29" s="23">
        <v>0</v>
      </c>
      <c r="I29" s="23">
        <v>0</v>
      </c>
      <c r="J29" s="22" t="s">
        <v>100</v>
      </c>
      <c r="K29" s="23">
        <v>240126.28173828099</v>
      </c>
      <c r="L29" s="23">
        <v>0.28219411615282303</v>
      </c>
      <c r="M29" s="22" t="s">
        <v>14</v>
      </c>
      <c r="N29" s="14"/>
      <c r="O29" s="13"/>
      <c r="P29" s="14"/>
      <c r="Q29" s="14"/>
    </row>
    <row r="30" spans="1:17" x14ac:dyDescent="0.25">
      <c r="A30" s="22" t="s">
        <v>252</v>
      </c>
      <c r="B30" s="22" t="s">
        <v>12</v>
      </c>
      <c r="C30" s="22" t="s">
        <v>15</v>
      </c>
      <c r="D30" s="22" t="s">
        <v>100</v>
      </c>
      <c r="E30" s="23">
        <v>-62927825.927734397</v>
      </c>
      <c r="F30" s="23">
        <v>96.686221659183502</v>
      </c>
      <c r="G30" s="22" t="s">
        <v>103</v>
      </c>
      <c r="H30" s="23">
        <v>0</v>
      </c>
      <c r="I30" s="23">
        <v>0</v>
      </c>
      <c r="J30" s="22" t="s">
        <v>110</v>
      </c>
      <c r="K30" s="23">
        <v>147564.72778320301</v>
      </c>
      <c r="L30" s="23">
        <v>0.124551297631115</v>
      </c>
      <c r="M30" s="22" t="s">
        <v>14</v>
      </c>
      <c r="N30" s="14"/>
      <c r="O30" s="13"/>
      <c r="P30" s="14"/>
      <c r="Q30" s="14"/>
    </row>
    <row r="31" spans="1:17" x14ac:dyDescent="0.25">
      <c r="A31" s="22" t="s">
        <v>252</v>
      </c>
      <c r="B31" s="22" t="s">
        <v>12</v>
      </c>
      <c r="C31" s="22" t="s">
        <v>16</v>
      </c>
      <c r="D31" s="22" t="s">
        <v>245</v>
      </c>
      <c r="E31" s="23">
        <v>-26935363.769531298</v>
      </c>
      <c r="F31" s="23">
        <v>39.456551894545598</v>
      </c>
      <c r="G31" s="22" t="s">
        <v>110</v>
      </c>
      <c r="H31" s="23">
        <v>54649859.619140603</v>
      </c>
      <c r="I31" s="23">
        <v>82.997055724263205</v>
      </c>
      <c r="J31" s="22" t="s">
        <v>110</v>
      </c>
      <c r="K31" s="23">
        <v>180122.25341796901</v>
      </c>
      <c r="L31" s="23">
        <v>0.180000462569296</v>
      </c>
      <c r="M31" s="22" t="s">
        <v>14</v>
      </c>
      <c r="N31" s="14"/>
      <c r="O31" s="13"/>
      <c r="P31" s="14"/>
      <c r="Q31" s="14"/>
    </row>
    <row r="32" spans="1:17" x14ac:dyDescent="0.25">
      <c r="A32" s="22" t="s">
        <v>253</v>
      </c>
      <c r="B32" s="22" t="s">
        <v>12</v>
      </c>
      <c r="C32" s="22" t="s">
        <v>13</v>
      </c>
      <c r="D32" s="22" t="s">
        <v>103</v>
      </c>
      <c r="E32" s="23">
        <v>0</v>
      </c>
      <c r="F32" s="23">
        <v>0</v>
      </c>
      <c r="G32" s="22" t="s">
        <v>110</v>
      </c>
      <c r="H32" s="23">
        <v>55771337.890625</v>
      </c>
      <c r="I32" s="23">
        <v>84.831640124320998</v>
      </c>
      <c r="J32" s="22" t="s">
        <v>266</v>
      </c>
      <c r="K32" s="23">
        <v>141890.762329102</v>
      </c>
      <c r="L32" s="23">
        <v>0.114887894596905</v>
      </c>
      <c r="M32" s="22" t="s">
        <v>14</v>
      </c>
      <c r="N32" s="14"/>
      <c r="O32" s="13"/>
      <c r="P32" s="14"/>
      <c r="Q32" s="14"/>
    </row>
    <row r="33" spans="1:17" x14ac:dyDescent="0.25">
      <c r="A33" s="22" t="s">
        <v>253</v>
      </c>
      <c r="B33" s="22" t="s">
        <v>12</v>
      </c>
      <c r="C33" s="22" t="s">
        <v>15</v>
      </c>
      <c r="D33" s="22" t="s">
        <v>98</v>
      </c>
      <c r="E33" s="23">
        <v>-11085063.1713867</v>
      </c>
      <c r="F33" s="23">
        <v>15.932876849547</v>
      </c>
      <c r="G33" s="22" t="s">
        <v>247</v>
      </c>
      <c r="H33" s="23">
        <v>20725250.244140599</v>
      </c>
      <c r="I33" s="23">
        <v>30.1307928748429</v>
      </c>
      <c r="J33" s="22" t="s">
        <v>110</v>
      </c>
      <c r="K33" s="23">
        <v>125284.286499023</v>
      </c>
      <c r="L33" s="23">
        <v>8.6605193791911006E-2</v>
      </c>
      <c r="M33" s="22" t="s">
        <v>14</v>
      </c>
      <c r="N33" s="14"/>
      <c r="O33" s="13"/>
      <c r="P33" s="14"/>
      <c r="Q33" s="14"/>
    </row>
    <row r="34" spans="1:17" x14ac:dyDescent="0.25">
      <c r="A34" s="22" t="s">
        <v>253</v>
      </c>
      <c r="B34" s="22" t="s">
        <v>12</v>
      </c>
      <c r="C34" s="22" t="s">
        <v>16</v>
      </c>
      <c r="D34" s="22" t="s">
        <v>110</v>
      </c>
      <c r="E34" s="23">
        <v>-3157178.8787841802</v>
      </c>
      <c r="F34" s="23">
        <v>4.4968145084567404</v>
      </c>
      <c r="G34" s="22" t="s">
        <v>245</v>
      </c>
      <c r="H34" s="23">
        <v>26731555.175781298</v>
      </c>
      <c r="I34" s="23">
        <v>39.148172363638899</v>
      </c>
      <c r="J34" s="22" t="s">
        <v>97</v>
      </c>
      <c r="K34" s="23">
        <v>123026.32904052699</v>
      </c>
      <c r="L34" s="23">
        <v>8.2759629003703594E-2</v>
      </c>
      <c r="M34" s="22" t="s">
        <v>14</v>
      </c>
      <c r="N34" s="14"/>
      <c r="O34" s="13"/>
      <c r="P34" s="14"/>
      <c r="Q34" s="14"/>
    </row>
    <row r="35" spans="1:17" x14ac:dyDescent="0.25">
      <c r="A35" s="22" t="s">
        <v>256</v>
      </c>
      <c r="B35" s="22" t="s">
        <v>12</v>
      </c>
      <c r="C35" s="22" t="s">
        <v>13</v>
      </c>
      <c r="D35" s="22" t="s">
        <v>247</v>
      </c>
      <c r="E35" s="23">
        <v>-118217663.574219</v>
      </c>
      <c r="F35" s="23">
        <v>121.469320729375</v>
      </c>
      <c r="G35" s="22" t="s">
        <v>108</v>
      </c>
      <c r="H35" s="23">
        <v>133500903.32031301</v>
      </c>
      <c r="I35" s="23">
        <v>137.81632296741</v>
      </c>
      <c r="J35" s="22" t="s">
        <v>96</v>
      </c>
      <c r="K35" s="23">
        <v>394198.73046875</v>
      </c>
      <c r="L35" s="23">
        <v>0.216217688284814</v>
      </c>
      <c r="M35" s="22" t="s">
        <v>14</v>
      </c>
      <c r="N35" s="14"/>
      <c r="O35" s="13"/>
      <c r="P35" s="14"/>
      <c r="Q35" s="14"/>
    </row>
    <row r="36" spans="1:17" x14ac:dyDescent="0.25">
      <c r="A36" s="22" t="s">
        <v>256</v>
      </c>
      <c r="B36" s="22" t="s">
        <v>12</v>
      </c>
      <c r="C36" s="22" t="s">
        <v>15</v>
      </c>
      <c r="D36" s="22" t="s">
        <v>247</v>
      </c>
      <c r="E36" s="23">
        <v>-177059887.69531301</v>
      </c>
      <c r="F36" s="23">
        <v>185.308493673801</v>
      </c>
      <c r="G36" s="22" t="s">
        <v>108</v>
      </c>
      <c r="H36" s="23">
        <v>34328106.689453103</v>
      </c>
      <c r="I36" s="23">
        <v>34.416688140481703</v>
      </c>
      <c r="J36" s="22" t="s">
        <v>111</v>
      </c>
      <c r="K36" s="23">
        <v>177317.26074218799</v>
      </c>
      <c r="L36" s="23">
        <v>0.100438517984003</v>
      </c>
      <c r="M36" s="22" t="s">
        <v>14</v>
      </c>
      <c r="N36" s="14"/>
      <c r="O36" s="13"/>
      <c r="P36" s="14"/>
      <c r="Q36" s="14"/>
    </row>
    <row r="37" spans="1:17" x14ac:dyDescent="0.25">
      <c r="A37" s="22" t="s">
        <v>256</v>
      </c>
      <c r="B37" s="22" t="s">
        <v>12</v>
      </c>
      <c r="C37" s="22" t="s">
        <v>16</v>
      </c>
      <c r="D37" s="22" t="s">
        <v>247</v>
      </c>
      <c r="E37" s="23">
        <v>-171405822.75390601</v>
      </c>
      <c r="F37" s="23">
        <v>179.06585708260499</v>
      </c>
      <c r="G37" s="22" t="s">
        <v>103</v>
      </c>
      <c r="H37" s="23">
        <v>0</v>
      </c>
      <c r="I37" s="23">
        <v>0</v>
      </c>
      <c r="J37" s="22" t="s">
        <v>98</v>
      </c>
      <c r="K37" s="23">
        <v>50197.883605957002</v>
      </c>
      <c r="L37" s="23">
        <v>0</v>
      </c>
      <c r="M37" s="22" t="s">
        <v>14</v>
      </c>
      <c r="N37" s="14"/>
      <c r="O37" s="13"/>
      <c r="P37" s="14"/>
      <c r="Q37" s="14"/>
    </row>
    <row r="38" spans="1:17" x14ac:dyDescent="0.25">
      <c r="A38" s="22" t="s">
        <v>76</v>
      </c>
      <c r="B38" s="22" t="s">
        <v>12</v>
      </c>
      <c r="C38" s="22" t="s">
        <v>13</v>
      </c>
      <c r="D38" s="22" t="s">
        <v>111</v>
      </c>
      <c r="E38" s="23">
        <v>-43171743.7744141</v>
      </c>
      <c r="F38" s="23">
        <v>63.670733943581602</v>
      </c>
      <c r="G38" s="22" t="s">
        <v>98</v>
      </c>
      <c r="H38" s="23">
        <v>17464686.584472701</v>
      </c>
      <c r="I38" s="23">
        <v>25.1615606248379</v>
      </c>
      <c r="J38" s="22" t="s">
        <v>111</v>
      </c>
      <c r="K38" s="23">
        <v>159446.10595703099</v>
      </c>
      <c r="L38" s="23">
        <v>0.10253059444949</v>
      </c>
      <c r="M38" s="22" t="s">
        <v>14</v>
      </c>
      <c r="N38" s="14"/>
      <c r="O38" s="13"/>
      <c r="P38" s="14"/>
      <c r="Q38" s="14"/>
    </row>
    <row r="39" spans="1:17" x14ac:dyDescent="0.25">
      <c r="A39" s="22" t="s">
        <v>76</v>
      </c>
      <c r="B39" s="22" t="s">
        <v>12</v>
      </c>
      <c r="C39" s="22" t="s">
        <v>15</v>
      </c>
      <c r="D39" s="22" t="s">
        <v>111</v>
      </c>
      <c r="E39" s="23">
        <v>-61772058.105468802</v>
      </c>
      <c r="F39" s="23">
        <v>92.762205749750095</v>
      </c>
      <c r="G39" s="22" t="s">
        <v>103</v>
      </c>
      <c r="H39" s="23">
        <v>0</v>
      </c>
      <c r="I39" s="23">
        <v>0</v>
      </c>
      <c r="J39" s="22" t="s">
        <v>97</v>
      </c>
      <c r="K39" s="23">
        <v>28391.416549682599</v>
      </c>
      <c r="L39" s="23">
        <v>0</v>
      </c>
      <c r="M39" s="22" t="s">
        <v>14</v>
      </c>
      <c r="N39" s="14"/>
      <c r="O39" s="13"/>
      <c r="P39" s="14"/>
      <c r="Q39" s="14"/>
    </row>
    <row r="40" spans="1:17" x14ac:dyDescent="0.25">
      <c r="A40" s="22" t="s">
        <v>76</v>
      </c>
      <c r="B40" s="22" t="s">
        <v>12</v>
      </c>
      <c r="C40" s="22" t="s">
        <v>16</v>
      </c>
      <c r="D40" s="22" t="s">
        <v>97</v>
      </c>
      <c r="E40" s="23">
        <v>-53722357.177734397</v>
      </c>
      <c r="F40" s="23">
        <v>80.036427825689302</v>
      </c>
      <c r="G40" s="22" t="s">
        <v>96</v>
      </c>
      <c r="H40" s="23">
        <v>1994457.81707764</v>
      </c>
      <c r="I40" s="23">
        <v>2.83541332464665</v>
      </c>
      <c r="J40" s="22" t="s">
        <v>111</v>
      </c>
      <c r="K40" s="23">
        <v>35426.300048828103</v>
      </c>
      <c r="L40" s="23">
        <v>0</v>
      </c>
      <c r="M40" s="22" t="s">
        <v>14</v>
      </c>
      <c r="N40" s="14"/>
      <c r="O40" s="13"/>
      <c r="P40" s="14"/>
      <c r="Q40" s="14"/>
    </row>
    <row r="41" spans="1:17" x14ac:dyDescent="0.25">
      <c r="A41" s="22" t="s">
        <v>257</v>
      </c>
      <c r="B41" s="22" t="s">
        <v>12</v>
      </c>
      <c r="C41" s="22" t="s">
        <v>13</v>
      </c>
      <c r="D41" s="22" t="s">
        <v>247</v>
      </c>
      <c r="E41" s="23">
        <v>-19755015.563964799</v>
      </c>
      <c r="F41" s="23">
        <v>28.518771287053799</v>
      </c>
      <c r="G41" s="22" t="s">
        <v>97</v>
      </c>
      <c r="H41" s="23">
        <v>110867639.160156</v>
      </c>
      <c r="I41" s="23">
        <v>175.59446394443501</v>
      </c>
      <c r="J41" s="22" t="s">
        <v>97</v>
      </c>
      <c r="K41" s="23">
        <v>201018.24951171901</v>
      </c>
      <c r="L41" s="23">
        <v>0.17333265859633701</v>
      </c>
      <c r="M41" s="22" t="s">
        <v>14</v>
      </c>
      <c r="N41" s="14"/>
      <c r="O41" s="13"/>
      <c r="P41" s="14"/>
      <c r="Q41" s="14"/>
    </row>
    <row r="42" spans="1:17" x14ac:dyDescent="0.25">
      <c r="A42" s="22" t="s">
        <v>257</v>
      </c>
      <c r="B42" s="22" t="s">
        <v>12</v>
      </c>
      <c r="C42" s="22" t="s">
        <v>15</v>
      </c>
      <c r="D42" s="22" t="s">
        <v>247</v>
      </c>
      <c r="E42" s="23">
        <v>-90165887.451171905</v>
      </c>
      <c r="F42" s="23">
        <v>139.48046602308801</v>
      </c>
      <c r="G42" s="22" t="s">
        <v>245</v>
      </c>
      <c r="H42" s="23">
        <v>32082342.529296901</v>
      </c>
      <c r="I42" s="23">
        <v>46.830913051962902</v>
      </c>
      <c r="J42" s="22" t="s">
        <v>111</v>
      </c>
      <c r="K42" s="23">
        <v>55347.389221191399</v>
      </c>
      <c r="L42" s="23">
        <v>6.6959013929590597E-2</v>
      </c>
      <c r="M42" s="22" t="s">
        <v>14</v>
      </c>
      <c r="N42" s="14"/>
      <c r="O42" s="13"/>
      <c r="P42" s="14"/>
      <c r="Q42" s="14"/>
    </row>
    <row r="43" spans="1:17" x14ac:dyDescent="0.25">
      <c r="A43" s="22" t="s">
        <v>257</v>
      </c>
      <c r="B43" s="22" t="s">
        <v>12</v>
      </c>
      <c r="C43" s="22" t="s">
        <v>16</v>
      </c>
      <c r="D43" s="22" t="s">
        <v>247</v>
      </c>
      <c r="E43" s="23">
        <v>-90153973.388671905</v>
      </c>
      <c r="F43" s="23">
        <v>139.46021907031499</v>
      </c>
      <c r="G43" s="22" t="s">
        <v>103</v>
      </c>
      <c r="H43" s="23">
        <v>0</v>
      </c>
      <c r="I43" s="23">
        <v>0</v>
      </c>
      <c r="J43" s="22" t="s">
        <v>247</v>
      </c>
      <c r="K43" s="23">
        <v>34603.507995605498</v>
      </c>
      <c r="L43" s="23">
        <v>0</v>
      </c>
      <c r="M43" s="22" t="s">
        <v>14</v>
      </c>
      <c r="N43" s="14"/>
      <c r="O43" s="13"/>
      <c r="P43" s="14"/>
      <c r="Q43" s="14"/>
    </row>
    <row r="44" spans="1:17" x14ac:dyDescent="0.25">
      <c r="A44" s="22" t="s">
        <v>258</v>
      </c>
      <c r="B44" s="22" t="s">
        <v>12</v>
      </c>
      <c r="C44" s="22" t="s">
        <v>13</v>
      </c>
      <c r="D44" s="22" t="s">
        <v>100</v>
      </c>
      <c r="E44" s="23">
        <v>-61756457.519531302</v>
      </c>
      <c r="F44" s="23">
        <v>92.737339437007904</v>
      </c>
      <c r="G44" s="22" t="s">
        <v>245</v>
      </c>
      <c r="H44" s="23">
        <v>516433.85887146002</v>
      </c>
      <c r="I44" s="23">
        <v>0.73327268182765704</v>
      </c>
      <c r="J44" s="22" t="s">
        <v>100</v>
      </c>
      <c r="K44" s="23">
        <v>208530.83801269499</v>
      </c>
      <c r="L44" s="23">
        <v>0.186127447523177</v>
      </c>
      <c r="M44" s="22" t="s">
        <v>14</v>
      </c>
      <c r="N44" s="14"/>
      <c r="O44" s="13"/>
      <c r="P44" s="14"/>
      <c r="Q44" s="14"/>
    </row>
    <row r="45" spans="1:17" x14ac:dyDescent="0.25">
      <c r="A45" s="22" t="s">
        <v>258</v>
      </c>
      <c r="B45" s="22" t="s">
        <v>12</v>
      </c>
      <c r="C45" s="22" t="s">
        <v>15</v>
      </c>
      <c r="D45" s="22" t="s">
        <v>100</v>
      </c>
      <c r="E45" s="23">
        <v>-87131982.421875</v>
      </c>
      <c r="F45" s="23">
        <v>134.34202410280699</v>
      </c>
      <c r="G45" s="22" t="s">
        <v>103</v>
      </c>
      <c r="H45" s="23">
        <v>0</v>
      </c>
      <c r="I45" s="23">
        <v>0</v>
      </c>
      <c r="J45" s="22" t="s">
        <v>110</v>
      </c>
      <c r="K45" s="23">
        <v>263419.25048828102</v>
      </c>
      <c r="L45" s="23">
        <v>0.27960862498730399</v>
      </c>
      <c r="M45" s="22" t="s">
        <v>14</v>
      </c>
      <c r="N45" s="14"/>
      <c r="O45" s="13"/>
      <c r="P45" s="14"/>
      <c r="Q45" s="14"/>
    </row>
    <row r="46" spans="1:17" x14ac:dyDescent="0.25">
      <c r="A46" s="22" t="s">
        <v>258</v>
      </c>
      <c r="B46" s="22" t="s">
        <v>12</v>
      </c>
      <c r="C46" s="22" t="s">
        <v>16</v>
      </c>
      <c r="D46" s="22" t="s">
        <v>245</v>
      </c>
      <c r="E46" s="23">
        <v>-34035882.568359397</v>
      </c>
      <c r="F46" s="23">
        <v>49.771582707762697</v>
      </c>
      <c r="G46" s="22" t="s">
        <v>110</v>
      </c>
      <c r="H46" s="23">
        <v>92785626.220703095</v>
      </c>
      <c r="I46" s="23">
        <v>143.947759643197</v>
      </c>
      <c r="J46" s="22" t="s">
        <v>110</v>
      </c>
      <c r="K46" s="23">
        <v>381922.66845703102</v>
      </c>
      <c r="L46" s="23">
        <v>0.48143337480723902</v>
      </c>
      <c r="M46" s="22" t="s">
        <v>14</v>
      </c>
      <c r="N46" s="14"/>
      <c r="O46" s="13"/>
      <c r="P46" s="14"/>
      <c r="Q46" s="14"/>
    </row>
    <row r="47" spans="1:17" x14ac:dyDescent="0.25">
      <c r="A47" s="22" t="s">
        <v>259</v>
      </c>
      <c r="B47" s="22" t="s">
        <v>12</v>
      </c>
      <c r="C47" s="22" t="s">
        <v>13</v>
      </c>
      <c r="D47" s="22" t="s">
        <v>103</v>
      </c>
      <c r="E47" s="23">
        <v>0</v>
      </c>
      <c r="F47" s="23">
        <v>0</v>
      </c>
      <c r="G47" s="22" t="s">
        <v>110</v>
      </c>
      <c r="H47" s="23">
        <v>90993414.306640595</v>
      </c>
      <c r="I47" s="23">
        <v>140.88854193687399</v>
      </c>
      <c r="J47" s="22" t="s">
        <v>110</v>
      </c>
      <c r="K47" s="23">
        <v>275644.43969726597</v>
      </c>
      <c r="L47" s="23">
        <v>0.300429505296052</v>
      </c>
      <c r="M47" s="22" t="s">
        <v>14</v>
      </c>
      <c r="N47" s="14"/>
      <c r="O47" s="13"/>
      <c r="P47" s="14"/>
      <c r="Q47" s="14"/>
    </row>
    <row r="48" spans="1:17" x14ac:dyDescent="0.25">
      <c r="A48" s="22" t="s">
        <v>259</v>
      </c>
      <c r="B48" s="22" t="s">
        <v>12</v>
      </c>
      <c r="C48" s="22" t="s">
        <v>15</v>
      </c>
      <c r="D48" s="22" t="s">
        <v>100</v>
      </c>
      <c r="E48" s="23">
        <v>-8506514.73999024</v>
      </c>
      <c r="F48" s="23">
        <v>12.160465121269199</v>
      </c>
      <c r="G48" s="22" t="s">
        <v>247</v>
      </c>
      <c r="H48" s="23">
        <v>38602526.855468802</v>
      </c>
      <c r="I48" s="23">
        <v>56.688571348786397</v>
      </c>
      <c r="J48" s="22" t="s">
        <v>110</v>
      </c>
      <c r="K48" s="23">
        <v>281370.69702148403</v>
      </c>
      <c r="L48" s="23">
        <v>0.31018198933452401</v>
      </c>
      <c r="M48" s="22" t="s">
        <v>14</v>
      </c>
      <c r="N48" s="14"/>
      <c r="O48" s="13"/>
      <c r="P48" s="14"/>
      <c r="Q48" s="14"/>
    </row>
    <row r="49" spans="1:17" x14ac:dyDescent="0.25">
      <c r="A49" s="22" t="s">
        <v>259</v>
      </c>
      <c r="B49" s="22" t="s">
        <v>12</v>
      </c>
      <c r="C49" s="22" t="s">
        <v>16</v>
      </c>
      <c r="D49" s="22" t="s">
        <v>110</v>
      </c>
      <c r="E49" s="23">
        <v>-34925109.863281302</v>
      </c>
      <c r="F49" s="23">
        <v>51.113753579556899</v>
      </c>
      <c r="G49" s="22" t="s">
        <v>245</v>
      </c>
      <c r="H49" s="23">
        <v>84567279.052734405</v>
      </c>
      <c r="I49" s="23">
        <v>130.02705760300199</v>
      </c>
      <c r="J49" s="22" t="s">
        <v>245</v>
      </c>
      <c r="K49" s="23">
        <v>254645.278930664</v>
      </c>
      <c r="L49" s="23">
        <v>0.26466555427759902</v>
      </c>
      <c r="M49" s="22" t="s">
        <v>14</v>
      </c>
      <c r="N49" s="14"/>
      <c r="O49" s="13"/>
      <c r="P49" s="14"/>
      <c r="Q49" s="14"/>
    </row>
    <row r="50" spans="1:17" x14ac:dyDescent="0.25">
      <c r="A50" s="22" t="s">
        <v>260</v>
      </c>
      <c r="B50" s="22" t="s">
        <v>12</v>
      </c>
      <c r="C50" s="22" t="s">
        <v>13</v>
      </c>
      <c r="D50" s="22" t="s">
        <v>110</v>
      </c>
      <c r="E50" s="23">
        <v>-30157034.301757801</v>
      </c>
      <c r="F50" s="23">
        <v>44.352682307362599</v>
      </c>
      <c r="G50" s="22" t="s">
        <v>245</v>
      </c>
      <c r="H50" s="23">
        <v>26859484.863281298</v>
      </c>
      <c r="I50" s="23">
        <v>39.341724477708297</v>
      </c>
      <c r="J50" s="22" t="s">
        <v>111</v>
      </c>
      <c r="K50" s="23">
        <v>77602.981567382798</v>
      </c>
      <c r="L50" s="23">
        <v>5.02192589920014E-2</v>
      </c>
      <c r="M50" s="22" t="s">
        <v>14</v>
      </c>
      <c r="N50" s="14"/>
      <c r="O50" s="13"/>
      <c r="P50" s="14"/>
      <c r="Q50" s="14"/>
    </row>
    <row r="51" spans="1:17" x14ac:dyDescent="0.25">
      <c r="A51" s="22" t="s">
        <v>260</v>
      </c>
      <c r="B51" s="22" t="s">
        <v>12</v>
      </c>
      <c r="C51" s="22" t="s">
        <v>15</v>
      </c>
      <c r="D51" s="22" t="s">
        <v>111</v>
      </c>
      <c r="E51" s="23">
        <v>-54937921.142578103</v>
      </c>
      <c r="F51" s="23">
        <v>83.467699587345095</v>
      </c>
      <c r="G51" s="22" t="s">
        <v>103</v>
      </c>
      <c r="H51" s="23">
        <v>0</v>
      </c>
      <c r="I51" s="23">
        <v>0</v>
      </c>
      <c r="J51" s="22" t="s">
        <v>111</v>
      </c>
      <c r="K51" s="23">
        <v>46385.280609130903</v>
      </c>
      <c r="L51" s="23">
        <v>5.02192589920014E-2</v>
      </c>
      <c r="M51" s="22" t="s">
        <v>14</v>
      </c>
      <c r="N51" s="14"/>
      <c r="O51" s="13"/>
      <c r="P51" s="14"/>
      <c r="Q51" s="14"/>
    </row>
    <row r="52" spans="1:17" x14ac:dyDescent="0.25">
      <c r="A52" s="22" t="s">
        <v>260</v>
      </c>
      <c r="B52" s="22" t="s">
        <v>12</v>
      </c>
      <c r="C52" s="22" t="s">
        <v>16</v>
      </c>
      <c r="D52" s="22" t="s">
        <v>97</v>
      </c>
      <c r="E52" s="23">
        <v>-51069741.8212891</v>
      </c>
      <c r="F52" s="23">
        <v>77.180946245789499</v>
      </c>
      <c r="G52" s="22" t="s">
        <v>103</v>
      </c>
      <c r="H52" s="23">
        <v>0</v>
      </c>
      <c r="I52" s="23">
        <v>0</v>
      </c>
      <c r="J52" s="22" t="s">
        <v>97</v>
      </c>
      <c r="K52" s="23">
        <v>51473.327636718801</v>
      </c>
      <c r="L52" s="23">
        <v>5.02192589920014E-2</v>
      </c>
      <c r="M52" s="22" t="s">
        <v>14</v>
      </c>
      <c r="N52" s="14"/>
      <c r="O52" s="13"/>
      <c r="P52" s="14"/>
      <c r="Q52" s="14"/>
    </row>
    <row r="53" spans="1:17" x14ac:dyDescent="0.25">
      <c r="A53" s="22" t="s">
        <v>261</v>
      </c>
      <c r="B53" s="22" t="s">
        <v>12</v>
      </c>
      <c r="C53" s="22" t="s">
        <v>13</v>
      </c>
      <c r="D53" s="22" t="s">
        <v>109</v>
      </c>
      <c r="E53" s="23">
        <v>-41743246.4599609</v>
      </c>
      <c r="F53" s="23">
        <v>61.481180600822</v>
      </c>
      <c r="G53" s="22" t="s">
        <v>110</v>
      </c>
      <c r="H53" s="23">
        <v>146594982.91015601</v>
      </c>
      <c r="I53" s="23">
        <v>242.994725704193</v>
      </c>
      <c r="J53" s="22" t="s">
        <v>110</v>
      </c>
      <c r="K53" s="23">
        <v>46166.702270507798</v>
      </c>
      <c r="L53" s="23">
        <v>0</v>
      </c>
      <c r="M53" s="22" t="s">
        <v>14</v>
      </c>
      <c r="N53" s="14"/>
      <c r="O53" s="13"/>
      <c r="P53" s="14"/>
      <c r="Q53" s="14"/>
    </row>
    <row r="54" spans="1:17" x14ac:dyDescent="0.25">
      <c r="A54" s="22" t="s">
        <v>261</v>
      </c>
      <c r="B54" s="22" t="s">
        <v>12</v>
      </c>
      <c r="C54" s="22" t="s">
        <v>15</v>
      </c>
      <c r="D54" s="22" t="s">
        <v>109</v>
      </c>
      <c r="E54" s="23">
        <v>-34948770.1416016</v>
      </c>
      <c r="F54" s="23">
        <v>51.149497739970698</v>
      </c>
      <c r="G54" s="22" t="s">
        <v>110</v>
      </c>
      <c r="H54" s="23">
        <v>98632391.357421905</v>
      </c>
      <c r="I54" s="23">
        <v>154.02205288410201</v>
      </c>
      <c r="J54" s="22" t="s">
        <v>110</v>
      </c>
      <c r="K54" s="23">
        <v>48262.607574462898</v>
      </c>
      <c r="L54" s="23">
        <v>0</v>
      </c>
      <c r="M54" s="22" t="s">
        <v>14</v>
      </c>
      <c r="N54" s="14"/>
      <c r="O54" s="13"/>
      <c r="P54" s="14"/>
      <c r="Q54" s="14"/>
    </row>
    <row r="55" spans="1:17" x14ac:dyDescent="0.25">
      <c r="A55" s="22" t="s">
        <v>261</v>
      </c>
      <c r="B55" s="22" t="s">
        <v>12</v>
      </c>
      <c r="C55" s="22" t="s">
        <v>16</v>
      </c>
      <c r="D55" s="22" t="s">
        <v>103</v>
      </c>
      <c r="E55" s="23">
        <v>0</v>
      </c>
      <c r="F55" s="23">
        <v>0</v>
      </c>
      <c r="G55" s="22" t="s">
        <v>245</v>
      </c>
      <c r="H55" s="23">
        <v>81892724.609375</v>
      </c>
      <c r="I55" s="23">
        <v>125.554827973247</v>
      </c>
      <c r="J55" s="22" t="s">
        <v>106</v>
      </c>
      <c r="K55" s="23">
        <v>25693.843841552702</v>
      </c>
      <c r="L55" s="23">
        <v>0</v>
      </c>
      <c r="M55" s="22" t="s">
        <v>14</v>
      </c>
      <c r="N55" s="14"/>
      <c r="O55" s="13"/>
      <c r="P55" s="14"/>
      <c r="Q55" s="14"/>
    </row>
    <row r="56" spans="1:17" x14ac:dyDescent="0.25">
      <c r="A56" s="22" t="s">
        <v>262</v>
      </c>
      <c r="B56" s="22" t="s">
        <v>12</v>
      </c>
      <c r="C56" s="22" t="s">
        <v>13</v>
      </c>
      <c r="D56" s="22" t="s">
        <v>267</v>
      </c>
      <c r="E56" s="23">
        <v>-3212836.0748291002</v>
      </c>
      <c r="F56" s="23">
        <v>72.736237198114395</v>
      </c>
      <c r="G56" s="22" t="s">
        <v>255</v>
      </c>
      <c r="H56" s="23">
        <v>81656762.6953125</v>
      </c>
      <c r="I56" s="23">
        <v>152.53368765115701</v>
      </c>
      <c r="J56" s="22" t="s">
        <v>109</v>
      </c>
      <c r="K56" s="23">
        <v>197438.78173828099</v>
      </c>
      <c r="L56" s="23">
        <v>0.100438517984003</v>
      </c>
      <c r="M56" s="22" t="s">
        <v>14</v>
      </c>
      <c r="N56" s="14"/>
      <c r="O56" s="13"/>
      <c r="P56" s="14"/>
      <c r="Q56" s="14"/>
    </row>
    <row r="57" spans="1:17" x14ac:dyDescent="0.25">
      <c r="A57" s="22" t="s">
        <v>262</v>
      </c>
      <c r="B57" s="22" t="s">
        <v>12</v>
      </c>
      <c r="C57" s="22" t="s">
        <v>15</v>
      </c>
      <c r="D57" s="22" t="s">
        <v>267</v>
      </c>
      <c r="E57" s="23">
        <v>-3901113.8916015602</v>
      </c>
      <c r="F57" s="23">
        <v>73.421071283519296</v>
      </c>
      <c r="G57" s="22" t="s">
        <v>110</v>
      </c>
      <c r="H57" s="23">
        <v>52999822.998046897</v>
      </c>
      <c r="I57" s="23">
        <v>122.962351888418</v>
      </c>
      <c r="J57" s="22" t="s">
        <v>247</v>
      </c>
      <c r="K57" s="23">
        <v>210873.870849609</v>
      </c>
      <c r="L57" s="23">
        <v>0.100438517984003</v>
      </c>
      <c r="M57" s="22" t="s">
        <v>14</v>
      </c>
      <c r="N57" s="14"/>
      <c r="O57" s="13"/>
      <c r="P57" s="14"/>
      <c r="Q57" s="14"/>
    </row>
    <row r="58" spans="1:17" x14ac:dyDescent="0.25">
      <c r="A58" s="22" t="s">
        <v>262</v>
      </c>
      <c r="B58" s="22" t="s">
        <v>12</v>
      </c>
      <c r="C58" s="22" t="s">
        <v>16</v>
      </c>
      <c r="D58" s="22" t="s">
        <v>247</v>
      </c>
      <c r="E58" s="23">
        <v>-63928503.417968802</v>
      </c>
      <c r="F58" s="23">
        <v>64.637805335223703</v>
      </c>
      <c r="G58" s="22" t="s">
        <v>110</v>
      </c>
      <c r="H58" s="23">
        <v>107510961.91406301</v>
      </c>
      <c r="I58" s="23">
        <v>110.110938549042</v>
      </c>
      <c r="J58" s="22" t="s">
        <v>96</v>
      </c>
      <c r="K58" s="23">
        <v>271877.28881835903</v>
      </c>
      <c r="L58" s="23">
        <v>0.100438517984003</v>
      </c>
      <c r="M58" s="22" t="s">
        <v>14</v>
      </c>
      <c r="N58" s="14"/>
      <c r="O58" s="13"/>
      <c r="P58" s="14"/>
      <c r="Q58" s="14"/>
    </row>
    <row r="59" spans="1:17" x14ac:dyDescent="0.25">
      <c r="A59" s="22" t="s">
        <v>263</v>
      </c>
      <c r="B59" s="22" t="s">
        <v>12</v>
      </c>
      <c r="C59" s="22" t="s">
        <v>13</v>
      </c>
      <c r="D59" s="22" t="s">
        <v>110</v>
      </c>
      <c r="E59" s="23">
        <v>-44828961.181640603</v>
      </c>
      <c r="F59" s="23">
        <v>66.218576394021497</v>
      </c>
      <c r="G59" s="22" t="s">
        <v>245</v>
      </c>
      <c r="H59" s="23">
        <v>96560681.152343795</v>
      </c>
      <c r="I59" s="23">
        <v>150.43566934764399</v>
      </c>
      <c r="J59" s="22" t="s">
        <v>97</v>
      </c>
      <c r="K59" s="23">
        <v>102991.073608398</v>
      </c>
      <c r="L59" s="23">
        <v>6.6959013929590597E-2</v>
      </c>
      <c r="M59" s="22" t="s">
        <v>14</v>
      </c>
      <c r="N59" s="14"/>
      <c r="O59" s="13"/>
      <c r="P59" s="14"/>
      <c r="Q59" s="14"/>
    </row>
    <row r="60" spans="1:17" x14ac:dyDescent="0.25">
      <c r="A60" s="22" t="s">
        <v>263</v>
      </c>
      <c r="B60" s="22" t="s">
        <v>12</v>
      </c>
      <c r="C60" s="22" t="s">
        <v>15</v>
      </c>
      <c r="D60" s="22" t="s">
        <v>97</v>
      </c>
      <c r="E60" s="23">
        <v>-81696197.509765595</v>
      </c>
      <c r="F60" s="23">
        <v>125.227309763432</v>
      </c>
      <c r="G60" s="22" t="s">
        <v>245</v>
      </c>
      <c r="H60" s="23">
        <v>11809640.502929701</v>
      </c>
      <c r="I60" s="23">
        <v>16.930572455748901</v>
      </c>
      <c r="J60" s="22" t="s">
        <v>97</v>
      </c>
      <c r="K60" s="23">
        <v>108234.153747559</v>
      </c>
      <c r="L60" s="23">
        <v>6.6959013929590597E-2</v>
      </c>
      <c r="M60" s="22" t="s">
        <v>14</v>
      </c>
      <c r="N60" s="14"/>
      <c r="O60" s="13"/>
      <c r="P60" s="14"/>
      <c r="Q60" s="14"/>
    </row>
    <row r="61" spans="1:17" x14ac:dyDescent="0.25">
      <c r="A61" s="22" t="s">
        <v>263</v>
      </c>
      <c r="B61" s="22" t="s">
        <v>12</v>
      </c>
      <c r="C61" s="22" t="s">
        <v>16</v>
      </c>
      <c r="D61" s="22" t="s">
        <v>97</v>
      </c>
      <c r="E61" s="23">
        <v>-77856481.933593795</v>
      </c>
      <c r="F61" s="23">
        <v>118.857827037573</v>
      </c>
      <c r="G61" s="22" t="s">
        <v>96</v>
      </c>
      <c r="H61" s="23">
        <v>2379009.8190307599</v>
      </c>
      <c r="I61" s="23">
        <v>3.3832088229246402</v>
      </c>
      <c r="J61" s="22" t="s">
        <v>97</v>
      </c>
      <c r="K61" s="23">
        <v>44726.577758789099</v>
      </c>
      <c r="L61" s="23">
        <v>0</v>
      </c>
      <c r="M61" s="22" t="s">
        <v>14</v>
      </c>
      <c r="N61" s="14"/>
      <c r="O61" s="13"/>
      <c r="P61" s="14"/>
      <c r="Q61" s="14"/>
    </row>
    <row r="62" spans="1:17" x14ac:dyDescent="0.25">
      <c r="A62" s="22" t="s">
        <v>264</v>
      </c>
      <c r="B62" s="22" t="s">
        <v>12</v>
      </c>
      <c r="C62" s="22" t="s">
        <v>13</v>
      </c>
      <c r="D62" s="22" t="s">
        <v>103</v>
      </c>
      <c r="E62" s="23">
        <v>0</v>
      </c>
      <c r="F62" s="23">
        <v>0</v>
      </c>
      <c r="G62" s="22" t="s">
        <v>109</v>
      </c>
      <c r="H62" s="23">
        <v>73951983.642578095</v>
      </c>
      <c r="I62" s="23">
        <v>112.437661737204</v>
      </c>
      <c r="J62" s="22" t="s">
        <v>97</v>
      </c>
      <c r="K62" s="23">
        <v>114162.284851074</v>
      </c>
      <c r="L62" s="23">
        <v>6.6959013929590597E-2</v>
      </c>
      <c r="M62" s="22" t="s">
        <v>14</v>
      </c>
      <c r="N62" s="14"/>
      <c r="O62" s="13"/>
      <c r="P62" s="14"/>
      <c r="Q62" s="14"/>
    </row>
    <row r="63" spans="1:17" x14ac:dyDescent="0.25">
      <c r="A63" s="22" t="s">
        <v>264</v>
      </c>
      <c r="B63" s="22" t="s">
        <v>12</v>
      </c>
      <c r="C63" s="22" t="s">
        <v>15</v>
      </c>
      <c r="D63" s="22" t="s">
        <v>97</v>
      </c>
      <c r="E63" s="23">
        <v>-58771270.751953103</v>
      </c>
      <c r="F63" s="23">
        <v>121.47030793130401</v>
      </c>
      <c r="G63" s="22" t="s">
        <v>109</v>
      </c>
      <c r="H63" s="23">
        <v>14105149.841308599</v>
      </c>
      <c r="I63" s="23">
        <v>53.738863207399802</v>
      </c>
      <c r="J63" s="22" t="s">
        <v>97</v>
      </c>
      <c r="K63" s="23">
        <v>251063.06457519499</v>
      </c>
      <c r="L63" s="23">
        <v>0.30100923031568499</v>
      </c>
      <c r="M63" s="22" t="s">
        <v>14</v>
      </c>
      <c r="N63" s="14"/>
      <c r="O63" s="13"/>
      <c r="P63" s="14"/>
      <c r="Q63" s="14"/>
    </row>
    <row r="64" spans="1:17" x14ac:dyDescent="0.25">
      <c r="A64" s="22" t="s">
        <v>264</v>
      </c>
      <c r="B64" s="22" t="s">
        <v>12</v>
      </c>
      <c r="C64" s="22" t="s">
        <v>16</v>
      </c>
      <c r="D64" s="22" t="s">
        <v>98</v>
      </c>
      <c r="E64" s="23">
        <v>-17203201.293945301</v>
      </c>
      <c r="F64" s="23">
        <v>24.779145605862102</v>
      </c>
      <c r="G64" s="22" t="s">
        <v>111</v>
      </c>
      <c r="H64" s="23">
        <v>101304541.015625</v>
      </c>
      <c r="I64" s="23">
        <v>158.67553651332901</v>
      </c>
      <c r="J64" s="22" t="s">
        <v>97</v>
      </c>
      <c r="K64" s="23">
        <v>89295.722961425796</v>
      </c>
      <c r="L64" s="23">
        <v>6.6959013929590597E-2</v>
      </c>
      <c r="M64" s="22" t="s">
        <v>14</v>
      </c>
      <c r="N64" s="14"/>
      <c r="O64" s="13"/>
      <c r="P64" s="14"/>
      <c r="Q64" s="14"/>
    </row>
    <row r="65" spans="1:17" x14ac:dyDescent="0.25">
      <c r="A65" s="22" t="s">
        <v>265</v>
      </c>
      <c r="B65" s="22" t="s">
        <v>12</v>
      </c>
      <c r="C65" s="22" t="s">
        <v>13</v>
      </c>
      <c r="D65" s="22" t="s">
        <v>100</v>
      </c>
      <c r="E65" s="23">
        <v>-63657037.353515603</v>
      </c>
      <c r="F65" s="23">
        <v>95.773413777351394</v>
      </c>
      <c r="G65" s="22" t="s">
        <v>245</v>
      </c>
      <c r="H65" s="23">
        <v>580344.62928771996</v>
      </c>
      <c r="I65" s="23">
        <v>0.82406237197574195</v>
      </c>
      <c r="J65" s="22" t="s">
        <v>100</v>
      </c>
      <c r="K65" s="23">
        <v>217420.44067382801</v>
      </c>
      <c r="L65" s="23">
        <v>0.20126744639128399</v>
      </c>
      <c r="M65" s="22" t="s">
        <v>14</v>
      </c>
      <c r="N65" s="14"/>
      <c r="O65" s="13"/>
      <c r="P65" s="14"/>
      <c r="Q65" s="14"/>
    </row>
    <row r="66" spans="1:17" x14ac:dyDescent="0.25">
      <c r="A66" s="22" t="s">
        <v>265</v>
      </c>
      <c r="B66" s="22" t="s">
        <v>12</v>
      </c>
      <c r="C66" s="22" t="s">
        <v>15</v>
      </c>
      <c r="D66" s="22" t="s">
        <v>100</v>
      </c>
      <c r="E66" s="23">
        <v>-90192163.0859375</v>
      </c>
      <c r="F66" s="23">
        <v>139.525141566992</v>
      </c>
      <c r="G66" s="22" t="s">
        <v>103</v>
      </c>
      <c r="H66" s="23">
        <v>0</v>
      </c>
      <c r="I66" s="23">
        <v>0</v>
      </c>
      <c r="J66" s="22" t="s">
        <v>100</v>
      </c>
      <c r="K66" s="23">
        <v>252403.961181641</v>
      </c>
      <c r="L66" s="23">
        <v>0.26084834244102201</v>
      </c>
      <c r="M66" s="22" t="s">
        <v>14</v>
      </c>
      <c r="N66" s="14"/>
      <c r="O66" s="13"/>
      <c r="P66" s="14"/>
      <c r="Q66" s="14"/>
    </row>
    <row r="67" spans="1:17" x14ac:dyDescent="0.25">
      <c r="A67" s="22" t="s">
        <v>265</v>
      </c>
      <c r="B67" s="22" t="s">
        <v>12</v>
      </c>
      <c r="C67" s="22" t="s">
        <v>16</v>
      </c>
      <c r="D67" s="22" t="s">
        <v>245</v>
      </c>
      <c r="E67" s="23">
        <v>-31151763.916015599</v>
      </c>
      <c r="F67" s="23">
        <v>45.4339105635881</v>
      </c>
      <c r="G67" s="22" t="s">
        <v>110</v>
      </c>
      <c r="H67" s="23">
        <v>76780767.822265595</v>
      </c>
      <c r="I67" s="23">
        <v>117.083378136158</v>
      </c>
      <c r="J67" s="22" t="s">
        <v>100</v>
      </c>
      <c r="K67" s="23">
        <v>372592.07153320301</v>
      </c>
      <c r="L67" s="23">
        <v>0.46554231084883202</v>
      </c>
      <c r="M67" s="22" t="s">
        <v>14</v>
      </c>
      <c r="N67" s="14"/>
      <c r="O67" s="13"/>
      <c r="P67" s="14"/>
      <c r="Q67" s="14"/>
    </row>
    <row r="68" spans="1:17" x14ac:dyDescent="0.25">
      <c r="A68" s="22" t="s">
        <v>82</v>
      </c>
      <c r="B68" s="22" t="s">
        <v>12</v>
      </c>
      <c r="C68" s="22" t="s">
        <v>13</v>
      </c>
      <c r="D68" s="22" t="s">
        <v>103</v>
      </c>
      <c r="E68" s="23">
        <v>0</v>
      </c>
      <c r="F68" s="23">
        <v>0</v>
      </c>
      <c r="G68" s="22" t="s">
        <v>110</v>
      </c>
      <c r="H68" s="23">
        <v>71792749.0234375</v>
      </c>
      <c r="I68" s="23">
        <v>108.911283314228</v>
      </c>
      <c r="J68" s="22" t="s">
        <v>100</v>
      </c>
      <c r="K68" s="23">
        <v>260804.47387695301</v>
      </c>
      <c r="L68" s="23">
        <v>0.27515538968145797</v>
      </c>
      <c r="M68" s="22" t="s">
        <v>14</v>
      </c>
      <c r="N68" s="14"/>
      <c r="O68" s="13"/>
      <c r="P68" s="14"/>
      <c r="Q68" s="14"/>
    </row>
    <row r="69" spans="1:17" x14ac:dyDescent="0.25">
      <c r="A69" s="22" t="s">
        <v>82</v>
      </c>
      <c r="B69" s="22" t="s">
        <v>12</v>
      </c>
      <c r="C69" s="22" t="s">
        <v>15</v>
      </c>
      <c r="D69" s="22" t="s">
        <v>100</v>
      </c>
      <c r="E69" s="23">
        <v>-14708894.3481445</v>
      </c>
      <c r="F69" s="23">
        <v>21.140198223292799</v>
      </c>
      <c r="G69" s="22" t="s">
        <v>247</v>
      </c>
      <c r="H69" s="23">
        <v>21037852.478027299</v>
      </c>
      <c r="I69" s="23">
        <v>30.405223369598399</v>
      </c>
      <c r="J69" s="22" t="s">
        <v>100</v>
      </c>
      <c r="K69" s="23">
        <v>267348.78540039097</v>
      </c>
      <c r="L69" s="23">
        <v>0.28630108572542701</v>
      </c>
      <c r="M69" s="22" t="s">
        <v>14</v>
      </c>
      <c r="N69" s="14"/>
      <c r="O69" s="13"/>
      <c r="P69" s="14"/>
      <c r="Q69" s="14"/>
    </row>
    <row r="70" spans="1:17" x14ac:dyDescent="0.25">
      <c r="A70" s="22" t="s">
        <v>82</v>
      </c>
      <c r="B70" s="22" t="s">
        <v>12</v>
      </c>
      <c r="C70" s="22" t="s">
        <v>16</v>
      </c>
      <c r="D70" s="22" t="s">
        <v>110</v>
      </c>
      <c r="E70" s="23">
        <v>-19009664.916992199</v>
      </c>
      <c r="F70" s="23">
        <v>27.4247070774436</v>
      </c>
      <c r="G70" s="22" t="s">
        <v>245</v>
      </c>
      <c r="H70" s="23">
        <v>62055078.125</v>
      </c>
      <c r="I70" s="23">
        <v>93.213561922311797</v>
      </c>
      <c r="J70" s="22" t="s">
        <v>97</v>
      </c>
      <c r="K70" s="23">
        <v>210558.975219727</v>
      </c>
      <c r="L70" s="23">
        <v>0.18958158325403901</v>
      </c>
      <c r="M70" s="22" t="s">
        <v>14</v>
      </c>
      <c r="N70" s="14"/>
      <c r="O70" s="13"/>
      <c r="P70" s="14"/>
      <c r="Q70" s="14"/>
    </row>
    <row r="71" spans="1:17" x14ac:dyDescent="0.25">
      <c r="A71" s="22" t="s">
        <v>268</v>
      </c>
      <c r="B71" s="22" t="s">
        <v>12</v>
      </c>
      <c r="C71" s="22" t="s">
        <v>13</v>
      </c>
      <c r="D71" s="22" t="s">
        <v>110</v>
      </c>
      <c r="E71" s="23">
        <v>-64461010.7421875</v>
      </c>
      <c r="F71" s="23">
        <v>65.186270512640505</v>
      </c>
      <c r="G71" s="22" t="s">
        <v>245</v>
      </c>
      <c r="H71" s="23">
        <v>80785003.662109405</v>
      </c>
      <c r="I71" s="23">
        <v>82.083772867918</v>
      </c>
      <c r="J71" s="22" t="s">
        <v>97</v>
      </c>
      <c r="K71" s="23">
        <v>43483.631134033203</v>
      </c>
      <c r="L71" s="23">
        <v>0</v>
      </c>
      <c r="M71" s="22" t="s">
        <v>14</v>
      </c>
      <c r="N71" s="14"/>
      <c r="O71" s="13"/>
      <c r="P71" s="14"/>
      <c r="Q71" s="14"/>
    </row>
    <row r="72" spans="1:17" x14ac:dyDescent="0.25">
      <c r="A72" s="22" t="s">
        <v>268</v>
      </c>
      <c r="B72" s="22" t="s">
        <v>12</v>
      </c>
      <c r="C72" s="22" t="s">
        <v>15</v>
      </c>
      <c r="D72" s="22" t="s">
        <v>110</v>
      </c>
      <c r="E72" s="23">
        <v>-71386157.2265625</v>
      </c>
      <c r="F72" s="23">
        <v>72.334664873778806</v>
      </c>
      <c r="G72" s="22" t="s">
        <v>245</v>
      </c>
      <c r="H72" s="23">
        <v>28095446.777343798</v>
      </c>
      <c r="I72" s="23">
        <v>28.1185959465802</v>
      </c>
      <c r="J72" s="22" t="s">
        <v>247</v>
      </c>
      <c r="K72" s="23">
        <v>62796.157836914099</v>
      </c>
      <c r="L72" s="23">
        <v>0</v>
      </c>
      <c r="M72" s="22" t="s">
        <v>14</v>
      </c>
      <c r="N72" s="14"/>
      <c r="O72" s="13"/>
      <c r="P72" s="14"/>
      <c r="Q72" s="14"/>
    </row>
    <row r="73" spans="1:17" x14ac:dyDescent="0.25">
      <c r="A73" s="22" t="s">
        <v>268</v>
      </c>
      <c r="B73" s="22" t="s">
        <v>12</v>
      </c>
      <c r="C73" s="22" t="s">
        <v>16</v>
      </c>
      <c r="D73" s="22" t="s">
        <v>255</v>
      </c>
      <c r="E73" s="23">
        <v>-65076800.537109397</v>
      </c>
      <c r="F73" s="23">
        <v>65.820724703371496</v>
      </c>
      <c r="G73" s="22" t="s">
        <v>98</v>
      </c>
      <c r="H73" s="23">
        <v>14480891.418457</v>
      </c>
      <c r="I73" s="23">
        <v>14.4378794357181</v>
      </c>
      <c r="J73" s="22" t="s">
        <v>98</v>
      </c>
      <c r="K73" s="23">
        <v>34759.738922119097</v>
      </c>
      <c r="L73" s="23">
        <v>0</v>
      </c>
      <c r="M73" s="22" t="s">
        <v>14</v>
      </c>
      <c r="N73" s="14"/>
      <c r="O73" s="13"/>
      <c r="P73" s="14"/>
      <c r="Q73" s="14"/>
    </row>
    <row r="74" spans="1:17" x14ac:dyDescent="0.25">
      <c r="A74" s="22" t="s">
        <v>83</v>
      </c>
      <c r="B74" s="22" t="s">
        <v>12</v>
      </c>
      <c r="C74" s="22" t="s">
        <v>13</v>
      </c>
      <c r="D74" s="22" t="s">
        <v>247</v>
      </c>
      <c r="E74" s="23">
        <v>-97468273.925781295</v>
      </c>
      <c r="F74" s="23">
        <v>99.525488913059206</v>
      </c>
      <c r="G74" s="22" t="s">
        <v>97</v>
      </c>
      <c r="H74" s="23">
        <v>10847178.649902301</v>
      </c>
      <c r="I74" s="23">
        <v>10.8040799386799</v>
      </c>
      <c r="J74" s="22" t="s">
        <v>254</v>
      </c>
      <c r="K74" s="23">
        <v>21659.679412841801</v>
      </c>
      <c r="L74" s="23">
        <v>0</v>
      </c>
      <c r="M74" s="22" t="s">
        <v>14</v>
      </c>
      <c r="N74" s="14"/>
      <c r="O74" s="13"/>
      <c r="P74" s="14"/>
      <c r="Q74" s="14"/>
    </row>
    <row r="75" spans="1:17" x14ac:dyDescent="0.25">
      <c r="A75" s="22" t="s">
        <v>83</v>
      </c>
      <c r="B75" s="22" t="s">
        <v>12</v>
      </c>
      <c r="C75" s="22" t="s">
        <v>15</v>
      </c>
      <c r="D75" s="22" t="s">
        <v>247</v>
      </c>
      <c r="E75" s="23">
        <v>-116543383.78906301</v>
      </c>
      <c r="F75" s="23">
        <v>119.688101112843</v>
      </c>
      <c r="G75" s="22" t="s">
        <v>110</v>
      </c>
      <c r="H75" s="23">
        <v>20133892.822265599</v>
      </c>
      <c r="I75" s="23">
        <v>20.105668809264898</v>
      </c>
      <c r="J75" s="22" t="s">
        <v>255</v>
      </c>
      <c r="K75" s="23">
        <v>91877.342224121094</v>
      </c>
      <c r="L75" s="23">
        <v>0</v>
      </c>
      <c r="M75" s="22" t="s">
        <v>14</v>
      </c>
      <c r="N75" s="14"/>
      <c r="O75" s="13"/>
      <c r="P75" s="14"/>
      <c r="Q75" s="14"/>
    </row>
    <row r="76" spans="1:17" x14ac:dyDescent="0.25">
      <c r="A76" s="22" t="s">
        <v>83</v>
      </c>
      <c r="B76" s="22" t="s">
        <v>12</v>
      </c>
      <c r="C76" s="22" t="s">
        <v>16</v>
      </c>
      <c r="D76" s="22" t="s">
        <v>245</v>
      </c>
      <c r="E76" s="23">
        <v>-58862530.517578103</v>
      </c>
      <c r="F76" s="23">
        <v>59.4286248087883</v>
      </c>
      <c r="G76" s="22" t="s">
        <v>110</v>
      </c>
      <c r="H76" s="23">
        <v>138394836.42578101</v>
      </c>
      <c r="I76" s="23">
        <v>143.08474026620399</v>
      </c>
      <c r="J76" s="22" t="s">
        <v>100</v>
      </c>
      <c r="K76" s="23">
        <v>136121.337890625</v>
      </c>
      <c r="L76" s="23">
        <v>0.100438517984003</v>
      </c>
      <c r="M76" s="22" t="s">
        <v>14</v>
      </c>
      <c r="N76" s="14"/>
      <c r="O76" s="13"/>
      <c r="P76" s="14"/>
      <c r="Q76" s="14"/>
    </row>
    <row r="77" spans="1:17" x14ac:dyDescent="0.25">
      <c r="A77" s="22" t="s">
        <v>269</v>
      </c>
      <c r="B77" s="22" t="s">
        <v>12</v>
      </c>
      <c r="C77" s="22" t="s">
        <v>13</v>
      </c>
      <c r="D77" s="22" t="s">
        <v>245</v>
      </c>
      <c r="E77" s="23">
        <v>-15869418.3349609</v>
      </c>
      <c r="F77" s="23">
        <v>22.831284441053899</v>
      </c>
      <c r="G77" s="22" t="s">
        <v>110</v>
      </c>
      <c r="H77" s="23">
        <v>100815515.136719</v>
      </c>
      <c r="I77" s="23">
        <v>157.821550965309</v>
      </c>
      <c r="J77" s="22" t="s">
        <v>110</v>
      </c>
      <c r="K77" s="23">
        <v>27414.077758789099</v>
      </c>
      <c r="L77" s="23">
        <v>0</v>
      </c>
      <c r="M77" s="22" t="s">
        <v>14</v>
      </c>
      <c r="N77" s="14"/>
      <c r="O77" s="13"/>
      <c r="P77" s="14"/>
      <c r="Q77" s="14"/>
    </row>
    <row r="78" spans="1:17" x14ac:dyDescent="0.25">
      <c r="A78" s="22" t="s">
        <v>269</v>
      </c>
      <c r="B78" s="22" t="s">
        <v>12</v>
      </c>
      <c r="C78" s="22" t="s">
        <v>15</v>
      </c>
      <c r="D78" s="22" t="s">
        <v>97</v>
      </c>
      <c r="E78" s="23">
        <v>-16727201.8432617</v>
      </c>
      <c r="F78" s="23">
        <v>24.083463940769398</v>
      </c>
      <c r="G78" s="22" t="s">
        <v>110</v>
      </c>
      <c r="H78" s="23">
        <v>55019964.599609397</v>
      </c>
      <c r="I78" s="23">
        <v>82.073463127017007</v>
      </c>
      <c r="J78" s="22" t="s">
        <v>97</v>
      </c>
      <c r="K78" s="23">
        <v>24883.050918579102</v>
      </c>
      <c r="L78" s="23">
        <v>0</v>
      </c>
      <c r="M78" s="22" t="s">
        <v>14</v>
      </c>
      <c r="N78" s="14"/>
      <c r="O78" s="13"/>
      <c r="P78" s="14"/>
      <c r="Q78" s="14"/>
    </row>
    <row r="79" spans="1:17" x14ac:dyDescent="0.25">
      <c r="A79" s="22" t="s">
        <v>269</v>
      </c>
      <c r="B79" s="22" t="s">
        <v>12</v>
      </c>
      <c r="C79" s="22" t="s">
        <v>16</v>
      </c>
      <c r="D79" s="22" t="s">
        <v>103</v>
      </c>
      <c r="E79" s="23">
        <v>0</v>
      </c>
      <c r="F79" s="23">
        <v>0</v>
      </c>
      <c r="G79" s="22" t="s">
        <v>245</v>
      </c>
      <c r="H79" s="23">
        <v>73902093.505859405</v>
      </c>
      <c r="I79" s="23">
        <v>112.35598474741001</v>
      </c>
      <c r="J79" s="22" t="s">
        <v>97</v>
      </c>
      <c r="K79" s="23">
        <v>33640.918731689497</v>
      </c>
      <c r="L79" s="23">
        <v>0</v>
      </c>
      <c r="M79" s="22" t="s">
        <v>14</v>
      </c>
      <c r="N79" s="14"/>
      <c r="O79" s="13"/>
      <c r="P79" s="14"/>
      <c r="Q79" s="14"/>
    </row>
    <row r="80" spans="1:17" x14ac:dyDescent="0.25">
      <c r="A80" s="22" t="s">
        <v>270</v>
      </c>
      <c r="B80" s="22" t="s">
        <v>12</v>
      </c>
      <c r="C80" s="22" t="s">
        <v>13</v>
      </c>
      <c r="D80" s="22" t="s">
        <v>100</v>
      </c>
      <c r="E80" s="23">
        <v>-50693820.190429702</v>
      </c>
      <c r="F80" s="23">
        <v>76.573761180043206</v>
      </c>
      <c r="G80" s="22" t="s">
        <v>103</v>
      </c>
      <c r="H80" s="23">
        <v>0</v>
      </c>
      <c r="I80" s="23">
        <v>0</v>
      </c>
      <c r="J80" s="22" t="s">
        <v>100</v>
      </c>
      <c r="K80" s="23">
        <v>259467.71240234401</v>
      </c>
      <c r="L80" s="23">
        <v>0.31513473950326398</v>
      </c>
      <c r="M80" s="22" t="s">
        <v>14</v>
      </c>
      <c r="N80" s="14"/>
      <c r="O80" s="13"/>
      <c r="P80" s="14"/>
      <c r="Q80" s="14"/>
    </row>
    <row r="81" spans="1:17" x14ac:dyDescent="0.25">
      <c r="A81" s="22" t="s">
        <v>270</v>
      </c>
      <c r="B81" s="22" t="s">
        <v>12</v>
      </c>
      <c r="C81" s="22" t="s">
        <v>15</v>
      </c>
      <c r="D81" s="22" t="s">
        <v>100</v>
      </c>
      <c r="E81" s="23">
        <v>-67897784.423828095</v>
      </c>
      <c r="F81" s="23">
        <v>105.075240135193</v>
      </c>
      <c r="G81" s="22" t="s">
        <v>103</v>
      </c>
      <c r="H81" s="23">
        <v>0</v>
      </c>
      <c r="I81" s="23">
        <v>0</v>
      </c>
      <c r="J81" s="22" t="s">
        <v>100</v>
      </c>
      <c r="K81" s="23">
        <v>141159.97314453099</v>
      </c>
      <c r="L81" s="23">
        <v>0.113643275108188</v>
      </c>
      <c r="M81" s="22" t="s">
        <v>14</v>
      </c>
      <c r="N81" s="14"/>
      <c r="O81" s="13"/>
      <c r="P81" s="14"/>
      <c r="Q81" s="14"/>
    </row>
    <row r="82" spans="1:17" x14ac:dyDescent="0.25">
      <c r="A82" s="22" t="s">
        <v>270</v>
      </c>
      <c r="B82" s="22" t="s">
        <v>12</v>
      </c>
      <c r="C82" s="22" t="s">
        <v>16</v>
      </c>
      <c r="D82" s="22" t="s">
        <v>245</v>
      </c>
      <c r="E82" s="23">
        <v>-24295230.1025391</v>
      </c>
      <c r="F82" s="23">
        <v>35.474088508635802</v>
      </c>
      <c r="G82" s="22" t="s">
        <v>100</v>
      </c>
      <c r="H82" s="23">
        <v>38573913.574218802</v>
      </c>
      <c r="I82" s="23">
        <v>57.340436615049803</v>
      </c>
      <c r="J82" s="22" t="s">
        <v>111</v>
      </c>
      <c r="K82" s="23">
        <v>173491.546630859</v>
      </c>
      <c r="L82" s="23">
        <v>0.16870760591700701</v>
      </c>
      <c r="M82" s="22" t="s">
        <v>14</v>
      </c>
      <c r="N82" s="14"/>
      <c r="O82" s="13"/>
      <c r="P82" s="14"/>
      <c r="Q82" s="14"/>
    </row>
    <row r="83" spans="1:17" x14ac:dyDescent="0.25">
      <c r="A83" s="22" t="s">
        <v>271</v>
      </c>
      <c r="B83" s="22" t="s">
        <v>12</v>
      </c>
      <c r="C83" s="22" t="s">
        <v>13</v>
      </c>
      <c r="D83" s="22" t="s">
        <v>103</v>
      </c>
      <c r="E83" s="23">
        <v>0</v>
      </c>
      <c r="F83" s="23">
        <v>0</v>
      </c>
      <c r="G83" s="22" t="s">
        <v>100</v>
      </c>
      <c r="H83" s="23">
        <v>38991680.908203103</v>
      </c>
      <c r="I83" s="23">
        <v>57.992707006633303</v>
      </c>
      <c r="J83" s="22" t="s">
        <v>100</v>
      </c>
      <c r="K83" s="23">
        <v>140197.83020019499</v>
      </c>
      <c r="L83" s="23">
        <v>0.112004647962749</v>
      </c>
      <c r="M83" s="22" t="s">
        <v>14</v>
      </c>
      <c r="N83" s="14"/>
      <c r="O83" s="13"/>
      <c r="P83" s="14"/>
      <c r="Q83" s="14"/>
    </row>
    <row r="84" spans="1:17" x14ac:dyDescent="0.25">
      <c r="A84" s="22" t="s">
        <v>271</v>
      </c>
      <c r="B84" s="22" t="s">
        <v>12</v>
      </c>
      <c r="C84" s="22" t="s">
        <v>15</v>
      </c>
      <c r="D84" s="22" t="s">
        <v>98</v>
      </c>
      <c r="E84" s="23">
        <v>-7135086.8225097703</v>
      </c>
      <c r="F84" s="23">
        <v>10.2087738923728</v>
      </c>
      <c r="G84" s="22" t="s">
        <v>267</v>
      </c>
      <c r="H84" s="23">
        <v>7249871.8261718797</v>
      </c>
      <c r="I84" s="23">
        <v>10.3743735235184</v>
      </c>
      <c r="J84" s="22" t="s">
        <v>100</v>
      </c>
      <c r="K84" s="23">
        <v>111164.772033691</v>
      </c>
      <c r="L84" s="23">
        <v>6.2558049103245097E-2</v>
      </c>
      <c r="M84" s="22" t="s">
        <v>14</v>
      </c>
      <c r="N84" s="14"/>
      <c r="O84" s="13"/>
      <c r="P84" s="14"/>
      <c r="Q84" s="14"/>
    </row>
    <row r="85" spans="1:17" x14ac:dyDescent="0.25">
      <c r="A85" s="22" t="s">
        <v>271</v>
      </c>
      <c r="B85" s="22" t="s">
        <v>12</v>
      </c>
      <c r="C85" s="22" t="s">
        <v>16</v>
      </c>
      <c r="D85" s="22" t="s">
        <v>100</v>
      </c>
      <c r="E85" s="23">
        <v>-2947259.5214843801</v>
      </c>
      <c r="F85" s="23">
        <v>4.1968267760239497</v>
      </c>
      <c r="G85" s="22" t="s">
        <v>245</v>
      </c>
      <c r="H85" s="23">
        <v>28338327.026367199</v>
      </c>
      <c r="I85" s="23">
        <v>41.583725251257398</v>
      </c>
      <c r="J85" s="22" t="s">
        <v>97</v>
      </c>
      <c r="K85" s="23">
        <v>112377.47192382799</v>
      </c>
      <c r="L85" s="23">
        <v>6.4623419893905507E-2</v>
      </c>
      <c r="M85" s="22" t="s">
        <v>14</v>
      </c>
      <c r="N85" s="14"/>
      <c r="O85" s="13"/>
      <c r="P85" s="14"/>
      <c r="Q85" s="14"/>
    </row>
    <row r="86" spans="1:17" x14ac:dyDescent="0.25">
      <c r="A86" s="22" t="s">
        <v>272</v>
      </c>
      <c r="B86" s="22" t="s">
        <v>12</v>
      </c>
      <c r="C86" s="22" t="s">
        <v>13</v>
      </c>
      <c r="D86" s="22" t="s">
        <v>110</v>
      </c>
      <c r="E86" s="23">
        <v>-7608358.00170899</v>
      </c>
      <c r="F86" s="23">
        <v>10.891840793192401</v>
      </c>
      <c r="G86" s="22" t="s">
        <v>245</v>
      </c>
      <c r="H86" s="23">
        <v>27798281.8603516</v>
      </c>
      <c r="I86" s="23">
        <v>40.764007717371001</v>
      </c>
      <c r="J86" s="22" t="s">
        <v>97</v>
      </c>
      <c r="K86" s="23">
        <v>119317.28363037101</v>
      </c>
      <c r="L86" s="23">
        <v>7.6442706631496493E-2</v>
      </c>
      <c r="M86" s="22" t="s">
        <v>14</v>
      </c>
      <c r="N86" s="14"/>
      <c r="O86" s="13"/>
      <c r="P86" s="14"/>
      <c r="Q86" s="14"/>
    </row>
    <row r="87" spans="1:17" x14ac:dyDescent="0.25">
      <c r="A87" s="22" t="s">
        <v>272</v>
      </c>
      <c r="B87" s="22" t="s">
        <v>12</v>
      </c>
      <c r="C87" s="22" t="s">
        <v>15</v>
      </c>
      <c r="D87" s="22" t="s">
        <v>110</v>
      </c>
      <c r="E87" s="23">
        <v>-16568368.5302734</v>
      </c>
      <c r="F87" s="23">
        <v>23.968063760548802</v>
      </c>
      <c r="G87" s="22" t="s">
        <v>103</v>
      </c>
      <c r="H87" s="23">
        <v>0</v>
      </c>
      <c r="I87" s="23">
        <v>0</v>
      </c>
      <c r="J87" s="22" t="s">
        <v>97</v>
      </c>
      <c r="K87" s="23">
        <v>97120.758056640596</v>
      </c>
      <c r="L87" s="23">
        <v>5.02192589920014E-2</v>
      </c>
      <c r="M87" s="22" t="s">
        <v>14</v>
      </c>
      <c r="N87" s="14"/>
      <c r="O87" s="13"/>
      <c r="P87" s="14"/>
      <c r="Q87" s="14"/>
    </row>
    <row r="88" spans="1:17" x14ac:dyDescent="0.25">
      <c r="A88" s="22" t="s">
        <v>272</v>
      </c>
      <c r="B88" s="22" t="s">
        <v>12</v>
      </c>
      <c r="C88" s="22" t="s">
        <v>16</v>
      </c>
      <c r="D88" s="22" t="s">
        <v>255</v>
      </c>
      <c r="E88" s="23">
        <v>-7805526.7333984403</v>
      </c>
      <c r="F88" s="23">
        <v>11.1766334157437</v>
      </c>
      <c r="G88" s="22" t="s">
        <v>104</v>
      </c>
      <c r="H88" s="23">
        <v>10430944.061279301</v>
      </c>
      <c r="I88" s="23">
        <v>14.981302665546499</v>
      </c>
      <c r="J88" s="22" t="s">
        <v>111</v>
      </c>
      <c r="K88" s="23">
        <v>79833.3740234375</v>
      </c>
      <c r="L88" s="23">
        <v>5.02192589920014E-2</v>
      </c>
      <c r="M88" s="22" t="s">
        <v>14</v>
      </c>
      <c r="N88" s="14"/>
      <c r="O88" s="13"/>
      <c r="P88" s="14"/>
      <c r="Q88" s="14"/>
    </row>
    <row r="89" spans="1:17" x14ac:dyDescent="0.25">
      <c r="A89" s="22" t="s">
        <v>273</v>
      </c>
      <c r="B89" s="22" t="s">
        <v>12</v>
      </c>
      <c r="C89" s="22" t="s">
        <v>13</v>
      </c>
      <c r="D89" s="22" t="s">
        <v>103</v>
      </c>
      <c r="E89" s="23">
        <v>0</v>
      </c>
      <c r="F89" s="23">
        <v>0</v>
      </c>
      <c r="G89" s="22" t="s">
        <v>111</v>
      </c>
      <c r="H89" s="23">
        <v>53813641.357421897</v>
      </c>
      <c r="I89" s="23">
        <v>80.179553478956194</v>
      </c>
      <c r="J89" s="22" t="s">
        <v>111</v>
      </c>
      <c r="K89" s="23">
        <v>154109.619140625</v>
      </c>
      <c r="L89" s="23">
        <v>9.3441951321437997E-2</v>
      </c>
      <c r="M89" s="22" t="s">
        <v>14</v>
      </c>
      <c r="N89" s="14"/>
      <c r="O89" s="13"/>
      <c r="P89" s="14"/>
      <c r="Q89" s="14"/>
    </row>
    <row r="90" spans="1:17" x14ac:dyDescent="0.25">
      <c r="A90" s="22" t="s">
        <v>273</v>
      </c>
      <c r="B90" s="22" t="s">
        <v>12</v>
      </c>
      <c r="C90" s="22" t="s">
        <v>15</v>
      </c>
      <c r="D90" s="22" t="s">
        <v>254</v>
      </c>
      <c r="E90" s="23">
        <v>-35907482.910156302</v>
      </c>
      <c r="F90" s="23">
        <v>52.5991478934884</v>
      </c>
      <c r="G90" s="22" t="s">
        <v>255</v>
      </c>
      <c r="H90" s="23">
        <v>15980529.7851563</v>
      </c>
      <c r="I90" s="23">
        <v>22.993376478552801</v>
      </c>
      <c r="J90" s="22" t="s">
        <v>266</v>
      </c>
      <c r="K90" s="23">
        <v>164728.34777831999</v>
      </c>
      <c r="L90" s="23">
        <v>0.111526832915843</v>
      </c>
      <c r="M90" s="22" t="s">
        <v>14</v>
      </c>
      <c r="N90" s="14"/>
      <c r="O90" s="13"/>
      <c r="P90" s="14"/>
      <c r="Q90" s="14"/>
    </row>
    <row r="91" spans="1:17" x14ac:dyDescent="0.25">
      <c r="A91" s="22" t="s">
        <v>273</v>
      </c>
      <c r="B91" s="22" t="s">
        <v>12</v>
      </c>
      <c r="C91" s="22" t="s">
        <v>16</v>
      </c>
      <c r="D91" s="22" t="s">
        <v>103</v>
      </c>
      <c r="E91" s="23">
        <v>0</v>
      </c>
      <c r="F91" s="23">
        <v>0</v>
      </c>
      <c r="G91" s="22" t="s">
        <v>110</v>
      </c>
      <c r="H91" s="23">
        <v>35175808.715820298</v>
      </c>
      <c r="I91" s="23">
        <v>51.492555066943197</v>
      </c>
      <c r="J91" s="22" t="s">
        <v>266</v>
      </c>
      <c r="K91" s="23">
        <v>160404.281616211</v>
      </c>
      <c r="L91" s="23">
        <v>0.104162481147796</v>
      </c>
      <c r="M91" s="22" t="s">
        <v>14</v>
      </c>
      <c r="N91" s="14"/>
      <c r="O91" s="13"/>
      <c r="P91" s="14"/>
      <c r="Q91" s="14"/>
    </row>
    <row r="92" spans="1:17" x14ac:dyDescent="0.25">
      <c r="A92" s="22" t="s">
        <v>274</v>
      </c>
      <c r="B92" s="22" t="s">
        <v>12</v>
      </c>
      <c r="C92" s="22" t="s">
        <v>13</v>
      </c>
      <c r="D92" s="22" t="s">
        <v>247</v>
      </c>
      <c r="E92" s="23">
        <v>-14594117.736816401</v>
      </c>
      <c r="F92" s="23">
        <v>21.062872838228898</v>
      </c>
      <c r="G92" s="22" t="s">
        <v>104</v>
      </c>
      <c r="H92" s="23">
        <v>16032276.916503901</v>
      </c>
      <c r="I92" s="23">
        <v>23.1778156012297</v>
      </c>
      <c r="J92" s="22" t="s">
        <v>111</v>
      </c>
      <c r="K92" s="23">
        <v>32675.769805908199</v>
      </c>
      <c r="L92" s="23">
        <v>0</v>
      </c>
      <c r="M92" s="22" t="s">
        <v>14</v>
      </c>
      <c r="N92" s="14"/>
      <c r="O92" s="13"/>
      <c r="P92" s="14"/>
      <c r="Q92" s="14"/>
    </row>
    <row r="93" spans="1:17" x14ac:dyDescent="0.25">
      <c r="A93" s="22" t="s">
        <v>274</v>
      </c>
      <c r="B93" s="22" t="s">
        <v>12</v>
      </c>
      <c r="C93" s="22" t="s">
        <v>15</v>
      </c>
      <c r="D93" s="22" t="s">
        <v>247</v>
      </c>
      <c r="E93" s="23">
        <v>-18459292.6025391</v>
      </c>
      <c r="F93" s="23">
        <v>26.763668283820198</v>
      </c>
      <c r="G93" s="22" t="s">
        <v>110</v>
      </c>
      <c r="H93" s="23">
        <v>6467298.88916016</v>
      </c>
      <c r="I93" s="23">
        <v>9.2462345492094808</v>
      </c>
      <c r="J93" s="22" t="s">
        <v>255</v>
      </c>
      <c r="K93" s="23">
        <v>37966.064453125</v>
      </c>
      <c r="L93" s="23">
        <v>5.02192589920014E-2</v>
      </c>
      <c r="M93" s="22" t="s">
        <v>14</v>
      </c>
      <c r="N93" s="14"/>
      <c r="O93" s="13"/>
      <c r="P93" s="14"/>
      <c r="Q93" s="14"/>
    </row>
    <row r="94" spans="1:17" x14ac:dyDescent="0.25">
      <c r="A94" s="22" t="s">
        <v>274</v>
      </c>
      <c r="B94" s="22" t="s">
        <v>12</v>
      </c>
      <c r="C94" s="22" t="s">
        <v>16</v>
      </c>
      <c r="D94" s="22" t="s">
        <v>103</v>
      </c>
      <c r="E94" s="23">
        <v>0</v>
      </c>
      <c r="F94" s="23">
        <v>18.5114797204733</v>
      </c>
      <c r="G94" s="22" t="s">
        <v>75</v>
      </c>
      <c r="H94" s="23">
        <v>27668945.3125</v>
      </c>
      <c r="I94" s="23">
        <v>59.079341590404503</v>
      </c>
      <c r="J94" s="22" t="s">
        <v>282</v>
      </c>
      <c r="K94" s="23">
        <v>13.277389109134701</v>
      </c>
      <c r="L94" s="23">
        <v>0.203184667043388</v>
      </c>
      <c r="M94" s="22" t="s">
        <v>14</v>
      </c>
      <c r="N94" s="14"/>
      <c r="O94" s="13"/>
      <c r="P94" s="14"/>
      <c r="Q94" s="14"/>
    </row>
    <row r="95" spans="1:17" x14ac:dyDescent="0.25">
      <c r="A95" s="22" t="s">
        <v>275</v>
      </c>
      <c r="B95" s="22" t="s">
        <v>12</v>
      </c>
      <c r="C95" s="22" t="s">
        <v>13</v>
      </c>
      <c r="D95" s="22" t="s">
        <v>100</v>
      </c>
      <c r="E95" s="23">
        <v>-12158614.349365201</v>
      </c>
      <c r="F95" s="23">
        <v>17.436138587072499</v>
      </c>
      <c r="G95" s="22" t="s">
        <v>100</v>
      </c>
      <c r="H95" s="23">
        <v>52687243.652343802</v>
      </c>
      <c r="I95" s="23">
        <v>78.415339812636404</v>
      </c>
      <c r="J95" s="22" t="s">
        <v>100</v>
      </c>
      <c r="K95" s="23">
        <v>75454.826354980498</v>
      </c>
      <c r="L95" s="23">
        <v>6.6959013929590597E-2</v>
      </c>
      <c r="M95" s="22" t="s">
        <v>14</v>
      </c>
      <c r="N95" s="14"/>
      <c r="O95" s="13"/>
      <c r="P95" s="14"/>
      <c r="Q95" s="14"/>
    </row>
    <row r="96" spans="1:17" x14ac:dyDescent="0.25">
      <c r="A96" s="22" t="s">
        <v>275</v>
      </c>
      <c r="B96" s="22" t="s">
        <v>12</v>
      </c>
      <c r="C96" s="22" t="s">
        <v>15</v>
      </c>
      <c r="D96" s="22" t="s">
        <v>100</v>
      </c>
      <c r="E96" s="23">
        <v>-60490594.482421897</v>
      </c>
      <c r="F96" s="23">
        <v>90.721976011991501</v>
      </c>
      <c r="G96" s="22" t="s">
        <v>102</v>
      </c>
      <c r="H96" s="23">
        <v>32273855.590820301</v>
      </c>
      <c r="I96" s="23">
        <v>47.118715010583401</v>
      </c>
      <c r="J96" s="22" t="s">
        <v>100</v>
      </c>
      <c r="K96" s="23">
        <v>115500.923156738</v>
      </c>
      <c r="L96" s="23">
        <v>6.6959013929590597E-2</v>
      </c>
      <c r="M96" s="22" t="s">
        <v>14</v>
      </c>
      <c r="N96" s="14"/>
      <c r="O96" s="13"/>
      <c r="P96" s="14"/>
      <c r="Q96" s="14"/>
    </row>
    <row r="97" spans="1:17" x14ac:dyDescent="0.25">
      <c r="A97" s="22" t="s">
        <v>275</v>
      </c>
      <c r="B97" s="22" t="s">
        <v>12</v>
      </c>
      <c r="C97" s="22" t="s">
        <v>16</v>
      </c>
      <c r="D97" s="22" t="s">
        <v>103</v>
      </c>
      <c r="E97" s="23">
        <v>0</v>
      </c>
      <c r="F97" s="23">
        <v>65.942509099841104</v>
      </c>
      <c r="G97" s="22" t="s">
        <v>109</v>
      </c>
      <c r="H97" s="23">
        <v>64722991.943359397</v>
      </c>
      <c r="I97" s="23">
        <v>163.424126803875</v>
      </c>
      <c r="J97" s="22" t="s">
        <v>75</v>
      </c>
      <c r="K97" s="23">
        <v>23.203363642096502</v>
      </c>
      <c r="L97" s="23">
        <v>0.50295558758079995</v>
      </c>
      <c r="M97" s="22" t="s">
        <v>14</v>
      </c>
      <c r="N97" s="14"/>
      <c r="O97" s="13"/>
      <c r="P97" s="14"/>
      <c r="Q97" s="14"/>
    </row>
    <row r="98" spans="1:17" x14ac:dyDescent="0.25">
      <c r="A98" s="22" t="s">
        <v>276</v>
      </c>
      <c r="B98" s="22" t="s">
        <v>12</v>
      </c>
      <c r="C98" s="22" t="s">
        <v>13</v>
      </c>
      <c r="D98" s="22" t="s">
        <v>110</v>
      </c>
      <c r="E98" s="23">
        <v>-26441650.390625</v>
      </c>
      <c r="F98" s="23">
        <v>38.400117773562698</v>
      </c>
      <c r="G98" s="22" t="s">
        <v>97</v>
      </c>
      <c r="H98" s="23">
        <v>83297302.246093795</v>
      </c>
      <c r="I98" s="23">
        <v>127.899991348386</v>
      </c>
      <c r="J98" s="22" t="s">
        <v>97</v>
      </c>
      <c r="K98" s="23">
        <v>99858.5586547852</v>
      </c>
      <c r="L98" s="23">
        <v>6.6959013929590597E-2</v>
      </c>
      <c r="M98" s="22" t="s">
        <v>14</v>
      </c>
      <c r="N98" s="14"/>
      <c r="O98" s="13"/>
      <c r="P98" s="14"/>
      <c r="Q98" s="14"/>
    </row>
    <row r="99" spans="1:17" x14ac:dyDescent="0.25">
      <c r="A99" s="22" t="s">
        <v>276</v>
      </c>
      <c r="B99" s="22" t="s">
        <v>12</v>
      </c>
      <c r="C99" s="22" t="s">
        <v>15</v>
      </c>
      <c r="D99" s="22" t="s">
        <v>97</v>
      </c>
      <c r="E99" s="23">
        <v>-84415191.650390595</v>
      </c>
      <c r="F99" s="23">
        <v>129.77199628949199</v>
      </c>
      <c r="G99" s="22" t="s">
        <v>109</v>
      </c>
      <c r="H99" s="23">
        <v>5919300.0793457003</v>
      </c>
      <c r="I99" s="23">
        <v>8.4432138828560692</v>
      </c>
      <c r="J99" s="22" t="s">
        <v>97</v>
      </c>
      <c r="K99" s="23">
        <v>68651.0009765625</v>
      </c>
      <c r="L99" s="23">
        <v>6.6959013929590597E-2</v>
      </c>
      <c r="M99" s="22" t="s">
        <v>14</v>
      </c>
      <c r="N99" s="14"/>
      <c r="O99" s="13"/>
      <c r="P99" s="14"/>
      <c r="Q99" s="14"/>
    </row>
    <row r="100" spans="1:17" x14ac:dyDescent="0.25">
      <c r="A100" s="22" t="s">
        <v>276</v>
      </c>
      <c r="B100" s="22" t="s">
        <v>12</v>
      </c>
      <c r="C100" s="22" t="s">
        <v>16</v>
      </c>
      <c r="D100" s="22" t="s">
        <v>97</v>
      </c>
      <c r="E100" s="23">
        <v>-81089263.916015595</v>
      </c>
      <c r="F100" s="23">
        <v>124.216750264168</v>
      </c>
      <c r="G100" s="22" t="s">
        <v>254</v>
      </c>
      <c r="H100" s="23">
        <v>3450812.9119873098</v>
      </c>
      <c r="I100" s="23">
        <v>4.91188024170697</v>
      </c>
      <c r="J100" s="22" t="s">
        <v>97</v>
      </c>
      <c r="K100" s="23">
        <v>36007.7705383301</v>
      </c>
      <c r="L100" s="23">
        <v>0</v>
      </c>
      <c r="M100" s="22" t="s">
        <v>14</v>
      </c>
      <c r="N100" s="14"/>
      <c r="O100" s="13"/>
      <c r="P100" s="14"/>
      <c r="Q100" s="14"/>
    </row>
    <row r="101" spans="1:17" x14ac:dyDescent="0.25">
      <c r="A101" s="22" t="s">
        <v>277</v>
      </c>
      <c r="B101" s="22" t="s">
        <v>12</v>
      </c>
      <c r="C101" s="22" t="s">
        <v>13</v>
      </c>
      <c r="D101" s="22" t="s">
        <v>97</v>
      </c>
      <c r="E101" s="23">
        <v>-3345949.17297363</v>
      </c>
      <c r="F101" s="23">
        <v>4.7667010221630299</v>
      </c>
      <c r="G101" s="22" t="s">
        <v>75</v>
      </c>
      <c r="H101" s="23">
        <v>37896069.3359375</v>
      </c>
      <c r="I101" s="23">
        <v>56.2836695462465</v>
      </c>
      <c r="J101" s="22" t="s">
        <v>100</v>
      </c>
      <c r="K101" s="23">
        <v>44274.181365966797</v>
      </c>
      <c r="L101" s="23">
        <v>5.02192589920014E-2</v>
      </c>
      <c r="M101" s="22" t="s">
        <v>14</v>
      </c>
      <c r="N101" s="14"/>
      <c r="O101" s="13"/>
      <c r="P101" s="14"/>
      <c r="Q101" s="14"/>
    </row>
    <row r="102" spans="1:17" x14ac:dyDescent="0.25">
      <c r="A102" s="22" t="s">
        <v>277</v>
      </c>
      <c r="B102" s="22" t="s">
        <v>12</v>
      </c>
      <c r="C102" s="22" t="s">
        <v>15</v>
      </c>
      <c r="D102" s="22" t="s">
        <v>98</v>
      </c>
      <c r="E102" s="23">
        <v>-9872274.7802734394</v>
      </c>
      <c r="F102" s="23">
        <v>14.1697400249541</v>
      </c>
      <c r="G102" s="22" t="s">
        <v>247</v>
      </c>
      <c r="H102" s="23">
        <v>11185444.6411133</v>
      </c>
      <c r="I102" s="23">
        <v>16.079036286100699</v>
      </c>
      <c r="J102" s="22" t="s">
        <v>97</v>
      </c>
      <c r="K102" s="23">
        <v>106107.574462891</v>
      </c>
      <c r="L102" s="23">
        <v>5.3945078980177599E-2</v>
      </c>
      <c r="M102" s="22" t="s">
        <v>14</v>
      </c>
      <c r="N102" s="14"/>
      <c r="O102" s="13"/>
      <c r="P102" s="14"/>
      <c r="Q102" s="14"/>
    </row>
    <row r="103" spans="1:17" x14ac:dyDescent="0.25">
      <c r="A103" s="22" t="s">
        <v>277</v>
      </c>
      <c r="B103" s="22" t="s">
        <v>12</v>
      </c>
      <c r="C103" s="22" t="s">
        <v>16</v>
      </c>
      <c r="D103" s="22" t="s">
        <v>103</v>
      </c>
      <c r="E103" s="23">
        <v>0</v>
      </c>
      <c r="F103" s="23">
        <v>0</v>
      </c>
      <c r="G103" s="22" t="s">
        <v>97</v>
      </c>
      <c r="H103" s="23">
        <v>42614172.363281302</v>
      </c>
      <c r="I103" s="23">
        <v>63.679898157715797</v>
      </c>
      <c r="J103" s="22" t="s">
        <v>97</v>
      </c>
      <c r="K103" s="23">
        <v>141287.353515625</v>
      </c>
      <c r="L103" s="23">
        <v>0.11386021506041299</v>
      </c>
      <c r="M103" s="22" t="s">
        <v>14</v>
      </c>
      <c r="N103" s="14"/>
      <c r="O103" s="13"/>
      <c r="P103" s="14"/>
      <c r="Q103" s="14"/>
    </row>
    <row r="104" spans="1:17" x14ac:dyDescent="0.25">
      <c r="A104" s="22" t="s">
        <v>278</v>
      </c>
      <c r="B104" s="22" t="s">
        <v>12</v>
      </c>
      <c r="C104" s="22" t="s">
        <v>13</v>
      </c>
      <c r="D104" s="22" t="s">
        <v>297</v>
      </c>
      <c r="E104" s="23">
        <v>-8459277.34375</v>
      </c>
      <c r="F104" s="23">
        <v>12.092445977032201</v>
      </c>
      <c r="G104" s="22" t="s">
        <v>97</v>
      </c>
      <c r="H104" s="23">
        <v>65728021.240234397</v>
      </c>
      <c r="I104" s="23">
        <v>99.095758050680203</v>
      </c>
      <c r="J104" s="22" t="s">
        <v>97</v>
      </c>
      <c r="K104" s="23">
        <v>160828.73535156299</v>
      </c>
      <c r="L104" s="23">
        <v>0.10488536208868</v>
      </c>
      <c r="M104" s="22" t="s">
        <v>14</v>
      </c>
      <c r="N104" s="14"/>
      <c r="O104" s="13"/>
      <c r="P104" s="14"/>
      <c r="Q104" s="14"/>
    </row>
    <row r="105" spans="1:17" x14ac:dyDescent="0.25">
      <c r="A105" s="22" t="s">
        <v>278</v>
      </c>
      <c r="B105" s="22" t="s">
        <v>12</v>
      </c>
      <c r="C105" s="22" t="s">
        <v>15</v>
      </c>
      <c r="D105" s="22" t="s">
        <v>97</v>
      </c>
      <c r="E105" s="23">
        <v>-61816357.421875</v>
      </c>
      <c r="F105" s="23">
        <v>92.832846567034693</v>
      </c>
      <c r="G105" s="22" t="s">
        <v>247</v>
      </c>
      <c r="H105" s="23">
        <v>28570132.4462891</v>
      </c>
      <c r="I105" s="23">
        <v>41.571035981178298</v>
      </c>
      <c r="J105" s="22" t="s">
        <v>97</v>
      </c>
      <c r="K105" s="23">
        <v>83027.557373046904</v>
      </c>
      <c r="L105" s="23">
        <v>6.6959013929590597E-2</v>
      </c>
      <c r="M105" s="22" t="s">
        <v>14</v>
      </c>
      <c r="N105" s="14"/>
      <c r="O105" s="13"/>
      <c r="P105" s="14"/>
      <c r="Q105" s="14"/>
    </row>
    <row r="106" spans="1:17" x14ac:dyDescent="0.25">
      <c r="A106" s="22" t="s">
        <v>278</v>
      </c>
      <c r="B106" s="22" t="s">
        <v>12</v>
      </c>
      <c r="C106" s="22" t="s">
        <v>16</v>
      </c>
      <c r="D106" s="22" t="s">
        <v>245</v>
      </c>
      <c r="E106" s="23">
        <v>-1015930.84335327</v>
      </c>
      <c r="F106" s="23">
        <v>1.44310339237563</v>
      </c>
      <c r="G106" s="22" t="s">
        <v>247</v>
      </c>
      <c r="H106" s="23">
        <v>70840850.830078095</v>
      </c>
      <c r="I106" s="23">
        <v>107.362037524581</v>
      </c>
      <c r="J106" s="22" t="s">
        <v>97</v>
      </c>
      <c r="K106" s="23">
        <v>62204.658508300803</v>
      </c>
      <c r="L106" s="23">
        <v>6.6959013929590597E-2</v>
      </c>
      <c r="M106" s="22" t="s">
        <v>14</v>
      </c>
      <c r="N106" s="14"/>
      <c r="O106" s="13"/>
      <c r="P106" s="14"/>
      <c r="Q106" s="14"/>
    </row>
    <row r="107" spans="1:17" x14ac:dyDescent="0.25">
      <c r="A107" s="22" t="s">
        <v>279</v>
      </c>
      <c r="B107" s="22" t="s">
        <v>12</v>
      </c>
      <c r="C107" s="22" t="s">
        <v>13</v>
      </c>
      <c r="D107" s="22" t="s">
        <v>100</v>
      </c>
      <c r="E107" s="23">
        <v>-64912200.927734397</v>
      </c>
      <c r="F107" s="23">
        <v>97.785228863358498</v>
      </c>
      <c r="G107" s="22" t="s">
        <v>245</v>
      </c>
      <c r="H107" s="23">
        <v>574467.94509887695</v>
      </c>
      <c r="I107" s="23">
        <v>0.81571371993050001</v>
      </c>
      <c r="J107" s="22" t="s">
        <v>100</v>
      </c>
      <c r="K107" s="23">
        <v>227164.932250977</v>
      </c>
      <c r="L107" s="23">
        <v>0.21786342840641701</v>
      </c>
      <c r="M107" s="22" t="s">
        <v>14</v>
      </c>
      <c r="N107" s="14"/>
      <c r="O107" s="13"/>
      <c r="P107" s="14"/>
      <c r="Q107" s="14"/>
    </row>
    <row r="108" spans="1:17" x14ac:dyDescent="0.25">
      <c r="A108" s="22" t="s">
        <v>279</v>
      </c>
      <c r="B108" s="22" t="s">
        <v>12</v>
      </c>
      <c r="C108" s="22" t="s">
        <v>15</v>
      </c>
      <c r="D108" s="22" t="s">
        <v>100</v>
      </c>
      <c r="E108" s="23">
        <v>-92896807.861328095</v>
      </c>
      <c r="F108" s="23">
        <v>144.13798227906199</v>
      </c>
      <c r="G108" s="22" t="s">
        <v>103</v>
      </c>
      <c r="H108" s="23">
        <v>0</v>
      </c>
      <c r="I108" s="23">
        <v>0</v>
      </c>
      <c r="J108" s="22" t="s">
        <v>100</v>
      </c>
      <c r="K108" s="23">
        <v>256233.154296875</v>
      </c>
      <c r="L108" s="23">
        <v>0.26736990548670297</v>
      </c>
      <c r="M108" s="22" t="s">
        <v>14</v>
      </c>
      <c r="N108" s="14"/>
      <c r="O108" s="13"/>
      <c r="P108" s="14"/>
      <c r="Q108" s="14"/>
    </row>
    <row r="109" spans="1:17" x14ac:dyDescent="0.25">
      <c r="A109" s="22" t="s">
        <v>279</v>
      </c>
      <c r="B109" s="22" t="s">
        <v>12</v>
      </c>
      <c r="C109" s="22" t="s">
        <v>16</v>
      </c>
      <c r="D109" s="22" t="s">
        <v>245</v>
      </c>
      <c r="E109" s="23">
        <v>-29611853.027343798</v>
      </c>
      <c r="F109" s="23">
        <v>43.127513490617297</v>
      </c>
      <c r="G109" s="22" t="s">
        <v>100</v>
      </c>
      <c r="H109" s="23">
        <v>75657916.259765595</v>
      </c>
      <c r="I109" s="23">
        <v>115.235783159733</v>
      </c>
      <c r="J109" s="22" t="s">
        <v>100</v>
      </c>
      <c r="K109" s="23">
        <v>377813.62915039097</v>
      </c>
      <c r="L109" s="23">
        <v>0.47443523071706301</v>
      </c>
      <c r="M109" s="22" t="s">
        <v>14</v>
      </c>
      <c r="N109" s="14"/>
      <c r="O109" s="13"/>
      <c r="P109" s="14"/>
      <c r="Q109" s="14"/>
    </row>
    <row r="110" spans="1:17" x14ac:dyDescent="0.25">
      <c r="A110" s="22" t="s">
        <v>280</v>
      </c>
      <c r="B110" s="22" t="s">
        <v>12</v>
      </c>
      <c r="C110" s="22" t="s">
        <v>13</v>
      </c>
      <c r="D110" s="22" t="s">
        <v>103</v>
      </c>
      <c r="E110" s="23">
        <v>0</v>
      </c>
      <c r="F110" s="23">
        <v>0</v>
      </c>
      <c r="G110" s="22" t="s">
        <v>100</v>
      </c>
      <c r="H110" s="23">
        <v>65440039.0625</v>
      </c>
      <c r="I110" s="23">
        <v>98.632890731096296</v>
      </c>
      <c r="J110" s="22" t="s">
        <v>100</v>
      </c>
      <c r="K110" s="23">
        <v>257588.25683593799</v>
      </c>
      <c r="L110" s="23">
        <v>0.26967776939272903</v>
      </c>
      <c r="M110" s="22" t="s">
        <v>14</v>
      </c>
      <c r="N110" s="14"/>
      <c r="O110" s="13"/>
      <c r="P110" s="14"/>
      <c r="Q110" s="14"/>
    </row>
    <row r="111" spans="1:17" x14ac:dyDescent="0.25">
      <c r="A111" s="22" t="s">
        <v>280</v>
      </c>
      <c r="B111" s="22" t="s">
        <v>12</v>
      </c>
      <c r="C111" s="22" t="s">
        <v>15</v>
      </c>
      <c r="D111" s="22" t="s">
        <v>100</v>
      </c>
      <c r="E111" s="23">
        <v>-13591496.2768555</v>
      </c>
      <c r="F111" s="23">
        <v>19.515230087563399</v>
      </c>
      <c r="G111" s="22" t="s">
        <v>110</v>
      </c>
      <c r="H111" s="23">
        <v>6700739.28833008</v>
      </c>
      <c r="I111" s="23">
        <v>9.5642247470095807</v>
      </c>
      <c r="J111" s="22" t="s">
        <v>100</v>
      </c>
      <c r="K111" s="23">
        <v>264132.53784179699</v>
      </c>
      <c r="L111" s="23">
        <v>0.28082346543669701</v>
      </c>
      <c r="M111" s="22" t="s">
        <v>14</v>
      </c>
      <c r="N111" s="14"/>
      <c r="O111" s="13"/>
      <c r="P111" s="14"/>
      <c r="Q111" s="14"/>
    </row>
    <row r="112" spans="1:17" x14ac:dyDescent="0.25">
      <c r="A112" s="22" t="s">
        <v>280</v>
      </c>
      <c r="B112" s="22" t="s">
        <v>12</v>
      </c>
      <c r="C112" s="22" t="s">
        <v>16</v>
      </c>
      <c r="D112" s="22" t="s">
        <v>100</v>
      </c>
      <c r="E112" s="23">
        <v>-9169394.6838378906</v>
      </c>
      <c r="F112" s="23">
        <v>13.1155492272228</v>
      </c>
      <c r="G112" s="22" t="s">
        <v>245</v>
      </c>
      <c r="H112" s="23">
        <v>42129519.653320298</v>
      </c>
      <c r="I112" s="23">
        <v>62.072640284895897</v>
      </c>
      <c r="J112" s="22" t="s">
        <v>97</v>
      </c>
      <c r="K112" s="23">
        <v>162381.820678711</v>
      </c>
      <c r="L112" s="23">
        <v>0.107530446257442</v>
      </c>
      <c r="M112" s="22" t="s">
        <v>14</v>
      </c>
      <c r="N112" s="14"/>
      <c r="O112" s="13"/>
      <c r="P112" s="14"/>
      <c r="Q112" s="14"/>
    </row>
    <row r="113" spans="1:17" x14ac:dyDescent="0.25">
      <c r="A113" s="22" t="s">
        <v>84</v>
      </c>
      <c r="B113" s="22" t="s">
        <v>12</v>
      </c>
      <c r="C113" s="22" t="s">
        <v>13</v>
      </c>
      <c r="D113" s="22" t="s">
        <v>110</v>
      </c>
      <c r="E113" s="23">
        <v>-12489199.0661621</v>
      </c>
      <c r="F113" s="23">
        <v>17.915347125381199</v>
      </c>
      <c r="G113" s="22" t="s">
        <v>97</v>
      </c>
      <c r="H113" s="23">
        <v>53340356.4453125</v>
      </c>
      <c r="I113" s="23">
        <v>79.4377736747265</v>
      </c>
      <c r="J113" s="22" t="s">
        <v>97</v>
      </c>
      <c r="K113" s="23">
        <v>241515.716552734</v>
      </c>
      <c r="L113" s="23">
        <v>0.24230442941188801</v>
      </c>
      <c r="M113" s="22" t="s">
        <v>14</v>
      </c>
      <c r="N113" s="14"/>
      <c r="O113" s="13"/>
      <c r="P113" s="14"/>
      <c r="Q113" s="14"/>
    </row>
    <row r="114" spans="1:17" x14ac:dyDescent="0.25">
      <c r="A114" s="22" t="s">
        <v>84</v>
      </c>
      <c r="B114" s="22" t="s">
        <v>12</v>
      </c>
      <c r="C114" s="22" t="s">
        <v>15</v>
      </c>
      <c r="D114" s="22" t="s">
        <v>110</v>
      </c>
      <c r="E114" s="23">
        <v>-22498461.9140625</v>
      </c>
      <c r="F114" s="23">
        <v>32.558429520577199</v>
      </c>
      <c r="G114" s="22" t="s">
        <v>245</v>
      </c>
      <c r="H114" s="23">
        <v>7668025.97045899</v>
      </c>
      <c r="I114" s="23">
        <v>10.9539297409356</v>
      </c>
      <c r="J114" s="22" t="s">
        <v>97</v>
      </c>
      <c r="K114" s="23">
        <v>247412.15515136701</v>
      </c>
      <c r="L114" s="23">
        <v>0.25234671775251599</v>
      </c>
      <c r="M114" s="22" t="s">
        <v>14</v>
      </c>
      <c r="N114" s="14"/>
      <c r="O114" s="13"/>
      <c r="P114" s="14"/>
      <c r="Q114" s="14"/>
    </row>
    <row r="115" spans="1:17" x14ac:dyDescent="0.25">
      <c r="A115" s="22" t="s">
        <v>84</v>
      </c>
      <c r="B115" s="22" t="s">
        <v>12</v>
      </c>
      <c r="C115" s="22" t="s">
        <v>16</v>
      </c>
      <c r="D115" s="22" t="s">
        <v>97</v>
      </c>
      <c r="E115" s="23">
        <v>-14197444.152832</v>
      </c>
      <c r="F115" s="23">
        <v>20.396027248352802</v>
      </c>
      <c r="G115" s="22" t="s">
        <v>100</v>
      </c>
      <c r="H115" s="23">
        <v>7575820.9228515597</v>
      </c>
      <c r="I115" s="23">
        <v>10.821357136592299</v>
      </c>
      <c r="J115" s="22" t="s">
        <v>100</v>
      </c>
      <c r="K115" s="23">
        <v>105169.677734375</v>
      </c>
      <c r="L115" s="23">
        <v>6.6959013929590597E-2</v>
      </c>
      <c r="M115" s="22" t="s">
        <v>14</v>
      </c>
      <c r="N115" s="14"/>
      <c r="O115" s="13"/>
      <c r="P115" s="14"/>
      <c r="Q115" s="14"/>
    </row>
    <row r="116" spans="1:17" x14ac:dyDescent="0.25">
      <c r="A116" s="22" t="s">
        <v>281</v>
      </c>
      <c r="B116" s="22" t="s">
        <v>12</v>
      </c>
      <c r="C116" s="22" t="s">
        <v>13</v>
      </c>
      <c r="D116" s="22" t="s">
        <v>267</v>
      </c>
      <c r="E116" s="23">
        <v>-11291040.802002</v>
      </c>
      <c r="F116" s="23">
        <v>16.179835656657801</v>
      </c>
      <c r="G116" s="22" t="s">
        <v>97</v>
      </c>
      <c r="H116" s="23">
        <v>1712177.46734619</v>
      </c>
      <c r="I116" s="23">
        <v>2.4335308989975601</v>
      </c>
      <c r="J116" s="22" t="s">
        <v>97</v>
      </c>
      <c r="K116" s="23">
        <v>69623.970031738296</v>
      </c>
      <c r="L116" s="23">
        <v>6.6959013929590597E-2</v>
      </c>
      <c r="M116" s="22" t="s">
        <v>14</v>
      </c>
      <c r="N116" s="14"/>
      <c r="O116" s="13"/>
      <c r="P116" s="14"/>
      <c r="Q116" s="14"/>
    </row>
    <row r="117" spans="1:17" x14ac:dyDescent="0.25">
      <c r="A117" s="22" t="s">
        <v>281</v>
      </c>
      <c r="B117" s="22" t="s">
        <v>12</v>
      </c>
      <c r="C117" s="22" t="s">
        <v>15</v>
      </c>
      <c r="D117" s="22" t="s">
        <v>245</v>
      </c>
      <c r="E117" s="23">
        <v>-16675343.322753901</v>
      </c>
      <c r="F117" s="23">
        <v>24.007707834243799</v>
      </c>
      <c r="G117" s="22" t="s">
        <v>110</v>
      </c>
      <c r="H117" s="23">
        <v>20633798.2177734</v>
      </c>
      <c r="I117" s="23">
        <v>29.8105785623193</v>
      </c>
      <c r="J117" s="22" t="s">
        <v>100</v>
      </c>
      <c r="K117" s="23">
        <v>88044.944763183594</v>
      </c>
      <c r="L117" s="23">
        <v>6.6959013929590597E-2</v>
      </c>
      <c r="M117" s="22" t="s">
        <v>14</v>
      </c>
      <c r="N117" s="14"/>
      <c r="O117" s="13"/>
      <c r="P117" s="14"/>
      <c r="Q117" s="14"/>
    </row>
    <row r="118" spans="1:17" x14ac:dyDescent="0.25">
      <c r="A118" s="22" t="s">
        <v>281</v>
      </c>
      <c r="B118" s="22" t="s">
        <v>12</v>
      </c>
      <c r="C118" s="22" t="s">
        <v>16</v>
      </c>
      <c r="D118" s="22" t="s">
        <v>245</v>
      </c>
      <c r="E118" s="23">
        <v>-11211785.888671899</v>
      </c>
      <c r="F118" s="23">
        <v>16.065164236351801</v>
      </c>
      <c r="G118" s="22" t="s">
        <v>100</v>
      </c>
      <c r="H118" s="23">
        <v>68392047.119140595</v>
      </c>
      <c r="I118" s="23">
        <v>103.391380980611</v>
      </c>
      <c r="J118" s="22" t="s">
        <v>100</v>
      </c>
      <c r="K118" s="23">
        <v>83909.5840454102</v>
      </c>
      <c r="L118" s="23">
        <v>6.6959013929590597E-2</v>
      </c>
      <c r="M118" s="22" t="s">
        <v>14</v>
      </c>
      <c r="N118" s="14"/>
      <c r="O118" s="13"/>
      <c r="P118" s="14"/>
      <c r="Q118" s="14"/>
    </row>
    <row r="119" spans="1:17" x14ac:dyDescent="0.25">
      <c r="A119" s="22" t="s">
        <v>283</v>
      </c>
      <c r="B119" s="22" t="s">
        <v>12</v>
      </c>
      <c r="C119" s="22" t="s">
        <v>13</v>
      </c>
      <c r="D119" s="22" t="s">
        <v>110</v>
      </c>
      <c r="E119" s="23">
        <v>-22340147.399902299</v>
      </c>
      <c r="F119" s="23">
        <v>32.541975378990202</v>
      </c>
      <c r="G119" s="22" t="s">
        <v>99</v>
      </c>
      <c r="H119" s="23">
        <v>39168643.1884766</v>
      </c>
      <c r="I119" s="23">
        <v>58.269225992262399</v>
      </c>
      <c r="J119" s="22" t="s">
        <v>97</v>
      </c>
      <c r="K119" s="23">
        <v>96898.124694824204</v>
      </c>
      <c r="L119" s="23">
        <v>5.02192589920014E-2</v>
      </c>
      <c r="M119" s="22" t="s">
        <v>14</v>
      </c>
      <c r="N119" s="14"/>
      <c r="O119" s="13"/>
      <c r="P119" s="14"/>
      <c r="Q119" s="14"/>
    </row>
    <row r="120" spans="1:17" x14ac:dyDescent="0.25">
      <c r="A120" s="22" t="s">
        <v>283</v>
      </c>
      <c r="B120" s="22" t="s">
        <v>12</v>
      </c>
      <c r="C120" s="22" t="s">
        <v>15</v>
      </c>
      <c r="D120" s="22" t="s">
        <v>97</v>
      </c>
      <c r="E120" s="23">
        <v>-62409973.144531302</v>
      </c>
      <c r="F120" s="23">
        <v>95.819644629955306</v>
      </c>
      <c r="G120" s="22" t="s">
        <v>103</v>
      </c>
      <c r="H120" s="23">
        <v>0</v>
      </c>
      <c r="I120" s="23">
        <v>0</v>
      </c>
      <c r="J120" s="22" t="s">
        <v>97</v>
      </c>
      <c r="K120" s="23">
        <v>36365.982055664099</v>
      </c>
      <c r="L120" s="23">
        <v>0</v>
      </c>
      <c r="M120" s="22" t="s">
        <v>14</v>
      </c>
      <c r="N120" s="14"/>
      <c r="O120" s="13"/>
      <c r="P120" s="14"/>
      <c r="Q120" s="14"/>
    </row>
    <row r="121" spans="1:17" x14ac:dyDescent="0.25">
      <c r="A121" s="22" t="s">
        <v>283</v>
      </c>
      <c r="B121" s="22" t="s">
        <v>12</v>
      </c>
      <c r="C121" s="22" t="s">
        <v>16</v>
      </c>
      <c r="D121" s="22" t="s">
        <v>97</v>
      </c>
      <c r="E121" s="23">
        <v>-58303869.628906302</v>
      </c>
      <c r="F121" s="23">
        <v>88.997241109609604</v>
      </c>
      <c r="G121" s="22" t="s">
        <v>103</v>
      </c>
      <c r="H121" s="23">
        <v>0</v>
      </c>
      <c r="I121" s="23">
        <v>0</v>
      </c>
      <c r="J121" s="22" t="s">
        <v>97</v>
      </c>
      <c r="K121" s="23">
        <v>64764.450073242202</v>
      </c>
      <c r="L121" s="23">
        <v>5.02192589920014E-2</v>
      </c>
      <c r="M121" s="22" t="s">
        <v>14</v>
      </c>
      <c r="N121" s="14"/>
      <c r="O121" s="13"/>
      <c r="P121" s="14"/>
      <c r="Q121" s="14"/>
    </row>
    <row r="122" spans="1:17" x14ac:dyDescent="0.25">
      <c r="A122" s="22" t="s">
        <v>284</v>
      </c>
      <c r="B122" s="22" t="s">
        <v>12</v>
      </c>
      <c r="C122" s="22" t="s">
        <v>13</v>
      </c>
      <c r="D122" s="22" t="s">
        <v>97</v>
      </c>
      <c r="E122" s="23">
        <v>-14707611.083984399</v>
      </c>
      <c r="F122" s="23">
        <v>21.138333249837199</v>
      </c>
      <c r="G122" s="22" t="s">
        <v>110</v>
      </c>
      <c r="H122" s="23">
        <v>35449105.8349609</v>
      </c>
      <c r="I122" s="23">
        <v>51.905713044107003</v>
      </c>
      <c r="J122" s="22" t="s">
        <v>100</v>
      </c>
      <c r="K122" s="23">
        <v>28276.300430297899</v>
      </c>
      <c r="L122" s="23">
        <v>0</v>
      </c>
      <c r="M122" s="22" t="s">
        <v>14</v>
      </c>
      <c r="N122" s="14"/>
      <c r="O122" s="13"/>
      <c r="P122" s="14"/>
      <c r="Q122" s="14"/>
    </row>
    <row r="123" spans="1:17" x14ac:dyDescent="0.25">
      <c r="A123" s="22" t="s">
        <v>284</v>
      </c>
      <c r="B123" s="22" t="s">
        <v>12</v>
      </c>
      <c r="C123" s="22" t="s">
        <v>15</v>
      </c>
      <c r="D123" s="22" t="s">
        <v>97</v>
      </c>
      <c r="E123" s="23">
        <v>-16303501.892089801</v>
      </c>
      <c r="F123" s="23">
        <v>23.4647141769528</v>
      </c>
      <c r="G123" s="22" t="s">
        <v>97</v>
      </c>
      <c r="H123" s="23">
        <v>37800247.192382798</v>
      </c>
      <c r="I123" s="23">
        <v>55.4689858108759</v>
      </c>
      <c r="J123" s="22" t="s">
        <v>97</v>
      </c>
      <c r="K123" s="23">
        <v>68259.1934204102</v>
      </c>
      <c r="L123" s="23">
        <v>6.6959013929590597E-2</v>
      </c>
      <c r="M123" s="22" t="s">
        <v>14</v>
      </c>
      <c r="N123" s="14"/>
      <c r="O123" s="13"/>
      <c r="P123" s="14"/>
      <c r="Q123" s="14"/>
    </row>
    <row r="124" spans="1:17" x14ac:dyDescent="0.25">
      <c r="A124" s="22" t="s">
        <v>284</v>
      </c>
      <c r="B124" s="22" t="s">
        <v>12</v>
      </c>
      <c r="C124" s="22" t="s">
        <v>16</v>
      </c>
      <c r="D124" s="22" t="s">
        <v>103</v>
      </c>
      <c r="E124" s="23">
        <v>0</v>
      </c>
      <c r="F124" s="23">
        <v>0</v>
      </c>
      <c r="G124" s="22" t="s">
        <v>97</v>
      </c>
      <c r="H124" s="23">
        <v>72015051.269531295</v>
      </c>
      <c r="I124" s="23">
        <v>109.273558482528</v>
      </c>
      <c r="J124" s="22" t="s">
        <v>97</v>
      </c>
      <c r="K124" s="23">
        <v>27293.45703125</v>
      </c>
      <c r="L124" s="23">
        <v>0</v>
      </c>
      <c r="M124" s="22" t="s">
        <v>14</v>
      </c>
      <c r="N124" s="14"/>
      <c r="O124" s="13"/>
      <c r="P124" s="14"/>
      <c r="Q124" s="14"/>
    </row>
    <row r="125" spans="1:17" x14ac:dyDescent="0.25">
      <c r="A125" s="22" t="s">
        <v>85</v>
      </c>
      <c r="B125" s="22" t="s">
        <v>12</v>
      </c>
      <c r="C125" s="22" t="s">
        <v>13</v>
      </c>
      <c r="D125" s="22" t="s">
        <v>100</v>
      </c>
      <c r="E125" s="23">
        <v>-52222979.736328103</v>
      </c>
      <c r="F125" s="23">
        <v>79.047791659832001</v>
      </c>
      <c r="G125" s="22" t="s">
        <v>103</v>
      </c>
      <c r="H125" s="23">
        <v>0</v>
      </c>
      <c r="I125" s="23">
        <v>0</v>
      </c>
      <c r="J125" s="22" t="s">
        <v>100</v>
      </c>
      <c r="K125" s="23">
        <v>268591.796875</v>
      </c>
      <c r="L125" s="23">
        <v>0.33067411277443198</v>
      </c>
      <c r="M125" s="22" t="s">
        <v>14</v>
      </c>
      <c r="N125" s="14"/>
      <c r="O125" s="13"/>
      <c r="P125" s="14"/>
      <c r="Q125" s="14"/>
    </row>
    <row r="126" spans="1:17" x14ac:dyDescent="0.25">
      <c r="A126" s="22" t="s">
        <v>85</v>
      </c>
      <c r="B126" s="22" t="s">
        <v>12</v>
      </c>
      <c r="C126" s="22" t="s">
        <v>15</v>
      </c>
      <c r="D126" s="22" t="s">
        <v>100</v>
      </c>
      <c r="E126" s="23">
        <v>-70002813.720703095</v>
      </c>
      <c r="F126" s="23">
        <v>108.668813481927</v>
      </c>
      <c r="G126" s="22" t="s">
        <v>103</v>
      </c>
      <c r="H126" s="23">
        <v>0</v>
      </c>
      <c r="I126" s="23">
        <v>0</v>
      </c>
      <c r="J126" s="22" t="s">
        <v>100</v>
      </c>
      <c r="K126" s="23">
        <v>143209.99145507801</v>
      </c>
      <c r="L126" s="23">
        <v>0.11713468702510001</v>
      </c>
      <c r="M126" s="22" t="s">
        <v>14</v>
      </c>
      <c r="N126" s="14"/>
      <c r="O126" s="13"/>
      <c r="P126" s="14"/>
      <c r="Q126" s="14"/>
    </row>
    <row r="127" spans="1:17" x14ac:dyDescent="0.25">
      <c r="A127" s="22" t="s">
        <v>85</v>
      </c>
      <c r="B127" s="22" t="s">
        <v>12</v>
      </c>
      <c r="C127" s="22" t="s">
        <v>16</v>
      </c>
      <c r="D127" s="22" t="s">
        <v>111</v>
      </c>
      <c r="E127" s="23">
        <v>-23862602.2338867</v>
      </c>
      <c r="F127" s="23">
        <v>34.824023023247697</v>
      </c>
      <c r="G127" s="22" t="s">
        <v>100</v>
      </c>
      <c r="H127" s="23">
        <v>38676162.7197266</v>
      </c>
      <c r="I127" s="23">
        <v>57.5000140815973</v>
      </c>
      <c r="J127" s="22" t="s">
        <v>100</v>
      </c>
      <c r="K127" s="23">
        <v>175903.86962890599</v>
      </c>
      <c r="L127" s="23">
        <v>0.17281606560573001</v>
      </c>
      <c r="M127" s="22" t="s">
        <v>14</v>
      </c>
      <c r="N127" s="14"/>
      <c r="O127" s="13"/>
      <c r="P127" s="14"/>
      <c r="Q127" s="14"/>
    </row>
    <row r="128" spans="1:17" x14ac:dyDescent="0.25">
      <c r="A128" s="22" t="s">
        <v>86</v>
      </c>
      <c r="B128" s="22" t="s">
        <v>12</v>
      </c>
      <c r="C128" s="22" t="s">
        <v>13</v>
      </c>
      <c r="D128" s="22" t="s">
        <v>103</v>
      </c>
      <c r="E128" s="23">
        <v>0</v>
      </c>
      <c r="F128" s="23">
        <v>0</v>
      </c>
      <c r="G128" s="22" t="s">
        <v>100</v>
      </c>
      <c r="H128" s="23">
        <v>39001199.340820298</v>
      </c>
      <c r="I128" s="23">
        <v>58.007580228149898</v>
      </c>
      <c r="J128" s="22" t="s">
        <v>100</v>
      </c>
      <c r="K128" s="23">
        <v>149527.29797363299</v>
      </c>
      <c r="L128" s="23">
        <v>0.127893791068345</v>
      </c>
      <c r="M128" s="22" t="s">
        <v>14</v>
      </c>
      <c r="N128" s="14"/>
      <c r="O128" s="13"/>
      <c r="P128" s="14"/>
      <c r="Q128" s="14"/>
    </row>
    <row r="129" spans="1:17" x14ac:dyDescent="0.25">
      <c r="A129" s="22" t="s">
        <v>86</v>
      </c>
      <c r="B129" s="22" t="s">
        <v>12</v>
      </c>
      <c r="C129" s="22" t="s">
        <v>15</v>
      </c>
      <c r="D129" s="22" t="s">
        <v>100</v>
      </c>
      <c r="E129" s="23">
        <v>-7492213.43994141</v>
      </c>
      <c r="F129" s="23">
        <v>10.724141029641</v>
      </c>
      <c r="G129" s="22" t="s">
        <v>243</v>
      </c>
      <c r="H129" s="23">
        <v>4472102.3559570303</v>
      </c>
      <c r="I129" s="23">
        <v>6.3791865250095698</v>
      </c>
      <c r="J129" s="22" t="s">
        <v>100</v>
      </c>
      <c r="K129" s="23">
        <v>116242.416381836</v>
      </c>
      <c r="L129" s="23">
        <v>7.1205856511369306E-2</v>
      </c>
      <c r="M129" s="22" t="s">
        <v>14</v>
      </c>
      <c r="N129" s="14"/>
      <c r="O129" s="13"/>
      <c r="P129" s="14"/>
      <c r="Q129" s="14"/>
    </row>
    <row r="130" spans="1:17" x14ac:dyDescent="0.25">
      <c r="A130" s="22" t="s">
        <v>86</v>
      </c>
      <c r="B130" s="22" t="s">
        <v>12</v>
      </c>
      <c r="C130" s="22" t="s">
        <v>16</v>
      </c>
      <c r="D130" s="22" t="s">
        <v>100</v>
      </c>
      <c r="E130" s="23">
        <v>-1850827.7893066399</v>
      </c>
      <c r="F130" s="23">
        <v>2.6322744088247401</v>
      </c>
      <c r="G130" s="22" t="s">
        <v>245</v>
      </c>
      <c r="H130" s="23">
        <v>22980560.302734401</v>
      </c>
      <c r="I130" s="23">
        <v>33.5008488036692</v>
      </c>
      <c r="J130" s="22" t="s">
        <v>106</v>
      </c>
      <c r="K130" s="23">
        <v>105004.150390625</v>
      </c>
      <c r="L130" s="23">
        <v>5.2065815543755903E-2</v>
      </c>
      <c r="M130" s="22" t="s">
        <v>14</v>
      </c>
      <c r="N130" s="14"/>
      <c r="O130" s="13"/>
      <c r="P130" s="14"/>
      <c r="Q130" s="14"/>
    </row>
    <row r="131" spans="1:17" x14ac:dyDescent="0.25">
      <c r="A131" s="22" t="s">
        <v>87</v>
      </c>
      <c r="B131" s="22" t="s">
        <v>12</v>
      </c>
      <c r="C131" s="22" t="s">
        <v>13</v>
      </c>
      <c r="D131" s="22" t="s">
        <v>110</v>
      </c>
      <c r="E131" s="23">
        <v>-2482866.47796631</v>
      </c>
      <c r="F131" s="23">
        <v>3.5336872679181401</v>
      </c>
      <c r="G131" s="22" t="s">
        <v>97</v>
      </c>
      <c r="H131" s="23">
        <v>22469062.8051758</v>
      </c>
      <c r="I131" s="23">
        <v>32.734873238951003</v>
      </c>
      <c r="J131" s="22" t="s">
        <v>106</v>
      </c>
      <c r="K131" s="23">
        <v>108078.880310059</v>
      </c>
      <c r="L131" s="23">
        <v>5.7302432833239401E-2</v>
      </c>
      <c r="M131" s="22" t="s">
        <v>14</v>
      </c>
      <c r="N131" s="14"/>
      <c r="O131" s="13"/>
      <c r="P131" s="14"/>
      <c r="Q131" s="14"/>
    </row>
    <row r="132" spans="1:17" x14ac:dyDescent="0.25">
      <c r="A132" s="22" t="s">
        <v>87</v>
      </c>
      <c r="B132" s="22" t="s">
        <v>12</v>
      </c>
      <c r="C132" s="22" t="s">
        <v>15</v>
      </c>
      <c r="D132" s="22" t="s">
        <v>254</v>
      </c>
      <c r="E132" s="23">
        <v>-14957003.784179701</v>
      </c>
      <c r="F132" s="23">
        <v>21.595840808004102</v>
      </c>
      <c r="G132" s="22" t="s">
        <v>103</v>
      </c>
      <c r="H132" s="23">
        <v>0</v>
      </c>
      <c r="I132" s="23">
        <v>0</v>
      </c>
      <c r="J132" s="22" t="s">
        <v>106</v>
      </c>
      <c r="K132" s="23">
        <v>89908.294677734404</v>
      </c>
      <c r="L132" s="23">
        <v>5.02192589920014E-2</v>
      </c>
      <c r="M132" s="22" t="s">
        <v>14</v>
      </c>
      <c r="N132" s="14"/>
      <c r="O132" s="13"/>
      <c r="P132" s="14"/>
      <c r="Q132" s="14"/>
    </row>
    <row r="133" spans="1:17" x14ac:dyDescent="0.25">
      <c r="A133" s="22" t="s">
        <v>87</v>
      </c>
      <c r="B133" s="22" t="s">
        <v>12</v>
      </c>
      <c r="C133" s="22" t="s">
        <v>16</v>
      </c>
      <c r="D133" s="22" t="s">
        <v>247</v>
      </c>
      <c r="E133" s="23">
        <v>-4468721.0083007803</v>
      </c>
      <c r="F133" s="23">
        <v>6.3743384089320898</v>
      </c>
      <c r="G133" s="22" t="s">
        <v>96</v>
      </c>
      <c r="H133" s="23">
        <v>9825699.6154785194</v>
      </c>
      <c r="I133" s="23">
        <v>14.1021294984967</v>
      </c>
      <c r="J133" s="22" t="s">
        <v>254</v>
      </c>
      <c r="K133" s="23">
        <v>84929.588317871094</v>
      </c>
      <c r="L133" s="23">
        <v>5.02192589920014E-2</v>
      </c>
      <c r="M133" s="22" t="s">
        <v>14</v>
      </c>
      <c r="N133" s="14"/>
      <c r="O133" s="13"/>
      <c r="P133" s="14"/>
      <c r="Q133" s="14"/>
    </row>
    <row r="134" spans="1:17" x14ac:dyDescent="0.25">
      <c r="A134" s="22" t="s">
        <v>88</v>
      </c>
      <c r="B134" s="22" t="s">
        <v>12</v>
      </c>
      <c r="C134" s="22" t="s">
        <v>13</v>
      </c>
      <c r="D134" s="22" t="s">
        <v>103</v>
      </c>
      <c r="E134" s="23">
        <v>0</v>
      </c>
      <c r="F134" s="23">
        <v>0</v>
      </c>
      <c r="G134" s="22" t="s">
        <v>247</v>
      </c>
      <c r="H134" s="23">
        <v>33241851.806640599</v>
      </c>
      <c r="I134" s="23">
        <v>48.575019463896801</v>
      </c>
      <c r="J134" s="22" t="s">
        <v>266</v>
      </c>
      <c r="K134" s="23">
        <v>178716.812133789</v>
      </c>
      <c r="L134" s="23">
        <v>0.13535079779103401</v>
      </c>
      <c r="M134" s="22" t="s">
        <v>14</v>
      </c>
      <c r="N134" s="14"/>
      <c r="O134" s="13"/>
      <c r="P134" s="14"/>
      <c r="Q134" s="14"/>
    </row>
    <row r="135" spans="1:17" x14ac:dyDescent="0.25">
      <c r="A135" s="22" t="s">
        <v>88</v>
      </c>
      <c r="B135" s="22" t="s">
        <v>12</v>
      </c>
      <c r="C135" s="22" t="s">
        <v>15</v>
      </c>
      <c r="D135" s="22" t="s">
        <v>254</v>
      </c>
      <c r="E135" s="23">
        <v>-34919494.628906302</v>
      </c>
      <c r="F135" s="23">
        <v>51.105269230902202</v>
      </c>
      <c r="G135" s="22" t="s">
        <v>103</v>
      </c>
      <c r="H135" s="23">
        <v>0</v>
      </c>
      <c r="I135" s="23">
        <v>0</v>
      </c>
      <c r="J135" s="22" t="s">
        <v>96</v>
      </c>
      <c r="K135" s="23">
        <v>257178.34472656299</v>
      </c>
      <c r="L135" s="23">
        <v>0.26897964999079699</v>
      </c>
      <c r="M135" s="22" t="s">
        <v>14</v>
      </c>
      <c r="N135" s="14"/>
      <c r="O135" s="13"/>
      <c r="P135" s="14"/>
      <c r="Q135" s="14"/>
    </row>
    <row r="136" spans="1:17" x14ac:dyDescent="0.25">
      <c r="A136" s="22" t="s">
        <v>88</v>
      </c>
      <c r="B136" s="22" t="s">
        <v>12</v>
      </c>
      <c r="C136" s="22" t="s">
        <v>16</v>
      </c>
      <c r="D136" s="22" t="s">
        <v>103</v>
      </c>
      <c r="E136" s="23">
        <v>0</v>
      </c>
      <c r="F136" s="23">
        <v>0</v>
      </c>
      <c r="G136" s="22" t="s">
        <v>96</v>
      </c>
      <c r="H136" s="23">
        <v>57161962.890625</v>
      </c>
      <c r="I136" s="23">
        <v>85.448008030653</v>
      </c>
      <c r="J136" s="22" t="s">
        <v>96</v>
      </c>
      <c r="K136" s="23">
        <v>289291.77856445301</v>
      </c>
      <c r="L136" s="23">
        <v>0.32367249950766602</v>
      </c>
      <c r="M136" s="22" t="s">
        <v>14</v>
      </c>
      <c r="N136" s="14"/>
      <c r="O136" s="13"/>
      <c r="P136" s="14"/>
      <c r="Q136" s="14"/>
    </row>
    <row r="137" spans="1:17" x14ac:dyDescent="0.25">
      <c r="A137" s="22" t="s">
        <v>89</v>
      </c>
      <c r="B137" s="22" t="s">
        <v>12</v>
      </c>
      <c r="C137" s="22" t="s">
        <v>13</v>
      </c>
      <c r="D137" s="22" t="s">
        <v>297</v>
      </c>
      <c r="E137" s="23">
        <v>-4219692.2302246103</v>
      </c>
      <c r="F137" s="23">
        <v>6.0174119425937498</v>
      </c>
      <c r="G137" s="22" t="s">
        <v>96</v>
      </c>
      <c r="H137" s="23">
        <v>8469552.6123046894</v>
      </c>
      <c r="I137" s="23">
        <v>12.1367175597697</v>
      </c>
      <c r="J137" s="22" t="s">
        <v>254</v>
      </c>
      <c r="K137" s="23">
        <v>34318.832397460901</v>
      </c>
      <c r="L137" s="23">
        <v>0</v>
      </c>
      <c r="M137" s="22" t="s">
        <v>14</v>
      </c>
      <c r="N137" s="14"/>
      <c r="O137" s="13"/>
      <c r="P137" s="14"/>
      <c r="Q137" s="14"/>
    </row>
    <row r="138" spans="1:17" x14ac:dyDescent="0.25">
      <c r="A138" s="22" t="s">
        <v>89</v>
      </c>
      <c r="B138" s="22" t="s">
        <v>12</v>
      </c>
      <c r="C138" s="22" t="s">
        <v>15</v>
      </c>
      <c r="D138" s="22" t="s">
        <v>254</v>
      </c>
      <c r="E138" s="23">
        <v>-9827078.2470703106</v>
      </c>
      <c r="F138" s="23">
        <v>14.104130677878899</v>
      </c>
      <c r="G138" s="22" t="s">
        <v>103</v>
      </c>
      <c r="H138" s="23">
        <v>0</v>
      </c>
      <c r="I138" s="23">
        <v>0</v>
      </c>
      <c r="J138" s="22" t="s">
        <v>254</v>
      </c>
      <c r="K138" s="23">
        <v>7171.3476181030301</v>
      </c>
      <c r="L138" s="23">
        <v>0</v>
      </c>
      <c r="M138" s="22" t="s">
        <v>14</v>
      </c>
      <c r="N138" s="14"/>
      <c r="O138" s="13"/>
      <c r="P138" s="14"/>
      <c r="Q138" s="14"/>
    </row>
    <row r="139" spans="1:17" x14ac:dyDescent="0.25">
      <c r="A139" s="22" t="s">
        <v>89</v>
      </c>
      <c r="B139" s="22" t="s">
        <v>12</v>
      </c>
      <c r="C139" s="22" t="s">
        <v>16</v>
      </c>
      <c r="D139" s="22" t="s">
        <v>297</v>
      </c>
      <c r="E139" s="23">
        <v>-5042500.6866455097</v>
      </c>
      <c r="F139" s="23">
        <v>7.1974954335019001</v>
      </c>
      <c r="G139" s="22" t="s">
        <v>96</v>
      </c>
      <c r="H139" s="23">
        <v>6324730.6823730497</v>
      </c>
      <c r="I139" s="23">
        <v>9.0409308904781902</v>
      </c>
      <c r="J139" s="22" t="s">
        <v>266</v>
      </c>
      <c r="K139" s="23">
        <v>7397.9845046997098</v>
      </c>
      <c r="L139" s="23">
        <v>0</v>
      </c>
      <c r="M139" s="22" t="s">
        <v>14</v>
      </c>
      <c r="N139" s="14"/>
      <c r="O139" s="13"/>
      <c r="P139" s="14"/>
      <c r="Q139" s="14"/>
    </row>
    <row r="140" spans="1:17" x14ac:dyDescent="0.25">
      <c r="A140" s="22" t="s">
        <v>90</v>
      </c>
      <c r="B140" s="22" t="s">
        <v>12</v>
      </c>
      <c r="C140" s="22" t="s">
        <v>13</v>
      </c>
      <c r="D140" s="22" t="s">
        <v>100</v>
      </c>
      <c r="E140" s="23">
        <v>-11246936.798095699</v>
      </c>
      <c r="F140" s="23">
        <v>16.116021433845201</v>
      </c>
      <c r="G140" s="22" t="s">
        <v>254</v>
      </c>
      <c r="H140" s="23">
        <v>44207974.2431641</v>
      </c>
      <c r="I140" s="23">
        <v>65.262881107628303</v>
      </c>
      <c r="J140" s="22" t="s">
        <v>254</v>
      </c>
      <c r="K140" s="23">
        <v>116754.341125488</v>
      </c>
      <c r="L140" s="23">
        <v>6.6959013929590597E-2</v>
      </c>
      <c r="M140" s="22" t="s">
        <v>14</v>
      </c>
      <c r="N140" s="14"/>
      <c r="O140" s="13"/>
      <c r="P140" s="14"/>
      <c r="Q140" s="14"/>
    </row>
    <row r="141" spans="1:17" x14ac:dyDescent="0.25">
      <c r="A141" s="22" t="s">
        <v>90</v>
      </c>
      <c r="B141" s="22" t="s">
        <v>12</v>
      </c>
      <c r="C141" s="22" t="s">
        <v>15</v>
      </c>
      <c r="D141" s="22" t="s">
        <v>254</v>
      </c>
      <c r="E141" s="23">
        <v>-40018789.6728516</v>
      </c>
      <c r="F141" s="23">
        <v>58.846110478043599</v>
      </c>
      <c r="G141" s="22" t="s">
        <v>100</v>
      </c>
      <c r="H141" s="23">
        <v>15529411.315918</v>
      </c>
      <c r="I141" s="23">
        <v>22.3354762420058</v>
      </c>
      <c r="J141" s="22" t="s">
        <v>254</v>
      </c>
      <c r="K141" s="23">
        <v>123373.832702637</v>
      </c>
      <c r="L141" s="23">
        <v>6.6959013929590597E-2</v>
      </c>
      <c r="M141" s="22" t="s">
        <v>14</v>
      </c>
      <c r="N141" s="14"/>
      <c r="O141" s="13"/>
      <c r="P141" s="14"/>
      <c r="Q141" s="14"/>
    </row>
    <row r="142" spans="1:17" x14ac:dyDescent="0.25">
      <c r="A142" s="22" t="s">
        <v>90</v>
      </c>
      <c r="B142" s="22" t="s">
        <v>12</v>
      </c>
      <c r="C142" s="22" t="s">
        <v>16</v>
      </c>
      <c r="D142" s="22" t="s">
        <v>103</v>
      </c>
      <c r="E142" s="23">
        <v>0</v>
      </c>
      <c r="F142" s="23">
        <v>0</v>
      </c>
      <c r="G142" s="22" t="s">
        <v>100</v>
      </c>
      <c r="H142" s="23">
        <v>60277209.472656302</v>
      </c>
      <c r="I142" s="23">
        <v>90.382779017090797</v>
      </c>
      <c r="J142" s="22" t="s">
        <v>100</v>
      </c>
      <c r="K142" s="23">
        <v>53168.735504150398</v>
      </c>
      <c r="L142" s="23">
        <v>6.6959013929590597E-2</v>
      </c>
      <c r="M142" s="22" t="s">
        <v>14</v>
      </c>
      <c r="N142" s="14"/>
      <c r="O142" s="13"/>
      <c r="P142" s="14"/>
      <c r="Q142" s="14"/>
    </row>
    <row r="143" spans="1:17" x14ac:dyDescent="0.25">
      <c r="A143" s="22" t="s">
        <v>78</v>
      </c>
      <c r="B143" s="22" t="s">
        <v>12</v>
      </c>
      <c r="C143" s="22" t="s">
        <v>13</v>
      </c>
      <c r="D143" s="22" t="s">
        <v>110</v>
      </c>
      <c r="E143" s="23">
        <v>-13708395.385742201</v>
      </c>
      <c r="F143" s="23">
        <v>19.6850788779557</v>
      </c>
      <c r="G143" s="22" t="s">
        <v>97</v>
      </c>
      <c r="H143" s="23">
        <v>81840820.3125</v>
      </c>
      <c r="I143" s="23">
        <v>125.468317419291</v>
      </c>
      <c r="J143" s="22" t="s">
        <v>97</v>
      </c>
      <c r="K143" s="23">
        <v>82772.3388671875</v>
      </c>
      <c r="L143" s="23">
        <v>6.6959013929590597E-2</v>
      </c>
      <c r="M143" s="22" t="s">
        <v>14</v>
      </c>
      <c r="N143" s="14"/>
      <c r="O143" s="13"/>
      <c r="P143" s="14"/>
      <c r="Q143" s="14"/>
    </row>
    <row r="144" spans="1:17" x14ac:dyDescent="0.25">
      <c r="A144" s="22" t="s">
        <v>78</v>
      </c>
      <c r="B144" s="22" t="s">
        <v>12</v>
      </c>
      <c r="C144" s="22" t="s">
        <v>15</v>
      </c>
      <c r="D144" s="22" t="s">
        <v>97</v>
      </c>
      <c r="E144" s="23">
        <v>-85887249.755859405</v>
      </c>
      <c r="F144" s="23">
        <v>132.244564592838</v>
      </c>
      <c r="G144" s="22" t="s">
        <v>97</v>
      </c>
      <c r="H144" s="23">
        <v>5471166.9921875</v>
      </c>
      <c r="I144" s="23">
        <v>7.8010233119130099</v>
      </c>
      <c r="J144" s="22" t="s">
        <v>97</v>
      </c>
      <c r="K144" s="23">
        <v>74694.4580078125</v>
      </c>
      <c r="L144" s="23">
        <v>6.6959013929590597E-2</v>
      </c>
      <c r="M144" s="22" t="s">
        <v>14</v>
      </c>
      <c r="N144" s="14"/>
      <c r="O144" s="13"/>
      <c r="P144" s="14"/>
      <c r="Q144" s="14"/>
    </row>
    <row r="145" spans="1:17" x14ac:dyDescent="0.25">
      <c r="A145" s="22" t="s">
        <v>78</v>
      </c>
      <c r="B145" s="22" t="s">
        <v>12</v>
      </c>
      <c r="C145" s="22" t="s">
        <v>16</v>
      </c>
      <c r="D145" s="22" t="s">
        <v>97</v>
      </c>
      <c r="E145" s="23">
        <v>-82599334.716796905</v>
      </c>
      <c r="F145" s="23">
        <v>126.73366814851801</v>
      </c>
      <c r="G145" s="22" t="s">
        <v>266</v>
      </c>
      <c r="H145" s="23">
        <v>2947387.88604736</v>
      </c>
      <c r="I145" s="23">
        <v>4.1935185436159399</v>
      </c>
      <c r="J145" s="22" t="s">
        <v>97</v>
      </c>
      <c r="K145" s="23">
        <v>33471.000671386697</v>
      </c>
      <c r="L145" s="23">
        <v>0</v>
      </c>
      <c r="M145" s="22" t="s">
        <v>14</v>
      </c>
      <c r="N145" s="14"/>
      <c r="O145" s="13"/>
      <c r="P145" s="14"/>
      <c r="Q145" s="14"/>
    </row>
    <row r="146" spans="1:17" x14ac:dyDescent="0.25">
      <c r="A146" s="22" t="s">
        <v>285</v>
      </c>
      <c r="B146" s="22" t="s">
        <v>12</v>
      </c>
      <c r="C146" s="22" t="s">
        <v>13</v>
      </c>
      <c r="D146" s="22" t="s">
        <v>97</v>
      </c>
      <c r="E146" s="23">
        <v>-11275533.294677701</v>
      </c>
      <c r="F146" s="23">
        <v>16.157397767528899</v>
      </c>
      <c r="G146" s="22" t="s">
        <v>101</v>
      </c>
      <c r="H146" s="23">
        <v>84626312.255859405</v>
      </c>
      <c r="I146" s="23">
        <v>130.12608513236</v>
      </c>
      <c r="J146" s="22" t="s">
        <v>106</v>
      </c>
      <c r="K146" s="23">
        <v>198548.78234863299</v>
      </c>
      <c r="L146" s="23">
        <v>0.169126864057034</v>
      </c>
      <c r="M146" s="22" t="s">
        <v>14</v>
      </c>
      <c r="N146" s="14"/>
      <c r="O146" s="13"/>
      <c r="P146" s="14"/>
      <c r="Q146" s="14"/>
    </row>
    <row r="147" spans="1:17" x14ac:dyDescent="0.25">
      <c r="A147" s="22" t="s">
        <v>285</v>
      </c>
      <c r="B147" s="22" t="s">
        <v>12</v>
      </c>
      <c r="C147" s="22" t="s">
        <v>15</v>
      </c>
      <c r="D147" s="22" t="s">
        <v>97</v>
      </c>
      <c r="E147" s="23">
        <v>-45662750.244140603</v>
      </c>
      <c r="F147" s="23">
        <v>100.98067112267</v>
      </c>
      <c r="G147" s="22" t="s">
        <v>103</v>
      </c>
      <c r="H147" s="23">
        <v>0</v>
      </c>
      <c r="I147" s="23">
        <v>33.477053511887803</v>
      </c>
      <c r="J147" s="22" t="s">
        <v>106</v>
      </c>
      <c r="K147" s="23">
        <v>65465.2099609375</v>
      </c>
      <c r="L147" s="23">
        <v>6.6959013929590597E-2</v>
      </c>
      <c r="M147" s="22" t="s">
        <v>14</v>
      </c>
      <c r="N147" s="14"/>
      <c r="O147" s="13"/>
      <c r="P147" s="14"/>
      <c r="Q147" s="14"/>
    </row>
    <row r="148" spans="1:17" x14ac:dyDescent="0.25">
      <c r="A148" s="22" t="s">
        <v>285</v>
      </c>
      <c r="B148" s="22" t="s">
        <v>12</v>
      </c>
      <c r="C148" s="22" t="s">
        <v>16</v>
      </c>
      <c r="D148" s="22" t="s">
        <v>103</v>
      </c>
      <c r="E148" s="23">
        <v>0</v>
      </c>
      <c r="F148" s="23">
        <v>0</v>
      </c>
      <c r="G148" s="22" t="s">
        <v>97</v>
      </c>
      <c r="H148" s="23">
        <v>66115130.615234397</v>
      </c>
      <c r="I148" s="23">
        <v>99.718421697616606</v>
      </c>
      <c r="J148" s="22" t="s">
        <v>97</v>
      </c>
      <c r="K148" s="23">
        <v>123968.84918212899</v>
      </c>
      <c r="L148" s="23">
        <v>6.6959013929590597E-2</v>
      </c>
      <c r="M148" s="22" t="s">
        <v>14</v>
      </c>
      <c r="N148" s="14"/>
      <c r="O148" s="13"/>
      <c r="P148" s="14"/>
      <c r="Q148" s="14"/>
    </row>
    <row r="149" spans="1:17" x14ac:dyDescent="0.25">
      <c r="A149" s="22" t="s">
        <v>286</v>
      </c>
      <c r="B149" s="22" t="s">
        <v>12</v>
      </c>
      <c r="C149" s="22" t="s">
        <v>13</v>
      </c>
      <c r="D149" s="22" t="s">
        <v>100</v>
      </c>
      <c r="E149" s="23">
        <v>-63638311.767578103</v>
      </c>
      <c r="F149" s="23">
        <v>95.743443816900296</v>
      </c>
      <c r="G149" s="22" t="s">
        <v>97</v>
      </c>
      <c r="H149" s="23">
        <v>800507.35473632801</v>
      </c>
      <c r="I149" s="23">
        <v>1.1368936975486601</v>
      </c>
      <c r="J149" s="22" t="s">
        <v>100</v>
      </c>
      <c r="K149" s="23">
        <v>245353.56140136701</v>
      </c>
      <c r="L149" s="23">
        <v>0.24884073063731199</v>
      </c>
      <c r="M149" s="22" t="s">
        <v>14</v>
      </c>
      <c r="N149" s="14"/>
      <c r="O149" s="13"/>
      <c r="P149" s="14"/>
      <c r="Q149" s="14"/>
    </row>
    <row r="150" spans="1:17" x14ac:dyDescent="0.25">
      <c r="A150" s="22" t="s">
        <v>286</v>
      </c>
      <c r="B150" s="22" t="s">
        <v>12</v>
      </c>
      <c r="C150" s="22" t="s">
        <v>15</v>
      </c>
      <c r="D150" s="22" t="s">
        <v>100</v>
      </c>
      <c r="E150" s="23">
        <v>-96254351.806640595</v>
      </c>
      <c r="F150" s="23">
        <v>149.90693889558301</v>
      </c>
      <c r="G150" s="22" t="s">
        <v>103</v>
      </c>
      <c r="H150" s="23">
        <v>0</v>
      </c>
      <c r="I150" s="23">
        <v>0</v>
      </c>
      <c r="J150" s="22" t="s">
        <v>100</v>
      </c>
      <c r="K150" s="23">
        <v>264647.82714843802</v>
      </c>
      <c r="L150" s="23">
        <v>0.28170105069875701</v>
      </c>
      <c r="M150" s="22" t="s">
        <v>14</v>
      </c>
      <c r="N150" s="14"/>
      <c r="O150" s="13"/>
      <c r="P150" s="14"/>
      <c r="Q150" s="14"/>
    </row>
    <row r="151" spans="1:17" x14ac:dyDescent="0.25">
      <c r="A151" s="22" t="s">
        <v>286</v>
      </c>
      <c r="B151" s="22" t="s">
        <v>12</v>
      </c>
      <c r="C151" s="22" t="s">
        <v>16</v>
      </c>
      <c r="D151" s="22" t="s">
        <v>245</v>
      </c>
      <c r="E151" s="23">
        <v>-26157281.494140599</v>
      </c>
      <c r="F151" s="23">
        <v>37.9774207249284</v>
      </c>
      <c r="G151" s="22" t="s">
        <v>100</v>
      </c>
      <c r="H151" s="23">
        <v>77534820.556640595</v>
      </c>
      <c r="I151" s="23">
        <v>118.32676827907601</v>
      </c>
      <c r="J151" s="22" t="s">
        <v>100</v>
      </c>
      <c r="K151" s="23">
        <v>398222.04589843802</v>
      </c>
      <c r="L151" s="23">
        <v>0.50919307395815805</v>
      </c>
      <c r="M151" s="22" t="s">
        <v>14</v>
      </c>
      <c r="N151" s="14"/>
      <c r="O151" s="13"/>
      <c r="P151" s="14"/>
      <c r="Q151" s="14"/>
    </row>
    <row r="152" spans="1:17" x14ac:dyDescent="0.25">
      <c r="A152" s="22" t="s">
        <v>287</v>
      </c>
      <c r="B152" s="22" t="s">
        <v>12</v>
      </c>
      <c r="C152" s="22" t="s">
        <v>13</v>
      </c>
      <c r="D152" s="22" t="s">
        <v>103</v>
      </c>
      <c r="E152" s="23">
        <v>0</v>
      </c>
      <c r="F152" s="23">
        <v>0</v>
      </c>
      <c r="G152" s="22" t="s">
        <v>100</v>
      </c>
      <c r="H152" s="23">
        <v>62371252.441406302</v>
      </c>
      <c r="I152" s="23">
        <v>93.718096613884001</v>
      </c>
      <c r="J152" s="22" t="s">
        <v>100</v>
      </c>
      <c r="K152" s="23">
        <v>265589.111328125</v>
      </c>
      <c r="L152" s="23">
        <v>0.28330415952950699</v>
      </c>
      <c r="M152" s="22" t="s">
        <v>14</v>
      </c>
      <c r="N152" s="14"/>
      <c r="O152" s="13"/>
      <c r="P152" s="14"/>
      <c r="Q152" s="14"/>
    </row>
    <row r="153" spans="1:17" x14ac:dyDescent="0.25">
      <c r="A153" s="22" t="s">
        <v>287</v>
      </c>
      <c r="B153" s="22" t="s">
        <v>12</v>
      </c>
      <c r="C153" s="22" t="s">
        <v>15</v>
      </c>
      <c r="D153" s="22" t="s">
        <v>100</v>
      </c>
      <c r="E153" s="23">
        <v>-13656433.1054688</v>
      </c>
      <c r="F153" s="23">
        <v>19.609576556831598</v>
      </c>
      <c r="G153" s="22" t="s">
        <v>245</v>
      </c>
      <c r="H153" s="23">
        <v>5064122.3907470703</v>
      </c>
      <c r="I153" s="23">
        <v>7.2181405266746896</v>
      </c>
      <c r="J153" s="22" t="s">
        <v>100</v>
      </c>
      <c r="K153" s="23">
        <v>272133.42285156302</v>
      </c>
      <c r="L153" s="23">
        <v>0.294449832290411</v>
      </c>
      <c r="M153" s="22" t="s">
        <v>14</v>
      </c>
      <c r="N153" s="14"/>
      <c r="O153" s="13"/>
      <c r="P153" s="14"/>
      <c r="Q153" s="14"/>
    </row>
    <row r="154" spans="1:17" x14ac:dyDescent="0.25">
      <c r="A154" s="22" t="s">
        <v>287</v>
      </c>
      <c r="B154" s="22" t="s">
        <v>12</v>
      </c>
      <c r="C154" s="22" t="s">
        <v>16</v>
      </c>
      <c r="D154" s="22" t="s">
        <v>103</v>
      </c>
      <c r="E154" s="23">
        <v>0</v>
      </c>
      <c r="F154" s="23">
        <v>0</v>
      </c>
      <c r="G154" s="22" t="s">
        <v>245</v>
      </c>
      <c r="H154" s="23">
        <v>25994314.575195301</v>
      </c>
      <c r="I154" s="23">
        <v>37.735279183834798</v>
      </c>
      <c r="J154" s="22" t="s">
        <v>297</v>
      </c>
      <c r="K154" s="23">
        <v>135217.620849609</v>
      </c>
      <c r="L154" s="23">
        <v>6.6959013929590597E-2</v>
      </c>
      <c r="M154" s="22" t="s">
        <v>14</v>
      </c>
      <c r="N154" s="14"/>
      <c r="O154" s="13"/>
      <c r="P154" s="14"/>
      <c r="Q154" s="14"/>
    </row>
    <row r="155" spans="1:17" x14ac:dyDescent="0.25">
      <c r="A155" s="22" t="s">
        <v>288</v>
      </c>
      <c r="B155" s="22" t="s">
        <v>12</v>
      </c>
      <c r="C155" s="22" t="s">
        <v>13</v>
      </c>
      <c r="D155" s="22" t="s">
        <v>103</v>
      </c>
      <c r="E155" s="23">
        <v>0</v>
      </c>
      <c r="F155" s="23">
        <v>0</v>
      </c>
      <c r="G155" s="22" t="s">
        <v>97</v>
      </c>
      <c r="H155" s="23">
        <v>32887701.416015599</v>
      </c>
      <c r="I155" s="23">
        <v>48.041911795735402</v>
      </c>
      <c r="J155" s="22" t="s">
        <v>106</v>
      </c>
      <c r="K155" s="23">
        <v>213620.55969238299</v>
      </c>
      <c r="L155" s="23">
        <v>0.19479581387713599</v>
      </c>
      <c r="M155" s="22" t="s">
        <v>14</v>
      </c>
      <c r="N155" s="14"/>
      <c r="O155" s="13"/>
      <c r="P155" s="14"/>
      <c r="Q155" s="14"/>
    </row>
    <row r="156" spans="1:17" x14ac:dyDescent="0.25">
      <c r="A156" s="22" t="s">
        <v>288</v>
      </c>
      <c r="B156" s="22" t="s">
        <v>12</v>
      </c>
      <c r="C156" s="22" t="s">
        <v>15</v>
      </c>
      <c r="D156" s="22" t="s">
        <v>254</v>
      </c>
      <c r="E156" s="23">
        <v>-31145449.8291016</v>
      </c>
      <c r="F156" s="23">
        <v>45.424439013004303</v>
      </c>
      <c r="G156" s="22" t="s">
        <v>103</v>
      </c>
      <c r="H156" s="23">
        <v>0</v>
      </c>
      <c r="I156" s="23">
        <v>0</v>
      </c>
      <c r="J156" s="22" t="s">
        <v>106</v>
      </c>
      <c r="K156" s="23">
        <v>220369.20166015599</v>
      </c>
      <c r="L156" s="23">
        <v>0.206289510242641</v>
      </c>
      <c r="M156" s="22" t="s">
        <v>14</v>
      </c>
      <c r="N156" s="14"/>
      <c r="O156" s="13"/>
      <c r="P156" s="14"/>
      <c r="Q156" s="14"/>
    </row>
    <row r="157" spans="1:17" x14ac:dyDescent="0.25">
      <c r="A157" s="22" t="s">
        <v>288</v>
      </c>
      <c r="B157" s="22" t="s">
        <v>12</v>
      </c>
      <c r="C157" s="22" t="s">
        <v>16</v>
      </c>
      <c r="D157" s="22" t="s">
        <v>101</v>
      </c>
      <c r="E157" s="23">
        <v>-8432499.6948242206</v>
      </c>
      <c r="F157" s="23">
        <v>12.053890386596301</v>
      </c>
      <c r="G157" s="22" t="s">
        <v>96</v>
      </c>
      <c r="H157" s="23">
        <v>22245724.487304699</v>
      </c>
      <c r="I157" s="23">
        <v>32.185441814363003</v>
      </c>
      <c r="J157" s="22" t="s">
        <v>96</v>
      </c>
      <c r="K157" s="23">
        <v>187247.711181641</v>
      </c>
      <c r="L157" s="23">
        <v>0.14987986069172601</v>
      </c>
      <c r="M157" s="22" t="s">
        <v>14</v>
      </c>
      <c r="N157" s="14"/>
      <c r="O157" s="13"/>
      <c r="P157" s="14"/>
      <c r="Q157" s="14"/>
    </row>
    <row r="158" spans="1:17" x14ac:dyDescent="0.25">
      <c r="A158" s="22" t="s">
        <v>289</v>
      </c>
      <c r="B158" s="22" t="s">
        <v>12</v>
      </c>
      <c r="C158" s="22" t="s">
        <v>13</v>
      </c>
      <c r="D158" s="22" t="s">
        <v>109</v>
      </c>
      <c r="E158" s="23">
        <v>-3680411.14807129</v>
      </c>
      <c r="F158" s="23">
        <v>5.2397092804312697</v>
      </c>
      <c r="G158" s="22" t="s">
        <v>96</v>
      </c>
      <c r="H158" s="23">
        <v>22836480.712890599</v>
      </c>
      <c r="I158" s="23">
        <v>33.057546243071599</v>
      </c>
      <c r="J158" s="22" t="s">
        <v>254</v>
      </c>
      <c r="K158" s="23">
        <v>21369.256973266602</v>
      </c>
      <c r="L158" s="23">
        <v>0</v>
      </c>
      <c r="M158" s="22" t="s">
        <v>14</v>
      </c>
      <c r="N158" s="14"/>
      <c r="O158" s="13"/>
      <c r="P158" s="14"/>
      <c r="Q158" s="14"/>
    </row>
    <row r="159" spans="1:17" x14ac:dyDescent="0.25">
      <c r="A159" s="22" t="s">
        <v>289</v>
      </c>
      <c r="B159" s="22" t="s">
        <v>12</v>
      </c>
      <c r="C159" s="22" t="s">
        <v>15</v>
      </c>
      <c r="D159" s="22" t="s">
        <v>101</v>
      </c>
      <c r="E159" s="23">
        <v>-7135184.4787597703</v>
      </c>
      <c r="F159" s="23">
        <v>10.188107844442101</v>
      </c>
      <c r="G159" s="22" t="s">
        <v>108</v>
      </c>
      <c r="H159" s="23">
        <v>18210083.0078125</v>
      </c>
      <c r="I159" s="23">
        <v>26.252667885273699</v>
      </c>
      <c r="J159" s="22" t="s">
        <v>96</v>
      </c>
      <c r="K159" s="23">
        <v>25079.656600952199</v>
      </c>
      <c r="L159" s="23">
        <v>0</v>
      </c>
      <c r="M159" s="22" t="s">
        <v>14</v>
      </c>
      <c r="N159" s="14"/>
      <c r="O159" s="13"/>
      <c r="P159" s="14"/>
      <c r="Q159" s="14"/>
    </row>
    <row r="160" spans="1:17" x14ac:dyDescent="0.25">
      <c r="A160" s="22" t="s">
        <v>289</v>
      </c>
      <c r="B160" s="22" t="s">
        <v>12</v>
      </c>
      <c r="C160" s="22" t="s">
        <v>16</v>
      </c>
      <c r="D160" s="22" t="s">
        <v>103</v>
      </c>
      <c r="E160" s="23">
        <v>0</v>
      </c>
      <c r="F160" s="23">
        <v>0</v>
      </c>
      <c r="G160" s="22" t="s">
        <v>108</v>
      </c>
      <c r="H160" s="23">
        <v>18721304.3212891</v>
      </c>
      <c r="I160" s="23">
        <v>27.001830749213699</v>
      </c>
      <c r="J160" s="22" t="s">
        <v>254</v>
      </c>
      <c r="K160" s="23">
        <v>9302.2356033325195</v>
      </c>
      <c r="L160" s="23">
        <v>0</v>
      </c>
      <c r="M160" s="22" t="s">
        <v>14</v>
      </c>
      <c r="N160" s="14"/>
      <c r="O160" s="13"/>
      <c r="P160" s="14"/>
      <c r="Q160" s="14"/>
    </row>
    <row r="161" spans="1:17" x14ac:dyDescent="0.25">
      <c r="A161" s="22" t="s">
        <v>290</v>
      </c>
      <c r="B161" s="22" t="s">
        <v>12</v>
      </c>
      <c r="C161" s="22" t="s">
        <v>13</v>
      </c>
      <c r="D161" s="22" t="s">
        <v>101</v>
      </c>
      <c r="E161" s="23">
        <v>-4119931.7932128902</v>
      </c>
      <c r="F161" s="23">
        <v>5.8676308253779998</v>
      </c>
      <c r="G161" s="22" t="s">
        <v>108</v>
      </c>
      <c r="H161" s="23">
        <v>12712228.393554701</v>
      </c>
      <c r="I161" s="23">
        <v>18.238803604617701</v>
      </c>
      <c r="J161" s="22" t="s">
        <v>96</v>
      </c>
      <c r="K161" s="23">
        <v>46411.3349914551</v>
      </c>
      <c r="L161" s="23">
        <v>0</v>
      </c>
      <c r="M161" s="22" t="s">
        <v>14</v>
      </c>
      <c r="N161" s="14"/>
      <c r="O161" s="13"/>
      <c r="P161" s="14"/>
      <c r="Q161" s="14"/>
    </row>
    <row r="162" spans="1:17" x14ac:dyDescent="0.25">
      <c r="A162" s="22" t="s">
        <v>290</v>
      </c>
      <c r="B162" s="22" t="s">
        <v>12</v>
      </c>
      <c r="C162" s="22" t="s">
        <v>15</v>
      </c>
      <c r="D162" s="22" t="s">
        <v>254</v>
      </c>
      <c r="E162" s="23">
        <v>-5801616.66870117</v>
      </c>
      <c r="F162" s="23">
        <v>8.2745210966095293</v>
      </c>
      <c r="G162" s="22" t="s">
        <v>101</v>
      </c>
      <c r="H162" s="23">
        <v>39258715.8203125</v>
      </c>
      <c r="I162" s="23">
        <v>57.687475346028798</v>
      </c>
      <c r="J162" s="22" t="s">
        <v>96</v>
      </c>
      <c r="K162" s="23">
        <v>50341.114044189497</v>
      </c>
      <c r="L162" s="23">
        <v>6.6959013929590597E-2</v>
      </c>
      <c r="M162" s="22" t="s">
        <v>14</v>
      </c>
      <c r="N162" s="14"/>
      <c r="O162" s="13"/>
      <c r="P162" s="14"/>
      <c r="Q162" s="14"/>
    </row>
    <row r="163" spans="1:17" x14ac:dyDescent="0.25">
      <c r="A163" s="22" t="s">
        <v>290</v>
      </c>
      <c r="B163" s="22" t="s">
        <v>12</v>
      </c>
      <c r="C163" s="22" t="s">
        <v>16</v>
      </c>
      <c r="D163" s="22" t="s">
        <v>103</v>
      </c>
      <c r="E163" s="23">
        <v>0</v>
      </c>
      <c r="F163" s="23">
        <v>0</v>
      </c>
      <c r="G163" s="22" t="s">
        <v>101</v>
      </c>
      <c r="H163" s="23">
        <v>66765441.894531302</v>
      </c>
      <c r="I163" s="23">
        <v>100.76561011374</v>
      </c>
      <c r="J163" s="22" t="s">
        <v>101</v>
      </c>
      <c r="K163" s="23">
        <v>21070.785522460901</v>
      </c>
      <c r="L163" s="23">
        <v>0</v>
      </c>
      <c r="M163" s="22" t="s">
        <v>14</v>
      </c>
      <c r="N163" s="14"/>
      <c r="O163" s="13"/>
      <c r="P163" s="14"/>
      <c r="Q163" s="14"/>
    </row>
    <row r="164" spans="1:17" x14ac:dyDescent="0.25">
      <c r="A164" s="22" t="s">
        <v>291</v>
      </c>
      <c r="B164" s="22" t="s">
        <v>12</v>
      </c>
      <c r="C164" s="22" t="s">
        <v>13</v>
      </c>
      <c r="D164" s="22" t="s">
        <v>111</v>
      </c>
      <c r="E164" s="23">
        <v>-29747702.026367199</v>
      </c>
      <c r="F164" s="23">
        <v>43.330714106559803</v>
      </c>
      <c r="G164" s="22" t="s">
        <v>101</v>
      </c>
      <c r="H164" s="23">
        <v>71518554.6875</v>
      </c>
      <c r="I164" s="23">
        <v>108.464686200023</v>
      </c>
      <c r="J164" s="22" t="s">
        <v>101</v>
      </c>
      <c r="K164" s="23">
        <v>84860.626220703096</v>
      </c>
      <c r="L164" s="23">
        <v>6.6959013929590597E-2</v>
      </c>
      <c r="M164" s="22" t="s">
        <v>14</v>
      </c>
      <c r="N164" s="14"/>
      <c r="O164" s="13"/>
      <c r="P164" s="14"/>
      <c r="Q164" s="14"/>
    </row>
    <row r="165" spans="1:17" x14ac:dyDescent="0.25">
      <c r="A165" s="22" t="s">
        <v>291</v>
      </c>
      <c r="B165" s="22" t="s">
        <v>12</v>
      </c>
      <c r="C165" s="22" t="s">
        <v>15</v>
      </c>
      <c r="D165" s="22" t="s">
        <v>97</v>
      </c>
      <c r="E165" s="23">
        <v>-84710583.496093795</v>
      </c>
      <c r="F165" s="23">
        <v>130.267459899187</v>
      </c>
      <c r="G165" s="22" t="s">
        <v>103</v>
      </c>
      <c r="H165" s="23">
        <v>0</v>
      </c>
      <c r="I165" s="23">
        <v>0</v>
      </c>
      <c r="J165" s="22" t="s">
        <v>97</v>
      </c>
      <c r="K165" s="23">
        <v>54731.109619140603</v>
      </c>
      <c r="L165" s="23">
        <v>6.6959013929590597E-2</v>
      </c>
      <c r="M165" s="22" t="s">
        <v>14</v>
      </c>
      <c r="N165" s="14"/>
      <c r="O165" s="13"/>
      <c r="P165" s="14"/>
      <c r="Q165" s="14"/>
    </row>
    <row r="166" spans="1:17" x14ac:dyDescent="0.25">
      <c r="A166" s="22" t="s">
        <v>291</v>
      </c>
      <c r="B166" s="22" t="s">
        <v>12</v>
      </c>
      <c r="C166" s="22" t="s">
        <v>16</v>
      </c>
      <c r="D166" s="22" t="s">
        <v>97</v>
      </c>
      <c r="E166" s="23">
        <v>-84222790.527343795</v>
      </c>
      <c r="F166" s="23">
        <v>129.44945134222499</v>
      </c>
      <c r="G166" s="22" t="s">
        <v>297</v>
      </c>
      <c r="H166" s="23">
        <v>3054011.9171142601</v>
      </c>
      <c r="I166" s="23">
        <v>4.3456139974296102</v>
      </c>
      <c r="J166" s="22" t="s">
        <v>297</v>
      </c>
      <c r="K166" s="23">
        <v>34380.970001220703</v>
      </c>
      <c r="L166" s="23">
        <v>0</v>
      </c>
      <c r="M166" s="22" t="s">
        <v>14</v>
      </c>
      <c r="N166" s="14"/>
      <c r="O166" s="13"/>
      <c r="P166" s="14"/>
      <c r="Q166" s="14"/>
    </row>
    <row r="167" spans="1:17" x14ac:dyDescent="0.25">
      <c r="A167" s="22" t="s">
        <v>292</v>
      </c>
      <c r="B167" s="22" t="s">
        <v>12</v>
      </c>
      <c r="C167" s="22" t="s">
        <v>13</v>
      </c>
      <c r="D167" s="22" t="s">
        <v>100</v>
      </c>
      <c r="E167" s="23">
        <v>-48538442.9931641</v>
      </c>
      <c r="F167" s="23">
        <v>73.105110786855207</v>
      </c>
      <c r="G167" s="22" t="s">
        <v>103</v>
      </c>
      <c r="H167" s="23">
        <v>0</v>
      </c>
      <c r="I167" s="23">
        <v>0</v>
      </c>
      <c r="J167" s="22" t="s">
        <v>100</v>
      </c>
      <c r="K167" s="23">
        <v>274302.09350585903</v>
      </c>
      <c r="L167" s="23">
        <v>0.34039937891066102</v>
      </c>
      <c r="M167" s="22" t="s">
        <v>14</v>
      </c>
      <c r="N167" s="14"/>
      <c r="O167" s="13"/>
      <c r="P167" s="14"/>
      <c r="Q167" s="14"/>
    </row>
    <row r="168" spans="1:17" x14ac:dyDescent="0.25">
      <c r="A168" s="22" t="s">
        <v>292</v>
      </c>
      <c r="B168" s="22" t="s">
        <v>12</v>
      </c>
      <c r="C168" s="22" t="s">
        <v>15</v>
      </c>
      <c r="D168" s="22" t="s">
        <v>100</v>
      </c>
      <c r="E168" s="23">
        <v>-68218444.824218795</v>
      </c>
      <c r="F168" s="23">
        <v>105.62106966972399</v>
      </c>
      <c r="G168" s="22" t="s">
        <v>103</v>
      </c>
      <c r="H168" s="23">
        <v>0</v>
      </c>
      <c r="I168" s="23">
        <v>0</v>
      </c>
      <c r="J168" s="22" t="s">
        <v>100</v>
      </c>
      <c r="K168" s="23">
        <v>133762.00866699201</v>
      </c>
      <c r="L168" s="23">
        <v>0.101043714676052</v>
      </c>
      <c r="M168" s="22" t="s">
        <v>14</v>
      </c>
      <c r="N168" s="14"/>
      <c r="O168" s="13"/>
      <c r="P168" s="14"/>
      <c r="Q168" s="14"/>
    </row>
    <row r="169" spans="1:17" x14ac:dyDescent="0.25">
      <c r="A169" s="22" t="s">
        <v>292</v>
      </c>
      <c r="B169" s="22" t="s">
        <v>12</v>
      </c>
      <c r="C169" s="22" t="s">
        <v>16</v>
      </c>
      <c r="D169" s="22" t="s">
        <v>111</v>
      </c>
      <c r="E169" s="23">
        <v>-28081622.314453099</v>
      </c>
      <c r="F169" s="23">
        <v>41.193938814103603</v>
      </c>
      <c r="G169" s="22" t="s">
        <v>100</v>
      </c>
      <c r="H169" s="23">
        <v>10952802.2766113</v>
      </c>
      <c r="I169" s="23">
        <v>15.7403526827693</v>
      </c>
      <c r="J169" s="22" t="s">
        <v>100</v>
      </c>
      <c r="K169" s="23">
        <v>150426.651000977</v>
      </c>
      <c r="L169" s="23">
        <v>0.12942549074068699</v>
      </c>
      <c r="M169" s="22" t="s">
        <v>14</v>
      </c>
      <c r="N169" s="14"/>
      <c r="O169" s="13"/>
      <c r="P169" s="14"/>
      <c r="Q169" s="14"/>
    </row>
    <row r="170" spans="1:17" x14ac:dyDescent="0.25">
      <c r="A170" s="22" t="s">
        <v>293</v>
      </c>
      <c r="B170" s="22" t="s">
        <v>12</v>
      </c>
      <c r="C170" s="22" t="s">
        <v>13</v>
      </c>
      <c r="D170" s="22" t="s">
        <v>266</v>
      </c>
      <c r="E170" s="23">
        <v>-7493072.5097656297</v>
      </c>
      <c r="F170" s="23">
        <v>10.7253808528185</v>
      </c>
      <c r="G170" s="22" t="s">
        <v>297</v>
      </c>
      <c r="H170" s="23">
        <v>4844234.84802246</v>
      </c>
      <c r="I170" s="23">
        <v>6.9129368057474503</v>
      </c>
      <c r="J170" s="22" t="s">
        <v>297</v>
      </c>
      <c r="K170" s="23">
        <v>83458.320617675796</v>
      </c>
      <c r="L170" s="23">
        <v>5.02192589920014E-2</v>
      </c>
      <c r="M170" s="22" t="s">
        <v>14</v>
      </c>
      <c r="N170" s="14"/>
      <c r="O170" s="13"/>
      <c r="P170" s="14"/>
      <c r="Q170" s="14"/>
    </row>
    <row r="171" spans="1:17" x14ac:dyDescent="0.25">
      <c r="A171" s="22" t="s">
        <v>293</v>
      </c>
      <c r="B171" s="22" t="s">
        <v>12</v>
      </c>
      <c r="C171" s="22" t="s">
        <v>15</v>
      </c>
      <c r="D171" s="22" t="s">
        <v>297</v>
      </c>
      <c r="E171" s="23">
        <v>-23926489.2578125</v>
      </c>
      <c r="F171" s="23">
        <v>34.919974859803901</v>
      </c>
      <c r="G171" s="22" t="s">
        <v>103</v>
      </c>
      <c r="H171" s="23">
        <v>0</v>
      </c>
      <c r="I171" s="23">
        <v>0</v>
      </c>
      <c r="J171" s="22" t="s">
        <v>266</v>
      </c>
      <c r="K171" s="23">
        <v>95753.883361816406</v>
      </c>
      <c r="L171" s="23">
        <v>5.02192589920014E-2</v>
      </c>
      <c r="M171" s="22" t="s">
        <v>14</v>
      </c>
      <c r="N171" s="14"/>
      <c r="O171" s="13"/>
      <c r="P171" s="14"/>
      <c r="Q171" s="14"/>
    </row>
    <row r="172" spans="1:17" x14ac:dyDescent="0.25">
      <c r="A172" s="22" t="s">
        <v>293</v>
      </c>
      <c r="B172" s="22" t="s">
        <v>12</v>
      </c>
      <c r="C172" s="22" t="s">
        <v>16</v>
      </c>
      <c r="D172" s="22" t="s">
        <v>97</v>
      </c>
      <c r="E172" s="23">
        <v>-9288776.39770508</v>
      </c>
      <c r="F172" s="23">
        <v>13.323242310434599</v>
      </c>
      <c r="G172" s="22" t="s">
        <v>100</v>
      </c>
      <c r="H172" s="23">
        <v>14376625.061035199</v>
      </c>
      <c r="I172" s="23">
        <v>20.743664354085901</v>
      </c>
      <c r="J172" s="22" t="s">
        <v>266</v>
      </c>
      <c r="K172" s="23">
        <v>122872.543334961</v>
      </c>
      <c r="L172" s="23">
        <v>8.2497711991891307E-2</v>
      </c>
      <c r="M172" s="22" t="s">
        <v>14</v>
      </c>
      <c r="N172" s="14"/>
      <c r="O172" s="13"/>
      <c r="P172" s="14"/>
      <c r="Q172" s="14"/>
    </row>
    <row r="173" spans="1:17" x14ac:dyDescent="0.25">
      <c r="A173" s="22" t="s">
        <v>294</v>
      </c>
      <c r="B173" s="22" t="s">
        <v>12</v>
      </c>
      <c r="C173" s="22" t="s">
        <v>13</v>
      </c>
      <c r="D173" s="22" t="s">
        <v>97</v>
      </c>
      <c r="E173" s="23">
        <v>-6780841.0644531297</v>
      </c>
      <c r="F173" s="23">
        <v>9.6979842055588996</v>
      </c>
      <c r="G173" s="22" t="s">
        <v>100</v>
      </c>
      <c r="H173" s="23">
        <v>13219601.440429701</v>
      </c>
      <c r="I173" s="23">
        <v>19.048323156312101</v>
      </c>
      <c r="J173" s="22" t="s">
        <v>266</v>
      </c>
      <c r="K173" s="23">
        <v>36469.367980957002</v>
      </c>
      <c r="L173" s="23">
        <v>0</v>
      </c>
      <c r="M173" s="22" t="s">
        <v>14</v>
      </c>
      <c r="N173" s="14"/>
      <c r="O173" s="13"/>
      <c r="P173" s="14"/>
      <c r="Q173" s="14"/>
    </row>
    <row r="174" spans="1:17" x14ac:dyDescent="0.25">
      <c r="A174" s="22" t="s">
        <v>294</v>
      </c>
      <c r="B174" s="22" t="s">
        <v>12</v>
      </c>
      <c r="C174" s="22" t="s">
        <v>15</v>
      </c>
      <c r="D174" s="22" t="s">
        <v>97</v>
      </c>
      <c r="E174" s="23">
        <v>-6866952.5146484403</v>
      </c>
      <c r="F174" s="23">
        <v>9.8221108783036506</v>
      </c>
      <c r="G174" s="22" t="s">
        <v>97</v>
      </c>
      <c r="H174" s="23">
        <v>3272506.7138671898</v>
      </c>
      <c r="I174" s="23">
        <v>4.6616862528026104</v>
      </c>
      <c r="J174" s="22" t="s">
        <v>97</v>
      </c>
      <c r="K174" s="23">
        <v>32054.576873779301</v>
      </c>
      <c r="L174" s="23">
        <v>0</v>
      </c>
      <c r="M174" s="22" t="s">
        <v>14</v>
      </c>
      <c r="N174" s="14"/>
      <c r="O174" s="13"/>
      <c r="P174" s="14"/>
      <c r="Q174" s="14"/>
    </row>
    <row r="175" spans="1:17" x14ac:dyDescent="0.25">
      <c r="A175" s="22" t="s">
        <v>294</v>
      </c>
      <c r="B175" s="22" t="s">
        <v>12</v>
      </c>
      <c r="C175" s="22" t="s">
        <v>16</v>
      </c>
      <c r="D175" s="22" t="s">
        <v>103</v>
      </c>
      <c r="E175" s="23">
        <v>0</v>
      </c>
      <c r="F175" s="23">
        <v>0</v>
      </c>
      <c r="G175" s="22" t="s">
        <v>97</v>
      </c>
      <c r="H175" s="23">
        <v>6505138.3972167997</v>
      </c>
      <c r="I175" s="23">
        <v>9.3007361283525807</v>
      </c>
      <c r="J175" s="22" t="s">
        <v>97</v>
      </c>
      <c r="K175" s="23">
        <v>28087.4042510986</v>
      </c>
      <c r="L175" s="23">
        <v>0</v>
      </c>
      <c r="M175" s="22" t="s">
        <v>14</v>
      </c>
      <c r="N175" s="14"/>
      <c r="O175" s="13"/>
      <c r="P175" s="14"/>
      <c r="Q175" s="14"/>
    </row>
    <row r="176" spans="1:17" x14ac:dyDescent="0.25">
      <c r="A176" s="22" t="s">
        <v>295</v>
      </c>
      <c r="B176" s="22" t="s">
        <v>12</v>
      </c>
      <c r="C176" s="22" t="s">
        <v>13</v>
      </c>
      <c r="D176" s="22" t="s">
        <v>111</v>
      </c>
      <c r="E176" s="23">
        <v>-33593124.3896484</v>
      </c>
      <c r="F176" s="23">
        <v>49.104145728051698</v>
      </c>
      <c r="G176" s="22" t="s">
        <v>101</v>
      </c>
      <c r="H176" s="23">
        <v>3237863.1591796898</v>
      </c>
      <c r="I176" s="23">
        <v>4.60793700767681</v>
      </c>
      <c r="J176" s="22" t="s">
        <v>100</v>
      </c>
      <c r="K176" s="23">
        <v>204297.714233398</v>
      </c>
      <c r="L176" s="23">
        <v>0.17891795141622399</v>
      </c>
      <c r="M176" s="22" t="s">
        <v>14</v>
      </c>
      <c r="N176" s="14"/>
      <c r="O176" s="13"/>
      <c r="P176" s="14"/>
      <c r="Q176" s="14"/>
    </row>
    <row r="177" spans="1:17" x14ac:dyDescent="0.25">
      <c r="A177" s="22" t="s">
        <v>295</v>
      </c>
      <c r="B177" s="22" t="s">
        <v>12</v>
      </c>
      <c r="C177" s="22" t="s">
        <v>15</v>
      </c>
      <c r="D177" s="22" t="s">
        <v>111</v>
      </c>
      <c r="E177" s="23">
        <v>-78019323.730468795</v>
      </c>
      <c r="F177" s="23">
        <v>119.126811623573</v>
      </c>
      <c r="G177" s="22" t="s">
        <v>103</v>
      </c>
      <c r="H177" s="23">
        <v>0</v>
      </c>
      <c r="I177" s="23">
        <v>0</v>
      </c>
      <c r="J177" s="22" t="s">
        <v>100</v>
      </c>
      <c r="K177" s="23">
        <v>250262.451171875</v>
      </c>
      <c r="L177" s="23">
        <v>0.25720109697431298</v>
      </c>
      <c r="M177" s="22" t="s">
        <v>14</v>
      </c>
      <c r="N177" s="14"/>
      <c r="O177" s="13"/>
      <c r="P177" s="14"/>
      <c r="Q177" s="14"/>
    </row>
    <row r="178" spans="1:17" x14ac:dyDescent="0.25">
      <c r="A178" s="22" t="s">
        <v>295</v>
      </c>
      <c r="B178" s="22" t="s">
        <v>12</v>
      </c>
      <c r="C178" s="22" t="s">
        <v>16</v>
      </c>
      <c r="D178" s="22" t="s">
        <v>245</v>
      </c>
      <c r="E178" s="23">
        <v>-34194308.471679702</v>
      </c>
      <c r="F178" s="23">
        <v>50.0105414539576</v>
      </c>
      <c r="G178" s="22" t="s">
        <v>100</v>
      </c>
      <c r="H178" s="23">
        <v>71943914.794921905</v>
      </c>
      <c r="I178" s="23">
        <v>109.15760882198801</v>
      </c>
      <c r="J178" s="22" t="s">
        <v>100</v>
      </c>
      <c r="K178" s="23">
        <v>408036.89575195301</v>
      </c>
      <c r="L178" s="23">
        <v>0.52590882405638695</v>
      </c>
      <c r="M178" s="22" t="s">
        <v>14</v>
      </c>
      <c r="N178" s="14"/>
      <c r="O178" s="13"/>
      <c r="P178" s="14"/>
      <c r="Q178" s="14"/>
    </row>
    <row r="179" spans="1:17" x14ac:dyDescent="0.25">
      <c r="A179" s="22" t="s">
        <v>296</v>
      </c>
      <c r="B179" s="22" t="s">
        <v>12</v>
      </c>
      <c r="C179" s="22" t="s">
        <v>13</v>
      </c>
      <c r="D179" s="22" t="s">
        <v>103</v>
      </c>
      <c r="E179" s="23">
        <v>0</v>
      </c>
      <c r="F179" s="23">
        <v>0</v>
      </c>
      <c r="G179" s="22" t="s">
        <v>100</v>
      </c>
      <c r="H179" s="23">
        <v>58441601.5625</v>
      </c>
      <c r="I179" s="23">
        <v>87.471157312393203</v>
      </c>
      <c r="J179" s="22" t="s">
        <v>100</v>
      </c>
      <c r="K179" s="23">
        <v>263594.87915039097</v>
      </c>
      <c r="L179" s="23">
        <v>0.279907742515206</v>
      </c>
      <c r="M179" s="22" t="s">
        <v>14</v>
      </c>
      <c r="N179" s="14"/>
      <c r="O179" s="13"/>
      <c r="P179" s="14"/>
      <c r="Q179" s="14"/>
    </row>
    <row r="180" spans="1:17" x14ac:dyDescent="0.25">
      <c r="A180" s="22" t="s">
        <v>296</v>
      </c>
      <c r="B180" s="22" t="s">
        <v>12</v>
      </c>
      <c r="C180" s="22" t="s">
        <v>15</v>
      </c>
      <c r="D180" s="22" t="s">
        <v>100</v>
      </c>
      <c r="E180" s="23">
        <v>-15950401.306152301</v>
      </c>
      <c r="F180" s="23">
        <v>22.949420381337401</v>
      </c>
      <c r="G180" s="22" t="s">
        <v>245</v>
      </c>
      <c r="H180" s="23">
        <v>7402775.5737304697</v>
      </c>
      <c r="I180" s="23">
        <v>10.5726125184447</v>
      </c>
      <c r="J180" s="22" t="s">
        <v>100</v>
      </c>
      <c r="K180" s="23">
        <v>270139.16015625</v>
      </c>
      <c r="L180" s="23">
        <v>0.29105341527611001</v>
      </c>
      <c r="M180" s="22" t="s">
        <v>14</v>
      </c>
      <c r="N180" s="14"/>
      <c r="O180" s="13"/>
      <c r="P180" s="14"/>
      <c r="Q180" s="14"/>
    </row>
    <row r="181" spans="1:17" x14ac:dyDescent="0.25">
      <c r="A181" s="22" t="s">
        <v>296</v>
      </c>
      <c r="B181" s="22" t="s">
        <v>12</v>
      </c>
      <c r="C181" s="22" t="s">
        <v>16</v>
      </c>
      <c r="D181" s="22" t="s">
        <v>103</v>
      </c>
      <c r="E181" s="23">
        <v>0</v>
      </c>
      <c r="F181" s="23">
        <v>0</v>
      </c>
      <c r="G181" s="22" t="s">
        <v>245</v>
      </c>
      <c r="H181" s="23">
        <v>29717059.326171901</v>
      </c>
      <c r="I181" s="23">
        <v>43.284874409437201</v>
      </c>
      <c r="J181" s="22" t="s">
        <v>297</v>
      </c>
      <c r="K181" s="23">
        <v>147657.65380859401</v>
      </c>
      <c r="L181" s="23">
        <v>8.2453514914959697E-2</v>
      </c>
      <c r="M181" s="22" t="s">
        <v>14</v>
      </c>
      <c r="N181" s="14"/>
      <c r="O181" s="13"/>
      <c r="P181" s="14"/>
      <c r="Q181" s="14"/>
    </row>
    <row r="182" spans="1:17" x14ac:dyDescent="0.25">
      <c r="A182" s="22" t="s">
        <v>298</v>
      </c>
      <c r="B182" s="22" t="s">
        <v>12</v>
      </c>
      <c r="C182" s="22" t="s">
        <v>13</v>
      </c>
      <c r="D182" s="22" t="s">
        <v>110</v>
      </c>
      <c r="E182" s="23">
        <v>-103683.626651764</v>
      </c>
      <c r="F182" s="23">
        <v>0</v>
      </c>
      <c r="G182" s="22" t="s">
        <v>245</v>
      </c>
      <c r="H182" s="23">
        <v>34735858.154296897</v>
      </c>
      <c r="I182" s="23">
        <v>50.827912054956002</v>
      </c>
      <c r="J182" s="22" t="s">
        <v>106</v>
      </c>
      <c r="K182" s="23">
        <v>234823.333740234</v>
      </c>
      <c r="L182" s="23">
        <v>0.230906554497778</v>
      </c>
      <c r="M182" s="22" t="s">
        <v>14</v>
      </c>
      <c r="N182" s="14"/>
      <c r="O182" s="13"/>
      <c r="P182" s="14"/>
      <c r="Q182" s="14"/>
    </row>
    <row r="183" spans="1:17" x14ac:dyDescent="0.25">
      <c r="A183" s="22" t="s">
        <v>298</v>
      </c>
      <c r="B183" s="22" t="s">
        <v>12</v>
      </c>
      <c r="C183" s="22" t="s">
        <v>15</v>
      </c>
      <c r="D183" s="22" t="s">
        <v>297</v>
      </c>
      <c r="E183" s="23">
        <v>-35281066.894531302</v>
      </c>
      <c r="F183" s="23">
        <v>51.651657558977597</v>
      </c>
      <c r="G183" s="22" t="s">
        <v>103</v>
      </c>
      <c r="H183" s="23">
        <v>0</v>
      </c>
      <c r="I183" s="23">
        <v>0</v>
      </c>
      <c r="J183" s="22" t="s">
        <v>106</v>
      </c>
      <c r="K183" s="23">
        <v>241571.97570800799</v>
      </c>
      <c r="L183" s="23">
        <v>0.242400262504816</v>
      </c>
      <c r="M183" s="22" t="s">
        <v>14</v>
      </c>
      <c r="N183" s="14"/>
      <c r="O183" s="13"/>
      <c r="P183" s="14"/>
      <c r="Q183" s="14"/>
    </row>
    <row r="184" spans="1:17" x14ac:dyDescent="0.25">
      <c r="A184" s="22" t="s">
        <v>298</v>
      </c>
      <c r="B184" s="22" t="s">
        <v>12</v>
      </c>
      <c r="C184" s="22" t="s">
        <v>16</v>
      </c>
      <c r="D184" s="22" t="s">
        <v>97</v>
      </c>
      <c r="E184" s="23">
        <v>-17520143.127441399</v>
      </c>
      <c r="F184" s="23">
        <v>25.242688134312601</v>
      </c>
      <c r="G184" s="22" t="s">
        <v>110</v>
      </c>
      <c r="H184" s="23">
        <v>27174224.853515599</v>
      </c>
      <c r="I184" s="23">
        <v>39.4900655373931</v>
      </c>
      <c r="J184" s="22" t="s">
        <v>100</v>
      </c>
      <c r="K184" s="23">
        <v>205098.14453125</v>
      </c>
      <c r="L184" s="23">
        <v>0.18028117483481801</v>
      </c>
      <c r="M184" s="22" t="s">
        <v>14</v>
      </c>
      <c r="N184" s="14"/>
      <c r="O184" s="13"/>
      <c r="P184" s="14"/>
      <c r="Q184" s="14"/>
    </row>
    <row r="185" spans="1:17" x14ac:dyDescent="0.25">
      <c r="A185" s="22" t="s">
        <v>299</v>
      </c>
      <c r="B185" s="22" t="s">
        <v>12</v>
      </c>
      <c r="C185" s="22" t="s">
        <v>13</v>
      </c>
      <c r="D185" s="22" t="s">
        <v>245</v>
      </c>
      <c r="E185" s="23">
        <v>-880311.87057495106</v>
      </c>
      <c r="F185" s="23">
        <v>1.2503174366429399</v>
      </c>
      <c r="G185" s="22" t="s">
        <v>110</v>
      </c>
      <c r="H185" s="23">
        <v>27630343.627929699</v>
      </c>
      <c r="I185" s="23">
        <v>40.169437415897796</v>
      </c>
      <c r="J185" s="22" t="s">
        <v>97</v>
      </c>
      <c r="K185" s="23">
        <v>73572.349548339902</v>
      </c>
      <c r="L185" s="23">
        <v>6.6959013929590597E-2</v>
      </c>
      <c r="M185" s="22" t="s">
        <v>14</v>
      </c>
      <c r="N185" s="14"/>
      <c r="O185" s="13"/>
      <c r="P185" s="14"/>
      <c r="Q185" s="14"/>
    </row>
    <row r="186" spans="1:17" x14ac:dyDescent="0.25">
      <c r="A186" s="22" t="s">
        <v>299</v>
      </c>
      <c r="B186" s="22" t="s">
        <v>12</v>
      </c>
      <c r="C186" s="22" t="s">
        <v>15</v>
      </c>
      <c r="D186" s="22" t="s">
        <v>103</v>
      </c>
      <c r="E186" s="23">
        <v>0</v>
      </c>
      <c r="F186" s="23">
        <v>0</v>
      </c>
      <c r="G186" s="22" t="s">
        <v>97</v>
      </c>
      <c r="H186" s="23">
        <v>45823995.971679702</v>
      </c>
      <c r="I186" s="23">
        <v>67.7523715421557</v>
      </c>
      <c r="J186" s="22" t="s">
        <v>97</v>
      </c>
      <c r="K186" s="23">
        <v>226247.77221679699</v>
      </c>
      <c r="L186" s="23">
        <v>0.21630139090120801</v>
      </c>
      <c r="M186" s="22" t="s">
        <v>14</v>
      </c>
      <c r="N186" s="14"/>
      <c r="O186" s="13"/>
      <c r="P186" s="14"/>
      <c r="Q186" s="14"/>
    </row>
    <row r="187" spans="1:17" x14ac:dyDescent="0.25">
      <c r="A187" s="22" t="s">
        <v>299</v>
      </c>
      <c r="B187" s="22" t="s">
        <v>12</v>
      </c>
      <c r="C187" s="22" t="s">
        <v>16</v>
      </c>
      <c r="D187" s="22" t="s">
        <v>103</v>
      </c>
      <c r="E187" s="23">
        <v>0</v>
      </c>
      <c r="F187" s="23">
        <v>0</v>
      </c>
      <c r="G187" s="22" t="s">
        <v>97</v>
      </c>
      <c r="H187" s="23">
        <v>65617248.535156302</v>
      </c>
      <c r="I187" s="23">
        <v>98.917679861187906</v>
      </c>
      <c r="J187" s="22" t="s">
        <v>97</v>
      </c>
      <c r="K187" s="23">
        <v>221901.30615234401</v>
      </c>
      <c r="L187" s="23">
        <v>0.208898866549134</v>
      </c>
      <c r="M187" s="22" t="s">
        <v>14</v>
      </c>
      <c r="N187" s="14"/>
      <c r="O187" s="13"/>
      <c r="P187" s="14"/>
      <c r="Q187" s="14"/>
    </row>
    <row r="188" spans="1:17" x14ac:dyDescent="0.25">
      <c r="A188" s="22" t="s">
        <v>91</v>
      </c>
      <c r="B188" s="22" t="s">
        <v>12</v>
      </c>
      <c r="C188" s="22" t="s">
        <v>13</v>
      </c>
      <c r="D188" s="22" t="s">
        <v>110</v>
      </c>
      <c r="E188" s="23">
        <v>-3217226.7913818401</v>
      </c>
      <c r="F188" s="23">
        <v>38.055542390793597</v>
      </c>
      <c r="G188" s="22" t="s">
        <v>97</v>
      </c>
      <c r="H188" s="23">
        <v>98453094.482421905</v>
      </c>
      <c r="I188" s="23">
        <v>187.187995761633</v>
      </c>
      <c r="J188" s="22" t="s">
        <v>97</v>
      </c>
      <c r="K188" s="23">
        <v>228176.55944824201</v>
      </c>
      <c r="L188" s="23">
        <v>0.28546696994453702</v>
      </c>
      <c r="M188" s="22" t="s">
        <v>14</v>
      </c>
      <c r="N188" s="14"/>
      <c r="O188" s="13"/>
      <c r="P188" s="14"/>
      <c r="Q188" s="14"/>
    </row>
    <row r="189" spans="1:17" x14ac:dyDescent="0.25">
      <c r="A189" s="22" t="s">
        <v>91</v>
      </c>
      <c r="B189" s="22" t="s">
        <v>12</v>
      </c>
      <c r="C189" s="22" t="s">
        <v>15</v>
      </c>
      <c r="D189" s="22" t="s">
        <v>101</v>
      </c>
      <c r="E189" s="23">
        <v>-80940502.9296875</v>
      </c>
      <c r="F189" s="23">
        <v>123.969279229641</v>
      </c>
      <c r="G189" s="22" t="s">
        <v>103</v>
      </c>
      <c r="H189" s="23">
        <v>0</v>
      </c>
      <c r="I189" s="23">
        <v>0</v>
      </c>
      <c r="J189" s="22" t="s">
        <v>97</v>
      </c>
      <c r="K189" s="23">
        <v>84816.5664672852</v>
      </c>
      <c r="L189" s="23">
        <v>6.6959013929590597E-2</v>
      </c>
      <c r="M189" s="22" t="s">
        <v>14</v>
      </c>
      <c r="N189" s="14"/>
      <c r="O189" s="13"/>
      <c r="P189" s="14"/>
      <c r="Q189" s="14"/>
    </row>
    <row r="190" spans="1:17" x14ac:dyDescent="0.25">
      <c r="A190" s="22" t="s">
        <v>91</v>
      </c>
      <c r="B190" s="22" t="s">
        <v>12</v>
      </c>
      <c r="C190" s="22" t="s">
        <v>16</v>
      </c>
      <c r="D190" s="22" t="s">
        <v>101</v>
      </c>
      <c r="E190" s="23">
        <v>-78203155.517578095</v>
      </c>
      <c r="F190" s="23">
        <v>119.430599734187</v>
      </c>
      <c r="G190" s="22" t="s">
        <v>101</v>
      </c>
      <c r="H190" s="23">
        <v>7901631.92749024</v>
      </c>
      <c r="I190" s="23">
        <v>11.289898538961999</v>
      </c>
      <c r="J190" s="22" t="s">
        <v>101</v>
      </c>
      <c r="K190" s="23">
        <v>54462.459564208999</v>
      </c>
      <c r="L190" s="23">
        <v>6.6959013929590597E-2</v>
      </c>
      <c r="M190" s="22" t="s">
        <v>14</v>
      </c>
      <c r="N190" s="14"/>
      <c r="O190" s="13"/>
      <c r="P190" s="14"/>
      <c r="Q190" s="14"/>
    </row>
    <row r="191" spans="1:17" x14ac:dyDescent="0.25">
      <c r="A191" s="22" t="s">
        <v>300</v>
      </c>
      <c r="B191" s="22" t="s">
        <v>12</v>
      </c>
      <c r="C191" s="22" t="s">
        <v>13</v>
      </c>
      <c r="D191" s="22" t="s">
        <v>111</v>
      </c>
      <c r="E191" s="23">
        <v>-22865498.3520508</v>
      </c>
      <c r="F191" s="23">
        <v>33.328458666801502</v>
      </c>
      <c r="G191" s="22" t="s">
        <v>111</v>
      </c>
      <c r="H191" s="23">
        <v>3057493.7820434598</v>
      </c>
      <c r="I191" s="23">
        <v>4.3543404899537599</v>
      </c>
      <c r="J191" s="22" t="s">
        <v>111</v>
      </c>
      <c r="K191" s="23">
        <v>163562.5</v>
      </c>
      <c r="L191" s="23">
        <v>0.151797325816005</v>
      </c>
      <c r="M191" s="22" t="s">
        <v>14</v>
      </c>
      <c r="N191" s="14"/>
      <c r="O191" s="13"/>
      <c r="P191" s="14"/>
      <c r="Q191" s="14"/>
    </row>
    <row r="192" spans="1:17" x14ac:dyDescent="0.25">
      <c r="A192" s="22" t="s">
        <v>300</v>
      </c>
      <c r="B192" s="22" t="s">
        <v>12</v>
      </c>
      <c r="C192" s="22" t="s">
        <v>15</v>
      </c>
      <c r="D192" s="22" t="s">
        <v>111</v>
      </c>
      <c r="E192" s="23">
        <v>-55133386.230468802</v>
      </c>
      <c r="F192" s="23">
        <v>83.787282928824396</v>
      </c>
      <c r="G192" s="22" t="s">
        <v>103</v>
      </c>
      <c r="H192" s="23">
        <v>0</v>
      </c>
      <c r="I192" s="23">
        <v>0</v>
      </c>
      <c r="J192" s="22" t="s">
        <v>111</v>
      </c>
      <c r="K192" s="23">
        <v>137044.12841796901</v>
      </c>
      <c r="L192" s="23">
        <v>0.10663352441042701</v>
      </c>
      <c r="M192" s="22" t="s">
        <v>14</v>
      </c>
      <c r="N192" s="14"/>
      <c r="O192" s="13"/>
      <c r="P192" s="14"/>
      <c r="Q192" s="14"/>
    </row>
    <row r="193" spans="1:17" x14ac:dyDescent="0.25">
      <c r="A193" s="22" t="s">
        <v>300</v>
      </c>
      <c r="B193" s="22" t="s">
        <v>12</v>
      </c>
      <c r="C193" s="22" t="s">
        <v>16</v>
      </c>
      <c r="D193" s="22" t="s">
        <v>111</v>
      </c>
      <c r="E193" s="23">
        <v>-28961853.027343798</v>
      </c>
      <c r="F193" s="23">
        <v>42.531578801572302</v>
      </c>
      <c r="G193" s="22" t="s">
        <v>111</v>
      </c>
      <c r="H193" s="23">
        <v>23904350.2807617</v>
      </c>
      <c r="I193" s="23">
        <v>34.886721987277298</v>
      </c>
      <c r="J193" s="22" t="s">
        <v>111</v>
      </c>
      <c r="K193" s="23">
        <v>167485.443115234</v>
      </c>
      <c r="L193" s="23">
        <v>0.15847854083403901</v>
      </c>
      <c r="M193" s="22" t="s">
        <v>14</v>
      </c>
      <c r="N193" s="14"/>
      <c r="O193" s="13"/>
      <c r="P193" s="14"/>
      <c r="Q193" s="14"/>
    </row>
    <row r="194" spans="1:17" x14ac:dyDescent="0.25">
      <c r="A194" s="22" t="s">
        <v>92</v>
      </c>
      <c r="B194" s="22" t="s">
        <v>12</v>
      </c>
      <c r="C194" s="22" t="s">
        <v>13</v>
      </c>
      <c r="D194" s="22" t="s">
        <v>103</v>
      </c>
      <c r="E194" s="23">
        <v>0</v>
      </c>
      <c r="F194" s="23">
        <v>0</v>
      </c>
      <c r="G194" s="22" t="s">
        <v>111</v>
      </c>
      <c r="H194" s="23">
        <v>24932699.5849609</v>
      </c>
      <c r="I194" s="23">
        <v>36.433236673474298</v>
      </c>
      <c r="J194" s="22" t="s">
        <v>100</v>
      </c>
      <c r="K194" s="23">
        <v>109658.45489502</v>
      </c>
      <c r="L194" s="23">
        <v>5.99926279392093E-2</v>
      </c>
      <c r="M194" s="22" t="s">
        <v>14</v>
      </c>
      <c r="N194" s="14"/>
      <c r="O194" s="13"/>
      <c r="P194" s="14"/>
      <c r="Q194" s="14"/>
    </row>
    <row r="195" spans="1:17" x14ac:dyDescent="0.25">
      <c r="A195" s="22" t="s">
        <v>92</v>
      </c>
      <c r="B195" s="22" t="s">
        <v>12</v>
      </c>
      <c r="C195" s="22" t="s">
        <v>15</v>
      </c>
      <c r="D195" s="22" t="s">
        <v>100</v>
      </c>
      <c r="E195" s="23">
        <v>-8081150.0549316397</v>
      </c>
      <c r="F195" s="23">
        <v>11.574964737519601</v>
      </c>
      <c r="G195" s="22" t="s">
        <v>108</v>
      </c>
      <c r="H195" s="23">
        <v>392204.88071441703</v>
      </c>
      <c r="I195" s="23">
        <v>0.55688578868284799</v>
      </c>
      <c r="J195" s="22" t="s">
        <v>100</v>
      </c>
      <c r="K195" s="23">
        <v>88578.8955688477</v>
      </c>
      <c r="L195" s="23">
        <v>5.02192589920014E-2</v>
      </c>
      <c r="M195" s="22" t="s">
        <v>14</v>
      </c>
      <c r="N195" s="14"/>
      <c r="O195" s="13"/>
      <c r="P195" s="14"/>
      <c r="Q195" s="14"/>
    </row>
    <row r="196" spans="1:17" x14ac:dyDescent="0.25">
      <c r="A196" s="22" t="s">
        <v>92</v>
      </c>
      <c r="B196" s="22" t="s">
        <v>12</v>
      </c>
      <c r="C196" s="22" t="s">
        <v>16</v>
      </c>
      <c r="D196" s="22" t="s">
        <v>100</v>
      </c>
      <c r="E196" s="23">
        <v>-167182.433605194</v>
      </c>
      <c r="F196" s="23">
        <v>0.23731994588160901</v>
      </c>
      <c r="G196" s="22" t="s">
        <v>245</v>
      </c>
      <c r="H196" s="23">
        <v>18054284.667968798</v>
      </c>
      <c r="I196" s="23">
        <v>26.1638103984296</v>
      </c>
      <c r="J196" s="22" t="s">
        <v>101</v>
      </c>
      <c r="K196" s="23">
        <v>81497.154235839902</v>
      </c>
      <c r="L196" s="23">
        <v>5.02192589920014E-2</v>
      </c>
      <c r="M196" s="22" t="s">
        <v>14</v>
      </c>
      <c r="N196" s="14"/>
      <c r="O196" s="13"/>
      <c r="P196" s="14"/>
      <c r="Q196" s="14"/>
    </row>
    <row r="197" spans="1:17" x14ac:dyDescent="0.25">
      <c r="A197" s="22" t="s">
        <v>301</v>
      </c>
      <c r="B197" s="22" t="s">
        <v>12</v>
      </c>
      <c r="C197" s="22" t="s">
        <v>13</v>
      </c>
      <c r="D197" s="22" t="s">
        <v>101</v>
      </c>
      <c r="E197" s="23">
        <v>-18553050.231933601</v>
      </c>
      <c r="F197" s="23">
        <v>26.7551885917783</v>
      </c>
      <c r="G197" s="22" t="s">
        <v>101</v>
      </c>
      <c r="H197" s="23">
        <v>73252703.857421905</v>
      </c>
      <c r="I197" s="23">
        <v>111.293774098158</v>
      </c>
      <c r="J197" s="22" t="s">
        <v>101</v>
      </c>
      <c r="K197" s="23">
        <v>390588.31787109398</v>
      </c>
      <c r="L197" s="23">
        <v>0.49619195051491299</v>
      </c>
      <c r="M197" s="22" t="s">
        <v>14</v>
      </c>
      <c r="N197" s="14"/>
      <c r="O197" s="13"/>
      <c r="P197" s="14"/>
      <c r="Q197" s="14"/>
    </row>
    <row r="198" spans="1:17" x14ac:dyDescent="0.25">
      <c r="A198" s="22" t="s">
        <v>301</v>
      </c>
      <c r="B198" s="22" t="s">
        <v>12</v>
      </c>
      <c r="C198" s="22" t="s">
        <v>15</v>
      </c>
      <c r="D198" s="22" t="s">
        <v>101</v>
      </c>
      <c r="E198" s="23">
        <v>-97295318.603515595</v>
      </c>
      <c r="F198" s="23">
        <v>151.70529484748801</v>
      </c>
      <c r="G198" s="22" t="s">
        <v>103</v>
      </c>
      <c r="H198" s="23">
        <v>0</v>
      </c>
      <c r="I198" s="23">
        <v>0</v>
      </c>
      <c r="J198" s="22" t="s">
        <v>101</v>
      </c>
      <c r="K198" s="23">
        <v>285162.75024414097</v>
      </c>
      <c r="L198" s="23">
        <v>0.316640292294323</v>
      </c>
      <c r="M198" s="22" t="s">
        <v>14</v>
      </c>
      <c r="N198" s="14"/>
      <c r="O198" s="13"/>
      <c r="P198" s="14"/>
      <c r="Q198" s="14"/>
    </row>
    <row r="199" spans="1:17" x14ac:dyDescent="0.25">
      <c r="A199" s="22" t="s">
        <v>301</v>
      </c>
      <c r="B199" s="22" t="s">
        <v>12</v>
      </c>
      <c r="C199" s="22" t="s">
        <v>16</v>
      </c>
      <c r="D199" s="22" t="s">
        <v>101</v>
      </c>
      <c r="E199" s="23">
        <v>-50889862.060546897</v>
      </c>
      <c r="F199" s="23">
        <v>75.608585029840498</v>
      </c>
      <c r="G199" s="22" t="s">
        <v>100</v>
      </c>
      <c r="H199" s="23">
        <v>5462277.9846191397</v>
      </c>
      <c r="I199" s="23">
        <v>7.7882898040115798</v>
      </c>
      <c r="J199" s="22" t="s">
        <v>101</v>
      </c>
      <c r="K199" s="23">
        <v>285863.95263671898</v>
      </c>
      <c r="L199" s="23">
        <v>0.31783452723175298</v>
      </c>
      <c r="M199" s="22" t="s">
        <v>14</v>
      </c>
      <c r="N199" s="14"/>
      <c r="O199" s="13"/>
      <c r="P199" s="14"/>
      <c r="Q199" s="14"/>
    </row>
    <row r="200" spans="1:17" x14ac:dyDescent="0.25">
      <c r="A200" s="22" t="s">
        <v>93</v>
      </c>
      <c r="B200" s="22" t="s">
        <v>12</v>
      </c>
      <c r="C200" s="22" t="s">
        <v>13</v>
      </c>
      <c r="D200" s="22" t="s">
        <v>110</v>
      </c>
      <c r="E200" s="23">
        <v>-646654.415130615</v>
      </c>
      <c r="F200" s="23">
        <v>0.91843692644033603</v>
      </c>
      <c r="G200" s="22" t="s">
        <v>245</v>
      </c>
      <c r="H200" s="23">
        <v>17454672.2412109</v>
      </c>
      <c r="I200" s="23">
        <v>25.276804808527199</v>
      </c>
      <c r="J200" s="22" t="s">
        <v>111</v>
      </c>
      <c r="K200" s="23">
        <v>103064.28527832001</v>
      </c>
      <c r="L200" s="23">
        <v>5.02192589920014E-2</v>
      </c>
      <c r="M200" s="22" t="s">
        <v>14</v>
      </c>
      <c r="N200" s="14"/>
      <c r="O200" s="13"/>
      <c r="P200" s="14"/>
      <c r="Q200" s="14"/>
    </row>
    <row r="201" spans="1:17" x14ac:dyDescent="0.25">
      <c r="A201" s="22" t="s">
        <v>93</v>
      </c>
      <c r="B201" s="22" t="s">
        <v>12</v>
      </c>
      <c r="C201" s="22" t="s">
        <v>15</v>
      </c>
      <c r="D201" s="22" t="s">
        <v>111</v>
      </c>
      <c r="E201" s="23">
        <v>-17116236.877441399</v>
      </c>
      <c r="F201" s="23">
        <v>24.776728823780999</v>
      </c>
      <c r="G201" s="22" t="s">
        <v>103</v>
      </c>
      <c r="H201" s="23">
        <v>0</v>
      </c>
      <c r="I201" s="23">
        <v>0</v>
      </c>
      <c r="J201" s="22" t="s">
        <v>111</v>
      </c>
      <c r="K201" s="23">
        <v>92509.765625</v>
      </c>
      <c r="L201" s="23">
        <v>5.02192589920014E-2</v>
      </c>
      <c r="M201" s="22" t="s">
        <v>14</v>
      </c>
      <c r="N201" s="14"/>
      <c r="O201" s="13"/>
      <c r="P201" s="14"/>
      <c r="Q201" s="14"/>
    </row>
    <row r="202" spans="1:17" x14ac:dyDescent="0.25">
      <c r="A202" s="22" t="s">
        <v>93</v>
      </c>
      <c r="B202" s="22" t="s">
        <v>12</v>
      </c>
      <c r="C202" s="22" t="s">
        <v>16</v>
      </c>
      <c r="D202" s="22" t="s">
        <v>97</v>
      </c>
      <c r="E202" s="23">
        <v>-1899939.5370483401</v>
      </c>
      <c r="F202" s="23">
        <v>2.7022711583413201</v>
      </c>
      <c r="G202" s="22" t="s">
        <v>110</v>
      </c>
      <c r="H202" s="23">
        <v>14567843.627929701</v>
      </c>
      <c r="I202" s="23">
        <v>21.024302113801198</v>
      </c>
      <c r="J202" s="22" t="s">
        <v>111</v>
      </c>
      <c r="K202" s="23">
        <v>105005.683898926</v>
      </c>
      <c r="L202" s="23">
        <v>5.2068429067730897E-2</v>
      </c>
      <c r="M202" s="22" t="s">
        <v>14</v>
      </c>
      <c r="N202" s="14"/>
      <c r="O202" s="13"/>
      <c r="P202" s="14"/>
      <c r="Q202" s="14"/>
    </row>
    <row r="203" spans="1:17" x14ac:dyDescent="0.25">
      <c r="A203" s="22" t="s">
        <v>303</v>
      </c>
      <c r="B203" s="22" t="s">
        <v>12</v>
      </c>
      <c r="C203" s="22" t="s">
        <v>13</v>
      </c>
      <c r="D203" s="22" t="s">
        <v>101</v>
      </c>
      <c r="E203" s="23">
        <v>-16839685.058593798</v>
      </c>
      <c r="F203" s="23">
        <v>24.2478074505925</v>
      </c>
      <c r="G203" s="22" t="s">
        <v>101</v>
      </c>
      <c r="H203" s="23">
        <v>75424121.09375</v>
      </c>
      <c r="I203" s="23">
        <v>114.851668477058</v>
      </c>
      <c r="J203" s="22" t="s">
        <v>101</v>
      </c>
      <c r="K203" s="23">
        <v>386046.84448242199</v>
      </c>
      <c r="L203" s="23">
        <v>0.488457316532731</v>
      </c>
      <c r="M203" s="22" t="s">
        <v>14</v>
      </c>
      <c r="N203" s="14"/>
      <c r="O203" s="13"/>
      <c r="P203" s="14"/>
      <c r="Q203" s="14"/>
    </row>
    <row r="204" spans="1:17" x14ac:dyDescent="0.25">
      <c r="A204" s="22" t="s">
        <v>303</v>
      </c>
      <c r="B204" s="22" t="s">
        <v>12</v>
      </c>
      <c r="C204" s="22" t="s">
        <v>15</v>
      </c>
      <c r="D204" s="22" t="s">
        <v>101</v>
      </c>
      <c r="E204" s="23">
        <v>-92073168.9453125</v>
      </c>
      <c r="F204" s="23">
        <v>142.730036750436</v>
      </c>
      <c r="G204" s="22" t="s">
        <v>103</v>
      </c>
      <c r="H204" s="23">
        <v>0</v>
      </c>
      <c r="I204" s="23">
        <v>0</v>
      </c>
      <c r="J204" s="22" t="s">
        <v>101</v>
      </c>
      <c r="K204" s="23">
        <v>271944.24438476597</v>
      </c>
      <c r="L204" s="23">
        <v>0.29412764124572299</v>
      </c>
      <c r="M204" s="22" t="s">
        <v>14</v>
      </c>
      <c r="N204" s="14"/>
      <c r="O204" s="13"/>
      <c r="P204" s="14"/>
      <c r="Q204" s="14"/>
    </row>
    <row r="205" spans="1:17" x14ac:dyDescent="0.25">
      <c r="A205" s="22" t="s">
        <v>303</v>
      </c>
      <c r="B205" s="22" t="s">
        <v>12</v>
      </c>
      <c r="C205" s="22" t="s">
        <v>16</v>
      </c>
      <c r="D205" s="22" t="s">
        <v>101</v>
      </c>
      <c r="E205" s="23">
        <v>-49106994.628906302</v>
      </c>
      <c r="F205" s="23">
        <v>72.834575548768001</v>
      </c>
      <c r="G205" s="22" t="s">
        <v>297</v>
      </c>
      <c r="H205" s="23">
        <v>3561477.6611328102</v>
      </c>
      <c r="I205" s="23">
        <v>5.0698756240308303</v>
      </c>
      <c r="J205" s="22" t="s">
        <v>101</v>
      </c>
      <c r="K205" s="23">
        <v>272903.10668945301</v>
      </c>
      <c r="L205" s="23">
        <v>0.29576069209724698</v>
      </c>
      <c r="M205" s="22" t="s">
        <v>14</v>
      </c>
      <c r="N205" s="14"/>
      <c r="O205" s="13"/>
      <c r="P205" s="14"/>
      <c r="Q205" s="14"/>
    </row>
    <row r="206" spans="1:17" x14ac:dyDescent="0.25">
      <c r="A206" s="22" t="s">
        <v>94</v>
      </c>
      <c r="B206" s="22" t="s">
        <v>12</v>
      </c>
      <c r="C206" s="22" t="s">
        <v>13</v>
      </c>
      <c r="D206" s="22" t="s">
        <v>103</v>
      </c>
      <c r="E206" s="23">
        <v>0</v>
      </c>
      <c r="F206" s="23">
        <v>0</v>
      </c>
      <c r="G206" s="22" t="s">
        <v>110</v>
      </c>
      <c r="H206" s="23">
        <v>15667124.938964801</v>
      </c>
      <c r="I206" s="23">
        <v>22.640132810920498</v>
      </c>
      <c r="J206" s="22" t="s">
        <v>101</v>
      </c>
      <c r="K206" s="23">
        <v>36047.134399414099</v>
      </c>
      <c r="L206" s="23">
        <v>0</v>
      </c>
      <c r="M206" s="22" t="s">
        <v>14</v>
      </c>
      <c r="N206" s="14"/>
      <c r="O206" s="13"/>
      <c r="P206" s="14"/>
      <c r="Q206" s="14"/>
    </row>
    <row r="207" spans="1:17" x14ac:dyDescent="0.25">
      <c r="A207" s="22" t="s">
        <v>94</v>
      </c>
      <c r="B207" s="22" t="s">
        <v>12</v>
      </c>
      <c r="C207" s="22" t="s">
        <v>15</v>
      </c>
      <c r="D207" s="22" t="s">
        <v>103</v>
      </c>
      <c r="E207" s="23">
        <v>0</v>
      </c>
      <c r="F207" s="23">
        <v>0</v>
      </c>
      <c r="G207" s="22" t="s">
        <v>111</v>
      </c>
      <c r="H207" s="23">
        <v>11123089.599609399</v>
      </c>
      <c r="I207" s="23">
        <v>15.988240484148299</v>
      </c>
      <c r="J207" s="22" t="s">
        <v>97</v>
      </c>
      <c r="K207" s="23">
        <v>55144.546508789099</v>
      </c>
      <c r="L207" s="23">
        <v>5.02192589920014E-2</v>
      </c>
      <c r="M207" s="22" t="s">
        <v>14</v>
      </c>
      <c r="N207" s="14"/>
      <c r="O207" s="13"/>
      <c r="P207" s="14"/>
      <c r="Q207" s="14"/>
    </row>
    <row r="208" spans="1:17" x14ac:dyDescent="0.25">
      <c r="A208" s="22" t="s">
        <v>94</v>
      </c>
      <c r="B208" s="22" t="s">
        <v>12</v>
      </c>
      <c r="C208" s="22" t="s">
        <v>16</v>
      </c>
      <c r="D208" s="22" t="s">
        <v>103</v>
      </c>
      <c r="E208" s="23">
        <v>0</v>
      </c>
      <c r="F208" s="23">
        <v>0</v>
      </c>
      <c r="G208" s="22" t="s">
        <v>97</v>
      </c>
      <c r="H208" s="23">
        <v>17238401.794433601</v>
      </c>
      <c r="I208" s="23">
        <v>24.957195855677099</v>
      </c>
      <c r="J208" s="22" t="s">
        <v>97</v>
      </c>
      <c r="K208" s="23">
        <v>49854.98046875</v>
      </c>
      <c r="L208" s="23">
        <v>5.02192589920014E-2</v>
      </c>
      <c r="M208" s="22" t="s">
        <v>14</v>
      </c>
      <c r="N208" s="14"/>
      <c r="O208" s="13"/>
      <c r="P208" s="14"/>
      <c r="Q208" s="14"/>
    </row>
    <row r="209" spans="1:17" x14ac:dyDescent="0.25">
      <c r="A209" s="22" t="s">
        <v>77</v>
      </c>
      <c r="B209" s="22" t="s">
        <v>12</v>
      </c>
      <c r="C209" s="22" t="s">
        <v>13</v>
      </c>
      <c r="D209" s="22" t="s">
        <v>110</v>
      </c>
      <c r="E209" s="23">
        <v>-36804656.982421897</v>
      </c>
      <c r="F209" s="23">
        <v>54.586189799010803</v>
      </c>
      <c r="G209" s="22" t="s">
        <v>245</v>
      </c>
      <c r="H209" s="23">
        <v>17597001.6479492</v>
      </c>
      <c r="I209" s="23">
        <v>25.487234815955201</v>
      </c>
      <c r="J209" s="22" t="s">
        <v>111</v>
      </c>
      <c r="K209" s="23">
        <v>67896.759033203096</v>
      </c>
      <c r="L209" s="23">
        <v>5.02192589920014E-2</v>
      </c>
      <c r="M209" s="22" t="s">
        <v>14</v>
      </c>
      <c r="N209" s="14"/>
      <c r="O209" s="13"/>
      <c r="P209" s="14"/>
      <c r="Q209" s="14"/>
    </row>
    <row r="210" spans="1:17" x14ac:dyDescent="0.25">
      <c r="A210" s="22" t="s">
        <v>77</v>
      </c>
      <c r="B210" s="22" t="s">
        <v>12</v>
      </c>
      <c r="C210" s="22" t="s">
        <v>15</v>
      </c>
      <c r="D210" s="22" t="s">
        <v>97</v>
      </c>
      <c r="E210" s="23">
        <v>-61788201.904296897</v>
      </c>
      <c r="F210" s="23">
        <v>94.780996441841097</v>
      </c>
      <c r="G210" s="22" t="s">
        <v>103</v>
      </c>
      <c r="H210" s="23">
        <v>0</v>
      </c>
      <c r="I210" s="23">
        <v>0</v>
      </c>
      <c r="J210" s="22" t="s">
        <v>97</v>
      </c>
      <c r="K210" s="23">
        <v>85682.029724121094</v>
      </c>
      <c r="L210" s="23">
        <v>5.02192589920014E-2</v>
      </c>
      <c r="M210" s="22" t="s">
        <v>14</v>
      </c>
      <c r="N210" s="14"/>
      <c r="O210" s="13"/>
      <c r="P210" s="14"/>
      <c r="Q210" s="14"/>
    </row>
    <row r="211" spans="1:17" x14ac:dyDescent="0.25">
      <c r="A211" s="22" t="s">
        <v>77</v>
      </c>
      <c r="B211" s="22" t="s">
        <v>12</v>
      </c>
      <c r="C211" s="22" t="s">
        <v>16</v>
      </c>
      <c r="D211" s="22" t="s">
        <v>97</v>
      </c>
      <c r="E211" s="23">
        <v>-58188195.800781302</v>
      </c>
      <c r="F211" s="23">
        <v>88.806282728910404</v>
      </c>
      <c r="G211" s="22" t="s">
        <v>103</v>
      </c>
      <c r="H211" s="23">
        <v>0</v>
      </c>
      <c r="I211" s="23">
        <v>0</v>
      </c>
      <c r="J211" s="22" t="s">
        <v>97</v>
      </c>
      <c r="K211" s="23">
        <v>86642.829895019502</v>
      </c>
      <c r="L211" s="23">
        <v>5.02192589920014E-2</v>
      </c>
      <c r="M211" s="22" t="s">
        <v>14</v>
      </c>
      <c r="N211" s="14"/>
      <c r="O211" s="13"/>
      <c r="P211" s="14"/>
      <c r="Q211" s="14"/>
    </row>
    <row r="212" spans="1:17" x14ac:dyDescent="0.25">
      <c r="A212" s="22" t="s">
        <v>304</v>
      </c>
      <c r="B212" s="22" t="s">
        <v>12</v>
      </c>
      <c r="C212" s="22" t="s">
        <v>13</v>
      </c>
      <c r="D212" s="22" t="s">
        <v>110</v>
      </c>
      <c r="E212" s="23">
        <v>-119310180.66406301</v>
      </c>
      <c r="F212" s="23">
        <v>122.63262644410101</v>
      </c>
      <c r="G212" s="22" t="s">
        <v>245</v>
      </c>
      <c r="H212" s="23">
        <v>131108898.925781</v>
      </c>
      <c r="I212" s="23">
        <v>135.24729758501101</v>
      </c>
      <c r="J212" s="22" t="s">
        <v>97</v>
      </c>
      <c r="K212" s="23">
        <v>369321.65527343802</v>
      </c>
      <c r="L212" s="23">
        <v>0.18657246837392399</v>
      </c>
      <c r="M212" s="22" t="s">
        <v>14</v>
      </c>
      <c r="N212" s="14"/>
      <c r="O212" s="13"/>
      <c r="P212" s="14"/>
      <c r="Q212" s="14"/>
    </row>
    <row r="213" spans="1:17" x14ac:dyDescent="0.25">
      <c r="A213" s="22" t="s">
        <v>304</v>
      </c>
      <c r="B213" s="22" t="s">
        <v>12</v>
      </c>
      <c r="C213" s="22" t="s">
        <v>15</v>
      </c>
      <c r="D213" s="22" t="s">
        <v>110</v>
      </c>
      <c r="E213" s="23">
        <v>-128776672.363281</v>
      </c>
      <c r="F213" s="23">
        <v>132.74627737700899</v>
      </c>
      <c r="G213" s="22" t="s">
        <v>105</v>
      </c>
      <c r="H213" s="23">
        <v>16880287.170410201</v>
      </c>
      <c r="I213" s="23">
        <v>16.8413645587862</v>
      </c>
      <c r="J213" s="22" t="s">
        <v>243</v>
      </c>
      <c r="K213" s="23">
        <v>193874.496459961</v>
      </c>
      <c r="L213" s="23">
        <v>0.100438517984003</v>
      </c>
      <c r="M213" s="22" t="s">
        <v>14</v>
      </c>
      <c r="N213" s="14"/>
      <c r="O213" s="13"/>
      <c r="P213" s="14"/>
      <c r="Q213" s="14"/>
    </row>
    <row r="214" spans="1:17" x14ac:dyDescent="0.25">
      <c r="A214" s="22" t="s">
        <v>304</v>
      </c>
      <c r="B214" s="22" t="s">
        <v>12</v>
      </c>
      <c r="C214" s="22" t="s">
        <v>16</v>
      </c>
      <c r="D214" s="22" t="s">
        <v>255</v>
      </c>
      <c r="E214" s="23">
        <v>-103053088.378906</v>
      </c>
      <c r="F214" s="23">
        <v>105.40403425693501</v>
      </c>
      <c r="G214" s="22" t="s">
        <v>98</v>
      </c>
      <c r="H214" s="23">
        <v>40488470.458984397</v>
      </c>
      <c r="I214" s="23">
        <v>40.663736872374997</v>
      </c>
      <c r="J214" s="22" t="s">
        <v>255</v>
      </c>
      <c r="K214" s="23">
        <v>37392.524719238303</v>
      </c>
      <c r="L214" s="23">
        <v>0</v>
      </c>
      <c r="M214" s="22" t="s">
        <v>14</v>
      </c>
      <c r="N214" s="14"/>
      <c r="O214" s="13"/>
      <c r="P214" s="14"/>
      <c r="Q214" s="14"/>
    </row>
    <row r="215" spans="1:17" x14ac:dyDescent="0.25">
      <c r="A215" s="22" t="s">
        <v>305</v>
      </c>
      <c r="B215" s="22" t="s">
        <v>12</v>
      </c>
      <c r="C215" s="22" t="s">
        <v>13</v>
      </c>
      <c r="D215" s="22" t="s">
        <v>302</v>
      </c>
      <c r="E215" s="23">
        <v>-97536419.677734405</v>
      </c>
      <c r="F215" s="23">
        <v>99.597098305821405</v>
      </c>
      <c r="G215" s="22" t="s">
        <v>98</v>
      </c>
      <c r="H215" s="23">
        <v>42767202.7587891</v>
      </c>
      <c r="I215" s="23">
        <v>42.980122379958601</v>
      </c>
      <c r="J215" s="22" t="s">
        <v>98</v>
      </c>
      <c r="K215" s="23">
        <v>70046.38671875</v>
      </c>
      <c r="L215" s="23">
        <v>0</v>
      </c>
      <c r="M215" s="22" t="s">
        <v>14</v>
      </c>
      <c r="N215" s="14"/>
      <c r="O215" s="13"/>
      <c r="P215" s="14"/>
      <c r="Q215" s="14"/>
    </row>
    <row r="216" spans="1:17" x14ac:dyDescent="0.25">
      <c r="A216" s="22" t="s">
        <v>305</v>
      </c>
      <c r="B216" s="22" t="s">
        <v>12</v>
      </c>
      <c r="C216" s="22" t="s">
        <v>15</v>
      </c>
      <c r="D216" s="22" t="s">
        <v>243</v>
      </c>
      <c r="E216" s="23">
        <v>-121762670.89843801</v>
      </c>
      <c r="F216" s="23">
        <v>125.24696066975601</v>
      </c>
      <c r="G216" s="22" t="s">
        <v>110</v>
      </c>
      <c r="H216" s="23">
        <v>70487597.65625</v>
      </c>
      <c r="I216" s="23">
        <v>71.405484341085</v>
      </c>
      <c r="J216" s="22" t="s">
        <v>110</v>
      </c>
      <c r="K216" s="23">
        <v>158957.68737793001</v>
      </c>
      <c r="L216" s="23">
        <v>0.100438517984003</v>
      </c>
      <c r="M216" s="22" t="s">
        <v>14</v>
      </c>
      <c r="N216" s="14"/>
      <c r="O216" s="13"/>
      <c r="P216" s="14"/>
      <c r="Q216" s="14"/>
    </row>
    <row r="217" spans="1:17" x14ac:dyDescent="0.25">
      <c r="A217" s="22" t="s">
        <v>305</v>
      </c>
      <c r="B217" s="22" t="s">
        <v>12</v>
      </c>
      <c r="C217" s="22" t="s">
        <v>16</v>
      </c>
      <c r="D217" s="22" t="s">
        <v>245</v>
      </c>
      <c r="E217" s="23">
        <v>-76379046.630859405</v>
      </c>
      <c r="F217" s="23">
        <v>77.506797388196006</v>
      </c>
      <c r="G217" s="22" t="s">
        <v>110</v>
      </c>
      <c r="H217" s="23">
        <v>173652844.23828101</v>
      </c>
      <c r="I217" s="23">
        <v>181.543920189142</v>
      </c>
      <c r="J217" s="22" t="s">
        <v>110</v>
      </c>
      <c r="K217" s="23">
        <v>127418.388366699</v>
      </c>
      <c r="L217" s="23">
        <v>0.100438517984003</v>
      </c>
      <c r="M217" s="22" t="s">
        <v>14</v>
      </c>
      <c r="N217" s="14"/>
      <c r="O217" s="13"/>
      <c r="P217" s="14"/>
      <c r="Q217" s="14"/>
    </row>
    <row r="218" spans="1:17" x14ac:dyDescent="0.25">
      <c r="A218" s="22" t="s">
        <v>306</v>
      </c>
      <c r="B218" s="22" t="s">
        <v>12</v>
      </c>
      <c r="C218" s="22" t="s">
        <v>13</v>
      </c>
      <c r="D218" s="22" t="s">
        <v>98</v>
      </c>
      <c r="E218" s="23">
        <v>-14377787.7807617</v>
      </c>
      <c r="F218" s="23">
        <v>14.3346725963056</v>
      </c>
      <c r="G218" s="22" t="s">
        <v>111</v>
      </c>
      <c r="H218" s="23">
        <v>58850915.527343802</v>
      </c>
      <c r="I218" s="23">
        <v>59.4167038798332</v>
      </c>
      <c r="J218" s="22" t="s">
        <v>255</v>
      </c>
      <c r="K218" s="23">
        <v>72622.909545898496</v>
      </c>
      <c r="L218" s="23">
        <v>0</v>
      </c>
      <c r="M218" s="22" t="s">
        <v>14</v>
      </c>
      <c r="N218" s="14"/>
      <c r="O218" s="13"/>
      <c r="P218" s="14"/>
      <c r="Q218" s="14"/>
    </row>
    <row r="219" spans="1:17" x14ac:dyDescent="0.25">
      <c r="A219" s="22" t="s">
        <v>306</v>
      </c>
      <c r="B219" s="22" t="s">
        <v>12</v>
      </c>
      <c r="C219" s="22" t="s">
        <v>15</v>
      </c>
      <c r="D219" s="22" t="s">
        <v>247</v>
      </c>
      <c r="E219" s="23">
        <v>-60462475.5859375</v>
      </c>
      <c r="F219" s="23">
        <v>61.072125099599397</v>
      </c>
      <c r="G219" s="22" t="s">
        <v>111</v>
      </c>
      <c r="H219" s="23">
        <v>17214715.576171901</v>
      </c>
      <c r="I219" s="23">
        <v>17.176619730889801</v>
      </c>
      <c r="J219" s="22" t="s">
        <v>104</v>
      </c>
      <c r="K219" s="23">
        <v>147021.255493164</v>
      </c>
      <c r="L219" s="23">
        <v>0.100438517984003</v>
      </c>
      <c r="M219" s="22" t="s">
        <v>14</v>
      </c>
      <c r="N219" s="14"/>
      <c r="O219" s="13"/>
      <c r="P219" s="14"/>
      <c r="Q219" s="14"/>
    </row>
    <row r="220" spans="1:17" x14ac:dyDescent="0.25">
      <c r="A220" s="22" t="s">
        <v>306</v>
      </c>
      <c r="B220" s="22" t="s">
        <v>12</v>
      </c>
      <c r="C220" s="22" t="s">
        <v>16</v>
      </c>
      <c r="D220" s="22" t="s">
        <v>247</v>
      </c>
      <c r="E220" s="23">
        <v>-54237579.345703103</v>
      </c>
      <c r="F220" s="23">
        <v>54.686423391103702</v>
      </c>
      <c r="G220" s="22" t="s">
        <v>104</v>
      </c>
      <c r="H220" s="23">
        <v>63223522.949218802</v>
      </c>
      <c r="I220" s="23">
        <v>63.911965116858497</v>
      </c>
      <c r="J220" s="22" t="s">
        <v>104</v>
      </c>
      <c r="K220" s="23">
        <v>138600.75378418001</v>
      </c>
      <c r="L220" s="23">
        <v>0.100438517984003</v>
      </c>
      <c r="M220" s="22" t="s">
        <v>14</v>
      </c>
      <c r="N220" s="14"/>
      <c r="O220" s="13"/>
      <c r="P220" s="14"/>
      <c r="Q220" s="14"/>
    </row>
    <row r="221" spans="1:17" x14ac:dyDescent="0.25">
      <c r="A221" s="22" t="s">
        <v>307</v>
      </c>
      <c r="B221" s="22" t="s">
        <v>12</v>
      </c>
      <c r="C221" s="22" t="s">
        <v>13</v>
      </c>
      <c r="D221" s="22" t="s">
        <v>98</v>
      </c>
      <c r="E221" s="23">
        <v>-2627000.04577637</v>
      </c>
      <c r="F221" s="23">
        <v>3.7394309765659299</v>
      </c>
      <c r="G221" s="22" t="s">
        <v>100</v>
      </c>
      <c r="H221" s="23">
        <v>12745425.4150391</v>
      </c>
      <c r="I221" s="23">
        <v>18.354882486164598</v>
      </c>
      <c r="J221" s="22" t="s">
        <v>100</v>
      </c>
      <c r="K221" s="23">
        <v>91276.268005371094</v>
      </c>
      <c r="L221" s="23">
        <v>5.02192589920014E-2</v>
      </c>
      <c r="M221" s="22" t="s">
        <v>14</v>
      </c>
      <c r="N221" s="14"/>
      <c r="O221" s="13"/>
      <c r="P221" s="14"/>
      <c r="Q221" s="14"/>
    </row>
    <row r="222" spans="1:17" x14ac:dyDescent="0.25">
      <c r="A222" s="22" t="s">
        <v>307</v>
      </c>
      <c r="B222" s="22" t="s">
        <v>12</v>
      </c>
      <c r="C222" s="22" t="s">
        <v>15</v>
      </c>
      <c r="D222" s="22" t="s">
        <v>100</v>
      </c>
      <c r="E222" s="23">
        <v>-16252397.1557617</v>
      </c>
      <c r="F222" s="23">
        <v>23.502169642597401</v>
      </c>
      <c r="G222" s="22" t="s">
        <v>103</v>
      </c>
      <c r="H222" s="23">
        <v>0</v>
      </c>
      <c r="I222" s="23">
        <v>0</v>
      </c>
      <c r="J222" s="22" t="s">
        <v>100</v>
      </c>
      <c r="K222" s="23">
        <v>92172.576904296904</v>
      </c>
      <c r="L222" s="23">
        <v>5.02192589920014E-2</v>
      </c>
      <c r="M222" s="22" t="s">
        <v>14</v>
      </c>
      <c r="N222" s="14"/>
      <c r="O222" s="13"/>
      <c r="P222" s="14"/>
      <c r="Q222" s="14"/>
    </row>
    <row r="223" spans="1:17" x14ac:dyDescent="0.25">
      <c r="A223" s="22" t="s">
        <v>307</v>
      </c>
      <c r="B223" s="22" t="s">
        <v>12</v>
      </c>
      <c r="C223" s="22" t="s">
        <v>16</v>
      </c>
      <c r="D223" s="22" t="s">
        <v>100</v>
      </c>
      <c r="E223" s="23">
        <v>-7386108.3984375</v>
      </c>
      <c r="F223" s="23">
        <v>10.570976883173</v>
      </c>
      <c r="G223" s="22" t="s">
        <v>245</v>
      </c>
      <c r="H223" s="23">
        <v>6253658.67614746</v>
      </c>
      <c r="I223" s="23">
        <v>8.9386099716648495</v>
      </c>
      <c r="J223" s="22" t="s">
        <v>266</v>
      </c>
      <c r="K223" s="23">
        <v>82726.699829101606</v>
      </c>
      <c r="L223" s="23">
        <v>5.02192589920014E-2</v>
      </c>
      <c r="M223" s="22" t="s">
        <v>14</v>
      </c>
      <c r="N223" s="14"/>
      <c r="O223" s="13"/>
      <c r="P223" s="14"/>
      <c r="Q223" s="14"/>
    </row>
    <row r="224" spans="1:17" x14ac:dyDescent="0.25">
      <c r="A224" s="22" t="s">
        <v>308</v>
      </c>
      <c r="B224" s="22" t="s">
        <v>12</v>
      </c>
      <c r="C224" s="22" t="s">
        <v>13</v>
      </c>
      <c r="D224" s="22" t="s">
        <v>98</v>
      </c>
      <c r="E224" s="23">
        <v>-1453506.66046143</v>
      </c>
      <c r="F224" s="23">
        <v>2.0662738825194502</v>
      </c>
      <c r="G224" s="22" t="s">
        <v>100</v>
      </c>
      <c r="H224" s="23">
        <v>10787669.372558599</v>
      </c>
      <c r="I224" s="23">
        <v>15.500064473599201</v>
      </c>
      <c r="J224" s="22" t="s">
        <v>100</v>
      </c>
      <c r="K224" s="23">
        <v>83489.227294921904</v>
      </c>
      <c r="L224" s="23">
        <v>5.02192589920014E-2</v>
      </c>
      <c r="M224" s="22" t="s">
        <v>14</v>
      </c>
      <c r="N224" s="14"/>
      <c r="O224" s="13"/>
      <c r="P224" s="14"/>
      <c r="Q224" s="14"/>
    </row>
    <row r="225" spans="1:17" x14ac:dyDescent="0.25">
      <c r="A225" s="22" t="s">
        <v>308</v>
      </c>
      <c r="B225" s="22" t="s">
        <v>12</v>
      </c>
      <c r="C225" s="22" t="s">
        <v>15</v>
      </c>
      <c r="D225" s="22" t="s">
        <v>100</v>
      </c>
      <c r="E225" s="23">
        <v>-14645684.814453101</v>
      </c>
      <c r="F225" s="23">
        <v>21.138582378625902</v>
      </c>
      <c r="G225" s="22" t="s">
        <v>103</v>
      </c>
      <c r="H225" s="23">
        <v>0</v>
      </c>
      <c r="I225" s="23">
        <v>0</v>
      </c>
      <c r="J225" s="22" t="s">
        <v>100</v>
      </c>
      <c r="K225" s="23">
        <v>88397.453308105498</v>
      </c>
      <c r="L225" s="23">
        <v>5.02192589920014E-2</v>
      </c>
      <c r="M225" s="22" t="s">
        <v>14</v>
      </c>
      <c r="N225" s="14"/>
      <c r="O225" s="13"/>
      <c r="P225" s="14"/>
      <c r="Q225" s="14"/>
    </row>
    <row r="226" spans="1:17" x14ac:dyDescent="0.25">
      <c r="A226" s="22" t="s">
        <v>308</v>
      </c>
      <c r="B226" s="22" t="s">
        <v>12</v>
      </c>
      <c r="C226" s="22" t="s">
        <v>16</v>
      </c>
      <c r="D226" s="22" t="s">
        <v>100</v>
      </c>
      <c r="E226" s="23">
        <v>-6511420.44067383</v>
      </c>
      <c r="F226" s="23">
        <v>9.3097845092415792</v>
      </c>
      <c r="G226" s="22" t="s">
        <v>106</v>
      </c>
      <c r="H226" s="23">
        <v>5962193.29833984</v>
      </c>
      <c r="I226" s="23">
        <v>8.5191673133522308</v>
      </c>
      <c r="J226" s="22" t="s">
        <v>266</v>
      </c>
      <c r="K226" s="23">
        <v>76656.1660766602</v>
      </c>
      <c r="L226" s="23">
        <v>5.02192589920014E-2</v>
      </c>
      <c r="M226" s="22" t="s">
        <v>14</v>
      </c>
      <c r="N226" s="14"/>
      <c r="O226" s="13"/>
      <c r="P226" s="14"/>
      <c r="Q226" s="14"/>
    </row>
    <row r="227" spans="1:17" x14ac:dyDescent="0.25">
      <c r="A227" s="22" t="s">
        <v>309</v>
      </c>
      <c r="B227" s="22" t="s">
        <v>12</v>
      </c>
      <c r="C227" s="22" t="s">
        <v>13</v>
      </c>
      <c r="D227" s="22" t="s">
        <v>98</v>
      </c>
      <c r="E227" s="23">
        <v>-5013461.3037109403</v>
      </c>
      <c r="F227" s="23">
        <v>7.1558088529855004</v>
      </c>
      <c r="G227" s="22" t="s">
        <v>96</v>
      </c>
      <c r="H227" s="23">
        <v>7577355.1940917997</v>
      </c>
      <c r="I227" s="23">
        <v>10.847072117030599</v>
      </c>
      <c r="J227" s="22" t="s">
        <v>254</v>
      </c>
      <c r="K227" s="23">
        <v>5843.2712554931704</v>
      </c>
      <c r="L227" s="23">
        <v>0</v>
      </c>
      <c r="M227" s="22" t="s">
        <v>14</v>
      </c>
      <c r="N227" s="14"/>
      <c r="O227" s="13"/>
      <c r="P227" s="14"/>
      <c r="Q227" s="14"/>
    </row>
    <row r="228" spans="1:17" x14ac:dyDescent="0.25">
      <c r="A228" s="22" t="s">
        <v>309</v>
      </c>
      <c r="B228" s="22" t="s">
        <v>12</v>
      </c>
      <c r="C228" s="22" t="s">
        <v>15</v>
      </c>
      <c r="D228" s="22" t="s">
        <v>98</v>
      </c>
      <c r="E228" s="23">
        <v>-9825496.67358399</v>
      </c>
      <c r="F228" s="23">
        <v>14.1018361318856</v>
      </c>
      <c r="G228" s="22" t="s">
        <v>255</v>
      </c>
      <c r="H228" s="23">
        <v>3250490.18859863</v>
      </c>
      <c r="I228" s="23">
        <v>4.63020842289552</v>
      </c>
      <c r="J228" s="22" t="s">
        <v>297</v>
      </c>
      <c r="K228" s="23">
        <v>15460.823059082</v>
      </c>
      <c r="L228" s="23">
        <v>0</v>
      </c>
      <c r="M228" s="22" t="s">
        <v>14</v>
      </c>
      <c r="N228" s="14"/>
      <c r="O228" s="13"/>
      <c r="P228" s="14"/>
      <c r="Q228" s="14"/>
    </row>
    <row r="229" spans="1:17" x14ac:dyDescent="0.25">
      <c r="A229" s="22" t="s">
        <v>309</v>
      </c>
      <c r="B229" s="22" t="s">
        <v>12</v>
      </c>
      <c r="C229" s="22" t="s">
        <v>16</v>
      </c>
      <c r="D229" s="22" t="s">
        <v>254</v>
      </c>
      <c r="E229" s="23">
        <v>-901191.61605834996</v>
      </c>
      <c r="F229" s="23">
        <v>1.28031941130757</v>
      </c>
      <c r="G229" s="22" t="s">
        <v>101</v>
      </c>
      <c r="H229" s="23">
        <v>10839098.358154301</v>
      </c>
      <c r="I229" s="23">
        <v>15.5748904217035</v>
      </c>
      <c r="J229" s="22" t="s">
        <v>106</v>
      </c>
      <c r="K229" s="23">
        <v>15372.251510620101</v>
      </c>
      <c r="L229" s="23">
        <v>0</v>
      </c>
      <c r="M229" s="22" t="s">
        <v>14</v>
      </c>
      <c r="N229" s="14"/>
      <c r="O229" s="13"/>
      <c r="P229" s="14"/>
      <c r="Q229" s="14"/>
    </row>
    <row r="230" spans="1:17" x14ac:dyDescent="0.25">
      <c r="A230" s="22" t="s">
        <v>310</v>
      </c>
      <c r="B230" s="22" t="s">
        <v>12</v>
      </c>
      <c r="C230" s="22" t="s">
        <v>13</v>
      </c>
      <c r="D230" s="22" t="s">
        <v>98</v>
      </c>
      <c r="E230" s="23">
        <v>-7675117.4926757803</v>
      </c>
      <c r="F230" s="23">
        <v>10.988253634423</v>
      </c>
      <c r="G230" s="22" t="s">
        <v>110</v>
      </c>
      <c r="H230" s="23">
        <v>6327766.4184570303</v>
      </c>
      <c r="I230" s="23">
        <v>9.0453017037361896</v>
      </c>
      <c r="J230" s="22" t="s">
        <v>266</v>
      </c>
      <c r="K230" s="23">
        <v>8140.0613784790003</v>
      </c>
      <c r="L230" s="23">
        <v>0</v>
      </c>
      <c r="M230" s="22" t="s">
        <v>14</v>
      </c>
      <c r="N230" s="14"/>
      <c r="O230" s="13"/>
      <c r="P230" s="14"/>
      <c r="Q230" s="14"/>
    </row>
    <row r="231" spans="1:17" x14ac:dyDescent="0.25">
      <c r="A231" s="22" t="s">
        <v>310</v>
      </c>
      <c r="B231" s="22" t="s">
        <v>12</v>
      </c>
      <c r="C231" s="22" t="s">
        <v>15</v>
      </c>
      <c r="D231" s="22" t="s">
        <v>266</v>
      </c>
      <c r="E231" s="23">
        <v>-11812864.685058599</v>
      </c>
      <c r="F231" s="23">
        <v>16.993364552035899</v>
      </c>
      <c r="G231" s="22" t="s">
        <v>245</v>
      </c>
      <c r="H231" s="23">
        <v>2410743.71337891</v>
      </c>
      <c r="I231" s="23">
        <v>3.4307606983929899</v>
      </c>
      <c r="J231" s="22" t="s">
        <v>106</v>
      </c>
      <c r="K231" s="23">
        <v>10478.8036346436</v>
      </c>
      <c r="L231" s="23">
        <v>0</v>
      </c>
      <c r="M231" s="22" t="s">
        <v>14</v>
      </c>
      <c r="N231" s="14"/>
      <c r="O231" s="13"/>
      <c r="P231" s="14"/>
      <c r="Q231" s="14"/>
    </row>
    <row r="232" spans="1:17" x14ac:dyDescent="0.25">
      <c r="A232" s="22" t="s">
        <v>310</v>
      </c>
      <c r="B232" s="22" t="s">
        <v>12</v>
      </c>
      <c r="C232" s="22" t="s">
        <v>16</v>
      </c>
      <c r="D232" s="22" t="s">
        <v>266</v>
      </c>
      <c r="E232" s="23">
        <v>-1967677.8793335001</v>
      </c>
      <c r="F232" s="23">
        <v>2.7988286456093201</v>
      </c>
      <c r="G232" s="22" t="s">
        <v>97</v>
      </c>
      <c r="H232" s="23">
        <v>13563191.2231445</v>
      </c>
      <c r="I232" s="23">
        <v>19.551285076886401</v>
      </c>
      <c r="J232" s="22" t="s">
        <v>106</v>
      </c>
      <c r="K232" s="23">
        <v>12638.5889053345</v>
      </c>
      <c r="L232" s="23">
        <v>0</v>
      </c>
      <c r="M232" s="22" t="s">
        <v>14</v>
      </c>
      <c r="N232" s="14"/>
      <c r="O232" s="13"/>
      <c r="P232" s="14"/>
      <c r="Q232" s="14"/>
    </row>
    <row r="233" spans="1:17" x14ac:dyDescent="0.25">
      <c r="A233" s="22" t="s">
        <v>311</v>
      </c>
      <c r="B233" s="22" t="s">
        <v>12</v>
      </c>
      <c r="C233" s="22" t="s">
        <v>13</v>
      </c>
      <c r="D233" s="22" t="s">
        <v>101</v>
      </c>
      <c r="E233" s="23">
        <v>-16328549.1943359</v>
      </c>
      <c r="F233" s="23">
        <v>23.5012802295387</v>
      </c>
      <c r="G233" s="22" t="s">
        <v>97</v>
      </c>
      <c r="H233" s="23">
        <v>18159765.625</v>
      </c>
      <c r="I233" s="23">
        <v>26.178967673331499</v>
      </c>
      <c r="J233" s="22" t="s">
        <v>101</v>
      </c>
      <c r="K233" s="23">
        <v>11351.381301879899</v>
      </c>
      <c r="L233" s="23">
        <v>0</v>
      </c>
      <c r="M233" s="22" t="s">
        <v>14</v>
      </c>
      <c r="N233" s="14"/>
      <c r="O233" s="13"/>
      <c r="P233" s="14"/>
      <c r="Q233" s="14"/>
    </row>
    <row r="234" spans="1:17" x14ac:dyDescent="0.25">
      <c r="A234" s="22" t="s">
        <v>311</v>
      </c>
      <c r="B234" s="22" t="s">
        <v>12</v>
      </c>
      <c r="C234" s="22" t="s">
        <v>15</v>
      </c>
      <c r="D234" s="22" t="s">
        <v>97</v>
      </c>
      <c r="E234" s="23">
        <v>-43538635.253906302</v>
      </c>
      <c r="F234" s="23">
        <v>64.234081655740695</v>
      </c>
      <c r="G234" s="22" t="s">
        <v>110</v>
      </c>
      <c r="H234" s="23">
        <v>7028931.4270019503</v>
      </c>
      <c r="I234" s="23">
        <v>10.035480372607701</v>
      </c>
      <c r="J234" s="22" t="s">
        <v>101</v>
      </c>
      <c r="K234" s="23">
        <v>98655.364990234404</v>
      </c>
      <c r="L234" s="23">
        <v>6.6959013929590597E-2</v>
      </c>
      <c r="M234" s="22" t="s">
        <v>14</v>
      </c>
      <c r="N234" s="14"/>
      <c r="O234" s="13"/>
      <c r="P234" s="14"/>
      <c r="Q234" s="14"/>
    </row>
    <row r="235" spans="1:17" x14ac:dyDescent="0.25">
      <c r="A235" s="22" t="s">
        <v>311</v>
      </c>
      <c r="B235" s="22" t="s">
        <v>12</v>
      </c>
      <c r="C235" s="22" t="s">
        <v>16</v>
      </c>
      <c r="D235" s="22" t="s">
        <v>245</v>
      </c>
      <c r="E235" s="23">
        <v>-2641054.5349121098</v>
      </c>
      <c r="F235" s="23">
        <v>3.75669653294608</v>
      </c>
      <c r="G235" s="22" t="s">
        <v>101</v>
      </c>
      <c r="H235" s="23">
        <v>53508428.955078103</v>
      </c>
      <c r="I235" s="23">
        <v>79.701105132698999</v>
      </c>
      <c r="J235" s="22" t="s">
        <v>101</v>
      </c>
      <c r="K235" s="23">
        <v>36661.434173583999</v>
      </c>
      <c r="L235" s="23">
        <v>0</v>
      </c>
      <c r="M235" s="22" t="s">
        <v>14</v>
      </c>
      <c r="N235" s="14"/>
      <c r="O235" s="13"/>
      <c r="P235" s="14"/>
      <c r="Q235" s="14"/>
    </row>
    <row r="236" spans="1:17" x14ac:dyDescent="0.25">
      <c r="A236" s="22" t="s">
        <v>312</v>
      </c>
      <c r="B236" s="22" t="s">
        <v>12</v>
      </c>
      <c r="C236" s="22" t="s">
        <v>13</v>
      </c>
      <c r="D236" s="22" t="s">
        <v>111</v>
      </c>
      <c r="E236" s="23">
        <v>-32748217.7734375</v>
      </c>
      <c r="F236" s="23">
        <v>48.320335336029501</v>
      </c>
      <c r="G236" s="22" t="s">
        <v>101</v>
      </c>
      <c r="H236" s="23">
        <v>3630180.74035645</v>
      </c>
      <c r="I236" s="23">
        <v>5.1732885185629103</v>
      </c>
      <c r="J236" s="22" t="s">
        <v>111</v>
      </c>
      <c r="K236" s="23">
        <v>37856.990814208999</v>
      </c>
      <c r="L236" s="23">
        <v>5.02192589920014E-2</v>
      </c>
      <c r="M236" s="22" t="s">
        <v>14</v>
      </c>
      <c r="N236" s="14"/>
      <c r="O236" s="13"/>
      <c r="P236" s="14"/>
      <c r="Q236" s="14"/>
    </row>
    <row r="237" spans="1:17" x14ac:dyDescent="0.25">
      <c r="A237" s="22" t="s">
        <v>312</v>
      </c>
      <c r="B237" s="22" t="s">
        <v>12</v>
      </c>
      <c r="C237" s="22" t="s">
        <v>15</v>
      </c>
      <c r="D237" s="22" t="s">
        <v>101</v>
      </c>
      <c r="E237" s="23">
        <v>-64110174.560546897</v>
      </c>
      <c r="F237" s="23">
        <v>98.670041188597693</v>
      </c>
      <c r="G237" s="22" t="s">
        <v>103</v>
      </c>
      <c r="H237" s="23">
        <v>0</v>
      </c>
      <c r="I237" s="23">
        <v>0</v>
      </c>
      <c r="J237" s="22" t="s">
        <v>101</v>
      </c>
      <c r="K237" s="23">
        <v>18387.5427246094</v>
      </c>
      <c r="L237" s="23">
        <v>0</v>
      </c>
      <c r="M237" s="22" t="s">
        <v>14</v>
      </c>
      <c r="N237" s="14"/>
      <c r="O237" s="13"/>
      <c r="P237" s="14"/>
      <c r="Q237" s="14"/>
    </row>
    <row r="238" spans="1:17" x14ac:dyDescent="0.25">
      <c r="A238" s="22" t="s">
        <v>312</v>
      </c>
      <c r="B238" s="22" t="s">
        <v>12</v>
      </c>
      <c r="C238" s="22" t="s">
        <v>16</v>
      </c>
      <c r="D238" s="22" t="s">
        <v>101</v>
      </c>
      <c r="E238" s="23">
        <v>-61112072.753906302</v>
      </c>
      <c r="F238" s="23">
        <v>93.653835356235504</v>
      </c>
      <c r="G238" s="22" t="s">
        <v>103</v>
      </c>
      <c r="H238" s="23">
        <v>0</v>
      </c>
      <c r="I238" s="23">
        <v>0</v>
      </c>
      <c r="J238" s="22" t="s">
        <v>101</v>
      </c>
      <c r="K238" s="23">
        <v>95333.404541015596</v>
      </c>
      <c r="L238" s="23">
        <v>5.02192589920014E-2</v>
      </c>
      <c r="M238" s="22" t="s">
        <v>14</v>
      </c>
      <c r="N238" s="14"/>
      <c r="O238" s="13"/>
      <c r="P238" s="14"/>
      <c r="Q238" s="14"/>
    </row>
    <row r="239" spans="1:17" x14ac:dyDescent="0.25">
      <c r="A239" s="22" t="s">
        <v>313</v>
      </c>
      <c r="B239" s="22" t="s">
        <v>12</v>
      </c>
      <c r="C239" s="22" t="s">
        <v>13</v>
      </c>
      <c r="D239" s="22" t="s">
        <v>245</v>
      </c>
      <c r="E239" s="23">
        <v>-1605729.6752929699</v>
      </c>
      <c r="F239" s="23">
        <v>2.28203105507419</v>
      </c>
      <c r="G239" s="22" t="s">
        <v>254</v>
      </c>
      <c r="H239" s="23">
        <v>57141741.943359397</v>
      </c>
      <c r="I239" s="23">
        <v>85.416082292795195</v>
      </c>
      <c r="J239" s="22" t="s">
        <v>106</v>
      </c>
      <c r="K239" s="23">
        <v>52461.860656738303</v>
      </c>
      <c r="L239" s="23">
        <v>6.6959013929590597E-2</v>
      </c>
      <c r="M239" s="22" t="s">
        <v>14</v>
      </c>
      <c r="N239" s="14"/>
      <c r="O239" s="13"/>
      <c r="P239" s="14"/>
      <c r="Q239" s="14"/>
    </row>
    <row r="240" spans="1:17" x14ac:dyDescent="0.25">
      <c r="A240" s="22" t="s">
        <v>313</v>
      </c>
      <c r="B240" s="22" t="s">
        <v>12</v>
      </c>
      <c r="C240" s="22" t="s">
        <v>15</v>
      </c>
      <c r="D240" s="22" t="s">
        <v>97</v>
      </c>
      <c r="E240" s="23">
        <v>-29767303.466796901</v>
      </c>
      <c r="F240" s="23">
        <v>43.3600367978215</v>
      </c>
      <c r="G240" s="22" t="s">
        <v>97</v>
      </c>
      <c r="H240" s="23">
        <v>14066360.473632799</v>
      </c>
      <c r="I240" s="23">
        <v>20.2054088003933</v>
      </c>
      <c r="J240" s="22" t="s">
        <v>97</v>
      </c>
      <c r="K240" s="23">
        <v>97149.253845214902</v>
      </c>
      <c r="L240" s="23">
        <v>6.6959013929590597E-2</v>
      </c>
      <c r="M240" s="22" t="s">
        <v>14</v>
      </c>
      <c r="N240" s="14"/>
      <c r="O240" s="13"/>
      <c r="P240" s="14"/>
      <c r="Q240" s="14"/>
    </row>
    <row r="241" spans="1:17" x14ac:dyDescent="0.25">
      <c r="A241" s="22" t="s">
        <v>313</v>
      </c>
      <c r="B241" s="22" t="s">
        <v>12</v>
      </c>
      <c r="C241" s="22" t="s">
        <v>16</v>
      </c>
      <c r="D241" s="22" t="s">
        <v>103</v>
      </c>
      <c r="E241" s="23">
        <v>0</v>
      </c>
      <c r="F241" s="23">
        <v>0</v>
      </c>
      <c r="G241" s="22" t="s">
        <v>97</v>
      </c>
      <c r="H241" s="23">
        <v>93686462.402343795</v>
      </c>
      <c r="I241" s="23">
        <v>145.490495488048</v>
      </c>
      <c r="J241" s="22" t="s">
        <v>97</v>
      </c>
      <c r="K241" s="23">
        <v>120206.527709961</v>
      </c>
      <c r="L241" s="23">
        <v>6.6959013929590597E-2</v>
      </c>
      <c r="M241" s="22" t="s">
        <v>14</v>
      </c>
      <c r="N241" s="14"/>
      <c r="O241" s="13"/>
      <c r="P241" s="14"/>
      <c r="Q241" s="14"/>
    </row>
    <row r="242" spans="1:17" x14ac:dyDescent="0.25">
      <c r="A242" s="22" t="s">
        <v>314</v>
      </c>
      <c r="B242" s="22" t="s">
        <v>12</v>
      </c>
      <c r="C242" s="22" t="s">
        <v>13</v>
      </c>
      <c r="D242" s="22" t="s">
        <v>111</v>
      </c>
      <c r="E242" s="23">
        <v>-66106805.419921897</v>
      </c>
      <c r="F242" s="23">
        <v>99.705029278993607</v>
      </c>
      <c r="G242" s="22" t="s">
        <v>109</v>
      </c>
      <c r="H242" s="23">
        <v>6047962.1887207003</v>
      </c>
      <c r="I242" s="23">
        <v>8.6276821093633806</v>
      </c>
      <c r="J242" s="22" t="s">
        <v>111</v>
      </c>
      <c r="K242" s="23">
        <v>96832.206726074204</v>
      </c>
      <c r="L242" s="23">
        <v>6.6959013929590597E-2</v>
      </c>
      <c r="M242" s="22" t="s">
        <v>14</v>
      </c>
      <c r="N242" s="14"/>
      <c r="O242" s="13"/>
      <c r="P242" s="14"/>
      <c r="Q242" s="14"/>
    </row>
    <row r="243" spans="1:17" x14ac:dyDescent="0.25">
      <c r="A243" s="22" t="s">
        <v>314</v>
      </c>
      <c r="B243" s="22" t="s">
        <v>12</v>
      </c>
      <c r="C243" s="22" t="s">
        <v>15</v>
      </c>
      <c r="D243" s="22" t="s">
        <v>109</v>
      </c>
      <c r="E243" s="23">
        <v>-102703735.35156301</v>
      </c>
      <c r="F243" s="23">
        <v>161.12484037876101</v>
      </c>
      <c r="G243" s="22" t="s">
        <v>103</v>
      </c>
      <c r="H243" s="23">
        <v>0</v>
      </c>
      <c r="I243" s="23">
        <v>0</v>
      </c>
      <c r="J243" s="22" t="s">
        <v>108</v>
      </c>
      <c r="K243" s="23">
        <v>259809.38720703099</v>
      </c>
      <c r="L243" s="23">
        <v>0.27346063870936599</v>
      </c>
      <c r="M243" s="22" t="s">
        <v>14</v>
      </c>
      <c r="N243" s="14"/>
      <c r="O243" s="13"/>
      <c r="P243" s="14"/>
      <c r="Q243" s="14"/>
    </row>
    <row r="244" spans="1:17" x14ac:dyDescent="0.25">
      <c r="A244" s="22" t="s">
        <v>314</v>
      </c>
      <c r="B244" s="22" t="s">
        <v>12</v>
      </c>
      <c r="C244" s="22" t="s">
        <v>16</v>
      </c>
      <c r="D244" s="22" t="s">
        <v>109</v>
      </c>
      <c r="E244" s="23">
        <v>-93510351.5625</v>
      </c>
      <c r="F244" s="23">
        <v>145.18861658871199</v>
      </c>
      <c r="G244" s="22" t="s">
        <v>96</v>
      </c>
      <c r="H244" s="23">
        <v>81971655.2734375</v>
      </c>
      <c r="I244" s="23">
        <v>125.686414539814</v>
      </c>
      <c r="J244" s="22" t="s">
        <v>96</v>
      </c>
      <c r="K244" s="23">
        <v>370299.28588867199</v>
      </c>
      <c r="L244" s="23">
        <v>0.46163746155798402</v>
      </c>
      <c r="M244" s="22" t="s">
        <v>14</v>
      </c>
      <c r="N244" s="14"/>
      <c r="O244" s="13"/>
      <c r="P244" s="14"/>
      <c r="Q244" s="14"/>
    </row>
    <row r="245" spans="1:17" x14ac:dyDescent="0.25">
      <c r="A245" s="22" t="s">
        <v>315</v>
      </c>
      <c r="B245" s="22" t="s">
        <v>12</v>
      </c>
      <c r="C245" s="22" t="s">
        <v>13</v>
      </c>
      <c r="D245" s="22" t="s">
        <v>109</v>
      </c>
      <c r="E245" s="23">
        <v>-74257293.701171905</v>
      </c>
      <c r="F245" s="23">
        <v>112.937651574612</v>
      </c>
      <c r="G245" s="22" t="s">
        <v>103</v>
      </c>
      <c r="H245" s="23">
        <v>0</v>
      </c>
      <c r="I245" s="23">
        <v>0</v>
      </c>
      <c r="J245" s="22" t="s">
        <v>111</v>
      </c>
      <c r="K245" s="23">
        <v>86566.825866699204</v>
      </c>
      <c r="L245" s="23">
        <v>6.6959013929590597E-2</v>
      </c>
      <c r="M245" s="22" t="s">
        <v>14</v>
      </c>
      <c r="N245" s="14"/>
      <c r="O245" s="13"/>
      <c r="P245" s="14"/>
      <c r="Q245" s="14"/>
    </row>
    <row r="246" spans="1:17" x14ac:dyDescent="0.25">
      <c r="A246" s="22" t="s">
        <v>315</v>
      </c>
      <c r="B246" s="22" t="s">
        <v>12</v>
      </c>
      <c r="C246" s="22" t="s">
        <v>15</v>
      </c>
      <c r="D246" s="22" t="s">
        <v>109</v>
      </c>
      <c r="E246" s="23">
        <v>-86319152.832031295</v>
      </c>
      <c r="F246" s="23">
        <v>132.971657440066</v>
      </c>
      <c r="G246" s="22" t="s">
        <v>103</v>
      </c>
      <c r="H246" s="23">
        <v>0</v>
      </c>
      <c r="I246" s="23">
        <v>0</v>
      </c>
      <c r="J246" s="22" t="s">
        <v>111</v>
      </c>
      <c r="K246" s="23">
        <v>217315.13977050799</v>
      </c>
      <c r="L246" s="23">
        <v>0.20108812022954201</v>
      </c>
      <c r="M246" s="22" t="s">
        <v>14</v>
      </c>
      <c r="N246" s="14"/>
      <c r="O246" s="13"/>
      <c r="P246" s="14"/>
      <c r="Q246" s="14"/>
    </row>
    <row r="247" spans="1:17" x14ac:dyDescent="0.25">
      <c r="A247" s="22" t="s">
        <v>315</v>
      </c>
      <c r="B247" s="22" t="s">
        <v>12</v>
      </c>
      <c r="C247" s="22" t="s">
        <v>16</v>
      </c>
      <c r="D247" s="22" t="s">
        <v>109</v>
      </c>
      <c r="E247" s="23">
        <v>-33553262.3291016</v>
      </c>
      <c r="F247" s="23">
        <v>49.044084735214703</v>
      </c>
      <c r="G247" s="22" t="s">
        <v>97</v>
      </c>
      <c r="H247" s="23">
        <v>82019580.078125</v>
      </c>
      <c r="I247" s="23">
        <v>125.766322016716</v>
      </c>
      <c r="J247" s="22" t="s">
        <v>97</v>
      </c>
      <c r="K247" s="23">
        <v>291861.05346679699</v>
      </c>
      <c r="L247" s="23">
        <v>0.32804824877530298</v>
      </c>
      <c r="M247" s="22" t="s">
        <v>14</v>
      </c>
      <c r="N247" s="14"/>
      <c r="O247" s="13"/>
      <c r="P247" s="14"/>
      <c r="Q247" s="14"/>
    </row>
    <row r="248" spans="1:17" x14ac:dyDescent="0.25">
      <c r="A248" s="22" t="s">
        <v>317</v>
      </c>
      <c r="B248" s="22" t="s">
        <v>12</v>
      </c>
      <c r="C248" s="22" t="s">
        <v>13</v>
      </c>
      <c r="D248" s="22" t="s">
        <v>109</v>
      </c>
      <c r="E248" s="23">
        <v>-4168328.4759521498</v>
      </c>
      <c r="F248" s="23">
        <v>5.9368013171479097</v>
      </c>
      <c r="G248" s="22" t="s">
        <v>96</v>
      </c>
      <c r="H248" s="23">
        <v>86512255.859375</v>
      </c>
      <c r="I248" s="23">
        <v>133.29696841538001</v>
      </c>
      <c r="J248" s="22" t="s">
        <v>96</v>
      </c>
      <c r="K248" s="23">
        <v>311176.97143554699</v>
      </c>
      <c r="L248" s="23">
        <v>0.36094544921070298</v>
      </c>
      <c r="M248" s="22" t="s">
        <v>14</v>
      </c>
      <c r="N248" s="14"/>
      <c r="O248" s="13"/>
      <c r="P248" s="14"/>
      <c r="Q248" s="14"/>
    </row>
    <row r="249" spans="1:17" x14ac:dyDescent="0.25">
      <c r="A249" s="22" t="s">
        <v>317</v>
      </c>
      <c r="B249" s="22" t="s">
        <v>12</v>
      </c>
      <c r="C249" s="22" t="s">
        <v>15</v>
      </c>
      <c r="D249" s="22" t="s">
        <v>110</v>
      </c>
      <c r="E249" s="23">
        <v>-27397000.122070301</v>
      </c>
      <c r="F249" s="23">
        <v>39.821811951696901</v>
      </c>
      <c r="G249" s="22" t="s">
        <v>302</v>
      </c>
      <c r="H249" s="23">
        <v>20841111.755371101</v>
      </c>
      <c r="I249" s="23">
        <v>30.115628615021699</v>
      </c>
      <c r="J249" s="22" t="s">
        <v>96</v>
      </c>
      <c r="K249" s="23">
        <v>317721.28295898403</v>
      </c>
      <c r="L249" s="23">
        <v>0.37209112197160699</v>
      </c>
      <c r="M249" s="22" t="s">
        <v>14</v>
      </c>
      <c r="N249" s="14"/>
      <c r="O249" s="13"/>
      <c r="P249" s="14"/>
      <c r="Q249" s="14"/>
    </row>
    <row r="250" spans="1:17" x14ac:dyDescent="0.25">
      <c r="A250" s="22" t="s">
        <v>317</v>
      </c>
      <c r="B250" s="22" t="s">
        <v>12</v>
      </c>
      <c r="C250" s="22" t="s">
        <v>16</v>
      </c>
      <c r="D250" s="22" t="s">
        <v>110</v>
      </c>
      <c r="E250" s="23">
        <v>-44363751.220703103</v>
      </c>
      <c r="F250" s="23">
        <v>65.502510406076894</v>
      </c>
      <c r="G250" s="22" t="s">
        <v>105</v>
      </c>
      <c r="H250" s="23">
        <v>943649.10125732399</v>
      </c>
      <c r="I250" s="23">
        <v>1.34034737129696</v>
      </c>
      <c r="J250" s="22" t="s">
        <v>110</v>
      </c>
      <c r="K250" s="23">
        <v>85815.650939941406</v>
      </c>
      <c r="L250" s="23">
        <v>6.6959013929590597E-2</v>
      </c>
      <c r="M250" s="22" t="s">
        <v>14</v>
      </c>
      <c r="N250" s="14"/>
      <c r="O250" s="13"/>
      <c r="P250" s="14"/>
      <c r="Q250" s="14"/>
    </row>
    <row r="251" spans="1:17" x14ac:dyDescent="0.25">
      <c r="A251" s="22" t="s">
        <v>318</v>
      </c>
      <c r="B251" s="22" t="s">
        <v>12</v>
      </c>
      <c r="C251" s="22" t="s">
        <v>13</v>
      </c>
      <c r="D251" s="22" t="s">
        <v>109</v>
      </c>
      <c r="E251" s="23">
        <v>-51296282.958984397</v>
      </c>
      <c r="F251" s="23">
        <v>76.242340728640599</v>
      </c>
      <c r="G251" s="22" t="s">
        <v>103</v>
      </c>
      <c r="H251" s="23">
        <v>0</v>
      </c>
      <c r="I251" s="23">
        <v>0</v>
      </c>
      <c r="J251" s="22" t="s">
        <v>109</v>
      </c>
      <c r="K251" s="23">
        <v>18147.027969360399</v>
      </c>
      <c r="L251" s="23">
        <v>0</v>
      </c>
      <c r="M251" s="22" t="s">
        <v>14</v>
      </c>
      <c r="N251" s="14"/>
      <c r="O251" s="13"/>
      <c r="P251" s="14"/>
      <c r="Q251" s="14"/>
    </row>
    <row r="252" spans="1:17" x14ac:dyDescent="0.25">
      <c r="A252" s="22" t="s">
        <v>318</v>
      </c>
      <c r="B252" s="22" t="s">
        <v>12</v>
      </c>
      <c r="C252" s="22" t="s">
        <v>15</v>
      </c>
      <c r="D252" s="22" t="s">
        <v>109</v>
      </c>
      <c r="E252" s="23">
        <v>-42433761.596679702</v>
      </c>
      <c r="F252" s="23">
        <v>62.538813799619703</v>
      </c>
      <c r="G252" s="22" t="s">
        <v>101</v>
      </c>
      <c r="H252" s="23">
        <v>4492471.3134765597</v>
      </c>
      <c r="I252" s="23">
        <v>6.40022743027657</v>
      </c>
      <c r="J252" s="22" t="s">
        <v>109</v>
      </c>
      <c r="K252" s="23">
        <v>46790.950775146499</v>
      </c>
      <c r="L252" s="23">
        <v>0</v>
      </c>
      <c r="M252" s="22" t="s">
        <v>14</v>
      </c>
      <c r="N252" s="14"/>
      <c r="O252" s="13"/>
      <c r="P252" s="14"/>
      <c r="Q252" s="14"/>
    </row>
    <row r="253" spans="1:17" x14ac:dyDescent="0.25">
      <c r="A253" s="22" t="s">
        <v>318</v>
      </c>
      <c r="B253" s="22" t="s">
        <v>12</v>
      </c>
      <c r="C253" s="22" t="s">
        <v>16</v>
      </c>
      <c r="D253" s="22" t="s">
        <v>110</v>
      </c>
      <c r="E253" s="23">
        <v>-12009000.396728501</v>
      </c>
      <c r="F253" s="23">
        <v>17.219351138919599</v>
      </c>
      <c r="G253" s="22" t="s">
        <v>101</v>
      </c>
      <c r="H253" s="23">
        <v>31844326.7822266</v>
      </c>
      <c r="I253" s="23">
        <v>46.473369002342203</v>
      </c>
      <c r="J253" s="22" t="s">
        <v>109</v>
      </c>
      <c r="K253" s="23">
        <v>43341.178894042998</v>
      </c>
      <c r="L253" s="23">
        <v>0</v>
      </c>
      <c r="M253" s="22" t="s">
        <v>14</v>
      </c>
      <c r="N253" s="14"/>
      <c r="O253" s="13"/>
      <c r="P253" s="14"/>
      <c r="Q253" s="14"/>
    </row>
    <row r="254" spans="1:17" x14ac:dyDescent="0.25">
      <c r="A254" s="22" t="s">
        <v>319</v>
      </c>
      <c r="B254" s="22" t="s">
        <v>12</v>
      </c>
      <c r="C254" s="22" t="s">
        <v>13</v>
      </c>
      <c r="D254" s="22" t="s">
        <v>111</v>
      </c>
      <c r="E254" s="23">
        <v>-47464077.7587891</v>
      </c>
      <c r="F254" s="23">
        <v>70.287114940583706</v>
      </c>
      <c r="G254" s="22" t="s">
        <v>109</v>
      </c>
      <c r="H254" s="23">
        <v>1658936.1190795901</v>
      </c>
      <c r="I254" s="23">
        <v>2.3577526735607499</v>
      </c>
      <c r="J254" s="22" t="s">
        <v>111</v>
      </c>
      <c r="K254" s="23">
        <v>179403.83911132801</v>
      </c>
      <c r="L254" s="23">
        <v>0.136520864907652</v>
      </c>
      <c r="M254" s="22" t="s">
        <v>14</v>
      </c>
      <c r="N254" s="14"/>
      <c r="O254" s="13"/>
      <c r="P254" s="14"/>
      <c r="Q254" s="14"/>
    </row>
    <row r="255" spans="1:17" x14ac:dyDescent="0.25">
      <c r="A255" s="22" t="s">
        <v>319</v>
      </c>
      <c r="B255" s="22" t="s">
        <v>12</v>
      </c>
      <c r="C255" s="22" t="s">
        <v>15</v>
      </c>
      <c r="D255" s="22" t="s">
        <v>109</v>
      </c>
      <c r="E255" s="23">
        <v>-76102862.548828095</v>
      </c>
      <c r="F255" s="23">
        <v>115.96734635531899</v>
      </c>
      <c r="G255" s="22" t="s">
        <v>103</v>
      </c>
      <c r="H255" s="23">
        <v>0</v>
      </c>
      <c r="I255" s="23">
        <v>0</v>
      </c>
      <c r="J255" s="22" t="s">
        <v>111</v>
      </c>
      <c r="K255" s="23">
        <v>112252.12097167999</v>
      </c>
      <c r="L255" s="23">
        <v>6.6959013929590597E-2</v>
      </c>
      <c r="M255" s="22" t="s">
        <v>14</v>
      </c>
      <c r="N255" s="14"/>
      <c r="O255" s="13"/>
      <c r="P255" s="14"/>
      <c r="Q255" s="14"/>
    </row>
    <row r="256" spans="1:17" x14ac:dyDescent="0.25">
      <c r="A256" s="22" t="s">
        <v>319</v>
      </c>
      <c r="B256" s="22" t="s">
        <v>12</v>
      </c>
      <c r="C256" s="22" t="s">
        <v>16</v>
      </c>
      <c r="D256" s="22" t="s">
        <v>109</v>
      </c>
      <c r="E256" s="23">
        <v>-68737109.375</v>
      </c>
      <c r="F256" s="23">
        <v>103.949597105384</v>
      </c>
      <c r="G256" s="22" t="s">
        <v>103</v>
      </c>
      <c r="H256" s="23">
        <v>0</v>
      </c>
      <c r="I256" s="23">
        <v>0</v>
      </c>
      <c r="J256" s="22" t="s">
        <v>111</v>
      </c>
      <c r="K256" s="23">
        <v>147006.14929199201</v>
      </c>
      <c r="L256" s="23">
        <v>8.1343937199562802E-2</v>
      </c>
      <c r="M256" s="22" t="s">
        <v>14</v>
      </c>
      <c r="N256" s="14"/>
      <c r="O256" s="13"/>
      <c r="P256" s="14"/>
      <c r="Q256" s="14"/>
    </row>
    <row r="257" spans="1:17" x14ac:dyDescent="0.25">
      <c r="A257" s="22" t="s">
        <v>320</v>
      </c>
      <c r="B257" s="22" t="s">
        <v>12</v>
      </c>
      <c r="C257" s="22" t="s">
        <v>13</v>
      </c>
      <c r="D257" s="22" t="s">
        <v>103</v>
      </c>
      <c r="E257" s="23">
        <v>0</v>
      </c>
      <c r="F257" s="23">
        <v>0</v>
      </c>
      <c r="G257" s="22" t="s">
        <v>111</v>
      </c>
      <c r="H257" s="23">
        <v>104441918.94531301</v>
      </c>
      <c r="I257" s="23">
        <v>171.41077667474701</v>
      </c>
      <c r="J257" s="22" t="s">
        <v>111</v>
      </c>
      <c r="K257" s="23">
        <v>63261.966705322302</v>
      </c>
      <c r="L257" s="23">
        <v>5.02192589920014E-2</v>
      </c>
      <c r="M257" s="22" t="s">
        <v>14</v>
      </c>
      <c r="N257" s="14"/>
      <c r="O257" s="13"/>
      <c r="P257" s="14"/>
      <c r="Q257" s="14"/>
    </row>
    <row r="258" spans="1:17" x14ac:dyDescent="0.25">
      <c r="A258" s="22" t="s">
        <v>320</v>
      </c>
      <c r="B258" s="22" t="s">
        <v>12</v>
      </c>
      <c r="C258" s="22" t="s">
        <v>15</v>
      </c>
      <c r="D258" s="22" t="s">
        <v>111</v>
      </c>
      <c r="E258" s="23">
        <v>-22483343.505859401</v>
      </c>
      <c r="F258" s="23">
        <v>32.7562470920384</v>
      </c>
      <c r="G258" s="22" t="s">
        <v>109</v>
      </c>
      <c r="H258" s="23">
        <v>49338278.198242202</v>
      </c>
      <c r="I258" s="23">
        <v>74.389777146279798</v>
      </c>
      <c r="J258" s="22" t="s">
        <v>111</v>
      </c>
      <c r="K258" s="23">
        <v>66617.858886718794</v>
      </c>
      <c r="L258" s="23">
        <v>5.02192589920014E-2</v>
      </c>
      <c r="M258" s="22" t="s">
        <v>14</v>
      </c>
      <c r="N258" s="14"/>
      <c r="O258" s="13"/>
      <c r="P258" s="14"/>
      <c r="Q258" s="14"/>
    </row>
    <row r="259" spans="1:17" x14ac:dyDescent="0.25">
      <c r="A259" s="22" t="s">
        <v>320</v>
      </c>
      <c r="B259" s="22" t="s">
        <v>12</v>
      </c>
      <c r="C259" s="22" t="s">
        <v>16</v>
      </c>
      <c r="D259" s="22" t="s">
        <v>111</v>
      </c>
      <c r="E259" s="23">
        <v>-35380105.590820298</v>
      </c>
      <c r="F259" s="23">
        <v>52.378037944436102</v>
      </c>
      <c r="G259" s="22" t="s">
        <v>103</v>
      </c>
      <c r="H259" s="23">
        <v>0</v>
      </c>
      <c r="I259" s="23">
        <v>0</v>
      </c>
      <c r="J259" s="22" t="s">
        <v>109</v>
      </c>
      <c r="K259" s="23">
        <v>35048.439025878899</v>
      </c>
      <c r="L259" s="23">
        <v>0</v>
      </c>
      <c r="M259" s="22" t="s">
        <v>14</v>
      </c>
      <c r="N259" s="14"/>
      <c r="O259" s="13"/>
      <c r="P259" s="14"/>
      <c r="Q259" s="14"/>
    </row>
    <row r="260" spans="1:17" x14ac:dyDescent="0.25">
      <c r="A260" s="22" t="s">
        <v>321</v>
      </c>
      <c r="B260" s="22" t="s">
        <v>12</v>
      </c>
      <c r="C260" s="22" t="s">
        <v>13</v>
      </c>
      <c r="D260" s="22" t="s">
        <v>110</v>
      </c>
      <c r="E260" s="23">
        <v>-116580786.13281301</v>
      </c>
      <c r="F260" s="23">
        <v>119.727877900004</v>
      </c>
      <c r="G260" s="22" t="s">
        <v>245</v>
      </c>
      <c r="H260" s="23">
        <v>79655914.306640595</v>
      </c>
      <c r="I260" s="23">
        <v>80.909701064228997</v>
      </c>
      <c r="J260" s="22" t="s">
        <v>97</v>
      </c>
      <c r="K260" s="23">
        <v>309152.98461914097</v>
      </c>
      <c r="L260" s="23">
        <v>0.114871386904269</v>
      </c>
      <c r="M260" s="22" t="s">
        <v>14</v>
      </c>
      <c r="N260" s="14"/>
      <c r="O260" s="13"/>
      <c r="P260" s="14"/>
      <c r="Q260" s="14"/>
    </row>
    <row r="261" spans="1:17" x14ac:dyDescent="0.25">
      <c r="A261" s="22" t="s">
        <v>321</v>
      </c>
      <c r="B261" s="22" t="s">
        <v>12</v>
      </c>
      <c r="C261" s="22" t="s">
        <v>15</v>
      </c>
      <c r="D261" s="22" t="s">
        <v>110</v>
      </c>
      <c r="E261" s="23">
        <v>-116369653.32031301</v>
      </c>
      <c r="F261" s="23">
        <v>119.503382593393</v>
      </c>
      <c r="G261" s="22" t="s">
        <v>245</v>
      </c>
      <c r="H261" s="23">
        <v>21654319.763183601</v>
      </c>
      <c r="I261" s="23">
        <v>21.6331356205046</v>
      </c>
      <c r="J261" s="22" t="s">
        <v>97</v>
      </c>
      <c r="K261" s="23">
        <v>322069.36645507801</v>
      </c>
      <c r="L261" s="23">
        <v>0.1302634133026</v>
      </c>
      <c r="M261" s="22" t="s">
        <v>14</v>
      </c>
      <c r="N261" s="14"/>
      <c r="O261" s="13"/>
      <c r="P261" s="14"/>
      <c r="Q261" s="14"/>
    </row>
    <row r="262" spans="1:17" x14ac:dyDescent="0.25">
      <c r="A262" s="22" t="s">
        <v>321</v>
      </c>
      <c r="B262" s="22" t="s">
        <v>12</v>
      </c>
      <c r="C262" s="22" t="s">
        <v>16</v>
      </c>
      <c r="D262" s="22" t="s">
        <v>110</v>
      </c>
      <c r="E262" s="23">
        <v>-64243322.753906302</v>
      </c>
      <c r="F262" s="23">
        <v>64.962040632963195</v>
      </c>
      <c r="G262" s="22" t="s">
        <v>109</v>
      </c>
      <c r="H262" s="23">
        <v>34670925.903320298</v>
      </c>
      <c r="I262" s="23">
        <v>34.763757139444401</v>
      </c>
      <c r="J262" s="22" t="s">
        <v>110</v>
      </c>
      <c r="K262" s="23">
        <v>23223.922729492198</v>
      </c>
      <c r="L262" s="23">
        <v>0</v>
      </c>
      <c r="M262" s="22" t="s">
        <v>14</v>
      </c>
      <c r="N262" s="14"/>
      <c r="O262" s="13"/>
      <c r="P262" s="14"/>
      <c r="Q262" s="14"/>
    </row>
    <row r="263" spans="1:17" x14ac:dyDescent="0.25">
      <c r="A263" s="22" t="s">
        <v>322</v>
      </c>
      <c r="B263" s="22" t="s">
        <v>12</v>
      </c>
      <c r="C263" s="22" t="s">
        <v>13</v>
      </c>
      <c r="D263" s="22" t="s">
        <v>109</v>
      </c>
      <c r="E263" s="23">
        <v>-37305621.337890603</v>
      </c>
      <c r="F263" s="23">
        <v>55.364724248647697</v>
      </c>
      <c r="G263" s="22" t="s">
        <v>103</v>
      </c>
      <c r="H263" s="23">
        <v>0</v>
      </c>
      <c r="I263" s="23">
        <v>0</v>
      </c>
      <c r="J263" s="22" t="s">
        <v>96</v>
      </c>
      <c r="K263" s="23">
        <v>42353.286743164099</v>
      </c>
      <c r="L263" s="23">
        <v>5.02192589920014E-2</v>
      </c>
      <c r="M263" s="22" t="s">
        <v>14</v>
      </c>
      <c r="N263" s="14"/>
      <c r="O263" s="13"/>
      <c r="P263" s="14"/>
      <c r="Q263" s="14"/>
    </row>
    <row r="264" spans="1:17" x14ac:dyDescent="0.25">
      <c r="A264" s="22" t="s">
        <v>322</v>
      </c>
      <c r="B264" s="22" t="s">
        <v>12</v>
      </c>
      <c r="C264" s="22" t="s">
        <v>15</v>
      </c>
      <c r="D264" s="22" t="s">
        <v>109</v>
      </c>
      <c r="E264" s="23">
        <v>-51319061.279296897</v>
      </c>
      <c r="F264" s="23">
        <v>77.584008686244502</v>
      </c>
      <c r="G264" s="22" t="s">
        <v>103</v>
      </c>
      <c r="H264" s="23">
        <v>0</v>
      </c>
      <c r="I264" s="23">
        <v>0</v>
      </c>
      <c r="J264" s="22" t="s">
        <v>109</v>
      </c>
      <c r="K264" s="23">
        <v>112676.34582519501</v>
      </c>
      <c r="L264" s="23">
        <v>6.5132434247061596E-2</v>
      </c>
      <c r="M264" s="22" t="s">
        <v>14</v>
      </c>
      <c r="N264" s="14"/>
      <c r="O264" s="13"/>
      <c r="P264" s="14"/>
      <c r="Q264" s="14"/>
    </row>
    <row r="265" spans="1:17" x14ac:dyDescent="0.25">
      <c r="A265" s="22" t="s">
        <v>322</v>
      </c>
      <c r="B265" s="22" t="s">
        <v>12</v>
      </c>
      <c r="C265" s="22" t="s">
        <v>16</v>
      </c>
      <c r="D265" s="22" t="s">
        <v>110</v>
      </c>
      <c r="E265" s="23">
        <v>-22935650.634765599</v>
      </c>
      <c r="F265" s="23">
        <v>33.433556091040401</v>
      </c>
      <c r="G265" s="22" t="s">
        <v>97</v>
      </c>
      <c r="H265" s="23">
        <v>14791055.2978516</v>
      </c>
      <c r="I265" s="23">
        <v>21.3520578108728</v>
      </c>
      <c r="J265" s="22" t="s">
        <v>109</v>
      </c>
      <c r="K265" s="23">
        <v>125636.84082031299</v>
      </c>
      <c r="L265" s="23">
        <v>8.7205629097297802E-2</v>
      </c>
      <c r="M265" s="22" t="s">
        <v>14</v>
      </c>
      <c r="N265" s="14"/>
      <c r="O265" s="13"/>
      <c r="P265" s="14"/>
      <c r="Q265" s="14"/>
    </row>
    <row r="266" spans="1:17" x14ac:dyDescent="0.25">
      <c r="A266" s="22" t="s">
        <v>323</v>
      </c>
      <c r="B266" s="22" t="s">
        <v>12</v>
      </c>
      <c r="C266" s="22" t="s">
        <v>13</v>
      </c>
      <c r="D266" s="22" t="s">
        <v>247</v>
      </c>
      <c r="E266" s="23">
        <v>-131466625.97656301</v>
      </c>
      <c r="F266" s="23">
        <v>213.57599645853</v>
      </c>
      <c r="G266" s="22" t="s">
        <v>103</v>
      </c>
      <c r="H266" s="23">
        <v>0</v>
      </c>
      <c r="I266" s="23">
        <v>0</v>
      </c>
      <c r="J266" s="22" t="s">
        <v>247</v>
      </c>
      <c r="K266" s="23">
        <v>58322.463989257798</v>
      </c>
      <c r="L266" s="23">
        <v>6.6959013929590597E-2</v>
      </c>
      <c r="M266" s="22" t="s">
        <v>14</v>
      </c>
      <c r="N266" s="14"/>
      <c r="O266" s="13"/>
      <c r="P266" s="14"/>
      <c r="Q266" s="14"/>
    </row>
    <row r="267" spans="1:17" x14ac:dyDescent="0.25">
      <c r="A267" s="22" t="s">
        <v>323</v>
      </c>
      <c r="B267" s="22" t="s">
        <v>12</v>
      </c>
      <c r="C267" s="22" t="s">
        <v>15</v>
      </c>
      <c r="D267" s="22" t="s">
        <v>247</v>
      </c>
      <c r="E267" s="23">
        <v>-121908789.0625</v>
      </c>
      <c r="F267" s="23">
        <v>195.676404982805</v>
      </c>
      <c r="G267" s="22" t="s">
        <v>103</v>
      </c>
      <c r="H267" s="23">
        <v>0</v>
      </c>
      <c r="I267" s="23">
        <v>0</v>
      </c>
      <c r="J267" s="22" t="s">
        <v>247</v>
      </c>
      <c r="K267" s="23">
        <v>71635.681152343794</v>
      </c>
      <c r="L267" s="23">
        <v>6.6959013929590597E-2</v>
      </c>
      <c r="M267" s="22" t="s">
        <v>14</v>
      </c>
      <c r="N267" s="14"/>
      <c r="O267" s="13"/>
      <c r="P267" s="14"/>
      <c r="Q267" s="14"/>
    </row>
    <row r="268" spans="1:17" x14ac:dyDescent="0.25">
      <c r="A268" s="22" t="s">
        <v>323</v>
      </c>
      <c r="B268" s="22" t="s">
        <v>12</v>
      </c>
      <c r="C268" s="22" t="s">
        <v>16</v>
      </c>
      <c r="D268" s="22" t="s">
        <v>247</v>
      </c>
      <c r="E268" s="23">
        <v>-65886999.511718802</v>
      </c>
      <c r="F268" s="23">
        <v>99.351415410637898</v>
      </c>
      <c r="G268" s="22" t="s">
        <v>103</v>
      </c>
      <c r="H268" s="23">
        <v>0</v>
      </c>
      <c r="I268" s="23">
        <v>0</v>
      </c>
      <c r="J268" s="22" t="s">
        <v>247</v>
      </c>
      <c r="K268" s="23">
        <v>69651.329040527402</v>
      </c>
      <c r="L268" s="23">
        <v>6.6959013929590597E-2</v>
      </c>
      <c r="M268" s="22" t="s">
        <v>14</v>
      </c>
      <c r="N268" s="14"/>
      <c r="O268" s="13"/>
      <c r="P268" s="14"/>
      <c r="Q268" s="14"/>
    </row>
    <row r="269" spans="1:17" x14ac:dyDescent="0.25">
      <c r="A269" s="22" t="s">
        <v>324</v>
      </c>
      <c r="B269" s="22" t="s">
        <v>12</v>
      </c>
      <c r="C269" s="22" t="s">
        <v>13</v>
      </c>
      <c r="D269" s="22" t="s">
        <v>103</v>
      </c>
      <c r="E269" s="23">
        <v>0</v>
      </c>
      <c r="F269" s="23">
        <v>0</v>
      </c>
      <c r="G269" s="22" t="s">
        <v>100</v>
      </c>
      <c r="H269" s="23">
        <v>64920086.669921897</v>
      </c>
      <c r="I269" s="23">
        <v>97.797885537147494</v>
      </c>
      <c r="J269" s="22" t="s">
        <v>100</v>
      </c>
      <c r="K269" s="23">
        <v>375192.84057617199</v>
      </c>
      <c r="L269" s="23">
        <v>0.46997172757983202</v>
      </c>
      <c r="M269" s="22" t="s">
        <v>14</v>
      </c>
      <c r="N269" s="14"/>
      <c r="O269" s="13"/>
      <c r="P269" s="14"/>
      <c r="Q269" s="14"/>
    </row>
    <row r="270" spans="1:17" x14ac:dyDescent="0.25">
      <c r="A270" s="22" t="s">
        <v>324</v>
      </c>
      <c r="B270" s="22" t="s">
        <v>12</v>
      </c>
      <c r="C270" s="22" t="s">
        <v>15</v>
      </c>
      <c r="D270" s="22" t="s">
        <v>100</v>
      </c>
      <c r="E270" s="23">
        <v>-49276190.185546897</v>
      </c>
      <c r="F270" s="23">
        <v>106.574455276132</v>
      </c>
      <c r="G270" s="22" t="s">
        <v>111</v>
      </c>
      <c r="H270" s="23">
        <v>31290765.380859401</v>
      </c>
      <c r="I270" s="23">
        <v>45.642424374818802</v>
      </c>
      <c r="J270" s="22" t="s">
        <v>100</v>
      </c>
      <c r="K270" s="23">
        <v>381999.57275390602</v>
      </c>
      <c r="L270" s="23">
        <v>0.48156436532735802</v>
      </c>
      <c r="M270" s="22" t="s">
        <v>14</v>
      </c>
      <c r="N270" s="14"/>
      <c r="O270" s="13"/>
      <c r="P270" s="14"/>
      <c r="Q270" s="14"/>
    </row>
    <row r="271" spans="1:17" x14ac:dyDescent="0.25">
      <c r="A271" s="22" t="s">
        <v>324</v>
      </c>
      <c r="B271" s="22" t="s">
        <v>12</v>
      </c>
      <c r="C271" s="22" t="s">
        <v>16</v>
      </c>
      <c r="D271" s="22" t="s">
        <v>103</v>
      </c>
      <c r="E271" s="23">
        <v>0</v>
      </c>
      <c r="F271" s="23">
        <v>0</v>
      </c>
      <c r="G271" s="22" t="s">
        <v>100</v>
      </c>
      <c r="H271" s="23">
        <v>89251879.8828125</v>
      </c>
      <c r="I271" s="23">
        <v>137.92850077152301</v>
      </c>
      <c r="J271" s="22" t="s">
        <v>100</v>
      </c>
      <c r="K271" s="23">
        <v>58681.114196777402</v>
      </c>
      <c r="L271" s="23">
        <v>6.6959013929590597E-2</v>
      </c>
      <c r="M271" s="22" t="s">
        <v>14</v>
      </c>
      <c r="N271" s="14"/>
      <c r="O271" s="13"/>
      <c r="P271" s="14"/>
      <c r="Q271" s="14"/>
    </row>
    <row r="272" spans="1:17" x14ac:dyDescent="0.25">
      <c r="A272" s="22" t="s">
        <v>325</v>
      </c>
      <c r="B272" s="22" t="s">
        <v>12</v>
      </c>
      <c r="C272" s="22" t="s">
        <v>13</v>
      </c>
      <c r="D272" s="22" t="s">
        <v>103</v>
      </c>
      <c r="E272" s="23">
        <v>0</v>
      </c>
      <c r="F272" s="23">
        <v>0</v>
      </c>
      <c r="G272" s="22" t="s">
        <v>266</v>
      </c>
      <c r="H272" s="23">
        <v>52599804.6875</v>
      </c>
      <c r="I272" s="23">
        <v>78.2785564661026</v>
      </c>
      <c r="J272" s="22" t="s">
        <v>266</v>
      </c>
      <c r="K272" s="23">
        <v>292943.84765625</v>
      </c>
      <c r="L272" s="23">
        <v>0.329892383888364</v>
      </c>
      <c r="M272" s="22" t="s">
        <v>14</v>
      </c>
      <c r="N272" s="14"/>
      <c r="O272" s="13"/>
      <c r="P272" s="14"/>
      <c r="Q272" s="14"/>
    </row>
    <row r="273" spans="1:17" x14ac:dyDescent="0.25">
      <c r="A273" s="22" t="s">
        <v>325</v>
      </c>
      <c r="B273" s="22" t="s">
        <v>12</v>
      </c>
      <c r="C273" s="22" t="s">
        <v>15</v>
      </c>
      <c r="D273" s="22" t="s">
        <v>297</v>
      </c>
      <c r="E273" s="23">
        <v>-36098379.5166016</v>
      </c>
      <c r="F273" s="23">
        <v>52.888118661940098</v>
      </c>
      <c r="G273" s="22" t="s">
        <v>103</v>
      </c>
      <c r="H273" s="23">
        <v>0</v>
      </c>
      <c r="I273" s="23">
        <v>0</v>
      </c>
      <c r="J273" s="22" t="s">
        <v>297</v>
      </c>
      <c r="K273" s="23">
        <v>354043.73168945301</v>
      </c>
      <c r="L273" s="23">
        <v>0.43395236134529103</v>
      </c>
      <c r="M273" s="22" t="s">
        <v>14</v>
      </c>
      <c r="N273" s="14"/>
      <c r="O273" s="13"/>
      <c r="P273" s="14"/>
      <c r="Q273" s="14"/>
    </row>
    <row r="274" spans="1:17" x14ac:dyDescent="0.25">
      <c r="A274" s="22" t="s">
        <v>325</v>
      </c>
      <c r="B274" s="22" t="s">
        <v>12</v>
      </c>
      <c r="C274" s="22" t="s">
        <v>16</v>
      </c>
      <c r="D274" s="22" t="s">
        <v>103</v>
      </c>
      <c r="E274" s="23">
        <v>0</v>
      </c>
      <c r="F274" s="23">
        <v>0</v>
      </c>
      <c r="G274" s="22" t="s">
        <v>297</v>
      </c>
      <c r="H274" s="23">
        <v>71557928.466796905</v>
      </c>
      <c r="I274" s="23">
        <v>108.528798446059</v>
      </c>
      <c r="J274" s="22" t="s">
        <v>297</v>
      </c>
      <c r="K274" s="23">
        <v>346253.20434570301</v>
      </c>
      <c r="L274" s="23">
        <v>0.42068422771990299</v>
      </c>
      <c r="M274" s="22" t="s">
        <v>14</v>
      </c>
      <c r="N274" s="14"/>
      <c r="O274" s="13"/>
      <c r="P274" s="14"/>
      <c r="Q274" s="14"/>
    </row>
    <row r="275" spans="1:17" x14ac:dyDescent="0.25">
      <c r="A275" s="22" t="s">
        <v>326</v>
      </c>
      <c r="B275" s="22" t="s">
        <v>12</v>
      </c>
      <c r="C275" s="22" t="s">
        <v>13</v>
      </c>
      <c r="D275" s="22" t="s">
        <v>254</v>
      </c>
      <c r="E275" s="23">
        <v>-2950622.74932861</v>
      </c>
      <c r="F275" s="23">
        <v>4.20163181843236</v>
      </c>
      <c r="G275" s="22" t="s">
        <v>255</v>
      </c>
      <c r="H275" s="23">
        <v>1008609.77172852</v>
      </c>
      <c r="I275" s="23">
        <v>1.43310098792426</v>
      </c>
      <c r="J275" s="22" t="s">
        <v>254</v>
      </c>
      <c r="K275" s="23">
        <v>4214.6458625793503</v>
      </c>
      <c r="L275" s="23">
        <v>0</v>
      </c>
      <c r="M275" s="22" t="s">
        <v>14</v>
      </c>
      <c r="N275" s="14"/>
      <c r="O275" s="13"/>
      <c r="P275" s="14"/>
      <c r="Q275" s="14"/>
    </row>
    <row r="276" spans="1:17" x14ac:dyDescent="0.25">
      <c r="A276" s="22" t="s">
        <v>326</v>
      </c>
      <c r="B276" s="22" t="s">
        <v>12</v>
      </c>
      <c r="C276" s="22" t="s">
        <v>15</v>
      </c>
      <c r="D276" s="22" t="s">
        <v>254</v>
      </c>
      <c r="E276" s="23">
        <v>-6582907.8674316397</v>
      </c>
      <c r="F276" s="23">
        <v>9.4127655029296893</v>
      </c>
      <c r="G276" s="22" t="s">
        <v>243</v>
      </c>
      <c r="H276" s="23">
        <v>12687435.9130859</v>
      </c>
      <c r="I276" s="23">
        <v>18.2701321318746</v>
      </c>
      <c r="J276" s="22" t="s">
        <v>109</v>
      </c>
      <c r="K276" s="23">
        <v>13495.427131652799</v>
      </c>
      <c r="L276" s="23">
        <v>0</v>
      </c>
      <c r="M276" s="22" t="s">
        <v>14</v>
      </c>
      <c r="N276" s="14"/>
      <c r="O276" s="13"/>
      <c r="P276" s="14"/>
      <c r="Q276" s="14"/>
    </row>
    <row r="277" spans="1:17" x14ac:dyDescent="0.25">
      <c r="A277" s="22" t="s">
        <v>326</v>
      </c>
      <c r="B277" s="22" t="s">
        <v>12</v>
      </c>
      <c r="C277" s="22" t="s">
        <v>16</v>
      </c>
      <c r="D277" s="22" t="s">
        <v>103</v>
      </c>
      <c r="E277" s="23">
        <v>0</v>
      </c>
      <c r="F277" s="23">
        <v>0</v>
      </c>
      <c r="G277" s="22" t="s">
        <v>245</v>
      </c>
      <c r="H277" s="23">
        <v>16938198.8525391</v>
      </c>
      <c r="I277" s="23">
        <v>24.513823445886398</v>
      </c>
      <c r="J277" s="22" t="s">
        <v>254</v>
      </c>
      <c r="K277" s="23">
        <v>3450.9327411651602</v>
      </c>
      <c r="L277" s="23">
        <v>0</v>
      </c>
      <c r="M277" s="22" t="s">
        <v>14</v>
      </c>
      <c r="N277" s="14"/>
      <c r="O277" s="13"/>
      <c r="P277" s="14"/>
      <c r="Q277" s="14"/>
    </row>
    <row r="278" spans="1:17" x14ac:dyDescent="0.25">
      <c r="A278" s="22" t="s">
        <v>327</v>
      </c>
      <c r="B278" s="22" t="s">
        <v>12</v>
      </c>
      <c r="C278" s="22" t="s">
        <v>13</v>
      </c>
      <c r="D278" s="22" t="s">
        <v>109</v>
      </c>
      <c r="E278" s="23">
        <v>-2401025.7720947298</v>
      </c>
      <c r="F278" s="23">
        <v>3.41689359629527</v>
      </c>
      <c r="G278" s="22" t="s">
        <v>110</v>
      </c>
      <c r="H278" s="23">
        <v>2864160.15625</v>
      </c>
      <c r="I278" s="23">
        <v>4.07811166951433</v>
      </c>
      <c r="J278" s="22" t="s">
        <v>109</v>
      </c>
      <c r="K278" s="23">
        <v>4237.4458312988299</v>
      </c>
      <c r="L278" s="23">
        <v>0</v>
      </c>
      <c r="M278" s="22" t="s">
        <v>14</v>
      </c>
      <c r="N278" s="14"/>
      <c r="O278" s="13"/>
      <c r="P278" s="14"/>
      <c r="Q278" s="14"/>
    </row>
    <row r="279" spans="1:17" x14ac:dyDescent="0.25">
      <c r="A279" s="22" t="s">
        <v>327</v>
      </c>
      <c r="B279" s="22" t="s">
        <v>12</v>
      </c>
      <c r="C279" s="22" t="s">
        <v>15</v>
      </c>
      <c r="D279" s="22" t="s">
        <v>96</v>
      </c>
      <c r="E279" s="23">
        <v>-4192106.6284179701</v>
      </c>
      <c r="F279" s="23">
        <v>5.9778866125270698</v>
      </c>
      <c r="G279" s="22" t="s">
        <v>245</v>
      </c>
      <c r="H279" s="23">
        <v>11570641.326904301</v>
      </c>
      <c r="I279" s="23">
        <v>16.640216344967499</v>
      </c>
      <c r="J279" s="22" t="s">
        <v>245</v>
      </c>
      <c r="K279" s="23">
        <v>9794.3992614746094</v>
      </c>
      <c r="L279" s="23">
        <v>0</v>
      </c>
      <c r="M279" s="22" t="s">
        <v>14</v>
      </c>
      <c r="N279" s="14"/>
      <c r="O279" s="13"/>
      <c r="P279" s="14"/>
      <c r="Q279" s="14"/>
    </row>
    <row r="280" spans="1:17" x14ac:dyDescent="0.25">
      <c r="A280" s="22" t="s">
        <v>327</v>
      </c>
      <c r="B280" s="22" t="s">
        <v>12</v>
      </c>
      <c r="C280" s="22" t="s">
        <v>16</v>
      </c>
      <c r="D280" s="22" t="s">
        <v>103</v>
      </c>
      <c r="E280" s="23">
        <v>0</v>
      </c>
      <c r="F280" s="23">
        <v>0</v>
      </c>
      <c r="G280" s="22" t="s">
        <v>245</v>
      </c>
      <c r="H280" s="23">
        <v>18941250.6103516</v>
      </c>
      <c r="I280" s="23">
        <v>27.478274423628999</v>
      </c>
      <c r="J280" s="22" t="s">
        <v>254</v>
      </c>
      <c r="K280" s="23">
        <v>8299.0560531616193</v>
      </c>
      <c r="L280" s="23">
        <v>0</v>
      </c>
      <c r="M280" s="22" t="s">
        <v>14</v>
      </c>
      <c r="N280" s="14"/>
      <c r="O280" s="13"/>
      <c r="P280" s="14"/>
      <c r="Q280" s="14"/>
    </row>
    <row r="281" spans="1:17" x14ac:dyDescent="0.25">
      <c r="A281" s="22" t="s">
        <v>328</v>
      </c>
      <c r="B281" s="22" t="s">
        <v>12</v>
      </c>
      <c r="C281" s="22" t="s">
        <v>13</v>
      </c>
      <c r="D281" s="22" t="s">
        <v>103</v>
      </c>
      <c r="E281" s="23">
        <v>0</v>
      </c>
      <c r="F281" s="23">
        <v>0</v>
      </c>
      <c r="G281" s="22" t="s">
        <v>100</v>
      </c>
      <c r="H281" s="23">
        <v>59230554.199218802</v>
      </c>
      <c r="I281" s="23">
        <v>88.721215724945097</v>
      </c>
      <c r="J281" s="22" t="s">
        <v>100</v>
      </c>
      <c r="K281" s="23">
        <v>322018.28002929699</v>
      </c>
      <c r="L281" s="23">
        <v>0.379409431479871</v>
      </c>
      <c r="M281" s="22" t="s">
        <v>14</v>
      </c>
      <c r="N281" s="14"/>
      <c r="O281" s="13"/>
      <c r="P281" s="14"/>
      <c r="Q281" s="14"/>
    </row>
    <row r="282" spans="1:17" x14ac:dyDescent="0.25">
      <c r="A282" s="22" t="s">
        <v>328</v>
      </c>
      <c r="B282" s="22" t="s">
        <v>12</v>
      </c>
      <c r="C282" s="22" t="s">
        <v>15</v>
      </c>
      <c r="D282" s="22" t="s">
        <v>100</v>
      </c>
      <c r="E282" s="23">
        <v>-52640808.105468802</v>
      </c>
      <c r="F282" s="23">
        <v>78.342696651816397</v>
      </c>
      <c r="G282" s="22" t="s">
        <v>103</v>
      </c>
      <c r="H282" s="23">
        <v>0</v>
      </c>
      <c r="I282" s="23">
        <v>0</v>
      </c>
      <c r="J282" s="22" t="s">
        <v>100</v>
      </c>
      <c r="K282" s="23">
        <v>331826.56860351597</v>
      </c>
      <c r="L282" s="23">
        <v>0.39611402899026898</v>
      </c>
      <c r="M282" s="22" t="s">
        <v>14</v>
      </c>
      <c r="N282" s="14"/>
      <c r="O282" s="13"/>
      <c r="P282" s="14"/>
      <c r="Q282" s="14"/>
    </row>
    <row r="283" spans="1:17" x14ac:dyDescent="0.25">
      <c r="A283" s="22" t="s">
        <v>328</v>
      </c>
      <c r="B283" s="22" t="s">
        <v>12</v>
      </c>
      <c r="C283" s="22" t="s">
        <v>16</v>
      </c>
      <c r="D283" s="22" t="s">
        <v>103</v>
      </c>
      <c r="E283" s="23">
        <v>0</v>
      </c>
      <c r="F283" s="23">
        <v>0</v>
      </c>
      <c r="G283" s="22" t="s">
        <v>100</v>
      </c>
      <c r="H283" s="23">
        <v>60230975.341796897</v>
      </c>
      <c r="I283" s="23">
        <v>90.309297665953594</v>
      </c>
      <c r="J283" s="22" t="s">
        <v>100</v>
      </c>
      <c r="K283" s="23">
        <v>324859.92431640602</v>
      </c>
      <c r="L283" s="23">
        <v>0.384249049238861</v>
      </c>
      <c r="M283" s="22" t="s">
        <v>14</v>
      </c>
      <c r="N283" s="14"/>
      <c r="O283" s="13"/>
      <c r="P283" s="14"/>
      <c r="Q283" s="14"/>
    </row>
    <row r="284" spans="1:17" x14ac:dyDescent="0.25">
      <c r="A284" s="22" t="s">
        <v>329</v>
      </c>
      <c r="B284" s="22" t="s">
        <v>12</v>
      </c>
      <c r="C284" s="22" t="s">
        <v>13</v>
      </c>
      <c r="D284" s="22" t="s">
        <v>245</v>
      </c>
      <c r="E284" s="23">
        <v>-16987301.635742199</v>
      </c>
      <c r="F284" s="23">
        <v>16.948636621236801</v>
      </c>
      <c r="G284" s="22" t="s">
        <v>97</v>
      </c>
      <c r="H284" s="23">
        <v>61416253.662109397</v>
      </c>
      <c r="I284" s="23">
        <v>62.052602879703002</v>
      </c>
      <c r="J284" s="22" t="s">
        <v>97</v>
      </c>
      <c r="K284" s="23">
        <v>42310.8329772949</v>
      </c>
      <c r="L284" s="23">
        <v>0</v>
      </c>
      <c r="M284" s="22" t="s">
        <v>14</v>
      </c>
      <c r="N284" s="14"/>
      <c r="O284" s="13"/>
      <c r="P284" s="14"/>
      <c r="Q284" s="14"/>
    </row>
    <row r="285" spans="1:17" x14ac:dyDescent="0.25">
      <c r="A285" s="22" t="s">
        <v>329</v>
      </c>
      <c r="B285" s="22" t="s">
        <v>12</v>
      </c>
      <c r="C285" s="22" t="s">
        <v>15</v>
      </c>
      <c r="D285" s="22" t="s">
        <v>97</v>
      </c>
      <c r="E285" s="23">
        <v>-60992633.056640603</v>
      </c>
      <c r="F285" s="23">
        <v>61.617055907845497</v>
      </c>
      <c r="G285" s="22" t="s">
        <v>103</v>
      </c>
      <c r="H285" s="23">
        <v>0</v>
      </c>
      <c r="I285" s="23">
        <v>0</v>
      </c>
      <c r="J285" s="22" t="s">
        <v>97</v>
      </c>
      <c r="K285" s="23">
        <v>57677.833557128899</v>
      </c>
      <c r="L285" s="23">
        <v>0</v>
      </c>
      <c r="M285" s="22" t="s">
        <v>14</v>
      </c>
      <c r="N285" s="14"/>
      <c r="O285" s="13"/>
      <c r="P285" s="14"/>
      <c r="Q285" s="14"/>
    </row>
    <row r="286" spans="1:17" x14ac:dyDescent="0.25">
      <c r="A286" s="22" t="s">
        <v>329</v>
      </c>
      <c r="B286" s="22" t="s">
        <v>12</v>
      </c>
      <c r="C286" s="22" t="s">
        <v>16</v>
      </c>
      <c r="D286" s="22" t="s">
        <v>97</v>
      </c>
      <c r="E286" s="23">
        <v>-21657785.034179699</v>
      </c>
      <c r="F286" s="23">
        <v>21.636618766933701</v>
      </c>
      <c r="G286" s="22" t="s">
        <v>97</v>
      </c>
      <c r="H286" s="23">
        <v>32491348.2666016</v>
      </c>
      <c r="I286" s="23">
        <v>32.5583294034004</v>
      </c>
      <c r="J286" s="22" t="s">
        <v>97</v>
      </c>
      <c r="K286" s="23">
        <v>49368.301391601599</v>
      </c>
      <c r="L286" s="23">
        <v>0</v>
      </c>
      <c r="M286" s="22" t="s">
        <v>14</v>
      </c>
      <c r="N286" s="14"/>
      <c r="O286" s="13"/>
      <c r="P286" s="14"/>
      <c r="Q286" s="14"/>
    </row>
    <row r="287" spans="1:17" x14ac:dyDescent="0.25">
      <c r="A287" s="22" t="s">
        <v>330</v>
      </c>
      <c r="B287" s="22" t="s">
        <v>12</v>
      </c>
      <c r="C287" s="22" t="s">
        <v>13</v>
      </c>
      <c r="D287" s="22" t="s">
        <v>109</v>
      </c>
      <c r="E287" s="23">
        <v>-24008676.1474609</v>
      </c>
      <c r="F287" s="23">
        <v>34.790781792253298</v>
      </c>
      <c r="G287" s="22" t="s">
        <v>96</v>
      </c>
      <c r="H287" s="23">
        <v>72316638.183593795</v>
      </c>
      <c r="I287" s="23">
        <v>109.765324741602</v>
      </c>
      <c r="J287" s="22" t="s">
        <v>109</v>
      </c>
      <c r="K287" s="23">
        <v>176165.08483886701</v>
      </c>
      <c r="L287" s="23">
        <v>0.13100489741191301</v>
      </c>
      <c r="M287" s="22" t="s">
        <v>14</v>
      </c>
      <c r="N287" s="14"/>
      <c r="O287" s="13"/>
      <c r="P287" s="14"/>
      <c r="Q287" s="14"/>
    </row>
    <row r="288" spans="1:17" x14ac:dyDescent="0.25">
      <c r="A288" s="22" t="s">
        <v>330</v>
      </c>
      <c r="B288" s="22" t="s">
        <v>12</v>
      </c>
      <c r="C288" s="22" t="s">
        <v>15</v>
      </c>
      <c r="D288" s="22" t="s">
        <v>109</v>
      </c>
      <c r="E288" s="23">
        <v>-9765437.3168945294</v>
      </c>
      <c r="F288" s="23">
        <v>13.975269393995401</v>
      </c>
      <c r="G288" s="22" t="s">
        <v>101</v>
      </c>
      <c r="H288" s="23">
        <v>68103521.728515595</v>
      </c>
      <c r="I288" s="23">
        <v>102.92494669556601</v>
      </c>
      <c r="J288" s="22" t="s">
        <v>109</v>
      </c>
      <c r="K288" s="23">
        <v>270127.77709960903</v>
      </c>
      <c r="L288" s="23">
        <v>0.291033997200429</v>
      </c>
      <c r="M288" s="22" t="s">
        <v>14</v>
      </c>
      <c r="N288" s="14"/>
      <c r="O288" s="13"/>
      <c r="P288" s="14"/>
      <c r="Q288" s="14"/>
    </row>
    <row r="289" spans="1:17" x14ac:dyDescent="0.25">
      <c r="A289" s="22" t="s">
        <v>330</v>
      </c>
      <c r="B289" s="22" t="s">
        <v>12</v>
      </c>
      <c r="C289" s="22" t="s">
        <v>16</v>
      </c>
      <c r="D289" s="22" t="s">
        <v>103</v>
      </c>
      <c r="E289" s="23">
        <v>0</v>
      </c>
      <c r="F289" s="23">
        <v>0</v>
      </c>
      <c r="G289" s="22" t="s">
        <v>101</v>
      </c>
      <c r="H289" s="23">
        <v>81476434.326171905</v>
      </c>
      <c r="I289" s="23">
        <v>124.861234799027</v>
      </c>
      <c r="J289" s="22" t="s">
        <v>109</v>
      </c>
      <c r="K289" s="23">
        <v>196010.43701171901</v>
      </c>
      <c r="L289" s="23">
        <v>0.164803781080991</v>
      </c>
      <c r="M289" s="22" t="s">
        <v>14</v>
      </c>
      <c r="N289" s="14"/>
      <c r="O289" s="13"/>
      <c r="P289" s="14"/>
      <c r="Q289" s="14"/>
    </row>
    <row r="290" spans="1:17" x14ac:dyDescent="0.25">
      <c r="A290" s="22" t="s">
        <v>331</v>
      </c>
      <c r="B290" s="22" t="s">
        <v>12</v>
      </c>
      <c r="C290" s="22" t="s">
        <v>13</v>
      </c>
      <c r="D290" s="22" t="s">
        <v>96</v>
      </c>
      <c r="E290" s="23">
        <v>-3715127.94494629</v>
      </c>
      <c r="F290" s="23">
        <v>5.2892905659973604</v>
      </c>
      <c r="G290" s="22" t="s">
        <v>101</v>
      </c>
      <c r="H290" s="23">
        <v>86354779.052734405</v>
      </c>
      <c r="I290" s="23">
        <v>133.03166255354901</v>
      </c>
      <c r="J290" s="22" t="s">
        <v>101</v>
      </c>
      <c r="K290" s="23">
        <v>308900.146484375</v>
      </c>
      <c r="L290" s="23">
        <v>0.35706772468984099</v>
      </c>
      <c r="M290" s="22" t="s">
        <v>14</v>
      </c>
      <c r="N290" s="14"/>
      <c r="O290" s="13"/>
      <c r="P290" s="14"/>
      <c r="Q290" s="14"/>
    </row>
    <row r="291" spans="1:17" x14ac:dyDescent="0.25">
      <c r="A291" s="22" t="s">
        <v>331</v>
      </c>
      <c r="B291" s="22" t="s">
        <v>12</v>
      </c>
      <c r="C291" s="22" t="s">
        <v>15</v>
      </c>
      <c r="D291" s="22" t="s">
        <v>254</v>
      </c>
      <c r="E291" s="23">
        <v>-54666333.0078125</v>
      </c>
      <c r="F291" s="23">
        <v>81.517780199647007</v>
      </c>
      <c r="G291" s="22" t="s">
        <v>109</v>
      </c>
      <c r="H291" s="23">
        <v>14747872.924804701</v>
      </c>
      <c r="I291" s="23">
        <v>21.196943707764099</v>
      </c>
      <c r="J291" s="22" t="s">
        <v>101</v>
      </c>
      <c r="K291" s="23">
        <v>316198.91357421898</v>
      </c>
      <c r="L291" s="23">
        <v>0.36949838977307098</v>
      </c>
      <c r="M291" s="22" t="s">
        <v>14</v>
      </c>
      <c r="N291" s="14"/>
      <c r="O291" s="13"/>
      <c r="P291" s="14"/>
      <c r="Q291" s="14"/>
    </row>
    <row r="292" spans="1:17" x14ac:dyDescent="0.25">
      <c r="A292" s="22" t="s">
        <v>331</v>
      </c>
      <c r="B292" s="22" t="s">
        <v>12</v>
      </c>
      <c r="C292" s="22" t="s">
        <v>16</v>
      </c>
      <c r="D292" s="22" t="s">
        <v>103</v>
      </c>
      <c r="E292" s="23">
        <v>0</v>
      </c>
      <c r="F292" s="23">
        <v>0</v>
      </c>
      <c r="G292" s="22" t="s">
        <v>100</v>
      </c>
      <c r="H292" s="23">
        <v>62290435.791015603</v>
      </c>
      <c r="I292" s="23">
        <v>93.589099124073996</v>
      </c>
      <c r="J292" s="22" t="s">
        <v>266</v>
      </c>
      <c r="K292" s="23">
        <v>305082.00073242199</v>
      </c>
      <c r="L292" s="23">
        <v>0.35056502092629699</v>
      </c>
      <c r="M292" s="22" t="s">
        <v>14</v>
      </c>
      <c r="N292" s="14"/>
      <c r="O292" s="13"/>
      <c r="P292" s="14"/>
      <c r="Q292" s="14"/>
    </row>
    <row r="293" spans="1:17" x14ac:dyDescent="0.25">
      <c r="A293" s="22" t="s">
        <v>332</v>
      </c>
      <c r="B293" s="22" t="s">
        <v>12</v>
      </c>
      <c r="C293" s="22" t="s">
        <v>13</v>
      </c>
      <c r="D293" s="22" t="s">
        <v>103</v>
      </c>
      <c r="E293" s="23">
        <v>0</v>
      </c>
      <c r="F293" s="23">
        <v>0</v>
      </c>
      <c r="G293" s="22" t="s">
        <v>100</v>
      </c>
      <c r="H293" s="23">
        <v>61440936.279296897</v>
      </c>
      <c r="I293" s="23">
        <v>92.234499752521501</v>
      </c>
      <c r="J293" s="22" t="s">
        <v>100</v>
      </c>
      <c r="K293" s="23">
        <v>321041.83959960903</v>
      </c>
      <c r="L293" s="23">
        <v>0.37774641532450898</v>
      </c>
      <c r="M293" s="22" t="s">
        <v>14</v>
      </c>
      <c r="N293" s="14"/>
      <c r="O293" s="13"/>
      <c r="P293" s="14"/>
      <c r="Q293" s="14"/>
    </row>
    <row r="294" spans="1:17" x14ac:dyDescent="0.25">
      <c r="A294" s="22" t="s">
        <v>332</v>
      </c>
      <c r="B294" s="22" t="s">
        <v>12</v>
      </c>
      <c r="C294" s="22" t="s">
        <v>15</v>
      </c>
      <c r="D294" s="22" t="s">
        <v>100</v>
      </c>
      <c r="E294" s="23">
        <v>-50245706.176757798</v>
      </c>
      <c r="F294" s="23">
        <v>74.605173431336894</v>
      </c>
      <c r="G294" s="22" t="s">
        <v>103</v>
      </c>
      <c r="H294" s="23">
        <v>0</v>
      </c>
      <c r="I294" s="23">
        <v>0</v>
      </c>
      <c r="J294" s="22" t="s">
        <v>100</v>
      </c>
      <c r="K294" s="23">
        <v>328012.57324218802</v>
      </c>
      <c r="L294" s="23">
        <v>0.38961837999522703</v>
      </c>
      <c r="M294" s="22" t="s">
        <v>14</v>
      </c>
      <c r="N294" s="14"/>
      <c r="O294" s="13"/>
      <c r="P294" s="14"/>
      <c r="Q294" s="14"/>
    </row>
    <row r="295" spans="1:17" x14ac:dyDescent="0.25">
      <c r="A295" s="22" t="s">
        <v>332</v>
      </c>
      <c r="B295" s="22" t="s">
        <v>12</v>
      </c>
      <c r="C295" s="22" t="s">
        <v>16</v>
      </c>
      <c r="D295" s="22" t="s">
        <v>103</v>
      </c>
      <c r="E295" s="23">
        <v>0</v>
      </c>
      <c r="F295" s="23">
        <v>0</v>
      </c>
      <c r="G295" s="22" t="s">
        <v>100</v>
      </c>
      <c r="H295" s="23">
        <v>58342077.636718802</v>
      </c>
      <c r="I295" s="23">
        <v>87.313614785671206</v>
      </c>
      <c r="J295" s="22" t="s">
        <v>100</v>
      </c>
      <c r="K295" s="23">
        <v>313430.96923828102</v>
      </c>
      <c r="L295" s="23">
        <v>0.36478426773101102</v>
      </c>
      <c r="M295" s="22" t="s">
        <v>14</v>
      </c>
      <c r="N295" s="14"/>
      <c r="O295" s="13"/>
      <c r="P295" s="14"/>
      <c r="Q295" s="14"/>
    </row>
    <row r="296" spans="1:17" x14ac:dyDescent="0.25">
      <c r="A296" s="22" t="s">
        <v>333</v>
      </c>
      <c r="B296" s="22" t="s">
        <v>12</v>
      </c>
      <c r="C296" s="22" t="s">
        <v>13</v>
      </c>
      <c r="D296" s="22" t="s">
        <v>103</v>
      </c>
      <c r="E296" s="23">
        <v>0</v>
      </c>
      <c r="F296" s="23">
        <v>0</v>
      </c>
      <c r="G296" s="22" t="s">
        <v>100</v>
      </c>
      <c r="H296" s="23">
        <v>61525006.103515603</v>
      </c>
      <c r="I296" s="23">
        <v>92.368442565202699</v>
      </c>
      <c r="J296" s="22" t="s">
        <v>100</v>
      </c>
      <c r="K296" s="23">
        <v>331059.75341796898</v>
      </c>
      <c r="L296" s="23">
        <v>0.39480803534388498</v>
      </c>
      <c r="M296" s="22" t="s">
        <v>14</v>
      </c>
      <c r="N296" s="14"/>
      <c r="O296" s="13"/>
      <c r="P296" s="14"/>
      <c r="Q296" s="14"/>
    </row>
    <row r="297" spans="1:17" x14ac:dyDescent="0.25">
      <c r="A297" s="22" t="s">
        <v>333</v>
      </c>
      <c r="B297" s="22" t="s">
        <v>12</v>
      </c>
      <c r="C297" s="22" t="s">
        <v>15</v>
      </c>
      <c r="D297" s="22" t="s">
        <v>100</v>
      </c>
      <c r="E297" s="23">
        <v>-53886187.744140603</v>
      </c>
      <c r="F297" s="23">
        <v>80.293314531445503</v>
      </c>
      <c r="G297" s="22" t="s">
        <v>103</v>
      </c>
      <c r="H297" s="23">
        <v>0</v>
      </c>
      <c r="I297" s="23">
        <v>0</v>
      </c>
      <c r="J297" s="22" t="s">
        <v>100</v>
      </c>
      <c r="K297" s="23">
        <v>338042.78564453102</v>
      </c>
      <c r="L297" s="23">
        <v>0.40670097805559602</v>
      </c>
      <c r="M297" s="22" t="s">
        <v>14</v>
      </c>
      <c r="N297" s="14"/>
      <c r="O297" s="13"/>
      <c r="P297" s="14"/>
      <c r="Q297" s="14"/>
    </row>
    <row r="298" spans="1:17" x14ac:dyDescent="0.25">
      <c r="A298" s="22" t="s">
        <v>333</v>
      </c>
      <c r="B298" s="22" t="s">
        <v>12</v>
      </c>
      <c r="C298" s="22" t="s">
        <v>16</v>
      </c>
      <c r="D298" s="22" t="s">
        <v>103</v>
      </c>
      <c r="E298" s="23">
        <v>0</v>
      </c>
      <c r="F298" s="23">
        <v>0</v>
      </c>
      <c r="G298" s="22" t="s">
        <v>100</v>
      </c>
      <c r="H298" s="23">
        <v>61415942.3828125</v>
      </c>
      <c r="I298" s="23">
        <v>92.194685712456703</v>
      </c>
      <c r="J298" s="22" t="s">
        <v>100</v>
      </c>
      <c r="K298" s="23">
        <v>330986.48071289097</v>
      </c>
      <c r="L298" s="23">
        <v>0.39468328468501601</v>
      </c>
      <c r="M298" s="22" t="s">
        <v>14</v>
      </c>
      <c r="N298" s="14"/>
      <c r="O298" s="13"/>
      <c r="P298" s="14"/>
      <c r="Q298" s="14"/>
    </row>
    <row r="299" spans="1:17" x14ac:dyDescent="0.25">
      <c r="A299" s="22" t="s">
        <v>334</v>
      </c>
      <c r="B299" s="22" t="s">
        <v>12</v>
      </c>
      <c r="C299" s="22" t="s">
        <v>13</v>
      </c>
      <c r="D299" s="22" t="s">
        <v>103</v>
      </c>
      <c r="E299" s="23">
        <v>0</v>
      </c>
      <c r="F299" s="23">
        <v>0</v>
      </c>
      <c r="G299" s="22" t="s">
        <v>100</v>
      </c>
      <c r="H299" s="23">
        <v>61331787.109375</v>
      </c>
      <c r="I299" s="23">
        <v>92.060621827840805</v>
      </c>
      <c r="J299" s="22" t="s">
        <v>100</v>
      </c>
      <c r="K299" s="23">
        <v>343359.28344726597</v>
      </c>
      <c r="L299" s="23">
        <v>0.41575552895665202</v>
      </c>
      <c r="M299" s="22" t="s">
        <v>14</v>
      </c>
      <c r="N299" s="14"/>
      <c r="O299" s="13"/>
      <c r="P299" s="14"/>
      <c r="Q299" s="14"/>
    </row>
    <row r="300" spans="1:17" x14ac:dyDescent="0.25">
      <c r="A300" s="22" t="s">
        <v>334</v>
      </c>
      <c r="B300" s="22" t="s">
        <v>12</v>
      </c>
      <c r="C300" s="22" t="s">
        <v>15</v>
      </c>
      <c r="D300" s="22" t="s">
        <v>100</v>
      </c>
      <c r="E300" s="23">
        <v>-58473577.880859397</v>
      </c>
      <c r="F300" s="23">
        <v>87.5217840075493</v>
      </c>
      <c r="G300" s="22" t="s">
        <v>103</v>
      </c>
      <c r="H300" s="23">
        <v>0</v>
      </c>
      <c r="I300" s="23">
        <v>0</v>
      </c>
      <c r="J300" s="22" t="s">
        <v>100</v>
      </c>
      <c r="K300" s="23">
        <v>360618.13354492199</v>
      </c>
      <c r="L300" s="23">
        <v>0.44514932669699198</v>
      </c>
      <c r="M300" s="22" t="s">
        <v>14</v>
      </c>
      <c r="N300" s="14"/>
      <c r="O300" s="13"/>
      <c r="P300" s="14"/>
      <c r="Q300" s="14"/>
    </row>
    <row r="301" spans="1:17" x14ac:dyDescent="0.25">
      <c r="A301" s="22" t="s">
        <v>334</v>
      </c>
      <c r="B301" s="22" t="s">
        <v>12</v>
      </c>
      <c r="C301" s="22" t="s">
        <v>16</v>
      </c>
      <c r="D301" s="22" t="s">
        <v>103</v>
      </c>
      <c r="E301" s="23">
        <v>0</v>
      </c>
      <c r="F301" s="23">
        <v>0</v>
      </c>
      <c r="G301" s="22" t="s">
        <v>100</v>
      </c>
      <c r="H301" s="23">
        <v>64530865.478515603</v>
      </c>
      <c r="I301" s="23">
        <v>97.173443064093604</v>
      </c>
      <c r="J301" s="22" t="s">
        <v>100</v>
      </c>
      <c r="K301" s="23">
        <v>353639.19067382801</v>
      </c>
      <c r="L301" s="23">
        <v>0.433263415470719</v>
      </c>
      <c r="M301" s="22" t="s">
        <v>14</v>
      </c>
      <c r="N301" s="14"/>
      <c r="O301" s="13"/>
      <c r="P301" s="14"/>
      <c r="Q301" s="14"/>
    </row>
    <row r="302" spans="1:17" x14ac:dyDescent="0.25">
      <c r="A302" s="22" t="s">
        <v>335</v>
      </c>
      <c r="B302" s="22" t="s">
        <v>12</v>
      </c>
      <c r="C302" s="22" t="s">
        <v>13</v>
      </c>
      <c r="D302" s="22" t="s">
        <v>245</v>
      </c>
      <c r="E302" s="23">
        <v>-25199983.215332001</v>
      </c>
      <c r="F302" s="23">
        <v>36.556080449372502</v>
      </c>
      <c r="G302" s="22" t="s">
        <v>100</v>
      </c>
      <c r="H302" s="23">
        <v>87891827.392578095</v>
      </c>
      <c r="I302" s="23">
        <v>135.625461116433</v>
      </c>
      <c r="J302" s="22" t="s">
        <v>100</v>
      </c>
      <c r="K302" s="23">
        <v>451717.86499023403</v>
      </c>
      <c r="L302" s="23">
        <v>0.60030249878764197</v>
      </c>
      <c r="M302" s="22" t="s">
        <v>14</v>
      </c>
      <c r="N302" s="14"/>
      <c r="O302" s="13"/>
      <c r="P302" s="14"/>
      <c r="Q302" s="14"/>
    </row>
    <row r="303" spans="1:17" x14ac:dyDescent="0.25">
      <c r="A303" s="22" t="s">
        <v>335</v>
      </c>
      <c r="B303" s="22" t="s">
        <v>12</v>
      </c>
      <c r="C303" s="22" t="s">
        <v>15</v>
      </c>
      <c r="D303" s="22" t="s">
        <v>111</v>
      </c>
      <c r="E303" s="23">
        <v>-99242687.988281295</v>
      </c>
      <c r="F303" s="23">
        <v>155.08209355175501</v>
      </c>
      <c r="G303" s="22" t="s">
        <v>103</v>
      </c>
      <c r="H303" s="23">
        <v>0</v>
      </c>
      <c r="I303" s="23">
        <v>0</v>
      </c>
      <c r="J303" s="22" t="s">
        <v>111</v>
      </c>
      <c r="K303" s="23">
        <v>313817.29125976597</v>
      </c>
      <c r="L303" s="23">
        <v>0.36544220056384802</v>
      </c>
      <c r="M303" s="22" t="s">
        <v>14</v>
      </c>
      <c r="N303" s="14"/>
      <c r="O303" s="13"/>
      <c r="P303" s="14"/>
      <c r="Q303" s="14"/>
    </row>
    <row r="304" spans="1:17" x14ac:dyDescent="0.25">
      <c r="A304" s="22" t="s">
        <v>335</v>
      </c>
      <c r="B304" s="22" t="s">
        <v>12</v>
      </c>
      <c r="C304" s="22" t="s">
        <v>16</v>
      </c>
      <c r="D304" s="22" t="s">
        <v>101</v>
      </c>
      <c r="E304" s="23">
        <v>-31401409.912109401</v>
      </c>
      <c r="F304" s="23">
        <v>45.8084419369698</v>
      </c>
      <c r="G304" s="22" t="s">
        <v>100</v>
      </c>
      <c r="H304" s="23">
        <v>11262133.7890625</v>
      </c>
      <c r="I304" s="23">
        <v>16.138009959831798</v>
      </c>
      <c r="J304" s="22" t="s">
        <v>100</v>
      </c>
      <c r="K304" s="23">
        <v>291132.11059570301</v>
      </c>
      <c r="L304" s="23">
        <v>0.32680674921721198</v>
      </c>
      <c r="M304" s="22" t="s">
        <v>14</v>
      </c>
      <c r="N304" s="14"/>
      <c r="O304" s="13"/>
      <c r="P304" s="14"/>
      <c r="Q304" s="14"/>
    </row>
    <row r="305" spans="1:17" x14ac:dyDescent="0.25">
      <c r="A305" s="22" t="s">
        <v>336</v>
      </c>
      <c r="B305" s="22" t="s">
        <v>12</v>
      </c>
      <c r="C305" s="22" t="s">
        <v>13</v>
      </c>
      <c r="D305" s="22" t="s">
        <v>110</v>
      </c>
      <c r="E305" s="23">
        <v>-19192170.715332001</v>
      </c>
      <c r="F305" s="23">
        <v>19.1602390259504</v>
      </c>
      <c r="G305" s="22" t="s">
        <v>245</v>
      </c>
      <c r="H305" s="23">
        <v>81773040.771484405</v>
      </c>
      <c r="I305" s="23">
        <v>83.111822605133099</v>
      </c>
      <c r="J305" s="22" t="s">
        <v>97</v>
      </c>
      <c r="K305" s="23">
        <v>393661.80419921898</v>
      </c>
      <c r="L305" s="23">
        <v>0.21557782310992499</v>
      </c>
      <c r="M305" s="22" t="s">
        <v>14</v>
      </c>
      <c r="N305" s="14"/>
      <c r="O305" s="13"/>
      <c r="P305" s="14"/>
      <c r="Q305" s="14"/>
    </row>
    <row r="306" spans="1:17" x14ac:dyDescent="0.25">
      <c r="A306" s="22" t="s">
        <v>336</v>
      </c>
      <c r="B306" s="22" t="s">
        <v>12</v>
      </c>
      <c r="C306" s="22" t="s">
        <v>15</v>
      </c>
      <c r="D306" s="22" t="s">
        <v>97</v>
      </c>
      <c r="E306" s="23">
        <v>-61343310.546875</v>
      </c>
      <c r="F306" s="23">
        <v>131.52048923075199</v>
      </c>
      <c r="G306" s="22" t="s">
        <v>109</v>
      </c>
      <c r="H306" s="23">
        <v>27840457.153320301</v>
      </c>
      <c r="I306" s="23">
        <v>97.404299303889303</v>
      </c>
      <c r="J306" s="22" t="s">
        <v>97</v>
      </c>
      <c r="K306" s="23">
        <v>397776.79443359398</v>
      </c>
      <c r="L306" s="23">
        <v>0.22048153914511201</v>
      </c>
      <c r="M306" s="22" t="s">
        <v>14</v>
      </c>
      <c r="N306" s="14"/>
      <c r="O306" s="13"/>
      <c r="P306" s="14"/>
      <c r="Q306" s="14"/>
    </row>
    <row r="307" spans="1:17" x14ac:dyDescent="0.25">
      <c r="A307" s="22" t="s">
        <v>336</v>
      </c>
      <c r="B307" s="22" t="s">
        <v>12</v>
      </c>
      <c r="C307" s="22" t="s">
        <v>16</v>
      </c>
      <c r="D307" s="22" t="s">
        <v>110</v>
      </c>
      <c r="E307" s="23">
        <v>-22880029.296875</v>
      </c>
      <c r="F307" s="23">
        <v>22.8654686361551</v>
      </c>
      <c r="G307" s="22" t="s">
        <v>109</v>
      </c>
      <c r="H307" s="23">
        <v>95166906.738281295</v>
      </c>
      <c r="I307" s="23">
        <v>97.108948975801496</v>
      </c>
      <c r="J307" s="22" t="s">
        <v>97</v>
      </c>
      <c r="K307" s="23">
        <v>216944.915771484</v>
      </c>
      <c r="L307" s="23">
        <v>0.100438517984003</v>
      </c>
      <c r="M307" s="22" t="s">
        <v>14</v>
      </c>
      <c r="N307" s="14"/>
      <c r="O307" s="13"/>
      <c r="P307" s="14"/>
      <c r="Q307" s="14"/>
    </row>
    <row r="308" spans="1:17" x14ac:dyDescent="0.25">
      <c r="A308" s="22" t="s">
        <v>337</v>
      </c>
      <c r="B308" s="22" t="s">
        <v>12</v>
      </c>
      <c r="C308" s="22" t="s">
        <v>13</v>
      </c>
      <c r="D308" s="22" t="s">
        <v>316</v>
      </c>
      <c r="E308" s="23">
        <v>-12909370.4223633</v>
      </c>
      <c r="F308" s="23">
        <v>12.8654192667454</v>
      </c>
      <c r="G308" s="22" t="s">
        <v>109</v>
      </c>
      <c r="H308" s="23">
        <v>70297894.287109405</v>
      </c>
      <c r="I308" s="23">
        <v>71.209375746548204</v>
      </c>
      <c r="J308" s="22" t="s">
        <v>97</v>
      </c>
      <c r="K308" s="23">
        <v>241095.687866211</v>
      </c>
      <c r="L308" s="23">
        <v>0.100438517984003</v>
      </c>
      <c r="M308" s="22" t="s">
        <v>14</v>
      </c>
      <c r="N308" s="14"/>
      <c r="O308" s="13"/>
      <c r="P308" s="14"/>
      <c r="Q308" s="14"/>
    </row>
    <row r="309" spans="1:17" x14ac:dyDescent="0.25">
      <c r="A309" s="22" t="s">
        <v>337</v>
      </c>
      <c r="B309" s="22" t="s">
        <v>12</v>
      </c>
      <c r="C309" s="22" t="s">
        <v>15</v>
      </c>
      <c r="D309" s="22" t="s">
        <v>97</v>
      </c>
      <c r="E309" s="23">
        <v>-56530383.300781302</v>
      </c>
      <c r="F309" s="23">
        <v>57.035749778151498</v>
      </c>
      <c r="G309" s="22" t="s">
        <v>109</v>
      </c>
      <c r="H309" s="23">
        <v>32589831.542968798</v>
      </c>
      <c r="I309" s="23">
        <v>32.6579250395298</v>
      </c>
      <c r="J309" s="22" t="s">
        <v>97</v>
      </c>
      <c r="K309" s="23">
        <v>216396.636962891</v>
      </c>
      <c r="L309" s="23">
        <v>0.100438517984003</v>
      </c>
      <c r="M309" s="22" t="s">
        <v>14</v>
      </c>
      <c r="N309" s="14"/>
      <c r="O309" s="13"/>
      <c r="P309" s="14"/>
      <c r="Q309" s="14"/>
    </row>
    <row r="310" spans="1:17" x14ac:dyDescent="0.25">
      <c r="A310" s="22" t="s">
        <v>337</v>
      </c>
      <c r="B310" s="22" t="s">
        <v>12</v>
      </c>
      <c r="C310" s="22" t="s">
        <v>16</v>
      </c>
      <c r="D310" s="22" t="s">
        <v>110</v>
      </c>
      <c r="E310" s="23">
        <v>-14321684.2651367</v>
      </c>
      <c r="F310" s="23">
        <v>14.278513845056301</v>
      </c>
      <c r="G310" s="22" t="s">
        <v>97</v>
      </c>
      <c r="H310" s="23">
        <v>72545172.119140595</v>
      </c>
      <c r="I310" s="23">
        <v>73.533914983272595</v>
      </c>
      <c r="J310" s="22" t="s">
        <v>97</v>
      </c>
      <c r="K310" s="23">
        <v>205801.54418945301</v>
      </c>
      <c r="L310" s="23">
        <v>0.100438517984003</v>
      </c>
      <c r="M310" s="22" t="s">
        <v>14</v>
      </c>
      <c r="N310" s="14"/>
      <c r="O310" s="13"/>
      <c r="P310" s="14"/>
      <c r="Q310" s="14"/>
    </row>
    <row r="311" spans="1:17" x14ac:dyDescent="0.25">
      <c r="A311" s="22" t="s">
        <v>338</v>
      </c>
      <c r="B311" s="22" t="s">
        <v>12</v>
      </c>
      <c r="C311" s="22" t="s">
        <v>13</v>
      </c>
      <c r="D311" s="22" t="s">
        <v>103</v>
      </c>
      <c r="E311" s="23">
        <v>0</v>
      </c>
      <c r="F311" s="23">
        <v>0</v>
      </c>
      <c r="G311" s="22" t="s">
        <v>97</v>
      </c>
      <c r="H311" s="23">
        <v>62184661.865234397</v>
      </c>
      <c r="I311" s="23">
        <v>93.420306220650701</v>
      </c>
      <c r="J311" s="22" t="s">
        <v>97</v>
      </c>
      <c r="K311" s="23">
        <v>325551.69677734398</v>
      </c>
      <c r="L311" s="23">
        <v>0.38542721886187797</v>
      </c>
      <c r="M311" s="22" t="s">
        <v>14</v>
      </c>
      <c r="N311" s="14"/>
      <c r="O311" s="13"/>
      <c r="P311" s="14"/>
      <c r="Q311" s="14"/>
    </row>
    <row r="312" spans="1:17" x14ac:dyDescent="0.25">
      <c r="A312" s="22" t="s">
        <v>338</v>
      </c>
      <c r="B312" s="22" t="s">
        <v>12</v>
      </c>
      <c r="C312" s="22" t="s">
        <v>15</v>
      </c>
      <c r="D312" s="22" t="s">
        <v>97</v>
      </c>
      <c r="E312" s="23">
        <v>-44602526.855468802</v>
      </c>
      <c r="F312" s="23">
        <v>65.869959071278601</v>
      </c>
      <c r="G312" s="22" t="s">
        <v>316</v>
      </c>
      <c r="H312" s="23">
        <v>3017156.02874756</v>
      </c>
      <c r="I312" s="23">
        <v>4.2930373456329098</v>
      </c>
      <c r="J312" s="22" t="s">
        <v>97</v>
      </c>
      <c r="K312" s="23">
        <v>304737.73193359398</v>
      </c>
      <c r="L312" s="23">
        <v>0.349978683516383</v>
      </c>
      <c r="M312" s="22" t="s">
        <v>14</v>
      </c>
      <c r="N312" s="14"/>
      <c r="O312" s="13"/>
      <c r="P312" s="14"/>
      <c r="Q312" s="14"/>
    </row>
    <row r="313" spans="1:17" x14ac:dyDescent="0.25">
      <c r="A313" s="22" t="s">
        <v>338</v>
      </c>
      <c r="B313" s="22" t="s">
        <v>12</v>
      </c>
      <c r="C313" s="22" t="s">
        <v>16</v>
      </c>
      <c r="D313" s="22" t="s">
        <v>103</v>
      </c>
      <c r="E313" s="23">
        <v>0</v>
      </c>
      <c r="F313" s="23">
        <v>0</v>
      </c>
      <c r="G313" s="22" t="s">
        <v>97</v>
      </c>
      <c r="H313" s="23">
        <v>50025012.207031302</v>
      </c>
      <c r="I313" s="23">
        <v>74.261697009205804</v>
      </c>
      <c r="J313" s="22" t="s">
        <v>97</v>
      </c>
      <c r="K313" s="23">
        <v>275235.107421875</v>
      </c>
      <c r="L313" s="23">
        <v>0.29973238706588701</v>
      </c>
      <c r="M313" s="22" t="s">
        <v>14</v>
      </c>
      <c r="N313" s="14"/>
      <c r="O313" s="13"/>
      <c r="P313" s="14"/>
      <c r="Q313" s="14"/>
    </row>
    <row r="314" spans="1:17" x14ac:dyDescent="0.25">
      <c r="A314" s="22" t="s">
        <v>339</v>
      </c>
      <c r="B314" s="22" t="s">
        <v>12</v>
      </c>
      <c r="C314" s="22" t="s">
        <v>13</v>
      </c>
      <c r="D314" s="22" t="s">
        <v>103</v>
      </c>
      <c r="E314" s="23">
        <v>0</v>
      </c>
      <c r="F314" s="23">
        <v>0</v>
      </c>
      <c r="G314" s="22" t="s">
        <v>97</v>
      </c>
      <c r="H314" s="23">
        <v>52883819.580078103</v>
      </c>
      <c r="I314" s="23">
        <v>78.722927719354601</v>
      </c>
      <c r="J314" s="22" t="s">
        <v>97</v>
      </c>
      <c r="K314" s="23">
        <v>269433.44116210903</v>
      </c>
      <c r="L314" s="23">
        <v>0.28985147364437602</v>
      </c>
      <c r="M314" s="22" t="s">
        <v>14</v>
      </c>
      <c r="N314" s="14"/>
      <c r="O314" s="13"/>
      <c r="P314" s="14"/>
      <c r="Q314" s="14"/>
    </row>
    <row r="315" spans="1:17" x14ac:dyDescent="0.25">
      <c r="A315" s="22" t="s">
        <v>339</v>
      </c>
      <c r="B315" s="22" t="s">
        <v>12</v>
      </c>
      <c r="C315" s="22" t="s">
        <v>15</v>
      </c>
      <c r="D315" s="22" t="s">
        <v>106</v>
      </c>
      <c r="E315" s="23">
        <v>-42052749.6337891</v>
      </c>
      <c r="F315" s="23">
        <v>61.955051496624897</v>
      </c>
      <c r="G315" s="22" t="s">
        <v>103</v>
      </c>
      <c r="H315" s="23">
        <v>0</v>
      </c>
      <c r="I315" s="23">
        <v>0</v>
      </c>
      <c r="J315" s="22" t="s">
        <v>97</v>
      </c>
      <c r="K315" s="23">
        <v>276412.38403320301</v>
      </c>
      <c r="L315" s="23">
        <v>0.30173740815371303</v>
      </c>
      <c r="M315" s="22" t="s">
        <v>14</v>
      </c>
      <c r="N315" s="14"/>
      <c r="O315" s="13"/>
      <c r="P315" s="14"/>
      <c r="Q315" s="14"/>
    </row>
    <row r="316" spans="1:17" x14ac:dyDescent="0.25">
      <c r="A316" s="22" t="s">
        <v>339</v>
      </c>
      <c r="B316" s="22" t="s">
        <v>12</v>
      </c>
      <c r="C316" s="22" t="s">
        <v>16</v>
      </c>
      <c r="D316" s="22" t="s">
        <v>103</v>
      </c>
      <c r="E316" s="23">
        <v>0</v>
      </c>
      <c r="F316" s="23">
        <v>0</v>
      </c>
      <c r="G316" s="22" t="s">
        <v>266</v>
      </c>
      <c r="H316" s="23">
        <v>52343713.378906302</v>
      </c>
      <c r="I316" s="23">
        <v>77.878092415630803</v>
      </c>
      <c r="J316" s="22" t="s">
        <v>254</v>
      </c>
      <c r="K316" s="23">
        <v>266110.87036132801</v>
      </c>
      <c r="L316" s="23">
        <v>0.28419278096407702</v>
      </c>
      <c r="M316" s="22" t="s">
        <v>14</v>
      </c>
      <c r="N316" s="14"/>
      <c r="O316" s="13"/>
      <c r="P316" s="14"/>
      <c r="Q316" s="14"/>
    </row>
    <row r="317" spans="1:17" x14ac:dyDescent="0.25">
      <c r="A317" s="22" t="s">
        <v>340</v>
      </c>
      <c r="B317" s="22" t="s">
        <v>12</v>
      </c>
      <c r="C317" s="22" t="s">
        <v>13</v>
      </c>
      <c r="D317" s="22" t="s">
        <v>103</v>
      </c>
      <c r="E317" s="23">
        <v>0</v>
      </c>
      <c r="F317" s="23">
        <v>0</v>
      </c>
      <c r="G317" s="22" t="s">
        <v>96</v>
      </c>
      <c r="H317" s="23">
        <v>50144192.504882798</v>
      </c>
      <c r="I317" s="23">
        <v>74.447165243327603</v>
      </c>
      <c r="J317" s="22" t="s">
        <v>254</v>
      </c>
      <c r="K317" s="23">
        <v>300635.31494140602</v>
      </c>
      <c r="L317" s="23">
        <v>0.34299178514629602</v>
      </c>
      <c r="M317" s="22" t="s">
        <v>14</v>
      </c>
      <c r="N317" s="14"/>
      <c r="O317" s="13"/>
      <c r="P317" s="14"/>
      <c r="Q317" s="14"/>
    </row>
    <row r="318" spans="1:17" x14ac:dyDescent="0.25">
      <c r="A318" s="22" t="s">
        <v>340</v>
      </c>
      <c r="B318" s="22" t="s">
        <v>12</v>
      </c>
      <c r="C318" s="22" t="s">
        <v>15</v>
      </c>
      <c r="D318" s="22" t="s">
        <v>266</v>
      </c>
      <c r="E318" s="23">
        <v>-39195919.799804702</v>
      </c>
      <c r="F318" s="23">
        <v>57.591823861002901</v>
      </c>
      <c r="G318" s="22" t="s">
        <v>103</v>
      </c>
      <c r="H318" s="23">
        <v>0</v>
      </c>
      <c r="I318" s="23">
        <v>0</v>
      </c>
      <c r="J318" s="22" t="s">
        <v>297</v>
      </c>
      <c r="K318" s="23">
        <v>326645.5078125</v>
      </c>
      <c r="L318" s="23">
        <v>0.38729009684175297</v>
      </c>
      <c r="M318" s="22" t="s">
        <v>14</v>
      </c>
      <c r="N318" s="14"/>
      <c r="O318" s="13"/>
      <c r="P318" s="14"/>
      <c r="Q318" s="14"/>
    </row>
    <row r="319" spans="1:17" x14ac:dyDescent="0.25">
      <c r="A319" s="22" t="s">
        <v>340</v>
      </c>
      <c r="B319" s="22" t="s">
        <v>12</v>
      </c>
      <c r="C319" s="22" t="s">
        <v>16</v>
      </c>
      <c r="D319" s="22" t="s">
        <v>103</v>
      </c>
      <c r="E319" s="23">
        <v>0</v>
      </c>
      <c r="F319" s="23">
        <v>0</v>
      </c>
      <c r="G319" s="22" t="s">
        <v>297</v>
      </c>
      <c r="H319" s="23">
        <v>72477722.167968795</v>
      </c>
      <c r="I319" s="23">
        <v>110.028125345707</v>
      </c>
      <c r="J319" s="22" t="s">
        <v>297</v>
      </c>
      <c r="K319" s="23">
        <v>318854.98046875</v>
      </c>
      <c r="L319" s="23">
        <v>0.374021963216364</v>
      </c>
      <c r="M319" s="22" t="s">
        <v>14</v>
      </c>
      <c r="N319" s="14"/>
      <c r="O319" s="13"/>
      <c r="P319" s="14"/>
      <c r="Q319" s="14"/>
    </row>
    <row r="320" spans="1:17" x14ac:dyDescent="0.25">
      <c r="A320" s="22" t="s">
        <v>341</v>
      </c>
      <c r="B320" s="22" t="s">
        <v>12</v>
      </c>
      <c r="C320" s="22" t="s">
        <v>13</v>
      </c>
      <c r="D320" s="22" t="s">
        <v>101</v>
      </c>
      <c r="E320" s="23">
        <v>-30038851.9287109</v>
      </c>
      <c r="F320" s="23">
        <v>43.766386806964903</v>
      </c>
      <c r="G320" s="22" t="s">
        <v>97</v>
      </c>
      <c r="H320" s="23">
        <v>104097546.386719</v>
      </c>
      <c r="I320" s="23">
        <v>163.57345506548899</v>
      </c>
      <c r="J320" s="22" t="s">
        <v>97</v>
      </c>
      <c r="K320" s="23">
        <v>210119.33898925799</v>
      </c>
      <c r="L320" s="23">
        <v>0.18883283482864499</v>
      </c>
      <c r="M320" s="22" t="s">
        <v>14</v>
      </c>
      <c r="N320" s="14"/>
      <c r="O320" s="13"/>
      <c r="P320" s="14"/>
      <c r="Q320" s="14"/>
    </row>
    <row r="321" spans="1:17" x14ac:dyDescent="0.25">
      <c r="A321" s="22" t="s">
        <v>341</v>
      </c>
      <c r="B321" s="22" t="s">
        <v>12</v>
      </c>
      <c r="C321" s="22" t="s">
        <v>15</v>
      </c>
      <c r="D321" s="22" t="s">
        <v>101</v>
      </c>
      <c r="E321" s="23">
        <v>-95790289.306640595</v>
      </c>
      <c r="F321" s="23">
        <v>149.10672791302201</v>
      </c>
      <c r="G321" s="22" t="s">
        <v>103</v>
      </c>
      <c r="H321" s="23">
        <v>0</v>
      </c>
      <c r="I321" s="23">
        <v>0</v>
      </c>
      <c r="J321" s="22" t="s">
        <v>101</v>
      </c>
      <c r="K321" s="23">
        <v>266051.05590820301</v>
      </c>
      <c r="L321" s="23">
        <v>0.284090870991349</v>
      </c>
      <c r="M321" s="22" t="s">
        <v>14</v>
      </c>
      <c r="N321" s="14"/>
      <c r="O321" s="13"/>
      <c r="P321" s="14"/>
      <c r="Q321" s="14"/>
    </row>
    <row r="322" spans="1:17" x14ac:dyDescent="0.25">
      <c r="A322" s="22" t="s">
        <v>341</v>
      </c>
      <c r="B322" s="22" t="s">
        <v>12</v>
      </c>
      <c r="C322" s="22" t="s">
        <v>16</v>
      </c>
      <c r="D322" s="22" t="s">
        <v>101</v>
      </c>
      <c r="E322" s="23">
        <v>-45723974.609375</v>
      </c>
      <c r="F322" s="23">
        <v>67.598056048154803</v>
      </c>
      <c r="G322" s="22" t="s">
        <v>97</v>
      </c>
      <c r="H322" s="23">
        <v>5190686.03515625</v>
      </c>
      <c r="I322" s="23">
        <v>7.3993345722556096</v>
      </c>
      <c r="J322" s="22" t="s">
        <v>101</v>
      </c>
      <c r="K322" s="23">
        <v>278520.08056640602</v>
      </c>
      <c r="L322" s="23">
        <v>0.30532705131918197</v>
      </c>
      <c r="M322" s="22" t="s">
        <v>14</v>
      </c>
      <c r="N322" s="14"/>
      <c r="O322" s="13"/>
      <c r="P322" s="14"/>
      <c r="Q322" s="14"/>
    </row>
    <row r="323" spans="1:17" x14ac:dyDescent="0.25">
      <c r="A323" s="22" t="s">
        <v>342</v>
      </c>
      <c r="B323" s="22" t="s">
        <v>12</v>
      </c>
      <c r="C323" s="22" t="s">
        <v>13</v>
      </c>
      <c r="D323" s="22" t="s">
        <v>255</v>
      </c>
      <c r="E323" s="23">
        <v>-68245568.847656295</v>
      </c>
      <c r="F323" s="23">
        <v>69.089196622371702</v>
      </c>
      <c r="G323" s="22" t="s">
        <v>97</v>
      </c>
      <c r="H323" s="23">
        <v>4330037.3077392597</v>
      </c>
      <c r="I323" s="23">
        <v>4.3050874955952203</v>
      </c>
      <c r="J323" s="22" t="s">
        <v>255</v>
      </c>
      <c r="K323" s="23">
        <v>61255.218505859397</v>
      </c>
      <c r="L323" s="23">
        <v>0</v>
      </c>
      <c r="M323" s="22" t="s">
        <v>14</v>
      </c>
      <c r="N323" s="14"/>
      <c r="O323" s="13"/>
      <c r="P323" s="14"/>
      <c r="Q323" s="14"/>
    </row>
    <row r="324" spans="1:17" x14ac:dyDescent="0.25">
      <c r="A324" s="22" t="s">
        <v>342</v>
      </c>
      <c r="B324" s="22" t="s">
        <v>12</v>
      </c>
      <c r="C324" s="22" t="s">
        <v>15</v>
      </c>
      <c r="D324" s="22" t="s">
        <v>247</v>
      </c>
      <c r="E324" s="23">
        <v>-107742187.5</v>
      </c>
      <c r="F324" s="23">
        <v>110.355438664556</v>
      </c>
      <c r="G324" s="22" t="s">
        <v>103</v>
      </c>
      <c r="H324" s="23">
        <v>0</v>
      </c>
      <c r="I324" s="23">
        <v>0</v>
      </c>
      <c r="J324" s="22" t="s">
        <v>247</v>
      </c>
      <c r="K324" s="23">
        <v>42695.407867431597</v>
      </c>
      <c r="L324" s="23">
        <v>0</v>
      </c>
      <c r="M324" s="22" t="s">
        <v>14</v>
      </c>
      <c r="N324" s="14"/>
      <c r="O324" s="13"/>
      <c r="P324" s="14"/>
      <c r="Q324" s="14"/>
    </row>
    <row r="325" spans="1:17" x14ac:dyDescent="0.25">
      <c r="A325" s="22" t="s">
        <v>342</v>
      </c>
      <c r="B325" s="22" t="s">
        <v>12</v>
      </c>
      <c r="C325" s="22" t="s">
        <v>16</v>
      </c>
      <c r="D325" s="22" t="s">
        <v>247</v>
      </c>
      <c r="E325" s="23">
        <v>-101355688.47656301</v>
      </c>
      <c r="F325" s="23">
        <v>103.615215048194</v>
      </c>
      <c r="G325" s="22" t="s">
        <v>98</v>
      </c>
      <c r="H325" s="23">
        <v>13862646.484375</v>
      </c>
      <c r="I325" s="23">
        <v>13.819101732224199</v>
      </c>
      <c r="J325" s="22" t="s">
        <v>97</v>
      </c>
      <c r="K325" s="23">
        <v>10919.084548950201</v>
      </c>
      <c r="L325" s="23">
        <v>0</v>
      </c>
      <c r="M325" s="22" t="s">
        <v>14</v>
      </c>
      <c r="N325" s="14"/>
      <c r="O325" s="13"/>
      <c r="P325" s="14"/>
      <c r="Q325" s="14"/>
    </row>
    <row r="326" spans="1:17" x14ac:dyDescent="0.25">
      <c r="A326" s="22" t="s">
        <v>343</v>
      </c>
      <c r="B326" s="22" t="s">
        <v>12</v>
      </c>
      <c r="C326" s="22" t="s">
        <v>13</v>
      </c>
      <c r="D326" s="22" t="s">
        <v>111</v>
      </c>
      <c r="E326" s="23">
        <v>-49109252.9296875</v>
      </c>
      <c r="F326" s="23">
        <v>74.021625332534299</v>
      </c>
      <c r="G326" s="22" t="s">
        <v>103</v>
      </c>
      <c r="H326" s="23">
        <v>0</v>
      </c>
      <c r="I326" s="23">
        <v>0</v>
      </c>
      <c r="J326" s="22" t="s">
        <v>109</v>
      </c>
      <c r="K326" s="23">
        <v>72566.360473632798</v>
      </c>
      <c r="L326" s="23">
        <v>5.02192589920014E-2</v>
      </c>
      <c r="M326" s="22" t="s">
        <v>14</v>
      </c>
      <c r="N326" s="14"/>
      <c r="O326" s="13"/>
      <c r="P326" s="14"/>
      <c r="Q326" s="14"/>
    </row>
    <row r="327" spans="1:17" x14ac:dyDescent="0.25">
      <c r="A327" s="22" t="s">
        <v>343</v>
      </c>
      <c r="B327" s="22" t="s">
        <v>12</v>
      </c>
      <c r="C327" s="22" t="s">
        <v>15</v>
      </c>
      <c r="D327" s="22" t="s">
        <v>111</v>
      </c>
      <c r="E327" s="23">
        <v>-54218609.619140603</v>
      </c>
      <c r="F327" s="23">
        <v>82.293218001723304</v>
      </c>
      <c r="G327" s="22" t="s">
        <v>103</v>
      </c>
      <c r="H327" s="23">
        <v>0</v>
      </c>
      <c r="I327" s="23">
        <v>0</v>
      </c>
      <c r="J327" s="22" t="s">
        <v>111</v>
      </c>
      <c r="K327" s="23">
        <v>135574.966430664</v>
      </c>
      <c r="L327" s="23">
        <v>0.10413137497380399</v>
      </c>
      <c r="M327" s="22" t="s">
        <v>14</v>
      </c>
      <c r="N327" s="14"/>
      <c r="O327" s="13"/>
      <c r="P327" s="14"/>
      <c r="Q327" s="14"/>
    </row>
    <row r="328" spans="1:17" x14ac:dyDescent="0.25">
      <c r="A328" s="22" t="s">
        <v>343</v>
      </c>
      <c r="B328" s="22" t="s">
        <v>12</v>
      </c>
      <c r="C328" s="22" t="s">
        <v>16</v>
      </c>
      <c r="D328" s="22" t="s">
        <v>109</v>
      </c>
      <c r="E328" s="23">
        <v>-24948638.916015599</v>
      </c>
      <c r="F328" s="23">
        <v>36.457239184528603</v>
      </c>
      <c r="G328" s="22" t="s">
        <v>96</v>
      </c>
      <c r="H328" s="23">
        <v>6686708.8317871103</v>
      </c>
      <c r="I328" s="23">
        <v>9.5623254310339707</v>
      </c>
      <c r="J328" s="22" t="s">
        <v>109</v>
      </c>
      <c r="K328" s="23">
        <v>135116.363525391</v>
      </c>
      <c r="L328" s="23">
        <v>0.103350321296602</v>
      </c>
      <c r="M328" s="22" t="s">
        <v>14</v>
      </c>
      <c r="N328" s="14"/>
      <c r="O328" s="13"/>
      <c r="P328" s="14"/>
      <c r="Q328" s="14"/>
    </row>
    <row r="329" spans="1:17" x14ac:dyDescent="0.25">
      <c r="A329" s="22" t="s">
        <v>344</v>
      </c>
      <c r="B329" s="22" t="s">
        <v>12</v>
      </c>
      <c r="C329" s="22" t="s">
        <v>13</v>
      </c>
      <c r="D329" s="22" t="s">
        <v>100</v>
      </c>
      <c r="E329" s="23">
        <v>-48812164.306640603</v>
      </c>
      <c r="F329" s="23">
        <v>73.544420301914201</v>
      </c>
      <c r="G329" s="22" t="s">
        <v>103</v>
      </c>
      <c r="H329" s="23">
        <v>0</v>
      </c>
      <c r="I329" s="23">
        <v>0</v>
      </c>
      <c r="J329" s="22" t="s">
        <v>100</v>
      </c>
      <c r="K329" s="23">
        <v>250063.858032227</v>
      </c>
      <c r="L329" s="23">
        <v>0.29911892488598801</v>
      </c>
      <c r="M329" s="22" t="s">
        <v>14</v>
      </c>
      <c r="N329" s="14"/>
      <c r="O329" s="13"/>
      <c r="P329" s="14"/>
      <c r="Q329" s="14"/>
    </row>
    <row r="330" spans="1:17" x14ac:dyDescent="0.25">
      <c r="A330" s="22" t="s">
        <v>344</v>
      </c>
      <c r="B330" s="22" t="s">
        <v>12</v>
      </c>
      <c r="C330" s="22" t="s">
        <v>15</v>
      </c>
      <c r="D330" s="22" t="s">
        <v>100</v>
      </c>
      <c r="E330" s="23">
        <v>-65504479.980468802</v>
      </c>
      <c r="F330" s="23">
        <v>101.01897642016399</v>
      </c>
      <c r="G330" s="22" t="s">
        <v>103</v>
      </c>
      <c r="H330" s="23">
        <v>0</v>
      </c>
      <c r="I330" s="23">
        <v>0</v>
      </c>
      <c r="J330" s="22" t="s">
        <v>110</v>
      </c>
      <c r="K330" s="23">
        <v>139942.520141602</v>
      </c>
      <c r="L330" s="23">
        <v>0.111569813452661</v>
      </c>
      <c r="M330" s="22" t="s">
        <v>14</v>
      </c>
      <c r="N330" s="14"/>
      <c r="O330" s="13"/>
      <c r="P330" s="14"/>
      <c r="Q330" s="14"/>
    </row>
    <row r="331" spans="1:17" x14ac:dyDescent="0.25">
      <c r="A331" s="22" t="s">
        <v>344</v>
      </c>
      <c r="B331" s="22" t="s">
        <v>12</v>
      </c>
      <c r="C331" s="22" t="s">
        <v>16</v>
      </c>
      <c r="D331" s="22" t="s">
        <v>245</v>
      </c>
      <c r="E331" s="23">
        <v>-25450044.2504883</v>
      </c>
      <c r="F331" s="23">
        <v>37.212776951491797</v>
      </c>
      <c r="G331" s="22" t="s">
        <v>110</v>
      </c>
      <c r="H331" s="23">
        <v>44559341.4306641</v>
      </c>
      <c r="I331" s="23">
        <v>66.757285967469201</v>
      </c>
      <c r="J331" s="22" t="s">
        <v>110</v>
      </c>
      <c r="K331" s="23">
        <v>171969.19250488299</v>
      </c>
      <c r="L331" s="23">
        <v>0.16611487371847</v>
      </c>
      <c r="M331" s="22" t="s">
        <v>14</v>
      </c>
      <c r="N331" s="14"/>
      <c r="O331" s="13"/>
      <c r="P331" s="14"/>
      <c r="Q331" s="14"/>
    </row>
    <row r="332" spans="1:17" x14ac:dyDescent="0.25">
      <c r="A332" s="22" t="s">
        <v>345</v>
      </c>
      <c r="B332" s="22" t="s">
        <v>12</v>
      </c>
      <c r="C332" s="22" t="s">
        <v>13</v>
      </c>
      <c r="D332" s="22" t="s">
        <v>103</v>
      </c>
      <c r="E332" s="23">
        <v>0</v>
      </c>
      <c r="F332" s="23">
        <v>0</v>
      </c>
      <c r="G332" s="22" t="s">
        <v>110</v>
      </c>
      <c r="H332" s="23">
        <v>45531997.6806641</v>
      </c>
      <c r="I332" s="23">
        <v>68.302378058433504</v>
      </c>
      <c r="J332" s="22" t="s">
        <v>266</v>
      </c>
      <c r="K332" s="23">
        <v>145431.03027343799</v>
      </c>
      <c r="L332" s="23">
        <v>0.120917370077223</v>
      </c>
      <c r="M332" s="22" t="s">
        <v>14</v>
      </c>
      <c r="N332" s="14"/>
      <c r="O332" s="13"/>
      <c r="P332" s="14"/>
      <c r="Q332" s="14"/>
    </row>
    <row r="333" spans="1:17" x14ac:dyDescent="0.25">
      <c r="A333" s="22" t="s">
        <v>345</v>
      </c>
      <c r="B333" s="22" t="s">
        <v>12</v>
      </c>
      <c r="C333" s="22" t="s">
        <v>15</v>
      </c>
      <c r="D333" s="22" t="s">
        <v>106</v>
      </c>
      <c r="E333" s="23">
        <v>-12273846.435546899</v>
      </c>
      <c r="F333" s="23">
        <v>17.666012281552</v>
      </c>
      <c r="G333" s="22" t="s">
        <v>255</v>
      </c>
      <c r="H333" s="23">
        <v>13793847.65625</v>
      </c>
      <c r="I333" s="23">
        <v>19.8891595937312</v>
      </c>
      <c r="J333" s="22" t="s">
        <v>266</v>
      </c>
      <c r="K333" s="23">
        <v>113806.381225586</v>
      </c>
      <c r="L333" s="23">
        <v>6.7057006526738405E-2</v>
      </c>
      <c r="M333" s="22" t="s">
        <v>14</v>
      </c>
      <c r="N333" s="14"/>
      <c r="O333" s="13"/>
      <c r="P333" s="14"/>
      <c r="Q333" s="14"/>
    </row>
    <row r="334" spans="1:17" x14ac:dyDescent="0.25">
      <c r="A334" s="22" t="s">
        <v>345</v>
      </c>
      <c r="B334" s="22" t="s">
        <v>12</v>
      </c>
      <c r="C334" s="22" t="s">
        <v>16</v>
      </c>
      <c r="D334" s="22" t="s">
        <v>266</v>
      </c>
      <c r="E334" s="23">
        <v>-4175346.75598145</v>
      </c>
      <c r="F334" s="23">
        <v>5.9538736240938297</v>
      </c>
      <c r="G334" s="22" t="s">
        <v>245</v>
      </c>
      <c r="H334" s="23">
        <v>22711088.5620117</v>
      </c>
      <c r="I334" s="23">
        <v>33.0971903167665</v>
      </c>
      <c r="J334" s="22" t="s">
        <v>97</v>
      </c>
      <c r="K334" s="23">
        <v>120086.02142334</v>
      </c>
      <c r="L334" s="23">
        <v>7.7751954086124897E-2</v>
      </c>
      <c r="M334" s="22" t="s">
        <v>14</v>
      </c>
      <c r="N334" s="14"/>
      <c r="O334" s="13"/>
      <c r="P334" s="14"/>
      <c r="Q334" s="14"/>
    </row>
    <row r="335" spans="1:17" x14ac:dyDescent="0.25">
      <c r="A335" s="22" t="s">
        <v>346</v>
      </c>
      <c r="B335" s="22" t="s">
        <v>12</v>
      </c>
      <c r="C335" s="22" t="s">
        <v>13</v>
      </c>
      <c r="D335" s="22" t="s">
        <v>110</v>
      </c>
      <c r="E335" s="23">
        <v>-12214630.8898926</v>
      </c>
      <c r="F335" s="23">
        <v>17.579565756022902</v>
      </c>
      <c r="G335" s="22" t="s">
        <v>97</v>
      </c>
      <c r="H335" s="23">
        <v>14980802.9174805</v>
      </c>
      <c r="I335" s="23">
        <v>21.630811970680998</v>
      </c>
      <c r="J335" s="22" t="s">
        <v>111</v>
      </c>
      <c r="K335" s="23">
        <v>100542.35839843799</v>
      </c>
      <c r="L335" s="23">
        <v>5.02192589920014E-2</v>
      </c>
      <c r="M335" s="22" t="s">
        <v>14</v>
      </c>
      <c r="N335" s="14"/>
      <c r="O335" s="13"/>
      <c r="P335" s="14"/>
      <c r="Q335" s="14"/>
    </row>
    <row r="336" spans="1:17" x14ac:dyDescent="0.25">
      <c r="A336" s="22" t="s">
        <v>346</v>
      </c>
      <c r="B336" s="22" t="s">
        <v>12</v>
      </c>
      <c r="C336" s="22" t="s">
        <v>15</v>
      </c>
      <c r="D336" s="22" t="s">
        <v>101</v>
      </c>
      <c r="E336" s="23">
        <v>-40883590.698242202</v>
      </c>
      <c r="F336" s="23">
        <v>60.955900698900201</v>
      </c>
      <c r="G336" s="22" t="s">
        <v>103</v>
      </c>
      <c r="H336" s="23">
        <v>0</v>
      </c>
      <c r="I336" s="23">
        <v>0</v>
      </c>
      <c r="J336" s="22" t="s">
        <v>101</v>
      </c>
      <c r="K336" s="23">
        <v>82065.1016235352</v>
      </c>
      <c r="L336" s="23">
        <v>5.02192589920014E-2</v>
      </c>
      <c r="M336" s="22" t="s">
        <v>14</v>
      </c>
      <c r="N336" s="14"/>
      <c r="O336" s="13"/>
      <c r="P336" s="14"/>
      <c r="Q336" s="14"/>
    </row>
    <row r="337" spans="1:17" x14ac:dyDescent="0.25">
      <c r="A337" s="22" t="s">
        <v>346</v>
      </c>
      <c r="B337" s="22" t="s">
        <v>12</v>
      </c>
      <c r="C337" s="22" t="s">
        <v>16</v>
      </c>
      <c r="D337" s="22" t="s">
        <v>101</v>
      </c>
      <c r="E337" s="23">
        <v>-33439828.4912109</v>
      </c>
      <c r="F337" s="23">
        <v>49.383896403014703</v>
      </c>
      <c r="G337" s="22" t="s">
        <v>103</v>
      </c>
      <c r="H337" s="23">
        <v>0</v>
      </c>
      <c r="I337" s="23">
        <v>0</v>
      </c>
      <c r="J337" s="22" t="s">
        <v>101</v>
      </c>
      <c r="K337" s="23">
        <v>57501.369476318403</v>
      </c>
      <c r="L337" s="23">
        <v>5.02192589920014E-2</v>
      </c>
      <c r="M337" s="22" t="s">
        <v>14</v>
      </c>
      <c r="N337" s="14"/>
      <c r="O337" s="13"/>
      <c r="P337" s="14"/>
      <c r="Q337" s="14"/>
    </row>
    <row r="338" spans="1:17" x14ac:dyDescent="0.25">
      <c r="A338" s="22" t="s">
        <v>347</v>
      </c>
      <c r="B338" s="22" t="s">
        <v>12</v>
      </c>
      <c r="C338" s="22" t="s">
        <v>13</v>
      </c>
      <c r="D338" s="22" t="s">
        <v>101</v>
      </c>
      <c r="E338" s="23">
        <v>-22107801.818847701</v>
      </c>
      <c r="F338" s="23">
        <v>31.981968786567499</v>
      </c>
      <c r="G338" s="22" t="s">
        <v>108</v>
      </c>
      <c r="H338" s="23">
        <v>986491.58477783203</v>
      </c>
      <c r="I338" s="23">
        <v>1.40125092002563</v>
      </c>
      <c r="J338" s="22" t="s">
        <v>101</v>
      </c>
      <c r="K338" s="23">
        <v>66616.889953613296</v>
      </c>
      <c r="L338" s="23">
        <v>6.6959013929590597E-2</v>
      </c>
      <c r="M338" s="22" t="s">
        <v>14</v>
      </c>
      <c r="N338" s="14"/>
      <c r="O338" s="13"/>
      <c r="P338" s="14"/>
      <c r="Q338" s="14"/>
    </row>
    <row r="339" spans="1:17" x14ac:dyDescent="0.25">
      <c r="A339" s="22" t="s">
        <v>347</v>
      </c>
      <c r="B339" s="22" t="s">
        <v>12</v>
      </c>
      <c r="C339" s="22" t="s">
        <v>15</v>
      </c>
      <c r="D339" s="22" t="s">
        <v>103</v>
      </c>
      <c r="E339" s="23">
        <v>0</v>
      </c>
      <c r="F339" s="23">
        <v>33.477053511887803</v>
      </c>
      <c r="G339" s="22" t="s">
        <v>101</v>
      </c>
      <c r="H339" s="23">
        <v>38867547.607421897</v>
      </c>
      <c r="I339" s="23">
        <v>90.568913146853404</v>
      </c>
      <c r="J339" s="22" t="s">
        <v>101</v>
      </c>
      <c r="K339" s="23">
        <v>203761.138916016</v>
      </c>
      <c r="L339" s="23">
        <v>0.22939997725188699</v>
      </c>
      <c r="M339" s="22" t="s">
        <v>14</v>
      </c>
      <c r="N339" s="14"/>
      <c r="O339" s="13"/>
      <c r="P339" s="14"/>
      <c r="Q339" s="14"/>
    </row>
    <row r="340" spans="1:17" x14ac:dyDescent="0.25">
      <c r="A340" s="22" t="s">
        <v>347</v>
      </c>
      <c r="B340" s="22" t="s">
        <v>12</v>
      </c>
      <c r="C340" s="22" t="s">
        <v>16</v>
      </c>
      <c r="D340" s="22" t="s">
        <v>103</v>
      </c>
      <c r="E340" s="23">
        <v>0</v>
      </c>
      <c r="F340" s="23">
        <v>33.477053511887803</v>
      </c>
      <c r="G340" s="22" t="s">
        <v>101</v>
      </c>
      <c r="H340" s="23">
        <v>113434973.144531</v>
      </c>
      <c r="I340" s="23">
        <v>213.68693560361899</v>
      </c>
      <c r="J340" s="22" t="s">
        <v>101</v>
      </c>
      <c r="K340" s="23">
        <v>197712.417602539</v>
      </c>
      <c r="L340" s="23">
        <v>0.21909833885729299</v>
      </c>
      <c r="M340" s="22" t="s">
        <v>14</v>
      </c>
      <c r="N340" s="14"/>
      <c r="O340" s="13"/>
      <c r="P340" s="14"/>
      <c r="Q340" s="14"/>
    </row>
    <row r="341" spans="1:17" x14ac:dyDescent="0.25">
      <c r="A341" s="22" t="s">
        <v>348</v>
      </c>
      <c r="B341" s="22" t="s">
        <v>12</v>
      </c>
      <c r="C341" s="22" t="s">
        <v>13</v>
      </c>
      <c r="D341" s="22" t="s">
        <v>111</v>
      </c>
      <c r="E341" s="23">
        <v>-29309558.105468798</v>
      </c>
      <c r="F341" s="23">
        <v>43.060798197984703</v>
      </c>
      <c r="G341" s="22" t="s">
        <v>97</v>
      </c>
      <c r="H341" s="23">
        <v>13120300.2929688</v>
      </c>
      <c r="I341" s="23">
        <v>18.903039162978502</v>
      </c>
      <c r="J341" s="22" t="s">
        <v>97</v>
      </c>
      <c r="K341" s="23">
        <v>15179.865837097201</v>
      </c>
      <c r="L341" s="23">
        <v>0</v>
      </c>
      <c r="M341" s="22" t="s">
        <v>14</v>
      </c>
      <c r="N341" s="14"/>
      <c r="O341" s="13"/>
      <c r="P341" s="14"/>
      <c r="Q341" s="14"/>
    </row>
    <row r="342" spans="1:17" x14ac:dyDescent="0.25">
      <c r="A342" s="22" t="s">
        <v>348</v>
      </c>
      <c r="B342" s="22" t="s">
        <v>12</v>
      </c>
      <c r="C342" s="22" t="s">
        <v>15</v>
      </c>
      <c r="D342" s="22" t="s">
        <v>97</v>
      </c>
      <c r="E342" s="23">
        <v>-64474407.958984397</v>
      </c>
      <c r="F342" s="23">
        <v>99.282655864953995</v>
      </c>
      <c r="G342" s="22" t="s">
        <v>103</v>
      </c>
      <c r="H342" s="23">
        <v>0</v>
      </c>
      <c r="I342" s="23">
        <v>0</v>
      </c>
      <c r="J342" s="22" t="s">
        <v>97</v>
      </c>
      <c r="K342" s="23">
        <v>27896.6445922852</v>
      </c>
      <c r="L342" s="23">
        <v>0</v>
      </c>
      <c r="M342" s="22" t="s">
        <v>14</v>
      </c>
      <c r="N342" s="14"/>
      <c r="O342" s="13"/>
      <c r="P342" s="14"/>
      <c r="Q342" s="14"/>
    </row>
    <row r="343" spans="1:17" x14ac:dyDescent="0.25">
      <c r="A343" s="22" t="s">
        <v>348</v>
      </c>
      <c r="B343" s="22" t="s">
        <v>12</v>
      </c>
      <c r="C343" s="22" t="s">
        <v>16</v>
      </c>
      <c r="D343" s="22" t="s">
        <v>97</v>
      </c>
      <c r="E343" s="23">
        <v>-62992169.189453103</v>
      </c>
      <c r="F343" s="23">
        <v>96.793994307518005</v>
      </c>
      <c r="G343" s="22" t="s">
        <v>103</v>
      </c>
      <c r="H343" s="23">
        <v>0</v>
      </c>
      <c r="I343" s="23">
        <v>0</v>
      </c>
      <c r="J343" s="22" t="s">
        <v>97</v>
      </c>
      <c r="K343" s="23">
        <v>62100.189208984397</v>
      </c>
      <c r="L343" s="23">
        <v>5.02192589920014E-2</v>
      </c>
      <c r="M343" s="22" t="s">
        <v>14</v>
      </c>
      <c r="N343" s="14"/>
      <c r="O343" s="13"/>
      <c r="P343" s="14"/>
      <c r="Q343" s="14"/>
    </row>
    <row r="344" spans="1:17" x14ac:dyDescent="0.25">
      <c r="A344" s="22" t="s">
        <v>349</v>
      </c>
      <c r="B344" s="22" t="s">
        <v>12</v>
      </c>
      <c r="C344" s="22" t="s">
        <v>13</v>
      </c>
      <c r="D344" s="22" t="s">
        <v>110</v>
      </c>
      <c r="E344" s="23">
        <v>-38376223.754882798</v>
      </c>
      <c r="F344" s="23">
        <v>38.603341672569499</v>
      </c>
      <c r="G344" s="22" t="s">
        <v>243</v>
      </c>
      <c r="H344" s="23">
        <v>34108673.095703103</v>
      </c>
      <c r="I344" s="23">
        <v>34.260614775121198</v>
      </c>
      <c r="J344" s="22" t="s">
        <v>110</v>
      </c>
      <c r="K344" s="23">
        <v>82638.427734375</v>
      </c>
      <c r="L344" s="23">
        <v>0</v>
      </c>
      <c r="M344" s="22" t="s">
        <v>14</v>
      </c>
      <c r="N344" s="14"/>
      <c r="O344" s="13"/>
      <c r="P344" s="14"/>
      <c r="Q344" s="14"/>
    </row>
    <row r="345" spans="1:17" x14ac:dyDescent="0.25">
      <c r="A345" s="22" t="s">
        <v>349</v>
      </c>
      <c r="B345" s="22" t="s">
        <v>12</v>
      </c>
      <c r="C345" s="22" t="s">
        <v>15</v>
      </c>
      <c r="D345" s="22" t="s">
        <v>110</v>
      </c>
      <c r="E345" s="23">
        <v>-55285119.628906302</v>
      </c>
      <c r="F345" s="23">
        <v>55.937618017196698</v>
      </c>
      <c r="G345" s="22" t="s">
        <v>243</v>
      </c>
      <c r="H345" s="23">
        <v>23572821.044921901</v>
      </c>
      <c r="I345" s="23">
        <v>23.593516089022199</v>
      </c>
      <c r="J345" s="22" t="s">
        <v>97</v>
      </c>
      <c r="K345" s="23">
        <v>23048.522949218801</v>
      </c>
      <c r="L345" s="23">
        <v>0</v>
      </c>
      <c r="M345" s="22" t="s">
        <v>14</v>
      </c>
      <c r="N345" s="14"/>
      <c r="O345" s="13"/>
      <c r="P345" s="14"/>
      <c r="Q345" s="14"/>
    </row>
    <row r="346" spans="1:17" x14ac:dyDescent="0.25">
      <c r="A346" s="22" t="s">
        <v>349</v>
      </c>
      <c r="B346" s="22" t="s">
        <v>12</v>
      </c>
      <c r="C346" s="22" t="s">
        <v>16</v>
      </c>
      <c r="D346" s="22" t="s">
        <v>110</v>
      </c>
      <c r="E346" s="23">
        <v>-56168853.759765603</v>
      </c>
      <c r="F346" s="23">
        <v>56.8492757156491</v>
      </c>
      <c r="G346" s="22" t="s">
        <v>109</v>
      </c>
      <c r="H346" s="23">
        <v>11283574.6765137</v>
      </c>
      <c r="I346" s="23">
        <v>11.2471252214164</v>
      </c>
      <c r="J346" s="22" t="s">
        <v>111</v>
      </c>
      <c r="K346" s="23">
        <v>17315.7119750977</v>
      </c>
      <c r="L346" s="23">
        <v>0</v>
      </c>
      <c r="M346" s="22" t="s">
        <v>14</v>
      </c>
      <c r="N346" s="14"/>
      <c r="O346" s="13"/>
      <c r="P346" s="14"/>
      <c r="Q346" s="14"/>
    </row>
    <row r="347" spans="1:17" x14ac:dyDescent="0.25">
      <c r="A347" s="22" t="s">
        <v>350</v>
      </c>
      <c r="B347" s="22" t="s">
        <v>12</v>
      </c>
      <c r="C347" s="22" t="s">
        <v>13</v>
      </c>
      <c r="D347" s="22" t="s">
        <v>109</v>
      </c>
      <c r="E347" s="23">
        <v>-7855999.7558593797</v>
      </c>
      <c r="F347" s="23">
        <v>11.249557137489299</v>
      </c>
      <c r="G347" s="22" t="s">
        <v>110</v>
      </c>
      <c r="H347" s="23">
        <v>67234637.451171905</v>
      </c>
      <c r="I347" s="23">
        <v>103.94820943474799</v>
      </c>
      <c r="J347" s="22" t="s">
        <v>110</v>
      </c>
      <c r="K347" s="23">
        <v>139219.52819824201</v>
      </c>
      <c r="L347" s="23">
        <v>0.110338476952165</v>
      </c>
      <c r="M347" s="22" t="s">
        <v>14</v>
      </c>
      <c r="N347" s="14"/>
      <c r="O347" s="13"/>
      <c r="P347" s="14"/>
      <c r="Q347" s="14"/>
    </row>
    <row r="348" spans="1:17" x14ac:dyDescent="0.25">
      <c r="A348" s="22" t="s">
        <v>350</v>
      </c>
      <c r="B348" s="22" t="s">
        <v>12</v>
      </c>
      <c r="C348" s="22" t="s">
        <v>15</v>
      </c>
      <c r="D348" s="22" t="s">
        <v>109</v>
      </c>
      <c r="E348" s="23">
        <v>-13700392.150878901</v>
      </c>
      <c r="F348" s="23">
        <v>19.752238877117598</v>
      </c>
      <c r="G348" s="22" t="s">
        <v>110</v>
      </c>
      <c r="H348" s="23">
        <v>44902294.921875</v>
      </c>
      <c r="I348" s="23">
        <v>67.301597446203203</v>
      </c>
      <c r="J348" s="22" t="s">
        <v>110</v>
      </c>
      <c r="K348" s="23">
        <v>70448.6083984375</v>
      </c>
      <c r="L348" s="23">
        <v>5.02192589920014E-2</v>
      </c>
      <c r="M348" s="22" t="s">
        <v>14</v>
      </c>
      <c r="N348" s="14"/>
      <c r="O348" s="13"/>
      <c r="P348" s="14"/>
      <c r="Q348" s="14"/>
    </row>
    <row r="349" spans="1:17" x14ac:dyDescent="0.25">
      <c r="A349" s="22" t="s">
        <v>350</v>
      </c>
      <c r="B349" s="22" t="s">
        <v>12</v>
      </c>
      <c r="C349" s="22" t="s">
        <v>16</v>
      </c>
      <c r="D349" s="22" t="s">
        <v>267</v>
      </c>
      <c r="E349" s="23">
        <v>-9548213.1958007794</v>
      </c>
      <c r="F349" s="23">
        <v>13.6994733475149</v>
      </c>
      <c r="G349" s="22" t="s">
        <v>245</v>
      </c>
      <c r="H349" s="23">
        <v>31278442.3828125</v>
      </c>
      <c r="I349" s="23">
        <v>46.066506765782798</v>
      </c>
      <c r="J349" s="22" t="s">
        <v>98</v>
      </c>
      <c r="K349" s="23">
        <v>89645.271301269502</v>
      </c>
      <c r="L349" s="23">
        <v>5.02192589920014E-2</v>
      </c>
      <c r="M349" s="22" t="s">
        <v>14</v>
      </c>
      <c r="N349" s="14"/>
      <c r="O349" s="13"/>
      <c r="P349" s="14"/>
      <c r="Q349" s="14"/>
    </row>
    <row r="350" spans="1:17" x14ac:dyDescent="0.25">
      <c r="A350" s="22" t="s">
        <v>351</v>
      </c>
      <c r="B350" s="22" t="s">
        <v>12</v>
      </c>
      <c r="C350" s="22" t="s">
        <v>13</v>
      </c>
      <c r="D350" s="22" t="s">
        <v>110</v>
      </c>
      <c r="E350" s="23">
        <v>-95998211.669921905</v>
      </c>
      <c r="F350" s="23">
        <v>97.981467843055697</v>
      </c>
      <c r="G350" s="22" t="s">
        <v>245</v>
      </c>
      <c r="H350" s="23">
        <v>116118713.378906</v>
      </c>
      <c r="I350" s="23">
        <v>119.236595928669</v>
      </c>
      <c r="J350" s="22" t="s">
        <v>245</v>
      </c>
      <c r="K350" s="23">
        <v>39447.9179382324</v>
      </c>
      <c r="L350" s="23">
        <v>0</v>
      </c>
      <c r="M350" s="22" t="s">
        <v>14</v>
      </c>
      <c r="N350" s="14"/>
      <c r="O350" s="13"/>
      <c r="P350" s="14"/>
      <c r="Q350" s="14"/>
    </row>
    <row r="351" spans="1:17" x14ac:dyDescent="0.25">
      <c r="A351" s="22" t="s">
        <v>351</v>
      </c>
      <c r="B351" s="22" t="s">
        <v>12</v>
      </c>
      <c r="C351" s="22" t="s">
        <v>15</v>
      </c>
      <c r="D351" s="22" t="s">
        <v>255</v>
      </c>
      <c r="E351" s="23">
        <v>-118084826.660156</v>
      </c>
      <c r="F351" s="23">
        <v>121.327918022871</v>
      </c>
      <c r="G351" s="22" t="s">
        <v>245</v>
      </c>
      <c r="H351" s="23">
        <v>44589093.017578103</v>
      </c>
      <c r="I351" s="23">
        <v>44.834306463599198</v>
      </c>
      <c r="J351" s="22" t="s">
        <v>97</v>
      </c>
      <c r="K351" s="23">
        <v>99003.768920898496</v>
      </c>
      <c r="L351" s="23">
        <v>0</v>
      </c>
      <c r="M351" s="22" t="s">
        <v>14</v>
      </c>
      <c r="N351" s="14"/>
      <c r="O351" s="13"/>
      <c r="P351" s="14"/>
      <c r="Q351" s="14"/>
    </row>
    <row r="352" spans="1:17" x14ac:dyDescent="0.25">
      <c r="A352" s="22" t="s">
        <v>351</v>
      </c>
      <c r="B352" s="22" t="s">
        <v>12</v>
      </c>
      <c r="C352" s="22" t="s">
        <v>16</v>
      </c>
      <c r="D352" s="22" t="s">
        <v>255</v>
      </c>
      <c r="E352" s="23">
        <v>-118129309.082031</v>
      </c>
      <c r="F352" s="23">
        <v>121.375266462564</v>
      </c>
      <c r="G352" s="22" t="s">
        <v>103</v>
      </c>
      <c r="H352" s="23">
        <v>0</v>
      </c>
      <c r="I352" s="23">
        <v>0</v>
      </c>
      <c r="J352" s="22" t="s">
        <v>110</v>
      </c>
      <c r="K352" s="23">
        <v>26234.029769897501</v>
      </c>
      <c r="L352" s="23">
        <v>0</v>
      </c>
      <c r="M352" s="22" t="s">
        <v>14</v>
      </c>
      <c r="N352" s="14"/>
      <c r="O352" s="13"/>
      <c r="P352" s="14"/>
      <c r="Q352" s="14"/>
    </row>
    <row r="353" spans="1:17" x14ac:dyDescent="0.25">
      <c r="A353" s="22" t="s">
        <v>352</v>
      </c>
      <c r="B353" s="22" t="s">
        <v>12</v>
      </c>
      <c r="C353" s="22" t="s">
        <v>13</v>
      </c>
      <c r="D353" s="22" t="s">
        <v>267</v>
      </c>
      <c r="E353" s="23">
        <v>-1994853.97338867</v>
      </c>
      <c r="F353" s="23">
        <v>1.98230423848145</v>
      </c>
      <c r="G353" s="22" t="s">
        <v>111</v>
      </c>
      <c r="H353" s="23">
        <v>13678135.681152301</v>
      </c>
      <c r="I353" s="23">
        <v>13.644827995449299</v>
      </c>
      <c r="J353" s="22" t="s">
        <v>247</v>
      </c>
      <c r="K353" s="23">
        <v>33238.475799560598</v>
      </c>
      <c r="L353" s="23">
        <v>0</v>
      </c>
      <c r="M353" s="22" t="s">
        <v>14</v>
      </c>
      <c r="N353" s="14"/>
      <c r="O353" s="13"/>
      <c r="P353" s="14"/>
      <c r="Q353" s="14"/>
    </row>
    <row r="354" spans="1:17" x14ac:dyDescent="0.25">
      <c r="A354" s="22" t="s">
        <v>352</v>
      </c>
      <c r="B354" s="22" t="s">
        <v>12</v>
      </c>
      <c r="C354" s="22" t="s">
        <v>15</v>
      </c>
      <c r="D354" s="22" t="s">
        <v>247</v>
      </c>
      <c r="E354" s="23">
        <v>-28182489.013671901</v>
      </c>
      <c r="F354" s="23">
        <v>28.251158073544499</v>
      </c>
      <c r="G354" s="22" t="s">
        <v>111</v>
      </c>
      <c r="H354" s="23">
        <v>8864393.61572266</v>
      </c>
      <c r="I354" s="23">
        <v>8.82866093888879</v>
      </c>
      <c r="J354" s="22" t="s">
        <v>96</v>
      </c>
      <c r="K354" s="23">
        <v>39802.013397216797</v>
      </c>
      <c r="L354" s="23">
        <v>0</v>
      </c>
      <c r="M354" s="22" t="s">
        <v>14</v>
      </c>
      <c r="N354" s="14"/>
      <c r="O354" s="13"/>
      <c r="P354" s="14"/>
      <c r="Q354" s="14"/>
    </row>
    <row r="355" spans="1:17" x14ac:dyDescent="0.25">
      <c r="A355" s="22" t="s">
        <v>352</v>
      </c>
      <c r="B355" s="22" t="s">
        <v>12</v>
      </c>
      <c r="C355" s="22" t="s">
        <v>16</v>
      </c>
      <c r="D355" s="22" t="s">
        <v>247</v>
      </c>
      <c r="E355" s="23">
        <v>-33435577.392578099</v>
      </c>
      <c r="F355" s="23">
        <v>33.576830755919197</v>
      </c>
      <c r="G355" s="22" t="s">
        <v>107</v>
      </c>
      <c r="H355" s="23">
        <v>2853141.5939331101</v>
      </c>
      <c r="I355" s="23">
        <v>2.8359948191791799</v>
      </c>
      <c r="J355" s="22" t="s">
        <v>255</v>
      </c>
      <c r="K355" s="23">
        <v>11859.6506118774</v>
      </c>
      <c r="L355" s="23">
        <v>0</v>
      </c>
      <c r="M355" s="22" t="s">
        <v>14</v>
      </c>
      <c r="N355" s="14"/>
      <c r="O355" s="13"/>
      <c r="P355" s="14"/>
      <c r="Q355" s="14"/>
    </row>
    <row r="356" spans="1:17" x14ac:dyDescent="0.25">
      <c r="A356" s="22" t="s">
        <v>353</v>
      </c>
      <c r="B356" s="22" t="s">
        <v>12</v>
      </c>
      <c r="C356" s="22" t="s">
        <v>13</v>
      </c>
      <c r="D356" s="22" t="s">
        <v>247</v>
      </c>
      <c r="E356" s="23">
        <v>-49884140.0146484</v>
      </c>
      <c r="F356" s="23">
        <v>50.378385931253398</v>
      </c>
      <c r="G356" s="22" t="s">
        <v>107</v>
      </c>
      <c r="H356" s="23">
        <v>2690145.8740234398</v>
      </c>
      <c r="I356" s="23">
        <v>2.6738349697552599</v>
      </c>
      <c r="J356" s="22" t="s">
        <v>247</v>
      </c>
      <c r="K356" s="23">
        <v>26101.2668609619</v>
      </c>
      <c r="L356" s="23">
        <v>0</v>
      </c>
      <c r="M356" s="22" t="s">
        <v>14</v>
      </c>
      <c r="N356" s="14"/>
      <c r="O356" s="13"/>
      <c r="P356" s="14"/>
      <c r="Q356" s="14"/>
    </row>
    <row r="357" spans="1:17" x14ac:dyDescent="0.25">
      <c r="A357" s="22" t="s">
        <v>353</v>
      </c>
      <c r="B357" s="22" t="s">
        <v>12</v>
      </c>
      <c r="C357" s="22" t="s">
        <v>15</v>
      </c>
      <c r="D357" s="22" t="s">
        <v>247</v>
      </c>
      <c r="E357" s="23">
        <v>-60452258.300781302</v>
      </c>
      <c r="F357" s="23">
        <v>61.2761406227946</v>
      </c>
      <c r="G357" s="22" t="s">
        <v>108</v>
      </c>
      <c r="H357" s="23">
        <v>20009127.807617199</v>
      </c>
      <c r="I357" s="23">
        <v>20.002715755253998</v>
      </c>
      <c r="J357" s="22" t="s">
        <v>100</v>
      </c>
      <c r="K357" s="23">
        <v>37968.647003173799</v>
      </c>
      <c r="L357" s="23">
        <v>0</v>
      </c>
      <c r="M357" s="22" t="s">
        <v>14</v>
      </c>
      <c r="N357" s="14"/>
      <c r="O357" s="13"/>
      <c r="P357" s="14"/>
      <c r="Q357" s="14"/>
    </row>
    <row r="358" spans="1:17" x14ac:dyDescent="0.25">
      <c r="A358" s="22" t="s">
        <v>353</v>
      </c>
      <c r="B358" s="22" t="s">
        <v>12</v>
      </c>
      <c r="C358" s="22" t="s">
        <v>16</v>
      </c>
      <c r="D358" s="22" t="s">
        <v>247</v>
      </c>
      <c r="E358" s="23">
        <v>-59195776.3671875</v>
      </c>
      <c r="F358" s="23">
        <v>59.976172633469098</v>
      </c>
      <c r="G358" s="22" t="s">
        <v>100</v>
      </c>
      <c r="H358" s="23">
        <v>43713598.6328125</v>
      </c>
      <c r="I358" s="23">
        <v>44.052847661077998</v>
      </c>
      <c r="J358" s="22" t="s">
        <v>96</v>
      </c>
      <c r="K358" s="23">
        <v>58183.616638183601</v>
      </c>
      <c r="L358" s="23">
        <v>0</v>
      </c>
      <c r="M358" s="22" t="s">
        <v>14</v>
      </c>
      <c r="N358" s="14"/>
      <c r="O358" s="13"/>
      <c r="P358" s="14"/>
      <c r="Q358" s="14"/>
    </row>
    <row r="359" spans="1:17" x14ac:dyDescent="0.25">
      <c r="A359" s="22" t="s">
        <v>354</v>
      </c>
      <c r="B359" s="22" t="s">
        <v>12</v>
      </c>
      <c r="C359" s="22" t="s">
        <v>13</v>
      </c>
      <c r="D359" s="22" t="s">
        <v>247</v>
      </c>
      <c r="E359" s="23">
        <v>-116140563.964844</v>
      </c>
      <c r="F359" s="23">
        <v>119.259832426906</v>
      </c>
      <c r="G359" s="22" t="s">
        <v>103</v>
      </c>
      <c r="H359" s="23">
        <v>0</v>
      </c>
      <c r="I359" s="23">
        <v>0</v>
      </c>
      <c r="J359" s="22" t="s">
        <v>96</v>
      </c>
      <c r="K359" s="23">
        <v>22855.911254882802</v>
      </c>
      <c r="L359" s="23">
        <v>0</v>
      </c>
      <c r="M359" s="22" t="s">
        <v>14</v>
      </c>
      <c r="N359" s="14"/>
      <c r="O359" s="13"/>
      <c r="P359" s="14"/>
      <c r="Q359" s="14"/>
    </row>
    <row r="360" spans="1:17" x14ac:dyDescent="0.25">
      <c r="A360" s="22" t="s">
        <v>354</v>
      </c>
      <c r="B360" s="22" t="s">
        <v>12</v>
      </c>
      <c r="C360" s="22" t="s">
        <v>15</v>
      </c>
      <c r="D360" s="22" t="s">
        <v>247</v>
      </c>
      <c r="E360" s="23">
        <v>-116147961.425781</v>
      </c>
      <c r="F360" s="23">
        <v>119.267692789435</v>
      </c>
      <c r="G360" s="22" t="s">
        <v>103</v>
      </c>
      <c r="H360" s="23">
        <v>0</v>
      </c>
      <c r="I360" s="23">
        <v>0</v>
      </c>
      <c r="J360" s="22" t="s">
        <v>247</v>
      </c>
      <c r="K360" s="23">
        <v>32649.562835693399</v>
      </c>
      <c r="L360" s="23">
        <v>0</v>
      </c>
      <c r="M360" s="22" t="s">
        <v>14</v>
      </c>
      <c r="N360" s="14"/>
      <c r="O360" s="13"/>
      <c r="P360" s="14"/>
      <c r="Q360" s="14"/>
    </row>
    <row r="361" spans="1:17" x14ac:dyDescent="0.25">
      <c r="A361" s="22" t="s">
        <v>354</v>
      </c>
      <c r="B361" s="22" t="s">
        <v>12</v>
      </c>
      <c r="C361" s="22" t="s">
        <v>16</v>
      </c>
      <c r="D361" s="22" t="s">
        <v>247</v>
      </c>
      <c r="E361" s="23">
        <v>-63377960.205078103</v>
      </c>
      <c r="F361" s="23">
        <v>64.070946536958203</v>
      </c>
      <c r="G361" s="22" t="s">
        <v>103</v>
      </c>
      <c r="H361" s="23">
        <v>0</v>
      </c>
      <c r="I361" s="23">
        <v>0</v>
      </c>
      <c r="J361" s="22" t="s">
        <v>247</v>
      </c>
      <c r="K361" s="23">
        <v>37516.5176391602</v>
      </c>
      <c r="L361" s="23">
        <v>0</v>
      </c>
      <c r="M361" s="22" t="s">
        <v>14</v>
      </c>
      <c r="N361" s="14"/>
      <c r="O361" s="13"/>
      <c r="P361" s="14"/>
      <c r="Q361" s="14"/>
    </row>
    <row r="362" spans="1:17" x14ac:dyDescent="0.25">
      <c r="A362" s="22" t="s">
        <v>355</v>
      </c>
      <c r="B362" s="22" t="s">
        <v>12</v>
      </c>
      <c r="C362" s="22" t="s">
        <v>13</v>
      </c>
      <c r="D362" s="22" t="s">
        <v>255</v>
      </c>
      <c r="E362" s="23">
        <v>-88025909.423828095</v>
      </c>
      <c r="F362" s="23">
        <v>135.85217297077199</v>
      </c>
      <c r="G362" s="22" t="s">
        <v>98</v>
      </c>
      <c r="H362" s="23">
        <v>9393790.4357910194</v>
      </c>
      <c r="I362" s="23">
        <v>13.439109316095699</v>
      </c>
      <c r="J362" s="22" t="s">
        <v>254</v>
      </c>
      <c r="K362" s="23">
        <v>35613.609313964902</v>
      </c>
      <c r="L362" s="23">
        <v>0</v>
      </c>
      <c r="M362" s="22" t="s">
        <v>14</v>
      </c>
      <c r="N362" s="14"/>
      <c r="O362" s="13"/>
      <c r="P362" s="14"/>
      <c r="Q362" s="14"/>
    </row>
    <row r="363" spans="1:17" x14ac:dyDescent="0.25">
      <c r="A363" s="22" t="s">
        <v>355</v>
      </c>
      <c r="B363" s="22" t="s">
        <v>12</v>
      </c>
      <c r="C363" s="22" t="s">
        <v>15</v>
      </c>
      <c r="D363" s="22" t="s">
        <v>484</v>
      </c>
      <c r="E363" s="23">
        <v>-88034918.212890595</v>
      </c>
      <c r="F363" s="23">
        <v>135.86740940809199</v>
      </c>
      <c r="G363" s="22" t="s">
        <v>103</v>
      </c>
      <c r="H363" s="23">
        <v>0</v>
      </c>
      <c r="I363" s="23">
        <v>0</v>
      </c>
      <c r="J363" s="22" t="s">
        <v>255</v>
      </c>
      <c r="K363" s="23">
        <v>24376.499176025402</v>
      </c>
      <c r="L363" s="23">
        <v>0</v>
      </c>
      <c r="M363" s="22" t="s">
        <v>14</v>
      </c>
      <c r="N363" s="14"/>
      <c r="O363" s="13"/>
      <c r="P363" s="14"/>
      <c r="Q363" s="14"/>
    </row>
    <row r="364" spans="1:17" x14ac:dyDescent="0.25">
      <c r="A364" s="22" t="s">
        <v>355</v>
      </c>
      <c r="B364" s="22" t="s">
        <v>12</v>
      </c>
      <c r="C364" s="22" t="s">
        <v>16</v>
      </c>
      <c r="D364" s="22" t="s">
        <v>255</v>
      </c>
      <c r="E364" s="23">
        <v>-47038088.989257798</v>
      </c>
      <c r="F364" s="23">
        <v>69.627952761948094</v>
      </c>
      <c r="G364" s="22" t="s">
        <v>103</v>
      </c>
      <c r="H364" s="23">
        <v>0</v>
      </c>
      <c r="I364" s="23">
        <v>0</v>
      </c>
      <c r="J364" s="22" t="s">
        <v>255</v>
      </c>
      <c r="K364" s="23">
        <v>22050.025939941399</v>
      </c>
      <c r="L364" s="23">
        <v>0</v>
      </c>
      <c r="M364" s="22" t="s">
        <v>14</v>
      </c>
      <c r="N364" s="14"/>
      <c r="O364" s="13"/>
      <c r="P364" s="14"/>
      <c r="Q364" s="14"/>
    </row>
    <row r="365" spans="1:17" x14ac:dyDescent="0.25">
      <c r="A365" s="22" t="s">
        <v>356</v>
      </c>
      <c r="B365" s="22" t="s">
        <v>12</v>
      </c>
      <c r="C365" s="22" t="s">
        <v>13</v>
      </c>
      <c r="D365" s="22" t="s">
        <v>110</v>
      </c>
      <c r="E365" s="23">
        <v>-44207000.732421897</v>
      </c>
      <c r="F365" s="23">
        <v>65.261386334896102</v>
      </c>
      <c r="G365" s="22" t="s">
        <v>105</v>
      </c>
      <c r="H365" s="23">
        <v>64026.820659637502</v>
      </c>
      <c r="I365" s="23">
        <v>0</v>
      </c>
      <c r="J365" s="22" t="s">
        <v>243</v>
      </c>
      <c r="K365" s="23">
        <v>22983.1123352051</v>
      </c>
      <c r="L365" s="23">
        <v>0</v>
      </c>
      <c r="M365" s="22" t="s">
        <v>14</v>
      </c>
      <c r="N365" s="14"/>
      <c r="O365" s="13"/>
      <c r="P365" s="14"/>
      <c r="Q365" s="14"/>
    </row>
    <row r="366" spans="1:17" x14ac:dyDescent="0.25">
      <c r="A366" s="22" t="s">
        <v>356</v>
      </c>
      <c r="B366" s="22" t="s">
        <v>12</v>
      </c>
      <c r="C366" s="22" t="s">
        <v>15</v>
      </c>
      <c r="D366" s="22" t="s">
        <v>110</v>
      </c>
      <c r="E366" s="23">
        <v>-39175149.536132798</v>
      </c>
      <c r="F366" s="23">
        <v>57.560196146369002</v>
      </c>
      <c r="G366" s="22" t="s">
        <v>103</v>
      </c>
      <c r="H366" s="23">
        <v>0</v>
      </c>
      <c r="I366" s="23">
        <v>0</v>
      </c>
      <c r="J366" s="22" t="s">
        <v>110</v>
      </c>
      <c r="K366" s="23">
        <v>36353.218078613303</v>
      </c>
      <c r="L366" s="23">
        <v>0</v>
      </c>
      <c r="M366" s="22" t="s">
        <v>14</v>
      </c>
      <c r="N366" s="14"/>
      <c r="O366" s="13"/>
      <c r="P366" s="14"/>
      <c r="Q366" s="14"/>
    </row>
    <row r="367" spans="1:17" x14ac:dyDescent="0.25">
      <c r="A367" s="22" t="s">
        <v>356</v>
      </c>
      <c r="B367" s="22" t="s">
        <v>12</v>
      </c>
      <c r="C367" s="22" t="s">
        <v>16</v>
      </c>
      <c r="D367" s="22" t="s">
        <v>255</v>
      </c>
      <c r="E367" s="23">
        <v>-20888130.1879883</v>
      </c>
      <c r="F367" s="23">
        <v>30.184828210622101</v>
      </c>
      <c r="G367" s="22" t="s">
        <v>266</v>
      </c>
      <c r="H367" s="23">
        <v>2796959.4955444299</v>
      </c>
      <c r="I367" s="23">
        <v>3.97898373194039</v>
      </c>
      <c r="J367" s="22" t="s">
        <v>110</v>
      </c>
      <c r="K367" s="23">
        <v>31789.171218872099</v>
      </c>
      <c r="L367" s="23">
        <v>0</v>
      </c>
      <c r="M367" s="22" t="s">
        <v>14</v>
      </c>
      <c r="N367" s="14"/>
      <c r="O367" s="13"/>
      <c r="P367" s="14"/>
      <c r="Q367" s="14"/>
    </row>
    <row r="368" spans="1:17" x14ac:dyDescent="0.25">
      <c r="A368" s="22" t="s">
        <v>357</v>
      </c>
      <c r="B368" s="22" t="s">
        <v>12</v>
      </c>
      <c r="C368" s="22" t="s">
        <v>13</v>
      </c>
      <c r="D368" s="22" t="s">
        <v>247</v>
      </c>
      <c r="E368" s="23">
        <v>-79902386.474609405</v>
      </c>
      <c r="F368" s="23">
        <v>81.165926530957194</v>
      </c>
      <c r="G368" s="22" t="s">
        <v>104</v>
      </c>
      <c r="H368" s="23">
        <v>62097595.214843802</v>
      </c>
      <c r="I368" s="23">
        <v>62.753348611295202</v>
      </c>
      <c r="J368" s="22" t="s">
        <v>111</v>
      </c>
      <c r="K368" s="23">
        <v>24447.721481323199</v>
      </c>
      <c r="L368" s="23">
        <v>0</v>
      </c>
      <c r="M368" s="22" t="s">
        <v>14</v>
      </c>
      <c r="N368" s="14"/>
      <c r="O368" s="13"/>
      <c r="P368" s="14"/>
      <c r="Q368" s="14"/>
    </row>
    <row r="369" spans="1:17" x14ac:dyDescent="0.25">
      <c r="A369" s="22" t="s">
        <v>357</v>
      </c>
      <c r="B369" s="22" t="s">
        <v>12</v>
      </c>
      <c r="C369" s="22" t="s">
        <v>15</v>
      </c>
      <c r="D369" s="22" t="s">
        <v>247</v>
      </c>
      <c r="E369" s="23">
        <v>-121690991.21093801</v>
      </c>
      <c r="F369" s="23">
        <v>125.170480459929</v>
      </c>
      <c r="G369" s="22" t="s">
        <v>96</v>
      </c>
      <c r="H369" s="23">
        <v>17495527.6489258</v>
      </c>
      <c r="I369" s="23">
        <v>17.458173679187901</v>
      </c>
      <c r="J369" s="22" t="s">
        <v>111</v>
      </c>
      <c r="K369" s="23">
        <v>48680.427551269502</v>
      </c>
      <c r="L369" s="23">
        <v>0</v>
      </c>
      <c r="M369" s="22" t="s">
        <v>14</v>
      </c>
      <c r="N369" s="14"/>
      <c r="O369" s="13"/>
      <c r="P369" s="14"/>
      <c r="Q369" s="14"/>
    </row>
    <row r="370" spans="1:17" x14ac:dyDescent="0.25">
      <c r="A370" s="22" t="s">
        <v>357</v>
      </c>
      <c r="B370" s="22" t="s">
        <v>12</v>
      </c>
      <c r="C370" s="22" t="s">
        <v>16</v>
      </c>
      <c r="D370" s="22" t="s">
        <v>247</v>
      </c>
      <c r="E370" s="23">
        <v>-117535864.25781301</v>
      </c>
      <c r="F370" s="23">
        <v>120.743745937943</v>
      </c>
      <c r="G370" s="22" t="s">
        <v>98</v>
      </c>
      <c r="H370" s="23">
        <v>9572686.00463867</v>
      </c>
      <c r="I370" s="23">
        <v>9.5312925986945594</v>
      </c>
      <c r="J370" s="22" t="s">
        <v>247</v>
      </c>
      <c r="K370" s="23">
        <v>45453.666687011697</v>
      </c>
      <c r="L370" s="23">
        <v>0</v>
      </c>
      <c r="M370" s="22" t="s">
        <v>14</v>
      </c>
      <c r="N370" s="14"/>
      <c r="O370" s="13"/>
      <c r="P370" s="14"/>
      <c r="Q370" s="14"/>
    </row>
    <row r="371" spans="1:17" x14ac:dyDescent="0.25">
      <c r="A371" s="22" t="s">
        <v>358</v>
      </c>
      <c r="B371" s="22" t="s">
        <v>12</v>
      </c>
      <c r="C371" s="22" t="s">
        <v>13</v>
      </c>
      <c r="D371" s="22" t="s">
        <v>247</v>
      </c>
      <c r="E371" s="23">
        <v>-100453906.25</v>
      </c>
      <c r="F371" s="23">
        <v>157.19076618552199</v>
      </c>
      <c r="G371" s="22" t="s">
        <v>98</v>
      </c>
      <c r="H371" s="23">
        <v>2175679.2068481501</v>
      </c>
      <c r="I371" s="23">
        <v>3.09351918986067</v>
      </c>
      <c r="J371" s="22" t="s">
        <v>247</v>
      </c>
      <c r="K371" s="23">
        <v>32798.187255859397</v>
      </c>
      <c r="L371" s="23">
        <v>0</v>
      </c>
      <c r="M371" s="22" t="s">
        <v>14</v>
      </c>
      <c r="N371" s="14"/>
      <c r="O371" s="13"/>
      <c r="P371" s="14"/>
      <c r="Q371" s="14"/>
    </row>
    <row r="372" spans="1:17" x14ac:dyDescent="0.25">
      <c r="A372" s="22" t="s">
        <v>358</v>
      </c>
      <c r="B372" s="22" t="s">
        <v>12</v>
      </c>
      <c r="C372" s="22" t="s">
        <v>15</v>
      </c>
      <c r="D372" s="22" t="s">
        <v>247</v>
      </c>
      <c r="E372" s="23">
        <v>-96775231.933593795</v>
      </c>
      <c r="F372" s="23">
        <v>150.806223973632</v>
      </c>
      <c r="G372" s="22" t="s">
        <v>103</v>
      </c>
      <c r="H372" s="23">
        <v>0</v>
      </c>
      <c r="I372" s="23">
        <v>0</v>
      </c>
      <c r="J372" s="22" t="s">
        <v>247</v>
      </c>
      <c r="K372" s="23">
        <v>164034.98840331999</v>
      </c>
      <c r="L372" s="23">
        <v>0.110345962457359</v>
      </c>
      <c r="M372" s="22" t="s">
        <v>14</v>
      </c>
      <c r="N372" s="14"/>
      <c r="O372" s="13"/>
      <c r="P372" s="14"/>
      <c r="Q372" s="14"/>
    </row>
    <row r="373" spans="1:17" x14ac:dyDescent="0.25">
      <c r="A373" s="22" t="s">
        <v>358</v>
      </c>
      <c r="B373" s="22" t="s">
        <v>12</v>
      </c>
      <c r="C373" s="22" t="s">
        <v>16</v>
      </c>
      <c r="D373" s="22" t="s">
        <v>255</v>
      </c>
      <c r="E373" s="23">
        <v>-38002090.4541016</v>
      </c>
      <c r="F373" s="23">
        <v>55.775642395019503</v>
      </c>
      <c r="G373" s="22" t="s">
        <v>243</v>
      </c>
      <c r="H373" s="23">
        <v>860844.23065185605</v>
      </c>
      <c r="I373" s="23">
        <v>1.22264726087451</v>
      </c>
      <c r="J373" s="22" t="s">
        <v>247</v>
      </c>
      <c r="K373" s="23">
        <v>159560.51635742199</v>
      </c>
      <c r="L373" s="23">
        <v>0.10272542713210001</v>
      </c>
      <c r="M373" s="22" t="s">
        <v>14</v>
      </c>
      <c r="N373" s="14"/>
      <c r="O373" s="13"/>
      <c r="P373" s="14"/>
      <c r="Q373" s="14"/>
    </row>
    <row r="374" spans="1:17" x14ac:dyDescent="0.25">
      <c r="A374" s="22" t="s">
        <v>359</v>
      </c>
      <c r="B374" s="22" t="s">
        <v>12</v>
      </c>
      <c r="C374" s="22" t="s">
        <v>13</v>
      </c>
      <c r="D374" s="22" t="s">
        <v>302</v>
      </c>
      <c r="E374" s="23">
        <v>-37656134.033203103</v>
      </c>
      <c r="F374" s="23">
        <v>37.788811605423703</v>
      </c>
      <c r="G374" s="22" t="s">
        <v>109</v>
      </c>
      <c r="H374" s="23">
        <v>34201492.309570298</v>
      </c>
      <c r="I374" s="23">
        <v>34.2885218560696</v>
      </c>
      <c r="J374" s="22" t="s">
        <v>104</v>
      </c>
      <c r="K374" s="23">
        <v>109525.543212891</v>
      </c>
      <c r="L374" s="23">
        <v>0.100438517984003</v>
      </c>
      <c r="M374" s="22" t="s">
        <v>14</v>
      </c>
      <c r="N374" s="14"/>
      <c r="O374" s="13"/>
      <c r="P374" s="14"/>
      <c r="Q374" s="14"/>
    </row>
    <row r="375" spans="1:17" x14ac:dyDescent="0.25">
      <c r="A375" s="22" t="s">
        <v>359</v>
      </c>
      <c r="B375" s="22" t="s">
        <v>12</v>
      </c>
      <c r="C375" s="22" t="s">
        <v>15</v>
      </c>
      <c r="D375" s="22" t="s">
        <v>302</v>
      </c>
      <c r="E375" s="23">
        <v>-62218255.615234397</v>
      </c>
      <c r="F375" s="23">
        <v>62.877475284040003</v>
      </c>
      <c r="G375" s="22" t="s">
        <v>109</v>
      </c>
      <c r="H375" s="23">
        <v>18271408.081054699</v>
      </c>
      <c r="I375" s="23">
        <v>18.236332107335301</v>
      </c>
      <c r="J375" s="22" t="s">
        <v>104</v>
      </c>
      <c r="K375" s="23">
        <v>33802.978515625</v>
      </c>
      <c r="L375" s="23">
        <v>0</v>
      </c>
      <c r="M375" s="22" t="s">
        <v>14</v>
      </c>
      <c r="N375" s="14"/>
      <c r="O375" s="13"/>
      <c r="P375" s="14"/>
      <c r="Q375" s="14"/>
    </row>
    <row r="376" spans="1:17" x14ac:dyDescent="0.25">
      <c r="A376" s="22" t="s">
        <v>359</v>
      </c>
      <c r="B376" s="22" t="s">
        <v>12</v>
      </c>
      <c r="C376" s="22" t="s">
        <v>16</v>
      </c>
      <c r="D376" s="22" t="s">
        <v>302</v>
      </c>
      <c r="E376" s="23">
        <v>-68897961.425781295</v>
      </c>
      <c r="F376" s="23">
        <v>69.762878119945498</v>
      </c>
      <c r="G376" s="22" t="s">
        <v>103</v>
      </c>
      <c r="H376" s="23">
        <v>0</v>
      </c>
      <c r="I376" s="23">
        <v>0</v>
      </c>
      <c r="J376" s="22" t="s">
        <v>110</v>
      </c>
      <c r="K376" s="23">
        <v>33096.820831298799</v>
      </c>
      <c r="L376" s="23">
        <v>0</v>
      </c>
      <c r="M376" s="22" t="s">
        <v>14</v>
      </c>
      <c r="N376" s="14"/>
      <c r="O376" s="13"/>
      <c r="P376" s="14"/>
      <c r="Q376" s="14"/>
    </row>
    <row r="377" spans="1:17" x14ac:dyDescent="0.25">
      <c r="A377" s="22" t="s">
        <v>360</v>
      </c>
      <c r="B377" s="22" t="s">
        <v>12</v>
      </c>
      <c r="C377" s="22" t="s">
        <v>13</v>
      </c>
      <c r="D377" s="22" t="s">
        <v>243</v>
      </c>
      <c r="E377" s="23">
        <v>-51326538.0859375</v>
      </c>
      <c r="F377" s="23">
        <v>51.708132959902301</v>
      </c>
      <c r="G377" s="22" t="s">
        <v>98</v>
      </c>
      <c r="H377" s="23">
        <v>60280340.576171897</v>
      </c>
      <c r="I377" s="23">
        <v>60.884957201778903</v>
      </c>
      <c r="J377" s="22" t="s">
        <v>104</v>
      </c>
      <c r="K377" s="23">
        <v>96015.983581542998</v>
      </c>
      <c r="L377" s="23">
        <v>0</v>
      </c>
      <c r="M377" s="22" t="s">
        <v>14</v>
      </c>
      <c r="N377" s="14"/>
      <c r="O377" s="13"/>
      <c r="P377" s="14"/>
      <c r="Q377" s="14"/>
    </row>
    <row r="378" spans="1:17" x14ac:dyDescent="0.25">
      <c r="A378" s="22" t="s">
        <v>360</v>
      </c>
      <c r="B378" s="22" t="s">
        <v>12</v>
      </c>
      <c r="C378" s="22" t="s">
        <v>15</v>
      </c>
      <c r="D378" s="22" t="s">
        <v>243</v>
      </c>
      <c r="E378" s="23">
        <v>-73624194.3359375</v>
      </c>
      <c r="F378" s="23">
        <v>74.6511435136199</v>
      </c>
      <c r="G378" s="22" t="s">
        <v>98</v>
      </c>
      <c r="H378" s="23">
        <v>55284790.0390625</v>
      </c>
      <c r="I378" s="23">
        <v>55.759060196578503</v>
      </c>
      <c r="J378" s="22" t="s">
        <v>111</v>
      </c>
      <c r="K378" s="23">
        <v>171900.283813477</v>
      </c>
      <c r="L378" s="23">
        <v>0.100438517984003</v>
      </c>
      <c r="M378" s="22" t="s">
        <v>14</v>
      </c>
      <c r="N378" s="14"/>
      <c r="O378" s="13"/>
      <c r="P378" s="14"/>
      <c r="Q378" s="14"/>
    </row>
    <row r="379" spans="1:17" x14ac:dyDescent="0.25">
      <c r="A379" s="22" t="s">
        <v>360</v>
      </c>
      <c r="B379" s="22" t="s">
        <v>12</v>
      </c>
      <c r="C379" s="22" t="s">
        <v>16</v>
      </c>
      <c r="D379" s="22" t="s">
        <v>247</v>
      </c>
      <c r="E379" s="23">
        <v>-41851974.487304702</v>
      </c>
      <c r="F379" s="23">
        <v>42.049409821629503</v>
      </c>
      <c r="G379" s="22" t="s">
        <v>110</v>
      </c>
      <c r="H379" s="23">
        <v>46555349.731445298</v>
      </c>
      <c r="I379" s="23">
        <v>46.837599948048599</v>
      </c>
      <c r="J379" s="22" t="s">
        <v>111</v>
      </c>
      <c r="K379" s="23">
        <v>155968.91784668001</v>
      </c>
      <c r="L379" s="23">
        <v>0.100438517984003</v>
      </c>
      <c r="M379" s="22" t="s">
        <v>14</v>
      </c>
      <c r="N379" s="14"/>
      <c r="O379" s="13"/>
      <c r="P379" s="14"/>
      <c r="Q379" s="14"/>
    </row>
    <row r="380" spans="1:17" x14ac:dyDescent="0.25">
      <c r="A380" s="22" t="s">
        <v>361</v>
      </c>
      <c r="B380" s="22" t="s">
        <v>12</v>
      </c>
      <c r="C380" s="22" t="s">
        <v>13</v>
      </c>
      <c r="D380" s="22" t="s">
        <v>247</v>
      </c>
      <c r="E380" s="23">
        <v>-83274237.060546905</v>
      </c>
      <c r="F380" s="23">
        <v>131.91716745495799</v>
      </c>
      <c r="G380" s="22" t="s">
        <v>98</v>
      </c>
      <c r="H380" s="23">
        <v>3031514.3585205101</v>
      </c>
      <c r="I380" s="23">
        <v>4.3172150617465403</v>
      </c>
      <c r="J380" s="22" t="s">
        <v>106</v>
      </c>
      <c r="K380" s="23">
        <v>34549.190521240198</v>
      </c>
      <c r="L380" s="23">
        <v>0</v>
      </c>
      <c r="M380" s="22" t="s">
        <v>14</v>
      </c>
      <c r="N380" s="14"/>
      <c r="O380" s="13"/>
      <c r="P380" s="14"/>
      <c r="Q380" s="14"/>
    </row>
    <row r="381" spans="1:17" x14ac:dyDescent="0.25">
      <c r="A381" s="22" t="s">
        <v>361</v>
      </c>
      <c r="B381" s="22" t="s">
        <v>12</v>
      </c>
      <c r="C381" s="22" t="s">
        <v>15</v>
      </c>
      <c r="D381" s="22" t="s">
        <v>247</v>
      </c>
      <c r="E381" s="23">
        <v>-82505718.994140595</v>
      </c>
      <c r="F381" s="23">
        <v>130.54161332547699</v>
      </c>
      <c r="G381" s="22" t="s">
        <v>103</v>
      </c>
      <c r="H381" s="23">
        <v>0</v>
      </c>
      <c r="I381" s="23">
        <v>0</v>
      </c>
      <c r="J381" s="22" t="s">
        <v>247</v>
      </c>
      <c r="K381" s="23">
        <v>70871.711730957002</v>
      </c>
      <c r="L381" s="23">
        <v>5.02192589920014E-2</v>
      </c>
      <c r="M381" s="22" t="s">
        <v>14</v>
      </c>
      <c r="N381" s="14"/>
      <c r="O381" s="13"/>
      <c r="P381" s="14"/>
      <c r="Q381" s="14"/>
    </row>
    <row r="382" spans="1:17" x14ac:dyDescent="0.25">
      <c r="A382" s="22" t="s">
        <v>361</v>
      </c>
      <c r="B382" s="22" t="s">
        <v>12</v>
      </c>
      <c r="C382" s="22" t="s">
        <v>16</v>
      </c>
      <c r="D382" s="22" t="s">
        <v>247</v>
      </c>
      <c r="E382" s="23">
        <v>-48286065.673828103</v>
      </c>
      <c r="F382" s="23">
        <v>72.700362652540207</v>
      </c>
      <c r="G382" s="22" t="s">
        <v>103</v>
      </c>
      <c r="H382" s="23">
        <v>0</v>
      </c>
      <c r="I382" s="23">
        <v>0</v>
      </c>
      <c r="J382" s="22" t="s">
        <v>247</v>
      </c>
      <c r="K382" s="23">
        <v>202846.55761718799</v>
      </c>
      <c r="L382" s="23">
        <v>0.21870252676308199</v>
      </c>
      <c r="M382" s="22" t="s">
        <v>14</v>
      </c>
      <c r="N382" s="14"/>
      <c r="O382" s="13"/>
      <c r="P382" s="14"/>
      <c r="Q382" s="14"/>
    </row>
    <row r="383" spans="1:17" x14ac:dyDescent="0.25">
      <c r="A383" s="22" t="s">
        <v>362</v>
      </c>
      <c r="B383" s="22" t="s">
        <v>12</v>
      </c>
      <c r="C383" s="22" t="s">
        <v>13</v>
      </c>
      <c r="D383" s="22" t="s">
        <v>247</v>
      </c>
      <c r="E383" s="23">
        <v>-65953436.279296897</v>
      </c>
      <c r="F383" s="23">
        <v>101.777538657188</v>
      </c>
      <c r="G383" s="22" t="s">
        <v>98</v>
      </c>
      <c r="H383" s="23">
        <v>1267177.6771545401</v>
      </c>
      <c r="I383" s="23">
        <v>1.80101502337493</v>
      </c>
      <c r="J383" s="22" t="s">
        <v>98</v>
      </c>
      <c r="K383" s="23">
        <v>70630.928039550796</v>
      </c>
      <c r="L383" s="23">
        <v>5.02192589920014E-2</v>
      </c>
      <c r="M383" s="22" t="s">
        <v>14</v>
      </c>
      <c r="N383" s="14"/>
      <c r="O383" s="13"/>
      <c r="P383" s="14"/>
      <c r="Q383" s="14"/>
    </row>
    <row r="384" spans="1:17" x14ac:dyDescent="0.25">
      <c r="A384" s="22" t="s">
        <v>362</v>
      </c>
      <c r="B384" s="22" t="s">
        <v>12</v>
      </c>
      <c r="C384" s="22" t="s">
        <v>15</v>
      </c>
      <c r="D384" s="22" t="s">
        <v>247</v>
      </c>
      <c r="E384" s="23">
        <v>-64557629.394531302</v>
      </c>
      <c r="F384" s="23">
        <v>99.422726780176205</v>
      </c>
      <c r="G384" s="22" t="s">
        <v>103</v>
      </c>
      <c r="H384" s="23">
        <v>0</v>
      </c>
      <c r="I384" s="23">
        <v>0</v>
      </c>
      <c r="J384" s="22" t="s">
        <v>247</v>
      </c>
      <c r="K384" s="23">
        <v>28124.7158050537</v>
      </c>
      <c r="L384" s="23">
        <v>0</v>
      </c>
      <c r="M384" s="22" t="s">
        <v>14</v>
      </c>
      <c r="N384" s="14"/>
      <c r="O384" s="13"/>
      <c r="P384" s="14"/>
      <c r="Q384" s="14"/>
    </row>
    <row r="385" spans="1:17" x14ac:dyDescent="0.25">
      <c r="A385" s="22" t="s">
        <v>362</v>
      </c>
      <c r="B385" s="22" t="s">
        <v>12</v>
      </c>
      <c r="C385" s="22" t="s">
        <v>16</v>
      </c>
      <c r="D385" s="22" t="s">
        <v>247</v>
      </c>
      <c r="E385" s="23">
        <v>-28818634.033203099</v>
      </c>
      <c r="F385" s="23">
        <v>42.313728481531101</v>
      </c>
      <c r="G385" s="22" t="s">
        <v>103</v>
      </c>
      <c r="H385" s="23">
        <v>0</v>
      </c>
      <c r="I385" s="23">
        <v>0</v>
      </c>
      <c r="J385" s="22" t="s">
        <v>247</v>
      </c>
      <c r="K385" s="23">
        <v>150302.76489257801</v>
      </c>
      <c r="L385" s="23">
        <v>0.129214487969875</v>
      </c>
      <c r="M385" s="22" t="s">
        <v>14</v>
      </c>
      <c r="N385" s="14"/>
      <c r="O385" s="13"/>
      <c r="P385" s="14"/>
      <c r="Q385" s="14"/>
    </row>
    <row r="386" spans="1:17" x14ac:dyDescent="0.25">
      <c r="A386" s="22" t="s">
        <v>363</v>
      </c>
      <c r="B386" s="22" t="s">
        <v>12</v>
      </c>
      <c r="C386" s="22" t="s">
        <v>13</v>
      </c>
      <c r="D386" s="22" t="s">
        <v>110</v>
      </c>
      <c r="E386" s="23">
        <v>-59097979.736328103</v>
      </c>
      <c r="F386" s="23">
        <v>59.875040315091603</v>
      </c>
      <c r="G386" s="22" t="s">
        <v>109</v>
      </c>
      <c r="H386" s="23">
        <v>8184455.10864258</v>
      </c>
      <c r="I386" s="23">
        <v>8.1496243365109002</v>
      </c>
      <c r="J386" s="22" t="s">
        <v>243</v>
      </c>
      <c r="K386" s="23">
        <v>14512.1593475342</v>
      </c>
      <c r="L386" s="23">
        <v>0</v>
      </c>
      <c r="M386" s="22" t="s">
        <v>14</v>
      </c>
      <c r="N386" s="14"/>
      <c r="O386" s="13"/>
      <c r="P386" s="14"/>
      <c r="Q386" s="14"/>
    </row>
    <row r="387" spans="1:17" x14ac:dyDescent="0.25">
      <c r="A387" s="22" t="s">
        <v>363</v>
      </c>
      <c r="B387" s="22" t="s">
        <v>12</v>
      </c>
      <c r="C387" s="22" t="s">
        <v>15</v>
      </c>
      <c r="D387" s="22" t="s">
        <v>302</v>
      </c>
      <c r="E387" s="23">
        <v>-63857672.119140603</v>
      </c>
      <c r="F387" s="23">
        <v>64.805289730429607</v>
      </c>
      <c r="G387" s="22" t="s">
        <v>109</v>
      </c>
      <c r="H387" s="23">
        <v>676289.03388977097</v>
      </c>
      <c r="I387" s="23">
        <v>0.671742745907977</v>
      </c>
      <c r="J387" s="22" t="s">
        <v>247</v>
      </c>
      <c r="K387" s="23">
        <v>48929.7676086426</v>
      </c>
      <c r="L387" s="23">
        <v>0</v>
      </c>
      <c r="M387" s="22" t="s">
        <v>14</v>
      </c>
      <c r="N387" s="14"/>
      <c r="O387" s="13"/>
      <c r="P387" s="14"/>
      <c r="Q387" s="14"/>
    </row>
    <row r="388" spans="1:17" x14ac:dyDescent="0.25">
      <c r="A388" s="22" t="s">
        <v>363</v>
      </c>
      <c r="B388" s="22" t="s">
        <v>12</v>
      </c>
      <c r="C388" s="22" t="s">
        <v>16</v>
      </c>
      <c r="D388" s="22" t="s">
        <v>302</v>
      </c>
      <c r="E388" s="23">
        <v>-63854840.087890603</v>
      </c>
      <c r="F388" s="23">
        <v>64.802346751093907</v>
      </c>
      <c r="G388" s="22" t="s">
        <v>98</v>
      </c>
      <c r="H388" s="23">
        <v>11895750.427246099</v>
      </c>
      <c r="I388" s="23">
        <v>11.8597398977727</v>
      </c>
      <c r="J388" s="22" t="s">
        <v>110</v>
      </c>
      <c r="K388" s="23">
        <v>79372.2305297852</v>
      </c>
      <c r="L388" s="23">
        <v>0</v>
      </c>
      <c r="M388" s="22" t="s">
        <v>14</v>
      </c>
      <c r="N388" s="14"/>
      <c r="O388" s="13"/>
      <c r="P388" s="14"/>
      <c r="Q388" s="14"/>
    </row>
    <row r="389" spans="1:17" x14ac:dyDescent="0.25">
      <c r="A389" s="22" t="s">
        <v>364</v>
      </c>
      <c r="B389" s="22" t="s">
        <v>12</v>
      </c>
      <c r="C389" s="22" t="s">
        <v>13</v>
      </c>
      <c r="D389" s="22" t="s">
        <v>243</v>
      </c>
      <c r="E389" s="23">
        <v>-73813861.083984405</v>
      </c>
      <c r="F389" s="23">
        <v>75.173019431531401</v>
      </c>
      <c r="G389" s="22" t="s">
        <v>98</v>
      </c>
      <c r="H389" s="23">
        <v>11518813.3239746</v>
      </c>
      <c r="I389" s="23">
        <v>11.482503032311801</v>
      </c>
      <c r="J389" s="22" t="s">
        <v>110</v>
      </c>
      <c r="K389" s="23">
        <v>34470.054626464902</v>
      </c>
      <c r="L389" s="23">
        <v>0</v>
      </c>
      <c r="M389" s="22" t="s">
        <v>14</v>
      </c>
      <c r="N389" s="14"/>
      <c r="O389" s="13"/>
      <c r="P389" s="14"/>
      <c r="Q389" s="14"/>
    </row>
    <row r="390" spans="1:17" x14ac:dyDescent="0.25">
      <c r="A390" s="22" t="s">
        <v>364</v>
      </c>
      <c r="B390" s="22" t="s">
        <v>12</v>
      </c>
      <c r="C390" s="22" t="s">
        <v>15</v>
      </c>
      <c r="D390" s="22" t="s">
        <v>243</v>
      </c>
      <c r="E390" s="23">
        <v>-73528454.589843795</v>
      </c>
      <c r="F390" s="23">
        <v>74.874772690236597</v>
      </c>
      <c r="G390" s="22" t="s">
        <v>110</v>
      </c>
      <c r="H390" s="23">
        <v>27429220.581054699</v>
      </c>
      <c r="I390" s="23">
        <v>27.4890498258173</v>
      </c>
      <c r="J390" s="22" t="s">
        <v>111</v>
      </c>
      <c r="K390" s="23">
        <v>25301.3076782227</v>
      </c>
      <c r="L390" s="23">
        <v>0</v>
      </c>
      <c r="M390" s="22" t="s">
        <v>14</v>
      </c>
      <c r="N390" s="14"/>
      <c r="O390" s="13"/>
      <c r="P390" s="14"/>
      <c r="Q390" s="14"/>
    </row>
    <row r="391" spans="1:17" x14ac:dyDescent="0.25">
      <c r="A391" s="22" t="s">
        <v>364</v>
      </c>
      <c r="B391" s="22" t="s">
        <v>12</v>
      </c>
      <c r="C391" s="22" t="s">
        <v>16</v>
      </c>
      <c r="D391" s="22" t="s">
        <v>243</v>
      </c>
      <c r="E391" s="23">
        <v>-40943676.7578125</v>
      </c>
      <c r="F391" s="23">
        <v>41.222209110856099</v>
      </c>
      <c r="G391" s="22" t="s">
        <v>110</v>
      </c>
      <c r="H391" s="23">
        <v>71388452.1484375</v>
      </c>
      <c r="I391" s="23">
        <v>72.640464641153798</v>
      </c>
      <c r="J391" s="22" t="s">
        <v>111</v>
      </c>
      <c r="K391" s="23">
        <v>166288.05541992199</v>
      </c>
      <c r="L391" s="23">
        <v>8.3698763046413702E-2</v>
      </c>
      <c r="M391" s="22" t="s">
        <v>14</v>
      </c>
      <c r="N391" s="14"/>
      <c r="O391" s="13"/>
      <c r="P391" s="14"/>
      <c r="Q391" s="14"/>
    </row>
    <row r="392" spans="1:17" x14ac:dyDescent="0.25">
      <c r="A392" s="22" t="s">
        <v>365</v>
      </c>
      <c r="B392" s="22" t="s">
        <v>12</v>
      </c>
      <c r="C392" s="22" t="s">
        <v>13</v>
      </c>
      <c r="D392" s="22" t="s">
        <v>97</v>
      </c>
      <c r="E392" s="23">
        <v>-2599343.2998657199</v>
      </c>
      <c r="F392" s="23">
        <v>2.5835057022050001</v>
      </c>
      <c r="G392" s="22" t="s">
        <v>255</v>
      </c>
      <c r="H392" s="23">
        <v>42219931.0302734</v>
      </c>
      <c r="I392" s="23">
        <v>42.525758035480997</v>
      </c>
      <c r="J392" s="22" t="s">
        <v>97</v>
      </c>
      <c r="K392" s="23">
        <v>41928.565979003899</v>
      </c>
      <c r="L392" s="23">
        <v>0</v>
      </c>
      <c r="M392" s="22" t="s">
        <v>14</v>
      </c>
      <c r="N392" s="14"/>
      <c r="O392" s="13"/>
      <c r="P392" s="14"/>
      <c r="Q392" s="14"/>
    </row>
    <row r="393" spans="1:17" x14ac:dyDescent="0.25">
      <c r="A393" s="22" t="s">
        <v>365</v>
      </c>
      <c r="B393" s="22" t="s">
        <v>12</v>
      </c>
      <c r="C393" s="22" t="s">
        <v>15</v>
      </c>
      <c r="D393" s="22" t="s">
        <v>98</v>
      </c>
      <c r="E393" s="23">
        <v>-10798499.298095699</v>
      </c>
      <c r="F393" s="23">
        <v>10.7618805486709</v>
      </c>
      <c r="G393" s="22" t="s">
        <v>247</v>
      </c>
      <c r="H393" s="23">
        <v>36892443.847656302</v>
      </c>
      <c r="I393" s="23">
        <v>37.0919704437256</v>
      </c>
      <c r="J393" s="22" t="s">
        <v>110</v>
      </c>
      <c r="K393" s="23">
        <v>63944.198608398401</v>
      </c>
      <c r="L393" s="23">
        <v>0</v>
      </c>
      <c r="M393" s="22" t="s">
        <v>14</v>
      </c>
      <c r="N393" s="14"/>
      <c r="O393" s="13"/>
      <c r="P393" s="14"/>
      <c r="Q393" s="14"/>
    </row>
    <row r="394" spans="1:17" x14ac:dyDescent="0.25">
      <c r="A394" s="22" t="s">
        <v>365</v>
      </c>
      <c r="B394" s="22" t="s">
        <v>12</v>
      </c>
      <c r="C394" s="22" t="s">
        <v>16</v>
      </c>
      <c r="D394" s="22" t="s">
        <v>98</v>
      </c>
      <c r="E394" s="23">
        <v>-9610313.4155273493</v>
      </c>
      <c r="F394" s="23">
        <v>9.5739436801523006</v>
      </c>
      <c r="G394" s="22" t="s">
        <v>111</v>
      </c>
      <c r="H394" s="23">
        <v>25373251.3427734</v>
      </c>
      <c r="I394" s="23">
        <v>25.410943198949099</v>
      </c>
      <c r="J394" s="22" t="s">
        <v>97</v>
      </c>
      <c r="K394" s="23">
        <v>127865.547180176</v>
      </c>
      <c r="L394" s="23">
        <v>8.3698763046413702E-2</v>
      </c>
      <c r="M394" s="22" t="s">
        <v>14</v>
      </c>
      <c r="N394" s="14"/>
      <c r="O394" s="13"/>
      <c r="P394" s="14"/>
      <c r="Q394" s="14"/>
    </row>
    <row r="395" spans="1:17" x14ac:dyDescent="0.25">
      <c r="A395" s="22" t="s">
        <v>366</v>
      </c>
      <c r="B395" s="22" t="s">
        <v>12</v>
      </c>
      <c r="C395" s="22" t="s">
        <v>13</v>
      </c>
      <c r="D395" s="22" t="s">
        <v>110</v>
      </c>
      <c r="E395" s="23">
        <v>-18640296.936035201</v>
      </c>
      <c r="F395" s="23">
        <v>18.625773955136498</v>
      </c>
      <c r="G395" s="22" t="s">
        <v>111</v>
      </c>
      <c r="H395" s="23">
        <v>23731829.833984401</v>
      </c>
      <c r="I395" s="23">
        <v>23.753936402499701</v>
      </c>
      <c r="J395" s="22" t="s">
        <v>97</v>
      </c>
      <c r="K395" s="23">
        <v>32145.7099914551</v>
      </c>
      <c r="L395" s="23">
        <v>0</v>
      </c>
      <c r="M395" s="22" t="s">
        <v>14</v>
      </c>
      <c r="N395" s="14"/>
      <c r="O395" s="13"/>
      <c r="P395" s="14"/>
      <c r="Q395" s="14"/>
    </row>
    <row r="396" spans="1:17" x14ac:dyDescent="0.25">
      <c r="A396" s="22" t="s">
        <v>366</v>
      </c>
      <c r="B396" s="22" t="s">
        <v>12</v>
      </c>
      <c r="C396" s="22" t="s">
        <v>15</v>
      </c>
      <c r="D396" s="22" t="s">
        <v>255</v>
      </c>
      <c r="E396" s="23">
        <v>-50796963.5009766</v>
      </c>
      <c r="F396" s="23">
        <v>51.316469907760599</v>
      </c>
      <c r="G396" s="22" t="s">
        <v>102</v>
      </c>
      <c r="H396" s="23">
        <v>10679119.1101074</v>
      </c>
      <c r="I396" s="23">
        <v>10.642483830452001</v>
      </c>
      <c r="J396" s="22" t="s">
        <v>247</v>
      </c>
      <c r="K396" s="23">
        <v>49089.748382568403</v>
      </c>
      <c r="L396" s="23">
        <v>0</v>
      </c>
      <c r="M396" s="22" t="s">
        <v>14</v>
      </c>
      <c r="N396" s="14"/>
      <c r="O396" s="13"/>
      <c r="P396" s="14"/>
      <c r="Q396" s="14"/>
    </row>
    <row r="397" spans="1:17" x14ac:dyDescent="0.25">
      <c r="A397" s="22" t="s">
        <v>366</v>
      </c>
      <c r="B397" s="22" t="s">
        <v>12</v>
      </c>
      <c r="C397" s="22" t="s">
        <v>16</v>
      </c>
      <c r="D397" s="22" t="s">
        <v>255</v>
      </c>
      <c r="E397" s="23">
        <v>-51405609.130859397</v>
      </c>
      <c r="F397" s="23">
        <v>51.942295394837899</v>
      </c>
      <c r="G397" s="22" t="s">
        <v>101</v>
      </c>
      <c r="H397" s="23">
        <v>18402359.0087891</v>
      </c>
      <c r="I397" s="23">
        <v>18.386554438620799</v>
      </c>
      <c r="J397" s="22" t="s">
        <v>106</v>
      </c>
      <c r="K397" s="23">
        <v>35223.255157470703</v>
      </c>
      <c r="L397" s="23">
        <v>0</v>
      </c>
      <c r="M397" s="22" t="s">
        <v>14</v>
      </c>
      <c r="N397" s="14"/>
      <c r="O397" s="13"/>
      <c r="P397" s="14"/>
      <c r="Q397" s="14"/>
    </row>
    <row r="398" spans="1:17" x14ac:dyDescent="0.25">
      <c r="A398" s="22" t="s">
        <v>367</v>
      </c>
      <c r="B398" s="22" t="s">
        <v>12</v>
      </c>
      <c r="C398" s="22" t="s">
        <v>13</v>
      </c>
      <c r="D398" s="22" t="s">
        <v>255</v>
      </c>
      <c r="E398" s="23">
        <v>-61142376.708984397</v>
      </c>
      <c r="F398" s="23">
        <v>61.990637332200997</v>
      </c>
      <c r="G398" s="22" t="s">
        <v>101</v>
      </c>
      <c r="H398" s="23">
        <v>19499266.052246101</v>
      </c>
      <c r="I398" s="23">
        <v>19.4896839093417</v>
      </c>
      <c r="J398" s="22" t="s">
        <v>109</v>
      </c>
      <c r="K398" s="23">
        <v>102714.94293212899</v>
      </c>
      <c r="L398" s="23">
        <v>8.3698763046413702E-2</v>
      </c>
      <c r="M398" s="22" t="s">
        <v>14</v>
      </c>
      <c r="N398" s="14"/>
      <c r="O398" s="13"/>
      <c r="P398" s="14"/>
      <c r="Q398" s="14"/>
    </row>
    <row r="399" spans="1:17" x14ac:dyDescent="0.25">
      <c r="A399" s="22" t="s">
        <v>367</v>
      </c>
      <c r="B399" s="22" t="s">
        <v>12</v>
      </c>
      <c r="C399" s="22" t="s">
        <v>15</v>
      </c>
      <c r="D399" s="22" t="s">
        <v>247</v>
      </c>
      <c r="E399" s="23">
        <v>-78055407.714843795</v>
      </c>
      <c r="F399" s="23">
        <v>79.612731933593807</v>
      </c>
      <c r="G399" s="22" t="s">
        <v>101</v>
      </c>
      <c r="H399" s="23">
        <v>5677680.9692382803</v>
      </c>
      <c r="I399" s="23">
        <v>5.6488270638510603</v>
      </c>
      <c r="J399" s="22" t="s">
        <v>109</v>
      </c>
      <c r="K399" s="23">
        <v>36850.009918212898</v>
      </c>
      <c r="L399" s="23">
        <v>0</v>
      </c>
      <c r="M399" s="22" t="s">
        <v>14</v>
      </c>
      <c r="N399" s="14"/>
      <c r="O399" s="13"/>
      <c r="P399" s="14"/>
      <c r="Q399" s="14"/>
    </row>
    <row r="400" spans="1:17" x14ac:dyDescent="0.25">
      <c r="A400" s="22" t="s">
        <v>367</v>
      </c>
      <c r="B400" s="22" t="s">
        <v>12</v>
      </c>
      <c r="C400" s="22" t="s">
        <v>16</v>
      </c>
      <c r="D400" s="22" t="s">
        <v>247</v>
      </c>
      <c r="E400" s="23">
        <v>-80753729.248046905</v>
      </c>
      <c r="F400" s="23">
        <v>82.444297149777398</v>
      </c>
      <c r="G400" s="22" t="s">
        <v>103</v>
      </c>
      <c r="H400" s="23">
        <v>0</v>
      </c>
      <c r="I400" s="23">
        <v>0</v>
      </c>
      <c r="J400" s="22" t="s">
        <v>109</v>
      </c>
      <c r="K400" s="23">
        <v>15009.7141265869</v>
      </c>
      <c r="L400" s="23">
        <v>0</v>
      </c>
      <c r="M400" s="22" t="s">
        <v>14</v>
      </c>
      <c r="N400" s="14"/>
      <c r="O400" s="13"/>
      <c r="P400" s="14"/>
      <c r="Q400" s="14"/>
    </row>
    <row r="401" spans="1:17" x14ac:dyDescent="0.25">
      <c r="A401" s="22" t="s">
        <v>369</v>
      </c>
      <c r="B401" s="22" t="s">
        <v>12</v>
      </c>
      <c r="C401" s="22" t="s">
        <v>13</v>
      </c>
      <c r="D401" s="22" t="s">
        <v>247</v>
      </c>
      <c r="E401" s="23">
        <v>-82275396.728515595</v>
      </c>
      <c r="F401" s="23">
        <v>84.043592214584393</v>
      </c>
      <c r="G401" s="22" t="s">
        <v>103</v>
      </c>
      <c r="H401" s="23">
        <v>0</v>
      </c>
      <c r="I401" s="23">
        <v>0</v>
      </c>
      <c r="J401" s="22" t="s">
        <v>111</v>
      </c>
      <c r="K401" s="23">
        <v>36172.203063964902</v>
      </c>
      <c r="L401" s="23">
        <v>0</v>
      </c>
      <c r="M401" s="22" t="s">
        <v>14</v>
      </c>
      <c r="N401" s="14"/>
      <c r="O401" s="13"/>
      <c r="P401" s="14"/>
      <c r="Q401" s="14"/>
    </row>
    <row r="402" spans="1:17" x14ac:dyDescent="0.25">
      <c r="A402" s="22" t="s">
        <v>369</v>
      </c>
      <c r="B402" s="22" t="s">
        <v>12</v>
      </c>
      <c r="C402" s="22" t="s">
        <v>15</v>
      </c>
      <c r="D402" s="22" t="s">
        <v>247</v>
      </c>
      <c r="E402" s="23">
        <v>-91463421.630859405</v>
      </c>
      <c r="F402" s="23">
        <v>93.738706782460198</v>
      </c>
      <c r="G402" s="22" t="s">
        <v>103</v>
      </c>
      <c r="H402" s="23">
        <v>0</v>
      </c>
      <c r="I402" s="23">
        <v>0</v>
      </c>
      <c r="J402" s="22" t="s">
        <v>111</v>
      </c>
      <c r="K402" s="23">
        <v>49683.7959289551</v>
      </c>
      <c r="L402" s="23">
        <v>0</v>
      </c>
      <c r="M402" s="22" t="s">
        <v>14</v>
      </c>
      <c r="N402" s="14"/>
      <c r="O402" s="13"/>
      <c r="P402" s="14"/>
      <c r="Q402" s="14"/>
    </row>
    <row r="403" spans="1:17" x14ac:dyDescent="0.25">
      <c r="A403" s="22" t="s">
        <v>369</v>
      </c>
      <c r="B403" s="22" t="s">
        <v>12</v>
      </c>
      <c r="C403" s="22" t="s">
        <v>16</v>
      </c>
      <c r="D403" s="22" t="s">
        <v>247</v>
      </c>
      <c r="E403" s="23">
        <v>-79075335.693359405</v>
      </c>
      <c r="F403" s="23">
        <v>80.682365223765402</v>
      </c>
      <c r="G403" s="22" t="s">
        <v>98</v>
      </c>
      <c r="H403" s="23">
        <v>2294891.7388916002</v>
      </c>
      <c r="I403" s="23">
        <v>2.28068005526438</v>
      </c>
      <c r="J403" s="22" t="s">
        <v>247</v>
      </c>
      <c r="K403" s="23">
        <v>73191.902160644502</v>
      </c>
      <c r="L403" s="23">
        <v>0</v>
      </c>
      <c r="M403" s="22" t="s">
        <v>14</v>
      </c>
      <c r="N403" s="14"/>
      <c r="O403" s="13"/>
      <c r="P403" s="14"/>
      <c r="Q403" s="14"/>
    </row>
    <row r="404" spans="1:17" x14ac:dyDescent="0.25">
      <c r="A404" s="22" t="s">
        <v>370</v>
      </c>
      <c r="B404" s="22" t="s">
        <v>12</v>
      </c>
      <c r="C404" s="22" t="s">
        <v>13</v>
      </c>
      <c r="D404" s="22" t="s">
        <v>247</v>
      </c>
      <c r="E404" s="23">
        <v>-72920007.324218795</v>
      </c>
      <c r="F404" s="23">
        <v>74.239159002900095</v>
      </c>
      <c r="G404" s="22" t="s">
        <v>100</v>
      </c>
      <c r="H404" s="23">
        <v>46898025.512695298</v>
      </c>
      <c r="I404" s="23">
        <v>47.3138457164168</v>
      </c>
      <c r="J404" s="22" t="s">
        <v>111</v>
      </c>
      <c r="K404" s="23">
        <v>150744.476318359</v>
      </c>
      <c r="L404" s="23">
        <v>8.3698763046413702E-2</v>
      </c>
      <c r="M404" s="22" t="s">
        <v>14</v>
      </c>
      <c r="N404" s="14"/>
      <c r="O404" s="13"/>
      <c r="P404" s="14"/>
      <c r="Q404" s="14"/>
    </row>
    <row r="405" spans="1:17" x14ac:dyDescent="0.25">
      <c r="A405" s="22" t="s">
        <v>370</v>
      </c>
      <c r="B405" s="22" t="s">
        <v>12</v>
      </c>
      <c r="C405" s="22" t="s">
        <v>15</v>
      </c>
      <c r="D405" s="22" t="s">
        <v>247</v>
      </c>
      <c r="E405" s="23">
        <v>-105593969.72656301</v>
      </c>
      <c r="F405" s="23">
        <v>108.78006927669</v>
      </c>
      <c r="G405" s="22" t="s">
        <v>100</v>
      </c>
      <c r="H405" s="23">
        <v>20204605.1025391</v>
      </c>
      <c r="I405" s="23">
        <v>20.199455320835099</v>
      </c>
      <c r="J405" s="22" t="s">
        <v>110</v>
      </c>
      <c r="K405" s="23">
        <v>150485.488891602</v>
      </c>
      <c r="L405" s="23">
        <v>8.3698763046413702E-2</v>
      </c>
      <c r="M405" s="22" t="s">
        <v>14</v>
      </c>
      <c r="N405" s="14"/>
      <c r="O405" s="13"/>
      <c r="P405" s="14"/>
      <c r="Q405" s="14"/>
    </row>
    <row r="406" spans="1:17" x14ac:dyDescent="0.25">
      <c r="A406" s="22" t="s">
        <v>370</v>
      </c>
      <c r="B406" s="22" t="s">
        <v>12</v>
      </c>
      <c r="C406" s="22" t="s">
        <v>16</v>
      </c>
      <c r="D406" s="22" t="s">
        <v>247</v>
      </c>
      <c r="E406" s="23">
        <v>-100690185.546875</v>
      </c>
      <c r="F406" s="23">
        <v>103.5419665277</v>
      </c>
      <c r="G406" s="22" t="s">
        <v>368</v>
      </c>
      <c r="H406" s="23">
        <v>3380992.5079345698</v>
      </c>
      <c r="I406" s="23">
        <v>3.3612590050324802</v>
      </c>
      <c r="J406" s="22" t="s">
        <v>110</v>
      </c>
      <c r="K406" s="23">
        <v>44732.170104980498</v>
      </c>
      <c r="L406" s="23">
        <v>0</v>
      </c>
      <c r="M406" s="22" t="s">
        <v>14</v>
      </c>
      <c r="N406" s="14"/>
      <c r="O406" s="13"/>
      <c r="P406" s="14"/>
      <c r="Q406" s="14"/>
    </row>
    <row r="407" spans="1:17" x14ac:dyDescent="0.25">
      <c r="A407" s="22" t="s">
        <v>371</v>
      </c>
      <c r="B407" s="22" t="s">
        <v>12</v>
      </c>
      <c r="C407" s="22" t="s">
        <v>13</v>
      </c>
      <c r="D407" s="22" t="s">
        <v>247</v>
      </c>
      <c r="E407" s="23">
        <v>-102387475.58593801</v>
      </c>
      <c r="F407" s="23">
        <v>105.352755635977</v>
      </c>
      <c r="G407" s="22" t="s">
        <v>297</v>
      </c>
      <c r="H407" s="23">
        <v>1643070.7931518599</v>
      </c>
      <c r="I407" s="23">
        <v>1.6325448814313901</v>
      </c>
      <c r="J407" s="22" t="s">
        <v>111</v>
      </c>
      <c r="K407" s="23">
        <v>58937.068939208999</v>
      </c>
      <c r="L407" s="23">
        <v>0</v>
      </c>
      <c r="M407" s="22" t="s">
        <v>14</v>
      </c>
      <c r="N407" s="14"/>
      <c r="O407" s="13"/>
      <c r="P407" s="14"/>
      <c r="Q407" s="14"/>
    </row>
    <row r="408" spans="1:17" x14ac:dyDescent="0.25">
      <c r="A408" s="22" t="s">
        <v>371</v>
      </c>
      <c r="B408" s="22" t="s">
        <v>12</v>
      </c>
      <c r="C408" s="22" t="s">
        <v>15</v>
      </c>
      <c r="D408" s="22" t="s">
        <v>247</v>
      </c>
      <c r="E408" s="23">
        <v>-104434460.449219</v>
      </c>
      <c r="F408" s="23">
        <v>107.53974318504299</v>
      </c>
      <c r="G408" s="22" t="s">
        <v>98</v>
      </c>
      <c r="H408" s="23">
        <v>1454769.61135864</v>
      </c>
      <c r="I408" s="23">
        <v>1.4453603944275499</v>
      </c>
      <c r="J408" s="22" t="s">
        <v>111</v>
      </c>
      <c r="K408" s="23">
        <v>72450.790405273496</v>
      </c>
      <c r="L408" s="23">
        <v>0</v>
      </c>
      <c r="M408" s="22" t="s">
        <v>14</v>
      </c>
      <c r="N408" s="14"/>
      <c r="O408" s="13"/>
      <c r="P408" s="14"/>
      <c r="Q408" s="14"/>
    </row>
    <row r="409" spans="1:17" x14ac:dyDescent="0.25">
      <c r="A409" s="22" t="s">
        <v>371</v>
      </c>
      <c r="B409" s="22" t="s">
        <v>12</v>
      </c>
      <c r="C409" s="22" t="s">
        <v>16</v>
      </c>
      <c r="D409" s="22" t="s">
        <v>247</v>
      </c>
      <c r="E409" s="23">
        <v>-97315661.621093795</v>
      </c>
      <c r="F409" s="23">
        <v>99.948691204190297</v>
      </c>
      <c r="G409" s="22" t="s">
        <v>98</v>
      </c>
      <c r="H409" s="23">
        <v>6281380.0811767597</v>
      </c>
      <c r="I409" s="23">
        <v>6.2507065013050997</v>
      </c>
      <c r="J409" s="22" t="s">
        <v>247</v>
      </c>
      <c r="K409" s="23">
        <v>16360.9657287598</v>
      </c>
      <c r="L409" s="23">
        <v>0</v>
      </c>
      <c r="M409" s="22" t="s">
        <v>14</v>
      </c>
      <c r="N409" s="14"/>
      <c r="O409" s="13"/>
      <c r="P409" s="14"/>
      <c r="Q409" s="14"/>
    </row>
    <row r="410" spans="1:17" x14ac:dyDescent="0.25">
      <c r="A410" s="19"/>
      <c r="B410" s="19"/>
      <c r="C410" s="19"/>
      <c r="D410" s="19"/>
      <c r="E410" s="20"/>
      <c r="F410" s="20"/>
      <c r="G410" s="19"/>
      <c r="H410" s="20"/>
      <c r="I410" s="20"/>
      <c r="J410" s="19"/>
      <c r="K410" s="20"/>
      <c r="L410" s="20"/>
      <c r="M410" s="19"/>
      <c r="N410" s="14"/>
      <c r="O410" s="13"/>
      <c r="P410" s="14"/>
      <c r="Q410" s="14"/>
    </row>
    <row r="411" spans="1:17" x14ac:dyDescent="0.25">
      <c r="A411" s="19"/>
      <c r="B411" s="19"/>
      <c r="C411" s="19"/>
      <c r="D411" s="19"/>
      <c r="E411" s="20"/>
      <c r="F411" s="20"/>
      <c r="G411" s="19"/>
      <c r="H411" s="20"/>
      <c r="I411" s="20"/>
      <c r="J411" s="19"/>
      <c r="K411" s="20"/>
      <c r="L411" s="20"/>
      <c r="M411" s="19"/>
      <c r="N411" s="14"/>
      <c r="O411" s="13"/>
      <c r="P411" s="14"/>
      <c r="Q411" s="14"/>
    </row>
    <row r="412" spans="1:17" x14ac:dyDescent="0.25">
      <c r="A412" s="19"/>
      <c r="B412" s="19"/>
      <c r="C412" s="19"/>
      <c r="D412" s="19"/>
      <c r="E412" s="20"/>
      <c r="F412" s="20"/>
      <c r="G412" s="19"/>
      <c r="H412" s="20"/>
      <c r="I412" s="20"/>
      <c r="J412" s="19"/>
      <c r="K412" s="20"/>
      <c r="L412" s="20"/>
      <c r="M412" s="19"/>
      <c r="N412" s="14"/>
      <c r="O412" s="13"/>
      <c r="P412" s="14"/>
      <c r="Q412" s="14"/>
    </row>
    <row r="413" spans="1:17" x14ac:dyDescent="0.25">
      <c r="A413" s="19"/>
      <c r="B413" s="19"/>
      <c r="C413" s="19"/>
      <c r="D413" s="19"/>
      <c r="E413" s="20"/>
      <c r="F413" s="20"/>
      <c r="G413" s="19"/>
      <c r="H413" s="20"/>
      <c r="I413" s="20"/>
      <c r="J413" s="19"/>
      <c r="K413" s="20"/>
      <c r="L413" s="20"/>
      <c r="M413" s="19"/>
      <c r="N413" s="14"/>
      <c r="O413" s="13"/>
      <c r="P413" s="14"/>
      <c r="Q413" s="14"/>
    </row>
    <row r="414" spans="1:17" x14ac:dyDescent="0.25">
      <c r="A414" s="19"/>
      <c r="B414" s="19"/>
      <c r="C414" s="19"/>
      <c r="D414" s="19"/>
      <c r="E414" s="20"/>
      <c r="F414" s="20"/>
      <c r="G414" s="19"/>
      <c r="H414" s="20"/>
      <c r="I414" s="20"/>
      <c r="J414" s="19"/>
      <c r="K414" s="20"/>
      <c r="L414" s="20"/>
      <c r="M414" s="19"/>
      <c r="N414" s="14"/>
      <c r="O414" s="13"/>
      <c r="P414" s="14"/>
      <c r="Q414" s="14"/>
    </row>
    <row r="415" spans="1:17" x14ac:dyDescent="0.25">
      <c r="A415" s="19"/>
      <c r="B415" s="19"/>
      <c r="C415" s="19"/>
      <c r="D415" s="19"/>
      <c r="E415" s="20"/>
      <c r="F415" s="20"/>
      <c r="G415" s="19"/>
      <c r="H415" s="20"/>
      <c r="I415" s="20"/>
      <c r="J415" s="19"/>
      <c r="K415" s="20"/>
      <c r="L415" s="20"/>
      <c r="M415" s="19"/>
      <c r="N415" s="14"/>
      <c r="O415" s="13"/>
      <c r="P415" s="14"/>
      <c r="Q415" s="14"/>
    </row>
    <row r="416" spans="1:17" x14ac:dyDescent="0.25">
      <c r="A416" s="19"/>
      <c r="B416" s="19"/>
      <c r="C416" s="19"/>
      <c r="D416" s="19"/>
      <c r="E416" s="20"/>
      <c r="F416" s="20"/>
      <c r="G416" s="19"/>
      <c r="H416" s="20"/>
      <c r="I416" s="20"/>
      <c r="J416" s="19"/>
      <c r="K416" s="20"/>
      <c r="L416" s="20"/>
      <c r="M416" s="19"/>
      <c r="N416" s="14"/>
      <c r="O416" s="13"/>
      <c r="P416" s="14"/>
      <c r="Q416" s="14"/>
    </row>
    <row r="417" spans="1:17" x14ac:dyDescent="0.25">
      <c r="A417" s="19"/>
      <c r="B417" s="19"/>
      <c r="C417" s="19"/>
      <c r="D417" s="19"/>
      <c r="E417" s="20"/>
      <c r="F417" s="20"/>
      <c r="G417" s="19"/>
      <c r="H417" s="20"/>
      <c r="I417" s="20"/>
      <c r="J417" s="19"/>
      <c r="K417" s="20"/>
      <c r="L417" s="20"/>
      <c r="M417" s="19"/>
      <c r="N417" s="14"/>
      <c r="O417" s="13"/>
      <c r="P417" s="14"/>
      <c r="Q417" s="14"/>
    </row>
    <row r="418" spans="1:17" x14ac:dyDescent="0.25">
      <c r="A418" s="19"/>
      <c r="B418" s="19"/>
      <c r="C418" s="19"/>
      <c r="D418" s="19"/>
      <c r="E418" s="20"/>
      <c r="F418" s="20"/>
      <c r="G418" s="19"/>
      <c r="H418" s="20"/>
      <c r="I418" s="20"/>
      <c r="J418" s="19"/>
      <c r="K418" s="20"/>
      <c r="L418" s="20"/>
      <c r="M418" s="19"/>
      <c r="N418" s="14"/>
      <c r="O418" s="13"/>
      <c r="P418" s="14"/>
      <c r="Q418" s="14"/>
    </row>
    <row r="419" spans="1:17" x14ac:dyDescent="0.25">
      <c r="A419" s="19"/>
      <c r="B419" s="19"/>
      <c r="C419" s="19"/>
      <c r="D419" s="19"/>
      <c r="E419" s="20"/>
      <c r="F419" s="20"/>
      <c r="G419" s="19"/>
      <c r="H419" s="20"/>
      <c r="I419" s="20"/>
      <c r="J419" s="19"/>
      <c r="K419" s="20"/>
      <c r="L419" s="20"/>
      <c r="M419" s="19"/>
      <c r="N419" s="14"/>
      <c r="O419" s="13"/>
      <c r="P419" s="14"/>
      <c r="Q419" s="14"/>
    </row>
    <row r="420" spans="1:17" x14ac:dyDescent="0.25">
      <c r="A420" s="19"/>
      <c r="B420" s="19"/>
      <c r="C420" s="19"/>
      <c r="D420" s="19"/>
      <c r="E420" s="20"/>
      <c r="F420" s="20"/>
      <c r="G420" s="19"/>
      <c r="H420" s="20"/>
      <c r="I420" s="20"/>
      <c r="J420" s="19"/>
      <c r="K420" s="20"/>
      <c r="L420" s="20"/>
      <c r="M420" s="19"/>
      <c r="N420" s="14"/>
      <c r="O420" s="13"/>
      <c r="P420" s="14"/>
      <c r="Q420" s="14"/>
    </row>
    <row r="421" spans="1:17" x14ac:dyDescent="0.25">
      <c r="A421" s="19"/>
      <c r="B421" s="19"/>
      <c r="C421" s="19"/>
      <c r="D421" s="19"/>
      <c r="E421" s="20"/>
      <c r="F421" s="20"/>
      <c r="G421" s="19"/>
      <c r="H421" s="20"/>
      <c r="I421" s="20"/>
      <c r="J421" s="19"/>
      <c r="K421" s="20"/>
      <c r="L421" s="20"/>
      <c r="M421" s="19"/>
      <c r="N421" s="14"/>
      <c r="O421" s="13"/>
      <c r="P421" s="14"/>
      <c r="Q421" s="14"/>
    </row>
    <row r="422" spans="1:17" x14ac:dyDescent="0.25">
      <c r="A422" s="19"/>
      <c r="B422" s="19"/>
      <c r="C422" s="19"/>
      <c r="D422" s="19"/>
      <c r="E422" s="20"/>
      <c r="F422" s="20"/>
      <c r="G422" s="19"/>
      <c r="H422" s="20"/>
      <c r="I422" s="20"/>
      <c r="J422" s="19"/>
      <c r="K422" s="20"/>
      <c r="L422" s="20"/>
      <c r="M422" s="19"/>
      <c r="N422" s="14"/>
      <c r="O422" s="13"/>
      <c r="P422" s="14"/>
      <c r="Q422" s="14"/>
    </row>
    <row r="423" spans="1:17" x14ac:dyDescent="0.25">
      <c r="A423" s="19"/>
      <c r="B423" s="19"/>
      <c r="C423" s="19"/>
      <c r="D423" s="19"/>
      <c r="E423" s="20"/>
      <c r="F423" s="20"/>
      <c r="G423" s="19"/>
      <c r="H423" s="20"/>
      <c r="I423" s="20"/>
      <c r="J423" s="19"/>
      <c r="K423" s="20"/>
      <c r="L423" s="20"/>
      <c r="M423" s="19"/>
      <c r="N423" s="14"/>
      <c r="O423" s="13"/>
      <c r="P423" s="14"/>
      <c r="Q423" s="14"/>
    </row>
    <row r="424" spans="1:17" x14ac:dyDescent="0.25">
      <c r="A424" s="19"/>
      <c r="B424" s="19"/>
      <c r="C424" s="19"/>
      <c r="D424" s="19"/>
      <c r="E424" s="20"/>
      <c r="F424" s="20"/>
      <c r="G424" s="19"/>
      <c r="H424" s="20"/>
      <c r="I424" s="20"/>
      <c r="J424" s="19"/>
      <c r="K424" s="20"/>
      <c r="L424" s="20"/>
      <c r="M424" s="19"/>
      <c r="N424" s="14"/>
      <c r="O424" s="13"/>
      <c r="P424" s="14"/>
      <c r="Q424" s="14"/>
    </row>
    <row r="425" spans="1:17" x14ac:dyDescent="0.25">
      <c r="A425" s="19"/>
      <c r="B425" s="19"/>
      <c r="C425" s="19"/>
      <c r="D425" s="19"/>
      <c r="E425" s="20"/>
      <c r="F425" s="20"/>
      <c r="G425" s="19"/>
      <c r="H425" s="20"/>
      <c r="I425" s="20"/>
      <c r="J425" s="19"/>
      <c r="K425" s="20"/>
      <c r="L425" s="20"/>
      <c r="M425" s="19"/>
      <c r="N425" s="14"/>
      <c r="O425" s="13"/>
      <c r="P425" s="14"/>
      <c r="Q425" s="14"/>
    </row>
    <row r="426" spans="1:17" x14ac:dyDescent="0.25">
      <c r="A426" s="19"/>
      <c r="B426" s="19"/>
      <c r="C426" s="19"/>
      <c r="D426" s="19"/>
      <c r="E426" s="20"/>
      <c r="F426" s="20"/>
      <c r="G426" s="19"/>
      <c r="H426" s="20"/>
      <c r="I426" s="20"/>
      <c r="J426" s="19"/>
      <c r="K426" s="20"/>
      <c r="L426" s="20"/>
      <c r="M426" s="19"/>
      <c r="N426" s="14"/>
      <c r="O426" s="13"/>
      <c r="P426" s="14"/>
      <c r="Q426" s="14"/>
    </row>
    <row r="427" spans="1:17" x14ac:dyDescent="0.25">
      <c r="A427" s="19"/>
      <c r="B427" s="19"/>
      <c r="C427" s="19"/>
      <c r="D427" s="19"/>
      <c r="E427" s="20"/>
      <c r="F427" s="20"/>
      <c r="G427" s="19"/>
      <c r="H427" s="20"/>
      <c r="I427" s="20"/>
      <c r="J427" s="19"/>
      <c r="K427" s="20"/>
      <c r="L427" s="20"/>
      <c r="M427" s="19"/>
      <c r="N427" s="14"/>
      <c r="O427" s="13"/>
      <c r="P427" s="14"/>
      <c r="Q427" s="14"/>
    </row>
    <row r="428" spans="1:17" x14ac:dyDescent="0.25">
      <c r="A428" s="19"/>
      <c r="B428" s="19"/>
      <c r="C428" s="19"/>
      <c r="D428" s="19"/>
      <c r="E428" s="20"/>
      <c r="F428" s="20"/>
      <c r="G428" s="19"/>
      <c r="H428" s="20"/>
      <c r="I428" s="20"/>
      <c r="J428" s="19"/>
      <c r="K428" s="20"/>
      <c r="L428" s="20"/>
      <c r="M428" s="19"/>
      <c r="N428" s="14"/>
      <c r="O428" s="13"/>
      <c r="P428" s="14"/>
      <c r="Q428" s="14"/>
    </row>
    <row r="429" spans="1:17" x14ac:dyDescent="0.25">
      <c r="A429" s="19"/>
      <c r="B429" s="19"/>
      <c r="C429" s="19"/>
      <c r="D429" s="19"/>
      <c r="E429" s="20"/>
      <c r="F429" s="20"/>
      <c r="G429" s="19"/>
      <c r="H429" s="20"/>
      <c r="I429" s="20"/>
      <c r="J429" s="19"/>
      <c r="K429" s="20"/>
      <c r="L429" s="20"/>
      <c r="M429" s="19"/>
      <c r="N429" s="14"/>
      <c r="O429" s="13"/>
      <c r="P429" s="14"/>
      <c r="Q429" s="14"/>
    </row>
    <row r="430" spans="1:17" x14ac:dyDescent="0.25">
      <c r="A430" s="19"/>
      <c r="B430" s="19"/>
      <c r="C430" s="19"/>
      <c r="D430" s="19"/>
      <c r="E430" s="20"/>
      <c r="F430" s="20"/>
      <c r="G430" s="19"/>
      <c r="H430" s="20"/>
      <c r="I430" s="20"/>
      <c r="J430" s="19"/>
      <c r="K430" s="20"/>
      <c r="L430" s="20"/>
      <c r="M430" s="19"/>
      <c r="N430" s="14"/>
      <c r="O430" s="13"/>
      <c r="P430" s="14"/>
      <c r="Q430" s="14"/>
    </row>
    <row r="431" spans="1:17" x14ac:dyDescent="0.25">
      <c r="A431" s="19"/>
      <c r="B431" s="19"/>
      <c r="C431" s="19"/>
      <c r="D431" s="19"/>
      <c r="E431" s="20"/>
      <c r="F431" s="20"/>
      <c r="G431" s="19"/>
      <c r="H431" s="20"/>
      <c r="I431" s="20"/>
      <c r="J431" s="19"/>
      <c r="K431" s="20"/>
      <c r="L431" s="20"/>
      <c r="M431" s="19"/>
      <c r="N431" s="14"/>
      <c r="O431" s="13"/>
      <c r="P431" s="14"/>
      <c r="Q431" s="14"/>
    </row>
    <row r="432" spans="1:17" x14ac:dyDescent="0.25">
      <c r="A432" s="19"/>
      <c r="B432" s="19"/>
      <c r="C432" s="19"/>
      <c r="D432" s="19"/>
      <c r="E432" s="20"/>
      <c r="F432" s="20"/>
      <c r="G432" s="19"/>
      <c r="H432" s="20"/>
      <c r="I432" s="20"/>
      <c r="J432" s="19"/>
      <c r="K432" s="20"/>
      <c r="L432" s="20"/>
      <c r="M432" s="19"/>
      <c r="N432" s="14"/>
      <c r="O432" s="13"/>
      <c r="P432" s="14"/>
      <c r="Q432" s="14"/>
    </row>
    <row r="433" spans="1:17" x14ac:dyDescent="0.25">
      <c r="A433" s="19"/>
      <c r="B433" s="19"/>
      <c r="C433" s="19"/>
      <c r="D433" s="19"/>
      <c r="E433" s="20"/>
      <c r="F433" s="20"/>
      <c r="G433" s="19"/>
      <c r="H433" s="20"/>
      <c r="I433" s="20"/>
      <c r="J433" s="19"/>
      <c r="K433" s="20"/>
      <c r="L433" s="20"/>
      <c r="M433" s="19"/>
      <c r="N433" s="14"/>
      <c r="O433" s="13"/>
      <c r="P433" s="14"/>
      <c r="Q433" s="14"/>
    </row>
    <row r="434" spans="1:17" x14ac:dyDescent="0.25">
      <c r="A434" s="19"/>
      <c r="B434" s="19"/>
      <c r="C434" s="19"/>
      <c r="D434" s="19"/>
      <c r="E434" s="20"/>
      <c r="F434" s="20"/>
      <c r="G434" s="19"/>
      <c r="H434" s="20"/>
      <c r="I434" s="20"/>
      <c r="J434" s="19"/>
      <c r="K434" s="20"/>
      <c r="L434" s="20"/>
      <c r="M434" s="19"/>
      <c r="N434" s="14"/>
      <c r="O434" s="13"/>
      <c r="P434" s="14"/>
      <c r="Q434" s="14"/>
    </row>
    <row r="435" spans="1:17" x14ac:dyDescent="0.25">
      <c r="A435" s="19"/>
      <c r="B435" s="19"/>
      <c r="C435" s="19"/>
      <c r="D435" s="19"/>
      <c r="E435" s="20"/>
      <c r="F435" s="20"/>
      <c r="G435" s="19"/>
      <c r="H435" s="20"/>
      <c r="I435" s="20"/>
      <c r="J435" s="19"/>
      <c r="K435" s="20"/>
      <c r="L435" s="20"/>
      <c r="M435" s="19"/>
      <c r="N435" s="14"/>
      <c r="O435" s="13"/>
      <c r="P435" s="14"/>
      <c r="Q435" s="14"/>
    </row>
    <row r="436" spans="1:17" x14ac:dyDescent="0.25">
      <c r="A436" s="19"/>
      <c r="B436" s="19"/>
      <c r="C436" s="19"/>
      <c r="D436" s="19"/>
      <c r="E436" s="20"/>
      <c r="F436" s="20"/>
      <c r="G436" s="19"/>
      <c r="H436" s="20"/>
      <c r="I436" s="20"/>
      <c r="J436" s="19"/>
      <c r="K436" s="20"/>
      <c r="L436" s="20"/>
      <c r="M436" s="19"/>
      <c r="N436" s="14"/>
      <c r="O436" s="13"/>
      <c r="P436" s="14"/>
      <c r="Q436" s="14"/>
    </row>
    <row r="437" spans="1:17" x14ac:dyDescent="0.25">
      <c r="A437" s="19"/>
      <c r="B437" s="19"/>
      <c r="C437" s="19"/>
      <c r="D437" s="19"/>
      <c r="E437" s="20"/>
      <c r="F437" s="20"/>
      <c r="G437" s="19"/>
      <c r="H437" s="20"/>
      <c r="I437" s="20"/>
      <c r="J437" s="19"/>
      <c r="K437" s="20"/>
      <c r="L437" s="20"/>
      <c r="M437" s="19"/>
      <c r="N437" s="14"/>
      <c r="O437" s="13"/>
      <c r="P437" s="14"/>
      <c r="Q437" s="14"/>
    </row>
    <row r="438" spans="1:17" x14ac:dyDescent="0.25">
      <c r="A438" s="19"/>
      <c r="B438" s="19"/>
      <c r="C438" s="19"/>
      <c r="D438" s="19"/>
      <c r="E438" s="20"/>
      <c r="F438" s="20"/>
      <c r="G438" s="19"/>
      <c r="H438" s="20"/>
      <c r="I438" s="20"/>
      <c r="J438" s="19"/>
      <c r="K438" s="20"/>
      <c r="L438" s="20"/>
      <c r="M438" s="19"/>
      <c r="N438" s="14"/>
      <c r="O438" s="13"/>
      <c r="P438" s="14"/>
      <c r="Q438" s="14"/>
    </row>
    <row r="439" spans="1:17" x14ac:dyDescent="0.25">
      <c r="A439" s="19"/>
      <c r="B439" s="19"/>
      <c r="C439" s="19"/>
      <c r="D439" s="19"/>
      <c r="E439" s="20"/>
      <c r="F439" s="20"/>
      <c r="G439" s="19"/>
      <c r="H439" s="20"/>
      <c r="I439" s="20"/>
      <c r="J439" s="19"/>
      <c r="K439" s="20"/>
      <c r="L439" s="20"/>
      <c r="M439" s="19"/>
      <c r="N439" s="14"/>
      <c r="O439" s="13"/>
      <c r="P439" s="14"/>
      <c r="Q439" s="14"/>
    </row>
    <row r="440" spans="1:17" x14ac:dyDescent="0.25">
      <c r="A440" s="19"/>
      <c r="B440" s="19"/>
      <c r="C440" s="19"/>
      <c r="D440" s="19"/>
      <c r="E440" s="20"/>
      <c r="F440" s="20"/>
      <c r="G440" s="19"/>
      <c r="H440" s="20"/>
      <c r="I440" s="20"/>
      <c r="J440" s="19"/>
      <c r="K440" s="20"/>
      <c r="L440" s="20"/>
      <c r="M440" s="19"/>
      <c r="N440" s="14"/>
      <c r="O440" s="13"/>
      <c r="P440" s="14"/>
      <c r="Q440" s="14"/>
    </row>
    <row r="441" spans="1:17" x14ac:dyDescent="0.25">
      <c r="A441" s="19"/>
      <c r="B441" s="19"/>
      <c r="C441" s="19"/>
      <c r="D441" s="19"/>
      <c r="E441" s="20"/>
      <c r="F441" s="20"/>
      <c r="G441" s="19"/>
      <c r="H441" s="20"/>
      <c r="I441" s="20"/>
      <c r="J441" s="19"/>
      <c r="K441" s="20"/>
      <c r="L441" s="20"/>
      <c r="M441" s="19"/>
      <c r="N441" s="14"/>
      <c r="O441" s="13"/>
      <c r="P441" s="14"/>
      <c r="Q441" s="14"/>
    </row>
    <row r="442" spans="1:17" x14ac:dyDescent="0.25">
      <c r="A442" s="19"/>
      <c r="B442" s="19"/>
      <c r="C442" s="19"/>
      <c r="D442" s="19"/>
      <c r="E442" s="20"/>
      <c r="F442" s="20"/>
      <c r="G442" s="19"/>
      <c r="H442" s="20"/>
      <c r="I442" s="20"/>
      <c r="J442" s="19"/>
      <c r="K442" s="20"/>
      <c r="L442" s="20"/>
      <c r="M442" s="19"/>
      <c r="N442" s="14"/>
      <c r="O442" s="13"/>
      <c r="P442" s="14"/>
      <c r="Q442" s="14"/>
    </row>
    <row r="443" spans="1:17" x14ac:dyDescent="0.25">
      <c r="A443" s="19"/>
      <c r="B443" s="19"/>
      <c r="C443" s="19"/>
      <c r="D443" s="19"/>
      <c r="E443" s="20"/>
      <c r="F443" s="20"/>
      <c r="G443" s="19"/>
      <c r="H443" s="20"/>
      <c r="I443" s="20"/>
      <c r="J443" s="19"/>
      <c r="K443" s="20"/>
      <c r="L443" s="20"/>
      <c r="M443" s="19"/>
      <c r="N443" s="14"/>
      <c r="O443" s="13"/>
      <c r="P443" s="14"/>
      <c r="Q443" s="14"/>
    </row>
    <row r="444" spans="1:17" x14ac:dyDescent="0.25">
      <c r="A444" s="19"/>
      <c r="B444" s="19"/>
      <c r="C444" s="19"/>
      <c r="D444" s="19"/>
      <c r="E444" s="20"/>
      <c r="F444" s="20"/>
      <c r="G444" s="19"/>
      <c r="H444" s="20"/>
      <c r="I444" s="20"/>
      <c r="J444" s="19"/>
      <c r="K444" s="20"/>
      <c r="L444" s="20"/>
      <c r="M444" s="19"/>
      <c r="N444" s="14"/>
      <c r="O444" s="13"/>
      <c r="P444" s="14"/>
      <c r="Q444" s="14"/>
    </row>
    <row r="445" spans="1:17" x14ac:dyDescent="0.25">
      <c r="A445" s="19"/>
      <c r="B445" s="19"/>
      <c r="C445" s="19"/>
      <c r="D445" s="19"/>
      <c r="E445" s="20"/>
      <c r="F445" s="20"/>
      <c r="G445" s="19"/>
      <c r="H445" s="20"/>
      <c r="I445" s="20"/>
      <c r="J445" s="19"/>
      <c r="K445" s="20"/>
      <c r="L445" s="20"/>
      <c r="M445" s="19"/>
      <c r="N445" s="14"/>
      <c r="O445" s="13"/>
      <c r="P445" s="14"/>
      <c r="Q445" s="14"/>
    </row>
    <row r="446" spans="1:17" x14ac:dyDescent="0.25">
      <c r="A446" s="19"/>
      <c r="B446" s="19"/>
      <c r="C446" s="19"/>
      <c r="D446" s="19"/>
      <c r="E446" s="20"/>
      <c r="F446" s="20"/>
      <c r="G446" s="19"/>
      <c r="H446" s="20"/>
      <c r="I446" s="20"/>
      <c r="J446" s="19"/>
      <c r="K446" s="20"/>
      <c r="L446" s="20"/>
      <c r="M446" s="19"/>
      <c r="N446" s="14"/>
      <c r="O446" s="13"/>
      <c r="P446" s="14"/>
      <c r="Q446" s="14"/>
    </row>
    <row r="447" spans="1:17" x14ac:dyDescent="0.25">
      <c r="A447" s="19"/>
      <c r="B447" s="19"/>
      <c r="C447" s="19"/>
      <c r="D447" s="19"/>
      <c r="E447" s="20"/>
      <c r="F447" s="20"/>
      <c r="G447" s="19"/>
      <c r="H447" s="20"/>
      <c r="I447" s="20"/>
      <c r="J447" s="19"/>
      <c r="K447" s="20"/>
      <c r="L447" s="20"/>
      <c r="M447" s="19"/>
      <c r="N447" s="14"/>
      <c r="O447" s="13"/>
      <c r="P447" s="14"/>
      <c r="Q447" s="14"/>
    </row>
    <row r="448" spans="1:17" x14ac:dyDescent="0.25">
      <c r="A448" s="19"/>
      <c r="B448" s="19"/>
      <c r="C448" s="19"/>
      <c r="D448" s="19"/>
      <c r="E448" s="20"/>
      <c r="F448" s="20"/>
      <c r="G448" s="19"/>
      <c r="H448" s="20"/>
      <c r="I448" s="20"/>
      <c r="J448" s="19"/>
      <c r="K448" s="20"/>
      <c r="L448" s="20"/>
      <c r="M448" s="19"/>
      <c r="N448" s="14"/>
      <c r="O448" s="13"/>
      <c r="P448" s="14"/>
      <c r="Q448" s="14"/>
    </row>
    <row r="449" spans="1:17" x14ac:dyDescent="0.25">
      <c r="A449" s="19"/>
      <c r="B449" s="19"/>
      <c r="C449" s="19"/>
      <c r="D449" s="19"/>
      <c r="E449" s="20"/>
      <c r="F449" s="20"/>
      <c r="G449" s="19"/>
      <c r="H449" s="20"/>
      <c r="I449" s="20"/>
      <c r="J449" s="19"/>
      <c r="K449" s="20"/>
      <c r="L449" s="20"/>
      <c r="M449" s="19"/>
      <c r="N449" s="14"/>
      <c r="O449" s="13"/>
      <c r="P449" s="14"/>
      <c r="Q449" s="14"/>
    </row>
    <row r="450" spans="1:17" x14ac:dyDescent="0.25">
      <c r="A450" s="19"/>
      <c r="B450" s="19"/>
      <c r="C450" s="19"/>
      <c r="D450" s="19"/>
      <c r="E450" s="20"/>
      <c r="F450" s="20"/>
      <c r="G450" s="19"/>
      <c r="H450" s="20"/>
      <c r="I450" s="20"/>
      <c r="J450" s="19"/>
      <c r="K450" s="20"/>
      <c r="L450" s="20"/>
      <c r="M450" s="19"/>
      <c r="N450" s="14"/>
      <c r="O450" s="13"/>
      <c r="P450" s="14"/>
      <c r="Q450" s="14"/>
    </row>
    <row r="451" spans="1:17" x14ac:dyDescent="0.25">
      <c r="A451" s="19"/>
      <c r="B451" s="19"/>
      <c r="C451" s="19"/>
      <c r="D451" s="19"/>
      <c r="E451" s="20"/>
      <c r="F451" s="20"/>
      <c r="G451" s="19"/>
      <c r="H451" s="20"/>
      <c r="I451" s="20"/>
      <c r="J451" s="19"/>
      <c r="K451" s="20"/>
      <c r="L451" s="20"/>
      <c r="M451" s="19"/>
      <c r="N451" s="14"/>
      <c r="O451" s="13"/>
      <c r="P451" s="14"/>
      <c r="Q451" s="14"/>
    </row>
    <row r="452" spans="1:17" x14ac:dyDescent="0.25">
      <c r="A452" s="19"/>
      <c r="B452" s="19"/>
      <c r="C452" s="19"/>
      <c r="D452" s="19"/>
      <c r="E452" s="20"/>
      <c r="F452" s="20"/>
      <c r="G452" s="19"/>
      <c r="H452" s="20"/>
      <c r="I452" s="20"/>
      <c r="J452" s="19"/>
      <c r="K452" s="20"/>
      <c r="L452" s="20"/>
      <c r="M452" s="19"/>
      <c r="N452" s="14"/>
      <c r="O452" s="13"/>
      <c r="P452" s="14"/>
      <c r="Q452" s="14"/>
    </row>
    <row r="453" spans="1:17" x14ac:dyDescent="0.25">
      <c r="A453" s="19"/>
      <c r="B453" s="19"/>
      <c r="C453" s="19"/>
      <c r="D453" s="19"/>
      <c r="E453" s="20"/>
      <c r="F453" s="20"/>
      <c r="G453" s="19"/>
      <c r="H453" s="20"/>
      <c r="I453" s="20"/>
      <c r="J453" s="19"/>
      <c r="K453" s="20"/>
      <c r="L453" s="20"/>
      <c r="M453" s="19"/>
      <c r="N453" s="14"/>
      <c r="O453" s="13"/>
      <c r="P453" s="14"/>
      <c r="Q453" s="14"/>
    </row>
    <row r="454" spans="1:17" x14ac:dyDescent="0.25">
      <c r="A454" s="19"/>
      <c r="B454" s="19"/>
      <c r="C454" s="19"/>
      <c r="D454" s="19"/>
      <c r="E454" s="20"/>
      <c r="F454" s="20"/>
      <c r="G454" s="19"/>
      <c r="H454" s="20"/>
      <c r="I454" s="20"/>
      <c r="J454" s="19"/>
      <c r="K454" s="20"/>
      <c r="L454" s="20"/>
      <c r="M454" s="19"/>
      <c r="N454" s="14"/>
      <c r="O454" s="13"/>
      <c r="P454" s="14"/>
      <c r="Q454" s="14"/>
    </row>
    <row r="455" spans="1:17" x14ac:dyDescent="0.25">
      <c r="A455" s="19"/>
      <c r="B455" s="19"/>
      <c r="C455" s="19"/>
      <c r="D455" s="19"/>
      <c r="E455" s="20"/>
      <c r="F455" s="20"/>
      <c r="G455" s="19"/>
      <c r="H455" s="20"/>
      <c r="I455" s="20"/>
      <c r="J455" s="19"/>
      <c r="K455" s="20"/>
      <c r="L455" s="20"/>
      <c r="M455" s="19"/>
      <c r="N455" s="14"/>
      <c r="O455" s="13"/>
      <c r="P455" s="14"/>
      <c r="Q455" s="14"/>
    </row>
    <row r="456" spans="1:17" x14ac:dyDescent="0.25">
      <c r="A456" s="19"/>
      <c r="B456" s="19"/>
      <c r="C456" s="19"/>
      <c r="D456" s="19"/>
      <c r="E456" s="20"/>
      <c r="F456" s="20"/>
      <c r="G456" s="19"/>
      <c r="H456" s="20"/>
      <c r="I456" s="20"/>
      <c r="J456" s="19"/>
      <c r="K456" s="20"/>
      <c r="L456" s="20"/>
      <c r="M456" s="19"/>
      <c r="N456" s="14"/>
      <c r="O456" s="13"/>
      <c r="P456" s="14"/>
      <c r="Q456" s="14"/>
    </row>
    <row r="457" spans="1:17" x14ac:dyDescent="0.25">
      <c r="A457" s="19"/>
      <c r="B457" s="19"/>
      <c r="C457" s="19"/>
      <c r="D457" s="19"/>
      <c r="E457" s="20"/>
      <c r="F457" s="20"/>
      <c r="G457" s="19"/>
      <c r="H457" s="20"/>
      <c r="I457" s="20"/>
      <c r="J457" s="19"/>
      <c r="K457" s="20"/>
      <c r="L457" s="20"/>
      <c r="M457" s="19"/>
      <c r="N457" s="14"/>
      <c r="O457" s="13"/>
      <c r="P457" s="14"/>
      <c r="Q457" s="14"/>
    </row>
    <row r="458" spans="1:17" x14ac:dyDescent="0.25">
      <c r="A458" s="19"/>
      <c r="B458" s="19"/>
      <c r="C458" s="19"/>
      <c r="D458" s="19"/>
      <c r="E458" s="20"/>
      <c r="F458" s="20"/>
      <c r="G458" s="19"/>
      <c r="H458" s="20"/>
      <c r="I458" s="20"/>
      <c r="J458" s="19"/>
      <c r="K458" s="20"/>
      <c r="L458" s="20"/>
      <c r="M458" s="19"/>
      <c r="N458" s="14"/>
      <c r="O458" s="13"/>
      <c r="P458" s="14"/>
      <c r="Q458" s="14"/>
    </row>
    <row r="459" spans="1:17" x14ac:dyDescent="0.25">
      <c r="A459" s="19"/>
      <c r="B459" s="19"/>
      <c r="C459" s="19"/>
      <c r="D459" s="19"/>
      <c r="E459" s="20"/>
      <c r="F459" s="20"/>
      <c r="G459" s="19"/>
      <c r="H459" s="20"/>
      <c r="I459" s="20"/>
      <c r="J459" s="19"/>
      <c r="K459" s="20"/>
      <c r="L459" s="20"/>
      <c r="M459" s="19"/>
      <c r="N459" s="14"/>
      <c r="O459" s="13"/>
      <c r="P459" s="14"/>
      <c r="Q459" s="14"/>
    </row>
    <row r="460" spans="1:17" x14ac:dyDescent="0.25">
      <c r="A460" s="19"/>
      <c r="B460" s="19"/>
      <c r="C460" s="19"/>
      <c r="D460" s="19"/>
      <c r="E460" s="20"/>
      <c r="F460" s="20"/>
      <c r="G460" s="19"/>
      <c r="H460" s="20"/>
      <c r="I460" s="20"/>
      <c r="J460" s="19"/>
      <c r="K460" s="20"/>
      <c r="L460" s="20"/>
      <c r="M460" s="19"/>
      <c r="N460" s="14"/>
      <c r="O460" s="13"/>
      <c r="P460" s="14"/>
      <c r="Q460" s="14"/>
    </row>
    <row r="461" spans="1:17" x14ac:dyDescent="0.25">
      <c r="A461" s="19"/>
      <c r="B461" s="19"/>
      <c r="C461" s="19"/>
      <c r="D461" s="19"/>
      <c r="E461" s="20"/>
      <c r="F461" s="20"/>
      <c r="G461" s="19"/>
      <c r="H461" s="20"/>
      <c r="I461" s="20"/>
      <c r="J461" s="19"/>
      <c r="K461" s="20"/>
      <c r="L461" s="20"/>
      <c r="M461" s="19"/>
      <c r="N461" s="14"/>
      <c r="O461" s="13"/>
      <c r="P461" s="14"/>
      <c r="Q461" s="14"/>
    </row>
    <row r="462" spans="1:17" x14ac:dyDescent="0.25">
      <c r="A462" s="19"/>
      <c r="B462" s="19"/>
      <c r="C462" s="19"/>
      <c r="D462" s="19"/>
      <c r="E462" s="20"/>
      <c r="F462" s="20"/>
      <c r="G462" s="19"/>
      <c r="H462" s="20"/>
      <c r="I462" s="20"/>
      <c r="J462" s="19"/>
      <c r="K462" s="20"/>
      <c r="L462" s="20"/>
      <c r="M462" s="19"/>
      <c r="N462" s="14"/>
      <c r="O462" s="13"/>
      <c r="P462" s="14"/>
      <c r="Q462" s="14"/>
    </row>
    <row r="463" spans="1:17" x14ac:dyDescent="0.25">
      <c r="A463" s="19"/>
      <c r="B463" s="19"/>
      <c r="C463" s="19"/>
      <c r="D463" s="19"/>
      <c r="E463" s="20"/>
      <c r="F463" s="20"/>
      <c r="G463" s="19"/>
      <c r="H463" s="20"/>
      <c r="I463" s="20"/>
      <c r="J463" s="19"/>
      <c r="K463" s="20"/>
      <c r="L463" s="20"/>
      <c r="M463" s="19"/>
      <c r="N463" s="14"/>
      <c r="O463" s="13"/>
      <c r="P463" s="14"/>
      <c r="Q463" s="14"/>
    </row>
    <row r="464" spans="1:17" x14ac:dyDescent="0.25">
      <c r="A464" s="19"/>
      <c r="B464" s="19"/>
      <c r="C464" s="19"/>
      <c r="D464" s="19"/>
      <c r="E464" s="20"/>
      <c r="F464" s="20"/>
      <c r="G464" s="19"/>
      <c r="H464" s="20"/>
      <c r="I464" s="20"/>
      <c r="J464" s="19"/>
      <c r="K464" s="20"/>
      <c r="L464" s="20"/>
      <c r="M464" s="19"/>
      <c r="N464" s="14"/>
      <c r="O464" s="13"/>
      <c r="P464" s="14"/>
      <c r="Q464" s="14"/>
    </row>
    <row r="465" spans="1:17" x14ac:dyDescent="0.25">
      <c r="A465" s="19"/>
      <c r="B465" s="19"/>
      <c r="C465" s="19"/>
      <c r="D465" s="19"/>
      <c r="E465" s="20"/>
      <c r="F465" s="20"/>
      <c r="G465" s="19"/>
      <c r="H465" s="20"/>
      <c r="I465" s="20"/>
      <c r="J465" s="19"/>
      <c r="K465" s="20"/>
      <c r="L465" s="20"/>
      <c r="M465" s="19"/>
      <c r="N465" s="14"/>
      <c r="O465" s="13"/>
      <c r="P465" s="14"/>
      <c r="Q465" s="14"/>
    </row>
    <row r="466" spans="1:17" x14ac:dyDescent="0.25">
      <c r="A466" s="19"/>
      <c r="B466" s="19"/>
      <c r="C466" s="19"/>
      <c r="D466" s="19"/>
      <c r="E466" s="20"/>
      <c r="F466" s="20"/>
      <c r="G466" s="19"/>
      <c r="H466" s="20"/>
      <c r="I466" s="20"/>
      <c r="J466" s="19"/>
      <c r="K466" s="20"/>
      <c r="L466" s="20"/>
      <c r="M466" s="19"/>
      <c r="N466" s="14"/>
      <c r="O466" s="13"/>
      <c r="P466" s="14"/>
      <c r="Q466" s="14"/>
    </row>
    <row r="467" spans="1:17" x14ac:dyDescent="0.25">
      <c r="A467" s="19"/>
      <c r="B467" s="19"/>
      <c r="C467" s="19"/>
      <c r="D467" s="19"/>
      <c r="E467" s="20"/>
      <c r="F467" s="20"/>
      <c r="G467" s="19"/>
      <c r="H467" s="20"/>
      <c r="I467" s="20"/>
      <c r="J467" s="19"/>
      <c r="K467" s="20"/>
      <c r="L467" s="20"/>
      <c r="M467" s="19"/>
      <c r="N467" s="14"/>
      <c r="O467" s="13"/>
      <c r="P467" s="14"/>
      <c r="Q467" s="14"/>
    </row>
    <row r="468" spans="1:17" x14ac:dyDescent="0.25">
      <c r="A468" s="19"/>
      <c r="B468" s="19"/>
      <c r="C468" s="19"/>
      <c r="D468" s="19"/>
      <c r="E468" s="20"/>
      <c r="F468" s="20"/>
      <c r="G468" s="19"/>
      <c r="H468" s="20"/>
      <c r="I468" s="20"/>
      <c r="J468" s="19"/>
      <c r="K468" s="20"/>
      <c r="L468" s="20"/>
      <c r="M468" s="19"/>
      <c r="N468" s="14"/>
      <c r="O468" s="13"/>
      <c r="P468" s="14"/>
      <c r="Q468" s="14"/>
    </row>
    <row r="469" spans="1:17" x14ac:dyDescent="0.25">
      <c r="A469" s="19"/>
      <c r="B469" s="19"/>
      <c r="C469" s="19"/>
      <c r="D469" s="19"/>
      <c r="E469" s="20"/>
      <c r="F469" s="20"/>
      <c r="G469" s="19"/>
      <c r="H469" s="20"/>
      <c r="I469" s="20"/>
      <c r="J469" s="19"/>
      <c r="K469" s="20"/>
      <c r="L469" s="20"/>
      <c r="M469" s="19"/>
      <c r="N469" s="14"/>
      <c r="O469" s="13"/>
      <c r="P469" s="14"/>
      <c r="Q469" s="14"/>
    </row>
    <row r="470" spans="1:17" x14ac:dyDescent="0.25">
      <c r="A470" s="19"/>
      <c r="B470" s="19"/>
      <c r="C470" s="19"/>
      <c r="D470" s="19"/>
      <c r="E470" s="20"/>
      <c r="F470" s="20"/>
      <c r="G470" s="19"/>
      <c r="H470" s="20"/>
      <c r="I470" s="20"/>
      <c r="J470" s="19"/>
      <c r="K470" s="20"/>
      <c r="L470" s="20"/>
      <c r="M470" s="19"/>
      <c r="N470" s="14"/>
      <c r="O470" s="13"/>
      <c r="P470" s="14"/>
      <c r="Q470" s="14"/>
    </row>
    <row r="471" spans="1:17" x14ac:dyDescent="0.25">
      <c r="A471" s="19"/>
      <c r="B471" s="19"/>
      <c r="C471" s="19"/>
      <c r="D471" s="19"/>
      <c r="E471" s="20"/>
      <c r="F471" s="20"/>
      <c r="G471" s="19"/>
      <c r="H471" s="20"/>
      <c r="I471" s="20"/>
      <c r="J471" s="19"/>
      <c r="K471" s="20"/>
      <c r="L471" s="20"/>
      <c r="M471" s="19"/>
      <c r="N471" s="14"/>
      <c r="O471" s="13"/>
      <c r="P471" s="14"/>
      <c r="Q471" s="14"/>
    </row>
    <row r="472" spans="1:17" x14ac:dyDescent="0.25">
      <c r="A472" s="19"/>
      <c r="B472" s="19"/>
      <c r="C472" s="19"/>
      <c r="D472" s="19"/>
      <c r="E472" s="20"/>
      <c r="F472" s="20"/>
      <c r="G472" s="19"/>
      <c r="H472" s="20"/>
      <c r="I472" s="20"/>
      <c r="J472" s="19"/>
      <c r="K472" s="20"/>
      <c r="L472" s="20"/>
      <c r="M472" s="19"/>
      <c r="N472" s="14"/>
      <c r="O472" s="13"/>
      <c r="P472" s="14"/>
      <c r="Q472" s="14"/>
    </row>
    <row r="473" spans="1:17" x14ac:dyDescent="0.25">
      <c r="A473" s="19"/>
      <c r="B473" s="19"/>
      <c r="C473" s="19"/>
      <c r="D473" s="19"/>
      <c r="E473" s="20"/>
      <c r="F473" s="20"/>
      <c r="G473" s="19"/>
      <c r="H473" s="20"/>
      <c r="I473" s="20"/>
      <c r="J473" s="19"/>
      <c r="K473" s="20"/>
      <c r="L473" s="20"/>
      <c r="M473" s="19"/>
      <c r="N473" s="14"/>
      <c r="O473" s="13"/>
      <c r="P473" s="14"/>
      <c r="Q473" s="14"/>
    </row>
    <row r="474" spans="1:17" x14ac:dyDescent="0.25">
      <c r="A474" s="19"/>
      <c r="B474" s="19"/>
      <c r="C474" s="19"/>
      <c r="D474" s="19"/>
      <c r="E474" s="20"/>
      <c r="F474" s="20"/>
      <c r="G474" s="19"/>
      <c r="H474" s="20"/>
      <c r="I474" s="20"/>
      <c r="J474" s="19"/>
      <c r="K474" s="20"/>
      <c r="L474" s="20"/>
      <c r="M474" s="19"/>
      <c r="N474" s="14"/>
      <c r="O474" s="13"/>
      <c r="P474" s="14"/>
      <c r="Q474" s="14"/>
    </row>
    <row r="475" spans="1:17" x14ac:dyDescent="0.25">
      <c r="A475" s="19"/>
      <c r="B475" s="19"/>
      <c r="C475" s="19"/>
      <c r="D475" s="19"/>
      <c r="E475" s="20"/>
      <c r="F475" s="20"/>
      <c r="G475" s="19"/>
      <c r="H475" s="20"/>
      <c r="I475" s="20"/>
      <c r="J475" s="19"/>
      <c r="K475" s="20"/>
      <c r="L475" s="20"/>
      <c r="M475" s="19"/>
      <c r="N475" s="14"/>
      <c r="O475" s="13"/>
      <c r="P475" s="14"/>
      <c r="Q475" s="14"/>
    </row>
    <row r="476" spans="1:17" x14ac:dyDescent="0.25">
      <c r="A476" s="19"/>
      <c r="B476" s="19"/>
      <c r="C476" s="19"/>
      <c r="D476" s="19"/>
      <c r="E476" s="20"/>
      <c r="F476" s="20"/>
      <c r="G476" s="19"/>
      <c r="H476" s="20"/>
      <c r="I476" s="20"/>
      <c r="J476" s="19"/>
      <c r="K476" s="20"/>
      <c r="L476" s="20"/>
      <c r="M476" s="19"/>
      <c r="N476" s="14"/>
      <c r="O476" s="13"/>
      <c r="P476" s="14"/>
      <c r="Q476" s="14"/>
    </row>
    <row r="477" spans="1:17" x14ac:dyDescent="0.25">
      <c r="A477" s="19"/>
      <c r="B477" s="19"/>
      <c r="C477" s="19"/>
      <c r="D477" s="19"/>
      <c r="E477" s="20"/>
      <c r="F477" s="20"/>
      <c r="G477" s="19"/>
      <c r="H477" s="20"/>
      <c r="I477" s="20"/>
      <c r="J477" s="19"/>
      <c r="K477" s="20"/>
      <c r="L477" s="20"/>
      <c r="M477" s="19"/>
      <c r="N477" s="14"/>
      <c r="O477" s="13"/>
      <c r="P477" s="14"/>
      <c r="Q477" s="14"/>
    </row>
    <row r="478" spans="1:17" x14ac:dyDescent="0.25">
      <c r="A478" s="19"/>
      <c r="B478" s="19"/>
      <c r="C478" s="19"/>
      <c r="D478" s="19"/>
      <c r="E478" s="20"/>
      <c r="F478" s="20"/>
      <c r="G478" s="19"/>
      <c r="H478" s="20"/>
      <c r="I478" s="20"/>
      <c r="J478" s="19"/>
      <c r="K478" s="20"/>
      <c r="L478" s="20"/>
      <c r="M478" s="19"/>
      <c r="N478" s="14"/>
      <c r="O478" s="13"/>
      <c r="P478" s="14"/>
      <c r="Q478" s="14"/>
    </row>
    <row r="479" spans="1:17" x14ac:dyDescent="0.25">
      <c r="A479" s="19"/>
      <c r="B479" s="19"/>
      <c r="C479" s="19"/>
      <c r="D479" s="19"/>
      <c r="E479" s="20"/>
      <c r="F479" s="20"/>
      <c r="G479" s="19"/>
      <c r="H479" s="20"/>
      <c r="I479" s="20"/>
      <c r="J479" s="19"/>
      <c r="K479" s="20"/>
      <c r="L479" s="20"/>
      <c r="M479" s="19"/>
      <c r="N479" s="14"/>
      <c r="O479" s="13"/>
      <c r="P479" s="14"/>
      <c r="Q479" s="14"/>
    </row>
    <row r="480" spans="1:17" x14ac:dyDescent="0.25">
      <c r="A480" s="19"/>
      <c r="B480" s="19"/>
      <c r="C480" s="19"/>
      <c r="D480" s="19"/>
      <c r="E480" s="20"/>
      <c r="F480" s="20"/>
      <c r="G480" s="19"/>
      <c r="H480" s="20"/>
      <c r="I480" s="20"/>
      <c r="J480" s="19"/>
      <c r="K480" s="20"/>
      <c r="L480" s="20"/>
      <c r="M480" s="19"/>
      <c r="N480" s="14"/>
      <c r="O480" s="13"/>
      <c r="P480" s="14"/>
      <c r="Q480" s="14"/>
    </row>
    <row r="481" spans="1:17" x14ac:dyDescent="0.25">
      <c r="A481" s="19"/>
      <c r="B481" s="19"/>
      <c r="C481" s="19"/>
      <c r="D481" s="19"/>
      <c r="E481" s="20"/>
      <c r="F481" s="20"/>
      <c r="G481" s="19"/>
      <c r="H481" s="20"/>
      <c r="I481" s="20"/>
      <c r="J481" s="19"/>
      <c r="K481" s="20"/>
      <c r="L481" s="20"/>
      <c r="M481" s="19"/>
      <c r="N481" s="14"/>
      <c r="O481" s="13"/>
      <c r="P481" s="14"/>
      <c r="Q481" s="14"/>
    </row>
    <row r="482" spans="1:17" x14ac:dyDescent="0.25">
      <c r="A482" s="19"/>
      <c r="B482" s="19"/>
      <c r="C482" s="19"/>
      <c r="D482" s="19"/>
      <c r="E482" s="20"/>
      <c r="F482" s="20"/>
      <c r="G482" s="19"/>
      <c r="H482" s="20"/>
      <c r="I482" s="20"/>
      <c r="J482" s="19"/>
      <c r="K482" s="20"/>
      <c r="L482" s="20"/>
      <c r="M482" s="19"/>
      <c r="N482" s="14"/>
      <c r="O482" s="13"/>
      <c r="P482" s="14"/>
      <c r="Q482" s="14"/>
    </row>
    <row r="483" spans="1:17" x14ac:dyDescent="0.25">
      <c r="A483" s="19"/>
      <c r="B483" s="19"/>
      <c r="C483" s="19"/>
      <c r="D483" s="19"/>
      <c r="E483" s="20"/>
      <c r="F483" s="20"/>
      <c r="G483" s="19"/>
      <c r="H483" s="20"/>
      <c r="I483" s="20"/>
      <c r="J483" s="19"/>
      <c r="K483" s="20"/>
      <c r="L483" s="20"/>
      <c r="M483" s="19"/>
      <c r="N483" s="14"/>
      <c r="O483" s="13"/>
      <c r="P483" s="14"/>
      <c r="Q483" s="14"/>
    </row>
    <row r="484" spans="1:17" x14ac:dyDescent="0.25">
      <c r="A484" s="19"/>
      <c r="B484" s="19"/>
      <c r="C484" s="19"/>
      <c r="D484" s="19"/>
      <c r="E484" s="20"/>
      <c r="F484" s="20"/>
      <c r="G484" s="19"/>
      <c r="H484" s="20"/>
      <c r="I484" s="20"/>
      <c r="J484" s="19"/>
      <c r="K484" s="20"/>
      <c r="L484" s="20"/>
      <c r="M484" s="19"/>
      <c r="N484" s="14"/>
      <c r="O484" s="13"/>
      <c r="P484" s="14"/>
      <c r="Q484" s="14"/>
    </row>
    <row r="485" spans="1:17" x14ac:dyDescent="0.25">
      <c r="A485" s="19"/>
      <c r="B485" s="19"/>
      <c r="C485" s="19"/>
      <c r="D485" s="19"/>
      <c r="E485" s="20"/>
      <c r="F485" s="20"/>
      <c r="G485" s="19"/>
      <c r="H485" s="20"/>
      <c r="I485" s="20"/>
      <c r="J485" s="19"/>
      <c r="K485" s="20"/>
      <c r="L485" s="20"/>
      <c r="M485" s="19"/>
      <c r="N485" s="14"/>
      <c r="O485" s="13"/>
      <c r="P485" s="14"/>
      <c r="Q485" s="14"/>
    </row>
    <row r="486" spans="1:17" x14ac:dyDescent="0.25">
      <c r="A486" s="19"/>
      <c r="B486" s="19"/>
      <c r="C486" s="19"/>
      <c r="D486" s="19"/>
      <c r="E486" s="20"/>
      <c r="F486" s="20"/>
      <c r="G486" s="19"/>
      <c r="H486" s="20"/>
      <c r="I486" s="20"/>
      <c r="J486" s="19"/>
      <c r="K486" s="20"/>
      <c r="L486" s="20"/>
      <c r="M486" s="19"/>
      <c r="N486" s="14"/>
      <c r="O486" s="13"/>
      <c r="P486" s="14"/>
      <c r="Q486" s="14"/>
    </row>
    <row r="487" spans="1:17" x14ac:dyDescent="0.25">
      <c r="A487" s="19"/>
      <c r="B487" s="19"/>
      <c r="C487" s="19"/>
      <c r="D487" s="19"/>
      <c r="E487" s="20"/>
      <c r="F487" s="20"/>
      <c r="G487" s="19"/>
      <c r="H487" s="20"/>
      <c r="I487" s="20"/>
      <c r="J487" s="19"/>
      <c r="K487" s="20"/>
      <c r="L487" s="20"/>
      <c r="M487" s="19"/>
      <c r="N487" s="14"/>
      <c r="O487" s="13"/>
      <c r="P487" s="14"/>
      <c r="Q487" s="14"/>
    </row>
    <row r="488" spans="1:17" x14ac:dyDescent="0.25">
      <c r="A488" s="19"/>
      <c r="B488" s="19"/>
      <c r="C488" s="19"/>
      <c r="D488" s="19"/>
      <c r="E488" s="20"/>
      <c r="F488" s="20"/>
      <c r="G488" s="19"/>
      <c r="H488" s="20"/>
      <c r="I488" s="20"/>
      <c r="J488" s="19"/>
      <c r="K488" s="20"/>
      <c r="L488" s="20"/>
      <c r="M488" s="19"/>
      <c r="N488" s="14"/>
      <c r="O488" s="13"/>
      <c r="P488" s="14"/>
      <c r="Q488" s="14"/>
    </row>
    <row r="489" spans="1:17" x14ac:dyDescent="0.25">
      <c r="A489" s="19"/>
      <c r="B489" s="19"/>
      <c r="C489" s="19"/>
      <c r="D489" s="19"/>
      <c r="E489" s="20"/>
      <c r="F489" s="20"/>
      <c r="G489" s="19"/>
      <c r="H489" s="20"/>
      <c r="I489" s="20"/>
      <c r="J489" s="19"/>
      <c r="K489" s="20"/>
      <c r="L489" s="20"/>
      <c r="M489" s="19"/>
      <c r="N489" s="14"/>
      <c r="O489" s="13"/>
      <c r="P489" s="14"/>
      <c r="Q489" s="14"/>
    </row>
    <row r="490" spans="1:17" x14ac:dyDescent="0.25">
      <c r="A490" s="19"/>
      <c r="B490" s="19"/>
      <c r="C490" s="19"/>
      <c r="D490" s="19"/>
      <c r="E490" s="20"/>
      <c r="F490" s="20"/>
      <c r="G490" s="19"/>
      <c r="H490" s="20"/>
      <c r="I490" s="20"/>
      <c r="J490" s="19"/>
      <c r="K490" s="20"/>
      <c r="L490" s="20"/>
      <c r="M490" s="19"/>
      <c r="N490" s="14"/>
      <c r="O490" s="13"/>
      <c r="P490" s="14"/>
      <c r="Q490" s="14"/>
    </row>
    <row r="491" spans="1:17" x14ac:dyDescent="0.25">
      <c r="A491" s="19"/>
      <c r="B491" s="19"/>
      <c r="C491" s="19"/>
      <c r="D491" s="19"/>
      <c r="E491" s="20"/>
      <c r="F491" s="20"/>
      <c r="G491" s="19"/>
      <c r="H491" s="20"/>
      <c r="I491" s="20"/>
      <c r="J491" s="19"/>
      <c r="K491" s="20"/>
      <c r="L491" s="20"/>
      <c r="M491" s="19"/>
      <c r="N491" s="14"/>
      <c r="O491" s="13"/>
      <c r="P491" s="14"/>
      <c r="Q491" s="14"/>
    </row>
    <row r="492" spans="1:17" x14ac:dyDescent="0.25">
      <c r="A492" s="19"/>
      <c r="B492" s="19"/>
      <c r="C492" s="19"/>
      <c r="D492" s="19"/>
      <c r="E492" s="20"/>
      <c r="F492" s="20"/>
      <c r="G492" s="19"/>
      <c r="H492" s="20"/>
      <c r="I492" s="20"/>
      <c r="J492" s="19"/>
      <c r="K492" s="20"/>
      <c r="L492" s="20"/>
      <c r="M492" s="19"/>
      <c r="N492" s="14"/>
      <c r="O492" s="13"/>
      <c r="P492" s="14"/>
      <c r="Q492" s="14"/>
    </row>
    <row r="493" spans="1:17" x14ac:dyDescent="0.25">
      <c r="A493" s="19"/>
      <c r="B493" s="19"/>
      <c r="C493" s="19"/>
      <c r="D493" s="19"/>
      <c r="E493" s="20"/>
      <c r="F493" s="20"/>
      <c r="G493" s="19"/>
      <c r="H493" s="20"/>
      <c r="I493" s="20"/>
      <c r="J493" s="19"/>
      <c r="K493" s="20"/>
      <c r="L493" s="20"/>
      <c r="M493" s="19"/>
      <c r="N493" s="14"/>
      <c r="O493" s="13"/>
      <c r="P493" s="14"/>
      <c r="Q493" s="14"/>
    </row>
    <row r="494" spans="1:17" x14ac:dyDescent="0.25">
      <c r="A494" s="19"/>
      <c r="B494" s="19"/>
      <c r="C494" s="19"/>
      <c r="D494" s="19"/>
      <c r="E494" s="20"/>
      <c r="F494" s="20"/>
      <c r="G494" s="19"/>
      <c r="H494" s="20"/>
      <c r="I494" s="20"/>
      <c r="J494" s="19"/>
      <c r="K494" s="20"/>
      <c r="L494" s="20"/>
      <c r="M494" s="19"/>
      <c r="N494" s="14"/>
      <c r="O494" s="13"/>
      <c r="P494" s="14"/>
      <c r="Q494" s="14"/>
    </row>
    <row r="495" spans="1:17" x14ac:dyDescent="0.25">
      <c r="A495" s="19"/>
      <c r="B495" s="19"/>
      <c r="C495" s="19"/>
      <c r="D495" s="19"/>
      <c r="E495" s="20"/>
      <c r="F495" s="20"/>
      <c r="G495" s="19"/>
      <c r="H495" s="20"/>
      <c r="I495" s="20"/>
      <c r="J495" s="19"/>
      <c r="K495" s="20"/>
      <c r="L495" s="20"/>
      <c r="M495" s="19"/>
      <c r="N495" s="14"/>
      <c r="O495" s="13"/>
      <c r="P495" s="14"/>
      <c r="Q495" s="14"/>
    </row>
    <row r="496" spans="1:17" x14ac:dyDescent="0.25">
      <c r="A496" s="19"/>
      <c r="B496" s="19"/>
      <c r="C496" s="19"/>
      <c r="D496" s="19"/>
      <c r="E496" s="20"/>
      <c r="F496" s="20"/>
      <c r="G496" s="19"/>
      <c r="H496" s="20"/>
      <c r="I496" s="20"/>
      <c r="J496" s="19"/>
      <c r="K496" s="20"/>
      <c r="L496" s="20"/>
      <c r="M496" s="19"/>
      <c r="N496" s="14"/>
      <c r="O496" s="13"/>
      <c r="P496" s="14"/>
      <c r="Q496" s="14"/>
    </row>
    <row r="497" spans="1:17" x14ac:dyDescent="0.25">
      <c r="A497" s="19"/>
      <c r="B497" s="19"/>
      <c r="C497" s="19"/>
      <c r="D497" s="19"/>
      <c r="E497" s="20"/>
      <c r="F497" s="20"/>
      <c r="G497" s="19"/>
      <c r="H497" s="20"/>
      <c r="I497" s="20"/>
      <c r="J497" s="19"/>
      <c r="K497" s="20"/>
      <c r="L497" s="20"/>
      <c r="M497" s="19"/>
      <c r="N497" s="14"/>
      <c r="O497" s="13"/>
      <c r="P497" s="14"/>
      <c r="Q497" s="14"/>
    </row>
    <row r="498" spans="1:17" x14ac:dyDescent="0.25">
      <c r="A498" s="19"/>
      <c r="B498" s="19"/>
      <c r="C498" s="19"/>
      <c r="D498" s="19"/>
      <c r="E498" s="20"/>
      <c r="F498" s="20"/>
      <c r="G498" s="19"/>
      <c r="H498" s="20"/>
      <c r="I498" s="20"/>
      <c r="J498" s="19"/>
      <c r="K498" s="20"/>
      <c r="L498" s="20"/>
      <c r="M498" s="19"/>
      <c r="N498" s="14"/>
      <c r="O498" s="13"/>
      <c r="P498" s="14"/>
      <c r="Q498" s="14"/>
    </row>
    <row r="499" spans="1:17" x14ac:dyDescent="0.25">
      <c r="A499" s="19"/>
      <c r="B499" s="19"/>
      <c r="C499" s="19"/>
      <c r="D499" s="19"/>
      <c r="E499" s="20"/>
      <c r="F499" s="20"/>
      <c r="G499" s="19"/>
      <c r="H499" s="20"/>
      <c r="I499" s="20"/>
      <c r="J499" s="19"/>
      <c r="K499" s="20"/>
      <c r="L499" s="20"/>
      <c r="M499" s="19"/>
      <c r="N499" s="14"/>
      <c r="O499" s="13"/>
      <c r="P499" s="14"/>
      <c r="Q499" s="14"/>
    </row>
    <row r="500" spans="1:17" x14ac:dyDescent="0.25">
      <c r="A500" s="19"/>
      <c r="B500" s="19"/>
      <c r="C500" s="19"/>
      <c r="D500" s="19"/>
      <c r="E500" s="20"/>
      <c r="F500" s="20"/>
      <c r="G500" s="19"/>
      <c r="H500" s="20"/>
      <c r="I500" s="20"/>
      <c r="J500" s="19"/>
      <c r="K500" s="20"/>
      <c r="L500" s="20"/>
      <c r="M500" s="19"/>
      <c r="N500" s="14"/>
      <c r="O500" s="13"/>
      <c r="P500" s="14"/>
      <c r="Q500" s="14"/>
    </row>
    <row r="501" spans="1:17" x14ac:dyDescent="0.25">
      <c r="A501" s="19"/>
      <c r="B501" s="19"/>
      <c r="C501" s="19"/>
      <c r="D501" s="19"/>
      <c r="E501" s="20"/>
      <c r="F501" s="20"/>
      <c r="G501" s="19"/>
      <c r="H501" s="20"/>
      <c r="I501" s="20"/>
      <c r="J501" s="19"/>
      <c r="K501" s="20"/>
      <c r="L501" s="20"/>
      <c r="M501" s="19"/>
      <c r="N501" s="14"/>
      <c r="O501" s="13"/>
      <c r="P501" s="14"/>
      <c r="Q501" s="14"/>
    </row>
    <row r="502" spans="1:17" x14ac:dyDescent="0.25">
      <c r="A502" s="19"/>
      <c r="B502" s="19"/>
      <c r="C502" s="19"/>
      <c r="D502" s="19"/>
      <c r="E502" s="20"/>
      <c r="F502" s="20"/>
      <c r="G502" s="19"/>
      <c r="H502" s="20"/>
      <c r="I502" s="20"/>
      <c r="J502" s="19"/>
      <c r="K502" s="20"/>
      <c r="L502" s="20"/>
      <c r="M502" s="19"/>
      <c r="N502" s="14"/>
      <c r="O502" s="13"/>
      <c r="P502" s="14"/>
      <c r="Q502" s="14"/>
    </row>
    <row r="503" spans="1:17" x14ac:dyDescent="0.25">
      <c r="A503" s="19"/>
      <c r="B503" s="19"/>
      <c r="C503" s="19"/>
      <c r="D503" s="19"/>
      <c r="E503" s="20"/>
      <c r="F503" s="20"/>
      <c r="G503" s="19"/>
      <c r="H503" s="20"/>
      <c r="I503" s="20"/>
      <c r="J503" s="19"/>
      <c r="K503" s="20"/>
      <c r="L503" s="20"/>
      <c r="M503" s="19"/>
      <c r="N503" s="14"/>
      <c r="O503" s="13"/>
      <c r="P503" s="14"/>
      <c r="Q503" s="14"/>
    </row>
    <row r="504" spans="1:17" x14ac:dyDescent="0.25">
      <c r="A504" s="19"/>
      <c r="B504" s="19"/>
      <c r="C504" s="19"/>
      <c r="D504" s="19"/>
      <c r="E504" s="20"/>
      <c r="F504" s="20"/>
      <c r="G504" s="19"/>
      <c r="H504" s="20"/>
      <c r="I504" s="20"/>
      <c r="J504" s="19"/>
      <c r="K504" s="20"/>
      <c r="L504" s="20"/>
      <c r="M504" s="19"/>
      <c r="N504" s="14"/>
      <c r="O504" s="13"/>
      <c r="P504" s="14"/>
      <c r="Q504" s="14"/>
    </row>
    <row r="505" spans="1:17" x14ac:dyDescent="0.25">
      <c r="A505" s="19"/>
      <c r="B505" s="19"/>
      <c r="C505" s="19"/>
      <c r="D505" s="19"/>
      <c r="E505" s="20"/>
      <c r="F505" s="20"/>
      <c r="G505" s="19"/>
      <c r="H505" s="20"/>
      <c r="I505" s="20"/>
      <c r="J505" s="19"/>
      <c r="K505" s="20"/>
      <c r="L505" s="20"/>
      <c r="M505" s="19"/>
      <c r="N505" s="14"/>
      <c r="O505" s="13"/>
      <c r="P505" s="14"/>
      <c r="Q505" s="14"/>
    </row>
    <row r="506" spans="1:17" x14ac:dyDescent="0.25">
      <c r="A506" s="19"/>
      <c r="B506" s="19"/>
      <c r="C506" s="19"/>
      <c r="D506" s="19"/>
      <c r="E506" s="20"/>
      <c r="F506" s="20"/>
      <c r="G506" s="19"/>
      <c r="H506" s="20"/>
      <c r="I506" s="20"/>
      <c r="J506" s="19"/>
      <c r="K506" s="20"/>
      <c r="L506" s="20"/>
      <c r="M506" s="19"/>
      <c r="N506" s="14"/>
      <c r="O506" s="13"/>
      <c r="P506" s="14"/>
      <c r="Q506" s="14"/>
    </row>
    <row r="507" spans="1:17" x14ac:dyDescent="0.25">
      <c r="A507" s="19"/>
      <c r="B507" s="19"/>
      <c r="C507" s="19"/>
      <c r="D507" s="19"/>
      <c r="E507" s="20"/>
      <c r="F507" s="20"/>
      <c r="G507" s="19"/>
      <c r="H507" s="20"/>
      <c r="I507" s="20"/>
      <c r="J507" s="19"/>
      <c r="K507" s="20"/>
      <c r="L507" s="20"/>
      <c r="M507" s="19"/>
      <c r="N507" s="14"/>
      <c r="O507" s="13"/>
      <c r="P507" s="14"/>
      <c r="Q507" s="14"/>
    </row>
    <row r="508" spans="1:17" x14ac:dyDescent="0.25">
      <c r="A508" s="19"/>
      <c r="B508" s="19"/>
      <c r="C508" s="19"/>
      <c r="D508" s="19"/>
      <c r="E508" s="20"/>
      <c r="F508" s="20"/>
      <c r="G508" s="19"/>
      <c r="H508" s="20"/>
      <c r="I508" s="20"/>
      <c r="J508" s="19"/>
      <c r="K508" s="20"/>
      <c r="L508" s="20"/>
      <c r="M508" s="19"/>
      <c r="N508" s="14"/>
      <c r="O508" s="13"/>
      <c r="P508" s="14"/>
      <c r="Q508" s="14"/>
    </row>
    <row r="509" spans="1:17" x14ac:dyDescent="0.25">
      <c r="A509" s="19"/>
      <c r="B509" s="19"/>
      <c r="C509" s="19"/>
      <c r="D509" s="19"/>
      <c r="E509" s="20"/>
      <c r="F509" s="20"/>
      <c r="G509" s="19"/>
      <c r="H509" s="20"/>
      <c r="I509" s="20"/>
      <c r="J509" s="19"/>
      <c r="K509" s="20"/>
      <c r="L509" s="20"/>
      <c r="M509" s="19"/>
      <c r="N509" s="14"/>
      <c r="O509" s="13"/>
      <c r="P509" s="14"/>
      <c r="Q509" s="14"/>
    </row>
    <row r="510" spans="1:17" x14ac:dyDescent="0.25">
      <c r="A510" s="19"/>
      <c r="B510" s="19"/>
      <c r="C510" s="19"/>
      <c r="D510" s="19"/>
      <c r="E510" s="20"/>
      <c r="F510" s="20"/>
      <c r="G510" s="19"/>
      <c r="H510" s="20"/>
      <c r="I510" s="20"/>
      <c r="J510" s="19"/>
      <c r="K510" s="20"/>
      <c r="L510" s="20"/>
      <c r="M510" s="19"/>
      <c r="N510" s="14"/>
      <c r="O510" s="13"/>
      <c r="P510" s="14"/>
      <c r="Q510" s="14"/>
    </row>
    <row r="511" spans="1:17" x14ac:dyDescent="0.25">
      <c r="A511" s="19"/>
      <c r="B511" s="19"/>
      <c r="C511" s="19"/>
      <c r="D511" s="19"/>
      <c r="E511" s="20"/>
      <c r="F511" s="20"/>
      <c r="G511" s="19"/>
      <c r="H511" s="20"/>
      <c r="I511" s="20"/>
      <c r="J511" s="19"/>
      <c r="K511" s="20"/>
      <c r="L511" s="20"/>
      <c r="M511" s="19"/>
      <c r="N511" s="14"/>
      <c r="O511" s="13"/>
      <c r="P511" s="14"/>
      <c r="Q511" s="14"/>
    </row>
    <row r="512" spans="1:17" x14ac:dyDescent="0.25">
      <c r="A512" s="19"/>
      <c r="B512" s="19"/>
      <c r="C512" s="19"/>
      <c r="D512" s="19"/>
      <c r="E512" s="20"/>
      <c r="F512" s="20"/>
      <c r="G512" s="19"/>
      <c r="H512" s="20"/>
      <c r="I512" s="20"/>
      <c r="J512" s="19"/>
      <c r="K512" s="20"/>
      <c r="L512" s="20"/>
      <c r="M512" s="19"/>
      <c r="N512" s="14"/>
      <c r="O512" s="13"/>
      <c r="P512" s="14"/>
      <c r="Q512" s="14"/>
    </row>
    <row r="513" spans="1:17" x14ac:dyDescent="0.25">
      <c r="A513" s="19"/>
      <c r="B513" s="19"/>
      <c r="C513" s="19"/>
      <c r="D513" s="19"/>
      <c r="E513" s="20"/>
      <c r="F513" s="20"/>
      <c r="G513" s="19"/>
      <c r="H513" s="20"/>
      <c r="I513" s="20"/>
      <c r="J513" s="19"/>
      <c r="K513" s="20"/>
      <c r="L513" s="20"/>
      <c r="M513" s="19"/>
      <c r="N513" s="14"/>
      <c r="O513" s="13"/>
      <c r="P513" s="14"/>
      <c r="Q513" s="14"/>
    </row>
    <row r="514" spans="1:17" x14ac:dyDescent="0.25">
      <c r="A514" s="19"/>
      <c r="B514" s="19"/>
      <c r="C514" s="19"/>
      <c r="D514" s="19"/>
      <c r="E514" s="20"/>
      <c r="F514" s="20"/>
      <c r="G514" s="19"/>
      <c r="H514" s="20"/>
      <c r="I514" s="20"/>
      <c r="J514" s="19"/>
      <c r="K514" s="20"/>
      <c r="L514" s="20"/>
      <c r="M514" s="19"/>
      <c r="N514" s="14"/>
      <c r="O514" s="13"/>
      <c r="P514" s="14"/>
      <c r="Q514" s="14"/>
    </row>
    <row r="515" spans="1:17" x14ac:dyDescent="0.25">
      <c r="A515" s="19"/>
      <c r="B515" s="19"/>
      <c r="C515" s="19"/>
      <c r="D515" s="19"/>
      <c r="E515" s="20"/>
      <c r="F515" s="20"/>
      <c r="G515" s="19"/>
      <c r="H515" s="20"/>
      <c r="I515" s="20"/>
      <c r="J515" s="19"/>
      <c r="K515" s="20"/>
      <c r="L515" s="20"/>
      <c r="M515" s="19"/>
      <c r="N515" s="14"/>
      <c r="O515" s="13"/>
      <c r="P515" s="14"/>
      <c r="Q515" s="14"/>
    </row>
    <row r="516" spans="1:17" x14ac:dyDescent="0.25">
      <c r="A516" s="19"/>
      <c r="B516" s="19"/>
      <c r="C516" s="19"/>
      <c r="D516" s="19"/>
      <c r="E516" s="20"/>
      <c r="F516" s="20"/>
      <c r="G516" s="19"/>
      <c r="H516" s="20"/>
      <c r="I516" s="20"/>
      <c r="J516" s="19"/>
      <c r="K516" s="20"/>
      <c r="L516" s="20"/>
      <c r="M516" s="19"/>
      <c r="N516" s="14"/>
      <c r="O516" s="13"/>
      <c r="P516" s="14"/>
      <c r="Q516" s="14"/>
    </row>
    <row r="517" spans="1:17" x14ac:dyDescent="0.25">
      <c r="A517" s="19"/>
      <c r="B517" s="19"/>
      <c r="C517" s="19"/>
      <c r="D517" s="19"/>
      <c r="E517" s="20"/>
      <c r="F517" s="20"/>
      <c r="G517" s="19"/>
      <c r="H517" s="20"/>
      <c r="I517" s="20"/>
      <c r="J517" s="19"/>
      <c r="K517" s="20"/>
      <c r="L517" s="20"/>
      <c r="M517" s="19"/>
      <c r="N517" s="14"/>
      <c r="O517" s="13"/>
      <c r="P517" s="14"/>
      <c r="Q517" s="14"/>
    </row>
    <row r="518" spans="1:17" x14ac:dyDescent="0.25">
      <c r="A518" s="19"/>
      <c r="B518" s="19"/>
      <c r="C518" s="19"/>
      <c r="D518" s="19"/>
      <c r="E518" s="20"/>
      <c r="F518" s="20"/>
      <c r="G518" s="19"/>
      <c r="H518" s="20"/>
      <c r="I518" s="20"/>
      <c r="J518" s="19"/>
      <c r="K518" s="20"/>
      <c r="L518" s="20"/>
      <c r="M518" s="19"/>
      <c r="N518" s="14"/>
      <c r="O518" s="13"/>
      <c r="P518" s="14"/>
      <c r="Q518" s="14"/>
    </row>
    <row r="519" spans="1:17" x14ac:dyDescent="0.25">
      <c r="A519" s="19"/>
      <c r="B519" s="19"/>
      <c r="C519" s="19"/>
      <c r="D519" s="19"/>
      <c r="E519" s="20"/>
      <c r="F519" s="20"/>
      <c r="G519" s="19"/>
      <c r="H519" s="20"/>
      <c r="I519" s="20"/>
      <c r="J519" s="19"/>
      <c r="K519" s="20"/>
      <c r="L519" s="20"/>
      <c r="M519" s="19"/>
      <c r="N519" s="14"/>
      <c r="O519" s="13"/>
      <c r="P519" s="14"/>
      <c r="Q519" s="14"/>
    </row>
    <row r="520" spans="1:17" x14ac:dyDescent="0.25">
      <c r="A520" s="19"/>
      <c r="B520" s="19"/>
      <c r="C520" s="19"/>
      <c r="D520" s="19"/>
      <c r="E520" s="20"/>
      <c r="F520" s="20"/>
      <c r="G520" s="19"/>
      <c r="H520" s="20"/>
      <c r="I520" s="20"/>
      <c r="J520" s="19"/>
      <c r="K520" s="20"/>
      <c r="L520" s="20"/>
      <c r="M520" s="19"/>
      <c r="N520" s="14"/>
      <c r="O520" s="13"/>
      <c r="P520" s="14"/>
      <c r="Q520" s="14"/>
    </row>
    <row r="521" spans="1:17" x14ac:dyDescent="0.25">
      <c r="A521" s="19"/>
      <c r="B521" s="19"/>
      <c r="C521" s="19"/>
      <c r="D521" s="19"/>
      <c r="E521" s="20"/>
      <c r="F521" s="20"/>
      <c r="G521" s="19"/>
      <c r="H521" s="20"/>
      <c r="I521" s="20"/>
      <c r="J521" s="19"/>
      <c r="K521" s="20"/>
      <c r="L521" s="20"/>
      <c r="M521" s="19"/>
      <c r="N521" s="14"/>
      <c r="O521" s="13"/>
      <c r="P521" s="14"/>
      <c r="Q521" s="14"/>
    </row>
    <row r="522" spans="1:17" x14ac:dyDescent="0.25">
      <c r="A522" s="19"/>
      <c r="B522" s="19"/>
      <c r="C522" s="19"/>
      <c r="D522" s="19"/>
      <c r="E522" s="20"/>
      <c r="F522" s="20"/>
      <c r="G522" s="19"/>
      <c r="H522" s="20"/>
      <c r="I522" s="20"/>
      <c r="J522" s="19"/>
      <c r="K522" s="20"/>
      <c r="L522" s="20"/>
      <c r="M522" s="19"/>
      <c r="N522" s="14"/>
      <c r="O522" s="13"/>
      <c r="P522" s="14"/>
      <c r="Q522" s="14"/>
    </row>
    <row r="523" spans="1:17" x14ac:dyDescent="0.25">
      <c r="A523" s="19"/>
      <c r="B523" s="19"/>
      <c r="C523" s="19"/>
      <c r="D523" s="19"/>
      <c r="E523" s="20"/>
      <c r="F523" s="20"/>
      <c r="G523" s="19"/>
      <c r="H523" s="20"/>
      <c r="I523" s="20"/>
      <c r="J523" s="19"/>
      <c r="K523" s="20"/>
      <c r="L523" s="20"/>
      <c r="M523" s="19"/>
      <c r="N523" s="14"/>
      <c r="O523" s="13"/>
      <c r="P523" s="14"/>
      <c r="Q523" s="14"/>
    </row>
    <row r="524" spans="1:17" x14ac:dyDescent="0.25">
      <c r="A524" s="19"/>
      <c r="B524" s="19"/>
      <c r="C524" s="19"/>
      <c r="D524" s="19"/>
      <c r="E524" s="20"/>
      <c r="F524" s="20"/>
      <c r="G524" s="19"/>
      <c r="H524" s="20"/>
      <c r="I524" s="20"/>
      <c r="J524" s="19"/>
      <c r="K524" s="20"/>
      <c r="L524" s="20"/>
      <c r="M524" s="19"/>
      <c r="N524" s="14"/>
      <c r="O524" s="13"/>
      <c r="P524" s="14"/>
      <c r="Q524" s="14"/>
    </row>
    <row r="525" spans="1:17" x14ac:dyDescent="0.25">
      <c r="A525" s="19"/>
      <c r="B525" s="19"/>
      <c r="C525" s="19"/>
      <c r="D525" s="19"/>
      <c r="E525" s="20"/>
      <c r="F525" s="20"/>
      <c r="G525" s="19"/>
      <c r="H525" s="20"/>
      <c r="I525" s="20"/>
      <c r="J525" s="19"/>
      <c r="K525" s="20"/>
      <c r="L525" s="20"/>
      <c r="M525" s="19"/>
      <c r="N525" s="14"/>
      <c r="O525" s="13"/>
      <c r="P525" s="14"/>
      <c r="Q525" s="14"/>
    </row>
    <row r="526" spans="1:17" x14ac:dyDescent="0.25">
      <c r="A526" s="19"/>
      <c r="B526" s="19"/>
      <c r="C526" s="19"/>
      <c r="D526" s="19"/>
      <c r="E526" s="20"/>
      <c r="F526" s="20"/>
      <c r="G526" s="19"/>
      <c r="H526" s="20"/>
      <c r="I526" s="20"/>
      <c r="J526" s="19"/>
      <c r="K526" s="20"/>
      <c r="L526" s="20"/>
      <c r="M526" s="19"/>
      <c r="N526" s="14"/>
      <c r="O526" s="13"/>
      <c r="P526" s="14"/>
      <c r="Q526" s="14"/>
    </row>
    <row r="527" spans="1:17" x14ac:dyDescent="0.25">
      <c r="A527" s="19"/>
      <c r="B527" s="19"/>
      <c r="C527" s="19"/>
      <c r="D527" s="19"/>
      <c r="E527" s="20"/>
      <c r="F527" s="20"/>
      <c r="G527" s="19"/>
      <c r="H527" s="20"/>
      <c r="I527" s="20"/>
      <c r="J527" s="19"/>
      <c r="K527" s="20"/>
      <c r="L527" s="20"/>
      <c r="M527" s="19"/>
      <c r="N527" s="14"/>
      <c r="O527" s="13"/>
      <c r="P527" s="14"/>
      <c r="Q527" s="14"/>
    </row>
    <row r="528" spans="1:17" x14ac:dyDescent="0.25">
      <c r="A528" s="19"/>
      <c r="B528" s="19"/>
      <c r="C528" s="19"/>
      <c r="D528" s="19"/>
      <c r="E528" s="20"/>
      <c r="F528" s="20"/>
      <c r="G528" s="19"/>
      <c r="H528" s="20"/>
      <c r="I528" s="20"/>
      <c r="J528" s="19"/>
      <c r="K528" s="20"/>
      <c r="L528" s="20"/>
      <c r="M528" s="19"/>
      <c r="N528" s="14"/>
      <c r="O528" s="13"/>
      <c r="P528" s="14"/>
      <c r="Q528" s="14"/>
    </row>
    <row r="529" spans="1:17" x14ac:dyDescent="0.25">
      <c r="A529" s="19"/>
      <c r="B529" s="19"/>
      <c r="C529" s="19"/>
      <c r="D529" s="19"/>
      <c r="E529" s="20"/>
      <c r="F529" s="20"/>
      <c r="G529" s="19"/>
      <c r="H529" s="20"/>
      <c r="I529" s="20"/>
      <c r="J529" s="19"/>
      <c r="K529" s="20"/>
      <c r="L529" s="20"/>
      <c r="M529" s="19"/>
      <c r="N529" s="14"/>
      <c r="O529" s="13"/>
      <c r="P529" s="14"/>
      <c r="Q529" s="14"/>
    </row>
    <row r="530" spans="1:17" x14ac:dyDescent="0.25">
      <c r="A530" s="19"/>
      <c r="B530" s="19"/>
      <c r="C530" s="19"/>
      <c r="D530" s="19"/>
      <c r="E530" s="20"/>
      <c r="F530" s="20"/>
      <c r="G530" s="19"/>
      <c r="H530" s="20"/>
      <c r="I530" s="20"/>
      <c r="J530" s="19"/>
      <c r="K530" s="20"/>
      <c r="L530" s="20"/>
      <c r="M530" s="19"/>
      <c r="N530" s="14"/>
      <c r="O530" s="13"/>
      <c r="P530" s="14"/>
      <c r="Q530" s="14"/>
    </row>
    <row r="531" spans="1:17" x14ac:dyDescent="0.25">
      <c r="A531" s="19"/>
      <c r="B531" s="19"/>
      <c r="C531" s="19"/>
      <c r="D531" s="19"/>
      <c r="E531" s="20"/>
      <c r="F531" s="20"/>
      <c r="G531" s="19"/>
      <c r="H531" s="20"/>
      <c r="I531" s="20"/>
      <c r="J531" s="19"/>
      <c r="K531" s="20"/>
      <c r="L531" s="20"/>
      <c r="M531" s="19"/>
      <c r="N531" s="14"/>
      <c r="O531" s="13"/>
      <c r="P531" s="14"/>
      <c r="Q531" s="14"/>
    </row>
    <row r="532" spans="1:17" x14ac:dyDescent="0.25">
      <c r="A532" s="19"/>
      <c r="B532" s="19"/>
      <c r="C532" s="19"/>
      <c r="D532" s="19"/>
      <c r="E532" s="20"/>
      <c r="F532" s="20"/>
      <c r="G532" s="19"/>
      <c r="H532" s="20"/>
      <c r="I532" s="20"/>
      <c r="J532" s="19"/>
      <c r="K532" s="20"/>
      <c r="L532" s="20"/>
      <c r="M532" s="19"/>
      <c r="N532" s="14"/>
      <c r="O532" s="13"/>
      <c r="P532" s="14"/>
      <c r="Q532" s="14"/>
    </row>
    <row r="533" spans="1:17" x14ac:dyDescent="0.25">
      <c r="A533" s="19"/>
      <c r="B533" s="19"/>
      <c r="C533" s="19"/>
      <c r="D533" s="19"/>
      <c r="E533" s="20"/>
      <c r="F533" s="20"/>
      <c r="G533" s="19"/>
      <c r="H533" s="20"/>
      <c r="I533" s="20"/>
      <c r="J533" s="19"/>
      <c r="K533" s="20"/>
      <c r="L533" s="20"/>
      <c r="M533" s="19"/>
      <c r="N533" s="14"/>
      <c r="O533" s="13"/>
      <c r="P533" s="14"/>
      <c r="Q533" s="14"/>
    </row>
    <row r="534" spans="1:17" x14ac:dyDescent="0.25">
      <c r="A534" s="19"/>
      <c r="B534" s="19"/>
      <c r="C534" s="19"/>
      <c r="D534" s="19"/>
      <c r="E534" s="20"/>
      <c r="F534" s="20"/>
      <c r="G534" s="19"/>
      <c r="H534" s="20"/>
      <c r="I534" s="20"/>
      <c r="J534" s="19"/>
      <c r="K534" s="20"/>
      <c r="L534" s="20"/>
      <c r="M534" s="19"/>
      <c r="N534" s="14"/>
      <c r="O534" s="13"/>
      <c r="P534" s="14"/>
      <c r="Q534" s="14"/>
    </row>
    <row r="535" spans="1:17" x14ac:dyDescent="0.25">
      <c r="A535" s="19"/>
      <c r="B535" s="19"/>
      <c r="C535" s="19"/>
      <c r="D535" s="19"/>
      <c r="E535" s="20"/>
      <c r="F535" s="20"/>
      <c r="G535" s="19"/>
      <c r="H535" s="20"/>
      <c r="I535" s="20"/>
      <c r="J535" s="19"/>
      <c r="K535" s="20"/>
      <c r="L535" s="20"/>
      <c r="M535" s="19"/>
      <c r="N535" s="14"/>
      <c r="O535" s="13"/>
      <c r="P535" s="14"/>
      <c r="Q535" s="14"/>
    </row>
    <row r="536" spans="1:17" x14ac:dyDescent="0.25">
      <c r="A536" s="19"/>
      <c r="B536" s="19"/>
      <c r="C536" s="19"/>
      <c r="D536" s="19"/>
      <c r="E536" s="20"/>
      <c r="F536" s="20"/>
      <c r="G536" s="19"/>
      <c r="H536" s="20"/>
      <c r="I536" s="20"/>
      <c r="J536" s="19"/>
      <c r="K536" s="20"/>
      <c r="L536" s="20"/>
      <c r="M536" s="19"/>
      <c r="N536" s="14"/>
      <c r="O536" s="13"/>
      <c r="P536" s="14"/>
      <c r="Q536" s="14"/>
    </row>
    <row r="537" spans="1:17" x14ac:dyDescent="0.25">
      <c r="A537" s="19"/>
      <c r="B537" s="19"/>
      <c r="C537" s="19"/>
      <c r="D537" s="19"/>
      <c r="E537" s="20"/>
      <c r="F537" s="20"/>
      <c r="G537" s="19"/>
      <c r="H537" s="20"/>
      <c r="I537" s="20"/>
      <c r="J537" s="19"/>
      <c r="K537" s="20"/>
      <c r="L537" s="20"/>
      <c r="M537" s="19"/>
      <c r="N537" s="14"/>
      <c r="O537" s="13"/>
      <c r="P537" s="14"/>
      <c r="Q537" s="14"/>
    </row>
    <row r="538" spans="1:17" x14ac:dyDescent="0.25">
      <c r="A538" s="19"/>
      <c r="B538" s="19"/>
      <c r="C538" s="19"/>
      <c r="D538" s="19"/>
      <c r="E538" s="20"/>
      <c r="F538" s="20"/>
      <c r="G538" s="19"/>
      <c r="H538" s="20"/>
      <c r="I538" s="20"/>
      <c r="J538" s="19"/>
      <c r="K538" s="20"/>
      <c r="L538" s="20"/>
      <c r="M538" s="19"/>
      <c r="N538" s="14"/>
      <c r="O538" s="13"/>
      <c r="P538" s="14"/>
      <c r="Q538" s="14"/>
    </row>
    <row r="539" spans="1:17" x14ac:dyDescent="0.25">
      <c r="A539" s="19"/>
      <c r="B539" s="19"/>
      <c r="C539" s="19"/>
      <c r="D539" s="19"/>
      <c r="E539" s="20"/>
      <c r="F539" s="20"/>
      <c r="G539" s="19"/>
      <c r="H539" s="20"/>
      <c r="I539" s="20"/>
      <c r="J539" s="19"/>
      <c r="K539" s="20"/>
      <c r="L539" s="20"/>
      <c r="M539" s="19"/>
      <c r="N539" s="14"/>
      <c r="O539" s="13"/>
      <c r="P539" s="14"/>
      <c r="Q539" s="14"/>
    </row>
    <row r="540" spans="1:17" x14ac:dyDescent="0.25">
      <c r="A540" s="19"/>
      <c r="B540" s="19"/>
      <c r="C540" s="19"/>
      <c r="D540" s="19"/>
      <c r="E540" s="20"/>
      <c r="F540" s="20"/>
      <c r="G540" s="19"/>
      <c r="H540" s="20"/>
      <c r="I540" s="20"/>
      <c r="J540" s="19"/>
      <c r="K540" s="20"/>
      <c r="L540" s="20"/>
      <c r="M540" s="19"/>
      <c r="N540" s="14"/>
      <c r="O540" s="13"/>
      <c r="P540" s="14"/>
      <c r="Q540" s="14"/>
    </row>
    <row r="541" spans="1:17" x14ac:dyDescent="0.25">
      <c r="A541" s="19"/>
      <c r="B541" s="19"/>
      <c r="C541" s="19"/>
      <c r="D541" s="19"/>
      <c r="E541" s="20"/>
      <c r="F541" s="20"/>
      <c r="G541" s="19"/>
      <c r="H541" s="20"/>
      <c r="I541" s="20"/>
      <c r="J541" s="19"/>
      <c r="K541" s="20"/>
      <c r="L541" s="20"/>
      <c r="M541" s="19"/>
      <c r="N541" s="14"/>
      <c r="O541" s="13"/>
      <c r="P541" s="14"/>
      <c r="Q541" s="14"/>
    </row>
    <row r="542" spans="1:17" x14ac:dyDescent="0.25">
      <c r="A542" s="19"/>
      <c r="B542" s="19"/>
      <c r="C542" s="19"/>
      <c r="D542" s="19"/>
      <c r="E542" s="20"/>
      <c r="F542" s="20"/>
      <c r="G542" s="19"/>
      <c r="H542" s="20"/>
      <c r="I542" s="20"/>
      <c r="J542" s="19"/>
      <c r="K542" s="20"/>
      <c r="L542" s="20"/>
      <c r="M542" s="19"/>
      <c r="N542" s="14"/>
      <c r="O542" s="13"/>
      <c r="P542" s="14"/>
      <c r="Q542" s="14"/>
    </row>
    <row r="543" spans="1:17" x14ac:dyDescent="0.25">
      <c r="A543" s="19"/>
      <c r="B543" s="19"/>
      <c r="C543" s="19"/>
      <c r="D543" s="19"/>
      <c r="E543" s="20"/>
      <c r="F543" s="20"/>
      <c r="G543" s="19"/>
      <c r="H543" s="20"/>
      <c r="I543" s="20"/>
      <c r="J543" s="19"/>
      <c r="K543" s="20"/>
      <c r="L543" s="20"/>
      <c r="M543" s="19"/>
      <c r="N543" s="14"/>
      <c r="O543" s="13"/>
      <c r="P543" s="14"/>
      <c r="Q543" s="14"/>
    </row>
    <row r="544" spans="1:17" x14ac:dyDescent="0.25">
      <c r="A544" s="19"/>
      <c r="B544" s="19"/>
      <c r="C544" s="19"/>
      <c r="D544" s="19"/>
      <c r="E544" s="20"/>
      <c r="F544" s="20"/>
      <c r="G544" s="19"/>
      <c r="H544" s="20"/>
      <c r="I544" s="20"/>
      <c r="J544" s="19"/>
      <c r="K544" s="20"/>
      <c r="L544" s="20"/>
      <c r="M544" s="19"/>
      <c r="N544" s="14"/>
      <c r="O544" s="13"/>
      <c r="P544" s="14"/>
      <c r="Q544" s="14"/>
    </row>
    <row r="545" spans="1:17" x14ac:dyDescent="0.25">
      <c r="A545" s="19"/>
      <c r="B545" s="19"/>
      <c r="C545" s="19"/>
      <c r="D545" s="19"/>
      <c r="E545" s="20"/>
      <c r="F545" s="20"/>
      <c r="G545" s="19"/>
      <c r="H545" s="20"/>
      <c r="I545" s="20"/>
      <c r="J545" s="19"/>
      <c r="K545" s="20"/>
      <c r="L545" s="20"/>
      <c r="M545" s="19"/>
      <c r="N545" s="14"/>
      <c r="O545" s="13"/>
      <c r="P545" s="14"/>
      <c r="Q545" s="14"/>
    </row>
    <row r="546" spans="1:17" x14ac:dyDescent="0.25">
      <c r="A546" s="19"/>
      <c r="B546" s="19"/>
      <c r="C546" s="19"/>
      <c r="D546" s="19"/>
      <c r="E546" s="20"/>
      <c r="F546" s="20"/>
      <c r="G546" s="19"/>
      <c r="H546" s="20"/>
      <c r="I546" s="20"/>
      <c r="J546" s="19"/>
      <c r="K546" s="20"/>
      <c r="L546" s="20"/>
      <c r="M546" s="19"/>
      <c r="N546" s="14"/>
      <c r="O546" s="13"/>
      <c r="P546" s="14"/>
      <c r="Q546" s="14"/>
    </row>
    <row r="547" spans="1:17" x14ac:dyDescent="0.25">
      <c r="A547" s="19"/>
      <c r="B547" s="19"/>
      <c r="C547" s="19"/>
      <c r="D547" s="19"/>
      <c r="E547" s="20"/>
      <c r="F547" s="20"/>
      <c r="G547" s="19"/>
      <c r="H547" s="20"/>
      <c r="I547" s="20"/>
      <c r="J547" s="19"/>
      <c r="K547" s="20"/>
      <c r="L547" s="20"/>
      <c r="M547" s="19"/>
      <c r="N547" s="14"/>
      <c r="O547" s="13"/>
      <c r="P547" s="14"/>
      <c r="Q547" s="14"/>
    </row>
    <row r="548" spans="1:17" x14ac:dyDescent="0.25">
      <c r="A548" s="19"/>
      <c r="B548" s="19"/>
      <c r="C548" s="19"/>
      <c r="D548" s="19"/>
      <c r="E548" s="20"/>
      <c r="F548" s="20"/>
      <c r="G548" s="19"/>
      <c r="H548" s="20"/>
      <c r="I548" s="20"/>
      <c r="J548" s="19"/>
      <c r="K548" s="20"/>
      <c r="L548" s="20"/>
      <c r="M548" s="19"/>
      <c r="N548" s="14"/>
      <c r="O548" s="13"/>
      <c r="P548" s="14"/>
      <c r="Q548" s="14"/>
    </row>
    <row r="549" spans="1:17" x14ac:dyDescent="0.25">
      <c r="A549" s="19"/>
      <c r="B549" s="19"/>
      <c r="C549" s="19"/>
      <c r="D549" s="19"/>
      <c r="E549" s="20"/>
      <c r="F549" s="20"/>
      <c r="G549" s="19"/>
      <c r="H549" s="20"/>
      <c r="I549" s="20"/>
      <c r="J549" s="19"/>
      <c r="K549" s="20"/>
      <c r="L549" s="20"/>
      <c r="M549" s="19"/>
      <c r="N549" s="14"/>
      <c r="O549" s="13"/>
      <c r="P549" s="14"/>
      <c r="Q549" s="14"/>
    </row>
    <row r="550" spans="1:17" x14ac:dyDescent="0.25">
      <c r="A550" s="19"/>
      <c r="B550" s="19"/>
      <c r="C550" s="19"/>
      <c r="D550" s="19"/>
      <c r="E550" s="20"/>
      <c r="F550" s="20"/>
      <c r="G550" s="19"/>
      <c r="H550" s="20"/>
      <c r="I550" s="20"/>
      <c r="J550" s="19"/>
      <c r="K550" s="20"/>
      <c r="L550" s="20"/>
      <c r="M550" s="19"/>
      <c r="N550" s="14"/>
      <c r="O550" s="13"/>
      <c r="P550" s="14"/>
      <c r="Q550" s="14"/>
    </row>
    <row r="551" spans="1:17" x14ac:dyDescent="0.25">
      <c r="A551" s="19"/>
      <c r="B551" s="19"/>
      <c r="C551" s="19"/>
      <c r="D551" s="19"/>
      <c r="E551" s="20"/>
      <c r="F551" s="20"/>
      <c r="G551" s="19"/>
      <c r="H551" s="20"/>
      <c r="I551" s="20"/>
      <c r="J551" s="19"/>
      <c r="K551" s="20"/>
      <c r="L551" s="20"/>
      <c r="M551" s="19"/>
      <c r="N551" s="14"/>
      <c r="O551" s="13"/>
      <c r="P551" s="14"/>
      <c r="Q551" s="14"/>
    </row>
    <row r="552" spans="1:17" x14ac:dyDescent="0.25">
      <c r="A552" s="19"/>
      <c r="B552" s="19"/>
      <c r="C552" s="19"/>
      <c r="D552" s="19"/>
      <c r="E552" s="20"/>
      <c r="F552" s="20"/>
      <c r="G552" s="19"/>
      <c r="H552" s="20"/>
      <c r="I552" s="20"/>
      <c r="J552" s="19"/>
      <c r="K552" s="20"/>
      <c r="L552" s="20"/>
      <c r="M552" s="19"/>
      <c r="N552" s="14"/>
      <c r="O552" s="13"/>
      <c r="P552" s="14"/>
      <c r="Q552" s="14"/>
    </row>
    <row r="553" spans="1:17" x14ac:dyDescent="0.25">
      <c r="A553" s="19"/>
      <c r="B553" s="19"/>
      <c r="C553" s="19"/>
      <c r="D553" s="19"/>
      <c r="E553" s="20"/>
      <c r="F553" s="20"/>
      <c r="G553" s="19"/>
      <c r="H553" s="20"/>
      <c r="I553" s="20"/>
      <c r="J553" s="19"/>
      <c r="K553" s="20"/>
      <c r="L553" s="20"/>
      <c r="M553" s="19"/>
      <c r="N553" s="14"/>
      <c r="O553" s="13"/>
      <c r="P553" s="14"/>
      <c r="Q553" s="14"/>
    </row>
    <row r="554" spans="1:17" x14ac:dyDescent="0.25">
      <c r="A554" s="19"/>
      <c r="B554" s="19"/>
      <c r="C554" s="19"/>
      <c r="D554" s="19"/>
      <c r="E554" s="20"/>
      <c r="F554" s="20"/>
      <c r="G554" s="19"/>
      <c r="H554" s="20"/>
      <c r="I554" s="20"/>
      <c r="J554" s="19"/>
      <c r="K554" s="20"/>
      <c r="L554" s="20"/>
      <c r="M554" s="19"/>
      <c r="N554" s="14"/>
      <c r="O554" s="13"/>
      <c r="P554" s="14"/>
      <c r="Q554" s="14"/>
    </row>
    <row r="555" spans="1:17" x14ac:dyDescent="0.25">
      <c r="A555" s="19"/>
      <c r="B555" s="19"/>
      <c r="C555" s="19"/>
      <c r="D555" s="19"/>
      <c r="E555" s="20"/>
      <c r="F555" s="20"/>
      <c r="G555" s="19"/>
      <c r="H555" s="20"/>
      <c r="I555" s="20"/>
      <c r="J555" s="19"/>
      <c r="K555" s="20"/>
      <c r="L555" s="20"/>
      <c r="M555" s="19"/>
      <c r="N555" s="14"/>
      <c r="O555" s="13"/>
      <c r="P555" s="14"/>
      <c r="Q555" s="14"/>
    </row>
    <row r="556" spans="1:17" x14ac:dyDescent="0.25">
      <c r="A556" s="19"/>
      <c r="B556" s="19"/>
      <c r="C556" s="19"/>
      <c r="D556" s="19"/>
      <c r="E556" s="20"/>
      <c r="F556" s="20"/>
      <c r="G556" s="19"/>
      <c r="H556" s="20"/>
      <c r="I556" s="20"/>
      <c r="J556" s="19"/>
      <c r="K556" s="20"/>
      <c r="L556" s="20"/>
      <c r="M556" s="19"/>
      <c r="N556" s="14"/>
      <c r="O556" s="13"/>
      <c r="P556" s="14"/>
      <c r="Q556" s="14"/>
    </row>
    <row r="557" spans="1:17" x14ac:dyDescent="0.25">
      <c r="A557" s="19"/>
      <c r="B557" s="19"/>
      <c r="C557" s="19"/>
      <c r="D557" s="19"/>
      <c r="E557" s="20"/>
      <c r="F557" s="20"/>
      <c r="G557" s="19"/>
      <c r="H557" s="20"/>
      <c r="I557" s="20"/>
      <c r="J557" s="19"/>
      <c r="K557" s="20"/>
      <c r="L557" s="20"/>
      <c r="M557" s="19"/>
      <c r="N557" s="14"/>
      <c r="O557" s="13"/>
      <c r="P557" s="14"/>
      <c r="Q557" s="14"/>
    </row>
    <row r="558" spans="1:17" x14ac:dyDescent="0.25">
      <c r="A558" s="19"/>
      <c r="B558" s="19"/>
      <c r="C558" s="19"/>
      <c r="D558" s="19"/>
      <c r="E558" s="20"/>
      <c r="F558" s="20"/>
      <c r="G558" s="19"/>
      <c r="H558" s="20"/>
      <c r="I558" s="20"/>
      <c r="J558" s="19"/>
      <c r="K558" s="20"/>
      <c r="L558" s="20"/>
      <c r="M558" s="19"/>
      <c r="N558" s="14"/>
      <c r="O558" s="13"/>
      <c r="P558" s="14"/>
      <c r="Q558" s="14"/>
    </row>
    <row r="559" spans="1:17" x14ac:dyDescent="0.25">
      <c r="A559" s="19"/>
      <c r="B559" s="19"/>
      <c r="C559" s="19"/>
      <c r="D559" s="19"/>
      <c r="E559" s="20"/>
      <c r="F559" s="20"/>
      <c r="G559" s="19"/>
      <c r="H559" s="20"/>
      <c r="I559" s="20"/>
      <c r="J559" s="19"/>
      <c r="K559" s="20"/>
      <c r="L559" s="20"/>
      <c r="M559" s="19"/>
      <c r="N559" s="14"/>
      <c r="O559" s="13"/>
      <c r="P559" s="14"/>
      <c r="Q559" s="14"/>
    </row>
    <row r="560" spans="1:17" x14ac:dyDescent="0.25">
      <c r="A560" s="19"/>
      <c r="B560" s="19"/>
      <c r="C560" s="19"/>
      <c r="D560" s="19"/>
      <c r="E560" s="20"/>
      <c r="F560" s="20"/>
      <c r="G560" s="19"/>
      <c r="H560" s="20"/>
      <c r="I560" s="20"/>
      <c r="J560" s="19"/>
      <c r="K560" s="20"/>
      <c r="L560" s="20"/>
      <c r="M560" s="19"/>
      <c r="N560" s="14"/>
      <c r="O560" s="13"/>
      <c r="P560" s="14"/>
      <c r="Q560" s="14"/>
    </row>
    <row r="561" spans="1:17" x14ac:dyDescent="0.25">
      <c r="A561" s="19"/>
      <c r="B561" s="19"/>
      <c r="C561" s="19"/>
      <c r="D561" s="19"/>
      <c r="E561" s="20"/>
      <c r="F561" s="20"/>
      <c r="G561" s="19"/>
      <c r="H561" s="20"/>
      <c r="I561" s="20"/>
      <c r="J561" s="19"/>
      <c r="K561" s="20"/>
      <c r="L561" s="20"/>
      <c r="M561" s="19"/>
      <c r="N561" s="14"/>
      <c r="O561" s="13"/>
      <c r="P561" s="14"/>
      <c r="Q561" s="14"/>
    </row>
    <row r="562" spans="1:17" x14ac:dyDescent="0.25">
      <c r="A562" s="19"/>
      <c r="B562" s="19"/>
      <c r="C562" s="19"/>
      <c r="D562" s="19"/>
      <c r="E562" s="20"/>
      <c r="F562" s="20"/>
      <c r="G562" s="19"/>
      <c r="H562" s="20"/>
      <c r="I562" s="20"/>
      <c r="J562" s="19"/>
      <c r="K562" s="20"/>
      <c r="L562" s="20"/>
      <c r="M562" s="19"/>
      <c r="N562" s="14"/>
      <c r="O562" s="13"/>
      <c r="P562" s="14"/>
      <c r="Q562" s="14"/>
    </row>
    <row r="563" spans="1:17" x14ac:dyDescent="0.25">
      <c r="A563" s="19"/>
      <c r="B563" s="19"/>
      <c r="C563" s="19"/>
      <c r="D563" s="19"/>
      <c r="E563" s="20"/>
      <c r="F563" s="20"/>
      <c r="G563" s="19"/>
      <c r="H563" s="20"/>
      <c r="I563" s="20"/>
      <c r="J563" s="19"/>
      <c r="K563" s="20"/>
      <c r="L563" s="20"/>
      <c r="M563" s="19"/>
      <c r="N563" s="14"/>
      <c r="O563" s="13"/>
      <c r="P563" s="14"/>
      <c r="Q563" s="14"/>
    </row>
    <row r="564" spans="1:17" x14ac:dyDescent="0.25">
      <c r="A564" s="19"/>
      <c r="B564" s="19"/>
      <c r="C564" s="19"/>
      <c r="D564" s="19"/>
      <c r="E564" s="20"/>
      <c r="F564" s="20"/>
      <c r="G564" s="19"/>
      <c r="H564" s="20"/>
      <c r="I564" s="20"/>
      <c r="J564" s="19"/>
      <c r="K564" s="20"/>
      <c r="L564" s="20"/>
      <c r="M564" s="19"/>
      <c r="N564" s="14"/>
      <c r="O564" s="13"/>
      <c r="P564" s="14"/>
      <c r="Q564" s="14"/>
    </row>
    <row r="565" spans="1:17" x14ac:dyDescent="0.25">
      <c r="A565" s="19"/>
      <c r="B565" s="19"/>
      <c r="C565" s="19"/>
      <c r="D565" s="19"/>
      <c r="E565" s="20"/>
      <c r="F565" s="20"/>
      <c r="G565" s="19"/>
      <c r="H565" s="20"/>
      <c r="I565" s="20"/>
      <c r="J565" s="19"/>
      <c r="K565" s="20"/>
      <c r="L565" s="20"/>
      <c r="M565" s="19"/>
      <c r="N565" s="14"/>
      <c r="O565" s="13"/>
      <c r="P565" s="14"/>
      <c r="Q565" s="14"/>
    </row>
    <row r="566" spans="1:17" x14ac:dyDescent="0.25">
      <c r="A566" s="19"/>
      <c r="B566" s="19"/>
      <c r="C566" s="19"/>
      <c r="D566" s="19"/>
      <c r="E566" s="20"/>
      <c r="F566" s="20"/>
      <c r="G566" s="19"/>
      <c r="H566" s="20"/>
      <c r="I566" s="20"/>
      <c r="J566" s="19"/>
      <c r="K566" s="20"/>
      <c r="L566" s="20"/>
      <c r="M566" s="19"/>
      <c r="N566" s="14"/>
      <c r="O566" s="13"/>
      <c r="P566" s="14"/>
      <c r="Q566" s="14"/>
    </row>
    <row r="567" spans="1:17" x14ac:dyDescent="0.25">
      <c r="A567" s="19"/>
      <c r="B567" s="19"/>
      <c r="C567" s="19"/>
      <c r="D567" s="19"/>
      <c r="E567" s="20"/>
      <c r="F567" s="20"/>
      <c r="G567" s="19"/>
      <c r="H567" s="20"/>
      <c r="I567" s="20"/>
      <c r="J567" s="19"/>
      <c r="K567" s="20"/>
      <c r="L567" s="20"/>
      <c r="M567" s="19"/>
      <c r="N567" s="14"/>
      <c r="O567" s="13"/>
      <c r="P567" s="14"/>
      <c r="Q567" s="14"/>
    </row>
    <row r="568" spans="1:17" x14ac:dyDescent="0.25">
      <c r="A568" s="19"/>
      <c r="B568" s="19"/>
      <c r="C568" s="19"/>
      <c r="D568" s="19"/>
      <c r="E568" s="20"/>
      <c r="F568" s="20"/>
      <c r="G568" s="19"/>
      <c r="H568" s="20"/>
      <c r="I568" s="20"/>
      <c r="J568" s="19"/>
      <c r="K568" s="20"/>
      <c r="L568" s="20"/>
      <c r="M568" s="19"/>
      <c r="N568" s="14"/>
      <c r="O568" s="13"/>
      <c r="P568" s="14"/>
      <c r="Q568" s="14"/>
    </row>
    <row r="569" spans="1:17" x14ac:dyDescent="0.25">
      <c r="A569" s="19"/>
      <c r="B569" s="19"/>
      <c r="C569" s="19"/>
      <c r="D569" s="19"/>
      <c r="E569" s="20"/>
      <c r="F569" s="20"/>
      <c r="G569" s="19"/>
      <c r="H569" s="20"/>
      <c r="I569" s="20"/>
      <c r="J569" s="19"/>
      <c r="K569" s="20"/>
      <c r="L569" s="20"/>
      <c r="M569" s="19"/>
      <c r="N569" s="14"/>
      <c r="O569" s="13"/>
      <c r="P569" s="14"/>
      <c r="Q569" s="14"/>
    </row>
    <row r="570" spans="1:17" x14ac:dyDescent="0.25">
      <c r="A570" s="19"/>
      <c r="B570" s="19"/>
      <c r="C570" s="19"/>
      <c r="D570" s="19"/>
      <c r="E570" s="20"/>
      <c r="F570" s="20"/>
      <c r="G570" s="19"/>
      <c r="H570" s="20"/>
      <c r="I570" s="20"/>
      <c r="J570" s="19"/>
      <c r="K570" s="20"/>
      <c r="L570" s="20"/>
      <c r="M570" s="19"/>
      <c r="N570" s="14"/>
      <c r="O570" s="13"/>
      <c r="P570" s="14"/>
      <c r="Q570" s="14"/>
    </row>
    <row r="571" spans="1:17" x14ac:dyDescent="0.25">
      <c r="A571" s="19"/>
      <c r="B571" s="19"/>
      <c r="C571" s="19"/>
      <c r="D571" s="19"/>
      <c r="E571" s="20"/>
      <c r="F571" s="20"/>
      <c r="G571" s="19"/>
      <c r="H571" s="20"/>
      <c r="I571" s="20"/>
      <c r="J571" s="19"/>
      <c r="K571" s="20"/>
      <c r="L571" s="20"/>
      <c r="M571" s="19"/>
      <c r="N571" s="14"/>
      <c r="O571" s="13"/>
      <c r="P571" s="14"/>
      <c r="Q571" s="14"/>
    </row>
    <row r="572" spans="1:17" x14ac:dyDescent="0.25">
      <c r="A572" s="19"/>
      <c r="B572" s="19"/>
      <c r="C572" s="19"/>
      <c r="D572" s="19"/>
      <c r="E572" s="20"/>
      <c r="F572" s="20"/>
      <c r="G572" s="19"/>
      <c r="H572" s="20"/>
      <c r="I572" s="20"/>
      <c r="J572" s="19"/>
      <c r="K572" s="20"/>
      <c r="L572" s="20"/>
      <c r="M572" s="19"/>
      <c r="N572" s="14"/>
      <c r="O572" s="13"/>
      <c r="P572" s="14"/>
      <c r="Q572" s="14"/>
    </row>
    <row r="573" spans="1:17" x14ac:dyDescent="0.25">
      <c r="A573" s="19"/>
      <c r="B573" s="19"/>
      <c r="C573" s="19"/>
      <c r="D573" s="19"/>
      <c r="E573" s="20"/>
      <c r="F573" s="20"/>
      <c r="G573" s="19"/>
      <c r="H573" s="20"/>
      <c r="I573" s="20"/>
      <c r="J573" s="19"/>
      <c r="K573" s="20"/>
      <c r="L573" s="20"/>
      <c r="M573" s="19"/>
      <c r="N573" s="14"/>
      <c r="O573" s="13"/>
      <c r="P573" s="14"/>
      <c r="Q573" s="14"/>
    </row>
    <row r="574" spans="1:17" x14ac:dyDescent="0.25">
      <c r="A574" s="19"/>
      <c r="B574" s="19"/>
      <c r="C574" s="19"/>
      <c r="D574" s="19"/>
      <c r="E574" s="20"/>
      <c r="F574" s="20"/>
      <c r="G574" s="19"/>
      <c r="H574" s="20"/>
      <c r="I574" s="20"/>
      <c r="J574" s="19"/>
      <c r="K574" s="20"/>
      <c r="L574" s="20"/>
      <c r="M574" s="19"/>
      <c r="N574" s="14"/>
      <c r="O574" s="13"/>
      <c r="P574" s="14"/>
      <c r="Q574" s="14"/>
    </row>
    <row r="575" spans="1:17" x14ac:dyDescent="0.25">
      <c r="A575" s="19"/>
      <c r="B575" s="19"/>
      <c r="C575" s="19"/>
      <c r="D575" s="19"/>
      <c r="E575" s="20"/>
      <c r="F575" s="20"/>
      <c r="G575" s="19"/>
      <c r="H575" s="20"/>
      <c r="I575" s="20"/>
      <c r="J575" s="19"/>
      <c r="K575" s="20"/>
      <c r="L575" s="20"/>
      <c r="M575" s="19"/>
      <c r="N575" s="14"/>
      <c r="O575" s="13"/>
      <c r="P575" s="14"/>
      <c r="Q575" s="14"/>
    </row>
    <row r="576" spans="1:17" x14ac:dyDescent="0.25">
      <c r="A576" s="19"/>
      <c r="B576" s="19"/>
      <c r="C576" s="19"/>
      <c r="D576" s="19"/>
      <c r="E576" s="20"/>
      <c r="F576" s="20"/>
      <c r="G576" s="19"/>
      <c r="H576" s="20"/>
      <c r="I576" s="20"/>
      <c r="J576" s="19"/>
      <c r="K576" s="20"/>
      <c r="L576" s="20"/>
      <c r="M576" s="19"/>
      <c r="N576" s="14"/>
      <c r="O576" s="13"/>
      <c r="P576" s="14"/>
      <c r="Q576" s="14"/>
    </row>
    <row r="577" spans="1:17" x14ac:dyDescent="0.25">
      <c r="A577" s="19"/>
      <c r="B577" s="19"/>
      <c r="C577" s="19"/>
      <c r="D577" s="19"/>
      <c r="E577" s="20"/>
      <c r="F577" s="20"/>
      <c r="G577" s="19"/>
      <c r="H577" s="20"/>
      <c r="I577" s="20"/>
      <c r="J577" s="19"/>
      <c r="K577" s="20"/>
      <c r="L577" s="20"/>
      <c r="M577" s="19"/>
      <c r="N577" s="14"/>
      <c r="O577" s="13"/>
      <c r="P577" s="14"/>
      <c r="Q577" s="14"/>
    </row>
    <row r="578" spans="1:17" x14ac:dyDescent="0.25">
      <c r="A578" s="19"/>
      <c r="B578" s="19"/>
      <c r="C578" s="19"/>
      <c r="D578" s="19"/>
      <c r="E578" s="20"/>
      <c r="F578" s="20"/>
      <c r="G578" s="19"/>
      <c r="H578" s="20"/>
      <c r="I578" s="20"/>
      <c r="J578" s="19"/>
      <c r="K578" s="20"/>
      <c r="L578" s="20"/>
      <c r="M578" s="19"/>
      <c r="N578" s="14"/>
      <c r="O578" s="13"/>
      <c r="P578" s="14"/>
      <c r="Q578" s="14"/>
    </row>
    <row r="579" spans="1:17" x14ac:dyDescent="0.25">
      <c r="A579" s="19"/>
      <c r="B579" s="19"/>
      <c r="C579" s="19"/>
      <c r="D579" s="19"/>
      <c r="E579" s="20"/>
      <c r="F579" s="20"/>
      <c r="G579" s="19"/>
      <c r="H579" s="20"/>
      <c r="I579" s="20"/>
      <c r="J579" s="19"/>
      <c r="K579" s="20"/>
      <c r="L579" s="20"/>
      <c r="M579" s="19"/>
      <c r="N579" s="14"/>
      <c r="O579" s="13"/>
      <c r="P579" s="14"/>
      <c r="Q579" s="14"/>
    </row>
    <row r="580" spans="1:17" x14ac:dyDescent="0.25">
      <c r="A580" s="19"/>
      <c r="B580" s="19"/>
      <c r="C580" s="19"/>
      <c r="D580" s="19"/>
      <c r="E580" s="20"/>
      <c r="F580" s="20"/>
      <c r="G580" s="19"/>
      <c r="H580" s="20"/>
      <c r="I580" s="20"/>
      <c r="J580" s="19"/>
      <c r="K580" s="20"/>
      <c r="L580" s="20"/>
      <c r="M580" s="19"/>
      <c r="N580" s="14"/>
      <c r="O580" s="13"/>
      <c r="P580" s="14"/>
      <c r="Q580" s="14"/>
    </row>
    <row r="581" spans="1:17" x14ac:dyDescent="0.25">
      <c r="A581" s="19"/>
      <c r="B581" s="19"/>
      <c r="C581" s="19"/>
      <c r="D581" s="19"/>
      <c r="E581" s="20"/>
      <c r="F581" s="20"/>
      <c r="G581" s="19"/>
      <c r="H581" s="20"/>
      <c r="I581" s="20"/>
      <c r="J581" s="19"/>
      <c r="K581" s="20"/>
      <c r="L581" s="20"/>
      <c r="M581" s="19"/>
      <c r="N581" s="14"/>
      <c r="O581" s="13"/>
      <c r="P581" s="14"/>
      <c r="Q581" s="14"/>
    </row>
    <row r="582" spans="1:17" x14ac:dyDescent="0.25">
      <c r="A582" s="19"/>
      <c r="B582" s="19"/>
      <c r="C582" s="19"/>
      <c r="D582" s="19"/>
      <c r="E582" s="20"/>
      <c r="F582" s="20"/>
      <c r="G582" s="19"/>
      <c r="H582" s="20"/>
      <c r="I582" s="20"/>
      <c r="J582" s="19"/>
      <c r="K582" s="20"/>
      <c r="L582" s="20"/>
      <c r="M582" s="19"/>
      <c r="N582" s="14"/>
      <c r="O582" s="13"/>
      <c r="P582" s="14"/>
      <c r="Q582" s="14"/>
    </row>
    <row r="583" spans="1:17" x14ac:dyDescent="0.25">
      <c r="A583" s="19"/>
      <c r="B583" s="19"/>
      <c r="C583" s="19"/>
      <c r="D583" s="19"/>
      <c r="E583" s="20"/>
      <c r="F583" s="20"/>
      <c r="G583" s="19"/>
      <c r="H583" s="20"/>
      <c r="I583" s="20"/>
      <c r="J583" s="19"/>
      <c r="K583" s="20"/>
      <c r="L583" s="20"/>
      <c r="M583" s="19"/>
      <c r="N583" s="14"/>
      <c r="O583" s="13"/>
      <c r="P583" s="14"/>
      <c r="Q583" s="14"/>
    </row>
    <row r="584" spans="1:17" x14ac:dyDescent="0.25">
      <c r="A584" s="19"/>
      <c r="B584" s="13"/>
      <c r="C584" s="14"/>
      <c r="D584" s="13"/>
      <c r="E584" s="14"/>
      <c r="F584" s="14"/>
      <c r="G584" s="14"/>
      <c r="H584" s="13"/>
      <c r="I584" s="14"/>
      <c r="J584" s="14"/>
      <c r="K584" s="14"/>
      <c r="L584" s="13"/>
      <c r="M584" s="14"/>
      <c r="N584" s="14"/>
      <c r="O584" s="13"/>
      <c r="P584" s="14"/>
      <c r="Q584" s="14"/>
    </row>
    <row r="585" spans="1:17" x14ac:dyDescent="0.25">
      <c r="A585" s="19"/>
      <c r="B585" s="13"/>
      <c r="C585" s="14"/>
      <c r="D585" s="13"/>
      <c r="E585" s="14"/>
      <c r="F585" s="14"/>
      <c r="G585" s="14"/>
      <c r="H585" s="13"/>
      <c r="I585" s="14"/>
      <c r="J585" s="14"/>
      <c r="K585" s="14"/>
      <c r="L585" s="13"/>
      <c r="M585" s="14"/>
      <c r="N585" s="14"/>
      <c r="O585" s="13"/>
      <c r="P585" s="14"/>
      <c r="Q585" s="14"/>
    </row>
    <row r="586" spans="1:17" x14ac:dyDescent="0.25">
      <c r="A586" s="19"/>
      <c r="B586" s="13"/>
      <c r="C586" s="14"/>
      <c r="D586" s="13"/>
      <c r="E586" s="14"/>
      <c r="F586" s="14"/>
      <c r="G586" s="14"/>
      <c r="H586" s="13"/>
      <c r="I586" s="14"/>
      <c r="J586" s="14"/>
      <c r="K586" s="14"/>
      <c r="L586" s="13"/>
      <c r="M586" s="14"/>
      <c r="N586" s="14"/>
      <c r="O586" s="13"/>
      <c r="P586" s="14"/>
      <c r="Q586" s="14"/>
    </row>
    <row r="587" spans="1:17" x14ac:dyDescent="0.25">
      <c r="A587" s="19"/>
      <c r="B587" s="13"/>
      <c r="C587" s="14"/>
      <c r="D587" s="13"/>
      <c r="E587" s="14"/>
      <c r="F587" s="14"/>
      <c r="G587" s="14"/>
      <c r="H587" s="13"/>
      <c r="I587" s="14"/>
      <c r="J587" s="14"/>
      <c r="K587" s="14"/>
      <c r="L587" s="13"/>
      <c r="M587" s="14"/>
      <c r="N587" s="14"/>
      <c r="O587" s="13"/>
      <c r="P587" s="14"/>
      <c r="Q587" s="14"/>
    </row>
    <row r="588" spans="1:17" x14ac:dyDescent="0.25">
      <c r="A588" s="19"/>
      <c r="B588" s="13"/>
      <c r="C588" s="14"/>
      <c r="D588" s="13"/>
      <c r="E588" s="14"/>
      <c r="F588" s="14"/>
      <c r="G588" s="14"/>
      <c r="H588" s="13"/>
      <c r="I588" s="14"/>
      <c r="J588" s="14"/>
      <c r="K588" s="14"/>
      <c r="L588" s="13"/>
      <c r="M588" s="14"/>
      <c r="N588" s="14"/>
      <c r="O588" s="13"/>
      <c r="P588" s="14"/>
      <c r="Q588" s="14"/>
    </row>
    <row r="589" spans="1:17" x14ac:dyDescent="0.25">
      <c r="A589" s="19"/>
      <c r="B589" s="13"/>
      <c r="C589" s="14"/>
      <c r="D589" s="13"/>
      <c r="E589" s="14"/>
      <c r="F589" s="14"/>
      <c r="G589" s="14"/>
      <c r="H589" s="13"/>
      <c r="I589" s="14"/>
      <c r="J589" s="14"/>
      <c r="K589" s="14"/>
      <c r="L589" s="13"/>
      <c r="M589" s="14"/>
      <c r="N589" s="14"/>
      <c r="O589" s="13"/>
      <c r="P589" s="14"/>
      <c r="Q589" s="14"/>
    </row>
    <row r="590" spans="1:17" x14ac:dyDescent="0.25">
      <c r="A590" s="19"/>
      <c r="B590" s="13"/>
      <c r="C590" s="14"/>
      <c r="D590" s="13"/>
      <c r="E590" s="14"/>
      <c r="F590" s="14"/>
      <c r="G590" s="14"/>
      <c r="H590" s="13"/>
      <c r="I590" s="14"/>
      <c r="J590" s="14"/>
      <c r="K590" s="14"/>
      <c r="L590" s="13"/>
      <c r="M590" s="14"/>
      <c r="N590" s="14"/>
      <c r="O590" s="13"/>
      <c r="P590" s="14"/>
      <c r="Q590" s="14"/>
    </row>
    <row r="591" spans="1:17" x14ac:dyDescent="0.25">
      <c r="A591" s="19"/>
      <c r="B591" s="13"/>
      <c r="C591" s="14"/>
      <c r="D591" s="13"/>
      <c r="E591" s="14"/>
      <c r="F591" s="14"/>
      <c r="G591" s="14"/>
      <c r="H591" s="13"/>
      <c r="I591" s="14"/>
      <c r="J591" s="14"/>
      <c r="K591" s="14"/>
      <c r="L591" s="13"/>
      <c r="M591" s="14"/>
      <c r="N591" s="14"/>
      <c r="O591" s="13"/>
      <c r="P591" s="14"/>
      <c r="Q591" s="14"/>
    </row>
    <row r="592" spans="1:17" x14ac:dyDescent="0.25">
      <c r="A592" s="19"/>
      <c r="B592" s="13"/>
      <c r="C592" s="14"/>
      <c r="D592" s="13"/>
      <c r="E592" s="14"/>
      <c r="F592" s="14"/>
      <c r="G592" s="14"/>
      <c r="H592" s="13"/>
      <c r="I592" s="14"/>
      <c r="J592" s="14"/>
      <c r="K592" s="14"/>
      <c r="L592" s="13"/>
      <c r="M592" s="14"/>
      <c r="N592" s="14"/>
      <c r="O592" s="13"/>
      <c r="P592" s="14"/>
      <c r="Q592" s="14"/>
    </row>
    <row r="593" spans="1:17" x14ac:dyDescent="0.25">
      <c r="A593" s="19"/>
      <c r="B593" s="13"/>
      <c r="C593" s="14"/>
      <c r="D593" s="13"/>
      <c r="E593" s="14"/>
      <c r="F593" s="14"/>
      <c r="G593" s="14"/>
      <c r="H593" s="13"/>
      <c r="I593" s="14"/>
      <c r="J593" s="14"/>
      <c r="K593" s="14"/>
      <c r="L593" s="13"/>
      <c r="M593" s="14"/>
      <c r="N593" s="14"/>
      <c r="O593" s="13"/>
      <c r="P593" s="14"/>
      <c r="Q593" s="14"/>
    </row>
    <row r="594" spans="1:17" x14ac:dyDescent="0.25">
      <c r="A594" s="19"/>
      <c r="B594" s="13"/>
      <c r="C594" s="14"/>
      <c r="D594" s="13"/>
      <c r="E594" s="14"/>
      <c r="F594" s="14"/>
      <c r="G594" s="14"/>
      <c r="H594" s="13"/>
      <c r="I594" s="14"/>
      <c r="J594" s="14"/>
      <c r="K594" s="14"/>
      <c r="L594" s="13"/>
      <c r="M594" s="14"/>
      <c r="N594" s="14"/>
      <c r="O594" s="13"/>
      <c r="P594" s="14"/>
      <c r="Q594" s="14"/>
    </row>
    <row r="595" spans="1:17" x14ac:dyDescent="0.25">
      <c r="A595" s="19"/>
      <c r="B595" s="13"/>
      <c r="C595" s="14"/>
      <c r="D595" s="13"/>
      <c r="E595" s="14"/>
      <c r="F595" s="14"/>
      <c r="G595" s="14"/>
      <c r="H595" s="13"/>
      <c r="I595" s="14"/>
      <c r="J595" s="14"/>
      <c r="K595" s="14"/>
      <c r="L595" s="13"/>
      <c r="M595" s="14"/>
      <c r="N595" s="14"/>
      <c r="O595" s="13"/>
      <c r="P595" s="14"/>
      <c r="Q595" s="14"/>
    </row>
    <row r="596" spans="1:17" x14ac:dyDescent="0.25">
      <c r="A596" s="19"/>
      <c r="B596" s="13"/>
      <c r="C596" s="14"/>
      <c r="D596" s="13"/>
      <c r="E596" s="14"/>
      <c r="F596" s="14"/>
      <c r="G596" s="14"/>
      <c r="H596" s="13"/>
      <c r="I596" s="14"/>
      <c r="J596" s="14"/>
      <c r="K596" s="14"/>
      <c r="L596" s="13"/>
      <c r="M596" s="14"/>
      <c r="N596" s="14"/>
      <c r="O596" s="13"/>
      <c r="P596" s="14"/>
      <c r="Q596" s="14"/>
    </row>
    <row r="597" spans="1:17" x14ac:dyDescent="0.25">
      <c r="A597" s="19"/>
      <c r="B597" s="13"/>
      <c r="C597" s="14"/>
      <c r="D597" s="13"/>
      <c r="E597" s="14"/>
      <c r="F597" s="14"/>
      <c r="G597" s="14"/>
      <c r="H597" s="13"/>
      <c r="I597" s="14"/>
      <c r="J597" s="14"/>
      <c r="K597" s="14"/>
      <c r="L597" s="13"/>
      <c r="M597" s="14"/>
      <c r="N597" s="14"/>
      <c r="O597" s="13"/>
      <c r="P597" s="14"/>
      <c r="Q597" s="14"/>
    </row>
    <row r="598" spans="1:17" x14ac:dyDescent="0.25">
      <c r="A598" s="19"/>
      <c r="B598" s="13"/>
      <c r="C598" s="14"/>
      <c r="D598" s="13"/>
      <c r="E598" s="14"/>
      <c r="F598" s="14"/>
      <c r="G598" s="14"/>
      <c r="H598" s="13"/>
      <c r="I598" s="14"/>
      <c r="J598" s="14"/>
      <c r="K598" s="14"/>
      <c r="L598" s="13"/>
      <c r="M598" s="14"/>
      <c r="N598" s="14"/>
      <c r="O598" s="13"/>
      <c r="P598" s="14"/>
      <c r="Q598" s="14"/>
    </row>
    <row r="599" spans="1:17" x14ac:dyDescent="0.25">
      <c r="A599" s="19"/>
      <c r="B599" s="13"/>
      <c r="C599" s="14"/>
      <c r="D599" s="13"/>
      <c r="E599" s="14"/>
      <c r="F599" s="14"/>
      <c r="G599" s="14"/>
      <c r="H599" s="13"/>
      <c r="I599" s="14"/>
      <c r="J599" s="14"/>
      <c r="K599" s="14"/>
      <c r="L599" s="13"/>
      <c r="M599" s="14"/>
      <c r="N599" s="14"/>
      <c r="O599" s="13"/>
      <c r="P599" s="14"/>
      <c r="Q599" s="14"/>
    </row>
    <row r="600" spans="1:17" x14ac:dyDescent="0.25">
      <c r="A600" s="19"/>
      <c r="B600" s="13"/>
      <c r="C600" s="14"/>
      <c r="D600" s="13"/>
      <c r="E600" s="14"/>
      <c r="F600" s="14"/>
      <c r="G600" s="14"/>
      <c r="H600" s="13"/>
      <c r="I600" s="14"/>
      <c r="J600" s="14"/>
      <c r="K600" s="14"/>
      <c r="L600" s="13"/>
      <c r="M600" s="14"/>
      <c r="N600" s="14"/>
      <c r="O600" s="13"/>
      <c r="P600" s="14"/>
      <c r="Q600" s="14"/>
    </row>
    <row r="601" spans="1:17" x14ac:dyDescent="0.25">
      <c r="A601" s="19"/>
      <c r="B601" s="13"/>
      <c r="C601" s="14"/>
      <c r="D601" s="13"/>
      <c r="E601" s="14"/>
      <c r="F601" s="14"/>
      <c r="G601" s="14"/>
      <c r="H601" s="13"/>
      <c r="I601" s="14"/>
      <c r="J601" s="14"/>
      <c r="K601" s="14"/>
      <c r="L601" s="13"/>
      <c r="M601" s="14"/>
      <c r="N601" s="14"/>
      <c r="O601" s="13"/>
      <c r="P601" s="14"/>
      <c r="Q601" s="14"/>
    </row>
    <row r="602" spans="1:17" x14ac:dyDescent="0.25">
      <c r="A602" s="19"/>
      <c r="B602" s="13"/>
      <c r="C602" s="14"/>
      <c r="D602" s="13"/>
      <c r="E602" s="14"/>
      <c r="F602" s="14"/>
      <c r="G602" s="14"/>
      <c r="H602" s="13"/>
      <c r="I602" s="14"/>
      <c r="J602" s="14"/>
      <c r="K602" s="14"/>
      <c r="L602" s="13"/>
      <c r="M602" s="14"/>
      <c r="N602" s="14"/>
      <c r="O602" s="13"/>
      <c r="P602" s="14"/>
      <c r="Q602" s="14"/>
    </row>
    <row r="603" spans="1:17" x14ac:dyDescent="0.25">
      <c r="A603" s="19"/>
      <c r="B603" s="13"/>
      <c r="C603" s="14"/>
      <c r="D603" s="13"/>
      <c r="E603" s="14"/>
      <c r="F603" s="14"/>
      <c r="G603" s="14"/>
      <c r="H603" s="13"/>
      <c r="I603" s="14"/>
      <c r="J603" s="14"/>
      <c r="K603" s="14"/>
      <c r="L603" s="13"/>
      <c r="M603" s="14"/>
      <c r="N603" s="14"/>
      <c r="O603" s="13"/>
      <c r="P603" s="14"/>
      <c r="Q603" s="14"/>
    </row>
    <row r="604" spans="1:17" x14ac:dyDescent="0.25">
      <c r="A604" s="19"/>
      <c r="B604" s="13"/>
      <c r="C604" s="14"/>
      <c r="D604" s="13"/>
      <c r="E604" s="14"/>
      <c r="F604" s="14"/>
      <c r="G604" s="14"/>
      <c r="H604" s="13"/>
      <c r="I604" s="14"/>
      <c r="J604" s="14"/>
      <c r="K604" s="14"/>
      <c r="L604" s="13"/>
      <c r="M604" s="14"/>
      <c r="N604" s="14"/>
      <c r="O604" s="13"/>
      <c r="P604" s="14"/>
      <c r="Q604" s="14"/>
    </row>
    <row r="605" spans="1:17" x14ac:dyDescent="0.25">
      <c r="A605" s="19"/>
      <c r="B605" s="13"/>
      <c r="C605" s="14"/>
      <c r="D605" s="13"/>
      <c r="E605" s="14"/>
      <c r="F605" s="14"/>
      <c r="G605" s="14"/>
      <c r="H605" s="13"/>
      <c r="I605" s="14"/>
      <c r="J605" s="14"/>
      <c r="K605" s="14"/>
      <c r="L605" s="13"/>
      <c r="M605" s="14"/>
      <c r="N605" s="14"/>
      <c r="O605" s="13"/>
      <c r="P605" s="14"/>
      <c r="Q605" s="14"/>
    </row>
    <row r="606" spans="1:17" x14ac:dyDescent="0.25">
      <c r="A606" s="19"/>
      <c r="B606" s="13"/>
      <c r="C606" s="14"/>
      <c r="D606" s="13"/>
      <c r="E606" s="14"/>
      <c r="F606" s="14"/>
      <c r="G606" s="14"/>
      <c r="H606" s="13"/>
      <c r="I606" s="14"/>
      <c r="J606" s="14"/>
      <c r="K606" s="14"/>
      <c r="L606" s="13"/>
      <c r="M606" s="14"/>
      <c r="N606" s="14"/>
      <c r="O606" s="13"/>
      <c r="P606" s="14"/>
      <c r="Q606" s="14"/>
    </row>
    <row r="607" spans="1:17" x14ac:dyDescent="0.25">
      <c r="A607" s="19"/>
      <c r="B607" s="13"/>
      <c r="C607" s="14"/>
      <c r="D607" s="13"/>
      <c r="E607" s="14"/>
      <c r="F607" s="14"/>
      <c r="G607" s="14"/>
      <c r="H607" s="13"/>
      <c r="I607" s="14"/>
      <c r="J607" s="14"/>
      <c r="K607" s="14"/>
      <c r="L607" s="13"/>
      <c r="M607" s="14"/>
      <c r="N607" s="14"/>
      <c r="O607" s="13"/>
      <c r="P607" s="14"/>
      <c r="Q607" s="14"/>
    </row>
    <row r="608" spans="1:17" x14ac:dyDescent="0.25">
      <c r="A608" s="19"/>
      <c r="B608" s="13"/>
      <c r="C608" s="14"/>
      <c r="D608" s="13"/>
      <c r="E608" s="14"/>
      <c r="F608" s="14"/>
      <c r="G608" s="14"/>
      <c r="H608" s="13"/>
      <c r="I608" s="14"/>
      <c r="J608" s="14"/>
      <c r="K608" s="14"/>
      <c r="L608" s="13"/>
      <c r="M608" s="14"/>
      <c r="N608" s="14"/>
      <c r="O608" s="13"/>
      <c r="P608" s="14"/>
      <c r="Q608" s="14"/>
    </row>
    <row r="609" spans="1:17" x14ac:dyDescent="0.25">
      <c r="A609" s="19"/>
      <c r="B609" s="13"/>
      <c r="C609" s="14"/>
      <c r="D609" s="13"/>
      <c r="E609" s="14"/>
      <c r="F609" s="14"/>
      <c r="G609" s="14"/>
      <c r="H609" s="13"/>
      <c r="I609" s="14"/>
      <c r="J609" s="14"/>
      <c r="K609" s="14"/>
      <c r="L609" s="13"/>
      <c r="M609" s="14"/>
      <c r="N609" s="14"/>
      <c r="O609" s="13"/>
      <c r="P609" s="14"/>
      <c r="Q609" s="14"/>
    </row>
    <row r="610" spans="1:17" x14ac:dyDescent="0.25">
      <c r="A610" s="19"/>
      <c r="B610" s="13"/>
      <c r="C610" s="14"/>
      <c r="D610" s="13"/>
      <c r="E610" s="14"/>
      <c r="F610" s="14"/>
      <c r="G610" s="14"/>
      <c r="H610" s="13"/>
      <c r="I610" s="14"/>
      <c r="J610" s="14"/>
      <c r="K610" s="14"/>
      <c r="L610" s="13"/>
      <c r="M610" s="14"/>
      <c r="N610" s="14"/>
      <c r="O610" s="13"/>
      <c r="P610" s="14"/>
      <c r="Q610" s="14"/>
    </row>
    <row r="611" spans="1:17" x14ac:dyDescent="0.25">
      <c r="A611" s="19"/>
      <c r="B611" s="13"/>
      <c r="C611" s="14"/>
      <c r="D611" s="13"/>
      <c r="E611" s="14"/>
      <c r="F611" s="14"/>
      <c r="G611" s="14"/>
      <c r="H611" s="13"/>
      <c r="I611" s="14"/>
      <c r="J611" s="14"/>
      <c r="K611" s="14"/>
      <c r="L611" s="13"/>
      <c r="M611" s="14"/>
      <c r="N611" s="14"/>
      <c r="O611" s="13"/>
      <c r="P611" s="14"/>
      <c r="Q611" s="14"/>
    </row>
    <row r="612" spans="1:17" x14ac:dyDescent="0.25">
      <c r="A612" s="19"/>
      <c r="B612" s="13"/>
      <c r="C612" s="14"/>
      <c r="D612" s="13"/>
      <c r="E612" s="14"/>
      <c r="F612" s="14"/>
      <c r="G612" s="14"/>
      <c r="H612" s="13"/>
      <c r="I612" s="14"/>
      <c r="J612" s="14"/>
      <c r="K612" s="14"/>
      <c r="L612" s="13"/>
      <c r="M612" s="14"/>
      <c r="N612" s="14"/>
      <c r="O612" s="13"/>
      <c r="P612" s="14"/>
      <c r="Q612" s="14"/>
    </row>
    <row r="613" spans="1:17" x14ac:dyDescent="0.25">
      <c r="A613" s="19"/>
      <c r="B613" s="13"/>
      <c r="C613" s="14"/>
      <c r="D613" s="13"/>
      <c r="E613" s="14"/>
      <c r="F613" s="14"/>
      <c r="G613" s="14"/>
      <c r="H613" s="13"/>
      <c r="I613" s="14"/>
      <c r="J613" s="14"/>
      <c r="K613" s="14"/>
      <c r="L613" s="13"/>
      <c r="M613" s="14"/>
      <c r="N613" s="14"/>
      <c r="O613" s="13"/>
      <c r="P613" s="14"/>
      <c r="Q613" s="14"/>
    </row>
    <row r="614" spans="1:17" x14ac:dyDescent="0.25">
      <c r="A614" s="19"/>
      <c r="B614" s="13"/>
      <c r="C614" s="14"/>
      <c r="D614" s="13"/>
      <c r="E614" s="14"/>
      <c r="F614" s="14"/>
      <c r="G614" s="14"/>
      <c r="H614" s="13"/>
      <c r="I614" s="14"/>
      <c r="J614" s="14"/>
      <c r="K614" s="14"/>
      <c r="L614" s="13"/>
      <c r="M614" s="14"/>
      <c r="N614" s="14"/>
      <c r="O614" s="13"/>
      <c r="P614" s="14"/>
      <c r="Q614" s="14"/>
    </row>
    <row r="615" spans="1:17" x14ac:dyDescent="0.25">
      <c r="A615" s="19"/>
      <c r="B615" s="13"/>
      <c r="C615" s="14"/>
      <c r="D615" s="13"/>
      <c r="E615" s="14"/>
      <c r="F615" s="14"/>
      <c r="G615" s="14"/>
      <c r="H615" s="13"/>
      <c r="I615" s="14"/>
      <c r="J615" s="14"/>
      <c r="K615" s="14"/>
      <c r="L615" s="13"/>
      <c r="M615" s="14"/>
      <c r="N615" s="14"/>
      <c r="O615" s="13"/>
      <c r="P615" s="14"/>
      <c r="Q615" s="14"/>
    </row>
    <row r="616" spans="1:17" x14ac:dyDescent="0.25">
      <c r="A616" s="19"/>
      <c r="B616" s="13"/>
      <c r="C616" s="14"/>
      <c r="D616" s="13"/>
      <c r="E616" s="14"/>
      <c r="F616" s="14"/>
      <c r="G616" s="14"/>
      <c r="H616" s="13"/>
      <c r="I616" s="14"/>
      <c r="J616" s="14"/>
      <c r="K616" s="14"/>
      <c r="L616" s="13"/>
      <c r="M616" s="14"/>
      <c r="N616" s="14"/>
      <c r="O616" s="13"/>
      <c r="P616" s="14"/>
      <c r="Q616" s="14"/>
    </row>
    <row r="617" spans="1:17" x14ac:dyDescent="0.25">
      <c r="A617" s="19"/>
      <c r="B617" s="13"/>
      <c r="C617" s="14"/>
      <c r="D617" s="13"/>
      <c r="E617" s="14"/>
      <c r="F617" s="14"/>
      <c r="G617" s="14"/>
      <c r="H617" s="13"/>
      <c r="I617" s="14"/>
      <c r="J617" s="14"/>
      <c r="K617" s="14"/>
      <c r="L617" s="13"/>
      <c r="M617" s="14"/>
      <c r="N617" s="14"/>
      <c r="O617" s="13"/>
      <c r="P617" s="14"/>
      <c r="Q617" s="14"/>
    </row>
    <row r="618" spans="1:17" x14ac:dyDescent="0.25">
      <c r="A618" s="19"/>
      <c r="B618" s="13"/>
      <c r="C618" s="14"/>
      <c r="D618" s="13"/>
      <c r="E618" s="14"/>
      <c r="F618" s="14"/>
      <c r="G618" s="14"/>
      <c r="H618" s="13"/>
      <c r="I618" s="14"/>
      <c r="J618" s="14"/>
      <c r="K618" s="14"/>
      <c r="L618" s="13"/>
      <c r="M618" s="14"/>
      <c r="N618" s="14"/>
      <c r="O618" s="13"/>
      <c r="P618" s="14"/>
      <c r="Q618" s="14"/>
    </row>
    <row r="619" spans="1:17" x14ac:dyDescent="0.25">
      <c r="A619" s="19"/>
      <c r="B619" s="13"/>
      <c r="C619" s="14"/>
      <c r="D619" s="13"/>
      <c r="E619" s="14"/>
      <c r="F619" s="14"/>
      <c r="G619" s="14"/>
      <c r="H619" s="13"/>
      <c r="I619" s="14"/>
      <c r="J619" s="14"/>
      <c r="K619" s="14"/>
      <c r="L619" s="13"/>
      <c r="M619" s="14"/>
      <c r="N619" s="14"/>
      <c r="O619" s="13"/>
      <c r="P619" s="14"/>
      <c r="Q619" s="14"/>
    </row>
    <row r="620" spans="1:17" x14ac:dyDescent="0.25">
      <c r="A620" s="19"/>
      <c r="B620" s="13"/>
      <c r="C620" s="14"/>
      <c r="D620" s="13"/>
      <c r="E620" s="14"/>
      <c r="F620" s="14"/>
      <c r="G620" s="14"/>
      <c r="H620" s="13"/>
      <c r="I620" s="14"/>
      <c r="J620" s="14"/>
      <c r="K620" s="14"/>
      <c r="L620" s="13"/>
      <c r="M620" s="14"/>
      <c r="N620" s="14"/>
      <c r="O620" s="13"/>
      <c r="P620" s="14"/>
      <c r="Q620" s="14"/>
    </row>
    <row r="621" spans="1:17" x14ac:dyDescent="0.25">
      <c r="A621" s="19"/>
      <c r="B621" s="13"/>
      <c r="C621" s="14"/>
      <c r="D621" s="13"/>
      <c r="E621" s="14"/>
      <c r="F621" s="14"/>
      <c r="G621" s="14"/>
      <c r="H621" s="13"/>
      <c r="I621" s="14"/>
      <c r="J621" s="14"/>
      <c r="K621" s="14"/>
      <c r="L621" s="13"/>
      <c r="M621" s="14"/>
      <c r="N621" s="14"/>
      <c r="O621" s="13"/>
      <c r="P621" s="14"/>
      <c r="Q621" s="14"/>
    </row>
    <row r="622" spans="1:17" x14ac:dyDescent="0.25">
      <c r="A622" s="19"/>
      <c r="B622" s="13"/>
      <c r="C622" s="14"/>
      <c r="D622" s="13"/>
      <c r="E622" s="14"/>
      <c r="F622" s="14"/>
      <c r="G622" s="14"/>
      <c r="H622" s="13"/>
      <c r="I622" s="14"/>
      <c r="J622" s="14"/>
      <c r="K622" s="14"/>
      <c r="L622" s="13"/>
      <c r="M622" s="14"/>
      <c r="N622" s="14"/>
      <c r="O622" s="13"/>
      <c r="P622" s="14"/>
      <c r="Q622" s="14"/>
    </row>
    <row r="623" spans="1:17" x14ac:dyDescent="0.25">
      <c r="A623" s="19"/>
      <c r="B623" s="13"/>
      <c r="C623" s="14"/>
      <c r="D623" s="13"/>
      <c r="E623" s="14"/>
      <c r="F623" s="14"/>
      <c r="G623" s="14"/>
      <c r="H623" s="13"/>
      <c r="I623" s="14"/>
      <c r="J623" s="14"/>
      <c r="K623" s="14"/>
      <c r="L623" s="13"/>
      <c r="M623" s="14"/>
      <c r="N623" s="14"/>
      <c r="O623" s="13"/>
      <c r="P623" s="14"/>
      <c r="Q623" s="14"/>
    </row>
    <row r="624" spans="1:17" x14ac:dyDescent="0.25">
      <c r="A624" s="19"/>
      <c r="B624" s="13"/>
      <c r="C624" s="14"/>
      <c r="D624" s="13"/>
      <c r="E624" s="14"/>
      <c r="F624" s="14"/>
      <c r="G624" s="14"/>
      <c r="H624" s="13"/>
      <c r="I624" s="14"/>
      <c r="J624" s="14"/>
      <c r="K624" s="14"/>
      <c r="L624" s="13"/>
      <c r="M624" s="14"/>
      <c r="N624" s="14"/>
      <c r="O624" s="13"/>
      <c r="P624" s="14"/>
      <c r="Q624" s="14"/>
    </row>
    <row r="625" spans="1:17" x14ac:dyDescent="0.25">
      <c r="A625" s="19"/>
      <c r="B625" s="13"/>
      <c r="C625" s="14"/>
      <c r="D625" s="13"/>
      <c r="E625" s="14"/>
      <c r="F625" s="14"/>
      <c r="G625" s="14"/>
      <c r="H625" s="13"/>
      <c r="I625" s="14"/>
      <c r="J625" s="14"/>
      <c r="K625" s="14"/>
      <c r="L625" s="13"/>
      <c r="M625" s="14"/>
      <c r="N625" s="14"/>
      <c r="O625" s="13"/>
      <c r="P625" s="14"/>
      <c r="Q625" s="14"/>
    </row>
    <row r="626" spans="1:17" x14ac:dyDescent="0.25">
      <c r="A626" s="19"/>
      <c r="B626" s="13"/>
      <c r="C626" s="14"/>
      <c r="D626" s="13"/>
      <c r="E626" s="14"/>
      <c r="F626" s="14"/>
      <c r="G626" s="14"/>
      <c r="H626" s="13"/>
      <c r="I626" s="14"/>
      <c r="J626" s="14"/>
      <c r="K626" s="14"/>
      <c r="L626" s="13"/>
      <c r="M626" s="14"/>
      <c r="N626" s="14"/>
      <c r="O626" s="13"/>
      <c r="P626" s="14"/>
      <c r="Q626" s="14"/>
    </row>
    <row r="627" spans="1:17" x14ac:dyDescent="0.25">
      <c r="A627" s="19"/>
      <c r="B627" s="13"/>
      <c r="C627" s="14"/>
      <c r="D627" s="13"/>
      <c r="E627" s="14"/>
      <c r="F627" s="14"/>
      <c r="G627" s="14"/>
      <c r="H627" s="13"/>
      <c r="I627" s="14"/>
      <c r="J627" s="14"/>
      <c r="K627" s="14"/>
      <c r="L627" s="13"/>
      <c r="M627" s="14"/>
      <c r="N627" s="14"/>
      <c r="O627" s="13"/>
      <c r="P627" s="14"/>
      <c r="Q627" s="14"/>
    </row>
    <row r="628" spans="1:17" x14ac:dyDescent="0.25">
      <c r="A628" s="19"/>
      <c r="B628" s="13"/>
      <c r="C628" s="14"/>
      <c r="D628" s="13"/>
      <c r="E628" s="14"/>
      <c r="F628" s="14"/>
      <c r="G628" s="14"/>
      <c r="H628" s="13"/>
      <c r="I628" s="14"/>
      <c r="J628" s="14"/>
      <c r="K628" s="14"/>
      <c r="L628" s="13"/>
      <c r="M628" s="14"/>
      <c r="N628" s="14"/>
      <c r="O628" s="13"/>
      <c r="P628" s="14"/>
      <c r="Q628" s="14"/>
    </row>
    <row r="629" spans="1:17" x14ac:dyDescent="0.25">
      <c r="A629" s="19"/>
      <c r="B629" s="13"/>
      <c r="C629" s="14"/>
      <c r="D629" s="13"/>
      <c r="E629" s="14"/>
      <c r="F629" s="14"/>
      <c r="G629" s="14"/>
      <c r="H629" s="13"/>
      <c r="I629" s="14"/>
      <c r="J629" s="14"/>
      <c r="K629" s="14"/>
      <c r="L629" s="13"/>
      <c r="M629" s="14"/>
      <c r="N629" s="14"/>
      <c r="O629" s="13"/>
      <c r="P629" s="14"/>
      <c r="Q629" s="14"/>
    </row>
    <row r="630" spans="1:17" x14ac:dyDescent="0.25">
      <c r="A630" s="19"/>
      <c r="B630" s="13"/>
      <c r="C630" s="14"/>
      <c r="D630" s="13"/>
      <c r="E630" s="14"/>
      <c r="F630" s="14"/>
      <c r="G630" s="14"/>
      <c r="H630" s="13"/>
      <c r="I630" s="14"/>
      <c r="J630" s="14"/>
      <c r="K630" s="14"/>
      <c r="L630" s="13"/>
      <c r="M630" s="14"/>
      <c r="N630" s="14"/>
      <c r="O630" s="13"/>
      <c r="P630" s="14"/>
      <c r="Q630" s="14"/>
    </row>
    <row r="631" spans="1:17" x14ac:dyDescent="0.25">
      <c r="A631" s="19"/>
      <c r="B631" s="13"/>
      <c r="C631" s="14"/>
      <c r="D631" s="13"/>
      <c r="E631" s="14"/>
      <c r="F631" s="14"/>
      <c r="G631" s="14"/>
      <c r="H631" s="13"/>
      <c r="I631" s="14"/>
      <c r="J631" s="14"/>
      <c r="K631" s="14"/>
      <c r="L631" s="13"/>
      <c r="M631" s="14"/>
      <c r="N631" s="14"/>
      <c r="O631" s="13"/>
      <c r="P631" s="14"/>
      <c r="Q631" s="14"/>
    </row>
    <row r="632" spans="1:17" x14ac:dyDescent="0.25">
      <c r="A632" s="19"/>
      <c r="B632" s="13"/>
      <c r="C632" s="14"/>
      <c r="D632" s="13"/>
      <c r="E632" s="14"/>
      <c r="F632" s="14"/>
      <c r="G632" s="14"/>
      <c r="H632" s="13"/>
      <c r="I632" s="14"/>
      <c r="J632" s="14"/>
      <c r="K632" s="14"/>
      <c r="L632" s="13"/>
      <c r="M632" s="14"/>
      <c r="N632" s="14"/>
      <c r="O632" s="13"/>
      <c r="P632" s="14"/>
      <c r="Q632" s="14"/>
    </row>
    <row r="633" spans="1:17" x14ac:dyDescent="0.25">
      <c r="A633" s="19"/>
      <c r="B633" s="13"/>
      <c r="C633" s="14"/>
      <c r="D633" s="13"/>
      <c r="E633" s="14"/>
      <c r="F633" s="14"/>
      <c r="G633" s="14"/>
      <c r="H633" s="13"/>
      <c r="I633" s="14"/>
      <c r="J633" s="14"/>
      <c r="K633" s="14"/>
      <c r="L633" s="13"/>
      <c r="M633" s="14"/>
      <c r="N633" s="14"/>
      <c r="O633" s="13"/>
      <c r="P633" s="14"/>
      <c r="Q633" s="14"/>
    </row>
    <row r="634" spans="1:17" x14ac:dyDescent="0.25">
      <c r="A634" s="19"/>
      <c r="B634" s="13"/>
      <c r="C634" s="14"/>
      <c r="D634" s="13"/>
      <c r="E634" s="14"/>
      <c r="F634" s="14"/>
      <c r="G634" s="14"/>
      <c r="H634" s="13"/>
      <c r="I634" s="14"/>
      <c r="J634" s="14"/>
      <c r="K634" s="14"/>
      <c r="L634" s="13"/>
      <c r="M634" s="14"/>
      <c r="N634" s="14"/>
      <c r="O634" s="13"/>
      <c r="P634" s="14"/>
      <c r="Q634" s="14"/>
    </row>
    <row r="635" spans="1:17" x14ac:dyDescent="0.25">
      <c r="A635" s="19"/>
      <c r="B635" s="13"/>
      <c r="C635" s="14"/>
      <c r="D635" s="13"/>
      <c r="E635" s="14"/>
      <c r="F635" s="14"/>
      <c r="G635" s="14"/>
      <c r="H635" s="13"/>
      <c r="I635" s="14"/>
      <c r="J635" s="14"/>
      <c r="K635" s="14"/>
      <c r="L635" s="13"/>
      <c r="M635" s="14"/>
      <c r="N635" s="14"/>
      <c r="O635" s="13"/>
      <c r="P635" s="14"/>
      <c r="Q635" s="14"/>
    </row>
    <row r="636" spans="1:17" x14ac:dyDescent="0.25">
      <c r="A636" s="19"/>
      <c r="B636" s="13"/>
      <c r="C636" s="14"/>
      <c r="D636" s="13"/>
      <c r="E636" s="14"/>
      <c r="F636" s="14"/>
      <c r="G636" s="14"/>
      <c r="H636" s="13"/>
      <c r="I636" s="14"/>
      <c r="J636" s="14"/>
      <c r="K636" s="14"/>
      <c r="L636" s="13"/>
      <c r="M636" s="14"/>
      <c r="N636" s="14"/>
      <c r="O636" s="13"/>
      <c r="P636" s="14"/>
      <c r="Q636" s="14"/>
    </row>
    <row r="637" spans="1:17" x14ac:dyDescent="0.25">
      <c r="A637" s="19"/>
      <c r="B637" s="13"/>
      <c r="C637" s="14"/>
      <c r="D637" s="13"/>
      <c r="E637" s="14"/>
      <c r="F637" s="14"/>
      <c r="G637" s="14"/>
      <c r="H637" s="13"/>
      <c r="I637" s="14"/>
      <c r="J637" s="14"/>
      <c r="K637" s="14"/>
      <c r="L637" s="13"/>
      <c r="M637" s="14"/>
      <c r="N637" s="14"/>
      <c r="O637" s="13"/>
      <c r="P637" s="14"/>
      <c r="Q637" s="14"/>
    </row>
    <row r="638" spans="1:17" x14ac:dyDescent="0.25">
      <c r="A638" s="19"/>
      <c r="B638" s="13"/>
      <c r="C638" s="14"/>
      <c r="D638" s="13"/>
      <c r="E638" s="14"/>
      <c r="F638" s="14"/>
      <c r="G638" s="14"/>
      <c r="H638" s="13"/>
      <c r="I638" s="14"/>
      <c r="J638" s="14"/>
      <c r="K638" s="14"/>
      <c r="L638" s="13"/>
      <c r="M638" s="14"/>
      <c r="N638" s="14"/>
      <c r="O638" s="13"/>
      <c r="P638" s="14"/>
      <c r="Q638" s="14"/>
    </row>
    <row r="639" spans="1:17" x14ac:dyDescent="0.25">
      <c r="A639" s="19"/>
      <c r="B639" s="13"/>
      <c r="C639" s="14"/>
      <c r="D639" s="13"/>
      <c r="E639" s="14"/>
      <c r="F639" s="14"/>
      <c r="G639" s="14"/>
      <c r="H639" s="13"/>
      <c r="I639" s="14"/>
      <c r="J639" s="14"/>
      <c r="K639" s="14"/>
      <c r="L639" s="13"/>
      <c r="M639" s="14"/>
      <c r="N639" s="14"/>
      <c r="O639" s="13"/>
      <c r="P639" s="14"/>
      <c r="Q639" s="14"/>
    </row>
    <row r="640" spans="1:17" x14ac:dyDescent="0.25">
      <c r="A640" s="19"/>
      <c r="B640" s="13"/>
      <c r="C640" s="14"/>
      <c r="D640" s="13"/>
      <c r="E640" s="14"/>
      <c r="F640" s="14"/>
      <c r="G640" s="14"/>
      <c r="H640" s="13"/>
      <c r="I640" s="14"/>
      <c r="J640" s="14"/>
      <c r="K640" s="14"/>
      <c r="L640" s="13"/>
      <c r="M640" s="14"/>
      <c r="N640" s="14"/>
      <c r="O640" s="13"/>
      <c r="P640" s="14"/>
      <c r="Q640" s="14"/>
    </row>
    <row r="641" spans="1:17" x14ac:dyDescent="0.25">
      <c r="A641" s="19"/>
      <c r="B641" s="13"/>
      <c r="C641" s="14"/>
      <c r="D641" s="13"/>
      <c r="E641" s="14"/>
      <c r="F641" s="14"/>
      <c r="G641" s="14"/>
      <c r="H641" s="13"/>
      <c r="I641" s="14"/>
      <c r="J641" s="14"/>
      <c r="K641" s="14"/>
      <c r="L641" s="13"/>
      <c r="M641" s="14"/>
      <c r="N641" s="14"/>
      <c r="O641" s="13"/>
      <c r="P641" s="14"/>
      <c r="Q641" s="14"/>
    </row>
    <row r="642" spans="1:17" x14ac:dyDescent="0.25">
      <c r="A642" s="19"/>
      <c r="B642" s="13"/>
      <c r="C642" s="14"/>
      <c r="D642" s="13"/>
      <c r="E642" s="14"/>
      <c r="F642" s="14"/>
      <c r="G642" s="14"/>
      <c r="H642" s="13"/>
      <c r="I642" s="14"/>
      <c r="J642" s="14"/>
      <c r="K642" s="14"/>
      <c r="L642" s="13"/>
      <c r="M642" s="14"/>
      <c r="N642" s="14"/>
      <c r="O642" s="13"/>
      <c r="P642" s="14"/>
      <c r="Q642" s="14"/>
    </row>
    <row r="643" spans="1:17" x14ac:dyDescent="0.25">
      <c r="A643" s="19"/>
      <c r="B643" s="13"/>
      <c r="C643" s="14"/>
      <c r="D643" s="13"/>
      <c r="E643" s="14"/>
      <c r="F643" s="14"/>
      <c r="G643" s="14"/>
      <c r="H643" s="13"/>
      <c r="I643" s="14"/>
      <c r="J643" s="14"/>
      <c r="K643" s="14"/>
      <c r="L643" s="13"/>
      <c r="M643" s="14"/>
      <c r="N643" s="14"/>
      <c r="O643" s="13"/>
      <c r="P643" s="14"/>
      <c r="Q643" s="14"/>
    </row>
    <row r="644" spans="1:17" x14ac:dyDescent="0.25">
      <c r="A644" s="19"/>
      <c r="B644" s="13"/>
      <c r="C644" s="14"/>
      <c r="D644" s="13"/>
      <c r="E644" s="14"/>
      <c r="F644" s="14"/>
      <c r="G644" s="14"/>
      <c r="H644" s="13"/>
      <c r="I644" s="14"/>
      <c r="J644" s="14"/>
      <c r="K644" s="14"/>
      <c r="L644" s="13"/>
      <c r="M644" s="14"/>
      <c r="N644" s="14"/>
      <c r="O644" s="13"/>
      <c r="P644" s="14"/>
      <c r="Q644" s="14"/>
    </row>
    <row r="645" spans="1:17" x14ac:dyDescent="0.25">
      <c r="A645" s="19"/>
      <c r="B645" s="13"/>
      <c r="C645" s="14"/>
      <c r="D645" s="13"/>
      <c r="E645" s="14"/>
      <c r="F645" s="14"/>
      <c r="G645" s="14"/>
      <c r="H645" s="13"/>
      <c r="I645" s="14"/>
      <c r="J645" s="14"/>
      <c r="K645" s="14"/>
      <c r="L645" s="13"/>
      <c r="M645" s="14"/>
      <c r="N645" s="14"/>
      <c r="O645" s="13"/>
      <c r="P645" s="14"/>
      <c r="Q645" s="14"/>
    </row>
    <row r="646" spans="1:17" x14ac:dyDescent="0.25">
      <c r="A646" s="19"/>
      <c r="B646" s="13"/>
      <c r="C646" s="14"/>
      <c r="D646" s="13"/>
      <c r="E646" s="14"/>
      <c r="F646" s="14"/>
      <c r="G646" s="14"/>
      <c r="H646" s="13"/>
      <c r="I646" s="14"/>
      <c r="J646" s="14"/>
      <c r="K646" s="14"/>
      <c r="L646" s="13"/>
      <c r="M646" s="14"/>
      <c r="N646" s="14"/>
      <c r="O646" s="13"/>
      <c r="P646" s="14"/>
      <c r="Q646" s="14"/>
    </row>
    <row r="647" spans="1:17" x14ac:dyDescent="0.25">
      <c r="A647" s="19"/>
      <c r="B647" s="13"/>
      <c r="C647" s="14"/>
      <c r="D647" s="13"/>
      <c r="E647" s="14"/>
      <c r="F647" s="14"/>
      <c r="G647" s="14"/>
      <c r="H647" s="13"/>
      <c r="I647" s="14"/>
      <c r="J647" s="14"/>
      <c r="K647" s="14"/>
      <c r="L647" s="13"/>
      <c r="M647" s="14"/>
      <c r="N647" s="14"/>
      <c r="O647" s="13"/>
      <c r="P647" s="14"/>
      <c r="Q647" s="14"/>
    </row>
    <row r="648" spans="1:17" x14ac:dyDescent="0.25">
      <c r="A648" s="19"/>
      <c r="B648" s="13"/>
      <c r="C648" s="14"/>
      <c r="D648" s="13"/>
      <c r="E648" s="14"/>
      <c r="F648" s="14"/>
      <c r="G648" s="14"/>
      <c r="H648" s="13"/>
      <c r="I648" s="14"/>
      <c r="J648" s="14"/>
      <c r="K648" s="14"/>
      <c r="L648" s="13"/>
      <c r="M648" s="14"/>
      <c r="N648" s="14"/>
      <c r="O648" s="13"/>
      <c r="P648" s="14"/>
      <c r="Q648" s="14"/>
    </row>
    <row r="649" spans="1:17" x14ac:dyDescent="0.25">
      <c r="A649" s="19"/>
      <c r="B649" s="13"/>
      <c r="C649" s="14"/>
      <c r="D649" s="13"/>
      <c r="E649" s="14"/>
      <c r="F649" s="14"/>
      <c r="G649" s="14"/>
      <c r="H649" s="13"/>
      <c r="I649" s="14"/>
      <c r="J649" s="14"/>
      <c r="K649" s="14"/>
      <c r="L649" s="13"/>
      <c r="M649" s="14"/>
      <c r="N649" s="14"/>
      <c r="O649" s="13"/>
      <c r="P649" s="14"/>
      <c r="Q649" s="14"/>
    </row>
    <row r="650" spans="1:17" x14ac:dyDescent="0.25">
      <c r="A650" s="19"/>
      <c r="B650" s="13"/>
      <c r="C650" s="14"/>
      <c r="D650" s="13"/>
      <c r="E650" s="14"/>
      <c r="F650" s="14"/>
      <c r="G650" s="14"/>
      <c r="H650" s="13"/>
      <c r="I650" s="14"/>
      <c r="J650" s="14"/>
      <c r="K650" s="14"/>
      <c r="L650" s="13"/>
      <c r="M650" s="14"/>
      <c r="N650" s="14"/>
      <c r="O650" s="13"/>
      <c r="P650" s="14"/>
      <c r="Q650" s="14"/>
    </row>
    <row r="651" spans="1:17" x14ac:dyDescent="0.25">
      <c r="A651" s="19"/>
      <c r="B651" s="13"/>
      <c r="C651" s="14"/>
      <c r="D651" s="13"/>
      <c r="E651" s="14"/>
      <c r="F651" s="14"/>
      <c r="G651" s="14"/>
      <c r="H651" s="13"/>
      <c r="I651" s="14"/>
      <c r="J651" s="14"/>
      <c r="K651" s="14"/>
      <c r="L651" s="13"/>
      <c r="M651" s="14"/>
      <c r="N651" s="14"/>
      <c r="O651" s="13"/>
      <c r="P651" s="14"/>
      <c r="Q651" s="14"/>
    </row>
    <row r="652" spans="1:17" x14ac:dyDescent="0.25">
      <c r="A652" s="19"/>
      <c r="B652" s="13"/>
      <c r="C652" s="14"/>
      <c r="D652" s="13"/>
      <c r="E652" s="14"/>
      <c r="F652" s="14"/>
      <c r="G652" s="14"/>
      <c r="H652" s="13"/>
      <c r="I652" s="14"/>
      <c r="J652" s="14"/>
      <c r="K652" s="14"/>
      <c r="L652" s="13"/>
      <c r="M652" s="14"/>
      <c r="N652" s="14"/>
      <c r="O652" s="13"/>
      <c r="P652" s="14"/>
      <c r="Q652" s="14"/>
    </row>
    <row r="653" spans="1:17" x14ac:dyDescent="0.25">
      <c r="A653" s="19"/>
      <c r="B653" s="13"/>
      <c r="C653" s="14"/>
      <c r="D653" s="13"/>
      <c r="E653" s="14"/>
      <c r="F653" s="14"/>
      <c r="G653" s="14"/>
      <c r="H653" s="13"/>
      <c r="I653" s="14"/>
      <c r="J653" s="14"/>
      <c r="K653" s="14"/>
      <c r="L653" s="13"/>
      <c r="M653" s="14"/>
      <c r="N653" s="14"/>
      <c r="O653" s="13"/>
      <c r="P653" s="14"/>
      <c r="Q653" s="14"/>
    </row>
    <row r="654" spans="1:17" x14ac:dyDescent="0.25">
      <c r="A654" s="19"/>
      <c r="B654" s="13"/>
      <c r="C654" s="14"/>
      <c r="D654" s="13"/>
      <c r="E654" s="14"/>
      <c r="F654" s="14"/>
      <c r="G654" s="14"/>
      <c r="H654" s="13"/>
      <c r="I654" s="14"/>
      <c r="J654" s="14"/>
      <c r="K654" s="14"/>
      <c r="L654" s="13"/>
      <c r="M654" s="14"/>
      <c r="N654" s="14"/>
      <c r="O654" s="13"/>
      <c r="P654" s="14"/>
      <c r="Q654" s="14"/>
    </row>
    <row r="655" spans="1:17" x14ac:dyDescent="0.25">
      <c r="A655" s="19"/>
      <c r="B655" s="13"/>
      <c r="C655" s="14"/>
      <c r="D655" s="13"/>
      <c r="E655" s="14"/>
      <c r="F655" s="14"/>
      <c r="G655" s="14"/>
      <c r="H655" s="13"/>
      <c r="I655" s="14"/>
      <c r="J655" s="14"/>
      <c r="K655" s="14"/>
      <c r="L655" s="13"/>
      <c r="M655" s="14"/>
      <c r="N655" s="14"/>
      <c r="O655" s="13"/>
      <c r="P655" s="14"/>
      <c r="Q655" s="14"/>
    </row>
    <row r="656" spans="1:17" x14ac:dyDescent="0.25">
      <c r="A656" s="19"/>
      <c r="B656" s="13"/>
      <c r="C656" s="14"/>
      <c r="D656" s="13"/>
      <c r="E656" s="14"/>
      <c r="F656" s="14"/>
      <c r="G656" s="14"/>
      <c r="H656" s="13"/>
      <c r="I656" s="14"/>
      <c r="J656" s="14"/>
      <c r="K656" s="14"/>
      <c r="L656" s="13"/>
      <c r="M656" s="14"/>
      <c r="N656" s="14"/>
      <c r="O656" s="13"/>
      <c r="P656" s="14"/>
      <c r="Q656" s="14"/>
    </row>
    <row r="657" spans="1:17" x14ac:dyDescent="0.25">
      <c r="A657" s="19"/>
      <c r="B657" s="13"/>
      <c r="C657" s="14"/>
      <c r="D657" s="13"/>
      <c r="E657" s="14"/>
      <c r="F657" s="14"/>
      <c r="G657" s="14"/>
      <c r="H657" s="13"/>
      <c r="I657" s="14"/>
      <c r="J657" s="14"/>
      <c r="K657" s="14"/>
      <c r="L657" s="13"/>
      <c r="M657" s="14"/>
      <c r="N657" s="14"/>
      <c r="O657" s="13"/>
      <c r="P657" s="14"/>
      <c r="Q657" s="14"/>
    </row>
    <row r="658" spans="1:17" x14ac:dyDescent="0.25">
      <c r="A658" s="19"/>
      <c r="B658" s="13"/>
      <c r="C658" s="14"/>
      <c r="D658" s="13"/>
      <c r="E658" s="14"/>
      <c r="F658" s="14"/>
      <c r="G658" s="14"/>
      <c r="H658" s="13"/>
      <c r="I658" s="14"/>
      <c r="J658" s="14"/>
      <c r="K658" s="14"/>
      <c r="L658" s="13"/>
      <c r="M658" s="14"/>
      <c r="N658" s="14"/>
      <c r="O658" s="13"/>
      <c r="P658" s="14"/>
      <c r="Q658" s="14"/>
    </row>
    <row r="659" spans="1:17" x14ac:dyDescent="0.25">
      <c r="A659" s="19"/>
      <c r="B659" s="13"/>
      <c r="C659" s="14"/>
      <c r="D659" s="13"/>
      <c r="E659" s="14"/>
      <c r="F659" s="14"/>
      <c r="G659" s="14"/>
      <c r="H659" s="13"/>
      <c r="I659" s="14"/>
      <c r="J659" s="14"/>
      <c r="K659" s="14"/>
      <c r="L659" s="13"/>
      <c r="M659" s="14"/>
      <c r="N659" s="14"/>
      <c r="O659" s="13"/>
      <c r="P659" s="14"/>
      <c r="Q659" s="14"/>
    </row>
    <row r="660" spans="1:17" x14ac:dyDescent="0.25">
      <c r="A660" s="19"/>
      <c r="B660" s="13"/>
      <c r="C660" s="14"/>
      <c r="D660" s="13"/>
      <c r="E660" s="14"/>
      <c r="F660" s="14"/>
      <c r="G660" s="14"/>
      <c r="H660" s="13"/>
      <c r="I660" s="14"/>
      <c r="J660" s="14"/>
      <c r="K660" s="14"/>
      <c r="L660" s="13"/>
      <c r="M660" s="14"/>
      <c r="N660" s="14"/>
      <c r="O660" s="13"/>
      <c r="P660" s="14"/>
      <c r="Q660" s="14"/>
    </row>
    <row r="661" spans="1:17" x14ac:dyDescent="0.25">
      <c r="A661" s="19"/>
      <c r="B661" s="13"/>
      <c r="C661" s="14"/>
      <c r="D661" s="13"/>
      <c r="E661" s="14"/>
      <c r="F661" s="14"/>
      <c r="G661" s="14"/>
      <c r="H661" s="13"/>
      <c r="I661" s="14"/>
      <c r="J661" s="14"/>
      <c r="K661" s="14"/>
      <c r="L661" s="13"/>
      <c r="M661" s="14"/>
      <c r="N661" s="14"/>
      <c r="O661" s="13"/>
      <c r="P661" s="14"/>
      <c r="Q661" s="14"/>
    </row>
    <row r="662" spans="1:17" x14ac:dyDescent="0.25">
      <c r="A662" s="19"/>
      <c r="B662" s="13"/>
      <c r="C662" s="14"/>
      <c r="D662" s="13"/>
      <c r="E662" s="14"/>
      <c r="F662" s="14"/>
      <c r="G662" s="14"/>
      <c r="H662" s="13"/>
      <c r="I662" s="14"/>
      <c r="J662" s="14"/>
      <c r="K662" s="14"/>
      <c r="L662" s="13"/>
      <c r="M662" s="14"/>
      <c r="N662" s="14"/>
      <c r="O662" s="13"/>
      <c r="P662" s="14"/>
      <c r="Q662" s="14"/>
    </row>
    <row r="663" spans="1:17" x14ac:dyDescent="0.25">
      <c r="A663" s="19"/>
      <c r="B663" s="13"/>
      <c r="C663" s="14"/>
      <c r="D663" s="13"/>
      <c r="E663" s="14"/>
      <c r="F663" s="14"/>
      <c r="G663" s="14"/>
      <c r="H663" s="13"/>
      <c r="I663" s="14"/>
      <c r="J663" s="14"/>
      <c r="K663" s="14"/>
      <c r="L663" s="13"/>
      <c r="M663" s="14"/>
      <c r="N663" s="14"/>
      <c r="O663" s="13"/>
      <c r="P663" s="14"/>
      <c r="Q663" s="14"/>
    </row>
    <row r="664" spans="1:17" x14ac:dyDescent="0.25">
      <c r="A664" s="19"/>
      <c r="B664" s="13"/>
      <c r="C664" s="14"/>
      <c r="D664" s="13"/>
      <c r="E664" s="14"/>
      <c r="F664" s="14"/>
      <c r="G664" s="14"/>
      <c r="H664" s="13"/>
      <c r="I664" s="14"/>
      <c r="J664" s="14"/>
      <c r="K664" s="14"/>
      <c r="L664" s="13"/>
      <c r="M664" s="14"/>
      <c r="N664" s="14"/>
      <c r="O664" s="13"/>
      <c r="P664" s="14"/>
      <c r="Q664" s="14"/>
    </row>
    <row r="665" spans="1:17" x14ac:dyDescent="0.25">
      <c r="A665" s="19"/>
      <c r="B665" s="13"/>
      <c r="C665" s="14"/>
      <c r="D665" s="13"/>
      <c r="E665" s="14"/>
      <c r="F665" s="14"/>
      <c r="G665" s="14"/>
      <c r="H665" s="13"/>
      <c r="I665" s="14"/>
      <c r="J665" s="14"/>
      <c r="K665" s="14"/>
      <c r="L665" s="13"/>
      <c r="M665" s="14"/>
      <c r="N665" s="14"/>
      <c r="O665" s="13"/>
      <c r="P665" s="14"/>
      <c r="Q665" s="14"/>
    </row>
    <row r="666" spans="1:17" x14ac:dyDescent="0.25">
      <c r="A666" s="19"/>
      <c r="B666" s="13"/>
      <c r="C666" s="14"/>
      <c r="D666" s="13"/>
      <c r="E666" s="14"/>
      <c r="F666" s="14"/>
      <c r="G666" s="14"/>
      <c r="H666" s="13"/>
      <c r="I666" s="14"/>
      <c r="J666" s="14"/>
      <c r="K666" s="14"/>
      <c r="L666" s="13"/>
      <c r="M666" s="14"/>
      <c r="N666" s="14"/>
      <c r="O666" s="13"/>
      <c r="P666" s="14"/>
      <c r="Q666" s="14"/>
    </row>
    <row r="667" spans="1:17" x14ac:dyDescent="0.25">
      <c r="A667" s="19"/>
      <c r="B667" s="13"/>
      <c r="C667" s="14"/>
      <c r="D667" s="13"/>
      <c r="E667" s="14"/>
      <c r="F667" s="14"/>
      <c r="G667" s="14"/>
      <c r="H667" s="13"/>
      <c r="I667" s="14"/>
      <c r="J667" s="14"/>
      <c r="K667" s="14"/>
      <c r="L667" s="13"/>
      <c r="M667" s="14"/>
      <c r="N667" s="14"/>
      <c r="O667" s="13"/>
      <c r="P667" s="14"/>
      <c r="Q667" s="14"/>
    </row>
    <row r="668" spans="1:17" x14ac:dyDescent="0.25">
      <c r="A668" s="19"/>
      <c r="B668" s="13"/>
      <c r="C668" s="14"/>
      <c r="D668" s="13"/>
      <c r="E668" s="14"/>
      <c r="F668" s="14"/>
      <c r="G668" s="14"/>
      <c r="H668" s="13"/>
      <c r="I668" s="14"/>
      <c r="J668" s="14"/>
      <c r="K668" s="14"/>
      <c r="L668" s="13"/>
      <c r="M668" s="14"/>
      <c r="N668" s="14"/>
      <c r="O668" s="13"/>
      <c r="P668" s="14"/>
      <c r="Q668" s="14"/>
    </row>
    <row r="669" spans="1:17" x14ac:dyDescent="0.25">
      <c r="A669" s="19"/>
      <c r="B669" s="13"/>
      <c r="C669" s="14"/>
      <c r="D669" s="13"/>
      <c r="E669" s="14"/>
      <c r="F669" s="14"/>
      <c r="G669" s="14"/>
      <c r="H669" s="13"/>
      <c r="I669" s="14"/>
      <c r="J669" s="14"/>
      <c r="K669" s="14"/>
      <c r="L669" s="13"/>
      <c r="M669" s="14"/>
      <c r="N669" s="14"/>
      <c r="O669" s="13"/>
      <c r="P669" s="14"/>
      <c r="Q669" s="14"/>
    </row>
    <row r="670" spans="1:17" x14ac:dyDescent="0.25">
      <c r="A670" s="19"/>
      <c r="B670" s="13"/>
      <c r="C670" s="14"/>
      <c r="D670" s="13"/>
      <c r="E670" s="14"/>
      <c r="F670" s="14"/>
      <c r="G670" s="14"/>
      <c r="H670" s="13"/>
      <c r="I670" s="14"/>
      <c r="J670" s="14"/>
      <c r="K670" s="14"/>
      <c r="L670" s="13"/>
      <c r="M670" s="14"/>
      <c r="N670" s="14"/>
      <c r="O670" s="13"/>
      <c r="P670" s="14"/>
      <c r="Q670" s="14"/>
    </row>
    <row r="671" spans="1:17" x14ac:dyDescent="0.25">
      <c r="A671" s="19"/>
      <c r="B671" s="13"/>
      <c r="C671" s="14"/>
      <c r="D671" s="13"/>
      <c r="E671" s="14"/>
      <c r="F671" s="14"/>
      <c r="G671" s="14"/>
      <c r="H671" s="13"/>
      <c r="I671" s="14"/>
      <c r="J671" s="14"/>
      <c r="K671" s="14"/>
      <c r="L671" s="13"/>
      <c r="M671" s="14"/>
      <c r="N671" s="14"/>
      <c r="O671" s="13"/>
      <c r="P671" s="14"/>
      <c r="Q671" s="14"/>
    </row>
    <row r="672" spans="1:17" x14ac:dyDescent="0.25">
      <c r="A672" s="19"/>
      <c r="B672" s="13"/>
      <c r="C672" s="14"/>
      <c r="D672" s="13"/>
      <c r="E672" s="14"/>
      <c r="F672" s="14"/>
      <c r="G672" s="14"/>
      <c r="H672" s="13"/>
      <c r="I672" s="14"/>
      <c r="J672" s="14"/>
      <c r="K672" s="14"/>
      <c r="L672" s="13"/>
      <c r="M672" s="14"/>
      <c r="N672" s="14"/>
      <c r="O672" s="13"/>
      <c r="P672" s="14"/>
      <c r="Q672" s="14"/>
    </row>
    <row r="673" spans="1:17" x14ac:dyDescent="0.25">
      <c r="A673" s="19"/>
      <c r="B673" s="13"/>
      <c r="C673" s="14"/>
      <c r="D673" s="13"/>
      <c r="E673" s="14"/>
      <c r="F673" s="14"/>
      <c r="G673" s="14"/>
      <c r="H673" s="13"/>
      <c r="I673" s="14"/>
      <c r="J673" s="14"/>
      <c r="K673" s="14"/>
      <c r="L673" s="13"/>
      <c r="M673" s="14"/>
      <c r="N673" s="14"/>
      <c r="O673" s="13"/>
      <c r="P673" s="14"/>
      <c r="Q673" s="14"/>
    </row>
    <row r="674" spans="1:17" x14ac:dyDescent="0.25">
      <c r="A674" s="19"/>
      <c r="B674" s="13"/>
      <c r="C674" s="14"/>
      <c r="D674" s="13"/>
      <c r="E674" s="14"/>
      <c r="F674" s="14"/>
      <c r="G674" s="14"/>
      <c r="H674" s="13"/>
      <c r="I674" s="14"/>
      <c r="J674" s="14"/>
      <c r="K674" s="14"/>
      <c r="L674" s="13"/>
      <c r="M674" s="14"/>
      <c r="N674" s="14"/>
      <c r="O674" s="13"/>
      <c r="P674" s="14"/>
      <c r="Q674" s="14"/>
    </row>
    <row r="675" spans="1:17" x14ac:dyDescent="0.25">
      <c r="A675" s="19"/>
      <c r="B675" s="13"/>
      <c r="C675" s="14"/>
      <c r="D675" s="13"/>
      <c r="E675" s="14"/>
      <c r="F675" s="14"/>
      <c r="G675" s="14"/>
      <c r="H675" s="13"/>
      <c r="I675" s="14"/>
      <c r="J675" s="14"/>
      <c r="K675" s="14"/>
      <c r="L675" s="13"/>
      <c r="M675" s="14"/>
      <c r="N675" s="14"/>
      <c r="O675" s="13"/>
      <c r="P675" s="14"/>
      <c r="Q675" s="14"/>
    </row>
    <row r="676" spans="1:17" x14ac:dyDescent="0.25">
      <c r="A676" s="19"/>
      <c r="B676" s="13"/>
      <c r="C676" s="14"/>
      <c r="D676" s="13"/>
      <c r="E676" s="14"/>
      <c r="F676" s="14"/>
      <c r="G676" s="14"/>
      <c r="H676" s="13"/>
      <c r="I676" s="14"/>
      <c r="J676" s="14"/>
      <c r="K676" s="14"/>
      <c r="L676" s="13"/>
      <c r="M676" s="14"/>
      <c r="N676" s="14"/>
      <c r="O676" s="13"/>
      <c r="P676" s="14"/>
      <c r="Q676" s="14"/>
    </row>
    <row r="677" spans="1:17" x14ac:dyDescent="0.25">
      <c r="A677" s="19"/>
      <c r="B677" s="13"/>
      <c r="C677" s="14"/>
      <c r="D677" s="13"/>
      <c r="E677" s="14"/>
      <c r="F677" s="14"/>
      <c r="G677" s="14"/>
      <c r="H677" s="13"/>
      <c r="I677" s="14"/>
      <c r="J677" s="14"/>
      <c r="K677" s="14"/>
      <c r="L677" s="13"/>
      <c r="M677" s="14"/>
      <c r="N677" s="14"/>
      <c r="O677" s="13"/>
      <c r="P677" s="14"/>
      <c r="Q677" s="14"/>
    </row>
    <row r="678" spans="1:17" x14ac:dyDescent="0.25">
      <c r="A678" s="19"/>
      <c r="B678" s="13"/>
      <c r="C678" s="14"/>
      <c r="D678" s="13"/>
      <c r="E678" s="14"/>
      <c r="F678" s="14"/>
      <c r="G678" s="14"/>
      <c r="H678" s="13"/>
      <c r="I678" s="14"/>
      <c r="J678" s="14"/>
      <c r="K678" s="14"/>
      <c r="L678" s="13"/>
      <c r="M678" s="14"/>
      <c r="N678" s="14"/>
      <c r="O678" s="13"/>
      <c r="P678" s="14"/>
      <c r="Q678" s="14"/>
    </row>
    <row r="679" spans="1:17" x14ac:dyDescent="0.25">
      <c r="A679" s="19"/>
      <c r="B679" s="13"/>
      <c r="C679" s="14"/>
      <c r="D679" s="13"/>
      <c r="E679" s="14"/>
      <c r="F679" s="14"/>
      <c r="G679" s="14"/>
      <c r="H679" s="13"/>
      <c r="I679" s="14"/>
      <c r="J679" s="14"/>
      <c r="K679" s="14"/>
      <c r="L679" s="13"/>
      <c r="M679" s="14"/>
      <c r="N679" s="14"/>
      <c r="O679" s="13"/>
      <c r="P679" s="14"/>
      <c r="Q679" s="14"/>
    </row>
    <row r="680" spans="1:17" x14ac:dyDescent="0.25">
      <c r="A680" s="19"/>
      <c r="B680" s="13"/>
      <c r="C680" s="14"/>
      <c r="D680" s="13"/>
      <c r="E680" s="14"/>
      <c r="F680" s="14"/>
      <c r="G680" s="14"/>
      <c r="H680" s="13"/>
      <c r="I680" s="14"/>
      <c r="J680" s="14"/>
      <c r="K680" s="14"/>
      <c r="L680" s="13"/>
      <c r="M680" s="14"/>
      <c r="N680" s="14"/>
      <c r="O680" s="13"/>
      <c r="P680" s="14"/>
      <c r="Q680" s="14"/>
    </row>
    <row r="681" spans="1:17" x14ac:dyDescent="0.25">
      <c r="A681" s="19"/>
      <c r="B681" s="13"/>
      <c r="C681" s="14"/>
      <c r="D681" s="13"/>
      <c r="E681" s="14"/>
      <c r="F681" s="14"/>
      <c r="G681" s="14"/>
      <c r="H681" s="13"/>
      <c r="I681" s="14"/>
      <c r="J681" s="14"/>
      <c r="K681" s="14"/>
      <c r="L681" s="13"/>
      <c r="M681" s="14"/>
      <c r="N681" s="14"/>
      <c r="O681" s="13"/>
      <c r="P681" s="14"/>
      <c r="Q681" s="14"/>
    </row>
    <row r="682" spans="1:17" x14ac:dyDescent="0.25">
      <c r="A682" s="19"/>
      <c r="B682" s="13"/>
      <c r="C682" s="14"/>
      <c r="D682" s="13"/>
      <c r="E682" s="14"/>
      <c r="F682" s="14"/>
      <c r="G682" s="14"/>
      <c r="H682" s="13"/>
      <c r="I682" s="14"/>
      <c r="J682" s="14"/>
      <c r="K682" s="14"/>
      <c r="L682" s="13"/>
      <c r="M682" s="14"/>
      <c r="N682" s="14"/>
      <c r="O682" s="13"/>
      <c r="P682" s="14"/>
      <c r="Q682" s="14"/>
    </row>
    <row r="683" spans="1:17" x14ac:dyDescent="0.25">
      <c r="A683" s="19"/>
      <c r="B683" s="13"/>
      <c r="C683" s="14"/>
      <c r="D683" s="13"/>
      <c r="E683" s="14"/>
      <c r="F683" s="14"/>
      <c r="G683" s="14"/>
      <c r="H683" s="13"/>
      <c r="I683" s="14"/>
      <c r="J683" s="14"/>
      <c r="K683" s="14"/>
      <c r="L683" s="13"/>
      <c r="M683" s="14"/>
      <c r="N683" s="14"/>
      <c r="O683" s="13"/>
      <c r="P683" s="14"/>
      <c r="Q683" s="14"/>
    </row>
    <row r="684" spans="1:17" x14ac:dyDescent="0.25">
      <c r="A684" s="19"/>
      <c r="B684" s="13"/>
      <c r="C684" s="14"/>
      <c r="D684" s="13"/>
      <c r="E684" s="14"/>
      <c r="F684" s="14"/>
      <c r="G684" s="14"/>
      <c r="H684" s="13"/>
      <c r="I684" s="14"/>
      <c r="J684" s="14"/>
      <c r="K684" s="14"/>
      <c r="L684" s="13"/>
      <c r="M684" s="14"/>
      <c r="N684" s="14"/>
      <c r="O684" s="13"/>
      <c r="P684" s="14"/>
      <c r="Q684" s="14"/>
    </row>
    <row r="685" spans="1:17" x14ac:dyDescent="0.25">
      <c r="A685" s="19"/>
      <c r="B685" s="13"/>
      <c r="C685" s="14"/>
      <c r="D685" s="13"/>
      <c r="E685" s="14"/>
      <c r="F685" s="14"/>
      <c r="G685" s="14"/>
      <c r="H685" s="13"/>
      <c r="I685" s="14"/>
      <c r="J685" s="14"/>
      <c r="K685" s="14"/>
      <c r="L685" s="13"/>
      <c r="M685" s="14"/>
      <c r="N685" s="14"/>
      <c r="O685" s="13"/>
      <c r="P685" s="14"/>
      <c r="Q685" s="14"/>
    </row>
    <row r="686" spans="1:17" x14ac:dyDescent="0.25">
      <c r="A686" s="19"/>
      <c r="B686" s="13"/>
      <c r="C686" s="14"/>
      <c r="D686" s="13"/>
      <c r="E686" s="14"/>
      <c r="F686" s="14"/>
      <c r="G686" s="14"/>
      <c r="H686" s="13"/>
      <c r="I686" s="14"/>
      <c r="J686" s="14"/>
      <c r="K686" s="14"/>
      <c r="L686" s="13"/>
      <c r="M686" s="14"/>
      <c r="N686" s="14"/>
      <c r="O686" s="13"/>
      <c r="P686" s="14"/>
      <c r="Q686" s="14"/>
    </row>
    <row r="687" spans="1:17" x14ac:dyDescent="0.25">
      <c r="A687" s="19"/>
      <c r="B687" s="13"/>
      <c r="C687" s="14"/>
      <c r="D687" s="13"/>
      <c r="E687" s="14"/>
      <c r="F687" s="14"/>
      <c r="G687" s="14"/>
      <c r="H687" s="13"/>
      <c r="I687" s="14"/>
      <c r="J687" s="14"/>
      <c r="K687" s="14"/>
      <c r="L687" s="13"/>
      <c r="M687" s="14"/>
      <c r="N687" s="14"/>
      <c r="O687" s="13"/>
      <c r="P687" s="14"/>
      <c r="Q687" s="14"/>
    </row>
    <row r="688" spans="1:17" x14ac:dyDescent="0.25">
      <c r="A688" s="19"/>
      <c r="B688" s="13"/>
      <c r="C688" s="14"/>
      <c r="D688" s="13"/>
      <c r="E688" s="14"/>
      <c r="F688" s="14"/>
      <c r="G688" s="14"/>
      <c r="H688" s="13"/>
      <c r="I688" s="14"/>
      <c r="J688" s="14"/>
      <c r="K688" s="14"/>
      <c r="L688" s="13"/>
      <c r="M688" s="14"/>
      <c r="N688" s="14"/>
      <c r="O688" s="13"/>
      <c r="P688" s="14"/>
      <c r="Q688" s="14"/>
    </row>
    <row r="689" spans="1:17" x14ac:dyDescent="0.25">
      <c r="A689" s="19"/>
      <c r="B689" s="13"/>
      <c r="C689" s="14"/>
      <c r="D689" s="13"/>
      <c r="E689" s="14"/>
      <c r="F689" s="14"/>
      <c r="G689" s="14"/>
      <c r="H689" s="13"/>
      <c r="I689" s="14"/>
      <c r="J689" s="14"/>
      <c r="K689" s="14"/>
      <c r="L689" s="13"/>
      <c r="M689" s="14"/>
      <c r="N689" s="14"/>
      <c r="O689" s="13"/>
      <c r="P689" s="14"/>
      <c r="Q689" s="14"/>
    </row>
    <row r="690" spans="1:17" x14ac:dyDescent="0.25">
      <c r="A690" s="19"/>
      <c r="B690" s="13"/>
      <c r="C690" s="14"/>
      <c r="D690" s="13"/>
      <c r="E690" s="14"/>
      <c r="F690" s="14"/>
      <c r="G690" s="14"/>
      <c r="H690" s="13"/>
      <c r="I690" s="14"/>
      <c r="J690" s="14"/>
      <c r="K690" s="14"/>
      <c r="L690" s="13"/>
      <c r="M690" s="14"/>
      <c r="N690" s="14"/>
      <c r="O690" s="13"/>
      <c r="P690" s="14"/>
      <c r="Q690" s="14"/>
    </row>
    <row r="691" spans="1:17" x14ac:dyDescent="0.25">
      <c r="A691" s="19"/>
      <c r="B691" s="13"/>
      <c r="C691" s="14"/>
      <c r="D691" s="13"/>
      <c r="E691" s="14"/>
      <c r="F691" s="14"/>
      <c r="G691" s="14"/>
      <c r="H691" s="13"/>
      <c r="I691" s="14"/>
      <c r="J691" s="14"/>
      <c r="K691" s="14"/>
      <c r="L691" s="13"/>
      <c r="M691" s="14"/>
      <c r="N691" s="14"/>
      <c r="O691" s="13"/>
      <c r="P691" s="14"/>
      <c r="Q691" s="14"/>
    </row>
    <row r="692" spans="1:17" x14ac:dyDescent="0.25">
      <c r="A692" s="19"/>
      <c r="B692" s="13"/>
      <c r="C692" s="14"/>
      <c r="D692" s="13"/>
      <c r="E692" s="14"/>
      <c r="F692" s="14"/>
      <c r="G692" s="14"/>
      <c r="H692" s="13"/>
      <c r="I692" s="14"/>
      <c r="J692" s="14"/>
      <c r="K692" s="14"/>
      <c r="L692" s="13"/>
      <c r="M692" s="14"/>
      <c r="N692" s="14"/>
      <c r="O692" s="13"/>
      <c r="P692" s="14"/>
      <c r="Q692" s="14"/>
    </row>
    <row r="693" spans="1:17" x14ac:dyDescent="0.25">
      <c r="A693" s="19"/>
      <c r="B693" s="13"/>
      <c r="C693" s="14"/>
      <c r="D693" s="13"/>
      <c r="E693" s="14"/>
      <c r="F693" s="14"/>
      <c r="G693" s="14"/>
      <c r="H693" s="13"/>
      <c r="I693" s="14"/>
      <c r="J693" s="14"/>
      <c r="K693" s="14"/>
      <c r="L693" s="13"/>
      <c r="M693" s="14"/>
      <c r="N693" s="14"/>
      <c r="O693" s="13"/>
      <c r="P693" s="14"/>
      <c r="Q693" s="14"/>
    </row>
    <row r="694" spans="1:17" x14ac:dyDescent="0.25">
      <c r="A694" s="19"/>
      <c r="B694" s="13"/>
      <c r="C694" s="14"/>
      <c r="D694" s="13"/>
      <c r="E694" s="14"/>
      <c r="F694" s="14"/>
      <c r="G694" s="14"/>
      <c r="H694" s="13"/>
      <c r="I694" s="14"/>
      <c r="J694" s="14"/>
      <c r="K694" s="14"/>
      <c r="L694" s="13"/>
      <c r="M694" s="14"/>
      <c r="N694" s="14"/>
      <c r="O694" s="13"/>
      <c r="P694" s="14"/>
      <c r="Q694" s="14"/>
    </row>
    <row r="695" spans="1:17" x14ac:dyDescent="0.25">
      <c r="A695" s="19"/>
      <c r="B695" s="13"/>
      <c r="C695" s="14"/>
      <c r="D695" s="13"/>
      <c r="E695" s="14"/>
      <c r="F695" s="14"/>
      <c r="G695" s="14"/>
      <c r="H695" s="13"/>
      <c r="I695" s="14"/>
      <c r="J695" s="14"/>
      <c r="K695" s="14"/>
      <c r="L695" s="13"/>
      <c r="M695" s="14"/>
      <c r="N695" s="14"/>
      <c r="O695" s="13"/>
      <c r="P695" s="14"/>
      <c r="Q695" s="14"/>
    </row>
    <row r="696" spans="1:17" x14ac:dyDescent="0.25">
      <c r="A696" s="19"/>
      <c r="B696" s="13"/>
      <c r="C696" s="14"/>
      <c r="D696" s="13"/>
      <c r="E696" s="14"/>
      <c r="F696" s="14"/>
      <c r="G696" s="14"/>
      <c r="H696" s="13"/>
      <c r="I696" s="14"/>
      <c r="J696" s="14"/>
      <c r="K696" s="14"/>
      <c r="L696" s="13"/>
      <c r="M696" s="14"/>
      <c r="N696" s="14"/>
      <c r="O696" s="13"/>
      <c r="P696" s="14"/>
      <c r="Q696" s="14"/>
    </row>
    <row r="697" spans="1:17" x14ac:dyDescent="0.25">
      <c r="A697" s="19"/>
      <c r="B697" s="13"/>
      <c r="C697" s="14"/>
      <c r="D697" s="13"/>
      <c r="E697" s="14"/>
      <c r="F697" s="14"/>
      <c r="G697" s="14"/>
      <c r="H697" s="13"/>
      <c r="I697" s="14"/>
      <c r="J697" s="14"/>
      <c r="K697" s="14"/>
      <c r="L697" s="13"/>
      <c r="M697" s="14"/>
      <c r="N697" s="14"/>
      <c r="O697" s="13"/>
      <c r="P697" s="14"/>
      <c r="Q697" s="14"/>
    </row>
    <row r="698" spans="1:17" x14ac:dyDescent="0.25">
      <c r="A698" s="19"/>
      <c r="B698" s="13"/>
      <c r="C698" s="14"/>
      <c r="D698" s="13"/>
      <c r="E698" s="14"/>
      <c r="F698" s="14"/>
      <c r="G698" s="14"/>
      <c r="H698" s="13"/>
      <c r="I698" s="14"/>
      <c r="J698" s="14"/>
      <c r="K698" s="14"/>
      <c r="L698" s="13"/>
      <c r="M698" s="14"/>
      <c r="N698" s="14"/>
      <c r="O698" s="13"/>
      <c r="P698" s="14"/>
      <c r="Q698" s="14"/>
    </row>
    <row r="699" spans="1:17" x14ac:dyDescent="0.25">
      <c r="A699" s="19"/>
      <c r="B699" s="13"/>
      <c r="C699" s="14"/>
      <c r="D699" s="13"/>
      <c r="E699" s="14"/>
      <c r="F699" s="14"/>
      <c r="G699" s="14"/>
      <c r="H699" s="13"/>
      <c r="I699" s="14"/>
      <c r="J699" s="14"/>
      <c r="K699" s="14"/>
      <c r="L699" s="13"/>
      <c r="M699" s="14"/>
      <c r="N699" s="14"/>
      <c r="O699" s="13"/>
      <c r="P699" s="14"/>
      <c r="Q699" s="14"/>
    </row>
    <row r="700" spans="1:17" x14ac:dyDescent="0.25">
      <c r="A700" s="19"/>
      <c r="B700" s="13"/>
      <c r="C700" s="14"/>
      <c r="D700" s="13"/>
      <c r="E700" s="14"/>
      <c r="F700" s="14"/>
      <c r="G700" s="14"/>
      <c r="H700" s="13"/>
      <c r="I700" s="14"/>
      <c r="J700" s="14"/>
      <c r="K700" s="14"/>
      <c r="L700" s="13"/>
      <c r="M700" s="14"/>
      <c r="N700" s="14"/>
      <c r="O700" s="13"/>
      <c r="P700" s="14"/>
      <c r="Q700" s="14"/>
    </row>
    <row r="701" spans="1:17" x14ac:dyDescent="0.25">
      <c r="A701" s="19"/>
      <c r="B701" s="13"/>
      <c r="C701" s="14"/>
      <c r="D701" s="13"/>
      <c r="E701" s="14"/>
      <c r="F701" s="14"/>
      <c r="G701" s="14"/>
      <c r="H701" s="13"/>
      <c r="I701" s="14"/>
      <c r="J701" s="14"/>
      <c r="K701" s="14"/>
      <c r="L701" s="13"/>
      <c r="M701" s="14"/>
      <c r="N701" s="14"/>
      <c r="O701" s="13"/>
      <c r="P701" s="14"/>
      <c r="Q701" s="14"/>
    </row>
    <row r="702" spans="1:17" x14ac:dyDescent="0.25">
      <c r="A702" s="19"/>
      <c r="B702" s="13"/>
      <c r="C702" s="14"/>
      <c r="D702" s="13"/>
      <c r="E702" s="14"/>
      <c r="F702" s="14"/>
      <c r="G702" s="14"/>
      <c r="H702" s="13"/>
      <c r="I702" s="14"/>
      <c r="J702" s="14"/>
      <c r="K702" s="14"/>
      <c r="L702" s="13"/>
      <c r="M702" s="14"/>
      <c r="N702" s="14"/>
      <c r="O702" s="13"/>
      <c r="P702" s="14"/>
      <c r="Q702" s="14"/>
    </row>
    <row r="703" spans="1:17" x14ac:dyDescent="0.25">
      <c r="A703" s="19"/>
      <c r="B703" s="13"/>
      <c r="C703" s="14"/>
      <c r="D703" s="13"/>
      <c r="E703" s="14"/>
      <c r="F703" s="14"/>
      <c r="G703" s="14"/>
      <c r="H703" s="13"/>
      <c r="I703" s="14"/>
      <c r="J703" s="14"/>
      <c r="K703" s="14"/>
      <c r="L703" s="13"/>
      <c r="M703" s="14"/>
      <c r="N703" s="14"/>
      <c r="O703" s="13"/>
      <c r="P703" s="14"/>
      <c r="Q703" s="14"/>
    </row>
    <row r="704" spans="1:17" x14ac:dyDescent="0.25">
      <c r="A704" s="19"/>
      <c r="B704" s="13"/>
      <c r="C704" s="14"/>
      <c r="D704" s="13"/>
      <c r="E704" s="14"/>
      <c r="F704" s="14"/>
      <c r="G704" s="14"/>
      <c r="H704" s="13"/>
      <c r="I704" s="14"/>
      <c r="J704" s="14"/>
      <c r="K704" s="14"/>
      <c r="L704" s="13"/>
      <c r="M704" s="14"/>
      <c r="N704" s="14"/>
      <c r="O704" s="13"/>
      <c r="P704" s="14"/>
      <c r="Q704" s="14"/>
    </row>
    <row r="705" spans="1:17" x14ac:dyDescent="0.25">
      <c r="A705" s="19"/>
      <c r="B705" s="13"/>
      <c r="C705" s="14"/>
      <c r="D705" s="13"/>
      <c r="E705" s="14"/>
      <c r="F705" s="14"/>
      <c r="G705" s="14"/>
      <c r="H705" s="13"/>
      <c r="I705" s="14"/>
      <c r="J705" s="14"/>
      <c r="K705" s="14"/>
      <c r="L705" s="13"/>
      <c r="M705" s="14"/>
      <c r="N705" s="14"/>
      <c r="O705" s="13"/>
      <c r="P705" s="14"/>
      <c r="Q705" s="14"/>
    </row>
    <row r="706" spans="1:17" x14ac:dyDescent="0.25">
      <c r="A706" s="19"/>
      <c r="B706" s="13"/>
      <c r="C706" s="14"/>
      <c r="D706" s="13"/>
      <c r="E706" s="14"/>
      <c r="F706" s="14"/>
      <c r="G706" s="14"/>
      <c r="H706" s="13"/>
      <c r="I706" s="14"/>
      <c r="J706" s="14"/>
      <c r="K706" s="14"/>
      <c r="L706" s="13"/>
      <c r="M706" s="14"/>
      <c r="N706" s="14"/>
      <c r="O706" s="13"/>
      <c r="P706" s="14"/>
      <c r="Q706" s="14"/>
    </row>
    <row r="707" spans="1:17" x14ac:dyDescent="0.25">
      <c r="A707" s="19"/>
      <c r="B707" s="13"/>
      <c r="C707" s="14"/>
      <c r="D707" s="13"/>
      <c r="E707" s="14"/>
      <c r="F707" s="14"/>
      <c r="G707" s="14"/>
      <c r="H707" s="13"/>
      <c r="I707" s="14"/>
      <c r="J707" s="14"/>
      <c r="K707" s="14"/>
      <c r="L707" s="13"/>
      <c r="M707" s="14"/>
      <c r="N707" s="14"/>
      <c r="O707" s="13"/>
      <c r="P707" s="14"/>
      <c r="Q707" s="14"/>
    </row>
    <row r="708" spans="1:17" x14ac:dyDescent="0.25">
      <c r="A708" s="19"/>
      <c r="B708" s="13"/>
      <c r="C708" s="14"/>
      <c r="D708" s="13"/>
      <c r="E708" s="14"/>
      <c r="F708" s="14"/>
      <c r="G708" s="14"/>
      <c r="H708" s="13"/>
      <c r="I708" s="14"/>
      <c r="J708" s="14"/>
      <c r="K708" s="14"/>
      <c r="L708" s="13"/>
      <c r="M708" s="14"/>
      <c r="N708" s="14"/>
      <c r="O708" s="13"/>
      <c r="P708" s="14"/>
      <c r="Q708" s="14"/>
    </row>
    <row r="709" spans="1:17" x14ac:dyDescent="0.25">
      <c r="A709" s="19"/>
      <c r="B709" s="13"/>
      <c r="C709" s="14"/>
      <c r="D709" s="13"/>
      <c r="E709" s="14"/>
      <c r="F709" s="14"/>
      <c r="G709" s="14"/>
      <c r="H709" s="13"/>
      <c r="I709" s="14"/>
      <c r="J709" s="14"/>
      <c r="K709" s="14"/>
      <c r="L709" s="13"/>
      <c r="M709" s="14"/>
      <c r="N709" s="14"/>
      <c r="O709" s="13"/>
      <c r="P709" s="14"/>
      <c r="Q709" s="14"/>
    </row>
    <row r="710" spans="1:17" x14ac:dyDescent="0.25">
      <c r="A710" s="19"/>
      <c r="B710" s="13"/>
      <c r="C710" s="14"/>
      <c r="D710" s="13"/>
      <c r="E710" s="14"/>
      <c r="F710" s="14"/>
      <c r="G710" s="14"/>
      <c r="H710" s="13"/>
      <c r="I710" s="14"/>
      <c r="J710" s="14"/>
      <c r="K710" s="14"/>
      <c r="L710" s="13"/>
      <c r="M710" s="14"/>
      <c r="N710" s="14"/>
      <c r="O710" s="13"/>
      <c r="P710" s="14"/>
      <c r="Q710" s="14"/>
    </row>
    <row r="711" spans="1:17" x14ac:dyDescent="0.25">
      <c r="A711" s="19"/>
      <c r="B711" s="13"/>
      <c r="C711" s="14"/>
      <c r="D711" s="13"/>
      <c r="E711" s="14"/>
      <c r="F711" s="14"/>
      <c r="G711" s="14"/>
      <c r="H711" s="13"/>
      <c r="I711" s="14"/>
      <c r="J711" s="14"/>
      <c r="K711" s="14"/>
      <c r="L711" s="13"/>
      <c r="M711" s="14"/>
      <c r="N711" s="14"/>
      <c r="O711" s="13"/>
      <c r="P711" s="14"/>
      <c r="Q711" s="14"/>
    </row>
    <row r="712" spans="1:17" x14ac:dyDescent="0.25">
      <c r="A712" s="19"/>
      <c r="B712" s="13"/>
      <c r="C712" s="14"/>
      <c r="D712" s="13"/>
      <c r="E712" s="14"/>
      <c r="F712" s="14"/>
      <c r="G712" s="14"/>
      <c r="H712" s="13"/>
      <c r="I712" s="14"/>
      <c r="J712" s="14"/>
      <c r="K712" s="14"/>
      <c r="L712" s="13"/>
      <c r="M712" s="14"/>
      <c r="N712" s="14"/>
      <c r="O712" s="13"/>
      <c r="P712" s="14"/>
      <c r="Q712" s="14"/>
    </row>
    <row r="713" spans="1:17" x14ac:dyDescent="0.25">
      <c r="A713" s="19"/>
      <c r="B713" s="13"/>
      <c r="C713" s="14"/>
      <c r="D713" s="13"/>
      <c r="E713" s="14"/>
      <c r="F713" s="14"/>
      <c r="G713" s="14"/>
      <c r="H713" s="13"/>
      <c r="I713" s="14"/>
      <c r="J713" s="14"/>
      <c r="K713" s="14"/>
      <c r="L713" s="13"/>
      <c r="M713" s="14"/>
      <c r="N713" s="14"/>
      <c r="O713" s="13"/>
      <c r="P713" s="14"/>
      <c r="Q713" s="14"/>
    </row>
    <row r="714" spans="1:17" x14ac:dyDescent="0.25">
      <c r="A714" s="19"/>
      <c r="B714" s="13"/>
      <c r="C714" s="14"/>
      <c r="D714" s="13"/>
      <c r="E714" s="14"/>
      <c r="F714" s="14"/>
      <c r="G714" s="14"/>
      <c r="H714" s="13"/>
      <c r="I714" s="14"/>
      <c r="J714" s="14"/>
      <c r="K714" s="14"/>
      <c r="L714" s="13"/>
      <c r="M714" s="14"/>
      <c r="N714" s="14"/>
      <c r="O714" s="13"/>
      <c r="P714" s="14"/>
      <c r="Q714" s="14"/>
    </row>
    <row r="715" spans="1:17" x14ac:dyDescent="0.25">
      <c r="A715" s="19"/>
      <c r="B715" s="13"/>
      <c r="C715" s="14"/>
      <c r="D715" s="13"/>
      <c r="E715" s="14"/>
      <c r="F715" s="14"/>
      <c r="G715" s="14"/>
      <c r="H715" s="13"/>
      <c r="I715" s="14"/>
      <c r="J715" s="14"/>
      <c r="K715" s="14"/>
      <c r="L715" s="13"/>
      <c r="M715" s="14"/>
      <c r="N715" s="14"/>
      <c r="O715" s="13"/>
      <c r="P715" s="14"/>
      <c r="Q715" s="14"/>
    </row>
    <row r="716" spans="1:17" x14ac:dyDescent="0.25">
      <c r="A716" s="19"/>
      <c r="B716" s="13"/>
      <c r="C716" s="14"/>
      <c r="D716" s="13"/>
      <c r="E716" s="14"/>
      <c r="F716" s="14"/>
      <c r="G716" s="14"/>
      <c r="H716" s="13"/>
      <c r="I716" s="14"/>
      <c r="J716" s="14"/>
      <c r="K716" s="14"/>
      <c r="L716" s="13"/>
      <c r="M716" s="14"/>
      <c r="N716" s="14"/>
      <c r="O716" s="13"/>
      <c r="P716" s="14"/>
      <c r="Q716" s="14"/>
    </row>
    <row r="717" spans="1:17" x14ac:dyDescent="0.25">
      <c r="A717" s="19"/>
      <c r="B717" s="13"/>
      <c r="C717" s="14"/>
      <c r="D717" s="13"/>
      <c r="E717" s="14"/>
      <c r="F717" s="14"/>
      <c r="G717" s="14"/>
      <c r="H717" s="13"/>
      <c r="I717" s="14"/>
      <c r="J717" s="14"/>
      <c r="K717" s="14"/>
      <c r="L717" s="13"/>
      <c r="M717" s="14"/>
      <c r="N717" s="14"/>
      <c r="O717" s="13"/>
      <c r="P717" s="14"/>
      <c r="Q717" s="14"/>
    </row>
    <row r="718" spans="1:17" x14ac:dyDescent="0.25">
      <c r="A718" s="19"/>
      <c r="B718" s="13"/>
      <c r="C718" s="14"/>
      <c r="D718" s="13"/>
      <c r="E718" s="14"/>
      <c r="F718" s="14"/>
      <c r="G718" s="14"/>
      <c r="H718" s="13"/>
      <c r="I718" s="14"/>
      <c r="J718" s="14"/>
      <c r="K718" s="14"/>
      <c r="L718" s="13"/>
      <c r="M718" s="14"/>
      <c r="N718" s="14"/>
      <c r="O718" s="13"/>
      <c r="P718" s="14"/>
      <c r="Q718" s="14"/>
    </row>
    <row r="719" spans="1:17" x14ac:dyDescent="0.25">
      <c r="A719" s="19"/>
      <c r="B719" s="13"/>
      <c r="C719" s="14"/>
      <c r="D719" s="13"/>
      <c r="E719" s="14"/>
      <c r="F719" s="14"/>
      <c r="G719" s="14"/>
      <c r="H719" s="13"/>
      <c r="I719" s="14"/>
      <c r="J719" s="14"/>
      <c r="K719" s="14"/>
      <c r="L719" s="13"/>
      <c r="M719" s="14"/>
      <c r="N719" s="14"/>
      <c r="O719" s="13"/>
      <c r="P719" s="14"/>
      <c r="Q719" s="14"/>
    </row>
    <row r="720" spans="1:17" x14ac:dyDescent="0.25">
      <c r="A720" s="19"/>
      <c r="B720" s="13"/>
      <c r="C720" s="14"/>
      <c r="D720" s="13"/>
      <c r="E720" s="14"/>
      <c r="F720" s="14"/>
      <c r="G720" s="14"/>
      <c r="H720" s="13"/>
      <c r="I720" s="14"/>
      <c r="J720" s="14"/>
      <c r="K720" s="14"/>
      <c r="L720" s="13"/>
      <c r="M720" s="14"/>
      <c r="N720" s="14"/>
      <c r="O720" s="13"/>
      <c r="P720" s="14"/>
      <c r="Q720" s="14"/>
    </row>
    <row r="721" spans="1:17" x14ac:dyDescent="0.25">
      <c r="A721" s="19"/>
      <c r="B721" s="13"/>
      <c r="C721" s="14"/>
      <c r="D721" s="13"/>
      <c r="E721" s="14"/>
      <c r="F721" s="14"/>
      <c r="G721" s="14"/>
      <c r="H721" s="13"/>
      <c r="I721" s="14"/>
      <c r="J721" s="14"/>
      <c r="K721" s="14"/>
      <c r="L721" s="13"/>
      <c r="M721" s="14"/>
      <c r="N721" s="14"/>
      <c r="O721" s="13"/>
      <c r="P721" s="14"/>
      <c r="Q721" s="14"/>
    </row>
    <row r="722" spans="1:17" x14ac:dyDescent="0.25">
      <c r="A722" s="19"/>
      <c r="B722" s="13"/>
      <c r="C722" s="14"/>
      <c r="D722" s="13"/>
      <c r="E722" s="14"/>
      <c r="F722" s="14"/>
      <c r="G722" s="14"/>
      <c r="H722" s="13"/>
      <c r="I722" s="14"/>
      <c r="J722" s="14"/>
      <c r="K722" s="14"/>
      <c r="L722" s="13"/>
      <c r="M722" s="14"/>
      <c r="N722" s="14"/>
      <c r="O722" s="13"/>
      <c r="P722" s="14"/>
      <c r="Q722" s="14"/>
    </row>
    <row r="723" spans="1:17" x14ac:dyDescent="0.25">
      <c r="A723" s="19"/>
      <c r="B723" s="13"/>
      <c r="C723" s="14"/>
      <c r="D723" s="13"/>
      <c r="E723" s="14"/>
      <c r="F723" s="14"/>
      <c r="G723" s="14"/>
      <c r="H723" s="13"/>
      <c r="I723" s="14"/>
      <c r="J723" s="14"/>
      <c r="K723" s="14"/>
      <c r="L723" s="13"/>
      <c r="M723" s="14"/>
      <c r="N723" s="14"/>
      <c r="O723" s="13"/>
      <c r="P723" s="14"/>
      <c r="Q723" s="14"/>
    </row>
    <row r="724" spans="1:17" x14ac:dyDescent="0.25">
      <c r="A724" s="19"/>
      <c r="B724" s="13"/>
      <c r="C724" s="14"/>
      <c r="D724" s="13"/>
      <c r="E724" s="14"/>
      <c r="F724" s="14"/>
      <c r="G724" s="14"/>
      <c r="H724" s="13"/>
      <c r="I724" s="14"/>
      <c r="J724" s="14"/>
      <c r="K724" s="14"/>
      <c r="L724" s="13"/>
      <c r="M724" s="14"/>
      <c r="N724" s="14"/>
      <c r="O724" s="13"/>
      <c r="P724" s="14"/>
      <c r="Q724" s="14"/>
    </row>
    <row r="725" spans="1:17" x14ac:dyDescent="0.25">
      <c r="A725" s="19"/>
      <c r="B725" s="13"/>
      <c r="C725" s="14"/>
      <c r="D725" s="13"/>
      <c r="E725" s="14"/>
      <c r="F725" s="14"/>
      <c r="G725" s="14"/>
      <c r="H725" s="13"/>
      <c r="I725" s="14"/>
      <c r="J725" s="14"/>
      <c r="K725" s="14"/>
      <c r="L725" s="13"/>
      <c r="M725" s="14"/>
      <c r="N725" s="14"/>
      <c r="O725" s="13"/>
      <c r="P725" s="14"/>
      <c r="Q725" s="14"/>
    </row>
    <row r="726" spans="1:17" x14ac:dyDescent="0.25">
      <c r="A726" s="19"/>
      <c r="B726" s="13"/>
      <c r="C726" s="14"/>
      <c r="D726" s="13"/>
      <c r="E726" s="14"/>
      <c r="F726" s="14"/>
      <c r="G726" s="14"/>
      <c r="H726" s="13"/>
      <c r="I726" s="14"/>
      <c r="J726" s="14"/>
      <c r="K726" s="14"/>
      <c r="L726" s="13"/>
      <c r="M726" s="14"/>
      <c r="N726" s="14"/>
      <c r="O726" s="13"/>
      <c r="P726" s="14"/>
      <c r="Q726" s="14"/>
    </row>
    <row r="727" spans="1:17" x14ac:dyDescent="0.25">
      <c r="A727" s="19"/>
      <c r="B727" s="13"/>
      <c r="C727" s="14"/>
      <c r="D727" s="13"/>
      <c r="E727" s="14"/>
      <c r="F727" s="14"/>
      <c r="G727" s="14"/>
      <c r="H727" s="13"/>
      <c r="I727" s="14"/>
      <c r="J727" s="14"/>
      <c r="K727" s="14"/>
      <c r="L727" s="13"/>
      <c r="M727" s="14"/>
      <c r="N727" s="14"/>
      <c r="O727" s="13"/>
      <c r="P727" s="14"/>
      <c r="Q727" s="14"/>
    </row>
    <row r="728" spans="1:17" x14ac:dyDescent="0.25">
      <c r="A728" s="19"/>
      <c r="B728" s="13"/>
      <c r="C728" s="14"/>
      <c r="D728" s="13"/>
      <c r="E728" s="14"/>
      <c r="F728" s="14"/>
      <c r="G728" s="14"/>
      <c r="H728" s="13"/>
      <c r="I728" s="14"/>
      <c r="J728" s="14"/>
      <c r="K728" s="14"/>
      <c r="L728" s="13"/>
      <c r="M728" s="14"/>
      <c r="N728" s="14"/>
      <c r="O728" s="13"/>
      <c r="P728" s="14"/>
      <c r="Q728" s="14"/>
    </row>
    <row r="729" spans="1:17" x14ac:dyDescent="0.25">
      <c r="A729" s="19"/>
      <c r="B729" s="13"/>
      <c r="C729" s="14"/>
      <c r="D729" s="13"/>
      <c r="E729" s="14"/>
      <c r="F729" s="14"/>
      <c r="G729" s="14"/>
      <c r="H729" s="13"/>
      <c r="I729" s="14"/>
      <c r="J729" s="14"/>
      <c r="K729" s="14"/>
      <c r="L729" s="13"/>
      <c r="M729" s="14"/>
      <c r="N729" s="14"/>
      <c r="O729" s="13"/>
      <c r="P729" s="14"/>
      <c r="Q729" s="14"/>
    </row>
    <row r="730" spans="1:17" x14ac:dyDescent="0.25">
      <c r="A730" s="19"/>
      <c r="B730" s="13"/>
      <c r="C730" s="14"/>
      <c r="D730" s="13"/>
      <c r="E730" s="14"/>
      <c r="F730" s="14"/>
      <c r="G730" s="14"/>
      <c r="H730" s="13"/>
      <c r="I730" s="14"/>
      <c r="J730" s="14"/>
      <c r="K730" s="14"/>
      <c r="L730" s="13"/>
      <c r="M730" s="14"/>
      <c r="N730" s="14"/>
      <c r="O730" s="13"/>
      <c r="P730" s="14"/>
      <c r="Q730" s="14"/>
    </row>
    <row r="731" spans="1:17" x14ac:dyDescent="0.25">
      <c r="A731" s="19"/>
      <c r="B731" s="13"/>
      <c r="C731" s="14"/>
      <c r="D731" s="13"/>
      <c r="E731" s="14"/>
      <c r="F731" s="14"/>
      <c r="G731" s="14"/>
      <c r="H731" s="13"/>
      <c r="I731" s="14"/>
      <c r="J731" s="14"/>
      <c r="K731" s="14"/>
      <c r="L731" s="13"/>
      <c r="M731" s="14"/>
      <c r="N731" s="14"/>
      <c r="O731" s="13"/>
      <c r="P731" s="14"/>
      <c r="Q731" s="14"/>
    </row>
    <row r="732" spans="1:17" x14ac:dyDescent="0.25">
      <c r="A732" s="19"/>
      <c r="B732" s="13"/>
      <c r="C732" s="14"/>
      <c r="D732" s="13"/>
      <c r="E732" s="14"/>
      <c r="F732" s="14"/>
      <c r="G732" s="14"/>
      <c r="H732" s="13"/>
      <c r="I732" s="14"/>
      <c r="J732" s="14"/>
      <c r="K732" s="14"/>
      <c r="L732" s="13"/>
      <c r="M732" s="14"/>
      <c r="N732" s="14"/>
      <c r="O732" s="13"/>
      <c r="P732" s="14"/>
      <c r="Q732" s="14"/>
    </row>
    <row r="733" spans="1:17" x14ac:dyDescent="0.25">
      <c r="A733" s="19"/>
      <c r="B733" s="13"/>
      <c r="C733" s="14"/>
      <c r="D733" s="13"/>
      <c r="E733" s="14"/>
      <c r="F733" s="14"/>
      <c r="G733" s="14"/>
      <c r="H733" s="13"/>
      <c r="I733" s="14"/>
      <c r="J733" s="14"/>
      <c r="K733" s="14"/>
      <c r="L733" s="13"/>
      <c r="M733" s="14"/>
      <c r="N733" s="14"/>
      <c r="O733" s="13"/>
      <c r="P733" s="14"/>
      <c r="Q733" s="14"/>
    </row>
    <row r="734" spans="1:17" x14ac:dyDescent="0.25">
      <c r="A734" s="19"/>
      <c r="B734" s="13"/>
      <c r="C734" s="14"/>
      <c r="D734" s="13"/>
      <c r="E734" s="14"/>
      <c r="F734" s="14"/>
      <c r="G734" s="14"/>
      <c r="H734" s="13"/>
      <c r="I734" s="14"/>
      <c r="J734" s="14"/>
      <c r="K734" s="14"/>
      <c r="L734" s="13"/>
      <c r="M734" s="14"/>
      <c r="N734" s="14"/>
      <c r="O734" s="13"/>
      <c r="P734" s="14"/>
      <c r="Q734" s="14"/>
    </row>
    <row r="735" spans="1:17" x14ac:dyDescent="0.25">
      <c r="A735" s="19"/>
      <c r="B735" s="13"/>
      <c r="C735" s="14"/>
      <c r="D735" s="13"/>
      <c r="E735" s="14"/>
      <c r="F735" s="14"/>
      <c r="G735" s="14"/>
      <c r="H735" s="13"/>
      <c r="I735" s="14"/>
      <c r="J735" s="14"/>
      <c r="K735" s="14"/>
      <c r="L735" s="13"/>
      <c r="M735" s="14"/>
      <c r="N735" s="14"/>
      <c r="O735" s="13"/>
      <c r="P735" s="14"/>
      <c r="Q735" s="14"/>
    </row>
    <row r="736" spans="1:17" x14ac:dyDescent="0.25">
      <c r="A736" s="19"/>
      <c r="B736" s="13"/>
      <c r="C736" s="14"/>
      <c r="D736" s="13"/>
      <c r="E736" s="14"/>
      <c r="F736" s="14"/>
      <c r="G736" s="14"/>
      <c r="H736" s="13"/>
      <c r="I736" s="14"/>
      <c r="J736" s="14"/>
      <c r="K736" s="14"/>
      <c r="L736" s="13"/>
      <c r="M736" s="14"/>
      <c r="N736" s="14"/>
      <c r="O736" s="13"/>
      <c r="P736" s="14"/>
      <c r="Q736" s="14"/>
    </row>
    <row r="737" spans="1:17" x14ac:dyDescent="0.25">
      <c r="A737" s="19"/>
      <c r="B737" s="13"/>
      <c r="C737" s="14"/>
      <c r="D737" s="13"/>
      <c r="E737" s="14"/>
      <c r="F737" s="14"/>
      <c r="G737" s="14"/>
      <c r="H737" s="13"/>
      <c r="I737" s="14"/>
      <c r="J737" s="14"/>
      <c r="K737" s="14"/>
      <c r="L737" s="13"/>
      <c r="M737" s="14"/>
      <c r="N737" s="14"/>
      <c r="O737" s="13"/>
      <c r="P737" s="14"/>
      <c r="Q737" s="14"/>
    </row>
    <row r="738" spans="1:17" x14ac:dyDescent="0.25">
      <c r="A738" s="19"/>
      <c r="B738" s="13"/>
      <c r="C738" s="14"/>
      <c r="D738" s="13"/>
      <c r="E738" s="14"/>
      <c r="F738" s="14"/>
      <c r="G738" s="14"/>
      <c r="H738" s="13"/>
      <c r="I738" s="14"/>
      <c r="J738" s="14"/>
      <c r="K738" s="14"/>
      <c r="L738" s="13"/>
      <c r="M738" s="14"/>
      <c r="N738" s="14"/>
      <c r="O738" s="13"/>
      <c r="P738" s="14"/>
      <c r="Q738" s="14"/>
    </row>
    <row r="739" spans="1:17" x14ac:dyDescent="0.25">
      <c r="A739" s="19"/>
      <c r="B739" s="13"/>
      <c r="C739" s="14"/>
      <c r="D739" s="13"/>
      <c r="E739" s="14"/>
      <c r="F739" s="14"/>
      <c r="G739" s="14"/>
      <c r="H739" s="13"/>
      <c r="I739" s="14"/>
      <c r="J739" s="14"/>
      <c r="K739" s="14"/>
      <c r="L739" s="13"/>
      <c r="M739" s="14"/>
      <c r="N739" s="14"/>
      <c r="O739" s="13"/>
      <c r="P739" s="14"/>
      <c r="Q739" s="14"/>
    </row>
    <row r="740" spans="1:17" x14ac:dyDescent="0.25">
      <c r="A740" s="19"/>
      <c r="B740" s="13"/>
      <c r="C740" s="14"/>
      <c r="D740" s="13"/>
      <c r="E740" s="14"/>
      <c r="F740" s="14"/>
      <c r="G740" s="14"/>
      <c r="H740" s="13"/>
      <c r="I740" s="14"/>
      <c r="J740" s="14"/>
      <c r="K740" s="14"/>
      <c r="L740" s="13"/>
      <c r="M740" s="14"/>
      <c r="N740" s="14"/>
      <c r="O740" s="13"/>
      <c r="P740" s="14"/>
      <c r="Q740" s="14"/>
    </row>
    <row r="741" spans="1:17" x14ac:dyDescent="0.25">
      <c r="A741" s="19"/>
      <c r="B741" s="13"/>
      <c r="C741" s="14"/>
      <c r="D741" s="13"/>
      <c r="E741" s="14"/>
      <c r="F741" s="14"/>
      <c r="G741" s="14"/>
      <c r="H741" s="13"/>
      <c r="I741" s="14"/>
      <c r="J741" s="14"/>
      <c r="K741" s="14"/>
      <c r="L741" s="13"/>
      <c r="M741" s="14"/>
      <c r="N741" s="14"/>
      <c r="O741" s="13"/>
      <c r="P741" s="14"/>
      <c r="Q741" s="14"/>
    </row>
    <row r="742" spans="1:17" x14ac:dyDescent="0.25">
      <c r="A742" s="19"/>
      <c r="B742" s="13"/>
      <c r="C742" s="14"/>
      <c r="D742" s="13"/>
      <c r="E742" s="14"/>
      <c r="F742" s="14"/>
      <c r="G742" s="14"/>
      <c r="H742" s="13"/>
      <c r="I742" s="14"/>
      <c r="J742" s="14"/>
      <c r="K742" s="14"/>
      <c r="L742" s="13"/>
      <c r="M742" s="14"/>
      <c r="N742" s="14"/>
      <c r="O742" s="13"/>
      <c r="P742" s="14"/>
      <c r="Q742" s="14"/>
    </row>
    <row r="743" spans="1:17" x14ac:dyDescent="0.25">
      <c r="A743" s="19"/>
      <c r="B743" s="13"/>
      <c r="C743" s="14"/>
      <c r="D743" s="13"/>
      <c r="E743" s="14"/>
      <c r="F743" s="14"/>
      <c r="G743" s="14"/>
      <c r="H743" s="13"/>
      <c r="I743" s="14"/>
      <c r="J743" s="14"/>
      <c r="K743" s="14"/>
      <c r="L743" s="13"/>
      <c r="M743" s="14"/>
      <c r="N743" s="14"/>
      <c r="O743" s="13"/>
      <c r="P743" s="14"/>
      <c r="Q743" s="14"/>
    </row>
    <row r="744" spans="1:17" x14ac:dyDescent="0.25">
      <c r="A744" s="19"/>
      <c r="B744" s="13"/>
      <c r="C744" s="14"/>
      <c r="D744" s="13"/>
      <c r="E744" s="14"/>
      <c r="F744" s="14"/>
      <c r="G744" s="14"/>
      <c r="H744" s="13"/>
      <c r="I744" s="14"/>
      <c r="J744" s="14"/>
      <c r="K744" s="14"/>
      <c r="L744" s="13"/>
      <c r="M744" s="14"/>
      <c r="N744" s="14"/>
      <c r="O744" s="13"/>
      <c r="P744" s="14"/>
      <c r="Q744" s="14"/>
    </row>
    <row r="745" spans="1:17" x14ac:dyDescent="0.25">
      <c r="A745" s="19"/>
      <c r="B745" s="13"/>
      <c r="C745" s="14"/>
      <c r="D745" s="13"/>
      <c r="E745" s="14"/>
      <c r="F745" s="14"/>
      <c r="G745" s="14"/>
      <c r="H745" s="13"/>
      <c r="I745" s="14"/>
      <c r="J745" s="14"/>
      <c r="K745" s="14"/>
      <c r="L745" s="13"/>
      <c r="M745" s="14"/>
      <c r="N745" s="14"/>
      <c r="O745" s="13"/>
      <c r="P745" s="14"/>
      <c r="Q745" s="14"/>
    </row>
    <row r="746" spans="1:17" x14ac:dyDescent="0.25">
      <c r="A746" s="19"/>
      <c r="B746" s="13"/>
      <c r="C746" s="14"/>
      <c r="D746" s="13"/>
      <c r="E746" s="14"/>
      <c r="F746" s="14"/>
      <c r="G746" s="14"/>
      <c r="H746" s="13"/>
      <c r="I746" s="14"/>
      <c r="J746" s="14"/>
      <c r="K746" s="14"/>
      <c r="L746" s="13"/>
      <c r="M746" s="14"/>
      <c r="N746" s="14"/>
      <c r="O746" s="13"/>
      <c r="P746" s="14"/>
      <c r="Q746" s="14"/>
    </row>
    <row r="747" spans="1:17" x14ac:dyDescent="0.25">
      <c r="A747" s="19"/>
      <c r="B747" s="13"/>
      <c r="C747" s="14"/>
      <c r="D747" s="13"/>
      <c r="E747" s="14"/>
      <c r="F747" s="14"/>
      <c r="G747" s="14"/>
      <c r="H747" s="13"/>
      <c r="I747" s="14"/>
      <c r="J747" s="14"/>
      <c r="K747" s="14"/>
      <c r="L747" s="13"/>
      <c r="M747" s="14"/>
      <c r="N747" s="14"/>
      <c r="O747" s="13"/>
      <c r="P747" s="14"/>
      <c r="Q747" s="14"/>
    </row>
    <row r="748" spans="1:17" x14ac:dyDescent="0.25">
      <c r="A748" s="19"/>
      <c r="B748" s="13"/>
      <c r="C748" s="14"/>
      <c r="D748" s="13"/>
      <c r="E748" s="14"/>
      <c r="F748" s="14"/>
      <c r="G748" s="14"/>
      <c r="H748" s="13"/>
      <c r="I748" s="14"/>
      <c r="J748" s="14"/>
      <c r="K748" s="14"/>
      <c r="L748" s="13"/>
      <c r="M748" s="14"/>
      <c r="N748" s="14"/>
      <c r="O748" s="13"/>
      <c r="P748" s="14"/>
      <c r="Q748" s="14"/>
    </row>
    <row r="749" spans="1:17" x14ac:dyDescent="0.25">
      <c r="A749" s="19"/>
      <c r="B749" s="13"/>
      <c r="C749" s="14"/>
      <c r="D749" s="13"/>
      <c r="E749" s="14"/>
      <c r="F749" s="14"/>
      <c r="G749" s="14"/>
      <c r="H749" s="13"/>
      <c r="I749" s="14"/>
      <c r="J749" s="14"/>
      <c r="K749" s="14"/>
      <c r="L749" s="13"/>
      <c r="M749" s="14"/>
      <c r="N749" s="14"/>
      <c r="O749" s="13"/>
      <c r="P749" s="14"/>
      <c r="Q749" s="14"/>
    </row>
    <row r="750" spans="1:17" x14ac:dyDescent="0.25">
      <c r="A750" s="19"/>
      <c r="B750" s="13"/>
      <c r="C750" s="14"/>
      <c r="D750" s="13"/>
      <c r="E750" s="14"/>
      <c r="F750" s="14"/>
      <c r="G750" s="14"/>
      <c r="H750" s="13"/>
      <c r="I750" s="14"/>
      <c r="J750" s="14"/>
      <c r="K750" s="14"/>
      <c r="L750" s="13"/>
      <c r="M750" s="14"/>
      <c r="N750" s="14"/>
      <c r="O750" s="13"/>
      <c r="P750" s="14"/>
      <c r="Q750" s="14"/>
    </row>
    <row r="751" spans="1:17" x14ac:dyDescent="0.25">
      <c r="A751" s="19"/>
      <c r="B751" s="13"/>
      <c r="C751" s="14"/>
      <c r="D751" s="13"/>
      <c r="E751" s="14"/>
      <c r="F751" s="14"/>
      <c r="G751" s="14"/>
      <c r="H751" s="13"/>
      <c r="I751" s="14"/>
      <c r="J751" s="14"/>
      <c r="K751" s="14"/>
      <c r="L751" s="13"/>
      <c r="M751" s="14"/>
      <c r="N751" s="14"/>
      <c r="O751" s="13"/>
      <c r="P751" s="14"/>
      <c r="Q751" s="14"/>
    </row>
    <row r="752" spans="1:17" x14ac:dyDescent="0.25">
      <c r="A752" s="19"/>
      <c r="B752" s="13"/>
      <c r="C752" s="14"/>
      <c r="D752" s="13"/>
      <c r="E752" s="14"/>
      <c r="F752" s="14"/>
      <c r="G752" s="14"/>
      <c r="H752" s="13"/>
      <c r="I752" s="14"/>
      <c r="J752" s="14"/>
      <c r="K752" s="14"/>
      <c r="L752" s="13"/>
      <c r="M752" s="14"/>
      <c r="N752" s="14"/>
      <c r="O752" s="13"/>
      <c r="P752" s="14"/>
      <c r="Q752" s="14"/>
    </row>
    <row r="753" spans="1:17" x14ac:dyDescent="0.25">
      <c r="A753" s="19"/>
      <c r="B753" s="13"/>
      <c r="C753" s="14"/>
      <c r="D753" s="13"/>
      <c r="E753" s="14"/>
      <c r="F753" s="14"/>
      <c r="G753" s="14"/>
      <c r="H753" s="13"/>
      <c r="I753" s="14"/>
      <c r="J753" s="14"/>
      <c r="K753" s="14"/>
      <c r="L753" s="13"/>
      <c r="M753" s="14"/>
      <c r="N753" s="14"/>
      <c r="O753" s="13"/>
      <c r="P753" s="14"/>
      <c r="Q753" s="14"/>
    </row>
    <row r="754" spans="1:17" x14ac:dyDescent="0.25">
      <c r="A754" s="19"/>
      <c r="B754" s="13"/>
      <c r="C754" s="14"/>
      <c r="D754" s="13"/>
      <c r="E754" s="14"/>
      <c r="F754" s="14"/>
      <c r="G754" s="14"/>
      <c r="H754" s="13"/>
      <c r="I754" s="14"/>
      <c r="J754" s="14"/>
      <c r="K754" s="14"/>
      <c r="L754" s="13"/>
      <c r="M754" s="14"/>
      <c r="N754" s="14"/>
      <c r="O754" s="13"/>
      <c r="P754" s="14"/>
      <c r="Q754" s="14"/>
    </row>
    <row r="755" spans="1:17" x14ac:dyDescent="0.25">
      <c r="A755" s="19"/>
      <c r="B755" s="13"/>
      <c r="C755" s="14"/>
      <c r="D755" s="13"/>
      <c r="E755" s="14"/>
      <c r="F755" s="14"/>
      <c r="G755" s="14"/>
      <c r="H755" s="13"/>
      <c r="I755" s="14"/>
      <c r="J755" s="14"/>
      <c r="K755" s="14"/>
      <c r="L755" s="13"/>
      <c r="M755" s="14"/>
      <c r="N755" s="14"/>
      <c r="O755" s="13"/>
      <c r="P755" s="14"/>
      <c r="Q755" s="14"/>
    </row>
    <row r="756" spans="1:17" x14ac:dyDescent="0.25">
      <c r="A756" s="19"/>
      <c r="B756" s="13"/>
      <c r="C756" s="14"/>
      <c r="D756" s="13"/>
      <c r="E756" s="14"/>
      <c r="F756" s="14"/>
      <c r="G756" s="14"/>
      <c r="H756" s="13"/>
      <c r="I756" s="14"/>
      <c r="J756" s="14"/>
      <c r="K756" s="14"/>
      <c r="L756" s="13"/>
      <c r="M756" s="14"/>
      <c r="N756" s="14"/>
      <c r="O756" s="13"/>
      <c r="P756" s="14"/>
      <c r="Q756" s="14"/>
    </row>
    <row r="757" spans="1:17" x14ac:dyDescent="0.25">
      <c r="A757" s="19"/>
      <c r="B757" s="13"/>
      <c r="C757" s="14"/>
      <c r="D757" s="13"/>
      <c r="E757" s="14"/>
      <c r="F757" s="14"/>
      <c r="G757" s="14"/>
      <c r="H757" s="13"/>
      <c r="I757" s="14"/>
      <c r="J757" s="14"/>
      <c r="K757" s="14"/>
      <c r="L757" s="13"/>
      <c r="M757" s="14"/>
      <c r="N757" s="14"/>
      <c r="O757" s="13"/>
      <c r="P757" s="14"/>
      <c r="Q757" s="14"/>
    </row>
    <row r="758" spans="1:17" x14ac:dyDescent="0.25">
      <c r="A758" s="19"/>
      <c r="B758" s="13"/>
      <c r="C758" s="14"/>
      <c r="D758" s="13"/>
      <c r="E758" s="14"/>
      <c r="F758" s="14"/>
      <c r="G758" s="14"/>
      <c r="H758" s="13"/>
      <c r="I758" s="14"/>
      <c r="J758" s="14"/>
      <c r="K758" s="14"/>
      <c r="L758" s="13"/>
      <c r="M758" s="14"/>
      <c r="N758" s="14"/>
      <c r="O758" s="13"/>
      <c r="P758" s="14"/>
      <c r="Q758" s="14"/>
    </row>
    <row r="759" spans="1:17" x14ac:dyDescent="0.25">
      <c r="A759" s="19"/>
      <c r="B759" s="13"/>
      <c r="C759" s="14"/>
      <c r="D759" s="13"/>
      <c r="E759" s="14"/>
      <c r="F759" s="14"/>
      <c r="G759" s="14"/>
      <c r="H759" s="13"/>
      <c r="I759" s="14"/>
      <c r="J759" s="14"/>
      <c r="K759" s="14"/>
      <c r="L759" s="13"/>
      <c r="M759" s="14"/>
      <c r="N759" s="14"/>
      <c r="O759" s="13"/>
      <c r="P759" s="14"/>
      <c r="Q759" s="14"/>
    </row>
    <row r="760" spans="1:17" x14ac:dyDescent="0.25">
      <c r="A760" s="19"/>
      <c r="B760" s="13"/>
      <c r="C760" s="14"/>
      <c r="D760" s="13"/>
      <c r="E760" s="14"/>
      <c r="F760" s="14"/>
      <c r="G760" s="14"/>
      <c r="H760" s="13"/>
      <c r="I760" s="14"/>
      <c r="J760" s="14"/>
      <c r="K760" s="14"/>
      <c r="L760" s="13"/>
      <c r="M760" s="14"/>
      <c r="N760" s="14"/>
      <c r="O760" s="13"/>
      <c r="P760" s="14"/>
      <c r="Q760" s="14"/>
    </row>
    <row r="761" spans="1:17" x14ac:dyDescent="0.25">
      <c r="A761" s="19"/>
      <c r="B761" s="13"/>
      <c r="C761" s="14"/>
      <c r="D761" s="13"/>
      <c r="E761" s="14"/>
      <c r="F761" s="14"/>
      <c r="G761" s="14"/>
      <c r="H761" s="13"/>
      <c r="I761" s="14"/>
      <c r="J761" s="14"/>
      <c r="K761" s="14"/>
      <c r="L761" s="13"/>
      <c r="M761" s="14"/>
      <c r="N761" s="14"/>
      <c r="O761" s="13"/>
      <c r="P761" s="14"/>
      <c r="Q761" s="14"/>
    </row>
    <row r="762" spans="1:17" x14ac:dyDescent="0.25">
      <c r="A762" s="19"/>
      <c r="B762" s="13"/>
      <c r="C762" s="14"/>
      <c r="D762" s="13"/>
      <c r="E762" s="14"/>
      <c r="F762" s="14"/>
      <c r="G762" s="14"/>
      <c r="H762" s="13"/>
      <c r="I762" s="14"/>
      <c r="J762" s="14"/>
      <c r="K762" s="14"/>
      <c r="L762" s="13"/>
      <c r="M762" s="14"/>
      <c r="N762" s="14"/>
      <c r="O762" s="13"/>
      <c r="P762" s="14"/>
      <c r="Q762" s="14"/>
    </row>
    <row r="763" spans="1:17" x14ac:dyDescent="0.25">
      <c r="A763" s="19"/>
      <c r="B763" s="13"/>
      <c r="C763" s="14"/>
      <c r="D763" s="13"/>
      <c r="E763" s="14"/>
      <c r="F763" s="14"/>
      <c r="G763" s="14"/>
      <c r="H763" s="13"/>
      <c r="I763" s="14"/>
      <c r="J763" s="14"/>
      <c r="K763" s="14"/>
      <c r="L763" s="13"/>
      <c r="M763" s="14"/>
      <c r="N763" s="14"/>
      <c r="O763" s="13"/>
      <c r="P763" s="14"/>
      <c r="Q763" s="14"/>
    </row>
    <row r="764" spans="1:17" x14ac:dyDescent="0.25">
      <c r="A764" s="19"/>
      <c r="B764" s="13"/>
      <c r="C764" s="14"/>
      <c r="D764" s="13"/>
      <c r="E764" s="14"/>
      <c r="F764" s="14"/>
      <c r="G764" s="14"/>
      <c r="H764" s="13"/>
      <c r="I764" s="14"/>
      <c r="J764" s="14"/>
      <c r="K764" s="14"/>
      <c r="L764" s="13"/>
      <c r="M764" s="14"/>
      <c r="N764" s="14"/>
      <c r="O764" s="13"/>
      <c r="P764" s="14"/>
      <c r="Q764" s="14"/>
    </row>
    <row r="765" spans="1:17" x14ac:dyDescent="0.25">
      <c r="A765" s="19"/>
      <c r="B765" s="13"/>
      <c r="C765" s="14"/>
      <c r="D765" s="13"/>
      <c r="E765" s="14"/>
      <c r="F765" s="14"/>
      <c r="G765" s="14"/>
      <c r="H765" s="13"/>
      <c r="I765" s="14"/>
      <c r="J765" s="14"/>
      <c r="K765" s="14"/>
      <c r="L765" s="13"/>
      <c r="M765" s="14"/>
      <c r="N765" s="14"/>
      <c r="O765" s="13"/>
      <c r="P765" s="14"/>
      <c r="Q765" s="14"/>
    </row>
    <row r="766" spans="1:17" x14ac:dyDescent="0.25">
      <c r="A766" s="19"/>
      <c r="B766" s="13"/>
      <c r="C766" s="14"/>
      <c r="D766" s="13"/>
      <c r="E766" s="14"/>
      <c r="F766" s="14"/>
      <c r="G766" s="14"/>
      <c r="H766" s="13"/>
      <c r="I766" s="14"/>
      <c r="J766" s="14"/>
      <c r="K766" s="14"/>
      <c r="L766" s="13"/>
      <c r="M766" s="14"/>
      <c r="N766" s="14"/>
      <c r="O766" s="13"/>
      <c r="P766" s="14"/>
      <c r="Q766" s="14"/>
    </row>
    <row r="767" spans="1:17" x14ac:dyDescent="0.25">
      <c r="A767" s="19"/>
      <c r="B767" s="13"/>
      <c r="C767" s="14"/>
      <c r="D767" s="13"/>
      <c r="E767" s="14"/>
      <c r="F767" s="14"/>
      <c r="G767" s="14"/>
      <c r="H767" s="13"/>
      <c r="I767" s="14"/>
      <c r="J767" s="14"/>
      <c r="K767" s="14"/>
      <c r="L767" s="13"/>
      <c r="M767" s="14"/>
      <c r="N767" s="14"/>
      <c r="O767" s="13"/>
      <c r="P767" s="14"/>
      <c r="Q767" s="14"/>
    </row>
    <row r="768" spans="1:17" x14ac:dyDescent="0.25">
      <c r="A768" s="19"/>
      <c r="B768" s="13"/>
      <c r="C768" s="14"/>
      <c r="D768" s="13"/>
      <c r="E768" s="14"/>
      <c r="F768" s="14"/>
      <c r="G768" s="14"/>
      <c r="H768" s="13"/>
      <c r="I768" s="14"/>
      <c r="J768" s="14"/>
      <c r="K768" s="14"/>
      <c r="L768" s="13"/>
      <c r="M768" s="14"/>
      <c r="N768" s="14"/>
      <c r="O768" s="13"/>
      <c r="P768" s="14"/>
      <c r="Q768" s="14"/>
    </row>
    <row r="769" spans="1:17" x14ac:dyDescent="0.25">
      <c r="A769" s="19"/>
      <c r="B769" s="13"/>
      <c r="C769" s="14"/>
      <c r="D769" s="13"/>
      <c r="E769" s="14"/>
      <c r="F769" s="14"/>
      <c r="G769" s="14"/>
      <c r="H769" s="13"/>
      <c r="I769" s="14"/>
      <c r="J769" s="14"/>
      <c r="K769" s="14"/>
      <c r="L769" s="13"/>
      <c r="M769" s="14"/>
      <c r="N769" s="14"/>
      <c r="O769" s="13"/>
      <c r="P769" s="14"/>
      <c r="Q769" s="14"/>
    </row>
    <row r="770" spans="1:17" x14ac:dyDescent="0.25">
      <c r="A770" s="19"/>
      <c r="B770" s="13"/>
      <c r="C770" s="14"/>
      <c r="D770" s="13"/>
      <c r="E770" s="14"/>
      <c r="F770" s="14"/>
      <c r="G770" s="14"/>
      <c r="H770" s="13"/>
      <c r="I770" s="14"/>
      <c r="J770" s="14"/>
      <c r="K770" s="14"/>
      <c r="L770" s="13"/>
      <c r="M770" s="14"/>
      <c r="N770" s="14"/>
      <c r="O770" s="13"/>
      <c r="P770" s="14"/>
      <c r="Q770" s="14"/>
    </row>
    <row r="771" spans="1:17" x14ac:dyDescent="0.25">
      <c r="A771" s="19"/>
      <c r="B771" s="13"/>
      <c r="C771" s="14"/>
      <c r="D771" s="13"/>
      <c r="E771" s="14"/>
      <c r="F771" s="14"/>
      <c r="G771" s="14"/>
      <c r="H771" s="13"/>
      <c r="I771" s="14"/>
      <c r="J771" s="14"/>
      <c r="K771" s="14"/>
      <c r="L771" s="13"/>
      <c r="M771" s="14"/>
      <c r="N771" s="14"/>
      <c r="O771" s="13"/>
      <c r="P771" s="14"/>
      <c r="Q771" s="14"/>
    </row>
    <row r="772" spans="1:17" x14ac:dyDescent="0.25">
      <c r="A772" s="19"/>
      <c r="B772" s="13"/>
      <c r="C772" s="14"/>
      <c r="D772" s="13"/>
      <c r="E772" s="14"/>
      <c r="F772" s="14"/>
      <c r="G772" s="14"/>
      <c r="H772" s="13"/>
      <c r="I772" s="14"/>
      <c r="J772" s="14"/>
      <c r="K772" s="14"/>
      <c r="L772" s="13"/>
      <c r="M772" s="14"/>
      <c r="N772" s="14"/>
      <c r="O772" s="13"/>
      <c r="P772" s="14"/>
      <c r="Q772" s="14"/>
    </row>
    <row r="773" spans="1:17" x14ac:dyDescent="0.25">
      <c r="A773" s="19"/>
      <c r="B773" s="13"/>
      <c r="C773" s="14"/>
      <c r="D773" s="13"/>
      <c r="E773" s="14"/>
      <c r="F773" s="14"/>
      <c r="G773" s="14"/>
      <c r="H773" s="13"/>
      <c r="I773" s="14"/>
      <c r="J773" s="14"/>
      <c r="K773" s="14"/>
      <c r="L773" s="13"/>
      <c r="M773" s="14"/>
      <c r="N773" s="14"/>
      <c r="O773" s="13"/>
      <c r="P773" s="14"/>
      <c r="Q773" s="14"/>
    </row>
    <row r="774" spans="1:17" x14ac:dyDescent="0.25">
      <c r="A774" s="19"/>
      <c r="B774" s="13"/>
      <c r="C774" s="14"/>
      <c r="D774" s="13"/>
      <c r="E774" s="14"/>
      <c r="F774" s="14"/>
      <c r="G774" s="14"/>
      <c r="H774" s="13"/>
      <c r="I774" s="14"/>
      <c r="J774" s="14"/>
      <c r="K774" s="14"/>
      <c r="L774" s="13"/>
      <c r="M774" s="14"/>
      <c r="N774" s="14"/>
      <c r="O774" s="13"/>
      <c r="P774" s="14"/>
      <c r="Q774" s="14"/>
    </row>
    <row r="775" spans="1:17" x14ac:dyDescent="0.25">
      <c r="A775" s="19"/>
      <c r="B775" s="13"/>
      <c r="C775" s="14"/>
      <c r="D775" s="13"/>
      <c r="E775" s="14"/>
      <c r="F775" s="14"/>
      <c r="G775" s="14"/>
      <c r="H775" s="13"/>
      <c r="I775" s="14"/>
      <c r="J775" s="14"/>
      <c r="K775" s="14"/>
      <c r="L775" s="13"/>
      <c r="M775" s="14"/>
      <c r="N775" s="14"/>
      <c r="O775" s="13"/>
      <c r="P775" s="14"/>
      <c r="Q775" s="14"/>
    </row>
    <row r="776" spans="1:17" x14ac:dyDescent="0.25">
      <c r="A776" s="19"/>
      <c r="B776" s="13"/>
      <c r="C776" s="14"/>
      <c r="D776" s="13"/>
      <c r="E776" s="14"/>
      <c r="F776" s="14"/>
      <c r="G776" s="14"/>
      <c r="H776" s="13"/>
      <c r="I776" s="14"/>
      <c r="J776" s="14"/>
      <c r="K776" s="14"/>
      <c r="L776" s="13"/>
      <c r="M776" s="14"/>
      <c r="N776" s="14"/>
      <c r="O776" s="13"/>
      <c r="P776" s="14"/>
      <c r="Q776" s="14"/>
    </row>
    <row r="777" spans="1:17" x14ac:dyDescent="0.25">
      <c r="A777" s="19"/>
      <c r="B777" s="13"/>
      <c r="C777" s="14"/>
      <c r="D777" s="13"/>
      <c r="E777" s="14"/>
      <c r="F777" s="14"/>
      <c r="G777" s="14"/>
      <c r="H777" s="13"/>
      <c r="I777" s="14"/>
      <c r="J777" s="14"/>
      <c r="K777" s="14"/>
      <c r="L777" s="13"/>
      <c r="M777" s="14"/>
      <c r="N777" s="14"/>
      <c r="O777" s="13"/>
      <c r="P777" s="14"/>
      <c r="Q777" s="14"/>
    </row>
    <row r="778" spans="1:17" x14ac:dyDescent="0.25">
      <c r="A778" s="19"/>
      <c r="B778" s="13"/>
      <c r="C778" s="14"/>
      <c r="D778" s="13"/>
      <c r="E778" s="14"/>
      <c r="F778" s="14"/>
      <c r="G778" s="14"/>
      <c r="H778" s="13"/>
      <c r="I778" s="14"/>
      <c r="J778" s="14"/>
      <c r="K778" s="14"/>
      <c r="L778" s="13"/>
      <c r="M778" s="14"/>
      <c r="N778" s="14"/>
      <c r="O778" s="13"/>
      <c r="P778" s="14"/>
      <c r="Q778" s="14"/>
    </row>
    <row r="779" spans="1:17" x14ac:dyDescent="0.25">
      <c r="A779" s="19"/>
      <c r="B779" s="13"/>
      <c r="C779" s="14"/>
      <c r="D779" s="13"/>
      <c r="E779" s="14"/>
      <c r="F779" s="14"/>
      <c r="G779" s="14"/>
      <c r="H779" s="13"/>
      <c r="I779" s="14"/>
      <c r="J779" s="14"/>
      <c r="K779" s="14"/>
      <c r="L779" s="13"/>
      <c r="M779" s="14"/>
      <c r="N779" s="14"/>
      <c r="O779" s="13"/>
      <c r="P779" s="14"/>
      <c r="Q779" s="14"/>
    </row>
    <row r="780" spans="1:17" x14ac:dyDescent="0.25">
      <c r="A780" s="19"/>
      <c r="B780" s="13"/>
      <c r="C780" s="14"/>
      <c r="D780" s="13"/>
      <c r="E780" s="14"/>
      <c r="F780" s="14"/>
      <c r="G780" s="14"/>
      <c r="H780" s="13"/>
      <c r="I780" s="14"/>
      <c r="J780" s="14"/>
      <c r="K780" s="14"/>
      <c r="L780" s="13"/>
      <c r="M780" s="14"/>
      <c r="N780" s="14"/>
      <c r="O780" s="13"/>
      <c r="P780" s="14"/>
      <c r="Q780" s="14"/>
    </row>
    <row r="781" spans="1:17" x14ac:dyDescent="0.25">
      <c r="A781" s="19"/>
      <c r="B781" s="13"/>
      <c r="C781" s="14"/>
      <c r="D781" s="13"/>
      <c r="E781" s="14"/>
      <c r="F781" s="14"/>
      <c r="G781" s="14"/>
      <c r="H781" s="13"/>
      <c r="I781" s="14"/>
      <c r="J781" s="14"/>
      <c r="K781" s="14"/>
      <c r="L781" s="13"/>
      <c r="M781" s="14"/>
      <c r="N781" s="14"/>
      <c r="O781" s="13"/>
      <c r="P781" s="14"/>
      <c r="Q781" s="14"/>
    </row>
    <row r="782" spans="1:17" x14ac:dyDescent="0.25">
      <c r="A782" s="19"/>
      <c r="B782" s="13"/>
      <c r="C782" s="14"/>
      <c r="D782" s="13"/>
      <c r="E782" s="14"/>
      <c r="F782" s="14"/>
      <c r="G782" s="14"/>
      <c r="H782" s="13"/>
      <c r="I782" s="14"/>
      <c r="J782" s="14"/>
      <c r="K782" s="14"/>
      <c r="L782" s="13"/>
      <c r="M782" s="14"/>
      <c r="N782" s="14"/>
      <c r="O782" s="13"/>
      <c r="P782" s="14"/>
      <c r="Q782" s="14"/>
    </row>
    <row r="783" spans="1:17" x14ac:dyDescent="0.25">
      <c r="A783" s="19"/>
      <c r="B783" s="13"/>
      <c r="C783" s="14"/>
      <c r="D783" s="13"/>
      <c r="E783" s="14"/>
      <c r="F783" s="14"/>
      <c r="G783" s="14"/>
      <c r="H783" s="13"/>
      <c r="I783" s="14"/>
      <c r="J783" s="14"/>
      <c r="K783" s="14"/>
      <c r="L783" s="13"/>
      <c r="M783" s="14"/>
      <c r="N783" s="14"/>
      <c r="O783" s="13"/>
      <c r="P783" s="14"/>
      <c r="Q783" s="14"/>
    </row>
    <row r="784" spans="1:17" x14ac:dyDescent="0.25">
      <c r="A784" s="19"/>
      <c r="B784" s="13"/>
      <c r="C784" s="14"/>
      <c r="D784" s="13"/>
      <c r="E784" s="14"/>
      <c r="F784" s="14"/>
      <c r="G784" s="14"/>
      <c r="H784" s="13"/>
      <c r="I784" s="14"/>
      <c r="J784" s="14"/>
      <c r="K784" s="14"/>
      <c r="L784" s="13"/>
      <c r="M784" s="14"/>
      <c r="N784" s="14"/>
      <c r="O784" s="13"/>
      <c r="P784" s="14"/>
      <c r="Q784" s="14"/>
    </row>
    <row r="785" spans="1:17" x14ac:dyDescent="0.25">
      <c r="A785" s="19"/>
      <c r="B785" s="13"/>
      <c r="C785" s="14"/>
      <c r="D785" s="13"/>
      <c r="E785" s="14"/>
      <c r="F785" s="14"/>
      <c r="G785" s="14"/>
      <c r="H785" s="13"/>
      <c r="I785" s="14"/>
      <c r="J785" s="14"/>
      <c r="K785" s="14"/>
      <c r="L785" s="13"/>
      <c r="M785" s="14"/>
      <c r="N785" s="14"/>
      <c r="O785" s="13"/>
      <c r="P785" s="14"/>
      <c r="Q785" s="14"/>
    </row>
    <row r="786" spans="1:17" x14ac:dyDescent="0.25">
      <c r="A786" s="19"/>
      <c r="B786" s="13"/>
      <c r="C786" s="14"/>
      <c r="D786" s="13"/>
      <c r="E786" s="14"/>
      <c r="F786" s="14"/>
      <c r="G786" s="14"/>
      <c r="H786" s="13"/>
      <c r="I786" s="14"/>
      <c r="J786" s="14"/>
      <c r="K786" s="14"/>
      <c r="L786" s="13"/>
      <c r="M786" s="14"/>
      <c r="N786" s="14"/>
      <c r="O786" s="13"/>
      <c r="P786" s="14"/>
      <c r="Q786" s="14"/>
    </row>
    <row r="787" spans="1:17" x14ac:dyDescent="0.25">
      <c r="A787" s="19"/>
      <c r="B787" s="13"/>
      <c r="C787" s="14"/>
      <c r="D787" s="13"/>
      <c r="E787" s="14"/>
      <c r="F787" s="14"/>
      <c r="G787" s="14"/>
      <c r="H787" s="13"/>
      <c r="I787" s="14"/>
      <c r="J787" s="14"/>
      <c r="K787" s="14"/>
      <c r="L787" s="13"/>
      <c r="M787" s="14"/>
      <c r="N787" s="14"/>
      <c r="O787" s="13"/>
      <c r="P787" s="14"/>
      <c r="Q787" s="14"/>
    </row>
    <row r="788" spans="1:17" x14ac:dyDescent="0.25">
      <c r="A788" s="19"/>
      <c r="B788" s="13"/>
      <c r="C788" s="14"/>
      <c r="D788" s="13"/>
      <c r="E788" s="14"/>
      <c r="F788" s="14"/>
      <c r="G788" s="14"/>
      <c r="H788" s="13"/>
      <c r="I788" s="14"/>
      <c r="J788" s="14"/>
      <c r="K788" s="14"/>
      <c r="L788" s="13"/>
      <c r="M788" s="14"/>
      <c r="N788" s="14"/>
      <c r="O788" s="13"/>
      <c r="P788" s="14"/>
      <c r="Q788" s="14"/>
    </row>
    <row r="789" spans="1:17" x14ac:dyDescent="0.25">
      <c r="A789" s="19"/>
      <c r="B789" s="13"/>
      <c r="C789" s="14"/>
      <c r="D789" s="13"/>
      <c r="E789" s="14"/>
      <c r="F789" s="14"/>
      <c r="G789" s="14"/>
      <c r="H789" s="13"/>
      <c r="I789" s="14"/>
      <c r="J789" s="14"/>
      <c r="K789" s="14"/>
      <c r="L789" s="13"/>
      <c r="M789" s="14"/>
      <c r="N789" s="14"/>
      <c r="O789" s="13"/>
      <c r="P789" s="14"/>
      <c r="Q789" s="14"/>
    </row>
    <row r="790" spans="1:17" x14ac:dyDescent="0.25">
      <c r="A790" s="19"/>
      <c r="B790" s="13"/>
      <c r="C790" s="14"/>
      <c r="D790" s="13"/>
      <c r="E790" s="14"/>
      <c r="F790" s="14"/>
      <c r="G790" s="14"/>
      <c r="H790" s="13"/>
      <c r="I790" s="14"/>
      <c r="J790" s="14"/>
      <c r="K790" s="14"/>
      <c r="L790" s="13"/>
      <c r="M790" s="14"/>
      <c r="N790" s="14"/>
      <c r="O790" s="13"/>
      <c r="P790" s="14"/>
      <c r="Q790" s="14"/>
    </row>
    <row r="791" spans="1:17" x14ac:dyDescent="0.25">
      <c r="A791" s="19"/>
      <c r="B791" s="13"/>
      <c r="C791" s="14"/>
      <c r="D791" s="13"/>
      <c r="E791" s="14"/>
      <c r="F791" s="14"/>
      <c r="G791" s="14"/>
      <c r="H791" s="13"/>
      <c r="I791" s="14"/>
      <c r="J791" s="14"/>
      <c r="K791" s="14"/>
      <c r="L791" s="13"/>
      <c r="M791" s="14"/>
      <c r="N791" s="14"/>
      <c r="O791" s="13"/>
      <c r="P791" s="14"/>
      <c r="Q791" s="14"/>
    </row>
    <row r="792" spans="1:17" x14ac:dyDescent="0.25">
      <c r="A792" s="19"/>
      <c r="B792" s="13"/>
      <c r="C792" s="14"/>
      <c r="D792" s="13"/>
      <c r="E792" s="14"/>
      <c r="F792" s="14"/>
      <c r="G792" s="14"/>
      <c r="H792" s="13"/>
      <c r="I792" s="14"/>
      <c r="J792" s="14"/>
      <c r="K792" s="14"/>
      <c r="L792" s="13"/>
      <c r="M792" s="14"/>
      <c r="N792" s="14"/>
      <c r="O792" s="13"/>
      <c r="P792" s="14"/>
      <c r="Q792" s="14"/>
    </row>
    <row r="793" spans="1:17" x14ac:dyDescent="0.25">
      <c r="A793" s="19"/>
      <c r="B793" s="13"/>
      <c r="C793" s="14"/>
      <c r="D793" s="13"/>
      <c r="E793" s="14"/>
      <c r="F793" s="14"/>
      <c r="G793" s="14"/>
      <c r="H793" s="13"/>
      <c r="I793" s="14"/>
      <c r="J793" s="14"/>
      <c r="K793" s="14"/>
      <c r="L793" s="13"/>
      <c r="M793" s="14"/>
      <c r="N793" s="14"/>
      <c r="O793" s="13"/>
      <c r="P793" s="14"/>
      <c r="Q793" s="14"/>
    </row>
    <row r="794" spans="1:17" x14ac:dyDescent="0.25">
      <c r="A794" s="19"/>
      <c r="B794" s="13"/>
      <c r="C794" s="14"/>
      <c r="D794" s="13"/>
      <c r="E794" s="14"/>
      <c r="F794" s="14"/>
      <c r="G794" s="14"/>
      <c r="H794" s="13"/>
      <c r="I794" s="14"/>
      <c r="J794" s="14"/>
      <c r="K794" s="14"/>
      <c r="L794" s="13"/>
      <c r="M794" s="14"/>
      <c r="N794" s="14"/>
      <c r="O794" s="13"/>
      <c r="P794" s="14"/>
      <c r="Q794" s="14"/>
    </row>
    <row r="795" spans="1:17" x14ac:dyDescent="0.25">
      <c r="A795" s="19"/>
      <c r="B795" s="13"/>
      <c r="C795" s="14"/>
      <c r="D795" s="13"/>
      <c r="E795" s="14"/>
      <c r="F795" s="14"/>
      <c r="G795" s="14"/>
      <c r="H795" s="13"/>
      <c r="I795" s="14"/>
      <c r="J795" s="14"/>
      <c r="K795" s="14"/>
      <c r="L795" s="13"/>
      <c r="M795" s="14"/>
      <c r="N795" s="14"/>
      <c r="O795" s="13"/>
      <c r="P795" s="14"/>
      <c r="Q795" s="14"/>
    </row>
    <row r="796" spans="1:17" x14ac:dyDescent="0.25">
      <c r="A796" s="19"/>
      <c r="B796" s="13"/>
      <c r="C796" s="14"/>
      <c r="D796" s="13"/>
      <c r="E796" s="14"/>
      <c r="F796" s="14"/>
      <c r="G796" s="14"/>
      <c r="H796" s="13"/>
      <c r="I796" s="14"/>
      <c r="J796" s="14"/>
      <c r="K796" s="14"/>
      <c r="L796" s="13"/>
      <c r="M796" s="14"/>
      <c r="N796" s="14"/>
      <c r="O796" s="13"/>
      <c r="P796" s="14"/>
      <c r="Q796" s="14"/>
    </row>
    <row r="797" spans="1:17" x14ac:dyDescent="0.25">
      <c r="A797" s="19"/>
      <c r="B797" s="13"/>
      <c r="C797" s="14"/>
      <c r="D797" s="13"/>
      <c r="E797" s="14"/>
      <c r="F797" s="14"/>
      <c r="G797" s="14"/>
      <c r="H797" s="13"/>
      <c r="I797" s="14"/>
      <c r="J797" s="14"/>
      <c r="K797" s="14"/>
      <c r="L797" s="13"/>
      <c r="M797" s="14"/>
      <c r="N797" s="14"/>
      <c r="O797" s="13"/>
      <c r="P797" s="14"/>
      <c r="Q797" s="14"/>
    </row>
    <row r="798" spans="1:17" x14ac:dyDescent="0.25">
      <c r="A798" s="19"/>
      <c r="B798" s="13"/>
      <c r="C798" s="14"/>
      <c r="D798" s="13"/>
      <c r="E798" s="14"/>
      <c r="F798" s="14"/>
      <c r="G798" s="14"/>
      <c r="H798" s="13"/>
      <c r="I798" s="14"/>
      <c r="J798" s="14"/>
      <c r="K798" s="14"/>
      <c r="L798" s="13"/>
      <c r="M798" s="14"/>
      <c r="N798" s="14"/>
      <c r="O798" s="13"/>
      <c r="P798" s="14"/>
      <c r="Q798" s="14"/>
    </row>
    <row r="799" spans="1:17" x14ac:dyDescent="0.25">
      <c r="A799" s="19"/>
      <c r="B799" s="13"/>
      <c r="C799" s="14"/>
      <c r="D799" s="13"/>
      <c r="E799" s="14"/>
      <c r="F799" s="14"/>
      <c r="G799" s="14"/>
      <c r="H799" s="13"/>
      <c r="I799" s="14"/>
      <c r="J799" s="14"/>
      <c r="K799" s="14"/>
      <c r="L799" s="13"/>
      <c r="M799" s="14"/>
      <c r="N799" s="14"/>
      <c r="O799" s="13"/>
      <c r="P799" s="14"/>
      <c r="Q799" s="14"/>
    </row>
    <row r="800" spans="1:17" x14ac:dyDescent="0.25">
      <c r="A800" s="19"/>
      <c r="B800" s="13"/>
      <c r="C800" s="14"/>
      <c r="D800" s="13"/>
      <c r="E800" s="14"/>
      <c r="F800" s="14"/>
      <c r="G800" s="14"/>
      <c r="H800" s="13"/>
      <c r="I800" s="14"/>
      <c r="J800" s="14"/>
      <c r="K800" s="14"/>
      <c r="L800" s="13"/>
      <c r="M800" s="14"/>
      <c r="N800" s="14"/>
      <c r="O800" s="13"/>
      <c r="P800" s="14"/>
      <c r="Q800" s="14"/>
    </row>
    <row r="801" spans="1:17" x14ac:dyDescent="0.25">
      <c r="A801" s="19"/>
      <c r="B801" s="13"/>
      <c r="C801" s="14"/>
      <c r="D801" s="13"/>
      <c r="E801" s="14"/>
      <c r="F801" s="14"/>
      <c r="G801" s="14"/>
      <c r="H801" s="13"/>
      <c r="I801" s="14"/>
      <c r="J801" s="14"/>
      <c r="K801" s="14"/>
      <c r="L801" s="13"/>
      <c r="M801" s="14"/>
      <c r="N801" s="14"/>
      <c r="O801" s="13"/>
      <c r="P801" s="14"/>
      <c r="Q801" s="14"/>
    </row>
    <row r="802" spans="1:17" x14ac:dyDescent="0.25">
      <c r="A802" s="19"/>
      <c r="B802" s="13"/>
      <c r="C802" s="14"/>
      <c r="D802" s="13"/>
      <c r="E802" s="14"/>
      <c r="F802" s="14"/>
      <c r="G802" s="14"/>
      <c r="H802" s="13"/>
      <c r="I802" s="14"/>
      <c r="J802" s="14"/>
      <c r="K802" s="14"/>
      <c r="L802" s="13"/>
      <c r="M802" s="14"/>
      <c r="N802" s="14"/>
      <c r="O802" s="13"/>
      <c r="P802" s="14"/>
      <c r="Q802" s="14"/>
    </row>
    <row r="803" spans="1:17" x14ac:dyDescent="0.25">
      <c r="A803" s="19"/>
      <c r="B803" s="13"/>
      <c r="C803" s="14"/>
      <c r="D803" s="13"/>
      <c r="E803" s="14"/>
      <c r="F803" s="14"/>
      <c r="G803" s="14"/>
      <c r="H803" s="13"/>
      <c r="I803" s="14"/>
      <c r="J803" s="14"/>
      <c r="K803" s="14"/>
      <c r="L803" s="13"/>
      <c r="M803" s="14"/>
      <c r="N803" s="14"/>
      <c r="O803" s="13"/>
      <c r="P803" s="14"/>
      <c r="Q803" s="14"/>
    </row>
    <row r="804" spans="1:17" x14ac:dyDescent="0.25">
      <c r="A804" s="19"/>
      <c r="B804" s="13"/>
      <c r="C804" s="14"/>
      <c r="D804" s="13"/>
      <c r="E804" s="14"/>
      <c r="F804" s="14"/>
      <c r="G804" s="14"/>
      <c r="H804" s="13"/>
      <c r="I804" s="14"/>
      <c r="J804" s="14"/>
      <c r="K804" s="14"/>
      <c r="L804" s="13"/>
      <c r="M804" s="14"/>
      <c r="N804" s="14"/>
      <c r="O804" s="13"/>
      <c r="P804" s="14"/>
      <c r="Q804" s="14"/>
    </row>
    <row r="805" spans="1:17" x14ac:dyDescent="0.25">
      <c r="A805" s="19"/>
      <c r="B805" s="13"/>
      <c r="C805" s="14"/>
      <c r="D805" s="13"/>
      <c r="E805" s="14"/>
      <c r="F805" s="14"/>
      <c r="G805" s="14"/>
      <c r="H805" s="13"/>
      <c r="I805" s="14"/>
      <c r="J805" s="14"/>
      <c r="K805" s="14"/>
      <c r="L805" s="13"/>
      <c r="M805" s="14"/>
      <c r="N805" s="14"/>
      <c r="O805" s="13"/>
      <c r="P805" s="14"/>
      <c r="Q805" s="14"/>
    </row>
    <row r="806" spans="1:17" x14ac:dyDescent="0.25">
      <c r="A806" s="19"/>
      <c r="B806" s="13"/>
      <c r="C806" s="14"/>
      <c r="D806" s="13"/>
      <c r="E806" s="14"/>
      <c r="F806" s="14"/>
      <c r="G806" s="14"/>
      <c r="H806" s="13"/>
      <c r="I806" s="14"/>
      <c r="J806" s="14"/>
      <c r="K806" s="14"/>
      <c r="L806" s="13"/>
      <c r="M806" s="14"/>
      <c r="N806" s="14"/>
      <c r="O806" s="13"/>
      <c r="P806" s="14"/>
      <c r="Q806" s="14"/>
    </row>
    <row r="807" spans="1:17" x14ac:dyDescent="0.25">
      <c r="A807" s="19"/>
      <c r="B807" s="13"/>
      <c r="C807" s="14"/>
      <c r="D807" s="13"/>
      <c r="E807" s="14"/>
      <c r="F807" s="14"/>
      <c r="G807" s="14"/>
      <c r="H807" s="13"/>
      <c r="I807" s="14"/>
      <c r="J807" s="14"/>
      <c r="K807" s="14"/>
      <c r="L807" s="13"/>
      <c r="M807" s="14"/>
      <c r="N807" s="14"/>
      <c r="O807" s="13"/>
      <c r="P807" s="14"/>
      <c r="Q807" s="14"/>
    </row>
    <row r="808" spans="1:17" x14ac:dyDescent="0.25">
      <c r="A808" s="19"/>
      <c r="B808" s="13"/>
      <c r="C808" s="14"/>
      <c r="D808" s="13"/>
      <c r="E808" s="14"/>
      <c r="F808" s="14"/>
      <c r="G808" s="14"/>
      <c r="H808" s="13"/>
      <c r="I808" s="14"/>
      <c r="J808" s="14"/>
      <c r="K808" s="14"/>
      <c r="L808" s="13"/>
      <c r="M808" s="14"/>
      <c r="N808" s="14"/>
      <c r="O808" s="13"/>
      <c r="P808" s="14"/>
      <c r="Q808" s="14"/>
    </row>
    <row r="809" spans="1:17" x14ac:dyDescent="0.25">
      <c r="A809" s="19"/>
      <c r="B809" s="13"/>
      <c r="C809" s="14"/>
      <c r="D809" s="13"/>
      <c r="E809" s="14"/>
      <c r="F809" s="14"/>
      <c r="G809" s="14"/>
      <c r="H809" s="13"/>
      <c r="I809" s="14"/>
      <c r="J809" s="14"/>
      <c r="K809" s="14"/>
      <c r="L809" s="13"/>
      <c r="M809" s="14"/>
      <c r="N809" s="14"/>
      <c r="O809" s="13"/>
      <c r="P809" s="14"/>
      <c r="Q809" s="14"/>
    </row>
    <row r="810" spans="1:17" x14ac:dyDescent="0.25">
      <c r="A810" s="19"/>
      <c r="B810" s="13"/>
      <c r="C810" s="14"/>
      <c r="D810" s="13"/>
      <c r="E810" s="14"/>
      <c r="F810" s="14"/>
      <c r="G810" s="14"/>
      <c r="H810" s="13"/>
      <c r="I810" s="14"/>
      <c r="J810" s="14"/>
      <c r="K810" s="14"/>
      <c r="L810" s="13"/>
      <c r="M810" s="14"/>
      <c r="N810" s="14"/>
      <c r="O810" s="13"/>
      <c r="P810" s="14"/>
      <c r="Q810" s="14"/>
    </row>
    <row r="811" spans="1:17" x14ac:dyDescent="0.25">
      <c r="A811" s="19"/>
      <c r="B811" s="13"/>
      <c r="C811" s="14"/>
      <c r="D811" s="13"/>
      <c r="E811" s="14"/>
      <c r="F811" s="14"/>
      <c r="G811" s="14"/>
      <c r="H811" s="13"/>
      <c r="I811" s="14"/>
      <c r="J811" s="14"/>
      <c r="K811" s="14"/>
      <c r="L811" s="13"/>
      <c r="M811" s="14"/>
      <c r="N811" s="14"/>
      <c r="O811" s="13"/>
      <c r="P811" s="14"/>
      <c r="Q811" s="14"/>
    </row>
    <row r="812" spans="1:17" x14ac:dyDescent="0.25">
      <c r="A812" s="19"/>
      <c r="B812" s="13"/>
      <c r="C812" s="14"/>
      <c r="D812" s="13"/>
      <c r="E812" s="14"/>
      <c r="F812" s="14"/>
      <c r="G812" s="14"/>
      <c r="H812" s="13"/>
      <c r="I812" s="14"/>
      <c r="J812" s="14"/>
      <c r="K812" s="14"/>
      <c r="L812" s="13"/>
      <c r="M812" s="14"/>
      <c r="N812" s="14"/>
      <c r="O812" s="13"/>
      <c r="P812" s="14"/>
      <c r="Q812" s="14"/>
    </row>
    <row r="813" spans="1:17" x14ac:dyDescent="0.25">
      <c r="A813" s="19"/>
      <c r="B813" s="13"/>
      <c r="C813" s="14"/>
      <c r="D813" s="13"/>
      <c r="E813" s="14"/>
      <c r="F813" s="14"/>
      <c r="G813" s="14"/>
      <c r="H813" s="13"/>
      <c r="I813" s="14"/>
      <c r="J813" s="14"/>
      <c r="K813" s="14"/>
      <c r="L813" s="13"/>
      <c r="M813" s="14"/>
      <c r="N813" s="14"/>
      <c r="O813" s="13"/>
      <c r="P813" s="14"/>
      <c r="Q813" s="14"/>
    </row>
    <row r="814" spans="1:17" x14ac:dyDescent="0.25">
      <c r="A814" s="19"/>
      <c r="B814" s="13"/>
      <c r="C814" s="14"/>
      <c r="D814" s="13"/>
      <c r="E814" s="14"/>
      <c r="F814" s="14"/>
      <c r="G814" s="14"/>
      <c r="H814" s="13"/>
      <c r="I814" s="14"/>
      <c r="J814" s="14"/>
      <c r="K814" s="14"/>
      <c r="L814" s="13"/>
      <c r="M814" s="14"/>
      <c r="N814" s="14"/>
      <c r="O814" s="13"/>
      <c r="P814" s="14"/>
      <c r="Q814" s="14"/>
    </row>
    <row r="815" spans="1:17" x14ac:dyDescent="0.25">
      <c r="A815" s="19"/>
      <c r="B815" s="13"/>
      <c r="C815" s="14"/>
      <c r="D815" s="13"/>
      <c r="E815" s="14"/>
      <c r="F815" s="14"/>
      <c r="G815" s="14"/>
      <c r="H815" s="13"/>
      <c r="I815" s="14"/>
      <c r="J815" s="14"/>
      <c r="K815" s="14"/>
      <c r="L815" s="13"/>
      <c r="M815" s="14"/>
      <c r="N815" s="14"/>
      <c r="O815" s="13"/>
      <c r="P815" s="14"/>
      <c r="Q815" s="14"/>
    </row>
    <row r="816" spans="1:17" x14ac:dyDescent="0.25">
      <c r="A816" s="19"/>
      <c r="B816" s="13"/>
      <c r="C816" s="14"/>
      <c r="D816" s="13"/>
      <c r="E816" s="14"/>
      <c r="F816" s="14"/>
      <c r="G816" s="14"/>
      <c r="H816" s="13"/>
      <c r="I816" s="14"/>
      <c r="J816" s="14"/>
      <c r="K816" s="14"/>
      <c r="L816" s="13"/>
      <c r="M816" s="14"/>
      <c r="N816" s="14"/>
      <c r="O816" s="13"/>
      <c r="P816" s="14"/>
      <c r="Q816" s="14"/>
    </row>
    <row r="817" spans="1:17" x14ac:dyDescent="0.25">
      <c r="A817" s="19"/>
      <c r="B817" s="13"/>
      <c r="C817" s="14"/>
      <c r="D817" s="13"/>
      <c r="E817" s="14"/>
      <c r="F817" s="14"/>
      <c r="G817" s="14"/>
      <c r="H817" s="13"/>
      <c r="I817" s="14"/>
      <c r="J817" s="14"/>
      <c r="K817" s="14"/>
      <c r="L817" s="13"/>
      <c r="M817" s="14"/>
      <c r="N817" s="14"/>
      <c r="O817" s="13"/>
      <c r="P817" s="14"/>
      <c r="Q817" s="14"/>
    </row>
    <row r="818" spans="1:17" x14ac:dyDescent="0.25">
      <c r="A818" s="19"/>
      <c r="B818" s="13"/>
      <c r="C818" s="14"/>
      <c r="D818" s="13"/>
      <c r="E818" s="14"/>
      <c r="F818" s="14"/>
      <c r="G818" s="14"/>
      <c r="H818" s="13"/>
      <c r="I818" s="14"/>
      <c r="J818" s="14"/>
      <c r="K818" s="14"/>
      <c r="L818" s="13"/>
      <c r="M818" s="14"/>
      <c r="N818" s="14"/>
      <c r="O818" s="13"/>
      <c r="P818" s="14"/>
      <c r="Q818" s="14"/>
    </row>
    <row r="819" spans="1:17" x14ac:dyDescent="0.25">
      <c r="A819" s="19"/>
      <c r="B819" s="13"/>
      <c r="C819" s="14"/>
      <c r="D819" s="13"/>
      <c r="E819" s="14"/>
      <c r="F819" s="14"/>
      <c r="G819" s="14"/>
      <c r="H819" s="13"/>
      <c r="I819" s="14"/>
      <c r="J819" s="14"/>
      <c r="K819" s="14"/>
      <c r="L819" s="13"/>
      <c r="M819" s="14"/>
      <c r="N819" s="14"/>
      <c r="O819" s="13"/>
      <c r="P819" s="14"/>
      <c r="Q819" s="14"/>
    </row>
    <row r="820" spans="1:17" x14ac:dyDescent="0.25">
      <c r="A820" s="19"/>
      <c r="B820" s="13"/>
      <c r="C820" s="14"/>
      <c r="D820" s="13"/>
      <c r="E820" s="14"/>
      <c r="F820" s="14"/>
      <c r="G820" s="14"/>
      <c r="H820" s="13"/>
      <c r="I820" s="14"/>
      <c r="J820" s="14"/>
      <c r="K820" s="14"/>
      <c r="L820" s="13"/>
      <c r="M820" s="14"/>
      <c r="N820" s="14"/>
      <c r="O820" s="13"/>
      <c r="P820" s="14"/>
      <c r="Q820" s="14"/>
    </row>
    <row r="821" spans="1:17" x14ac:dyDescent="0.25">
      <c r="A821" s="19"/>
      <c r="B821" s="13"/>
      <c r="C821" s="14"/>
      <c r="D821" s="13"/>
      <c r="E821" s="14"/>
      <c r="F821" s="14"/>
      <c r="G821" s="14"/>
      <c r="H821" s="13"/>
      <c r="I821" s="14"/>
      <c r="J821" s="14"/>
      <c r="K821" s="14"/>
      <c r="L821" s="13"/>
      <c r="M821" s="14"/>
      <c r="N821" s="14"/>
      <c r="O821" s="13"/>
      <c r="P821" s="14"/>
      <c r="Q821" s="14"/>
    </row>
    <row r="822" spans="1:17" x14ac:dyDescent="0.25">
      <c r="A822" s="19"/>
      <c r="B822" s="13"/>
      <c r="C822" s="14"/>
      <c r="D822" s="13"/>
      <c r="E822" s="14"/>
      <c r="F822" s="14"/>
      <c r="G822" s="14"/>
      <c r="H822" s="13"/>
      <c r="I822" s="14"/>
      <c r="J822" s="14"/>
      <c r="K822" s="14"/>
      <c r="L822" s="13"/>
      <c r="M822" s="14"/>
      <c r="N822" s="14"/>
      <c r="O822" s="13"/>
      <c r="P822" s="14"/>
      <c r="Q822" s="14"/>
    </row>
    <row r="823" spans="1:17" x14ac:dyDescent="0.25">
      <c r="A823" s="19"/>
      <c r="B823" s="13"/>
      <c r="C823" s="14"/>
      <c r="D823" s="13"/>
      <c r="E823" s="14"/>
      <c r="F823" s="14"/>
      <c r="G823" s="14"/>
      <c r="H823" s="13"/>
      <c r="I823" s="14"/>
      <c r="J823" s="14"/>
      <c r="K823" s="14"/>
      <c r="L823" s="13"/>
      <c r="M823" s="14"/>
      <c r="N823" s="14"/>
      <c r="O823" s="13"/>
      <c r="P823" s="14"/>
      <c r="Q823" s="14"/>
    </row>
    <row r="824" spans="1:17" x14ac:dyDescent="0.25">
      <c r="A824" s="19"/>
      <c r="B824" s="13"/>
      <c r="C824" s="14"/>
      <c r="D824" s="13"/>
      <c r="E824" s="14"/>
      <c r="F824" s="14"/>
      <c r="G824" s="14"/>
      <c r="H824" s="13"/>
      <c r="I824" s="14"/>
      <c r="J824" s="14"/>
      <c r="K824" s="14"/>
      <c r="L824" s="13"/>
      <c r="M824" s="14"/>
      <c r="N824" s="14"/>
      <c r="O824" s="13"/>
      <c r="P824" s="14"/>
      <c r="Q824" s="14"/>
    </row>
    <row r="825" spans="1:17" x14ac:dyDescent="0.25">
      <c r="A825" s="19"/>
      <c r="B825" s="13"/>
      <c r="C825" s="14"/>
      <c r="D825" s="13"/>
      <c r="E825" s="14"/>
      <c r="F825" s="14"/>
      <c r="G825" s="14"/>
      <c r="H825" s="13"/>
      <c r="I825" s="14"/>
      <c r="J825" s="14"/>
      <c r="K825" s="14"/>
      <c r="L825" s="13"/>
      <c r="M825" s="14"/>
      <c r="N825" s="14"/>
      <c r="O825" s="13"/>
      <c r="P825" s="14"/>
      <c r="Q825" s="14"/>
    </row>
    <row r="826" spans="1:17" x14ac:dyDescent="0.25">
      <c r="A826" s="19"/>
      <c r="B826" s="13"/>
      <c r="C826" s="14"/>
      <c r="D826" s="13"/>
      <c r="E826" s="14"/>
      <c r="F826" s="14"/>
      <c r="G826" s="14"/>
      <c r="H826" s="13"/>
      <c r="I826" s="14"/>
      <c r="J826" s="14"/>
      <c r="K826" s="14"/>
      <c r="L826" s="13"/>
      <c r="M826" s="14"/>
      <c r="N826" s="14"/>
      <c r="O826" s="13"/>
      <c r="P826" s="14"/>
      <c r="Q826" s="14"/>
    </row>
    <row r="827" spans="1:17" x14ac:dyDescent="0.25">
      <c r="A827" s="19"/>
      <c r="B827" s="13"/>
      <c r="C827" s="14"/>
      <c r="D827" s="13"/>
      <c r="E827" s="14"/>
      <c r="F827" s="14"/>
      <c r="G827" s="14"/>
      <c r="H827" s="13"/>
      <c r="I827" s="14"/>
      <c r="J827" s="14"/>
      <c r="K827" s="14"/>
      <c r="L827" s="13"/>
      <c r="M827" s="14"/>
      <c r="N827" s="14"/>
      <c r="O827" s="13"/>
      <c r="P827" s="14"/>
      <c r="Q827" s="14"/>
    </row>
    <row r="828" spans="1:17" x14ac:dyDescent="0.25">
      <c r="A828" s="19"/>
      <c r="B828" s="13"/>
      <c r="C828" s="14"/>
      <c r="D828" s="13"/>
      <c r="E828" s="14"/>
      <c r="F828" s="14"/>
      <c r="G828" s="14"/>
      <c r="H828" s="13"/>
      <c r="I828" s="14"/>
      <c r="J828" s="14"/>
      <c r="K828" s="14"/>
      <c r="L828" s="13"/>
      <c r="M828" s="14"/>
      <c r="N828" s="14"/>
      <c r="O828" s="13"/>
      <c r="P828" s="14"/>
      <c r="Q828" s="14"/>
    </row>
    <row r="829" spans="1:17" x14ac:dyDescent="0.25">
      <c r="A829" s="19"/>
      <c r="B829" s="13"/>
      <c r="C829" s="14"/>
      <c r="D829" s="13"/>
      <c r="E829" s="14"/>
      <c r="F829" s="14"/>
      <c r="G829" s="14"/>
      <c r="H829" s="13"/>
      <c r="I829" s="14"/>
      <c r="J829" s="14"/>
      <c r="K829" s="14"/>
      <c r="L829" s="13"/>
      <c r="M829" s="14"/>
      <c r="N829" s="14"/>
      <c r="O829" s="13"/>
      <c r="P829" s="14"/>
      <c r="Q829" s="14"/>
    </row>
    <row r="830" spans="1:17" x14ac:dyDescent="0.25">
      <c r="A830" s="19"/>
      <c r="B830" s="13"/>
      <c r="C830" s="14"/>
      <c r="D830" s="13"/>
      <c r="E830" s="14"/>
      <c r="F830" s="14"/>
      <c r="G830" s="14"/>
      <c r="H830" s="13"/>
      <c r="I830" s="14"/>
      <c r="J830" s="14"/>
      <c r="K830" s="14"/>
      <c r="L830" s="13"/>
      <c r="M830" s="14"/>
      <c r="N830" s="14"/>
      <c r="O830" s="13"/>
      <c r="P830" s="14"/>
      <c r="Q830" s="14"/>
    </row>
    <row r="831" spans="1:17" x14ac:dyDescent="0.25">
      <c r="A831" s="19"/>
      <c r="B831" s="13"/>
      <c r="C831" s="14"/>
      <c r="D831" s="13"/>
      <c r="E831" s="14"/>
      <c r="F831" s="14"/>
      <c r="G831" s="14"/>
      <c r="H831" s="13"/>
      <c r="I831" s="14"/>
      <c r="J831" s="14"/>
      <c r="K831" s="14"/>
      <c r="L831" s="13"/>
      <c r="M831" s="14"/>
      <c r="N831" s="14"/>
      <c r="O831" s="13"/>
      <c r="P831" s="14"/>
      <c r="Q831" s="14"/>
    </row>
    <row r="832" spans="1:17" x14ac:dyDescent="0.25">
      <c r="A832" s="19"/>
      <c r="B832" s="13"/>
      <c r="C832" s="14"/>
      <c r="D832" s="13"/>
      <c r="E832" s="14"/>
      <c r="F832" s="14"/>
      <c r="G832" s="14"/>
      <c r="H832" s="13"/>
      <c r="I832" s="14"/>
      <c r="J832" s="14"/>
      <c r="K832" s="14"/>
      <c r="L832" s="13"/>
      <c r="M832" s="14"/>
      <c r="N832" s="14"/>
      <c r="O832" s="13"/>
      <c r="P832" s="14"/>
      <c r="Q832" s="14"/>
    </row>
    <row r="833" spans="1:17" x14ac:dyDescent="0.25">
      <c r="A833" s="19"/>
      <c r="B833" s="13"/>
      <c r="C833" s="14"/>
      <c r="D833" s="13"/>
      <c r="E833" s="14"/>
      <c r="F833" s="14"/>
      <c r="G833" s="14"/>
      <c r="H833" s="13"/>
      <c r="I833" s="14"/>
      <c r="J833" s="14"/>
      <c r="K833" s="14"/>
      <c r="L833" s="13"/>
      <c r="M833" s="14"/>
      <c r="N833" s="14"/>
      <c r="O833" s="13"/>
      <c r="P833" s="14"/>
      <c r="Q833" s="14"/>
    </row>
    <row r="834" spans="1:17" x14ac:dyDescent="0.25">
      <c r="A834" s="19"/>
      <c r="B834" s="13"/>
      <c r="C834" s="14"/>
      <c r="D834" s="13"/>
      <c r="E834" s="14"/>
      <c r="F834" s="14"/>
      <c r="G834" s="14"/>
      <c r="H834" s="13"/>
      <c r="I834" s="14"/>
      <c r="J834" s="14"/>
      <c r="K834" s="14"/>
      <c r="L834" s="13"/>
      <c r="M834" s="14"/>
      <c r="N834" s="14"/>
      <c r="O834" s="13"/>
      <c r="P834" s="14"/>
      <c r="Q834" s="14"/>
    </row>
    <row r="835" spans="1:17" x14ac:dyDescent="0.25">
      <c r="A835" s="19"/>
      <c r="B835" s="13"/>
      <c r="C835" s="14"/>
      <c r="D835" s="13"/>
      <c r="E835" s="14"/>
      <c r="F835" s="14"/>
      <c r="G835" s="14"/>
      <c r="H835" s="13"/>
      <c r="I835" s="14"/>
      <c r="J835" s="14"/>
      <c r="K835" s="14"/>
      <c r="L835" s="13"/>
      <c r="M835" s="14"/>
      <c r="N835" s="14"/>
      <c r="O835" s="13"/>
      <c r="P835" s="14"/>
      <c r="Q835" s="14"/>
    </row>
    <row r="836" spans="1:17" x14ac:dyDescent="0.25">
      <c r="A836" s="19"/>
      <c r="B836" s="13"/>
      <c r="C836" s="14"/>
      <c r="D836" s="13"/>
      <c r="E836" s="14"/>
      <c r="F836" s="14"/>
      <c r="G836" s="14"/>
      <c r="H836" s="13"/>
      <c r="I836" s="14"/>
      <c r="J836" s="14"/>
      <c r="K836" s="14"/>
      <c r="L836" s="13"/>
      <c r="M836" s="14"/>
      <c r="N836" s="14"/>
      <c r="O836" s="13"/>
      <c r="P836" s="14"/>
      <c r="Q836" s="14"/>
    </row>
    <row r="837" spans="1:17" x14ac:dyDescent="0.25">
      <c r="A837" s="19"/>
      <c r="B837" s="13"/>
      <c r="C837" s="14"/>
      <c r="D837" s="13"/>
      <c r="E837" s="14"/>
      <c r="F837" s="14"/>
      <c r="G837" s="14"/>
      <c r="H837" s="13"/>
      <c r="I837" s="14"/>
      <c r="J837" s="14"/>
      <c r="K837" s="14"/>
      <c r="L837" s="13"/>
      <c r="M837" s="14"/>
      <c r="N837" s="14"/>
      <c r="O837" s="13"/>
      <c r="P837" s="14"/>
      <c r="Q837" s="14"/>
    </row>
    <row r="838" spans="1:17" x14ac:dyDescent="0.25">
      <c r="A838" s="19"/>
      <c r="B838" s="13"/>
      <c r="C838" s="14"/>
      <c r="D838" s="13"/>
      <c r="E838" s="14"/>
      <c r="F838" s="14"/>
      <c r="G838" s="14"/>
      <c r="H838" s="13"/>
      <c r="I838" s="14"/>
      <c r="J838" s="14"/>
      <c r="K838" s="14"/>
      <c r="L838" s="13"/>
      <c r="M838" s="14"/>
      <c r="N838" s="14"/>
      <c r="O838" s="13"/>
      <c r="P838" s="14"/>
      <c r="Q838" s="14"/>
    </row>
    <row r="839" spans="1:17" x14ac:dyDescent="0.25">
      <c r="A839" s="19"/>
      <c r="B839" s="13"/>
      <c r="C839" s="14"/>
      <c r="D839" s="13"/>
      <c r="E839" s="14"/>
      <c r="F839" s="14"/>
      <c r="G839" s="14"/>
      <c r="H839" s="13"/>
      <c r="I839" s="14"/>
      <c r="J839" s="14"/>
      <c r="K839" s="14"/>
      <c r="L839" s="13"/>
      <c r="M839" s="14"/>
      <c r="N839" s="14"/>
      <c r="O839" s="13"/>
      <c r="P839" s="14"/>
      <c r="Q839" s="14"/>
    </row>
    <row r="840" spans="1:17" x14ac:dyDescent="0.25">
      <c r="A840" s="19"/>
      <c r="B840" s="13"/>
      <c r="C840" s="14"/>
      <c r="D840" s="13"/>
      <c r="E840" s="14"/>
      <c r="F840" s="14"/>
      <c r="G840" s="14"/>
      <c r="H840" s="13"/>
      <c r="I840" s="14"/>
      <c r="J840" s="14"/>
      <c r="K840" s="14"/>
      <c r="L840" s="13"/>
      <c r="M840" s="14"/>
      <c r="N840" s="14"/>
      <c r="O840" s="13"/>
      <c r="P840" s="14"/>
      <c r="Q840" s="14"/>
    </row>
    <row r="841" spans="1:17" x14ac:dyDescent="0.25">
      <c r="A841" s="19"/>
      <c r="B841" s="13"/>
      <c r="C841" s="14"/>
      <c r="D841" s="13"/>
      <c r="E841" s="14"/>
      <c r="F841" s="14"/>
      <c r="G841" s="14"/>
      <c r="H841" s="13"/>
      <c r="I841" s="14"/>
      <c r="J841" s="14"/>
      <c r="K841" s="14"/>
      <c r="L841" s="13"/>
      <c r="M841" s="14"/>
      <c r="N841" s="14"/>
      <c r="O841" s="13"/>
      <c r="P841" s="14"/>
      <c r="Q841" s="14"/>
    </row>
    <row r="842" spans="1:17" x14ac:dyDescent="0.25">
      <c r="A842" s="19"/>
      <c r="B842" s="13"/>
      <c r="C842" s="14"/>
      <c r="D842" s="13"/>
      <c r="E842" s="14"/>
      <c r="F842" s="14"/>
      <c r="G842" s="14"/>
      <c r="H842" s="13"/>
      <c r="I842" s="14"/>
      <c r="J842" s="14"/>
      <c r="K842" s="14"/>
      <c r="L842" s="13"/>
      <c r="M842" s="14"/>
      <c r="N842" s="14"/>
      <c r="O842" s="13"/>
      <c r="P842" s="14"/>
      <c r="Q842" s="14"/>
    </row>
    <row r="843" spans="1:17" x14ac:dyDescent="0.25">
      <c r="A843" s="19"/>
      <c r="B843" s="13"/>
      <c r="C843" s="14"/>
      <c r="D843" s="13"/>
      <c r="E843" s="14"/>
      <c r="F843" s="14"/>
      <c r="G843" s="14"/>
      <c r="H843" s="13"/>
      <c r="I843" s="14"/>
      <c r="J843" s="14"/>
      <c r="K843" s="14"/>
      <c r="L843" s="13"/>
      <c r="M843" s="14"/>
      <c r="N843" s="14"/>
      <c r="O843" s="13"/>
      <c r="P843" s="14"/>
      <c r="Q843" s="14"/>
    </row>
    <row r="844" spans="1:17" x14ac:dyDescent="0.25">
      <c r="A844" s="19"/>
      <c r="B844" s="13"/>
      <c r="C844" s="14"/>
      <c r="D844" s="13"/>
      <c r="E844" s="14"/>
      <c r="F844" s="14"/>
      <c r="G844" s="14"/>
      <c r="H844" s="13"/>
      <c r="I844" s="14"/>
      <c r="J844" s="14"/>
      <c r="K844" s="14"/>
      <c r="L844" s="13"/>
      <c r="M844" s="14"/>
      <c r="N844" s="14"/>
      <c r="O844" s="13"/>
      <c r="P844" s="14"/>
      <c r="Q844" s="14"/>
    </row>
    <row r="845" spans="1:17" x14ac:dyDescent="0.25">
      <c r="A845" s="19"/>
      <c r="B845" s="13"/>
      <c r="C845" s="14"/>
      <c r="D845" s="13"/>
      <c r="E845" s="14"/>
      <c r="F845" s="14"/>
      <c r="G845" s="14"/>
      <c r="H845" s="13"/>
      <c r="I845" s="14"/>
      <c r="J845" s="14"/>
      <c r="K845" s="14"/>
      <c r="L845" s="13"/>
      <c r="M845" s="14"/>
      <c r="N845" s="14"/>
      <c r="O845" s="13"/>
      <c r="P845" s="14"/>
      <c r="Q845" s="14"/>
    </row>
    <row r="846" spans="1:17" x14ac:dyDescent="0.25">
      <c r="A846" s="19"/>
      <c r="B846" s="13"/>
      <c r="C846" s="14"/>
      <c r="D846" s="13"/>
      <c r="E846" s="14"/>
      <c r="F846" s="14"/>
      <c r="G846" s="14"/>
      <c r="H846" s="13"/>
      <c r="I846" s="14"/>
      <c r="J846" s="14"/>
      <c r="K846" s="14"/>
      <c r="L846" s="13"/>
      <c r="M846" s="14"/>
      <c r="N846" s="14"/>
      <c r="O846" s="13"/>
      <c r="P846" s="14"/>
      <c r="Q846" s="14"/>
    </row>
    <row r="847" spans="1:17" x14ac:dyDescent="0.25">
      <c r="A847" s="19"/>
      <c r="B847" s="13"/>
      <c r="C847" s="14"/>
      <c r="D847" s="13"/>
      <c r="E847" s="14"/>
      <c r="F847" s="14"/>
      <c r="G847" s="14"/>
      <c r="H847" s="13"/>
      <c r="I847" s="14"/>
      <c r="J847" s="14"/>
      <c r="K847" s="14"/>
      <c r="L847" s="13"/>
      <c r="M847" s="14"/>
      <c r="N847" s="14"/>
      <c r="O847" s="13"/>
      <c r="P847" s="14"/>
      <c r="Q847" s="14"/>
    </row>
    <row r="848" spans="1:17" x14ac:dyDescent="0.25">
      <c r="A848" s="19"/>
      <c r="B848" s="13"/>
      <c r="C848" s="14"/>
      <c r="D848" s="13"/>
      <c r="E848" s="14"/>
      <c r="F848" s="14"/>
      <c r="G848" s="14"/>
      <c r="H848" s="13"/>
      <c r="I848" s="14"/>
      <c r="J848" s="14"/>
      <c r="K848" s="14"/>
      <c r="L848" s="13"/>
      <c r="M848" s="14"/>
      <c r="N848" s="14"/>
      <c r="O848" s="13"/>
      <c r="P848" s="14"/>
      <c r="Q848" s="14"/>
    </row>
    <row r="849" spans="1:17" x14ac:dyDescent="0.25">
      <c r="A849" s="19"/>
      <c r="B849" s="13"/>
      <c r="C849" s="14"/>
      <c r="D849" s="13"/>
      <c r="E849" s="14"/>
      <c r="F849" s="14"/>
      <c r="G849" s="14"/>
      <c r="H849" s="13"/>
      <c r="I849" s="14"/>
      <c r="J849" s="14"/>
      <c r="K849" s="14"/>
      <c r="L849" s="13"/>
      <c r="M849" s="14"/>
      <c r="N849" s="14"/>
      <c r="O849" s="13"/>
      <c r="P849" s="14"/>
      <c r="Q849" s="14"/>
    </row>
    <row r="850" spans="1:17" x14ac:dyDescent="0.25">
      <c r="A850" s="19"/>
      <c r="B850" s="13"/>
      <c r="C850" s="14"/>
      <c r="D850" s="13"/>
      <c r="E850" s="14"/>
      <c r="F850" s="14"/>
      <c r="G850" s="14"/>
      <c r="H850" s="13"/>
      <c r="I850" s="14"/>
      <c r="J850" s="14"/>
      <c r="K850" s="14"/>
      <c r="L850" s="13"/>
      <c r="M850" s="14"/>
      <c r="N850" s="14"/>
      <c r="O850" s="13"/>
      <c r="P850" s="14"/>
      <c r="Q850" s="14"/>
    </row>
    <row r="851" spans="1:17" x14ac:dyDescent="0.25">
      <c r="A851" s="19"/>
      <c r="B851" s="13"/>
      <c r="C851" s="14"/>
      <c r="D851" s="13"/>
      <c r="E851" s="14"/>
      <c r="F851" s="14"/>
      <c r="G851" s="14"/>
      <c r="H851" s="13"/>
      <c r="I851" s="14"/>
      <c r="J851" s="14"/>
      <c r="K851" s="14"/>
      <c r="L851" s="13"/>
      <c r="M851" s="14"/>
      <c r="N851" s="14"/>
      <c r="O851" s="13"/>
      <c r="P851" s="14"/>
      <c r="Q851" s="14"/>
    </row>
    <row r="852" spans="1:17" x14ac:dyDescent="0.25">
      <c r="A852" s="19"/>
      <c r="B852" s="13"/>
      <c r="C852" s="14"/>
      <c r="D852" s="13"/>
      <c r="E852" s="14"/>
      <c r="F852" s="14"/>
      <c r="G852" s="14"/>
      <c r="H852" s="13"/>
      <c r="I852" s="14"/>
      <c r="J852" s="14"/>
      <c r="K852" s="14"/>
      <c r="L852" s="13"/>
      <c r="M852" s="14"/>
      <c r="N852" s="14"/>
      <c r="O852" s="13"/>
      <c r="P852" s="14"/>
      <c r="Q852" s="14"/>
    </row>
    <row r="853" spans="1:17" x14ac:dyDescent="0.25">
      <c r="A853" s="19"/>
      <c r="B853" s="13"/>
      <c r="C853" s="14"/>
      <c r="D853" s="13"/>
      <c r="E853" s="14"/>
      <c r="F853" s="14"/>
      <c r="G853" s="14"/>
      <c r="H853" s="13"/>
      <c r="I853" s="14"/>
      <c r="J853" s="14"/>
      <c r="K853" s="14"/>
      <c r="L853" s="13"/>
      <c r="M853" s="14"/>
      <c r="N853" s="14"/>
      <c r="O853" s="13"/>
      <c r="P853" s="14"/>
      <c r="Q853" s="14"/>
    </row>
    <row r="854" spans="1:17" x14ac:dyDescent="0.25">
      <c r="A854" s="19"/>
      <c r="B854" s="13"/>
      <c r="C854" s="14"/>
      <c r="D854" s="13"/>
      <c r="E854" s="14"/>
      <c r="F854" s="14"/>
      <c r="G854" s="14"/>
      <c r="H854" s="13"/>
      <c r="I854" s="14"/>
      <c r="J854" s="14"/>
      <c r="K854" s="14"/>
      <c r="L854" s="13"/>
      <c r="M854" s="14"/>
      <c r="N854" s="14"/>
      <c r="O854" s="13"/>
      <c r="P854" s="14"/>
      <c r="Q854" s="14"/>
    </row>
    <row r="855" spans="1:17" x14ac:dyDescent="0.25">
      <c r="A855" s="19"/>
      <c r="B855" s="13"/>
      <c r="C855" s="14"/>
      <c r="D855" s="13"/>
      <c r="E855" s="14"/>
      <c r="F855" s="14"/>
      <c r="G855" s="14"/>
      <c r="H855" s="13"/>
      <c r="I855" s="14"/>
      <c r="J855" s="14"/>
      <c r="K855" s="14"/>
      <c r="L855" s="13"/>
      <c r="M855" s="14"/>
      <c r="N855" s="14"/>
      <c r="O855" s="13"/>
      <c r="P855" s="14"/>
      <c r="Q855" s="14"/>
    </row>
    <row r="856" spans="1:17" x14ac:dyDescent="0.25">
      <c r="A856" s="19"/>
      <c r="B856" s="13"/>
      <c r="C856" s="14"/>
      <c r="D856" s="13"/>
      <c r="E856" s="14"/>
      <c r="F856" s="14"/>
      <c r="G856" s="14"/>
      <c r="H856" s="13"/>
      <c r="I856" s="14"/>
      <c r="J856" s="14"/>
      <c r="K856" s="14"/>
      <c r="L856" s="13"/>
      <c r="M856" s="14"/>
      <c r="N856" s="14"/>
      <c r="O856" s="13"/>
      <c r="P856" s="14"/>
      <c r="Q856" s="14"/>
    </row>
    <row r="857" spans="1:17" x14ac:dyDescent="0.25">
      <c r="A857" s="19"/>
      <c r="B857" s="13"/>
      <c r="C857" s="14"/>
      <c r="D857" s="13"/>
      <c r="E857" s="14"/>
      <c r="F857" s="14"/>
      <c r="G857" s="14"/>
      <c r="H857" s="13"/>
      <c r="I857" s="14"/>
      <c r="J857" s="14"/>
      <c r="K857" s="14"/>
      <c r="L857" s="13"/>
      <c r="M857" s="14"/>
      <c r="N857" s="14"/>
      <c r="O857" s="13"/>
      <c r="P857" s="14"/>
      <c r="Q857" s="14"/>
    </row>
    <row r="858" spans="1:17" x14ac:dyDescent="0.25">
      <c r="A858" s="19"/>
      <c r="B858" s="13"/>
      <c r="C858" s="14"/>
      <c r="D858" s="13"/>
      <c r="E858" s="14"/>
      <c r="F858" s="14"/>
      <c r="G858" s="14"/>
      <c r="H858" s="13"/>
      <c r="I858" s="14"/>
      <c r="J858" s="14"/>
      <c r="K858" s="14"/>
      <c r="L858" s="13"/>
      <c r="M858" s="14"/>
      <c r="N858" s="14"/>
      <c r="O858" s="13"/>
      <c r="P858" s="14"/>
      <c r="Q858" s="14"/>
    </row>
    <row r="859" spans="1:17" x14ac:dyDescent="0.25">
      <c r="A859" s="19"/>
      <c r="B859" s="13"/>
      <c r="C859" s="14"/>
      <c r="D859" s="13"/>
      <c r="E859" s="14"/>
      <c r="F859" s="14"/>
      <c r="G859" s="14"/>
      <c r="H859" s="13"/>
      <c r="I859" s="14"/>
      <c r="J859" s="14"/>
      <c r="K859" s="14"/>
      <c r="L859" s="13"/>
      <c r="M859" s="14"/>
      <c r="N859" s="14"/>
      <c r="O859" s="13"/>
      <c r="P859" s="14"/>
      <c r="Q859" s="14"/>
    </row>
    <row r="860" spans="1:17" x14ac:dyDescent="0.25">
      <c r="A860" s="19"/>
      <c r="B860" s="13"/>
      <c r="C860" s="14"/>
      <c r="D860" s="13"/>
      <c r="E860" s="14"/>
      <c r="F860" s="14"/>
      <c r="G860" s="14"/>
      <c r="H860" s="13"/>
      <c r="I860" s="14"/>
      <c r="J860" s="14"/>
      <c r="K860" s="14"/>
      <c r="L860" s="13"/>
      <c r="M860" s="14"/>
      <c r="N860" s="14"/>
      <c r="O860" s="13"/>
      <c r="P860" s="14"/>
      <c r="Q860" s="14"/>
    </row>
    <row r="861" spans="1:17" x14ac:dyDescent="0.25">
      <c r="A861" s="19"/>
      <c r="B861" s="13"/>
      <c r="C861" s="14"/>
      <c r="D861" s="13"/>
      <c r="E861" s="14"/>
      <c r="F861" s="14"/>
      <c r="G861" s="14"/>
      <c r="H861" s="13"/>
      <c r="I861" s="14"/>
      <c r="J861" s="14"/>
      <c r="K861" s="14"/>
      <c r="L861" s="13"/>
      <c r="M861" s="14"/>
      <c r="N861" s="14"/>
      <c r="O861" s="13"/>
      <c r="P861" s="14"/>
      <c r="Q861" s="14"/>
    </row>
    <row r="862" spans="1:17" x14ac:dyDescent="0.25">
      <c r="A862" s="19"/>
      <c r="B862" s="13"/>
      <c r="C862" s="14"/>
      <c r="D862" s="13"/>
      <c r="E862" s="14"/>
      <c r="F862" s="14"/>
      <c r="G862" s="14"/>
      <c r="H862" s="13"/>
      <c r="I862" s="14"/>
      <c r="J862" s="14"/>
      <c r="K862" s="14"/>
      <c r="L862" s="13"/>
      <c r="M862" s="14"/>
      <c r="N862" s="14"/>
      <c r="O862" s="13"/>
      <c r="P862" s="14"/>
      <c r="Q862" s="14"/>
    </row>
    <row r="863" spans="1:17" x14ac:dyDescent="0.25">
      <c r="A863" s="19"/>
      <c r="B863" s="13"/>
      <c r="C863" s="14"/>
      <c r="D863" s="13"/>
      <c r="E863" s="14"/>
      <c r="F863" s="14"/>
      <c r="G863" s="14"/>
      <c r="H863" s="13"/>
      <c r="I863" s="14"/>
      <c r="J863" s="14"/>
      <c r="K863" s="14"/>
      <c r="L863" s="13"/>
      <c r="M863" s="14"/>
      <c r="N863" s="14"/>
      <c r="O863" s="13"/>
      <c r="P863" s="14"/>
      <c r="Q863" s="14"/>
    </row>
    <row r="864" spans="1:17" x14ac:dyDescent="0.25">
      <c r="A864" s="19"/>
      <c r="B864" s="13"/>
      <c r="C864" s="14"/>
      <c r="D864" s="13"/>
      <c r="E864" s="14"/>
      <c r="F864" s="14"/>
      <c r="G864" s="14"/>
      <c r="H864" s="13"/>
      <c r="I864" s="14"/>
      <c r="J864" s="14"/>
      <c r="K864" s="14"/>
      <c r="L864" s="13"/>
      <c r="M864" s="14"/>
      <c r="N864" s="14"/>
      <c r="O864" s="13"/>
      <c r="P864" s="14"/>
      <c r="Q864" s="14"/>
    </row>
    <row r="865" spans="1:17" x14ac:dyDescent="0.25">
      <c r="A865" s="19"/>
      <c r="B865" s="13"/>
      <c r="C865" s="14"/>
      <c r="D865" s="13"/>
      <c r="E865" s="14"/>
      <c r="F865" s="14"/>
      <c r="G865" s="14"/>
      <c r="H865" s="13"/>
      <c r="I865" s="14"/>
      <c r="J865" s="14"/>
      <c r="K865" s="14"/>
      <c r="L865" s="13"/>
      <c r="M865" s="14"/>
      <c r="N865" s="14"/>
      <c r="O865" s="13"/>
      <c r="P865" s="14"/>
      <c r="Q865" s="14"/>
    </row>
    <row r="866" spans="1:17" x14ac:dyDescent="0.25">
      <c r="A866" s="19"/>
      <c r="B866" s="13"/>
      <c r="C866" s="14"/>
      <c r="D866" s="13"/>
      <c r="E866" s="14"/>
      <c r="F866" s="14"/>
      <c r="G866" s="14"/>
      <c r="H866" s="13"/>
      <c r="I866" s="14"/>
      <c r="J866" s="14"/>
      <c r="K866" s="14"/>
      <c r="L866" s="13"/>
      <c r="M866" s="14"/>
      <c r="N866" s="14"/>
      <c r="O866" s="13"/>
      <c r="P866" s="14"/>
      <c r="Q866" s="14"/>
    </row>
    <row r="867" spans="1:17" x14ac:dyDescent="0.25">
      <c r="A867" s="19"/>
      <c r="B867" s="13"/>
      <c r="C867" s="14"/>
      <c r="D867" s="13"/>
      <c r="E867" s="14"/>
      <c r="F867" s="14"/>
      <c r="G867" s="14"/>
      <c r="H867" s="13"/>
      <c r="I867" s="14"/>
      <c r="J867" s="14"/>
      <c r="K867" s="14"/>
      <c r="L867" s="13"/>
      <c r="M867" s="14"/>
      <c r="N867" s="14"/>
      <c r="O867" s="13"/>
      <c r="P867" s="14"/>
      <c r="Q867" s="14"/>
    </row>
    <row r="868" spans="1:17" x14ac:dyDescent="0.25">
      <c r="A868" s="19"/>
      <c r="B868" s="13"/>
      <c r="C868" s="14"/>
      <c r="D868" s="13"/>
      <c r="E868" s="14"/>
      <c r="F868" s="14"/>
      <c r="G868" s="14"/>
      <c r="H868" s="13"/>
      <c r="I868" s="14"/>
      <c r="J868" s="14"/>
      <c r="K868" s="14"/>
      <c r="L868" s="13"/>
      <c r="M868" s="14"/>
      <c r="N868" s="14"/>
      <c r="O868" s="13"/>
      <c r="P868" s="14"/>
      <c r="Q868" s="14"/>
    </row>
    <row r="869" spans="1:17" x14ac:dyDescent="0.25">
      <c r="A869" s="19"/>
      <c r="B869" s="13"/>
      <c r="C869" s="14"/>
      <c r="D869" s="13"/>
      <c r="E869" s="14"/>
      <c r="F869" s="14"/>
      <c r="G869" s="14"/>
      <c r="H869" s="13"/>
      <c r="I869" s="14"/>
      <c r="J869" s="14"/>
      <c r="K869" s="14"/>
      <c r="L869" s="13"/>
      <c r="M869" s="14"/>
      <c r="N869" s="14"/>
      <c r="O869" s="13"/>
      <c r="P869" s="14"/>
      <c r="Q869" s="14"/>
    </row>
    <row r="870" spans="1:17" x14ac:dyDescent="0.25">
      <c r="A870" s="19"/>
      <c r="B870" s="13"/>
      <c r="C870" s="14"/>
      <c r="D870" s="13"/>
      <c r="E870" s="14"/>
      <c r="F870" s="14"/>
      <c r="G870" s="14"/>
      <c r="H870" s="13"/>
      <c r="I870" s="14"/>
      <c r="J870" s="14"/>
      <c r="K870" s="14"/>
      <c r="L870" s="13"/>
      <c r="M870" s="14"/>
      <c r="N870" s="14"/>
      <c r="O870" s="13"/>
      <c r="P870" s="14"/>
      <c r="Q870" s="14"/>
    </row>
    <row r="871" spans="1:17" x14ac:dyDescent="0.25">
      <c r="A871" s="19"/>
      <c r="B871" s="13"/>
      <c r="C871" s="14"/>
      <c r="D871" s="13"/>
      <c r="E871" s="14"/>
      <c r="F871" s="14"/>
      <c r="G871" s="14"/>
      <c r="H871" s="13"/>
      <c r="I871" s="14"/>
      <c r="J871" s="14"/>
      <c r="K871" s="14"/>
      <c r="L871" s="13"/>
      <c r="M871" s="14"/>
      <c r="N871" s="14"/>
      <c r="O871" s="13"/>
      <c r="P871" s="14"/>
      <c r="Q871" s="14"/>
    </row>
    <row r="872" spans="1:17" x14ac:dyDescent="0.25">
      <c r="A872" s="19"/>
      <c r="B872" s="13"/>
      <c r="C872" s="14"/>
      <c r="D872" s="13"/>
      <c r="E872" s="14"/>
      <c r="F872" s="14"/>
      <c r="G872" s="14"/>
      <c r="H872" s="13"/>
      <c r="I872" s="14"/>
      <c r="J872" s="14"/>
      <c r="K872" s="14"/>
      <c r="L872" s="13"/>
      <c r="M872" s="14"/>
      <c r="N872" s="14"/>
      <c r="O872" s="13"/>
      <c r="P872" s="14"/>
      <c r="Q872" s="14"/>
    </row>
    <row r="873" spans="1:17" x14ac:dyDescent="0.25">
      <c r="A873" s="19"/>
      <c r="B873" s="13"/>
      <c r="C873" s="14"/>
      <c r="D873" s="13"/>
      <c r="E873" s="14"/>
      <c r="F873" s="14"/>
      <c r="G873" s="14"/>
      <c r="H873" s="13"/>
      <c r="I873" s="14"/>
      <c r="J873" s="14"/>
      <c r="K873" s="14"/>
      <c r="L873" s="13"/>
      <c r="M873" s="14"/>
      <c r="N873" s="14"/>
      <c r="O873" s="13"/>
      <c r="P873" s="14"/>
      <c r="Q873" s="14"/>
    </row>
    <row r="874" spans="1:17" x14ac:dyDescent="0.25">
      <c r="A874" s="19"/>
      <c r="B874" s="13"/>
      <c r="C874" s="14"/>
      <c r="D874" s="13"/>
      <c r="E874" s="14"/>
      <c r="F874" s="14"/>
      <c r="G874" s="14"/>
      <c r="H874" s="13"/>
      <c r="I874" s="14"/>
      <c r="J874" s="14"/>
      <c r="K874" s="14"/>
      <c r="L874" s="13"/>
      <c r="M874" s="14"/>
      <c r="N874" s="14"/>
      <c r="O874" s="13"/>
      <c r="P874" s="14"/>
      <c r="Q874" s="14"/>
    </row>
    <row r="875" spans="1:17" x14ac:dyDescent="0.25">
      <c r="A875" s="19"/>
      <c r="B875" s="13"/>
      <c r="C875" s="14"/>
      <c r="D875" s="13"/>
      <c r="E875" s="14"/>
      <c r="F875" s="14"/>
      <c r="G875" s="14"/>
      <c r="H875" s="13"/>
      <c r="I875" s="14"/>
      <c r="J875" s="14"/>
      <c r="K875" s="14"/>
      <c r="L875" s="13"/>
      <c r="M875" s="14"/>
      <c r="N875" s="14"/>
      <c r="O875" s="13"/>
      <c r="P875" s="14"/>
      <c r="Q875" s="14"/>
    </row>
    <row r="876" spans="1:17" x14ac:dyDescent="0.25">
      <c r="A876" s="19"/>
      <c r="B876" s="13"/>
      <c r="C876" s="14"/>
      <c r="D876" s="13"/>
      <c r="E876" s="14"/>
      <c r="F876" s="14"/>
      <c r="G876" s="14"/>
      <c r="H876" s="13"/>
      <c r="I876" s="14"/>
      <c r="J876" s="14"/>
      <c r="K876" s="14"/>
      <c r="L876" s="13"/>
      <c r="M876" s="14"/>
      <c r="N876" s="14"/>
      <c r="O876" s="13"/>
      <c r="P876" s="14"/>
      <c r="Q876" s="14"/>
    </row>
    <row r="877" spans="1:17" x14ac:dyDescent="0.25">
      <c r="A877" s="19"/>
      <c r="B877" s="13"/>
      <c r="C877" s="14"/>
      <c r="D877" s="13"/>
      <c r="E877" s="14"/>
      <c r="F877" s="14"/>
      <c r="G877" s="14"/>
      <c r="H877" s="13"/>
      <c r="I877" s="14"/>
      <c r="J877" s="14"/>
      <c r="K877" s="14"/>
      <c r="L877" s="13"/>
      <c r="M877" s="14"/>
      <c r="N877" s="14"/>
      <c r="O877" s="13"/>
      <c r="P877" s="14"/>
      <c r="Q877" s="14"/>
    </row>
    <row r="878" spans="1:17" x14ac:dyDescent="0.25">
      <c r="A878" s="19"/>
      <c r="B878" s="13"/>
      <c r="C878" s="14"/>
      <c r="D878" s="13"/>
      <c r="E878" s="14"/>
      <c r="F878" s="14"/>
      <c r="G878" s="14"/>
      <c r="H878" s="13"/>
      <c r="I878" s="14"/>
      <c r="J878" s="14"/>
      <c r="K878" s="14"/>
      <c r="L878" s="13"/>
      <c r="M878" s="14"/>
      <c r="N878" s="14"/>
      <c r="O878" s="13"/>
      <c r="P878" s="14"/>
      <c r="Q878" s="14"/>
    </row>
    <row r="879" spans="1:17" x14ac:dyDescent="0.25">
      <c r="A879" s="19"/>
      <c r="B879" s="13"/>
      <c r="C879" s="14"/>
      <c r="D879" s="13"/>
      <c r="E879" s="14"/>
      <c r="F879" s="14"/>
      <c r="G879" s="14"/>
      <c r="H879" s="13"/>
      <c r="I879" s="14"/>
      <c r="J879" s="14"/>
      <c r="K879" s="14"/>
      <c r="L879" s="13"/>
      <c r="M879" s="14"/>
      <c r="N879" s="14"/>
      <c r="O879" s="13"/>
      <c r="P879" s="14"/>
      <c r="Q879" s="14"/>
    </row>
    <row r="880" spans="1:17" x14ac:dyDescent="0.25">
      <c r="A880" s="19"/>
      <c r="B880" s="13"/>
      <c r="C880" s="14"/>
      <c r="D880" s="13"/>
      <c r="E880" s="14"/>
      <c r="F880" s="14"/>
      <c r="G880" s="14"/>
      <c r="H880" s="13"/>
      <c r="I880" s="14"/>
      <c r="J880" s="14"/>
      <c r="K880" s="14"/>
      <c r="L880" s="13"/>
      <c r="M880" s="14"/>
      <c r="N880" s="14"/>
      <c r="O880" s="13"/>
      <c r="P880" s="14"/>
      <c r="Q880" s="14"/>
    </row>
    <row r="881" spans="1:17" x14ac:dyDescent="0.25">
      <c r="A881" s="19"/>
      <c r="B881" s="13"/>
      <c r="C881" s="14"/>
      <c r="D881" s="13"/>
      <c r="E881" s="14"/>
      <c r="F881" s="14"/>
      <c r="G881" s="14"/>
      <c r="H881" s="13"/>
      <c r="I881" s="14"/>
      <c r="J881" s="14"/>
      <c r="K881" s="14"/>
      <c r="L881" s="13"/>
      <c r="M881" s="14"/>
      <c r="N881" s="14"/>
      <c r="O881" s="13"/>
      <c r="P881" s="14"/>
      <c r="Q881" s="14"/>
    </row>
    <row r="882" spans="1:17" x14ac:dyDescent="0.25">
      <c r="A882" s="19"/>
      <c r="B882" s="13"/>
      <c r="C882" s="14"/>
      <c r="D882" s="13"/>
      <c r="E882" s="14"/>
      <c r="F882" s="14"/>
      <c r="G882" s="14"/>
      <c r="H882" s="13"/>
      <c r="I882" s="14"/>
      <c r="J882" s="14"/>
      <c r="K882" s="14"/>
      <c r="L882" s="13"/>
      <c r="M882" s="14"/>
      <c r="N882" s="14"/>
      <c r="O882" s="13"/>
      <c r="P882" s="14"/>
      <c r="Q882" s="14"/>
    </row>
    <row r="883" spans="1:17" x14ac:dyDescent="0.25">
      <c r="A883" s="19"/>
      <c r="B883" s="13"/>
      <c r="C883" s="14"/>
      <c r="D883" s="13"/>
      <c r="E883" s="14"/>
      <c r="F883" s="14"/>
      <c r="G883" s="14"/>
      <c r="H883" s="13"/>
      <c r="I883" s="14"/>
      <c r="J883" s="14"/>
      <c r="K883" s="14"/>
      <c r="L883" s="13"/>
      <c r="M883" s="14"/>
      <c r="N883" s="14"/>
      <c r="O883" s="13"/>
      <c r="P883" s="14"/>
      <c r="Q883" s="14"/>
    </row>
    <row r="884" spans="1:17" x14ac:dyDescent="0.25">
      <c r="A884" s="19"/>
      <c r="B884" s="13"/>
      <c r="C884" s="14"/>
      <c r="D884" s="13"/>
      <c r="E884" s="14"/>
      <c r="F884" s="14"/>
      <c r="G884" s="14"/>
      <c r="H884" s="13"/>
      <c r="I884" s="14"/>
      <c r="J884" s="14"/>
      <c r="K884" s="14"/>
      <c r="L884" s="13"/>
      <c r="M884" s="14"/>
      <c r="N884" s="14"/>
      <c r="O884" s="13"/>
      <c r="P884" s="14"/>
      <c r="Q884" s="14"/>
    </row>
    <row r="885" spans="1:17" x14ac:dyDescent="0.25">
      <c r="A885" s="19"/>
      <c r="B885" s="13"/>
      <c r="C885" s="14"/>
      <c r="D885" s="13"/>
      <c r="E885" s="14"/>
      <c r="F885" s="14"/>
      <c r="G885" s="14"/>
      <c r="H885" s="13"/>
      <c r="I885" s="14"/>
      <c r="J885" s="14"/>
      <c r="K885" s="14"/>
      <c r="L885" s="13"/>
      <c r="M885" s="14"/>
      <c r="N885" s="14"/>
      <c r="O885" s="13"/>
      <c r="P885" s="14"/>
      <c r="Q885" s="14"/>
    </row>
    <row r="886" spans="1:17" x14ac:dyDescent="0.25">
      <c r="A886" s="19"/>
      <c r="B886" s="13"/>
      <c r="C886" s="14"/>
      <c r="D886" s="13"/>
      <c r="E886" s="14"/>
      <c r="F886" s="14"/>
      <c r="G886" s="14"/>
      <c r="H886" s="13"/>
      <c r="I886" s="14"/>
      <c r="J886" s="14"/>
      <c r="K886" s="14"/>
      <c r="L886" s="13"/>
      <c r="M886" s="14"/>
      <c r="N886" s="14"/>
      <c r="O886" s="13"/>
      <c r="P886" s="14"/>
      <c r="Q886" s="14"/>
    </row>
    <row r="887" spans="1:17" x14ac:dyDescent="0.25">
      <c r="A887" s="19"/>
      <c r="B887" s="13"/>
      <c r="C887" s="14"/>
      <c r="D887" s="13"/>
      <c r="E887" s="14"/>
      <c r="F887" s="14"/>
      <c r="G887" s="14"/>
      <c r="H887" s="13"/>
      <c r="I887" s="14"/>
      <c r="J887" s="14"/>
      <c r="K887" s="14"/>
      <c r="L887" s="13"/>
      <c r="M887" s="14"/>
      <c r="N887" s="14"/>
      <c r="O887" s="13"/>
      <c r="P887" s="14"/>
      <c r="Q887" s="14"/>
    </row>
    <row r="888" spans="1:17" x14ac:dyDescent="0.25">
      <c r="A888" s="19"/>
      <c r="B888" s="13"/>
      <c r="C888" s="14"/>
      <c r="D888" s="13"/>
      <c r="E888" s="14"/>
      <c r="F888" s="14"/>
      <c r="G888" s="14"/>
      <c r="H888" s="13"/>
      <c r="I888" s="14"/>
      <c r="J888" s="14"/>
      <c r="K888" s="14"/>
      <c r="L888" s="13"/>
      <c r="M888" s="14"/>
      <c r="N888" s="14"/>
      <c r="O888" s="13"/>
      <c r="P888" s="14"/>
      <c r="Q888" s="14"/>
    </row>
    <row r="889" spans="1:17" x14ac:dyDescent="0.25">
      <c r="A889" s="19"/>
      <c r="B889" s="13"/>
      <c r="C889" s="14"/>
      <c r="D889" s="13"/>
      <c r="E889" s="14"/>
      <c r="F889" s="14"/>
      <c r="G889" s="14"/>
      <c r="H889" s="13"/>
      <c r="I889" s="14"/>
      <c r="J889" s="14"/>
      <c r="K889" s="14"/>
      <c r="L889" s="13"/>
      <c r="M889" s="14"/>
      <c r="N889" s="14"/>
      <c r="O889" s="13"/>
      <c r="P889" s="14"/>
      <c r="Q889" s="14"/>
    </row>
    <row r="890" spans="1:17" x14ac:dyDescent="0.25">
      <c r="A890" s="19"/>
      <c r="B890" s="13"/>
      <c r="C890" s="14"/>
      <c r="D890" s="13"/>
      <c r="E890" s="14"/>
      <c r="F890" s="14"/>
      <c r="G890" s="14"/>
      <c r="H890" s="13"/>
      <c r="I890" s="14"/>
      <c r="J890" s="14"/>
      <c r="K890" s="14"/>
      <c r="L890" s="13"/>
      <c r="M890" s="14"/>
      <c r="N890" s="14"/>
      <c r="O890" s="13"/>
      <c r="P890" s="14"/>
      <c r="Q890" s="14"/>
    </row>
    <row r="891" spans="1:17" x14ac:dyDescent="0.25">
      <c r="A891" s="19"/>
      <c r="B891" s="13"/>
      <c r="C891" s="14"/>
      <c r="D891" s="13"/>
      <c r="E891" s="14"/>
      <c r="F891" s="14"/>
      <c r="G891" s="14"/>
      <c r="H891" s="13"/>
      <c r="I891" s="14"/>
      <c r="J891" s="14"/>
      <c r="K891" s="14"/>
      <c r="L891" s="13"/>
      <c r="M891" s="14"/>
      <c r="N891" s="14"/>
      <c r="O891" s="13"/>
      <c r="P891" s="14"/>
      <c r="Q891" s="14"/>
    </row>
    <row r="892" spans="1:17" x14ac:dyDescent="0.25">
      <c r="A892" s="19"/>
      <c r="B892" s="13"/>
      <c r="C892" s="14"/>
      <c r="D892" s="13"/>
      <c r="E892" s="14"/>
      <c r="F892" s="14"/>
      <c r="G892" s="14"/>
      <c r="H892" s="13"/>
      <c r="I892" s="14"/>
      <c r="J892" s="14"/>
      <c r="K892" s="14"/>
      <c r="L892" s="13"/>
      <c r="M892" s="14"/>
      <c r="N892" s="14"/>
      <c r="O892" s="13"/>
      <c r="P892" s="14"/>
      <c r="Q892" s="14"/>
    </row>
    <row r="893" spans="1:17" x14ac:dyDescent="0.25">
      <c r="A893" s="19"/>
      <c r="B893" s="13"/>
      <c r="C893" s="14"/>
      <c r="D893" s="13"/>
      <c r="E893" s="14"/>
      <c r="F893" s="14"/>
      <c r="G893" s="14"/>
      <c r="H893" s="13"/>
      <c r="I893" s="14"/>
      <c r="J893" s="14"/>
      <c r="K893" s="14"/>
      <c r="L893" s="13"/>
      <c r="M893" s="14"/>
      <c r="N893" s="14"/>
      <c r="O893" s="13"/>
      <c r="P893" s="14"/>
      <c r="Q893" s="14"/>
    </row>
    <row r="894" spans="1:17" x14ac:dyDescent="0.25">
      <c r="A894" s="19"/>
      <c r="B894" s="13"/>
      <c r="C894" s="14"/>
      <c r="D894" s="13"/>
      <c r="E894" s="14"/>
      <c r="F894" s="14"/>
      <c r="G894" s="14"/>
      <c r="H894" s="13"/>
      <c r="I894" s="14"/>
      <c r="J894" s="14"/>
      <c r="K894" s="14"/>
      <c r="L894" s="13"/>
      <c r="M894" s="14"/>
      <c r="N894" s="14"/>
      <c r="O894" s="13"/>
      <c r="P894" s="14"/>
      <c r="Q894" s="14"/>
    </row>
    <row r="895" spans="1:17" x14ac:dyDescent="0.25">
      <c r="A895" s="19"/>
      <c r="B895" s="13"/>
      <c r="C895" s="14"/>
      <c r="D895" s="13"/>
      <c r="E895" s="14"/>
      <c r="F895" s="14"/>
      <c r="G895" s="14"/>
      <c r="H895" s="13"/>
      <c r="I895" s="14"/>
      <c r="J895" s="14"/>
      <c r="K895" s="14"/>
      <c r="L895" s="13"/>
      <c r="M895" s="14"/>
      <c r="N895" s="14"/>
      <c r="O895" s="13"/>
      <c r="P895" s="14"/>
      <c r="Q895" s="14"/>
    </row>
    <row r="896" spans="1:17" x14ac:dyDescent="0.25">
      <c r="A896" s="19"/>
      <c r="B896" s="13"/>
      <c r="C896" s="14"/>
      <c r="D896" s="13"/>
      <c r="E896" s="14"/>
      <c r="F896" s="14"/>
      <c r="G896" s="14"/>
      <c r="H896" s="13"/>
      <c r="I896" s="14"/>
      <c r="J896" s="14"/>
      <c r="K896" s="14"/>
      <c r="L896" s="13"/>
      <c r="M896" s="14"/>
      <c r="N896" s="14"/>
      <c r="O896" s="13"/>
      <c r="P896" s="14"/>
      <c r="Q896" s="14"/>
    </row>
    <row r="897" spans="1:17" x14ac:dyDescent="0.25">
      <c r="A897" s="19"/>
      <c r="B897" s="13"/>
      <c r="C897" s="14"/>
      <c r="D897" s="13"/>
      <c r="E897" s="14"/>
      <c r="F897" s="14"/>
      <c r="G897" s="14"/>
      <c r="H897" s="13"/>
      <c r="I897" s="14"/>
      <c r="J897" s="14"/>
      <c r="K897" s="14"/>
      <c r="L897" s="13"/>
      <c r="M897" s="14"/>
      <c r="N897" s="14"/>
      <c r="O897" s="13"/>
      <c r="P897" s="14"/>
      <c r="Q897" s="14"/>
    </row>
    <row r="898" spans="1:17" x14ac:dyDescent="0.25">
      <c r="A898" s="19"/>
      <c r="B898" s="13"/>
      <c r="C898" s="14"/>
      <c r="D898" s="13"/>
      <c r="E898" s="14"/>
      <c r="F898" s="14"/>
      <c r="G898" s="14"/>
      <c r="H898" s="13"/>
      <c r="I898" s="14"/>
      <c r="J898" s="14"/>
      <c r="K898" s="14"/>
      <c r="L898" s="13"/>
      <c r="M898" s="14"/>
      <c r="N898" s="14"/>
      <c r="O898" s="13"/>
      <c r="P898" s="14"/>
      <c r="Q898" s="14"/>
    </row>
    <row r="899" spans="1:17" x14ac:dyDescent="0.25">
      <c r="A899" s="19"/>
      <c r="B899" s="13"/>
      <c r="C899" s="14"/>
      <c r="D899" s="13"/>
      <c r="E899" s="14"/>
      <c r="F899" s="14"/>
      <c r="G899" s="14"/>
      <c r="H899" s="13"/>
      <c r="I899" s="14"/>
      <c r="J899" s="14"/>
      <c r="K899" s="14"/>
      <c r="L899" s="13"/>
      <c r="M899" s="14"/>
      <c r="N899" s="14"/>
      <c r="O899" s="13"/>
      <c r="P899" s="14"/>
      <c r="Q899" s="14"/>
    </row>
    <row r="900" spans="1:17" x14ac:dyDescent="0.25">
      <c r="A900" s="19"/>
      <c r="B900" s="13"/>
      <c r="C900" s="14"/>
      <c r="D900" s="13"/>
      <c r="E900" s="14"/>
      <c r="F900" s="14"/>
      <c r="G900" s="14"/>
      <c r="H900" s="13"/>
      <c r="I900" s="14"/>
      <c r="J900" s="14"/>
      <c r="K900" s="14"/>
      <c r="L900" s="13"/>
      <c r="M900" s="14"/>
      <c r="N900" s="14"/>
      <c r="O900" s="13"/>
      <c r="P900" s="14"/>
      <c r="Q900" s="14"/>
    </row>
    <row r="901" spans="1:17" x14ac:dyDescent="0.25">
      <c r="A901" s="19"/>
      <c r="B901" s="13"/>
      <c r="C901" s="14"/>
      <c r="D901" s="13"/>
      <c r="E901" s="14"/>
      <c r="F901" s="14"/>
      <c r="G901" s="14"/>
      <c r="H901" s="13"/>
      <c r="I901" s="14"/>
      <c r="J901" s="14"/>
      <c r="K901" s="14"/>
      <c r="L901" s="13"/>
      <c r="M901" s="14"/>
      <c r="N901" s="14"/>
      <c r="O901" s="13"/>
      <c r="P901" s="14"/>
      <c r="Q901" s="14"/>
    </row>
    <row r="902" spans="1:17" x14ac:dyDescent="0.25">
      <c r="A902" s="19"/>
      <c r="B902" s="13"/>
      <c r="C902" s="14"/>
      <c r="D902" s="13"/>
      <c r="E902" s="14"/>
      <c r="F902" s="14"/>
      <c r="G902" s="14"/>
      <c r="H902" s="13"/>
      <c r="I902" s="14"/>
      <c r="J902" s="14"/>
      <c r="K902" s="14"/>
      <c r="L902" s="13"/>
      <c r="M902" s="14"/>
      <c r="N902" s="14"/>
      <c r="O902" s="13"/>
      <c r="P902" s="14"/>
      <c r="Q902" s="14"/>
    </row>
    <row r="903" spans="1:17" x14ac:dyDescent="0.25">
      <c r="A903" s="19"/>
      <c r="B903" s="13"/>
      <c r="C903" s="14"/>
      <c r="D903" s="13"/>
      <c r="E903" s="14"/>
      <c r="F903" s="14"/>
      <c r="G903" s="14"/>
      <c r="H903" s="13"/>
      <c r="I903" s="14"/>
      <c r="J903" s="14"/>
      <c r="K903" s="14"/>
      <c r="L903" s="13"/>
      <c r="M903" s="14"/>
      <c r="N903" s="14"/>
      <c r="O903" s="13"/>
      <c r="P903" s="14"/>
      <c r="Q903" s="14"/>
    </row>
    <row r="904" spans="1:17" x14ac:dyDescent="0.25">
      <c r="A904" s="19"/>
      <c r="B904" s="13"/>
      <c r="C904" s="14"/>
      <c r="D904" s="13"/>
      <c r="E904" s="14"/>
      <c r="F904" s="14"/>
      <c r="G904" s="14"/>
      <c r="H904" s="13"/>
      <c r="I904" s="14"/>
      <c r="J904" s="14"/>
      <c r="K904" s="14"/>
      <c r="L904" s="13"/>
      <c r="M904" s="14"/>
      <c r="N904" s="14"/>
      <c r="O904" s="13"/>
      <c r="P904" s="14"/>
      <c r="Q904" s="14"/>
    </row>
    <row r="905" spans="1:17" x14ac:dyDescent="0.25">
      <c r="A905" s="19"/>
      <c r="B905" s="13"/>
      <c r="C905" s="14"/>
      <c r="D905" s="13"/>
      <c r="E905" s="14"/>
      <c r="F905" s="14"/>
      <c r="G905" s="14"/>
      <c r="H905" s="13"/>
      <c r="I905" s="14"/>
      <c r="J905" s="14"/>
      <c r="K905" s="14"/>
      <c r="L905" s="13"/>
      <c r="M905" s="14"/>
      <c r="N905" s="14"/>
      <c r="O905" s="13"/>
      <c r="P905" s="14"/>
      <c r="Q905" s="14"/>
    </row>
    <row r="906" spans="1:17" x14ac:dyDescent="0.25">
      <c r="A906" s="19"/>
      <c r="B906" s="13"/>
      <c r="C906" s="14"/>
      <c r="D906" s="13"/>
      <c r="E906" s="14"/>
      <c r="F906" s="14"/>
      <c r="G906" s="14"/>
      <c r="H906" s="13"/>
      <c r="I906" s="14"/>
      <c r="J906" s="14"/>
      <c r="K906" s="14"/>
      <c r="L906" s="13"/>
      <c r="M906" s="14"/>
      <c r="N906" s="14"/>
      <c r="O906" s="13"/>
      <c r="P906" s="14"/>
      <c r="Q906" s="14"/>
    </row>
    <row r="907" spans="1:17" x14ac:dyDescent="0.25">
      <c r="A907" s="19"/>
      <c r="B907" s="13"/>
      <c r="C907" s="14"/>
      <c r="D907" s="13"/>
      <c r="E907" s="14"/>
      <c r="F907" s="14"/>
      <c r="G907" s="14"/>
      <c r="H907" s="13"/>
      <c r="I907" s="14"/>
      <c r="J907" s="14"/>
      <c r="K907" s="14"/>
      <c r="L907" s="13"/>
      <c r="M907" s="14"/>
      <c r="N907" s="14"/>
      <c r="O907" s="13"/>
      <c r="P907" s="14"/>
      <c r="Q907" s="14"/>
    </row>
    <row r="908" spans="1:17" x14ac:dyDescent="0.25">
      <c r="A908" s="19"/>
      <c r="B908" s="13"/>
      <c r="C908" s="14"/>
      <c r="D908" s="13"/>
      <c r="E908" s="14"/>
      <c r="F908" s="14"/>
      <c r="G908" s="14"/>
      <c r="H908" s="13"/>
      <c r="I908" s="14"/>
      <c r="J908" s="14"/>
      <c r="K908" s="14"/>
      <c r="L908" s="13"/>
      <c r="M908" s="14"/>
      <c r="N908" s="14"/>
      <c r="O908" s="13"/>
      <c r="P908" s="14"/>
      <c r="Q908" s="14"/>
    </row>
    <row r="909" spans="1:17" x14ac:dyDescent="0.25">
      <c r="A909" s="19"/>
      <c r="B909" s="13"/>
      <c r="C909" s="14"/>
      <c r="D909" s="13"/>
      <c r="E909" s="14"/>
      <c r="F909" s="14"/>
      <c r="G909" s="14"/>
      <c r="H909" s="13"/>
      <c r="I909" s="14"/>
      <c r="J909" s="14"/>
      <c r="K909" s="14"/>
      <c r="L909" s="13"/>
      <c r="M909" s="14"/>
      <c r="N909" s="14"/>
      <c r="O909" s="13"/>
      <c r="P909" s="14"/>
      <c r="Q909" s="14"/>
    </row>
    <row r="910" spans="1:17" x14ac:dyDescent="0.25">
      <c r="A910" s="19"/>
      <c r="B910" s="13"/>
      <c r="C910" s="14"/>
      <c r="D910" s="13"/>
      <c r="E910" s="14"/>
      <c r="F910" s="14"/>
      <c r="G910" s="14"/>
      <c r="H910" s="13"/>
      <c r="I910" s="14"/>
      <c r="J910" s="14"/>
      <c r="K910" s="14"/>
      <c r="L910" s="13"/>
      <c r="M910" s="14"/>
      <c r="N910" s="14"/>
      <c r="O910" s="13"/>
      <c r="P910" s="14"/>
      <c r="Q910" s="14"/>
    </row>
    <row r="911" spans="1:17" x14ac:dyDescent="0.25">
      <c r="A911" s="19"/>
      <c r="B911" s="13"/>
      <c r="C911" s="14"/>
      <c r="D911" s="13"/>
      <c r="E911" s="14"/>
      <c r="F911" s="14"/>
      <c r="G911" s="14"/>
      <c r="H911" s="13"/>
      <c r="I911" s="14"/>
      <c r="J911" s="14"/>
      <c r="K911" s="14"/>
      <c r="L911" s="13"/>
      <c r="M911" s="14"/>
      <c r="N911" s="14"/>
      <c r="O911" s="13"/>
      <c r="P911" s="14"/>
      <c r="Q911" s="14"/>
    </row>
    <row r="912" spans="1:17" x14ac:dyDescent="0.25">
      <c r="A912" s="19"/>
      <c r="B912" s="13"/>
      <c r="C912" s="14"/>
      <c r="D912" s="13"/>
      <c r="E912" s="14"/>
      <c r="F912" s="14"/>
      <c r="G912" s="14"/>
      <c r="H912" s="13"/>
      <c r="I912" s="14"/>
      <c r="J912" s="14"/>
      <c r="K912" s="14"/>
      <c r="L912" s="13"/>
      <c r="M912" s="14"/>
      <c r="N912" s="14"/>
      <c r="O912" s="13"/>
      <c r="P912" s="14"/>
      <c r="Q912" s="14"/>
    </row>
    <row r="913" spans="1:17" x14ac:dyDescent="0.25">
      <c r="A913" s="19"/>
      <c r="B913" s="13"/>
      <c r="C913" s="14"/>
      <c r="D913" s="13"/>
      <c r="E913" s="14"/>
      <c r="F913" s="14"/>
      <c r="G913" s="14"/>
      <c r="H913" s="13"/>
      <c r="I913" s="14"/>
      <c r="J913" s="14"/>
      <c r="K913" s="14"/>
      <c r="L913" s="13"/>
      <c r="M913" s="14"/>
      <c r="N913" s="14"/>
      <c r="O913" s="13"/>
      <c r="P913" s="14"/>
      <c r="Q913" s="14"/>
    </row>
    <row r="914" spans="1:17" x14ac:dyDescent="0.25">
      <c r="A914" s="19"/>
      <c r="B914" s="13"/>
      <c r="C914" s="14"/>
      <c r="D914" s="13"/>
      <c r="E914" s="14"/>
      <c r="F914" s="14"/>
      <c r="G914" s="14"/>
      <c r="H914" s="13"/>
      <c r="I914" s="14"/>
      <c r="J914" s="14"/>
      <c r="K914" s="14"/>
      <c r="L914" s="13"/>
      <c r="M914" s="14"/>
      <c r="N914" s="14"/>
      <c r="O914" s="13"/>
      <c r="P914" s="14"/>
      <c r="Q914" s="14"/>
    </row>
    <row r="915" spans="1:17" x14ac:dyDescent="0.25">
      <c r="A915" s="19"/>
      <c r="B915" s="13"/>
      <c r="C915" s="14"/>
      <c r="D915" s="13"/>
      <c r="E915" s="14"/>
      <c r="F915" s="14"/>
      <c r="G915" s="14"/>
      <c r="H915" s="13"/>
      <c r="I915" s="14"/>
      <c r="J915" s="14"/>
      <c r="K915" s="14"/>
      <c r="L915" s="13"/>
      <c r="M915" s="14"/>
      <c r="N915" s="14"/>
      <c r="O915" s="13"/>
      <c r="P915" s="14"/>
      <c r="Q915" s="14"/>
    </row>
    <row r="916" spans="1:17" x14ac:dyDescent="0.25">
      <c r="A916" s="19"/>
      <c r="B916" s="13"/>
      <c r="C916" s="14"/>
      <c r="D916" s="13"/>
      <c r="E916" s="14"/>
      <c r="F916" s="14"/>
      <c r="G916" s="14"/>
      <c r="H916" s="13"/>
      <c r="I916" s="14"/>
      <c r="J916" s="14"/>
      <c r="K916" s="14"/>
      <c r="L916" s="13"/>
      <c r="M916" s="14"/>
      <c r="N916" s="14"/>
      <c r="O916" s="13"/>
      <c r="P916" s="14"/>
      <c r="Q916" s="14"/>
    </row>
    <row r="917" spans="1:17" x14ac:dyDescent="0.25">
      <c r="A917" s="19"/>
      <c r="B917" s="13"/>
      <c r="C917" s="14"/>
      <c r="D917" s="13"/>
      <c r="E917" s="14"/>
      <c r="F917" s="14"/>
      <c r="G917" s="14"/>
      <c r="H917" s="13"/>
      <c r="I917" s="14"/>
      <c r="J917" s="14"/>
      <c r="K917" s="14"/>
      <c r="L917" s="13"/>
      <c r="M917" s="14"/>
      <c r="N917" s="14"/>
      <c r="O917" s="13"/>
      <c r="P917" s="14"/>
      <c r="Q917" s="14"/>
    </row>
    <row r="918" spans="1:17" x14ac:dyDescent="0.25">
      <c r="A918" s="19"/>
      <c r="B918" s="13"/>
      <c r="C918" s="14"/>
      <c r="D918" s="13"/>
      <c r="E918" s="14"/>
      <c r="F918" s="14"/>
      <c r="G918" s="14"/>
      <c r="H918" s="13"/>
      <c r="I918" s="14"/>
      <c r="J918" s="14"/>
      <c r="K918" s="14"/>
      <c r="L918" s="13"/>
      <c r="M918" s="14"/>
      <c r="N918" s="14"/>
      <c r="O918" s="13"/>
      <c r="P918" s="14"/>
      <c r="Q918" s="14"/>
    </row>
    <row r="919" spans="1:17" x14ac:dyDescent="0.25">
      <c r="A919" s="19"/>
      <c r="B919" s="13"/>
      <c r="C919" s="14"/>
      <c r="D919" s="13"/>
      <c r="E919" s="14"/>
      <c r="F919" s="14"/>
      <c r="G919" s="14"/>
      <c r="H919" s="13"/>
      <c r="I919" s="14"/>
      <c r="J919" s="14"/>
      <c r="K919" s="14"/>
      <c r="L919" s="13"/>
      <c r="M919" s="14"/>
      <c r="N919" s="14"/>
      <c r="O919" s="13"/>
      <c r="P919" s="14"/>
      <c r="Q919" s="14"/>
    </row>
    <row r="920" spans="1:17" x14ac:dyDescent="0.25">
      <c r="A920" s="19"/>
      <c r="B920" s="13"/>
      <c r="C920" s="14"/>
      <c r="D920" s="13"/>
      <c r="E920" s="14"/>
      <c r="F920" s="14"/>
      <c r="G920" s="14"/>
      <c r="H920" s="13"/>
      <c r="I920" s="14"/>
      <c r="J920" s="14"/>
      <c r="K920" s="14"/>
      <c r="L920" s="13"/>
      <c r="M920" s="14"/>
      <c r="N920" s="14"/>
      <c r="O920" s="13"/>
      <c r="P920" s="14"/>
      <c r="Q920" s="14"/>
    </row>
    <row r="921" spans="1:17" x14ac:dyDescent="0.25">
      <c r="A921" s="19"/>
      <c r="B921" s="13"/>
      <c r="C921" s="14"/>
      <c r="D921" s="13"/>
      <c r="E921" s="14"/>
      <c r="F921" s="14"/>
      <c r="G921" s="14"/>
      <c r="H921" s="13"/>
      <c r="I921" s="14"/>
      <c r="J921" s="14"/>
      <c r="K921" s="14"/>
      <c r="L921" s="13"/>
      <c r="M921" s="14"/>
      <c r="N921" s="14"/>
      <c r="O921" s="13"/>
      <c r="P921" s="14"/>
      <c r="Q921" s="14"/>
    </row>
    <row r="922" spans="1:17" x14ac:dyDescent="0.25">
      <c r="A922" s="19"/>
      <c r="B922" s="13"/>
      <c r="C922" s="14"/>
      <c r="D922" s="13"/>
      <c r="E922" s="14"/>
      <c r="F922" s="14"/>
      <c r="G922" s="14"/>
      <c r="H922" s="13"/>
      <c r="I922" s="14"/>
      <c r="J922" s="14"/>
      <c r="K922" s="14"/>
      <c r="L922" s="13"/>
      <c r="M922" s="14"/>
      <c r="N922" s="14"/>
      <c r="O922" s="13"/>
      <c r="P922" s="14"/>
      <c r="Q922" s="14"/>
    </row>
    <row r="923" spans="1:17" x14ac:dyDescent="0.25">
      <c r="A923" s="19"/>
      <c r="B923" s="13"/>
      <c r="C923" s="14"/>
      <c r="D923" s="13"/>
      <c r="E923" s="14"/>
      <c r="F923" s="14"/>
      <c r="G923" s="14"/>
      <c r="H923" s="13"/>
      <c r="I923" s="14"/>
      <c r="J923" s="14"/>
      <c r="K923" s="14"/>
      <c r="L923" s="13"/>
      <c r="M923" s="14"/>
      <c r="N923" s="14"/>
      <c r="O923" s="13"/>
      <c r="P923" s="14"/>
      <c r="Q923" s="14"/>
    </row>
    <row r="924" spans="1:17" x14ac:dyDescent="0.25">
      <c r="A924" s="19"/>
      <c r="B924" s="13"/>
      <c r="C924" s="14"/>
      <c r="D924" s="13"/>
      <c r="E924" s="14"/>
      <c r="F924" s="14"/>
      <c r="G924" s="14"/>
      <c r="H924" s="13"/>
      <c r="I924" s="14"/>
      <c r="J924" s="14"/>
      <c r="K924" s="14"/>
      <c r="L924" s="13"/>
      <c r="M924" s="14"/>
      <c r="N924" s="14"/>
      <c r="O924" s="13"/>
      <c r="P924" s="14"/>
      <c r="Q924" s="14"/>
    </row>
    <row r="925" spans="1:17" x14ac:dyDescent="0.25">
      <c r="A925" s="19"/>
      <c r="B925" s="13"/>
      <c r="C925" s="14"/>
      <c r="D925" s="13"/>
      <c r="E925" s="14"/>
      <c r="F925" s="14"/>
      <c r="G925" s="14"/>
      <c r="H925" s="13"/>
      <c r="I925" s="14"/>
      <c r="J925" s="14"/>
      <c r="K925" s="14"/>
      <c r="L925" s="13"/>
      <c r="M925" s="14"/>
      <c r="N925" s="14"/>
      <c r="O925" s="13"/>
      <c r="P925" s="14"/>
      <c r="Q925" s="14"/>
    </row>
    <row r="926" spans="1:17" x14ac:dyDescent="0.25">
      <c r="A926" s="19"/>
      <c r="B926" s="13"/>
      <c r="C926" s="14"/>
      <c r="D926" s="13"/>
      <c r="E926" s="14"/>
      <c r="F926" s="14"/>
      <c r="G926" s="14"/>
      <c r="H926" s="13"/>
      <c r="I926" s="14"/>
      <c r="J926" s="14"/>
      <c r="K926" s="14"/>
      <c r="L926" s="13"/>
      <c r="M926" s="14"/>
      <c r="N926" s="14"/>
      <c r="O926" s="13"/>
      <c r="P926" s="14"/>
      <c r="Q926" s="14"/>
    </row>
    <row r="927" spans="1:17" x14ac:dyDescent="0.25">
      <c r="A927" s="19"/>
      <c r="B927" s="13"/>
      <c r="C927" s="14"/>
      <c r="D927" s="13"/>
      <c r="E927" s="14"/>
      <c r="F927" s="14"/>
      <c r="G927" s="14"/>
      <c r="H927" s="13"/>
      <c r="I927" s="14"/>
      <c r="J927" s="14"/>
      <c r="K927" s="14"/>
      <c r="L927" s="13"/>
      <c r="M927" s="14"/>
      <c r="N927" s="14"/>
      <c r="O927" s="13"/>
      <c r="P927" s="14"/>
      <c r="Q927" s="14"/>
    </row>
    <row r="928" spans="1:17" x14ac:dyDescent="0.25">
      <c r="A928" s="19"/>
      <c r="B928" s="13"/>
      <c r="C928" s="14"/>
      <c r="D928" s="13"/>
      <c r="E928" s="14"/>
      <c r="F928" s="14"/>
      <c r="G928" s="14"/>
      <c r="H928" s="13"/>
      <c r="I928" s="14"/>
      <c r="J928" s="14"/>
      <c r="K928" s="14"/>
      <c r="L928" s="13"/>
      <c r="M928" s="14"/>
      <c r="N928" s="14"/>
      <c r="O928" s="13"/>
      <c r="P928" s="14"/>
      <c r="Q928" s="14"/>
    </row>
    <row r="929" spans="1:17" x14ac:dyDescent="0.25">
      <c r="A929" s="19"/>
      <c r="B929" s="13"/>
      <c r="C929" s="14"/>
      <c r="D929" s="13"/>
      <c r="E929" s="14"/>
      <c r="F929" s="14"/>
      <c r="G929" s="14"/>
      <c r="H929" s="13"/>
      <c r="I929" s="14"/>
      <c r="J929" s="14"/>
      <c r="K929" s="14"/>
      <c r="L929" s="13"/>
      <c r="M929" s="14"/>
      <c r="N929" s="14"/>
      <c r="O929" s="13"/>
      <c r="P929" s="14"/>
      <c r="Q929" s="14"/>
    </row>
    <row r="930" spans="1:17" x14ac:dyDescent="0.25">
      <c r="A930" s="19"/>
      <c r="B930" s="13"/>
      <c r="C930" s="14"/>
      <c r="D930" s="13"/>
      <c r="E930" s="14"/>
      <c r="F930" s="14"/>
      <c r="G930" s="14"/>
      <c r="H930" s="13"/>
      <c r="I930" s="14"/>
      <c r="J930" s="14"/>
      <c r="K930" s="14"/>
      <c r="L930" s="13"/>
      <c r="M930" s="14"/>
      <c r="N930" s="14"/>
      <c r="O930" s="13"/>
      <c r="P930" s="14"/>
      <c r="Q930" s="14"/>
    </row>
    <row r="931" spans="1:17" x14ac:dyDescent="0.25">
      <c r="A931" s="19"/>
      <c r="B931" s="13"/>
      <c r="C931" s="14"/>
      <c r="D931" s="13"/>
      <c r="E931" s="14"/>
      <c r="F931" s="14"/>
      <c r="G931" s="14"/>
      <c r="H931" s="13"/>
      <c r="I931" s="14"/>
      <c r="J931" s="14"/>
      <c r="K931" s="14"/>
      <c r="L931" s="13"/>
      <c r="M931" s="14"/>
      <c r="N931" s="14"/>
      <c r="O931" s="13"/>
      <c r="P931" s="14"/>
      <c r="Q931" s="14"/>
    </row>
    <row r="932" spans="1:17" x14ac:dyDescent="0.25">
      <c r="A932" s="19"/>
      <c r="B932" s="13"/>
      <c r="C932" s="14"/>
      <c r="D932" s="13"/>
      <c r="E932" s="14"/>
      <c r="F932" s="14"/>
      <c r="G932" s="14"/>
      <c r="H932" s="13"/>
      <c r="I932" s="14"/>
      <c r="J932" s="14"/>
      <c r="K932" s="14"/>
      <c r="L932" s="13"/>
      <c r="M932" s="14"/>
      <c r="N932" s="14"/>
      <c r="O932" s="13"/>
      <c r="P932" s="14"/>
      <c r="Q932" s="14"/>
    </row>
    <row r="933" spans="1:17" x14ac:dyDescent="0.25">
      <c r="A933" s="19"/>
      <c r="B933" s="13"/>
      <c r="C933" s="14"/>
      <c r="D933" s="13"/>
      <c r="E933" s="14"/>
      <c r="F933" s="14"/>
      <c r="G933" s="14"/>
      <c r="H933" s="13"/>
      <c r="I933" s="14"/>
      <c r="J933" s="14"/>
      <c r="K933" s="14"/>
      <c r="L933" s="13"/>
      <c r="M933" s="14"/>
      <c r="N933" s="14"/>
      <c r="O933" s="13"/>
      <c r="P933" s="14"/>
      <c r="Q933" s="14"/>
    </row>
    <row r="934" spans="1:17" x14ac:dyDescent="0.25">
      <c r="A934" s="19"/>
      <c r="B934" s="13"/>
      <c r="C934" s="14"/>
      <c r="D934" s="13"/>
      <c r="E934" s="14"/>
      <c r="F934" s="14"/>
      <c r="G934" s="14"/>
      <c r="H934" s="13"/>
      <c r="I934" s="14"/>
      <c r="J934" s="14"/>
      <c r="K934" s="14"/>
      <c r="L934" s="13"/>
      <c r="M934" s="14"/>
      <c r="N934" s="14"/>
      <c r="O934" s="13"/>
      <c r="P934" s="14"/>
      <c r="Q934" s="14"/>
    </row>
    <row r="935" spans="1:17" x14ac:dyDescent="0.25">
      <c r="A935" s="19"/>
      <c r="B935" s="13"/>
      <c r="C935" s="14"/>
      <c r="D935" s="13"/>
      <c r="E935" s="14"/>
      <c r="F935" s="14"/>
      <c r="G935" s="14"/>
      <c r="H935" s="13"/>
      <c r="I935" s="14"/>
      <c r="J935" s="14"/>
      <c r="K935" s="14"/>
      <c r="L935" s="13"/>
      <c r="M935" s="14"/>
      <c r="N935" s="14"/>
      <c r="O935" s="13"/>
      <c r="P935" s="14"/>
      <c r="Q935" s="14"/>
    </row>
    <row r="936" spans="1:17" x14ac:dyDescent="0.25">
      <c r="A936" s="19"/>
      <c r="B936" s="13"/>
      <c r="C936" s="14"/>
      <c r="D936" s="13"/>
      <c r="E936" s="14"/>
      <c r="F936" s="14"/>
      <c r="G936" s="14"/>
      <c r="H936" s="13"/>
      <c r="I936" s="14"/>
      <c r="J936" s="14"/>
      <c r="K936" s="14"/>
      <c r="L936" s="13"/>
      <c r="M936" s="14"/>
      <c r="N936" s="14"/>
      <c r="O936" s="13"/>
      <c r="P936" s="14"/>
      <c r="Q936" s="14"/>
    </row>
    <row r="937" spans="1:17" x14ac:dyDescent="0.25">
      <c r="A937" s="19"/>
      <c r="B937" s="13"/>
      <c r="C937" s="14"/>
      <c r="D937" s="13"/>
      <c r="E937" s="14"/>
      <c r="F937" s="14"/>
      <c r="G937" s="14"/>
      <c r="H937" s="13"/>
      <c r="I937" s="14"/>
      <c r="J937" s="14"/>
      <c r="K937" s="14"/>
      <c r="L937" s="13"/>
      <c r="M937" s="14"/>
      <c r="N937" s="14"/>
      <c r="O937" s="13"/>
      <c r="P937" s="14"/>
      <c r="Q937" s="14"/>
    </row>
    <row r="938" spans="1:17" x14ac:dyDescent="0.25">
      <c r="A938" s="19"/>
      <c r="B938" s="13"/>
      <c r="C938" s="14"/>
      <c r="D938" s="13"/>
      <c r="E938" s="14"/>
      <c r="F938" s="14"/>
      <c r="G938" s="14"/>
      <c r="H938" s="13"/>
      <c r="I938" s="14"/>
      <c r="J938" s="14"/>
      <c r="K938" s="14"/>
      <c r="L938" s="13"/>
      <c r="M938" s="14"/>
      <c r="N938" s="14"/>
      <c r="O938" s="13"/>
      <c r="P938" s="14"/>
      <c r="Q938" s="14"/>
    </row>
    <row r="939" spans="1:17" x14ac:dyDescent="0.25">
      <c r="A939" s="19"/>
      <c r="B939" s="13"/>
      <c r="C939" s="14"/>
      <c r="D939" s="13"/>
      <c r="E939" s="14"/>
      <c r="F939" s="14"/>
      <c r="G939" s="14"/>
      <c r="H939" s="13"/>
      <c r="I939" s="14"/>
      <c r="J939" s="14"/>
      <c r="K939" s="14"/>
      <c r="L939" s="13"/>
      <c r="M939" s="14"/>
      <c r="N939" s="14"/>
      <c r="O939" s="13"/>
      <c r="P939" s="14"/>
      <c r="Q939" s="14"/>
    </row>
    <row r="940" spans="1:17" x14ac:dyDescent="0.25">
      <c r="A940" s="19"/>
      <c r="B940" s="13"/>
      <c r="C940" s="14"/>
      <c r="D940" s="13"/>
      <c r="E940" s="14"/>
      <c r="F940" s="14"/>
      <c r="G940" s="14"/>
      <c r="H940" s="13"/>
      <c r="I940" s="14"/>
      <c r="J940" s="14"/>
      <c r="K940" s="14"/>
      <c r="L940" s="13"/>
      <c r="M940" s="14"/>
      <c r="N940" s="14"/>
      <c r="O940" s="13"/>
      <c r="P940" s="14"/>
      <c r="Q940" s="14"/>
    </row>
    <row r="941" spans="1:17" x14ac:dyDescent="0.25">
      <c r="A941" s="19"/>
      <c r="B941" s="13"/>
      <c r="C941" s="14"/>
      <c r="D941" s="13"/>
      <c r="E941" s="14"/>
      <c r="F941" s="14"/>
      <c r="G941" s="14"/>
      <c r="H941" s="13"/>
      <c r="I941" s="14"/>
      <c r="J941" s="14"/>
      <c r="K941" s="14"/>
      <c r="L941" s="13"/>
      <c r="M941" s="14"/>
      <c r="N941" s="14"/>
      <c r="O941" s="13"/>
      <c r="P941" s="14"/>
      <c r="Q941" s="14"/>
    </row>
    <row r="942" spans="1:17" x14ac:dyDescent="0.25">
      <c r="A942" s="19"/>
      <c r="B942" s="13"/>
      <c r="C942" s="14"/>
      <c r="D942" s="13"/>
      <c r="E942" s="14"/>
      <c r="F942" s="14"/>
      <c r="G942" s="14"/>
      <c r="H942" s="13"/>
      <c r="I942" s="14"/>
      <c r="J942" s="14"/>
      <c r="K942" s="14"/>
      <c r="L942" s="13"/>
      <c r="M942" s="14"/>
      <c r="N942" s="14"/>
      <c r="O942" s="13"/>
      <c r="P942" s="14"/>
      <c r="Q942" s="14"/>
    </row>
    <row r="943" spans="1:17" x14ac:dyDescent="0.25">
      <c r="A943" s="19"/>
      <c r="B943" s="13"/>
      <c r="C943" s="14"/>
      <c r="D943" s="13"/>
      <c r="E943" s="14"/>
      <c r="F943" s="14"/>
      <c r="G943" s="14"/>
      <c r="H943" s="13"/>
      <c r="I943" s="14"/>
      <c r="J943" s="14"/>
      <c r="K943" s="14"/>
      <c r="L943" s="13"/>
      <c r="M943" s="14"/>
      <c r="N943" s="14"/>
      <c r="O943" s="13"/>
      <c r="P943" s="14"/>
      <c r="Q943" s="14"/>
    </row>
    <row r="944" spans="1:17" x14ac:dyDescent="0.25">
      <c r="A944" s="19"/>
      <c r="B944" s="13"/>
      <c r="C944" s="14"/>
      <c r="D944" s="13"/>
      <c r="E944" s="14"/>
      <c r="F944" s="14"/>
      <c r="G944" s="14"/>
      <c r="H944" s="13"/>
      <c r="I944" s="14"/>
      <c r="J944" s="14"/>
      <c r="K944" s="14"/>
      <c r="L944" s="13"/>
      <c r="M944" s="14"/>
      <c r="N944" s="14"/>
      <c r="O944" s="13"/>
      <c r="P944" s="14"/>
      <c r="Q944" s="14"/>
    </row>
    <row r="945" spans="1:17" x14ac:dyDescent="0.25">
      <c r="A945" s="19"/>
      <c r="B945" s="13"/>
      <c r="C945" s="14"/>
      <c r="D945" s="13"/>
      <c r="E945" s="14"/>
      <c r="F945" s="14"/>
      <c r="G945" s="14"/>
      <c r="H945" s="13"/>
      <c r="I945" s="14"/>
      <c r="J945" s="14"/>
      <c r="K945" s="14"/>
      <c r="L945" s="13"/>
      <c r="M945" s="14"/>
      <c r="N945" s="14"/>
      <c r="O945" s="13"/>
      <c r="P945" s="14"/>
      <c r="Q945" s="14"/>
    </row>
    <row r="946" spans="1:17" x14ac:dyDescent="0.25">
      <c r="A946" s="19"/>
      <c r="B946" s="13"/>
      <c r="C946" s="14"/>
      <c r="D946" s="13"/>
      <c r="E946" s="14"/>
      <c r="F946" s="14"/>
      <c r="G946" s="14"/>
      <c r="H946" s="13"/>
      <c r="I946" s="14"/>
      <c r="J946" s="14"/>
      <c r="K946" s="14"/>
      <c r="L946" s="13"/>
      <c r="M946" s="14"/>
      <c r="N946" s="14"/>
      <c r="O946" s="13"/>
      <c r="P946" s="14"/>
      <c r="Q946" s="14"/>
    </row>
    <row r="947" spans="1:17" x14ac:dyDescent="0.25">
      <c r="A947" s="19"/>
      <c r="B947" s="13"/>
      <c r="C947" s="14"/>
      <c r="D947" s="13"/>
      <c r="E947" s="14"/>
      <c r="F947" s="14"/>
      <c r="G947" s="14"/>
      <c r="H947" s="13"/>
      <c r="I947" s="14"/>
      <c r="J947" s="14"/>
      <c r="K947" s="14"/>
      <c r="L947" s="13"/>
      <c r="M947" s="14"/>
      <c r="N947" s="14"/>
      <c r="O947" s="13"/>
      <c r="P947" s="14"/>
      <c r="Q947" s="14"/>
    </row>
    <row r="948" spans="1:17" x14ac:dyDescent="0.25">
      <c r="A948" s="19"/>
      <c r="B948" s="13"/>
      <c r="C948" s="14"/>
      <c r="D948" s="13"/>
      <c r="E948" s="14"/>
      <c r="F948" s="14"/>
      <c r="G948" s="14"/>
      <c r="H948" s="13"/>
      <c r="I948" s="14"/>
      <c r="J948" s="14"/>
      <c r="K948" s="14"/>
      <c r="L948" s="13"/>
      <c r="M948" s="14"/>
      <c r="N948" s="14"/>
      <c r="O948" s="13"/>
      <c r="P948" s="14"/>
      <c r="Q948" s="14"/>
    </row>
    <row r="949" spans="1:17" x14ac:dyDescent="0.25">
      <c r="A949" s="19"/>
      <c r="B949" s="13"/>
      <c r="C949" s="14"/>
      <c r="D949" s="13"/>
      <c r="E949" s="14"/>
      <c r="F949" s="14"/>
      <c r="G949" s="14"/>
      <c r="H949" s="13"/>
      <c r="I949" s="14"/>
      <c r="J949" s="14"/>
      <c r="K949" s="14"/>
      <c r="L949" s="13"/>
      <c r="M949" s="14"/>
      <c r="N949" s="14"/>
      <c r="O949" s="13"/>
      <c r="P949" s="14"/>
      <c r="Q949" s="14"/>
    </row>
    <row r="950" spans="1:17" x14ac:dyDescent="0.25">
      <c r="A950" s="19"/>
      <c r="B950" s="13"/>
      <c r="C950" s="14"/>
      <c r="D950" s="13"/>
      <c r="E950" s="14"/>
      <c r="F950" s="14"/>
      <c r="G950" s="14"/>
      <c r="H950" s="13"/>
      <c r="I950" s="14"/>
      <c r="J950" s="14"/>
      <c r="K950" s="14"/>
      <c r="L950" s="13"/>
      <c r="M950" s="14"/>
      <c r="N950" s="14"/>
      <c r="O950" s="13"/>
      <c r="P950" s="14"/>
      <c r="Q950" s="14"/>
    </row>
    <row r="951" spans="1:17" x14ac:dyDescent="0.25">
      <c r="A951" s="19"/>
      <c r="B951" s="13"/>
      <c r="C951" s="14"/>
      <c r="D951" s="13"/>
      <c r="E951" s="14"/>
      <c r="F951" s="14"/>
      <c r="G951" s="14"/>
      <c r="H951" s="13"/>
      <c r="I951" s="14"/>
      <c r="J951" s="14"/>
      <c r="K951" s="14"/>
      <c r="L951" s="13"/>
      <c r="M951" s="14"/>
      <c r="N951" s="14"/>
      <c r="O951" s="13"/>
      <c r="P951" s="14"/>
      <c r="Q951" s="14"/>
    </row>
    <row r="952" spans="1:17" x14ac:dyDescent="0.25">
      <c r="A952" s="19"/>
      <c r="B952" s="13"/>
      <c r="C952" s="14"/>
      <c r="D952" s="13"/>
      <c r="E952" s="14"/>
      <c r="F952" s="14"/>
      <c r="G952" s="14"/>
      <c r="H952" s="13"/>
      <c r="I952" s="14"/>
      <c r="J952" s="14"/>
      <c r="K952" s="14"/>
      <c r="L952" s="13"/>
      <c r="M952" s="14"/>
      <c r="N952" s="14"/>
      <c r="O952" s="13"/>
      <c r="P952" s="14"/>
      <c r="Q952" s="14"/>
    </row>
    <row r="953" spans="1:17" x14ac:dyDescent="0.25">
      <c r="A953" s="19"/>
      <c r="B953" s="13"/>
      <c r="C953" s="14"/>
      <c r="D953" s="13"/>
      <c r="E953" s="14"/>
      <c r="F953" s="14"/>
      <c r="G953" s="14"/>
      <c r="H953" s="13"/>
      <c r="I953" s="14"/>
      <c r="J953" s="14"/>
      <c r="K953" s="14"/>
      <c r="L953" s="13"/>
      <c r="M953" s="14"/>
      <c r="N953" s="14"/>
      <c r="O953" s="13"/>
      <c r="P953" s="14"/>
      <c r="Q953" s="14"/>
    </row>
    <row r="954" spans="1:17" x14ac:dyDescent="0.25">
      <c r="A954" s="19"/>
      <c r="B954" s="13"/>
      <c r="C954" s="14"/>
      <c r="D954" s="13"/>
      <c r="E954" s="14"/>
      <c r="F954" s="14"/>
      <c r="G954" s="14"/>
      <c r="H954" s="13"/>
      <c r="I954" s="14"/>
      <c r="J954" s="14"/>
      <c r="K954" s="14"/>
      <c r="L954" s="13"/>
      <c r="M954" s="14"/>
      <c r="N954" s="14"/>
      <c r="O954" s="13"/>
      <c r="P954" s="14"/>
      <c r="Q954" s="14"/>
    </row>
    <row r="955" spans="1:17" x14ac:dyDescent="0.25">
      <c r="A955" s="19"/>
      <c r="B955" s="13"/>
      <c r="C955" s="14"/>
      <c r="D955" s="13"/>
      <c r="E955" s="14"/>
      <c r="F955" s="14"/>
      <c r="G955" s="14"/>
      <c r="H955" s="13"/>
      <c r="I955" s="14"/>
      <c r="J955" s="14"/>
      <c r="K955" s="14"/>
      <c r="L955" s="13"/>
      <c r="M955" s="14"/>
      <c r="N955" s="14"/>
      <c r="O955" s="13"/>
      <c r="P955" s="14"/>
      <c r="Q955" s="14"/>
    </row>
    <row r="956" spans="1:17" x14ac:dyDescent="0.25">
      <c r="A956" s="19"/>
      <c r="B956" s="13"/>
      <c r="C956" s="14"/>
      <c r="D956" s="13"/>
      <c r="E956" s="14"/>
      <c r="F956" s="14"/>
      <c r="G956" s="14"/>
      <c r="H956" s="13"/>
      <c r="I956" s="14"/>
      <c r="J956" s="14"/>
      <c r="K956" s="14"/>
      <c r="L956" s="13"/>
      <c r="M956" s="14"/>
      <c r="N956" s="14"/>
      <c r="O956" s="13"/>
      <c r="P956" s="14"/>
      <c r="Q956" s="14"/>
    </row>
    <row r="957" spans="1:17" x14ac:dyDescent="0.25">
      <c r="A957" s="19"/>
      <c r="B957" s="13"/>
      <c r="C957" s="14"/>
      <c r="D957" s="13"/>
      <c r="E957" s="14"/>
      <c r="F957" s="14"/>
      <c r="G957" s="14"/>
      <c r="H957" s="13"/>
      <c r="I957" s="14"/>
      <c r="J957" s="14"/>
      <c r="K957" s="14"/>
      <c r="L957" s="13"/>
      <c r="M957" s="14"/>
      <c r="N957" s="14"/>
      <c r="O957" s="13"/>
      <c r="P957" s="14"/>
      <c r="Q957" s="14"/>
    </row>
    <row r="958" spans="1:17" x14ac:dyDescent="0.25">
      <c r="A958" s="19"/>
      <c r="B958" s="13"/>
      <c r="C958" s="14"/>
      <c r="D958" s="13"/>
      <c r="E958" s="14"/>
      <c r="F958" s="14"/>
      <c r="G958" s="14"/>
      <c r="H958" s="13"/>
      <c r="I958" s="14"/>
      <c r="J958" s="14"/>
      <c r="K958" s="14"/>
      <c r="L958" s="13"/>
      <c r="M958" s="14"/>
      <c r="N958" s="14"/>
      <c r="O958" s="13"/>
      <c r="P958" s="14"/>
      <c r="Q958" s="14"/>
    </row>
    <row r="959" spans="1:17" x14ac:dyDescent="0.25">
      <c r="A959" s="19"/>
      <c r="B959" s="13"/>
      <c r="C959" s="14"/>
      <c r="D959" s="13"/>
      <c r="E959" s="14"/>
      <c r="F959" s="14"/>
      <c r="G959" s="14"/>
      <c r="H959" s="13"/>
      <c r="I959" s="14"/>
      <c r="J959" s="14"/>
      <c r="K959" s="14"/>
      <c r="L959" s="13"/>
      <c r="M959" s="14"/>
      <c r="N959" s="14"/>
      <c r="O959" s="13"/>
      <c r="P959" s="14"/>
      <c r="Q959" s="14"/>
    </row>
    <row r="960" spans="1:17" x14ac:dyDescent="0.25">
      <c r="A960" s="19"/>
      <c r="B960" s="13"/>
      <c r="C960" s="14"/>
      <c r="D960" s="13"/>
      <c r="E960" s="14"/>
      <c r="F960" s="14"/>
      <c r="G960" s="14"/>
      <c r="H960" s="13"/>
      <c r="I960" s="14"/>
      <c r="J960" s="14"/>
      <c r="K960" s="14"/>
      <c r="L960" s="13"/>
      <c r="M960" s="14"/>
      <c r="N960" s="14"/>
      <c r="O960" s="13"/>
      <c r="P960" s="14"/>
      <c r="Q960" s="14"/>
    </row>
    <row r="961" spans="1:17" x14ac:dyDescent="0.25">
      <c r="A961" s="19"/>
      <c r="B961" s="13"/>
      <c r="C961" s="14"/>
      <c r="D961" s="13"/>
      <c r="E961" s="14"/>
      <c r="F961" s="14"/>
      <c r="G961" s="14"/>
      <c r="H961" s="13"/>
      <c r="I961" s="14"/>
      <c r="J961" s="14"/>
      <c r="K961" s="14"/>
      <c r="L961" s="13"/>
      <c r="M961" s="14"/>
      <c r="N961" s="14"/>
      <c r="O961" s="13"/>
      <c r="P961" s="14"/>
      <c r="Q961" s="14"/>
    </row>
    <row r="962" spans="1:17" x14ac:dyDescent="0.25">
      <c r="A962" s="19"/>
      <c r="B962" s="13"/>
      <c r="C962" s="14"/>
      <c r="D962" s="13"/>
      <c r="E962" s="14"/>
      <c r="F962" s="14"/>
      <c r="G962" s="14"/>
      <c r="H962" s="13"/>
      <c r="I962" s="14"/>
      <c r="J962" s="14"/>
      <c r="K962" s="14"/>
      <c r="L962" s="13"/>
      <c r="M962" s="14"/>
      <c r="N962" s="14"/>
      <c r="O962" s="13"/>
      <c r="P962" s="14"/>
      <c r="Q962" s="14"/>
    </row>
    <row r="963" spans="1:17" x14ac:dyDescent="0.25">
      <c r="A963" s="19"/>
      <c r="B963" s="13"/>
      <c r="C963" s="14"/>
      <c r="D963" s="13"/>
      <c r="E963" s="14"/>
      <c r="F963" s="14"/>
      <c r="G963" s="14"/>
      <c r="H963" s="13"/>
      <c r="I963" s="14"/>
      <c r="J963" s="14"/>
      <c r="K963" s="14"/>
      <c r="L963" s="13"/>
      <c r="M963" s="14"/>
      <c r="N963" s="14"/>
      <c r="O963" s="13"/>
      <c r="P963" s="14"/>
      <c r="Q963" s="14"/>
    </row>
    <row r="964" spans="1:17" x14ac:dyDescent="0.25">
      <c r="A964" s="19"/>
      <c r="B964" s="13"/>
      <c r="C964" s="14"/>
      <c r="D964" s="13"/>
      <c r="E964" s="14"/>
      <c r="F964" s="14"/>
      <c r="G964" s="14"/>
      <c r="H964" s="13"/>
      <c r="I964" s="14"/>
      <c r="J964" s="14"/>
      <c r="K964" s="14"/>
      <c r="L964" s="13"/>
      <c r="M964" s="14"/>
      <c r="N964" s="14"/>
      <c r="O964" s="13"/>
      <c r="P964" s="14"/>
      <c r="Q964" s="14"/>
    </row>
    <row r="965" spans="1:17" x14ac:dyDescent="0.25">
      <c r="A965" s="19"/>
      <c r="B965" s="13"/>
      <c r="C965" s="14"/>
      <c r="D965" s="13"/>
      <c r="E965" s="14"/>
      <c r="F965" s="14"/>
      <c r="G965" s="14"/>
      <c r="H965" s="13"/>
      <c r="I965" s="14"/>
      <c r="J965" s="14"/>
      <c r="K965" s="14"/>
      <c r="L965" s="13"/>
      <c r="M965" s="14"/>
      <c r="N965" s="14"/>
      <c r="O965" s="13"/>
      <c r="P965" s="14"/>
      <c r="Q965" s="14"/>
    </row>
    <row r="966" spans="1:17" x14ac:dyDescent="0.25">
      <c r="A966" s="19"/>
      <c r="B966" s="13"/>
      <c r="C966" s="14"/>
      <c r="D966" s="13"/>
      <c r="E966" s="14"/>
      <c r="F966" s="14"/>
      <c r="G966" s="14"/>
      <c r="H966" s="13"/>
      <c r="I966" s="14"/>
      <c r="J966" s="14"/>
      <c r="K966" s="14"/>
      <c r="L966" s="13"/>
      <c r="M966" s="14"/>
      <c r="N966" s="14"/>
      <c r="O966" s="13"/>
      <c r="P966" s="14"/>
      <c r="Q966" s="14"/>
    </row>
    <row r="967" spans="1:17" x14ac:dyDescent="0.25">
      <c r="A967" s="19"/>
      <c r="B967" s="13"/>
      <c r="C967" s="14"/>
      <c r="D967" s="13"/>
      <c r="E967" s="14"/>
      <c r="F967" s="14"/>
      <c r="G967" s="14"/>
      <c r="H967" s="13"/>
      <c r="I967" s="14"/>
      <c r="J967" s="14"/>
      <c r="K967" s="14"/>
      <c r="L967" s="13"/>
      <c r="M967" s="14"/>
      <c r="N967" s="14"/>
      <c r="O967" s="13"/>
      <c r="P967" s="14"/>
      <c r="Q967" s="14"/>
    </row>
    <row r="968" spans="1:17" x14ac:dyDescent="0.25">
      <c r="A968" s="19"/>
      <c r="B968" s="13"/>
      <c r="C968" s="14"/>
      <c r="D968" s="13"/>
      <c r="E968" s="14"/>
      <c r="F968" s="14"/>
      <c r="G968" s="14"/>
      <c r="H968" s="13"/>
      <c r="I968" s="14"/>
      <c r="J968" s="14"/>
      <c r="K968" s="14"/>
      <c r="L968" s="13"/>
      <c r="M968" s="14"/>
      <c r="N968" s="14"/>
      <c r="O968" s="13"/>
      <c r="P968" s="14"/>
      <c r="Q968" s="14"/>
    </row>
    <row r="969" spans="1:17" x14ac:dyDescent="0.25">
      <c r="A969" s="19"/>
      <c r="B969" s="13"/>
      <c r="C969" s="14"/>
      <c r="D969" s="13"/>
      <c r="E969" s="14"/>
      <c r="F969" s="14"/>
      <c r="G969" s="14"/>
      <c r="H969" s="13"/>
      <c r="I969" s="14"/>
      <c r="J969" s="14"/>
      <c r="K969" s="14"/>
      <c r="L969" s="13"/>
      <c r="M969" s="14"/>
      <c r="N969" s="14"/>
      <c r="O969" s="13"/>
      <c r="P969" s="14"/>
      <c r="Q969" s="14"/>
    </row>
    <row r="970" spans="1:17" x14ac:dyDescent="0.25">
      <c r="A970" s="19"/>
      <c r="B970" s="13"/>
      <c r="C970" s="14"/>
      <c r="D970" s="13"/>
      <c r="E970" s="14"/>
      <c r="F970" s="14"/>
      <c r="G970" s="14"/>
      <c r="H970" s="13"/>
      <c r="I970" s="14"/>
      <c r="J970" s="14"/>
      <c r="K970" s="14"/>
      <c r="L970" s="13"/>
      <c r="M970" s="14"/>
      <c r="N970" s="14"/>
      <c r="O970" s="13"/>
      <c r="P970" s="14"/>
      <c r="Q970" s="14"/>
    </row>
    <row r="971" spans="1:17" x14ac:dyDescent="0.25">
      <c r="A971" s="19"/>
      <c r="B971" s="13"/>
      <c r="C971" s="14"/>
      <c r="D971" s="13"/>
      <c r="E971" s="14"/>
      <c r="F971" s="14"/>
      <c r="G971" s="14"/>
      <c r="H971" s="13"/>
      <c r="I971" s="14"/>
      <c r="J971" s="14"/>
      <c r="K971" s="14"/>
      <c r="L971" s="13"/>
      <c r="M971" s="14"/>
      <c r="N971" s="14"/>
      <c r="O971" s="13"/>
      <c r="P971" s="14"/>
      <c r="Q971" s="14"/>
    </row>
    <row r="972" spans="1:17" x14ac:dyDescent="0.25">
      <c r="A972" s="19"/>
      <c r="B972" s="13"/>
      <c r="C972" s="14"/>
      <c r="D972" s="13"/>
      <c r="E972" s="14"/>
      <c r="F972" s="14"/>
      <c r="G972" s="14"/>
      <c r="H972" s="13"/>
      <c r="I972" s="14"/>
      <c r="J972" s="14"/>
      <c r="K972" s="14"/>
      <c r="L972" s="13"/>
      <c r="M972" s="14"/>
      <c r="N972" s="14"/>
      <c r="O972" s="13"/>
      <c r="P972" s="14"/>
      <c r="Q972" s="14"/>
    </row>
    <row r="973" spans="1:17" x14ac:dyDescent="0.25">
      <c r="A973" s="19"/>
      <c r="B973" s="13"/>
      <c r="C973" s="14"/>
      <c r="D973" s="13"/>
      <c r="E973" s="14"/>
      <c r="F973" s="14"/>
      <c r="G973" s="14"/>
      <c r="H973" s="13"/>
      <c r="I973" s="14"/>
      <c r="J973" s="14"/>
      <c r="K973" s="14"/>
      <c r="L973" s="13"/>
      <c r="M973" s="14"/>
      <c r="N973" s="14"/>
      <c r="O973" s="13"/>
      <c r="P973" s="14"/>
      <c r="Q973" s="14"/>
    </row>
    <row r="974" spans="1:17" x14ac:dyDescent="0.25">
      <c r="A974" s="19"/>
      <c r="B974" s="13"/>
      <c r="C974" s="14"/>
      <c r="D974" s="13"/>
      <c r="E974" s="14"/>
      <c r="F974" s="14"/>
      <c r="G974" s="14"/>
      <c r="H974" s="13"/>
      <c r="I974" s="14"/>
      <c r="J974" s="14"/>
      <c r="K974" s="14"/>
      <c r="L974" s="13"/>
      <c r="M974" s="14"/>
      <c r="N974" s="14"/>
      <c r="O974" s="13"/>
      <c r="P974" s="14"/>
      <c r="Q974" s="14"/>
    </row>
    <row r="975" spans="1:17" x14ac:dyDescent="0.25">
      <c r="A975" s="19"/>
      <c r="B975" s="13"/>
      <c r="C975" s="14"/>
      <c r="D975" s="13"/>
      <c r="E975" s="14"/>
      <c r="F975" s="14"/>
      <c r="G975" s="14"/>
      <c r="H975" s="13"/>
      <c r="I975" s="14"/>
      <c r="J975" s="14"/>
      <c r="K975" s="14"/>
      <c r="L975" s="13"/>
      <c r="M975" s="14"/>
      <c r="N975" s="14"/>
      <c r="O975" s="13"/>
      <c r="P975" s="14"/>
      <c r="Q975" s="14"/>
    </row>
    <row r="976" spans="1:17" x14ac:dyDescent="0.25">
      <c r="A976" s="19"/>
      <c r="B976" s="13"/>
      <c r="C976" s="14"/>
      <c r="D976" s="13"/>
      <c r="E976" s="14"/>
      <c r="F976" s="14"/>
      <c r="G976" s="14"/>
      <c r="H976" s="13"/>
      <c r="I976" s="14"/>
      <c r="J976" s="14"/>
      <c r="K976" s="14"/>
      <c r="L976" s="13"/>
      <c r="M976" s="14"/>
      <c r="N976" s="14"/>
      <c r="O976" s="13"/>
      <c r="P976" s="14"/>
      <c r="Q976" s="14"/>
    </row>
    <row r="977" spans="1:17" x14ac:dyDescent="0.25">
      <c r="A977" s="19"/>
      <c r="B977" s="13"/>
      <c r="C977" s="14"/>
      <c r="D977" s="13"/>
      <c r="E977" s="14"/>
      <c r="F977" s="14"/>
      <c r="G977" s="14"/>
      <c r="H977" s="13"/>
      <c r="I977" s="14"/>
      <c r="J977" s="14"/>
      <c r="K977" s="14"/>
      <c r="L977" s="13"/>
      <c r="M977" s="14"/>
      <c r="N977" s="14"/>
      <c r="O977" s="13"/>
      <c r="P977" s="14"/>
      <c r="Q977" s="14"/>
    </row>
    <row r="978" spans="1:17" x14ac:dyDescent="0.25">
      <c r="A978" s="19"/>
      <c r="B978" s="13"/>
      <c r="C978" s="14"/>
      <c r="D978" s="13"/>
      <c r="E978" s="14"/>
      <c r="F978" s="14"/>
      <c r="G978" s="14"/>
      <c r="H978" s="13"/>
      <c r="I978" s="14"/>
      <c r="J978" s="14"/>
      <c r="K978" s="14"/>
      <c r="L978" s="13"/>
      <c r="M978" s="14"/>
      <c r="N978" s="14"/>
      <c r="O978" s="13"/>
      <c r="P978" s="14"/>
      <c r="Q978" s="14"/>
    </row>
    <row r="979" spans="1:17" x14ac:dyDescent="0.25">
      <c r="A979" s="19"/>
      <c r="B979" s="13"/>
      <c r="C979" s="14"/>
      <c r="D979" s="13"/>
      <c r="E979" s="14"/>
      <c r="F979" s="14"/>
      <c r="G979" s="14"/>
      <c r="H979" s="13"/>
      <c r="I979" s="14"/>
      <c r="J979" s="14"/>
      <c r="K979" s="14"/>
      <c r="L979" s="13"/>
      <c r="M979" s="14"/>
      <c r="N979" s="14"/>
      <c r="O979" s="13"/>
      <c r="P979" s="14"/>
      <c r="Q979" s="14"/>
    </row>
    <row r="980" spans="1:17" x14ac:dyDescent="0.25">
      <c r="A980" s="19"/>
      <c r="B980" s="13"/>
      <c r="C980" s="14"/>
      <c r="D980" s="13"/>
      <c r="E980" s="14"/>
      <c r="F980" s="14"/>
      <c r="G980" s="14"/>
      <c r="H980" s="13"/>
      <c r="I980" s="14"/>
      <c r="J980" s="14"/>
      <c r="K980" s="14"/>
      <c r="L980" s="13"/>
      <c r="M980" s="14"/>
      <c r="N980" s="14"/>
      <c r="O980" s="13"/>
      <c r="P980" s="14"/>
      <c r="Q980" s="14"/>
    </row>
    <row r="981" spans="1:17" x14ac:dyDescent="0.25">
      <c r="A981" s="19"/>
      <c r="B981" s="13"/>
      <c r="C981" s="14"/>
      <c r="D981" s="13"/>
      <c r="E981" s="14"/>
      <c r="F981" s="14"/>
      <c r="G981" s="14"/>
      <c r="H981" s="13"/>
      <c r="I981" s="14"/>
      <c r="J981" s="14"/>
      <c r="K981" s="14"/>
      <c r="L981" s="13"/>
      <c r="M981" s="14"/>
      <c r="N981" s="14"/>
      <c r="O981" s="13"/>
      <c r="P981" s="14"/>
      <c r="Q981" s="14"/>
    </row>
    <row r="982" spans="1:17" x14ac:dyDescent="0.25">
      <c r="A982" s="19"/>
      <c r="B982" s="13"/>
      <c r="C982" s="14"/>
      <c r="D982" s="13"/>
      <c r="E982" s="14"/>
      <c r="F982" s="14"/>
      <c r="G982" s="14"/>
      <c r="H982" s="13"/>
      <c r="I982" s="14"/>
      <c r="J982" s="14"/>
      <c r="K982" s="14"/>
      <c r="L982" s="13"/>
      <c r="M982" s="14"/>
      <c r="N982" s="14"/>
      <c r="O982" s="13"/>
      <c r="P982" s="14"/>
      <c r="Q982" s="14"/>
    </row>
    <row r="983" spans="1:17" x14ac:dyDescent="0.25">
      <c r="A983" s="19"/>
      <c r="B983" s="13"/>
      <c r="C983" s="14"/>
      <c r="D983" s="13"/>
      <c r="E983" s="14"/>
      <c r="F983" s="14"/>
      <c r="G983" s="14"/>
      <c r="H983" s="13"/>
      <c r="I983" s="14"/>
      <c r="J983" s="14"/>
      <c r="K983" s="14"/>
      <c r="L983" s="13"/>
      <c r="M983" s="14"/>
      <c r="N983" s="14"/>
      <c r="O983" s="13"/>
      <c r="P983" s="14"/>
      <c r="Q983" s="14"/>
    </row>
    <row r="984" spans="1:17" x14ac:dyDescent="0.25">
      <c r="A984" s="19"/>
      <c r="B984" s="13"/>
      <c r="C984" s="14"/>
      <c r="D984" s="13"/>
      <c r="E984" s="14"/>
      <c r="F984" s="14"/>
      <c r="G984" s="14"/>
      <c r="H984" s="13"/>
      <c r="I984" s="14"/>
      <c r="J984" s="14"/>
      <c r="K984" s="14"/>
      <c r="L984" s="13"/>
      <c r="M984" s="14"/>
      <c r="N984" s="14"/>
      <c r="O984" s="13"/>
      <c r="P984" s="14"/>
      <c r="Q984" s="14"/>
    </row>
    <row r="985" spans="1:17" x14ac:dyDescent="0.25">
      <c r="A985" s="19"/>
      <c r="B985" s="13"/>
      <c r="C985" s="14"/>
      <c r="D985" s="13"/>
      <c r="E985" s="14"/>
      <c r="F985" s="14"/>
      <c r="G985" s="14"/>
      <c r="H985" s="13"/>
      <c r="I985" s="14"/>
      <c r="J985" s="14"/>
      <c r="K985" s="14"/>
      <c r="L985" s="13"/>
      <c r="M985" s="14"/>
      <c r="N985" s="14"/>
      <c r="O985" s="13"/>
      <c r="P985" s="14"/>
      <c r="Q985" s="14"/>
    </row>
    <row r="986" spans="1:17" x14ac:dyDescent="0.25">
      <c r="A986" s="19"/>
      <c r="B986" s="13"/>
      <c r="C986" s="14"/>
      <c r="D986" s="13"/>
      <c r="E986" s="14"/>
      <c r="F986" s="14"/>
      <c r="G986" s="14"/>
      <c r="H986" s="13"/>
      <c r="I986" s="14"/>
      <c r="J986" s="14"/>
      <c r="K986" s="14"/>
      <c r="L986" s="13"/>
      <c r="M986" s="14"/>
      <c r="N986" s="14"/>
      <c r="O986" s="13"/>
      <c r="P986" s="14"/>
      <c r="Q986" s="14"/>
    </row>
    <row r="987" spans="1:17" x14ac:dyDescent="0.25">
      <c r="A987" s="19"/>
      <c r="B987" s="13"/>
      <c r="C987" s="14"/>
      <c r="D987" s="13"/>
      <c r="E987" s="14"/>
      <c r="F987" s="14"/>
      <c r="G987" s="14"/>
      <c r="H987" s="13"/>
      <c r="I987" s="14"/>
      <c r="J987" s="14"/>
      <c r="K987" s="14"/>
      <c r="L987" s="13"/>
      <c r="M987" s="14"/>
      <c r="N987" s="14"/>
      <c r="O987" s="13"/>
      <c r="P987" s="14"/>
      <c r="Q987" s="14"/>
    </row>
    <row r="988" spans="1:17" x14ac:dyDescent="0.25">
      <c r="A988" s="19"/>
      <c r="B988" s="13"/>
      <c r="C988" s="14"/>
      <c r="D988" s="13"/>
      <c r="E988" s="14"/>
      <c r="F988" s="14"/>
      <c r="G988" s="14"/>
      <c r="H988" s="13"/>
      <c r="I988" s="14"/>
      <c r="J988" s="14"/>
      <c r="K988" s="14"/>
      <c r="L988" s="13"/>
      <c r="M988" s="14"/>
      <c r="N988" s="14"/>
      <c r="O988" s="13"/>
      <c r="P988" s="14"/>
      <c r="Q988" s="14"/>
    </row>
    <row r="989" spans="1:17" x14ac:dyDescent="0.25">
      <c r="A989" s="19"/>
      <c r="B989" s="13"/>
      <c r="C989" s="14"/>
      <c r="D989" s="13"/>
      <c r="E989" s="14"/>
      <c r="F989" s="14"/>
      <c r="G989" s="14"/>
      <c r="H989" s="13"/>
      <c r="I989" s="14"/>
      <c r="J989" s="14"/>
      <c r="K989" s="14"/>
      <c r="L989" s="13"/>
      <c r="M989" s="14"/>
      <c r="N989" s="14"/>
      <c r="O989" s="13"/>
      <c r="P989" s="14"/>
      <c r="Q989" s="14"/>
    </row>
    <row r="990" spans="1:17" x14ac:dyDescent="0.25">
      <c r="A990" s="19"/>
      <c r="B990" s="13"/>
      <c r="C990" s="14"/>
      <c r="D990" s="13"/>
      <c r="E990" s="14"/>
      <c r="F990" s="14"/>
      <c r="G990" s="14"/>
      <c r="H990" s="13"/>
      <c r="I990" s="14"/>
      <c r="J990" s="14"/>
      <c r="K990" s="14"/>
      <c r="L990" s="13"/>
      <c r="M990" s="14"/>
      <c r="N990" s="14"/>
      <c r="O990" s="13"/>
      <c r="P990" s="14"/>
      <c r="Q990" s="14"/>
    </row>
    <row r="991" spans="1:17" x14ac:dyDescent="0.25">
      <c r="A991" s="19"/>
      <c r="B991" s="13"/>
      <c r="C991" s="14"/>
      <c r="D991" s="13"/>
      <c r="E991" s="14"/>
      <c r="F991" s="14"/>
      <c r="G991" s="14"/>
      <c r="H991" s="13"/>
      <c r="I991" s="14"/>
      <c r="J991" s="14"/>
      <c r="K991" s="14"/>
      <c r="L991" s="13"/>
      <c r="M991" s="14"/>
      <c r="N991" s="14"/>
      <c r="O991" s="13"/>
      <c r="P991" s="14"/>
      <c r="Q991" s="14"/>
    </row>
    <row r="992" spans="1:17" x14ac:dyDescent="0.25">
      <c r="A992" s="19"/>
      <c r="B992" s="13"/>
      <c r="C992" s="14"/>
      <c r="D992" s="13"/>
      <c r="E992" s="14"/>
      <c r="F992" s="14"/>
      <c r="G992" s="14"/>
      <c r="H992" s="13"/>
      <c r="I992" s="14"/>
      <c r="J992" s="14"/>
      <c r="K992" s="14"/>
      <c r="L992" s="13"/>
      <c r="M992" s="14"/>
      <c r="N992" s="14"/>
      <c r="O992" s="13"/>
      <c r="P992" s="14"/>
      <c r="Q992" s="14"/>
    </row>
    <row r="993" spans="1:17" x14ac:dyDescent="0.25">
      <c r="A993" s="19"/>
      <c r="B993" s="13"/>
      <c r="C993" s="14"/>
      <c r="D993" s="13"/>
      <c r="E993" s="14"/>
      <c r="F993" s="14"/>
      <c r="G993" s="14"/>
      <c r="H993" s="13"/>
      <c r="I993" s="14"/>
      <c r="J993" s="14"/>
      <c r="K993" s="14"/>
      <c r="L993" s="13"/>
      <c r="M993" s="14"/>
      <c r="N993" s="14"/>
      <c r="O993" s="13"/>
      <c r="P993" s="14"/>
      <c r="Q993" s="14"/>
    </row>
    <row r="994" spans="1:17" x14ac:dyDescent="0.25">
      <c r="A994" s="19"/>
      <c r="B994" s="13"/>
      <c r="C994" s="14"/>
      <c r="D994" s="13"/>
      <c r="E994" s="14"/>
      <c r="F994" s="14"/>
      <c r="G994" s="14"/>
      <c r="H994" s="13"/>
      <c r="I994" s="14"/>
      <c r="J994" s="14"/>
      <c r="K994" s="14"/>
      <c r="L994" s="13"/>
      <c r="M994" s="14"/>
      <c r="N994" s="14"/>
      <c r="O994" s="13"/>
      <c r="P994" s="14"/>
      <c r="Q994" s="14"/>
    </row>
    <row r="995" spans="1:17" x14ac:dyDescent="0.25">
      <c r="A995" s="19"/>
      <c r="B995" s="13"/>
      <c r="C995" s="14"/>
      <c r="D995" s="13"/>
      <c r="E995" s="14"/>
      <c r="F995" s="14"/>
      <c r="G995" s="14"/>
      <c r="H995" s="13"/>
      <c r="I995" s="14"/>
      <c r="J995" s="14"/>
      <c r="K995" s="14"/>
      <c r="L995" s="13"/>
      <c r="M995" s="14"/>
      <c r="N995" s="14"/>
      <c r="O995" s="13"/>
      <c r="P995" s="14"/>
      <c r="Q995" s="14"/>
    </row>
    <row r="996" spans="1:17" x14ac:dyDescent="0.25">
      <c r="A996" s="19"/>
      <c r="B996" s="13"/>
      <c r="C996" s="14"/>
      <c r="D996" s="13"/>
      <c r="E996" s="14"/>
      <c r="F996" s="14"/>
      <c r="G996" s="14"/>
      <c r="H996" s="13"/>
      <c r="I996" s="14"/>
      <c r="J996" s="14"/>
      <c r="K996" s="14"/>
      <c r="L996" s="13"/>
      <c r="M996" s="14"/>
      <c r="N996" s="14"/>
      <c r="O996" s="13"/>
      <c r="P996" s="14"/>
      <c r="Q996" s="14"/>
    </row>
    <row r="997" spans="1:17" x14ac:dyDescent="0.25">
      <c r="A997" s="19"/>
      <c r="B997" s="13"/>
      <c r="C997" s="14"/>
      <c r="D997" s="13"/>
      <c r="E997" s="14"/>
      <c r="F997" s="14"/>
      <c r="G997" s="14"/>
      <c r="H997" s="13"/>
      <c r="I997" s="14"/>
      <c r="J997" s="14"/>
      <c r="K997" s="14"/>
      <c r="L997" s="13"/>
      <c r="M997" s="14"/>
      <c r="N997" s="14"/>
      <c r="O997" s="13"/>
      <c r="P997" s="14"/>
      <c r="Q997" s="14"/>
    </row>
    <row r="998" spans="1:17" x14ac:dyDescent="0.25">
      <c r="A998" s="19"/>
      <c r="B998" s="13"/>
      <c r="C998" s="14"/>
      <c r="D998" s="13"/>
      <c r="E998" s="14"/>
      <c r="F998" s="14"/>
      <c r="G998" s="14"/>
      <c r="H998" s="13"/>
      <c r="I998" s="14"/>
      <c r="J998" s="14"/>
      <c r="K998" s="14"/>
      <c r="L998" s="13"/>
      <c r="M998" s="14"/>
      <c r="N998" s="14"/>
      <c r="O998" s="13"/>
      <c r="P998" s="14"/>
      <c r="Q998" s="14"/>
    </row>
    <row r="999" spans="1:17" x14ac:dyDescent="0.25">
      <c r="A999" s="19"/>
      <c r="B999" s="13"/>
      <c r="C999" s="14"/>
      <c r="D999" s="13"/>
      <c r="E999" s="14"/>
      <c r="F999" s="14"/>
      <c r="G999" s="14"/>
      <c r="H999" s="13"/>
      <c r="I999" s="14"/>
      <c r="J999" s="14"/>
      <c r="K999" s="14"/>
      <c r="L999" s="13"/>
      <c r="M999" s="14"/>
      <c r="N999" s="14"/>
      <c r="O999" s="13"/>
      <c r="P999" s="14"/>
      <c r="Q999" s="14"/>
    </row>
    <row r="1000" spans="1:17" x14ac:dyDescent="0.25">
      <c r="A1000" s="19"/>
      <c r="B1000" s="13"/>
      <c r="C1000" s="14"/>
      <c r="D1000" s="13"/>
      <c r="E1000" s="14"/>
      <c r="F1000" s="14"/>
      <c r="G1000" s="14"/>
      <c r="H1000" s="13"/>
      <c r="I1000" s="14"/>
      <c r="J1000" s="14"/>
      <c r="K1000" s="14"/>
      <c r="L1000" s="13"/>
      <c r="M1000" s="14"/>
      <c r="N1000" s="14"/>
      <c r="O1000" s="13"/>
      <c r="P1000" s="14"/>
      <c r="Q1000" s="14"/>
    </row>
    <row r="1001" spans="1:17" x14ac:dyDescent="0.25">
      <c r="A1001" s="19"/>
      <c r="B1001" s="13"/>
      <c r="C1001" s="14"/>
      <c r="D1001" s="13"/>
      <c r="E1001" s="14"/>
      <c r="F1001" s="14"/>
      <c r="G1001" s="14"/>
      <c r="H1001" s="13"/>
      <c r="I1001" s="14"/>
      <c r="J1001" s="14"/>
      <c r="K1001" s="14"/>
      <c r="L1001" s="13"/>
      <c r="M1001" s="14"/>
      <c r="N1001" s="14"/>
      <c r="O1001" s="13"/>
      <c r="P1001" s="14"/>
      <c r="Q1001" s="14"/>
    </row>
    <row r="1002" spans="1:17" x14ac:dyDescent="0.25">
      <c r="A1002" s="19"/>
      <c r="B1002" s="13"/>
      <c r="C1002" s="14"/>
      <c r="D1002" s="13"/>
      <c r="E1002" s="14"/>
      <c r="F1002" s="14"/>
      <c r="G1002" s="14"/>
      <c r="H1002" s="13"/>
      <c r="I1002" s="14"/>
      <c r="J1002" s="14"/>
      <c r="K1002" s="14"/>
      <c r="L1002" s="13"/>
      <c r="M1002" s="14"/>
      <c r="N1002" s="14"/>
      <c r="O1002" s="13"/>
      <c r="P1002" s="14"/>
      <c r="Q1002" s="14"/>
    </row>
    <row r="1003" spans="1:17" x14ac:dyDescent="0.25">
      <c r="A1003" s="19"/>
      <c r="B1003" s="13"/>
      <c r="C1003" s="14"/>
      <c r="D1003" s="13"/>
      <c r="E1003" s="14"/>
      <c r="F1003" s="14"/>
      <c r="G1003" s="14"/>
      <c r="H1003" s="13"/>
      <c r="I1003" s="14"/>
      <c r="J1003" s="14"/>
      <c r="K1003" s="14"/>
      <c r="L1003" s="13"/>
      <c r="M1003" s="14"/>
      <c r="N1003" s="14"/>
      <c r="O1003" s="13"/>
      <c r="P1003" s="14"/>
      <c r="Q1003" s="14"/>
    </row>
    <row r="1004" spans="1:17" x14ac:dyDescent="0.25">
      <c r="A1004" s="19"/>
      <c r="B1004" s="13"/>
      <c r="C1004" s="14"/>
      <c r="D1004" s="13"/>
      <c r="E1004" s="14"/>
      <c r="F1004" s="14"/>
      <c r="G1004" s="14"/>
      <c r="H1004" s="13"/>
      <c r="I1004" s="14"/>
      <c r="J1004" s="14"/>
      <c r="K1004" s="14"/>
      <c r="L1004" s="13"/>
      <c r="M1004" s="14"/>
      <c r="N1004" s="14"/>
      <c r="O1004" s="13"/>
      <c r="P1004" s="14"/>
      <c r="Q1004" s="14"/>
    </row>
    <row r="1005" spans="1:17" x14ac:dyDescent="0.25">
      <c r="A1005" s="19"/>
      <c r="B1005" s="13"/>
      <c r="C1005" s="14"/>
      <c r="D1005" s="13"/>
      <c r="E1005" s="14"/>
      <c r="F1005" s="14"/>
      <c r="G1005" s="14"/>
      <c r="H1005" s="13"/>
      <c r="I1005" s="14"/>
      <c r="J1005" s="14"/>
      <c r="K1005" s="14"/>
      <c r="L1005" s="13"/>
      <c r="M1005" s="14"/>
      <c r="N1005" s="14"/>
      <c r="O1005" s="13"/>
      <c r="P1005" s="14"/>
      <c r="Q1005" s="14"/>
    </row>
    <row r="1006" spans="1:17" x14ac:dyDescent="0.25">
      <c r="A1006" s="19"/>
      <c r="B1006" s="13"/>
      <c r="C1006" s="14"/>
      <c r="D1006" s="13"/>
      <c r="E1006" s="14"/>
      <c r="F1006" s="14"/>
      <c r="G1006" s="14"/>
      <c r="H1006" s="13"/>
      <c r="I1006" s="14"/>
      <c r="J1006" s="14"/>
      <c r="K1006" s="14"/>
      <c r="L1006" s="13"/>
      <c r="M1006" s="14"/>
      <c r="N1006" s="14"/>
      <c r="O1006" s="13"/>
      <c r="P1006" s="14"/>
      <c r="Q1006" s="14"/>
    </row>
    <row r="1007" spans="1:17" x14ac:dyDescent="0.25">
      <c r="A1007" s="19"/>
      <c r="B1007" s="13"/>
      <c r="C1007" s="14"/>
      <c r="D1007" s="13"/>
      <c r="E1007" s="14"/>
      <c r="F1007" s="14"/>
      <c r="G1007" s="14"/>
      <c r="H1007" s="13"/>
      <c r="I1007" s="14"/>
      <c r="J1007" s="14"/>
      <c r="K1007" s="14"/>
      <c r="L1007" s="13"/>
      <c r="M1007" s="14"/>
      <c r="N1007" s="14"/>
      <c r="O1007" s="13"/>
      <c r="P1007" s="14"/>
      <c r="Q1007" s="14"/>
    </row>
    <row r="1008" spans="1:17" x14ac:dyDescent="0.25">
      <c r="A1008" s="19"/>
      <c r="B1008" s="13"/>
      <c r="C1008" s="14"/>
      <c r="D1008" s="13"/>
      <c r="E1008" s="14"/>
      <c r="F1008" s="14"/>
      <c r="G1008" s="14"/>
      <c r="H1008" s="13"/>
      <c r="I1008" s="14"/>
      <c r="J1008" s="14"/>
      <c r="K1008" s="14"/>
      <c r="L1008" s="13"/>
      <c r="M1008" s="14"/>
      <c r="N1008" s="14"/>
      <c r="O1008" s="13"/>
      <c r="P1008" s="14"/>
      <c r="Q1008" s="14"/>
    </row>
    <row r="1009" spans="1:17" x14ac:dyDescent="0.25">
      <c r="A1009" s="19"/>
      <c r="B1009" s="13"/>
      <c r="C1009" s="14"/>
      <c r="D1009" s="13"/>
      <c r="E1009" s="14"/>
      <c r="F1009" s="14"/>
      <c r="G1009" s="14"/>
      <c r="H1009" s="13"/>
      <c r="I1009" s="14"/>
      <c r="J1009" s="14"/>
      <c r="K1009" s="14"/>
      <c r="L1009" s="13"/>
      <c r="M1009" s="14"/>
      <c r="N1009" s="14"/>
      <c r="O1009" s="13"/>
      <c r="P1009" s="14"/>
      <c r="Q1009" s="14"/>
    </row>
    <row r="1010" spans="1:17" x14ac:dyDescent="0.25">
      <c r="A1010" s="19"/>
      <c r="B1010" s="13"/>
      <c r="C1010" s="14"/>
      <c r="D1010" s="13"/>
      <c r="E1010" s="14"/>
      <c r="F1010" s="14"/>
      <c r="G1010" s="14"/>
      <c r="H1010" s="13"/>
      <c r="I1010" s="14"/>
      <c r="J1010" s="14"/>
      <c r="K1010" s="14"/>
      <c r="L1010" s="13"/>
      <c r="M1010" s="14"/>
      <c r="N1010" s="14"/>
      <c r="O1010" s="13"/>
      <c r="P1010" s="14"/>
      <c r="Q1010" s="14"/>
    </row>
    <row r="1011" spans="1:17" x14ac:dyDescent="0.25">
      <c r="A1011" s="19"/>
      <c r="B1011" s="13"/>
      <c r="C1011" s="14"/>
      <c r="D1011" s="13"/>
      <c r="E1011" s="14"/>
      <c r="F1011" s="14"/>
      <c r="G1011" s="14"/>
      <c r="H1011" s="13"/>
      <c r="I1011" s="14"/>
      <c r="J1011" s="14"/>
      <c r="K1011" s="14"/>
      <c r="L1011" s="13"/>
      <c r="M1011" s="14"/>
      <c r="N1011" s="14"/>
      <c r="O1011" s="13"/>
      <c r="P1011" s="14"/>
      <c r="Q1011" s="14"/>
    </row>
    <row r="1012" spans="1:17" x14ac:dyDescent="0.25">
      <c r="A1012" s="19"/>
      <c r="B1012" s="13"/>
      <c r="C1012" s="14"/>
      <c r="D1012" s="13"/>
      <c r="E1012" s="14"/>
      <c r="F1012" s="14"/>
      <c r="G1012" s="14"/>
      <c r="H1012" s="13"/>
      <c r="I1012" s="14"/>
      <c r="J1012" s="14"/>
      <c r="K1012" s="14"/>
      <c r="L1012" s="13"/>
      <c r="M1012" s="14"/>
      <c r="N1012" s="14"/>
      <c r="O1012" s="13"/>
      <c r="P1012" s="14"/>
      <c r="Q1012" s="14"/>
    </row>
    <row r="1013" spans="1:17" x14ac:dyDescent="0.25">
      <c r="A1013" s="19"/>
      <c r="B1013" s="13"/>
      <c r="C1013" s="14"/>
      <c r="D1013" s="13"/>
      <c r="E1013" s="14"/>
      <c r="F1013" s="14"/>
      <c r="G1013" s="14"/>
      <c r="H1013" s="13"/>
      <c r="I1013" s="14"/>
      <c r="J1013" s="14"/>
      <c r="K1013" s="14"/>
      <c r="L1013" s="13"/>
      <c r="M1013" s="14"/>
      <c r="N1013" s="14"/>
      <c r="O1013" s="13"/>
      <c r="P1013" s="14"/>
      <c r="Q1013" s="14"/>
    </row>
    <row r="1014" spans="1:17" x14ac:dyDescent="0.25">
      <c r="A1014" s="19"/>
    </row>
    <row r="1015" spans="1:17" x14ac:dyDescent="0.25">
      <c r="A1015" s="19"/>
    </row>
    <row r="1016" spans="1:17" x14ac:dyDescent="0.25">
      <c r="A1016" s="19"/>
    </row>
    <row r="1017" spans="1:17" x14ac:dyDescent="0.25">
      <c r="A1017" s="19"/>
    </row>
    <row r="1018" spans="1:17" x14ac:dyDescent="0.25">
      <c r="A1018" s="19"/>
    </row>
    <row r="1019" spans="1:17" x14ac:dyDescent="0.25">
      <c r="A1019" s="19"/>
    </row>
    <row r="1020" spans="1:17" x14ac:dyDescent="0.25">
      <c r="A1020" s="19"/>
    </row>
    <row r="1021" spans="1:17" x14ac:dyDescent="0.25">
      <c r="A1021" s="19"/>
    </row>
    <row r="1022" spans="1:17" x14ac:dyDescent="0.25">
      <c r="A1022" s="19"/>
    </row>
    <row r="1023" spans="1:17" x14ac:dyDescent="0.25">
      <c r="A1023" s="19"/>
    </row>
    <row r="1024" spans="1:17" x14ac:dyDescent="0.25">
      <c r="A1024" s="19"/>
    </row>
    <row r="1025" spans="1:1" x14ac:dyDescent="0.25">
      <c r="A1025" s="19"/>
    </row>
    <row r="1026" spans="1:1" x14ac:dyDescent="0.25">
      <c r="A1026" s="19"/>
    </row>
    <row r="1027" spans="1:1" x14ac:dyDescent="0.25">
      <c r="A1027" s="19"/>
    </row>
    <row r="1028" spans="1:1" x14ac:dyDescent="0.25">
      <c r="A1028" s="19"/>
    </row>
    <row r="1029" spans="1:1" x14ac:dyDescent="0.25">
      <c r="A1029" s="19"/>
    </row>
    <row r="1030" spans="1:1" x14ac:dyDescent="0.25">
      <c r="A1030" s="19"/>
    </row>
    <row r="1031" spans="1:1" x14ac:dyDescent="0.25">
      <c r="A1031" s="19"/>
    </row>
    <row r="1032" spans="1:1" x14ac:dyDescent="0.25">
      <c r="A1032" s="19"/>
    </row>
    <row r="1033" spans="1:1" x14ac:dyDescent="0.25">
      <c r="A1033" s="19"/>
    </row>
    <row r="1034" spans="1:1" x14ac:dyDescent="0.25">
      <c r="A1034" s="19"/>
    </row>
    <row r="1035" spans="1:1" x14ac:dyDescent="0.25">
      <c r="A1035" s="19"/>
    </row>
    <row r="1036" spans="1:1" x14ac:dyDescent="0.25">
      <c r="A1036" s="19"/>
    </row>
    <row r="1037" spans="1:1" x14ac:dyDescent="0.25">
      <c r="A1037" s="19"/>
    </row>
    <row r="1038" spans="1:1" x14ac:dyDescent="0.25">
      <c r="A1038" s="19"/>
    </row>
    <row r="1039" spans="1:1" x14ac:dyDescent="0.25">
      <c r="A1039" s="19"/>
    </row>
    <row r="1040" spans="1:1" x14ac:dyDescent="0.25">
      <c r="A1040" s="19"/>
    </row>
    <row r="1041" spans="1:1" x14ac:dyDescent="0.25">
      <c r="A1041" s="19"/>
    </row>
    <row r="1042" spans="1:1" x14ac:dyDescent="0.25">
      <c r="A1042" s="19"/>
    </row>
    <row r="1043" spans="1:1" x14ac:dyDescent="0.25">
      <c r="A1043" s="19"/>
    </row>
    <row r="1044" spans="1:1" x14ac:dyDescent="0.25">
      <c r="A1044" s="19"/>
    </row>
    <row r="1045" spans="1:1" x14ac:dyDescent="0.25">
      <c r="A1045" s="19"/>
    </row>
    <row r="1046" spans="1:1" x14ac:dyDescent="0.25">
      <c r="A1046" s="19"/>
    </row>
    <row r="1047" spans="1:1" x14ac:dyDescent="0.25">
      <c r="A1047" s="19"/>
    </row>
    <row r="1048" spans="1:1" x14ac:dyDescent="0.25">
      <c r="A1048" s="19"/>
    </row>
    <row r="1049" spans="1:1" x14ac:dyDescent="0.25">
      <c r="A1049" s="19"/>
    </row>
    <row r="1050" spans="1:1" x14ac:dyDescent="0.25">
      <c r="A1050" s="19"/>
    </row>
    <row r="1051" spans="1:1" x14ac:dyDescent="0.25">
      <c r="A1051" s="19"/>
    </row>
    <row r="1052" spans="1:1" x14ac:dyDescent="0.25">
      <c r="A1052" s="19"/>
    </row>
    <row r="1053" spans="1:1" x14ac:dyDescent="0.25">
      <c r="A1053" s="19"/>
    </row>
    <row r="1054" spans="1:1" x14ac:dyDescent="0.25">
      <c r="A1054" s="19"/>
    </row>
    <row r="1055" spans="1:1" x14ac:dyDescent="0.25">
      <c r="A1055" s="19"/>
    </row>
    <row r="1056" spans="1:1" x14ac:dyDescent="0.25">
      <c r="A1056" s="19"/>
    </row>
    <row r="1057" spans="1:1" x14ac:dyDescent="0.25">
      <c r="A1057" s="19"/>
    </row>
    <row r="1058" spans="1:1" x14ac:dyDescent="0.25">
      <c r="A1058" s="19"/>
    </row>
    <row r="1059" spans="1:1" x14ac:dyDescent="0.25">
      <c r="A1059" s="19"/>
    </row>
    <row r="1060" spans="1:1" x14ac:dyDescent="0.25">
      <c r="A1060" s="19"/>
    </row>
    <row r="1061" spans="1:1" x14ac:dyDescent="0.25">
      <c r="A1061" s="19"/>
    </row>
    <row r="1062" spans="1:1" x14ac:dyDescent="0.25">
      <c r="A1062" s="19"/>
    </row>
    <row r="1063" spans="1:1" x14ac:dyDescent="0.25">
      <c r="A1063" s="19"/>
    </row>
    <row r="1064" spans="1:1" x14ac:dyDescent="0.25">
      <c r="A1064" s="19"/>
    </row>
    <row r="1065" spans="1:1" x14ac:dyDescent="0.25">
      <c r="A1065" s="19"/>
    </row>
    <row r="1066" spans="1:1" x14ac:dyDescent="0.25">
      <c r="A1066" s="19"/>
    </row>
    <row r="1067" spans="1:1" x14ac:dyDescent="0.25">
      <c r="A1067" s="19"/>
    </row>
    <row r="1068" spans="1:1" x14ac:dyDescent="0.25">
      <c r="A1068" s="19"/>
    </row>
    <row r="1069" spans="1:1" x14ac:dyDescent="0.25">
      <c r="A1069" s="19"/>
    </row>
    <row r="1070" spans="1:1" x14ac:dyDescent="0.25">
      <c r="A1070" s="19"/>
    </row>
    <row r="1071" spans="1:1" x14ac:dyDescent="0.25">
      <c r="A1071" s="19"/>
    </row>
    <row r="1072" spans="1:1" x14ac:dyDescent="0.25">
      <c r="A1072" s="19"/>
    </row>
    <row r="1073" spans="1:1" x14ac:dyDescent="0.25">
      <c r="A1073" s="19"/>
    </row>
    <row r="1074" spans="1:1" x14ac:dyDescent="0.25">
      <c r="A1074" s="19"/>
    </row>
    <row r="1075" spans="1:1" x14ac:dyDescent="0.25">
      <c r="A1075" s="19"/>
    </row>
    <row r="1076" spans="1:1" x14ac:dyDescent="0.25">
      <c r="A1076" s="19"/>
    </row>
    <row r="1077" spans="1:1" x14ac:dyDescent="0.25">
      <c r="A1077" s="19"/>
    </row>
    <row r="1078" spans="1:1" x14ac:dyDescent="0.25">
      <c r="A1078" s="19"/>
    </row>
    <row r="1079" spans="1:1" x14ac:dyDescent="0.25">
      <c r="A1079" s="19"/>
    </row>
    <row r="1080" spans="1:1" x14ac:dyDescent="0.25">
      <c r="A1080" s="19"/>
    </row>
    <row r="1081" spans="1:1" x14ac:dyDescent="0.25">
      <c r="A1081" s="19"/>
    </row>
    <row r="1082" spans="1:1" x14ac:dyDescent="0.25">
      <c r="A1082" s="19"/>
    </row>
    <row r="1083" spans="1:1" x14ac:dyDescent="0.25">
      <c r="A1083" s="19"/>
    </row>
    <row r="1084" spans="1:1" x14ac:dyDescent="0.25">
      <c r="A1084" s="19"/>
    </row>
    <row r="1085" spans="1:1" x14ac:dyDescent="0.25">
      <c r="A1085" s="19"/>
    </row>
    <row r="1086" spans="1:1" x14ac:dyDescent="0.25">
      <c r="A1086" s="19"/>
    </row>
    <row r="1087" spans="1:1" x14ac:dyDescent="0.25">
      <c r="A1087" s="19"/>
    </row>
    <row r="1088" spans="1:1" x14ac:dyDescent="0.25">
      <c r="A1088" s="19"/>
    </row>
    <row r="1089" spans="1:1" x14ac:dyDescent="0.25">
      <c r="A1089" s="19"/>
    </row>
    <row r="1090" spans="1:1" x14ac:dyDescent="0.25">
      <c r="A1090" s="19"/>
    </row>
    <row r="1091" spans="1:1" x14ac:dyDescent="0.25">
      <c r="A1091" s="19"/>
    </row>
    <row r="1092" spans="1:1" x14ac:dyDescent="0.25">
      <c r="A1092" s="19"/>
    </row>
    <row r="1093" spans="1:1" x14ac:dyDescent="0.25">
      <c r="A1093" s="19"/>
    </row>
    <row r="1094" spans="1:1" x14ac:dyDescent="0.25">
      <c r="A1094" s="19"/>
    </row>
    <row r="1095" spans="1:1" x14ac:dyDescent="0.25">
      <c r="A1095" s="19"/>
    </row>
    <row r="1096" spans="1:1" x14ac:dyDescent="0.25">
      <c r="A1096" s="19"/>
    </row>
    <row r="1097" spans="1:1" x14ac:dyDescent="0.25">
      <c r="A1097" s="19"/>
    </row>
    <row r="1098" spans="1:1" x14ac:dyDescent="0.25">
      <c r="A1098" s="19"/>
    </row>
    <row r="1099" spans="1:1" x14ac:dyDescent="0.25">
      <c r="A1099" s="19"/>
    </row>
    <row r="1100" spans="1:1" x14ac:dyDescent="0.25">
      <c r="A1100" s="19"/>
    </row>
    <row r="1101" spans="1:1" x14ac:dyDescent="0.25">
      <c r="A1101" s="19"/>
    </row>
    <row r="1102" spans="1:1" x14ac:dyDescent="0.25">
      <c r="A1102" s="19"/>
    </row>
    <row r="1103" spans="1:1" x14ac:dyDescent="0.25">
      <c r="A1103" s="19"/>
    </row>
    <row r="1104" spans="1:1" x14ac:dyDescent="0.25">
      <c r="A1104" s="19"/>
    </row>
    <row r="1105" spans="1:1" x14ac:dyDescent="0.25">
      <c r="A1105" s="19"/>
    </row>
    <row r="1106" spans="1:1" x14ac:dyDescent="0.25">
      <c r="A1106" s="19"/>
    </row>
    <row r="1107" spans="1:1" x14ac:dyDescent="0.25">
      <c r="A1107" s="19"/>
    </row>
    <row r="1108" spans="1:1" x14ac:dyDescent="0.25">
      <c r="A1108" s="19"/>
    </row>
    <row r="1109" spans="1:1" x14ac:dyDescent="0.25">
      <c r="A1109" s="19"/>
    </row>
    <row r="1110" spans="1:1" x14ac:dyDescent="0.25">
      <c r="A1110" s="19"/>
    </row>
    <row r="1111" spans="1:1" x14ac:dyDescent="0.25">
      <c r="A1111" s="19"/>
    </row>
    <row r="1112" spans="1:1" x14ac:dyDescent="0.25">
      <c r="A1112" s="19"/>
    </row>
    <row r="1113" spans="1:1" x14ac:dyDescent="0.25">
      <c r="A1113" s="19"/>
    </row>
    <row r="1114" spans="1:1" x14ac:dyDescent="0.25">
      <c r="A1114" s="19"/>
    </row>
    <row r="1115" spans="1:1" x14ac:dyDescent="0.25">
      <c r="A1115" s="19"/>
    </row>
    <row r="1116" spans="1:1" x14ac:dyDescent="0.25">
      <c r="A1116" s="19"/>
    </row>
    <row r="1117" spans="1:1" x14ac:dyDescent="0.25">
      <c r="A1117" s="19"/>
    </row>
    <row r="1118" spans="1:1" x14ac:dyDescent="0.25">
      <c r="A1118" s="19"/>
    </row>
    <row r="1119" spans="1:1" x14ac:dyDescent="0.25">
      <c r="A1119" s="19"/>
    </row>
    <row r="1120" spans="1:1" x14ac:dyDescent="0.25">
      <c r="A1120" s="19"/>
    </row>
    <row r="1121" spans="1:1" x14ac:dyDescent="0.25">
      <c r="A1121" s="19"/>
    </row>
    <row r="1122" spans="1:1" x14ac:dyDescent="0.25">
      <c r="A1122" s="19"/>
    </row>
    <row r="1123" spans="1:1" x14ac:dyDescent="0.25">
      <c r="A1123" s="19"/>
    </row>
    <row r="1124" spans="1:1" x14ac:dyDescent="0.25">
      <c r="A1124" s="19"/>
    </row>
    <row r="1125" spans="1:1" x14ac:dyDescent="0.25">
      <c r="A1125" s="19"/>
    </row>
    <row r="1126" spans="1:1" x14ac:dyDescent="0.25">
      <c r="A1126" s="19"/>
    </row>
    <row r="1127" spans="1:1" x14ac:dyDescent="0.25">
      <c r="A1127" s="19"/>
    </row>
    <row r="1128" spans="1:1" x14ac:dyDescent="0.25">
      <c r="A1128" s="19"/>
    </row>
    <row r="1129" spans="1:1" x14ac:dyDescent="0.25">
      <c r="A1129" s="19"/>
    </row>
    <row r="1130" spans="1:1" x14ac:dyDescent="0.25">
      <c r="A1130" s="19"/>
    </row>
    <row r="1131" spans="1:1" x14ac:dyDescent="0.25">
      <c r="A1131" s="19"/>
    </row>
    <row r="1132" spans="1:1" x14ac:dyDescent="0.25">
      <c r="A1132" s="19"/>
    </row>
    <row r="1133" spans="1:1" x14ac:dyDescent="0.25">
      <c r="A1133" s="19"/>
    </row>
    <row r="1134" spans="1:1" x14ac:dyDescent="0.25">
      <c r="A1134" s="19"/>
    </row>
    <row r="1135" spans="1:1" x14ac:dyDescent="0.25">
      <c r="A1135" s="19"/>
    </row>
    <row r="1136" spans="1:1" x14ac:dyDescent="0.25">
      <c r="A1136" s="19"/>
    </row>
    <row r="1137" spans="1:1" x14ac:dyDescent="0.25">
      <c r="A1137" s="19"/>
    </row>
    <row r="1138" spans="1:1" x14ac:dyDescent="0.25">
      <c r="A1138" s="19"/>
    </row>
    <row r="1139" spans="1:1" x14ac:dyDescent="0.25">
      <c r="A1139" s="19"/>
    </row>
    <row r="1140" spans="1:1" x14ac:dyDescent="0.25">
      <c r="A1140" s="19"/>
    </row>
    <row r="1141" spans="1:1" x14ac:dyDescent="0.25">
      <c r="A1141" s="19"/>
    </row>
    <row r="1142" spans="1:1" x14ac:dyDescent="0.25">
      <c r="A1142" s="19"/>
    </row>
    <row r="1143" spans="1:1" x14ac:dyDescent="0.25">
      <c r="A1143" s="19"/>
    </row>
    <row r="1144" spans="1:1" x14ac:dyDescent="0.25">
      <c r="A1144" s="19"/>
    </row>
    <row r="1145" spans="1:1" x14ac:dyDescent="0.25">
      <c r="A1145" s="19"/>
    </row>
    <row r="1146" spans="1:1" x14ac:dyDescent="0.25">
      <c r="A1146" s="19"/>
    </row>
    <row r="1147" spans="1:1" x14ac:dyDescent="0.25">
      <c r="A1147" s="19"/>
    </row>
    <row r="1148" spans="1:1" x14ac:dyDescent="0.25">
      <c r="A1148" s="19"/>
    </row>
    <row r="1149" spans="1:1" x14ac:dyDescent="0.25">
      <c r="A1149" s="19"/>
    </row>
    <row r="1150" spans="1:1" x14ac:dyDescent="0.25">
      <c r="A1150" s="19"/>
    </row>
    <row r="1151" spans="1:1" x14ac:dyDescent="0.25">
      <c r="A1151" s="19"/>
    </row>
    <row r="1152" spans="1:1" x14ac:dyDescent="0.25">
      <c r="A1152" s="19"/>
    </row>
    <row r="1153" spans="1:1" x14ac:dyDescent="0.25">
      <c r="A1153" s="19"/>
    </row>
    <row r="1154" spans="1:1" x14ac:dyDescent="0.25">
      <c r="A1154" s="19"/>
    </row>
    <row r="1155" spans="1:1" x14ac:dyDescent="0.25">
      <c r="A1155" s="19"/>
    </row>
    <row r="1156" spans="1:1" x14ac:dyDescent="0.25">
      <c r="A1156" s="19"/>
    </row>
    <row r="1157" spans="1:1" x14ac:dyDescent="0.25">
      <c r="A1157" s="19"/>
    </row>
    <row r="1158" spans="1:1" x14ac:dyDescent="0.25">
      <c r="A1158" s="19"/>
    </row>
    <row r="1159" spans="1:1" x14ac:dyDescent="0.25">
      <c r="A1159" s="19"/>
    </row>
    <row r="1160" spans="1:1" x14ac:dyDescent="0.25">
      <c r="A1160" s="19"/>
    </row>
    <row r="1161" spans="1:1" x14ac:dyDescent="0.25">
      <c r="A1161" s="19"/>
    </row>
    <row r="1162" spans="1:1" x14ac:dyDescent="0.25">
      <c r="A1162" s="19"/>
    </row>
    <row r="1163" spans="1:1" x14ac:dyDescent="0.25">
      <c r="A1163" s="19"/>
    </row>
    <row r="1164" spans="1:1" x14ac:dyDescent="0.25">
      <c r="A1164" s="19"/>
    </row>
    <row r="1165" spans="1:1" x14ac:dyDescent="0.25">
      <c r="A1165" s="19"/>
    </row>
    <row r="1166" spans="1:1" x14ac:dyDescent="0.25">
      <c r="A1166" s="19"/>
    </row>
    <row r="1167" spans="1:1" x14ac:dyDescent="0.25">
      <c r="A1167" s="19"/>
    </row>
    <row r="1168" spans="1:1" x14ac:dyDescent="0.25">
      <c r="A1168" s="19"/>
    </row>
    <row r="1169" spans="1:1" x14ac:dyDescent="0.25">
      <c r="A1169" s="19"/>
    </row>
    <row r="1170" spans="1:1" x14ac:dyDescent="0.25">
      <c r="A1170" s="19"/>
    </row>
    <row r="1171" spans="1:1" x14ac:dyDescent="0.25">
      <c r="A1171" s="19"/>
    </row>
    <row r="1172" spans="1:1" x14ac:dyDescent="0.25">
      <c r="A1172" s="19"/>
    </row>
    <row r="1173" spans="1:1" x14ac:dyDescent="0.25">
      <c r="A1173" s="19"/>
    </row>
    <row r="1174" spans="1:1" x14ac:dyDescent="0.25">
      <c r="A1174" s="19"/>
    </row>
    <row r="1175" spans="1:1" x14ac:dyDescent="0.25">
      <c r="A1175" s="19"/>
    </row>
    <row r="1176" spans="1:1" x14ac:dyDescent="0.25">
      <c r="A1176" s="19"/>
    </row>
    <row r="1177" spans="1:1" x14ac:dyDescent="0.25">
      <c r="A1177" s="19"/>
    </row>
    <row r="1178" spans="1:1" x14ac:dyDescent="0.25">
      <c r="A1178" s="19"/>
    </row>
    <row r="1179" spans="1:1" x14ac:dyDescent="0.25">
      <c r="A1179" s="19"/>
    </row>
    <row r="1180" spans="1:1" x14ac:dyDescent="0.25">
      <c r="A1180" s="19"/>
    </row>
    <row r="1181" spans="1:1" x14ac:dyDescent="0.25">
      <c r="A1181" s="19"/>
    </row>
    <row r="1182" spans="1:1" x14ac:dyDescent="0.25">
      <c r="A1182" s="19"/>
    </row>
    <row r="1183" spans="1:1" x14ac:dyDescent="0.25">
      <c r="A1183" s="19"/>
    </row>
    <row r="1184" spans="1:1" x14ac:dyDescent="0.25">
      <c r="A1184" s="19"/>
    </row>
    <row r="1185" spans="1:1" x14ac:dyDescent="0.25">
      <c r="A1185" s="19"/>
    </row>
    <row r="1186" spans="1:1" x14ac:dyDescent="0.25">
      <c r="A1186" s="19"/>
    </row>
    <row r="1187" spans="1:1" x14ac:dyDescent="0.25">
      <c r="A1187" s="19"/>
    </row>
    <row r="1188" spans="1:1" x14ac:dyDescent="0.25">
      <c r="A1188" s="19"/>
    </row>
    <row r="1189" spans="1:1" x14ac:dyDescent="0.25">
      <c r="A1189" s="19"/>
    </row>
    <row r="1190" spans="1:1" x14ac:dyDescent="0.25">
      <c r="A1190" s="19"/>
    </row>
    <row r="1191" spans="1:1" x14ac:dyDescent="0.25">
      <c r="A1191" s="19"/>
    </row>
    <row r="1192" spans="1:1" x14ac:dyDescent="0.25">
      <c r="A1192" s="19"/>
    </row>
    <row r="1193" spans="1:1" x14ac:dyDescent="0.25">
      <c r="A1193" s="19"/>
    </row>
    <row r="1194" spans="1:1" x14ac:dyDescent="0.25">
      <c r="A1194" s="19"/>
    </row>
    <row r="1195" spans="1:1" x14ac:dyDescent="0.25">
      <c r="A1195" s="19"/>
    </row>
    <row r="1196" spans="1:1" x14ac:dyDescent="0.25">
      <c r="A1196" s="19"/>
    </row>
    <row r="1197" spans="1:1" x14ac:dyDescent="0.25">
      <c r="A1197" s="19"/>
    </row>
    <row r="1198" spans="1:1" x14ac:dyDescent="0.25">
      <c r="A1198" s="19"/>
    </row>
    <row r="1199" spans="1:1" x14ac:dyDescent="0.25">
      <c r="A1199" s="19"/>
    </row>
    <row r="1200" spans="1:1" x14ac:dyDescent="0.25">
      <c r="A1200" s="19"/>
    </row>
    <row r="1201" spans="1:1" x14ac:dyDescent="0.25">
      <c r="A1201" s="19"/>
    </row>
    <row r="1202" spans="1:1" x14ac:dyDescent="0.25">
      <c r="A1202" s="19"/>
    </row>
    <row r="1203" spans="1:1" x14ac:dyDescent="0.25">
      <c r="A1203" s="19"/>
    </row>
    <row r="1204" spans="1:1" x14ac:dyDescent="0.25">
      <c r="A1204" s="19"/>
    </row>
    <row r="1205" spans="1:1" x14ac:dyDescent="0.25">
      <c r="A1205" s="19"/>
    </row>
    <row r="1206" spans="1:1" x14ac:dyDescent="0.25">
      <c r="A1206" s="19"/>
    </row>
    <row r="1207" spans="1:1" x14ac:dyDescent="0.25">
      <c r="A1207" s="19"/>
    </row>
    <row r="1208" spans="1:1" x14ac:dyDescent="0.25">
      <c r="A1208" s="19"/>
    </row>
    <row r="1209" spans="1:1" x14ac:dyDescent="0.25">
      <c r="A1209" s="19"/>
    </row>
    <row r="1210" spans="1:1" x14ac:dyDescent="0.25">
      <c r="A1210" s="19"/>
    </row>
    <row r="1211" spans="1:1" x14ac:dyDescent="0.25">
      <c r="A1211" s="19"/>
    </row>
    <row r="1212" spans="1:1" x14ac:dyDescent="0.25">
      <c r="A1212" s="19"/>
    </row>
    <row r="1213" spans="1:1" x14ac:dyDescent="0.25">
      <c r="A1213" s="19"/>
    </row>
    <row r="1214" spans="1:1" x14ac:dyDescent="0.25">
      <c r="A1214" s="19"/>
    </row>
    <row r="1215" spans="1:1" x14ac:dyDescent="0.25">
      <c r="A1215" s="19"/>
    </row>
    <row r="1216" spans="1:1" x14ac:dyDescent="0.25">
      <c r="A1216" s="19"/>
    </row>
    <row r="1217" spans="1:1" x14ac:dyDescent="0.25">
      <c r="A1217" s="19"/>
    </row>
    <row r="1218" spans="1:1" x14ac:dyDescent="0.25">
      <c r="A1218" s="19"/>
    </row>
    <row r="1219" spans="1:1" x14ac:dyDescent="0.25">
      <c r="A1219" s="19"/>
    </row>
    <row r="1220" spans="1:1" x14ac:dyDescent="0.25">
      <c r="A1220" s="19"/>
    </row>
    <row r="1221" spans="1:1" x14ac:dyDescent="0.25">
      <c r="A1221" s="19"/>
    </row>
    <row r="1222" spans="1:1" x14ac:dyDescent="0.25">
      <c r="A1222" s="19"/>
    </row>
    <row r="1223" spans="1:1" x14ac:dyDescent="0.25">
      <c r="A1223" s="19"/>
    </row>
    <row r="1224" spans="1:1" x14ac:dyDescent="0.25">
      <c r="A1224" s="19"/>
    </row>
    <row r="1225" spans="1:1" x14ac:dyDescent="0.25">
      <c r="A1225" s="19"/>
    </row>
    <row r="1226" spans="1:1" x14ac:dyDescent="0.25">
      <c r="A1226" s="19"/>
    </row>
    <row r="1227" spans="1:1" x14ac:dyDescent="0.25">
      <c r="A1227" s="19"/>
    </row>
    <row r="1228" spans="1:1" x14ac:dyDescent="0.25">
      <c r="A1228" s="19"/>
    </row>
    <row r="1229" spans="1:1" x14ac:dyDescent="0.25">
      <c r="A1229" s="19"/>
    </row>
    <row r="1230" spans="1:1" x14ac:dyDescent="0.25">
      <c r="A1230" s="19"/>
    </row>
    <row r="1231" spans="1:1" x14ac:dyDescent="0.25">
      <c r="A1231" s="19"/>
    </row>
    <row r="1232" spans="1:1" x14ac:dyDescent="0.25">
      <c r="A1232" s="19"/>
    </row>
    <row r="1233" spans="1:1" x14ac:dyDescent="0.25">
      <c r="A1233" s="19"/>
    </row>
    <row r="1234" spans="1:1" x14ac:dyDescent="0.25">
      <c r="A1234" s="19"/>
    </row>
    <row r="1235" spans="1:1" x14ac:dyDescent="0.25">
      <c r="A1235" s="19"/>
    </row>
    <row r="1236" spans="1:1" x14ac:dyDescent="0.25">
      <c r="A1236" s="19"/>
    </row>
    <row r="1237" spans="1:1" x14ac:dyDescent="0.25">
      <c r="A1237" s="19"/>
    </row>
    <row r="1238" spans="1:1" x14ac:dyDescent="0.25">
      <c r="A1238" s="19"/>
    </row>
    <row r="1239" spans="1:1" x14ac:dyDescent="0.25">
      <c r="A1239" s="19"/>
    </row>
    <row r="1240" spans="1:1" x14ac:dyDescent="0.25">
      <c r="A1240" s="19"/>
    </row>
    <row r="1241" spans="1:1" x14ac:dyDescent="0.25">
      <c r="A1241" s="19"/>
    </row>
    <row r="1242" spans="1:1" x14ac:dyDescent="0.25">
      <c r="A1242" s="19"/>
    </row>
    <row r="1243" spans="1:1" x14ac:dyDescent="0.25">
      <c r="A1243" s="19"/>
    </row>
    <row r="1244" spans="1:1" x14ac:dyDescent="0.25">
      <c r="A1244" s="19"/>
    </row>
    <row r="1245" spans="1:1" x14ac:dyDescent="0.25">
      <c r="A1245" s="19"/>
    </row>
    <row r="1246" spans="1:1" x14ac:dyDescent="0.25">
      <c r="A1246" s="19"/>
    </row>
    <row r="1247" spans="1:1" x14ac:dyDescent="0.25">
      <c r="A1247" s="19"/>
    </row>
    <row r="1248" spans="1:1" x14ac:dyDescent="0.25">
      <c r="A1248" s="19"/>
    </row>
    <row r="1249" spans="1:1" x14ac:dyDescent="0.25">
      <c r="A1249" s="19"/>
    </row>
    <row r="1250" spans="1:1" x14ac:dyDescent="0.25">
      <c r="A1250" s="19"/>
    </row>
    <row r="1251" spans="1:1" x14ac:dyDescent="0.25">
      <c r="A1251" s="19"/>
    </row>
    <row r="1252" spans="1:1" x14ac:dyDescent="0.25">
      <c r="A1252" s="19"/>
    </row>
    <row r="1253" spans="1:1" x14ac:dyDescent="0.25">
      <c r="A1253" s="19"/>
    </row>
    <row r="1254" spans="1:1" x14ac:dyDescent="0.25">
      <c r="A1254" s="19"/>
    </row>
    <row r="1255" spans="1:1" x14ac:dyDescent="0.25">
      <c r="A1255" s="19"/>
    </row>
    <row r="1256" spans="1:1" x14ac:dyDescent="0.25">
      <c r="A1256" s="19"/>
    </row>
    <row r="1257" spans="1:1" x14ac:dyDescent="0.25">
      <c r="A1257" s="19"/>
    </row>
    <row r="1258" spans="1:1" x14ac:dyDescent="0.25">
      <c r="A1258" s="19"/>
    </row>
    <row r="1259" spans="1:1" x14ac:dyDescent="0.25">
      <c r="A1259" s="19"/>
    </row>
    <row r="1260" spans="1:1" x14ac:dyDescent="0.25">
      <c r="A1260" s="19"/>
    </row>
    <row r="1261" spans="1:1" x14ac:dyDescent="0.25">
      <c r="A1261" s="19"/>
    </row>
    <row r="1262" spans="1:1" x14ac:dyDescent="0.25">
      <c r="A1262" s="19"/>
    </row>
    <row r="1263" spans="1:1" x14ac:dyDescent="0.25">
      <c r="A1263" s="19"/>
    </row>
    <row r="1264" spans="1:1" x14ac:dyDescent="0.25">
      <c r="A1264" s="19"/>
    </row>
    <row r="1265" spans="1:1" x14ac:dyDescent="0.25">
      <c r="A1265" s="19"/>
    </row>
    <row r="1266" spans="1:1" x14ac:dyDescent="0.25">
      <c r="A1266" s="19"/>
    </row>
    <row r="1267" spans="1:1" x14ac:dyDescent="0.25">
      <c r="A1267" s="19"/>
    </row>
    <row r="1268" spans="1:1" x14ac:dyDescent="0.25">
      <c r="A1268" s="19"/>
    </row>
    <row r="1269" spans="1:1" x14ac:dyDescent="0.25">
      <c r="A1269" s="19"/>
    </row>
    <row r="1270" spans="1:1" x14ac:dyDescent="0.25">
      <c r="A1270" s="19"/>
    </row>
    <row r="1271" spans="1:1" x14ac:dyDescent="0.25">
      <c r="A1271" s="19"/>
    </row>
    <row r="1272" spans="1:1" x14ac:dyDescent="0.25">
      <c r="A1272" s="19"/>
    </row>
    <row r="1273" spans="1:1" x14ac:dyDescent="0.25">
      <c r="A1273" s="19"/>
    </row>
    <row r="1274" spans="1:1" x14ac:dyDescent="0.25">
      <c r="A1274" s="19"/>
    </row>
    <row r="1275" spans="1:1" x14ac:dyDescent="0.25">
      <c r="A1275" s="19"/>
    </row>
    <row r="1276" spans="1:1" x14ac:dyDescent="0.25">
      <c r="A1276" s="19"/>
    </row>
    <row r="1277" spans="1:1" x14ac:dyDescent="0.25">
      <c r="A1277" s="19"/>
    </row>
    <row r="1278" spans="1:1" x14ac:dyDescent="0.25">
      <c r="A1278" s="19"/>
    </row>
    <row r="1279" spans="1:1" x14ac:dyDescent="0.25">
      <c r="A1279" s="19"/>
    </row>
    <row r="1280" spans="1:1" x14ac:dyDescent="0.25">
      <c r="A1280" s="19"/>
    </row>
    <row r="1281" spans="1:1" x14ac:dyDescent="0.25">
      <c r="A1281" s="19"/>
    </row>
    <row r="1282" spans="1:1" x14ac:dyDescent="0.25">
      <c r="A1282" s="19"/>
    </row>
    <row r="1283" spans="1:1" x14ac:dyDescent="0.25">
      <c r="A1283" s="19"/>
    </row>
    <row r="1284" spans="1:1" x14ac:dyDescent="0.25">
      <c r="A1284" s="19"/>
    </row>
    <row r="1285" spans="1:1" x14ac:dyDescent="0.25">
      <c r="A1285" s="19"/>
    </row>
    <row r="1286" spans="1:1" x14ac:dyDescent="0.25">
      <c r="A1286" s="19"/>
    </row>
    <row r="1287" spans="1:1" x14ac:dyDescent="0.25">
      <c r="A1287" s="19"/>
    </row>
    <row r="1288" spans="1:1" x14ac:dyDescent="0.25">
      <c r="A1288" s="19"/>
    </row>
    <row r="1289" spans="1:1" x14ac:dyDescent="0.25">
      <c r="A1289" s="19"/>
    </row>
    <row r="1290" spans="1:1" x14ac:dyDescent="0.25">
      <c r="A1290" s="19"/>
    </row>
    <row r="1291" spans="1:1" x14ac:dyDescent="0.25">
      <c r="A1291" s="19"/>
    </row>
    <row r="1292" spans="1:1" x14ac:dyDescent="0.25">
      <c r="A1292" s="19"/>
    </row>
    <row r="1293" spans="1:1" x14ac:dyDescent="0.25">
      <c r="A1293" s="19"/>
    </row>
    <row r="1294" spans="1:1" x14ac:dyDescent="0.25">
      <c r="A1294" s="19"/>
    </row>
    <row r="1295" spans="1:1" x14ac:dyDescent="0.25">
      <c r="A1295" s="19"/>
    </row>
    <row r="1296" spans="1:1" x14ac:dyDescent="0.25">
      <c r="A1296" s="19"/>
    </row>
    <row r="1297" spans="1:1" x14ac:dyDescent="0.25">
      <c r="A1297" s="19"/>
    </row>
    <row r="1298" spans="1:1" x14ac:dyDescent="0.25">
      <c r="A1298" s="19"/>
    </row>
    <row r="1299" spans="1:1" x14ac:dyDescent="0.25">
      <c r="A1299" s="19"/>
    </row>
    <row r="1300" spans="1:1" x14ac:dyDescent="0.25">
      <c r="A1300" s="19"/>
    </row>
    <row r="1301" spans="1:1" x14ac:dyDescent="0.25">
      <c r="A1301" s="19"/>
    </row>
    <row r="1302" spans="1:1" x14ac:dyDescent="0.25">
      <c r="A1302" s="19"/>
    </row>
    <row r="1303" spans="1:1" x14ac:dyDescent="0.25">
      <c r="A1303" s="19"/>
    </row>
    <row r="1304" spans="1:1" x14ac:dyDescent="0.25">
      <c r="A1304" s="19"/>
    </row>
    <row r="1305" spans="1:1" x14ac:dyDescent="0.25">
      <c r="A1305" s="19"/>
    </row>
    <row r="1306" spans="1:1" x14ac:dyDescent="0.25">
      <c r="A1306" s="19"/>
    </row>
    <row r="1307" spans="1:1" x14ac:dyDescent="0.25">
      <c r="A1307" s="19"/>
    </row>
    <row r="1308" spans="1:1" x14ac:dyDescent="0.25">
      <c r="A1308" s="19"/>
    </row>
    <row r="1309" spans="1:1" x14ac:dyDescent="0.25">
      <c r="A1309" s="19"/>
    </row>
    <row r="1310" spans="1:1" x14ac:dyDescent="0.25">
      <c r="A1310" s="19"/>
    </row>
    <row r="1311" spans="1:1" x14ac:dyDescent="0.25">
      <c r="A1311" s="19"/>
    </row>
    <row r="1312" spans="1:1" x14ac:dyDescent="0.25">
      <c r="A1312" s="19"/>
    </row>
    <row r="1313" spans="1:1" x14ac:dyDescent="0.25">
      <c r="A1313" s="19"/>
    </row>
    <row r="1314" spans="1:1" x14ac:dyDescent="0.25">
      <c r="A1314" s="19"/>
    </row>
    <row r="1315" spans="1:1" x14ac:dyDescent="0.25">
      <c r="A1315" s="19"/>
    </row>
    <row r="1316" spans="1:1" x14ac:dyDescent="0.25">
      <c r="A1316" s="19"/>
    </row>
    <row r="1317" spans="1:1" x14ac:dyDescent="0.25">
      <c r="A1317" s="19"/>
    </row>
    <row r="1318" spans="1:1" x14ac:dyDescent="0.25">
      <c r="A1318" s="19"/>
    </row>
    <row r="1319" spans="1:1" x14ac:dyDescent="0.25">
      <c r="A1319" s="19"/>
    </row>
    <row r="1320" spans="1:1" x14ac:dyDescent="0.25">
      <c r="A1320" s="19"/>
    </row>
    <row r="1321" spans="1:1" x14ac:dyDescent="0.25">
      <c r="A1321" s="19"/>
    </row>
    <row r="1322" spans="1:1" x14ac:dyDescent="0.25">
      <c r="A1322" s="19"/>
    </row>
    <row r="1323" spans="1:1" x14ac:dyDescent="0.25">
      <c r="A1323" s="19"/>
    </row>
    <row r="1324" spans="1:1" x14ac:dyDescent="0.25">
      <c r="A1324" s="19"/>
    </row>
    <row r="1325" spans="1:1" x14ac:dyDescent="0.25">
      <c r="A1325" s="19"/>
    </row>
    <row r="1326" spans="1:1" x14ac:dyDescent="0.25">
      <c r="A1326" s="19"/>
    </row>
    <row r="1327" spans="1:1" x14ac:dyDescent="0.25">
      <c r="A1327" s="19"/>
    </row>
    <row r="1328" spans="1:1" x14ac:dyDescent="0.25">
      <c r="A1328" s="19"/>
    </row>
    <row r="1329" spans="1:1" x14ac:dyDescent="0.25">
      <c r="A1329" s="19"/>
    </row>
    <row r="1330" spans="1:1" x14ac:dyDescent="0.25">
      <c r="A1330" s="19"/>
    </row>
    <row r="1331" spans="1:1" x14ac:dyDescent="0.25">
      <c r="A1331" s="19"/>
    </row>
    <row r="1332" spans="1:1" x14ac:dyDescent="0.25">
      <c r="A1332" s="19"/>
    </row>
    <row r="1333" spans="1:1" x14ac:dyDescent="0.25">
      <c r="A1333" s="19"/>
    </row>
    <row r="1334" spans="1:1" x14ac:dyDescent="0.25">
      <c r="A1334" s="19"/>
    </row>
    <row r="1335" spans="1:1" x14ac:dyDescent="0.25">
      <c r="A1335" s="19"/>
    </row>
    <row r="1336" spans="1:1" x14ac:dyDescent="0.25">
      <c r="A1336" s="19"/>
    </row>
    <row r="1337" spans="1:1" x14ac:dyDescent="0.25">
      <c r="A1337" s="19"/>
    </row>
    <row r="1338" spans="1:1" x14ac:dyDescent="0.25">
      <c r="A1338" s="19"/>
    </row>
    <row r="1339" spans="1:1" x14ac:dyDescent="0.25">
      <c r="A1339" s="19"/>
    </row>
    <row r="1340" spans="1:1" x14ac:dyDescent="0.25">
      <c r="A1340" s="19"/>
    </row>
    <row r="1341" spans="1:1" x14ac:dyDescent="0.25">
      <c r="A1341" s="19"/>
    </row>
    <row r="1342" spans="1:1" x14ac:dyDescent="0.25">
      <c r="A1342" s="19"/>
    </row>
    <row r="1343" spans="1:1" x14ac:dyDescent="0.25">
      <c r="A1343" s="19"/>
    </row>
    <row r="1344" spans="1:1" x14ac:dyDescent="0.25">
      <c r="A1344" s="19"/>
    </row>
    <row r="1345" spans="1:1" x14ac:dyDescent="0.25">
      <c r="A1345" s="19"/>
    </row>
    <row r="1346" spans="1:1" x14ac:dyDescent="0.25">
      <c r="A1346" s="19"/>
    </row>
    <row r="1347" spans="1:1" x14ac:dyDescent="0.25">
      <c r="A1347" s="19"/>
    </row>
    <row r="1348" spans="1:1" x14ac:dyDescent="0.25">
      <c r="A1348" s="19"/>
    </row>
    <row r="1349" spans="1:1" x14ac:dyDescent="0.25">
      <c r="A1349" s="19"/>
    </row>
    <row r="1350" spans="1:1" x14ac:dyDescent="0.25">
      <c r="A1350" s="19"/>
    </row>
    <row r="1351" spans="1:1" x14ac:dyDescent="0.25">
      <c r="A1351" s="19"/>
    </row>
    <row r="1352" spans="1:1" x14ac:dyDescent="0.25">
      <c r="A1352" s="19"/>
    </row>
    <row r="1353" spans="1:1" x14ac:dyDescent="0.25">
      <c r="A1353" s="19"/>
    </row>
    <row r="1354" spans="1:1" x14ac:dyDescent="0.25">
      <c r="A1354" s="19"/>
    </row>
    <row r="1355" spans="1:1" x14ac:dyDescent="0.25">
      <c r="A1355" s="19"/>
    </row>
    <row r="1356" spans="1:1" x14ac:dyDescent="0.25">
      <c r="A1356" s="19"/>
    </row>
    <row r="1357" spans="1:1" x14ac:dyDescent="0.25">
      <c r="A1357" s="19"/>
    </row>
    <row r="1358" spans="1:1" x14ac:dyDescent="0.25">
      <c r="A1358" s="19"/>
    </row>
    <row r="1359" spans="1:1" x14ac:dyDescent="0.25">
      <c r="A1359" s="19"/>
    </row>
    <row r="1360" spans="1:1" x14ac:dyDescent="0.25">
      <c r="A1360" s="19"/>
    </row>
    <row r="1361" spans="1:1" x14ac:dyDescent="0.25">
      <c r="A1361" s="19"/>
    </row>
    <row r="1362" spans="1:1" x14ac:dyDescent="0.25">
      <c r="A1362" s="19"/>
    </row>
    <row r="1363" spans="1:1" x14ac:dyDescent="0.25">
      <c r="A1363" s="19"/>
    </row>
    <row r="1364" spans="1:1" x14ac:dyDescent="0.25">
      <c r="A1364" s="19"/>
    </row>
    <row r="1365" spans="1:1" x14ac:dyDescent="0.25">
      <c r="A1365" s="19"/>
    </row>
    <row r="1366" spans="1:1" x14ac:dyDescent="0.25">
      <c r="A1366" s="19"/>
    </row>
    <row r="1367" spans="1:1" x14ac:dyDescent="0.25">
      <c r="A1367" s="19"/>
    </row>
    <row r="1368" spans="1:1" x14ac:dyDescent="0.25">
      <c r="A1368" s="19"/>
    </row>
    <row r="1369" spans="1:1" x14ac:dyDescent="0.25">
      <c r="A1369" s="19"/>
    </row>
    <row r="1370" spans="1:1" x14ac:dyDescent="0.25">
      <c r="A1370" s="19"/>
    </row>
    <row r="1371" spans="1:1" x14ac:dyDescent="0.25">
      <c r="A1371" s="19"/>
    </row>
    <row r="1372" spans="1:1" x14ac:dyDescent="0.25">
      <c r="A1372" s="19"/>
    </row>
    <row r="1373" spans="1:1" x14ac:dyDescent="0.25">
      <c r="A1373" s="19"/>
    </row>
    <row r="1374" spans="1:1" x14ac:dyDescent="0.25">
      <c r="A1374" s="19"/>
    </row>
    <row r="1375" spans="1:1" x14ac:dyDescent="0.25">
      <c r="A1375" s="19"/>
    </row>
    <row r="1376" spans="1:1" x14ac:dyDescent="0.25">
      <c r="A1376" s="19"/>
    </row>
    <row r="1377" spans="1:1" x14ac:dyDescent="0.25">
      <c r="A1377" s="19"/>
    </row>
    <row r="1378" spans="1:1" x14ac:dyDescent="0.25">
      <c r="A1378" s="19"/>
    </row>
    <row r="1379" spans="1:1" x14ac:dyDescent="0.25">
      <c r="A1379" s="19"/>
    </row>
    <row r="1380" spans="1:1" x14ac:dyDescent="0.25">
      <c r="A1380" s="19"/>
    </row>
    <row r="1381" spans="1:1" x14ac:dyDescent="0.25">
      <c r="A1381" s="19"/>
    </row>
    <row r="1382" spans="1:1" x14ac:dyDescent="0.25">
      <c r="A1382" s="19"/>
    </row>
    <row r="1383" spans="1:1" x14ac:dyDescent="0.25">
      <c r="A1383" s="19"/>
    </row>
    <row r="1384" spans="1:1" x14ac:dyDescent="0.25">
      <c r="A1384" s="19"/>
    </row>
    <row r="1385" spans="1:1" x14ac:dyDescent="0.25">
      <c r="A1385" s="19"/>
    </row>
    <row r="1386" spans="1:1" x14ac:dyDescent="0.25">
      <c r="A1386" s="19"/>
    </row>
    <row r="1387" spans="1:1" x14ac:dyDescent="0.25">
      <c r="A1387" s="19"/>
    </row>
    <row r="1388" spans="1:1" x14ac:dyDescent="0.25">
      <c r="A1388" s="19"/>
    </row>
    <row r="1389" spans="1:1" x14ac:dyDescent="0.25">
      <c r="A1389" s="19"/>
    </row>
    <row r="1390" spans="1:1" x14ac:dyDescent="0.25">
      <c r="A1390" s="19"/>
    </row>
    <row r="1391" spans="1:1" x14ac:dyDescent="0.25">
      <c r="A1391" s="19"/>
    </row>
    <row r="1392" spans="1:1" x14ac:dyDescent="0.25">
      <c r="A1392" s="19"/>
    </row>
    <row r="1393" spans="1:1" x14ac:dyDescent="0.25">
      <c r="A1393" s="19"/>
    </row>
    <row r="1394" spans="1:1" x14ac:dyDescent="0.25">
      <c r="A1394" s="19"/>
    </row>
    <row r="1395" spans="1:1" x14ac:dyDescent="0.25">
      <c r="A1395" s="19"/>
    </row>
    <row r="1396" spans="1:1" x14ac:dyDescent="0.25">
      <c r="A1396" s="19"/>
    </row>
    <row r="1397" spans="1:1" x14ac:dyDescent="0.25">
      <c r="A1397" s="19"/>
    </row>
    <row r="1398" spans="1:1" x14ac:dyDescent="0.25">
      <c r="A1398" s="19"/>
    </row>
    <row r="1399" spans="1:1" x14ac:dyDescent="0.25">
      <c r="A1399" s="19"/>
    </row>
    <row r="1400" spans="1:1" x14ac:dyDescent="0.25">
      <c r="A1400" s="19"/>
    </row>
    <row r="1401" spans="1:1" x14ac:dyDescent="0.25">
      <c r="A1401" s="19"/>
    </row>
    <row r="1402" spans="1:1" x14ac:dyDescent="0.25">
      <c r="A1402" s="19"/>
    </row>
    <row r="1403" spans="1:1" x14ac:dyDescent="0.25">
      <c r="A1403" s="19"/>
    </row>
    <row r="1404" spans="1:1" x14ac:dyDescent="0.25">
      <c r="A1404" s="19"/>
    </row>
    <row r="1405" spans="1:1" x14ac:dyDescent="0.25">
      <c r="A1405" s="19"/>
    </row>
    <row r="1406" spans="1:1" x14ac:dyDescent="0.25">
      <c r="A1406" s="19"/>
    </row>
    <row r="1407" spans="1:1" x14ac:dyDescent="0.25">
      <c r="A1407" s="19"/>
    </row>
    <row r="1408" spans="1:1" x14ac:dyDescent="0.25">
      <c r="A1408" s="19"/>
    </row>
    <row r="1409" spans="1:1" x14ac:dyDescent="0.25">
      <c r="A1409" s="19"/>
    </row>
    <row r="1410" spans="1:1" x14ac:dyDescent="0.25">
      <c r="A1410" s="19"/>
    </row>
    <row r="1411" spans="1:1" x14ac:dyDescent="0.25">
      <c r="A1411" s="19"/>
    </row>
    <row r="1412" spans="1:1" x14ac:dyDescent="0.25">
      <c r="A1412" s="19"/>
    </row>
    <row r="1413" spans="1:1" x14ac:dyDescent="0.25">
      <c r="A1413" s="19"/>
    </row>
    <row r="1414" spans="1:1" x14ac:dyDescent="0.25">
      <c r="A1414" s="19"/>
    </row>
    <row r="1415" spans="1:1" x14ac:dyDescent="0.25">
      <c r="A1415" s="19"/>
    </row>
    <row r="1416" spans="1:1" x14ac:dyDescent="0.25">
      <c r="A1416" s="19"/>
    </row>
    <row r="1417" spans="1:1" x14ac:dyDescent="0.25">
      <c r="A1417" s="19"/>
    </row>
    <row r="1418" spans="1:1" x14ac:dyDescent="0.25">
      <c r="A1418" s="19"/>
    </row>
    <row r="1419" spans="1:1" x14ac:dyDescent="0.25">
      <c r="A1419" s="19"/>
    </row>
    <row r="1420" spans="1:1" x14ac:dyDescent="0.25">
      <c r="A1420" s="19"/>
    </row>
    <row r="1421" spans="1:1" x14ac:dyDescent="0.25">
      <c r="A1421" s="19"/>
    </row>
    <row r="1422" spans="1:1" x14ac:dyDescent="0.25">
      <c r="A1422" s="19"/>
    </row>
    <row r="1423" spans="1:1" x14ac:dyDescent="0.25">
      <c r="A1423" s="19"/>
    </row>
    <row r="1424" spans="1:1" x14ac:dyDescent="0.25">
      <c r="A1424" s="19"/>
    </row>
    <row r="1425" spans="1:1" x14ac:dyDescent="0.25">
      <c r="A1425" s="19"/>
    </row>
    <row r="1426" spans="1:1" x14ac:dyDescent="0.25">
      <c r="A1426" s="19"/>
    </row>
    <row r="1427" spans="1:1" x14ac:dyDescent="0.25">
      <c r="A1427" s="19"/>
    </row>
    <row r="1428" spans="1:1" x14ac:dyDescent="0.25">
      <c r="A1428" s="19"/>
    </row>
    <row r="1429" spans="1:1" x14ac:dyDescent="0.25">
      <c r="A1429" s="19"/>
    </row>
    <row r="1430" spans="1:1" x14ac:dyDescent="0.25">
      <c r="A1430" s="19"/>
    </row>
    <row r="1431" spans="1:1" x14ac:dyDescent="0.25">
      <c r="A1431" s="19"/>
    </row>
    <row r="1432" spans="1:1" x14ac:dyDescent="0.25">
      <c r="A1432" s="19"/>
    </row>
    <row r="1433" spans="1:1" x14ac:dyDescent="0.25">
      <c r="A1433" s="19"/>
    </row>
    <row r="1434" spans="1:1" x14ac:dyDescent="0.25">
      <c r="A1434" s="19"/>
    </row>
    <row r="1435" spans="1:1" x14ac:dyDescent="0.25">
      <c r="A1435" s="19"/>
    </row>
    <row r="1436" spans="1:1" x14ac:dyDescent="0.25">
      <c r="A1436" s="19"/>
    </row>
    <row r="1437" spans="1:1" x14ac:dyDescent="0.25">
      <c r="A1437" s="19"/>
    </row>
    <row r="1438" spans="1:1" x14ac:dyDescent="0.25">
      <c r="A1438" s="19"/>
    </row>
    <row r="1439" spans="1:1" x14ac:dyDescent="0.25">
      <c r="A1439" s="19"/>
    </row>
    <row r="1440" spans="1:1" x14ac:dyDescent="0.25">
      <c r="A1440" s="19"/>
    </row>
    <row r="1441" spans="1:1" x14ac:dyDescent="0.25">
      <c r="A1441" s="19"/>
    </row>
    <row r="1442" spans="1:1" x14ac:dyDescent="0.25">
      <c r="A1442" s="19"/>
    </row>
    <row r="1443" spans="1:1" x14ac:dyDescent="0.25">
      <c r="A1443" s="19"/>
    </row>
    <row r="1444" spans="1:1" x14ac:dyDescent="0.25">
      <c r="A1444" s="19"/>
    </row>
    <row r="1445" spans="1:1" x14ac:dyDescent="0.25">
      <c r="A1445" s="19"/>
    </row>
    <row r="1446" spans="1:1" x14ac:dyDescent="0.25">
      <c r="A1446" s="19"/>
    </row>
    <row r="1447" spans="1:1" x14ac:dyDescent="0.25">
      <c r="A1447" s="19"/>
    </row>
    <row r="1448" spans="1:1" x14ac:dyDescent="0.25">
      <c r="A1448" s="19"/>
    </row>
    <row r="1449" spans="1:1" x14ac:dyDescent="0.25">
      <c r="A1449" s="19"/>
    </row>
    <row r="1450" spans="1:1" x14ac:dyDescent="0.25">
      <c r="A1450" s="19"/>
    </row>
    <row r="1451" spans="1:1" x14ac:dyDescent="0.25">
      <c r="A1451" s="19"/>
    </row>
    <row r="1452" spans="1:1" x14ac:dyDescent="0.25">
      <c r="A1452" s="19"/>
    </row>
    <row r="1453" spans="1:1" x14ac:dyDescent="0.25">
      <c r="A1453" s="19"/>
    </row>
    <row r="1454" spans="1:1" x14ac:dyDescent="0.25">
      <c r="A1454" s="19"/>
    </row>
    <row r="1455" spans="1:1" x14ac:dyDescent="0.25">
      <c r="A1455" s="19"/>
    </row>
    <row r="1456" spans="1:1" x14ac:dyDescent="0.25">
      <c r="A1456" s="19"/>
    </row>
    <row r="1457" spans="1:1" x14ac:dyDescent="0.25">
      <c r="A1457" s="19"/>
    </row>
    <row r="1458" spans="1:1" x14ac:dyDescent="0.25">
      <c r="A1458" s="19"/>
    </row>
    <row r="1459" spans="1:1" x14ac:dyDescent="0.25">
      <c r="A1459" s="19"/>
    </row>
    <row r="1460" spans="1:1" x14ac:dyDescent="0.25">
      <c r="A1460" s="19"/>
    </row>
    <row r="1461" spans="1:1" x14ac:dyDescent="0.25">
      <c r="A1461" s="19"/>
    </row>
    <row r="1462" spans="1:1" x14ac:dyDescent="0.25">
      <c r="A1462" s="19"/>
    </row>
    <row r="1463" spans="1:1" x14ac:dyDescent="0.25">
      <c r="A1463" s="19"/>
    </row>
    <row r="1464" spans="1:1" x14ac:dyDescent="0.25">
      <c r="A1464" s="19"/>
    </row>
    <row r="1465" spans="1:1" x14ac:dyDescent="0.25">
      <c r="A1465" s="19"/>
    </row>
    <row r="1466" spans="1:1" x14ac:dyDescent="0.25">
      <c r="A1466" s="19"/>
    </row>
    <row r="1467" spans="1:1" x14ac:dyDescent="0.25">
      <c r="A1467" s="19"/>
    </row>
    <row r="1468" spans="1:1" x14ac:dyDescent="0.25">
      <c r="A1468" s="19"/>
    </row>
    <row r="1469" spans="1:1" x14ac:dyDescent="0.25">
      <c r="A1469" s="19"/>
    </row>
    <row r="1470" spans="1:1" x14ac:dyDescent="0.25">
      <c r="A1470" s="19"/>
    </row>
    <row r="1471" spans="1:1" x14ac:dyDescent="0.25">
      <c r="A1471" s="19"/>
    </row>
    <row r="1472" spans="1:1" x14ac:dyDescent="0.25">
      <c r="A1472" s="19"/>
    </row>
    <row r="1473" spans="1:1" x14ac:dyDescent="0.25">
      <c r="A1473" s="19"/>
    </row>
    <row r="1474" spans="1:1" x14ac:dyDescent="0.25">
      <c r="A1474" s="19"/>
    </row>
    <row r="1475" spans="1:1" x14ac:dyDescent="0.25">
      <c r="A1475" s="19"/>
    </row>
    <row r="1476" spans="1:1" x14ac:dyDescent="0.25">
      <c r="A1476" s="19"/>
    </row>
    <row r="1477" spans="1:1" x14ac:dyDescent="0.25">
      <c r="A1477" s="19"/>
    </row>
    <row r="1478" spans="1:1" x14ac:dyDescent="0.25">
      <c r="A1478" s="19"/>
    </row>
    <row r="1479" spans="1:1" x14ac:dyDescent="0.25">
      <c r="A1479" s="19"/>
    </row>
    <row r="1480" spans="1:1" x14ac:dyDescent="0.25">
      <c r="A1480" s="19"/>
    </row>
    <row r="1481" spans="1:1" x14ac:dyDescent="0.25">
      <c r="A1481" s="19"/>
    </row>
    <row r="1482" spans="1:1" x14ac:dyDescent="0.25">
      <c r="A1482" s="19"/>
    </row>
    <row r="1483" spans="1:1" x14ac:dyDescent="0.25">
      <c r="A1483" s="19"/>
    </row>
    <row r="1484" spans="1:1" x14ac:dyDescent="0.25">
      <c r="A1484" s="19"/>
    </row>
    <row r="1485" spans="1:1" x14ac:dyDescent="0.25">
      <c r="A1485" s="19"/>
    </row>
    <row r="1486" spans="1:1" x14ac:dyDescent="0.25">
      <c r="A1486" s="19"/>
    </row>
    <row r="1487" spans="1:1" x14ac:dyDescent="0.25">
      <c r="A1487" s="19"/>
    </row>
    <row r="1488" spans="1:1" x14ac:dyDescent="0.25">
      <c r="A1488" s="19"/>
    </row>
    <row r="1489" spans="1:1" x14ac:dyDescent="0.25">
      <c r="A1489" s="19"/>
    </row>
    <row r="1490" spans="1:1" x14ac:dyDescent="0.25">
      <c r="A1490" s="19"/>
    </row>
    <row r="1491" spans="1:1" x14ac:dyDescent="0.25">
      <c r="A1491" s="19"/>
    </row>
    <row r="1492" spans="1:1" x14ac:dyDescent="0.25">
      <c r="A1492" s="19"/>
    </row>
    <row r="1493" spans="1:1" x14ac:dyDescent="0.25">
      <c r="A1493" s="19"/>
    </row>
    <row r="1494" spans="1:1" x14ac:dyDescent="0.25">
      <c r="A1494" s="19"/>
    </row>
    <row r="1495" spans="1:1" x14ac:dyDescent="0.25">
      <c r="A1495" s="19"/>
    </row>
    <row r="1496" spans="1:1" x14ac:dyDescent="0.25">
      <c r="A1496" s="19"/>
    </row>
    <row r="1497" spans="1:1" x14ac:dyDescent="0.25">
      <c r="A1497" s="19"/>
    </row>
    <row r="1498" spans="1:1" x14ac:dyDescent="0.25">
      <c r="A1498" s="19"/>
    </row>
    <row r="1499" spans="1:1" x14ac:dyDescent="0.25">
      <c r="A1499" s="19"/>
    </row>
    <row r="1500" spans="1:1" x14ac:dyDescent="0.25">
      <c r="A1500" s="19"/>
    </row>
    <row r="1501" spans="1:1" x14ac:dyDescent="0.25">
      <c r="A1501" s="19"/>
    </row>
    <row r="1502" spans="1:1" x14ac:dyDescent="0.25">
      <c r="A1502" s="19"/>
    </row>
    <row r="1503" spans="1:1" x14ac:dyDescent="0.25">
      <c r="A1503" s="19"/>
    </row>
    <row r="1504" spans="1:1" x14ac:dyDescent="0.25">
      <c r="A1504" s="19"/>
    </row>
    <row r="1505" spans="1:1" x14ac:dyDescent="0.25">
      <c r="A1505" s="19"/>
    </row>
    <row r="1506" spans="1:1" x14ac:dyDescent="0.25">
      <c r="A1506" s="19"/>
    </row>
    <row r="1507" spans="1:1" x14ac:dyDescent="0.25">
      <c r="A1507" s="19"/>
    </row>
    <row r="1508" spans="1:1" x14ac:dyDescent="0.25">
      <c r="A1508" s="19"/>
    </row>
    <row r="1509" spans="1:1" x14ac:dyDescent="0.25">
      <c r="A1509" s="19"/>
    </row>
    <row r="1510" spans="1:1" x14ac:dyDescent="0.25">
      <c r="A1510" s="19"/>
    </row>
    <row r="1511" spans="1:1" x14ac:dyDescent="0.25">
      <c r="A1511" s="19"/>
    </row>
    <row r="1512" spans="1:1" x14ac:dyDescent="0.25">
      <c r="A1512" s="19"/>
    </row>
    <row r="1513" spans="1:1" x14ac:dyDescent="0.25">
      <c r="A1513" s="19"/>
    </row>
    <row r="1514" spans="1:1" x14ac:dyDescent="0.25">
      <c r="A1514" s="19"/>
    </row>
    <row r="1515" spans="1:1" x14ac:dyDescent="0.25">
      <c r="A1515" s="19"/>
    </row>
    <row r="1516" spans="1:1" x14ac:dyDescent="0.25">
      <c r="A1516" s="19"/>
    </row>
    <row r="1517" spans="1:1" x14ac:dyDescent="0.25">
      <c r="A1517" s="19"/>
    </row>
    <row r="1518" spans="1:1" x14ac:dyDescent="0.25">
      <c r="A1518" s="19"/>
    </row>
    <row r="1519" spans="1:1" x14ac:dyDescent="0.25">
      <c r="A1519" s="19"/>
    </row>
    <row r="1520" spans="1:1" x14ac:dyDescent="0.25">
      <c r="A1520" s="19"/>
    </row>
    <row r="1521" spans="1:1" x14ac:dyDescent="0.25">
      <c r="A1521" s="19"/>
    </row>
    <row r="1522" spans="1:1" x14ac:dyDescent="0.25">
      <c r="A1522" s="19"/>
    </row>
    <row r="1523" spans="1:1" x14ac:dyDescent="0.25">
      <c r="A1523" s="19"/>
    </row>
    <row r="1524" spans="1:1" x14ac:dyDescent="0.25">
      <c r="A1524" s="19"/>
    </row>
    <row r="1525" spans="1:1" x14ac:dyDescent="0.25">
      <c r="A1525" s="19"/>
    </row>
    <row r="1526" spans="1:1" x14ac:dyDescent="0.25">
      <c r="A1526" s="19"/>
    </row>
    <row r="1527" spans="1:1" x14ac:dyDescent="0.25">
      <c r="A1527" s="19"/>
    </row>
    <row r="1528" spans="1:1" x14ac:dyDescent="0.25">
      <c r="A1528" s="19"/>
    </row>
    <row r="1529" spans="1:1" x14ac:dyDescent="0.25">
      <c r="A1529" s="19"/>
    </row>
    <row r="1530" spans="1:1" x14ac:dyDescent="0.25">
      <c r="A1530" s="19"/>
    </row>
    <row r="1531" spans="1:1" x14ac:dyDescent="0.25">
      <c r="A1531" s="19"/>
    </row>
    <row r="1532" spans="1:1" x14ac:dyDescent="0.25">
      <c r="A1532" s="19"/>
    </row>
    <row r="1533" spans="1:1" x14ac:dyDescent="0.25">
      <c r="A1533" s="19"/>
    </row>
    <row r="1534" spans="1:1" x14ac:dyDescent="0.25">
      <c r="A1534" s="19"/>
    </row>
    <row r="1535" spans="1:1" x14ac:dyDescent="0.25">
      <c r="A1535" s="19"/>
    </row>
    <row r="1536" spans="1:1" x14ac:dyDescent="0.25">
      <c r="A1536" s="19"/>
    </row>
    <row r="1537" spans="1:1" x14ac:dyDescent="0.25">
      <c r="A1537" s="19"/>
    </row>
    <row r="1538" spans="1:1" x14ac:dyDescent="0.25">
      <c r="A1538" s="19"/>
    </row>
    <row r="1539" spans="1:1" x14ac:dyDescent="0.25">
      <c r="A1539" s="19"/>
    </row>
    <row r="1540" spans="1:1" x14ac:dyDescent="0.25">
      <c r="A1540" s="19"/>
    </row>
    <row r="1541" spans="1:1" x14ac:dyDescent="0.25">
      <c r="A1541" s="19"/>
    </row>
    <row r="1542" spans="1:1" x14ac:dyDescent="0.25">
      <c r="A1542" s="19"/>
    </row>
    <row r="1543" spans="1:1" x14ac:dyDescent="0.25">
      <c r="A1543" s="19"/>
    </row>
    <row r="1544" spans="1:1" x14ac:dyDescent="0.25">
      <c r="A1544" s="19"/>
    </row>
    <row r="1545" spans="1:1" x14ac:dyDescent="0.25">
      <c r="A1545" s="19"/>
    </row>
    <row r="1546" spans="1:1" x14ac:dyDescent="0.25">
      <c r="A1546" s="19"/>
    </row>
    <row r="1547" spans="1:1" x14ac:dyDescent="0.25">
      <c r="A1547" s="19"/>
    </row>
    <row r="1548" spans="1:1" x14ac:dyDescent="0.25">
      <c r="A1548" s="19"/>
    </row>
    <row r="1549" spans="1:1" x14ac:dyDescent="0.25">
      <c r="A1549" s="19"/>
    </row>
    <row r="1550" spans="1:1" x14ac:dyDescent="0.25">
      <c r="A1550" s="19"/>
    </row>
    <row r="1551" spans="1:1" x14ac:dyDescent="0.25">
      <c r="A1551" s="19"/>
    </row>
    <row r="1552" spans="1:1" x14ac:dyDescent="0.25">
      <c r="A1552" s="19"/>
    </row>
    <row r="1553" spans="1:1" x14ac:dyDescent="0.25">
      <c r="A1553" s="19"/>
    </row>
    <row r="1554" spans="1:1" x14ac:dyDescent="0.25">
      <c r="A1554" s="19"/>
    </row>
    <row r="1555" spans="1:1" x14ac:dyDescent="0.25">
      <c r="A1555" s="19"/>
    </row>
    <row r="1556" spans="1:1" x14ac:dyDescent="0.25">
      <c r="A1556" s="19"/>
    </row>
    <row r="1557" spans="1:1" x14ac:dyDescent="0.25">
      <c r="A1557" s="19"/>
    </row>
    <row r="1558" spans="1:1" x14ac:dyDescent="0.25">
      <c r="A1558" s="19"/>
    </row>
    <row r="1559" spans="1:1" x14ac:dyDescent="0.25">
      <c r="A1559" s="19"/>
    </row>
    <row r="1560" spans="1:1" x14ac:dyDescent="0.25">
      <c r="A1560" s="19"/>
    </row>
    <row r="1561" spans="1:1" x14ac:dyDescent="0.25">
      <c r="A1561" s="19"/>
    </row>
    <row r="1562" spans="1:1" x14ac:dyDescent="0.25">
      <c r="A1562" s="19"/>
    </row>
    <row r="1563" spans="1:1" x14ac:dyDescent="0.25">
      <c r="A1563" s="19"/>
    </row>
    <row r="1564" spans="1:1" x14ac:dyDescent="0.25">
      <c r="A1564" s="19"/>
    </row>
    <row r="1565" spans="1:1" x14ac:dyDescent="0.25">
      <c r="A1565" s="19"/>
    </row>
    <row r="1566" spans="1:1" x14ac:dyDescent="0.25">
      <c r="A1566" s="19"/>
    </row>
    <row r="1567" spans="1:1" x14ac:dyDescent="0.25">
      <c r="A1567" s="19"/>
    </row>
    <row r="1568" spans="1:1" x14ac:dyDescent="0.25">
      <c r="A1568" s="19"/>
    </row>
    <row r="1569" spans="1:1" x14ac:dyDescent="0.25">
      <c r="A1569" s="19"/>
    </row>
    <row r="1570" spans="1:1" x14ac:dyDescent="0.25">
      <c r="A1570" s="19"/>
    </row>
    <row r="1571" spans="1:1" x14ac:dyDescent="0.25">
      <c r="A1571" s="19"/>
    </row>
    <row r="1572" spans="1:1" x14ac:dyDescent="0.25">
      <c r="A1572" s="19"/>
    </row>
    <row r="1573" spans="1:1" x14ac:dyDescent="0.25">
      <c r="A1573" s="19"/>
    </row>
    <row r="1574" spans="1:1" x14ac:dyDescent="0.25">
      <c r="A1574" s="19"/>
    </row>
    <row r="1575" spans="1:1" x14ac:dyDescent="0.25">
      <c r="A1575" s="19"/>
    </row>
    <row r="1576" spans="1:1" x14ac:dyDescent="0.25">
      <c r="A1576" s="19"/>
    </row>
    <row r="1577" spans="1:1" x14ac:dyDescent="0.25">
      <c r="A1577" s="19"/>
    </row>
    <row r="1578" spans="1:1" x14ac:dyDescent="0.25">
      <c r="A1578" s="19"/>
    </row>
    <row r="1579" spans="1:1" x14ac:dyDescent="0.25">
      <c r="A1579" s="19"/>
    </row>
    <row r="1580" spans="1:1" x14ac:dyDescent="0.25">
      <c r="A1580" s="19"/>
    </row>
    <row r="1581" spans="1:1" x14ac:dyDescent="0.25">
      <c r="A1581" s="19"/>
    </row>
    <row r="1582" spans="1:1" x14ac:dyDescent="0.25">
      <c r="A1582" s="19"/>
    </row>
    <row r="1583" spans="1:1" x14ac:dyDescent="0.25">
      <c r="A1583" s="19"/>
    </row>
    <row r="1584" spans="1:1" x14ac:dyDescent="0.25">
      <c r="A1584" s="19"/>
    </row>
    <row r="1585" spans="1:1" x14ac:dyDescent="0.25">
      <c r="A1585" s="19"/>
    </row>
    <row r="1586" spans="1:1" x14ac:dyDescent="0.25">
      <c r="A1586" s="19"/>
    </row>
    <row r="1587" spans="1:1" x14ac:dyDescent="0.25">
      <c r="A1587" s="19"/>
    </row>
    <row r="1588" spans="1:1" x14ac:dyDescent="0.25">
      <c r="A1588" s="19"/>
    </row>
    <row r="1589" spans="1:1" x14ac:dyDescent="0.25">
      <c r="A1589" s="19"/>
    </row>
    <row r="1590" spans="1:1" x14ac:dyDescent="0.25">
      <c r="A1590" s="19"/>
    </row>
    <row r="1591" spans="1:1" x14ac:dyDescent="0.25">
      <c r="A1591" s="19"/>
    </row>
    <row r="1592" spans="1:1" x14ac:dyDescent="0.25">
      <c r="A1592" s="19"/>
    </row>
    <row r="1593" spans="1:1" x14ac:dyDescent="0.25">
      <c r="A1593" s="19"/>
    </row>
    <row r="1594" spans="1:1" x14ac:dyDescent="0.25">
      <c r="A1594" s="19"/>
    </row>
    <row r="1595" spans="1:1" x14ac:dyDescent="0.25">
      <c r="A1595" s="19"/>
    </row>
    <row r="1596" spans="1:1" x14ac:dyDescent="0.25">
      <c r="A1596" s="19"/>
    </row>
    <row r="1597" spans="1:1" x14ac:dyDescent="0.25">
      <c r="A1597" s="19"/>
    </row>
    <row r="1598" spans="1:1" x14ac:dyDescent="0.25">
      <c r="A1598" s="19"/>
    </row>
    <row r="1599" spans="1:1" x14ac:dyDescent="0.25">
      <c r="A1599" s="19"/>
    </row>
    <row r="1600" spans="1:1" x14ac:dyDescent="0.25">
      <c r="A1600" s="19"/>
    </row>
    <row r="1601" spans="1:1" x14ac:dyDescent="0.25">
      <c r="A1601" s="19"/>
    </row>
    <row r="1602" spans="1:1" x14ac:dyDescent="0.25">
      <c r="A1602" s="19"/>
    </row>
    <row r="1603" spans="1:1" x14ac:dyDescent="0.25">
      <c r="A1603" s="19"/>
    </row>
    <row r="1604" spans="1:1" x14ac:dyDescent="0.25">
      <c r="A1604" s="19"/>
    </row>
    <row r="1605" spans="1:1" x14ac:dyDescent="0.25">
      <c r="A1605" s="19"/>
    </row>
    <row r="1606" spans="1:1" x14ac:dyDescent="0.25">
      <c r="A1606" s="19"/>
    </row>
    <row r="1607" spans="1:1" x14ac:dyDescent="0.25">
      <c r="A1607" s="19"/>
    </row>
    <row r="1608" spans="1:1" x14ac:dyDescent="0.25">
      <c r="A1608" s="19"/>
    </row>
    <row r="1609" spans="1:1" x14ac:dyDescent="0.25">
      <c r="A1609" s="19"/>
    </row>
    <row r="1610" spans="1:1" x14ac:dyDescent="0.25">
      <c r="A1610" s="19"/>
    </row>
    <row r="1611" spans="1:1" x14ac:dyDescent="0.25">
      <c r="A1611" s="19"/>
    </row>
    <row r="1612" spans="1:1" x14ac:dyDescent="0.25">
      <c r="A1612" s="19"/>
    </row>
    <row r="1613" spans="1:1" x14ac:dyDescent="0.25">
      <c r="A1613" s="19"/>
    </row>
    <row r="1614" spans="1:1" x14ac:dyDescent="0.25">
      <c r="A1614" s="19"/>
    </row>
    <row r="1615" spans="1:1" x14ac:dyDescent="0.25">
      <c r="A1615" s="19"/>
    </row>
    <row r="1616" spans="1:1" x14ac:dyDescent="0.25">
      <c r="A1616" s="19"/>
    </row>
    <row r="1617" spans="1:1" x14ac:dyDescent="0.25">
      <c r="A1617" s="19"/>
    </row>
    <row r="1618" spans="1:1" x14ac:dyDescent="0.25">
      <c r="A1618" s="19"/>
    </row>
    <row r="1619" spans="1:1" x14ac:dyDescent="0.25">
      <c r="A1619" s="19"/>
    </row>
    <row r="1620" spans="1:1" x14ac:dyDescent="0.25">
      <c r="A1620" s="19"/>
    </row>
    <row r="1621" spans="1:1" x14ac:dyDescent="0.25">
      <c r="A1621" s="19"/>
    </row>
    <row r="1622" spans="1:1" x14ac:dyDescent="0.25">
      <c r="A1622" s="19"/>
    </row>
    <row r="1623" spans="1:1" x14ac:dyDescent="0.25">
      <c r="A1623" s="19"/>
    </row>
    <row r="1624" spans="1:1" x14ac:dyDescent="0.25">
      <c r="A1624" s="19"/>
    </row>
    <row r="1625" spans="1:1" x14ac:dyDescent="0.25">
      <c r="A1625" s="19"/>
    </row>
    <row r="1626" spans="1:1" x14ac:dyDescent="0.25">
      <c r="A1626" s="19"/>
    </row>
    <row r="1627" spans="1:1" x14ac:dyDescent="0.25">
      <c r="A1627" s="19"/>
    </row>
    <row r="1628" spans="1:1" x14ac:dyDescent="0.25">
      <c r="A1628" s="19"/>
    </row>
    <row r="1629" spans="1:1" x14ac:dyDescent="0.25">
      <c r="A1629" s="19"/>
    </row>
    <row r="1630" spans="1:1" x14ac:dyDescent="0.25">
      <c r="A1630" s="19"/>
    </row>
    <row r="1631" spans="1:1" x14ac:dyDescent="0.25">
      <c r="A1631" s="19"/>
    </row>
    <row r="1632" spans="1:1" x14ac:dyDescent="0.25">
      <c r="A1632" s="19"/>
    </row>
    <row r="1633" spans="1:1" x14ac:dyDescent="0.25">
      <c r="A1633" s="19"/>
    </row>
    <row r="1634" spans="1:1" x14ac:dyDescent="0.25">
      <c r="A1634" s="19"/>
    </row>
    <row r="1635" spans="1:1" x14ac:dyDescent="0.25">
      <c r="A1635" s="19"/>
    </row>
    <row r="1636" spans="1:1" x14ac:dyDescent="0.25">
      <c r="A1636" s="19"/>
    </row>
    <row r="1637" spans="1:1" x14ac:dyDescent="0.25">
      <c r="A1637" s="19"/>
    </row>
    <row r="1638" spans="1:1" x14ac:dyDescent="0.25">
      <c r="A1638" s="19"/>
    </row>
    <row r="1639" spans="1:1" x14ac:dyDescent="0.25">
      <c r="A1639" s="19"/>
    </row>
    <row r="1640" spans="1:1" x14ac:dyDescent="0.25">
      <c r="A1640" s="19"/>
    </row>
    <row r="1641" spans="1:1" x14ac:dyDescent="0.25">
      <c r="A1641" s="19"/>
    </row>
    <row r="1642" spans="1:1" x14ac:dyDescent="0.25">
      <c r="A1642" s="19"/>
    </row>
    <row r="1643" spans="1:1" x14ac:dyDescent="0.25">
      <c r="A1643" s="19"/>
    </row>
    <row r="1644" spans="1:1" x14ac:dyDescent="0.25">
      <c r="A1644" s="19"/>
    </row>
    <row r="1645" spans="1:1" x14ac:dyDescent="0.25">
      <c r="A1645" s="19"/>
    </row>
    <row r="1646" spans="1:1" x14ac:dyDescent="0.25">
      <c r="A1646" s="19"/>
    </row>
    <row r="1647" spans="1:1" x14ac:dyDescent="0.25">
      <c r="A1647" s="19"/>
    </row>
    <row r="1648" spans="1:1" x14ac:dyDescent="0.25">
      <c r="A1648" s="19"/>
    </row>
    <row r="1649" spans="1:1" x14ac:dyDescent="0.25">
      <c r="A1649" s="19"/>
    </row>
    <row r="1650" spans="1:1" x14ac:dyDescent="0.25">
      <c r="A1650" s="19"/>
    </row>
    <row r="1651" spans="1:1" x14ac:dyDescent="0.25">
      <c r="A1651" s="19"/>
    </row>
    <row r="1652" spans="1:1" x14ac:dyDescent="0.25">
      <c r="A1652" s="19"/>
    </row>
    <row r="1653" spans="1:1" x14ac:dyDescent="0.25">
      <c r="A1653" s="19"/>
    </row>
    <row r="1654" spans="1:1" x14ac:dyDescent="0.25">
      <c r="A1654" s="19"/>
    </row>
    <row r="1655" spans="1:1" x14ac:dyDescent="0.25">
      <c r="A1655" s="19"/>
    </row>
    <row r="1656" spans="1:1" x14ac:dyDescent="0.25">
      <c r="A1656" s="19"/>
    </row>
    <row r="1657" spans="1:1" x14ac:dyDescent="0.25">
      <c r="A1657" s="19"/>
    </row>
    <row r="1658" spans="1:1" x14ac:dyDescent="0.25">
      <c r="A1658" s="19"/>
    </row>
    <row r="1659" spans="1:1" x14ac:dyDescent="0.25">
      <c r="A1659" s="19"/>
    </row>
    <row r="1660" spans="1:1" x14ac:dyDescent="0.25">
      <c r="A1660" s="19"/>
    </row>
    <row r="1661" spans="1:1" x14ac:dyDescent="0.25">
      <c r="A1661" s="19"/>
    </row>
    <row r="1662" spans="1:1" x14ac:dyDescent="0.25">
      <c r="A1662" s="19"/>
    </row>
    <row r="1663" spans="1:1" x14ac:dyDescent="0.25">
      <c r="A1663" s="19"/>
    </row>
    <row r="1664" spans="1:1" x14ac:dyDescent="0.25">
      <c r="A1664" s="19"/>
    </row>
    <row r="1665" spans="1:1" x14ac:dyDescent="0.25">
      <c r="A1665" s="19"/>
    </row>
    <row r="1666" spans="1:1" x14ac:dyDescent="0.25">
      <c r="A1666" s="19"/>
    </row>
    <row r="1667" spans="1:1" x14ac:dyDescent="0.25">
      <c r="A1667" s="19"/>
    </row>
    <row r="1668" spans="1:1" x14ac:dyDescent="0.25">
      <c r="A1668" s="19"/>
    </row>
    <row r="1669" spans="1:1" x14ac:dyDescent="0.25">
      <c r="A1669" s="19"/>
    </row>
    <row r="1670" spans="1:1" x14ac:dyDescent="0.25">
      <c r="A1670" s="19"/>
    </row>
    <row r="1671" spans="1:1" x14ac:dyDescent="0.25">
      <c r="A1671" s="19"/>
    </row>
    <row r="1672" spans="1:1" x14ac:dyDescent="0.25">
      <c r="A1672" s="19"/>
    </row>
    <row r="1673" spans="1:1" x14ac:dyDescent="0.25">
      <c r="A1673" s="19"/>
    </row>
    <row r="1674" spans="1:1" x14ac:dyDescent="0.25">
      <c r="A1674" s="19"/>
    </row>
    <row r="1675" spans="1:1" x14ac:dyDescent="0.25">
      <c r="A1675" s="19"/>
    </row>
    <row r="1676" spans="1:1" x14ac:dyDescent="0.25">
      <c r="A1676" s="19"/>
    </row>
    <row r="1677" spans="1:1" x14ac:dyDescent="0.25">
      <c r="A1677" s="19"/>
    </row>
    <row r="1678" spans="1:1" x14ac:dyDescent="0.25">
      <c r="A1678" s="19"/>
    </row>
    <row r="1679" spans="1:1" x14ac:dyDescent="0.25">
      <c r="A1679" s="19"/>
    </row>
    <row r="1680" spans="1:1" x14ac:dyDescent="0.25">
      <c r="A1680" s="19"/>
    </row>
    <row r="1681" spans="1:1" x14ac:dyDescent="0.25">
      <c r="A1681" s="19"/>
    </row>
    <row r="1682" spans="1:1" x14ac:dyDescent="0.25">
      <c r="A1682" s="19"/>
    </row>
    <row r="1683" spans="1:1" x14ac:dyDescent="0.25">
      <c r="A1683" s="19"/>
    </row>
    <row r="1684" spans="1:1" x14ac:dyDescent="0.25">
      <c r="A1684" s="19"/>
    </row>
    <row r="1685" spans="1:1" x14ac:dyDescent="0.25">
      <c r="A1685" s="19"/>
    </row>
    <row r="1686" spans="1:1" x14ac:dyDescent="0.25">
      <c r="A1686" s="19"/>
    </row>
    <row r="1687" spans="1:1" x14ac:dyDescent="0.25">
      <c r="A1687" s="19"/>
    </row>
    <row r="1688" spans="1:1" x14ac:dyDescent="0.25">
      <c r="A1688" s="19"/>
    </row>
    <row r="1689" spans="1:1" x14ac:dyDescent="0.25">
      <c r="A1689" s="19"/>
    </row>
    <row r="1690" spans="1:1" x14ac:dyDescent="0.25">
      <c r="A1690" s="19"/>
    </row>
    <row r="1691" spans="1:1" x14ac:dyDescent="0.25">
      <c r="A1691" s="19"/>
    </row>
    <row r="1692" spans="1:1" x14ac:dyDescent="0.25">
      <c r="A1692" s="19"/>
    </row>
    <row r="1693" spans="1:1" x14ac:dyDescent="0.25">
      <c r="A1693" s="19"/>
    </row>
    <row r="1694" spans="1:1" x14ac:dyDescent="0.25">
      <c r="A1694" s="19"/>
    </row>
    <row r="1695" spans="1:1" x14ac:dyDescent="0.25">
      <c r="A1695" s="19"/>
    </row>
    <row r="1696" spans="1:1" x14ac:dyDescent="0.25">
      <c r="A1696" s="19"/>
    </row>
    <row r="1697" spans="1:1" x14ac:dyDescent="0.25">
      <c r="A1697" s="19"/>
    </row>
    <row r="1698" spans="1:1" x14ac:dyDescent="0.25">
      <c r="A1698" s="19"/>
    </row>
    <row r="1699" spans="1:1" x14ac:dyDescent="0.25">
      <c r="A1699" s="19"/>
    </row>
    <row r="1700" spans="1:1" x14ac:dyDescent="0.25">
      <c r="A1700" s="19"/>
    </row>
    <row r="1701" spans="1:1" x14ac:dyDescent="0.25">
      <c r="A1701" s="19"/>
    </row>
    <row r="1702" spans="1:1" x14ac:dyDescent="0.25">
      <c r="A1702" s="19"/>
    </row>
    <row r="1703" spans="1:1" x14ac:dyDescent="0.25">
      <c r="A1703" s="19"/>
    </row>
    <row r="1704" spans="1:1" x14ac:dyDescent="0.25">
      <c r="A1704" s="19"/>
    </row>
    <row r="1705" spans="1:1" x14ac:dyDescent="0.25">
      <c r="A1705" s="19"/>
    </row>
    <row r="1706" spans="1:1" x14ac:dyDescent="0.25">
      <c r="A1706" s="19"/>
    </row>
    <row r="1707" spans="1:1" x14ac:dyDescent="0.25">
      <c r="A1707" s="19"/>
    </row>
    <row r="1708" spans="1:1" x14ac:dyDescent="0.25">
      <c r="A1708" s="19"/>
    </row>
    <row r="1709" spans="1:1" x14ac:dyDescent="0.25">
      <c r="A1709" s="19"/>
    </row>
    <row r="1710" spans="1:1" x14ac:dyDescent="0.25">
      <c r="A1710" s="19"/>
    </row>
    <row r="1711" spans="1:1" x14ac:dyDescent="0.25">
      <c r="A1711" s="19"/>
    </row>
    <row r="1712" spans="1:1" x14ac:dyDescent="0.25">
      <c r="A1712" s="19"/>
    </row>
    <row r="1713" spans="1:1" x14ac:dyDescent="0.25">
      <c r="A1713" s="19"/>
    </row>
    <row r="1714" spans="1:1" x14ac:dyDescent="0.25">
      <c r="A1714" s="19"/>
    </row>
    <row r="1715" spans="1:1" x14ac:dyDescent="0.25">
      <c r="A1715" s="19"/>
    </row>
    <row r="1716" spans="1:1" x14ac:dyDescent="0.25">
      <c r="A1716" s="19"/>
    </row>
    <row r="1717" spans="1:1" x14ac:dyDescent="0.25">
      <c r="A1717" s="19"/>
    </row>
    <row r="1718" spans="1:1" x14ac:dyDescent="0.25">
      <c r="A1718" s="19"/>
    </row>
    <row r="1719" spans="1:1" x14ac:dyDescent="0.25">
      <c r="A1719" s="19"/>
    </row>
    <row r="1720" spans="1:1" x14ac:dyDescent="0.25">
      <c r="A1720" s="19"/>
    </row>
    <row r="1721" spans="1:1" x14ac:dyDescent="0.25">
      <c r="A1721" s="19"/>
    </row>
    <row r="1722" spans="1:1" x14ac:dyDescent="0.25">
      <c r="A1722" s="19"/>
    </row>
    <row r="1723" spans="1:1" x14ac:dyDescent="0.25">
      <c r="A1723" s="19"/>
    </row>
    <row r="1724" spans="1:1" x14ac:dyDescent="0.25">
      <c r="A1724" s="19"/>
    </row>
    <row r="1725" spans="1:1" x14ac:dyDescent="0.25">
      <c r="A1725" s="19"/>
    </row>
    <row r="1726" spans="1:1" x14ac:dyDescent="0.25">
      <c r="A1726" s="19"/>
    </row>
    <row r="1727" spans="1:1" x14ac:dyDescent="0.25">
      <c r="A1727" s="19"/>
    </row>
    <row r="1728" spans="1:1" x14ac:dyDescent="0.25">
      <c r="A1728" s="19"/>
    </row>
    <row r="1729" spans="1:1" x14ac:dyDescent="0.25">
      <c r="A1729" s="19"/>
    </row>
    <row r="1730" spans="1:1" x14ac:dyDescent="0.25">
      <c r="A1730" s="19"/>
    </row>
    <row r="1731" spans="1:1" x14ac:dyDescent="0.25">
      <c r="A1731" s="19"/>
    </row>
    <row r="1732" spans="1:1" x14ac:dyDescent="0.25">
      <c r="A1732" s="19"/>
    </row>
    <row r="1733" spans="1:1" x14ac:dyDescent="0.25">
      <c r="A1733" s="19"/>
    </row>
    <row r="1734" spans="1:1" x14ac:dyDescent="0.25">
      <c r="A1734" s="19"/>
    </row>
    <row r="1735" spans="1:1" x14ac:dyDescent="0.25">
      <c r="A1735" s="19"/>
    </row>
    <row r="1736" spans="1:1" x14ac:dyDescent="0.25">
      <c r="A1736" s="19"/>
    </row>
    <row r="1737" spans="1:1" x14ac:dyDescent="0.25">
      <c r="A1737" s="19"/>
    </row>
    <row r="1738" spans="1:1" x14ac:dyDescent="0.25">
      <c r="A1738" s="19"/>
    </row>
    <row r="1739" spans="1:1" x14ac:dyDescent="0.25">
      <c r="A1739" s="19"/>
    </row>
    <row r="1740" spans="1:1" x14ac:dyDescent="0.25">
      <c r="A1740" s="19"/>
    </row>
    <row r="1741" spans="1:1" x14ac:dyDescent="0.25">
      <c r="A1741" s="19"/>
    </row>
    <row r="1742" spans="1:1" x14ac:dyDescent="0.25">
      <c r="A1742" s="19"/>
    </row>
    <row r="1743" spans="1:1" x14ac:dyDescent="0.25">
      <c r="A1743" s="19"/>
    </row>
    <row r="1744" spans="1:1" x14ac:dyDescent="0.25">
      <c r="A1744" s="19"/>
    </row>
    <row r="1745" spans="1:1" x14ac:dyDescent="0.25">
      <c r="A1745" s="19"/>
    </row>
    <row r="1746" spans="1:1" x14ac:dyDescent="0.25">
      <c r="A1746" s="19"/>
    </row>
    <row r="1747" spans="1:1" x14ac:dyDescent="0.25">
      <c r="A1747" s="19"/>
    </row>
    <row r="1748" spans="1:1" x14ac:dyDescent="0.25">
      <c r="A1748" s="19"/>
    </row>
    <row r="1749" spans="1:1" x14ac:dyDescent="0.25">
      <c r="A1749" s="19"/>
    </row>
    <row r="1750" spans="1:1" x14ac:dyDescent="0.25">
      <c r="A1750" s="19"/>
    </row>
    <row r="1751" spans="1:1" x14ac:dyDescent="0.25">
      <c r="A1751" s="19"/>
    </row>
    <row r="1752" spans="1:1" x14ac:dyDescent="0.25">
      <c r="A1752" s="19"/>
    </row>
    <row r="1753" spans="1:1" x14ac:dyDescent="0.25">
      <c r="A1753" s="19"/>
    </row>
    <row r="1754" spans="1:1" x14ac:dyDescent="0.25">
      <c r="A1754" s="19"/>
    </row>
    <row r="1755" spans="1:1" x14ac:dyDescent="0.25">
      <c r="A1755" s="19"/>
    </row>
    <row r="1756" spans="1:1" x14ac:dyDescent="0.25">
      <c r="A1756" s="19"/>
    </row>
    <row r="1757" spans="1:1" x14ac:dyDescent="0.25">
      <c r="A1757" s="19"/>
    </row>
    <row r="1758" spans="1:1" x14ac:dyDescent="0.25">
      <c r="A1758" s="19"/>
    </row>
    <row r="1759" spans="1:1" x14ac:dyDescent="0.25">
      <c r="A1759" s="19"/>
    </row>
    <row r="1760" spans="1:1" x14ac:dyDescent="0.25">
      <c r="A1760" s="19"/>
    </row>
    <row r="1761" spans="1:1" x14ac:dyDescent="0.25">
      <c r="A1761" s="19"/>
    </row>
    <row r="1762" spans="1:1" x14ac:dyDescent="0.25">
      <c r="A1762" s="19"/>
    </row>
    <row r="1763" spans="1:1" x14ac:dyDescent="0.25">
      <c r="A1763" s="19"/>
    </row>
    <row r="1764" spans="1:1" x14ac:dyDescent="0.25">
      <c r="A1764" s="19"/>
    </row>
    <row r="1765" spans="1:1" x14ac:dyDescent="0.25">
      <c r="A1765" s="19"/>
    </row>
    <row r="1766" spans="1:1" x14ac:dyDescent="0.25">
      <c r="A1766" s="19"/>
    </row>
    <row r="1767" spans="1:1" x14ac:dyDescent="0.25">
      <c r="A1767" s="19"/>
    </row>
    <row r="1768" spans="1:1" x14ac:dyDescent="0.25">
      <c r="A1768" s="19"/>
    </row>
    <row r="1769" spans="1:1" x14ac:dyDescent="0.25">
      <c r="A1769" s="19"/>
    </row>
    <row r="1770" spans="1:1" x14ac:dyDescent="0.25">
      <c r="A1770" s="19"/>
    </row>
    <row r="1771" spans="1:1" x14ac:dyDescent="0.25">
      <c r="A1771" s="19"/>
    </row>
    <row r="1772" spans="1:1" x14ac:dyDescent="0.25">
      <c r="A1772" s="19"/>
    </row>
    <row r="1773" spans="1:1" x14ac:dyDescent="0.25">
      <c r="A1773" s="19"/>
    </row>
    <row r="1774" spans="1:1" x14ac:dyDescent="0.25">
      <c r="A1774" s="19"/>
    </row>
    <row r="1775" spans="1:1" x14ac:dyDescent="0.25">
      <c r="A1775" s="19"/>
    </row>
    <row r="1776" spans="1:1" x14ac:dyDescent="0.25">
      <c r="A1776" s="19"/>
    </row>
    <row r="1777" spans="1:1" x14ac:dyDescent="0.25">
      <c r="A1777" s="19"/>
    </row>
    <row r="1778" spans="1:1" x14ac:dyDescent="0.25">
      <c r="A1778" s="19"/>
    </row>
    <row r="1779" spans="1:1" x14ac:dyDescent="0.25">
      <c r="A1779" s="19"/>
    </row>
    <row r="1780" spans="1:1" x14ac:dyDescent="0.25">
      <c r="A1780" s="19"/>
    </row>
    <row r="1781" spans="1:1" x14ac:dyDescent="0.25">
      <c r="A1781" s="19"/>
    </row>
    <row r="1782" spans="1:1" x14ac:dyDescent="0.25">
      <c r="A1782" s="19"/>
    </row>
    <row r="1783" spans="1:1" x14ac:dyDescent="0.25">
      <c r="A1783" s="19"/>
    </row>
    <row r="1784" spans="1:1" x14ac:dyDescent="0.25">
      <c r="A1784" s="19"/>
    </row>
    <row r="1785" spans="1:1" x14ac:dyDescent="0.25">
      <c r="A1785" s="19"/>
    </row>
    <row r="1786" spans="1:1" x14ac:dyDescent="0.25">
      <c r="A1786" s="19"/>
    </row>
    <row r="1787" spans="1:1" x14ac:dyDescent="0.25">
      <c r="A1787" s="19"/>
    </row>
    <row r="1788" spans="1:1" x14ac:dyDescent="0.25">
      <c r="A1788" s="19"/>
    </row>
    <row r="1789" spans="1:1" x14ac:dyDescent="0.25">
      <c r="A1789" s="19"/>
    </row>
    <row r="1790" spans="1:1" x14ac:dyDescent="0.25">
      <c r="A1790" s="19"/>
    </row>
    <row r="1791" spans="1:1" x14ac:dyDescent="0.25">
      <c r="A1791" s="19"/>
    </row>
    <row r="1792" spans="1:1" x14ac:dyDescent="0.25">
      <c r="A1792" s="19"/>
    </row>
    <row r="1793" spans="1:1" x14ac:dyDescent="0.25">
      <c r="A1793" s="19"/>
    </row>
    <row r="1794" spans="1:1" x14ac:dyDescent="0.25">
      <c r="A1794" s="19"/>
    </row>
    <row r="1795" spans="1:1" x14ac:dyDescent="0.25">
      <c r="A1795" s="19"/>
    </row>
    <row r="1796" spans="1:1" x14ac:dyDescent="0.25">
      <c r="A1796" s="19"/>
    </row>
    <row r="1797" spans="1:1" x14ac:dyDescent="0.25">
      <c r="A1797" s="19"/>
    </row>
    <row r="1798" spans="1:1" x14ac:dyDescent="0.25">
      <c r="A1798" s="19"/>
    </row>
    <row r="1799" spans="1:1" x14ac:dyDescent="0.25">
      <c r="A1799" s="19"/>
    </row>
    <row r="1800" spans="1:1" x14ac:dyDescent="0.25">
      <c r="A1800" s="19"/>
    </row>
    <row r="1801" spans="1:1" x14ac:dyDescent="0.25">
      <c r="A1801" s="19"/>
    </row>
    <row r="1802" spans="1:1" x14ac:dyDescent="0.25">
      <c r="A1802" s="19"/>
    </row>
    <row r="1803" spans="1:1" x14ac:dyDescent="0.25">
      <c r="A1803" s="19"/>
    </row>
    <row r="1804" spans="1:1" x14ac:dyDescent="0.25">
      <c r="A1804" s="19"/>
    </row>
    <row r="1805" spans="1:1" x14ac:dyDescent="0.25">
      <c r="A1805" s="19"/>
    </row>
    <row r="1806" spans="1:1" x14ac:dyDescent="0.25">
      <c r="A1806" s="19"/>
    </row>
    <row r="1807" spans="1:1" x14ac:dyDescent="0.25">
      <c r="A1807" s="19"/>
    </row>
    <row r="1808" spans="1:1" x14ac:dyDescent="0.25">
      <c r="A1808" s="19"/>
    </row>
    <row r="1809" spans="1:1" x14ac:dyDescent="0.25">
      <c r="A1809" s="19"/>
    </row>
    <row r="1810" spans="1:1" x14ac:dyDescent="0.25">
      <c r="A1810" s="19"/>
    </row>
    <row r="1811" spans="1:1" x14ac:dyDescent="0.25">
      <c r="A1811" s="19"/>
    </row>
    <row r="1812" spans="1:1" x14ac:dyDescent="0.25">
      <c r="A1812" s="19"/>
    </row>
    <row r="1813" spans="1:1" x14ac:dyDescent="0.25">
      <c r="A1813" s="19"/>
    </row>
    <row r="1814" spans="1:1" x14ac:dyDescent="0.25">
      <c r="A1814" s="19"/>
    </row>
    <row r="1815" spans="1:1" x14ac:dyDescent="0.25">
      <c r="A1815" s="19"/>
    </row>
    <row r="1816" spans="1:1" x14ac:dyDescent="0.25">
      <c r="A1816" s="19"/>
    </row>
    <row r="1817" spans="1:1" x14ac:dyDescent="0.25">
      <c r="A1817" s="19"/>
    </row>
    <row r="1818" spans="1:1" x14ac:dyDescent="0.25">
      <c r="A1818" s="19"/>
    </row>
    <row r="1819" spans="1:1" x14ac:dyDescent="0.25">
      <c r="A1819" s="19"/>
    </row>
    <row r="1820" spans="1:1" x14ac:dyDescent="0.25">
      <c r="A1820" s="19"/>
    </row>
    <row r="1821" spans="1:1" x14ac:dyDescent="0.25">
      <c r="A1821" s="19"/>
    </row>
    <row r="1822" spans="1:1" x14ac:dyDescent="0.25">
      <c r="A1822" s="19"/>
    </row>
    <row r="1823" spans="1:1" x14ac:dyDescent="0.25">
      <c r="A1823" s="19"/>
    </row>
    <row r="1824" spans="1:1" x14ac:dyDescent="0.25">
      <c r="A1824" s="19"/>
    </row>
    <row r="1825" spans="1:1" x14ac:dyDescent="0.25">
      <c r="A1825" s="19"/>
    </row>
    <row r="1826" spans="1:1" x14ac:dyDescent="0.25">
      <c r="A1826" s="19"/>
    </row>
    <row r="1827" spans="1:1" x14ac:dyDescent="0.25">
      <c r="A1827" s="19"/>
    </row>
    <row r="1828" spans="1:1" x14ac:dyDescent="0.25">
      <c r="A1828" s="19"/>
    </row>
    <row r="1829" spans="1:1" x14ac:dyDescent="0.25">
      <c r="A1829" s="19"/>
    </row>
    <row r="1830" spans="1:1" x14ac:dyDescent="0.25">
      <c r="A1830" s="19"/>
    </row>
    <row r="1831" spans="1:1" x14ac:dyDescent="0.25">
      <c r="A1831" s="19"/>
    </row>
    <row r="1832" spans="1:1" x14ac:dyDescent="0.25">
      <c r="A1832" s="19"/>
    </row>
    <row r="1833" spans="1:1" x14ac:dyDescent="0.25">
      <c r="A1833" s="19"/>
    </row>
    <row r="1834" spans="1:1" x14ac:dyDescent="0.25">
      <c r="A1834" s="19"/>
    </row>
    <row r="1835" spans="1:1" x14ac:dyDescent="0.25">
      <c r="A1835" s="19"/>
    </row>
    <row r="1836" spans="1:1" x14ac:dyDescent="0.25">
      <c r="A1836" s="19"/>
    </row>
    <row r="1837" spans="1:1" x14ac:dyDescent="0.25">
      <c r="A1837" s="19"/>
    </row>
    <row r="1838" spans="1:1" x14ac:dyDescent="0.25">
      <c r="A1838" s="19"/>
    </row>
    <row r="1839" spans="1:1" x14ac:dyDescent="0.25">
      <c r="A1839" s="19"/>
    </row>
    <row r="1840" spans="1:1" x14ac:dyDescent="0.25">
      <c r="A1840" s="19"/>
    </row>
    <row r="1841" spans="1:1" x14ac:dyDescent="0.25">
      <c r="A1841" s="19"/>
    </row>
    <row r="1842" spans="1:1" x14ac:dyDescent="0.25">
      <c r="A1842" s="19"/>
    </row>
    <row r="1843" spans="1:1" x14ac:dyDescent="0.25">
      <c r="A1843" s="19"/>
    </row>
    <row r="1844" spans="1:1" x14ac:dyDescent="0.25">
      <c r="A1844" s="19"/>
    </row>
    <row r="1845" spans="1:1" x14ac:dyDescent="0.25">
      <c r="A1845" s="19"/>
    </row>
    <row r="1846" spans="1:1" x14ac:dyDescent="0.25">
      <c r="A1846" s="19"/>
    </row>
    <row r="1847" spans="1:1" x14ac:dyDescent="0.25">
      <c r="A1847" s="19"/>
    </row>
    <row r="1848" spans="1:1" x14ac:dyDescent="0.25">
      <c r="A1848" s="19"/>
    </row>
    <row r="1849" spans="1:1" x14ac:dyDescent="0.25">
      <c r="A1849" s="19"/>
    </row>
    <row r="1850" spans="1:1" x14ac:dyDescent="0.25">
      <c r="A1850" s="19"/>
    </row>
    <row r="1851" spans="1:1" x14ac:dyDescent="0.25">
      <c r="A1851" s="19"/>
    </row>
    <row r="1852" spans="1:1" x14ac:dyDescent="0.25">
      <c r="A1852" s="19"/>
    </row>
    <row r="1853" spans="1:1" x14ac:dyDescent="0.25">
      <c r="A1853" s="19"/>
    </row>
    <row r="1854" spans="1:1" x14ac:dyDescent="0.25">
      <c r="A1854" s="19"/>
    </row>
    <row r="1855" spans="1:1" x14ac:dyDescent="0.25">
      <c r="A1855" s="19"/>
    </row>
    <row r="1856" spans="1:1" x14ac:dyDescent="0.25">
      <c r="A1856" s="19"/>
    </row>
    <row r="1857" spans="1:1" x14ac:dyDescent="0.25">
      <c r="A1857" s="19"/>
    </row>
    <row r="1858" spans="1:1" x14ac:dyDescent="0.25">
      <c r="A1858" s="19"/>
    </row>
    <row r="1859" spans="1:1" x14ac:dyDescent="0.25">
      <c r="A1859" s="19"/>
    </row>
    <row r="1860" spans="1:1" x14ac:dyDescent="0.25">
      <c r="A1860" s="19"/>
    </row>
    <row r="1861" spans="1:1" x14ac:dyDescent="0.25">
      <c r="A1861" s="19"/>
    </row>
    <row r="1862" spans="1:1" x14ac:dyDescent="0.25">
      <c r="A1862" s="19"/>
    </row>
    <row r="1863" spans="1:1" x14ac:dyDescent="0.25">
      <c r="A1863" s="19"/>
    </row>
    <row r="1864" spans="1:1" x14ac:dyDescent="0.25">
      <c r="A1864" s="19"/>
    </row>
    <row r="1865" spans="1:1" x14ac:dyDescent="0.25">
      <c r="A1865" s="19"/>
    </row>
    <row r="1866" spans="1:1" x14ac:dyDescent="0.25">
      <c r="A1866" s="19"/>
    </row>
    <row r="1867" spans="1:1" x14ac:dyDescent="0.25">
      <c r="A1867" s="19"/>
    </row>
    <row r="1868" spans="1:1" x14ac:dyDescent="0.25">
      <c r="A1868" s="19"/>
    </row>
    <row r="1869" spans="1:1" x14ac:dyDescent="0.25">
      <c r="A1869" s="19"/>
    </row>
    <row r="1870" spans="1:1" x14ac:dyDescent="0.25">
      <c r="A1870" s="19"/>
    </row>
    <row r="1871" spans="1:1" x14ac:dyDescent="0.25">
      <c r="A1871" s="19"/>
    </row>
    <row r="1872" spans="1:1" x14ac:dyDescent="0.25">
      <c r="A1872" s="19"/>
    </row>
    <row r="1873" spans="1:1" x14ac:dyDescent="0.25">
      <c r="A1873" s="19"/>
    </row>
    <row r="1874" spans="1:1" x14ac:dyDescent="0.25">
      <c r="A1874" s="19"/>
    </row>
    <row r="1875" spans="1:1" x14ac:dyDescent="0.25">
      <c r="A1875" s="19"/>
    </row>
    <row r="1876" spans="1:1" x14ac:dyDescent="0.25">
      <c r="A1876" s="19"/>
    </row>
    <row r="1877" spans="1:1" x14ac:dyDescent="0.25">
      <c r="A1877" s="19"/>
    </row>
    <row r="1878" spans="1:1" x14ac:dyDescent="0.25">
      <c r="A1878" s="19"/>
    </row>
    <row r="1879" spans="1:1" x14ac:dyDescent="0.25">
      <c r="A1879" s="19"/>
    </row>
    <row r="1880" spans="1:1" x14ac:dyDescent="0.25">
      <c r="A1880" s="19"/>
    </row>
    <row r="1881" spans="1:1" x14ac:dyDescent="0.25">
      <c r="A1881" s="19"/>
    </row>
    <row r="1882" spans="1:1" x14ac:dyDescent="0.25">
      <c r="A1882" s="19"/>
    </row>
    <row r="1883" spans="1:1" x14ac:dyDescent="0.25">
      <c r="A1883" s="19"/>
    </row>
    <row r="1884" spans="1:1" x14ac:dyDescent="0.25">
      <c r="A1884" s="19"/>
    </row>
    <row r="1885" spans="1:1" x14ac:dyDescent="0.25">
      <c r="A1885" s="19"/>
    </row>
    <row r="1886" spans="1:1" x14ac:dyDescent="0.25">
      <c r="A1886" s="19"/>
    </row>
    <row r="1887" spans="1:1" x14ac:dyDescent="0.25">
      <c r="A1887" s="19"/>
    </row>
    <row r="1888" spans="1:1" x14ac:dyDescent="0.25">
      <c r="A1888" s="19"/>
    </row>
    <row r="1889" spans="1:1" x14ac:dyDescent="0.25">
      <c r="A1889" s="19"/>
    </row>
    <row r="1890" spans="1:1" x14ac:dyDescent="0.25">
      <c r="A1890" s="19"/>
    </row>
    <row r="1891" spans="1:1" x14ac:dyDescent="0.25">
      <c r="A1891" s="19"/>
    </row>
    <row r="1892" spans="1:1" x14ac:dyDescent="0.25">
      <c r="A1892" s="19"/>
    </row>
    <row r="1893" spans="1:1" x14ac:dyDescent="0.25">
      <c r="A1893" s="19"/>
    </row>
    <row r="1894" spans="1:1" x14ac:dyDescent="0.25">
      <c r="A1894" s="19"/>
    </row>
    <row r="1895" spans="1:1" x14ac:dyDescent="0.25">
      <c r="A1895" s="19"/>
    </row>
    <row r="1896" spans="1:1" x14ac:dyDescent="0.25">
      <c r="A1896" s="19"/>
    </row>
    <row r="1897" spans="1:1" x14ac:dyDescent="0.25">
      <c r="A1897" s="19"/>
    </row>
    <row r="1898" spans="1:1" x14ac:dyDescent="0.25">
      <c r="A1898" s="19"/>
    </row>
    <row r="1899" spans="1:1" x14ac:dyDescent="0.25">
      <c r="A1899" s="19"/>
    </row>
    <row r="1900" spans="1:1" x14ac:dyDescent="0.25">
      <c r="A1900" s="19"/>
    </row>
    <row r="1901" spans="1:1" x14ac:dyDescent="0.25">
      <c r="A1901" s="19"/>
    </row>
    <row r="1902" spans="1:1" x14ac:dyDescent="0.25">
      <c r="A1902" s="19"/>
    </row>
    <row r="1903" spans="1:1" x14ac:dyDescent="0.25">
      <c r="A1903" s="19"/>
    </row>
    <row r="1904" spans="1:1" x14ac:dyDescent="0.25">
      <c r="A1904" s="19"/>
    </row>
    <row r="1905" spans="1:1" x14ac:dyDescent="0.25">
      <c r="A1905" s="19"/>
    </row>
    <row r="1906" spans="1:1" x14ac:dyDescent="0.25">
      <c r="A1906" s="19"/>
    </row>
    <row r="1907" spans="1:1" x14ac:dyDescent="0.25">
      <c r="A1907" s="19"/>
    </row>
    <row r="1908" spans="1:1" x14ac:dyDescent="0.25">
      <c r="A1908" s="19"/>
    </row>
    <row r="1909" spans="1:1" x14ac:dyDescent="0.25">
      <c r="A1909" s="19"/>
    </row>
    <row r="1910" spans="1:1" x14ac:dyDescent="0.25">
      <c r="A1910" s="19"/>
    </row>
    <row r="1911" spans="1:1" x14ac:dyDescent="0.25">
      <c r="A1911" s="19"/>
    </row>
    <row r="1912" spans="1:1" x14ac:dyDescent="0.25">
      <c r="A1912" s="19"/>
    </row>
    <row r="1913" spans="1:1" x14ac:dyDescent="0.25">
      <c r="A1913" s="19"/>
    </row>
    <row r="1914" spans="1:1" x14ac:dyDescent="0.25">
      <c r="A1914" s="19"/>
    </row>
    <row r="1915" spans="1:1" x14ac:dyDescent="0.25">
      <c r="A1915" s="19"/>
    </row>
    <row r="1916" spans="1:1" x14ac:dyDescent="0.25">
      <c r="A1916" s="19"/>
    </row>
    <row r="1917" spans="1:1" x14ac:dyDescent="0.25">
      <c r="A1917" s="19"/>
    </row>
    <row r="1918" spans="1:1" x14ac:dyDescent="0.25">
      <c r="A1918" s="19"/>
    </row>
    <row r="1919" spans="1:1" x14ac:dyDescent="0.25">
      <c r="A1919" s="19"/>
    </row>
    <row r="1920" spans="1:1" x14ac:dyDescent="0.25">
      <c r="A1920" s="19"/>
    </row>
    <row r="1921" spans="1:1" x14ac:dyDescent="0.25">
      <c r="A1921" s="19"/>
    </row>
    <row r="1922" spans="1:1" x14ac:dyDescent="0.25">
      <c r="A1922" s="19"/>
    </row>
    <row r="1923" spans="1:1" x14ac:dyDescent="0.25">
      <c r="A1923" s="19"/>
    </row>
    <row r="1924" spans="1:1" x14ac:dyDescent="0.25">
      <c r="A1924" s="19"/>
    </row>
    <row r="1925" spans="1:1" x14ac:dyDescent="0.25">
      <c r="A1925" s="19"/>
    </row>
    <row r="1926" spans="1:1" x14ac:dyDescent="0.25">
      <c r="A1926" s="19"/>
    </row>
    <row r="1927" spans="1:1" x14ac:dyDescent="0.25">
      <c r="A1927" s="19"/>
    </row>
    <row r="1928" spans="1:1" x14ac:dyDescent="0.25">
      <c r="A1928" s="19"/>
    </row>
    <row r="1929" spans="1:1" x14ac:dyDescent="0.25">
      <c r="A1929" s="19"/>
    </row>
    <row r="1930" spans="1:1" x14ac:dyDescent="0.25">
      <c r="A1930" s="19"/>
    </row>
    <row r="1931" spans="1:1" x14ac:dyDescent="0.25">
      <c r="A1931" s="19"/>
    </row>
    <row r="1932" spans="1:1" x14ac:dyDescent="0.25">
      <c r="A1932" s="19"/>
    </row>
    <row r="1933" spans="1:1" x14ac:dyDescent="0.25">
      <c r="A1933" s="19"/>
    </row>
    <row r="1934" spans="1:1" x14ac:dyDescent="0.25">
      <c r="A1934" s="19"/>
    </row>
    <row r="1935" spans="1:1" x14ac:dyDescent="0.25">
      <c r="A1935" s="19"/>
    </row>
    <row r="1936" spans="1:1" x14ac:dyDescent="0.25">
      <c r="A1936" s="19"/>
    </row>
    <row r="1937" spans="1:1" x14ac:dyDescent="0.25">
      <c r="A1937" s="19"/>
    </row>
    <row r="1938" spans="1:1" x14ac:dyDescent="0.25">
      <c r="A1938" s="19"/>
    </row>
    <row r="1939" spans="1:1" x14ac:dyDescent="0.25">
      <c r="A1939" s="19"/>
    </row>
    <row r="1940" spans="1:1" x14ac:dyDescent="0.25">
      <c r="A1940" s="19"/>
    </row>
    <row r="1941" spans="1:1" x14ac:dyDescent="0.25">
      <c r="A1941" s="19"/>
    </row>
    <row r="1942" spans="1:1" x14ac:dyDescent="0.25">
      <c r="A1942" s="19"/>
    </row>
    <row r="1943" spans="1:1" x14ac:dyDescent="0.25">
      <c r="A1943" s="19"/>
    </row>
    <row r="1944" spans="1:1" x14ac:dyDescent="0.25">
      <c r="A1944" s="19"/>
    </row>
    <row r="1945" spans="1:1" x14ac:dyDescent="0.25">
      <c r="A1945" s="19"/>
    </row>
    <row r="1946" spans="1:1" x14ac:dyDescent="0.25">
      <c r="A1946" s="19"/>
    </row>
    <row r="1947" spans="1:1" x14ac:dyDescent="0.25">
      <c r="A1947" s="19"/>
    </row>
    <row r="1948" spans="1:1" x14ac:dyDescent="0.25">
      <c r="A1948" s="19"/>
    </row>
    <row r="1949" spans="1:1" x14ac:dyDescent="0.25">
      <c r="A1949" s="19"/>
    </row>
    <row r="1950" spans="1:1" x14ac:dyDescent="0.25">
      <c r="A1950" s="19"/>
    </row>
    <row r="1951" spans="1:1" x14ac:dyDescent="0.25">
      <c r="A1951" s="19"/>
    </row>
    <row r="1952" spans="1:1" x14ac:dyDescent="0.25">
      <c r="A1952" s="19"/>
    </row>
    <row r="1953" spans="1:1" x14ac:dyDescent="0.25">
      <c r="A1953" s="19"/>
    </row>
    <row r="1954" spans="1:1" x14ac:dyDescent="0.25">
      <c r="A1954" s="19"/>
    </row>
    <row r="1955" spans="1:1" x14ac:dyDescent="0.25">
      <c r="A1955" s="19"/>
    </row>
    <row r="1956" spans="1:1" x14ac:dyDescent="0.25">
      <c r="A1956" s="19"/>
    </row>
    <row r="1957" spans="1:1" x14ac:dyDescent="0.25">
      <c r="A1957" s="19"/>
    </row>
    <row r="1958" spans="1:1" x14ac:dyDescent="0.25">
      <c r="A1958" s="19"/>
    </row>
    <row r="1959" spans="1:1" x14ac:dyDescent="0.25">
      <c r="A1959" s="19"/>
    </row>
    <row r="1960" spans="1:1" x14ac:dyDescent="0.25">
      <c r="A1960" s="19"/>
    </row>
    <row r="1961" spans="1:1" x14ac:dyDescent="0.25">
      <c r="A1961" s="19"/>
    </row>
    <row r="1962" spans="1:1" x14ac:dyDescent="0.25">
      <c r="A1962" s="19"/>
    </row>
    <row r="1963" spans="1:1" x14ac:dyDescent="0.25">
      <c r="A1963" s="19"/>
    </row>
    <row r="1964" spans="1:1" x14ac:dyDescent="0.25">
      <c r="A1964" s="19"/>
    </row>
    <row r="1965" spans="1:1" x14ac:dyDescent="0.25">
      <c r="A1965" s="19"/>
    </row>
    <row r="1966" spans="1:1" x14ac:dyDescent="0.25">
      <c r="A1966" s="19"/>
    </row>
    <row r="1967" spans="1:1" x14ac:dyDescent="0.25">
      <c r="A1967" s="19"/>
    </row>
    <row r="1968" spans="1:1" x14ac:dyDescent="0.25">
      <c r="A1968" s="19"/>
    </row>
    <row r="1969" spans="1:1" x14ac:dyDescent="0.25">
      <c r="A1969" s="19"/>
    </row>
    <row r="1970" spans="1:1" x14ac:dyDescent="0.25">
      <c r="A1970" s="19"/>
    </row>
    <row r="1971" spans="1:1" x14ac:dyDescent="0.25">
      <c r="A1971" s="19"/>
    </row>
    <row r="1972" spans="1:1" x14ac:dyDescent="0.25">
      <c r="A1972" s="19"/>
    </row>
    <row r="1973" spans="1:1" x14ac:dyDescent="0.25">
      <c r="A1973" s="19"/>
    </row>
    <row r="1974" spans="1:1" x14ac:dyDescent="0.25">
      <c r="A1974" s="19"/>
    </row>
    <row r="1975" spans="1:1" x14ac:dyDescent="0.25">
      <c r="A1975" s="19"/>
    </row>
    <row r="1976" spans="1:1" x14ac:dyDescent="0.25">
      <c r="A1976" s="19"/>
    </row>
    <row r="1977" spans="1:1" x14ac:dyDescent="0.25">
      <c r="A1977" s="19"/>
    </row>
    <row r="1978" spans="1:1" x14ac:dyDescent="0.25">
      <c r="A1978" s="19"/>
    </row>
    <row r="1979" spans="1:1" x14ac:dyDescent="0.25">
      <c r="A1979" s="19"/>
    </row>
    <row r="1980" spans="1:1" x14ac:dyDescent="0.25">
      <c r="A1980" s="19"/>
    </row>
    <row r="1981" spans="1:1" x14ac:dyDescent="0.25">
      <c r="A1981" s="19"/>
    </row>
    <row r="1982" spans="1:1" x14ac:dyDescent="0.25">
      <c r="A1982" s="19"/>
    </row>
    <row r="1983" spans="1:1" x14ac:dyDescent="0.25">
      <c r="A1983" s="19"/>
    </row>
    <row r="1984" spans="1:1" x14ac:dyDescent="0.25">
      <c r="A1984" s="19"/>
    </row>
    <row r="1985" spans="1:1" x14ac:dyDescent="0.25">
      <c r="A1985" s="19"/>
    </row>
    <row r="1986" spans="1:1" x14ac:dyDescent="0.25">
      <c r="A1986" s="19"/>
    </row>
    <row r="1987" spans="1:1" x14ac:dyDescent="0.25">
      <c r="A1987" s="19"/>
    </row>
    <row r="1988" spans="1:1" x14ac:dyDescent="0.25">
      <c r="A1988" s="19"/>
    </row>
    <row r="1989" spans="1:1" x14ac:dyDescent="0.25">
      <c r="A1989" s="19"/>
    </row>
    <row r="1990" spans="1:1" x14ac:dyDescent="0.25">
      <c r="A1990" s="19"/>
    </row>
    <row r="1991" spans="1:1" x14ac:dyDescent="0.25">
      <c r="A1991" s="19"/>
    </row>
    <row r="1992" spans="1:1" x14ac:dyDescent="0.25">
      <c r="A1992" s="19"/>
    </row>
    <row r="1993" spans="1:1" x14ac:dyDescent="0.25">
      <c r="A1993" s="19"/>
    </row>
    <row r="1994" spans="1:1" x14ac:dyDescent="0.25">
      <c r="A1994" s="19"/>
    </row>
    <row r="1995" spans="1:1" x14ac:dyDescent="0.25">
      <c r="A1995" s="19"/>
    </row>
    <row r="1996" spans="1:1" x14ac:dyDescent="0.25">
      <c r="A1996" s="19"/>
    </row>
    <row r="1997" spans="1:1" x14ac:dyDescent="0.25">
      <c r="A1997" s="19"/>
    </row>
    <row r="1998" spans="1:1" x14ac:dyDescent="0.25">
      <c r="A1998" s="19"/>
    </row>
    <row r="1999" spans="1:1" x14ac:dyDescent="0.25">
      <c r="A1999" s="19"/>
    </row>
    <row r="2000" spans="1:1" x14ac:dyDescent="0.25">
      <c r="A2000" s="19"/>
    </row>
    <row r="2001" spans="1:1" x14ac:dyDescent="0.25">
      <c r="A2001" s="19"/>
    </row>
    <row r="2002" spans="1:1" x14ac:dyDescent="0.25">
      <c r="A2002" s="19"/>
    </row>
    <row r="2003" spans="1:1" x14ac:dyDescent="0.25">
      <c r="A2003" s="19"/>
    </row>
    <row r="2004" spans="1:1" x14ac:dyDescent="0.25">
      <c r="A2004" s="19"/>
    </row>
    <row r="2005" spans="1:1" x14ac:dyDescent="0.25">
      <c r="A2005" s="19"/>
    </row>
    <row r="2006" spans="1:1" x14ac:dyDescent="0.25">
      <c r="A2006" s="19"/>
    </row>
    <row r="2007" spans="1:1" x14ac:dyDescent="0.25">
      <c r="A2007" s="19"/>
    </row>
    <row r="2008" spans="1:1" x14ac:dyDescent="0.25">
      <c r="A2008" s="19"/>
    </row>
    <row r="2009" spans="1:1" x14ac:dyDescent="0.25">
      <c r="A2009" s="19"/>
    </row>
    <row r="2010" spans="1:1" x14ac:dyDescent="0.25">
      <c r="A2010" s="19"/>
    </row>
    <row r="2011" spans="1:1" x14ac:dyDescent="0.25">
      <c r="A2011" s="19"/>
    </row>
    <row r="2012" spans="1:1" x14ac:dyDescent="0.25">
      <c r="A2012" s="19"/>
    </row>
    <row r="2013" spans="1:1" x14ac:dyDescent="0.25">
      <c r="A2013" s="19"/>
    </row>
    <row r="2014" spans="1:1" x14ac:dyDescent="0.25">
      <c r="A2014" s="19"/>
    </row>
    <row r="2015" spans="1:1" x14ac:dyDescent="0.25">
      <c r="A2015" s="19"/>
    </row>
    <row r="2016" spans="1:1" x14ac:dyDescent="0.25">
      <c r="A2016" s="19"/>
    </row>
    <row r="2017" spans="1:1" x14ac:dyDescent="0.25">
      <c r="A2017" s="19"/>
    </row>
    <row r="2018" spans="1:1" x14ac:dyDescent="0.25">
      <c r="A2018" s="19"/>
    </row>
    <row r="2019" spans="1:1" x14ac:dyDescent="0.25">
      <c r="A2019" s="19"/>
    </row>
    <row r="2020" spans="1:1" x14ac:dyDescent="0.25">
      <c r="A2020" s="19"/>
    </row>
    <row r="2021" spans="1:1" x14ac:dyDescent="0.25">
      <c r="A2021" s="19"/>
    </row>
    <row r="2022" spans="1:1" x14ac:dyDescent="0.25">
      <c r="A2022" s="19"/>
    </row>
    <row r="2023" spans="1:1" x14ac:dyDescent="0.25">
      <c r="A2023" s="19"/>
    </row>
    <row r="2024" spans="1:1" x14ac:dyDescent="0.25">
      <c r="A2024" s="19"/>
    </row>
    <row r="2025" spans="1:1" x14ac:dyDescent="0.25">
      <c r="A2025" s="19"/>
    </row>
    <row r="2026" spans="1:1" x14ac:dyDescent="0.25">
      <c r="A2026" s="19"/>
    </row>
    <row r="2027" spans="1:1" x14ac:dyDescent="0.25">
      <c r="A2027" s="19"/>
    </row>
    <row r="2028" spans="1:1" x14ac:dyDescent="0.25">
      <c r="A2028" s="19"/>
    </row>
    <row r="2029" spans="1:1" x14ac:dyDescent="0.25">
      <c r="A2029" s="19"/>
    </row>
    <row r="2030" spans="1:1" x14ac:dyDescent="0.25">
      <c r="A2030" s="19"/>
    </row>
    <row r="2031" spans="1:1" x14ac:dyDescent="0.25">
      <c r="A2031" s="19"/>
    </row>
    <row r="2032" spans="1:1" x14ac:dyDescent="0.25">
      <c r="A2032" s="19"/>
    </row>
    <row r="2033" spans="1:1" x14ac:dyDescent="0.25">
      <c r="A2033" s="19"/>
    </row>
    <row r="2034" spans="1:1" x14ac:dyDescent="0.25">
      <c r="A2034" s="19"/>
    </row>
    <row r="2035" spans="1:1" x14ac:dyDescent="0.25">
      <c r="A2035" s="19"/>
    </row>
    <row r="2036" spans="1:1" x14ac:dyDescent="0.25">
      <c r="A2036" s="19"/>
    </row>
    <row r="2037" spans="1:1" x14ac:dyDescent="0.25">
      <c r="A2037" s="19"/>
    </row>
    <row r="2038" spans="1:1" x14ac:dyDescent="0.25">
      <c r="A2038" s="19"/>
    </row>
    <row r="2039" spans="1:1" x14ac:dyDescent="0.25">
      <c r="A2039" s="19"/>
    </row>
    <row r="2040" spans="1:1" x14ac:dyDescent="0.25">
      <c r="A2040" s="19"/>
    </row>
    <row r="2041" spans="1:1" x14ac:dyDescent="0.25">
      <c r="A2041" s="19"/>
    </row>
    <row r="2042" spans="1:1" x14ac:dyDescent="0.25">
      <c r="A2042" s="19"/>
    </row>
    <row r="2043" spans="1:1" x14ac:dyDescent="0.25">
      <c r="A2043" s="19"/>
    </row>
    <row r="2044" spans="1:1" x14ac:dyDescent="0.25">
      <c r="A2044" s="19"/>
    </row>
    <row r="2045" spans="1:1" x14ac:dyDescent="0.25">
      <c r="A2045" s="19"/>
    </row>
    <row r="2046" spans="1:1" x14ac:dyDescent="0.25">
      <c r="A2046" s="19"/>
    </row>
    <row r="2047" spans="1:1" x14ac:dyDescent="0.25">
      <c r="A2047" s="19"/>
    </row>
    <row r="2048" spans="1:1" x14ac:dyDescent="0.25">
      <c r="A2048" s="19"/>
    </row>
    <row r="2049" spans="1:1" x14ac:dyDescent="0.25">
      <c r="A2049" s="19"/>
    </row>
    <row r="2050" spans="1:1" x14ac:dyDescent="0.25">
      <c r="A2050" s="19"/>
    </row>
    <row r="2051" spans="1:1" x14ac:dyDescent="0.25">
      <c r="A2051" s="19"/>
    </row>
    <row r="2052" spans="1:1" x14ac:dyDescent="0.25">
      <c r="A2052" s="19"/>
    </row>
    <row r="2053" spans="1:1" x14ac:dyDescent="0.25">
      <c r="A2053" s="19"/>
    </row>
    <row r="2054" spans="1:1" x14ac:dyDescent="0.25">
      <c r="A2054" s="19"/>
    </row>
    <row r="2055" spans="1:1" x14ac:dyDescent="0.25">
      <c r="A2055" s="19"/>
    </row>
    <row r="2056" spans="1:1" x14ac:dyDescent="0.25">
      <c r="A2056" s="19"/>
    </row>
    <row r="2057" spans="1:1" x14ac:dyDescent="0.25">
      <c r="A2057" s="19"/>
    </row>
    <row r="2058" spans="1:1" x14ac:dyDescent="0.25">
      <c r="A2058" s="19"/>
    </row>
    <row r="2059" spans="1:1" x14ac:dyDescent="0.25">
      <c r="A2059" s="19"/>
    </row>
    <row r="2060" spans="1:1" x14ac:dyDescent="0.25">
      <c r="A2060" s="19"/>
    </row>
    <row r="2061" spans="1:1" x14ac:dyDescent="0.25">
      <c r="A2061" s="19"/>
    </row>
    <row r="2062" spans="1:1" x14ac:dyDescent="0.25">
      <c r="A2062" s="19"/>
    </row>
    <row r="2063" spans="1:1" x14ac:dyDescent="0.25">
      <c r="A2063" s="19"/>
    </row>
    <row r="2064" spans="1:1" x14ac:dyDescent="0.25">
      <c r="A2064" s="19"/>
    </row>
    <row r="2065" spans="1:1" x14ac:dyDescent="0.25">
      <c r="A2065" s="19"/>
    </row>
    <row r="2066" spans="1:1" x14ac:dyDescent="0.25">
      <c r="A2066" s="19"/>
    </row>
    <row r="2067" spans="1:1" x14ac:dyDescent="0.25">
      <c r="A2067" s="19"/>
    </row>
    <row r="2068" spans="1:1" x14ac:dyDescent="0.25">
      <c r="A2068" s="19"/>
    </row>
    <row r="2069" spans="1:1" x14ac:dyDescent="0.25">
      <c r="A2069" s="19"/>
    </row>
    <row r="2070" spans="1:1" x14ac:dyDescent="0.25">
      <c r="A2070" s="19"/>
    </row>
    <row r="2071" spans="1:1" x14ac:dyDescent="0.25">
      <c r="A2071" s="19"/>
    </row>
    <row r="2072" spans="1:1" x14ac:dyDescent="0.25">
      <c r="A2072" s="19"/>
    </row>
    <row r="2073" spans="1:1" x14ac:dyDescent="0.25">
      <c r="A2073" s="19"/>
    </row>
    <row r="2074" spans="1:1" x14ac:dyDescent="0.25">
      <c r="A2074" s="19"/>
    </row>
    <row r="2075" spans="1:1" x14ac:dyDescent="0.25">
      <c r="A2075" s="19"/>
    </row>
    <row r="2076" spans="1:1" x14ac:dyDescent="0.25">
      <c r="A2076" s="19"/>
    </row>
    <row r="2077" spans="1:1" x14ac:dyDescent="0.25">
      <c r="A2077" s="19"/>
    </row>
    <row r="2078" spans="1:1" x14ac:dyDescent="0.25">
      <c r="A2078" s="19"/>
    </row>
    <row r="2079" spans="1:1" x14ac:dyDescent="0.25">
      <c r="A2079" s="19"/>
    </row>
    <row r="2080" spans="1:1" x14ac:dyDescent="0.25">
      <c r="A2080" s="19"/>
    </row>
    <row r="2081" spans="1:1" x14ac:dyDescent="0.25">
      <c r="A2081" s="19"/>
    </row>
    <row r="2082" spans="1:1" x14ac:dyDescent="0.25">
      <c r="A2082" s="19"/>
    </row>
    <row r="2083" spans="1:1" x14ac:dyDescent="0.25">
      <c r="A2083" s="19"/>
    </row>
    <row r="2084" spans="1:1" x14ac:dyDescent="0.25">
      <c r="A2084" s="19"/>
    </row>
    <row r="2085" spans="1:1" x14ac:dyDescent="0.25">
      <c r="A2085" s="19"/>
    </row>
    <row r="2086" spans="1:1" x14ac:dyDescent="0.25">
      <c r="A2086" s="19"/>
    </row>
    <row r="2087" spans="1:1" x14ac:dyDescent="0.25">
      <c r="A2087" s="19"/>
    </row>
    <row r="2088" spans="1:1" x14ac:dyDescent="0.25">
      <c r="A2088" s="19"/>
    </row>
    <row r="2089" spans="1:1" x14ac:dyDescent="0.25">
      <c r="A2089" s="19"/>
    </row>
    <row r="2090" spans="1:1" x14ac:dyDescent="0.25">
      <c r="A2090" s="19"/>
    </row>
    <row r="2091" spans="1:1" x14ac:dyDescent="0.25">
      <c r="A2091" s="19"/>
    </row>
    <row r="2092" spans="1:1" x14ac:dyDescent="0.25">
      <c r="A2092" s="19"/>
    </row>
    <row r="2093" spans="1:1" x14ac:dyDescent="0.25">
      <c r="A2093" s="19"/>
    </row>
    <row r="2094" spans="1:1" x14ac:dyDescent="0.25">
      <c r="A2094" s="19"/>
    </row>
    <row r="2095" spans="1:1" x14ac:dyDescent="0.25">
      <c r="A2095" s="19"/>
    </row>
    <row r="2096" spans="1:1" x14ac:dyDescent="0.25">
      <c r="A2096" s="19"/>
    </row>
    <row r="2097" spans="1:1" x14ac:dyDescent="0.25">
      <c r="A2097" s="19"/>
    </row>
    <row r="2098" spans="1:1" x14ac:dyDescent="0.25">
      <c r="A2098" s="19"/>
    </row>
    <row r="2099" spans="1:1" x14ac:dyDescent="0.25">
      <c r="A2099" s="19"/>
    </row>
    <row r="2100" spans="1:1" x14ac:dyDescent="0.25">
      <c r="A2100" s="19"/>
    </row>
    <row r="2101" spans="1:1" x14ac:dyDescent="0.25">
      <c r="A2101" s="19"/>
    </row>
    <row r="2102" spans="1:1" x14ac:dyDescent="0.25">
      <c r="A2102" s="19"/>
    </row>
    <row r="2103" spans="1:1" x14ac:dyDescent="0.25">
      <c r="A2103" s="19"/>
    </row>
    <row r="2104" spans="1:1" x14ac:dyDescent="0.25">
      <c r="A2104" s="19"/>
    </row>
    <row r="2105" spans="1:1" x14ac:dyDescent="0.25">
      <c r="A2105" s="19"/>
    </row>
    <row r="2106" spans="1:1" x14ac:dyDescent="0.25">
      <c r="A2106" s="19"/>
    </row>
    <row r="2107" spans="1:1" x14ac:dyDescent="0.25">
      <c r="A2107" s="19"/>
    </row>
    <row r="2108" spans="1:1" x14ac:dyDescent="0.25">
      <c r="A2108" s="19"/>
    </row>
    <row r="2109" spans="1:1" x14ac:dyDescent="0.25">
      <c r="A2109" s="19"/>
    </row>
    <row r="2110" spans="1:1" x14ac:dyDescent="0.25">
      <c r="A2110" s="19"/>
    </row>
    <row r="2111" spans="1:1" x14ac:dyDescent="0.25">
      <c r="A2111" s="19"/>
    </row>
    <row r="2112" spans="1:1" x14ac:dyDescent="0.25">
      <c r="A2112" s="19"/>
    </row>
    <row r="2113" spans="1:1" x14ac:dyDescent="0.25">
      <c r="A2113" s="19"/>
    </row>
    <row r="2114" spans="1:1" x14ac:dyDescent="0.25">
      <c r="A2114" s="19"/>
    </row>
    <row r="2115" spans="1:1" x14ac:dyDescent="0.25">
      <c r="A2115" s="19"/>
    </row>
    <row r="2116" spans="1:1" x14ac:dyDescent="0.25">
      <c r="A2116" s="19"/>
    </row>
    <row r="2117" spans="1:1" x14ac:dyDescent="0.25">
      <c r="A2117" s="19"/>
    </row>
    <row r="2118" spans="1:1" x14ac:dyDescent="0.25">
      <c r="A2118" s="19"/>
    </row>
    <row r="2119" spans="1:1" x14ac:dyDescent="0.25">
      <c r="A2119" s="19"/>
    </row>
    <row r="2120" spans="1:1" x14ac:dyDescent="0.25">
      <c r="A2120" s="19"/>
    </row>
    <row r="2121" spans="1:1" x14ac:dyDescent="0.25">
      <c r="A2121" s="19"/>
    </row>
    <row r="2122" spans="1:1" x14ac:dyDescent="0.25">
      <c r="A2122" s="19"/>
    </row>
    <row r="2123" spans="1:1" x14ac:dyDescent="0.25">
      <c r="A2123" s="19"/>
    </row>
    <row r="2124" spans="1:1" x14ac:dyDescent="0.25">
      <c r="A2124" s="19"/>
    </row>
    <row r="2125" spans="1:1" x14ac:dyDescent="0.25">
      <c r="A2125" s="19"/>
    </row>
    <row r="2126" spans="1:1" x14ac:dyDescent="0.25">
      <c r="A2126" s="19"/>
    </row>
    <row r="2127" spans="1:1" x14ac:dyDescent="0.25">
      <c r="A2127" s="19"/>
    </row>
    <row r="2128" spans="1:1" x14ac:dyDescent="0.25">
      <c r="A2128" s="19"/>
    </row>
    <row r="2129" spans="1:1" x14ac:dyDescent="0.25">
      <c r="A2129" s="19"/>
    </row>
    <row r="2130" spans="1:1" x14ac:dyDescent="0.25">
      <c r="A2130" s="19"/>
    </row>
    <row r="2131" spans="1:1" x14ac:dyDescent="0.25">
      <c r="A2131" s="19"/>
    </row>
    <row r="2132" spans="1:1" x14ac:dyDescent="0.25">
      <c r="A2132" s="19"/>
    </row>
    <row r="2133" spans="1:1" x14ac:dyDescent="0.25">
      <c r="A2133" s="19"/>
    </row>
    <row r="2134" spans="1:1" x14ac:dyDescent="0.25">
      <c r="A2134" s="19"/>
    </row>
    <row r="2135" spans="1:1" x14ac:dyDescent="0.25">
      <c r="A2135" s="19"/>
    </row>
    <row r="2136" spans="1:1" x14ac:dyDescent="0.25">
      <c r="A2136" s="19"/>
    </row>
    <row r="2137" spans="1:1" x14ac:dyDescent="0.25">
      <c r="A2137" s="19"/>
    </row>
    <row r="2138" spans="1:1" x14ac:dyDescent="0.25">
      <c r="A2138" s="19"/>
    </row>
    <row r="2139" spans="1:1" x14ac:dyDescent="0.25">
      <c r="A2139" s="19"/>
    </row>
    <row r="2140" spans="1:1" x14ac:dyDescent="0.25">
      <c r="A2140" s="19"/>
    </row>
    <row r="2141" spans="1:1" x14ac:dyDescent="0.25">
      <c r="A2141" s="19"/>
    </row>
    <row r="2142" spans="1:1" x14ac:dyDescent="0.25">
      <c r="A2142" s="19"/>
    </row>
    <row r="2143" spans="1:1" x14ac:dyDescent="0.25">
      <c r="A2143" s="19"/>
    </row>
    <row r="2144" spans="1:1" x14ac:dyDescent="0.25">
      <c r="A2144" s="19"/>
    </row>
    <row r="2145" spans="1:1" x14ac:dyDescent="0.25">
      <c r="A2145" s="19"/>
    </row>
    <row r="2146" spans="1:1" x14ac:dyDescent="0.25">
      <c r="A2146" s="19"/>
    </row>
    <row r="2147" spans="1:1" x14ac:dyDescent="0.25">
      <c r="A2147" s="19"/>
    </row>
    <row r="2148" spans="1:1" x14ac:dyDescent="0.25">
      <c r="A2148" s="19"/>
    </row>
    <row r="2149" spans="1:1" x14ac:dyDescent="0.25">
      <c r="A2149" s="19"/>
    </row>
    <row r="2150" spans="1:1" x14ac:dyDescent="0.25">
      <c r="A2150" s="19"/>
    </row>
    <row r="2151" spans="1:1" x14ac:dyDescent="0.25">
      <c r="A2151" s="19"/>
    </row>
    <row r="2152" spans="1:1" x14ac:dyDescent="0.25">
      <c r="A2152" s="19"/>
    </row>
    <row r="2153" spans="1:1" x14ac:dyDescent="0.25">
      <c r="A2153" s="19"/>
    </row>
    <row r="2154" spans="1:1" x14ac:dyDescent="0.25">
      <c r="A2154" s="19"/>
    </row>
    <row r="2155" spans="1:1" x14ac:dyDescent="0.25">
      <c r="A2155" s="19"/>
    </row>
    <row r="2156" spans="1:1" x14ac:dyDescent="0.25">
      <c r="A2156" s="19"/>
    </row>
    <row r="2157" spans="1:1" x14ac:dyDescent="0.25">
      <c r="A2157" s="19"/>
    </row>
    <row r="2158" spans="1:1" x14ac:dyDescent="0.25">
      <c r="A2158" s="19"/>
    </row>
    <row r="2159" spans="1:1" x14ac:dyDescent="0.25">
      <c r="A2159" s="19"/>
    </row>
    <row r="2160" spans="1:1" x14ac:dyDescent="0.25">
      <c r="A2160" s="19"/>
    </row>
    <row r="2161" spans="1:1" x14ac:dyDescent="0.25">
      <c r="A2161" s="19"/>
    </row>
    <row r="2162" spans="1:1" x14ac:dyDescent="0.25">
      <c r="A2162" s="19"/>
    </row>
    <row r="2163" spans="1:1" x14ac:dyDescent="0.25">
      <c r="A2163" s="19"/>
    </row>
    <row r="2164" spans="1:1" x14ac:dyDescent="0.25">
      <c r="A2164" s="19"/>
    </row>
    <row r="2165" spans="1:1" x14ac:dyDescent="0.25">
      <c r="A2165" s="19"/>
    </row>
    <row r="2166" spans="1:1" x14ac:dyDescent="0.25">
      <c r="A2166" s="19"/>
    </row>
    <row r="2167" spans="1:1" x14ac:dyDescent="0.25">
      <c r="A2167" s="19"/>
    </row>
    <row r="2168" spans="1:1" x14ac:dyDescent="0.25">
      <c r="A2168" s="19"/>
    </row>
    <row r="2169" spans="1:1" x14ac:dyDescent="0.25">
      <c r="A2169" s="19"/>
    </row>
    <row r="2170" spans="1:1" x14ac:dyDescent="0.25">
      <c r="A2170" s="19"/>
    </row>
    <row r="2171" spans="1:1" x14ac:dyDescent="0.25">
      <c r="A2171" s="19"/>
    </row>
    <row r="2172" spans="1:1" x14ac:dyDescent="0.25">
      <c r="A2172" s="19"/>
    </row>
    <row r="2173" spans="1:1" x14ac:dyDescent="0.25">
      <c r="A2173" s="19"/>
    </row>
    <row r="2174" spans="1:1" x14ac:dyDescent="0.25">
      <c r="A2174" s="19"/>
    </row>
    <row r="2175" spans="1:1" x14ac:dyDescent="0.25">
      <c r="A2175" s="19"/>
    </row>
    <row r="2176" spans="1:1" x14ac:dyDescent="0.25">
      <c r="A2176" s="19"/>
    </row>
    <row r="2177" spans="1:1" x14ac:dyDescent="0.25">
      <c r="A2177" s="19"/>
    </row>
    <row r="2178" spans="1:1" x14ac:dyDescent="0.25">
      <c r="A2178" s="19"/>
    </row>
    <row r="2179" spans="1:1" x14ac:dyDescent="0.25">
      <c r="A2179" s="19"/>
    </row>
    <row r="2180" spans="1:1" x14ac:dyDescent="0.25">
      <c r="A2180" s="19"/>
    </row>
    <row r="2181" spans="1:1" x14ac:dyDescent="0.25">
      <c r="A2181" s="19"/>
    </row>
    <row r="2182" spans="1:1" x14ac:dyDescent="0.25">
      <c r="A2182" s="19"/>
    </row>
    <row r="2183" spans="1:1" x14ac:dyDescent="0.25">
      <c r="A2183" s="19"/>
    </row>
    <row r="2184" spans="1:1" x14ac:dyDescent="0.25">
      <c r="A2184" s="19"/>
    </row>
    <row r="2185" spans="1:1" x14ac:dyDescent="0.25">
      <c r="A2185" s="19"/>
    </row>
    <row r="2186" spans="1:1" x14ac:dyDescent="0.25">
      <c r="A2186" s="19"/>
    </row>
    <row r="2187" spans="1:1" x14ac:dyDescent="0.25">
      <c r="A2187" s="19"/>
    </row>
    <row r="2188" spans="1:1" x14ac:dyDescent="0.25">
      <c r="A2188" s="19"/>
    </row>
    <row r="2189" spans="1:1" x14ac:dyDescent="0.25">
      <c r="A2189" s="19"/>
    </row>
    <row r="2190" spans="1:1" x14ac:dyDescent="0.25">
      <c r="A2190" s="19"/>
    </row>
    <row r="2191" spans="1:1" x14ac:dyDescent="0.25">
      <c r="A2191" s="19"/>
    </row>
    <row r="2192" spans="1:1" x14ac:dyDescent="0.25">
      <c r="A2192" s="19"/>
    </row>
    <row r="2193" spans="1:1" x14ac:dyDescent="0.25">
      <c r="A2193" s="19"/>
    </row>
    <row r="2194" spans="1:1" x14ac:dyDescent="0.25">
      <c r="A2194" s="19"/>
    </row>
    <row r="2195" spans="1:1" x14ac:dyDescent="0.25">
      <c r="A2195" s="19"/>
    </row>
    <row r="2196" spans="1:1" x14ac:dyDescent="0.25">
      <c r="A2196" s="19"/>
    </row>
    <row r="2197" spans="1:1" x14ac:dyDescent="0.25">
      <c r="A2197" s="19"/>
    </row>
    <row r="2198" spans="1:1" x14ac:dyDescent="0.25">
      <c r="A2198" s="19"/>
    </row>
    <row r="2199" spans="1:1" x14ac:dyDescent="0.25">
      <c r="A2199" s="19"/>
    </row>
    <row r="2200" spans="1:1" x14ac:dyDescent="0.25">
      <c r="A2200" s="19"/>
    </row>
    <row r="2201" spans="1:1" x14ac:dyDescent="0.25">
      <c r="A2201" s="19"/>
    </row>
    <row r="2202" spans="1:1" x14ac:dyDescent="0.25">
      <c r="A2202" s="19"/>
    </row>
    <row r="2203" spans="1:1" x14ac:dyDescent="0.25">
      <c r="A2203" s="19"/>
    </row>
    <row r="2204" spans="1:1" x14ac:dyDescent="0.25">
      <c r="A2204" s="19"/>
    </row>
    <row r="2205" spans="1:1" x14ac:dyDescent="0.25">
      <c r="A2205" s="19"/>
    </row>
    <row r="2206" spans="1:1" x14ac:dyDescent="0.25">
      <c r="A2206" s="19"/>
    </row>
    <row r="2207" spans="1:1" x14ac:dyDescent="0.25">
      <c r="A2207" s="19"/>
    </row>
    <row r="2208" spans="1:1" x14ac:dyDescent="0.25">
      <c r="A2208" s="19"/>
    </row>
    <row r="2209" spans="1:1" x14ac:dyDescent="0.25">
      <c r="A2209" s="19"/>
    </row>
    <row r="2210" spans="1:1" x14ac:dyDescent="0.25">
      <c r="A2210" s="19"/>
    </row>
    <row r="2211" spans="1:1" x14ac:dyDescent="0.25">
      <c r="A2211" s="19"/>
    </row>
    <row r="2212" spans="1:1" x14ac:dyDescent="0.25">
      <c r="A2212" s="19"/>
    </row>
    <row r="2213" spans="1:1" x14ac:dyDescent="0.25">
      <c r="A2213" s="19"/>
    </row>
    <row r="2214" spans="1:1" x14ac:dyDescent="0.25">
      <c r="A2214" s="19"/>
    </row>
    <row r="2215" spans="1:1" x14ac:dyDescent="0.25">
      <c r="A2215" s="19"/>
    </row>
    <row r="2216" spans="1:1" x14ac:dyDescent="0.25">
      <c r="A2216" s="19"/>
    </row>
    <row r="2217" spans="1:1" x14ac:dyDescent="0.25">
      <c r="A2217" s="19"/>
    </row>
    <row r="2218" spans="1:1" x14ac:dyDescent="0.25">
      <c r="A2218" s="19"/>
    </row>
    <row r="2219" spans="1:1" x14ac:dyDescent="0.25">
      <c r="A2219" s="19"/>
    </row>
    <row r="2220" spans="1:1" x14ac:dyDescent="0.25">
      <c r="A2220" s="19"/>
    </row>
    <row r="2221" spans="1:1" x14ac:dyDescent="0.25">
      <c r="A2221" s="19"/>
    </row>
    <row r="2222" spans="1:1" x14ac:dyDescent="0.25">
      <c r="A2222" s="19"/>
    </row>
    <row r="2223" spans="1:1" x14ac:dyDescent="0.25">
      <c r="A2223" s="19"/>
    </row>
    <row r="2224" spans="1:1" x14ac:dyDescent="0.25">
      <c r="A2224" s="19"/>
    </row>
    <row r="2225" spans="1:1" x14ac:dyDescent="0.25">
      <c r="A2225" s="19"/>
    </row>
    <row r="2226" spans="1:1" x14ac:dyDescent="0.25">
      <c r="A2226" s="19"/>
    </row>
    <row r="2227" spans="1:1" x14ac:dyDescent="0.25">
      <c r="A2227" s="19"/>
    </row>
    <row r="2228" spans="1:1" x14ac:dyDescent="0.25">
      <c r="A2228" s="19"/>
    </row>
    <row r="2229" spans="1:1" x14ac:dyDescent="0.25">
      <c r="A2229" s="19"/>
    </row>
    <row r="2230" spans="1:1" x14ac:dyDescent="0.25">
      <c r="A2230" s="19"/>
    </row>
    <row r="2231" spans="1:1" x14ac:dyDescent="0.25">
      <c r="A2231" s="19"/>
    </row>
    <row r="2232" spans="1:1" x14ac:dyDescent="0.25">
      <c r="A2232" s="19"/>
    </row>
    <row r="2233" spans="1:1" x14ac:dyDescent="0.25">
      <c r="A2233" s="19"/>
    </row>
    <row r="2234" spans="1:1" x14ac:dyDescent="0.25">
      <c r="A2234" s="19"/>
    </row>
    <row r="2235" spans="1:1" x14ac:dyDescent="0.25">
      <c r="A2235" s="19"/>
    </row>
    <row r="2236" spans="1:1" x14ac:dyDescent="0.25">
      <c r="A2236" s="19"/>
    </row>
    <row r="2237" spans="1:1" x14ac:dyDescent="0.25">
      <c r="A2237" s="19"/>
    </row>
    <row r="2238" spans="1:1" x14ac:dyDescent="0.25">
      <c r="A2238" s="19"/>
    </row>
    <row r="2239" spans="1:1" x14ac:dyDescent="0.25">
      <c r="A2239" s="19"/>
    </row>
    <row r="2240" spans="1:1" x14ac:dyDescent="0.25">
      <c r="A2240" s="19"/>
    </row>
    <row r="2241" spans="1:1" x14ac:dyDescent="0.25">
      <c r="A2241" s="19"/>
    </row>
    <row r="2242" spans="1:1" x14ac:dyDescent="0.25">
      <c r="A2242" s="19"/>
    </row>
    <row r="2243" spans="1:1" x14ac:dyDescent="0.25">
      <c r="A2243" s="19"/>
    </row>
    <row r="2244" spans="1:1" x14ac:dyDescent="0.25">
      <c r="A2244" s="19"/>
    </row>
    <row r="2245" spans="1:1" x14ac:dyDescent="0.25">
      <c r="A2245" s="19"/>
    </row>
    <row r="2246" spans="1:1" x14ac:dyDescent="0.25">
      <c r="A2246" s="19"/>
    </row>
    <row r="2247" spans="1:1" x14ac:dyDescent="0.25">
      <c r="A2247" s="19"/>
    </row>
    <row r="2248" spans="1:1" x14ac:dyDescent="0.25">
      <c r="A2248" s="19"/>
    </row>
    <row r="2249" spans="1:1" x14ac:dyDescent="0.25">
      <c r="A2249" s="19"/>
    </row>
    <row r="2250" spans="1:1" x14ac:dyDescent="0.25">
      <c r="A2250" s="19"/>
    </row>
    <row r="2251" spans="1:1" x14ac:dyDescent="0.25">
      <c r="A2251" s="19"/>
    </row>
    <row r="2252" spans="1:1" x14ac:dyDescent="0.25">
      <c r="A2252" s="19"/>
    </row>
    <row r="2253" spans="1:1" x14ac:dyDescent="0.25">
      <c r="A2253" s="19"/>
    </row>
    <row r="2254" spans="1:1" x14ac:dyDescent="0.25">
      <c r="A2254" s="19"/>
    </row>
    <row r="2255" spans="1:1" x14ac:dyDescent="0.25">
      <c r="A2255" s="19"/>
    </row>
    <row r="2256" spans="1:1" x14ac:dyDescent="0.25">
      <c r="A2256" s="19"/>
    </row>
    <row r="2257" spans="1:1" x14ac:dyDescent="0.25">
      <c r="A2257" s="19"/>
    </row>
    <row r="2258" spans="1:1" x14ac:dyDescent="0.25">
      <c r="A2258" s="19"/>
    </row>
    <row r="2259" spans="1:1" x14ac:dyDescent="0.25">
      <c r="A2259" s="19"/>
    </row>
    <row r="2260" spans="1:1" x14ac:dyDescent="0.25">
      <c r="A2260" s="19"/>
    </row>
    <row r="2261" spans="1:1" x14ac:dyDescent="0.25">
      <c r="A2261" s="19"/>
    </row>
    <row r="2262" spans="1:1" x14ac:dyDescent="0.25">
      <c r="A2262" s="19"/>
    </row>
    <row r="2263" spans="1:1" x14ac:dyDescent="0.25">
      <c r="A2263" s="19"/>
    </row>
    <row r="2264" spans="1:1" x14ac:dyDescent="0.25">
      <c r="A2264" s="19"/>
    </row>
    <row r="2265" spans="1:1" x14ac:dyDescent="0.25">
      <c r="A2265" s="19"/>
    </row>
    <row r="2266" spans="1:1" x14ac:dyDescent="0.25">
      <c r="A2266" s="19"/>
    </row>
    <row r="2267" spans="1:1" x14ac:dyDescent="0.25">
      <c r="A2267" s="19"/>
    </row>
    <row r="2268" spans="1:1" x14ac:dyDescent="0.25">
      <c r="A2268" s="19"/>
    </row>
    <row r="2269" spans="1:1" x14ac:dyDescent="0.25">
      <c r="A2269" s="19"/>
    </row>
    <row r="2270" spans="1:1" x14ac:dyDescent="0.25">
      <c r="A2270" s="19"/>
    </row>
    <row r="2271" spans="1:1" x14ac:dyDescent="0.25">
      <c r="A2271" s="19"/>
    </row>
    <row r="2272" spans="1:1" x14ac:dyDescent="0.25">
      <c r="A2272" s="19"/>
    </row>
    <row r="2273" spans="1:1" x14ac:dyDescent="0.25">
      <c r="A2273" s="19"/>
    </row>
    <row r="2274" spans="1:1" x14ac:dyDescent="0.25">
      <c r="A2274" s="19"/>
    </row>
    <row r="2275" spans="1:1" x14ac:dyDescent="0.25">
      <c r="A2275" s="19"/>
    </row>
    <row r="2276" spans="1:1" x14ac:dyDescent="0.25">
      <c r="A2276" s="19"/>
    </row>
    <row r="2277" spans="1:1" x14ac:dyDescent="0.25">
      <c r="A2277" s="19"/>
    </row>
    <row r="2278" spans="1:1" x14ac:dyDescent="0.25">
      <c r="A2278" s="19"/>
    </row>
    <row r="2279" spans="1:1" x14ac:dyDescent="0.25">
      <c r="A2279" s="19"/>
    </row>
    <row r="2280" spans="1:1" x14ac:dyDescent="0.25">
      <c r="A2280" s="19"/>
    </row>
    <row r="2281" spans="1:1" x14ac:dyDescent="0.25">
      <c r="A2281" s="19"/>
    </row>
    <row r="2282" spans="1:1" x14ac:dyDescent="0.25">
      <c r="A2282" s="19"/>
    </row>
    <row r="2283" spans="1:1" x14ac:dyDescent="0.25">
      <c r="A2283" s="19"/>
    </row>
    <row r="2284" spans="1:1" x14ac:dyDescent="0.25">
      <c r="A2284" s="19"/>
    </row>
    <row r="2285" spans="1:1" x14ac:dyDescent="0.25">
      <c r="A2285" s="19"/>
    </row>
    <row r="2286" spans="1:1" x14ac:dyDescent="0.25">
      <c r="A2286" s="19"/>
    </row>
    <row r="2287" spans="1:1" x14ac:dyDescent="0.25">
      <c r="A2287" s="19"/>
    </row>
    <row r="2288" spans="1:1" x14ac:dyDescent="0.25">
      <c r="A2288" s="19"/>
    </row>
    <row r="2289" spans="1:1" x14ac:dyDescent="0.25">
      <c r="A2289" s="19"/>
    </row>
    <row r="2290" spans="1:1" x14ac:dyDescent="0.25">
      <c r="A2290" s="19"/>
    </row>
    <row r="2291" spans="1:1" x14ac:dyDescent="0.25">
      <c r="A2291" s="19"/>
    </row>
    <row r="2292" spans="1:1" x14ac:dyDescent="0.25">
      <c r="A2292" s="19"/>
    </row>
    <row r="2293" spans="1:1" x14ac:dyDescent="0.25">
      <c r="A2293" s="19"/>
    </row>
    <row r="2294" spans="1:1" x14ac:dyDescent="0.25">
      <c r="A2294" s="19"/>
    </row>
    <row r="2295" spans="1:1" x14ac:dyDescent="0.25">
      <c r="A2295" s="19"/>
    </row>
    <row r="2296" spans="1:1" x14ac:dyDescent="0.25">
      <c r="A2296" s="19"/>
    </row>
    <row r="2297" spans="1:1" x14ac:dyDescent="0.25">
      <c r="A2297" s="19"/>
    </row>
    <row r="2298" spans="1:1" x14ac:dyDescent="0.25">
      <c r="A2298" s="19"/>
    </row>
    <row r="2299" spans="1:1" x14ac:dyDescent="0.25">
      <c r="A2299" s="19"/>
    </row>
    <row r="2300" spans="1:1" x14ac:dyDescent="0.25">
      <c r="A2300" s="19"/>
    </row>
    <row r="2301" spans="1:1" x14ac:dyDescent="0.25">
      <c r="A2301" s="19"/>
    </row>
    <row r="2302" spans="1:1" x14ac:dyDescent="0.25">
      <c r="A2302" s="19"/>
    </row>
    <row r="2303" spans="1:1" x14ac:dyDescent="0.25">
      <c r="A2303" s="19"/>
    </row>
    <row r="2304" spans="1:1" x14ac:dyDescent="0.25">
      <c r="A2304" s="19"/>
    </row>
    <row r="2305" spans="1:1" x14ac:dyDescent="0.25">
      <c r="A2305" s="19"/>
    </row>
    <row r="2306" spans="1:1" x14ac:dyDescent="0.25">
      <c r="A2306" s="19"/>
    </row>
    <row r="2307" spans="1:1" x14ac:dyDescent="0.25">
      <c r="A2307" s="19"/>
    </row>
    <row r="2308" spans="1:1" x14ac:dyDescent="0.25">
      <c r="A2308" s="19"/>
    </row>
    <row r="2309" spans="1:1" x14ac:dyDescent="0.25">
      <c r="A2309" s="19"/>
    </row>
    <row r="2310" spans="1:1" x14ac:dyDescent="0.25">
      <c r="A2310" s="19"/>
    </row>
    <row r="2311" spans="1:1" x14ac:dyDescent="0.25">
      <c r="A2311" s="19"/>
    </row>
    <row r="2312" spans="1:1" x14ac:dyDescent="0.25">
      <c r="A2312" s="19"/>
    </row>
    <row r="2313" spans="1:1" x14ac:dyDescent="0.25">
      <c r="A2313" s="19"/>
    </row>
    <row r="2314" spans="1:1" x14ac:dyDescent="0.25">
      <c r="A2314" s="19"/>
    </row>
    <row r="2315" spans="1:1" x14ac:dyDescent="0.25">
      <c r="A2315" s="19"/>
    </row>
    <row r="2316" spans="1:1" x14ac:dyDescent="0.25">
      <c r="A2316" s="19"/>
    </row>
    <row r="2317" spans="1:1" x14ac:dyDescent="0.25">
      <c r="A2317" s="19"/>
    </row>
    <row r="2318" spans="1:1" x14ac:dyDescent="0.25">
      <c r="A2318" s="19"/>
    </row>
    <row r="2319" spans="1:1" x14ac:dyDescent="0.25">
      <c r="A2319" s="19"/>
    </row>
    <row r="2320" spans="1:1" x14ac:dyDescent="0.25">
      <c r="A2320" s="19"/>
    </row>
    <row r="2321" spans="1:1" x14ac:dyDescent="0.25">
      <c r="A2321" s="19"/>
    </row>
    <row r="2322" spans="1:1" x14ac:dyDescent="0.25">
      <c r="A2322" s="19"/>
    </row>
    <row r="2323" spans="1:1" x14ac:dyDescent="0.25">
      <c r="A2323" s="19"/>
    </row>
    <row r="2324" spans="1:1" x14ac:dyDescent="0.25">
      <c r="A2324" s="1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400"/>
  <sheetViews>
    <sheetView tabSelected="1" zoomScaleNormal="10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G13" sqref="G13"/>
    </sheetView>
  </sheetViews>
  <sheetFormatPr defaultRowHeight="15.75" x14ac:dyDescent="0.25"/>
  <cols>
    <col min="1" max="1" width="5.75" style="24" bestFit="1" customWidth="1"/>
    <col min="2" max="2" width="9.625" style="24" bestFit="1" customWidth="1"/>
    <col min="3" max="4" width="12.75" style="24" bestFit="1" customWidth="1"/>
    <col min="5" max="5" width="16.75" style="25" bestFit="1" customWidth="1"/>
    <col min="6" max="6" width="7.375" style="24" bestFit="1" customWidth="1"/>
    <col min="7" max="7" width="8.5" style="24" bestFit="1" customWidth="1"/>
    <col min="8" max="8" width="11" style="24" bestFit="1" customWidth="1"/>
    <col min="9" max="9" width="10.625" style="24" bestFit="1" customWidth="1"/>
    <col min="10" max="10" width="8.25" style="24" bestFit="1" customWidth="1"/>
    <col min="11" max="11" width="12.75" style="24" bestFit="1" customWidth="1"/>
    <col min="12" max="12" width="5.75" style="24" bestFit="1" customWidth="1"/>
    <col min="13" max="13" width="9.125" style="24" bestFit="1" customWidth="1"/>
    <col min="14" max="14" width="8.875" style="24" bestFit="1" customWidth="1"/>
    <col min="15" max="15" width="13" style="24" bestFit="1" customWidth="1"/>
    <col min="16" max="16" width="14.875" style="24" bestFit="1" customWidth="1"/>
    <col min="17" max="18" width="4.5" style="24" bestFit="1" customWidth="1"/>
    <col min="19" max="22" width="3.5" style="24" bestFit="1" customWidth="1"/>
    <col min="23" max="16384" width="9" style="24"/>
  </cols>
  <sheetData>
    <row r="1" spans="1:22" x14ac:dyDescent="0.25">
      <c r="A1" s="26" t="s">
        <v>67</v>
      </c>
      <c r="B1" s="26" t="s">
        <v>1</v>
      </c>
      <c r="C1" s="26" t="s">
        <v>4</v>
      </c>
      <c r="D1" s="26" t="s">
        <v>7</v>
      </c>
      <c r="E1" s="26" t="s">
        <v>868</v>
      </c>
      <c r="F1" s="24" t="s">
        <v>869</v>
      </c>
      <c r="G1" s="24" t="s">
        <v>689</v>
      </c>
      <c r="H1" s="24" t="s">
        <v>870</v>
      </c>
      <c r="I1" s="24" t="s">
        <v>871</v>
      </c>
      <c r="J1" s="24" t="s">
        <v>872</v>
      </c>
      <c r="K1" s="24" t="s">
        <v>873</v>
      </c>
      <c r="L1" s="24" t="s">
        <v>690</v>
      </c>
      <c r="M1" s="24" t="s">
        <v>656</v>
      </c>
      <c r="N1" s="24" t="s">
        <v>691</v>
      </c>
      <c r="O1" s="24" t="s">
        <v>657</v>
      </c>
      <c r="P1" s="24" t="s">
        <v>692</v>
      </c>
    </row>
    <row r="2" spans="1:22" x14ac:dyDescent="0.25">
      <c r="A2" s="24" t="s">
        <v>80</v>
      </c>
      <c r="B2" s="24" t="s">
        <v>13</v>
      </c>
      <c r="C2" s="24">
        <v>94.488142058253302</v>
      </c>
      <c r="D2" s="24">
        <v>4.3874830589629701</v>
      </c>
      <c r="E2" s="25">
        <v>6.6959013929590597E-2</v>
      </c>
      <c r="F2" s="24">
        <v>8</v>
      </c>
      <c r="G2" s="24">
        <v>5.07</v>
      </c>
      <c r="H2" s="24">
        <v>19</v>
      </c>
      <c r="I2" s="24">
        <v>3</v>
      </c>
      <c r="J2" s="24" t="str">
        <f>VLOOKUP(A2,編號對照表!$B$1:$C$133,2,FALSE)</f>
        <v>FG1-91</v>
      </c>
      <c r="K2" s="24" t="s">
        <v>608</v>
      </c>
      <c r="L2" s="24" t="s">
        <v>683</v>
      </c>
      <c r="M2" s="24">
        <v>1.27</v>
      </c>
      <c r="N2" s="24">
        <v>12</v>
      </c>
      <c r="O2" s="24">
        <v>25</v>
      </c>
      <c r="P2" s="24">
        <v>15</v>
      </c>
      <c r="Q2" s="24">
        <v>80</v>
      </c>
      <c r="R2" s="24">
        <v>200</v>
      </c>
      <c r="S2" s="24">
        <v>10</v>
      </c>
      <c r="T2" s="24">
        <v>9</v>
      </c>
      <c r="U2" s="24">
        <v>3</v>
      </c>
      <c r="V2" s="24">
        <v>0</v>
      </c>
    </row>
    <row r="3" spans="1:22" x14ac:dyDescent="0.25">
      <c r="A3" s="24" t="s">
        <v>80</v>
      </c>
      <c r="B3" s="24" t="s">
        <v>15</v>
      </c>
      <c r="C3" s="24">
        <v>161.15074977278701</v>
      </c>
      <c r="D3" s="24">
        <v>33.477053511887803</v>
      </c>
      <c r="E3" s="25">
        <v>6.6959013929590597E-2</v>
      </c>
      <c r="F3" s="24">
        <v>8</v>
      </c>
      <c r="G3" s="24">
        <v>5.07</v>
      </c>
      <c r="H3" s="24">
        <v>32</v>
      </c>
      <c r="I3" s="24">
        <v>7</v>
      </c>
      <c r="J3" s="24" t="str">
        <f>VLOOKUP(A3,編號對照表!$B$1:$C$133,2,FALSE)</f>
        <v>FG1-91</v>
      </c>
      <c r="K3" s="24" t="s">
        <v>608</v>
      </c>
      <c r="L3" s="24" t="s">
        <v>683</v>
      </c>
      <c r="M3" s="24">
        <v>1.27</v>
      </c>
      <c r="N3" s="24">
        <v>12</v>
      </c>
      <c r="O3" s="24">
        <v>25</v>
      </c>
      <c r="P3" s="24">
        <v>15</v>
      </c>
      <c r="Q3" s="24">
        <v>80</v>
      </c>
      <c r="R3" s="24">
        <v>200</v>
      </c>
      <c r="S3" s="24">
        <v>10</v>
      </c>
      <c r="T3" s="24">
        <v>22</v>
      </c>
      <c r="U3" s="24">
        <v>7</v>
      </c>
      <c r="V3" s="24">
        <v>0</v>
      </c>
    </row>
    <row r="4" spans="1:22" x14ac:dyDescent="0.25">
      <c r="A4" s="24" t="s">
        <v>80</v>
      </c>
      <c r="B4" s="24" t="s">
        <v>16</v>
      </c>
      <c r="C4" s="24">
        <v>78.129321336746202</v>
      </c>
      <c r="D4" s="24">
        <v>127.05223634839101</v>
      </c>
      <c r="E4" s="25">
        <v>0.16902073984965699</v>
      </c>
      <c r="F4" s="24">
        <v>8</v>
      </c>
      <c r="G4" s="24">
        <v>5.07</v>
      </c>
      <c r="H4" s="24">
        <v>16</v>
      </c>
      <c r="I4" s="24">
        <v>26</v>
      </c>
      <c r="J4" s="24" t="str">
        <f>VLOOKUP(A4,編號對照表!$B$1:$C$133,2,FALSE)</f>
        <v>FG1-91</v>
      </c>
      <c r="K4" s="24" t="s">
        <v>849</v>
      </c>
      <c r="L4" s="24" t="s">
        <v>683</v>
      </c>
      <c r="M4" s="24">
        <v>1.27</v>
      </c>
      <c r="N4" s="24">
        <v>12</v>
      </c>
      <c r="O4" s="24">
        <v>25</v>
      </c>
      <c r="P4" s="24">
        <v>15</v>
      </c>
      <c r="Q4" s="24">
        <v>80</v>
      </c>
      <c r="R4" s="24">
        <v>200</v>
      </c>
      <c r="S4" s="24">
        <v>10</v>
      </c>
      <c r="T4" s="24">
        <v>6</v>
      </c>
      <c r="U4" s="24">
        <v>10</v>
      </c>
      <c r="V4" s="24">
        <v>16</v>
      </c>
    </row>
    <row r="5" spans="1:22" x14ac:dyDescent="0.25">
      <c r="A5" s="24" t="s">
        <v>81</v>
      </c>
      <c r="B5" s="24" t="s">
        <v>13</v>
      </c>
      <c r="C5" s="24">
        <v>56.378636509180097</v>
      </c>
      <c r="D5" s="24">
        <v>1.9348910427652299</v>
      </c>
      <c r="E5" s="25">
        <v>0.101759226527065</v>
      </c>
      <c r="F5" s="24">
        <v>8</v>
      </c>
      <c r="G5" s="24">
        <v>5.07</v>
      </c>
      <c r="H5" s="24">
        <v>12</v>
      </c>
      <c r="I5" s="24">
        <v>3</v>
      </c>
      <c r="J5" s="24" t="str">
        <f>VLOOKUP(A5,編號對照表!$B$1:$C$133,2,FALSE)</f>
        <v>FG1-81</v>
      </c>
      <c r="K5" s="24" t="s">
        <v>628</v>
      </c>
      <c r="L5" s="24" t="s">
        <v>683</v>
      </c>
      <c r="M5" s="24">
        <v>1.27</v>
      </c>
      <c r="N5" s="24">
        <v>12</v>
      </c>
      <c r="O5" s="24">
        <v>25</v>
      </c>
      <c r="P5" s="24">
        <v>15</v>
      </c>
      <c r="Q5" s="24">
        <v>80</v>
      </c>
      <c r="R5" s="24">
        <v>200</v>
      </c>
      <c r="S5" s="24">
        <v>10</v>
      </c>
      <c r="T5" s="24">
        <v>2</v>
      </c>
      <c r="U5" s="24">
        <v>3</v>
      </c>
      <c r="V5" s="24">
        <v>0</v>
      </c>
    </row>
    <row r="6" spans="1:22" x14ac:dyDescent="0.25">
      <c r="A6" s="24" t="s">
        <v>81</v>
      </c>
      <c r="B6" s="24" t="s">
        <v>15</v>
      </c>
      <c r="C6" s="24">
        <v>99.376421421766295</v>
      </c>
      <c r="D6" s="24">
        <v>1E-3</v>
      </c>
      <c r="E6" s="25">
        <v>0.22486499510705499</v>
      </c>
      <c r="F6" s="24">
        <v>8</v>
      </c>
      <c r="G6" s="24">
        <v>5.07</v>
      </c>
      <c r="H6" s="24">
        <v>20</v>
      </c>
      <c r="I6" s="24">
        <v>3</v>
      </c>
      <c r="J6" s="24" t="str">
        <f>VLOOKUP(A6,編號對照表!$B$1:$C$133,2,FALSE)</f>
        <v>FG1-81</v>
      </c>
      <c r="K6" s="24" t="s">
        <v>628</v>
      </c>
      <c r="L6" s="24" t="s">
        <v>683</v>
      </c>
      <c r="M6" s="24">
        <v>1.27</v>
      </c>
      <c r="N6" s="24">
        <v>10</v>
      </c>
      <c r="O6" s="24">
        <v>25</v>
      </c>
      <c r="P6" s="24">
        <v>15</v>
      </c>
      <c r="Q6" s="24">
        <v>80</v>
      </c>
      <c r="R6" s="24">
        <v>200</v>
      </c>
      <c r="S6" s="24">
        <v>10</v>
      </c>
      <c r="T6" s="24">
        <v>10</v>
      </c>
      <c r="U6" s="24">
        <v>3</v>
      </c>
      <c r="V6" s="24">
        <v>0</v>
      </c>
    </row>
    <row r="7" spans="1:22" x14ac:dyDescent="0.25">
      <c r="A7" s="24" t="s">
        <v>81</v>
      </c>
      <c r="B7" s="24" t="s">
        <v>16</v>
      </c>
      <c r="C7" s="24">
        <v>36.574471741914699</v>
      </c>
      <c r="D7" s="24">
        <v>138.02084140479599</v>
      </c>
      <c r="E7" s="25">
        <v>0.38863082882016903</v>
      </c>
      <c r="F7" s="24">
        <v>8</v>
      </c>
      <c r="G7" s="24">
        <v>5.07</v>
      </c>
      <c r="H7" s="24">
        <v>8</v>
      </c>
      <c r="I7" s="24">
        <v>28</v>
      </c>
      <c r="J7" s="24" t="str">
        <f>VLOOKUP(A7,編號對照表!$B$1:$C$133,2,FALSE)</f>
        <v>FG1-81</v>
      </c>
      <c r="K7" s="24" t="s">
        <v>741</v>
      </c>
      <c r="L7" s="24" t="s">
        <v>874</v>
      </c>
      <c r="M7" s="24">
        <v>2.54</v>
      </c>
      <c r="N7" s="24">
        <v>12</v>
      </c>
      <c r="O7" s="24">
        <v>25</v>
      </c>
      <c r="P7" s="24">
        <v>15</v>
      </c>
      <c r="Q7" s="24">
        <v>80</v>
      </c>
      <c r="R7" s="24">
        <v>200</v>
      </c>
      <c r="S7" s="24">
        <v>8</v>
      </c>
      <c r="T7" s="24">
        <v>0</v>
      </c>
      <c r="U7" s="24">
        <v>10</v>
      </c>
      <c r="V7" s="24">
        <v>18</v>
      </c>
    </row>
    <row r="8" spans="1:22" x14ac:dyDescent="0.25">
      <c r="A8" s="24" t="s">
        <v>242</v>
      </c>
      <c r="B8" s="24" t="s">
        <v>13</v>
      </c>
      <c r="C8" s="24">
        <v>1E-3</v>
      </c>
      <c r="D8" s="24">
        <v>115.300631150603</v>
      </c>
      <c r="E8" s="25">
        <v>0.35398870240896901</v>
      </c>
      <c r="F8" s="24">
        <v>8</v>
      </c>
      <c r="G8" s="24">
        <v>5.07</v>
      </c>
      <c r="H8" s="24">
        <v>3</v>
      </c>
      <c r="I8" s="24">
        <v>23</v>
      </c>
      <c r="J8" s="24" t="str">
        <f>VLOOKUP(A8,編號對照表!$B$1:$C$133,2,FALSE)</f>
        <v>FG1-82</v>
      </c>
      <c r="K8" s="24" t="s">
        <v>676</v>
      </c>
      <c r="L8" s="24" t="s">
        <v>874</v>
      </c>
      <c r="M8" s="24">
        <v>2.54</v>
      </c>
      <c r="N8" s="24">
        <v>12</v>
      </c>
      <c r="O8" s="24">
        <v>25</v>
      </c>
      <c r="P8" s="24">
        <v>15</v>
      </c>
      <c r="Q8" s="24">
        <v>80</v>
      </c>
      <c r="R8" s="24">
        <v>200</v>
      </c>
      <c r="S8" s="24">
        <v>3</v>
      </c>
      <c r="T8" s="24">
        <v>0</v>
      </c>
      <c r="U8" s="24">
        <v>10</v>
      </c>
      <c r="V8" s="24">
        <v>13</v>
      </c>
    </row>
    <row r="9" spans="1:22" x14ac:dyDescent="0.25">
      <c r="A9" s="24" t="s">
        <v>242</v>
      </c>
      <c r="B9" s="24" t="s">
        <v>15</v>
      </c>
      <c r="C9" s="24">
        <v>55.103199556469903</v>
      </c>
      <c r="D9" s="24">
        <v>34.789165947586298</v>
      </c>
      <c r="E9" s="25">
        <v>0.36374116316437699</v>
      </c>
      <c r="F9" s="24">
        <v>8</v>
      </c>
      <c r="G9" s="24">
        <v>5.07</v>
      </c>
      <c r="H9" s="24">
        <v>11</v>
      </c>
      <c r="I9" s="24">
        <v>7</v>
      </c>
      <c r="J9" s="24" t="str">
        <f>VLOOKUP(A9,編號對照表!$B$1:$C$133,2,FALSE)</f>
        <v>FG1-82</v>
      </c>
      <c r="K9" s="24" t="s">
        <v>850</v>
      </c>
      <c r="L9" s="24" t="s">
        <v>874</v>
      </c>
      <c r="M9" s="24">
        <v>2.54</v>
      </c>
      <c r="N9" s="24">
        <v>12</v>
      </c>
      <c r="O9" s="24">
        <v>25</v>
      </c>
      <c r="P9" s="24">
        <v>15</v>
      </c>
      <c r="Q9" s="24">
        <v>80</v>
      </c>
      <c r="R9" s="24">
        <v>200</v>
      </c>
      <c r="S9" s="24">
        <v>9</v>
      </c>
      <c r="T9" s="24">
        <v>2</v>
      </c>
      <c r="U9" s="24">
        <v>7</v>
      </c>
      <c r="V9" s="24">
        <v>0</v>
      </c>
    </row>
    <row r="10" spans="1:22" x14ac:dyDescent="0.25">
      <c r="A10" s="24" t="s">
        <v>242</v>
      </c>
      <c r="B10" s="24" t="s">
        <v>16</v>
      </c>
      <c r="C10" s="24">
        <v>118.15913952887099</v>
      </c>
      <c r="D10" s="24">
        <v>87.218191474676104</v>
      </c>
      <c r="E10" s="25">
        <v>0.16942394431680399</v>
      </c>
      <c r="F10" s="24">
        <v>8</v>
      </c>
      <c r="G10" s="24">
        <v>5.07</v>
      </c>
      <c r="H10" s="24">
        <v>24</v>
      </c>
      <c r="I10" s="24">
        <v>18</v>
      </c>
      <c r="J10" s="24" t="str">
        <f>VLOOKUP(A10,編號對照表!$B$1:$C$133,2,FALSE)</f>
        <v>FG1-82</v>
      </c>
      <c r="K10" s="24" t="s">
        <v>676</v>
      </c>
      <c r="L10" s="24" t="s">
        <v>683</v>
      </c>
      <c r="M10" s="24">
        <v>1.27</v>
      </c>
      <c r="N10" s="24">
        <v>12</v>
      </c>
      <c r="O10" s="24">
        <v>25</v>
      </c>
      <c r="P10" s="24">
        <v>15</v>
      </c>
      <c r="Q10" s="24">
        <v>80</v>
      </c>
      <c r="R10" s="24">
        <v>200</v>
      </c>
      <c r="S10" s="24">
        <v>10</v>
      </c>
      <c r="T10" s="24">
        <v>14</v>
      </c>
      <c r="U10" s="24">
        <v>10</v>
      </c>
      <c r="V10" s="24">
        <v>8</v>
      </c>
    </row>
    <row r="11" spans="1:22" x14ac:dyDescent="0.25">
      <c r="A11" s="24" t="s">
        <v>244</v>
      </c>
      <c r="B11" s="24" t="s">
        <v>13</v>
      </c>
      <c r="C11" s="24">
        <v>63.8486910611391</v>
      </c>
      <c r="D11" s="24">
        <v>1E-3</v>
      </c>
      <c r="E11" s="25">
        <v>0.25442703627049901</v>
      </c>
      <c r="F11" s="24">
        <v>8</v>
      </c>
      <c r="G11" s="24">
        <v>5.07</v>
      </c>
      <c r="H11" s="24">
        <v>13</v>
      </c>
      <c r="I11" s="24">
        <v>3</v>
      </c>
      <c r="J11" s="24" t="str">
        <f>VLOOKUP(A11,編號對照表!$B$1:$C$133,2,FALSE)</f>
        <v>Fb1-71</v>
      </c>
      <c r="K11" s="24" t="s">
        <v>609</v>
      </c>
      <c r="L11" s="24" t="s">
        <v>694</v>
      </c>
      <c r="M11" s="24">
        <v>2.54</v>
      </c>
      <c r="N11" s="24">
        <v>15</v>
      </c>
      <c r="O11" s="24">
        <v>25</v>
      </c>
      <c r="P11" s="24">
        <v>15</v>
      </c>
      <c r="Q11" s="24">
        <v>60</v>
      </c>
      <c r="R11" s="24">
        <v>200</v>
      </c>
      <c r="S11" s="24">
        <v>7</v>
      </c>
      <c r="T11" s="24">
        <v>6</v>
      </c>
      <c r="U11" s="24">
        <v>3</v>
      </c>
      <c r="V11" s="24">
        <v>0</v>
      </c>
    </row>
    <row r="12" spans="1:22" x14ac:dyDescent="0.25">
      <c r="A12" s="24" t="s">
        <v>244</v>
      </c>
      <c r="B12" s="24" t="s">
        <v>15</v>
      </c>
      <c r="C12" s="24">
        <v>89.345751330256505</v>
      </c>
      <c r="D12" s="24">
        <v>1E-3</v>
      </c>
      <c r="E12" s="25">
        <v>0.116837408859283</v>
      </c>
      <c r="F12" s="24">
        <v>8</v>
      </c>
      <c r="G12" s="24">
        <v>5.07</v>
      </c>
      <c r="H12" s="24">
        <v>18</v>
      </c>
      <c r="I12" s="24">
        <v>3</v>
      </c>
      <c r="J12" s="24" t="str">
        <f>VLOOKUP(A12,編號對照表!$B$1:$C$133,2,FALSE)</f>
        <v>Fb1-71</v>
      </c>
      <c r="K12" s="24" t="s">
        <v>742</v>
      </c>
      <c r="L12" s="24" t="s">
        <v>683</v>
      </c>
      <c r="M12" s="24">
        <v>1.27</v>
      </c>
      <c r="N12" s="24">
        <v>15</v>
      </c>
      <c r="O12" s="24">
        <v>25</v>
      </c>
      <c r="P12" s="24">
        <v>15</v>
      </c>
      <c r="Q12" s="24">
        <v>60</v>
      </c>
      <c r="R12" s="24">
        <v>200</v>
      </c>
      <c r="S12" s="24">
        <v>7</v>
      </c>
      <c r="T12" s="24">
        <v>11</v>
      </c>
      <c r="U12" s="24">
        <v>3</v>
      </c>
      <c r="V12" s="24">
        <v>0</v>
      </c>
    </row>
    <row r="13" spans="1:22" x14ac:dyDescent="0.25">
      <c r="A13" s="24" t="s">
        <v>244</v>
      </c>
      <c r="B13" s="24" t="s">
        <v>16</v>
      </c>
      <c r="C13" s="24">
        <v>34.190851729363203</v>
      </c>
      <c r="D13" s="24">
        <v>83.477366715669604</v>
      </c>
      <c r="E13" s="25">
        <v>0.16485597006976599</v>
      </c>
      <c r="F13" s="24">
        <v>8</v>
      </c>
      <c r="G13" s="24">
        <v>5.07</v>
      </c>
      <c r="H13" s="24">
        <v>7</v>
      </c>
      <c r="I13" s="24">
        <v>17</v>
      </c>
      <c r="J13" s="24" t="str">
        <f>VLOOKUP(A13,編號對照表!$B$1:$C$133,2,FALSE)</f>
        <v>Fb1-71</v>
      </c>
      <c r="K13" s="24" t="s">
        <v>742</v>
      </c>
      <c r="L13" s="24" t="s">
        <v>683</v>
      </c>
      <c r="M13" s="24">
        <v>1.27</v>
      </c>
      <c r="N13" s="24">
        <v>15</v>
      </c>
      <c r="O13" s="24">
        <v>25</v>
      </c>
      <c r="P13" s="24">
        <v>15</v>
      </c>
      <c r="Q13" s="24">
        <v>60</v>
      </c>
      <c r="R13" s="24">
        <v>200</v>
      </c>
      <c r="S13" s="24">
        <v>7</v>
      </c>
      <c r="T13" s="24">
        <v>0</v>
      </c>
      <c r="U13" s="24">
        <v>7</v>
      </c>
      <c r="V13" s="24">
        <v>10</v>
      </c>
    </row>
    <row r="14" spans="1:22" x14ac:dyDescent="0.25">
      <c r="A14" s="24" t="s">
        <v>246</v>
      </c>
      <c r="B14" s="24" t="s">
        <v>13</v>
      </c>
      <c r="C14" s="24">
        <v>0</v>
      </c>
      <c r="D14" s="24">
        <v>83.737922832369804</v>
      </c>
      <c r="E14" s="25">
        <v>0.115681358147413</v>
      </c>
      <c r="F14" s="24">
        <v>8</v>
      </c>
      <c r="G14" s="24">
        <v>5.07</v>
      </c>
      <c r="H14" s="24">
        <v>3</v>
      </c>
      <c r="I14" s="24">
        <v>17</v>
      </c>
      <c r="J14" s="24" t="str">
        <f>VLOOKUP(A14,編號對照表!$B$1:$C$133,2,FALSE)</f>
        <v>Fb1-72</v>
      </c>
      <c r="K14" s="24" t="s">
        <v>743</v>
      </c>
      <c r="L14" s="24" t="s">
        <v>683</v>
      </c>
      <c r="M14" s="24">
        <v>1.27</v>
      </c>
      <c r="N14" s="24">
        <v>15</v>
      </c>
      <c r="O14" s="24">
        <v>25</v>
      </c>
      <c r="P14" s="24">
        <v>15</v>
      </c>
      <c r="Q14" s="24">
        <v>60</v>
      </c>
      <c r="R14" s="24">
        <v>200</v>
      </c>
      <c r="S14" s="24">
        <v>3</v>
      </c>
      <c r="T14" s="24">
        <v>0</v>
      </c>
      <c r="U14" s="24">
        <v>7</v>
      </c>
      <c r="V14" s="24">
        <v>10</v>
      </c>
    </row>
    <row r="15" spans="1:22" x14ac:dyDescent="0.25">
      <c r="A15" s="24" t="s">
        <v>246</v>
      </c>
      <c r="B15" s="24" t="s">
        <v>15</v>
      </c>
      <c r="C15" s="24">
        <v>14.2463308293372</v>
      </c>
      <c r="D15" s="24">
        <v>20.705331116914699</v>
      </c>
      <c r="E15" s="25">
        <v>0.117918977048248</v>
      </c>
      <c r="F15" s="24">
        <v>8</v>
      </c>
      <c r="G15" s="24">
        <v>5.07</v>
      </c>
      <c r="H15" s="24">
        <v>3</v>
      </c>
      <c r="I15" s="24">
        <v>5</v>
      </c>
      <c r="J15" s="24" t="str">
        <f>VLOOKUP(A15,編號對照表!$B$1:$C$133,2,FALSE)</f>
        <v>Fb1-72</v>
      </c>
      <c r="K15" s="24" t="s">
        <v>636</v>
      </c>
      <c r="L15" s="24" t="s">
        <v>683</v>
      </c>
      <c r="M15" s="24">
        <v>1.27</v>
      </c>
      <c r="N15" s="24">
        <v>15</v>
      </c>
      <c r="O15" s="24">
        <v>25</v>
      </c>
      <c r="P15" s="24">
        <v>15</v>
      </c>
      <c r="Q15" s="24">
        <v>60</v>
      </c>
      <c r="R15" s="24">
        <v>200</v>
      </c>
      <c r="S15" s="24">
        <v>3</v>
      </c>
      <c r="T15" s="24">
        <v>0</v>
      </c>
      <c r="U15" s="24">
        <v>5</v>
      </c>
      <c r="V15" s="24">
        <v>0</v>
      </c>
    </row>
    <row r="16" spans="1:22" x14ac:dyDescent="0.25">
      <c r="A16" s="24" t="s">
        <v>246</v>
      </c>
      <c r="B16" s="24" t="s">
        <v>16</v>
      </c>
      <c r="C16" s="24">
        <v>21.169565152376901</v>
      </c>
      <c r="D16" s="24">
        <v>42.105689644813502</v>
      </c>
      <c r="E16" s="25">
        <v>7.0758757647126899E-2</v>
      </c>
      <c r="F16" s="24">
        <v>8</v>
      </c>
      <c r="G16" s="24">
        <v>5.07</v>
      </c>
      <c r="H16" s="24">
        <v>5</v>
      </c>
      <c r="I16" s="24">
        <v>9</v>
      </c>
      <c r="J16" s="24" t="str">
        <f>VLOOKUP(A16,編號對照表!$B$1:$C$133,2,FALSE)</f>
        <v>Fb1-72</v>
      </c>
      <c r="K16" s="24" t="s">
        <v>636</v>
      </c>
      <c r="L16" s="24" t="s">
        <v>683</v>
      </c>
      <c r="M16" s="24">
        <v>1.27</v>
      </c>
      <c r="N16" s="24">
        <v>15</v>
      </c>
      <c r="O16" s="24">
        <v>25</v>
      </c>
      <c r="P16" s="24">
        <v>15</v>
      </c>
      <c r="Q16" s="24">
        <v>60</v>
      </c>
      <c r="R16" s="24">
        <v>200</v>
      </c>
      <c r="S16" s="24">
        <v>5</v>
      </c>
      <c r="T16" s="24">
        <v>0</v>
      </c>
      <c r="U16" s="24">
        <v>7</v>
      </c>
      <c r="V16" s="24">
        <v>2</v>
      </c>
    </row>
    <row r="17" spans="1:22" x14ac:dyDescent="0.25">
      <c r="A17" s="24" t="s">
        <v>248</v>
      </c>
      <c r="B17" s="24" t="s">
        <v>13</v>
      </c>
      <c r="C17" s="24">
        <v>87.567456066608401</v>
      </c>
      <c r="D17" s="24">
        <v>0.98636191978584997</v>
      </c>
      <c r="E17" s="25">
        <v>0.170481775421649</v>
      </c>
      <c r="F17" s="24">
        <v>8</v>
      </c>
      <c r="G17" s="24">
        <v>5.07</v>
      </c>
      <c r="H17" s="24">
        <v>18</v>
      </c>
      <c r="I17" s="24">
        <v>3</v>
      </c>
      <c r="J17" s="24" t="str">
        <f>VLOOKUP(A17,編號對照表!$B$1:$C$133,2,FALSE)</f>
        <v>FG1-71</v>
      </c>
      <c r="K17" s="24" t="s">
        <v>744</v>
      </c>
      <c r="L17" s="24" t="s">
        <v>683</v>
      </c>
      <c r="M17" s="24">
        <v>1.27</v>
      </c>
      <c r="N17" s="24">
        <v>12</v>
      </c>
      <c r="O17" s="24">
        <v>25</v>
      </c>
      <c r="P17" s="24">
        <v>15</v>
      </c>
      <c r="Q17" s="24">
        <v>80</v>
      </c>
      <c r="R17" s="24">
        <v>200</v>
      </c>
      <c r="S17" s="24">
        <v>10</v>
      </c>
      <c r="T17" s="24">
        <v>8</v>
      </c>
      <c r="U17" s="24">
        <v>3</v>
      </c>
      <c r="V17" s="24">
        <v>0</v>
      </c>
    </row>
    <row r="18" spans="1:22" x14ac:dyDescent="0.25">
      <c r="A18" s="24" t="s">
        <v>248</v>
      </c>
      <c r="B18" s="24" t="s">
        <v>15</v>
      </c>
      <c r="C18" s="24">
        <v>128.20582836866399</v>
      </c>
      <c r="D18" s="24">
        <v>1E-3</v>
      </c>
      <c r="E18" s="25">
        <v>0.30085365287959598</v>
      </c>
      <c r="F18" s="24">
        <v>8</v>
      </c>
      <c r="G18" s="24">
        <v>5.07</v>
      </c>
      <c r="H18" s="24">
        <v>26</v>
      </c>
      <c r="I18" s="24">
        <v>3</v>
      </c>
      <c r="J18" s="24" t="str">
        <f>VLOOKUP(A18,編號對照表!$B$1:$C$133,2,FALSE)</f>
        <v>FG1-71</v>
      </c>
      <c r="K18" s="24" t="s">
        <v>744</v>
      </c>
      <c r="L18" s="24" t="s">
        <v>874</v>
      </c>
      <c r="M18" s="24">
        <v>2.54</v>
      </c>
      <c r="N18" s="24">
        <v>15</v>
      </c>
      <c r="O18" s="24">
        <v>25</v>
      </c>
      <c r="P18" s="24">
        <v>15</v>
      </c>
      <c r="Q18" s="24">
        <v>80</v>
      </c>
      <c r="R18" s="24">
        <v>200</v>
      </c>
      <c r="S18" s="24">
        <v>10</v>
      </c>
      <c r="T18" s="24">
        <v>16</v>
      </c>
      <c r="U18" s="24">
        <v>3</v>
      </c>
      <c r="V18" s="24">
        <v>0</v>
      </c>
    </row>
    <row r="19" spans="1:22" x14ac:dyDescent="0.25">
      <c r="A19" s="24" t="s">
        <v>248</v>
      </c>
      <c r="B19" s="24" t="s">
        <v>16</v>
      </c>
      <c r="C19" s="24">
        <v>51.8641481176019</v>
      </c>
      <c r="D19" s="24">
        <v>164.83385115861901</v>
      </c>
      <c r="E19" s="25">
        <v>0.49603004008531598</v>
      </c>
      <c r="F19" s="24">
        <v>8</v>
      </c>
      <c r="G19" s="24">
        <v>5.07</v>
      </c>
      <c r="H19" s="24">
        <v>11</v>
      </c>
      <c r="I19" s="24">
        <v>33</v>
      </c>
      <c r="J19" s="24" t="str">
        <f>VLOOKUP(A19,編號對照表!$B$1:$C$133,2,FALSE)</f>
        <v>FG1-71</v>
      </c>
      <c r="K19" s="24" t="s">
        <v>744</v>
      </c>
      <c r="L19" s="24" t="s">
        <v>694</v>
      </c>
      <c r="M19" s="24">
        <v>2.54</v>
      </c>
      <c r="N19" s="24">
        <v>10</v>
      </c>
      <c r="O19" s="24">
        <v>25</v>
      </c>
      <c r="P19" s="24">
        <v>15</v>
      </c>
      <c r="Q19" s="24">
        <v>80</v>
      </c>
      <c r="R19" s="24">
        <v>200</v>
      </c>
      <c r="S19" s="24">
        <v>9</v>
      </c>
      <c r="T19" s="24">
        <v>2</v>
      </c>
      <c r="U19" s="24">
        <v>10</v>
      </c>
      <c r="V19" s="24">
        <v>23</v>
      </c>
    </row>
    <row r="20" spans="1:22" x14ac:dyDescent="0.25">
      <c r="A20" s="24" t="s">
        <v>249</v>
      </c>
      <c r="B20" s="24" t="s">
        <v>13</v>
      </c>
      <c r="C20" s="24">
        <v>1E-3</v>
      </c>
      <c r="D20" s="24">
        <v>160.35415232181501</v>
      </c>
      <c r="E20" s="25">
        <v>0.373009475879371</v>
      </c>
      <c r="F20" s="24">
        <v>8</v>
      </c>
      <c r="G20" s="24">
        <v>5.07</v>
      </c>
      <c r="H20" s="24">
        <v>3</v>
      </c>
      <c r="I20" s="24">
        <v>32</v>
      </c>
      <c r="J20" s="24" t="str">
        <f>VLOOKUP(A20,編號對照表!$B$1:$C$133,2,FALSE)</f>
        <v>FG1-72</v>
      </c>
      <c r="K20" s="24" t="s">
        <v>745</v>
      </c>
      <c r="L20" s="24" t="s">
        <v>694</v>
      </c>
      <c r="M20" s="24">
        <v>2.54</v>
      </c>
      <c r="N20" s="24">
        <v>12</v>
      </c>
      <c r="O20" s="24">
        <v>25</v>
      </c>
      <c r="P20" s="24">
        <v>15</v>
      </c>
      <c r="Q20" s="24">
        <v>80</v>
      </c>
      <c r="R20" s="24">
        <v>200</v>
      </c>
      <c r="S20" s="24">
        <v>3</v>
      </c>
      <c r="T20" s="24">
        <v>0</v>
      </c>
      <c r="U20" s="24">
        <v>10</v>
      </c>
      <c r="V20" s="24">
        <v>22</v>
      </c>
    </row>
    <row r="21" spans="1:22" x14ac:dyDescent="0.25">
      <c r="A21" s="24" t="s">
        <v>249</v>
      </c>
      <c r="B21" s="24" t="s">
        <v>15</v>
      </c>
      <c r="C21" s="24">
        <v>18.0228927638382</v>
      </c>
      <c r="D21" s="24">
        <v>59.037813916802399</v>
      </c>
      <c r="E21" s="25">
        <v>0.38276193663477898</v>
      </c>
      <c r="F21" s="24">
        <v>8</v>
      </c>
      <c r="G21" s="24">
        <v>5.07</v>
      </c>
      <c r="H21" s="24">
        <v>4</v>
      </c>
      <c r="I21" s="24">
        <v>12</v>
      </c>
      <c r="J21" s="24" t="str">
        <f>VLOOKUP(A21,編號對照表!$B$1:$C$133,2,FALSE)</f>
        <v>FG1-72</v>
      </c>
      <c r="K21" s="24" t="s">
        <v>745</v>
      </c>
      <c r="L21" s="24" t="s">
        <v>874</v>
      </c>
      <c r="M21" s="24">
        <v>2.54</v>
      </c>
      <c r="N21" s="24">
        <v>12</v>
      </c>
      <c r="O21" s="24">
        <v>25</v>
      </c>
      <c r="P21" s="24">
        <v>15</v>
      </c>
      <c r="Q21" s="24">
        <v>80</v>
      </c>
      <c r="R21" s="24">
        <v>200</v>
      </c>
      <c r="S21" s="24">
        <v>4</v>
      </c>
      <c r="T21" s="24">
        <v>0</v>
      </c>
      <c r="U21" s="24">
        <v>10</v>
      </c>
      <c r="V21" s="24">
        <v>2</v>
      </c>
    </row>
    <row r="22" spans="1:22" x14ac:dyDescent="0.25">
      <c r="A22" s="24" t="s">
        <v>249</v>
      </c>
      <c r="B22" s="24" t="s">
        <v>16</v>
      </c>
      <c r="C22" s="24">
        <v>73.680835776031003</v>
      </c>
      <c r="D22" s="24">
        <v>137.162478640676</v>
      </c>
      <c r="E22" s="25">
        <v>0.27737319469451899</v>
      </c>
      <c r="F22" s="24">
        <v>8</v>
      </c>
      <c r="G22" s="24">
        <v>5.07</v>
      </c>
      <c r="H22" s="24">
        <v>15</v>
      </c>
      <c r="I22" s="24">
        <v>28</v>
      </c>
      <c r="J22" s="24" t="str">
        <f>VLOOKUP(A22,編號對照表!$B$1:$C$133,2,FALSE)</f>
        <v>FG1-72</v>
      </c>
      <c r="K22" s="24" t="s">
        <v>677</v>
      </c>
      <c r="L22" s="24" t="s">
        <v>694</v>
      </c>
      <c r="M22" s="24">
        <v>2.54</v>
      </c>
      <c r="N22" s="24">
        <v>15</v>
      </c>
      <c r="O22" s="24">
        <v>25</v>
      </c>
      <c r="P22" s="24">
        <v>15</v>
      </c>
      <c r="Q22" s="24">
        <v>80</v>
      </c>
      <c r="R22" s="24">
        <v>200</v>
      </c>
      <c r="S22" s="24">
        <v>10</v>
      </c>
      <c r="T22" s="24">
        <v>5</v>
      </c>
      <c r="U22" s="24">
        <v>10</v>
      </c>
      <c r="V22" s="24">
        <v>18</v>
      </c>
    </row>
    <row r="23" spans="1:22" x14ac:dyDescent="0.25">
      <c r="A23" s="24" t="s">
        <v>250</v>
      </c>
      <c r="B23" s="24" t="s">
        <v>13</v>
      </c>
      <c r="C23" s="24">
        <v>125.97503140568701</v>
      </c>
      <c r="D23" s="24">
        <v>1E-3</v>
      </c>
      <c r="E23" s="25">
        <v>0</v>
      </c>
      <c r="F23" s="24">
        <v>8</v>
      </c>
      <c r="G23" s="24">
        <v>5.07</v>
      </c>
      <c r="H23" s="24">
        <v>25</v>
      </c>
      <c r="I23" s="24">
        <v>3</v>
      </c>
      <c r="J23" s="24" t="str">
        <f>VLOOKUP(A23,編號對照表!$B$1:$C$133,2,FALSE)</f>
        <v>FB1-E'2</v>
      </c>
      <c r="K23" s="24" t="s">
        <v>577</v>
      </c>
      <c r="L23" s="24" t="s">
        <v>683</v>
      </c>
      <c r="M23" s="24">
        <v>1.27</v>
      </c>
      <c r="N23" s="24">
        <v>12</v>
      </c>
      <c r="O23" s="24">
        <v>25</v>
      </c>
      <c r="P23" s="24">
        <v>15</v>
      </c>
      <c r="Q23" s="24">
        <v>80</v>
      </c>
      <c r="R23" s="24">
        <v>200</v>
      </c>
      <c r="S23" s="24">
        <v>10</v>
      </c>
      <c r="T23" s="24">
        <v>15</v>
      </c>
      <c r="U23" s="24">
        <v>3</v>
      </c>
      <c r="V23" s="24">
        <v>0</v>
      </c>
    </row>
    <row r="24" spans="1:22" x14ac:dyDescent="0.25">
      <c r="A24" s="24" t="s">
        <v>250</v>
      </c>
      <c r="B24" s="24" t="s">
        <v>15</v>
      </c>
      <c r="C24" s="24">
        <v>120.776789262891</v>
      </c>
      <c r="D24" s="24">
        <v>1E-3</v>
      </c>
      <c r="E24" s="25">
        <v>0.22655555512756101</v>
      </c>
      <c r="F24" s="24">
        <v>8</v>
      </c>
      <c r="G24" s="24">
        <v>5.07</v>
      </c>
      <c r="H24" s="24">
        <v>24</v>
      </c>
      <c r="I24" s="24">
        <v>3</v>
      </c>
      <c r="J24" s="24" t="str">
        <f>VLOOKUP(A24,編號對照表!$B$1:$C$133,2,FALSE)</f>
        <v>FB1-E'2</v>
      </c>
      <c r="K24" s="24" t="s">
        <v>577</v>
      </c>
      <c r="L24" s="24" t="s">
        <v>683</v>
      </c>
      <c r="M24" s="24">
        <v>1.27</v>
      </c>
      <c r="N24" s="24">
        <v>10</v>
      </c>
      <c r="O24" s="24">
        <v>25</v>
      </c>
      <c r="P24" s="24">
        <v>15</v>
      </c>
      <c r="Q24" s="24">
        <v>80</v>
      </c>
      <c r="R24" s="24">
        <v>200</v>
      </c>
      <c r="S24" s="24">
        <v>10</v>
      </c>
      <c r="T24" s="24">
        <v>14</v>
      </c>
      <c r="U24" s="24">
        <v>3</v>
      </c>
      <c r="V24" s="24">
        <v>0</v>
      </c>
    </row>
    <row r="25" spans="1:22" x14ac:dyDescent="0.25">
      <c r="A25" s="24" t="s">
        <v>250</v>
      </c>
      <c r="B25" s="24" t="s">
        <v>16</v>
      </c>
      <c r="C25" s="24">
        <v>24.047286715358499</v>
      </c>
      <c r="D25" s="24">
        <v>7.9626258229836804</v>
      </c>
      <c r="E25" s="25">
        <v>0.21265922114253</v>
      </c>
      <c r="F25" s="24">
        <v>8</v>
      </c>
      <c r="G25" s="24">
        <v>5.07</v>
      </c>
      <c r="H25" s="24">
        <v>5</v>
      </c>
      <c r="I25" s="24">
        <v>3</v>
      </c>
      <c r="J25" s="24" t="str">
        <f>VLOOKUP(A25,編號對照表!$B$1:$C$133,2,FALSE)</f>
        <v>FB1-E'2</v>
      </c>
      <c r="K25" s="24" t="s">
        <v>746</v>
      </c>
      <c r="L25" s="24" t="s">
        <v>683</v>
      </c>
      <c r="M25" s="24">
        <v>1.27</v>
      </c>
      <c r="N25" s="24">
        <v>10</v>
      </c>
      <c r="O25" s="24">
        <v>25</v>
      </c>
      <c r="P25" s="24">
        <v>15</v>
      </c>
      <c r="Q25" s="24">
        <v>80</v>
      </c>
      <c r="R25" s="24">
        <v>200</v>
      </c>
      <c r="S25" s="24">
        <v>5</v>
      </c>
      <c r="T25" s="24">
        <v>0</v>
      </c>
      <c r="U25" s="24">
        <v>3</v>
      </c>
      <c r="V25" s="24">
        <v>0</v>
      </c>
    </row>
    <row r="26" spans="1:22" x14ac:dyDescent="0.25">
      <c r="A26" s="24" t="s">
        <v>251</v>
      </c>
      <c r="B26" s="24" t="s">
        <v>13</v>
      </c>
      <c r="C26" s="24">
        <v>14.1259434167296</v>
      </c>
      <c r="D26" s="24">
        <v>55.720410309732003</v>
      </c>
      <c r="E26" s="25">
        <v>0</v>
      </c>
      <c r="F26" s="24">
        <v>8</v>
      </c>
      <c r="G26" s="24">
        <v>5.07</v>
      </c>
      <c r="H26" s="24">
        <v>3</v>
      </c>
      <c r="I26" s="24">
        <v>11</v>
      </c>
      <c r="J26" s="24" t="str">
        <f>VLOOKUP(A26,編號對照表!$B$1:$C$133,2,FALSE)</f>
        <v>FG1-86</v>
      </c>
      <c r="K26" s="24" t="s">
        <v>610</v>
      </c>
      <c r="L26" s="24" t="s">
        <v>683</v>
      </c>
      <c r="M26" s="24">
        <v>1.27</v>
      </c>
      <c r="N26" s="24">
        <v>12</v>
      </c>
      <c r="O26" s="24">
        <v>25</v>
      </c>
      <c r="P26" s="24">
        <v>15</v>
      </c>
      <c r="Q26" s="24">
        <v>80</v>
      </c>
      <c r="R26" s="24">
        <v>200</v>
      </c>
      <c r="S26" s="24">
        <v>3</v>
      </c>
      <c r="T26" s="24">
        <v>0</v>
      </c>
      <c r="U26" s="24">
        <v>9</v>
      </c>
      <c r="V26" s="24">
        <v>2</v>
      </c>
    </row>
    <row r="27" spans="1:22" x14ac:dyDescent="0.25">
      <c r="A27" s="24" t="s">
        <v>251</v>
      </c>
      <c r="B27" s="24" t="s">
        <v>15</v>
      </c>
      <c r="C27" s="24">
        <v>20.724998321384199</v>
      </c>
      <c r="D27" s="24">
        <v>40.436130948364699</v>
      </c>
      <c r="E27" s="25">
        <v>0</v>
      </c>
      <c r="F27" s="24">
        <v>8</v>
      </c>
      <c r="G27" s="24">
        <v>5.07</v>
      </c>
      <c r="H27" s="24">
        <v>5</v>
      </c>
      <c r="I27" s="24">
        <v>8</v>
      </c>
      <c r="J27" s="24" t="str">
        <f>VLOOKUP(A27,編號對照表!$B$1:$C$133,2,FALSE)</f>
        <v>FG1-86</v>
      </c>
      <c r="K27" s="24" t="s">
        <v>747</v>
      </c>
      <c r="L27" s="24" t="s">
        <v>683</v>
      </c>
      <c r="M27" s="24">
        <v>1.27</v>
      </c>
      <c r="N27" s="24">
        <v>12</v>
      </c>
      <c r="O27" s="24">
        <v>25</v>
      </c>
      <c r="P27" s="24">
        <v>15</v>
      </c>
      <c r="Q27" s="24">
        <v>80</v>
      </c>
      <c r="R27" s="24">
        <v>200</v>
      </c>
      <c r="S27" s="24">
        <v>5</v>
      </c>
      <c r="T27" s="24">
        <v>0</v>
      </c>
      <c r="U27" s="24">
        <v>8</v>
      </c>
      <c r="V27" s="24">
        <v>0</v>
      </c>
    </row>
    <row r="28" spans="1:22" x14ac:dyDescent="0.25">
      <c r="A28" s="24" t="s">
        <v>251</v>
      </c>
      <c r="B28" s="24" t="s">
        <v>16</v>
      </c>
      <c r="C28" s="24">
        <v>8.95223114639521</v>
      </c>
      <c r="D28" s="24">
        <v>33.875433728098898</v>
      </c>
      <c r="E28" s="25">
        <v>0</v>
      </c>
      <c r="F28" s="24">
        <v>8</v>
      </c>
      <c r="G28" s="24">
        <v>5.07</v>
      </c>
      <c r="H28" s="24">
        <v>3</v>
      </c>
      <c r="I28" s="24">
        <v>7</v>
      </c>
      <c r="J28" s="24" t="str">
        <f>VLOOKUP(A28,編號對照表!$B$1:$C$133,2,FALSE)</f>
        <v>FG1-86</v>
      </c>
      <c r="K28" s="24" t="s">
        <v>610</v>
      </c>
      <c r="L28" s="24" t="s">
        <v>683</v>
      </c>
      <c r="M28" s="24">
        <v>1.27</v>
      </c>
      <c r="N28" s="24">
        <v>12</v>
      </c>
      <c r="O28" s="24">
        <v>25</v>
      </c>
      <c r="P28" s="24">
        <v>15</v>
      </c>
      <c r="Q28" s="24">
        <v>80</v>
      </c>
      <c r="R28" s="24">
        <v>200</v>
      </c>
      <c r="S28" s="24">
        <v>3</v>
      </c>
      <c r="T28" s="24">
        <v>0</v>
      </c>
      <c r="U28" s="24">
        <v>7</v>
      </c>
      <c r="V28" s="24">
        <v>0</v>
      </c>
    </row>
    <row r="29" spans="1:22" x14ac:dyDescent="0.25">
      <c r="A29" s="24" t="s">
        <v>252</v>
      </c>
      <c r="B29" s="24" t="s">
        <v>13</v>
      </c>
      <c r="C29" s="24">
        <v>70.395260117948098</v>
      </c>
      <c r="D29" s="24">
        <v>1E-3</v>
      </c>
      <c r="E29" s="25">
        <v>0.28219411615282303</v>
      </c>
      <c r="F29" s="24">
        <v>8</v>
      </c>
      <c r="G29" s="24">
        <v>5.07</v>
      </c>
      <c r="H29" s="24">
        <v>14</v>
      </c>
      <c r="I29" s="24">
        <v>3</v>
      </c>
      <c r="J29" s="24" t="str">
        <f>VLOOKUP(A29,編號對照表!$B$1:$C$133,2,FALSE)</f>
        <v>Fb1-61</v>
      </c>
      <c r="K29" s="24" t="s">
        <v>611</v>
      </c>
      <c r="L29" s="24" t="s">
        <v>874</v>
      </c>
      <c r="M29" s="24">
        <v>2.54</v>
      </c>
      <c r="N29" s="24">
        <v>15</v>
      </c>
      <c r="O29" s="24">
        <v>25</v>
      </c>
      <c r="P29" s="24">
        <v>15</v>
      </c>
      <c r="Q29" s="24">
        <v>60</v>
      </c>
      <c r="R29" s="24">
        <v>200</v>
      </c>
      <c r="S29" s="24">
        <v>7</v>
      </c>
      <c r="T29" s="24">
        <v>7</v>
      </c>
      <c r="U29" s="24">
        <v>3</v>
      </c>
      <c r="V29" s="24">
        <v>0</v>
      </c>
    </row>
    <row r="30" spans="1:22" x14ac:dyDescent="0.25">
      <c r="A30" s="24" t="s">
        <v>252</v>
      </c>
      <c r="B30" s="24" t="s">
        <v>15</v>
      </c>
      <c r="C30" s="24">
        <v>96.686221659183502</v>
      </c>
      <c r="D30" s="24">
        <v>1E-3</v>
      </c>
      <c r="E30" s="25">
        <v>0.124551297631115</v>
      </c>
      <c r="F30" s="24">
        <v>8</v>
      </c>
      <c r="G30" s="24">
        <v>5.07</v>
      </c>
      <c r="H30" s="24">
        <v>20</v>
      </c>
      <c r="I30" s="24">
        <v>3</v>
      </c>
      <c r="J30" s="24" t="str">
        <f>VLOOKUP(A30,編號對照表!$B$1:$C$133,2,FALSE)</f>
        <v>Fb1-61</v>
      </c>
      <c r="K30" s="24" t="s">
        <v>611</v>
      </c>
      <c r="L30" s="24" t="s">
        <v>683</v>
      </c>
      <c r="M30" s="24">
        <v>1.27</v>
      </c>
      <c r="N30" s="24">
        <v>15</v>
      </c>
      <c r="O30" s="24">
        <v>25</v>
      </c>
      <c r="P30" s="24">
        <v>15</v>
      </c>
      <c r="Q30" s="24">
        <v>60</v>
      </c>
      <c r="R30" s="24">
        <v>200</v>
      </c>
      <c r="S30" s="24">
        <v>7</v>
      </c>
      <c r="T30" s="24">
        <v>13</v>
      </c>
      <c r="U30" s="24">
        <v>3</v>
      </c>
      <c r="V30" s="24">
        <v>0</v>
      </c>
    </row>
    <row r="31" spans="1:22" x14ac:dyDescent="0.25">
      <c r="A31" s="24" t="s">
        <v>252</v>
      </c>
      <c r="B31" s="24" t="s">
        <v>16</v>
      </c>
      <c r="C31" s="24">
        <v>39.456551894545598</v>
      </c>
      <c r="D31" s="24">
        <v>82.997055724263205</v>
      </c>
      <c r="E31" s="25">
        <v>0.180000462569296</v>
      </c>
      <c r="F31" s="24">
        <v>8</v>
      </c>
      <c r="G31" s="24">
        <v>5.07</v>
      </c>
      <c r="H31" s="24">
        <v>8</v>
      </c>
      <c r="I31" s="24">
        <v>17</v>
      </c>
      <c r="J31" s="24" t="str">
        <f>VLOOKUP(A31,編號對照表!$B$1:$C$133,2,FALSE)</f>
        <v>Fb1-61</v>
      </c>
      <c r="K31" s="24" t="s">
        <v>611</v>
      </c>
      <c r="L31" s="24" t="s">
        <v>683</v>
      </c>
      <c r="M31" s="24">
        <v>1.27</v>
      </c>
      <c r="N31" s="24">
        <v>12</v>
      </c>
      <c r="O31" s="24">
        <v>25</v>
      </c>
      <c r="P31" s="24">
        <v>15</v>
      </c>
      <c r="Q31" s="24">
        <v>60</v>
      </c>
      <c r="R31" s="24">
        <v>200</v>
      </c>
      <c r="S31" s="24">
        <v>6</v>
      </c>
      <c r="T31" s="24">
        <v>2</v>
      </c>
      <c r="U31" s="24">
        <v>7</v>
      </c>
      <c r="V31" s="24">
        <v>10</v>
      </c>
    </row>
    <row r="32" spans="1:22" x14ac:dyDescent="0.25">
      <c r="A32" s="24" t="s">
        <v>253</v>
      </c>
      <c r="B32" s="24" t="s">
        <v>13</v>
      </c>
      <c r="C32" s="24">
        <v>1E-3</v>
      </c>
      <c r="D32" s="24">
        <v>84.831640124320998</v>
      </c>
      <c r="E32" s="25">
        <v>0.114887894596905</v>
      </c>
      <c r="F32" s="24">
        <v>8</v>
      </c>
      <c r="G32" s="24">
        <v>5.07</v>
      </c>
      <c r="H32" s="24">
        <v>3</v>
      </c>
      <c r="I32" s="24">
        <v>17</v>
      </c>
      <c r="J32" s="24" t="str">
        <f>VLOOKUP(A32,編號對照表!$B$1:$C$133,2,FALSE)</f>
        <v>Fb1-62</v>
      </c>
      <c r="K32" s="24" t="s">
        <v>684</v>
      </c>
      <c r="L32" s="24" t="s">
        <v>683</v>
      </c>
      <c r="M32" s="24">
        <v>1.27</v>
      </c>
      <c r="N32" s="24">
        <v>15</v>
      </c>
      <c r="O32" s="24">
        <v>25</v>
      </c>
      <c r="P32" s="24">
        <v>15</v>
      </c>
      <c r="Q32" s="24">
        <v>60</v>
      </c>
      <c r="R32" s="24">
        <v>200</v>
      </c>
      <c r="S32" s="24">
        <v>3</v>
      </c>
      <c r="T32" s="24">
        <v>0</v>
      </c>
      <c r="U32" s="24">
        <v>7</v>
      </c>
      <c r="V32" s="24">
        <v>10</v>
      </c>
    </row>
    <row r="33" spans="1:22" x14ac:dyDescent="0.25">
      <c r="A33" s="24" t="s">
        <v>253</v>
      </c>
      <c r="B33" s="24" t="s">
        <v>15</v>
      </c>
      <c r="C33" s="24">
        <v>15.932876849547</v>
      </c>
      <c r="D33" s="24">
        <v>30.1307928748429</v>
      </c>
      <c r="E33" s="25">
        <v>8.6605193791911006E-2</v>
      </c>
      <c r="F33" s="24">
        <v>8</v>
      </c>
      <c r="G33" s="24">
        <v>5.07</v>
      </c>
      <c r="H33" s="24">
        <v>4</v>
      </c>
      <c r="I33" s="24">
        <v>6</v>
      </c>
      <c r="J33" s="24" t="str">
        <f>VLOOKUP(A33,編號對照表!$B$1:$C$133,2,FALSE)</f>
        <v>Fb1-62</v>
      </c>
      <c r="K33" s="24" t="s">
        <v>748</v>
      </c>
      <c r="L33" s="24" t="s">
        <v>683</v>
      </c>
      <c r="M33" s="24">
        <v>1.27</v>
      </c>
      <c r="N33" s="24">
        <v>15</v>
      </c>
      <c r="O33" s="24">
        <v>25</v>
      </c>
      <c r="P33" s="24">
        <v>15</v>
      </c>
      <c r="Q33" s="24">
        <v>60</v>
      </c>
      <c r="R33" s="24">
        <v>200</v>
      </c>
      <c r="S33" s="24">
        <v>4</v>
      </c>
      <c r="T33" s="24">
        <v>0</v>
      </c>
      <c r="U33" s="24">
        <v>6</v>
      </c>
      <c r="V33" s="24">
        <v>0</v>
      </c>
    </row>
    <row r="34" spans="1:22" x14ac:dyDescent="0.25">
      <c r="A34" s="24" t="s">
        <v>253</v>
      </c>
      <c r="B34" s="24" t="s">
        <v>16</v>
      </c>
      <c r="C34" s="24">
        <v>4.4968145084567404</v>
      </c>
      <c r="D34" s="24">
        <v>39.148172363638899</v>
      </c>
      <c r="E34" s="25">
        <v>8.2759629003703594E-2</v>
      </c>
      <c r="F34" s="24">
        <v>8</v>
      </c>
      <c r="G34" s="24">
        <v>5.07</v>
      </c>
      <c r="H34" s="24">
        <v>3</v>
      </c>
      <c r="I34" s="24">
        <v>8</v>
      </c>
      <c r="J34" s="24" t="str">
        <f>VLOOKUP(A34,編號對照表!$B$1:$C$133,2,FALSE)</f>
        <v>Fb1-62</v>
      </c>
      <c r="K34" s="24" t="s">
        <v>684</v>
      </c>
      <c r="L34" s="24" t="s">
        <v>683</v>
      </c>
      <c r="M34" s="24">
        <v>1.27</v>
      </c>
      <c r="N34" s="24">
        <v>15</v>
      </c>
      <c r="O34" s="24">
        <v>25</v>
      </c>
      <c r="P34" s="24">
        <v>15</v>
      </c>
      <c r="Q34" s="24">
        <v>60</v>
      </c>
      <c r="R34" s="24">
        <v>200</v>
      </c>
      <c r="S34" s="24">
        <v>3</v>
      </c>
      <c r="T34" s="24">
        <v>0</v>
      </c>
      <c r="U34" s="24">
        <v>6</v>
      </c>
      <c r="V34" s="24">
        <v>2</v>
      </c>
    </row>
    <row r="35" spans="1:22" x14ac:dyDescent="0.25">
      <c r="A35" s="24" t="s">
        <v>256</v>
      </c>
      <c r="B35" s="24" t="s">
        <v>13</v>
      </c>
      <c r="C35" s="24">
        <v>121.469320729375</v>
      </c>
      <c r="D35" s="24">
        <v>137.81632296741</v>
      </c>
      <c r="E35" s="25">
        <v>0.216217688284814</v>
      </c>
      <c r="F35" s="24">
        <v>8</v>
      </c>
      <c r="G35" s="24">
        <v>5.07</v>
      </c>
      <c r="H35" s="24">
        <v>24</v>
      </c>
      <c r="I35" s="24">
        <v>28</v>
      </c>
      <c r="J35" s="24" t="str">
        <f>VLOOKUP(A35,編號對照表!$B$1:$C$133,2,FALSE)</f>
        <v>FB2-D'3</v>
      </c>
      <c r="K35" s="24" t="s">
        <v>749</v>
      </c>
      <c r="L35" s="24" t="s">
        <v>694</v>
      </c>
      <c r="M35" s="24">
        <v>2.54</v>
      </c>
      <c r="N35" s="24">
        <v>15</v>
      </c>
      <c r="O35" s="24">
        <v>25</v>
      </c>
      <c r="P35" s="24">
        <v>15</v>
      </c>
      <c r="Q35" s="24">
        <v>120</v>
      </c>
      <c r="R35" s="24">
        <v>280</v>
      </c>
      <c r="S35" s="24">
        <v>16</v>
      </c>
      <c r="T35" s="24">
        <v>8</v>
      </c>
      <c r="U35" s="24">
        <v>16</v>
      </c>
      <c r="V35" s="24">
        <v>12</v>
      </c>
    </row>
    <row r="36" spans="1:22" x14ac:dyDescent="0.25">
      <c r="A36" s="24" t="s">
        <v>256</v>
      </c>
      <c r="B36" s="24" t="s">
        <v>15</v>
      </c>
      <c r="C36" s="24">
        <v>185.308493673801</v>
      </c>
      <c r="D36" s="24">
        <v>34.416688140481703</v>
      </c>
      <c r="E36" s="25">
        <v>0.100438517984003</v>
      </c>
      <c r="F36" s="24">
        <v>8</v>
      </c>
      <c r="G36" s="24">
        <v>5.07</v>
      </c>
      <c r="H36" s="24">
        <v>37</v>
      </c>
      <c r="I36" s="24">
        <v>7</v>
      </c>
      <c r="J36" s="24" t="str">
        <f>VLOOKUP(A36,編號對照表!$B$1:$C$133,2,FALSE)</f>
        <v>FB2-D'3</v>
      </c>
      <c r="K36" s="24" t="s">
        <v>749</v>
      </c>
      <c r="L36" s="24" t="s">
        <v>874</v>
      </c>
      <c r="M36" s="24">
        <v>2.54</v>
      </c>
      <c r="N36" s="24">
        <v>15</v>
      </c>
      <c r="O36" s="24">
        <v>25</v>
      </c>
      <c r="P36" s="24">
        <v>15</v>
      </c>
      <c r="Q36" s="24">
        <v>120</v>
      </c>
      <c r="R36" s="24">
        <v>280</v>
      </c>
      <c r="S36" s="24">
        <v>16</v>
      </c>
      <c r="T36" s="24">
        <v>21</v>
      </c>
      <c r="U36" s="24">
        <v>7</v>
      </c>
      <c r="V36" s="24">
        <v>0</v>
      </c>
    </row>
    <row r="37" spans="1:22" x14ac:dyDescent="0.25">
      <c r="A37" s="24" t="s">
        <v>256</v>
      </c>
      <c r="B37" s="24" t="s">
        <v>16</v>
      </c>
      <c r="C37" s="24">
        <v>179.06585708260499</v>
      </c>
      <c r="D37" s="24">
        <v>1E-3</v>
      </c>
      <c r="E37" s="25">
        <v>0</v>
      </c>
      <c r="F37" s="24">
        <v>8</v>
      </c>
      <c r="G37" s="24">
        <v>5.07</v>
      </c>
      <c r="H37" s="24">
        <v>36</v>
      </c>
      <c r="I37" s="24">
        <v>3</v>
      </c>
      <c r="J37" s="24" t="str">
        <f>VLOOKUP(A37,編號對照表!$B$1:$C$133,2,FALSE)</f>
        <v>FB2-D'3</v>
      </c>
      <c r="K37" s="24" t="s">
        <v>658</v>
      </c>
      <c r="L37" s="24" t="s">
        <v>694</v>
      </c>
      <c r="M37" s="24">
        <v>2.54</v>
      </c>
      <c r="N37" s="24">
        <v>15</v>
      </c>
      <c r="O37" s="24">
        <v>25</v>
      </c>
      <c r="P37" s="24">
        <v>15</v>
      </c>
      <c r="Q37" s="24">
        <v>120</v>
      </c>
      <c r="R37" s="24">
        <v>280</v>
      </c>
      <c r="S37" s="24">
        <v>16</v>
      </c>
      <c r="T37" s="24">
        <v>20</v>
      </c>
      <c r="U37" s="24">
        <v>3</v>
      </c>
      <c r="V37" s="24">
        <v>0</v>
      </c>
    </row>
    <row r="38" spans="1:22" x14ac:dyDescent="0.25">
      <c r="A38" s="24" t="s">
        <v>76</v>
      </c>
      <c r="B38" s="24" t="s">
        <v>13</v>
      </c>
      <c r="C38" s="24">
        <v>63.670733943581602</v>
      </c>
      <c r="D38" s="24">
        <v>25.1615606248379</v>
      </c>
      <c r="E38" s="25">
        <v>0.10253059444949</v>
      </c>
      <c r="F38" s="24">
        <v>8</v>
      </c>
      <c r="G38" s="24">
        <v>5.07</v>
      </c>
      <c r="H38" s="24">
        <v>13</v>
      </c>
      <c r="I38" s="24">
        <v>5</v>
      </c>
      <c r="J38" s="24" t="str">
        <f>VLOOKUP(A38,編號對照表!$B$1:$C$133,2,FALSE)</f>
        <v>FG1-87</v>
      </c>
      <c r="K38" s="24" t="s">
        <v>629</v>
      </c>
      <c r="L38" s="24" t="s">
        <v>683</v>
      </c>
      <c r="M38" s="24">
        <v>1.27</v>
      </c>
      <c r="N38" s="24">
        <v>12</v>
      </c>
      <c r="O38" s="24">
        <v>25</v>
      </c>
      <c r="P38" s="24">
        <v>15</v>
      </c>
      <c r="Q38" s="24">
        <v>80</v>
      </c>
      <c r="R38" s="24">
        <v>200</v>
      </c>
      <c r="S38" s="24">
        <v>10</v>
      </c>
      <c r="T38" s="24">
        <v>3</v>
      </c>
      <c r="U38" s="24">
        <v>5</v>
      </c>
      <c r="V38" s="24">
        <v>0</v>
      </c>
    </row>
    <row r="39" spans="1:22" x14ac:dyDescent="0.25">
      <c r="A39" s="24" t="s">
        <v>76</v>
      </c>
      <c r="B39" s="24" t="s">
        <v>15</v>
      </c>
      <c r="C39" s="24">
        <v>92.762205749750095</v>
      </c>
      <c r="D39" s="24">
        <v>1E-3</v>
      </c>
      <c r="E39" s="25">
        <v>0</v>
      </c>
      <c r="F39" s="24">
        <v>8</v>
      </c>
      <c r="G39" s="24">
        <v>5.07</v>
      </c>
      <c r="H39" s="24">
        <v>19</v>
      </c>
      <c r="I39" s="24">
        <v>3</v>
      </c>
      <c r="J39" s="24" t="str">
        <f>VLOOKUP(A39,編號對照表!$B$1:$C$133,2,FALSE)</f>
        <v>FG1-87</v>
      </c>
      <c r="K39" s="24" t="s">
        <v>629</v>
      </c>
      <c r="L39" s="24" t="s">
        <v>683</v>
      </c>
      <c r="M39" s="24">
        <v>1.27</v>
      </c>
      <c r="N39" s="24">
        <v>12</v>
      </c>
      <c r="O39" s="24">
        <v>25</v>
      </c>
      <c r="P39" s="24">
        <v>15</v>
      </c>
      <c r="Q39" s="24">
        <v>80</v>
      </c>
      <c r="R39" s="24">
        <v>200</v>
      </c>
      <c r="S39" s="24">
        <v>10</v>
      </c>
      <c r="T39" s="24">
        <v>9</v>
      </c>
      <c r="U39" s="24">
        <v>3</v>
      </c>
      <c r="V39" s="24">
        <v>0</v>
      </c>
    </row>
    <row r="40" spans="1:22" x14ac:dyDescent="0.25">
      <c r="A40" s="24" t="s">
        <v>76</v>
      </c>
      <c r="B40" s="24" t="s">
        <v>16</v>
      </c>
      <c r="C40" s="24">
        <v>80.036427825689302</v>
      </c>
      <c r="D40" s="24">
        <v>2.83541332464665</v>
      </c>
      <c r="E40" s="25">
        <v>0</v>
      </c>
      <c r="F40" s="24">
        <v>8</v>
      </c>
      <c r="G40" s="24">
        <v>5.07</v>
      </c>
      <c r="H40" s="24">
        <v>16</v>
      </c>
      <c r="I40" s="24">
        <v>3</v>
      </c>
      <c r="J40" s="24" t="str">
        <f>VLOOKUP(A40,編號對照表!$B$1:$C$133,2,FALSE)</f>
        <v>FG1-87</v>
      </c>
      <c r="K40" s="24" t="s">
        <v>629</v>
      </c>
      <c r="L40" s="24" t="s">
        <v>683</v>
      </c>
      <c r="M40" s="24">
        <v>1.27</v>
      </c>
      <c r="N40" s="24">
        <v>12</v>
      </c>
      <c r="O40" s="24">
        <v>25</v>
      </c>
      <c r="P40" s="24">
        <v>15</v>
      </c>
      <c r="Q40" s="24">
        <v>80</v>
      </c>
      <c r="R40" s="24">
        <v>200</v>
      </c>
      <c r="S40" s="24">
        <v>10</v>
      </c>
      <c r="T40" s="24">
        <v>6</v>
      </c>
      <c r="U40" s="24">
        <v>3</v>
      </c>
      <c r="V40" s="24">
        <v>0</v>
      </c>
    </row>
    <row r="41" spans="1:22" x14ac:dyDescent="0.25">
      <c r="A41" s="24" t="s">
        <v>257</v>
      </c>
      <c r="B41" s="24" t="s">
        <v>13</v>
      </c>
      <c r="C41" s="24">
        <v>28.518771287053799</v>
      </c>
      <c r="D41" s="24">
        <v>175.59446394443501</v>
      </c>
      <c r="E41" s="25">
        <v>0.17333265859633701</v>
      </c>
      <c r="F41" s="24">
        <v>8</v>
      </c>
      <c r="G41" s="24">
        <v>5.07</v>
      </c>
      <c r="H41" s="24">
        <v>6</v>
      </c>
      <c r="I41" s="24">
        <v>35</v>
      </c>
      <c r="J41" s="24" t="str">
        <f>VLOOKUP(A41,編號對照表!$B$1:$C$133,2,FALSE)</f>
        <v>FB1-E'3</v>
      </c>
      <c r="K41" s="24" t="s">
        <v>851</v>
      </c>
      <c r="L41" s="24" t="s">
        <v>683</v>
      </c>
      <c r="M41" s="24">
        <v>1.27</v>
      </c>
      <c r="N41" s="24">
        <v>12</v>
      </c>
      <c r="O41" s="24">
        <v>25</v>
      </c>
      <c r="P41" s="24">
        <v>15</v>
      </c>
      <c r="Q41" s="24">
        <v>80</v>
      </c>
      <c r="R41" s="24">
        <v>200</v>
      </c>
      <c r="S41" s="24">
        <v>6</v>
      </c>
      <c r="T41" s="24">
        <v>0</v>
      </c>
      <c r="U41" s="24">
        <v>10</v>
      </c>
      <c r="V41" s="24">
        <v>25</v>
      </c>
    </row>
    <row r="42" spans="1:22" x14ac:dyDescent="0.25">
      <c r="A42" s="24" t="s">
        <v>257</v>
      </c>
      <c r="B42" s="24" t="s">
        <v>15</v>
      </c>
      <c r="C42" s="24">
        <v>139.48046602308801</v>
      </c>
      <c r="D42" s="24">
        <v>46.830913051962902</v>
      </c>
      <c r="E42" s="25">
        <v>6.6959013929590597E-2</v>
      </c>
      <c r="F42" s="24">
        <v>8</v>
      </c>
      <c r="G42" s="24">
        <v>5.07</v>
      </c>
      <c r="H42" s="24">
        <v>28</v>
      </c>
      <c r="I42" s="24">
        <v>10</v>
      </c>
      <c r="J42" s="24" t="str">
        <f>VLOOKUP(A42,編號對照表!$B$1:$C$133,2,FALSE)</f>
        <v>FB1-E'3</v>
      </c>
      <c r="K42" s="24" t="s">
        <v>578</v>
      </c>
      <c r="L42" s="24" t="s">
        <v>683</v>
      </c>
      <c r="M42" s="24">
        <v>1.27</v>
      </c>
      <c r="N42" s="24">
        <v>12</v>
      </c>
      <c r="O42" s="24">
        <v>25</v>
      </c>
      <c r="P42" s="24">
        <v>15</v>
      </c>
      <c r="Q42" s="24">
        <v>80</v>
      </c>
      <c r="R42" s="24">
        <v>200</v>
      </c>
      <c r="S42" s="24">
        <v>10</v>
      </c>
      <c r="T42" s="24">
        <v>18</v>
      </c>
      <c r="U42" s="24">
        <v>10</v>
      </c>
      <c r="V42" s="24">
        <v>0</v>
      </c>
    </row>
    <row r="43" spans="1:22" x14ac:dyDescent="0.25">
      <c r="A43" s="24" t="s">
        <v>257</v>
      </c>
      <c r="B43" s="24" t="s">
        <v>16</v>
      </c>
      <c r="C43" s="24">
        <v>139.46021907031499</v>
      </c>
      <c r="D43" s="24">
        <v>1E-3</v>
      </c>
      <c r="E43" s="25">
        <v>0</v>
      </c>
      <c r="F43" s="24">
        <v>8</v>
      </c>
      <c r="G43" s="24">
        <v>5.07</v>
      </c>
      <c r="H43" s="24">
        <v>28</v>
      </c>
      <c r="I43" s="24">
        <v>3</v>
      </c>
      <c r="J43" s="24" t="str">
        <f>VLOOKUP(A43,編號對照表!$B$1:$C$133,2,FALSE)</f>
        <v>FB1-E'3</v>
      </c>
      <c r="K43" s="24" t="s">
        <v>578</v>
      </c>
      <c r="L43" s="24" t="s">
        <v>683</v>
      </c>
      <c r="M43" s="24">
        <v>1.27</v>
      </c>
      <c r="N43" s="24">
        <v>12</v>
      </c>
      <c r="O43" s="24">
        <v>25</v>
      </c>
      <c r="P43" s="24">
        <v>15</v>
      </c>
      <c r="Q43" s="24">
        <v>80</v>
      </c>
      <c r="R43" s="24">
        <v>200</v>
      </c>
      <c r="S43" s="24">
        <v>10</v>
      </c>
      <c r="T43" s="24">
        <v>18</v>
      </c>
      <c r="U43" s="24">
        <v>3</v>
      </c>
      <c r="V43" s="24">
        <v>0</v>
      </c>
    </row>
    <row r="44" spans="1:22" x14ac:dyDescent="0.25">
      <c r="A44" s="24" t="s">
        <v>258</v>
      </c>
      <c r="B44" s="24" t="s">
        <v>13</v>
      </c>
      <c r="C44" s="24">
        <v>92.737339437007904</v>
      </c>
      <c r="D44" s="24">
        <v>0.73327268182765704</v>
      </c>
      <c r="E44" s="25">
        <v>0.186127447523177</v>
      </c>
      <c r="F44" s="24">
        <v>8</v>
      </c>
      <c r="G44" s="24">
        <v>5.07</v>
      </c>
      <c r="H44" s="24">
        <v>19</v>
      </c>
      <c r="I44" s="24">
        <v>3</v>
      </c>
      <c r="J44" s="24" t="str">
        <f>VLOOKUP(A44,編號對照表!$B$1:$C$133,2,FALSE)</f>
        <v>FG1-61</v>
      </c>
      <c r="K44" s="24" t="s">
        <v>750</v>
      </c>
      <c r="L44" s="24" t="s">
        <v>683</v>
      </c>
      <c r="M44" s="24">
        <v>1.27</v>
      </c>
      <c r="N44" s="24">
        <v>12</v>
      </c>
      <c r="O44" s="24">
        <v>25</v>
      </c>
      <c r="P44" s="24">
        <v>15</v>
      </c>
      <c r="Q44" s="24">
        <v>80</v>
      </c>
      <c r="R44" s="24">
        <v>200</v>
      </c>
      <c r="S44" s="24">
        <v>10</v>
      </c>
      <c r="T44" s="24">
        <v>9</v>
      </c>
      <c r="U44" s="24">
        <v>3</v>
      </c>
      <c r="V44" s="24">
        <v>0</v>
      </c>
    </row>
    <row r="45" spans="1:22" x14ac:dyDescent="0.25">
      <c r="A45" s="24" t="s">
        <v>258</v>
      </c>
      <c r="B45" s="24" t="s">
        <v>15</v>
      </c>
      <c r="C45" s="24">
        <v>134.34202410280699</v>
      </c>
      <c r="D45" s="24">
        <v>1E-3</v>
      </c>
      <c r="E45" s="25">
        <v>0.27960862498730399</v>
      </c>
      <c r="F45" s="24">
        <v>8</v>
      </c>
      <c r="G45" s="24">
        <v>5.07</v>
      </c>
      <c r="H45" s="24">
        <v>27</v>
      </c>
      <c r="I45" s="24">
        <v>3</v>
      </c>
      <c r="J45" s="24" t="str">
        <f>VLOOKUP(A45,編號對照表!$B$1:$C$133,2,FALSE)</f>
        <v>FG1-61</v>
      </c>
      <c r="K45" s="24" t="s">
        <v>630</v>
      </c>
      <c r="L45" s="24" t="s">
        <v>874</v>
      </c>
      <c r="M45" s="24">
        <v>2.54</v>
      </c>
      <c r="N45" s="24">
        <v>18</v>
      </c>
      <c r="O45" s="24">
        <v>25</v>
      </c>
      <c r="P45" s="24">
        <v>15</v>
      </c>
      <c r="Q45" s="24">
        <v>80</v>
      </c>
      <c r="R45" s="24">
        <v>200</v>
      </c>
      <c r="S45" s="24">
        <v>10</v>
      </c>
      <c r="T45" s="24">
        <v>17</v>
      </c>
      <c r="U45" s="24">
        <v>3</v>
      </c>
      <c r="V45" s="24">
        <v>0</v>
      </c>
    </row>
    <row r="46" spans="1:22" x14ac:dyDescent="0.25">
      <c r="A46" s="24" t="s">
        <v>258</v>
      </c>
      <c r="B46" s="24" t="s">
        <v>16</v>
      </c>
      <c r="C46" s="24">
        <v>49.771582707762697</v>
      </c>
      <c r="D46" s="24">
        <v>143.947759643197</v>
      </c>
      <c r="E46" s="25">
        <v>0.48143337480723902</v>
      </c>
      <c r="F46" s="24">
        <v>8</v>
      </c>
      <c r="G46" s="24">
        <v>5.07</v>
      </c>
      <c r="H46" s="24">
        <v>10</v>
      </c>
      <c r="I46" s="24">
        <v>29</v>
      </c>
      <c r="J46" s="24" t="str">
        <f>VLOOKUP(A46,編號對照表!$B$1:$C$133,2,FALSE)</f>
        <v>FG1-61</v>
      </c>
      <c r="K46" s="24" t="s">
        <v>750</v>
      </c>
      <c r="L46" s="24" t="s">
        <v>874</v>
      </c>
      <c r="M46" s="24">
        <v>2.54</v>
      </c>
      <c r="N46" s="24">
        <v>10</v>
      </c>
      <c r="O46" s="24">
        <v>25</v>
      </c>
      <c r="P46" s="24">
        <v>15</v>
      </c>
      <c r="Q46" s="24">
        <v>80</v>
      </c>
      <c r="R46" s="24">
        <v>200</v>
      </c>
      <c r="S46" s="24">
        <v>10</v>
      </c>
      <c r="T46" s="24">
        <v>0</v>
      </c>
      <c r="U46" s="24">
        <v>10</v>
      </c>
      <c r="V46" s="24">
        <v>19</v>
      </c>
    </row>
    <row r="47" spans="1:22" x14ac:dyDescent="0.25">
      <c r="A47" s="24" t="s">
        <v>259</v>
      </c>
      <c r="B47" s="24" t="s">
        <v>13</v>
      </c>
      <c r="C47" s="24">
        <v>1E-3</v>
      </c>
      <c r="D47" s="24">
        <v>140.88854193687399</v>
      </c>
      <c r="E47" s="25">
        <v>0.300429505296052</v>
      </c>
      <c r="F47" s="24">
        <v>8</v>
      </c>
      <c r="G47" s="24">
        <v>5.07</v>
      </c>
      <c r="H47" s="24">
        <v>3</v>
      </c>
      <c r="I47" s="24">
        <v>28</v>
      </c>
      <c r="J47" s="24" t="str">
        <f>VLOOKUP(A47,編號對照表!$B$1:$C$133,2,FALSE)</f>
        <v>FG1-62</v>
      </c>
      <c r="K47" s="24" t="s">
        <v>751</v>
      </c>
      <c r="L47" s="24" t="s">
        <v>874</v>
      </c>
      <c r="M47" s="24">
        <v>2.54</v>
      </c>
      <c r="N47" s="24">
        <v>15</v>
      </c>
      <c r="O47" s="24">
        <v>25</v>
      </c>
      <c r="P47" s="24">
        <v>15</v>
      </c>
      <c r="Q47" s="24">
        <v>80</v>
      </c>
      <c r="R47" s="24">
        <v>200</v>
      </c>
      <c r="S47" s="24">
        <v>3</v>
      </c>
      <c r="T47" s="24">
        <v>0</v>
      </c>
      <c r="U47" s="24">
        <v>10</v>
      </c>
      <c r="V47" s="24">
        <v>18</v>
      </c>
    </row>
    <row r="48" spans="1:22" x14ac:dyDescent="0.25">
      <c r="A48" s="24" t="s">
        <v>259</v>
      </c>
      <c r="B48" s="24" t="s">
        <v>15</v>
      </c>
      <c r="C48" s="24">
        <v>12.160465121269199</v>
      </c>
      <c r="D48" s="24">
        <v>56.688571348786397</v>
      </c>
      <c r="E48" s="25">
        <v>0.31018198933452401</v>
      </c>
      <c r="F48" s="24">
        <v>8</v>
      </c>
      <c r="G48" s="24">
        <v>5.07</v>
      </c>
      <c r="H48" s="24">
        <v>3</v>
      </c>
      <c r="I48" s="24">
        <v>12</v>
      </c>
      <c r="J48" s="24" t="str">
        <f>VLOOKUP(A48,編號對照表!$B$1:$C$133,2,FALSE)</f>
        <v>FG1-62</v>
      </c>
      <c r="K48" s="24" t="s">
        <v>751</v>
      </c>
      <c r="L48" s="24" t="s">
        <v>694</v>
      </c>
      <c r="M48" s="24">
        <v>2.54</v>
      </c>
      <c r="N48" s="24">
        <v>15</v>
      </c>
      <c r="O48" s="24">
        <v>25</v>
      </c>
      <c r="P48" s="24">
        <v>15</v>
      </c>
      <c r="Q48" s="24">
        <v>80</v>
      </c>
      <c r="R48" s="24">
        <v>200</v>
      </c>
      <c r="S48" s="24">
        <v>3</v>
      </c>
      <c r="T48" s="24">
        <v>0</v>
      </c>
      <c r="U48" s="24">
        <v>10</v>
      </c>
      <c r="V48" s="24">
        <v>2</v>
      </c>
    </row>
    <row r="49" spans="1:22" x14ac:dyDescent="0.25">
      <c r="A49" s="24" t="s">
        <v>259</v>
      </c>
      <c r="B49" s="24" t="s">
        <v>16</v>
      </c>
      <c r="C49" s="24">
        <v>51.113753579556899</v>
      </c>
      <c r="D49" s="24">
        <v>130.02705760300199</v>
      </c>
      <c r="E49" s="25">
        <v>0.26466555427759902</v>
      </c>
      <c r="F49" s="24">
        <v>8</v>
      </c>
      <c r="G49" s="24">
        <v>5.07</v>
      </c>
      <c r="H49" s="24">
        <v>11</v>
      </c>
      <c r="I49" s="24">
        <v>26</v>
      </c>
      <c r="J49" s="24" t="str">
        <f>VLOOKUP(A49,編號對照表!$B$1:$C$133,2,FALSE)</f>
        <v>FG1-62</v>
      </c>
      <c r="K49" s="24" t="s">
        <v>612</v>
      </c>
      <c r="L49" s="24" t="s">
        <v>874</v>
      </c>
      <c r="M49" s="24">
        <v>2.54</v>
      </c>
      <c r="N49" s="24">
        <v>15</v>
      </c>
      <c r="O49" s="24">
        <v>25</v>
      </c>
      <c r="P49" s="24">
        <v>15</v>
      </c>
      <c r="Q49" s="24">
        <v>80</v>
      </c>
      <c r="R49" s="24">
        <v>200</v>
      </c>
      <c r="S49" s="24">
        <v>9</v>
      </c>
      <c r="T49" s="24">
        <v>2</v>
      </c>
      <c r="U49" s="24">
        <v>10</v>
      </c>
      <c r="V49" s="24">
        <v>16</v>
      </c>
    </row>
    <row r="50" spans="1:22" x14ac:dyDescent="0.25">
      <c r="A50" s="24" t="s">
        <v>260</v>
      </c>
      <c r="B50" s="24" t="s">
        <v>13</v>
      </c>
      <c r="C50" s="24">
        <v>44.352682307362599</v>
      </c>
      <c r="D50" s="24">
        <v>39.341724477708297</v>
      </c>
      <c r="E50" s="25">
        <v>5.02192589920014E-2</v>
      </c>
      <c r="F50" s="24">
        <v>8</v>
      </c>
      <c r="G50" s="24">
        <v>5.07</v>
      </c>
      <c r="H50" s="24">
        <v>9</v>
      </c>
      <c r="I50" s="24">
        <v>8</v>
      </c>
      <c r="J50" s="24" t="str">
        <f>VLOOKUP(A50,編號對照表!$B$1:$C$133,2,FALSE)</f>
        <v>Fb1-77</v>
      </c>
      <c r="K50" s="24" t="s">
        <v>752</v>
      </c>
      <c r="L50" s="24" t="s">
        <v>683</v>
      </c>
      <c r="M50" s="24">
        <v>1.27</v>
      </c>
      <c r="N50" s="24">
        <v>15</v>
      </c>
      <c r="O50" s="24">
        <v>25</v>
      </c>
      <c r="P50" s="24">
        <v>15</v>
      </c>
      <c r="Q50" s="24">
        <v>60</v>
      </c>
      <c r="R50" s="24">
        <v>200</v>
      </c>
      <c r="S50" s="24">
        <v>7</v>
      </c>
      <c r="T50" s="24">
        <v>2</v>
      </c>
      <c r="U50" s="24">
        <v>6</v>
      </c>
      <c r="V50" s="24">
        <v>2</v>
      </c>
    </row>
    <row r="51" spans="1:22" x14ac:dyDescent="0.25">
      <c r="A51" s="24" t="s">
        <v>260</v>
      </c>
      <c r="B51" s="24" t="s">
        <v>15</v>
      </c>
      <c r="C51" s="24">
        <v>83.467699587345095</v>
      </c>
      <c r="D51" s="24">
        <v>1E-3</v>
      </c>
      <c r="E51" s="25">
        <v>5.02192589920014E-2</v>
      </c>
      <c r="F51" s="24">
        <v>8</v>
      </c>
      <c r="G51" s="24">
        <v>5.07</v>
      </c>
      <c r="H51" s="24">
        <v>17</v>
      </c>
      <c r="I51" s="24">
        <v>3</v>
      </c>
      <c r="J51" s="24" t="str">
        <f>VLOOKUP(A51,編號對照表!$B$1:$C$133,2,FALSE)</f>
        <v>Fb1-77</v>
      </c>
      <c r="K51" s="24" t="s">
        <v>752</v>
      </c>
      <c r="L51" s="24" t="s">
        <v>683</v>
      </c>
      <c r="M51" s="24">
        <v>1.27</v>
      </c>
      <c r="N51" s="24">
        <v>15</v>
      </c>
      <c r="O51" s="24">
        <v>25</v>
      </c>
      <c r="P51" s="24">
        <v>15</v>
      </c>
      <c r="Q51" s="24">
        <v>60</v>
      </c>
      <c r="R51" s="24">
        <v>200</v>
      </c>
      <c r="S51" s="24">
        <v>7</v>
      </c>
      <c r="T51" s="24">
        <v>10</v>
      </c>
      <c r="U51" s="24">
        <v>3</v>
      </c>
      <c r="V51" s="24">
        <v>0</v>
      </c>
    </row>
    <row r="52" spans="1:22" x14ac:dyDescent="0.25">
      <c r="A52" s="24" t="s">
        <v>260</v>
      </c>
      <c r="B52" s="24" t="s">
        <v>16</v>
      </c>
      <c r="C52" s="24">
        <v>77.180946245789499</v>
      </c>
      <c r="D52" s="24">
        <v>1E-3</v>
      </c>
      <c r="E52" s="25">
        <v>5.02192589920014E-2</v>
      </c>
      <c r="F52" s="24">
        <v>8</v>
      </c>
      <c r="G52" s="24">
        <v>5.07</v>
      </c>
      <c r="H52" s="24">
        <v>16</v>
      </c>
      <c r="I52" s="24">
        <v>3</v>
      </c>
      <c r="J52" s="24" t="str">
        <f>VLOOKUP(A52,編號對照表!$B$1:$C$133,2,FALSE)</f>
        <v>Fb1-77</v>
      </c>
      <c r="K52" s="24" t="s">
        <v>631</v>
      </c>
      <c r="L52" s="24" t="s">
        <v>683</v>
      </c>
      <c r="M52" s="24">
        <v>1.27</v>
      </c>
      <c r="N52" s="24">
        <v>15</v>
      </c>
      <c r="O52" s="24">
        <v>25</v>
      </c>
      <c r="P52" s="24">
        <v>15</v>
      </c>
      <c r="Q52" s="24">
        <v>60</v>
      </c>
      <c r="R52" s="24">
        <v>200</v>
      </c>
      <c r="S52" s="24">
        <v>7</v>
      </c>
      <c r="T52" s="24">
        <v>9</v>
      </c>
      <c r="U52" s="24">
        <v>3</v>
      </c>
      <c r="V52" s="24">
        <v>0</v>
      </c>
    </row>
    <row r="53" spans="1:22" x14ac:dyDescent="0.25">
      <c r="A53" s="24" t="s">
        <v>261</v>
      </c>
      <c r="B53" s="24" t="s">
        <v>13</v>
      </c>
      <c r="C53" s="24">
        <v>61.481180600822</v>
      </c>
      <c r="D53" s="24">
        <v>242.994725704193</v>
      </c>
      <c r="E53" s="25">
        <v>0</v>
      </c>
      <c r="F53" s="24">
        <v>8</v>
      </c>
      <c r="G53" s="24">
        <v>5.07</v>
      </c>
      <c r="H53" s="24">
        <v>13</v>
      </c>
      <c r="I53" s="24">
        <v>48</v>
      </c>
      <c r="J53" s="24" t="str">
        <f>VLOOKUP(A53,編號對照表!$B$1:$C$133,2,FALSE)</f>
        <v>FG2-6'4</v>
      </c>
      <c r="K53" s="24" t="s">
        <v>637</v>
      </c>
      <c r="L53" s="24" t="s">
        <v>683</v>
      </c>
      <c r="M53" s="24">
        <v>1.27</v>
      </c>
      <c r="N53" s="24">
        <v>12</v>
      </c>
      <c r="O53" s="24">
        <v>25</v>
      </c>
      <c r="P53" s="24">
        <v>15</v>
      </c>
      <c r="Q53" s="24">
        <v>80</v>
      </c>
      <c r="R53" s="24">
        <v>200</v>
      </c>
      <c r="S53" s="24">
        <v>10</v>
      </c>
      <c r="T53" s="24">
        <v>3</v>
      </c>
      <c r="U53" s="24">
        <v>10</v>
      </c>
      <c r="V53" s="24">
        <v>38</v>
      </c>
    </row>
    <row r="54" spans="1:22" x14ac:dyDescent="0.25">
      <c r="A54" s="24" t="s">
        <v>261</v>
      </c>
      <c r="B54" s="24" t="s">
        <v>15</v>
      </c>
      <c r="C54" s="24">
        <v>51.149497739970698</v>
      </c>
      <c r="D54" s="24">
        <v>154.02205288410201</v>
      </c>
      <c r="E54" s="25">
        <v>0</v>
      </c>
      <c r="F54" s="24">
        <v>8</v>
      </c>
      <c r="G54" s="24">
        <v>5.07</v>
      </c>
      <c r="H54" s="24">
        <v>11</v>
      </c>
      <c r="I54" s="24">
        <v>31</v>
      </c>
      <c r="J54" s="24" t="str">
        <f>VLOOKUP(A54,編號對照表!$B$1:$C$133,2,FALSE)</f>
        <v>FG2-6'4</v>
      </c>
      <c r="K54" s="24" t="s">
        <v>637</v>
      </c>
      <c r="L54" s="24" t="s">
        <v>683</v>
      </c>
      <c r="M54" s="24">
        <v>1.27</v>
      </c>
      <c r="N54" s="24">
        <v>12</v>
      </c>
      <c r="O54" s="24">
        <v>25</v>
      </c>
      <c r="P54" s="24">
        <v>15</v>
      </c>
      <c r="Q54" s="24">
        <v>80</v>
      </c>
      <c r="R54" s="24">
        <v>200</v>
      </c>
      <c r="S54" s="24">
        <v>9</v>
      </c>
      <c r="T54" s="24">
        <v>2</v>
      </c>
      <c r="U54" s="24">
        <v>10</v>
      </c>
      <c r="V54" s="24">
        <v>21</v>
      </c>
    </row>
    <row r="55" spans="1:22" x14ac:dyDescent="0.25">
      <c r="A55" s="24" t="s">
        <v>261</v>
      </c>
      <c r="B55" s="24" t="s">
        <v>16</v>
      </c>
      <c r="C55" s="24">
        <v>1E-3</v>
      </c>
      <c r="D55" s="24">
        <v>125.554827973247</v>
      </c>
      <c r="E55" s="25">
        <v>0</v>
      </c>
      <c r="F55" s="24">
        <v>8</v>
      </c>
      <c r="G55" s="24">
        <v>5.07</v>
      </c>
      <c r="H55" s="24">
        <v>3</v>
      </c>
      <c r="I55" s="24">
        <v>25</v>
      </c>
      <c r="J55" s="24" t="str">
        <f>VLOOKUP(A55,編號對照表!$B$1:$C$133,2,FALSE)</f>
        <v>FG2-6'4</v>
      </c>
      <c r="K55" s="24" t="s">
        <v>753</v>
      </c>
      <c r="L55" s="24" t="s">
        <v>683</v>
      </c>
      <c r="M55" s="24">
        <v>1.27</v>
      </c>
      <c r="N55" s="24">
        <v>12</v>
      </c>
      <c r="O55" s="24">
        <v>25</v>
      </c>
      <c r="P55" s="24">
        <v>15</v>
      </c>
      <c r="Q55" s="24">
        <v>80</v>
      </c>
      <c r="R55" s="24">
        <v>200</v>
      </c>
      <c r="S55" s="24">
        <v>3</v>
      </c>
      <c r="T55" s="24">
        <v>0</v>
      </c>
      <c r="U55" s="24">
        <v>10</v>
      </c>
      <c r="V55" s="24">
        <v>15</v>
      </c>
    </row>
    <row r="56" spans="1:22" x14ac:dyDescent="0.25">
      <c r="A56" s="24" t="s">
        <v>262</v>
      </c>
      <c r="B56" s="24" t="s">
        <v>13</v>
      </c>
      <c r="C56" s="24">
        <v>72.736237198114395</v>
      </c>
      <c r="D56" s="24">
        <v>152.53368765115701</v>
      </c>
      <c r="E56" s="25">
        <v>0.100438517984003</v>
      </c>
      <c r="F56" s="24">
        <v>8</v>
      </c>
      <c r="G56" s="24">
        <v>5.07</v>
      </c>
      <c r="H56" s="24">
        <v>15</v>
      </c>
      <c r="I56" s="24">
        <v>31</v>
      </c>
      <c r="J56" s="24" t="str">
        <f>VLOOKUP(A56,編號對照表!$B$1:$C$133,2,FALSE)</f>
        <v>FB2-D'4</v>
      </c>
      <c r="K56" s="24" t="s">
        <v>642</v>
      </c>
      <c r="L56" s="24" t="s">
        <v>874</v>
      </c>
      <c r="M56" s="24">
        <v>2.54</v>
      </c>
      <c r="N56" s="24">
        <v>15</v>
      </c>
      <c r="O56" s="24">
        <v>25</v>
      </c>
      <c r="P56" s="24">
        <v>15</v>
      </c>
      <c r="Q56" s="24">
        <v>120</v>
      </c>
      <c r="R56" s="24">
        <v>280</v>
      </c>
      <c r="S56" s="24">
        <v>15</v>
      </c>
      <c r="T56" s="24">
        <v>0</v>
      </c>
      <c r="U56" s="24">
        <v>16</v>
      </c>
      <c r="V56" s="24">
        <v>15</v>
      </c>
    </row>
    <row r="57" spans="1:22" x14ac:dyDescent="0.25">
      <c r="A57" s="24" t="s">
        <v>262</v>
      </c>
      <c r="B57" s="24" t="s">
        <v>15</v>
      </c>
      <c r="C57" s="24">
        <v>73.421071283519296</v>
      </c>
      <c r="D57" s="24">
        <v>122.962351888418</v>
      </c>
      <c r="E57" s="25">
        <v>0.100438517984003</v>
      </c>
      <c r="F57" s="24">
        <v>8</v>
      </c>
      <c r="G57" s="24">
        <v>5.07</v>
      </c>
      <c r="H57" s="24">
        <v>15</v>
      </c>
      <c r="I57" s="24">
        <v>25</v>
      </c>
      <c r="J57" s="24" t="str">
        <f>VLOOKUP(A57,編號對照表!$B$1:$C$133,2,FALSE)</f>
        <v>FB2-D'4</v>
      </c>
      <c r="K57" s="24" t="s">
        <v>642</v>
      </c>
      <c r="L57" s="24" t="s">
        <v>874</v>
      </c>
      <c r="M57" s="24">
        <v>2.54</v>
      </c>
      <c r="N57" s="24">
        <v>15</v>
      </c>
      <c r="O57" s="24">
        <v>25</v>
      </c>
      <c r="P57" s="24">
        <v>15</v>
      </c>
      <c r="Q57" s="24">
        <v>120</v>
      </c>
      <c r="R57" s="24">
        <v>280</v>
      </c>
      <c r="S57" s="24">
        <v>15</v>
      </c>
      <c r="T57" s="24">
        <v>0</v>
      </c>
      <c r="U57" s="24">
        <v>16</v>
      </c>
      <c r="V57" s="24">
        <v>9</v>
      </c>
    </row>
    <row r="58" spans="1:22" x14ac:dyDescent="0.25">
      <c r="A58" s="24" t="s">
        <v>262</v>
      </c>
      <c r="B58" s="24" t="s">
        <v>16</v>
      </c>
      <c r="C58" s="24">
        <v>64.637805335223703</v>
      </c>
      <c r="D58" s="24">
        <v>110.110938549042</v>
      </c>
      <c r="E58" s="25">
        <v>0.100438517984003</v>
      </c>
      <c r="F58" s="24">
        <v>8</v>
      </c>
      <c r="G58" s="24">
        <v>5.07</v>
      </c>
      <c r="H58" s="24">
        <v>13</v>
      </c>
      <c r="I58" s="24">
        <v>22</v>
      </c>
      <c r="J58" s="24" t="str">
        <f>VLOOKUP(A58,編號對照表!$B$1:$C$133,2,FALSE)</f>
        <v>FB2-D'4</v>
      </c>
      <c r="K58" s="24" t="s">
        <v>642</v>
      </c>
      <c r="L58" s="24" t="s">
        <v>694</v>
      </c>
      <c r="M58" s="24">
        <v>2.54</v>
      </c>
      <c r="N58" s="24">
        <v>15</v>
      </c>
      <c r="O58" s="24">
        <v>25</v>
      </c>
      <c r="P58" s="24">
        <v>15</v>
      </c>
      <c r="Q58" s="24">
        <v>120</v>
      </c>
      <c r="R58" s="24">
        <v>280</v>
      </c>
      <c r="S58" s="24">
        <v>13</v>
      </c>
      <c r="T58" s="24">
        <v>0</v>
      </c>
      <c r="U58" s="24">
        <v>16</v>
      </c>
      <c r="V58" s="24">
        <v>6</v>
      </c>
    </row>
    <row r="59" spans="1:22" x14ac:dyDescent="0.25">
      <c r="A59" s="24" t="s">
        <v>263</v>
      </c>
      <c r="B59" s="24" t="s">
        <v>13</v>
      </c>
      <c r="C59" s="24">
        <v>66.218576394021497</v>
      </c>
      <c r="D59" s="24">
        <v>150.43566934764399</v>
      </c>
      <c r="E59" s="25">
        <v>6.6959013929590597E-2</v>
      </c>
      <c r="F59" s="24">
        <v>8</v>
      </c>
      <c r="G59" s="24">
        <v>5.07</v>
      </c>
      <c r="H59" s="24">
        <v>14</v>
      </c>
      <c r="I59" s="24">
        <v>30</v>
      </c>
      <c r="J59" s="24" t="str">
        <f>VLOOKUP(A59,編號對照表!$B$1:$C$133,2,FALSE)</f>
        <v>FG2-6'5</v>
      </c>
      <c r="K59" s="24" t="s">
        <v>643</v>
      </c>
      <c r="L59" s="24" t="s">
        <v>683</v>
      </c>
      <c r="M59" s="24">
        <v>1.27</v>
      </c>
      <c r="N59" s="24">
        <v>12</v>
      </c>
      <c r="O59" s="24">
        <v>25</v>
      </c>
      <c r="P59" s="24">
        <v>15</v>
      </c>
      <c r="Q59" s="24">
        <v>80</v>
      </c>
      <c r="R59" s="24">
        <v>200</v>
      </c>
      <c r="S59" s="24">
        <v>10</v>
      </c>
      <c r="T59" s="24">
        <v>4</v>
      </c>
      <c r="U59" s="24">
        <v>10</v>
      </c>
      <c r="V59" s="24">
        <v>20</v>
      </c>
    </row>
    <row r="60" spans="1:22" x14ac:dyDescent="0.25">
      <c r="A60" s="24" t="s">
        <v>263</v>
      </c>
      <c r="B60" s="24" t="s">
        <v>15</v>
      </c>
      <c r="C60" s="24">
        <v>125.227309763432</v>
      </c>
      <c r="D60" s="24">
        <v>16.930572455748901</v>
      </c>
      <c r="E60" s="25">
        <v>6.6959013929590597E-2</v>
      </c>
      <c r="F60" s="24">
        <v>8</v>
      </c>
      <c r="G60" s="24">
        <v>5.07</v>
      </c>
      <c r="H60" s="24">
        <v>25</v>
      </c>
      <c r="I60" s="24">
        <v>4</v>
      </c>
      <c r="J60" s="24" t="str">
        <f>VLOOKUP(A60,編號對照表!$B$1:$C$133,2,FALSE)</f>
        <v>FG2-6'5</v>
      </c>
      <c r="K60" s="24" t="s">
        <v>852</v>
      </c>
      <c r="L60" s="24" t="s">
        <v>683</v>
      </c>
      <c r="M60" s="24">
        <v>1.27</v>
      </c>
      <c r="N60" s="24">
        <v>12</v>
      </c>
      <c r="O60" s="24">
        <v>25</v>
      </c>
      <c r="P60" s="24">
        <v>15</v>
      </c>
      <c r="Q60" s="24">
        <v>80</v>
      </c>
      <c r="R60" s="24">
        <v>200</v>
      </c>
      <c r="S60" s="24">
        <v>10</v>
      </c>
      <c r="T60" s="24">
        <v>15</v>
      </c>
      <c r="U60" s="24">
        <v>4</v>
      </c>
      <c r="V60" s="24">
        <v>0</v>
      </c>
    </row>
    <row r="61" spans="1:22" x14ac:dyDescent="0.25">
      <c r="A61" s="24" t="s">
        <v>263</v>
      </c>
      <c r="B61" s="24" t="s">
        <v>16</v>
      </c>
      <c r="C61" s="24">
        <v>118.857827037573</v>
      </c>
      <c r="D61" s="24">
        <v>3.3832088229246402</v>
      </c>
      <c r="E61" s="25">
        <v>0</v>
      </c>
      <c r="F61" s="24">
        <v>8</v>
      </c>
      <c r="G61" s="24">
        <v>5.07</v>
      </c>
      <c r="H61" s="24">
        <v>24</v>
      </c>
      <c r="I61" s="24">
        <v>3</v>
      </c>
      <c r="J61" s="24" t="str">
        <f>VLOOKUP(A61,編號對照表!$B$1:$C$133,2,FALSE)</f>
        <v>FG2-6'5</v>
      </c>
      <c r="K61" s="24" t="s">
        <v>852</v>
      </c>
      <c r="L61" s="24" t="s">
        <v>683</v>
      </c>
      <c r="M61" s="24">
        <v>1.27</v>
      </c>
      <c r="N61" s="24">
        <v>12</v>
      </c>
      <c r="O61" s="24">
        <v>25</v>
      </c>
      <c r="P61" s="24">
        <v>15</v>
      </c>
      <c r="Q61" s="24">
        <v>80</v>
      </c>
      <c r="R61" s="24">
        <v>200</v>
      </c>
      <c r="S61" s="24">
        <v>10</v>
      </c>
      <c r="T61" s="24">
        <v>14</v>
      </c>
      <c r="U61" s="24">
        <v>3</v>
      </c>
      <c r="V61" s="24">
        <v>0</v>
      </c>
    </row>
    <row r="62" spans="1:22" x14ac:dyDescent="0.25">
      <c r="A62" s="24" t="s">
        <v>264</v>
      </c>
      <c r="B62" s="24" t="s">
        <v>13</v>
      </c>
      <c r="C62" s="24">
        <v>1E-3</v>
      </c>
      <c r="D62" s="24">
        <v>112.437661737204</v>
      </c>
      <c r="E62" s="25">
        <v>6.6959013929590597E-2</v>
      </c>
      <c r="F62" s="24">
        <v>8</v>
      </c>
      <c r="G62" s="24">
        <v>5.07</v>
      </c>
      <c r="H62" s="24">
        <v>3</v>
      </c>
      <c r="I62" s="24">
        <v>23</v>
      </c>
      <c r="J62" s="24" t="str">
        <f>VLOOKUP(A62,編號對照表!$B$1:$C$133,2,FALSE)</f>
        <v>FB1-E'4</v>
      </c>
      <c r="K62" s="24" t="s">
        <v>579</v>
      </c>
      <c r="L62" s="24" t="s">
        <v>683</v>
      </c>
      <c r="M62" s="24">
        <v>1.27</v>
      </c>
      <c r="N62" s="24">
        <v>12</v>
      </c>
      <c r="O62" s="24">
        <v>25</v>
      </c>
      <c r="P62" s="24">
        <v>15</v>
      </c>
      <c r="Q62" s="24">
        <v>80</v>
      </c>
      <c r="R62" s="24">
        <v>200</v>
      </c>
      <c r="S62" s="24">
        <v>3</v>
      </c>
      <c r="T62" s="24">
        <v>0</v>
      </c>
      <c r="U62" s="24">
        <v>10</v>
      </c>
      <c r="V62" s="24">
        <v>13</v>
      </c>
    </row>
    <row r="63" spans="1:22" x14ac:dyDescent="0.25">
      <c r="A63" s="24" t="s">
        <v>264</v>
      </c>
      <c r="B63" s="24" t="s">
        <v>15</v>
      </c>
      <c r="C63" s="24">
        <v>121.47030793130401</v>
      </c>
      <c r="D63" s="24">
        <v>53.738863207399802</v>
      </c>
      <c r="E63" s="25">
        <v>0.30100923031568499</v>
      </c>
      <c r="F63" s="24">
        <v>8</v>
      </c>
      <c r="G63" s="24">
        <v>5.07</v>
      </c>
      <c r="H63" s="24">
        <v>24</v>
      </c>
      <c r="I63" s="24">
        <v>11</v>
      </c>
      <c r="J63" s="24" t="str">
        <f>VLOOKUP(A63,編號對照表!$B$1:$C$133,2,FALSE)</f>
        <v>FB1-E'4</v>
      </c>
      <c r="K63" s="24" t="s">
        <v>579</v>
      </c>
      <c r="L63" s="24" t="s">
        <v>694</v>
      </c>
      <c r="M63" s="24">
        <v>2.54</v>
      </c>
      <c r="N63" s="24">
        <v>15</v>
      </c>
      <c r="O63" s="24">
        <v>25</v>
      </c>
      <c r="P63" s="24">
        <v>15</v>
      </c>
      <c r="Q63" s="24">
        <v>80</v>
      </c>
      <c r="R63" s="24">
        <v>200</v>
      </c>
      <c r="S63" s="24">
        <v>10</v>
      </c>
      <c r="T63" s="24">
        <v>14</v>
      </c>
      <c r="U63" s="24">
        <v>9</v>
      </c>
      <c r="V63" s="24">
        <v>2</v>
      </c>
    </row>
    <row r="64" spans="1:22" x14ac:dyDescent="0.25">
      <c r="A64" s="24" t="s">
        <v>264</v>
      </c>
      <c r="B64" s="24" t="s">
        <v>16</v>
      </c>
      <c r="C64" s="24">
        <v>24.779145605862102</v>
      </c>
      <c r="D64" s="24">
        <v>158.67553651332901</v>
      </c>
      <c r="E64" s="25">
        <v>6.6959013929590597E-2</v>
      </c>
      <c r="F64" s="24">
        <v>8</v>
      </c>
      <c r="G64" s="24">
        <v>5.07</v>
      </c>
      <c r="H64" s="24">
        <v>5</v>
      </c>
      <c r="I64" s="24">
        <v>32</v>
      </c>
      <c r="J64" s="24" t="str">
        <f>VLOOKUP(A64,編號對照表!$B$1:$C$133,2,FALSE)</f>
        <v>FB1-E'4</v>
      </c>
      <c r="K64" s="24" t="s">
        <v>754</v>
      </c>
      <c r="L64" s="24" t="s">
        <v>683</v>
      </c>
      <c r="M64" s="24">
        <v>1.27</v>
      </c>
      <c r="N64" s="24">
        <v>12</v>
      </c>
      <c r="O64" s="24">
        <v>25</v>
      </c>
      <c r="P64" s="24">
        <v>15</v>
      </c>
      <c r="Q64" s="24">
        <v>80</v>
      </c>
      <c r="R64" s="24">
        <v>200</v>
      </c>
      <c r="S64" s="24">
        <v>5</v>
      </c>
      <c r="T64" s="24">
        <v>0</v>
      </c>
      <c r="U64" s="24">
        <v>10</v>
      </c>
      <c r="V64" s="24">
        <v>22</v>
      </c>
    </row>
    <row r="65" spans="1:22" x14ac:dyDescent="0.25">
      <c r="A65" s="24" t="s">
        <v>265</v>
      </c>
      <c r="B65" s="24" t="s">
        <v>13</v>
      </c>
      <c r="C65" s="24">
        <v>95.773413777351394</v>
      </c>
      <c r="D65" s="24">
        <v>0.82406237197574195</v>
      </c>
      <c r="E65" s="25">
        <v>0.20126744639128399</v>
      </c>
      <c r="F65" s="24">
        <v>8</v>
      </c>
      <c r="G65" s="24">
        <v>5.07</v>
      </c>
      <c r="H65" s="24">
        <v>19</v>
      </c>
      <c r="I65" s="24">
        <v>3</v>
      </c>
      <c r="J65" s="24" t="str">
        <f>VLOOKUP(A65,編號對照表!$B$1:$C$133,2,FALSE)</f>
        <v>FG1-51</v>
      </c>
      <c r="K65" s="24" t="s">
        <v>638</v>
      </c>
      <c r="L65" s="24" t="s">
        <v>683</v>
      </c>
      <c r="M65" s="24">
        <v>1.27</v>
      </c>
      <c r="N65" s="24">
        <v>12</v>
      </c>
      <c r="O65" s="24">
        <v>25</v>
      </c>
      <c r="P65" s="24">
        <v>15</v>
      </c>
      <c r="Q65" s="24">
        <v>80</v>
      </c>
      <c r="R65" s="24">
        <v>200</v>
      </c>
      <c r="S65" s="24">
        <v>10</v>
      </c>
      <c r="T65" s="24">
        <v>9</v>
      </c>
      <c r="U65" s="24">
        <v>3</v>
      </c>
      <c r="V65" s="24">
        <v>0</v>
      </c>
    </row>
    <row r="66" spans="1:22" x14ac:dyDescent="0.25">
      <c r="A66" s="24" t="s">
        <v>265</v>
      </c>
      <c r="B66" s="24" t="s">
        <v>15</v>
      </c>
      <c r="C66" s="24">
        <v>139.525141566992</v>
      </c>
      <c r="D66" s="24">
        <v>1E-3</v>
      </c>
      <c r="E66" s="25">
        <v>0.26084834244102201</v>
      </c>
      <c r="F66" s="24">
        <v>8</v>
      </c>
      <c r="G66" s="24">
        <v>5.07</v>
      </c>
      <c r="H66" s="24">
        <v>28</v>
      </c>
      <c r="I66" s="24">
        <v>3</v>
      </c>
      <c r="J66" s="24" t="str">
        <f>VLOOKUP(A66,編號對照表!$B$1:$C$133,2,FALSE)</f>
        <v>FG1-51</v>
      </c>
      <c r="K66" s="24" t="s">
        <v>638</v>
      </c>
      <c r="L66" s="24" t="s">
        <v>874</v>
      </c>
      <c r="M66" s="24">
        <v>2.54</v>
      </c>
      <c r="N66" s="24">
        <v>18</v>
      </c>
      <c r="O66" s="24">
        <v>25</v>
      </c>
      <c r="P66" s="24">
        <v>15</v>
      </c>
      <c r="Q66" s="24">
        <v>80</v>
      </c>
      <c r="R66" s="24">
        <v>200</v>
      </c>
      <c r="S66" s="24">
        <v>10</v>
      </c>
      <c r="T66" s="24">
        <v>18</v>
      </c>
      <c r="U66" s="24">
        <v>3</v>
      </c>
      <c r="V66" s="24">
        <v>0</v>
      </c>
    </row>
    <row r="67" spans="1:22" x14ac:dyDescent="0.25">
      <c r="A67" s="24" t="s">
        <v>265</v>
      </c>
      <c r="B67" s="24" t="s">
        <v>16</v>
      </c>
      <c r="C67" s="24">
        <v>45.4339105635881</v>
      </c>
      <c r="D67" s="24">
        <v>117.083378136158</v>
      </c>
      <c r="E67" s="25">
        <v>0.46554231084883202</v>
      </c>
      <c r="F67" s="24">
        <v>8</v>
      </c>
      <c r="G67" s="24">
        <v>5.07</v>
      </c>
      <c r="H67" s="24">
        <v>9</v>
      </c>
      <c r="I67" s="24">
        <v>24</v>
      </c>
      <c r="J67" s="24" t="str">
        <f>VLOOKUP(A67,編號對照表!$B$1:$C$133,2,FALSE)</f>
        <v>FG1-51</v>
      </c>
      <c r="K67" s="24" t="s">
        <v>853</v>
      </c>
      <c r="L67" s="24" t="s">
        <v>874</v>
      </c>
      <c r="M67" s="24">
        <v>2.54</v>
      </c>
      <c r="N67" s="24">
        <v>10</v>
      </c>
      <c r="O67" s="24">
        <v>25</v>
      </c>
      <c r="P67" s="24">
        <v>15</v>
      </c>
      <c r="Q67" s="24">
        <v>80</v>
      </c>
      <c r="R67" s="24">
        <v>200</v>
      </c>
      <c r="S67" s="24">
        <v>9</v>
      </c>
      <c r="T67" s="24">
        <v>0</v>
      </c>
      <c r="U67" s="24">
        <v>10</v>
      </c>
      <c r="V67" s="24">
        <v>14</v>
      </c>
    </row>
    <row r="68" spans="1:22" x14ac:dyDescent="0.25">
      <c r="A68" s="24" t="s">
        <v>82</v>
      </c>
      <c r="B68" s="24" t="s">
        <v>13</v>
      </c>
      <c r="C68" s="24">
        <v>1E-3</v>
      </c>
      <c r="D68" s="24">
        <v>108.911283314228</v>
      </c>
      <c r="E68" s="25">
        <v>0.27515538968145797</v>
      </c>
      <c r="F68" s="24">
        <v>8</v>
      </c>
      <c r="G68" s="24">
        <v>5.07</v>
      </c>
      <c r="H68" s="24">
        <v>3</v>
      </c>
      <c r="I68" s="24">
        <v>22</v>
      </c>
      <c r="J68" s="24" t="str">
        <f>VLOOKUP(A68,編號對照表!$B$1:$C$133,2,FALSE)</f>
        <v>FG1-52</v>
      </c>
      <c r="K68" s="24" t="s">
        <v>755</v>
      </c>
      <c r="L68" s="24" t="s">
        <v>874</v>
      </c>
      <c r="M68" s="24">
        <v>2.54</v>
      </c>
      <c r="N68" s="24">
        <v>15</v>
      </c>
      <c r="O68" s="24">
        <v>25</v>
      </c>
      <c r="P68" s="24">
        <v>15</v>
      </c>
      <c r="Q68" s="24">
        <v>80</v>
      </c>
      <c r="R68" s="24">
        <v>200</v>
      </c>
      <c r="S68" s="24">
        <v>3</v>
      </c>
      <c r="T68" s="24">
        <v>0</v>
      </c>
      <c r="U68" s="24">
        <v>10</v>
      </c>
      <c r="V68" s="24">
        <v>12</v>
      </c>
    </row>
    <row r="69" spans="1:22" x14ac:dyDescent="0.25">
      <c r="A69" s="24" t="s">
        <v>82</v>
      </c>
      <c r="B69" s="24" t="s">
        <v>15</v>
      </c>
      <c r="C69" s="24">
        <v>21.140198223292799</v>
      </c>
      <c r="D69" s="24">
        <v>30.405223369598399</v>
      </c>
      <c r="E69" s="25">
        <v>0.28630108572542701</v>
      </c>
      <c r="F69" s="24">
        <v>8</v>
      </c>
      <c r="G69" s="24">
        <v>5.07</v>
      </c>
      <c r="H69" s="24">
        <v>5</v>
      </c>
      <c r="I69" s="24">
        <v>6</v>
      </c>
      <c r="J69" s="24" t="str">
        <f>VLOOKUP(A69,編號對照表!$B$1:$C$133,2,FALSE)</f>
        <v>FG1-52</v>
      </c>
      <c r="K69" s="24" t="s">
        <v>755</v>
      </c>
      <c r="L69" s="24" t="s">
        <v>874</v>
      </c>
      <c r="M69" s="24">
        <v>2.54</v>
      </c>
      <c r="N69" s="24">
        <v>15</v>
      </c>
      <c r="O69" s="24">
        <v>25</v>
      </c>
      <c r="P69" s="24">
        <v>15</v>
      </c>
      <c r="Q69" s="24">
        <v>80</v>
      </c>
      <c r="R69" s="24">
        <v>200</v>
      </c>
      <c r="S69" s="24">
        <v>5</v>
      </c>
      <c r="T69" s="24">
        <v>0</v>
      </c>
      <c r="U69" s="24">
        <v>6</v>
      </c>
      <c r="V69" s="24">
        <v>0</v>
      </c>
    </row>
    <row r="70" spans="1:22" x14ac:dyDescent="0.25">
      <c r="A70" s="24" t="s">
        <v>82</v>
      </c>
      <c r="B70" s="24" t="s">
        <v>16</v>
      </c>
      <c r="C70" s="24">
        <v>27.4247070774436</v>
      </c>
      <c r="D70" s="24">
        <v>93.213561922311797</v>
      </c>
      <c r="E70" s="25">
        <v>0.18958158325403901</v>
      </c>
      <c r="F70" s="24">
        <v>8</v>
      </c>
      <c r="G70" s="24">
        <v>5.07</v>
      </c>
      <c r="H70" s="24">
        <v>6</v>
      </c>
      <c r="I70" s="24">
        <v>19</v>
      </c>
      <c r="J70" s="24" t="str">
        <f>VLOOKUP(A70,編號對照表!$B$1:$C$133,2,FALSE)</f>
        <v>FG1-52</v>
      </c>
      <c r="K70" s="24" t="s">
        <v>659</v>
      </c>
      <c r="L70" s="24" t="s">
        <v>683</v>
      </c>
      <c r="M70" s="24">
        <v>1.27</v>
      </c>
      <c r="N70" s="24">
        <v>12</v>
      </c>
      <c r="O70" s="24">
        <v>25</v>
      </c>
      <c r="P70" s="24">
        <v>15</v>
      </c>
      <c r="Q70" s="24">
        <v>80</v>
      </c>
      <c r="R70" s="24">
        <v>200</v>
      </c>
      <c r="S70" s="24">
        <v>6</v>
      </c>
      <c r="T70" s="24">
        <v>0</v>
      </c>
      <c r="U70" s="24">
        <v>10</v>
      </c>
      <c r="V70" s="24">
        <v>9</v>
      </c>
    </row>
    <row r="71" spans="1:22" x14ac:dyDescent="0.25">
      <c r="A71" s="24" t="s">
        <v>268</v>
      </c>
      <c r="B71" s="24" t="s">
        <v>13</v>
      </c>
      <c r="C71" s="24">
        <v>65.186270512640505</v>
      </c>
      <c r="D71" s="24">
        <v>82.083772867918</v>
      </c>
      <c r="E71" s="25">
        <v>0</v>
      </c>
      <c r="F71" s="24">
        <v>8</v>
      </c>
      <c r="G71" s="24">
        <v>5.07</v>
      </c>
      <c r="H71" s="24">
        <v>13</v>
      </c>
      <c r="I71" s="24">
        <v>17</v>
      </c>
      <c r="J71" s="24" t="str">
        <f>VLOOKUP(A71,編號對照表!$B$1:$C$133,2,FALSE)</f>
        <v>FG2-53</v>
      </c>
      <c r="K71" s="24" t="s">
        <v>455</v>
      </c>
      <c r="L71" s="24" t="s">
        <v>874</v>
      </c>
      <c r="M71" s="24">
        <v>2.54</v>
      </c>
      <c r="N71" s="24">
        <v>15</v>
      </c>
      <c r="O71" s="24">
        <v>25</v>
      </c>
      <c r="P71" s="24">
        <v>15</v>
      </c>
      <c r="Q71" s="24">
        <v>120</v>
      </c>
      <c r="R71" s="24">
        <v>280</v>
      </c>
      <c r="S71" s="24">
        <v>13</v>
      </c>
      <c r="T71" s="24">
        <v>0</v>
      </c>
      <c r="U71" s="24">
        <v>15</v>
      </c>
      <c r="V71" s="24">
        <v>2</v>
      </c>
    </row>
    <row r="72" spans="1:22" x14ac:dyDescent="0.25">
      <c r="A72" s="24" t="s">
        <v>268</v>
      </c>
      <c r="B72" s="24" t="s">
        <v>15</v>
      </c>
      <c r="C72" s="24">
        <v>72.334664873778806</v>
      </c>
      <c r="D72" s="24">
        <v>28.1185959465802</v>
      </c>
      <c r="E72" s="25">
        <v>0</v>
      </c>
      <c r="F72" s="24">
        <v>8</v>
      </c>
      <c r="G72" s="24">
        <v>5.07</v>
      </c>
      <c r="H72" s="24">
        <v>15</v>
      </c>
      <c r="I72" s="24">
        <v>6</v>
      </c>
      <c r="J72" s="24" t="str">
        <f>VLOOKUP(A72,編號對照表!$B$1:$C$133,2,FALSE)</f>
        <v>FG2-53</v>
      </c>
      <c r="K72" s="24" t="s">
        <v>455</v>
      </c>
      <c r="L72" s="24" t="s">
        <v>874</v>
      </c>
      <c r="M72" s="24">
        <v>2.54</v>
      </c>
      <c r="N72" s="24">
        <v>15</v>
      </c>
      <c r="O72" s="24">
        <v>25</v>
      </c>
      <c r="P72" s="24">
        <v>15</v>
      </c>
      <c r="Q72" s="24">
        <v>120</v>
      </c>
      <c r="R72" s="24">
        <v>280</v>
      </c>
      <c r="S72" s="24">
        <v>15</v>
      </c>
      <c r="T72" s="24">
        <v>0</v>
      </c>
      <c r="U72" s="24">
        <v>6</v>
      </c>
      <c r="V72" s="24">
        <v>0</v>
      </c>
    </row>
    <row r="73" spans="1:22" x14ac:dyDescent="0.25">
      <c r="A73" s="24" t="s">
        <v>268</v>
      </c>
      <c r="B73" s="24" t="s">
        <v>16</v>
      </c>
      <c r="C73" s="24">
        <v>65.820724703371496</v>
      </c>
      <c r="D73" s="24">
        <v>14.4378794357181</v>
      </c>
      <c r="E73" s="25">
        <v>0</v>
      </c>
      <c r="F73" s="24">
        <v>8</v>
      </c>
      <c r="G73" s="24">
        <v>5.07</v>
      </c>
      <c r="H73" s="24">
        <v>13</v>
      </c>
      <c r="I73" s="24">
        <v>3</v>
      </c>
      <c r="J73" s="24" t="str">
        <f>VLOOKUP(A73,編號對照表!$B$1:$C$133,2,FALSE)</f>
        <v>FG2-53</v>
      </c>
      <c r="K73" s="24" t="s">
        <v>756</v>
      </c>
      <c r="L73" s="24" t="s">
        <v>694</v>
      </c>
      <c r="M73" s="24">
        <v>2.54</v>
      </c>
      <c r="N73" s="24">
        <v>15</v>
      </c>
      <c r="O73" s="24">
        <v>25</v>
      </c>
      <c r="P73" s="24">
        <v>15</v>
      </c>
      <c r="Q73" s="24">
        <v>120</v>
      </c>
      <c r="R73" s="24">
        <v>280</v>
      </c>
      <c r="S73" s="24">
        <v>13</v>
      </c>
      <c r="T73" s="24">
        <v>0</v>
      </c>
      <c r="U73" s="24">
        <v>3</v>
      </c>
      <c r="V73" s="24">
        <v>0</v>
      </c>
    </row>
    <row r="74" spans="1:22" x14ac:dyDescent="0.25">
      <c r="A74" s="24" t="s">
        <v>83</v>
      </c>
      <c r="B74" s="24" t="s">
        <v>13</v>
      </c>
      <c r="C74" s="24">
        <v>99.525488913059206</v>
      </c>
      <c r="D74" s="24">
        <v>10.8040799386799</v>
      </c>
      <c r="E74" s="25">
        <v>0</v>
      </c>
      <c r="F74" s="24">
        <v>8</v>
      </c>
      <c r="G74" s="24">
        <v>5.07</v>
      </c>
      <c r="H74" s="24">
        <v>20</v>
      </c>
      <c r="I74" s="24">
        <v>3</v>
      </c>
      <c r="J74" s="24" t="str">
        <f>VLOOKUP(A74,編號對照表!$B$1:$C$133,2,FALSE)</f>
        <v>FG2-54</v>
      </c>
      <c r="K74" s="24" t="s">
        <v>854</v>
      </c>
      <c r="L74" s="24" t="s">
        <v>694</v>
      </c>
      <c r="M74" s="24">
        <v>2.54</v>
      </c>
      <c r="N74" s="24">
        <v>15</v>
      </c>
      <c r="O74" s="24">
        <v>25</v>
      </c>
      <c r="P74" s="24">
        <v>15</v>
      </c>
      <c r="Q74" s="24">
        <v>120</v>
      </c>
      <c r="R74" s="24">
        <v>280</v>
      </c>
      <c r="S74" s="24">
        <v>16</v>
      </c>
      <c r="T74" s="24">
        <v>4</v>
      </c>
      <c r="U74" s="24">
        <v>3</v>
      </c>
      <c r="V74" s="24">
        <v>0</v>
      </c>
    </row>
    <row r="75" spans="1:22" x14ac:dyDescent="0.25">
      <c r="A75" s="24" t="s">
        <v>83</v>
      </c>
      <c r="B75" s="24" t="s">
        <v>15</v>
      </c>
      <c r="C75" s="24">
        <v>119.688101112843</v>
      </c>
      <c r="D75" s="24">
        <v>20.105668809264898</v>
      </c>
      <c r="E75" s="25">
        <v>0</v>
      </c>
      <c r="F75" s="24">
        <v>8</v>
      </c>
      <c r="G75" s="24">
        <v>5.07</v>
      </c>
      <c r="H75" s="24">
        <v>24</v>
      </c>
      <c r="I75" s="24">
        <v>4</v>
      </c>
      <c r="J75" s="24" t="str">
        <f>VLOOKUP(A75,編號對照表!$B$1:$C$133,2,FALSE)</f>
        <v>FG2-54</v>
      </c>
      <c r="K75" s="24" t="s">
        <v>854</v>
      </c>
      <c r="L75" s="24" t="s">
        <v>874</v>
      </c>
      <c r="M75" s="24">
        <v>2.54</v>
      </c>
      <c r="N75" s="24">
        <v>15</v>
      </c>
      <c r="O75" s="24">
        <v>25</v>
      </c>
      <c r="P75" s="24">
        <v>15</v>
      </c>
      <c r="Q75" s="24">
        <v>120</v>
      </c>
      <c r="R75" s="24">
        <v>280</v>
      </c>
      <c r="S75" s="24">
        <v>16</v>
      </c>
      <c r="T75" s="24">
        <v>8</v>
      </c>
      <c r="U75" s="24">
        <v>4</v>
      </c>
      <c r="V75" s="24">
        <v>0</v>
      </c>
    </row>
    <row r="76" spans="1:22" x14ac:dyDescent="0.25">
      <c r="A76" s="24" t="s">
        <v>83</v>
      </c>
      <c r="B76" s="24" t="s">
        <v>16</v>
      </c>
      <c r="C76" s="24">
        <v>59.4286248087883</v>
      </c>
      <c r="D76" s="24">
        <v>143.08474026620399</v>
      </c>
      <c r="E76" s="25">
        <v>0.100438517984003</v>
      </c>
      <c r="F76" s="24">
        <v>8</v>
      </c>
      <c r="G76" s="24">
        <v>5.07</v>
      </c>
      <c r="H76" s="24">
        <v>12</v>
      </c>
      <c r="I76" s="24">
        <v>29</v>
      </c>
      <c r="J76" s="24" t="str">
        <f>VLOOKUP(A76,編號對照表!$B$1:$C$133,2,FALSE)</f>
        <v>FG2-54</v>
      </c>
      <c r="K76" s="24" t="s">
        <v>854</v>
      </c>
      <c r="L76" s="24" t="s">
        <v>874</v>
      </c>
      <c r="M76" s="24">
        <v>2.54</v>
      </c>
      <c r="N76" s="24">
        <v>15</v>
      </c>
      <c r="O76" s="24">
        <v>25</v>
      </c>
      <c r="P76" s="24">
        <v>15</v>
      </c>
      <c r="Q76" s="24">
        <v>120</v>
      </c>
      <c r="R76" s="24">
        <v>280</v>
      </c>
      <c r="S76" s="24">
        <v>12</v>
      </c>
      <c r="T76" s="24">
        <v>0</v>
      </c>
      <c r="U76" s="24">
        <v>16</v>
      </c>
      <c r="V76" s="24">
        <v>13</v>
      </c>
    </row>
    <row r="77" spans="1:22" x14ac:dyDescent="0.25">
      <c r="A77" s="24" t="s">
        <v>269</v>
      </c>
      <c r="B77" s="24" t="s">
        <v>13</v>
      </c>
      <c r="C77" s="24">
        <v>22.831284441053899</v>
      </c>
      <c r="D77" s="24">
        <v>157.821550965309</v>
      </c>
      <c r="E77" s="25">
        <v>0</v>
      </c>
      <c r="F77" s="24">
        <v>8</v>
      </c>
      <c r="G77" s="24">
        <v>5.07</v>
      </c>
      <c r="H77" s="24">
        <v>5</v>
      </c>
      <c r="I77" s="24">
        <v>32</v>
      </c>
      <c r="J77" s="24" t="str">
        <f>VLOOKUP(A77,編號對照表!$B$1:$C$133,2,FALSE)</f>
        <v>FG1-5'4</v>
      </c>
      <c r="K77" s="24" t="s">
        <v>660</v>
      </c>
      <c r="L77" s="24" t="s">
        <v>683</v>
      </c>
      <c r="M77" s="24">
        <v>1.27</v>
      </c>
      <c r="N77" s="24">
        <v>12</v>
      </c>
      <c r="O77" s="24">
        <v>25</v>
      </c>
      <c r="P77" s="24">
        <v>15</v>
      </c>
      <c r="Q77" s="24">
        <v>80</v>
      </c>
      <c r="R77" s="24">
        <v>200</v>
      </c>
      <c r="S77" s="24">
        <v>5</v>
      </c>
      <c r="T77" s="24">
        <v>0</v>
      </c>
      <c r="U77" s="24">
        <v>10</v>
      </c>
      <c r="V77" s="24">
        <v>22</v>
      </c>
    </row>
    <row r="78" spans="1:22" x14ac:dyDescent="0.25">
      <c r="A78" s="24" t="s">
        <v>269</v>
      </c>
      <c r="B78" s="24" t="s">
        <v>15</v>
      </c>
      <c r="C78" s="24">
        <v>24.083463940769398</v>
      </c>
      <c r="D78" s="24">
        <v>82.073463127017007</v>
      </c>
      <c r="E78" s="25">
        <v>0</v>
      </c>
      <c r="F78" s="24">
        <v>8</v>
      </c>
      <c r="G78" s="24">
        <v>5.07</v>
      </c>
      <c r="H78" s="24">
        <v>5</v>
      </c>
      <c r="I78" s="24">
        <v>17</v>
      </c>
      <c r="J78" s="24" t="str">
        <f>VLOOKUP(A78,編號對照表!$B$1:$C$133,2,FALSE)</f>
        <v>FG1-5'4</v>
      </c>
      <c r="K78" s="24" t="s">
        <v>757</v>
      </c>
      <c r="L78" s="24" t="s">
        <v>683</v>
      </c>
      <c r="M78" s="24">
        <v>1.27</v>
      </c>
      <c r="N78" s="24">
        <v>12</v>
      </c>
      <c r="O78" s="24">
        <v>25</v>
      </c>
      <c r="P78" s="24">
        <v>15</v>
      </c>
      <c r="Q78" s="24">
        <v>80</v>
      </c>
      <c r="R78" s="24">
        <v>200</v>
      </c>
      <c r="S78" s="24">
        <v>5</v>
      </c>
      <c r="T78" s="24">
        <v>0</v>
      </c>
      <c r="U78" s="24">
        <v>10</v>
      </c>
      <c r="V78" s="24">
        <v>7</v>
      </c>
    </row>
    <row r="79" spans="1:22" x14ac:dyDescent="0.25">
      <c r="A79" s="24" t="s">
        <v>269</v>
      </c>
      <c r="B79" s="24" t="s">
        <v>16</v>
      </c>
      <c r="C79" s="24">
        <v>1E-3</v>
      </c>
      <c r="D79" s="24">
        <v>112.35598474741001</v>
      </c>
      <c r="E79" s="25">
        <v>0</v>
      </c>
      <c r="F79" s="24">
        <v>8</v>
      </c>
      <c r="G79" s="24">
        <v>5.07</v>
      </c>
      <c r="H79" s="24">
        <v>3</v>
      </c>
      <c r="I79" s="24">
        <v>23</v>
      </c>
      <c r="J79" s="24" t="str">
        <f>VLOOKUP(A79,編號對照表!$B$1:$C$133,2,FALSE)</f>
        <v>FG1-5'4</v>
      </c>
      <c r="K79" s="24" t="s">
        <v>757</v>
      </c>
      <c r="L79" s="24" t="s">
        <v>683</v>
      </c>
      <c r="M79" s="24">
        <v>1.27</v>
      </c>
      <c r="N79" s="24">
        <v>12</v>
      </c>
      <c r="O79" s="24">
        <v>25</v>
      </c>
      <c r="P79" s="24">
        <v>15</v>
      </c>
      <c r="Q79" s="24">
        <v>80</v>
      </c>
      <c r="R79" s="24">
        <v>200</v>
      </c>
      <c r="S79" s="24">
        <v>3</v>
      </c>
      <c r="T79" s="24">
        <v>0</v>
      </c>
      <c r="U79" s="24">
        <v>10</v>
      </c>
      <c r="V79" s="24">
        <v>13</v>
      </c>
    </row>
    <row r="80" spans="1:22" x14ac:dyDescent="0.25">
      <c r="A80" s="24" t="s">
        <v>270</v>
      </c>
      <c r="B80" s="24" t="s">
        <v>13</v>
      </c>
      <c r="C80" s="24">
        <v>76.573761180043206</v>
      </c>
      <c r="D80" s="24">
        <v>1E-3</v>
      </c>
      <c r="E80" s="25">
        <v>0.31513473950326398</v>
      </c>
      <c r="F80" s="24">
        <v>8</v>
      </c>
      <c r="G80" s="24">
        <v>5.07</v>
      </c>
      <c r="H80" s="24">
        <v>16</v>
      </c>
      <c r="I80" s="24">
        <v>3</v>
      </c>
      <c r="J80" s="24" t="str">
        <f>VLOOKUP(A80,編號對照表!$B$1:$C$133,2,FALSE)</f>
        <v>Fb1-41</v>
      </c>
      <c r="K80" s="24" t="s">
        <v>613</v>
      </c>
      <c r="L80" s="24" t="s">
        <v>694</v>
      </c>
      <c r="M80" s="24">
        <v>2.54</v>
      </c>
      <c r="N80" s="24">
        <v>15</v>
      </c>
      <c r="O80" s="24">
        <v>25</v>
      </c>
      <c r="P80" s="24">
        <v>15</v>
      </c>
      <c r="Q80" s="24">
        <v>60</v>
      </c>
      <c r="R80" s="24">
        <v>200</v>
      </c>
      <c r="S80" s="24">
        <v>7</v>
      </c>
      <c r="T80" s="24">
        <v>9</v>
      </c>
      <c r="U80" s="24">
        <v>3</v>
      </c>
      <c r="V80" s="24">
        <v>0</v>
      </c>
    </row>
    <row r="81" spans="1:22" x14ac:dyDescent="0.25">
      <c r="A81" s="24" t="s">
        <v>270</v>
      </c>
      <c r="B81" s="24" t="s">
        <v>15</v>
      </c>
      <c r="C81" s="24">
        <v>105.075240135193</v>
      </c>
      <c r="D81" s="24">
        <v>1E-3</v>
      </c>
      <c r="E81" s="25">
        <v>0.113643275108188</v>
      </c>
      <c r="F81" s="24">
        <v>8</v>
      </c>
      <c r="G81" s="24">
        <v>5.07</v>
      </c>
      <c r="H81" s="24">
        <v>21</v>
      </c>
      <c r="I81" s="24">
        <v>3</v>
      </c>
      <c r="J81" s="24" t="str">
        <f>VLOOKUP(A81,編號對照表!$B$1:$C$133,2,FALSE)</f>
        <v>Fb1-41</v>
      </c>
      <c r="K81" s="24" t="s">
        <v>855</v>
      </c>
      <c r="L81" s="24" t="s">
        <v>683</v>
      </c>
      <c r="M81" s="24">
        <v>1.27</v>
      </c>
      <c r="N81" s="24">
        <v>15</v>
      </c>
      <c r="O81" s="24">
        <v>25</v>
      </c>
      <c r="P81" s="24">
        <v>15</v>
      </c>
      <c r="Q81" s="24">
        <v>60</v>
      </c>
      <c r="R81" s="24">
        <v>200</v>
      </c>
      <c r="S81" s="24">
        <v>7</v>
      </c>
      <c r="T81" s="24">
        <v>14</v>
      </c>
      <c r="U81" s="24">
        <v>3</v>
      </c>
      <c r="V81" s="24">
        <v>0</v>
      </c>
    </row>
    <row r="82" spans="1:22" x14ac:dyDescent="0.25">
      <c r="A82" s="24" t="s">
        <v>270</v>
      </c>
      <c r="B82" s="24" t="s">
        <v>16</v>
      </c>
      <c r="C82" s="24">
        <v>35.474088508635802</v>
      </c>
      <c r="D82" s="24">
        <v>57.340436615049803</v>
      </c>
      <c r="E82" s="25">
        <v>0.16870760591700701</v>
      </c>
      <c r="F82" s="24">
        <v>8</v>
      </c>
      <c r="G82" s="24">
        <v>5.07</v>
      </c>
      <c r="H82" s="24">
        <v>7</v>
      </c>
      <c r="I82" s="24">
        <v>12</v>
      </c>
      <c r="J82" s="24" t="str">
        <f>VLOOKUP(A82,編號對照表!$B$1:$C$133,2,FALSE)</f>
        <v>Fb1-41</v>
      </c>
      <c r="K82" s="24" t="s">
        <v>855</v>
      </c>
      <c r="L82" s="24" t="s">
        <v>683</v>
      </c>
      <c r="M82" s="24">
        <v>1.27</v>
      </c>
      <c r="N82" s="24">
        <v>15</v>
      </c>
      <c r="O82" s="24">
        <v>25</v>
      </c>
      <c r="P82" s="24">
        <v>15</v>
      </c>
      <c r="Q82" s="24">
        <v>60</v>
      </c>
      <c r="R82" s="24">
        <v>200</v>
      </c>
      <c r="S82" s="24">
        <v>7</v>
      </c>
      <c r="T82" s="24">
        <v>0</v>
      </c>
      <c r="U82" s="24">
        <v>7</v>
      </c>
      <c r="V82" s="24">
        <v>5</v>
      </c>
    </row>
    <row r="83" spans="1:22" x14ac:dyDescent="0.25">
      <c r="A83" s="24" t="s">
        <v>271</v>
      </c>
      <c r="B83" s="24" t="s">
        <v>13</v>
      </c>
      <c r="C83" s="24">
        <v>1E-3</v>
      </c>
      <c r="D83" s="24">
        <v>57.992707006633303</v>
      </c>
      <c r="E83" s="25">
        <v>0.112004647962749</v>
      </c>
      <c r="F83" s="24">
        <v>8</v>
      </c>
      <c r="G83" s="24">
        <v>5.07</v>
      </c>
      <c r="H83" s="24">
        <v>3</v>
      </c>
      <c r="I83" s="24">
        <v>12</v>
      </c>
      <c r="J83" s="24" t="str">
        <f>VLOOKUP(A83,編號對照表!$B$1:$C$133,2,FALSE)</f>
        <v>Fb1-42</v>
      </c>
      <c r="K83" s="24" t="s">
        <v>661</v>
      </c>
      <c r="L83" s="24" t="s">
        <v>683</v>
      </c>
      <c r="M83" s="24">
        <v>1.27</v>
      </c>
      <c r="N83" s="24">
        <v>15</v>
      </c>
      <c r="O83" s="24">
        <v>25</v>
      </c>
      <c r="P83" s="24">
        <v>15</v>
      </c>
      <c r="Q83" s="24">
        <v>60</v>
      </c>
      <c r="R83" s="24">
        <v>200</v>
      </c>
      <c r="S83" s="24">
        <v>3</v>
      </c>
      <c r="T83" s="24">
        <v>0</v>
      </c>
      <c r="U83" s="24">
        <v>7</v>
      </c>
      <c r="V83" s="24">
        <v>5</v>
      </c>
    </row>
    <row r="84" spans="1:22" x14ac:dyDescent="0.25">
      <c r="A84" s="24" t="s">
        <v>271</v>
      </c>
      <c r="B84" s="24" t="s">
        <v>15</v>
      </c>
      <c r="C84" s="24">
        <v>10.2087738923728</v>
      </c>
      <c r="D84" s="24">
        <v>10.3743735235184</v>
      </c>
      <c r="E84" s="25">
        <v>6.2558049103245097E-2</v>
      </c>
      <c r="F84" s="24">
        <v>8</v>
      </c>
      <c r="G84" s="24">
        <v>5.07</v>
      </c>
      <c r="H84" s="24">
        <v>3</v>
      </c>
      <c r="I84" s="24">
        <v>3</v>
      </c>
      <c r="J84" s="24" t="str">
        <f>VLOOKUP(A84,編號對照表!$B$1:$C$133,2,FALSE)</f>
        <v>Fb1-42</v>
      </c>
      <c r="K84" s="24" t="s">
        <v>661</v>
      </c>
      <c r="L84" s="24" t="s">
        <v>683</v>
      </c>
      <c r="M84" s="24">
        <v>1.27</v>
      </c>
      <c r="N84" s="24">
        <v>15</v>
      </c>
      <c r="O84" s="24">
        <v>25</v>
      </c>
      <c r="P84" s="24">
        <v>15</v>
      </c>
      <c r="Q84" s="24">
        <v>60</v>
      </c>
      <c r="R84" s="24">
        <v>200</v>
      </c>
      <c r="S84" s="24">
        <v>3</v>
      </c>
      <c r="T84" s="24">
        <v>0</v>
      </c>
      <c r="U84" s="24">
        <v>3</v>
      </c>
      <c r="V84" s="24">
        <v>0</v>
      </c>
    </row>
    <row r="85" spans="1:22" x14ac:dyDescent="0.25">
      <c r="A85" s="24" t="s">
        <v>271</v>
      </c>
      <c r="B85" s="24" t="s">
        <v>16</v>
      </c>
      <c r="C85" s="24">
        <v>4.1968267760239497</v>
      </c>
      <c r="D85" s="24">
        <v>41.583725251257398</v>
      </c>
      <c r="E85" s="25">
        <v>6.4623419893905507E-2</v>
      </c>
      <c r="F85" s="24">
        <v>8</v>
      </c>
      <c r="G85" s="24">
        <v>5.07</v>
      </c>
      <c r="H85" s="24">
        <v>3</v>
      </c>
      <c r="I85" s="24">
        <v>9</v>
      </c>
      <c r="J85" s="24" t="str">
        <f>VLOOKUP(A85,編號對照表!$B$1:$C$133,2,FALSE)</f>
        <v>Fb1-42</v>
      </c>
      <c r="K85" s="24" t="s">
        <v>661</v>
      </c>
      <c r="L85" s="24" t="s">
        <v>683</v>
      </c>
      <c r="M85" s="24">
        <v>1.27</v>
      </c>
      <c r="N85" s="24">
        <v>15</v>
      </c>
      <c r="O85" s="24">
        <v>25</v>
      </c>
      <c r="P85" s="24">
        <v>15</v>
      </c>
      <c r="Q85" s="24">
        <v>60</v>
      </c>
      <c r="R85" s="24">
        <v>200</v>
      </c>
      <c r="S85" s="24">
        <v>3</v>
      </c>
      <c r="T85" s="24">
        <v>0</v>
      </c>
      <c r="U85" s="24">
        <v>7</v>
      </c>
      <c r="V85" s="24">
        <v>2</v>
      </c>
    </row>
    <row r="86" spans="1:22" x14ac:dyDescent="0.25">
      <c r="A86" s="24" t="s">
        <v>272</v>
      </c>
      <c r="B86" s="24" t="s">
        <v>13</v>
      </c>
      <c r="C86" s="24">
        <v>10.891840793192401</v>
      </c>
      <c r="D86" s="24">
        <v>40.764007717371001</v>
      </c>
      <c r="E86" s="25">
        <v>7.6442706631496493E-2</v>
      </c>
      <c r="F86" s="24">
        <v>8</v>
      </c>
      <c r="G86" s="24">
        <v>5.07</v>
      </c>
      <c r="H86" s="24">
        <v>3</v>
      </c>
      <c r="I86" s="24">
        <v>9</v>
      </c>
      <c r="J86" s="24" t="str">
        <f>VLOOKUP(A86,編號對照表!$B$1:$C$133,2,FALSE)</f>
        <v>Fb1-43</v>
      </c>
      <c r="K86" s="24" t="s">
        <v>447</v>
      </c>
      <c r="L86" s="24" t="s">
        <v>683</v>
      </c>
      <c r="M86" s="24">
        <v>1.27</v>
      </c>
      <c r="N86" s="24">
        <v>15</v>
      </c>
      <c r="O86" s="24">
        <v>25</v>
      </c>
      <c r="P86" s="24">
        <v>15</v>
      </c>
      <c r="Q86" s="24">
        <v>60</v>
      </c>
      <c r="R86" s="24">
        <v>200</v>
      </c>
      <c r="S86" s="24">
        <v>3</v>
      </c>
      <c r="T86" s="24">
        <v>0</v>
      </c>
      <c r="U86" s="24">
        <v>7</v>
      </c>
      <c r="V86" s="24">
        <v>2</v>
      </c>
    </row>
    <row r="87" spans="1:22" x14ac:dyDescent="0.25">
      <c r="A87" s="24" t="s">
        <v>272</v>
      </c>
      <c r="B87" s="24" t="s">
        <v>15</v>
      </c>
      <c r="C87" s="24">
        <v>23.968063760548802</v>
      </c>
      <c r="D87" s="24">
        <v>1E-3</v>
      </c>
      <c r="E87" s="25">
        <v>5.02192589920014E-2</v>
      </c>
      <c r="F87" s="24">
        <v>8</v>
      </c>
      <c r="G87" s="24">
        <v>5.07</v>
      </c>
      <c r="H87" s="24">
        <v>5</v>
      </c>
      <c r="I87" s="24">
        <v>3</v>
      </c>
      <c r="J87" s="24" t="str">
        <f>VLOOKUP(A87,編號對照表!$B$1:$C$133,2,FALSE)</f>
        <v>Fb1-43</v>
      </c>
      <c r="K87" s="24" t="s">
        <v>447</v>
      </c>
      <c r="L87" s="24" t="s">
        <v>683</v>
      </c>
      <c r="M87" s="24">
        <v>1.27</v>
      </c>
      <c r="N87" s="24">
        <v>15</v>
      </c>
      <c r="O87" s="24">
        <v>25</v>
      </c>
      <c r="P87" s="24">
        <v>15</v>
      </c>
      <c r="Q87" s="24">
        <v>60</v>
      </c>
      <c r="R87" s="24">
        <v>200</v>
      </c>
      <c r="S87" s="24">
        <v>5</v>
      </c>
      <c r="T87" s="24">
        <v>0</v>
      </c>
      <c r="U87" s="24">
        <v>3</v>
      </c>
      <c r="V87" s="24">
        <v>0</v>
      </c>
    </row>
    <row r="88" spans="1:22" x14ac:dyDescent="0.25">
      <c r="A88" s="24" t="s">
        <v>272</v>
      </c>
      <c r="B88" s="24" t="s">
        <v>16</v>
      </c>
      <c r="C88" s="24">
        <v>11.1766334157437</v>
      </c>
      <c r="D88" s="24">
        <v>14.981302665546499</v>
      </c>
      <c r="E88" s="25">
        <v>5.02192589920014E-2</v>
      </c>
      <c r="F88" s="24">
        <v>8</v>
      </c>
      <c r="G88" s="24">
        <v>5.07</v>
      </c>
      <c r="H88" s="24">
        <v>3</v>
      </c>
      <c r="I88" s="24">
        <v>3</v>
      </c>
      <c r="J88" s="24" t="str">
        <f>VLOOKUP(A88,編號對照表!$B$1:$C$133,2,FALSE)</f>
        <v>Fb1-43</v>
      </c>
      <c r="K88" s="24" t="s">
        <v>758</v>
      </c>
      <c r="L88" s="24" t="s">
        <v>683</v>
      </c>
      <c r="M88" s="24">
        <v>1.27</v>
      </c>
      <c r="N88" s="24">
        <v>15</v>
      </c>
      <c r="O88" s="24">
        <v>25</v>
      </c>
      <c r="P88" s="24">
        <v>15</v>
      </c>
      <c r="Q88" s="24">
        <v>60</v>
      </c>
      <c r="R88" s="24">
        <v>200</v>
      </c>
      <c r="S88" s="24">
        <v>3</v>
      </c>
      <c r="T88" s="24">
        <v>0</v>
      </c>
      <c r="U88" s="24">
        <v>3</v>
      </c>
      <c r="V88" s="24">
        <v>0</v>
      </c>
    </row>
    <row r="89" spans="1:22" x14ac:dyDescent="0.25">
      <c r="A89" s="24" t="s">
        <v>273</v>
      </c>
      <c r="B89" s="24" t="s">
        <v>13</v>
      </c>
      <c r="C89" s="24">
        <v>1E-3</v>
      </c>
      <c r="D89" s="24">
        <v>80.179553478956194</v>
      </c>
      <c r="E89" s="25">
        <v>9.3441951321437997E-2</v>
      </c>
      <c r="F89" s="24">
        <v>8</v>
      </c>
      <c r="G89" s="24">
        <v>5.07</v>
      </c>
      <c r="H89" s="24">
        <v>3</v>
      </c>
      <c r="I89" s="24">
        <v>16</v>
      </c>
      <c r="J89" s="24" t="str">
        <f>VLOOKUP(A89,編號對照表!$B$1:$C$133,2,FALSE)</f>
        <v>FB1-D5</v>
      </c>
      <c r="K89" s="24" t="s">
        <v>580</v>
      </c>
      <c r="L89" s="24" t="s">
        <v>683</v>
      </c>
      <c r="M89" s="24">
        <v>1.27</v>
      </c>
      <c r="N89" s="24">
        <v>12</v>
      </c>
      <c r="O89" s="24">
        <v>25</v>
      </c>
      <c r="P89" s="24">
        <v>15</v>
      </c>
      <c r="Q89" s="24">
        <v>80</v>
      </c>
      <c r="R89" s="24">
        <v>200</v>
      </c>
      <c r="S89" s="24">
        <v>3</v>
      </c>
      <c r="T89" s="24">
        <v>0</v>
      </c>
      <c r="U89" s="24">
        <v>10</v>
      </c>
      <c r="V89" s="24">
        <v>6</v>
      </c>
    </row>
    <row r="90" spans="1:22" x14ac:dyDescent="0.25">
      <c r="A90" s="24" t="s">
        <v>273</v>
      </c>
      <c r="B90" s="24" t="s">
        <v>15</v>
      </c>
      <c r="C90" s="24">
        <v>52.5991478934884</v>
      </c>
      <c r="D90" s="24">
        <v>22.993376478552801</v>
      </c>
      <c r="E90" s="25">
        <v>0.111526832915843</v>
      </c>
      <c r="F90" s="24">
        <v>8</v>
      </c>
      <c r="G90" s="24">
        <v>5.07</v>
      </c>
      <c r="H90" s="24">
        <v>11</v>
      </c>
      <c r="I90" s="24">
        <v>5</v>
      </c>
      <c r="J90" s="24" t="str">
        <f>VLOOKUP(A90,編號對照表!$B$1:$C$133,2,FALSE)</f>
        <v>FB1-D5</v>
      </c>
      <c r="K90" s="24" t="s">
        <v>580</v>
      </c>
      <c r="L90" s="24" t="s">
        <v>683</v>
      </c>
      <c r="M90" s="24">
        <v>1.27</v>
      </c>
      <c r="N90" s="24">
        <v>12</v>
      </c>
      <c r="O90" s="24">
        <v>25</v>
      </c>
      <c r="P90" s="24">
        <v>15</v>
      </c>
      <c r="Q90" s="24">
        <v>80</v>
      </c>
      <c r="R90" s="24">
        <v>200</v>
      </c>
      <c r="S90" s="24">
        <v>9</v>
      </c>
      <c r="T90" s="24">
        <v>2</v>
      </c>
      <c r="U90" s="24">
        <v>5</v>
      </c>
      <c r="V90" s="24">
        <v>0</v>
      </c>
    </row>
    <row r="91" spans="1:22" x14ac:dyDescent="0.25">
      <c r="A91" s="24" t="s">
        <v>273</v>
      </c>
      <c r="B91" s="24" t="s">
        <v>16</v>
      </c>
      <c r="C91" s="24">
        <v>1E-3</v>
      </c>
      <c r="D91" s="24">
        <v>51.492555066943197</v>
      </c>
      <c r="E91" s="25">
        <v>0.104162481147796</v>
      </c>
      <c r="F91" s="24">
        <v>8</v>
      </c>
      <c r="G91" s="24">
        <v>5.07</v>
      </c>
      <c r="H91" s="24">
        <v>3</v>
      </c>
      <c r="I91" s="24">
        <v>11</v>
      </c>
      <c r="J91" s="24" t="str">
        <f>VLOOKUP(A91,編號對照表!$B$1:$C$133,2,FALSE)</f>
        <v>FB1-D5</v>
      </c>
      <c r="K91" s="24" t="s">
        <v>759</v>
      </c>
      <c r="L91" s="24" t="s">
        <v>683</v>
      </c>
      <c r="M91" s="24">
        <v>1.27</v>
      </c>
      <c r="N91" s="24">
        <v>12</v>
      </c>
      <c r="O91" s="24">
        <v>25</v>
      </c>
      <c r="P91" s="24">
        <v>15</v>
      </c>
      <c r="Q91" s="24">
        <v>80</v>
      </c>
      <c r="R91" s="24">
        <v>200</v>
      </c>
      <c r="S91" s="24">
        <v>3</v>
      </c>
      <c r="T91" s="24">
        <v>0</v>
      </c>
      <c r="U91" s="24">
        <v>9</v>
      </c>
      <c r="V91" s="24">
        <v>2</v>
      </c>
    </row>
    <row r="92" spans="1:22" x14ac:dyDescent="0.25">
      <c r="A92" s="24" t="s">
        <v>274</v>
      </c>
      <c r="B92" s="24" t="s">
        <v>13</v>
      </c>
      <c r="C92" s="24">
        <v>21.062872838228898</v>
      </c>
      <c r="D92" s="24">
        <v>23.1778156012297</v>
      </c>
      <c r="E92" s="25">
        <v>0</v>
      </c>
      <c r="F92" s="24">
        <v>8</v>
      </c>
      <c r="G92" s="24">
        <v>5.07</v>
      </c>
      <c r="H92" s="24">
        <v>5</v>
      </c>
      <c r="I92" s="24">
        <v>5</v>
      </c>
      <c r="J92" s="24" t="str">
        <f>VLOOKUP(A92,編號對照表!$B$1:$C$133,2,FALSE)</f>
        <v>Fb1-44</v>
      </c>
      <c r="K92" s="24" t="s">
        <v>456</v>
      </c>
      <c r="L92" s="24" t="s">
        <v>683</v>
      </c>
      <c r="M92" s="24">
        <v>1.27</v>
      </c>
      <c r="N92" s="24">
        <v>15</v>
      </c>
      <c r="O92" s="24">
        <v>25</v>
      </c>
      <c r="P92" s="24">
        <v>15</v>
      </c>
      <c r="Q92" s="24">
        <v>60</v>
      </c>
      <c r="R92" s="24">
        <v>200</v>
      </c>
      <c r="S92" s="24">
        <v>5</v>
      </c>
      <c r="T92" s="24">
        <v>0</v>
      </c>
      <c r="U92" s="24">
        <v>5</v>
      </c>
      <c r="V92" s="24">
        <v>0</v>
      </c>
    </row>
    <row r="93" spans="1:22" x14ac:dyDescent="0.25">
      <c r="A93" s="24" t="s">
        <v>274</v>
      </c>
      <c r="B93" s="24" t="s">
        <v>15</v>
      </c>
      <c r="C93" s="24">
        <v>26.763668283820198</v>
      </c>
      <c r="D93" s="24">
        <v>9.2462345492094808</v>
      </c>
      <c r="E93" s="25">
        <v>5.02192589920014E-2</v>
      </c>
      <c r="F93" s="24">
        <v>8</v>
      </c>
      <c r="G93" s="24">
        <v>5.07</v>
      </c>
      <c r="H93" s="24">
        <v>6</v>
      </c>
      <c r="I93" s="24">
        <v>3</v>
      </c>
      <c r="J93" s="24" t="str">
        <f>VLOOKUP(A93,編號對照表!$B$1:$C$133,2,FALSE)</f>
        <v>Fb1-44</v>
      </c>
      <c r="K93" s="24" t="s">
        <v>456</v>
      </c>
      <c r="L93" s="24" t="s">
        <v>683</v>
      </c>
      <c r="M93" s="24">
        <v>1.27</v>
      </c>
      <c r="N93" s="24">
        <v>15</v>
      </c>
      <c r="O93" s="24">
        <v>25</v>
      </c>
      <c r="P93" s="24">
        <v>15</v>
      </c>
      <c r="Q93" s="24">
        <v>60</v>
      </c>
      <c r="R93" s="24">
        <v>200</v>
      </c>
      <c r="S93" s="24">
        <v>6</v>
      </c>
      <c r="T93" s="24">
        <v>0</v>
      </c>
      <c r="U93" s="24">
        <v>3</v>
      </c>
      <c r="V93" s="24">
        <v>0</v>
      </c>
    </row>
    <row r="94" spans="1:22" x14ac:dyDescent="0.25">
      <c r="A94" s="24" t="s">
        <v>274</v>
      </c>
      <c r="B94" s="24" t="s">
        <v>16</v>
      </c>
      <c r="C94" s="24">
        <v>18.5114797204733</v>
      </c>
      <c r="D94" s="24">
        <v>59.079341590404503</v>
      </c>
      <c r="E94" s="25">
        <v>0.203184667043388</v>
      </c>
      <c r="F94" s="24">
        <v>8</v>
      </c>
      <c r="G94" s="24">
        <v>5.07</v>
      </c>
      <c r="H94" s="24">
        <v>4</v>
      </c>
      <c r="I94" s="24">
        <v>12</v>
      </c>
      <c r="J94" s="24" t="str">
        <f>VLOOKUP(A94,編號對照表!$B$1:$C$133,2,FALSE)</f>
        <v>Fb1-44</v>
      </c>
      <c r="K94" s="24" t="s">
        <v>456</v>
      </c>
      <c r="L94" s="24" t="s">
        <v>683</v>
      </c>
      <c r="M94" s="24">
        <v>1.27</v>
      </c>
      <c r="N94" s="24">
        <v>12</v>
      </c>
      <c r="O94" s="24">
        <v>25</v>
      </c>
      <c r="P94" s="24">
        <v>15</v>
      </c>
      <c r="Q94" s="24">
        <v>60</v>
      </c>
      <c r="R94" s="24">
        <v>200</v>
      </c>
      <c r="S94" s="24">
        <v>4</v>
      </c>
      <c r="T94" s="24">
        <v>0</v>
      </c>
      <c r="U94" s="24">
        <v>7</v>
      </c>
      <c r="V94" s="24">
        <v>5</v>
      </c>
    </row>
    <row r="95" spans="1:22" x14ac:dyDescent="0.25">
      <c r="A95" s="24" t="s">
        <v>275</v>
      </c>
      <c r="B95" s="24" t="s">
        <v>13</v>
      </c>
      <c r="C95" s="24">
        <v>17.436138587072499</v>
      </c>
      <c r="D95" s="24">
        <v>78.415339812636404</v>
      </c>
      <c r="E95" s="25">
        <v>6.6959013929590597E-2</v>
      </c>
      <c r="F95" s="24">
        <v>8</v>
      </c>
      <c r="G95" s="24">
        <v>5.07</v>
      </c>
      <c r="H95" s="24">
        <v>4</v>
      </c>
      <c r="I95" s="24">
        <v>16</v>
      </c>
      <c r="J95" s="24" t="str">
        <f>VLOOKUP(A95,編號對照表!$B$1:$C$133,2,FALSE)</f>
        <v>FB1-D'5</v>
      </c>
      <c r="K95" s="24" t="s">
        <v>685</v>
      </c>
      <c r="L95" s="24" t="s">
        <v>683</v>
      </c>
      <c r="M95" s="24">
        <v>1.27</v>
      </c>
      <c r="N95" s="24">
        <v>12</v>
      </c>
      <c r="O95" s="24">
        <v>25</v>
      </c>
      <c r="P95" s="24">
        <v>15</v>
      </c>
      <c r="Q95" s="24">
        <v>80</v>
      </c>
      <c r="R95" s="24">
        <v>200</v>
      </c>
      <c r="S95" s="24">
        <v>4</v>
      </c>
      <c r="T95" s="24">
        <v>0</v>
      </c>
      <c r="U95" s="24">
        <v>10</v>
      </c>
      <c r="V95" s="24">
        <v>6</v>
      </c>
    </row>
    <row r="96" spans="1:22" x14ac:dyDescent="0.25">
      <c r="A96" s="24" t="s">
        <v>275</v>
      </c>
      <c r="B96" s="24" t="s">
        <v>15</v>
      </c>
      <c r="C96" s="24">
        <v>90.721976011991501</v>
      </c>
      <c r="D96" s="24">
        <v>47.118715010583401</v>
      </c>
      <c r="E96" s="25">
        <v>6.6959013929590597E-2</v>
      </c>
      <c r="F96" s="24">
        <v>8</v>
      </c>
      <c r="G96" s="24">
        <v>5.07</v>
      </c>
      <c r="H96" s="24">
        <v>18</v>
      </c>
      <c r="I96" s="24">
        <v>10</v>
      </c>
      <c r="J96" s="24" t="str">
        <f>VLOOKUP(A96,編號對照表!$B$1:$C$133,2,FALSE)</f>
        <v>FB1-D'5</v>
      </c>
      <c r="K96" s="24" t="s">
        <v>760</v>
      </c>
      <c r="L96" s="24" t="s">
        <v>683</v>
      </c>
      <c r="M96" s="24">
        <v>1.27</v>
      </c>
      <c r="N96" s="24">
        <v>12</v>
      </c>
      <c r="O96" s="24">
        <v>25</v>
      </c>
      <c r="P96" s="24">
        <v>15</v>
      </c>
      <c r="Q96" s="24">
        <v>80</v>
      </c>
      <c r="R96" s="24">
        <v>200</v>
      </c>
      <c r="S96" s="24">
        <v>10</v>
      </c>
      <c r="T96" s="24">
        <v>8</v>
      </c>
      <c r="U96" s="24">
        <v>10</v>
      </c>
      <c r="V96" s="24">
        <v>0</v>
      </c>
    </row>
    <row r="97" spans="1:22" x14ac:dyDescent="0.25">
      <c r="A97" s="24" t="s">
        <v>275</v>
      </c>
      <c r="B97" s="24" t="s">
        <v>16</v>
      </c>
      <c r="C97" s="24">
        <v>65.942509099841104</v>
      </c>
      <c r="D97" s="24">
        <v>163.424126803875</v>
      </c>
      <c r="E97" s="25">
        <v>0.50295558758079995</v>
      </c>
      <c r="F97" s="24">
        <v>8</v>
      </c>
      <c r="G97" s="24">
        <v>5.07</v>
      </c>
      <c r="H97" s="24">
        <v>14</v>
      </c>
      <c r="I97" s="24">
        <v>33</v>
      </c>
      <c r="J97" s="24" t="str">
        <f>VLOOKUP(A97,編號對照表!$B$1:$C$133,2,FALSE)</f>
        <v>FB1-D'5</v>
      </c>
      <c r="K97" s="24" t="s">
        <v>760</v>
      </c>
      <c r="L97" s="24" t="s">
        <v>874</v>
      </c>
      <c r="M97" s="24">
        <v>2.54</v>
      </c>
      <c r="N97" s="24">
        <v>10</v>
      </c>
      <c r="O97" s="24">
        <v>25</v>
      </c>
      <c r="P97" s="24">
        <v>15</v>
      </c>
      <c r="Q97" s="24">
        <v>80</v>
      </c>
      <c r="R97" s="24">
        <v>200</v>
      </c>
      <c r="S97" s="24">
        <v>10</v>
      </c>
      <c r="T97" s="24">
        <v>4</v>
      </c>
      <c r="U97" s="24">
        <v>10</v>
      </c>
      <c r="V97" s="24">
        <v>23</v>
      </c>
    </row>
    <row r="98" spans="1:22" x14ac:dyDescent="0.25">
      <c r="A98" s="24" t="s">
        <v>276</v>
      </c>
      <c r="B98" s="24" t="s">
        <v>13</v>
      </c>
      <c r="C98" s="24">
        <v>38.400117773562698</v>
      </c>
      <c r="D98" s="24">
        <v>127.899991348386</v>
      </c>
      <c r="E98" s="25">
        <v>6.6959013929590597E-2</v>
      </c>
      <c r="F98" s="24">
        <v>8</v>
      </c>
      <c r="G98" s="24">
        <v>5.07</v>
      </c>
      <c r="H98" s="24">
        <v>8</v>
      </c>
      <c r="I98" s="24">
        <v>26</v>
      </c>
      <c r="J98" s="24" t="str">
        <f>VLOOKUP(A98,編號對照表!$B$1:$C$133,2,FALSE)</f>
        <v>FG1-5'5</v>
      </c>
      <c r="K98" s="24" t="s">
        <v>856</v>
      </c>
      <c r="L98" s="24" t="s">
        <v>683</v>
      </c>
      <c r="M98" s="24">
        <v>1.27</v>
      </c>
      <c r="N98" s="24">
        <v>12</v>
      </c>
      <c r="O98" s="24">
        <v>25</v>
      </c>
      <c r="P98" s="24">
        <v>15</v>
      </c>
      <c r="Q98" s="24">
        <v>80</v>
      </c>
      <c r="R98" s="24">
        <v>200</v>
      </c>
      <c r="S98" s="24">
        <v>8</v>
      </c>
      <c r="T98" s="24">
        <v>0</v>
      </c>
      <c r="U98" s="24">
        <v>10</v>
      </c>
      <c r="V98" s="24">
        <v>16</v>
      </c>
    </row>
    <row r="99" spans="1:22" x14ac:dyDescent="0.25">
      <c r="A99" s="24" t="s">
        <v>276</v>
      </c>
      <c r="B99" s="24" t="s">
        <v>15</v>
      </c>
      <c r="C99" s="24">
        <v>129.77199628949199</v>
      </c>
      <c r="D99" s="24">
        <v>8.4432138828560692</v>
      </c>
      <c r="E99" s="25">
        <v>6.6959013929590597E-2</v>
      </c>
      <c r="F99" s="24">
        <v>8</v>
      </c>
      <c r="G99" s="24">
        <v>5.07</v>
      </c>
      <c r="H99" s="24">
        <v>26</v>
      </c>
      <c r="I99" s="24">
        <v>3</v>
      </c>
      <c r="J99" s="24" t="str">
        <f>VLOOKUP(A99,編號對照表!$B$1:$C$133,2,FALSE)</f>
        <v>FG1-5'5</v>
      </c>
      <c r="K99" s="24" t="s">
        <v>614</v>
      </c>
      <c r="L99" s="24" t="s">
        <v>683</v>
      </c>
      <c r="M99" s="24">
        <v>1.27</v>
      </c>
      <c r="N99" s="24">
        <v>12</v>
      </c>
      <c r="O99" s="24">
        <v>25</v>
      </c>
      <c r="P99" s="24">
        <v>15</v>
      </c>
      <c r="Q99" s="24">
        <v>80</v>
      </c>
      <c r="R99" s="24">
        <v>200</v>
      </c>
      <c r="S99" s="24">
        <v>10</v>
      </c>
      <c r="T99" s="24">
        <v>16</v>
      </c>
      <c r="U99" s="24">
        <v>3</v>
      </c>
      <c r="V99" s="24">
        <v>0</v>
      </c>
    </row>
    <row r="100" spans="1:22" x14ac:dyDescent="0.25">
      <c r="A100" s="24" t="s">
        <v>276</v>
      </c>
      <c r="B100" s="24" t="s">
        <v>16</v>
      </c>
      <c r="C100" s="24">
        <v>124.216750264168</v>
      </c>
      <c r="D100" s="24">
        <v>4.91188024170697</v>
      </c>
      <c r="E100" s="25">
        <v>0</v>
      </c>
      <c r="F100" s="24">
        <v>8</v>
      </c>
      <c r="G100" s="24">
        <v>5.07</v>
      </c>
      <c r="H100" s="24">
        <v>25</v>
      </c>
      <c r="I100" s="24">
        <v>3</v>
      </c>
      <c r="J100" s="24" t="str">
        <f>VLOOKUP(A100,編號對照表!$B$1:$C$133,2,FALSE)</f>
        <v>FG1-5'5</v>
      </c>
      <c r="K100" s="24" t="s">
        <v>614</v>
      </c>
      <c r="L100" s="24" t="s">
        <v>683</v>
      </c>
      <c r="M100" s="24">
        <v>1.27</v>
      </c>
      <c r="N100" s="24">
        <v>12</v>
      </c>
      <c r="O100" s="24">
        <v>25</v>
      </c>
      <c r="P100" s="24">
        <v>15</v>
      </c>
      <c r="Q100" s="24">
        <v>80</v>
      </c>
      <c r="R100" s="24">
        <v>200</v>
      </c>
      <c r="S100" s="24">
        <v>10</v>
      </c>
      <c r="T100" s="24">
        <v>15</v>
      </c>
      <c r="U100" s="24">
        <v>3</v>
      </c>
      <c r="V100" s="24">
        <v>0</v>
      </c>
    </row>
    <row r="101" spans="1:22" x14ac:dyDescent="0.25">
      <c r="A101" s="24" t="s">
        <v>277</v>
      </c>
      <c r="B101" s="24" t="s">
        <v>13</v>
      </c>
      <c r="C101" s="24">
        <v>4.7667010221630299</v>
      </c>
      <c r="D101" s="24">
        <v>56.2836695462465</v>
      </c>
      <c r="E101" s="25">
        <v>5.02192589920014E-2</v>
      </c>
      <c r="F101" s="24">
        <v>8</v>
      </c>
      <c r="G101" s="24">
        <v>5.07</v>
      </c>
      <c r="H101" s="24">
        <v>3</v>
      </c>
      <c r="I101" s="24">
        <v>12</v>
      </c>
      <c r="J101" s="24" t="str">
        <f>VLOOKUP(A101,編號對照表!$B$1:$C$133,2,FALSE)</f>
        <v>Fb1-45</v>
      </c>
      <c r="K101" s="24" t="s">
        <v>678</v>
      </c>
      <c r="L101" s="24" t="s">
        <v>683</v>
      </c>
      <c r="M101" s="24">
        <v>1.27</v>
      </c>
      <c r="N101" s="24">
        <v>15</v>
      </c>
      <c r="O101" s="24">
        <v>25</v>
      </c>
      <c r="P101" s="24">
        <v>15</v>
      </c>
      <c r="Q101" s="24">
        <v>60</v>
      </c>
      <c r="R101" s="24">
        <v>200</v>
      </c>
      <c r="S101" s="24">
        <v>3</v>
      </c>
      <c r="T101" s="24">
        <v>0</v>
      </c>
      <c r="U101" s="24">
        <v>7</v>
      </c>
      <c r="V101" s="24">
        <v>5</v>
      </c>
    </row>
    <row r="102" spans="1:22" x14ac:dyDescent="0.25">
      <c r="A102" s="24" t="s">
        <v>277</v>
      </c>
      <c r="B102" s="24" t="s">
        <v>15</v>
      </c>
      <c r="C102" s="24">
        <v>14.1697400249541</v>
      </c>
      <c r="D102" s="24">
        <v>16.079036286100699</v>
      </c>
      <c r="E102" s="25">
        <v>5.3945078980177599E-2</v>
      </c>
      <c r="F102" s="24">
        <v>8</v>
      </c>
      <c r="G102" s="24">
        <v>5.07</v>
      </c>
      <c r="H102" s="24">
        <v>3</v>
      </c>
      <c r="I102" s="24">
        <v>4</v>
      </c>
      <c r="J102" s="24" t="str">
        <f>VLOOKUP(A102,編號對照表!$B$1:$C$133,2,FALSE)</f>
        <v>Fb1-45</v>
      </c>
      <c r="K102" s="24" t="s">
        <v>761</v>
      </c>
      <c r="L102" s="24" t="s">
        <v>683</v>
      </c>
      <c r="M102" s="24">
        <v>1.27</v>
      </c>
      <c r="N102" s="24">
        <v>15</v>
      </c>
      <c r="O102" s="24">
        <v>25</v>
      </c>
      <c r="P102" s="24">
        <v>15</v>
      </c>
      <c r="Q102" s="24">
        <v>60</v>
      </c>
      <c r="R102" s="24">
        <v>200</v>
      </c>
      <c r="S102" s="24">
        <v>3</v>
      </c>
      <c r="T102" s="24">
        <v>0</v>
      </c>
      <c r="U102" s="24">
        <v>4</v>
      </c>
      <c r="V102" s="24">
        <v>0</v>
      </c>
    </row>
    <row r="103" spans="1:22" x14ac:dyDescent="0.25">
      <c r="A103" s="24" t="s">
        <v>277</v>
      </c>
      <c r="B103" s="24" t="s">
        <v>16</v>
      </c>
      <c r="C103" s="24">
        <v>1E-3</v>
      </c>
      <c r="D103" s="24">
        <v>63.679898157715797</v>
      </c>
      <c r="E103" s="25">
        <v>0.11386021506041299</v>
      </c>
      <c r="F103" s="24">
        <v>8</v>
      </c>
      <c r="G103" s="24">
        <v>5.07</v>
      </c>
      <c r="H103" s="24">
        <v>3</v>
      </c>
      <c r="I103" s="24">
        <v>13</v>
      </c>
      <c r="J103" s="24" t="str">
        <f>VLOOKUP(A103,編號對照表!$B$1:$C$133,2,FALSE)</f>
        <v>Fb1-45</v>
      </c>
      <c r="K103" s="24" t="s">
        <v>678</v>
      </c>
      <c r="L103" s="24" t="s">
        <v>683</v>
      </c>
      <c r="M103" s="24">
        <v>1.27</v>
      </c>
      <c r="N103" s="24">
        <v>15</v>
      </c>
      <c r="O103" s="24">
        <v>25</v>
      </c>
      <c r="P103" s="24">
        <v>15</v>
      </c>
      <c r="Q103" s="24">
        <v>60</v>
      </c>
      <c r="R103" s="24">
        <v>200</v>
      </c>
      <c r="S103" s="24">
        <v>3</v>
      </c>
      <c r="T103" s="24">
        <v>0</v>
      </c>
      <c r="U103" s="24">
        <v>7</v>
      </c>
      <c r="V103" s="24">
        <v>6</v>
      </c>
    </row>
    <row r="104" spans="1:22" x14ac:dyDescent="0.25">
      <c r="A104" s="24" t="s">
        <v>278</v>
      </c>
      <c r="B104" s="24" t="s">
        <v>13</v>
      </c>
      <c r="C104" s="24">
        <v>12.092445977032201</v>
      </c>
      <c r="D104" s="24">
        <v>99.095758050680203</v>
      </c>
      <c r="E104" s="25">
        <v>0.10488536208868</v>
      </c>
      <c r="F104" s="24">
        <v>8</v>
      </c>
      <c r="G104" s="24">
        <v>5.07</v>
      </c>
      <c r="H104" s="24">
        <v>3</v>
      </c>
      <c r="I104" s="24">
        <v>20</v>
      </c>
      <c r="J104" s="24" t="str">
        <f>VLOOKUP(A104,編號對照表!$B$1:$C$133,2,FALSE)</f>
        <v>FB1-E'5</v>
      </c>
      <c r="K104" s="24" t="s">
        <v>686</v>
      </c>
      <c r="L104" s="24" t="s">
        <v>683</v>
      </c>
      <c r="M104" s="24">
        <v>1.27</v>
      </c>
      <c r="N104" s="24">
        <v>12</v>
      </c>
      <c r="O104" s="24">
        <v>25</v>
      </c>
      <c r="P104" s="24">
        <v>15</v>
      </c>
      <c r="Q104" s="24">
        <v>80</v>
      </c>
      <c r="R104" s="24">
        <v>200</v>
      </c>
      <c r="S104" s="24">
        <v>3</v>
      </c>
      <c r="T104" s="24">
        <v>0</v>
      </c>
      <c r="U104" s="24">
        <v>10</v>
      </c>
      <c r="V104" s="24">
        <v>10</v>
      </c>
    </row>
    <row r="105" spans="1:22" x14ac:dyDescent="0.25">
      <c r="A105" s="24" t="s">
        <v>278</v>
      </c>
      <c r="B105" s="24" t="s">
        <v>15</v>
      </c>
      <c r="C105" s="24">
        <v>92.832846567034693</v>
      </c>
      <c r="D105" s="24">
        <v>41.571035981178298</v>
      </c>
      <c r="E105" s="25">
        <v>6.6959013929590597E-2</v>
      </c>
      <c r="F105" s="24">
        <v>8</v>
      </c>
      <c r="G105" s="24">
        <v>5.07</v>
      </c>
      <c r="H105" s="24">
        <v>19</v>
      </c>
      <c r="I105" s="24">
        <v>9</v>
      </c>
      <c r="J105" s="24" t="str">
        <f>VLOOKUP(A105,編號對照表!$B$1:$C$133,2,FALSE)</f>
        <v>FB1-E'5</v>
      </c>
      <c r="K105" s="24" t="s">
        <v>762</v>
      </c>
      <c r="L105" s="24" t="s">
        <v>683</v>
      </c>
      <c r="M105" s="24">
        <v>1.27</v>
      </c>
      <c r="N105" s="24">
        <v>12</v>
      </c>
      <c r="O105" s="24">
        <v>25</v>
      </c>
      <c r="P105" s="24">
        <v>15</v>
      </c>
      <c r="Q105" s="24">
        <v>80</v>
      </c>
      <c r="R105" s="24">
        <v>200</v>
      </c>
      <c r="S105" s="24">
        <v>10</v>
      </c>
      <c r="T105" s="24">
        <v>9</v>
      </c>
      <c r="U105" s="24">
        <v>9</v>
      </c>
      <c r="V105" s="24">
        <v>0</v>
      </c>
    </row>
    <row r="106" spans="1:22" x14ac:dyDescent="0.25">
      <c r="A106" s="24" t="s">
        <v>278</v>
      </c>
      <c r="B106" s="24" t="s">
        <v>16</v>
      </c>
      <c r="C106" s="24">
        <v>1.44310339237563</v>
      </c>
      <c r="D106" s="24">
        <v>107.362037524581</v>
      </c>
      <c r="E106" s="25">
        <v>6.6959013929590597E-2</v>
      </c>
      <c r="F106" s="24">
        <v>8</v>
      </c>
      <c r="G106" s="24">
        <v>5.07</v>
      </c>
      <c r="H106" s="24">
        <v>3</v>
      </c>
      <c r="I106" s="24">
        <v>22</v>
      </c>
      <c r="J106" s="24" t="str">
        <f>VLOOKUP(A106,編號對照表!$B$1:$C$133,2,FALSE)</f>
        <v>FB1-E'5</v>
      </c>
      <c r="K106" s="24" t="s">
        <v>686</v>
      </c>
      <c r="L106" s="24" t="s">
        <v>683</v>
      </c>
      <c r="M106" s="24">
        <v>1.27</v>
      </c>
      <c r="N106" s="24">
        <v>12</v>
      </c>
      <c r="O106" s="24">
        <v>25</v>
      </c>
      <c r="P106" s="24">
        <v>15</v>
      </c>
      <c r="Q106" s="24">
        <v>80</v>
      </c>
      <c r="R106" s="24">
        <v>200</v>
      </c>
      <c r="S106" s="24">
        <v>3</v>
      </c>
      <c r="T106" s="24">
        <v>0</v>
      </c>
      <c r="U106" s="24">
        <v>10</v>
      </c>
      <c r="V106" s="24">
        <v>12</v>
      </c>
    </row>
    <row r="107" spans="1:22" x14ac:dyDescent="0.25">
      <c r="A107" s="24" t="s">
        <v>279</v>
      </c>
      <c r="B107" s="24" t="s">
        <v>13</v>
      </c>
      <c r="C107" s="24">
        <v>97.785228863358498</v>
      </c>
      <c r="D107" s="24">
        <v>0.81571371993050001</v>
      </c>
      <c r="E107" s="25">
        <v>0.21786342840641701</v>
      </c>
      <c r="F107" s="24">
        <v>8</v>
      </c>
      <c r="G107" s="24">
        <v>5.07</v>
      </c>
      <c r="H107" s="24">
        <v>20</v>
      </c>
      <c r="I107" s="24">
        <v>3</v>
      </c>
      <c r="J107" s="24" t="str">
        <f>VLOOKUP(A107,編號對照表!$B$1:$C$133,2,FALSE)</f>
        <v>FG1-41</v>
      </c>
      <c r="K107" s="24" t="s">
        <v>457</v>
      </c>
      <c r="L107" s="24" t="s">
        <v>683</v>
      </c>
      <c r="M107" s="24">
        <v>1.27</v>
      </c>
      <c r="N107" s="24">
        <v>10</v>
      </c>
      <c r="O107" s="24">
        <v>25</v>
      </c>
      <c r="P107" s="24">
        <v>15</v>
      </c>
      <c r="Q107" s="24">
        <v>80</v>
      </c>
      <c r="R107" s="24">
        <v>200</v>
      </c>
      <c r="S107" s="24">
        <v>10</v>
      </c>
      <c r="T107" s="24">
        <v>10</v>
      </c>
      <c r="U107" s="24">
        <v>3</v>
      </c>
      <c r="V107" s="24">
        <v>0</v>
      </c>
    </row>
    <row r="108" spans="1:22" x14ac:dyDescent="0.25">
      <c r="A108" s="24" t="s">
        <v>279</v>
      </c>
      <c r="B108" s="24" t="s">
        <v>15</v>
      </c>
      <c r="C108" s="24">
        <v>144.13798227906199</v>
      </c>
      <c r="D108" s="24">
        <v>0</v>
      </c>
      <c r="E108" s="25">
        <v>0.26736990548670297</v>
      </c>
      <c r="F108" s="24">
        <v>8</v>
      </c>
      <c r="G108" s="24">
        <v>5.07</v>
      </c>
      <c r="H108" s="24">
        <v>29</v>
      </c>
      <c r="I108" s="24">
        <v>3</v>
      </c>
      <c r="J108" s="24" t="str">
        <f>VLOOKUP(A108,編號對照表!$B$1:$C$133,2,FALSE)</f>
        <v>FG1-41</v>
      </c>
      <c r="K108" s="24" t="s">
        <v>763</v>
      </c>
      <c r="L108" s="24" t="s">
        <v>874</v>
      </c>
      <c r="M108" s="24">
        <v>2.54</v>
      </c>
      <c r="N108" s="24">
        <v>18</v>
      </c>
      <c r="O108" s="24">
        <v>25</v>
      </c>
      <c r="P108" s="24">
        <v>15</v>
      </c>
      <c r="Q108" s="24">
        <v>80</v>
      </c>
      <c r="R108" s="24">
        <v>200</v>
      </c>
      <c r="S108" s="24">
        <v>10</v>
      </c>
      <c r="T108" s="24">
        <v>19</v>
      </c>
      <c r="U108" s="24">
        <v>3</v>
      </c>
      <c r="V108" s="24">
        <v>0</v>
      </c>
    </row>
    <row r="109" spans="1:22" x14ac:dyDescent="0.25">
      <c r="A109" s="24" t="s">
        <v>279</v>
      </c>
      <c r="B109" s="24" t="s">
        <v>16</v>
      </c>
      <c r="C109" s="24">
        <v>43.127513490617297</v>
      </c>
      <c r="D109" s="24">
        <v>115.235783159733</v>
      </c>
      <c r="E109" s="25">
        <v>0.47443523071706301</v>
      </c>
      <c r="F109" s="24">
        <v>8</v>
      </c>
      <c r="G109" s="24">
        <v>5.07</v>
      </c>
      <c r="H109" s="24">
        <v>9</v>
      </c>
      <c r="I109" s="24">
        <v>23</v>
      </c>
      <c r="J109" s="24" t="str">
        <f>VLOOKUP(A109,編號對照表!$B$1:$C$133,2,FALSE)</f>
        <v>FG1-41</v>
      </c>
      <c r="K109" s="24" t="s">
        <v>457</v>
      </c>
      <c r="L109" s="24" t="s">
        <v>874</v>
      </c>
      <c r="M109" s="24">
        <v>2.54</v>
      </c>
      <c r="N109" s="24">
        <v>10</v>
      </c>
      <c r="O109" s="24">
        <v>25</v>
      </c>
      <c r="P109" s="24">
        <v>15</v>
      </c>
      <c r="Q109" s="24">
        <v>80</v>
      </c>
      <c r="R109" s="24">
        <v>200</v>
      </c>
      <c r="S109" s="24">
        <v>9</v>
      </c>
      <c r="T109" s="24">
        <v>0</v>
      </c>
      <c r="U109" s="24">
        <v>10</v>
      </c>
      <c r="V109" s="24">
        <v>13</v>
      </c>
    </row>
    <row r="110" spans="1:22" x14ac:dyDescent="0.25">
      <c r="A110" s="24" t="s">
        <v>280</v>
      </c>
      <c r="B110" s="24" t="s">
        <v>13</v>
      </c>
      <c r="C110" s="24">
        <v>0</v>
      </c>
      <c r="D110" s="24">
        <v>98.632890731096296</v>
      </c>
      <c r="E110" s="25">
        <v>0.26967776939272903</v>
      </c>
      <c r="F110" s="24">
        <v>8</v>
      </c>
      <c r="G110" s="24">
        <v>5.07</v>
      </c>
      <c r="H110" s="24">
        <v>3</v>
      </c>
      <c r="I110" s="24">
        <v>20</v>
      </c>
      <c r="J110" s="24" t="str">
        <f>VLOOKUP(A110,編號對照表!$B$1:$C$133,2,FALSE)</f>
        <v>FG1-42</v>
      </c>
      <c r="K110" s="24" t="s">
        <v>764</v>
      </c>
      <c r="L110" s="24" t="s">
        <v>874</v>
      </c>
      <c r="M110" s="24">
        <v>2.54</v>
      </c>
      <c r="N110" s="24">
        <v>15</v>
      </c>
      <c r="O110" s="24">
        <v>25</v>
      </c>
      <c r="P110" s="24">
        <v>15</v>
      </c>
      <c r="Q110" s="24">
        <v>80</v>
      </c>
      <c r="R110" s="24">
        <v>200</v>
      </c>
      <c r="S110" s="24">
        <v>3</v>
      </c>
      <c r="T110" s="24">
        <v>0</v>
      </c>
      <c r="U110" s="24">
        <v>10</v>
      </c>
      <c r="V110" s="24">
        <v>10</v>
      </c>
    </row>
    <row r="111" spans="1:22" x14ac:dyDescent="0.25">
      <c r="A111" s="24" t="s">
        <v>280</v>
      </c>
      <c r="B111" s="24" t="s">
        <v>15</v>
      </c>
      <c r="C111" s="24">
        <v>19.515230087563399</v>
      </c>
      <c r="D111" s="24">
        <v>9.5642247470095807</v>
      </c>
      <c r="E111" s="25">
        <v>0.28082346543669701</v>
      </c>
      <c r="F111" s="24">
        <v>8</v>
      </c>
      <c r="G111" s="24">
        <v>5.07</v>
      </c>
      <c r="H111" s="24">
        <v>4</v>
      </c>
      <c r="I111" s="24">
        <v>3</v>
      </c>
      <c r="J111" s="24" t="str">
        <f>VLOOKUP(A111,編號對照表!$B$1:$C$133,2,FALSE)</f>
        <v>FG1-42</v>
      </c>
      <c r="K111" s="24" t="s">
        <v>662</v>
      </c>
      <c r="L111" s="24" t="s">
        <v>694</v>
      </c>
      <c r="M111" s="24">
        <v>2.54</v>
      </c>
      <c r="N111" s="24">
        <v>18</v>
      </c>
      <c r="O111" s="24">
        <v>25</v>
      </c>
      <c r="P111" s="24">
        <v>15</v>
      </c>
      <c r="Q111" s="24">
        <v>80</v>
      </c>
      <c r="R111" s="24">
        <v>200</v>
      </c>
      <c r="S111" s="24">
        <v>4</v>
      </c>
      <c r="T111" s="24">
        <v>0</v>
      </c>
      <c r="U111" s="24">
        <v>3</v>
      </c>
      <c r="V111" s="24">
        <v>0</v>
      </c>
    </row>
    <row r="112" spans="1:22" x14ac:dyDescent="0.25">
      <c r="A112" s="24" t="s">
        <v>280</v>
      </c>
      <c r="B112" s="24" t="s">
        <v>16</v>
      </c>
      <c r="C112" s="24">
        <v>13.1155492272228</v>
      </c>
      <c r="D112" s="24">
        <v>62.072640284895897</v>
      </c>
      <c r="E112" s="25">
        <v>0.107530446257442</v>
      </c>
      <c r="F112" s="24">
        <v>8</v>
      </c>
      <c r="G112" s="24">
        <v>5.07</v>
      </c>
      <c r="H112" s="24">
        <v>3</v>
      </c>
      <c r="I112" s="24">
        <v>13</v>
      </c>
      <c r="J112" s="24" t="str">
        <f>VLOOKUP(A112,編號對照表!$B$1:$C$133,2,FALSE)</f>
        <v>FG1-42</v>
      </c>
      <c r="K112" s="24" t="s">
        <v>662</v>
      </c>
      <c r="L112" s="24" t="s">
        <v>683</v>
      </c>
      <c r="M112" s="24">
        <v>1.27</v>
      </c>
      <c r="N112" s="24">
        <v>12</v>
      </c>
      <c r="O112" s="24">
        <v>25</v>
      </c>
      <c r="P112" s="24">
        <v>15</v>
      </c>
      <c r="Q112" s="24">
        <v>80</v>
      </c>
      <c r="R112" s="24">
        <v>200</v>
      </c>
      <c r="S112" s="24">
        <v>3</v>
      </c>
      <c r="T112" s="24">
        <v>0</v>
      </c>
      <c r="U112" s="24">
        <v>10</v>
      </c>
      <c r="V112" s="24">
        <v>3</v>
      </c>
    </row>
    <row r="113" spans="1:22" x14ac:dyDescent="0.25">
      <c r="A113" s="24" t="s">
        <v>84</v>
      </c>
      <c r="B113" s="24" t="s">
        <v>13</v>
      </c>
      <c r="C113" s="24">
        <v>17.915347125381199</v>
      </c>
      <c r="D113" s="24">
        <v>79.4377736747265</v>
      </c>
      <c r="E113" s="25">
        <v>0.24230442941188801</v>
      </c>
      <c r="F113" s="24">
        <v>8</v>
      </c>
      <c r="G113" s="24">
        <v>5.07</v>
      </c>
      <c r="H113" s="24">
        <v>4</v>
      </c>
      <c r="I113" s="24">
        <v>16</v>
      </c>
      <c r="J113" s="24" t="str">
        <f>VLOOKUP(A113,編號對照表!$B$1:$C$133,2,FALSE)</f>
        <v>FG1-43</v>
      </c>
      <c r="K113" s="24" t="s">
        <v>663</v>
      </c>
      <c r="L113" s="24" t="s">
        <v>683</v>
      </c>
      <c r="M113" s="24">
        <v>1.27</v>
      </c>
      <c r="N113" s="24">
        <v>10</v>
      </c>
      <c r="O113" s="24">
        <v>25</v>
      </c>
      <c r="P113" s="24">
        <v>15</v>
      </c>
      <c r="Q113" s="24">
        <v>80</v>
      </c>
      <c r="R113" s="24">
        <v>200</v>
      </c>
      <c r="S113" s="24">
        <v>4</v>
      </c>
      <c r="T113" s="24">
        <v>0</v>
      </c>
      <c r="U113" s="24">
        <v>10</v>
      </c>
      <c r="V113" s="24">
        <v>6</v>
      </c>
    </row>
    <row r="114" spans="1:22" x14ac:dyDescent="0.25">
      <c r="A114" s="24" t="s">
        <v>84</v>
      </c>
      <c r="B114" s="24" t="s">
        <v>15</v>
      </c>
      <c r="C114" s="24">
        <v>32.558429520577199</v>
      </c>
      <c r="D114" s="24">
        <v>10.9539297409356</v>
      </c>
      <c r="E114" s="25">
        <v>0.25234671775251599</v>
      </c>
      <c r="F114" s="24">
        <v>8</v>
      </c>
      <c r="G114" s="24">
        <v>5.07</v>
      </c>
      <c r="H114" s="24">
        <v>7</v>
      </c>
      <c r="I114" s="24">
        <v>3</v>
      </c>
      <c r="J114" s="24" t="str">
        <f>VLOOKUP(A114,編號對照表!$B$1:$C$133,2,FALSE)</f>
        <v>FG1-43</v>
      </c>
      <c r="K114" s="24" t="s">
        <v>765</v>
      </c>
      <c r="L114" s="24" t="s">
        <v>683</v>
      </c>
      <c r="M114" s="24">
        <v>1.27</v>
      </c>
      <c r="N114" s="24">
        <v>10</v>
      </c>
      <c r="O114" s="24">
        <v>25</v>
      </c>
      <c r="P114" s="24">
        <v>15</v>
      </c>
      <c r="Q114" s="24">
        <v>80</v>
      </c>
      <c r="R114" s="24">
        <v>200</v>
      </c>
      <c r="S114" s="24">
        <v>7</v>
      </c>
      <c r="T114" s="24">
        <v>0</v>
      </c>
      <c r="U114" s="24">
        <v>3</v>
      </c>
      <c r="V114" s="24">
        <v>0</v>
      </c>
    </row>
    <row r="115" spans="1:22" x14ac:dyDescent="0.25">
      <c r="A115" s="24" t="s">
        <v>84</v>
      </c>
      <c r="B115" s="24" t="s">
        <v>16</v>
      </c>
      <c r="C115" s="24">
        <v>20.396027248352802</v>
      </c>
      <c r="D115" s="24">
        <v>10.821357136592299</v>
      </c>
      <c r="E115" s="25">
        <v>6.6959013929590597E-2</v>
      </c>
      <c r="F115" s="24">
        <v>8</v>
      </c>
      <c r="G115" s="24">
        <v>5.07</v>
      </c>
      <c r="H115" s="24">
        <v>5</v>
      </c>
      <c r="I115" s="24">
        <v>3</v>
      </c>
      <c r="J115" s="24" t="str">
        <f>VLOOKUP(A115,編號對照表!$B$1:$C$133,2,FALSE)</f>
        <v>FG1-43</v>
      </c>
      <c r="K115" s="24" t="s">
        <v>765</v>
      </c>
      <c r="L115" s="24" t="s">
        <v>683</v>
      </c>
      <c r="M115" s="24">
        <v>1.27</v>
      </c>
      <c r="N115" s="24">
        <v>12</v>
      </c>
      <c r="O115" s="24">
        <v>25</v>
      </c>
      <c r="P115" s="24">
        <v>15</v>
      </c>
      <c r="Q115" s="24">
        <v>80</v>
      </c>
      <c r="R115" s="24">
        <v>200</v>
      </c>
      <c r="S115" s="24">
        <v>5</v>
      </c>
      <c r="T115" s="24">
        <v>0</v>
      </c>
      <c r="U115" s="24">
        <v>3</v>
      </c>
      <c r="V115" s="24">
        <v>0</v>
      </c>
    </row>
    <row r="116" spans="1:22" x14ac:dyDescent="0.25">
      <c r="A116" s="24" t="s">
        <v>281</v>
      </c>
      <c r="B116" s="24" t="s">
        <v>13</v>
      </c>
      <c r="C116" s="24">
        <v>16.179835656657801</v>
      </c>
      <c r="D116" s="24">
        <v>2.4335308989975601</v>
      </c>
      <c r="E116" s="25">
        <v>6.6959013929590597E-2</v>
      </c>
      <c r="F116" s="24">
        <v>8</v>
      </c>
      <c r="G116" s="24">
        <v>5.07</v>
      </c>
      <c r="H116" s="24">
        <v>4</v>
      </c>
      <c r="I116" s="24">
        <v>3</v>
      </c>
      <c r="J116" s="24" t="str">
        <f>VLOOKUP(A116,編號對照表!$B$1:$C$133,2,FALSE)</f>
        <v>FG1-44</v>
      </c>
      <c r="K116" s="24" t="s">
        <v>766</v>
      </c>
      <c r="L116" s="24" t="s">
        <v>683</v>
      </c>
      <c r="M116" s="24">
        <v>1.27</v>
      </c>
      <c r="N116" s="24">
        <v>12</v>
      </c>
      <c r="O116" s="24">
        <v>25</v>
      </c>
      <c r="P116" s="24">
        <v>15</v>
      </c>
      <c r="Q116" s="24">
        <v>80</v>
      </c>
      <c r="R116" s="24">
        <v>200</v>
      </c>
      <c r="S116" s="24">
        <v>4</v>
      </c>
      <c r="T116" s="24">
        <v>0</v>
      </c>
      <c r="U116" s="24">
        <v>3</v>
      </c>
      <c r="V116" s="24">
        <v>0</v>
      </c>
    </row>
    <row r="117" spans="1:22" x14ac:dyDescent="0.25">
      <c r="A117" s="24" t="s">
        <v>281</v>
      </c>
      <c r="B117" s="24" t="s">
        <v>15</v>
      </c>
      <c r="C117" s="24">
        <v>24.007707834243799</v>
      </c>
      <c r="D117" s="24">
        <v>29.8105785623193</v>
      </c>
      <c r="E117" s="25">
        <v>6.6959013929590597E-2</v>
      </c>
      <c r="F117" s="24">
        <v>8</v>
      </c>
      <c r="G117" s="24">
        <v>5.07</v>
      </c>
      <c r="H117" s="24">
        <v>5</v>
      </c>
      <c r="I117" s="24">
        <v>6</v>
      </c>
      <c r="J117" s="24" t="str">
        <f>VLOOKUP(A117,編號對照表!$B$1:$C$133,2,FALSE)</f>
        <v>FG1-44</v>
      </c>
      <c r="K117" s="24" t="s">
        <v>766</v>
      </c>
      <c r="L117" s="24" t="s">
        <v>683</v>
      </c>
      <c r="M117" s="24">
        <v>1.27</v>
      </c>
      <c r="N117" s="24">
        <v>12</v>
      </c>
      <c r="O117" s="24">
        <v>25</v>
      </c>
      <c r="P117" s="24">
        <v>15</v>
      </c>
      <c r="Q117" s="24">
        <v>80</v>
      </c>
      <c r="R117" s="24">
        <v>200</v>
      </c>
      <c r="S117" s="24">
        <v>5</v>
      </c>
      <c r="T117" s="24">
        <v>0</v>
      </c>
      <c r="U117" s="24">
        <v>6</v>
      </c>
      <c r="V117" s="24">
        <v>0</v>
      </c>
    </row>
    <row r="118" spans="1:22" x14ac:dyDescent="0.25">
      <c r="A118" s="24" t="s">
        <v>281</v>
      </c>
      <c r="B118" s="24" t="s">
        <v>16</v>
      </c>
      <c r="C118" s="24">
        <v>16.065164236351801</v>
      </c>
      <c r="D118" s="24">
        <v>103.391380980611</v>
      </c>
      <c r="E118" s="25">
        <v>6.6959013929590597E-2</v>
      </c>
      <c r="F118" s="24">
        <v>8</v>
      </c>
      <c r="G118" s="24">
        <v>5.07</v>
      </c>
      <c r="H118" s="24">
        <v>4</v>
      </c>
      <c r="I118" s="24">
        <v>21</v>
      </c>
      <c r="J118" s="24" t="str">
        <f>VLOOKUP(A118,編號對照表!$B$1:$C$133,2,FALSE)</f>
        <v>FG1-44</v>
      </c>
      <c r="K118" s="24" t="s">
        <v>458</v>
      </c>
      <c r="L118" s="24" t="s">
        <v>683</v>
      </c>
      <c r="M118" s="24">
        <v>1.27</v>
      </c>
      <c r="N118" s="24">
        <v>12</v>
      </c>
      <c r="O118" s="24">
        <v>25</v>
      </c>
      <c r="P118" s="24">
        <v>15</v>
      </c>
      <c r="Q118" s="24">
        <v>80</v>
      </c>
      <c r="R118" s="24">
        <v>200</v>
      </c>
      <c r="S118" s="24">
        <v>4</v>
      </c>
      <c r="T118" s="24">
        <v>0</v>
      </c>
      <c r="U118" s="24">
        <v>10</v>
      </c>
      <c r="V118" s="24">
        <v>11</v>
      </c>
    </row>
    <row r="119" spans="1:22" x14ac:dyDescent="0.25">
      <c r="A119" s="24" t="s">
        <v>283</v>
      </c>
      <c r="B119" s="24" t="s">
        <v>13</v>
      </c>
      <c r="C119" s="24">
        <v>32.541975378990202</v>
      </c>
      <c r="D119" s="24">
        <v>58.269225992262399</v>
      </c>
      <c r="E119" s="25">
        <v>5.02192589920014E-2</v>
      </c>
      <c r="F119" s="24">
        <v>8</v>
      </c>
      <c r="G119" s="24">
        <v>5.07</v>
      </c>
      <c r="H119" s="24">
        <v>7</v>
      </c>
      <c r="I119" s="24">
        <v>12</v>
      </c>
      <c r="J119" s="24" t="str">
        <f>VLOOKUP(A119,編號對照表!$B$1:$C$133,2,FALSE)</f>
        <v>Fb1-46</v>
      </c>
      <c r="K119" s="24" t="s">
        <v>767</v>
      </c>
      <c r="L119" s="24" t="s">
        <v>683</v>
      </c>
      <c r="M119" s="24">
        <v>1.27</v>
      </c>
      <c r="N119" s="24">
        <v>15</v>
      </c>
      <c r="O119" s="24">
        <v>25</v>
      </c>
      <c r="P119" s="24">
        <v>15</v>
      </c>
      <c r="Q119" s="24">
        <v>60</v>
      </c>
      <c r="R119" s="24">
        <v>200</v>
      </c>
      <c r="S119" s="24">
        <v>7</v>
      </c>
      <c r="T119" s="24">
        <v>0</v>
      </c>
      <c r="U119" s="24">
        <v>7</v>
      </c>
      <c r="V119" s="24">
        <v>5</v>
      </c>
    </row>
    <row r="120" spans="1:22" x14ac:dyDescent="0.25">
      <c r="A120" s="24" t="s">
        <v>283</v>
      </c>
      <c r="B120" s="24" t="s">
        <v>15</v>
      </c>
      <c r="C120" s="24">
        <v>95.819644629955306</v>
      </c>
      <c r="D120" s="24">
        <v>1E-3</v>
      </c>
      <c r="E120" s="25">
        <v>0</v>
      </c>
      <c r="F120" s="24">
        <v>8</v>
      </c>
      <c r="G120" s="24">
        <v>5.07</v>
      </c>
      <c r="H120" s="24">
        <v>19</v>
      </c>
      <c r="I120" s="24">
        <v>3</v>
      </c>
      <c r="J120" s="24" t="str">
        <f>VLOOKUP(A120,編號對照表!$B$1:$C$133,2,FALSE)</f>
        <v>Fb1-46</v>
      </c>
      <c r="K120" s="24" t="s">
        <v>459</v>
      </c>
      <c r="L120" s="24" t="s">
        <v>683</v>
      </c>
      <c r="M120" s="24">
        <v>1.27</v>
      </c>
      <c r="N120" s="24">
        <v>15</v>
      </c>
      <c r="O120" s="24">
        <v>25</v>
      </c>
      <c r="P120" s="24">
        <v>15</v>
      </c>
      <c r="Q120" s="24">
        <v>60</v>
      </c>
      <c r="R120" s="24">
        <v>200</v>
      </c>
      <c r="S120" s="24">
        <v>7</v>
      </c>
      <c r="T120" s="24">
        <v>12</v>
      </c>
      <c r="U120" s="24">
        <v>3</v>
      </c>
      <c r="V120" s="24">
        <v>0</v>
      </c>
    </row>
    <row r="121" spans="1:22" x14ac:dyDescent="0.25">
      <c r="A121" s="24" t="s">
        <v>283</v>
      </c>
      <c r="B121" s="24" t="s">
        <v>16</v>
      </c>
      <c r="C121" s="24">
        <v>88.997241109609604</v>
      </c>
      <c r="D121" s="24">
        <v>1E-3</v>
      </c>
      <c r="E121" s="25">
        <v>5.02192589920014E-2</v>
      </c>
      <c r="F121" s="24">
        <v>8</v>
      </c>
      <c r="G121" s="24">
        <v>5.07</v>
      </c>
      <c r="H121" s="24">
        <v>18</v>
      </c>
      <c r="I121" s="24">
        <v>3</v>
      </c>
      <c r="J121" s="24" t="str">
        <f>VLOOKUP(A121,編號對照表!$B$1:$C$133,2,FALSE)</f>
        <v>Fb1-46</v>
      </c>
      <c r="K121" s="24" t="s">
        <v>459</v>
      </c>
      <c r="L121" s="24" t="s">
        <v>683</v>
      </c>
      <c r="M121" s="24">
        <v>1.27</v>
      </c>
      <c r="N121" s="24">
        <v>15</v>
      </c>
      <c r="O121" s="24">
        <v>25</v>
      </c>
      <c r="P121" s="24">
        <v>15</v>
      </c>
      <c r="Q121" s="24">
        <v>60</v>
      </c>
      <c r="R121" s="24">
        <v>200</v>
      </c>
      <c r="S121" s="24">
        <v>7</v>
      </c>
      <c r="T121" s="24">
        <v>11</v>
      </c>
      <c r="U121" s="24">
        <v>3</v>
      </c>
      <c r="V121" s="24">
        <v>0</v>
      </c>
    </row>
    <row r="122" spans="1:22" x14ac:dyDescent="0.25">
      <c r="A122" s="24" t="s">
        <v>284</v>
      </c>
      <c r="B122" s="24" t="s">
        <v>13</v>
      </c>
      <c r="C122" s="24">
        <v>21.138333249837199</v>
      </c>
      <c r="D122" s="24">
        <v>51.905713044107003</v>
      </c>
      <c r="E122" s="25">
        <v>0</v>
      </c>
      <c r="F122" s="24">
        <v>8</v>
      </c>
      <c r="G122" s="24">
        <v>5.07</v>
      </c>
      <c r="H122" s="24">
        <v>5</v>
      </c>
      <c r="I122" s="24">
        <v>11</v>
      </c>
      <c r="J122" s="24" t="str">
        <f>VLOOKUP(A122,編號對照表!$B$1:$C$133,2,FALSE)</f>
        <v>FG1-4'4</v>
      </c>
      <c r="K122" s="24" t="s">
        <v>768</v>
      </c>
      <c r="L122" s="24" t="s">
        <v>683</v>
      </c>
      <c r="M122" s="24">
        <v>1.27</v>
      </c>
      <c r="N122" s="24">
        <v>12</v>
      </c>
      <c r="O122" s="24">
        <v>25</v>
      </c>
      <c r="P122" s="24">
        <v>15</v>
      </c>
      <c r="Q122" s="24">
        <v>80</v>
      </c>
      <c r="R122" s="24">
        <v>200</v>
      </c>
      <c r="S122" s="24">
        <v>5</v>
      </c>
      <c r="T122" s="24">
        <v>0</v>
      </c>
      <c r="U122" s="24">
        <v>9</v>
      </c>
      <c r="V122" s="24">
        <v>2</v>
      </c>
    </row>
    <row r="123" spans="1:22" x14ac:dyDescent="0.25">
      <c r="A123" s="24" t="s">
        <v>284</v>
      </c>
      <c r="B123" s="24" t="s">
        <v>15</v>
      </c>
      <c r="C123" s="24">
        <v>23.4647141769528</v>
      </c>
      <c r="D123" s="24">
        <v>55.4689858108759</v>
      </c>
      <c r="E123" s="25">
        <v>6.6959013929590597E-2</v>
      </c>
      <c r="F123" s="24">
        <v>8</v>
      </c>
      <c r="G123" s="24">
        <v>5.07</v>
      </c>
      <c r="H123" s="24">
        <v>5</v>
      </c>
      <c r="I123" s="24">
        <v>11</v>
      </c>
      <c r="J123" s="24" t="str">
        <f>VLOOKUP(A123,編號對照表!$B$1:$C$133,2,FALSE)</f>
        <v>FG1-4'4</v>
      </c>
      <c r="K123" s="24" t="s">
        <v>664</v>
      </c>
      <c r="L123" s="24" t="s">
        <v>683</v>
      </c>
      <c r="M123" s="24">
        <v>1.27</v>
      </c>
      <c r="N123" s="24">
        <v>12</v>
      </c>
      <c r="O123" s="24">
        <v>25</v>
      </c>
      <c r="P123" s="24">
        <v>15</v>
      </c>
      <c r="Q123" s="24">
        <v>80</v>
      </c>
      <c r="R123" s="24">
        <v>200</v>
      </c>
      <c r="S123" s="24">
        <v>5</v>
      </c>
      <c r="T123" s="24">
        <v>0</v>
      </c>
      <c r="U123" s="24">
        <v>9</v>
      </c>
      <c r="V123" s="24">
        <v>2</v>
      </c>
    </row>
    <row r="124" spans="1:22" x14ac:dyDescent="0.25">
      <c r="A124" s="24" t="s">
        <v>284</v>
      </c>
      <c r="B124" s="24" t="s">
        <v>16</v>
      </c>
      <c r="C124" s="24">
        <v>1E-3</v>
      </c>
      <c r="D124" s="24">
        <v>109.273558482528</v>
      </c>
      <c r="E124" s="25">
        <v>0</v>
      </c>
      <c r="F124" s="24">
        <v>8</v>
      </c>
      <c r="G124" s="24">
        <v>5.07</v>
      </c>
      <c r="H124" s="24">
        <v>3</v>
      </c>
      <c r="I124" s="24">
        <v>22</v>
      </c>
      <c r="J124" s="24" t="str">
        <f>VLOOKUP(A124,編號對照表!$B$1:$C$133,2,FALSE)</f>
        <v>FG1-4'4</v>
      </c>
      <c r="K124" s="24" t="s">
        <v>768</v>
      </c>
      <c r="L124" s="24" t="s">
        <v>683</v>
      </c>
      <c r="M124" s="24">
        <v>1.27</v>
      </c>
      <c r="N124" s="24">
        <v>12</v>
      </c>
      <c r="O124" s="24">
        <v>25</v>
      </c>
      <c r="P124" s="24">
        <v>15</v>
      </c>
      <c r="Q124" s="24">
        <v>80</v>
      </c>
      <c r="R124" s="24">
        <v>200</v>
      </c>
      <c r="S124" s="24">
        <v>3</v>
      </c>
      <c r="T124" s="24">
        <v>0</v>
      </c>
      <c r="U124" s="24">
        <v>10</v>
      </c>
      <c r="V124" s="24">
        <v>12</v>
      </c>
    </row>
    <row r="125" spans="1:22" x14ac:dyDescent="0.25">
      <c r="A125" s="24" t="s">
        <v>85</v>
      </c>
      <c r="B125" s="24" t="s">
        <v>13</v>
      </c>
      <c r="C125" s="24">
        <v>79.047791659832001</v>
      </c>
      <c r="D125" s="24">
        <v>1E-3</v>
      </c>
      <c r="E125" s="25">
        <v>0.33067411277443198</v>
      </c>
      <c r="F125" s="24">
        <v>8</v>
      </c>
      <c r="G125" s="24">
        <v>5.07</v>
      </c>
      <c r="H125" s="24">
        <v>16</v>
      </c>
      <c r="I125" s="24">
        <v>3</v>
      </c>
      <c r="J125" s="24" t="str">
        <f>VLOOKUP(A125,編號對照表!$B$1:$C$133,2,FALSE)</f>
        <v>Fb1-31</v>
      </c>
      <c r="K125" s="24" t="s">
        <v>460</v>
      </c>
      <c r="L125" s="24" t="s">
        <v>694</v>
      </c>
      <c r="M125" s="24">
        <v>2.54</v>
      </c>
      <c r="N125" s="24">
        <v>15</v>
      </c>
      <c r="O125" s="24">
        <v>25</v>
      </c>
      <c r="P125" s="24">
        <v>15</v>
      </c>
      <c r="Q125" s="24">
        <v>60</v>
      </c>
      <c r="R125" s="24">
        <v>200</v>
      </c>
      <c r="S125" s="24">
        <v>7</v>
      </c>
      <c r="T125" s="24">
        <v>9</v>
      </c>
      <c r="U125" s="24">
        <v>3</v>
      </c>
      <c r="V125" s="24">
        <v>0</v>
      </c>
    </row>
    <row r="126" spans="1:22" x14ac:dyDescent="0.25">
      <c r="A126" s="24" t="s">
        <v>85</v>
      </c>
      <c r="B126" s="24" t="s">
        <v>15</v>
      </c>
      <c r="C126" s="24">
        <v>108.668813481927</v>
      </c>
      <c r="D126" s="24">
        <v>1E-3</v>
      </c>
      <c r="E126" s="25">
        <v>0.11713468702510001</v>
      </c>
      <c r="F126" s="24">
        <v>8</v>
      </c>
      <c r="G126" s="24">
        <v>5.07</v>
      </c>
      <c r="H126" s="24">
        <v>22</v>
      </c>
      <c r="I126" s="24">
        <v>3</v>
      </c>
      <c r="J126" s="24" t="str">
        <f>VLOOKUP(A126,編號對照表!$B$1:$C$133,2,FALSE)</f>
        <v>Fb1-31</v>
      </c>
      <c r="K126" s="24" t="s">
        <v>460</v>
      </c>
      <c r="L126" s="24" t="s">
        <v>683</v>
      </c>
      <c r="M126" s="24">
        <v>1.27</v>
      </c>
      <c r="N126" s="24">
        <v>15</v>
      </c>
      <c r="O126" s="24">
        <v>25</v>
      </c>
      <c r="P126" s="24">
        <v>15</v>
      </c>
      <c r="Q126" s="24">
        <v>60</v>
      </c>
      <c r="R126" s="24">
        <v>200</v>
      </c>
      <c r="S126" s="24">
        <v>7</v>
      </c>
      <c r="T126" s="24">
        <v>15</v>
      </c>
      <c r="U126" s="24">
        <v>3</v>
      </c>
      <c r="V126" s="24">
        <v>0</v>
      </c>
    </row>
    <row r="127" spans="1:22" x14ac:dyDescent="0.25">
      <c r="A127" s="24" t="s">
        <v>85</v>
      </c>
      <c r="B127" s="24" t="s">
        <v>16</v>
      </c>
      <c r="C127" s="24">
        <v>34.824023023247697</v>
      </c>
      <c r="D127" s="24">
        <v>57.5000140815973</v>
      </c>
      <c r="E127" s="25">
        <v>0.17281606560573001</v>
      </c>
      <c r="F127" s="24">
        <v>8</v>
      </c>
      <c r="G127" s="24">
        <v>5.07</v>
      </c>
      <c r="H127" s="24">
        <v>7</v>
      </c>
      <c r="I127" s="24">
        <v>12</v>
      </c>
      <c r="J127" s="24" t="str">
        <f>VLOOKUP(A127,編號對照表!$B$1:$C$133,2,FALSE)</f>
        <v>Fb1-31</v>
      </c>
      <c r="K127" s="24" t="s">
        <v>769</v>
      </c>
      <c r="L127" s="24" t="s">
        <v>683</v>
      </c>
      <c r="M127" s="24">
        <v>1.27</v>
      </c>
      <c r="N127" s="24">
        <v>12</v>
      </c>
      <c r="O127" s="24">
        <v>25</v>
      </c>
      <c r="P127" s="24">
        <v>15</v>
      </c>
      <c r="Q127" s="24">
        <v>60</v>
      </c>
      <c r="R127" s="24">
        <v>200</v>
      </c>
      <c r="S127" s="24">
        <v>7</v>
      </c>
      <c r="T127" s="24">
        <v>0</v>
      </c>
      <c r="U127" s="24">
        <v>7</v>
      </c>
      <c r="V127" s="24">
        <v>5</v>
      </c>
    </row>
    <row r="128" spans="1:22" x14ac:dyDescent="0.25">
      <c r="A128" s="24" t="s">
        <v>86</v>
      </c>
      <c r="B128" s="24" t="s">
        <v>13</v>
      </c>
      <c r="C128" s="24">
        <v>1E-3</v>
      </c>
      <c r="D128" s="24">
        <v>58.007580228149898</v>
      </c>
      <c r="E128" s="25">
        <v>0.127893791068345</v>
      </c>
      <c r="F128" s="24">
        <v>8</v>
      </c>
      <c r="G128" s="24">
        <v>5.07</v>
      </c>
      <c r="H128" s="24">
        <v>3</v>
      </c>
      <c r="I128" s="24">
        <v>12</v>
      </c>
      <c r="J128" s="24" t="str">
        <f>VLOOKUP(A128,編號對照表!$B$1:$C$133,2,FALSE)</f>
        <v>Fb1-32</v>
      </c>
      <c r="K128" s="24" t="s">
        <v>639</v>
      </c>
      <c r="L128" s="24" t="s">
        <v>683</v>
      </c>
      <c r="M128" s="24">
        <v>1.27</v>
      </c>
      <c r="N128" s="24">
        <v>15</v>
      </c>
      <c r="O128" s="24">
        <v>25</v>
      </c>
      <c r="P128" s="24">
        <v>15</v>
      </c>
      <c r="Q128" s="24">
        <v>60</v>
      </c>
      <c r="R128" s="24">
        <v>200</v>
      </c>
      <c r="S128" s="24">
        <v>3</v>
      </c>
      <c r="T128" s="24">
        <v>0</v>
      </c>
      <c r="U128" s="24">
        <v>7</v>
      </c>
      <c r="V128" s="24">
        <v>5</v>
      </c>
    </row>
    <row r="129" spans="1:22" x14ac:dyDescent="0.25">
      <c r="A129" s="24" t="s">
        <v>86</v>
      </c>
      <c r="B129" s="24" t="s">
        <v>15</v>
      </c>
      <c r="C129" s="24">
        <v>10.724141029641</v>
      </c>
      <c r="D129" s="24">
        <v>6.3791865250095698</v>
      </c>
      <c r="E129" s="25">
        <v>7.1205856511369306E-2</v>
      </c>
      <c r="F129" s="24">
        <v>8</v>
      </c>
      <c r="G129" s="24">
        <v>5.07</v>
      </c>
      <c r="H129" s="24">
        <v>3</v>
      </c>
      <c r="I129" s="24">
        <v>3</v>
      </c>
      <c r="J129" s="24" t="str">
        <f>VLOOKUP(A129,編號對照表!$B$1:$C$133,2,FALSE)</f>
        <v>Fb1-32</v>
      </c>
      <c r="K129" s="24" t="s">
        <v>770</v>
      </c>
      <c r="L129" s="24" t="s">
        <v>683</v>
      </c>
      <c r="M129" s="24">
        <v>1.27</v>
      </c>
      <c r="N129" s="24">
        <v>15</v>
      </c>
      <c r="O129" s="24">
        <v>25</v>
      </c>
      <c r="P129" s="24">
        <v>15</v>
      </c>
      <c r="Q129" s="24">
        <v>60</v>
      </c>
      <c r="R129" s="24">
        <v>200</v>
      </c>
      <c r="S129" s="24">
        <v>3</v>
      </c>
      <c r="T129" s="24">
        <v>0</v>
      </c>
      <c r="U129" s="24">
        <v>3</v>
      </c>
      <c r="V129" s="24">
        <v>0</v>
      </c>
    </row>
    <row r="130" spans="1:22" x14ac:dyDescent="0.25">
      <c r="A130" s="24" t="s">
        <v>86</v>
      </c>
      <c r="B130" s="24" t="s">
        <v>16</v>
      </c>
      <c r="C130" s="24">
        <v>2.6322744088247401</v>
      </c>
      <c r="D130" s="24">
        <v>33.5008488036692</v>
      </c>
      <c r="E130" s="25">
        <v>5.2065815543755903E-2</v>
      </c>
      <c r="F130" s="24">
        <v>8</v>
      </c>
      <c r="G130" s="24">
        <v>5.07</v>
      </c>
      <c r="H130" s="24">
        <v>3</v>
      </c>
      <c r="I130" s="24">
        <v>7</v>
      </c>
      <c r="J130" s="24" t="str">
        <f>VLOOKUP(A130,編號對照表!$B$1:$C$133,2,FALSE)</f>
        <v>Fb1-32</v>
      </c>
      <c r="K130" s="24" t="s">
        <v>770</v>
      </c>
      <c r="L130" s="24" t="s">
        <v>683</v>
      </c>
      <c r="M130" s="24">
        <v>1.27</v>
      </c>
      <c r="N130" s="24">
        <v>15</v>
      </c>
      <c r="O130" s="24">
        <v>25</v>
      </c>
      <c r="P130" s="24">
        <v>15</v>
      </c>
      <c r="Q130" s="24">
        <v>60</v>
      </c>
      <c r="R130" s="24">
        <v>200</v>
      </c>
      <c r="S130" s="24">
        <v>3</v>
      </c>
      <c r="T130" s="24">
        <v>0</v>
      </c>
      <c r="U130" s="24">
        <v>7</v>
      </c>
      <c r="V130" s="24">
        <v>0</v>
      </c>
    </row>
    <row r="131" spans="1:22" x14ac:dyDescent="0.25">
      <c r="A131" s="24" t="s">
        <v>87</v>
      </c>
      <c r="B131" s="24" t="s">
        <v>13</v>
      </c>
      <c r="C131" s="24">
        <v>3.5336872679181401</v>
      </c>
      <c r="D131" s="24">
        <v>32.734873238951003</v>
      </c>
      <c r="E131" s="25">
        <v>5.7302432833239401E-2</v>
      </c>
      <c r="F131" s="24">
        <v>8</v>
      </c>
      <c r="G131" s="24">
        <v>5.07</v>
      </c>
      <c r="H131" s="24">
        <v>3</v>
      </c>
      <c r="I131" s="24">
        <v>7</v>
      </c>
      <c r="J131" s="24" t="str">
        <f>VLOOKUP(A131,編號對照表!$B$1:$C$133,2,FALSE)</f>
        <v>Fb1-33</v>
      </c>
      <c r="K131" s="24" t="s">
        <v>461</v>
      </c>
      <c r="L131" s="24" t="s">
        <v>683</v>
      </c>
      <c r="M131" s="24">
        <v>1.27</v>
      </c>
      <c r="N131" s="24">
        <v>15</v>
      </c>
      <c r="O131" s="24">
        <v>25</v>
      </c>
      <c r="P131" s="24">
        <v>15</v>
      </c>
      <c r="Q131" s="24">
        <v>60</v>
      </c>
      <c r="R131" s="24">
        <v>200</v>
      </c>
      <c r="S131" s="24">
        <v>3</v>
      </c>
      <c r="T131" s="24">
        <v>0</v>
      </c>
      <c r="U131" s="24">
        <v>7</v>
      </c>
      <c r="V131" s="24">
        <v>0</v>
      </c>
    </row>
    <row r="132" spans="1:22" x14ac:dyDescent="0.25">
      <c r="A132" s="24" t="s">
        <v>87</v>
      </c>
      <c r="B132" s="24" t="s">
        <v>15</v>
      </c>
      <c r="C132" s="24">
        <v>21.595840808004102</v>
      </c>
      <c r="D132" s="24">
        <v>1E-3</v>
      </c>
      <c r="E132" s="25">
        <v>5.02192589920014E-2</v>
      </c>
      <c r="F132" s="24">
        <v>8</v>
      </c>
      <c r="G132" s="24">
        <v>5.07</v>
      </c>
      <c r="H132" s="24">
        <v>5</v>
      </c>
      <c r="I132" s="24">
        <v>3</v>
      </c>
      <c r="J132" s="24" t="str">
        <f>VLOOKUP(A132,編號對照表!$B$1:$C$133,2,FALSE)</f>
        <v>Fb1-33</v>
      </c>
      <c r="K132" s="24" t="s">
        <v>771</v>
      </c>
      <c r="L132" s="24" t="s">
        <v>683</v>
      </c>
      <c r="M132" s="24">
        <v>1.27</v>
      </c>
      <c r="N132" s="24">
        <v>15</v>
      </c>
      <c r="O132" s="24">
        <v>25</v>
      </c>
      <c r="P132" s="24">
        <v>15</v>
      </c>
      <c r="Q132" s="24">
        <v>60</v>
      </c>
      <c r="R132" s="24">
        <v>200</v>
      </c>
      <c r="S132" s="24">
        <v>5</v>
      </c>
      <c r="T132" s="24">
        <v>0</v>
      </c>
      <c r="U132" s="24">
        <v>3</v>
      </c>
      <c r="V132" s="24">
        <v>0</v>
      </c>
    </row>
    <row r="133" spans="1:22" x14ac:dyDescent="0.25">
      <c r="A133" s="24" t="s">
        <v>87</v>
      </c>
      <c r="B133" s="24" t="s">
        <v>16</v>
      </c>
      <c r="C133" s="24">
        <v>6.3743384089320898</v>
      </c>
      <c r="D133" s="24">
        <v>14.1021294984967</v>
      </c>
      <c r="E133" s="25">
        <v>5.02192589920014E-2</v>
      </c>
      <c r="F133" s="24">
        <v>8</v>
      </c>
      <c r="G133" s="24">
        <v>5.07</v>
      </c>
      <c r="H133" s="24">
        <v>3</v>
      </c>
      <c r="I133" s="24">
        <v>3</v>
      </c>
      <c r="J133" s="24" t="str">
        <f>VLOOKUP(A133,編號對照表!$B$1:$C$133,2,FALSE)</f>
        <v>Fb1-33</v>
      </c>
      <c r="K133" s="24" t="s">
        <v>461</v>
      </c>
      <c r="L133" s="24" t="s">
        <v>683</v>
      </c>
      <c r="M133" s="24">
        <v>1.27</v>
      </c>
      <c r="N133" s="24">
        <v>15</v>
      </c>
      <c r="O133" s="24">
        <v>25</v>
      </c>
      <c r="P133" s="24">
        <v>15</v>
      </c>
      <c r="Q133" s="24">
        <v>60</v>
      </c>
      <c r="R133" s="24">
        <v>200</v>
      </c>
      <c r="S133" s="24">
        <v>3</v>
      </c>
      <c r="T133" s="24">
        <v>0</v>
      </c>
      <c r="U133" s="24">
        <v>3</v>
      </c>
      <c r="V133" s="24">
        <v>0</v>
      </c>
    </row>
    <row r="134" spans="1:22" x14ac:dyDescent="0.25">
      <c r="A134" s="24" t="s">
        <v>88</v>
      </c>
      <c r="B134" s="24" t="s">
        <v>13</v>
      </c>
      <c r="C134" s="24">
        <v>1E-3</v>
      </c>
      <c r="D134" s="24">
        <v>48.575019463896801</v>
      </c>
      <c r="E134" s="25">
        <v>0.13535079779103401</v>
      </c>
      <c r="F134" s="24">
        <v>8</v>
      </c>
      <c r="G134" s="24">
        <v>5.07</v>
      </c>
      <c r="H134" s="24">
        <v>3</v>
      </c>
      <c r="I134" s="24">
        <v>10</v>
      </c>
      <c r="J134" s="24" t="str">
        <f>VLOOKUP(A134,編號對照表!$B$1:$C$133,2,FALSE)</f>
        <v>FB1-D6</v>
      </c>
      <c r="K134" s="24" t="s">
        <v>581</v>
      </c>
      <c r="L134" s="24" t="s">
        <v>683</v>
      </c>
      <c r="M134" s="24">
        <v>1.27</v>
      </c>
      <c r="N134" s="24">
        <v>12</v>
      </c>
      <c r="O134" s="24">
        <v>25</v>
      </c>
      <c r="P134" s="24">
        <v>15</v>
      </c>
      <c r="Q134" s="24">
        <v>80</v>
      </c>
      <c r="R134" s="24">
        <v>200</v>
      </c>
      <c r="S134" s="24">
        <v>3</v>
      </c>
      <c r="T134" s="24">
        <v>0</v>
      </c>
      <c r="U134" s="24">
        <v>10</v>
      </c>
      <c r="V134" s="24">
        <v>0</v>
      </c>
    </row>
    <row r="135" spans="1:22" x14ac:dyDescent="0.25">
      <c r="A135" s="24" t="s">
        <v>88</v>
      </c>
      <c r="B135" s="24" t="s">
        <v>15</v>
      </c>
      <c r="C135" s="24">
        <v>51.105269230902202</v>
      </c>
      <c r="D135" s="24">
        <v>1E-3</v>
      </c>
      <c r="E135" s="25">
        <v>0.26897964999079699</v>
      </c>
      <c r="F135" s="24">
        <v>8</v>
      </c>
      <c r="G135" s="24">
        <v>5.07</v>
      </c>
      <c r="H135" s="24">
        <v>11</v>
      </c>
      <c r="I135" s="24">
        <v>3</v>
      </c>
      <c r="J135" s="24" t="str">
        <f>VLOOKUP(A135,編號對照表!$B$1:$C$133,2,FALSE)</f>
        <v>FB1-D6</v>
      </c>
      <c r="K135" s="24" t="s">
        <v>772</v>
      </c>
      <c r="L135" s="24" t="s">
        <v>874</v>
      </c>
      <c r="M135" s="24">
        <v>2.54</v>
      </c>
      <c r="N135" s="24">
        <v>18</v>
      </c>
      <c r="O135" s="24">
        <v>25</v>
      </c>
      <c r="P135" s="24">
        <v>15</v>
      </c>
      <c r="Q135" s="24">
        <v>80</v>
      </c>
      <c r="R135" s="24">
        <v>200</v>
      </c>
      <c r="S135" s="24">
        <v>9</v>
      </c>
      <c r="T135" s="24">
        <v>2</v>
      </c>
      <c r="U135" s="24">
        <v>3</v>
      </c>
      <c r="V135" s="24">
        <v>0</v>
      </c>
    </row>
    <row r="136" spans="1:22" x14ac:dyDescent="0.25">
      <c r="A136" s="24" t="s">
        <v>88</v>
      </c>
      <c r="B136" s="24" t="s">
        <v>16</v>
      </c>
      <c r="C136" s="24">
        <v>1E-3</v>
      </c>
      <c r="D136" s="24">
        <v>85.448008030653</v>
      </c>
      <c r="E136" s="25">
        <v>0.32367249950766602</v>
      </c>
      <c r="F136" s="24">
        <v>8</v>
      </c>
      <c r="G136" s="24">
        <v>5.07</v>
      </c>
      <c r="H136" s="24">
        <v>3</v>
      </c>
      <c r="I136" s="24">
        <v>17</v>
      </c>
      <c r="J136" s="24" t="str">
        <f>VLOOKUP(A136,編號對照表!$B$1:$C$133,2,FALSE)</f>
        <v>FB1-D6</v>
      </c>
      <c r="K136" s="24" t="s">
        <v>581</v>
      </c>
      <c r="L136" s="24" t="s">
        <v>874</v>
      </c>
      <c r="M136" s="24">
        <v>2.54</v>
      </c>
      <c r="N136" s="24">
        <v>15</v>
      </c>
      <c r="O136" s="24">
        <v>25</v>
      </c>
      <c r="P136" s="24">
        <v>15</v>
      </c>
      <c r="Q136" s="24">
        <v>80</v>
      </c>
      <c r="R136" s="24">
        <v>200</v>
      </c>
      <c r="S136" s="24">
        <v>3</v>
      </c>
      <c r="T136" s="24">
        <v>0</v>
      </c>
      <c r="U136" s="24">
        <v>10</v>
      </c>
      <c r="V136" s="24">
        <v>7</v>
      </c>
    </row>
    <row r="137" spans="1:22" x14ac:dyDescent="0.25">
      <c r="A137" s="24" t="s">
        <v>89</v>
      </c>
      <c r="B137" s="24" t="s">
        <v>13</v>
      </c>
      <c r="C137" s="24">
        <v>6.0174119425937498</v>
      </c>
      <c r="D137" s="24">
        <v>12.1367175597697</v>
      </c>
      <c r="E137" s="25">
        <v>0</v>
      </c>
      <c r="F137" s="24">
        <v>8</v>
      </c>
      <c r="G137" s="24">
        <v>5.07</v>
      </c>
      <c r="H137" s="24">
        <v>3</v>
      </c>
      <c r="I137" s="24">
        <v>3</v>
      </c>
      <c r="J137" s="24" t="str">
        <f>VLOOKUP(A137,編號對照表!$B$1:$C$133,2,FALSE)</f>
        <v>Fb1-34</v>
      </c>
      <c r="K137" s="24" t="s">
        <v>448</v>
      </c>
      <c r="L137" s="24" t="s">
        <v>683</v>
      </c>
      <c r="M137" s="24">
        <v>1.27</v>
      </c>
      <c r="N137" s="24">
        <v>15</v>
      </c>
      <c r="O137" s="24">
        <v>25</v>
      </c>
      <c r="P137" s="24">
        <v>15</v>
      </c>
      <c r="Q137" s="24">
        <v>60</v>
      </c>
      <c r="R137" s="24">
        <v>200</v>
      </c>
      <c r="S137" s="24">
        <v>3</v>
      </c>
      <c r="T137" s="24">
        <v>0</v>
      </c>
      <c r="U137" s="24">
        <v>3</v>
      </c>
      <c r="V137" s="24">
        <v>0</v>
      </c>
    </row>
    <row r="138" spans="1:22" x14ac:dyDescent="0.25">
      <c r="A138" s="24" t="s">
        <v>89</v>
      </c>
      <c r="B138" s="24" t="s">
        <v>15</v>
      </c>
      <c r="C138" s="24">
        <v>14.104130677878899</v>
      </c>
      <c r="D138" s="24">
        <v>1E-3</v>
      </c>
      <c r="E138" s="25">
        <v>0</v>
      </c>
      <c r="F138" s="24">
        <v>8</v>
      </c>
      <c r="G138" s="24">
        <v>5.07</v>
      </c>
      <c r="H138" s="24">
        <v>3</v>
      </c>
      <c r="I138" s="24">
        <v>3</v>
      </c>
      <c r="J138" s="24" t="str">
        <f>VLOOKUP(A138,編號對照表!$B$1:$C$133,2,FALSE)</f>
        <v>Fb1-34</v>
      </c>
      <c r="K138" s="24" t="s">
        <v>448</v>
      </c>
      <c r="L138" s="24" t="s">
        <v>683</v>
      </c>
      <c r="M138" s="24">
        <v>1.27</v>
      </c>
      <c r="N138" s="24">
        <v>15</v>
      </c>
      <c r="O138" s="24">
        <v>25</v>
      </c>
      <c r="P138" s="24">
        <v>15</v>
      </c>
      <c r="Q138" s="24">
        <v>60</v>
      </c>
      <c r="R138" s="24">
        <v>200</v>
      </c>
      <c r="S138" s="24">
        <v>3</v>
      </c>
      <c r="T138" s="24">
        <v>0</v>
      </c>
      <c r="U138" s="24">
        <v>3</v>
      </c>
      <c r="V138" s="24">
        <v>0</v>
      </c>
    </row>
    <row r="139" spans="1:22" x14ac:dyDescent="0.25">
      <c r="A139" s="24" t="s">
        <v>89</v>
      </c>
      <c r="B139" s="24" t="s">
        <v>16</v>
      </c>
      <c r="C139" s="24">
        <v>7.1974954335019001</v>
      </c>
      <c r="D139" s="24">
        <v>9.0409308904781902</v>
      </c>
      <c r="E139" s="25">
        <v>0</v>
      </c>
      <c r="F139" s="24">
        <v>8</v>
      </c>
      <c r="G139" s="24">
        <v>5.07</v>
      </c>
      <c r="H139" s="24">
        <v>3</v>
      </c>
      <c r="I139" s="24">
        <v>3</v>
      </c>
      <c r="J139" s="24" t="str">
        <f>VLOOKUP(A139,編號對照表!$B$1:$C$133,2,FALSE)</f>
        <v>Fb1-34</v>
      </c>
      <c r="K139" s="24" t="s">
        <v>773</v>
      </c>
      <c r="L139" s="24" t="s">
        <v>683</v>
      </c>
      <c r="M139" s="24">
        <v>1.27</v>
      </c>
      <c r="N139" s="24">
        <v>15</v>
      </c>
      <c r="O139" s="24">
        <v>25</v>
      </c>
      <c r="P139" s="24">
        <v>15</v>
      </c>
      <c r="Q139" s="24">
        <v>60</v>
      </c>
      <c r="R139" s="24">
        <v>200</v>
      </c>
      <c r="S139" s="24">
        <v>3</v>
      </c>
      <c r="T139" s="24">
        <v>0</v>
      </c>
      <c r="U139" s="24">
        <v>3</v>
      </c>
      <c r="V139" s="24">
        <v>0</v>
      </c>
    </row>
    <row r="140" spans="1:22" x14ac:dyDescent="0.25">
      <c r="A140" s="24" t="s">
        <v>90</v>
      </c>
      <c r="B140" s="24" t="s">
        <v>13</v>
      </c>
      <c r="C140" s="24">
        <v>16.116021433845201</v>
      </c>
      <c r="D140" s="24">
        <v>65.262881107628303</v>
      </c>
      <c r="E140" s="25">
        <v>6.6959013929590597E-2</v>
      </c>
      <c r="F140" s="24">
        <v>8</v>
      </c>
      <c r="G140" s="24">
        <v>5.07</v>
      </c>
      <c r="H140" s="24">
        <v>4</v>
      </c>
      <c r="I140" s="24">
        <v>13</v>
      </c>
      <c r="J140" s="24" t="str">
        <f>VLOOKUP(A140,編號對照表!$B$1:$C$133,2,FALSE)</f>
        <v>FB1-D'6</v>
      </c>
      <c r="K140" s="24" t="s">
        <v>679</v>
      </c>
      <c r="L140" s="24" t="s">
        <v>683</v>
      </c>
      <c r="M140" s="24">
        <v>1.27</v>
      </c>
      <c r="N140" s="24">
        <v>12</v>
      </c>
      <c r="O140" s="24">
        <v>25</v>
      </c>
      <c r="P140" s="24">
        <v>15</v>
      </c>
      <c r="Q140" s="24">
        <v>80</v>
      </c>
      <c r="R140" s="24">
        <v>200</v>
      </c>
      <c r="S140" s="24">
        <v>4</v>
      </c>
      <c r="T140" s="24">
        <v>0</v>
      </c>
      <c r="U140" s="24">
        <v>10</v>
      </c>
      <c r="V140" s="24">
        <v>3</v>
      </c>
    </row>
    <row r="141" spans="1:22" x14ac:dyDescent="0.25">
      <c r="A141" s="24" t="s">
        <v>90</v>
      </c>
      <c r="B141" s="24" t="s">
        <v>15</v>
      </c>
      <c r="C141" s="24">
        <v>58.846110478043599</v>
      </c>
      <c r="D141" s="24">
        <v>22.3354762420058</v>
      </c>
      <c r="E141" s="25">
        <v>6.6959013929590597E-2</v>
      </c>
      <c r="F141" s="24">
        <v>8</v>
      </c>
      <c r="G141" s="24">
        <v>5.07</v>
      </c>
      <c r="H141" s="24">
        <v>12</v>
      </c>
      <c r="I141" s="24">
        <v>5</v>
      </c>
      <c r="J141" s="24" t="str">
        <f>VLOOKUP(A141,編號對照表!$B$1:$C$133,2,FALSE)</f>
        <v>FB1-D'6</v>
      </c>
      <c r="K141" s="24" t="s">
        <v>679</v>
      </c>
      <c r="L141" s="24" t="s">
        <v>683</v>
      </c>
      <c r="M141" s="24">
        <v>1.27</v>
      </c>
      <c r="N141" s="24">
        <v>12</v>
      </c>
      <c r="O141" s="24">
        <v>25</v>
      </c>
      <c r="P141" s="24">
        <v>15</v>
      </c>
      <c r="Q141" s="24">
        <v>80</v>
      </c>
      <c r="R141" s="24">
        <v>200</v>
      </c>
      <c r="S141" s="24">
        <v>10</v>
      </c>
      <c r="T141" s="24">
        <v>2</v>
      </c>
      <c r="U141" s="24">
        <v>5</v>
      </c>
      <c r="V141" s="24">
        <v>0</v>
      </c>
    </row>
    <row r="142" spans="1:22" x14ac:dyDescent="0.25">
      <c r="A142" s="24" t="s">
        <v>90</v>
      </c>
      <c r="B142" s="24" t="s">
        <v>16</v>
      </c>
      <c r="C142" s="24">
        <v>1E-3</v>
      </c>
      <c r="D142" s="24">
        <v>90.382779017090797</v>
      </c>
      <c r="E142" s="25">
        <v>6.6959013929590597E-2</v>
      </c>
      <c r="F142" s="24">
        <v>8</v>
      </c>
      <c r="G142" s="24">
        <v>5.07</v>
      </c>
      <c r="H142" s="24">
        <v>3</v>
      </c>
      <c r="I142" s="24">
        <v>18</v>
      </c>
      <c r="J142" s="24" t="str">
        <f>VLOOKUP(A142,編號對照表!$B$1:$C$133,2,FALSE)</f>
        <v>FB1-D'6</v>
      </c>
      <c r="K142" s="24" t="s">
        <v>774</v>
      </c>
      <c r="L142" s="24" t="s">
        <v>683</v>
      </c>
      <c r="M142" s="24">
        <v>1.27</v>
      </c>
      <c r="N142" s="24">
        <v>12</v>
      </c>
      <c r="O142" s="24">
        <v>25</v>
      </c>
      <c r="P142" s="24">
        <v>15</v>
      </c>
      <c r="Q142" s="24">
        <v>80</v>
      </c>
      <c r="R142" s="24">
        <v>200</v>
      </c>
      <c r="S142" s="24">
        <v>3</v>
      </c>
      <c r="T142" s="24">
        <v>0</v>
      </c>
      <c r="U142" s="24">
        <v>10</v>
      </c>
      <c r="V142" s="24">
        <v>8</v>
      </c>
    </row>
    <row r="143" spans="1:22" x14ac:dyDescent="0.25">
      <c r="A143" s="24" t="s">
        <v>78</v>
      </c>
      <c r="B143" s="24" t="s">
        <v>13</v>
      </c>
      <c r="C143" s="24">
        <v>19.6850788779557</v>
      </c>
      <c r="D143" s="24">
        <v>125.468317419291</v>
      </c>
      <c r="E143" s="25">
        <v>6.6959013929590597E-2</v>
      </c>
      <c r="F143" s="24">
        <v>8</v>
      </c>
      <c r="G143" s="24">
        <v>5.07</v>
      </c>
      <c r="H143" s="24">
        <v>4</v>
      </c>
      <c r="I143" s="24">
        <v>25</v>
      </c>
      <c r="J143" s="24" t="str">
        <f>VLOOKUP(A143,編號對照表!$B$1:$C$133,2,FALSE)</f>
        <v>FG1-4'5</v>
      </c>
      <c r="K143" s="24" t="s">
        <v>775</v>
      </c>
      <c r="L143" s="24" t="s">
        <v>683</v>
      </c>
      <c r="M143" s="24">
        <v>1.27</v>
      </c>
      <c r="N143" s="24">
        <v>12</v>
      </c>
      <c r="O143" s="24">
        <v>25</v>
      </c>
      <c r="P143" s="24">
        <v>15</v>
      </c>
      <c r="Q143" s="24">
        <v>80</v>
      </c>
      <c r="R143" s="24">
        <v>200</v>
      </c>
      <c r="S143" s="24">
        <v>4</v>
      </c>
      <c r="T143" s="24">
        <v>0</v>
      </c>
      <c r="U143" s="24">
        <v>10</v>
      </c>
      <c r="V143" s="24">
        <v>15</v>
      </c>
    </row>
    <row r="144" spans="1:22" x14ac:dyDescent="0.25">
      <c r="A144" s="24" t="s">
        <v>78</v>
      </c>
      <c r="B144" s="24" t="s">
        <v>15</v>
      </c>
      <c r="C144" s="24">
        <v>132.244564592838</v>
      </c>
      <c r="D144" s="24">
        <v>7.8010233119130099</v>
      </c>
      <c r="E144" s="25">
        <v>6.6959013929590597E-2</v>
      </c>
      <c r="F144" s="24">
        <v>8</v>
      </c>
      <c r="G144" s="24">
        <v>5.07</v>
      </c>
      <c r="H144" s="24">
        <v>27</v>
      </c>
      <c r="I144" s="24">
        <v>3</v>
      </c>
      <c r="J144" s="24" t="str">
        <f>VLOOKUP(A144,編號對照表!$B$1:$C$133,2,FALSE)</f>
        <v>FG1-4'5</v>
      </c>
      <c r="K144" s="24" t="s">
        <v>462</v>
      </c>
      <c r="L144" s="24" t="s">
        <v>683</v>
      </c>
      <c r="M144" s="24">
        <v>1.27</v>
      </c>
      <c r="N144" s="24">
        <v>12</v>
      </c>
      <c r="O144" s="24">
        <v>25</v>
      </c>
      <c r="P144" s="24">
        <v>15</v>
      </c>
      <c r="Q144" s="24">
        <v>80</v>
      </c>
      <c r="R144" s="24">
        <v>200</v>
      </c>
      <c r="S144" s="24">
        <v>10</v>
      </c>
      <c r="T144" s="24">
        <v>17</v>
      </c>
      <c r="U144" s="24">
        <v>3</v>
      </c>
      <c r="V144" s="24">
        <v>0</v>
      </c>
    </row>
    <row r="145" spans="1:22" x14ac:dyDescent="0.25">
      <c r="A145" s="24" t="s">
        <v>78</v>
      </c>
      <c r="B145" s="24" t="s">
        <v>16</v>
      </c>
      <c r="C145" s="24">
        <v>126.73366814851801</v>
      </c>
      <c r="D145" s="24">
        <v>4.1935185436159399</v>
      </c>
      <c r="E145" s="25">
        <v>0</v>
      </c>
      <c r="F145" s="24">
        <v>8</v>
      </c>
      <c r="G145" s="24">
        <v>5.07</v>
      </c>
      <c r="H145" s="24">
        <v>25</v>
      </c>
      <c r="I145" s="24">
        <v>3</v>
      </c>
      <c r="J145" s="24" t="str">
        <f>VLOOKUP(A145,編號對照表!$B$1:$C$133,2,FALSE)</f>
        <v>FG1-4'5</v>
      </c>
      <c r="K145" s="24" t="s">
        <v>462</v>
      </c>
      <c r="L145" s="24" t="s">
        <v>683</v>
      </c>
      <c r="M145" s="24">
        <v>1.27</v>
      </c>
      <c r="N145" s="24">
        <v>12</v>
      </c>
      <c r="O145" s="24">
        <v>25</v>
      </c>
      <c r="P145" s="24">
        <v>15</v>
      </c>
      <c r="Q145" s="24">
        <v>80</v>
      </c>
      <c r="R145" s="24">
        <v>200</v>
      </c>
      <c r="S145" s="24">
        <v>10</v>
      </c>
      <c r="T145" s="24">
        <v>15</v>
      </c>
      <c r="U145" s="24">
        <v>3</v>
      </c>
      <c r="V145" s="24">
        <v>0</v>
      </c>
    </row>
    <row r="146" spans="1:22" x14ac:dyDescent="0.25">
      <c r="A146" s="24" t="s">
        <v>285</v>
      </c>
      <c r="B146" s="24" t="s">
        <v>13</v>
      </c>
      <c r="C146" s="24">
        <v>16.157397767528899</v>
      </c>
      <c r="D146" s="24">
        <v>130.12608513236</v>
      </c>
      <c r="E146" s="25">
        <v>0.169126864057034</v>
      </c>
      <c r="F146" s="24">
        <v>8</v>
      </c>
      <c r="G146" s="24">
        <v>5.07</v>
      </c>
      <c r="H146" s="24">
        <v>4</v>
      </c>
      <c r="I146" s="24">
        <v>26</v>
      </c>
      <c r="J146" s="24" t="str">
        <f>VLOOKUP(A146,編號對照表!$B$1:$C$133,2,FALSE)</f>
        <v>FB1-E'6</v>
      </c>
      <c r="K146" s="24" t="s">
        <v>857</v>
      </c>
      <c r="L146" s="24" t="s">
        <v>683</v>
      </c>
      <c r="M146" s="24">
        <v>1.27</v>
      </c>
      <c r="N146" s="24">
        <v>12</v>
      </c>
      <c r="O146" s="24">
        <v>25</v>
      </c>
      <c r="P146" s="24">
        <v>15</v>
      </c>
      <c r="Q146" s="24">
        <v>80</v>
      </c>
      <c r="R146" s="24">
        <v>200</v>
      </c>
      <c r="S146" s="24">
        <v>4</v>
      </c>
      <c r="T146" s="24">
        <v>0</v>
      </c>
      <c r="U146" s="24">
        <v>10</v>
      </c>
      <c r="V146" s="24">
        <v>16</v>
      </c>
    </row>
    <row r="147" spans="1:22" x14ac:dyDescent="0.25">
      <c r="A147" s="24" t="s">
        <v>285</v>
      </c>
      <c r="B147" s="24" t="s">
        <v>15</v>
      </c>
      <c r="C147" s="24">
        <v>100.98067112267</v>
      </c>
      <c r="D147" s="24">
        <v>33.477053511887803</v>
      </c>
      <c r="E147" s="25">
        <v>6.6959013929590597E-2</v>
      </c>
      <c r="F147" s="24">
        <v>8</v>
      </c>
      <c r="G147" s="24">
        <v>5.07</v>
      </c>
      <c r="H147" s="24">
        <v>20</v>
      </c>
      <c r="I147" s="24">
        <v>7</v>
      </c>
      <c r="J147" s="24" t="str">
        <f>VLOOKUP(A147,編號對照表!$B$1:$C$133,2,FALSE)</f>
        <v>FB1-E'6</v>
      </c>
      <c r="K147" s="24" t="s">
        <v>680</v>
      </c>
      <c r="L147" s="24" t="s">
        <v>683</v>
      </c>
      <c r="M147" s="24">
        <v>1.27</v>
      </c>
      <c r="N147" s="24">
        <v>12</v>
      </c>
      <c r="O147" s="24">
        <v>25</v>
      </c>
      <c r="P147" s="24">
        <v>15</v>
      </c>
      <c r="Q147" s="24">
        <v>80</v>
      </c>
      <c r="R147" s="24">
        <v>200</v>
      </c>
      <c r="S147" s="24">
        <v>10</v>
      </c>
      <c r="T147" s="24">
        <v>10</v>
      </c>
      <c r="U147" s="24">
        <v>7</v>
      </c>
      <c r="V147" s="24">
        <v>0</v>
      </c>
    </row>
    <row r="148" spans="1:22" x14ac:dyDescent="0.25">
      <c r="A148" s="24" t="s">
        <v>285</v>
      </c>
      <c r="B148" s="24" t="s">
        <v>16</v>
      </c>
      <c r="C148" s="24">
        <v>1E-3</v>
      </c>
      <c r="D148" s="24">
        <v>99.718421697616606</v>
      </c>
      <c r="E148" s="25">
        <v>6.6959013929590597E-2</v>
      </c>
      <c r="F148" s="24">
        <v>8</v>
      </c>
      <c r="G148" s="24">
        <v>5.07</v>
      </c>
      <c r="H148" s="24">
        <v>3</v>
      </c>
      <c r="I148" s="24">
        <v>20</v>
      </c>
      <c r="J148" s="24" t="str">
        <f>VLOOKUP(A148,編號對照表!$B$1:$C$133,2,FALSE)</f>
        <v>FB1-E'6</v>
      </c>
      <c r="K148" s="24" t="s">
        <v>680</v>
      </c>
      <c r="L148" s="24" t="s">
        <v>683</v>
      </c>
      <c r="M148" s="24">
        <v>1.27</v>
      </c>
      <c r="N148" s="24">
        <v>12</v>
      </c>
      <c r="O148" s="24">
        <v>25</v>
      </c>
      <c r="P148" s="24">
        <v>15</v>
      </c>
      <c r="Q148" s="24">
        <v>80</v>
      </c>
      <c r="R148" s="24">
        <v>200</v>
      </c>
      <c r="S148" s="24">
        <v>3</v>
      </c>
      <c r="T148" s="24">
        <v>0</v>
      </c>
      <c r="U148" s="24">
        <v>10</v>
      </c>
      <c r="V148" s="24">
        <v>10</v>
      </c>
    </row>
    <row r="149" spans="1:22" x14ac:dyDescent="0.25">
      <c r="A149" s="24" t="s">
        <v>286</v>
      </c>
      <c r="B149" s="24" t="s">
        <v>13</v>
      </c>
      <c r="C149" s="24">
        <v>95.743443816900296</v>
      </c>
      <c r="D149" s="24">
        <v>1.1368936975486601</v>
      </c>
      <c r="E149" s="25">
        <v>0.24884073063731199</v>
      </c>
      <c r="F149" s="24">
        <v>8</v>
      </c>
      <c r="G149" s="24">
        <v>5.07</v>
      </c>
      <c r="H149" s="24">
        <v>19</v>
      </c>
      <c r="I149" s="24">
        <v>3</v>
      </c>
      <c r="J149" s="24" t="str">
        <f>VLOOKUP(A149,編號對照表!$B$1:$C$133,2,FALSE)</f>
        <v>FG1-31</v>
      </c>
      <c r="K149" s="24" t="s">
        <v>463</v>
      </c>
      <c r="L149" s="24" t="s">
        <v>683</v>
      </c>
      <c r="M149" s="24">
        <v>1.27</v>
      </c>
      <c r="N149" s="24">
        <v>10</v>
      </c>
      <c r="O149" s="24">
        <v>25</v>
      </c>
      <c r="P149" s="24">
        <v>15</v>
      </c>
      <c r="Q149" s="24">
        <v>80</v>
      </c>
      <c r="R149" s="24">
        <v>200</v>
      </c>
      <c r="S149" s="24">
        <v>10</v>
      </c>
      <c r="T149" s="24">
        <v>9</v>
      </c>
      <c r="U149" s="24">
        <v>3</v>
      </c>
      <c r="V149" s="24">
        <v>0</v>
      </c>
    </row>
    <row r="150" spans="1:22" x14ac:dyDescent="0.25">
      <c r="A150" s="24" t="s">
        <v>286</v>
      </c>
      <c r="B150" s="24" t="s">
        <v>15</v>
      </c>
      <c r="C150" s="24">
        <v>149.90693889558301</v>
      </c>
      <c r="D150" s="24">
        <v>1E-3</v>
      </c>
      <c r="E150" s="25">
        <v>0.28170105069875701</v>
      </c>
      <c r="F150" s="24">
        <v>8</v>
      </c>
      <c r="G150" s="24">
        <v>5.07</v>
      </c>
      <c r="H150" s="24">
        <v>30</v>
      </c>
      <c r="I150" s="24">
        <v>3</v>
      </c>
      <c r="J150" s="24" t="str">
        <f>VLOOKUP(A150,編號對照表!$B$1:$C$133,2,FALSE)</f>
        <v>FG1-31</v>
      </c>
      <c r="K150" s="24" t="s">
        <v>776</v>
      </c>
      <c r="L150" s="24" t="s">
        <v>874</v>
      </c>
      <c r="M150" s="24">
        <v>2.54</v>
      </c>
      <c r="N150" s="24">
        <v>18</v>
      </c>
      <c r="O150" s="24">
        <v>25</v>
      </c>
      <c r="P150" s="24">
        <v>15</v>
      </c>
      <c r="Q150" s="24">
        <v>80</v>
      </c>
      <c r="R150" s="24">
        <v>200</v>
      </c>
      <c r="S150" s="24">
        <v>10</v>
      </c>
      <c r="T150" s="24">
        <v>20</v>
      </c>
      <c r="U150" s="24">
        <v>3</v>
      </c>
      <c r="V150" s="24">
        <v>0</v>
      </c>
    </row>
    <row r="151" spans="1:22" x14ac:dyDescent="0.25">
      <c r="A151" s="24" t="s">
        <v>286</v>
      </c>
      <c r="B151" s="24" t="s">
        <v>16</v>
      </c>
      <c r="C151" s="24">
        <v>37.9774207249284</v>
      </c>
      <c r="D151" s="24">
        <v>118.32676827907601</v>
      </c>
      <c r="E151" s="25">
        <v>0.50919307395815805</v>
      </c>
      <c r="F151" s="24">
        <v>8</v>
      </c>
      <c r="G151" s="24">
        <v>5.07</v>
      </c>
      <c r="H151" s="24">
        <v>8</v>
      </c>
      <c r="I151" s="24">
        <v>24</v>
      </c>
      <c r="J151" s="24" t="str">
        <f>VLOOKUP(A151,編號對照表!$B$1:$C$133,2,FALSE)</f>
        <v>FG1-31</v>
      </c>
      <c r="K151" s="24" t="s">
        <v>463</v>
      </c>
      <c r="L151" s="24" t="s">
        <v>695</v>
      </c>
      <c r="M151" s="24">
        <v>3.98</v>
      </c>
      <c r="N151" s="24">
        <v>15</v>
      </c>
      <c r="O151" s="24">
        <v>25</v>
      </c>
      <c r="P151" s="24">
        <v>15</v>
      </c>
      <c r="Q151" s="24">
        <v>80</v>
      </c>
      <c r="R151" s="24">
        <v>200</v>
      </c>
      <c r="S151" s="24">
        <v>8</v>
      </c>
      <c r="T151" s="24">
        <v>0</v>
      </c>
      <c r="U151" s="24">
        <v>10</v>
      </c>
      <c r="V151" s="24">
        <v>14</v>
      </c>
    </row>
    <row r="152" spans="1:22" x14ac:dyDescent="0.25">
      <c r="A152" s="24" t="s">
        <v>287</v>
      </c>
      <c r="B152" s="24" t="s">
        <v>13</v>
      </c>
      <c r="C152" s="24">
        <v>1E-3</v>
      </c>
      <c r="D152" s="24">
        <v>93.718096613884001</v>
      </c>
      <c r="E152" s="25">
        <v>0.28330415952950699</v>
      </c>
      <c r="F152" s="24">
        <v>8</v>
      </c>
      <c r="G152" s="24">
        <v>5.07</v>
      </c>
      <c r="H152" s="24">
        <v>3</v>
      </c>
      <c r="I152" s="24">
        <v>19</v>
      </c>
      <c r="J152" s="24" t="str">
        <f>VLOOKUP(A152,編號對照表!$B$1:$C$133,2,FALSE)</f>
        <v>FG1-32</v>
      </c>
      <c r="K152" s="24" t="s">
        <v>665</v>
      </c>
      <c r="L152" s="24" t="s">
        <v>694</v>
      </c>
      <c r="M152" s="24">
        <v>2.54</v>
      </c>
      <c r="N152" s="24">
        <v>15</v>
      </c>
      <c r="O152" s="24">
        <v>25</v>
      </c>
      <c r="P152" s="24">
        <v>15</v>
      </c>
      <c r="Q152" s="24">
        <v>80</v>
      </c>
      <c r="R152" s="24">
        <v>200</v>
      </c>
      <c r="S152" s="24">
        <v>3</v>
      </c>
      <c r="T152" s="24">
        <v>0</v>
      </c>
      <c r="U152" s="24">
        <v>10</v>
      </c>
      <c r="V152" s="24">
        <v>9</v>
      </c>
    </row>
    <row r="153" spans="1:22" x14ac:dyDescent="0.25">
      <c r="A153" s="24" t="s">
        <v>287</v>
      </c>
      <c r="B153" s="24" t="s">
        <v>15</v>
      </c>
      <c r="C153" s="24">
        <v>19.609576556831598</v>
      </c>
      <c r="D153" s="24">
        <v>7.2181405266746896</v>
      </c>
      <c r="E153" s="25">
        <v>0.294449832290411</v>
      </c>
      <c r="F153" s="24">
        <v>8</v>
      </c>
      <c r="G153" s="24">
        <v>5.07</v>
      </c>
      <c r="H153" s="24">
        <v>4</v>
      </c>
      <c r="I153" s="24">
        <v>3</v>
      </c>
      <c r="J153" s="24" t="str">
        <f>VLOOKUP(A153,編號對照表!$B$1:$C$133,2,FALSE)</f>
        <v>FG1-32</v>
      </c>
      <c r="K153" s="24" t="s">
        <v>665</v>
      </c>
      <c r="L153" s="24" t="s">
        <v>874</v>
      </c>
      <c r="M153" s="24">
        <v>2.54</v>
      </c>
      <c r="N153" s="24">
        <v>15</v>
      </c>
      <c r="O153" s="24">
        <v>25</v>
      </c>
      <c r="P153" s="24">
        <v>15</v>
      </c>
      <c r="Q153" s="24">
        <v>80</v>
      </c>
      <c r="R153" s="24">
        <v>200</v>
      </c>
      <c r="S153" s="24">
        <v>4</v>
      </c>
      <c r="T153" s="24">
        <v>0</v>
      </c>
      <c r="U153" s="24">
        <v>3</v>
      </c>
      <c r="V153" s="24">
        <v>0</v>
      </c>
    </row>
    <row r="154" spans="1:22" x14ac:dyDescent="0.25">
      <c r="A154" s="24" t="s">
        <v>287</v>
      </c>
      <c r="B154" s="24" t="s">
        <v>16</v>
      </c>
      <c r="C154" s="24">
        <v>1E-3</v>
      </c>
      <c r="D154" s="24">
        <v>37.735279183834798</v>
      </c>
      <c r="E154" s="25">
        <v>6.6959013929590597E-2</v>
      </c>
      <c r="F154" s="24">
        <v>8</v>
      </c>
      <c r="G154" s="24">
        <v>5.07</v>
      </c>
      <c r="H154" s="24">
        <v>3</v>
      </c>
      <c r="I154" s="24">
        <v>8</v>
      </c>
      <c r="J154" s="24" t="str">
        <f>VLOOKUP(A154,編號對照表!$B$1:$C$133,2,FALSE)</f>
        <v>FG1-32</v>
      </c>
      <c r="K154" s="24" t="s">
        <v>665</v>
      </c>
      <c r="L154" s="24" t="s">
        <v>683</v>
      </c>
      <c r="M154" s="24">
        <v>1.27</v>
      </c>
      <c r="N154" s="24">
        <v>12</v>
      </c>
      <c r="O154" s="24">
        <v>25</v>
      </c>
      <c r="P154" s="24">
        <v>15</v>
      </c>
      <c r="Q154" s="24">
        <v>80</v>
      </c>
      <c r="R154" s="24">
        <v>200</v>
      </c>
      <c r="S154" s="24">
        <v>3</v>
      </c>
      <c r="T154" s="24">
        <v>0</v>
      </c>
      <c r="U154" s="24">
        <v>8</v>
      </c>
      <c r="V154" s="24">
        <v>0</v>
      </c>
    </row>
    <row r="155" spans="1:22" x14ac:dyDescent="0.25">
      <c r="A155" s="24" t="s">
        <v>288</v>
      </c>
      <c r="B155" s="24" t="s">
        <v>13</v>
      </c>
      <c r="C155" s="24">
        <v>1E-3</v>
      </c>
      <c r="D155" s="24">
        <v>48.041911795735402</v>
      </c>
      <c r="E155" s="25">
        <v>0.19479581387713599</v>
      </c>
      <c r="F155" s="24">
        <v>8</v>
      </c>
      <c r="G155" s="24">
        <v>5.07</v>
      </c>
      <c r="H155" s="24">
        <v>3</v>
      </c>
      <c r="I155" s="24">
        <v>10</v>
      </c>
      <c r="J155" s="24" t="str">
        <f>VLOOKUP(A155,編號對照表!$B$1:$C$133,2,FALSE)</f>
        <v>FG1-33</v>
      </c>
      <c r="K155" s="24" t="s">
        <v>777</v>
      </c>
      <c r="L155" s="24" t="s">
        <v>683</v>
      </c>
      <c r="M155" s="24">
        <v>1.27</v>
      </c>
      <c r="N155" s="24">
        <v>12</v>
      </c>
      <c r="O155" s="24">
        <v>25</v>
      </c>
      <c r="P155" s="24">
        <v>15</v>
      </c>
      <c r="Q155" s="24">
        <v>80</v>
      </c>
      <c r="R155" s="24">
        <v>200</v>
      </c>
      <c r="S155" s="24">
        <v>3</v>
      </c>
      <c r="T155" s="24">
        <v>0</v>
      </c>
      <c r="U155" s="24">
        <v>10</v>
      </c>
      <c r="V155" s="24">
        <v>0</v>
      </c>
    </row>
    <row r="156" spans="1:22" x14ac:dyDescent="0.25">
      <c r="A156" s="24" t="s">
        <v>288</v>
      </c>
      <c r="B156" s="24" t="s">
        <v>15</v>
      </c>
      <c r="C156" s="24">
        <v>45.424439013004303</v>
      </c>
      <c r="D156" s="24">
        <v>1E-3</v>
      </c>
      <c r="E156" s="25">
        <v>0.206289510242641</v>
      </c>
      <c r="F156" s="24">
        <v>8</v>
      </c>
      <c r="G156" s="24">
        <v>5.07</v>
      </c>
      <c r="H156" s="24">
        <v>9</v>
      </c>
      <c r="I156" s="24">
        <v>3</v>
      </c>
      <c r="J156" s="24" t="str">
        <f>VLOOKUP(A156,編號對照表!$B$1:$C$133,2,FALSE)</f>
        <v>FG1-33</v>
      </c>
      <c r="K156" s="24" t="s">
        <v>615</v>
      </c>
      <c r="L156" s="24" t="s">
        <v>683</v>
      </c>
      <c r="M156" s="24">
        <v>1.27</v>
      </c>
      <c r="N156" s="24">
        <v>12</v>
      </c>
      <c r="O156" s="24">
        <v>25</v>
      </c>
      <c r="P156" s="24">
        <v>15</v>
      </c>
      <c r="Q156" s="24">
        <v>80</v>
      </c>
      <c r="R156" s="24">
        <v>200</v>
      </c>
      <c r="S156" s="24">
        <v>9</v>
      </c>
      <c r="T156" s="24">
        <v>0</v>
      </c>
      <c r="U156" s="24">
        <v>3</v>
      </c>
      <c r="V156" s="24">
        <v>0</v>
      </c>
    </row>
    <row r="157" spans="1:22" x14ac:dyDescent="0.25">
      <c r="A157" s="24" t="s">
        <v>288</v>
      </c>
      <c r="B157" s="24" t="s">
        <v>16</v>
      </c>
      <c r="C157" s="24">
        <v>12.053890386596301</v>
      </c>
      <c r="D157" s="24">
        <v>32.185441814363003</v>
      </c>
      <c r="E157" s="25">
        <v>0.14987986069172601</v>
      </c>
      <c r="F157" s="24">
        <v>8</v>
      </c>
      <c r="G157" s="24">
        <v>5.07</v>
      </c>
      <c r="H157" s="24">
        <v>3</v>
      </c>
      <c r="I157" s="24">
        <v>7</v>
      </c>
      <c r="J157" s="24" t="str">
        <f>VLOOKUP(A157,編號對照表!$B$1:$C$133,2,FALSE)</f>
        <v>FG1-33</v>
      </c>
      <c r="K157" s="24" t="s">
        <v>615</v>
      </c>
      <c r="L157" s="24" t="s">
        <v>683</v>
      </c>
      <c r="M157" s="24">
        <v>1.27</v>
      </c>
      <c r="N157" s="24">
        <v>12</v>
      </c>
      <c r="O157" s="24">
        <v>25</v>
      </c>
      <c r="P157" s="24">
        <v>15</v>
      </c>
      <c r="Q157" s="24">
        <v>80</v>
      </c>
      <c r="R157" s="24">
        <v>200</v>
      </c>
      <c r="S157" s="24">
        <v>3</v>
      </c>
      <c r="T157" s="24">
        <v>0</v>
      </c>
      <c r="U157" s="24">
        <v>7</v>
      </c>
      <c r="V157" s="24">
        <v>0</v>
      </c>
    </row>
    <row r="158" spans="1:22" x14ac:dyDescent="0.25">
      <c r="A158" s="24" t="s">
        <v>289</v>
      </c>
      <c r="B158" s="24" t="s">
        <v>13</v>
      </c>
      <c r="C158" s="24">
        <v>5.2397092804312697</v>
      </c>
      <c r="D158" s="24">
        <v>33.057546243071599</v>
      </c>
      <c r="E158" s="25">
        <v>0</v>
      </c>
      <c r="F158" s="24">
        <v>8</v>
      </c>
      <c r="G158" s="24">
        <v>5.07</v>
      </c>
      <c r="H158" s="24">
        <v>3</v>
      </c>
      <c r="I158" s="24">
        <v>7</v>
      </c>
      <c r="J158" s="24" t="str">
        <f>VLOOKUP(A158,編號對照表!$B$1:$C$133,2,FALSE)</f>
        <v>FG1-34</v>
      </c>
      <c r="K158" s="24" t="s">
        <v>464</v>
      </c>
      <c r="L158" s="24" t="s">
        <v>683</v>
      </c>
      <c r="M158" s="24">
        <v>1.27</v>
      </c>
      <c r="N158" s="24">
        <v>12</v>
      </c>
      <c r="O158" s="24">
        <v>25</v>
      </c>
      <c r="P158" s="24">
        <v>15</v>
      </c>
      <c r="Q158" s="24">
        <v>80</v>
      </c>
      <c r="R158" s="24">
        <v>200</v>
      </c>
      <c r="S158" s="24">
        <v>3</v>
      </c>
      <c r="T158" s="24">
        <v>0</v>
      </c>
      <c r="U158" s="24">
        <v>7</v>
      </c>
      <c r="V158" s="24">
        <v>0</v>
      </c>
    </row>
    <row r="159" spans="1:22" x14ac:dyDescent="0.25">
      <c r="A159" s="24" t="s">
        <v>289</v>
      </c>
      <c r="B159" s="24" t="s">
        <v>15</v>
      </c>
      <c r="C159" s="24">
        <v>10.188107844442101</v>
      </c>
      <c r="D159" s="24">
        <v>26.252667885273699</v>
      </c>
      <c r="E159" s="25">
        <v>0</v>
      </c>
      <c r="F159" s="24">
        <v>8</v>
      </c>
      <c r="G159" s="24">
        <v>5.07</v>
      </c>
      <c r="H159" s="24">
        <v>3</v>
      </c>
      <c r="I159" s="24">
        <v>6</v>
      </c>
      <c r="J159" s="24" t="str">
        <f>VLOOKUP(A159,編號對照表!$B$1:$C$133,2,FALSE)</f>
        <v>FG1-34</v>
      </c>
      <c r="K159" s="24" t="s">
        <v>778</v>
      </c>
      <c r="L159" s="24" t="s">
        <v>683</v>
      </c>
      <c r="M159" s="24">
        <v>1.27</v>
      </c>
      <c r="N159" s="24">
        <v>12</v>
      </c>
      <c r="O159" s="24">
        <v>25</v>
      </c>
      <c r="P159" s="24">
        <v>15</v>
      </c>
      <c r="Q159" s="24">
        <v>80</v>
      </c>
      <c r="R159" s="24">
        <v>200</v>
      </c>
      <c r="S159" s="24">
        <v>3</v>
      </c>
      <c r="T159" s="24">
        <v>0</v>
      </c>
      <c r="U159" s="24">
        <v>6</v>
      </c>
      <c r="V159" s="24">
        <v>0</v>
      </c>
    </row>
    <row r="160" spans="1:22" x14ac:dyDescent="0.25">
      <c r="A160" s="24" t="s">
        <v>289</v>
      </c>
      <c r="B160" s="24" t="s">
        <v>16</v>
      </c>
      <c r="C160" s="24">
        <v>1E-3</v>
      </c>
      <c r="D160" s="24">
        <v>27.001830749213699</v>
      </c>
      <c r="E160" s="25">
        <v>0</v>
      </c>
      <c r="F160" s="24">
        <v>8</v>
      </c>
      <c r="G160" s="24">
        <v>5.07</v>
      </c>
      <c r="H160" s="24">
        <v>3</v>
      </c>
      <c r="I160" s="24">
        <v>6</v>
      </c>
      <c r="J160" s="24" t="str">
        <f>VLOOKUP(A160,編號對照表!$B$1:$C$133,2,FALSE)</f>
        <v>FG1-34</v>
      </c>
      <c r="K160" s="24" t="s">
        <v>778</v>
      </c>
      <c r="L160" s="24" t="s">
        <v>683</v>
      </c>
      <c r="M160" s="24">
        <v>1.27</v>
      </c>
      <c r="N160" s="24">
        <v>12</v>
      </c>
      <c r="O160" s="24">
        <v>25</v>
      </c>
      <c r="P160" s="24">
        <v>15</v>
      </c>
      <c r="Q160" s="24">
        <v>80</v>
      </c>
      <c r="R160" s="24">
        <v>200</v>
      </c>
      <c r="S160" s="24">
        <v>3</v>
      </c>
      <c r="T160" s="24">
        <v>0</v>
      </c>
      <c r="U160" s="24">
        <v>6</v>
      </c>
      <c r="V160" s="24">
        <v>0</v>
      </c>
    </row>
    <row r="161" spans="1:22" x14ac:dyDescent="0.25">
      <c r="A161" s="24" t="s">
        <v>290</v>
      </c>
      <c r="B161" s="24" t="s">
        <v>13</v>
      </c>
      <c r="C161" s="24">
        <v>5.8676308253779998</v>
      </c>
      <c r="D161" s="24">
        <v>18.238803604617701</v>
      </c>
      <c r="E161" s="25">
        <v>0</v>
      </c>
      <c r="F161" s="24">
        <v>8</v>
      </c>
      <c r="G161" s="24">
        <v>5.07</v>
      </c>
      <c r="H161" s="24">
        <v>3</v>
      </c>
      <c r="I161" s="24">
        <v>4</v>
      </c>
      <c r="J161" s="24" t="str">
        <f>VLOOKUP(A161,編號對照表!$B$1:$C$133,2,FALSE)</f>
        <v>FG1-3'4</v>
      </c>
      <c r="K161" s="24" t="s">
        <v>779</v>
      </c>
      <c r="L161" s="24" t="s">
        <v>683</v>
      </c>
      <c r="M161" s="24">
        <v>1.27</v>
      </c>
      <c r="N161" s="24">
        <v>12</v>
      </c>
      <c r="O161" s="24">
        <v>25</v>
      </c>
      <c r="P161" s="24">
        <v>15</v>
      </c>
      <c r="Q161" s="24">
        <v>80</v>
      </c>
      <c r="R161" s="24">
        <v>200</v>
      </c>
      <c r="S161" s="24">
        <v>3</v>
      </c>
      <c r="T161" s="24">
        <v>0</v>
      </c>
      <c r="U161" s="24">
        <v>4</v>
      </c>
      <c r="V161" s="24">
        <v>0</v>
      </c>
    </row>
    <row r="162" spans="1:22" x14ac:dyDescent="0.25">
      <c r="A162" s="24" t="s">
        <v>290</v>
      </c>
      <c r="B162" s="24" t="s">
        <v>15</v>
      </c>
      <c r="C162" s="24">
        <v>8.2745210966095293</v>
      </c>
      <c r="D162" s="24">
        <v>57.687475346028798</v>
      </c>
      <c r="E162" s="25">
        <v>6.6959013929590597E-2</v>
      </c>
      <c r="F162" s="24">
        <v>8</v>
      </c>
      <c r="G162" s="24">
        <v>5.07</v>
      </c>
      <c r="H162" s="24">
        <v>3</v>
      </c>
      <c r="I162" s="24">
        <v>12</v>
      </c>
      <c r="J162" s="24" t="str">
        <f>VLOOKUP(A162,編號對照表!$B$1:$C$133,2,FALSE)</f>
        <v>FG1-3'4</v>
      </c>
      <c r="K162" s="24" t="s">
        <v>779</v>
      </c>
      <c r="L162" s="24" t="s">
        <v>683</v>
      </c>
      <c r="M162" s="24">
        <v>1.27</v>
      </c>
      <c r="N162" s="24">
        <v>12</v>
      </c>
      <c r="O162" s="24">
        <v>25</v>
      </c>
      <c r="P162" s="24">
        <v>15</v>
      </c>
      <c r="Q162" s="24">
        <v>80</v>
      </c>
      <c r="R162" s="24">
        <v>200</v>
      </c>
      <c r="S162" s="24">
        <v>3</v>
      </c>
      <c r="T162" s="24">
        <v>0</v>
      </c>
      <c r="U162" s="24">
        <v>10</v>
      </c>
      <c r="V162" s="24">
        <v>2</v>
      </c>
    </row>
    <row r="163" spans="1:22" x14ac:dyDescent="0.25">
      <c r="A163" s="24" t="s">
        <v>290</v>
      </c>
      <c r="B163" s="24" t="s">
        <v>16</v>
      </c>
      <c r="C163" s="24">
        <v>1E-3</v>
      </c>
      <c r="D163" s="24">
        <v>100.76561011374</v>
      </c>
      <c r="E163" s="25">
        <v>0</v>
      </c>
      <c r="F163" s="24">
        <v>8</v>
      </c>
      <c r="G163" s="24">
        <v>5.07</v>
      </c>
      <c r="H163" s="24">
        <v>3</v>
      </c>
      <c r="I163" s="24">
        <v>20</v>
      </c>
      <c r="J163" s="24" t="str">
        <f>VLOOKUP(A163,編號對照表!$B$1:$C$133,2,FALSE)</f>
        <v>FG1-3'4</v>
      </c>
      <c r="K163" s="24" t="s">
        <v>779</v>
      </c>
      <c r="L163" s="24" t="s">
        <v>683</v>
      </c>
      <c r="M163" s="24">
        <v>1.27</v>
      </c>
      <c r="N163" s="24">
        <v>12</v>
      </c>
      <c r="O163" s="24">
        <v>25</v>
      </c>
      <c r="P163" s="24">
        <v>15</v>
      </c>
      <c r="Q163" s="24">
        <v>80</v>
      </c>
      <c r="R163" s="24">
        <v>200</v>
      </c>
      <c r="S163" s="24">
        <v>3</v>
      </c>
      <c r="T163" s="24">
        <v>0</v>
      </c>
      <c r="U163" s="24">
        <v>10</v>
      </c>
      <c r="V163" s="24">
        <v>10</v>
      </c>
    </row>
    <row r="164" spans="1:22" x14ac:dyDescent="0.25">
      <c r="A164" s="24" t="s">
        <v>291</v>
      </c>
      <c r="B164" s="24" t="s">
        <v>13</v>
      </c>
      <c r="C164" s="24">
        <v>43.330714106559803</v>
      </c>
      <c r="D164" s="24">
        <v>108.464686200023</v>
      </c>
      <c r="E164" s="25">
        <v>6.6959013929590597E-2</v>
      </c>
      <c r="F164" s="24">
        <v>8</v>
      </c>
      <c r="G164" s="24">
        <v>5.07</v>
      </c>
      <c r="H164" s="24">
        <v>9</v>
      </c>
      <c r="I164" s="24">
        <v>22</v>
      </c>
      <c r="J164" s="24" t="str">
        <f>VLOOKUP(A164,編號對照表!$B$1:$C$133,2,FALSE)</f>
        <v>FG1-3'5</v>
      </c>
      <c r="K164" s="24" t="s">
        <v>644</v>
      </c>
      <c r="L164" s="24" t="s">
        <v>683</v>
      </c>
      <c r="M164" s="24">
        <v>1.27</v>
      </c>
      <c r="N164" s="24">
        <v>12</v>
      </c>
      <c r="O164" s="24">
        <v>25</v>
      </c>
      <c r="P164" s="24">
        <v>15</v>
      </c>
      <c r="Q164" s="24">
        <v>80</v>
      </c>
      <c r="R164" s="24">
        <v>200</v>
      </c>
      <c r="S164" s="24">
        <v>9</v>
      </c>
      <c r="T164" s="24">
        <v>0</v>
      </c>
      <c r="U164" s="24">
        <v>10</v>
      </c>
      <c r="V164" s="24">
        <v>12</v>
      </c>
    </row>
    <row r="165" spans="1:22" x14ac:dyDescent="0.25">
      <c r="A165" s="24" t="s">
        <v>291</v>
      </c>
      <c r="B165" s="24" t="s">
        <v>15</v>
      </c>
      <c r="C165" s="24">
        <v>130.267459899187</v>
      </c>
      <c r="D165" s="24">
        <v>1E-3</v>
      </c>
      <c r="E165" s="25">
        <v>6.6959013929590597E-2</v>
      </c>
      <c r="F165" s="24">
        <v>8</v>
      </c>
      <c r="G165" s="24">
        <v>5.07</v>
      </c>
      <c r="H165" s="24">
        <v>26</v>
      </c>
      <c r="I165" s="24">
        <v>3</v>
      </c>
      <c r="J165" s="24" t="str">
        <f>VLOOKUP(A165,編號對照表!$B$1:$C$133,2,FALSE)</f>
        <v>FG1-3'5</v>
      </c>
      <c r="K165" s="24" t="s">
        <v>644</v>
      </c>
      <c r="L165" s="24" t="s">
        <v>683</v>
      </c>
      <c r="M165" s="24">
        <v>1.27</v>
      </c>
      <c r="N165" s="24">
        <v>12</v>
      </c>
      <c r="O165" s="24">
        <v>25</v>
      </c>
      <c r="P165" s="24">
        <v>15</v>
      </c>
      <c r="Q165" s="24">
        <v>80</v>
      </c>
      <c r="R165" s="24">
        <v>200</v>
      </c>
      <c r="S165" s="24">
        <v>10</v>
      </c>
      <c r="T165" s="24">
        <v>16</v>
      </c>
      <c r="U165" s="24">
        <v>3</v>
      </c>
      <c r="V165" s="24">
        <v>0</v>
      </c>
    </row>
    <row r="166" spans="1:22" x14ac:dyDescent="0.25">
      <c r="A166" s="24" t="s">
        <v>291</v>
      </c>
      <c r="B166" s="24" t="s">
        <v>16</v>
      </c>
      <c r="C166" s="24">
        <v>129.44945134222499</v>
      </c>
      <c r="D166" s="24">
        <v>4.3456139974296102</v>
      </c>
      <c r="E166" s="25">
        <v>0</v>
      </c>
      <c r="F166" s="24">
        <v>8</v>
      </c>
      <c r="G166" s="24">
        <v>5.07</v>
      </c>
      <c r="H166" s="24">
        <v>26</v>
      </c>
      <c r="I166" s="24">
        <v>3</v>
      </c>
      <c r="J166" s="24" t="str">
        <f>VLOOKUP(A166,編號對照表!$B$1:$C$133,2,FALSE)</f>
        <v>FG1-3'5</v>
      </c>
      <c r="K166" s="24" t="s">
        <v>644</v>
      </c>
      <c r="L166" s="24" t="s">
        <v>683</v>
      </c>
      <c r="M166" s="24">
        <v>1.27</v>
      </c>
      <c r="N166" s="24">
        <v>12</v>
      </c>
      <c r="O166" s="24">
        <v>25</v>
      </c>
      <c r="P166" s="24">
        <v>15</v>
      </c>
      <c r="Q166" s="24">
        <v>80</v>
      </c>
      <c r="R166" s="24">
        <v>200</v>
      </c>
      <c r="S166" s="24">
        <v>10</v>
      </c>
      <c r="T166" s="24">
        <v>16</v>
      </c>
      <c r="U166" s="24">
        <v>3</v>
      </c>
      <c r="V166" s="24">
        <v>0</v>
      </c>
    </row>
    <row r="167" spans="1:22" x14ac:dyDescent="0.25">
      <c r="A167" s="24" t="s">
        <v>292</v>
      </c>
      <c r="B167" s="24" t="s">
        <v>13</v>
      </c>
      <c r="C167" s="24">
        <v>73.105110786855207</v>
      </c>
      <c r="D167" s="24">
        <v>1E-3</v>
      </c>
      <c r="E167" s="25">
        <v>0.34039937891066102</v>
      </c>
      <c r="F167" s="24">
        <v>8</v>
      </c>
      <c r="G167" s="24">
        <v>5.07</v>
      </c>
      <c r="H167" s="24">
        <v>15</v>
      </c>
      <c r="I167" s="24">
        <v>3</v>
      </c>
      <c r="J167" s="24" t="str">
        <f>VLOOKUP(A167,編號對照表!$B$1:$C$133,2,FALSE)</f>
        <v>Fb1-21</v>
      </c>
      <c r="K167" s="24" t="s">
        <v>465</v>
      </c>
      <c r="L167" s="24" t="s">
        <v>694</v>
      </c>
      <c r="M167" s="24">
        <v>2.54</v>
      </c>
      <c r="N167" s="24">
        <v>12</v>
      </c>
      <c r="O167" s="24">
        <v>25</v>
      </c>
      <c r="P167" s="24">
        <v>15</v>
      </c>
      <c r="Q167" s="24">
        <v>60</v>
      </c>
      <c r="R167" s="24">
        <v>200</v>
      </c>
      <c r="S167" s="24">
        <v>7</v>
      </c>
      <c r="T167" s="24">
        <v>8</v>
      </c>
      <c r="U167" s="24">
        <v>3</v>
      </c>
      <c r="V167" s="24">
        <v>0</v>
      </c>
    </row>
    <row r="168" spans="1:22" x14ac:dyDescent="0.25">
      <c r="A168" s="24" t="s">
        <v>292</v>
      </c>
      <c r="B168" s="24" t="s">
        <v>15</v>
      </c>
      <c r="C168" s="24">
        <v>105.62106966972399</v>
      </c>
      <c r="D168" s="24">
        <v>1E-3</v>
      </c>
      <c r="E168" s="25">
        <v>0.101043714676052</v>
      </c>
      <c r="F168" s="24">
        <v>8</v>
      </c>
      <c r="G168" s="24">
        <v>5.07</v>
      </c>
      <c r="H168" s="24">
        <v>21</v>
      </c>
      <c r="I168" s="24">
        <v>3</v>
      </c>
      <c r="J168" s="24" t="str">
        <f>VLOOKUP(A168,編號對照表!$B$1:$C$133,2,FALSE)</f>
        <v>Fb1-21</v>
      </c>
      <c r="K168" s="24" t="s">
        <v>465</v>
      </c>
      <c r="L168" s="24" t="s">
        <v>683</v>
      </c>
      <c r="M168" s="24">
        <v>1.27</v>
      </c>
      <c r="N168" s="24">
        <v>15</v>
      </c>
      <c r="O168" s="24">
        <v>25</v>
      </c>
      <c r="P168" s="24">
        <v>15</v>
      </c>
      <c r="Q168" s="24">
        <v>60</v>
      </c>
      <c r="R168" s="24">
        <v>200</v>
      </c>
      <c r="S168" s="24">
        <v>7</v>
      </c>
      <c r="T168" s="24">
        <v>14</v>
      </c>
      <c r="U168" s="24">
        <v>3</v>
      </c>
      <c r="V168" s="24">
        <v>0</v>
      </c>
    </row>
    <row r="169" spans="1:22" x14ac:dyDescent="0.25">
      <c r="A169" s="24" t="s">
        <v>292</v>
      </c>
      <c r="B169" s="24" t="s">
        <v>16</v>
      </c>
      <c r="C169" s="24">
        <v>41.193938814103603</v>
      </c>
      <c r="D169" s="24">
        <v>15.7403526827693</v>
      </c>
      <c r="E169" s="25">
        <v>0.12942549074068699</v>
      </c>
      <c r="F169" s="24">
        <v>8</v>
      </c>
      <c r="G169" s="24">
        <v>5.07</v>
      </c>
      <c r="H169" s="24">
        <v>9</v>
      </c>
      <c r="I169" s="24">
        <v>4</v>
      </c>
      <c r="J169" s="24" t="str">
        <f>VLOOKUP(A169,編號對照表!$B$1:$C$133,2,FALSE)</f>
        <v>Fb1-21</v>
      </c>
      <c r="K169" s="24" t="s">
        <v>780</v>
      </c>
      <c r="L169" s="24" t="s">
        <v>683</v>
      </c>
      <c r="M169" s="24">
        <v>1.27</v>
      </c>
      <c r="N169" s="24">
        <v>15</v>
      </c>
      <c r="O169" s="24">
        <v>25</v>
      </c>
      <c r="P169" s="24">
        <v>15</v>
      </c>
      <c r="Q169" s="24">
        <v>60</v>
      </c>
      <c r="R169" s="24">
        <v>200</v>
      </c>
      <c r="S169" s="24">
        <v>7</v>
      </c>
      <c r="T169" s="24">
        <v>2</v>
      </c>
      <c r="U169" s="24">
        <v>4</v>
      </c>
      <c r="V169" s="24">
        <v>0</v>
      </c>
    </row>
    <row r="170" spans="1:22" x14ac:dyDescent="0.25">
      <c r="A170" s="24" t="s">
        <v>293</v>
      </c>
      <c r="B170" s="24" t="s">
        <v>13</v>
      </c>
      <c r="C170" s="24">
        <v>10.7253808528185</v>
      </c>
      <c r="D170" s="24">
        <v>6.9129368057474503</v>
      </c>
      <c r="E170" s="25">
        <v>5.02192589920014E-2</v>
      </c>
      <c r="F170" s="24">
        <v>8</v>
      </c>
      <c r="G170" s="24">
        <v>5.07</v>
      </c>
      <c r="H170" s="24">
        <v>3</v>
      </c>
      <c r="I170" s="24">
        <v>3</v>
      </c>
      <c r="J170" s="24" t="str">
        <f>VLOOKUP(A170,編號對照表!$B$1:$C$133,2,FALSE)</f>
        <v>Fb1-23</v>
      </c>
      <c r="K170" s="24" t="s">
        <v>466</v>
      </c>
      <c r="L170" s="24" t="s">
        <v>683</v>
      </c>
      <c r="M170" s="24">
        <v>1.27</v>
      </c>
      <c r="N170" s="24">
        <v>15</v>
      </c>
      <c r="O170" s="24">
        <v>25</v>
      </c>
      <c r="P170" s="24">
        <v>15</v>
      </c>
      <c r="Q170" s="24">
        <v>60</v>
      </c>
      <c r="R170" s="24">
        <v>200</v>
      </c>
      <c r="S170" s="24">
        <v>3</v>
      </c>
      <c r="T170" s="24">
        <v>0</v>
      </c>
      <c r="U170" s="24">
        <v>3</v>
      </c>
      <c r="V170" s="24">
        <v>0</v>
      </c>
    </row>
    <row r="171" spans="1:22" x14ac:dyDescent="0.25">
      <c r="A171" s="24" t="s">
        <v>293</v>
      </c>
      <c r="B171" s="24" t="s">
        <v>15</v>
      </c>
      <c r="C171" s="24">
        <v>34.919974859803901</v>
      </c>
      <c r="D171" s="24">
        <v>1E-3</v>
      </c>
      <c r="E171" s="25">
        <v>5.02192589920014E-2</v>
      </c>
      <c r="F171" s="24">
        <v>8</v>
      </c>
      <c r="G171" s="24">
        <v>5.07</v>
      </c>
      <c r="H171" s="24">
        <v>7</v>
      </c>
      <c r="I171" s="24">
        <v>3</v>
      </c>
      <c r="J171" s="24" t="str">
        <f>VLOOKUP(A171,編號對照表!$B$1:$C$133,2,FALSE)</f>
        <v>Fb1-23</v>
      </c>
      <c r="K171" s="24" t="s">
        <v>466</v>
      </c>
      <c r="L171" s="24" t="s">
        <v>683</v>
      </c>
      <c r="M171" s="24">
        <v>1.27</v>
      </c>
      <c r="N171" s="24">
        <v>15</v>
      </c>
      <c r="O171" s="24">
        <v>25</v>
      </c>
      <c r="P171" s="24">
        <v>15</v>
      </c>
      <c r="Q171" s="24">
        <v>60</v>
      </c>
      <c r="R171" s="24">
        <v>200</v>
      </c>
      <c r="S171" s="24">
        <v>7</v>
      </c>
      <c r="T171" s="24">
        <v>0</v>
      </c>
      <c r="U171" s="24">
        <v>3</v>
      </c>
      <c r="V171" s="24">
        <v>0</v>
      </c>
    </row>
    <row r="172" spans="1:22" x14ac:dyDescent="0.25">
      <c r="A172" s="24" t="s">
        <v>293</v>
      </c>
      <c r="B172" s="24" t="s">
        <v>16</v>
      </c>
      <c r="C172" s="24">
        <v>13.323242310434599</v>
      </c>
      <c r="D172" s="24">
        <v>20.743664354085901</v>
      </c>
      <c r="E172" s="25">
        <v>8.2497711991891307E-2</v>
      </c>
      <c r="F172" s="24">
        <v>8</v>
      </c>
      <c r="G172" s="24">
        <v>5.07</v>
      </c>
      <c r="H172" s="24">
        <v>3</v>
      </c>
      <c r="I172" s="24">
        <v>5</v>
      </c>
      <c r="J172" s="24" t="str">
        <f>VLOOKUP(A172,編號對照表!$B$1:$C$133,2,FALSE)</f>
        <v>Fb1-23</v>
      </c>
      <c r="K172" s="24" t="s">
        <v>781</v>
      </c>
      <c r="L172" s="24" t="s">
        <v>683</v>
      </c>
      <c r="M172" s="24">
        <v>1.27</v>
      </c>
      <c r="N172" s="24">
        <v>15</v>
      </c>
      <c r="O172" s="24">
        <v>25</v>
      </c>
      <c r="P172" s="24">
        <v>15</v>
      </c>
      <c r="Q172" s="24">
        <v>60</v>
      </c>
      <c r="R172" s="24">
        <v>200</v>
      </c>
      <c r="S172" s="24">
        <v>3</v>
      </c>
      <c r="T172" s="24">
        <v>0</v>
      </c>
      <c r="U172" s="24">
        <v>5</v>
      </c>
      <c r="V172" s="24">
        <v>0</v>
      </c>
    </row>
    <row r="173" spans="1:22" x14ac:dyDescent="0.25">
      <c r="A173" s="24" t="s">
        <v>294</v>
      </c>
      <c r="B173" s="24" t="s">
        <v>13</v>
      </c>
      <c r="C173" s="24">
        <v>9.6979842055588996</v>
      </c>
      <c r="D173" s="24">
        <v>19.048323156312101</v>
      </c>
      <c r="E173" s="25">
        <v>0</v>
      </c>
      <c r="F173" s="24">
        <v>8</v>
      </c>
      <c r="G173" s="24">
        <v>5.07</v>
      </c>
      <c r="H173" s="24">
        <v>3</v>
      </c>
      <c r="I173" s="24">
        <v>4</v>
      </c>
      <c r="J173" s="24" t="str">
        <f>VLOOKUP(A173,編號對照表!$B$1:$C$133,2,FALSE)</f>
        <v>Fb1-24</v>
      </c>
      <c r="K173" s="24" t="s">
        <v>616</v>
      </c>
      <c r="L173" s="24" t="s">
        <v>683</v>
      </c>
      <c r="M173" s="24">
        <v>1.27</v>
      </c>
      <c r="N173" s="24">
        <v>15</v>
      </c>
      <c r="O173" s="24">
        <v>25</v>
      </c>
      <c r="P173" s="24">
        <v>15</v>
      </c>
      <c r="Q173" s="24">
        <v>60</v>
      </c>
      <c r="R173" s="24">
        <v>200</v>
      </c>
      <c r="S173" s="24">
        <v>3</v>
      </c>
      <c r="T173" s="24">
        <v>0</v>
      </c>
      <c r="U173" s="24">
        <v>4</v>
      </c>
      <c r="V173" s="24">
        <v>0</v>
      </c>
    </row>
    <row r="174" spans="1:22" x14ac:dyDescent="0.25">
      <c r="A174" s="24" t="s">
        <v>294</v>
      </c>
      <c r="B174" s="24" t="s">
        <v>15</v>
      </c>
      <c r="C174" s="24">
        <v>9.8221108783036506</v>
      </c>
      <c r="D174" s="24">
        <v>4.6616862528026104</v>
      </c>
      <c r="E174" s="25">
        <v>0</v>
      </c>
      <c r="F174" s="24">
        <v>8</v>
      </c>
      <c r="G174" s="24">
        <v>5.07</v>
      </c>
      <c r="H174" s="24">
        <v>3</v>
      </c>
      <c r="I174" s="24">
        <v>3</v>
      </c>
      <c r="J174" s="24" t="str">
        <f>VLOOKUP(A174,編號對照表!$B$1:$C$133,2,FALSE)</f>
        <v>Fb1-24</v>
      </c>
      <c r="K174" s="24" t="s">
        <v>616</v>
      </c>
      <c r="L174" s="24" t="s">
        <v>683</v>
      </c>
      <c r="M174" s="24">
        <v>1.27</v>
      </c>
      <c r="N174" s="24">
        <v>15</v>
      </c>
      <c r="O174" s="24">
        <v>25</v>
      </c>
      <c r="P174" s="24">
        <v>15</v>
      </c>
      <c r="Q174" s="24">
        <v>60</v>
      </c>
      <c r="R174" s="24">
        <v>200</v>
      </c>
      <c r="S174" s="24">
        <v>3</v>
      </c>
      <c r="T174" s="24">
        <v>0</v>
      </c>
      <c r="U174" s="24">
        <v>3</v>
      </c>
      <c r="V174" s="24">
        <v>0</v>
      </c>
    </row>
    <row r="175" spans="1:22" x14ac:dyDescent="0.25">
      <c r="A175" s="24" t="s">
        <v>294</v>
      </c>
      <c r="B175" s="24" t="s">
        <v>16</v>
      </c>
      <c r="C175" s="24">
        <v>1E-3</v>
      </c>
      <c r="D175" s="24">
        <v>9.3007361283525807</v>
      </c>
      <c r="E175" s="25">
        <v>0</v>
      </c>
      <c r="F175" s="24">
        <v>8</v>
      </c>
      <c r="G175" s="24">
        <v>5.07</v>
      </c>
      <c r="H175" s="24">
        <v>3</v>
      </c>
      <c r="I175" s="24">
        <v>3</v>
      </c>
      <c r="J175" s="24" t="str">
        <f>VLOOKUP(A175,編號對照表!$B$1:$C$133,2,FALSE)</f>
        <v>Fb1-24</v>
      </c>
      <c r="K175" s="24" t="s">
        <v>616</v>
      </c>
      <c r="L175" s="24" t="s">
        <v>683</v>
      </c>
      <c r="M175" s="24">
        <v>1.27</v>
      </c>
      <c r="N175" s="24">
        <v>15</v>
      </c>
      <c r="O175" s="24">
        <v>25</v>
      </c>
      <c r="P175" s="24">
        <v>15</v>
      </c>
      <c r="Q175" s="24">
        <v>60</v>
      </c>
      <c r="R175" s="24">
        <v>200</v>
      </c>
      <c r="S175" s="24">
        <v>3</v>
      </c>
      <c r="T175" s="24">
        <v>0</v>
      </c>
      <c r="U175" s="24">
        <v>3</v>
      </c>
      <c r="V175" s="24">
        <v>0</v>
      </c>
    </row>
    <row r="176" spans="1:22" x14ac:dyDescent="0.25">
      <c r="A176" s="24" t="s">
        <v>295</v>
      </c>
      <c r="B176" s="24" t="s">
        <v>13</v>
      </c>
      <c r="C176" s="24">
        <v>49.104145728051698</v>
      </c>
      <c r="D176" s="24">
        <v>4.60793700767681</v>
      </c>
      <c r="E176" s="25">
        <v>0.17891795141622399</v>
      </c>
      <c r="F176" s="24">
        <v>8</v>
      </c>
      <c r="G176" s="24">
        <v>5.07</v>
      </c>
      <c r="H176" s="24">
        <v>10</v>
      </c>
      <c r="I176" s="24">
        <v>3</v>
      </c>
      <c r="J176" s="24" t="str">
        <f>VLOOKUP(A176,編號對照表!$B$1:$C$133,2,FALSE)</f>
        <v>FG1-21</v>
      </c>
      <c r="K176" s="24" t="s">
        <v>449</v>
      </c>
      <c r="L176" s="24" t="s">
        <v>683</v>
      </c>
      <c r="M176" s="24">
        <v>1.27</v>
      </c>
      <c r="N176" s="24">
        <v>12</v>
      </c>
      <c r="O176" s="24">
        <v>25</v>
      </c>
      <c r="P176" s="24">
        <v>15</v>
      </c>
      <c r="Q176" s="24">
        <v>80</v>
      </c>
      <c r="R176" s="24">
        <v>200</v>
      </c>
      <c r="S176" s="24">
        <v>10</v>
      </c>
      <c r="T176" s="24">
        <v>0</v>
      </c>
      <c r="U176" s="24">
        <v>3</v>
      </c>
      <c r="V176" s="24">
        <v>0</v>
      </c>
    </row>
    <row r="177" spans="1:22" x14ac:dyDescent="0.25">
      <c r="A177" s="24" t="s">
        <v>295</v>
      </c>
      <c r="B177" s="24" t="s">
        <v>15</v>
      </c>
      <c r="C177" s="24">
        <v>119.126811623573</v>
      </c>
      <c r="D177" s="24">
        <v>1E-3</v>
      </c>
      <c r="E177" s="25">
        <v>0.25720109697431298</v>
      </c>
      <c r="F177" s="24">
        <v>8</v>
      </c>
      <c r="G177" s="24">
        <v>5.07</v>
      </c>
      <c r="H177" s="24">
        <v>24</v>
      </c>
      <c r="I177" s="24">
        <v>3</v>
      </c>
      <c r="J177" s="24" t="str">
        <f>VLOOKUP(A177,編號對照表!$B$1:$C$133,2,FALSE)</f>
        <v>FG1-21</v>
      </c>
      <c r="K177" s="24" t="s">
        <v>782</v>
      </c>
      <c r="L177" s="24" t="s">
        <v>874</v>
      </c>
      <c r="M177" s="24">
        <v>2.54</v>
      </c>
      <c r="N177" s="24">
        <v>18</v>
      </c>
      <c r="O177" s="24">
        <v>25</v>
      </c>
      <c r="P177" s="24">
        <v>15</v>
      </c>
      <c r="Q177" s="24">
        <v>80</v>
      </c>
      <c r="R177" s="24">
        <v>200</v>
      </c>
      <c r="S177" s="24">
        <v>10</v>
      </c>
      <c r="T177" s="24">
        <v>14</v>
      </c>
      <c r="U177" s="24">
        <v>3</v>
      </c>
      <c r="V177" s="24">
        <v>0</v>
      </c>
    </row>
    <row r="178" spans="1:22" x14ac:dyDescent="0.25">
      <c r="A178" s="24" t="s">
        <v>295</v>
      </c>
      <c r="B178" s="24" t="s">
        <v>16</v>
      </c>
      <c r="C178" s="24">
        <v>50.0105414539576</v>
      </c>
      <c r="D178" s="24">
        <v>109.15760882198801</v>
      </c>
      <c r="E178" s="25">
        <v>0.52590882405638695</v>
      </c>
      <c r="F178" s="24">
        <v>8</v>
      </c>
      <c r="G178" s="24">
        <v>5.07</v>
      </c>
      <c r="H178" s="24">
        <v>10</v>
      </c>
      <c r="I178" s="24">
        <v>22</v>
      </c>
      <c r="J178" s="24" t="str">
        <f>VLOOKUP(A178,編號對照表!$B$1:$C$133,2,FALSE)</f>
        <v>FG1-21</v>
      </c>
      <c r="K178" s="24" t="s">
        <v>449</v>
      </c>
      <c r="L178" s="24" t="s">
        <v>695</v>
      </c>
      <c r="M178" s="24">
        <v>3.98</v>
      </c>
      <c r="N178" s="24">
        <v>15</v>
      </c>
      <c r="O178" s="24">
        <v>25</v>
      </c>
      <c r="P178" s="24">
        <v>15</v>
      </c>
      <c r="Q178" s="24">
        <v>80</v>
      </c>
      <c r="R178" s="24">
        <v>200</v>
      </c>
      <c r="S178" s="24">
        <v>10</v>
      </c>
      <c r="T178" s="24">
        <v>0</v>
      </c>
      <c r="U178" s="24">
        <v>10</v>
      </c>
      <c r="V178" s="24">
        <v>12</v>
      </c>
    </row>
    <row r="179" spans="1:22" x14ac:dyDescent="0.25">
      <c r="A179" s="24" t="s">
        <v>296</v>
      </c>
      <c r="B179" s="24" t="s">
        <v>13</v>
      </c>
      <c r="C179" s="24">
        <v>1E-3</v>
      </c>
      <c r="D179" s="24">
        <v>87.471157312393203</v>
      </c>
      <c r="E179" s="25">
        <v>0.279907742515206</v>
      </c>
      <c r="F179" s="24">
        <v>8</v>
      </c>
      <c r="G179" s="24">
        <v>5.07</v>
      </c>
      <c r="H179" s="24">
        <v>3</v>
      </c>
      <c r="I179" s="24">
        <v>18</v>
      </c>
      <c r="J179" s="24" t="str">
        <f>VLOOKUP(A179,編號對照表!$B$1:$C$133,2,FALSE)</f>
        <v>FG1-22</v>
      </c>
      <c r="K179" s="24" t="s">
        <v>858</v>
      </c>
      <c r="L179" s="24" t="s">
        <v>694</v>
      </c>
      <c r="M179" s="24">
        <v>2.54</v>
      </c>
      <c r="N179" s="24">
        <v>15</v>
      </c>
      <c r="O179" s="24">
        <v>25</v>
      </c>
      <c r="P179" s="24">
        <v>15</v>
      </c>
      <c r="Q179" s="24">
        <v>80</v>
      </c>
      <c r="R179" s="24">
        <v>200</v>
      </c>
      <c r="S179" s="24">
        <v>3</v>
      </c>
      <c r="T179" s="24">
        <v>0</v>
      </c>
      <c r="U179" s="24">
        <v>10</v>
      </c>
      <c r="V179" s="24">
        <v>8</v>
      </c>
    </row>
    <row r="180" spans="1:22" x14ac:dyDescent="0.25">
      <c r="A180" s="24" t="s">
        <v>296</v>
      </c>
      <c r="B180" s="24" t="s">
        <v>15</v>
      </c>
      <c r="C180" s="24">
        <v>22.949420381337401</v>
      </c>
      <c r="D180" s="24">
        <v>10.5726125184447</v>
      </c>
      <c r="E180" s="25">
        <v>0.29105341527611001</v>
      </c>
      <c r="F180" s="24">
        <v>8</v>
      </c>
      <c r="G180" s="24">
        <v>5.07</v>
      </c>
      <c r="H180" s="24">
        <v>5</v>
      </c>
      <c r="I180" s="24">
        <v>3</v>
      </c>
      <c r="J180" s="24" t="str">
        <f>VLOOKUP(A180,編號對照表!$B$1:$C$133,2,FALSE)</f>
        <v>FG1-22</v>
      </c>
      <c r="K180" s="24" t="s">
        <v>617</v>
      </c>
      <c r="L180" s="24" t="s">
        <v>694</v>
      </c>
      <c r="M180" s="24">
        <v>2.54</v>
      </c>
      <c r="N180" s="24">
        <v>15</v>
      </c>
      <c r="O180" s="24">
        <v>25</v>
      </c>
      <c r="P180" s="24">
        <v>15</v>
      </c>
      <c r="Q180" s="24">
        <v>80</v>
      </c>
      <c r="R180" s="24">
        <v>200</v>
      </c>
      <c r="S180" s="24">
        <v>5</v>
      </c>
      <c r="T180" s="24">
        <v>0</v>
      </c>
      <c r="U180" s="24">
        <v>3</v>
      </c>
      <c r="V180" s="24">
        <v>0</v>
      </c>
    </row>
    <row r="181" spans="1:22" x14ac:dyDescent="0.25">
      <c r="A181" s="24" t="s">
        <v>296</v>
      </c>
      <c r="B181" s="24" t="s">
        <v>16</v>
      </c>
      <c r="C181" s="24">
        <v>1E-3</v>
      </c>
      <c r="D181" s="24">
        <v>43.284874409437201</v>
      </c>
      <c r="E181" s="25">
        <v>8.2453514914959697E-2</v>
      </c>
      <c r="F181" s="24">
        <v>8</v>
      </c>
      <c r="G181" s="24">
        <v>5.07</v>
      </c>
      <c r="H181" s="24">
        <v>3</v>
      </c>
      <c r="I181" s="24">
        <v>9</v>
      </c>
      <c r="J181" s="24" t="str">
        <f>VLOOKUP(A181,編號對照表!$B$1:$C$133,2,FALSE)</f>
        <v>FG1-22</v>
      </c>
      <c r="K181" s="24" t="s">
        <v>858</v>
      </c>
      <c r="L181" s="24" t="s">
        <v>683</v>
      </c>
      <c r="M181" s="24">
        <v>1.27</v>
      </c>
      <c r="N181" s="24">
        <v>12</v>
      </c>
      <c r="O181" s="24">
        <v>25</v>
      </c>
      <c r="P181" s="24">
        <v>15</v>
      </c>
      <c r="Q181" s="24">
        <v>80</v>
      </c>
      <c r="R181" s="24">
        <v>200</v>
      </c>
      <c r="S181" s="24">
        <v>3</v>
      </c>
      <c r="T181" s="24">
        <v>0</v>
      </c>
      <c r="U181" s="24">
        <v>9</v>
      </c>
      <c r="V181" s="24">
        <v>0</v>
      </c>
    </row>
    <row r="182" spans="1:22" x14ac:dyDescent="0.25">
      <c r="A182" s="24" t="s">
        <v>298</v>
      </c>
      <c r="B182" s="24" t="s">
        <v>13</v>
      </c>
      <c r="C182" s="24">
        <v>1E-3</v>
      </c>
      <c r="D182" s="24">
        <v>50.827912054956002</v>
      </c>
      <c r="E182" s="25">
        <v>0.230906554497778</v>
      </c>
      <c r="F182" s="24">
        <v>8</v>
      </c>
      <c r="G182" s="24">
        <v>5.07</v>
      </c>
      <c r="H182" s="24">
        <v>3</v>
      </c>
      <c r="I182" s="24">
        <v>11</v>
      </c>
      <c r="J182" s="24" t="str">
        <f>VLOOKUP(A182,編號對照表!$B$1:$C$133,2,FALSE)</f>
        <v>FG1-23</v>
      </c>
      <c r="K182" s="24" t="s">
        <v>582</v>
      </c>
      <c r="L182" s="24" t="s">
        <v>683</v>
      </c>
      <c r="M182" s="24">
        <v>1.27</v>
      </c>
      <c r="N182" s="24">
        <v>10</v>
      </c>
      <c r="O182" s="24">
        <v>25</v>
      </c>
      <c r="P182" s="24">
        <v>15</v>
      </c>
      <c r="Q182" s="24">
        <v>80</v>
      </c>
      <c r="R182" s="24">
        <v>200</v>
      </c>
      <c r="S182" s="24">
        <v>3</v>
      </c>
      <c r="T182" s="24">
        <v>0</v>
      </c>
      <c r="U182" s="24">
        <v>9</v>
      </c>
      <c r="V182" s="24">
        <v>2</v>
      </c>
    </row>
    <row r="183" spans="1:22" x14ac:dyDescent="0.25">
      <c r="A183" s="24" t="s">
        <v>298</v>
      </c>
      <c r="B183" s="24" t="s">
        <v>15</v>
      </c>
      <c r="C183" s="24">
        <v>51.651657558977597</v>
      </c>
      <c r="D183" s="24">
        <v>1E-3</v>
      </c>
      <c r="E183" s="25">
        <v>0.242400262504816</v>
      </c>
      <c r="F183" s="24">
        <v>8</v>
      </c>
      <c r="G183" s="24">
        <v>5.07</v>
      </c>
      <c r="H183" s="24">
        <v>11</v>
      </c>
      <c r="I183" s="24">
        <v>3</v>
      </c>
      <c r="J183" s="24" t="str">
        <f>VLOOKUP(A183,編號對照表!$B$1:$C$133,2,FALSE)</f>
        <v>FG1-23</v>
      </c>
      <c r="K183" s="24" t="s">
        <v>582</v>
      </c>
      <c r="L183" s="24" t="s">
        <v>683</v>
      </c>
      <c r="M183" s="24">
        <v>1.27</v>
      </c>
      <c r="N183" s="24">
        <v>10</v>
      </c>
      <c r="O183" s="24">
        <v>25</v>
      </c>
      <c r="P183" s="24">
        <v>15</v>
      </c>
      <c r="Q183" s="24">
        <v>80</v>
      </c>
      <c r="R183" s="24">
        <v>200</v>
      </c>
      <c r="S183" s="24">
        <v>9</v>
      </c>
      <c r="T183" s="24">
        <v>2</v>
      </c>
      <c r="U183" s="24">
        <v>3</v>
      </c>
      <c r="V183" s="24">
        <v>0</v>
      </c>
    </row>
    <row r="184" spans="1:22" x14ac:dyDescent="0.25">
      <c r="A184" s="24" t="s">
        <v>298</v>
      </c>
      <c r="B184" s="24" t="s">
        <v>16</v>
      </c>
      <c r="C184" s="24">
        <v>25.242688134312601</v>
      </c>
      <c r="D184" s="24">
        <v>39.4900655373931</v>
      </c>
      <c r="E184" s="25">
        <v>0.18028117483481801</v>
      </c>
      <c r="F184" s="24">
        <v>8</v>
      </c>
      <c r="G184" s="24">
        <v>5.07</v>
      </c>
      <c r="H184" s="24">
        <v>5</v>
      </c>
      <c r="I184" s="24">
        <v>8</v>
      </c>
      <c r="J184" s="24" t="str">
        <f>VLOOKUP(A184,編號對照表!$B$1:$C$133,2,FALSE)</f>
        <v>FG1-23</v>
      </c>
      <c r="K184" s="24" t="s">
        <v>783</v>
      </c>
      <c r="L184" s="24" t="s">
        <v>683</v>
      </c>
      <c r="M184" s="24">
        <v>1.27</v>
      </c>
      <c r="N184" s="24">
        <v>12</v>
      </c>
      <c r="O184" s="24">
        <v>25</v>
      </c>
      <c r="P184" s="24">
        <v>15</v>
      </c>
      <c r="Q184" s="24">
        <v>80</v>
      </c>
      <c r="R184" s="24">
        <v>200</v>
      </c>
      <c r="S184" s="24">
        <v>5</v>
      </c>
      <c r="T184" s="24">
        <v>0</v>
      </c>
      <c r="U184" s="24">
        <v>8</v>
      </c>
      <c r="V184" s="24">
        <v>0</v>
      </c>
    </row>
    <row r="185" spans="1:22" x14ac:dyDescent="0.25">
      <c r="A185" s="24" t="s">
        <v>299</v>
      </c>
      <c r="B185" s="24" t="s">
        <v>13</v>
      </c>
      <c r="C185" s="24">
        <v>1.2503174366429399</v>
      </c>
      <c r="D185" s="24">
        <v>40.169437415897796</v>
      </c>
      <c r="E185" s="25">
        <v>6.6959013929590597E-2</v>
      </c>
      <c r="F185" s="24">
        <v>8</v>
      </c>
      <c r="G185" s="24">
        <v>5.07</v>
      </c>
      <c r="H185" s="24">
        <v>3</v>
      </c>
      <c r="I185" s="24">
        <v>8</v>
      </c>
      <c r="J185" s="24" t="str">
        <f>VLOOKUP(A185,編號對照表!$B$1:$C$133,2,FALSE)</f>
        <v>FG1-24</v>
      </c>
      <c r="K185" s="24" t="s">
        <v>784</v>
      </c>
      <c r="L185" s="24" t="s">
        <v>683</v>
      </c>
      <c r="M185" s="24">
        <v>1.27</v>
      </c>
      <c r="N185" s="24">
        <v>12</v>
      </c>
      <c r="O185" s="24">
        <v>25</v>
      </c>
      <c r="P185" s="24">
        <v>15</v>
      </c>
      <c r="Q185" s="24">
        <v>80</v>
      </c>
      <c r="R185" s="24">
        <v>200</v>
      </c>
      <c r="S185" s="24">
        <v>3</v>
      </c>
      <c r="T185" s="24">
        <v>0</v>
      </c>
      <c r="U185" s="24">
        <v>8</v>
      </c>
      <c r="V185" s="24">
        <v>0</v>
      </c>
    </row>
    <row r="186" spans="1:22" x14ac:dyDescent="0.25">
      <c r="A186" s="24" t="s">
        <v>299</v>
      </c>
      <c r="B186" s="24" t="s">
        <v>15</v>
      </c>
      <c r="C186" s="24">
        <v>1E-3</v>
      </c>
      <c r="D186" s="24">
        <v>67.7523715421557</v>
      </c>
      <c r="E186" s="25">
        <v>0.21630139090120801</v>
      </c>
      <c r="F186" s="24">
        <v>8</v>
      </c>
      <c r="G186" s="24">
        <v>5.07</v>
      </c>
      <c r="H186" s="24">
        <v>3</v>
      </c>
      <c r="I186" s="24">
        <v>14</v>
      </c>
      <c r="J186" s="24" t="str">
        <f>VLOOKUP(A186,編號對照表!$B$1:$C$133,2,FALSE)</f>
        <v>FG1-24</v>
      </c>
      <c r="K186" s="24" t="s">
        <v>784</v>
      </c>
      <c r="L186" s="24" t="s">
        <v>683</v>
      </c>
      <c r="M186" s="24">
        <v>1.27</v>
      </c>
      <c r="N186" s="24">
        <v>10</v>
      </c>
      <c r="O186" s="24">
        <v>25</v>
      </c>
      <c r="P186" s="24">
        <v>15</v>
      </c>
      <c r="Q186" s="24">
        <v>80</v>
      </c>
      <c r="R186" s="24">
        <v>200</v>
      </c>
      <c r="S186" s="24">
        <v>3</v>
      </c>
      <c r="T186" s="24">
        <v>0</v>
      </c>
      <c r="U186" s="24">
        <v>10</v>
      </c>
      <c r="V186" s="24">
        <v>4</v>
      </c>
    </row>
    <row r="187" spans="1:22" x14ac:dyDescent="0.25">
      <c r="A187" s="24" t="s">
        <v>299</v>
      </c>
      <c r="B187" s="24" t="s">
        <v>16</v>
      </c>
      <c r="C187" s="24">
        <v>1E-3</v>
      </c>
      <c r="D187" s="24">
        <v>98.917679861187906</v>
      </c>
      <c r="E187" s="25">
        <v>0.208898866549134</v>
      </c>
      <c r="F187" s="24">
        <v>8</v>
      </c>
      <c r="G187" s="24">
        <v>5.07</v>
      </c>
      <c r="H187" s="24">
        <v>3</v>
      </c>
      <c r="I187" s="24">
        <v>20</v>
      </c>
      <c r="J187" s="24" t="str">
        <f>VLOOKUP(A187,編號對照表!$B$1:$C$133,2,FALSE)</f>
        <v>FG1-24</v>
      </c>
      <c r="K187" s="24" t="s">
        <v>784</v>
      </c>
      <c r="L187" s="24" t="s">
        <v>683</v>
      </c>
      <c r="M187" s="24">
        <v>1.27</v>
      </c>
      <c r="N187" s="24">
        <v>12</v>
      </c>
      <c r="O187" s="24">
        <v>25</v>
      </c>
      <c r="P187" s="24">
        <v>15</v>
      </c>
      <c r="Q187" s="24">
        <v>80</v>
      </c>
      <c r="R187" s="24">
        <v>200</v>
      </c>
      <c r="S187" s="24">
        <v>3</v>
      </c>
      <c r="T187" s="24">
        <v>0</v>
      </c>
      <c r="U187" s="24">
        <v>10</v>
      </c>
      <c r="V187" s="24">
        <v>10</v>
      </c>
    </row>
    <row r="188" spans="1:22" x14ac:dyDescent="0.25">
      <c r="A188" s="24" t="s">
        <v>91</v>
      </c>
      <c r="B188" s="24" t="s">
        <v>13</v>
      </c>
      <c r="C188" s="24">
        <v>38.055542390793597</v>
      </c>
      <c r="D188" s="24">
        <v>187.187995761633</v>
      </c>
      <c r="E188" s="25">
        <v>0.28546696994453702</v>
      </c>
      <c r="F188" s="24">
        <v>8</v>
      </c>
      <c r="G188" s="24">
        <v>5.07</v>
      </c>
      <c r="H188" s="24">
        <v>8</v>
      </c>
      <c r="I188" s="24">
        <v>37</v>
      </c>
      <c r="J188" s="24" t="str">
        <f>VLOOKUP(A188,編號對照表!$B$1:$C$133,2,FALSE)</f>
        <v>FG1-2'5</v>
      </c>
      <c r="K188" s="24" t="s">
        <v>618</v>
      </c>
      <c r="L188" s="24" t="s">
        <v>694</v>
      </c>
      <c r="M188" s="24">
        <v>2.54</v>
      </c>
      <c r="N188" s="24">
        <v>15</v>
      </c>
      <c r="O188" s="24">
        <v>25</v>
      </c>
      <c r="P188" s="24">
        <v>15</v>
      </c>
      <c r="Q188" s="24">
        <v>80</v>
      </c>
      <c r="R188" s="24">
        <v>200</v>
      </c>
      <c r="S188" s="24">
        <v>8</v>
      </c>
      <c r="T188" s="24">
        <v>0</v>
      </c>
      <c r="U188" s="24">
        <v>10</v>
      </c>
      <c r="V188" s="24">
        <v>27</v>
      </c>
    </row>
    <row r="189" spans="1:22" x14ac:dyDescent="0.25">
      <c r="A189" s="24" t="s">
        <v>91</v>
      </c>
      <c r="B189" s="24" t="s">
        <v>15</v>
      </c>
      <c r="C189" s="24">
        <v>123.969279229641</v>
      </c>
      <c r="D189" s="24">
        <v>1E-3</v>
      </c>
      <c r="E189" s="25">
        <v>6.6959013929590597E-2</v>
      </c>
      <c r="F189" s="24">
        <v>8</v>
      </c>
      <c r="G189" s="24">
        <v>5.07</v>
      </c>
      <c r="H189" s="24">
        <v>25</v>
      </c>
      <c r="I189" s="24">
        <v>3</v>
      </c>
      <c r="J189" s="24" t="str">
        <f>VLOOKUP(A189,編號對照表!$B$1:$C$133,2,FALSE)</f>
        <v>FG1-2'5</v>
      </c>
      <c r="K189" s="24" t="s">
        <v>618</v>
      </c>
      <c r="L189" s="24" t="s">
        <v>683</v>
      </c>
      <c r="M189" s="24">
        <v>1.27</v>
      </c>
      <c r="N189" s="24">
        <v>12</v>
      </c>
      <c r="O189" s="24">
        <v>25</v>
      </c>
      <c r="P189" s="24">
        <v>15</v>
      </c>
      <c r="Q189" s="24">
        <v>80</v>
      </c>
      <c r="R189" s="24">
        <v>200</v>
      </c>
      <c r="S189" s="24">
        <v>10</v>
      </c>
      <c r="T189" s="24">
        <v>15</v>
      </c>
      <c r="U189" s="24">
        <v>3</v>
      </c>
      <c r="V189" s="24">
        <v>0</v>
      </c>
    </row>
    <row r="190" spans="1:22" x14ac:dyDescent="0.25">
      <c r="A190" s="24" t="s">
        <v>91</v>
      </c>
      <c r="B190" s="24" t="s">
        <v>16</v>
      </c>
      <c r="C190" s="24">
        <v>119.430599734187</v>
      </c>
      <c r="D190" s="24">
        <v>11.289898538961999</v>
      </c>
      <c r="E190" s="25">
        <v>6.6959013929590597E-2</v>
      </c>
      <c r="F190" s="24">
        <v>8</v>
      </c>
      <c r="G190" s="24">
        <v>5.07</v>
      </c>
      <c r="H190" s="24">
        <v>24</v>
      </c>
      <c r="I190" s="24">
        <v>3</v>
      </c>
      <c r="J190" s="24" t="str">
        <f>VLOOKUP(A190,編號對照表!$B$1:$C$133,2,FALSE)</f>
        <v>FG1-2'5</v>
      </c>
      <c r="K190" s="24" t="s">
        <v>618</v>
      </c>
      <c r="L190" s="24" t="s">
        <v>683</v>
      </c>
      <c r="M190" s="24">
        <v>1.27</v>
      </c>
      <c r="N190" s="24">
        <v>12</v>
      </c>
      <c r="O190" s="24">
        <v>25</v>
      </c>
      <c r="P190" s="24">
        <v>15</v>
      </c>
      <c r="Q190" s="24">
        <v>80</v>
      </c>
      <c r="R190" s="24">
        <v>200</v>
      </c>
      <c r="S190" s="24">
        <v>10</v>
      </c>
      <c r="T190" s="24">
        <v>14</v>
      </c>
      <c r="U190" s="24">
        <v>3</v>
      </c>
      <c r="V190" s="24">
        <v>0</v>
      </c>
    </row>
    <row r="191" spans="1:22" x14ac:dyDescent="0.25">
      <c r="A191" s="24" t="s">
        <v>300</v>
      </c>
      <c r="B191" s="24" t="s">
        <v>13</v>
      </c>
      <c r="C191" s="24">
        <v>33.328458666801502</v>
      </c>
      <c r="D191" s="24">
        <v>4.3543404899537599</v>
      </c>
      <c r="E191" s="25">
        <v>0.151797325816005</v>
      </c>
      <c r="F191" s="24">
        <v>8</v>
      </c>
      <c r="G191" s="24">
        <v>5.07</v>
      </c>
      <c r="H191" s="24">
        <v>7</v>
      </c>
      <c r="I191" s="24">
        <v>3</v>
      </c>
      <c r="J191" s="24" t="str">
        <f>VLOOKUP(A191,編號對照表!$B$1:$C$133,2,FALSE)</f>
        <v>Fb1-11</v>
      </c>
      <c r="K191" s="24" t="s">
        <v>785</v>
      </c>
      <c r="L191" s="24" t="s">
        <v>683</v>
      </c>
      <c r="M191" s="24">
        <v>1.27</v>
      </c>
      <c r="N191" s="24">
        <v>15</v>
      </c>
      <c r="O191" s="24">
        <v>25</v>
      </c>
      <c r="P191" s="24">
        <v>15</v>
      </c>
      <c r="Q191" s="24">
        <v>60</v>
      </c>
      <c r="R191" s="24">
        <v>200</v>
      </c>
      <c r="S191" s="24">
        <v>7</v>
      </c>
      <c r="T191" s="24">
        <v>0</v>
      </c>
      <c r="U191" s="24">
        <v>3</v>
      </c>
      <c r="V191" s="24">
        <v>0</v>
      </c>
    </row>
    <row r="192" spans="1:22" x14ac:dyDescent="0.25">
      <c r="A192" s="24" t="s">
        <v>300</v>
      </c>
      <c r="B192" s="24" t="s">
        <v>15</v>
      </c>
      <c r="C192" s="24">
        <v>83.787282928824396</v>
      </c>
      <c r="D192" s="24">
        <v>1E-3</v>
      </c>
      <c r="E192" s="25">
        <v>0.10663352441042701</v>
      </c>
      <c r="F192" s="24">
        <v>8</v>
      </c>
      <c r="G192" s="24">
        <v>5.07</v>
      </c>
      <c r="H192" s="24">
        <v>17</v>
      </c>
      <c r="I192" s="24">
        <v>3</v>
      </c>
      <c r="J192" s="24" t="str">
        <f>VLOOKUP(A192,編號對照表!$B$1:$C$133,2,FALSE)</f>
        <v>Fb1-11</v>
      </c>
      <c r="K192" s="24" t="s">
        <v>785</v>
      </c>
      <c r="L192" s="24" t="s">
        <v>683</v>
      </c>
      <c r="M192" s="24">
        <v>1.27</v>
      </c>
      <c r="N192" s="24">
        <v>15</v>
      </c>
      <c r="O192" s="24">
        <v>25</v>
      </c>
      <c r="P192" s="24">
        <v>15</v>
      </c>
      <c r="Q192" s="24">
        <v>60</v>
      </c>
      <c r="R192" s="24">
        <v>200</v>
      </c>
      <c r="S192" s="24">
        <v>7</v>
      </c>
      <c r="T192" s="24">
        <v>10</v>
      </c>
      <c r="U192" s="24">
        <v>3</v>
      </c>
      <c r="V192" s="24">
        <v>0</v>
      </c>
    </row>
    <row r="193" spans="1:22" x14ac:dyDescent="0.25">
      <c r="A193" s="24" t="s">
        <v>300</v>
      </c>
      <c r="B193" s="24" t="s">
        <v>16</v>
      </c>
      <c r="C193" s="24">
        <v>42.531578801572302</v>
      </c>
      <c r="D193" s="24">
        <v>34.886721987277298</v>
      </c>
      <c r="E193" s="25">
        <v>0.15847854083403901</v>
      </c>
      <c r="F193" s="24">
        <v>8</v>
      </c>
      <c r="G193" s="24">
        <v>5.07</v>
      </c>
      <c r="H193" s="24">
        <v>9</v>
      </c>
      <c r="I193" s="24">
        <v>7</v>
      </c>
      <c r="J193" s="24" t="str">
        <f>VLOOKUP(A193,編號對照表!$B$1:$C$133,2,FALSE)</f>
        <v>Fb1-11</v>
      </c>
      <c r="K193" s="24" t="s">
        <v>666</v>
      </c>
      <c r="L193" s="24" t="s">
        <v>683</v>
      </c>
      <c r="M193" s="24">
        <v>1.27</v>
      </c>
      <c r="N193" s="24">
        <v>15</v>
      </c>
      <c r="O193" s="24">
        <v>25</v>
      </c>
      <c r="P193" s="24">
        <v>15</v>
      </c>
      <c r="Q193" s="24">
        <v>60</v>
      </c>
      <c r="R193" s="24">
        <v>200</v>
      </c>
      <c r="S193" s="24">
        <v>7</v>
      </c>
      <c r="T193" s="24">
        <v>2</v>
      </c>
      <c r="U193" s="24">
        <v>7</v>
      </c>
      <c r="V193" s="24">
        <v>0</v>
      </c>
    </row>
    <row r="194" spans="1:22" x14ac:dyDescent="0.25">
      <c r="A194" s="24" t="s">
        <v>92</v>
      </c>
      <c r="B194" s="24" t="s">
        <v>13</v>
      </c>
      <c r="C194" s="24">
        <v>1E-3</v>
      </c>
      <c r="D194" s="24">
        <v>36.433236673474298</v>
      </c>
      <c r="E194" s="25">
        <v>5.99926279392093E-2</v>
      </c>
      <c r="F194" s="24">
        <v>8</v>
      </c>
      <c r="G194" s="24">
        <v>5.07</v>
      </c>
      <c r="H194" s="24">
        <v>3</v>
      </c>
      <c r="I194" s="24">
        <v>8</v>
      </c>
      <c r="J194" s="24" t="str">
        <f>VLOOKUP(A194,編號對照表!$B$1:$C$133,2,FALSE)</f>
        <v>Fb1-12</v>
      </c>
      <c r="K194" s="24" t="s">
        <v>450</v>
      </c>
      <c r="L194" s="24" t="s">
        <v>683</v>
      </c>
      <c r="M194" s="24">
        <v>1.27</v>
      </c>
      <c r="N194" s="24">
        <v>15</v>
      </c>
      <c r="O194" s="24">
        <v>25</v>
      </c>
      <c r="P194" s="24">
        <v>15</v>
      </c>
      <c r="Q194" s="24">
        <v>60</v>
      </c>
      <c r="R194" s="24">
        <v>200</v>
      </c>
      <c r="S194" s="24">
        <v>3</v>
      </c>
      <c r="T194" s="24">
        <v>0</v>
      </c>
      <c r="U194" s="24">
        <v>6</v>
      </c>
      <c r="V194" s="24">
        <v>2</v>
      </c>
    </row>
    <row r="195" spans="1:22" x14ac:dyDescent="0.25">
      <c r="A195" s="24" t="s">
        <v>92</v>
      </c>
      <c r="B195" s="24" t="s">
        <v>15</v>
      </c>
      <c r="C195" s="24">
        <v>11.574964737519601</v>
      </c>
      <c r="D195" s="24">
        <v>0.55688578868284799</v>
      </c>
      <c r="E195" s="25">
        <v>5.02192589920014E-2</v>
      </c>
      <c r="F195" s="24">
        <v>8</v>
      </c>
      <c r="G195" s="24">
        <v>5.07</v>
      </c>
      <c r="H195" s="24">
        <v>3</v>
      </c>
      <c r="I195" s="24">
        <v>3</v>
      </c>
      <c r="J195" s="24" t="str">
        <f>VLOOKUP(A195,編號對照表!$B$1:$C$133,2,FALSE)</f>
        <v>Fb1-12</v>
      </c>
      <c r="K195" s="24" t="s">
        <v>450</v>
      </c>
      <c r="L195" s="24" t="s">
        <v>683</v>
      </c>
      <c r="M195" s="24">
        <v>1.27</v>
      </c>
      <c r="N195" s="24">
        <v>15</v>
      </c>
      <c r="O195" s="24">
        <v>25</v>
      </c>
      <c r="P195" s="24">
        <v>15</v>
      </c>
      <c r="Q195" s="24">
        <v>60</v>
      </c>
      <c r="R195" s="24">
        <v>200</v>
      </c>
      <c r="S195" s="24">
        <v>3</v>
      </c>
      <c r="T195" s="24">
        <v>0</v>
      </c>
      <c r="U195" s="24">
        <v>3</v>
      </c>
      <c r="V195" s="24">
        <v>0</v>
      </c>
    </row>
    <row r="196" spans="1:22" x14ac:dyDescent="0.25">
      <c r="A196" s="24" t="s">
        <v>92</v>
      </c>
      <c r="B196" s="24" t="s">
        <v>16</v>
      </c>
      <c r="C196" s="24">
        <v>0.23731994588160901</v>
      </c>
      <c r="D196" s="24">
        <v>26.1638103984296</v>
      </c>
      <c r="E196" s="25">
        <v>5.02192589920014E-2</v>
      </c>
      <c r="F196" s="24">
        <v>8</v>
      </c>
      <c r="G196" s="24">
        <v>5.07</v>
      </c>
      <c r="H196" s="24">
        <v>3</v>
      </c>
      <c r="I196" s="24">
        <v>6</v>
      </c>
      <c r="J196" s="24" t="str">
        <f>VLOOKUP(A196,編號對照表!$B$1:$C$133,2,FALSE)</f>
        <v>Fb1-12</v>
      </c>
      <c r="K196" s="24" t="s">
        <v>786</v>
      </c>
      <c r="L196" s="24" t="s">
        <v>683</v>
      </c>
      <c r="M196" s="24">
        <v>1.27</v>
      </c>
      <c r="N196" s="24">
        <v>15</v>
      </c>
      <c r="O196" s="24">
        <v>25</v>
      </c>
      <c r="P196" s="24">
        <v>15</v>
      </c>
      <c r="Q196" s="24">
        <v>60</v>
      </c>
      <c r="R196" s="24">
        <v>200</v>
      </c>
      <c r="S196" s="24">
        <v>3</v>
      </c>
      <c r="T196" s="24">
        <v>0</v>
      </c>
      <c r="U196" s="24">
        <v>6</v>
      </c>
      <c r="V196" s="24">
        <v>0</v>
      </c>
    </row>
    <row r="197" spans="1:22" x14ac:dyDescent="0.25">
      <c r="A197" s="24" t="s">
        <v>301</v>
      </c>
      <c r="B197" s="24" t="s">
        <v>13</v>
      </c>
      <c r="C197" s="24">
        <v>26.7551885917783</v>
      </c>
      <c r="D197" s="24">
        <v>111.293774098158</v>
      </c>
      <c r="E197" s="25">
        <v>0.49619195051491299</v>
      </c>
      <c r="F197" s="24">
        <v>8</v>
      </c>
      <c r="G197" s="24">
        <v>5.07</v>
      </c>
      <c r="H197" s="24">
        <v>6</v>
      </c>
      <c r="I197" s="24">
        <v>22</v>
      </c>
      <c r="J197" s="24" t="str">
        <f>VLOOKUP(A197,編號對照表!$B$1:$C$133,2,FALSE)</f>
        <v>FB1-C8</v>
      </c>
      <c r="K197" s="24" t="s">
        <v>787</v>
      </c>
      <c r="L197" s="24" t="s">
        <v>874</v>
      </c>
      <c r="M197" s="24">
        <v>2.54</v>
      </c>
      <c r="N197" s="24">
        <v>10</v>
      </c>
      <c r="O197" s="24">
        <v>25</v>
      </c>
      <c r="P197" s="24">
        <v>15</v>
      </c>
      <c r="Q197" s="24">
        <v>80</v>
      </c>
      <c r="R197" s="24">
        <v>200</v>
      </c>
      <c r="S197" s="24">
        <v>6</v>
      </c>
      <c r="T197" s="24">
        <v>0</v>
      </c>
      <c r="U197" s="24">
        <v>10</v>
      </c>
      <c r="V197" s="24">
        <v>12</v>
      </c>
    </row>
    <row r="198" spans="1:22" x14ac:dyDescent="0.25">
      <c r="A198" s="24" t="s">
        <v>301</v>
      </c>
      <c r="B198" s="24" t="s">
        <v>15</v>
      </c>
      <c r="C198" s="24">
        <v>151.70529484748801</v>
      </c>
      <c r="D198" s="24">
        <v>1E-3</v>
      </c>
      <c r="E198" s="25">
        <v>0.316640292294323</v>
      </c>
      <c r="F198" s="24">
        <v>8</v>
      </c>
      <c r="G198" s="24">
        <v>5.07</v>
      </c>
      <c r="H198" s="24">
        <v>30</v>
      </c>
      <c r="I198" s="24">
        <v>3</v>
      </c>
      <c r="J198" s="24" t="str">
        <f>VLOOKUP(A198,編號對照表!$B$1:$C$133,2,FALSE)</f>
        <v>FB1-C8</v>
      </c>
      <c r="K198" s="24" t="s">
        <v>787</v>
      </c>
      <c r="L198" s="24" t="s">
        <v>694</v>
      </c>
      <c r="M198" s="24">
        <v>2.54</v>
      </c>
      <c r="N198" s="24">
        <v>15</v>
      </c>
      <c r="O198" s="24">
        <v>25</v>
      </c>
      <c r="P198" s="24">
        <v>15</v>
      </c>
      <c r="Q198" s="24">
        <v>80</v>
      </c>
      <c r="R198" s="24">
        <v>200</v>
      </c>
      <c r="S198" s="24">
        <v>10</v>
      </c>
      <c r="T198" s="24">
        <v>20</v>
      </c>
      <c r="U198" s="24">
        <v>3</v>
      </c>
      <c r="V198" s="24">
        <v>0</v>
      </c>
    </row>
    <row r="199" spans="1:22" x14ac:dyDescent="0.25">
      <c r="A199" s="24" t="s">
        <v>301</v>
      </c>
      <c r="B199" s="24" t="s">
        <v>16</v>
      </c>
      <c r="C199" s="24">
        <v>75.608585029840498</v>
      </c>
      <c r="D199" s="24">
        <v>7.7882898040115798</v>
      </c>
      <c r="E199" s="25">
        <v>0.31783452723175298</v>
      </c>
      <c r="F199" s="24">
        <v>8</v>
      </c>
      <c r="G199" s="24">
        <v>5.07</v>
      </c>
      <c r="H199" s="24">
        <v>15</v>
      </c>
      <c r="I199" s="24">
        <v>3</v>
      </c>
      <c r="J199" s="24" t="str">
        <f>VLOOKUP(A199,編號對照表!$B$1:$C$133,2,FALSE)</f>
        <v>FB1-C8</v>
      </c>
      <c r="K199" s="24" t="s">
        <v>787</v>
      </c>
      <c r="L199" s="24" t="s">
        <v>694</v>
      </c>
      <c r="M199" s="24">
        <v>2.54</v>
      </c>
      <c r="N199" s="24">
        <v>15</v>
      </c>
      <c r="O199" s="24">
        <v>25</v>
      </c>
      <c r="P199" s="24">
        <v>15</v>
      </c>
      <c r="Q199" s="24">
        <v>80</v>
      </c>
      <c r="R199" s="24">
        <v>200</v>
      </c>
      <c r="S199" s="24">
        <v>10</v>
      </c>
      <c r="T199" s="24">
        <v>5</v>
      </c>
      <c r="U199" s="24">
        <v>3</v>
      </c>
      <c r="V199" s="24">
        <v>0</v>
      </c>
    </row>
    <row r="200" spans="1:22" x14ac:dyDescent="0.25">
      <c r="A200" s="24" t="s">
        <v>93</v>
      </c>
      <c r="B200" s="24" t="s">
        <v>13</v>
      </c>
      <c r="C200" s="24">
        <v>0.91843692644033603</v>
      </c>
      <c r="D200" s="24">
        <v>25.276804808527199</v>
      </c>
      <c r="E200" s="25">
        <v>5.02192589920014E-2</v>
      </c>
      <c r="F200" s="24">
        <v>8</v>
      </c>
      <c r="G200" s="24">
        <v>5.07</v>
      </c>
      <c r="H200" s="24">
        <v>3</v>
      </c>
      <c r="I200" s="24">
        <v>5</v>
      </c>
      <c r="J200" s="24" t="str">
        <f>VLOOKUP(A200,編號對照表!$B$1:$C$133,2,FALSE)</f>
        <v>Fb1-13</v>
      </c>
      <c r="K200" s="24" t="s">
        <v>583</v>
      </c>
      <c r="L200" s="24" t="s">
        <v>683</v>
      </c>
      <c r="M200" s="24">
        <v>1.27</v>
      </c>
      <c r="N200" s="24">
        <v>15</v>
      </c>
      <c r="O200" s="24">
        <v>25</v>
      </c>
      <c r="P200" s="24">
        <v>15</v>
      </c>
      <c r="Q200" s="24">
        <v>60</v>
      </c>
      <c r="R200" s="24">
        <v>200</v>
      </c>
      <c r="S200" s="24">
        <v>3</v>
      </c>
      <c r="T200" s="24">
        <v>0</v>
      </c>
      <c r="U200" s="24">
        <v>5</v>
      </c>
      <c r="V200" s="24">
        <v>0</v>
      </c>
    </row>
    <row r="201" spans="1:22" x14ac:dyDescent="0.25">
      <c r="A201" s="24" t="s">
        <v>93</v>
      </c>
      <c r="B201" s="24" t="s">
        <v>15</v>
      </c>
      <c r="C201" s="24">
        <v>24.776728823780999</v>
      </c>
      <c r="D201" s="24">
        <v>1E-3</v>
      </c>
      <c r="E201" s="25">
        <v>5.02192589920014E-2</v>
      </c>
      <c r="F201" s="24">
        <v>8</v>
      </c>
      <c r="G201" s="24">
        <v>5.07</v>
      </c>
      <c r="H201" s="24">
        <v>5</v>
      </c>
      <c r="I201" s="24">
        <v>3</v>
      </c>
      <c r="J201" s="24" t="str">
        <f>VLOOKUP(A201,編號對照表!$B$1:$C$133,2,FALSE)</f>
        <v>Fb1-13</v>
      </c>
      <c r="K201" s="24" t="s">
        <v>788</v>
      </c>
      <c r="L201" s="24" t="s">
        <v>683</v>
      </c>
      <c r="M201" s="24">
        <v>1.27</v>
      </c>
      <c r="N201" s="24">
        <v>15</v>
      </c>
      <c r="O201" s="24">
        <v>25</v>
      </c>
      <c r="P201" s="24">
        <v>15</v>
      </c>
      <c r="Q201" s="24">
        <v>60</v>
      </c>
      <c r="R201" s="24">
        <v>200</v>
      </c>
      <c r="S201" s="24">
        <v>5</v>
      </c>
      <c r="T201" s="24">
        <v>0</v>
      </c>
      <c r="U201" s="24">
        <v>3</v>
      </c>
      <c r="V201" s="24">
        <v>0</v>
      </c>
    </row>
    <row r="202" spans="1:22" x14ac:dyDescent="0.25">
      <c r="A202" s="24" t="s">
        <v>93</v>
      </c>
      <c r="B202" s="24" t="s">
        <v>16</v>
      </c>
      <c r="C202" s="24">
        <v>2.7022711583413201</v>
      </c>
      <c r="D202" s="24">
        <v>21.024302113801198</v>
      </c>
      <c r="E202" s="25">
        <v>5.2068429067730897E-2</v>
      </c>
      <c r="F202" s="24">
        <v>8</v>
      </c>
      <c r="G202" s="24">
        <v>5.07</v>
      </c>
      <c r="H202" s="24">
        <v>3</v>
      </c>
      <c r="I202" s="24">
        <v>5</v>
      </c>
      <c r="J202" s="24" t="str">
        <f>VLOOKUP(A202,編號對照表!$B$1:$C$133,2,FALSE)</f>
        <v>Fb1-13</v>
      </c>
      <c r="K202" s="24" t="s">
        <v>788</v>
      </c>
      <c r="L202" s="24" t="s">
        <v>683</v>
      </c>
      <c r="M202" s="24">
        <v>1.27</v>
      </c>
      <c r="N202" s="24">
        <v>15</v>
      </c>
      <c r="O202" s="24">
        <v>25</v>
      </c>
      <c r="P202" s="24">
        <v>15</v>
      </c>
      <c r="Q202" s="24">
        <v>60</v>
      </c>
      <c r="R202" s="24">
        <v>200</v>
      </c>
      <c r="S202" s="24">
        <v>3</v>
      </c>
      <c r="T202" s="24">
        <v>0</v>
      </c>
      <c r="U202" s="24">
        <v>5</v>
      </c>
      <c r="V202" s="24">
        <v>0</v>
      </c>
    </row>
    <row r="203" spans="1:22" x14ac:dyDescent="0.25">
      <c r="A203" s="24" t="s">
        <v>303</v>
      </c>
      <c r="B203" s="24" t="s">
        <v>13</v>
      </c>
      <c r="C203" s="24">
        <v>24.2478074505925</v>
      </c>
      <c r="D203" s="24">
        <v>114.851668477058</v>
      </c>
      <c r="E203" s="25">
        <v>0.488457316532731</v>
      </c>
      <c r="F203" s="24">
        <v>8</v>
      </c>
      <c r="G203" s="24">
        <v>5.07</v>
      </c>
      <c r="H203" s="24">
        <v>5</v>
      </c>
      <c r="I203" s="24">
        <v>23</v>
      </c>
      <c r="J203" s="24" t="str">
        <f>VLOOKUP(A203,編號對照表!$B$1:$C$133,2,FALSE)</f>
        <v>FB1-D8</v>
      </c>
      <c r="K203" s="24" t="s">
        <v>640</v>
      </c>
      <c r="L203" s="24" t="s">
        <v>874</v>
      </c>
      <c r="M203" s="24">
        <v>2.54</v>
      </c>
      <c r="N203" s="24">
        <v>10</v>
      </c>
      <c r="O203" s="24">
        <v>25</v>
      </c>
      <c r="P203" s="24">
        <v>15</v>
      </c>
      <c r="Q203" s="24">
        <v>80</v>
      </c>
      <c r="R203" s="24">
        <v>200</v>
      </c>
      <c r="S203" s="24">
        <v>5</v>
      </c>
      <c r="T203" s="24">
        <v>0</v>
      </c>
      <c r="U203" s="24">
        <v>10</v>
      </c>
      <c r="V203" s="24">
        <v>13</v>
      </c>
    </row>
    <row r="204" spans="1:22" x14ac:dyDescent="0.25">
      <c r="A204" s="24" t="s">
        <v>303</v>
      </c>
      <c r="B204" s="24" t="s">
        <v>15</v>
      </c>
      <c r="C204" s="24">
        <v>142.730036750436</v>
      </c>
      <c r="D204" s="24">
        <v>1E-3</v>
      </c>
      <c r="E204" s="25">
        <v>0.29412764124572299</v>
      </c>
      <c r="F204" s="24">
        <v>8</v>
      </c>
      <c r="G204" s="24">
        <v>5.07</v>
      </c>
      <c r="H204" s="24">
        <v>29</v>
      </c>
      <c r="I204" s="24">
        <v>3</v>
      </c>
      <c r="J204" s="24" t="str">
        <f>VLOOKUP(A204,編號對照表!$B$1:$C$133,2,FALSE)</f>
        <v>FB1-D8</v>
      </c>
      <c r="K204" s="24" t="s">
        <v>789</v>
      </c>
      <c r="L204" s="24" t="s">
        <v>694</v>
      </c>
      <c r="M204" s="24">
        <v>2.54</v>
      </c>
      <c r="N204" s="24">
        <v>15</v>
      </c>
      <c r="O204" s="24">
        <v>25</v>
      </c>
      <c r="P204" s="24">
        <v>15</v>
      </c>
      <c r="Q204" s="24">
        <v>80</v>
      </c>
      <c r="R204" s="24">
        <v>200</v>
      </c>
      <c r="S204" s="24">
        <v>10</v>
      </c>
      <c r="T204" s="24">
        <v>19</v>
      </c>
      <c r="U204" s="24">
        <v>3</v>
      </c>
      <c r="V204" s="24">
        <v>0</v>
      </c>
    </row>
    <row r="205" spans="1:22" x14ac:dyDescent="0.25">
      <c r="A205" s="24" t="s">
        <v>303</v>
      </c>
      <c r="B205" s="24" t="s">
        <v>16</v>
      </c>
      <c r="C205" s="24">
        <v>72.834575548768001</v>
      </c>
      <c r="D205" s="24">
        <v>5.0698756240308303</v>
      </c>
      <c r="E205" s="25">
        <v>0.29576069209724698</v>
      </c>
      <c r="F205" s="24">
        <v>8</v>
      </c>
      <c r="G205" s="24">
        <v>5.07</v>
      </c>
      <c r="H205" s="24">
        <v>15</v>
      </c>
      <c r="I205" s="24">
        <v>3</v>
      </c>
      <c r="J205" s="24" t="str">
        <f>VLOOKUP(A205,編號對照表!$B$1:$C$133,2,FALSE)</f>
        <v>FB1-D8</v>
      </c>
      <c r="K205" s="24" t="s">
        <v>789</v>
      </c>
      <c r="L205" s="24" t="s">
        <v>694</v>
      </c>
      <c r="M205" s="24">
        <v>2.54</v>
      </c>
      <c r="N205" s="24">
        <v>15</v>
      </c>
      <c r="O205" s="24">
        <v>25</v>
      </c>
      <c r="P205" s="24">
        <v>15</v>
      </c>
      <c r="Q205" s="24">
        <v>80</v>
      </c>
      <c r="R205" s="24">
        <v>200</v>
      </c>
      <c r="S205" s="24">
        <v>10</v>
      </c>
      <c r="T205" s="24">
        <v>5</v>
      </c>
      <c r="U205" s="24">
        <v>3</v>
      </c>
      <c r="V205" s="24">
        <v>0</v>
      </c>
    </row>
    <row r="206" spans="1:22" x14ac:dyDescent="0.25">
      <c r="A206" s="24" t="s">
        <v>94</v>
      </c>
      <c r="B206" s="24" t="s">
        <v>13</v>
      </c>
      <c r="C206" s="24">
        <v>1E-3</v>
      </c>
      <c r="D206" s="24">
        <v>22.640132810920498</v>
      </c>
      <c r="E206" s="25">
        <v>0</v>
      </c>
      <c r="F206" s="24">
        <v>8</v>
      </c>
      <c r="G206" s="24">
        <v>5.07</v>
      </c>
      <c r="H206" s="24">
        <v>3</v>
      </c>
      <c r="I206" s="24">
        <v>5</v>
      </c>
      <c r="J206" s="24" t="str">
        <f>VLOOKUP(A206,編號對照表!$B$1:$C$133,2,FALSE)</f>
        <v>Fb1-14</v>
      </c>
      <c r="K206" s="24" t="s">
        <v>667</v>
      </c>
      <c r="L206" s="24" t="s">
        <v>683</v>
      </c>
      <c r="M206" s="24">
        <v>1.27</v>
      </c>
      <c r="N206" s="24">
        <v>15</v>
      </c>
      <c r="O206" s="24">
        <v>25</v>
      </c>
      <c r="P206" s="24">
        <v>15</v>
      </c>
      <c r="Q206" s="24">
        <v>60</v>
      </c>
      <c r="R206" s="24">
        <v>200</v>
      </c>
      <c r="S206" s="24">
        <v>3</v>
      </c>
      <c r="T206" s="24">
        <v>0</v>
      </c>
      <c r="U206" s="24">
        <v>5</v>
      </c>
      <c r="V206" s="24">
        <v>0</v>
      </c>
    </row>
    <row r="207" spans="1:22" x14ac:dyDescent="0.25">
      <c r="A207" s="24" t="s">
        <v>94</v>
      </c>
      <c r="B207" s="24" t="s">
        <v>15</v>
      </c>
      <c r="C207" s="24">
        <v>1E-3</v>
      </c>
      <c r="D207" s="24">
        <v>15.988240484148299</v>
      </c>
      <c r="E207" s="25">
        <v>5.02192589920014E-2</v>
      </c>
      <c r="F207" s="24">
        <v>8</v>
      </c>
      <c r="G207" s="24">
        <v>5.07</v>
      </c>
      <c r="H207" s="24">
        <v>3</v>
      </c>
      <c r="I207" s="24">
        <v>4</v>
      </c>
      <c r="J207" s="24" t="str">
        <f>VLOOKUP(A207,編號對照表!$B$1:$C$133,2,FALSE)</f>
        <v>Fb1-14</v>
      </c>
      <c r="K207" s="24" t="s">
        <v>790</v>
      </c>
      <c r="L207" s="24" t="s">
        <v>683</v>
      </c>
      <c r="M207" s="24">
        <v>1.27</v>
      </c>
      <c r="N207" s="24">
        <v>15</v>
      </c>
      <c r="O207" s="24">
        <v>25</v>
      </c>
      <c r="P207" s="24">
        <v>15</v>
      </c>
      <c r="Q207" s="24">
        <v>60</v>
      </c>
      <c r="R207" s="24">
        <v>200</v>
      </c>
      <c r="S207" s="24">
        <v>3</v>
      </c>
      <c r="T207" s="24">
        <v>0</v>
      </c>
      <c r="U207" s="24">
        <v>4</v>
      </c>
      <c r="V207" s="24">
        <v>0</v>
      </c>
    </row>
    <row r="208" spans="1:22" x14ac:dyDescent="0.25">
      <c r="A208" s="24" t="s">
        <v>94</v>
      </c>
      <c r="B208" s="24" t="s">
        <v>16</v>
      </c>
      <c r="C208" s="24">
        <v>1E-3</v>
      </c>
      <c r="D208" s="24">
        <v>24.957195855677099</v>
      </c>
      <c r="E208" s="25">
        <v>5.02192589920014E-2</v>
      </c>
      <c r="F208" s="24">
        <v>8</v>
      </c>
      <c r="G208" s="24">
        <v>5.07</v>
      </c>
      <c r="H208" s="24">
        <v>3</v>
      </c>
      <c r="I208" s="24">
        <v>5</v>
      </c>
      <c r="J208" s="24" t="str">
        <f>VLOOKUP(A208,編號對照表!$B$1:$C$133,2,FALSE)</f>
        <v>Fb1-14</v>
      </c>
      <c r="K208" s="24" t="s">
        <v>667</v>
      </c>
      <c r="L208" s="24" t="s">
        <v>683</v>
      </c>
      <c r="M208" s="24">
        <v>1.27</v>
      </c>
      <c r="N208" s="24">
        <v>15</v>
      </c>
      <c r="O208" s="24">
        <v>25</v>
      </c>
      <c r="P208" s="24">
        <v>15</v>
      </c>
      <c r="Q208" s="24">
        <v>60</v>
      </c>
      <c r="R208" s="24">
        <v>200</v>
      </c>
      <c r="S208" s="24">
        <v>3</v>
      </c>
      <c r="T208" s="24">
        <v>0</v>
      </c>
      <c r="U208" s="24">
        <v>5</v>
      </c>
      <c r="V208" s="24">
        <v>0</v>
      </c>
    </row>
    <row r="209" spans="1:22" x14ac:dyDescent="0.25">
      <c r="A209" s="24" t="s">
        <v>77</v>
      </c>
      <c r="B209" s="24" t="s">
        <v>13</v>
      </c>
      <c r="C209" s="24">
        <v>54.586189799010803</v>
      </c>
      <c r="D209" s="24">
        <v>25.487234815955201</v>
      </c>
      <c r="E209" s="25">
        <v>5.02192589920014E-2</v>
      </c>
      <c r="F209" s="24">
        <v>8</v>
      </c>
      <c r="G209" s="24">
        <v>5.07</v>
      </c>
      <c r="H209" s="24">
        <v>11</v>
      </c>
      <c r="I209" s="24">
        <v>6</v>
      </c>
      <c r="J209" s="24" t="str">
        <f>VLOOKUP(A209,編號對照表!$B$1:$C$133,2,FALSE)</f>
        <v>Fb1-56</v>
      </c>
      <c r="K209" s="24" t="s">
        <v>619</v>
      </c>
      <c r="L209" s="24" t="s">
        <v>683</v>
      </c>
      <c r="M209" s="24">
        <v>1.27</v>
      </c>
      <c r="N209" s="24">
        <v>15</v>
      </c>
      <c r="O209" s="24">
        <v>25</v>
      </c>
      <c r="P209" s="24">
        <v>15</v>
      </c>
      <c r="Q209" s="24">
        <v>60</v>
      </c>
      <c r="R209" s="24">
        <v>200</v>
      </c>
      <c r="S209" s="24">
        <v>7</v>
      </c>
      <c r="T209" s="24">
        <v>4</v>
      </c>
      <c r="U209" s="24">
        <v>6</v>
      </c>
      <c r="V209" s="24">
        <v>0</v>
      </c>
    </row>
    <row r="210" spans="1:22" x14ac:dyDescent="0.25">
      <c r="A210" s="24" t="s">
        <v>77</v>
      </c>
      <c r="B210" s="24" t="s">
        <v>15</v>
      </c>
      <c r="C210" s="24">
        <v>94.780996441841097</v>
      </c>
      <c r="D210" s="24">
        <v>1E-3</v>
      </c>
      <c r="E210" s="25">
        <v>5.02192589920014E-2</v>
      </c>
      <c r="F210" s="24">
        <v>8</v>
      </c>
      <c r="G210" s="24">
        <v>5.07</v>
      </c>
      <c r="H210" s="24">
        <v>19</v>
      </c>
      <c r="I210" s="24">
        <v>3</v>
      </c>
      <c r="J210" s="24" t="str">
        <f>VLOOKUP(A210,編號對照表!$B$1:$C$133,2,FALSE)</f>
        <v>Fb1-56</v>
      </c>
      <c r="K210" s="24" t="s">
        <v>791</v>
      </c>
      <c r="L210" s="24" t="s">
        <v>683</v>
      </c>
      <c r="M210" s="24">
        <v>1.27</v>
      </c>
      <c r="N210" s="24">
        <v>15</v>
      </c>
      <c r="O210" s="24">
        <v>25</v>
      </c>
      <c r="P210" s="24">
        <v>15</v>
      </c>
      <c r="Q210" s="24">
        <v>60</v>
      </c>
      <c r="R210" s="24">
        <v>200</v>
      </c>
      <c r="S210" s="24">
        <v>7</v>
      </c>
      <c r="T210" s="24">
        <v>12</v>
      </c>
      <c r="U210" s="24">
        <v>3</v>
      </c>
      <c r="V210" s="24">
        <v>0</v>
      </c>
    </row>
    <row r="211" spans="1:22" x14ac:dyDescent="0.25">
      <c r="A211" s="24" t="s">
        <v>77</v>
      </c>
      <c r="B211" s="24" t="s">
        <v>16</v>
      </c>
      <c r="C211" s="24">
        <v>88.806282728910404</v>
      </c>
      <c r="D211" s="24">
        <v>1E-3</v>
      </c>
      <c r="E211" s="25">
        <v>5.02192589920014E-2</v>
      </c>
      <c r="F211" s="24">
        <v>8</v>
      </c>
      <c r="G211" s="24">
        <v>5.07</v>
      </c>
      <c r="H211" s="24">
        <v>18</v>
      </c>
      <c r="I211" s="24">
        <v>3</v>
      </c>
      <c r="J211" s="24" t="str">
        <f>VLOOKUP(A211,編號對照表!$B$1:$C$133,2,FALSE)</f>
        <v>Fb1-56</v>
      </c>
      <c r="K211" s="24" t="s">
        <v>619</v>
      </c>
      <c r="L211" s="24" t="s">
        <v>683</v>
      </c>
      <c r="M211" s="24">
        <v>1.27</v>
      </c>
      <c r="N211" s="24">
        <v>15</v>
      </c>
      <c r="O211" s="24">
        <v>25</v>
      </c>
      <c r="P211" s="24">
        <v>15</v>
      </c>
      <c r="Q211" s="24">
        <v>60</v>
      </c>
      <c r="R211" s="24">
        <v>200</v>
      </c>
      <c r="S211" s="24">
        <v>7</v>
      </c>
      <c r="T211" s="24">
        <v>11</v>
      </c>
      <c r="U211" s="24">
        <v>3</v>
      </c>
      <c r="V211" s="24">
        <v>0</v>
      </c>
    </row>
    <row r="212" spans="1:22" x14ac:dyDescent="0.25">
      <c r="A212" s="24" t="s">
        <v>304</v>
      </c>
      <c r="B212" s="24" t="s">
        <v>13</v>
      </c>
      <c r="C212" s="24">
        <v>122.63262644410101</v>
      </c>
      <c r="D212" s="24">
        <v>135.24729758501101</v>
      </c>
      <c r="E212" s="25">
        <v>0.18657246837392399</v>
      </c>
      <c r="F212" s="24">
        <v>8</v>
      </c>
      <c r="G212" s="24">
        <v>5.07</v>
      </c>
      <c r="H212" s="24">
        <v>25</v>
      </c>
      <c r="I212" s="24">
        <v>27</v>
      </c>
      <c r="J212" s="24" t="str">
        <f>VLOOKUP(A212,編號對照表!$B$1:$C$133,2,FALSE)</f>
        <v>FG2-73</v>
      </c>
      <c r="K212" s="24" t="s">
        <v>620</v>
      </c>
      <c r="L212" s="24" t="s">
        <v>694</v>
      </c>
      <c r="M212" s="24">
        <v>2.54</v>
      </c>
      <c r="N212" s="24">
        <v>15</v>
      </c>
      <c r="O212" s="24">
        <v>25</v>
      </c>
      <c r="P212" s="24">
        <v>15</v>
      </c>
      <c r="Q212" s="24">
        <v>120</v>
      </c>
      <c r="R212" s="24">
        <v>280</v>
      </c>
      <c r="S212" s="24">
        <v>16</v>
      </c>
      <c r="T212" s="24">
        <v>9</v>
      </c>
      <c r="U212" s="24">
        <v>16</v>
      </c>
      <c r="V212" s="24">
        <v>11</v>
      </c>
    </row>
    <row r="213" spans="1:22" x14ac:dyDescent="0.25">
      <c r="A213" s="24" t="s">
        <v>304</v>
      </c>
      <c r="B213" s="24" t="s">
        <v>15</v>
      </c>
      <c r="C213" s="24">
        <v>132.74627737700899</v>
      </c>
      <c r="D213" s="24">
        <v>16.8413645587862</v>
      </c>
      <c r="E213" s="25">
        <v>0.100438517984003</v>
      </c>
      <c r="F213" s="24">
        <v>8</v>
      </c>
      <c r="G213" s="24">
        <v>5.07</v>
      </c>
      <c r="H213" s="24">
        <v>27</v>
      </c>
      <c r="I213" s="24">
        <v>4</v>
      </c>
      <c r="J213" s="24" t="str">
        <f>VLOOKUP(A213,編號對照表!$B$1:$C$133,2,FALSE)</f>
        <v>FG2-73</v>
      </c>
      <c r="K213" s="24" t="s">
        <v>792</v>
      </c>
      <c r="L213" s="24" t="s">
        <v>874</v>
      </c>
      <c r="M213" s="24">
        <v>2.54</v>
      </c>
      <c r="N213" s="24">
        <v>15</v>
      </c>
      <c r="O213" s="24">
        <v>25</v>
      </c>
      <c r="P213" s="24">
        <v>15</v>
      </c>
      <c r="Q213" s="24">
        <v>120</v>
      </c>
      <c r="R213" s="24">
        <v>280</v>
      </c>
      <c r="S213" s="24">
        <v>16</v>
      </c>
      <c r="T213" s="24">
        <v>11</v>
      </c>
      <c r="U213" s="24">
        <v>4</v>
      </c>
      <c r="V213" s="24">
        <v>0</v>
      </c>
    </row>
    <row r="214" spans="1:22" x14ac:dyDescent="0.25">
      <c r="A214" s="24" t="s">
        <v>304</v>
      </c>
      <c r="B214" s="24" t="s">
        <v>16</v>
      </c>
      <c r="C214" s="24">
        <v>105.40403425693501</v>
      </c>
      <c r="D214" s="24">
        <v>40.663736872374997</v>
      </c>
      <c r="E214" s="25">
        <v>0</v>
      </c>
      <c r="F214" s="24">
        <v>8</v>
      </c>
      <c r="G214" s="24">
        <v>5.07</v>
      </c>
      <c r="H214" s="24">
        <v>21</v>
      </c>
      <c r="I214" s="24">
        <v>9</v>
      </c>
      <c r="J214" s="24" t="str">
        <f>VLOOKUP(A214,編號對照表!$B$1:$C$133,2,FALSE)</f>
        <v>FG2-73</v>
      </c>
      <c r="K214" s="24" t="s">
        <v>792</v>
      </c>
      <c r="L214" s="24" t="s">
        <v>874</v>
      </c>
      <c r="M214" s="24">
        <v>2.54</v>
      </c>
      <c r="N214" s="24">
        <v>15</v>
      </c>
      <c r="O214" s="24">
        <v>25</v>
      </c>
      <c r="P214" s="24">
        <v>15</v>
      </c>
      <c r="Q214" s="24">
        <v>120</v>
      </c>
      <c r="R214" s="24">
        <v>280</v>
      </c>
      <c r="S214" s="24">
        <v>16</v>
      </c>
      <c r="T214" s="24">
        <v>5</v>
      </c>
      <c r="U214" s="24">
        <v>9</v>
      </c>
      <c r="V214" s="24">
        <v>0</v>
      </c>
    </row>
    <row r="215" spans="1:22" x14ac:dyDescent="0.25">
      <c r="A215" s="24" t="s">
        <v>305</v>
      </c>
      <c r="B215" s="24" t="s">
        <v>13</v>
      </c>
      <c r="C215" s="24">
        <v>99.597098305821405</v>
      </c>
      <c r="D215" s="24">
        <v>42.980122379958601</v>
      </c>
      <c r="E215" s="25">
        <v>0</v>
      </c>
      <c r="F215" s="24">
        <v>8</v>
      </c>
      <c r="G215" s="24">
        <v>5.07</v>
      </c>
      <c r="H215" s="24">
        <v>20</v>
      </c>
      <c r="I215" s="24">
        <v>9</v>
      </c>
      <c r="J215" s="24" t="str">
        <f>VLOOKUP(A215,編號對照表!$B$1:$C$133,2,FALSE)</f>
        <v>FG2-74</v>
      </c>
      <c r="K215" s="24" t="s">
        <v>687</v>
      </c>
      <c r="L215" s="24" t="s">
        <v>874</v>
      </c>
      <c r="M215" s="24">
        <v>2.54</v>
      </c>
      <c r="N215" s="24">
        <v>15</v>
      </c>
      <c r="O215" s="24">
        <v>25</v>
      </c>
      <c r="P215" s="24">
        <v>15</v>
      </c>
      <c r="Q215" s="24">
        <v>120</v>
      </c>
      <c r="R215" s="24">
        <v>280</v>
      </c>
      <c r="S215" s="24">
        <v>16</v>
      </c>
      <c r="T215" s="24">
        <v>4</v>
      </c>
      <c r="U215" s="24">
        <v>9</v>
      </c>
      <c r="V215" s="24">
        <v>0</v>
      </c>
    </row>
    <row r="216" spans="1:22" x14ac:dyDescent="0.25">
      <c r="A216" s="24" t="s">
        <v>305</v>
      </c>
      <c r="B216" s="24" t="s">
        <v>15</v>
      </c>
      <c r="C216" s="24">
        <v>125.24696066975601</v>
      </c>
      <c r="D216" s="24">
        <v>71.405484341085</v>
      </c>
      <c r="E216" s="25">
        <v>0.100438517984003</v>
      </c>
      <c r="F216" s="24">
        <v>8</v>
      </c>
      <c r="G216" s="24">
        <v>5.07</v>
      </c>
      <c r="H216" s="24">
        <v>25</v>
      </c>
      <c r="I216" s="24">
        <v>15</v>
      </c>
      <c r="J216" s="24" t="str">
        <f>VLOOKUP(A216,編號對照表!$B$1:$C$133,2,FALSE)</f>
        <v>FG2-74</v>
      </c>
      <c r="K216" s="24" t="s">
        <v>687</v>
      </c>
      <c r="L216" s="24" t="s">
        <v>874</v>
      </c>
      <c r="M216" s="24">
        <v>2.54</v>
      </c>
      <c r="N216" s="24">
        <v>15</v>
      </c>
      <c r="O216" s="24">
        <v>25</v>
      </c>
      <c r="P216" s="24">
        <v>15</v>
      </c>
      <c r="Q216" s="24">
        <v>120</v>
      </c>
      <c r="R216" s="24">
        <v>280</v>
      </c>
      <c r="S216" s="24">
        <v>16</v>
      </c>
      <c r="T216" s="24">
        <v>9</v>
      </c>
      <c r="U216" s="24">
        <v>15</v>
      </c>
      <c r="V216" s="24">
        <v>0</v>
      </c>
    </row>
    <row r="217" spans="1:22" x14ac:dyDescent="0.25">
      <c r="A217" s="24" t="s">
        <v>305</v>
      </c>
      <c r="B217" s="24" t="s">
        <v>16</v>
      </c>
      <c r="C217" s="24">
        <v>77.506797388196006</v>
      </c>
      <c r="D217" s="24">
        <v>181.543920189142</v>
      </c>
      <c r="E217" s="25">
        <v>0.100438517984003</v>
      </c>
      <c r="F217" s="24">
        <v>8</v>
      </c>
      <c r="G217" s="24">
        <v>5.07</v>
      </c>
      <c r="H217" s="24">
        <v>16</v>
      </c>
      <c r="I217" s="24">
        <v>36</v>
      </c>
      <c r="J217" s="24" t="str">
        <f>VLOOKUP(A217,編號對照表!$B$1:$C$133,2,FALSE)</f>
        <v>FG2-74</v>
      </c>
      <c r="K217" s="24" t="s">
        <v>687</v>
      </c>
      <c r="L217" s="24" t="s">
        <v>874</v>
      </c>
      <c r="M217" s="24">
        <v>2.54</v>
      </c>
      <c r="N217" s="24">
        <v>15</v>
      </c>
      <c r="O217" s="24">
        <v>25</v>
      </c>
      <c r="P217" s="24">
        <v>15</v>
      </c>
      <c r="Q217" s="24">
        <v>120</v>
      </c>
      <c r="R217" s="24">
        <v>280</v>
      </c>
      <c r="S217" s="24">
        <v>16</v>
      </c>
      <c r="T217" s="24">
        <v>0</v>
      </c>
      <c r="U217" s="24">
        <v>16</v>
      </c>
      <c r="V217" s="24">
        <v>20</v>
      </c>
    </row>
    <row r="218" spans="1:22" x14ac:dyDescent="0.25">
      <c r="A218" s="24" t="s">
        <v>306</v>
      </c>
      <c r="B218" s="24" t="s">
        <v>13</v>
      </c>
      <c r="C218" s="24">
        <v>14.3346725963056</v>
      </c>
      <c r="D218" s="24">
        <v>59.4167038798332</v>
      </c>
      <c r="E218" s="25">
        <v>0</v>
      </c>
      <c r="F218" s="24">
        <v>8</v>
      </c>
      <c r="G218" s="24">
        <v>5.07</v>
      </c>
      <c r="H218" s="24">
        <v>3</v>
      </c>
      <c r="I218" s="24">
        <v>12</v>
      </c>
      <c r="J218" s="24" t="str">
        <f>VLOOKUP(A218,編號對照表!$B$1:$C$133,2,FALSE)</f>
        <v>FB2-D4</v>
      </c>
      <c r="K218" s="24" t="s">
        <v>859</v>
      </c>
      <c r="L218" s="24" t="s">
        <v>874</v>
      </c>
      <c r="M218" s="24">
        <v>2.54</v>
      </c>
      <c r="N218" s="24">
        <v>15</v>
      </c>
      <c r="O218" s="24">
        <v>25</v>
      </c>
      <c r="P218" s="24">
        <v>15</v>
      </c>
      <c r="Q218" s="24">
        <v>120</v>
      </c>
      <c r="R218" s="24">
        <v>280</v>
      </c>
      <c r="S218" s="24">
        <v>3</v>
      </c>
      <c r="T218" s="24">
        <v>0</v>
      </c>
      <c r="U218" s="24">
        <v>12</v>
      </c>
      <c r="V218" s="24">
        <v>0</v>
      </c>
    </row>
    <row r="219" spans="1:22" x14ac:dyDescent="0.25">
      <c r="A219" s="24" t="s">
        <v>306</v>
      </c>
      <c r="B219" s="24" t="s">
        <v>15</v>
      </c>
      <c r="C219" s="24">
        <v>61.072125099599397</v>
      </c>
      <c r="D219" s="24">
        <v>17.176619730889801</v>
      </c>
      <c r="E219" s="25">
        <v>0.100438517984003</v>
      </c>
      <c r="F219" s="24">
        <v>8</v>
      </c>
      <c r="G219" s="24">
        <v>5.07</v>
      </c>
      <c r="H219" s="24">
        <v>13</v>
      </c>
      <c r="I219" s="24">
        <v>4</v>
      </c>
      <c r="J219" s="24" t="str">
        <f>VLOOKUP(A219,編號對照表!$B$1:$C$133,2,FALSE)</f>
        <v>FB2-D4</v>
      </c>
      <c r="K219" s="24" t="s">
        <v>859</v>
      </c>
      <c r="L219" s="24" t="s">
        <v>694</v>
      </c>
      <c r="M219" s="24">
        <v>2.54</v>
      </c>
      <c r="N219" s="24">
        <v>15</v>
      </c>
      <c r="O219" s="24">
        <v>25</v>
      </c>
      <c r="P219" s="24">
        <v>15</v>
      </c>
      <c r="Q219" s="24">
        <v>120</v>
      </c>
      <c r="R219" s="24">
        <v>280</v>
      </c>
      <c r="S219" s="24">
        <v>13</v>
      </c>
      <c r="T219" s="24">
        <v>0</v>
      </c>
      <c r="U219" s="24">
        <v>4</v>
      </c>
      <c r="V219" s="24">
        <v>0</v>
      </c>
    </row>
    <row r="220" spans="1:22" x14ac:dyDescent="0.25">
      <c r="A220" s="24" t="s">
        <v>306</v>
      </c>
      <c r="B220" s="24" t="s">
        <v>16</v>
      </c>
      <c r="C220" s="24">
        <v>54.686423391103702</v>
      </c>
      <c r="D220" s="24">
        <v>63.911965116858497</v>
      </c>
      <c r="E220" s="25">
        <v>0.100438517984003</v>
      </c>
      <c r="F220" s="24">
        <v>8</v>
      </c>
      <c r="G220" s="24">
        <v>5.07</v>
      </c>
      <c r="H220" s="24">
        <v>11</v>
      </c>
      <c r="I220" s="24">
        <v>13</v>
      </c>
      <c r="J220" s="24" t="str">
        <f>VLOOKUP(A220,編號對照表!$B$1:$C$133,2,FALSE)</f>
        <v>FB2-D4</v>
      </c>
      <c r="K220" s="24" t="s">
        <v>641</v>
      </c>
      <c r="L220" s="24" t="s">
        <v>874</v>
      </c>
      <c r="M220" s="24">
        <v>2.54</v>
      </c>
      <c r="N220" s="24">
        <v>15</v>
      </c>
      <c r="O220" s="24">
        <v>25</v>
      </c>
      <c r="P220" s="24">
        <v>15</v>
      </c>
      <c r="Q220" s="24">
        <v>120</v>
      </c>
      <c r="R220" s="24">
        <v>280</v>
      </c>
      <c r="S220" s="24">
        <v>11</v>
      </c>
      <c r="T220" s="24">
        <v>0</v>
      </c>
      <c r="U220" s="24">
        <v>13</v>
      </c>
      <c r="V220" s="24">
        <v>0</v>
      </c>
    </row>
    <row r="221" spans="1:22" x14ac:dyDescent="0.25">
      <c r="A221" s="24" t="s">
        <v>308</v>
      </c>
      <c r="B221" s="24" t="s">
        <v>13</v>
      </c>
      <c r="C221" s="24">
        <v>3.7394309765659299</v>
      </c>
      <c r="D221" s="24">
        <v>18.354882486164598</v>
      </c>
      <c r="E221" s="25">
        <v>5.02192589920014E-2</v>
      </c>
      <c r="F221" s="24">
        <v>8</v>
      </c>
      <c r="G221" s="24">
        <v>5.07</v>
      </c>
      <c r="H221" s="24">
        <v>3</v>
      </c>
      <c r="I221" s="24">
        <v>4</v>
      </c>
      <c r="J221" s="24" t="str">
        <f>VLOOKUP(A221,編號對照表!$B$1:$C$133,2,FALSE)</f>
        <v>Fb1-22</v>
      </c>
      <c r="K221" s="24" t="s">
        <v>793</v>
      </c>
      <c r="L221" s="24" t="s">
        <v>683</v>
      </c>
      <c r="M221" s="24">
        <v>1.27</v>
      </c>
      <c r="N221" s="24">
        <v>15</v>
      </c>
      <c r="O221" s="24">
        <v>25</v>
      </c>
      <c r="P221" s="24">
        <v>15</v>
      </c>
      <c r="Q221" s="24">
        <v>60</v>
      </c>
      <c r="R221" s="24">
        <v>200</v>
      </c>
      <c r="S221" s="24">
        <v>3</v>
      </c>
      <c r="T221" s="24">
        <v>0</v>
      </c>
      <c r="U221" s="24">
        <v>4</v>
      </c>
      <c r="V221" s="24">
        <v>0</v>
      </c>
    </row>
    <row r="222" spans="1:22" x14ac:dyDescent="0.25">
      <c r="A222" s="24" t="s">
        <v>308</v>
      </c>
      <c r="B222" s="24" t="s">
        <v>15</v>
      </c>
      <c r="C222" s="24">
        <v>23.502169642597401</v>
      </c>
      <c r="D222" s="24">
        <v>1E-3</v>
      </c>
      <c r="E222" s="25">
        <v>5.02192589920014E-2</v>
      </c>
      <c r="F222" s="24">
        <v>8</v>
      </c>
      <c r="G222" s="24">
        <v>5.07</v>
      </c>
      <c r="H222" s="24">
        <v>5</v>
      </c>
      <c r="I222" s="24">
        <v>3</v>
      </c>
      <c r="J222" s="24" t="str">
        <f>VLOOKUP(A222,編號對照表!$B$1:$C$133,2,FALSE)</f>
        <v>Fb1-22</v>
      </c>
      <c r="K222" s="24" t="s">
        <v>585</v>
      </c>
      <c r="L222" s="24" t="s">
        <v>683</v>
      </c>
      <c r="M222" s="24">
        <v>1.27</v>
      </c>
      <c r="N222" s="24">
        <v>15</v>
      </c>
      <c r="O222" s="24">
        <v>25</v>
      </c>
      <c r="P222" s="24">
        <v>15</v>
      </c>
      <c r="Q222" s="24">
        <v>60</v>
      </c>
      <c r="R222" s="24">
        <v>200</v>
      </c>
      <c r="S222" s="24">
        <v>5</v>
      </c>
      <c r="T222" s="24">
        <v>0</v>
      </c>
      <c r="U222" s="24">
        <v>3</v>
      </c>
      <c r="V222" s="24">
        <v>0</v>
      </c>
    </row>
    <row r="223" spans="1:22" x14ac:dyDescent="0.25">
      <c r="A223" s="24" t="s">
        <v>308</v>
      </c>
      <c r="B223" s="24" t="s">
        <v>16</v>
      </c>
      <c r="C223" s="24">
        <v>10.570976883173</v>
      </c>
      <c r="D223" s="24">
        <v>8.9386099716648495</v>
      </c>
      <c r="E223" s="25">
        <v>5.02192589920014E-2</v>
      </c>
      <c r="F223" s="24">
        <v>8</v>
      </c>
      <c r="G223" s="24">
        <v>5.07</v>
      </c>
      <c r="H223" s="24">
        <v>3</v>
      </c>
      <c r="I223" s="24">
        <v>3</v>
      </c>
      <c r="J223" s="24" t="str">
        <f>VLOOKUP(A223,編號對照表!$B$1:$C$133,2,FALSE)</f>
        <v>Fb1-22</v>
      </c>
      <c r="K223" s="24" t="s">
        <v>793</v>
      </c>
      <c r="L223" s="24" t="s">
        <v>683</v>
      </c>
      <c r="M223" s="24">
        <v>1.27</v>
      </c>
      <c r="N223" s="24">
        <v>15</v>
      </c>
      <c r="O223" s="24">
        <v>25</v>
      </c>
      <c r="P223" s="24">
        <v>15</v>
      </c>
      <c r="Q223" s="24">
        <v>60</v>
      </c>
      <c r="R223" s="24">
        <v>200</v>
      </c>
      <c r="S223" s="24">
        <v>3</v>
      </c>
      <c r="T223" s="24">
        <v>0</v>
      </c>
      <c r="U223" s="24">
        <v>3</v>
      </c>
      <c r="V223" s="24">
        <v>0</v>
      </c>
    </row>
    <row r="224" spans="1:22" x14ac:dyDescent="0.25">
      <c r="A224" s="24" t="s">
        <v>310</v>
      </c>
      <c r="B224" s="24" t="s">
        <v>13</v>
      </c>
      <c r="C224" s="24">
        <v>2.0662738825194502</v>
      </c>
      <c r="D224" s="24">
        <v>15.500064473599201</v>
      </c>
      <c r="E224" s="25">
        <v>5.02192589920014E-2</v>
      </c>
      <c r="F224" s="24">
        <v>8</v>
      </c>
      <c r="G224" s="24">
        <v>5.07</v>
      </c>
      <c r="H224" s="24">
        <v>3</v>
      </c>
      <c r="I224" s="24">
        <v>4</v>
      </c>
      <c r="J224" s="24" t="str">
        <f>VLOOKUP(A224,編號對照表!$B$1:$C$133,2,FALSE)</f>
        <v>Fb1-35</v>
      </c>
      <c r="K224" s="24" t="s">
        <v>794</v>
      </c>
      <c r="L224" s="24" t="s">
        <v>683</v>
      </c>
      <c r="M224" s="24">
        <v>1.27</v>
      </c>
      <c r="N224" s="24">
        <v>15</v>
      </c>
      <c r="O224" s="24">
        <v>25</v>
      </c>
      <c r="P224" s="24">
        <v>15</v>
      </c>
      <c r="Q224" s="24">
        <v>60</v>
      </c>
      <c r="R224" s="24">
        <v>200</v>
      </c>
      <c r="S224" s="24">
        <v>3</v>
      </c>
      <c r="T224" s="24">
        <v>0</v>
      </c>
      <c r="U224" s="24">
        <v>4</v>
      </c>
      <c r="V224" s="24">
        <v>0</v>
      </c>
    </row>
    <row r="225" spans="1:22" x14ac:dyDescent="0.25">
      <c r="A225" s="24" t="s">
        <v>310</v>
      </c>
      <c r="B225" s="24" t="s">
        <v>15</v>
      </c>
      <c r="C225" s="24">
        <v>21.138582378625902</v>
      </c>
      <c r="D225" s="24">
        <v>1E-3</v>
      </c>
      <c r="E225" s="25">
        <v>5.02192589920014E-2</v>
      </c>
      <c r="F225" s="24">
        <v>8</v>
      </c>
      <c r="G225" s="24">
        <v>5.07</v>
      </c>
      <c r="H225" s="24">
        <v>5</v>
      </c>
      <c r="I225" s="24">
        <v>3</v>
      </c>
      <c r="J225" s="24" t="str">
        <f>VLOOKUP(A225,編號對照表!$B$1:$C$133,2,FALSE)</f>
        <v>Fb1-35</v>
      </c>
      <c r="K225" s="24" t="s">
        <v>794</v>
      </c>
      <c r="L225" s="24" t="s">
        <v>683</v>
      </c>
      <c r="M225" s="24">
        <v>1.27</v>
      </c>
      <c r="N225" s="24">
        <v>15</v>
      </c>
      <c r="O225" s="24">
        <v>25</v>
      </c>
      <c r="P225" s="24">
        <v>15</v>
      </c>
      <c r="Q225" s="24">
        <v>60</v>
      </c>
      <c r="R225" s="24">
        <v>200</v>
      </c>
      <c r="S225" s="24">
        <v>5</v>
      </c>
      <c r="T225" s="24">
        <v>0</v>
      </c>
      <c r="U225" s="24">
        <v>3</v>
      </c>
      <c r="V225" s="24">
        <v>0</v>
      </c>
    </row>
    <row r="226" spans="1:22" x14ac:dyDescent="0.25">
      <c r="A226" s="24" t="s">
        <v>310</v>
      </c>
      <c r="B226" s="24" t="s">
        <v>16</v>
      </c>
      <c r="C226" s="24">
        <v>9.3097845092415792</v>
      </c>
      <c r="D226" s="24">
        <v>8.5191673133522308</v>
      </c>
      <c r="E226" s="25">
        <v>5.02192589920014E-2</v>
      </c>
      <c r="F226" s="24">
        <v>8</v>
      </c>
      <c r="G226" s="24">
        <v>5.07</v>
      </c>
      <c r="H226" s="24">
        <v>3</v>
      </c>
      <c r="I226" s="24">
        <v>3</v>
      </c>
      <c r="J226" s="24" t="str">
        <f>VLOOKUP(A226,編號對照表!$B$1:$C$133,2,FALSE)</f>
        <v>Fb1-35</v>
      </c>
      <c r="K226" s="24" t="s">
        <v>586</v>
      </c>
      <c r="L226" s="24" t="s">
        <v>683</v>
      </c>
      <c r="M226" s="24">
        <v>1.27</v>
      </c>
      <c r="N226" s="24">
        <v>15</v>
      </c>
      <c r="O226" s="24">
        <v>25</v>
      </c>
      <c r="P226" s="24">
        <v>15</v>
      </c>
      <c r="Q226" s="24">
        <v>60</v>
      </c>
      <c r="R226" s="24">
        <v>200</v>
      </c>
      <c r="S226" s="24">
        <v>3</v>
      </c>
      <c r="T226" s="24">
        <v>0</v>
      </c>
      <c r="U226" s="24">
        <v>3</v>
      </c>
      <c r="V226" s="24">
        <v>0</v>
      </c>
    </row>
    <row r="227" spans="1:22" x14ac:dyDescent="0.25">
      <c r="A227" s="24" t="s">
        <v>311</v>
      </c>
      <c r="B227" s="24" t="s">
        <v>13</v>
      </c>
      <c r="C227" s="24">
        <v>7.1558088529855004</v>
      </c>
      <c r="D227" s="24">
        <v>10.847072117030599</v>
      </c>
      <c r="E227" s="25">
        <v>0</v>
      </c>
      <c r="F227" s="24">
        <v>8</v>
      </c>
      <c r="G227" s="24">
        <v>5.07</v>
      </c>
      <c r="H227" s="24">
        <v>3</v>
      </c>
      <c r="I227" s="24">
        <v>3</v>
      </c>
      <c r="J227" s="24" t="str">
        <f>VLOOKUP(A227,編號對照表!$B$1:$C$133,2,FALSE)</f>
        <v>FB1-E'7</v>
      </c>
      <c r="K227" s="24" t="s">
        <v>795</v>
      </c>
      <c r="L227" s="24" t="s">
        <v>683</v>
      </c>
      <c r="M227" s="24">
        <v>1.27</v>
      </c>
      <c r="N227" s="24">
        <v>12</v>
      </c>
      <c r="O227" s="24">
        <v>25</v>
      </c>
      <c r="P227" s="24">
        <v>15</v>
      </c>
      <c r="Q227" s="24">
        <v>80</v>
      </c>
      <c r="R227" s="24">
        <v>200</v>
      </c>
      <c r="S227" s="24">
        <v>3</v>
      </c>
      <c r="T227" s="24">
        <v>0</v>
      </c>
      <c r="U227" s="24">
        <v>3</v>
      </c>
      <c r="V227" s="24">
        <v>0</v>
      </c>
    </row>
    <row r="228" spans="1:22" x14ac:dyDescent="0.25">
      <c r="A228" s="24" t="s">
        <v>311</v>
      </c>
      <c r="B228" s="24" t="s">
        <v>15</v>
      </c>
      <c r="C228" s="24">
        <v>14.1018361318856</v>
      </c>
      <c r="D228" s="24">
        <v>4.63020842289552</v>
      </c>
      <c r="E228" s="25">
        <v>0</v>
      </c>
      <c r="F228" s="24">
        <v>8</v>
      </c>
      <c r="G228" s="24">
        <v>5.07</v>
      </c>
      <c r="H228" s="24">
        <v>3</v>
      </c>
      <c r="I228" s="24">
        <v>3</v>
      </c>
      <c r="J228" s="24" t="str">
        <f>VLOOKUP(A228,編號對照表!$B$1:$C$133,2,FALSE)</f>
        <v>FB1-E'7</v>
      </c>
      <c r="K228" s="24" t="s">
        <v>587</v>
      </c>
      <c r="L228" s="24" t="s">
        <v>683</v>
      </c>
      <c r="M228" s="24">
        <v>1.27</v>
      </c>
      <c r="N228" s="24">
        <v>12</v>
      </c>
      <c r="O228" s="24">
        <v>25</v>
      </c>
      <c r="P228" s="24">
        <v>15</v>
      </c>
      <c r="Q228" s="24">
        <v>80</v>
      </c>
      <c r="R228" s="24">
        <v>200</v>
      </c>
      <c r="S228" s="24">
        <v>3</v>
      </c>
      <c r="T228" s="24">
        <v>0</v>
      </c>
      <c r="U228" s="24">
        <v>3</v>
      </c>
      <c r="V228" s="24">
        <v>0</v>
      </c>
    </row>
    <row r="229" spans="1:22" x14ac:dyDescent="0.25">
      <c r="A229" s="24" t="s">
        <v>311</v>
      </c>
      <c r="B229" s="24" t="s">
        <v>16</v>
      </c>
      <c r="C229" s="24">
        <v>1.28031941130757</v>
      </c>
      <c r="D229" s="24">
        <v>15.5748904217035</v>
      </c>
      <c r="E229" s="25">
        <v>0</v>
      </c>
      <c r="F229" s="24">
        <v>8</v>
      </c>
      <c r="G229" s="24">
        <v>5.07</v>
      </c>
      <c r="H229" s="24">
        <v>3</v>
      </c>
      <c r="I229" s="24">
        <v>4</v>
      </c>
      <c r="J229" s="24" t="str">
        <f>VLOOKUP(A229,編號對照表!$B$1:$C$133,2,FALSE)</f>
        <v>FB1-E'7</v>
      </c>
      <c r="K229" s="24" t="s">
        <v>587</v>
      </c>
      <c r="L229" s="24" t="s">
        <v>683</v>
      </c>
      <c r="M229" s="24">
        <v>1.27</v>
      </c>
      <c r="N229" s="24">
        <v>12</v>
      </c>
      <c r="O229" s="24">
        <v>25</v>
      </c>
      <c r="P229" s="24">
        <v>15</v>
      </c>
      <c r="Q229" s="24">
        <v>80</v>
      </c>
      <c r="R229" s="24">
        <v>200</v>
      </c>
      <c r="S229" s="24">
        <v>3</v>
      </c>
      <c r="T229" s="24">
        <v>0</v>
      </c>
      <c r="U229" s="24">
        <v>4</v>
      </c>
      <c r="V229" s="24">
        <v>0</v>
      </c>
    </row>
    <row r="230" spans="1:22" x14ac:dyDescent="0.25">
      <c r="A230" s="24" t="s">
        <v>312</v>
      </c>
      <c r="B230" s="24" t="s">
        <v>13</v>
      </c>
      <c r="C230" s="24">
        <v>10.988253634423</v>
      </c>
      <c r="D230" s="24">
        <v>9.0453017037361896</v>
      </c>
      <c r="E230" s="25">
        <v>0</v>
      </c>
      <c r="F230" s="24">
        <v>8</v>
      </c>
      <c r="G230" s="24">
        <v>5.07</v>
      </c>
      <c r="H230" s="24">
        <v>3</v>
      </c>
      <c r="I230" s="24">
        <v>3</v>
      </c>
      <c r="J230" s="24" t="str">
        <f>VLOOKUP(A230,編號對照表!$B$1:$C$133,2,FALSE)</f>
        <v>Fb1-26</v>
      </c>
      <c r="K230" s="24" t="s">
        <v>688</v>
      </c>
      <c r="L230" s="24" t="s">
        <v>683</v>
      </c>
      <c r="M230" s="24">
        <v>1.27</v>
      </c>
      <c r="N230" s="24">
        <v>15</v>
      </c>
      <c r="O230" s="24">
        <v>25</v>
      </c>
      <c r="P230" s="24">
        <v>15</v>
      </c>
      <c r="Q230" s="24">
        <v>60</v>
      </c>
      <c r="R230" s="24">
        <v>200</v>
      </c>
      <c r="S230" s="24">
        <v>3</v>
      </c>
      <c r="T230" s="24">
        <v>0</v>
      </c>
      <c r="U230" s="24">
        <v>3</v>
      </c>
      <c r="V230" s="24">
        <v>0</v>
      </c>
    </row>
    <row r="231" spans="1:22" x14ac:dyDescent="0.25">
      <c r="A231" s="24" t="s">
        <v>312</v>
      </c>
      <c r="B231" s="24" t="s">
        <v>15</v>
      </c>
      <c r="C231" s="24">
        <v>16.993364552035899</v>
      </c>
      <c r="D231" s="24">
        <v>3.4307606983929899</v>
      </c>
      <c r="E231" s="25">
        <v>0</v>
      </c>
      <c r="F231" s="24">
        <v>8</v>
      </c>
      <c r="G231" s="24">
        <v>5.07</v>
      </c>
      <c r="H231" s="24">
        <v>4</v>
      </c>
      <c r="I231" s="24">
        <v>3</v>
      </c>
      <c r="J231" s="24" t="str">
        <f>VLOOKUP(A231,編號對照表!$B$1:$C$133,2,FALSE)</f>
        <v>Fb1-26</v>
      </c>
      <c r="K231" s="24" t="s">
        <v>688</v>
      </c>
      <c r="L231" s="24" t="s">
        <v>683</v>
      </c>
      <c r="M231" s="24">
        <v>1.27</v>
      </c>
      <c r="N231" s="24">
        <v>15</v>
      </c>
      <c r="O231" s="24">
        <v>25</v>
      </c>
      <c r="P231" s="24">
        <v>15</v>
      </c>
      <c r="Q231" s="24">
        <v>60</v>
      </c>
      <c r="R231" s="24">
        <v>200</v>
      </c>
      <c r="S231" s="24">
        <v>4</v>
      </c>
      <c r="T231" s="24">
        <v>0</v>
      </c>
      <c r="U231" s="24">
        <v>3</v>
      </c>
      <c r="V231" s="24">
        <v>0</v>
      </c>
    </row>
    <row r="232" spans="1:22" x14ac:dyDescent="0.25">
      <c r="A232" s="24" t="s">
        <v>312</v>
      </c>
      <c r="B232" s="24" t="s">
        <v>16</v>
      </c>
      <c r="C232" s="24">
        <v>2.7988286456093201</v>
      </c>
      <c r="D232" s="24">
        <v>19.551285076886401</v>
      </c>
      <c r="E232" s="25">
        <v>0</v>
      </c>
      <c r="F232" s="24">
        <v>8</v>
      </c>
      <c r="G232" s="24">
        <v>5.07</v>
      </c>
      <c r="H232" s="24">
        <v>3</v>
      </c>
      <c r="I232" s="24">
        <v>4</v>
      </c>
      <c r="J232" s="24" t="str">
        <f>VLOOKUP(A232,編號對照表!$B$1:$C$133,2,FALSE)</f>
        <v>Fb1-26</v>
      </c>
      <c r="K232" s="24" t="s">
        <v>796</v>
      </c>
      <c r="L232" s="24" t="s">
        <v>683</v>
      </c>
      <c r="M232" s="24">
        <v>1.27</v>
      </c>
      <c r="N232" s="24">
        <v>15</v>
      </c>
      <c r="O232" s="24">
        <v>25</v>
      </c>
      <c r="P232" s="24">
        <v>15</v>
      </c>
      <c r="Q232" s="24">
        <v>60</v>
      </c>
      <c r="R232" s="24">
        <v>200</v>
      </c>
      <c r="S232" s="24">
        <v>3</v>
      </c>
      <c r="T232" s="24">
        <v>0</v>
      </c>
      <c r="U232" s="24">
        <v>4</v>
      </c>
      <c r="V232" s="24">
        <v>0</v>
      </c>
    </row>
    <row r="233" spans="1:22" x14ac:dyDescent="0.25">
      <c r="A233" s="24" t="s">
        <v>313</v>
      </c>
      <c r="B233" s="24" t="s">
        <v>13</v>
      </c>
      <c r="C233" s="24">
        <v>23.5012802295387</v>
      </c>
      <c r="D233" s="24">
        <v>26.178967673331499</v>
      </c>
      <c r="E233" s="25">
        <v>0</v>
      </c>
      <c r="F233" s="24">
        <v>8</v>
      </c>
      <c r="G233" s="24">
        <v>5.07</v>
      </c>
      <c r="H233" s="24">
        <v>5</v>
      </c>
      <c r="I233" s="24">
        <v>6</v>
      </c>
      <c r="J233" s="24" t="str">
        <f>VLOOKUP(A233,編號對照表!$B$1:$C$133,2,FALSE)</f>
        <v>FB1-E7</v>
      </c>
      <c r="K233" s="24" t="s">
        <v>588</v>
      </c>
      <c r="L233" s="24" t="s">
        <v>683</v>
      </c>
      <c r="M233" s="24">
        <v>1.27</v>
      </c>
      <c r="N233" s="24">
        <v>12</v>
      </c>
      <c r="O233" s="24">
        <v>25</v>
      </c>
      <c r="P233" s="24">
        <v>15</v>
      </c>
      <c r="Q233" s="24">
        <v>80</v>
      </c>
      <c r="R233" s="24">
        <v>200</v>
      </c>
      <c r="S233" s="24">
        <v>5</v>
      </c>
      <c r="T233" s="24">
        <v>0</v>
      </c>
      <c r="U233" s="24">
        <v>6</v>
      </c>
      <c r="V233" s="24">
        <v>0</v>
      </c>
    </row>
    <row r="234" spans="1:22" x14ac:dyDescent="0.25">
      <c r="A234" s="24" t="s">
        <v>313</v>
      </c>
      <c r="B234" s="24" t="s">
        <v>15</v>
      </c>
      <c r="C234" s="24">
        <v>64.234081655740695</v>
      </c>
      <c r="D234" s="24">
        <v>10.035480372607701</v>
      </c>
      <c r="E234" s="25">
        <v>6.6959013929590597E-2</v>
      </c>
      <c r="F234" s="24">
        <v>8</v>
      </c>
      <c r="G234" s="24">
        <v>5.07</v>
      </c>
      <c r="H234" s="24">
        <v>13</v>
      </c>
      <c r="I234" s="24">
        <v>3</v>
      </c>
      <c r="J234" s="24" t="str">
        <f>VLOOKUP(A234,編號對照表!$B$1:$C$133,2,FALSE)</f>
        <v>FB1-E7</v>
      </c>
      <c r="K234" s="24" t="s">
        <v>588</v>
      </c>
      <c r="L234" s="24" t="s">
        <v>683</v>
      </c>
      <c r="M234" s="24">
        <v>1.27</v>
      </c>
      <c r="N234" s="24">
        <v>12</v>
      </c>
      <c r="O234" s="24">
        <v>25</v>
      </c>
      <c r="P234" s="24">
        <v>15</v>
      </c>
      <c r="Q234" s="24">
        <v>80</v>
      </c>
      <c r="R234" s="24">
        <v>200</v>
      </c>
      <c r="S234" s="24">
        <v>10</v>
      </c>
      <c r="T234" s="24">
        <v>3</v>
      </c>
      <c r="U234" s="24">
        <v>3</v>
      </c>
      <c r="V234" s="24">
        <v>0</v>
      </c>
    </row>
    <row r="235" spans="1:22" x14ac:dyDescent="0.25">
      <c r="A235" s="24" t="s">
        <v>313</v>
      </c>
      <c r="B235" s="24" t="s">
        <v>16</v>
      </c>
      <c r="C235" s="24">
        <v>3.75669653294608</v>
      </c>
      <c r="D235" s="24">
        <v>79.701105132698999</v>
      </c>
      <c r="E235" s="25">
        <v>0</v>
      </c>
      <c r="F235" s="24">
        <v>8</v>
      </c>
      <c r="G235" s="24">
        <v>5.07</v>
      </c>
      <c r="H235" s="24">
        <v>3</v>
      </c>
      <c r="I235" s="24">
        <v>16</v>
      </c>
      <c r="J235" s="24" t="str">
        <f>VLOOKUP(A235,編號對照表!$B$1:$C$133,2,FALSE)</f>
        <v>FB1-E7</v>
      </c>
      <c r="K235" s="24" t="s">
        <v>797</v>
      </c>
      <c r="L235" s="24" t="s">
        <v>683</v>
      </c>
      <c r="M235" s="24">
        <v>1.27</v>
      </c>
      <c r="N235" s="24">
        <v>12</v>
      </c>
      <c r="O235" s="24">
        <v>25</v>
      </c>
      <c r="P235" s="24">
        <v>15</v>
      </c>
      <c r="Q235" s="24">
        <v>80</v>
      </c>
      <c r="R235" s="24">
        <v>200</v>
      </c>
      <c r="S235" s="24">
        <v>3</v>
      </c>
      <c r="T235" s="24">
        <v>0</v>
      </c>
      <c r="U235" s="24">
        <v>10</v>
      </c>
      <c r="V235" s="24">
        <v>6</v>
      </c>
    </row>
    <row r="236" spans="1:22" x14ac:dyDescent="0.25">
      <c r="A236" s="24" t="s">
        <v>314</v>
      </c>
      <c r="B236" s="24" t="s">
        <v>13</v>
      </c>
      <c r="C236" s="24">
        <v>48.320335336029501</v>
      </c>
      <c r="D236" s="24">
        <v>5.1732885185629103</v>
      </c>
      <c r="E236" s="25">
        <v>5.02192589920014E-2</v>
      </c>
      <c r="F236" s="24">
        <v>8</v>
      </c>
      <c r="G236" s="24">
        <v>5.07</v>
      </c>
      <c r="H236" s="24">
        <v>10</v>
      </c>
      <c r="I236" s="24">
        <v>3</v>
      </c>
      <c r="J236" s="24" t="str">
        <f>VLOOKUP(A236,編號對照表!$B$1:$C$133,2,FALSE)</f>
        <v>FB1-B0</v>
      </c>
      <c r="K236" s="24" t="s">
        <v>589</v>
      </c>
      <c r="L236" s="24" t="s">
        <v>683</v>
      </c>
      <c r="M236" s="24">
        <v>1.27</v>
      </c>
      <c r="N236" s="24">
        <v>12</v>
      </c>
      <c r="O236" s="24">
        <v>25</v>
      </c>
      <c r="P236" s="24">
        <v>15</v>
      </c>
      <c r="Q236" s="24">
        <v>80</v>
      </c>
      <c r="R236" s="24">
        <v>200</v>
      </c>
      <c r="S236" s="24">
        <v>10</v>
      </c>
      <c r="T236" s="24">
        <v>0</v>
      </c>
      <c r="U236" s="24">
        <v>3</v>
      </c>
      <c r="V236" s="24">
        <v>0</v>
      </c>
    </row>
    <row r="237" spans="1:22" x14ac:dyDescent="0.25">
      <c r="A237" s="24" t="s">
        <v>314</v>
      </c>
      <c r="B237" s="24" t="s">
        <v>15</v>
      </c>
      <c r="C237" s="24">
        <v>98.670041188597693</v>
      </c>
      <c r="D237" s="24">
        <v>1E-3</v>
      </c>
      <c r="E237" s="25">
        <v>0</v>
      </c>
      <c r="F237" s="24">
        <v>8</v>
      </c>
      <c r="G237" s="24">
        <v>5.07</v>
      </c>
      <c r="H237" s="24">
        <v>20</v>
      </c>
      <c r="I237" s="24">
        <v>3</v>
      </c>
      <c r="J237" s="24" t="str">
        <f>VLOOKUP(A237,編號對照表!$B$1:$C$133,2,FALSE)</f>
        <v>FB1-B0</v>
      </c>
      <c r="K237" s="24" t="s">
        <v>798</v>
      </c>
      <c r="L237" s="24" t="s">
        <v>683</v>
      </c>
      <c r="M237" s="24">
        <v>1.27</v>
      </c>
      <c r="N237" s="24">
        <v>12</v>
      </c>
      <c r="O237" s="24">
        <v>25</v>
      </c>
      <c r="P237" s="24">
        <v>15</v>
      </c>
      <c r="Q237" s="24">
        <v>80</v>
      </c>
      <c r="R237" s="24">
        <v>200</v>
      </c>
      <c r="S237" s="24">
        <v>10</v>
      </c>
      <c r="T237" s="24">
        <v>10</v>
      </c>
      <c r="U237" s="24">
        <v>3</v>
      </c>
      <c r="V237" s="24">
        <v>0</v>
      </c>
    </row>
    <row r="238" spans="1:22" x14ac:dyDescent="0.25">
      <c r="A238" s="24" t="s">
        <v>314</v>
      </c>
      <c r="B238" s="24" t="s">
        <v>16</v>
      </c>
      <c r="C238" s="24">
        <v>93.653835356235504</v>
      </c>
      <c r="D238" s="24">
        <v>1E-3</v>
      </c>
      <c r="E238" s="25">
        <v>5.02192589920014E-2</v>
      </c>
      <c r="F238" s="24">
        <v>8</v>
      </c>
      <c r="G238" s="24">
        <v>5.07</v>
      </c>
      <c r="H238" s="24">
        <v>19</v>
      </c>
      <c r="I238" s="24">
        <v>3</v>
      </c>
      <c r="J238" s="24" t="str">
        <f>VLOOKUP(A238,編號對照表!$B$1:$C$133,2,FALSE)</f>
        <v>FB1-B0</v>
      </c>
      <c r="K238" s="24" t="s">
        <v>589</v>
      </c>
      <c r="L238" s="24" t="s">
        <v>683</v>
      </c>
      <c r="M238" s="24">
        <v>1.27</v>
      </c>
      <c r="N238" s="24">
        <v>12</v>
      </c>
      <c r="O238" s="24">
        <v>25</v>
      </c>
      <c r="P238" s="24">
        <v>15</v>
      </c>
      <c r="Q238" s="24">
        <v>80</v>
      </c>
      <c r="R238" s="24">
        <v>200</v>
      </c>
      <c r="S238" s="24">
        <v>10</v>
      </c>
      <c r="T238" s="24">
        <v>9</v>
      </c>
      <c r="U238" s="24">
        <v>3</v>
      </c>
      <c r="V238" s="24">
        <v>0</v>
      </c>
    </row>
    <row r="239" spans="1:22" x14ac:dyDescent="0.25">
      <c r="A239" s="24" t="s">
        <v>315</v>
      </c>
      <c r="B239" s="24" t="s">
        <v>13</v>
      </c>
      <c r="C239" s="24">
        <v>2.28203105507419</v>
      </c>
      <c r="D239" s="24">
        <v>85.416082292795195</v>
      </c>
      <c r="E239" s="25">
        <v>6.6959013929590597E-2</v>
      </c>
      <c r="F239" s="24">
        <v>8</v>
      </c>
      <c r="G239" s="24">
        <v>5.07</v>
      </c>
      <c r="H239" s="24">
        <v>3</v>
      </c>
      <c r="I239" s="24">
        <v>17</v>
      </c>
      <c r="J239" s="24" t="str">
        <f>VLOOKUP(A239,編號對照表!$B$1:$C$133,2,FALSE)</f>
        <v>FB1-C1</v>
      </c>
      <c r="K239" s="24" t="s">
        <v>799</v>
      </c>
      <c r="L239" s="24" t="s">
        <v>683</v>
      </c>
      <c r="M239" s="24">
        <v>1.27</v>
      </c>
      <c r="N239" s="24">
        <v>12</v>
      </c>
      <c r="O239" s="24">
        <v>25</v>
      </c>
      <c r="P239" s="24">
        <v>15</v>
      </c>
      <c r="Q239" s="24">
        <v>80</v>
      </c>
      <c r="R239" s="24">
        <v>200</v>
      </c>
      <c r="S239" s="24">
        <v>3</v>
      </c>
      <c r="T239" s="24">
        <v>0</v>
      </c>
      <c r="U239" s="24">
        <v>10</v>
      </c>
      <c r="V239" s="24">
        <v>7</v>
      </c>
    </row>
    <row r="240" spans="1:22" x14ac:dyDescent="0.25">
      <c r="A240" s="24" t="s">
        <v>315</v>
      </c>
      <c r="B240" s="24" t="s">
        <v>15</v>
      </c>
      <c r="C240" s="24">
        <v>43.3600367978215</v>
      </c>
      <c r="D240" s="24">
        <v>20.2054088003933</v>
      </c>
      <c r="E240" s="25">
        <v>6.6959013929590597E-2</v>
      </c>
      <c r="F240" s="24">
        <v>8</v>
      </c>
      <c r="G240" s="24">
        <v>5.07</v>
      </c>
      <c r="H240" s="24">
        <v>9</v>
      </c>
      <c r="I240" s="24">
        <v>4</v>
      </c>
      <c r="J240" s="24" t="str">
        <f>VLOOKUP(A240,編號對照表!$B$1:$C$133,2,FALSE)</f>
        <v>FB1-C1</v>
      </c>
      <c r="K240" s="24" t="s">
        <v>799</v>
      </c>
      <c r="L240" s="24" t="s">
        <v>683</v>
      </c>
      <c r="M240" s="24">
        <v>1.27</v>
      </c>
      <c r="N240" s="24">
        <v>12</v>
      </c>
      <c r="O240" s="24">
        <v>25</v>
      </c>
      <c r="P240" s="24">
        <v>15</v>
      </c>
      <c r="Q240" s="24">
        <v>80</v>
      </c>
      <c r="R240" s="24">
        <v>200</v>
      </c>
      <c r="S240" s="24">
        <v>9</v>
      </c>
      <c r="T240" s="24">
        <v>0</v>
      </c>
      <c r="U240" s="24">
        <v>4</v>
      </c>
      <c r="V240" s="24">
        <v>0</v>
      </c>
    </row>
    <row r="241" spans="1:22" x14ac:dyDescent="0.25">
      <c r="A241" s="24" t="s">
        <v>315</v>
      </c>
      <c r="B241" s="24" t="s">
        <v>16</v>
      </c>
      <c r="C241" s="24">
        <v>1E-3</v>
      </c>
      <c r="D241" s="24">
        <v>145.490495488048</v>
      </c>
      <c r="E241" s="25">
        <v>6.6959013929590597E-2</v>
      </c>
      <c r="F241" s="24">
        <v>8</v>
      </c>
      <c r="G241" s="24">
        <v>5.07</v>
      </c>
      <c r="H241" s="24">
        <v>3</v>
      </c>
      <c r="I241" s="24">
        <v>29</v>
      </c>
      <c r="J241" s="24" t="str">
        <f>VLOOKUP(A241,編號對照表!$B$1:$C$133,2,FALSE)</f>
        <v>FB1-C1</v>
      </c>
      <c r="K241" s="24" t="s">
        <v>799</v>
      </c>
      <c r="L241" s="24" t="s">
        <v>683</v>
      </c>
      <c r="M241" s="24">
        <v>1.27</v>
      </c>
      <c r="N241" s="24">
        <v>12</v>
      </c>
      <c r="O241" s="24">
        <v>25</v>
      </c>
      <c r="P241" s="24">
        <v>15</v>
      </c>
      <c r="Q241" s="24">
        <v>80</v>
      </c>
      <c r="R241" s="24">
        <v>200</v>
      </c>
      <c r="S241" s="24">
        <v>3</v>
      </c>
      <c r="T241" s="24">
        <v>0</v>
      </c>
      <c r="U241" s="24">
        <v>10</v>
      </c>
      <c r="V241" s="24">
        <v>19</v>
      </c>
    </row>
    <row r="242" spans="1:22" x14ac:dyDescent="0.25">
      <c r="A242" s="24" t="s">
        <v>317</v>
      </c>
      <c r="B242" s="24" t="s">
        <v>13</v>
      </c>
      <c r="C242" s="24">
        <v>99.705029278993607</v>
      </c>
      <c r="D242" s="24">
        <v>8.6276821093633806</v>
      </c>
      <c r="E242" s="25">
        <v>6.6959013929590597E-2</v>
      </c>
      <c r="F242" s="24">
        <v>8</v>
      </c>
      <c r="G242" s="24">
        <v>5.07</v>
      </c>
      <c r="H242" s="24">
        <v>20</v>
      </c>
      <c r="I242" s="24">
        <v>3</v>
      </c>
      <c r="J242" s="24" t="str">
        <f>VLOOKUP(A242,編號對照表!$B$1:$C$133,2,FALSE)</f>
        <v>FG1-92</v>
      </c>
      <c r="K242" s="24" t="s">
        <v>860</v>
      </c>
      <c r="L242" s="24" t="s">
        <v>683</v>
      </c>
      <c r="M242" s="24">
        <v>1.27</v>
      </c>
      <c r="N242" s="24">
        <v>12</v>
      </c>
      <c r="O242" s="24">
        <v>25</v>
      </c>
      <c r="P242" s="24">
        <v>15</v>
      </c>
      <c r="Q242" s="24">
        <v>80</v>
      </c>
      <c r="R242" s="24">
        <v>200</v>
      </c>
      <c r="S242" s="24">
        <v>10</v>
      </c>
      <c r="T242" s="24">
        <v>10</v>
      </c>
      <c r="U242" s="24">
        <v>3</v>
      </c>
      <c r="V242" s="24">
        <v>0</v>
      </c>
    </row>
    <row r="243" spans="1:22" x14ac:dyDescent="0.25">
      <c r="A243" s="24" t="s">
        <v>317</v>
      </c>
      <c r="B243" s="24" t="s">
        <v>15</v>
      </c>
      <c r="C243" s="24">
        <v>161.12484037876101</v>
      </c>
      <c r="D243" s="24">
        <v>1E-3</v>
      </c>
      <c r="E243" s="25">
        <v>0.27346063870936599</v>
      </c>
      <c r="F243" s="24">
        <v>8</v>
      </c>
      <c r="G243" s="24">
        <v>5.07</v>
      </c>
      <c r="H243" s="24">
        <v>32</v>
      </c>
      <c r="I243" s="24">
        <v>3</v>
      </c>
      <c r="J243" s="24" t="str">
        <f>VLOOKUP(A243,編號對照表!$B$1:$C$133,2,FALSE)</f>
        <v>FG1-92</v>
      </c>
      <c r="K243" s="24" t="s">
        <v>668</v>
      </c>
      <c r="L243" s="24" t="s">
        <v>874</v>
      </c>
      <c r="M243" s="24">
        <v>2.54</v>
      </c>
      <c r="N243" s="24">
        <v>18</v>
      </c>
      <c r="O243" s="24">
        <v>25</v>
      </c>
      <c r="P243" s="24">
        <v>15</v>
      </c>
      <c r="Q243" s="24">
        <v>80</v>
      </c>
      <c r="R243" s="24">
        <v>200</v>
      </c>
      <c r="S243" s="24">
        <v>10</v>
      </c>
      <c r="T243" s="24">
        <v>22</v>
      </c>
      <c r="U243" s="24">
        <v>3</v>
      </c>
      <c r="V243" s="24">
        <v>0</v>
      </c>
    </row>
    <row r="244" spans="1:22" x14ac:dyDescent="0.25">
      <c r="A244" s="24" t="s">
        <v>317</v>
      </c>
      <c r="B244" s="24" t="s">
        <v>16</v>
      </c>
      <c r="C244" s="24">
        <v>145.18861658871199</v>
      </c>
      <c r="D244" s="24">
        <v>125.686414539814</v>
      </c>
      <c r="E244" s="25">
        <v>0.46163746155798402</v>
      </c>
      <c r="F244" s="24">
        <v>8</v>
      </c>
      <c r="G244" s="24">
        <v>5.07</v>
      </c>
      <c r="H244" s="24">
        <v>29</v>
      </c>
      <c r="I244" s="24">
        <v>25</v>
      </c>
      <c r="J244" s="24" t="str">
        <f>VLOOKUP(A244,編號對照表!$B$1:$C$133,2,FALSE)</f>
        <v>FG1-92</v>
      </c>
      <c r="K244" s="24" t="s">
        <v>860</v>
      </c>
      <c r="L244" s="24" t="s">
        <v>694</v>
      </c>
      <c r="M244" s="24">
        <v>2.54</v>
      </c>
      <c r="N244" s="24">
        <v>10</v>
      </c>
      <c r="O244" s="24">
        <v>25</v>
      </c>
      <c r="P244" s="24">
        <v>15</v>
      </c>
      <c r="Q244" s="24">
        <v>80</v>
      </c>
      <c r="R244" s="24">
        <v>200</v>
      </c>
      <c r="S244" s="24">
        <v>10</v>
      </c>
      <c r="T244" s="24">
        <v>19</v>
      </c>
      <c r="U244" s="24">
        <v>10</v>
      </c>
      <c r="V244" s="24">
        <v>15</v>
      </c>
    </row>
    <row r="245" spans="1:22" x14ac:dyDescent="0.25">
      <c r="A245" s="24" t="s">
        <v>318</v>
      </c>
      <c r="B245" s="24" t="s">
        <v>13</v>
      </c>
      <c r="C245" s="24">
        <v>112.937651574612</v>
      </c>
      <c r="D245" s="24">
        <v>1E-3</v>
      </c>
      <c r="E245" s="25">
        <v>6.6959013929590597E-2</v>
      </c>
      <c r="F245" s="24">
        <v>8</v>
      </c>
      <c r="G245" s="24">
        <v>5.07</v>
      </c>
      <c r="H245" s="24">
        <v>23</v>
      </c>
      <c r="I245" s="24">
        <v>3</v>
      </c>
      <c r="J245" s="24" t="str">
        <f>VLOOKUP(A245,編號對照表!$B$1:$C$133,2,FALSE)</f>
        <v>FG1-102</v>
      </c>
      <c r="K245" s="24" t="s">
        <v>800</v>
      </c>
      <c r="L245" s="24" t="s">
        <v>683</v>
      </c>
      <c r="M245" s="24">
        <v>1.27</v>
      </c>
      <c r="N245" s="24">
        <v>12</v>
      </c>
      <c r="O245" s="24">
        <v>25</v>
      </c>
      <c r="P245" s="24">
        <v>15</v>
      </c>
      <c r="Q245" s="24">
        <v>80</v>
      </c>
      <c r="R245" s="24">
        <v>200</v>
      </c>
      <c r="S245" s="24">
        <v>10</v>
      </c>
      <c r="T245" s="24">
        <v>13</v>
      </c>
      <c r="U245" s="24">
        <v>3</v>
      </c>
      <c r="V245" s="24">
        <v>0</v>
      </c>
    </row>
    <row r="246" spans="1:22" x14ac:dyDescent="0.25">
      <c r="A246" s="24" t="s">
        <v>318</v>
      </c>
      <c r="B246" s="24" t="s">
        <v>15</v>
      </c>
      <c r="C246" s="24">
        <v>132.971657440066</v>
      </c>
      <c r="D246" s="24">
        <v>1E-3</v>
      </c>
      <c r="E246" s="25">
        <v>0.20108812022954201</v>
      </c>
      <c r="F246" s="24">
        <v>8</v>
      </c>
      <c r="G246" s="24">
        <v>5.07</v>
      </c>
      <c r="H246" s="24">
        <v>27</v>
      </c>
      <c r="I246" s="24">
        <v>3</v>
      </c>
      <c r="J246" s="24" t="str">
        <f>VLOOKUP(A246,編號對照表!$B$1:$C$133,2,FALSE)</f>
        <v>FG1-102</v>
      </c>
      <c r="K246" s="24" t="s">
        <v>800</v>
      </c>
      <c r="L246" s="24" t="s">
        <v>683</v>
      </c>
      <c r="M246" s="24">
        <v>1.27</v>
      </c>
      <c r="N246" s="24">
        <v>12</v>
      </c>
      <c r="O246" s="24">
        <v>25</v>
      </c>
      <c r="P246" s="24">
        <v>15</v>
      </c>
      <c r="Q246" s="24">
        <v>80</v>
      </c>
      <c r="R246" s="24">
        <v>200</v>
      </c>
      <c r="S246" s="24">
        <v>10</v>
      </c>
      <c r="T246" s="24">
        <v>17</v>
      </c>
      <c r="U246" s="24">
        <v>3</v>
      </c>
      <c r="V246" s="24">
        <v>0</v>
      </c>
    </row>
    <row r="247" spans="1:22" x14ac:dyDescent="0.25">
      <c r="A247" s="24" t="s">
        <v>318</v>
      </c>
      <c r="B247" s="24" t="s">
        <v>16</v>
      </c>
      <c r="C247" s="24">
        <v>49.044084735214703</v>
      </c>
      <c r="D247" s="24">
        <v>125.766322016716</v>
      </c>
      <c r="E247" s="25">
        <v>0.32804824877530298</v>
      </c>
      <c r="F247" s="24">
        <v>8</v>
      </c>
      <c r="G247" s="24">
        <v>5.07</v>
      </c>
      <c r="H247" s="24">
        <v>10</v>
      </c>
      <c r="I247" s="24">
        <v>25</v>
      </c>
      <c r="J247" s="24" t="str">
        <f>VLOOKUP(A247,編號對照表!$B$1:$C$133,2,FALSE)</f>
        <v>FG1-102</v>
      </c>
      <c r="K247" s="24" t="s">
        <v>645</v>
      </c>
      <c r="L247" s="24" t="s">
        <v>694</v>
      </c>
      <c r="M247" s="24">
        <v>2.54</v>
      </c>
      <c r="N247" s="24">
        <v>15</v>
      </c>
      <c r="O247" s="24">
        <v>25</v>
      </c>
      <c r="P247" s="24">
        <v>15</v>
      </c>
      <c r="Q247" s="24">
        <v>80</v>
      </c>
      <c r="R247" s="24">
        <v>200</v>
      </c>
      <c r="S247" s="24">
        <v>10</v>
      </c>
      <c r="T247" s="24">
        <v>0</v>
      </c>
      <c r="U247" s="24">
        <v>10</v>
      </c>
      <c r="V247" s="24">
        <v>15</v>
      </c>
    </row>
    <row r="248" spans="1:22" x14ac:dyDescent="0.25">
      <c r="A248" s="24" t="s">
        <v>319</v>
      </c>
      <c r="B248" s="24" t="s">
        <v>13</v>
      </c>
      <c r="C248" s="24">
        <v>5.9368013171479097</v>
      </c>
      <c r="D248" s="24">
        <v>133.29696841538001</v>
      </c>
      <c r="E248" s="25">
        <v>0.36094544921070298</v>
      </c>
      <c r="F248" s="24">
        <v>8</v>
      </c>
      <c r="G248" s="24">
        <v>5.07</v>
      </c>
      <c r="H248" s="24">
        <v>3</v>
      </c>
      <c r="I248" s="24">
        <v>27</v>
      </c>
      <c r="J248" s="24" t="str">
        <f>VLOOKUP(A248,編號對照表!$B$1:$C$133,2,FALSE)</f>
        <v>FG1-101</v>
      </c>
      <c r="K248" s="24" t="s">
        <v>590</v>
      </c>
      <c r="L248" s="24" t="s">
        <v>874</v>
      </c>
      <c r="M248" s="24">
        <v>2.54</v>
      </c>
      <c r="N248" s="24">
        <v>12</v>
      </c>
      <c r="O248" s="24">
        <v>25</v>
      </c>
      <c r="P248" s="24">
        <v>15</v>
      </c>
      <c r="Q248" s="24">
        <v>80</v>
      </c>
      <c r="R248" s="24">
        <v>200</v>
      </c>
      <c r="S248" s="24">
        <v>3</v>
      </c>
      <c r="T248" s="24">
        <v>0</v>
      </c>
      <c r="U248" s="24">
        <v>10</v>
      </c>
      <c r="V248" s="24">
        <v>17</v>
      </c>
    </row>
    <row r="249" spans="1:22" x14ac:dyDescent="0.25">
      <c r="A249" s="24" t="s">
        <v>319</v>
      </c>
      <c r="B249" s="24" t="s">
        <v>15</v>
      </c>
      <c r="C249" s="24">
        <v>39.821811951696901</v>
      </c>
      <c r="D249" s="24">
        <v>30.115628615021699</v>
      </c>
      <c r="E249" s="25">
        <v>0.37209112197160699</v>
      </c>
      <c r="F249" s="24">
        <v>8</v>
      </c>
      <c r="G249" s="24">
        <v>5.07</v>
      </c>
      <c r="H249" s="24">
        <v>8</v>
      </c>
      <c r="I249" s="24">
        <v>6</v>
      </c>
      <c r="J249" s="24" t="str">
        <f>VLOOKUP(A249,編號對照表!$B$1:$C$133,2,FALSE)</f>
        <v>FG1-101</v>
      </c>
      <c r="K249" s="24" t="s">
        <v>590</v>
      </c>
      <c r="L249" s="24" t="s">
        <v>874</v>
      </c>
      <c r="M249" s="24">
        <v>2.54</v>
      </c>
      <c r="N249" s="24">
        <v>12</v>
      </c>
      <c r="O249" s="24">
        <v>25</v>
      </c>
      <c r="P249" s="24">
        <v>15</v>
      </c>
      <c r="Q249" s="24">
        <v>80</v>
      </c>
      <c r="R249" s="24">
        <v>200</v>
      </c>
      <c r="S249" s="24">
        <v>8</v>
      </c>
      <c r="T249" s="24">
        <v>0</v>
      </c>
      <c r="U249" s="24">
        <v>6</v>
      </c>
      <c r="V249" s="24">
        <v>0</v>
      </c>
    </row>
    <row r="250" spans="1:22" x14ac:dyDescent="0.25">
      <c r="A250" s="24" t="s">
        <v>319</v>
      </c>
      <c r="B250" s="24" t="s">
        <v>16</v>
      </c>
      <c r="C250" s="24">
        <v>65.502510406076894</v>
      </c>
      <c r="D250" s="24">
        <v>1.34034737129696</v>
      </c>
      <c r="E250" s="25">
        <v>6.6959013929590597E-2</v>
      </c>
      <c r="F250" s="24">
        <v>8</v>
      </c>
      <c r="G250" s="24">
        <v>5.07</v>
      </c>
      <c r="H250" s="24">
        <v>13</v>
      </c>
      <c r="I250" s="24">
        <v>3</v>
      </c>
      <c r="J250" s="24" t="str">
        <f>VLOOKUP(A250,編號對照表!$B$1:$C$133,2,FALSE)</f>
        <v>FG1-101</v>
      </c>
      <c r="K250" s="24" t="s">
        <v>801</v>
      </c>
      <c r="L250" s="24" t="s">
        <v>683</v>
      </c>
      <c r="M250" s="24">
        <v>1.27</v>
      </c>
      <c r="N250" s="24">
        <v>12</v>
      </c>
      <c r="O250" s="24">
        <v>25</v>
      </c>
      <c r="P250" s="24">
        <v>15</v>
      </c>
      <c r="Q250" s="24">
        <v>80</v>
      </c>
      <c r="R250" s="24">
        <v>200</v>
      </c>
      <c r="S250" s="24">
        <v>10</v>
      </c>
      <c r="T250" s="24">
        <v>3</v>
      </c>
      <c r="U250" s="24">
        <v>3</v>
      </c>
      <c r="V250" s="24">
        <v>0</v>
      </c>
    </row>
    <row r="251" spans="1:22" x14ac:dyDescent="0.25">
      <c r="A251" s="24" t="s">
        <v>320</v>
      </c>
      <c r="B251" s="24" t="s">
        <v>13</v>
      </c>
      <c r="C251" s="24">
        <v>76.242340728640599</v>
      </c>
      <c r="D251" s="24">
        <v>1E-3</v>
      </c>
      <c r="E251" s="25">
        <v>0</v>
      </c>
      <c r="F251" s="24">
        <v>8</v>
      </c>
      <c r="G251" s="24">
        <v>5.07</v>
      </c>
      <c r="H251" s="24">
        <v>16</v>
      </c>
      <c r="I251" s="24">
        <v>3</v>
      </c>
      <c r="J251" s="24" t="str">
        <f>VLOOKUP(A251,編號對照表!$B$1:$C$133,2,FALSE)</f>
        <v>Fb1-A1</v>
      </c>
      <c r="K251" s="24" t="s">
        <v>591</v>
      </c>
      <c r="L251" s="24" t="s">
        <v>683</v>
      </c>
      <c r="M251" s="24">
        <v>1.27</v>
      </c>
      <c r="N251" s="24">
        <v>15</v>
      </c>
      <c r="O251" s="24">
        <v>25</v>
      </c>
      <c r="P251" s="24">
        <v>15</v>
      </c>
      <c r="Q251" s="24">
        <v>60</v>
      </c>
      <c r="R251" s="24">
        <v>200</v>
      </c>
      <c r="S251" s="24">
        <v>7</v>
      </c>
      <c r="T251" s="24">
        <v>9</v>
      </c>
      <c r="U251" s="24">
        <v>3</v>
      </c>
      <c r="V251" s="24">
        <v>0</v>
      </c>
    </row>
    <row r="252" spans="1:22" x14ac:dyDescent="0.25">
      <c r="A252" s="24" t="s">
        <v>320</v>
      </c>
      <c r="B252" s="24" t="s">
        <v>15</v>
      </c>
      <c r="C252" s="24">
        <v>62.538813799619703</v>
      </c>
      <c r="D252" s="24">
        <v>6.40022743027657</v>
      </c>
      <c r="E252" s="25">
        <v>0</v>
      </c>
      <c r="F252" s="24">
        <v>8</v>
      </c>
      <c r="G252" s="24">
        <v>5.07</v>
      </c>
      <c r="H252" s="24">
        <v>13</v>
      </c>
      <c r="I252" s="24">
        <v>3</v>
      </c>
      <c r="J252" s="24" t="str">
        <f>VLOOKUP(A252,編號對照表!$B$1:$C$133,2,FALSE)</f>
        <v>Fb1-A1</v>
      </c>
      <c r="K252" s="24" t="s">
        <v>802</v>
      </c>
      <c r="L252" s="24" t="s">
        <v>683</v>
      </c>
      <c r="M252" s="24">
        <v>1.27</v>
      </c>
      <c r="N252" s="24">
        <v>15</v>
      </c>
      <c r="O252" s="24">
        <v>25</v>
      </c>
      <c r="P252" s="24">
        <v>15</v>
      </c>
      <c r="Q252" s="24">
        <v>60</v>
      </c>
      <c r="R252" s="24">
        <v>200</v>
      </c>
      <c r="S252" s="24">
        <v>7</v>
      </c>
      <c r="T252" s="24">
        <v>6</v>
      </c>
      <c r="U252" s="24">
        <v>3</v>
      </c>
      <c r="V252" s="24">
        <v>0</v>
      </c>
    </row>
    <row r="253" spans="1:22" x14ac:dyDescent="0.25">
      <c r="A253" s="24" t="s">
        <v>320</v>
      </c>
      <c r="B253" s="24" t="s">
        <v>16</v>
      </c>
      <c r="C253" s="24">
        <v>17.219351138919599</v>
      </c>
      <c r="D253" s="24">
        <v>46.473369002342203</v>
      </c>
      <c r="E253" s="25">
        <v>0</v>
      </c>
      <c r="F253" s="24">
        <v>8</v>
      </c>
      <c r="G253" s="24">
        <v>5.07</v>
      </c>
      <c r="H253" s="24">
        <v>4</v>
      </c>
      <c r="I253" s="24">
        <v>10</v>
      </c>
      <c r="J253" s="24" t="str">
        <f>VLOOKUP(A253,編號對照表!$B$1:$C$133,2,FALSE)</f>
        <v>Fb1-A1</v>
      </c>
      <c r="K253" s="24" t="s">
        <v>802</v>
      </c>
      <c r="L253" s="24" t="s">
        <v>683</v>
      </c>
      <c r="M253" s="24">
        <v>1.27</v>
      </c>
      <c r="N253" s="24">
        <v>15</v>
      </c>
      <c r="O253" s="24">
        <v>25</v>
      </c>
      <c r="P253" s="24">
        <v>15</v>
      </c>
      <c r="Q253" s="24">
        <v>60</v>
      </c>
      <c r="R253" s="24">
        <v>200</v>
      </c>
      <c r="S253" s="24">
        <v>4</v>
      </c>
      <c r="T253" s="24">
        <v>0</v>
      </c>
      <c r="U253" s="24">
        <v>7</v>
      </c>
      <c r="V253" s="24">
        <v>3</v>
      </c>
    </row>
    <row r="254" spans="1:22" x14ac:dyDescent="0.25">
      <c r="A254" s="24" t="s">
        <v>321</v>
      </c>
      <c r="B254" s="24" t="s">
        <v>13</v>
      </c>
      <c r="C254" s="24">
        <v>70.287114940583706</v>
      </c>
      <c r="D254" s="24">
        <v>2.3577526735607499</v>
      </c>
      <c r="E254" s="25">
        <v>0.136520864907652</v>
      </c>
      <c r="F254" s="24">
        <v>8</v>
      </c>
      <c r="G254" s="24">
        <v>5.07</v>
      </c>
      <c r="H254" s="24">
        <v>14</v>
      </c>
      <c r="I254" s="24">
        <v>3</v>
      </c>
      <c r="J254" s="24" t="str">
        <f>VLOOKUP(A254,編號對照表!$B$1:$C$133,2,FALSE)</f>
        <v>FG2-83</v>
      </c>
      <c r="K254" s="24" t="s">
        <v>803</v>
      </c>
      <c r="L254" s="24" t="s">
        <v>694</v>
      </c>
      <c r="M254" s="24">
        <v>2.54</v>
      </c>
      <c r="N254" s="24">
        <v>15</v>
      </c>
      <c r="O254" s="24">
        <v>25</v>
      </c>
      <c r="P254" s="24">
        <v>15</v>
      </c>
      <c r="Q254" s="24">
        <v>120</v>
      </c>
      <c r="R254" s="24">
        <v>280</v>
      </c>
      <c r="S254" s="24">
        <v>14</v>
      </c>
      <c r="T254" s="24">
        <v>0</v>
      </c>
      <c r="U254" s="24">
        <v>3</v>
      </c>
      <c r="V254" s="24">
        <v>0</v>
      </c>
    </row>
    <row r="255" spans="1:22" x14ac:dyDescent="0.25">
      <c r="A255" s="24" t="s">
        <v>321</v>
      </c>
      <c r="B255" s="24" t="s">
        <v>15</v>
      </c>
      <c r="C255" s="24">
        <v>115.96734635531899</v>
      </c>
      <c r="D255" s="24">
        <v>1E-3</v>
      </c>
      <c r="E255" s="25">
        <v>6.6959013929590597E-2</v>
      </c>
      <c r="F255" s="24">
        <v>8</v>
      </c>
      <c r="G255" s="24">
        <v>5.07</v>
      </c>
      <c r="H255" s="24">
        <v>23</v>
      </c>
      <c r="I255" s="24">
        <v>3</v>
      </c>
      <c r="J255" s="24" t="str">
        <f>VLOOKUP(A255,編號對照表!$B$1:$C$133,2,FALSE)</f>
        <v>FG2-83</v>
      </c>
      <c r="K255" s="24" t="s">
        <v>803</v>
      </c>
      <c r="L255" s="24" t="s">
        <v>694</v>
      </c>
      <c r="M255" s="24">
        <v>2.54</v>
      </c>
      <c r="N255" s="24">
        <v>15</v>
      </c>
      <c r="O255" s="24">
        <v>25</v>
      </c>
      <c r="P255" s="24">
        <v>15</v>
      </c>
      <c r="Q255" s="24">
        <v>120</v>
      </c>
      <c r="R255" s="24">
        <v>280</v>
      </c>
      <c r="S255" s="24">
        <v>16</v>
      </c>
      <c r="T255" s="24">
        <v>7</v>
      </c>
      <c r="U255" s="24">
        <v>3</v>
      </c>
      <c r="V255" s="24">
        <v>0</v>
      </c>
    </row>
    <row r="256" spans="1:22" x14ac:dyDescent="0.25">
      <c r="A256" s="24" t="s">
        <v>321</v>
      </c>
      <c r="B256" s="24" t="s">
        <v>16</v>
      </c>
      <c r="C256" s="24">
        <v>103.949597105384</v>
      </c>
      <c r="D256" s="24">
        <v>1E-3</v>
      </c>
      <c r="E256" s="25">
        <v>8.1343937199562802E-2</v>
      </c>
      <c r="F256" s="24">
        <v>8</v>
      </c>
      <c r="G256" s="24">
        <v>5.07</v>
      </c>
      <c r="H256" s="24">
        <v>21</v>
      </c>
      <c r="I256" s="24">
        <v>3</v>
      </c>
      <c r="J256" s="24" t="str">
        <f>VLOOKUP(A256,編號對照表!$B$1:$C$133,2,FALSE)</f>
        <v>FG2-83</v>
      </c>
      <c r="K256" s="24" t="s">
        <v>669</v>
      </c>
      <c r="L256" s="24" t="s">
        <v>874</v>
      </c>
      <c r="M256" s="24">
        <v>2.54</v>
      </c>
      <c r="N256" s="24">
        <v>15</v>
      </c>
      <c r="O256" s="24">
        <v>25</v>
      </c>
      <c r="P256" s="24">
        <v>15</v>
      </c>
      <c r="Q256" s="24">
        <v>120</v>
      </c>
      <c r="R256" s="24">
        <v>280</v>
      </c>
      <c r="S256" s="24">
        <v>16</v>
      </c>
      <c r="T256" s="24">
        <v>5</v>
      </c>
      <c r="U256" s="24">
        <v>3</v>
      </c>
      <c r="V256" s="24">
        <v>0</v>
      </c>
    </row>
    <row r="257" spans="1:22" x14ac:dyDescent="0.25">
      <c r="A257" s="24" t="s">
        <v>322</v>
      </c>
      <c r="B257" s="24" t="s">
        <v>13</v>
      </c>
      <c r="C257" s="24">
        <v>1E-3</v>
      </c>
      <c r="D257" s="24">
        <v>171.41077667474701</v>
      </c>
      <c r="E257" s="25">
        <v>5.02192589920014E-2</v>
      </c>
      <c r="F257" s="24">
        <v>8</v>
      </c>
      <c r="G257" s="24">
        <v>5.07</v>
      </c>
      <c r="H257" s="24">
        <v>3</v>
      </c>
      <c r="I257" s="24">
        <v>34</v>
      </c>
      <c r="J257" s="24" t="str">
        <f>VLOOKUP(A257,編號對照表!$B$1:$C$133,2,FALSE)</f>
        <v>Fb1-C1</v>
      </c>
      <c r="K257" s="24" t="s">
        <v>861</v>
      </c>
      <c r="L257" s="24" t="s">
        <v>683</v>
      </c>
      <c r="M257" s="24">
        <v>1.27</v>
      </c>
      <c r="N257" s="24">
        <v>15</v>
      </c>
      <c r="O257" s="24">
        <v>25</v>
      </c>
      <c r="P257" s="24">
        <v>15</v>
      </c>
      <c r="Q257" s="24">
        <v>60</v>
      </c>
      <c r="R257" s="24">
        <v>200</v>
      </c>
      <c r="S257" s="24">
        <v>3</v>
      </c>
      <c r="T257" s="24">
        <v>0</v>
      </c>
      <c r="U257" s="24">
        <v>7</v>
      </c>
      <c r="V257" s="24">
        <v>27</v>
      </c>
    </row>
    <row r="258" spans="1:22" x14ac:dyDescent="0.25">
      <c r="A258" s="24" t="s">
        <v>322</v>
      </c>
      <c r="B258" s="24" t="s">
        <v>15</v>
      </c>
      <c r="C258" s="24">
        <v>32.7562470920384</v>
      </c>
      <c r="D258" s="24">
        <v>74.389777146279798</v>
      </c>
      <c r="E258" s="25">
        <v>5.02192589920014E-2</v>
      </c>
      <c r="F258" s="24">
        <v>8</v>
      </c>
      <c r="G258" s="24">
        <v>5.07</v>
      </c>
      <c r="H258" s="24">
        <v>7</v>
      </c>
      <c r="I258" s="24">
        <v>15</v>
      </c>
      <c r="J258" s="24" t="str">
        <f>VLOOKUP(A258,編號對照表!$B$1:$C$133,2,FALSE)</f>
        <v>Fb1-C1</v>
      </c>
      <c r="K258" s="24" t="s">
        <v>861</v>
      </c>
      <c r="L258" s="24" t="s">
        <v>683</v>
      </c>
      <c r="M258" s="24">
        <v>1.27</v>
      </c>
      <c r="N258" s="24">
        <v>15</v>
      </c>
      <c r="O258" s="24">
        <v>25</v>
      </c>
      <c r="P258" s="24">
        <v>15</v>
      </c>
      <c r="Q258" s="24">
        <v>60</v>
      </c>
      <c r="R258" s="24">
        <v>200</v>
      </c>
      <c r="S258" s="24">
        <v>7</v>
      </c>
      <c r="T258" s="24">
        <v>0</v>
      </c>
      <c r="U258" s="24">
        <v>7</v>
      </c>
      <c r="V258" s="24">
        <v>8</v>
      </c>
    </row>
    <row r="259" spans="1:22" x14ac:dyDescent="0.25">
      <c r="A259" s="24" t="s">
        <v>322</v>
      </c>
      <c r="B259" s="24" t="s">
        <v>16</v>
      </c>
      <c r="C259" s="24">
        <v>52.378037944436102</v>
      </c>
      <c r="D259" s="24">
        <v>1E-3</v>
      </c>
      <c r="E259" s="25">
        <v>0</v>
      </c>
      <c r="F259" s="24">
        <v>8</v>
      </c>
      <c r="G259" s="24">
        <v>5.07</v>
      </c>
      <c r="H259" s="24">
        <v>11</v>
      </c>
      <c r="I259" s="24">
        <v>3</v>
      </c>
      <c r="J259" s="24" t="str">
        <f>VLOOKUP(A259,編號對照表!$B$1:$C$133,2,FALSE)</f>
        <v>Fb1-C1</v>
      </c>
      <c r="K259" s="24" t="s">
        <v>861</v>
      </c>
      <c r="L259" s="24" t="s">
        <v>683</v>
      </c>
      <c r="M259" s="24">
        <v>1.27</v>
      </c>
      <c r="N259" s="24">
        <v>15</v>
      </c>
      <c r="O259" s="24">
        <v>25</v>
      </c>
      <c r="P259" s="24">
        <v>15</v>
      </c>
      <c r="Q259" s="24">
        <v>60</v>
      </c>
      <c r="R259" s="24">
        <v>200</v>
      </c>
      <c r="S259" s="24">
        <v>7</v>
      </c>
      <c r="T259" s="24">
        <v>4</v>
      </c>
      <c r="U259" s="24">
        <v>3</v>
      </c>
      <c r="V259" s="24">
        <v>0</v>
      </c>
    </row>
    <row r="260" spans="1:22" x14ac:dyDescent="0.25">
      <c r="A260" s="24" t="s">
        <v>323</v>
      </c>
      <c r="B260" s="24" t="s">
        <v>13</v>
      </c>
      <c r="C260" s="24">
        <v>119.727877900004</v>
      </c>
      <c r="D260" s="24">
        <v>80.909701064228997</v>
      </c>
      <c r="E260" s="25">
        <v>0.114871386904269</v>
      </c>
      <c r="F260" s="24">
        <v>8</v>
      </c>
      <c r="G260" s="24">
        <v>5.07</v>
      </c>
      <c r="H260" s="24">
        <v>24</v>
      </c>
      <c r="I260" s="24">
        <v>16</v>
      </c>
      <c r="J260" s="24" t="str">
        <f>VLOOKUP(A260,編號對照表!$B$1:$C$133,2,FALSE)</f>
        <v>FB1-D'2</v>
      </c>
      <c r="K260" s="24" t="s">
        <v>804</v>
      </c>
      <c r="L260" s="24" t="s">
        <v>683</v>
      </c>
      <c r="M260" s="24">
        <v>1.27</v>
      </c>
      <c r="N260" s="24">
        <v>12</v>
      </c>
      <c r="O260" s="24">
        <v>25</v>
      </c>
      <c r="P260" s="24">
        <v>15</v>
      </c>
      <c r="Q260" s="24">
        <v>80</v>
      </c>
      <c r="R260" s="24">
        <v>200</v>
      </c>
      <c r="S260" s="24">
        <v>10</v>
      </c>
      <c r="T260" s="24">
        <v>14</v>
      </c>
      <c r="U260" s="24">
        <v>10</v>
      </c>
      <c r="V260" s="24">
        <v>6</v>
      </c>
    </row>
    <row r="261" spans="1:22" x14ac:dyDescent="0.25">
      <c r="A261" s="24" t="s">
        <v>323</v>
      </c>
      <c r="B261" s="24" t="s">
        <v>15</v>
      </c>
      <c r="C261" s="24">
        <v>119.503382593393</v>
      </c>
      <c r="D261" s="24">
        <v>21.6331356205046</v>
      </c>
      <c r="E261" s="25">
        <v>0.1302634133026</v>
      </c>
      <c r="F261" s="24">
        <v>8</v>
      </c>
      <c r="G261" s="24">
        <v>5.07</v>
      </c>
      <c r="H261" s="24">
        <v>24</v>
      </c>
      <c r="I261" s="24">
        <v>5</v>
      </c>
      <c r="J261" s="24" t="str">
        <f>VLOOKUP(A261,編號對照表!$B$1:$C$133,2,FALSE)</f>
        <v>FB1-D'2</v>
      </c>
      <c r="K261" s="24" t="s">
        <v>804</v>
      </c>
      <c r="L261" s="24" t="s">
        <v>683</v>
      </c>
      <c r="M261" s="24">
        <v>1.27</v>
      </c>
      <c r="N261" s="24">
        <v>12</v>
      </c>
      <c r="O261" s="24">
        <v>25</v>
      </c>
      <c r="P261" s="24">
        <v>15</v>
      </c>
      <c r="Q261" s="24">
        <v>80</v>
      </c>
      <c r="R261" s="24">
        <v>200</v>
      </c>
      <c r="S261" s="24">
        <v>10</v>
      </c>
      <c r="T261" s="24">
        <v>14</v>
      </c>
      <c r="U261" s="24">
        <v>5</v>
      </c>
      <c r="V261" s="24">
        <v>0</v>
      </c>
    </row>
    <row r="262" spans="1:22" x14ac:dyDescent="0.25">
      <c r="A262" s="24" t="s">
        <v>323</v>
      </c>
      <c r="B262" s="24" t="s">
        <v>16</v>
      </c>
      <c r="C262" s="24">
        <v>64.962040632963195</v>
      </c>
      <c r="D262" s="24">
        <v>34.763757139444401</v>
      </c>
      <c r="E262" s="25">
        <v>0</v>
      </c>
      <c r="F262" s="24">
        <v>8</v>
      </c>
      <c r="G262" s="24">
        <v>5.07</v>
      </c>
      <c r="H262" s="24">
        <v>13</v>
      </c>
      <c r="I262" s="24">
        <v>7</v>
      </c>
      <c r="J262" s="24" t="str">
        <f>VLOOKUP(A262,編號對照表!$B$1:$C$133,2,FALSE)</f>
        <v>FB1-D'2</v>
      </c>
      <c r="K262" s="24" t="s">
        <v>646</v>
      </c>
      <c r="L262" s="24" t="s">
        <v>683</v>
      </c>
      <c r="M262" s="24">
        <v>1.27</v>
      </c>
      <c r="N262" s="24">
        <v>12</v>
      </c>
      <c r="O262" s="24">
        <v>25</v>
      </c>
      <c r="P262" s="24">
        <v>15</v>
      </c>
      <c r="Q262" s="24">
        <v>80</v>
      </c>
      <c r="R262" s="24">
        <v>200</v>
      </c>
      <c r="S262" s="24">
        <v>10</v>
      </c>
      <c r="T262" s="24">
        <v>3</v>
      </c>
      <c r="U262" s="24">
        <v>7</v>
      </c>
      <c r="V262" s="24">
        <v>0</v>
      </c>
    </row>
    <row r="263" spans="1:22" x14ac:dyDescent="0.25">
      <c r="A263" s="24" t="s">
        <v>324</v>
      </c>
      <c r="B263" s="24" t="s">
        <v>13</v>
      </c>
      <c r="C263" s="24">
        <v>55.364724248647697</v>
      </c>
      <c r="D263" s="24">
        <v>1E-3</v>
      </c>
      <c r="E263" s="25">
        <v>5.02192589920014E-2</v>
      </c>
      <c r="F263" s="24">
        <v>8</v>
      </c>
      <c r="G263" s="24">
        <v>5.07</v>
      </c>
      <c r="H263" s="24">
        <v>11</v>
      </c>
      <c r="I263" s="24">
        <v>3</v>
      </c>
      <c r="J263" s="24" t="str">
        <f>VLOOKUP(A263,編號對照表!$B$1:$C$133,2,FALSE)</f>
        <v>FB1-B7</v>
      </c>
      <c r="K263" s="24" t="s">
        <v>592</v>
      </c>
      <c r="L263" s="24" t="s">
        <v>683</v>
      </c>
      <c r="M263" s="24">
        <v>1.27</v>
      </c>
      <c r="N263" s="24">
        <v>12</v>
      </c>
      <c r="O263" s="24">
        <v>25</v>
      </c>
      <c r="P263" s="24">
        <v>15</v>
      </c>
      <c r="Q263" s="24">
        <v>80</v>
      </c>
      <c r="R263" s="24">
        <v>200</v>
      </c>
      <c r="S263" s="24">
        <v>9</v>
      </c>
      <c r="T263" s="24">
        <v>2</v>
      </c>
      <c r="U263" s="24">
        <v>3</v>
      </c>
      <c r="V263" s="24">
        <v>0</v>
      </c>
    </row>
    <row r="264" spans="1:22" x14ac:dyDescent="0.25">
      <c r="A264" s="24" t="s">
        <v>324</v>
      </c>
      <c r="B264" s="24" t="s">
        <v>15</v>
      </c>
      <c r="C264" s="24">
        <v>77.584008686244502</v>
      </c>
      <c r="D264" s="24">
        <v>1E-3</v>
      </c>
      <c r="E264" s="25">
        <v>6.5132434247061596E-2</v>
      </c>
      <c r="F264" s="24">
        <v>8</v>
      </c>
      <c r="G264" s="24">
        <v>5.07</v>
      </c>
      <c r="H264" s="24">
        <v>16</v>
      </c>
      <c r="I264" s="24">
        <v>3</v>
      </c>
      <c r="J264" s="24" t="str">
        <f>VLOOKUP(A264,編號對照表!$B$1:$C$133,2,FALSE)</f>
        <v>FB1-B7</v>
      </c>
      <c r="K264" s="24" t="s">
        <v>805</v>
      </c>
      <c r="L264" s="24" t="s">
        <v>683</v>
      </c>
      <c r="M264" s="24">
        <v>1.27</v>
      </c>
      <c r="N264" s="24">
        <v>12</v>
      </c>
      <c r="O264" s="24">
        <v>25</v>
      </c>
      <c r="P264" s="24">
        <v>15</v>
      </c>
      <c r="Q264" s="24">
        <v>80</v>
      </c>
      <c r="R264" s="24">
        <v>200</v>
      </c>
      <c r="S264" s="24">
        <v>10</v>
      </c>
      <c r="T264" s="24">
        <v>6</v>
      </c>
      <c r="U264" s="24">
        <v>3</v>
      </c>
      <c r="V264" s="24">
        <v>0</v>
      </c>
    </row>
    <row r="265" spans="1:22" x14ac:dyDescent="0.25">
      <c r="A265" s="24" t="s">
        <v>324</v>
      </c>
      <c r="B265" s="24" t="s">
        <v>16</v>
      </c>
      <c r="C265" s="24">
        <v>33.433556091040401</v>
      </c>
      <c r="D265" s="24">
        <v>21.3520578108728</v>
      </c>
      <c r="E265" s="25">
        <v>8.7205629097297802E-2</v>
      </c>
      <c r="F265" s="24">
        <v>8</v>
      </c>
      <c r="G265" s="24">
        <v>5.07</v>
      </c>
      <c r="H265" s="24">
        <v>7</v>
      </c>
      <c r="I265" s="24">
        <v>5</v>
      </c>
      <c r="J265" s="24" t="str">
        <f>VLOOKUP(A265,編號對照表!$B$1:$C$133,2,FALSE)</f>
        <v>FB1-B7</v>
      </c>
      <c r="K265" s="24" t="s">
        <v>805</v>
      </c>
      <c r="L265" s="24" t="s">
        <v>683</v>
      </c>
      <c r="M265" s="24">
        <v>1.27</v>
      </c>
      <c r="N265" s="24">
        <v>12</v>
      </c>
      <c r="O265" s="24">
        <v>25</v>
      </c>
      <c r="P265" s="24">
        <v>15</v>
      </c>
      <c r="Q265" s="24">
        <v>80</v>
      </c>
      <c r="R265" s="24">
        <v>200</v>
      </c>
      <c r="S265" s="24">
        <v>7</v>
      </c>
      <c r="T265" s="24">
        <v>0</v>
      </c>
      <c r="U265" s="24">
        <v>5</v>
      </c>
      <c r="V265" s="24">
        <v>0</v>
      </c>
    </row>
    <row r="266" spans="1:22" x14ac:dyDescent="0.25">
      <c r="A266" s="24" t="s">
        <v>325</v>
      </c>
      <c r="B266" s="24" t="s">
        <v>13</v>
      </c>
      <c r="C266" s="24">
        <v>213.57599645853</v>
      </c>
      <c r="D266" s="24">
        <v>1E-3</v>
      </c>
      <c r="E266" s="25">
        <v>6.6959013929590597E-2</v>
      </c>
      <c r="F266" s="24">
        <v>8</v>
      </c>
      <c r="G266" s="24">
        <v>5.07</v>
      </c>
      <c r="H266" s="24">
        <v>43</v>
      </c>
      <c r="I266" s="24">
        <v>3</v>
      </c>
      <c r="J266" s="24" t="str">
        <f>VLOOKUP(A266,編號對照表!$B$1:$C$133,2,FALSE)</f>
        <v>FB1-C7</v>
      </c>
      <c r="K266" s="24" t="s">
        <v>693</v>
      </c>
      <c r="L266" s="24" t="s">
        <v>683</v>
      </c>
      <c r="M266" s="24">
        <v>1.27</v>
      </c>
      <c r="N266" s="24">
        <v>12</v>
      </c>
      <c r="O266" s="24">
        <v>25</v>
      </c>
      <c r="P266" s="24">
        <v>15</v>
      </c>
      <c r="Q266" s="24">
        <v>80</v>
      </c>
      <c r="R266" s="24">
        <v>200</v>
      </c>
      <c r="S266" s="24">
        <v>10</v>
      </c>
      <c r="T266" s="24">
        <v>33</v>
      </c>
      <c r="U266" s="24">
        <v>3</v>
      </c>
      <c r="V266" s="24">
        <v>0</v>
      </c>
    </row>
    <row r="267" spans="1:22" x14ac:dyDescent="0.25">
      <c r="A267" s="24" t="s">
        <v>325</v>
      </c>
      <c r="B267" s="24" t="s">
        <v>15</v>
      </c>
      <c r="C267" s="24">
        <v>195.676404982805</v>
      </c>
      <c r="D267" s="24">
        <v>1E-3</v>
      </c>
      <c r="E267" s="25">
        <v>6.6959013929590597E-2</v>
      </c>
      <c r="F267" s="24">
        <v>8</v>
      </c>
      <c r="G267" s="24">
        <v>5.07</v>
      </c>
      <c r="H267" s="24">
        <v>39</v>
      </c>
      <c r="I267" s="24">
        <v>3</v>
      </c>
      <c r="J267" s="24" t="str">
        <f>VLOOKUP(A267,編號對照表!$B$1:$C$133,2,FALSE)</f>
        <v>FB1-C7</v>
      </c>
      <c r="K267" s="24" t="s">
        <v>693</v>
      </c>
      <c r="L267" s="24" t="s">
        <v>683</v>
      </c>
      <c r="M267" s="24">
        <v>1.27</v>
      </c>
      <c r="N267" s="24">
        <v>12</v>
      </c>
      <c r="O267" s="24">
        <v>25</v>
      </c>
      <c r="P267" s="24">
        <v>15</v>
      </c>
      <c r="Q267" s="24">
        <v>80</v>
      </c>
      <c r="R267" s="24">
        <v>200</v>
      </c>
      <c r="S267" s="24">
        <v>10</v>
      </c>
      <c r="T267" s="24">
        <v>29</v>
      </c>
      <c r="U267" s="24">
        <v>3</v>
      </c>
      <c r="V267" s="24">
        <v>0</v>
      </c>
    </row>
    <row r="268" spans="1:22" x14ac:dyDescent="0.25">
      <c r="A268" s="24" t="s">
        <v>325</v>
      </c>
      <c r="B268" s="24" t="s">
        <v>16</v>
      </c>
      <c r="C268" s="24">
        <v>99.351415410637898</v>
      </c>
      <c r="D268" s="24">
        <v>1E-3</v>
      </c>
      <c r="E268" s="25">
        <v>6.6959013929590597E-2</v>
      </c>
      <c r="F268" s="24">
        <v>8</v>
      </c>
      <c r="G268" s="24">
        <v>5.07</v>
      </c>
      <c r="H268" s="24">
        <v>20</v>
      </c>
      <c r="I268" s="24">
        <v>3</v>
      </c>
      <c r="J268" s="24" t="str">
        <f>VLOOKUP(A268,編號對照表!$B$1:$C$133,2,FALSE)</f>
        <v>FB1-C7</v>
      </c>
      <c r="K268" s="24" t="s">
        <v>693</v>
      </c>
      <c r="L268" s="24" t="s">
        <v>683</v>
      </c>
      <c r="M268" s="24">
        <v>1.27</v>
      </c>
      <c r="N268" s="24">
        <v>12</v>
      </c>
      <c r="O268" s="24">
        <v>25</v>
      </c>
      <c r="P268" s="24">
        <v>15</v>
      </c>
      <c r="Q268" s="24">
        <v>80</v>
      </c>
      <c r="R268" s="24">
        <v>200</v>
      </c>
      <c r="S268" s="24">
        <v>10</v>
      </c>
      <c r="T268" s="24">
        <v>10</v>
      </c>
      <c r="U268" s="24">
        <v>3</v>
      </c>
      <c r="V268" s="24">
        <v>0</v>
      </c>
    </row>
    <row r="269" spans="1:22" x14ac:dyDescent="0.25">
      <c r="A269" s="24" t="s">
        <v>327</v>
      </c>
      <c r="B269" s="24" t="s">
        <v>13</v>
      </c>
      <c r="C269" s="24">
        <v>1E-3</v>
      </c>
      <c r="D269" s="24">
        <v>97.797885537147494</v>
      </c>
      <c r="E269" s="25">
        <v>0.46997172757983202</v>
      </c>
      <c r="F269" s="24">
        <v>8</v>
      </c>
      <c r="G269" s="24">
        <v>5.07</v>
      </c>
      <c r="H269" s="24">
        <v>3</v>
      </c>
      <c r="I269" s="24">
        <v>20</v>
      </c>
      <c r="J269" s="24" t="str">
        <f>VLOOKUP(A269,編號對照表!$B$1:$C$133,2,FALSE)</f>
        <v>Fb1-55</v>
      </c>
      <c r="K269" s="24" t="s">
        <v>806</v>
      </c>
      <c r="L269" s="24" t="s">
        <v>694</v>
      </c>
      <c r="M269" s="24">
        <v>2.54</v>
      </c>
      <c r="N269" s="24">
        <v>10</v>
      </c>
      <c r="O269" s="24">
        <v>25</v>
      </c>
      <c r="P269" s="24">
        <v>15</v>
      </c>
      <c r="Q269" s="24">
        <v>60</v>
      </c>
      <c r="R269" s="24">
        <v>200</v>
      </c>
      <c r="S269" s="24">
        <v>3</v>
      </c>
      <c r="T269" s="24">
        <v>0</v>
      </c>
      <c r="U269" s="24">
        <v>7</v>
      </c>
      <c r="V269" s="24">
        <v>13</v>
      </c>
    </row>
    <row r="270" spans="1:22" x14ac:dyDescent="0.25">
      <c r="A270" s="24" t="s">
        <v>327</v>
      </c>
      <c r="B270" s="24" t="s">
        <v>15</v>
      </c>
      <c r="C270" s="24">
        <v>106.574455276132</v>
      </c>
      <c r="D270" s="24">
        <v>45.642424374818802</v>
      </c>
      <c r="E270" s="25">
        <v>0.48156436532735802</v>
      </c>
      <c r="F270" s="24">
        <v>8</v>
      </c>
      <c r="G270" s="24">
        <v>5.07</v>
      </c>
      <c r="H270" s="24">
        <v>22</v>
      </c>
      <c r="I270" s="24">
        <v>10</v>
      </c>
      <c r="J270" s="24" t="str">
        <f>VLOOKUP(A270,編號對照表!$B$1:$C$133,2,FALSE)</f>
        <v>Fb1-55</v>
      </c>
      <c r="K270" s="24" t="s">
        <v>806</v>
      </c>
      <c r="L270" s="24" t="s">
        <v>694</v>
      </c>
      <c r="M270" s="24">
        <v>2.54</v>
      </c>
      <c r="N270" s="24">
        <v>10</v>
      </c>
      <c r="O270" s="24">
        <v>25</v>
      </c>
      <c r="P270" s="24">
        <v>15</v>
      </c>
      <c r="Q270" s="24">
        <v>60</v>
      </c>
      <c r="R270" s="24">
        <v>200</v>
      </c>
      <c r="S270" s="24">
        <v>7</v>
      </c>
      <c r="T270" s="24">
        <v>15</v>
      </c>
      <c r="U270" s="24">
        <v>7</v>
      </c>
      <c r="V270" s="24">
        <v>3</v>
      </c>
    </row>
    <row r="271" spans="1:22" x14ac:dyDescent="0.25">
      <c r="A271" s="24" t="s">
        <v>327</v>
      </c>
      <c r="B271" s="24" t="s">
        <v>16</v>
      </c>
      <c r="C271" s="24">
        <v>1E-3</v>
      </c>
      <c r="D271" s="24">
        <v>137.92850077152301</v>
      </c>
      <c r="E271" s="25">
        <v>6.6959013929590597E-2</v>
      </c>
      <c r="F271" s="24">
        <v>8</v>
      </c>
      <c r="G271" s="24">
        <v>5.07</v>
      </c>
      <c r="H271" s="24">
        <v>3</v>
      </c>
      <c r="I271" s="24">
        <v>28</v>
      </c>
      <c r="J271" s="24" t="str">
        <f>VLOOKUP(A271,編號對照表!$B$1:$C$133,2,FALSE)</f>
        <v>Fb1-55</v>
      </c>
      <c r="K271" s="24" t="s">
        <v>670</v>
      </c>
      <c r="L271" s="24" t="s">
        <v>683</v>
      </c>
      <c r="M271" s="24">
        <v>1.27</v>
      </c>
      <c r="N271" s="24">
        <v>15</v>
      </c>
      <c r="O271" s="24">
        <v>25</v>
      </c>
      <c r="P271" s="24">
        <v>15</v>
      </c>
      <c r="Q271" s="24">
        <v>60</v>
      </c>
      <c r="R271" s="24">
        <v>200</v>
      </c>
      <c r="S271" s="24">
        <v>3</v>
      </c>
      <c r="T271" s="24">
        <v>0</v>
      </c>
      <c r="U271" s="24">
        <v>7</v>
      </c>
      <c r="V271" s="24">
        <v>21</v>
      </c>
    </row>
    <row r="272" spans="1:22" x14ac:dyDescent="0.25">
      <c r="A272" s="24" t="s">
        <v>328</v>
      </c>
      <c r="B272" s="24" t="s">
        <v>13</v>
      </c>
      <c r="C272" s="24">
        <v>1E-3</v>
      </c>
      <c r="D272" s="24">
        <v>78.2785564661026</v>
      </c>
      <c r="E272" s="25">
        <v>0.329892383888364</v>
      </c>
      <c r="F272" s="24">
        <v>8</v>
      </c>
      <c r="G272" s="24">
        <v>5.07</v>
      </c>
      <c r="H272" s="24">
        <v>3</v>
      </c>
      <c r="I272" s="24">
        <v>16</v>
      </c>
      <c r="J272" s="24" t="str">
        <f>VLOOKUP(A272,編號對照表!$B$1:$C$133,2,FALSE)</f>
        <v>FB1-B4</v>
      </c>
      <c r="K272" s="24" t="s">
        <v>807</v>
      </c>
      <c r="L272" s="24" t="s">
        <v>874</v>
      </c>
      <c r="M272" s="24">
        <v>2.54</v>
      </c>
      <c r="N272" s="24">
        <v>15</v>
      </c>
      <c r="O272" s="24">
        <v>25</v>
      </c>
      <c r="P272" s="24">
        <v>15</v>
      </c>
      <c r="Q272" s="24">
        <v>80</v>
      </c>
      <c r="R272" s="24">
        <v>200</v>
      </c>
      <c r="S272" s="24">
        <v>3</v>
      </c>
      <c r="T272" s="24">
        <v>0</v>
      </c>
      <c r="U272" s="24">
        <v>10</v>
      </c>
      <c r="V272" s="24">
        <v>6</v>
      </c>
    </row>
    <row r="273" spans="1:22" x14ac:dyDescent="0.25">
      <c r="A273" s="24" t="s">
        <v>328</v>
      </c>
      <c r="B273" s="24" t="s">
        <v>15</v>
      </c>
      <c r="C273" s="24">
        <v>52.888118661940098</v>
      </c>
      <c r="D273" s="24">
        <v>1E-3</v>
      </c>
      <c r="E273" s="25">
        <v>0.43395236134529103</v>
      </c>
      <c r="F273" s="24">
        <v>8</v>
      </c>
      <c r="G273" s="24">
        <v>5.07</v>
      </c>
      <c r="H273" s="24">
        <v>11</v>
      </c>
      <c r="I273" s="24">
        <v>3</v>
      </c>
      <c r="J273" s="24" t="str">
        <f>VLOOKUP(A273,編號對照表!$B$1:$C$133,2,FALSE)</f>
        <v>FB1-B4</v>
      </c>
      <c r="K273" s="24" t="s">
        <v>807</v>
      </c>
      <c r="L273" s="24" t="s">
        <v>874</v>
      </c>
      <c r="M273" s="24">
        <v>2.54</v>
      </c>
      <c r="N273" s="24">
        <v>10</v>
      </c>
      <c r="O273" s="24">
        <v>25</v>
      </c>
      <c r="P273" s="24">
        <v>15</v>
      </c>
      <c r="Q273" s="24">
        <v>80</v>
      </c>
      <c r="R273" s="24">
        <v>200</v>
      </c>
      <c r="S273" s="24">
        <v>9</v>
      </c>
      <c r="T273" s="24">
        <v>2</v>
      </c>
      <c r="U273" s="24">
        <v>3</v>
      </c>
      <c r="V273" s="24">
        <v>0</v>
      </c>
    </row>
    <row r="274" spans="1:22" x14ac:dyDescent="0.25">
      <c r="A274" s="24" t="s">
        <v>328</v>
      </c>
      <c r="B274" s="24" t="s">
        <v>16</v>
      </c>
      <c r="C274" s="24">
        <v>1E-3</v>
      </c>
      <c r="D274" s="24">
        <v>108.528798446059</v>
      </c>
      <c r="E274" s="25">
        <v>0.42068422771990299</v>
      </c>
      <c r="F274" s="24">
        <v>8</v>
      </c>
      <c r="G274" s="24">
        <v>5.07</v>
      </c>
      <c r="H274" s="24">
        <v>3</v>
      </c>
      <c r="I274" s="24">
        <v>22</v>
      </c>
      <c r="J274" s="24" t="str">
        <f>VLOOKUP(A274,編號對照表!$B$1:$C$133,2,FALSE)</f>
        <v>FB1-B4</v>
      </c>
      <c r="K274" s="24" t="s">
        <v>593</v>
      </c>
      <c r="L274" s="24" t="s">
        <v>874</v>
      </c>
      <c r="M274" s="24">
        <v>2.54</v>
      </c>
      <c r="N274" s="24">
        <v>12</v>
      </c>
      <c r="O274" s="24">
        <v>25</v>
      </c>
      <c r="P274" s="24">
        <v>15</v>
      </c>
      <c r="Q274" s="24">
        <v>80</v>
      </c>
      <c r="R274" s="24">
        <v>200</v>
      </c>
      <c r="S274" s="24">
        <v>3</v>
      </c>
      <c r="T274" s="24">
        <v>0</v>
      </c>
      <c r="U274" s="24">
        <v>10</v>
      </c>
      <c r="V274" s="24">
        <v>12</v>
      </c>
    </row>
    <row r="275" spans="1:22" x14ac:dyDescent="0.25">
      <c r="A275" s="24" t="s">
        <v>329</v>
      </c>
      <c r="B275" s="24" t="s">
        <v>13</v>
      </c>
      <c r="C275" s="24">
        <v>4.20163181843236</v>
      </c>
      <c r="D275" s="24">
        <v>1.43310098792426</v>
      </c>
      <c r="E275" s="25">
        <v>0</v>
      </c>
      <c r="F275" s="24">
        <v>8</v>
      </c>
      <c r="G275" s="24">
        <v>5.07</v>
      </c>
      <c r="H275" s="24">
        <v>3</v>
      </c>
      <c r="I275" s="24">
        <v>3</v>
      </c>
      <c r="J275" s="24" t="str">
        <f>VLOOKUP(A275,編號對照表!$B$1:$C$133,2,FALSE)</f>
        <v>FB2-C4</v>
      </c>
      <c r="K275" s="24" t="s">
        <v>808</v>
      </c>
      <c r="L275" s="24" t="s">
        <v>874</v>
      </c>
      <c r="M275" s="24">
        <v>2.54</v>
      </c>
      <c r="N275" s="24">
        <v>15</v>
      </c>
      <c r="O275" s="24">
        <v>25</v>
      </c>
      <c r="P275" s="24">
        <v>15</v>
      </c>
      <c r="Q275" s="24">
        <v>120</v>
      </c>
      <c r="R275" s="24">
        <v>280</v>
      </c>
      <c r="S275" s="24">
        <v>3</v>
      </c>
      <c r="T275" s="24">
        <v>0</v>
      </c>
      <c r="U275" s="24">
        <v>3</v>
      </c>
      <c r="V275" s="24">
        <v>0</v>
      </c>
    </row>
    <row r="276" spans="1:22" x14ac:dyDescent="0.25">
      <c r="A276" s="24" t="s">
        <v>329</v>
      </c>
      <c r="B276" s="24" t="s">
        <v>15</v>
      </c>
      <c r="C276" s="24">
        <v>9.4127655029296893</v>
      </c>
      <c r="D276" s="24">
        <v>18.2701321318746</v>
      </c>
      <c r="E276" s="25">
        <v>0</v>
      </c>
      <c r="F276" s="24">
        <v>8</v>
      </c>
      <c r="G276" s="24">
        <v>5.07</v>
      </c>
      <c r="H276" s="24">
        <v>3</v>
      </c>
      <c r="I276" s="24">
        <v>4</v>
      </c>
      <c r="J276" s="24" t="str">
        <f>VLOOKUP(A276,編號對照表!$B$1:$C$133,2,FALSE)</f>
        <v>FB2-C4</v>
      </c>
      <c r="K276" s="24" t="s">
        <v>594</v>
      </c>
      <c r="L276" s="24" t="s">
        <v>694</v>
      </c>
      <c r="M276" s="24">
        <v>2.54</v>
      </c>
      <c r="N276" s="24">
        <v>15</v>
      </c>
      <c r="O276" s="24">
        <v>25</v>
      </c>
      <c r="P276" s="24">
        <v>15</v>
      </c>
      <c r="Q276" s="24">
        <v>120</v>
      </c>
      <c r="R276" s="24">
        <v>280</v>
      </c>
      <c r="S276" s="24">
        <v>3</v>
      </c>
      <c r="T276" s="24">
        <v>0</v>
      </c>
      <c r="U276" s="24">
        <v>4</v>
      </c>
      <c r="V276" s="24">
        <v>0</v>
      </c>
    </row>
    <row r="277" spans="1:22" x14ac:dyDescent="0.25">
      <c r="A277" s="24" t="s">
        <v>329</v>
      </c>
      <c r="B277" s="24" t="s">
        <v>16</v>
      </c>
      <c r="C277" s="24">
        <v>1E-3</v>
      </c>
      <c r="D277" s="24">
        <v>24.513823445886398</v>
      </c>
      <c r="E277" s="25">
        <v>0</v>
      </c>
      <c r="F277" s="24">
        <v>8</v>
      </c>
      <c r="G277" s="24">
        <v>5.07</v>
      </c>
      <c r="H277" s="24">
        <v>3</v>
      </c>
      <c r="I277" s="24">
        <v>5</v>
      </c>
      <c r="J277" s="24" t="str">
        <f>VLOOKUP(A277,編號對照表!$B$1:$C$133,2,FALSE)</f>
        <v>FB2-C4</v>
      </c>
      <c r="K277" s="24" t="s">
        <v>594</v>
      </c>
      <c r="L277" s="24" t="s">
        <v>874</v>
      </c>
      <c r="M277" s="24">
        <v>2.54</v>
      </c>
      <c r="N277" s="24">
        <v>15</v>
      </c>
      <c r="O277" s="24">
        <v>25</v>
      </c>
      <c r="P277" s="24">
        <v>15</v>
      </c>
      <c r="Q277" s="24">
        <v>120</v>
      </c>
      <c r="R277" s="24">
        <v>280</v>
      </c>
      <c r="S277" s="24">
        <v>3</v>
      </c>
      <c r="T277" s="24">
        <v>0</v>
      </c>
      <c r="U277" s="24">
        <v>5</v>
      </c>
      <c r="V277" s="24">
        <v>0</v>
      </c>
    </row>
    <row r="278" spans="1:22" x14ac:dyDescent="0.25">
      <c r="A278" s="24" t="s">
        <v>330</v>
      </c>
      <c r="B278" s="24" t="s">
        <v>13</v>
      </c>
      <c r="C278" s="24">
        <v>3.41689359629527</v>
      </c>
      <c r="D278" s="24">
        <v>4.07811166951433</v>
      </c>
      <c r="E278" s="25">
        <v>0</v>
      </c>
      <c r="F278" s="24">
        <v>8</v>
      </c>
      <c r="G278" s="24">
        <v>5.07</v>
      </c>
      <c r="H278" s="24">
        <v>3</v>
      </c>
      <c r="I278" s="24">
        <v>3</v>
      </c>
      <c r="J278" s="24" t="str">
        <f>VLOOKUP(A278,編號對照表!$B$1:$C$133,2,FALSE)</f>
        <v>FB1-B1</v>
      </c>
      <c r="K278" s="24" t="s">
        <v>862</v>
      </c>
      <c r="L278" s="24" t="s">
        <v>683</v>
      </c>
      <c r="M278" s="24">
        <v>1.27</v>
      </c>
      <c r="N278" s="24">
        <v>12</v>
      </c>
      <c r="O278" s="24">
        <v>25</v>
      </c>
      <c r="P278" s="24">
        <v>15</v>
      </c>
      <c r="Q278" s="24">
        <v>80</v>
      </c>
      <c r="R278" s="24">
        <v>200</v>
      </c>
      <c r="S278" s="24">
        <v>3</v>
      </c>
      <c r="T278" s="24">
        <v>0</v>
      </c>
      <c r="U278" s="24">
        <v>3</v>
      </c>
      <c r="V278" s="24">
        <v>0</v>
      </c>
    </row>
    <row r="279" spans="1:22" x14ac:dyDescent="0.25">
      <c r="A279" s="24" t="s">
        <v>330</v>
      </c>
      <c r="B279" s="24" t="s">
        <v>15</v>
      </c>
      <c r="C279" s="24">
        <v>5.9778866125270698</v>
      </c>
      <c r="D279" s="24">
        <v>16.640216344967499</v>
      </c>
      <c r="E279" s="25">
        <v>0</v>
      </c>
      <c r="F279" s="24">
        <v>8</v>
      </c>
      <c r="G279" s="24">
        <v>5.07</v>
      </c>
      <c r="H279" s="24">
        <v>3</v>
      </c>
      <c r="I279" s="24">
        <v>4</v>
      </c>
      <c r="J279" s="24" t="str">
        <f>VLOOKUP(A279,編號對照表!$B$1:$C$133,2,FALSE)</f>
        <v>FB1-B1</v>
      </c>
      <c r="K279" s="24" t="s">
        <v>681</v>
      </c>
      <c r="L279" s="24" t="s">
        <v>683</v>
      </c>
      <c r="M279" s="24">
        <v>1.27</v>
      </c>
      <c r="N279" s="24">
        <v>12</v>
      </c>
      <c r="O279" s="24">
        <v>25</v>
      </c>
      <c r="P279" s="24">
        <v>15</v>
      </c>
      <c r="Q279" s="24">
        <v>80</v>
      </c>
      <c r="R279" s="24">
        <v>200</v>
      </c>
      <c r="S279" s="24">
        <v>3</v>
      </c>
      <c r="T279" s="24">
        <v>0</v>
      </c>
      <c r="U279" s="24">
        <v>4</v>
      </c>
      <c r="V279" s="24">
        <v>0</v>
      </c>
    </row>
    <row r="280" spans="1:22" x14ac:dyDescent="0.25">
      <c r="A280" s="24" t="s">
        <v>330</v>
      </c>
      <c r="B280" s="24" t="s">
        <v>16</v>
      </c>
      <c r="C280" s="24">
        <v>1E-3</v>
      </c>
      <c r="D280" s="24">
        <v>27.478274423628999</v>
      </c>
      <c r="E280" s="25">
        <v>0</v>
      </c>
      <c r="F280" s="24">
        <v>8</v>
      </c>
      <c r="G280" s="24">
        <v>5.07</v>
      </c>
      <c r="H280" s="24">
        <v>3</v>
      </c>
      <c r="I280" s="24">
        <v>6</v>
      </c>
      <c r="J280" s="24" t="str">
        <f>VLOOKUP(A280,編號對照表!$B$1:$C$133,2,FALSE)</f>
        <v>FB1-B1</v>
      </c>
      <c r="K280" s="24" t="s">
        <v>681</v>
      </c>
      <c r="L280" s="24" t="s">
        <v>683</v>
      </c>
      <c r="M280" s="24">
        <v>1.27</v>
      </c>
      <c r="N280" s="24">
        <v>12</v>
      </c>
      <c r="O280" s="24">
        <v>25</v>
      </c>
      <c r="P280" s="24">
        <v>15</v>
      </c>
      <c r="Q280" s="24">
        <v>80</v>
      </c>
      <c r="R280" s="24">
        <v>200</v>
      </c>
      <c r="S280" s="24">
        <v>3</v>
      </c>
      <c r="T280" s="24">
        <v>0</v>
      </c>
      <c r="U280" s="24">
        <v>6</v>
      </c>
      <c r="V280" s="24">
        <v>0</v>
      </c>
    </row>
    <row r="281" spans="1:22" x14ac:dyDescent="0.25">
      <c r="A281" s="24" t="s">
        <v>331</v>
      </c>
      <c r="B281" s="24" t="s">
        <v>13</v>
      </c>
      <c r="C281" s="24">
        <v>1E-3</v>
      </c>
      <c r="D281" s="24">
        <v>88.721215724945097</v>
      </c>
      <c r="E281" s="25">
        <v>0.379409431479871</v>
      </c>
      <c r="F281" s="24">
        <v>8</v>
      </c>
      <c r="G281" s="24">
        <v>5.07</v>
      </c>
      <c r="H281" s="24">
        <v>3</v>
      </c>
      <c r="I281" s="24">
        <v>18</v>
      </c>
      <c r="J281" s="24" t="str">
        <f>VLOOKUP(A281,編號對照表!$B$1:$C$133,2,FALSE)</f>
        <v>FB1-B2</v>
      </c>
      <c r="K281" s="24" t="s">
        <v>809</v>
      </c>
      <c r="L281" s="24" t="s">
        <v>694</v>
      </c>
      <c r="M281" s="24">
        <v>2.54</v>
      </c>
      <c r="N281" s="24">
        <v>12</v>
      </c>
      <c r="O281" s="24">
        <v>25</v>
      </c>
      <c r="P281" s="24">
        <v>15</v>
      </c>
      <c r="Q281" s="24">
        <v>80</v>
      </c>
      <c r="R281" s="24">
        <v>200</v>
      </c>
      <c r="S281" s="24">
        <v>3</v>
      </c>
      <c r="T281" s="24">
        <v>0</v>
      </c>
      <c r="U281" s="24">
        <v>10</v>
      </c>
      <c r="V281" s="24">
        <v>8</v>
      </c>
    </row>
    <row r="282" spans="1:22" x14ac:dyDescent="0.25">
      <c r="A282" s="24" t="s">
        <v>331</v>
      </c>
      <c r="B282" s="24" t="s">
        <v>15</v>
      </c>
      <c r="C282" s="24">
        <v>78.342696651816397</v>
      </c>
      <c r="D282" s="24">
        <v>1E-3</v>
      </c>
      <c r="E282" s="25">
        <v>0.39611402899026898</v>
      </c>
      <c r="F282" s="24">
        <v>8</v>
      </c>
      <c r="G282" s="24">
        <v>5.07</v>
      </c>
      <c r="H282" s="24">
        <v>16</v>
      </c>
      <c r="I282" s="24">
        <v>3</v>
      </c>
      <c r="J282" s="24" t="str">
        <f>VLOOKUP(A282,編號對照表!$B$1:$C$133,2,FALSE)</f>
        <v>FB1-B2</v>
      </c>
      <c r="K282" s="24" t="s">
        <v>809</v>
      </c>
      <c r="L282" s="24" t="s">
        <v>694</v>
      </c>
      <c r="M282" s="24">
        <v>2.54</v>
      </c>
      <c r="N282" s="24">
        <v>12</v>
      </c>
      <c r="O282" s="24">
        <v>25</v>
      </c>
      <c r="P282" s="24">
        <v>15</v>
      </c>
      <c r="Q282" s="24">
        <v>80</v>
      </c>
      <c r="R282" s="24">
        <v>200</v>
      </c>
      <c r="S282" s="24">
        <v>10</v>
      </c>
      <c r="T282" s="24">
        <v>6</v>
      </c>
      <c r="U282" s="24">
        <v>3</v>
      </c>
      <c r="V282" s="24">
        <v>0</v>
      </c>
    </row>
    <row r="283" spans="1:22" x14ac:dyDescent="0.25">
      <c r="A283" s="24" t="s">
        <v>331</v>
      </c>
      <c r="B283" s="24" t="s">
        <v>16</v>
      </c>
      <c r="C283" s="24">
        <v>1E-3</v>
      </c>
      <c r="D283" s="24">
        <v>90.309297665953594</v>
      </c>
      <c r="E283" s="25">
        <v>0.384249049238861</v>
      </c>
      <c r="F283" s="24">
        <v>8</v>
      </c>
      <c r="G283" s="24">
        <v>5.07</v>
      </c>
      <c r="H283" s="24">
        <v>3</v>
      </c>
      <c r="I283" s="24">
        <v>18</v>
      </c>
      <c r="J283" s="24" t="str">
        <f>VLOOKUP(A283,編號對照表!$B$1:$C$133,2,FALSE)</f>
        <v>FB1-B2</v>
      </c>
      <c r="K283" s="24" t="s">
        <v>595</v>
      </c>
      <c r="L283" s="24" t="s">
        <v>694</v>
      </c>
      <c r="M283" s="24">
        <v>2.54</v>
      </c>
      <c r="N283" s="24">
        <v>12</v>
      </c>
      <c r="O283" s="24">
        <v>25</v>
      </c>
      <c r="P283" s="24">
        <v>15</v>
      </c>
      <c r="Q283" s="24">
        <v>80</v>
      </c>
      <c r="R283" s="24">
        <v>200</v>
      </c>
      <c r="S283" s="24">
        <v>3</v>
      </c>
      <c r="T283" s="24">
        <v>0</v>
      </c>
      <c r="U283" s="24">
        <v>10</v>
      </c>
      <c r="V283" s="24">
        <v>8</v>
      </c>
    </row>
    <row r="284" spans="1:22" x14ac:dyDescent="0.25">
      <c r="A284" s="24" t="s">
        <v>332</v>
      </c>
      <c r="B284" s="24" t="s">
        <v>13</v>
      </c>
      <c r="C284" s="24">
        <v>16.948636621236801</v>
      </c>
      <c r="D284" s="24">
        <v>62.052602879703002</v>
      </c>
      <c r="E284" s="25">
        <v>0</v>
      </c>
      <c r="F284" s="24">
        <v>8</v>
      </c>
      <c r="G284" s="24">
        <v>5.07</v>
      </c>
      <c r="H284" s="24">
        <v>4</v>
      </c>
      <c r="I284" s="24">
        <v>13</v>
      </c>
      <c r="J284" s="24" t="str">
        <f>VLOOKUP(A284,編號對照表!$B$1:$C$133,2,FALSE)</f>
        <v>FB1-B3</v>
      </c>
      <c r="K284" s="24" t="s">
        <v>596</v>
      </c>
      <c r="L284" s="24" t="s">
        <v>683</v>
      </c>
      <c r="M284" s="24">
        <v>1.27</v>
      </c>
      <c r="N284" s="24">
        <v>12</v>
      </c>
      <c r="O284" s="24">
        <v>25</v>
      </c>
      <c r="P284" s="24">
        <v>15</v>
      </c>
      <c r="Q284" s="24">
        <v>80</v>
      </c>
      <c r="R284" s="24">
        <v>200</v>
      </c>
      <c r="S284" s="24">
        <v>4</v>
      </c>
      <c r="T284" s="24">
        <v>0</v>
      </c>
      <c r="U284" s="24">
        <v>10</v>
      </c>
      <c r="V284" s="24">
        <v>3</v>
      </c>
    </row>
    <row r="285" spans="1:22" x14ac:dyDescent="0.25">
      <c r="A285" s="24" t="s">
        <v>332</v>
      </c>
      <c r="B285" s="24" t="s">
        <v>15</v>
      </c>
      <c r="C285" s="24">
        <v>61.617055907845497</v>
      </c>
      <c r="D285" s="24">
        <v>1E-3</v>
      </c>
      <c r="E285" s="25">
        <v>0</v>
      </c>
      <c r="F285" s="24">
        <v>8</v>
      </c>
      <c r="G285" s="24">
        <v>5.07</v>
      </c>
      <c r="H285" s="24">
        <v>13</v>
      </c>
      <c r="I285" s="24">
        <v>3</v>
      </c>
      <c r="J285" s="24" t="str">
        <f>VLOOKUP(A285,編號對照表!$B$1:$C$133,2,FALSE)</f>
        <v>FB1-B3</v>
      </c>
      <c r="K285" s="24" t="s">
        <v>596</v>
      </c>
      <c r="L285" s="24" t="s">
        <v>683</v>
      </c>
      <c r="M285" s="24">
        <v>1.27</v>
      </c>
      <c r="N285" s="24">
        <v>12</v>
      </c>
      <c r="O285" s="24">
        <v>25</v>
      </c>
      <c r="P285" s="24">
        <v>15</v>
      </c>
      <c r="Q285" s="24">
        <v>80</v>
      </c>
      <c r="R285" s="24">
        <v>200</v>
      </c>
      <c r="S285" s="24">
        <v>10</v>
      </c>
      <c r="T285" s="24">
        <v>3</v>
      </c>
      <c r="U285" s="24">
        <v>3</v>
      </c>
      <c r="V285" s="24">
        <v>0</v>
      </c>
    </row>
    <row r="286" spans="1:22" x14ac:dyDescent="0.25">
      <c r="A286" s="24" t="s">
        <v>332</v>
      </c>
      <c r="B286" s="24" t="s">
        <v>16</v>
      </c>
      <c r="C286" s="24">
        <v>21.636618766933701</v>
      </c>
      <c r="D286" s="24">
        <v>32.5583294034004</v>
      </c>
      <c r="E286" s="25">
        <v>0</v>
      </c>
      <c r="F286" s="24">
        <v>8</v>
      </c>
      <c r="G286" s="24">
        <v>5.07</v>
      </c>
      <c r="H286" s="24">
        <v>5</v>
      </c>
      <c r="I286" s="24">
        <v>7</v>
      </c>
      <c r="J286" s="24" t="str">
        <f>VLOOKUP(A286,編號對照表!$B$1:$C$133,2,FALSE)</f>
        <v>FB1-B3</v>
      </c>
      <c r="K286" s="24" t="s">
        <v>810</v>
      </c>
      <c r="L286" s="24" t="s">
        <v>683</v>
      </c>
      <c r="M286" s="24">
        <v>1.27</v>
      </c>
      <c r="N286" s="24">
        <v>12</v>
      </c>
      <c r="O286" s="24">
        <v>25</v>
      </c>
      <c r="P286" s="24">
        <v>15</v>
      </c>
      <c r="Q286" s="24">
        <v>80</v>
      </c>
      <c r="R286" s="24">
        <v>200</v>
      </c>
      <c r="S286" s="24">
        <v>5</v>
      </c>
      <c r="T286" s="24">
        <v>0</v>
      </c>
      <c r="U286" s="24">
        <v>7</v>
      </c>
      <c r="V286" s="24">
        <v>0</v>
      </c>
    </row>
    <row r="287" spans="1:22" x14ac:dyDescent="0.25">
      <c r="A287" s="24" t="s">
        <v>333</v>
      </c>
      <c r="B287" s="24" t="s">
        <v>13</v>
      </c>
      <c r="C287" s="24">
        <v>34.790781792253298</v>
      </c>
      <c r="D287" s="24">
        <v>109.765324741602</v>
      </c>
      <c r="E287" s="25">
        <v>0.13100489741191301</v>
      </c>
      <c r="F287" s="24">
        <v>8</v>
      </c>
      <c r="G287" s="24">
        <v>5.07</v>
      </c>
      <c r="H287" s="24">
        <v>7</v>
      </c>
      <c r="I287" s="24">
        <v>22</v>
      </c>
      <c r="J287" s="24" t="str">
        <f>VLOOKUP(A287,編號對照表!$B$1:$C$133,2,FALSE)</f>
        <v>FB1-B5</v>
      </c>
      <c r="K287" s="24" t="s">
        <v>811</v>
      </c>
      <c r="L287" s="24" t="s">
        <v>683</v>
      </c>
      <c r="M287" s="24">
        <v>1.27</v>
      </c>
      <c r="N287" s="24">
        <v>12</v>
      </c>
      <c r="O287" s="24">
        <v>25</v>
      </c>
      <c r="P287" s="24">
        <v>15</v>
      </c>
      <c r="Q287" s="24">
        <v>80</v>
      </c>
      <c r="R287" s="24">
        <v>200</v>
      </c>
      <c r="S287" s="24">
        <v>7</v>
      </c>
      <c r="T287" s="24">
        <v>0</v>
      </c>
      <c r="U287" s="24">
        <v>10</v>
      </c>
      <c r="V287" s="24">
        <v>12</v>
      </c>
    </row>
    <row r="288" spans="1:22" x14ac:dyDescent="0.25">
      <c r="A288" s="24" t="s">
        <v>333</v>
      </c>
      <c r="B288" s="24" t="s">
        <v>15</v>
      </c>
      <c r="C288" s="24">
        <v>13.975269393995401</v>
      </c>
      <c r="D288" s="24">
        <v>102.92494669556601</v>
      </c>
      <c r="E288" s="25">
        <v>0.291033997200429</v>
      </c>
      <c r="F288" s="24">
        <v>8</v>
      </c>
      <c r="G288" s="24">
        <v>5.07</v>
      </c>
      <c r="H288" s="24">
        <v>3</v>
      </c>
      <c r="I288" s="24">
        <v>21</v>
      </c>
      <c r="J288" s="24" t="str">
        <f>VLOOKUP(A288,編號對照表!$B$1:$C$133,2,FALSE)</f>
        <v>FB1-B5</v>
      </c>
      <c r="K288" s="24" t="s">
        <v>671</v>
      </c>
      <c r="L288" s="24" t="s">
        <v>694</v>
      </c>
      <c r="M288" s="24">
        <v>2.54</v>
      </c>
      <c r="N288" s="24">
        <v>15</v>
      </c>
      <c r="O288" s="24">
        <v>25</v>
      </c>
      <c r="P288" s="24">
        <v>15</v>
      </c>
      <c r="Q288" s="24">
        <v>80</v>
      </c>
      <c r="R288" s="24">
        <v>200</v>
      </c>
      <c r="S288" s="24">
        <v>3</v>
      </c>
      <c r="T288" s="24">
        <v>0</v>
      </c>
      <c r="U288" s="24">
        <v>10</v>
      </c>
      <c r="V288" s="24">
        <v>11</v>
      </c>
    </row>
    <row r="289" spans="1:22" x14ac:dyDescent="0.25">
      <c r="A289" s="24" t="s">
        <v>333</v>
      </c>
      <c r="B289" s="24" t="s">
        <v>16</v>
      </c>
      <c r="C289" s="24">
        <v>1E-3</v>
      </c>
      <c r="D289" s="24">
        <v>124.861234799027</v>
      </c>
      <c r="E289" s="25">
        <v>0.164803781080991</v>
      </c>
      <c r="F289" s="24">
        <v>8</v>
      </c>
      <c r="G289" s="24">
        <v>5.07</v>
      </c>
      <c r="H289" s="24">
        <v>3</v>
      </c>
      <c r="I289" s="24">
        <v>25</v>
      </c>
      <c r="J289" s="24" t="str">
        <f>VLOOKUP(A289,編號對照表!$B$1:$C$133,2,FALSE)</f>
        <v>FB1-B5</v>
      </c>
      <c r="K289" s="24" t="s">
        <v>811</v>
      </c>
      <c r="L289" s="24" t="s">
        <v>683</v>
      </c>
      <c r="M289" s="24">
        <v>1.27</v>
      </c>
      <c r="N289" s="24">
        <v>12</v>
      </c>
      <c r="O289" s="24">
        <v>25</v>
      </c>
      <c r="P289" s="24">
        <v>15</v>
      </c>
      <c r="Q289" s="24">
        <v>80</v>
      </c>
      <c r="R289" s="24">
        <v>200</v>
      </c>
      <c r="S289" s="24">
        <v>3</v>
      </c>
      <c r="T289" s="24">
        <v>0</v>
      </c>
      <c r="U289" s="24">
        <v>10</v>
      </c>
      <c r="V289" s="24">
        <v>15</v>
      </c>
    </row>
    <row r="290" spans="1:22" x14ac:dyDescent="0.25">
      <c r="A290" s="24" t="s">
        <v>334</v>
      </c>
      <c r="B290" s="24" t="s">
        <v>13</v>
      </c>
      <c r="C290" s="24">
        <v>5.2892905659973604</v>
      </c>
      <c r="D290" s="24">
        <v>133.03166255354901</v>
      </c>
      <c r="E290" s="25">
        <v>0.35706772468984099</v>
      </c>
      <c r="F290" s="24">
        <v>8</v>
      </c>
      <c r="G290" s="24">
        <v>5.07</v>
      </c>
      <c r="H290" s="24">
        <v>3</v>
      </c>
      <c r="I290" s="24">
        <v>27</v>
      </c>
      <c r="J290" s="24" t="str">
        <f>VLOOKUP(A290,編號對照表!$B$1:$C$133,2,FALSE)</f>
        <v>FB1-B6</v>
      </c>
      <c r="K290" s="24" t="s">
        <v>647</v>
      </c>
      <c r="L290" s="24" t="s">
        <v>874</v>
      </c>
      <c r="M290" s="24">
        <v>2.54</v>
      </c>
      <c r="N290" s="24">
        <v>12</v>
      </c>
      <c r="O290" s="24">
        <v>25</v>
      </c>
      <c r="P290" s="24">
        <v>15</v>
      </c>
      <c r="Q290" s="24">
        <v>80</v>
      </c>
      <c r="R290" s="24">
        <v>200</v>
      </c>
      <c r="S290" s="24">
        <v>3</v>
      </c>
      <c r="T290" s="24">
        <v>0</v>
      </c>
      <c r="U290" s="24">
        <v>10</v>
      </c>
      <c r="V290" s="24">
        <v>17</v>
      </c>
    </row>
    <row r="291" spans="1:22" x14ac:dyDescent="0.25">
      <c r="A291" s="24" t="s">
        <v>334</v>
      </c>
      <c r="B291" s="24" t="s">
        <v>15</v>
      </c>
      <c r="C291" s="24">
        <v>81.517780199647007</v>
      </c>
      <c r="D291" s="24">
        <v>21.196943707764099</v>
      </c>
      <c r="E291" s="25">
        <v>0.36949838977307098</v>
      </c>
      <c r="F291" s="24">
        <v>8</v>
      </c>
      <c r="G291" s="24">
        <v>5.07</v>
      </c>
      <c r="H291" s="24">
        <v>17</v>
      </c>
      <c r="I291" s="24">
        <v>5</v>
      </c>
      <c r="J291" s="24" t="str">
        <f>VLOOKUP(A291,編號對照表!$B$1:$C$133,2,FALSE)</f>
        <v>FB1-B6</v>
      </c>
      <c r="K291" s="24" t="s">
        <v>812</v>
      </c>
      <c r="L291" s="24" t="s">
        <v>694</v>
      </c>
      <c r="M291" s="24">
        <v>2.54</v>
      </c>
      <c r="N291" s="24">
        <v>12</v>
      </c>
      <c r="O291" s="24">
        <v>25</v>
      </c>
      <c r="P291" s="24">
        <v>15</v>
      </c>
      <c r="Q291" s="24">
        <v>80</v>
      </c>
      <c r="R291" s="24">
        <v>200</v>
      </c>
      <c r="S291" s="24">
        <v>10</v>
      </c>
      <c r="T291" s="24">
        <v>7</v>
      </c>
      <c r="U291" s="24">
        <v>5</v>
      </c>
      <c r="V291" s="24">
        <v>0</v>
      </c>
    </row>
    <row r="292" spans="1:22" x14ac:dyDescent="0.25">
      <c r="A292" s="24" t="s">
        <v>334</v>
      </c>
      <c r="B292" s="24" t="s">
        <v>16</v>
      </c>
      <c r="C292" s="24">
        <v>1E-3</v>
      </c>
      <c r="D292" s="24">
        <v>93.589099124073996</v>
      </c>
      <c r="E292" s="25">
        <v>0.35056502092629699</v>
      </c>
      <c r="F292" s="24">
        <v>8</v>
      </c>
      <c r="G292" s="24">
        <v>5.07</v>
      </c>
      <c r="H292" s="24">
        <v>3</v>
      </c>
      <c r="I292" s="24">
        <v>19</v>
      </c>
      <c r="J292" s="24" t="str">
        <f>VLOOKUP(A292,編號對照表!$B$1:$C$133,2,FALSE)</f>
        <v>FB1-B6</v>
      </c>
      <c r="K292" s="24" t="s">
        <v>812</v>
      </c>
      <c r="L292" s="24" t="s">
        <v>874</v>
      </c>
      <c r="M292" s="24">
        <v>2.54</v>
      </c>
      <c r="N292" s="24">
        <v>12</v>
      </c>
      <c r="O292" s="24">
        <v>25</v>
      </c>
      <c r="P292" s="24">
        <v>15</v>
      </c>
      <c r="Q292" s="24">
        <v>80</v>
      </c>
      <c r="R292" s="24">
        <v>200</v>
      </c>
      <c r="S292" s="24">
        <v>3</v>
      </c>
      <c r="T292" s="24">
        <v>0</v>
      </c>
      <c r="U292" s="24">
        <v>10</v>
      </c>
      <c r="V292" s="24">
        <v>9</v>
      </c>
    </row>
    <row r="293" spans="1:22" x14ac:dyDescent="0.25">
      <c r="A293" s="24" t="s">
        <v>335</v>
      </c>
      <c r="B293" s="24" t="s">
        <v>13</v>
      </c>
      <c r="C293" s="24">
        <v>1E-3</v>
      </c>
      <c r="D293" s="24">
        <v>92.234499752521501</v>
      </c>
      <c r="E293" s="25">
        <v>0.37774641532450898</v>
      </c>
      <c r="F293" s="24">
        <v>8</v>
      </c>
      <c r="G293" s="24">
        <v>5.07</v>
      </c>
      <c r="H293" s="24">
        <v>3</v>
      </c>
      <c r="I293" s="24">
        <v>19</v>
      </c>
      <c r="J293" s="24" t="str">
        <f>VLOOKUP(A293,編號對照表!$B$1:$C$133,2,FALSE)</f>
        <v>FB1-B8</v>
      </c>
      <c r="K293" s="24" t="s">
        <v>813</v>
      </c>
      <c r="L293" s="24" t="s">
        <v>694</v>
      </c>
      <c r="M293" s="24">
        <v>2.54</v>
      </c>
      <c r="N293" s="24">
        <v>12</v>
      </c>
      <c r="O293" s="24">
        <v>25</v>
      </c>
      <c r="P293" s="24">
        <v>15</v>
      </c>
      <c r="Q293" s="24">
        <v>80</v>
      </c>
      <c r="R293" s="24">
        <v>200</v>
      </c>
      <c r="S293" s="24">
        <v>3</v>
      </c>
      <c r="T293" s="24">
        <v>0</v>
      </c>
      <c r="U293" s="24">
        <v>10</v>
      </c>
      <c r="V293" s="24">
        <v>9</v>
      </c>
    </row>
    <row r="294" spans="1:22" x14ac:dyDescent="0.25">
      <c r="A294" s="24" t="s">
        <v>335</v>
      </c>
      <c r="B294" s="24" t="s">
        <v>15</v>
      </c>
      <c r="C294" s="24">
        <v>74.605173431336894</v>
      </c>
      <c r="D294" s="24">
        <v>1E-3</v>
      </c>
      <c r="E294" s="25">
        <v>0.38961837999522703</v>
      </c>
      <c r="F294" s="24">
        <v>8</v>
      </c>
      <c r="G294" s="24">
        <v>5.07</v>
      </c>
      <c r="H294" s="24">
        <v>15</v>
      </c>
      <c r="I294" s="24">
        <v>3</v>
      </c>
      <c r="J294" s="24" t="str">
        <f>VLOOKUP(A294,編號對照表!$B$1:$C$133,2,FALSE)</f>
        <v>FB1-B8</v>
      </c>
      <c r="K294" s="24" t="s">
        <v>682</v>
      </c>
      <c r="L294" s="24" t="s">
        <v>694</v>
      </c>
      <c r="M294" s="24">
        <v>2.54</v>
      </c>
      <c r="N294" s="24">
        <v>12</v>
      </c>
      <c r="O294" s="24">
        <v>25</v>
      </c>
      <c r="P294" s="24">
        <v>15</v>
      </c>
      <c r="Q294" s="24">
        <v>80</v>
      </c>
      <c r="R294" s="24">
        <v>200</v>
      </c>
      <c r="S294" s="24">
        <v>10</v>
      </c>
      <c r="T294" s="24">
        <v>5</v>
      </c>
      <c r="U294" s="24">
        <v>3</v>
      </c>
      <c r="V294" s="24">
        <v>0</v>
      </c>
    </row>
    <row r="295" spans="1:22" x14ac:dyDescent="0.25">
      <c r="A295" s="24" t="s">
        <v>335</v>
      </c>
      <c r="B295" s="24" t="s">
        <v>16</v>
      </c>
      <c r="C295" s="24">
        <v>1E-3</v>
      </c>
      <c r="D295" s="24">
        <v>87.313614785671206</v>
      </c>
      <c r="E295" s="25">
        <v>0.36478426773101102</v>
      </c>
      <c r="F295" s="24">
        <v>8</v>
      </c>
      <c r="G295" s="24">
        <v>5.07</v>
      </c>
      <c r="H295" s="24">
        <v>3</v>
      </c>
      <c r="I295" s="24">
        <v>18</v>
      </c>
      <c r="J295" s="24" t="str">
        <f>VLOOKUP(A295,編號對照表!$B$1:$C$133,2,FALSE)</f>
        <v>FB1-B8</v>
      </c>
      <c r="K295" s="24" t="s">
        <v>682</v>
      </c>
      <c r="L295" s="24" t="s">
        <v>874</v>
      </c>
      <c r="M295" s="24">
        <v>2.54</v>
      </c>
      <c r="N295" s="24">
        <v>12</v>
      </c>
      <c r="O295" s="24">
        <v>25</v>
      </c>
      <c r="P295" s="24">
        <v>15</v>
      </c>
      <c r="Q295" s="24">
        <v>80</v>
      </c>
      <c r="R295" s="24">
        <v>200</v>
      </c>
      <c r="S295" s="24">
        <v>3</v>
      </c>
      <c r="T295" s="24">
        <v>0</v>
      </c>
      <c r="U295" s="24">
        <v>10</v>
      </c>
      <c r="V295" s="24">
        <v>8</v>
      </c>
    </row>
    <row r="296" spans="1:22" x14ac:dyDescent="0.25">
      <c r="A296" s="24" t="s">
        <v>336</v>
      </c>
      <c r="B296" s="24" t="s">
        <v>13</v>
      </c>
      <c r="C296" s="24">
        <v>1E-3</v>
      </c>
      <c r="D296" s="24">
        <v>92.368442565202699</v>
      </c>
      <c r="E296" s="25">
        <v>0.39480803534388498</v>
      </c>
      <c r="F296" s="24">
        <v>8</v>
      </c>
      <c r="G296" s="24">
        <v>5.07</v>
      </c>
      <c r="H296" s="24">
        <v>3</v>
      </c>
      <c r="I296" s="24">
        <v>19</v>
      </c>
      <c r="J296" s="24" t="str">
        <f>VLOOKUP(A296,編號對照表!$B$1:$C$133,2,FALSE)</f>
        <v>FB2-C2</v>
      </c>
      <c r="K296" s="24" t="s">
        <v>814</v>
      </c>
      <c r="L296" s="24" t="s">
        <v>874</v>
      </c>
      <c r="M296" s="24">
        <v>2.54</v>
      </c>
      <c r="N296" s="24">
        <v>12</v>
      </c>
      <c r="O296" s="24">
        <v>25</v>
      </c>
      <c r="P296" s="24">
        <v>15</v>
      </c>
      <c r="Q296" s="24">
        <v>120</v>
      </c>
      <c r="R296" s="24">
        <v>280</v>
      </c>
      <c r="S296" s="24">
        <v>3</v>
      </c>
      <c r="T296" s="24">
        <v>0</v>
      </c>
      <c r="U296" s="24">
        <v>16</v>
      </c>
      <c r="V296" s="24">
        <v>3</v>
      </c>
    </row>
    <row r="297" spans="1:22" x14ac:dyDescent="0.25">
      <c r="A297" s="24" t="s">
        <v>336</v>
      </c>
      <c r="B297" s="24" t="s">
        <v>15</v>
      </c>
      <c r="C297" s="24">
        <v>80.293314531445503</v>
      </c>
      <c r="D297" s="24">
        <v>1E-3</v>
      </c>
      <c r="E297" s="25">
        <v>0.40670097805559602</v>
      </c>
      <c r="F297" s="24">
        <v>8</v>
      </c>
      <c r="G297" s="24">
        <v>5.07</v>
      </c>
      <c r="H297" s="24">
        <v>16</v>
      </c>
      <c r="I297" s="24">
        <v>3</v>
      </c>
      <c r="J297" s="24" t="str">
        <f>VLOOKUP(A297,編號對照表!$B$1:$C$133,2,FALSE)</f>
        <v>FB2-C2</v>
      </c>
      <c r="K297" s="24" t="s">
        <v>648</v>
      </c>
      <c r="L297" s="24" t="s">
        <v>694</v>
      </c>
      <c r="M297" s="24">
        <v>2.54</v>
      </c>
      <c r="N297" s="24">
        <v>12</v>
      </c>
      <c r="O297" s="24">
        <v>25</v>
      </c>
      <c r="P297" s="24">
        <v>15</v>
      </c>
      <c r="Q297" s="24">
        <v>120</v>
      </c>
      <c r="R297" s="24">
        <v>280</v>
      </c>
      <c r="S297" s="24">
        <v>16</v>
      </c>
      <c r="T297" s="24">
        <v>0</v>
      </c>
      <c r="U297" s="24">
        <v>3</v>
      </c>
      <c r="V297" s="24">
        <v>0</v>
      </c>
    </row>
    <row r="298" spans="1:22" x14ac:dyDescent="0.25">
      <c r="A298" s="24" t="s">
        <v>336</v>
      </c>
      <c r="B298" s="24" t="s">
        <v>16</v>
      </c>
      <c r="C298" s="24">
        <v>1E-3</v>
      </c>
      <c r="D298" s="24">
        <v>92.194685712456703</v>
      </c>
      <c r="E298" s="25">
        <v>0.39468328468501601</v>
      </c>
      <c r="F298" s="24">
        <v>8</v>
      </c>
      <c r="G298" s="24">
        <v>5.07</v>
      </c>
      <c r="H298" s="24">
        <v>3</v>
      </c>
      <c r="I298" s="24">
        <v>19</v>
      </c>
      <c r="J298" s="24" t="str">
        <f>VLOOKUP(A298,編號對照表!$B$1:$C$133,2,FALSE)</f>
        <v>FB2-C2</v>
      </c>
      <c r="K298" s="24" t="s">
        <v>648</v>
      </c>
      <c r="L298" s="24" t="s">
        <v>694</v>
      </c>
      <c r="M298" s="24">
        <v>2.54</v>
      </c>
      <c r="N298" s="24">
        <v>12</v>
      </c>
      <c r="O298" s="24">
        <v>25</v>
      </c>
      <c r="P298" s="24">
        <v>15</v>
      </c>
      <c r="Q298" s="24">
        <v>120</v>
      </c>
      <c r="R298" s="24">
        <v>280</v>
      </c>
      <c r="S298" s="24">
        <v>3</v>
      </c>
      <c r="T298" s="24">
        <v>0</v>
      </c>
      <c r="U298" s="24">
        <v>16</v>
      </c>
      <c r="V298" s="24">
        <v>3</v>
      </c>
    </row>
    <row r="299" spans="1:22" x14ac:dyDescent="0.25">
      <c r="A299" s="24" t="s">
        <v>337</v>
      </c>
      <c r="B299" s="24" t="s">
        <v>13</v>
      </c>
      <c r="C299" s="24">
        <v>1E-3</v>
      </c>
      <c r="D299" s="24">
        <v>92.060621827840805</v>
      </c>
      <c r="E299" s="25">
        <v>0.41575552895665202</v>
      </c>
      <c r="F299" s="24">
        <v>8</v>
      </c>
      <c r="G299" s="24">
        <v>5.07</v>
      </c>
      <c r="H299" s="24">
        <v>3</v>
      </c>
      <c r="I299" s="24">
        <v>19</v>
      </c>
      <c r="J299" s="24" t="str">
        <f>VLOOKUP(A299,編號對照表!$B$1:$C$133,2,FALSE)</f>
        <v>FB2-C3</v>
      </c>
      <c r="K299" s="24" t="s">
        <v>672</v>
      </c>
      <c r="L299" s="24" t="s">
        <v>694</v>
      </c>
      <c r="M299" s="24">
        <v>2.54</v>
      </c>
      <c r="N299" s="24">
        <v>12</v>
      </c>
      <c r="O299" s="24">
        <v>25</v>
      </c>
      <c r="P299" s="24">
        <v>15</v>
      </c>
      <c r="Q299" s="24">
        <v>120</v>
      </c>
      <c r="R299" s="24">
        <v>280</v>
      </c>
      <c r="S299" s="24">
        <v>3</v>
      </c>
      <c r="T299" s="24">
        <v>0</v>
      </c>
      <c r="U299" s="24">
        <v>16</v>
      </c>
      <c r="V299" s="24">
        <v>3</v>
      </c>
    </row>
    <row r="300" spans="1:22" x14ac:dyDescent="0.25">
      <c r="A300" s="24" t="s">
        <v>337</v>
      </c>
      <c r="B300" s="24" t="s">
        <v>15</v>
      </c>
      <c r="C300" s="24">
        <v>87.5217840075493</v>
      </c>
      <c r="D300" s="24">
        <v>1E-3</v>
      </c>
      <c r="E300" s="25">
        <v>0.44514932669699198</v>
      </c>
      <c r="F300" s="24">
        <v>8</v>
      </c>
      <c r="G300" s="24">
        <v>5.07</v>
      </c>
      <c r="H300" s="24">
        <v>18</v>
      </c>
      <c r="I300" s="24">
        <v>3</v>
      </c>
      <c r="J300" s="24" t="str">
        <f>VLOOKUP(A300,編號對照表!$B$1:$C$133,2,FALSE)</f>
        <v>FB2-C3</v>
      </c>
      <c r="K300" s="24" t="s">
        <v>672</v>
      </c>
      <c r="L300" s="24" t="s">
        <v>874</v>
      </c>
      <c r="M300" s="24">
        <v>2.54</v>
      </c>
      <c r="N300" s="24">
        <v>10</v>
      </c>
      <c r="O300" s="24">
        <v>25</v>
      </c>
      <c r="P300" s="24">
        <v>15</v>
      </c>
      <c r="Q300" s="24">
        <v>120</v>
      </c>
      <c r="R300" s="24">
        <v>280</v>
      </c>
      <c r="S300" s="24">
        <v>16</v>
      </c>
      <c r="T300" s="24">
        <v>2</v>
      </c>
      <c r="U300" s="24">
        <v>3</v>
      </c>
      <c r="V300" s="24">
        <v>0</v>
      </c>
    </row>
    <row r="301" spans="1:22" x14ac:dyDescent="0.25">
      <c r="A301" s="24" t="s">
        <v>337</v>
      </c>
      <c r="B301" s="24" t="s">
        <v>16</v>
      </c>
      <c r="C301" s="24">
        <v>1E-3</v>
      </c>
      <c r="D301" s="24">
        <v>97.173443064093604</v>
      </c>
      <c r="E301" s="25">
        <v>0.433263415470719</v>
      </c>
      <c r="F301" s="24">
        <v>8</v>
      </c>
      <c r="G301" s="24">
        <v>5.07</v>
      </c>
      <c r="H301" s="24">
        <v>3</v>
      </c>
      <c r="I301" s="24">
        <v>20</v>
      </c>
      <c r="J301" s="24" t="str">
        <f>VLOOKUP(A301,編號對照表!$B$1:$C$133,2,FALSE)</f>
        <v>FB2-C3</v>
      </c>
      <c r="K301" s="24" t="s">
        <v>672</v>
      </c>
      <c r="L301" s="24" t="s">
        <v>874</v>
      </c>
      <c r="M301" s="24">
        <v>2.54</v>
      </c>
      <c r="N301" s="24">
        <v>10</v>
      </c>
      <c r="O301" s="24">
        <v>25</v>
      </c>
      <c r="P301" s="24">
        <v>15</v>
      </c>
      <c r="Q301" s="24">
        <v>120</v>
      </c>
      <c r="R301" s="24">
        <v>280</v>
      </c>
      <c r="S301" s="24">
        <v>3</v>
      </c>
      <c r="T301" s="24">
        <v>0</v>
      </c>
      <c r="U301" s="24">
        <v>16</v>
      </c>
      <c r="V301" s="24">
        <v>4</v>
      </c>
    </row>
    <row r="302" spans="1:22" x14ac:dyDescent="0.25">
      <c r="A302" s="24" t="s">
        <v>338</v>
      </c>
      <c r="B302" s="24" t="s">
        <v>13</v>
      </c>
      <c r="C302" s="24">
        <v>36.556080449372502</v>
      </c>
      <c r="D302" s="24">
        <v>135.625461116433</v>
      </c>
      <c r="E302" s="25">
        <v>0.60030249878764197</v>
      </c>
      <c r="F302" s="24">
        <v>8</v>
      </c>
      <c r="G302" s="24">
        <v>5.07</v>
      </c>
      <c r="H302" s="24">
        <v>8</v>
      </c>
      <c r="I302" s="24">
        <v>27</v>
      </c>
      <c r="J302" s="24" t="str">
        <f>VLOOKUP(A302,編號對照表!$B$1:$C$133,2,FALSE)</f>
        <v>FB1-C5</v>
      </c>
      <c r="K302" s="24" t="s">
        <v>815</v>
      </c>
      <c r="L302" s="24" t="s">
        <v>695</v>
      </c>
      <c r="M302" s="24">
        <v>3.98</v>
      </c>
      <c r="N302" s="24">
        <v>12</v>
      </c>
      <c r="O302" s="24">
        <v>25</v>
      </c>
      <c r="P302" s="24">
        <v>15</v>
      </c>
      <c r="Q302" s="24">
        <v>80</v>
      </c>
      <c r="R302" s="24">
        <v>200</v>
      </c>
      <c r="S302" s="24">
        <v>8</v>
      </c>
      <c r="T302" s="24">
        <v>0</v>
      </c>
      <c r="U302" s="24">
        <v>10</v>
      </c>
      <c r="V302" s="24">
        <v>17</v>
      </c>
    </row>
    <row r="303" spans="1:22" x14ac:dyDescent="0.25">
      <c r="A303" s="24" t="s">
        <v>338</v>
      </c>
      <c r="B303" s="24" t="s">
        <v>15</v>
      </c>
      <c r="C303" s="24">
        <v>155.08209355175501</v>
      </c>
      <c r="D303" s="24">
        <v>1E-3</v>
      </c>
      <c r="E303" s="25">
        <v>0.36544220056384802</v>
      </c>
      <c r="F303" s="24">
        <v>8</v>
      </c>
      <c r="G303" s="24">
        <v>5.07</v>
      </c>
      <c r="H303" s="24">
        <v>31</v>
      </c>
      <c r="I303" s="24">
        <v>3</v>
      </c>
      <c r="J303" s="24" t="str">
        <f>VLOOKUP(A303,編號對照表!$B$1:$C$133,2,FALSE)</f>
        <v>FB1-C5</v>
      </c>
      <c r="K303" s="24" t="s">
        <v>815</v>
      </c>
      <c r="L303" s="24" t="s">
        <v>694</v>
      </c>
      <c r="M303" s="24">
        <v>2.54</v>
      </c>
      <c r="N303" s="24">
        <v>12</v>
      </c>
      <c r="O303" s="24">
        <v>25</v>
      </c>
      <c r="P303" s="24">
        <v>15</v>
      </c>
      <c r="Q303" s="24">
        <v>80</v>
      </c>
      <c r="R303" s="24">
        <v>200</v>
      </c>
      <c r="S303" s="24">
        <v>10</v>
      </c>
      <c r="T303" s="24">
        <v>21</v>
      </c>
      <c r="U303" s="24">
        <v>3</v>
      </c>
      <c r="V303" s="24">
        <v>0</v>
      </c>
    </row>
    <row r="304" spans="1:22" x14ac:dyDescent="0.25">
      <c r="A304" s="24" t="s">
        <v>338</v>
      </c>
      <c r="B304" s="24" t="s">
        <v>16</v>
      </c>
      <c r="C304" s="24">
        <v>45.8084419369698</v>
      </c>
      <c r="D304" s="24">
        <v>16.138009959831798</v>
      </c>
      <c r="E304" s="25">
        <v>0.32680674921721198</v>
      </c>
      <c r="F304" s="24">
        <v>8</v>
      </c>
      <c r="G304" s="24">
        <v>5.07</v>
      </c>
      <c r="H304" s="24">
        <v>10</v>
      </c>
      <c r="I304" s="24">
        <v>4</v>
      </c>
      <c r="J304" s="24" t="str">
        <f>VLOOKUP(A304,編號對照表!$B$1:$C$133,2,FALSE)</f>
        <v>FB1-C5</v>
      </c>
      <c r="K304" s="24" t="s">
        <v>597</v>
      </c>
      <c r="L304" s="24" t="s">
        <v>694</v>
      </c>
      <c r="M304" s="24">
        <v>2.54</v>
      </c>
      <c r="N304" s="24">
        <v>15</v>
      </c>
      <c r="O304" s="24">
        <v>25</v>
      </c>
      <c r="P304" s="24">
        <v>15</v>
      </c>
      <c r="Q304" s="24">
        <v>80</v>
      </c>
      <c r="R304" s="24">
        <v>200</v>
      </c>
      <c r="S304" s="24">
        <v>10</v>
      </c>
      <c r="T304" s="24">
        <v>0</v>
      </c>
      <c r="U304" s="24">
        <v>4</v>
      </c>
      <c r="V304" s="24">
        <v>0</v>
      </c>
    </row>
    <row r="305" spans="1:22" x14ac:dyDescent="0.25">
      <c r="A305" s="24" t="s">
        <v>339</v>
      </c>
      <c r="B305" s="24" t="s">
        <v>13</v>
      </c>
      <c r="C305" s="24">
        <v>19.1602390259504</v>
      </c>
      <c r="D305" s="24">
        <v>83.111822605133099</v>
      </c>
      <c r="E305" s="25">
        <v>0.21557782310992499</v>
      </c>
      <c r="F305" s="24">
        <v>8</v>
      </c>
      <c r="G305" s="24">
        <v>5.07</v>
      </c>
      <c r="H305" s="24">
        <v>4</v>
      </c>
      <c r="I305" s="24">
        <v>17</v>
      </c>
      <c r="J305" s="24" t="str">
        <f>VLOOKUP(A305,編號對照表!$B$1:$C$133,2,FALSE)</f>
        <v>FB1-C6</v>
      </c>
      <c r="K305" s="24" t="s">
        <v>816</v>
      </c>
      <c r="L305" s="24" t="s">
        <v>683</v>
      </c>
      <c r="M305" s="24">
        <v>1.27</v>
      </c>
      <c r="N305" s="24">
        <v>10</v>
      </c>
      <c r="O305" s="24">
        <v>25</v>
      </c>
      <c r="P305" s="24">
        <v>15</v>
      </c>
      <c r="Q305" s="24">
        <v>80</v>
      </c>
      <c r="R305" s="24">
        <v>200</v>
      </c>
      <c r="S305" s="24">
        <v>4</v>
      </c>
      <c r="T305" s="24">
        <v>0</v>
      </c>
      <c r="U305" s="24">
        <v>10</v>
      </c>
      <c r="V305" s="24">
        <v>7</v>
      </c>
    </row>
    <row r="306" spans="1:22" x14ac:dyDescent="0.25">
      <c r="A306" s="24" t="s">
        <v>339</v>
      </c>
      <c r="B306" s="24" t="s">
        <v>15</v>
      </c>
      <c r="C306" s="24">
        <v>131.52048923075199</v>
      </c>
      <c r="D306" s="24">
        <v>97.404299303889303</v>
      </c>
      <c r="E306" s="25">
        <v>0.22048153914511201</v>
      </c>
      <c r="F306" s="24">
        <v>8</v>
      </c>
      <c r="G306" s="24">
        <v>5.07</v>
      </c>
      <c r="H306" s="24">
        <v>26</v>
      </c>
      <c r="I306" s="24">
        <v>20</v>
      </c>
      <c r="J306" s="24" t="str">
        <f>VLOOKUP(A306,編號對照表!$B$1:$C$133,2,FALSE)</f>
        <v>FB1-C6</v>
      </c>
      <c r="K306" s="24" t="s">
        <v>816</v>
      </c>
      <c r="L306" s="24" t="s">
        <v>683</v>
      </c>
      <c r="M306" s="24">
        <v>1.27</v>
      </c>
      <c r="N306" s="24">
        <v>10</v>
      </c>
      <c r="O306" s="24">
        <v>25</v>
      </c>
      <c r="P306" s="24">
        <v>15</v>
      </c>
      <c r="Q306" s="24">
        <v>80</v>
      </c>
      <c r="R306" s="24">
        <v>200</v>
      </c>
      <c r="S306" s="24">
        <v>10</v>
      </c>
      <c r="T306" s="24">
        <v>16</v>
      </c>
      <c r="U306" s="24">
        <v>10</v>
      </c>
      <c r="V306" s="24">
        <v>10</v>
      </c>
    </row>
    <row r="307" spans="1:22" x14ac:dyDescent="0.25">
      <c r="A307" s="24" t="s">
        <v>339</v>
      </c>
      <c r="B307" s="24" t="s">
        <v>16</v>
      </c>
      <c r="C307" s="24">
        <v>22.8654686361551</v>
      </c>
      <c r="D307" s="24">
        <v>97.108948975801496</v>
      </c>
      <c r="E307" s="25">
        <v>0.100438517984003</v>
      </c>
      <c r="F307" s="24">
        <v>8</v>
      </c>
      <c r="G307" s="24">
        <v>5.07</v>
      </c>
      <c r="H307" s="24">
        <v>5</v>
      </c>
      <c r="I307" s="24">
        <v>20</v>
      </c>
      <c r="J307" s="24" t="str">
        <f>VLOOKUP(A307,編號對照表!$B$1:$C$133,2,FALSE)</f>
        <v>FB1-C6</v>
      </c>
      <c r="K307" s="24" t="s">
        <v>816</v>
      </c>
      <c r="L307" s="24" t="s">
        <v>683</v>
      </c>
      <c r="M307" s="24">
        <v>1.27</v>
      </c>
      <c r="N307" s="24">
        <v>12</v>
      </c>
      <c r="O307" s="24">
        <v>25</v>
      </c>
      <c r="P307" s="24">
        <v>15</v>
      </c>
      <c r="Q307" s="24">
        <v>80</v>
      </c>
      <c r="R307" s="24">
        <v>200</v>
      </c>
      <c r="S307" s="24">
        <v>5</v>
      </c>
      <c r="T307" s="24">
        <v>0</v>
      </c>
      <c r="U307" s="24">
        <v>10</v>
      </c>
      <c r="V307" s="24">
        <v>10</v>
      </c>
    </row>
    <row r="308" spans="1:22" x14ac:dyDescent="0.25">
      <c r="A308" s="24" t="s">
        <v>340</v>
      </c>
      <c r="B308" s="24" t="s">
        <v>13</v>
      </c>
      <c r="C308" s="24">
        <v>12.8654192667454</v>
      </c>
      <c r="D308" s="24">
        <v>71.209375746548204</v>
      </c>
      <c r="E308" s="25">
        <v>0.100438517984003</v>
      </c>
      <c r="F308" s="24">
        <v>8</v>
      </c>
      <c r="G308" s="24">
        <v>5.07</v>
      </c>
      <c r="H308" s="24">
        <v>3</v>
      </c>
      <c r="I308" s="24">
        <v>15</v>
      </c>
      <c r="J308" s="24" t="str">
        <f>VLOOKUP(A308,編號對照表!$B$1:$C$133,2,FALSE)</f>
        <v>FB1-D7</v>
      </c>
      <c r="K308" s="24" t="s">
        <v>598</v>
      </c>
      <c r="L308" s="24" t="s">
        <v>683</v>
      </c>
      <c r="M308" s="24">
        <v>1.27</v>
      </c>
      <c r="N308" s="24">
        <v>12</v>
      </c>
      <c r="O308" s="24">
        <v>25</v>
      </c>
      <c r="P308" s="24">
        <v>15</v>
      </c>
      <c r="Q308" s="24">
        <v>80</v>
      </c>
      <c r="R308" s="24">
        <v>200</v>
      </c>
      <c r="S308" s="24">
        <v>3</v>
      </c>
      <c r="T308" s="24">
        <v>0</v>
      </c>
      <c r="U308" s="24">
        <v>10</v>
      </c>
      <c r="V308" s="24">
        <v>5</v>
      </c>
    </row>
    <row r="309" spans="1:22" x14ac:dyDescent="0.25">
      <c r="A309" s="24" t="s">
        <v>340</v>
      </c>
      <c r="B309" s="24" t="s">
        <v>15</v>
      </c>
      <c r="C309" s="24">
        <v>57.035749778151498</v>
      </c>
      <c r="D309" s="24">
        <v>32.6579250395298</v>
      </c>
      <c r="E309" s="25">
        <v>0.100438517984003</v>
      </c>
      <c r="F309" s="24">
        <v>8</v>
      </c>
      <c r="G309" s="24">
        <v>5.07</v>
      </c>
      <c r="H309" s="24">
        <v>12</v>
      </c>
      <c r="I309" s="24">
        <v>7</v>
      </c>
      <c r="J309" s="24" t="str">
        <f>VLOOKUP(A309,編號對照表!$B$1:$C$133,2,FALSE)</f>
        <v>FB1-D7</v>
      </c>
      <c r="K309" s="24" t="s">
        <v>817</v>
      </c>
      <c r="L309" s="24" t="s">
        <v>683</v>
      </c>
      <c r="M309" s="24">
        <v>1.27</v>
      </c>
      <c r="N309" s="24">
        <v>12</v>
      </c>
      <c r="O309" s="24">
        <v>25</v>
      </c>
      <c r="P309" s="24">
        <v>15</v>
      </c>
      <c r="Q309" s="24">
        <v>80</v>
      </c>
      <c r="R309" s="24">
        <v>200</v>
      </c>
      <c r="S309" s="24">
        <v>10</v>
      </c>
      <c r="T309" s="24">
        <v>2</v>
      </c>
      <c r="U309" s="24">
        <v>7</v>
      </c>
      <c r="V309" s="24">
        <v>0</v>
      </c>
    </row>
    <row r="310" spans="1:22" x14ac:dyDescent="0.25">
      <c r="A310" s="24" t="s">
        <v>340</v>
      </c>
      <c r="B310" s="24" t="s">
        <v>16</v>
      </c>
      <c r="C310" s="24">
        <v>14.278513845056301</v>
      </c>
      <c r="D310" s="24">
        <v>73.533914983272595</v>
      </c>
      <c r="E310" s="25">
        <v>0.100438517984003</v>
      </c>
      <c r="F310" s="24">
        <v>8</v>
      </c>
      <c r="G310" s="24">
        <v>5.07</v>
      </c>
      <c r="H310" s="24">
        <v>3</v>
      </c>
      <c r="I310" s="24">
        <v>15</v>
      </c>
      <c r="J310" s="24" t="str">
        <f>VLOOKUP(A310,編號對照表!$B$1:$C$133,2,FALSE)</f>
        <v>FB1-D7</v>
      </c>
      <c r="K310" s="24" t="s">
        <v>817</v>
      </c>
      <c r="L310" s="24" t="s">
        <v>683</v>
      </c>
      <c r="M310" s="24">
        <v>1.27</v>
      </c>
      <c r="N310" s="24">
        <v>12</v>
      </c>
      <c r="O310" s="24">
        <v>25</v>
      </c>
      <c r="P310" s="24">
        <v>15</v>
      </c>
      <c r="Q310" s="24">
        <v>80</v>
      </c>
      <c r="R310" s="24">
        <v>200</v>
      </c>
      <c r="S310" s="24">
        <v>3</v>
      </c>
      <c r="T310" s="24">
        <v>0</v>
      </c>
      <c r="U310" s="24">
        <v>10</v>
      </c>
      <c r="V310" s="24">
        <v>5</v>
      </c>
    </row>
    <row r="311" spans="1:22" x14ac:dyDescent="0.25">
      <c r="A311" s="24" t="s">
        <v>341</v>
      </c>
      <c r="B311" s="24" t="s">
        <v>13</v>
      </c>
      <c r="C311" s="24">
        <v>1E-3</v>
      </c>
      <c r="D311" s="24">
        <v>93.420306220650701</v>
      </c>
      <c r="E311" s="25">
        <v>0.38542721886187797</v>
      </c>
      <c r="F311" s="24">
        <v>8</v>
      </c>
      <c r="G311" s="24">
        <v>5.07</v>
      </c>
      <c r="H311" s="24">
        <v>3</v>
      </c>
      <c r="I311" s="24">
        <v>19</v>
      </c>
      <c r="J311" s="24" t="str">
        <f>VLOOKUP(A311,編號對照表!$B$1:$C$133,2,FALSE)</f>
        <v>FB1-E8</v>
      </c>
      <c r="K311" s="24" t="s">
        <v>649</v>
      </c>
      <c r="L311" s="24" t="s">
        <v>694</v>
      </c>
      <c r="M311" s="24">
        <v>2.54</v>
      </c>
      <c r="N311" s="24">
        <v>12</v>
      </c>
      <c r="O311" s="24">
        <v>25</v>
      </c>
      <c r="P311" s="24">
        <v>15</v>
      </c>
      <c r="Q311" s="24">
        <v>80</v>
      </c>
      <c r="R311" s="24">
        <v>200</v>
      </c>
      <c r="S311" s="24">
        <v>3</v>
      </c>
      <c r="T311" s="24">
        <v>0</v>
      </c>
      <c r="U311" s="24">
        <v>10</v>
      </c>
      <c r="V311" s="24">
        <v>9</v>
      </c>
    </row>
    <row r="312" spans="1:22" x14ac:dyDescent="0.25">
      <c r="A312" s="24" t="s">
        <v>341</v>
      </c>
      <c r="B312" s="24" t="s">
        <v>15</v>
      </c>
      <c r="C312" s="24">
        <v>65.869959071278601</v>
      </c>
      <c r="D312" s="24">
        <v>4.2930373456329098</v>
      </c>
      <c r="E312" s="25">
        <v>0.349978683516383</v>
      </c>
      <c r="F312" s="24">
        <v>8</v>
      </c>
      <c r="G312" s="24">
        <v>5.07</v>
      </c>
      <c r="H312" s="24">
        <v>13</v>
      </c>
      <c r="I312" s="24">
        <v>3</v>
      </c>
      <c r="J312" s="24" t="str">
        <f>VLOOKUP(A312,編號對照表!$B$1:$C$133,2,FALSE)</f>
        <v>FB1-E8</v>
      </c>
      <c r="K312" s="24" t="s">
        <v>818</v>
      </c>
      <c r="L312" s="24" t="s">
        <v>694</v>
      </c>
      <c r="M312" s="24">
        <v>2.54</v>
      </c>
      <c r="N312" s="24">
        <v>12</v>
      </c>
      <c r="O312" s="24">
        <v>25</v>
      </c>
      <c r="P312" s="24">
        <v>15</v>
      </c>
      <c r="Q312" s="24">
        <v>80</v>
      </c>
      <c r="R312" s="24">
        <v>200</v>
      </c>
      <c r="S312" s="24">
        <v>10</v>
      </c>
      <c r="T312" s="24">
        <v>3</v>
      </c>
      <c r="U312" s="24">
        <v>3</v>
      </c>
      <c r="V312" s="24">
        <v>0</v>
      </c>
    </row>
    <row r="313" spans="1:22" x14ac:dyDescent="0.25">
      <c r="A313" s="24" t="s">
        <v>341</v>
      </c>
      <c r="B313" s="24" t="s">
        <v>16</v>
      </c>
      <c r="C313" s="24">
        <v>1E-3</v>
      </c>
      <c r="D313" s="24">
        <v>74.261697009205804</v>
      </c>
      <c r="E313" s="25">
        <v>0.29973238706588701</v>
      </c>
      <c r="F313" s="24">
        <v>8</v>
      </c>
      <c r="G313" s="24">
        <v>5.07</v>
      </c>
      <c r="H313" s="24">
        <v>3</v>
      </c>
      <c r="I313" s="24">
        <v>15</v>
      </c>
      <c r="J313" s="24" t="str">
        <f>VLOOKUP(A313,編號對照表!$B$1:$C$133,2,FALSE)</f>
        <v>FB1-E8</v>
      </c>
      <c r="K313" s="24" t="s">
        <v>649</v>
      </c>
      <c r="L313" s="24" t="s">
        <v>874</v>
      </c>
      <c r="M313" s="24">
        <v>2.54</v>
      </c>
      <c r="N313" s="24">
        <v>15</v>
      </c>
      <c r="O313" s="24">
        <v>25</v>
      </c>
      <c r="P313" s="24">
        <v>15</v>
      </c>
      <c r="Q313" s="24">
        <v>80</v>
      </c>
      <c r="R313" s="24">
        <v>200</v>
      </c>
      <c r="S313" s="24">
        <v>3</v>
      </c>
      <c r="T313" s="24">
        <v>0</v>
      </c>
      <c r="U313" s="24">
        <v>10</v>
      </c>
      <c r="V313" s="24">
        <v>5</v>
      </c>
    </row>
    <row r="314" spans="1:22" x14ac:dyDescent="0.25">
      <c r="A314" s="24" t="s">
        <v>342</v>
      </c>
      <c r="B314" s="24" t="s">
        <v>13</v>
      </c>
      <c r="C314" s="24">
        <v>1E-3</v>
      </c>
      <c r="D314" s="24">
        <v>78.722927719354601</v>
      </c>
      <c r="E314" s="25">
        <v>0.28985147364437602</v>
      </c>
      <c r="F314" s="24">
        <v>8</v>
      </c>
      <c r="G314" s="24">
        <v>5.07</v>
      </c>
      <c r="H314" s="24">
        <v>3</v>
      </c>
      <c r="I314" s="24">
        <v>16</v>
      </c>
      <c r="J314" s="24" t="str">
        <f>VLOOKUP(A314,編號對照表!$B$1:$C$133,2,FALSE)</f>
        <v>FB2-C'2</v>
      </c>
      <c r="K314" s="24" t="s">
        <v>599</v>
      </c>
      <c r="L314" s="24" t="s">
        <v>874</v>
      </c>
      <c r="M314" s="24">
        <v>2.54</v>
      </c>
      <c r="N314" s="24">
        <v>15</v>
      </c>
      <c r="O314" s="24">
        <v>25</v>
      </c>
      <c r="P314" s="24">
        <v>15</v>
      </c>
      <c r="Q314" s="24">
        <v>120</v>
      </c>
      <c r="R314" s="24">
        <v>280</v>
      </c>
      <c r="S314" s="24">
        <v>3</v>
      </c>
      <c r="T314" s="24">
        <v>0</v>
      </c>
      <c r="U314" s="24">
        <v>16</v>
      </c>
      <c r="V314" s="24">
        <v>0</v>
      </c>
    </row>
    <row r="315" spans="1:22" x14ac:dyDescent="0.25">
      <c r="A315" s="24" t="s">
        <v>342</v>
      </c>
      <c r="B315" s="24" t="s">
        <v>15</v>
      </c>
      <c r="C315" s="24">
        <v>61.955051496624897</v>
      </c>
      <c r="D315" s="24">
        <v>1E-3</v>
      </c>
      <c r="E315" s="25">
        <v>0.30173740815371303</v>
      </c>
      <c r="F315" s="24">
        <v>8</v>
      </c>
      <c r="G315" s="24">
        <v>5.07</v>
      </c>
      <c r="H315" s="24">
        <v>13</v>
      </c>
      <c r="I315" s="24">
        <v>3</v>
      </c>
      <c r="J315" s="24" t="str">
        <f>VLOOKUP(A315,編號對照表!$B$1:$C$133,2,FALSE)</f>
        <v>FB2-C'2</v>
      </c>
      <c r="K315" s="24" t="s">
        <v>863</v>
      </c>
      <c r="L315" s="24" t="s">
        <v>874</v>
      </c>
      <c r="M315" s="24">
        <v>2.54</v>
      </c>
      <c r="N315" s="24">
        <v>15</v>
      </c>
      <c r="O315" s="24">
        <v>25</v>
      </c>
      <c r="P315" s="24">
        <v>15</v>
      </c>
      <c r="Q315" s="24">
        <v>120</v>
      </c>
      <c r="R315" s="24">
        <v>280</v>
      </c>
      <c r="S315" s="24">
        <v>13</v>
      </c>
      <c r="T315" s="24">
        <v>0</v>
      </c>
      <c r="U315" s="24">
        <v>3</v>
      </c>
      <c r="V315" s="24">
        <v>0</v>
      </c>
    </row>
    <row r="316" spans="1:22" x14ac:dyDescent="0.25">
      <c r="A316" s="24" t="s">
        <v>342</v>
      </c>
      <c r="B316" s="24" t="s">
        <v>16</v>
      </c>
      <c r="C316" s="24">
        <v>1E-3</v>
      </c>
      <c r="D316" s="24">
        <v>77.878092415630803</v>
      </c>
      <c r="E316" s="25">
        <v>0.28419278096407702</v>
      </c>
      <c r="F316" s="24">
        <v>8</v>
      </c>
      <c r="G316" s="24">
        <v>5.07</v>
      </c>
      <c r="H316" s="24">
        <v>3</v>
      </c>
      <c r="I316" s="24">
        <v>16</v>
      </c>
      <c r="J316" s="24" t="str">
        <f>VLOOKUP(A316,編號對照表!$B$1:$C$133,2,FALSE)</f>
        <v>FB2-C'2</v>
      </c>
      <c r="K316" s="24" t="s">
        <v>599</v>
      </c>
      <c r="L316" s="24" t="s">
        <v>874</v>
      </c>
      <c r="M316" s="24">
        <v>2.54</v>
      </c>
      <c r="N316" s="24">
        <v>15</v>
      </c>
      <c r="O316" s="24">
        <v>25</v>
      </c>
      <c r="P316" s="24">
        <v>15</v>
      </c>
      <c r="Q316" s="24">
        <v>120</v>
      </c>
      <c r="R316" s="24">
        <v>280</v>
      </c>
      <c r="S316" s="24">
        <v>3</v>
      </c>
      <c r="T316" s="24">
        <v>0</v>
      </c>
      <c r="U316" s="24">
        <v>16</v>
      </c>
      <c r="V316" s="24">
        <v>0</v>
      </c>
    </row>
    <row r="317" spans="1:22" x14ac:dyDescent="0.25">
      <c r="A317" s="24" t="s">
        <v>343</v>
      </c>
      <c r="B317" s="24" t="s">
        <v>13</v>
      </c>
      <c r="C317" s="24">
        <v>1E-3</v>
      </c>
      <c r="D317" s="24">
        <v>74.447165243327603</v>
      </c>
      <c r="E317" s="25">
        <v>0.34299178514629602</v>
      </c>
      <c r="F317" s="24">
        <v>8</v>
      </c>
      <c r="G317" s="24">
        <v>5.07</v>
      </c>
      <c r="H317" s="24">
        <v>3</v>
      </c>
      <c r="I317" s="24">
        <v>15</v>
      </c>
      <c r="J317" s="24" t="str">
        <f>VLOOKUP(A317,編號對照表!$B$1:$C$133,2,FALSE)</f>
        <v>Fb1-A2</v>
      </c>
      <c r="K317" s="24" t="s">
        <v>650</v>
      </c>
      <c r="L317" s="24" t="s">
        <v>874</v>
      </c>
      <c r="M317" s="24">
        <v>2.54</v>
      </c>
      <c r="N317" s="24">
        <v>12</v>
      </c>
      <c r="O317" s="24">
        <v>25</v>
      </c>
      <c r="P317" s="24">
        <v>15</v>
      </c>
      <c r="Q317" s="24">
        <v>60</v>
      </c>
      <c r="R317" s="24">
        <v>200</v>
      </c>
      <c r="S317" s="24">
        <v>3</v>
      </c>
      <c r="T317" s="24">
        <v>0</v>
      </c>
      <c r="U317" s="24">
        <v>7</v>
      </c>
      <c r="V317" s="24">
        <v>8</v>
      </c>
    </row>
    <row r="318" spans="1:22" x14ac:dyDescent="0.25">
      <c r="A318" s="24" t="s">
        <v>343</v>
      </c>
      <c r="B318" s="24" t="s">
        <v>15</v>
      </c>
      <c r="C318" s="24">
        <v>57.591823861002901</v>
      </c>
      <c r="D318" s="24">
        <v>1E-3</v>
      </c>
      <c r="E318" s="25">
        <v>0.38729009684175297</v>
      </c>
      <c r="F318" s="24">
        <v>8</v>
      </c>
      <c r="G318" s="24">
        <v>5.07</v>
      </c>
      <c r="H318" s="24">
        <v>12</v>
      </c>
      <c r="I318" s="24">
        <v>3</v>
      </c>
      <c r="J318" s="24" t="str">
        <f>VLOOKUP(A318,編號對照表!$B$1:$C$133,2,FALSE)</f>
        <v>Fb1-A2</v>
      </c>
      <c r="K318" s="24" t="s">
        <v>650</v>
      </c>
      <c r="L318" s="24" t="s">
        <v>874</v>
      </c>
      <c r="M318" s="24">
        <v>2.54</v>
      </c>
      <c r="N318" s="24">
        <v>12</v>
      </c>
      <c r="O318" s="24">
        <v>25</v>
      </c>
      <c r="P318" s="24">
        <v>15</v>
      </c>
      <c r="Q318" s="24">
        <v>60</v>
      </c>
      <c r="R318" s="24">
        <v>200</v>
      </c>
      <c r="S318" s="24">
        <v>7</v>
      </c>
      <c r="T318" s="24">
        <v>5</v>
      </c>
      <c r="U318" s="24">
        <v>3</v>
      </c>
      <c r="V318" s="24">
        <v>0</v>
      </c>
    </row>
    <row r="319" spans="1:22" x14ac:dyDescent="0.25">
      <c r="A319" s="24" t="s">
        <v>343</v>
      </c>
      <c r="B319" s="24" t="s">
        <v>16</v>
      </c>
      <c r="C319" s="24">
        <v>1E-3</v>
      </c>
      <c r="D319" s="24">
        <v>110.028125345707</v>
      </c>
      <c r="E319" s="25">
        <v>0.374021963216364</v>
      </c>
      <c r="F319" s="24">
        <v>8</v>
      </c>
      <c r="G319" s="24">
        <v>5.07</v>
      </c>
      <c r="H319" s="24">
        <v>3</v>
      </c>
      <c r="I319" s="24">
        <v>22</v>
      </c>
      <c r="J319" s="24" t="str">
        <f>VLOOKUP(A319,編號對照表!$B$1:$C$133,2,FALSE)</f>
        <v>Fb1-A2</v>
      </c>
      <c r="K319" s="24" t="s">
        <v>819</v>
      </c>
      <c r="L319" s="24" t="s">
        <v>874</v>
      </c>
      <c r="M319" s="24">
        <v>2.54</v>
      </c>
      <c r="N319" s="24">
        <v>12</v>
      </c>
      <c r="O319" s="24">
        <v>25</v>
      </c>
      <c r="P319" s="24">
        <v>15</v>
      </c>
      <c r="Q319" s="24">
        <v>60</v>
      </c>
      <c r="R319" s="24">
        <v>200</v>
      </c>
      <c r="S319" s="24">
        <v>3</v>
      </c>
      <c r="T319" s="24">
        <v>0</v>
      </c>
      <c r="U319" s="24">
        <v>7</v>
      </c>
      <c r="V319" s="24">
        <v>15</v>
      </c>
    </row>
    <row r="320" spans="1:22" x14ac:dyDescent="0.25">
      <c r="A320" s="24" t="s">
        <v>344</v>
      </c>
      <c r="B320" s="24" t="s">
        <v>13</v>
      </c>
      <c r="C320" s="24">
        <v>43.766386806964903</v>
      </c>
      <c r="D320" s="24">
        <v>163.57345506548899</v>
      </c>
      <c r="E320" s="25">
        <v>0.18883283482864499</v>
      </c>
      <c r="F320" s="24">
        <v>8</v>
      </c>
      <c r="G320" s="24">
        <v>5.07</v>
      </c>
      <c r="H320" s="24">
        <v>9</v>
      </c>
      <c r="I320" s="24">
        <v>33</v>
      </c>
      <c r="J320" s="24" t="str">
        <f>VLOOKUP(A320,編號對照表!$B$1:$C$133,2,FALSE)</f>
        <v>Fb1-51</v>
      </c>
      <c r="K320" s="24" t="s">
        <v>820</v>
      </c>
      <c r="L320" s="24" t="s">
        <v>683</v>
      </c>
      <c r="M320" s="24">
        <v>1.27</v>
      </c>
      <c r="N320" s="24">
        <v>12</v>
      </c>
      <c r="O320" s="24">
        <v>25</v>
      </c>
      <c r="P320" s="24">
        <v>15</v>
      </c>
      <c r="Q320" s="24">
        <v>60</v>
      </c>
      <c r="R320" s="24">
        <v>200</v>
      </c>
      <c r="S320" s="24">
        <v>7</v>
      </c>
      <c r="T320" s="24">
        <v>2</v>
      </c>
      <c r="U320" s="24">
        <v>7</v>
      </c>
      <c r="V320" s="24">
        <v>26</v>
      </c>
    </row>
    <row r="321" spans="1:22" x14ac:dyDescent="0.25">
      <c r="A321" s="24" t="s">
        <v>344</v>
      </c>
      <c r="B321" s="24" t="s">
        <v>15</v>
      </c>
      <c r="C321" s="24">
        <v>149.10672791302201</v>
      </c>
      <c r="D321" s="24">
        <v>1E-3</v>
      </c>
      <c r="E321" s="25">
        <v>0.284090870991349</v>
      </c>
      <c r="F321" s="24">
        <v>8</v>
      </c>
      <c r="G321" s="24">
        <v>5.07</v>
      </c>
      <c r="H321" s="24">
        <v>30</v>
      </c>
      <c r="I321" s="24">
        <v>3</v>
      </c>
      <c r="J321" s="24" t="str">
        <f>VLOOKUP(A321,編號對照表!$B$1:$C$133,2,FALSE)</f>
        <v>Fb1-51</v>
      </c>
      <c r="K321" s="24" t="s">
        <v>673</v>
      </c>
      <c r="L321" s="24" t="s">
        <v>694</v>
      </c>
      <c r="M321" s="24">
        <v>2.54</v>
      </c>
      <c r="N321" s="24">
        <v>15</v>
      </c>
      <c r="O321" s="24">
        <v>25</v>
      </c>
      <c r="P321" s="24">
        <v>15</v>
      </c>
      <c r="Q321" s="24">
        <v>60</v>
      </c>
      <c r="R321" s="24">
        <v>200</v>
      </c>
      <c r="S321" s="24">
        <v>7</v>
      </c>
      <c r="T321" s="24">
        <v>23</v>
      </c>
      <c r="U321" s="24">
        <v>3</v>
      </c>
      <c r="V321" s="24">
        <v>0</v>
      </c>
    </row>
    <row r="322" spans="1:22" x14ac:dyDescent="0.25">
      <c r="A322" s="24" t="s">
        <v>344</v>
      </c>
      <c r="B322" s="24" t="s">
        <v>16</v>
      </c>
      <c r="C322" s="24">
        <v>67.598056048154803</v>
      </c>
      <c r="D322" s="24">
        <v>7.3993345722556096</v>
      </c>
      <c r="E322" s="25">
        <v>0.30532705131918197</v>
      </c>
      <c r="F322" s="24">
        <v>8</v>
      </c>
      <c r="G322" s="24">
        <v>5.07</v>
      </c>
      <c r="H322" s="24">
        <v>14</v>
      </c>
      <c r="I322" s="24">
        <v>3</v>
      </c>
      <c r="J322" s="24" t="str">
        <f>VLOOKUP(A322,編號對照表!$B$1:$C$133,2,FALSE)</f>
        <v>Fb1-51</v>
      </c>
      <c r="K322" s="24" t="s">
        <v>673</v>
      </c>
      <c r="L322" s="24" t="s">
        <v>694</v>
      </c>
      <c r="M322" s="24">
        <v>2.54</v>
      </c>
      <c r="N322" s="24">
        <v>15</v>
      </c>
      <c r="O322" s="24">
        <v>25</v>
      </c>
      <c r="P322" s="24">
        <v>15</v>
      </c>
      <c r="Q322" s="24">
        <v>60</v>
      </c>
      <c r="R322" s="24">
        <v>200</v>
      </c>
      <c r="S322" s="24">
        <v>7</v>
      </c>
      <c r="T322" s="24">
        <v>7</v>
      </c>
      <c r="U322" s="24">
        <v>3</v>
      </c>
      <c r="V322" s="24">
        <v>0</v>
      </c>
    </row>
    <row r="323" spans="1:22" x14ac:dyDescent="0.25">
      <c r="A323" s="24" t="s">
        <v>345</v>
      </c>
      <c r="B323" s="24" t="s">
        <v>13</v>
      </c>
      <c r="C323" s="24">
        <v>69.089196622371702</v>
      </c>
      <c r="D323" s="24">
        <v>4.3050874955952203</v>
      </c>
      <c r="E323" s="25">
        <v>0</v>
      </c>
      <c r="F323" s="24">
        <v>8</v>
      </c>
      <c r="G323" s="24">
        <v>5.07</v>
      </c>
      <c r="H323" s="24">
        <v>14</v>
      </c>
      <c r="I323" s="24">
        <v>3</v>
      </c>
      <c r="J323" s="24" t="str">
        <f>VLOOKUP(A323,編號對照表!$B$1:$C$133,2,FALSE)</f>
        <v>Fb1-52</v>
      </c>
      <c r="K323" s="24" t="s">
        <v>821</v>
      </c>
      <c r="L323" s="24" t="s">
        <v>683</v>
      </c>
      <c r="M323" s="24">
        <v>1.27</v>
      </c>
      <c r="N323" s="24">
        <v>15</v>
      </c>
      <c r="O323" s="24">
        <v>25</v>
      </c>
      <c r="P323" s="24">
        <v>15</v>
      </c>
      <c r="Q323" s="24">
        <v>60</v>
      </c>
      <c r="R323" s="24">
        <v>200</v>
      </c>
      <c r="S323" s="24">
        <v>7</v>
      </c>
      <c r="T323" s="24">
        <v>7</v>
      </c>
      <c r="U323" s="24">
        <v>3</v>
      </c>
      <c r="V323" s="24">
        <v>0</v>
      </c>
    </row>
    <row r="324" spans="1:22" x14ac:dyDescent="0.25">
      <c r="A324" s="24" t="s">
        <v>345</v>
      </c>
      <c r="B324" s="24" t="s">
        <v>15</v>
      </c>
      <c r="C324" s="24">
        <v>110.355438664556</v>
      </c>
      <c r="D324" s="24">
        <v>0</v>
      </c>
      <c r="E324" s="25">
        <v>0</v>
      </c>
      <c r="F324" s="24">
        <v>8</v>
      </c>
      <c r="G324" s="24">
        <v>5.07</v>
      </c>
      <c r="H324" s="24">
        <v>22</v>
      </c>
      <c r="I324" s="24">
        <v>3</v>
      </c>
      <c r="J324" s="24" t="str">
        <f>VLOOKUP(A324,編號對照表!$B$1:$C$133,2,FALSE)</f>
        <v>Fb1-52</v>
      </c>
      <c r="K324" s="24" t="s">
        <v>651</v>
      </c>
      <c r="L324" s="24" t="s">
        <v>683</v>
      </c>
      <c r="M324" s="24">
        <v>1.27</v>
      </c>
      <c r="N324" s="24">
        <v>15</v>
      </c>
      <c r="O324" s="24">
        <v>25</v>
      </c>
      <c r="P324" s="24">
        <v>15</v>
      </c>
      <c r="Q324" s="24">
        <v>60</v>
      </c>
      <c r="R324" s="24">
        <v>200</v>
      </c>
      <c r="S324" s="24">
        <v>7</v>
      </c>
      <c r="T324" s="24">
        <v>15</v>
      </c>
      <c r="U324" s="24">
        <v>3</v>
      </c>
      <c r="V324" s="24">
        <v>0</v>
      </c>
    </row>
    <row r="325" spans="1:22" x14ac:dyDescent="0.25">
      <c r="A325" s="24" t="s">
        <v>345</v>
      </c>
      <c r="B325" s="24" t="s">
        <v>16</v>
      </c>
      <c r="C325" s="24">
        <v>103.615215048194</v>
      </c>
      <c r="D325" s="24">
        <v>13.819101732224199</v>
      </c>
      <c r="E325" s="25">
        <v>0</v>
      </c>
      <c r="F325" s="24">
        <v>8</v>
      </c>
      <c r="G325" s="24">
        <v>5.07</v>
      </c>
      <c r="H325" s="24">
        <v>21</v>
      </c>
      <c r="I325" s="24">
        <v>3</v>
      </c>
      <c r="J325" s="24" t="str">
        <f>VLOOKUP(A325,編號對照表!$B$1:$C$133,2,FALSE)</f>
        <v>Fb1-52</v>
      </c>
      <c r="K325" s="24" t="s">
        <v>651</v>
      </c>
      <c r="L325" s="24" t="s">
        <v>683</v>
      </c>
      <c r="M325" s="24">
        <v>1.27</v>
      </c>
      <c r="N325" s="24">
        <v>15</v>
      </c>
      <c r="O325" s="24">
        <v>25</v>
      </c>
      <c r="P325" s="24">
        <v>15</v>
      </c>
      <c r="Q325" s="24">
        <v>60</v>
      </c>
      <c r="R325" s="24">
        <v>200</v>
      </c>
      <c r="S325" s="24">
        <v>7</v>
      </c>
      <c r="T325" s="24">
        <v>14</v>
      </c>
      <c r="U325" s="24">
        <v>3</v>
      </c>
      <c r="V325" s="24">
        <v>0</v>
      </c>
    </row>
    <row r="326" spans="1:22" x14ac:dyDescent="0.25">
      <c r="A326" s="24" t="s">
        <v>346</v>
      </c>
      <c r="B326" s="24" t="s">
        <v>13</v>
      </c>
      <c r="C326" s="24">
        <v>74.021625332534299</v>
      </c>
      <c r="D326" s="24">
        <v>0</v>
      </c>
      <c r="E326" s="25">
        <v>5.02192589920014E-2</v>
      </c>
      <c r="F326" s="24">
        <v>8</v>
      </c>
      <c r="G326" s="24">
        <v>5.07</v>
      </c>
      <c r="H326" s="24">
        <v>15</v>
      </c>
      <c r="I326" s="24">
        <v>3</v>
      </c>
      <c r="J326" s="24" t="str">
        <f>VLOOKUP(A326,編號對照表!$B$1:$C$133,2,FALSE)</f>
        <v>Fb1-15</v>
      </c>
      <c r="K326" s="24" t="s">
        <v>822</v>
      </c>
      <c r="L326" s="24" t="s">
        <v>683</v>
      </c>
      <c r="M326" s="24">
        <v>1.27</v>
      </c>
      <c r="N326" s="24">
        <v>15</v>
      </c>
      <c r="O326" s="24">
        <v>25</v>
      </c>
      <c r="P326" s="24">
        <v>15</v>
      </c>
      <c r="Q326" s="24">
        <v>60</v>
      </c>
      <c r="R326" s="24">
        <v>200</v>
      </c>
      <c r="S326" s="24">
        <v>7</v>
      </c>
      <c r="T326" s="24">
        <v>8</v>
      </c>
      <c r="U326" s="24">
        <v>3</v>
      </c>
      <c r="V326" s="24">
        <v>0</v>
      </c>
    </row>
    <row r="327" spans="1:22" x14ac:dyDescent="0.25">
      <c r="A327" s="24" t="s">
        <v>346</v>
      </c>
      <c r="B327" s="24" t="s">
        <v>15</v>
      </c>
      <c r="C327" s="24">
        <v>82.293218001723304</v>
      </c>
      <c r="D327" s="24">
        <v>0</v>
      </c>
      <c r="E327" s="25">
        <v>0.10413137497380399</v>
      </c>
      <c r="F327" s="24">
        <v>8</v>
      </c>
      <c r="G327" s="24">
        <v>5.07</v>
      </c>
      <c r="H327" s="24">
        <v>17</v>
      </c>
      <c r="I327" s="24">
        <v>3</v>
      </c>
      <c r="J327" s="24" t="str">
        <f>VLOOKUP(A327,編號對照表!$B$1:$C$133,2,FALSE)</f>
        <v>Fb1-15</v>
      </c>
      <c r="K327" s="24" t="s">
        <v>621</v>
      </c>
      <c r="L327" s="24" t="s">
        <v>683</v>
      </c>
      <c r="M327" s="24">
        <v>1.27</v>
      </c>
      <c r="N327" s="24">
        <v>15</v>
      </c>
      <c r="O327" s="24">
        <v>25</v>
      </c>
      <c r="P327" s="24">
        <v>15</v>
      </c>
      <c r="Q327" s="24">
        <v>60</v>
      </c>
      <c r="R327" s="24">
        <v>200</v>
      </c>
      <c r="S327" s="24">
        <v>7</v>
      </c>
      <c r="T327" s="24">
        <v>10</v>
      </c>
      <c r="U327" s="24">
        <v>3</v>
      </c>
      <c r="V327" s="24">
        <v>0</v>
      </c>
    </row>
    <row r="328" spans="1:22" x14ac:dyDescent="0.25">
      <c r="A328" s="24" t="s">
        <v>346</v>
      </c>
      <c r="B328" s="24" t="s">
        <v>16</v>
      </c>
      <c r="C328" s="24">
        <v>36.457239184528603</v>
      </c>
      <c r="D328" s="24">
        <v>9.5623254310339707</v>
      </c>
      <c r="E328" s="25">
        <v>0.103350321296602</v>
      </c>
      <c r="F328" s="24">
        <v>8</v>
      </c>
      <c r="G328" s="24">
        <v>5.07</v>
      </c>
      <c r="H328" s="24">
        <v>8</v>
      </c>
      <c r="I328" s="24">
        <v>3</v>
      </c>
      <c r="J328" s="24" t="str">
        <f>VLOOKUP(A328,編號對照表!$B$1:$C$133,2,FALSE)</f>
        <v>Fb1-15</v>
      </c>
      <c r="K328" s="24" t="s">
        <v>822</v>
      </c>
      <c r="L328" s="24" t="s">
        <v>683</v>
      </c>
      <c r="M328" s="24">
        <v>1.27</v>
      </c>
      <c r="N328" s="24">
        <v>15</v>
      </c>
      <c r="O328" s="24">
        <v>25</v>
      </c>
      <c r="P328" s="24">
        <v>15</v>
      </c>
      <c r="Q328" s="24">
        <v>60</v>
      </c>
      <c r="R328" s="24">
        <v>200</v>
      </c>
      <c r="S328" s="24">
        <v>6</v>
      </c>
      <c r="T328" s="24">
        <v>2</v>
      </c>
      <c r="U328" s="24">
        <v>3</v>
      </c>
      <c r="V328" s="24">
        <v>0</v>
      </c>
    </row>
    <row r="329" spans="1:22" x14ac:dyDescent="0.25">
      <c r="A329" s="24" t="s">
        <v>347</v>
      </c>
      <c r="B329" s="24" t="s">
        <v>13</v>
      </c>
      <c r="C329" s="24">
        <v>73.544420301914201</v>
      </c>
      <c r="D329" s="24">
        <v>0</v>
      </c>
      <c r="E329" s="25">
        <v>0.29911892488598801</v>
      </c>
      <c r="F329" s="24">
        <v>8</v>
      </c>
      <c r="G329" s="24">
        <v>5.07</v>
      </c>
      <c r="H329" s="24">
        <v>15</v>
      </c>
      <c r="I329" s="24">
        <v>3</v>
      </c>
      <c r="J329" s="24" t="str">
        <f>VLOOKUP(A329,編號對照表!$B$1:$C$133,2,FALSE)</f>
        <v>FB1-F8</v>
      </c>
      <c r="K329" s="24" t="s">
        <v>600</v>
      </c>
      <c r="L329" s="24" t="s">
        <v>874</v>
      </c>
      <c r="M329" s="24">
        <v>2.54</v>
      </c>
      <c r="N329" s="24">
        <v>15</v>
      </c>
      <c r="O329" s="24">
        <v>25</v>
      </c>
      <c r="P329" s="24">
        <v>15</v>
      </c>
      <c r="Q329" s="24">
        <v>80</v>
      </c>
      <c r="R329" s="24">
        <v>200</v>
      </c>
      <c r="S329" s="24">
        <v>10</v>
      </c>
      <c r="T329" s="24">
        <v>5</v>
      </c>
      <c r="U329" s="24">
        <v>3</v>
      </c>
      <c r="V329" s="24">
        <v>0</v>
      </c>
    </row>
    <row r="330" spans="1:22" x14ac:dyDescent="0.25">
      <c r="A330" s="24" t="s">
        <v>347</v>
      </c>
      <c r="B330" s="24" t="s">
        <v>15</v>
      </c>
      <c r="C330" s="24">
        <v>101.01897642016399</v>
      </c>
      <c r="D330" s="24">
        <v>0</v>
      </c>
      <c r="E330" s="25">
        <v>0.111569813452661</v>
      </c>
      <c r="F330" s="24">
        <v>8</v>
      </c>
      <c r="G330" s="24">
        <v>5.07</v>
      </c>
      <c r="H330" s="24">
        <v>20</v>
      </c>
      <c r="I330" s="24">
        <v>3</v>
      </c>
      <c r="J330" s="24" t="str">
        <f>VLOOKUP(A330,編號對照表!$B$1:$C$133,2,FALSE)</f>
        <v>FB1-F8</v>
      </c>
      <c r="K330" s="24" t="s">
        <v>600</v>
      </c>
      <c r="L330" s="24" t="s">
        <v>683</v>
      </c>
      <c r="M330" s="24">
        <v>1.27</v>
      </c>
      <c r="N330" s="24">
        <v>12</v>
      </c>
      <c r="O330" s="24">
        <v>25</v>
      </c>
      <c r="P330" s="24">
        <v>15</v>
      </c>
      <c r="Q330" s="24">
        <v>80</v>
      </c>
      <c r="R330" s="24">
        <v>200</v>
      </c>
      <c r="S330" s="24">
        <v>10</v>
      </c>
      <c r="T330" s="24">
        <v>10</v>
      </c>
      <c r="U330" s="24">
        <v>3</v>
      </c>
      <c r="V330" s="24">
        <v>0</v>
      </c>
    </row>
    <row r="331" spans="1:22" x14ac:dyDescent="0.25">
      <c r="A331" s="24" t="s">
        <v>347</v>
      </c>
      <c r="B331" s="24" t="s">
        <v>16</v>
      </c>
      <c r="C331" s="24">
        <v>37.212776951491797</v>
      </c>
      <c r="D331" s="24">
        <v>66.757285967469201</v>
      </c>
      <c r="E331" s="25">
        <v>0.16611487371847</v>
      </c>
      <c r="F331" s="24">
        <v>8</v>
      </c>
      <c r="G331" s="24">
        <v>5.07</v>
      </c>
      <c r="H331" s="24">
        <v>8</v>
      </c>
      <c r="I331" s="24">
        <v>14</v>
      </c>
      <c r="J331" s="24" t="str">
        <f>VLOOKUP(A331,編號對照表!$B$1:$C$133,2,FALSE)</f>
        <v>FB1-F8</v>
      </c>
      <c r="K331" s="24" t="s">
        <v>823</v>
      </c>
      <c r="L331" s="24" t="s">
        <v>683</v>
      </c>
      <c r="M331" s="24">
        <v>1.27</v>
      </c>
      <c r="N331" s="24">
        <v>12</v>
      </c>
      <c r="O331" s="24">
        <v>25</v>
      </c>
      <c r="P331" s="24">
        <v>15</v>
      </c>
      <c r="Q331" s="24">
        <v>80</v>
      </c>
      <c r="R331" s="24">
        <v>200</v>
      </c>
      <c r="S331" s="24">
        <v>8</v>
      </c>
      <c r="T331" s="24">
        <v>0</v>
      </c>
      <c r="U331" s="24">
        <v>10</v>
      </c>
      <c r="V331" s="24">
        <v>4</v>
      </c>
    </row>
    <row r="332" spans="1:22" x14ac:dyDescent="0.25">
      <c r="A332" s="24" t="s">
        <v>348</v>
      </c>
      <c r="B332" s="24" t="s">
        <v>13</v>
      </c>
      <c r="C332" s="24">
        <v>0</v>
      </c>
      <c r="D332" s="24">
        <v>68.302378058433504</v>
      </c>
      <c r="E332" s="25">
        <v>0.120917370077223</v>
      </c>
      <c r="F332" s="24">
        <v>8</v>
      </c>
      <c r="G332" s="24">
        <v>5.07</v>
      </c>
      <c r="H332" s="24">
        <v>3</v>
      </c>
      <c r="I332" s="24">
        <v>14</v>
      </c>
      <c r="J332" s="24" t="str">
        <f>VLOOKUP(A332,編號對照表!$B$1:$C$133,2,FALSE)</f>
        <v>Fb1-36</v>
      </c>
      <c r="K332" s="24" t="s">
        <v>601</v>
      </c>
      <c r="L332" s="24" t="s">
        <v>683</v>
      </c>
      <c r="M332" s="24">
        <v>1.27</v>
      </c>
      <c r="N332" s="24">
        <v>15</v>
      </c>
      <c r="O332" s="24">
        <v>25</v>
      </c>
      <c r="P332" s="24">
        <v>15</v>
      </c>
      <c r="Q332" s="24">
        <v>60</v>
      </c>
      <c r="R332" s="24">
        <v>200</v>
      </c>
      <c r="S332" s="24">
        <v>3</v>
      </c>
      <c r="T332" s="24">
        <v>0</v>
      </c>
      <c r="U332" s="24">
        <v>7</v>
      </c>
      <c r="V332" s="24">
        <v>7</v>
      </c>
    </row>
    <row r="333" spans="1:22" x14ac:dyDescent="0.25">
      <c r="A333" s="24" t="s">
        <v>348</v>
      </c>
      <c r="B333" s="24" t="s">
        <v>15</v>
      </c>
      <c r="C333" s="24">
        <v>17.666012281552</v>
      </c>
      <c r="D333" s="24">
        <v>19.8891595937312</v>
      </c>
      <c r="E333" s="25">
        <v>6.7057006526738405E-2</v>
      </c>
      <c r="F333" s="24">
        <v>8</v>
      </c>
      <c r="G333" s="24">
        <v>5.07</v>
      </c>
      <c r="H333" s="24">
        <v>4</v>
      </c>
      <c r="I333" s="24">
        <v>4</v>
      </c>
      <c r="J333" s="24" t="str">
        <f>VLOOKUP(A333,編號對照表!$B$1:$C$133,2,FALSE)</f>
        <v>Fb1-36</v>
      </c>
      <c r="K333" s="24" t="s">
        <v>601</v>
      </c>
      <c r="L333" s="24" t="s">
        <v>683</v>
      </c>
      <c r="M333" s="24">
        <v>1.27</v>
      </c>
      <c r="N333" s="24">
        <v>15</v>
      </c>
      <c r="O333" s="24">
        <v>25</v>
      </c>
      <c r="P333" s="24">
        <v>15</v>
      </c>
      <c r="Q333" s="24">
        <v>60</v>
      </c>
      <c r="R333" s="24">
        <v>200</v>
      </c>
      <c r="S333" s="24">
        <v>4</v>
      </c>
      <c r="T333" s="24">
        <v>0</v>
      </c>
      <c r="U333" s="24">
        <v>4</v>
      </c>
      <c r="V333" s="24">
        <v>0</v>
      </c>
    </row>
    <row r="334" spans="1:22" x14ac:dyDescent="0.25">
      <c r="A334" s="24" t="s">
        <v>348</v>
      </c>
      <c r="B334" s="24" t="s">
        <v>16</v>
      </c>
      <c r="C334" s="24">
        <v>5.9538736240938297</v>
      </c>
      <c r="D334" s="24">
        <v>33.0971903167665</v>
      </c>
      <c r="E334" s="25">
        <v>7.7751954086124897E-2</v>
      </c>
      <c r="F334" s="24">
        <v>8</v>
      </c>
      <c r="G334" s="24">
        <v>5.07</v>
      </c>
      <c r="H334" s="24">
        <v>3</v>
      </c>
      <c r="I334" s="24">
        <v>7</v>
      </c>
      <c r="J334" s="24" t="str">
        <f>VLOOKUP(A334,編號對照表!$B$1:$C$133,2,FALSE)</f>
        <v>Fb1-36</v>
      </c>
      <c r="K334" s="24" t="s">
        <v>824</v>
      </c>
      <c r="L334" s="24" t="s">
        <v>683</v>
      </c>
      <c r="M334" s="24">
        <v>1.27</v>
      </c>
      <c r="N334" s="24">
        <v>15</v>
      </c>
      <c r="O334" s="24">
        <v>25</v>
      </c>
      <c r="P334" s="24">
        <v>15</v>
      </c>
      <c r="Q334" s="24">
        <v>60</v>
      </c>
      <c r="R334" s="24">
        <v>200</v>
      </c>
      <c r="S334" s="24">
        <v>3</v>
      </c>
      <c r="T334" s="24">
        <v>0</v>
      </c>
      <c r="U334" s="24">
        <v>7</v>
      </c>
      <c r="V334" s="24">
        <v>0</v>
      </c>
    </row>
    <row r="335" spans="1:22" x14ac:dyDescent="0.25">
      <c r="A335" s="24" t="s">
        <v>349</v>
      </c>
      <c r="B335" s="24" t="s">
        <v>13</v>
      </c>
      <c r="C335" s="24">
        <v>17.579565756022902</v>
      </c>
      <c r="D335" s="24">
        <v>21.630811970680998</v>
      </c>
      <c r="E335" s="25">
        <v>5.02192589920014E-2</v>
      </c>
      <c r="F335" s="24">
        <v>8</v>
      </c>
      <c r="G335" s="24">
        <v>5.07</v>
      </c>
      <c r="H335" s="24">
        <v>4</v>
      </c>
      <c r="I335" s="24">
        <v>5</v>
      </c>
      <c r="J335" s="24" t="str">
        <f>VLOOKUP(A335,編號對照表!$B$1:$C$133,2,FALSE)</f>
        <v>Fb2-73</v>
      </c>
      <c r="K335" s="24" t="s">
        <v>652</v>
      </c>
      <c r="L335" s="24" t="s">
        <v>683</v>
      </c>
      <c r="M335" s="24">
        <v>1.27</v>
      </c>
      <c r="N335" s="24">
        <v>10</v>
      </c>
      <c r="O335" s="24">
        <v>25</v>
      </c>
      <c r="P335" s="24">
        <v>15</v>
      </c>
      <c r="Q335" s="24">
        <v>100</v>
      </c>
      <c r="R335" s="24">
        <v>280</v>
      </c>
      <c r="S335" s="24">
        <v>4</v>
      </c>
      <c r="T335" s="24">
        <v>0</v>
      </c>
      <c r="U335" s="24">
        <v>5</v>
      </c>
      <c r="V335" s="24">
        <v>0</v>
      </c>
    </row>
    <row r="336" spans="1:22" x14ac:dyDescent="0.25">
      <c r="A336" s="24" t="s">
        <v>349</v>
      </c>
      <c r="B336" s="24" t="s">
        <v>15</v>
      </c>
      <c r="C336" s="24">
        <v>60.955900698900201</v>
      </c>
      <c r="D336" s="24">
        <v>0</v>
      </c>
      <c r="E336" s="25">
        <v>5.02192589920014E-2</v>
      </c>
      <c r="F336" s="24">
        <v>8</v>
      </c>
      <c r="G336" s="24">
        <v>5.07</v>
      </c>
      <c r="H336" s="24">
        <v>13</v>
      </c>
      <c r="I336" s="24">
        <v>3</v>
      </c>
      <c r="J336" s="24" t="str">
        <f>VLOOKUP(A336,編號對照表!$B$1:$C$133,2,FALSE)</f>
        <v>Fb2-73</v>
      </c>
      <c r="K336" s="24" t="s">
        <v>825</v>
      </c>
      <c r="L336" s="24" t="s">
        <v>683</v>
      </c>
      <c r="M336" s="24">
        <v>1.27</v>
      </c>
      <c r="N336" s="24">
        <v>10</v>
      </c>
      <c r="O336" s="24">
        <v>25</v>
      </c>
      <c r="P336" s="24">
        <v>15</v>
      </c>
      <c r="Q336" s="24">
        <v>100</v>
      </c>
      <c r="R336" s="24">
        <v>280</v>
      </c>
      <c r="S336" s="24">
        <v>13</v>
      </c>
      <c r="T336" s="24">
        <v>0</v>
      </c>
      <c r="U336" s="24">
        <v>3</v>
      </c>
      <c r="V336" s="24">
        <v>0</v>
      </c>
    </row>
    <row r="337" spans="1:22" x14ac:dyDescent="0.25">
      <c r="A337" s="24" t="s">
        <v>349</v>
      </c>
      <c r="B337" s="24" t="s">
        <v>16</v>
      </c>
      <c r="C337" s="24">
        <v>49.383896403014703</v>
      </c>
      <c r="D337" s="24">
        <v>0</v>
      </c>
      <c r="E337" s="25">
        <v>5.02192589920014E-2</v>
      </c>
      <c r="F337" s="24">
        <v>8</v>
      </c>
      <c r="G337" s="24">
        <v>5.07</v>
      </c>
      <c r="H337" s="24">
        <v>10</v>
      </c>
      <c r="I337" s="24">
        <v>3</v>
      </c>
      <c r="J337" s="24" t="str">
        <f>VLOOKUP(A337,編號對照表!$B$1:$C$133,2,FALSE)</f>
        <v>Fb2-73</v>
      </c>
      <c r="K337" s="24" t="s">
        <v>652</v>
      </c>
      <c r="L337" s="24" t="s">
        <v>683</v>
      </c>
      <c r="M337" s="24">
        <v>1.27</v>
      </c>
      <c r="N337" s="24">
        <v>10</v>
      </c>
      <c r="O337" s="24">
        <v>25</v>
      </c>
      <c r="P337" s="24">
        <v>15</v>
      </c>
      <c r="Q337" s="24">
        <v>100</v>
      </c>
      <c r="R337" s="24">
        <v>280</v>
      </c>
      <c r="S337" s="24">
        <v>10</v>
      </c>
      <c r="T337" s="24">
        <v>0</v>
      </c>
      <c r="U337" s="24">
        <v>3</v>
      </c>
      <c r="V337" s="24">
        <v>0</v>
      </c>
    </row>
    <row r="338" spans="1:22" x14ac:dyDescent="0.25">
      <c r="A338" s="24" t="s">
        <v>350</v>
      </c>
      <c r="B338" s="24" t="s">
        <v>13</v>
      </c>
      <c r="C338" s="24">
        <v>31.981968786567499</v>
      </c>
      <c r="D338" s="24">
        <v>1.40125092002563</v>
      </c>
      <c r="E338" s="25">
        <v>6.6959013929590597E-2</v>
      </c>
      <c r="F338" s="24">
        <v>8</v>
      </c>
      <c r="G338" s="24">
        <v>5.07</v>
      </c>
      <c r="H338" s="24">
        <v>7</v>
      </c>
      <c r="I338" s="24">
        <v>3</v>
      </c>
      <c r="J338" s="24" t="str">
        <f>VLOOKUP(A338,編號對照表!$B$1:$C$133,2,FALSE)</f>
        <v>Fb1-76</v>
      </c>
      <c r="K338" s="24" t="s">
        <v>622</v>
      </c>
      <c r="L338" s="24" t="s">
        <v>683</v>
      </c>
      <c r="M338" s="24">
        <v>1.27</v>
      </c>
      <c r="N338" s="24">
        <v>15</v>
      </c>
      <c r="O338" s="24">
        <v>25</v>
      </c>
      <c r="P338" s="24">
        <v>15</v>
      </c>
      <c r="Q338" s="24">
        <v>60</v>
      </c>
      <c r="R338" s="24">
        <v>200</v>
      </c>
      <c r="S338" s="24">
        <v>7</v>
      </c>
      <c r="T338" s="24">
        <v>0</v>
      </c>
      <c r="U338" s="24">
        <v>3</v>
      </c>
      <c r="V338" s="24">
        <v>0</v>
      </c>
    </row>
    <row r="339" spans="1:22" x14ac:dyDescent="0.25">
      <c r="A339" s="24" t="s">
        <v>350</v>
      </c>
      <c r="B339" s="24" t="s">
        <v>15</v>
      </c>
      <c r="C339" s="24">
        <v>33.477053511887803</v>
      </c>
      <c r="D339" s="24">
        <v>90.568913146853404</v>
      </c>
      <c r="E339" s="25">
        <v>0.22939997725188699</v>
      </c>
      <c r="F339" s="24">
        <v>8</v>
      </c>
      <c r="G339" s="24">
        <v>5.07</v>
      </c>
      <c r="H339" s="24">
        <v>7</v>
      </c>
      <c r="I339" s="24">
        <v>18</v>
      </c>
      <c r="J339" s="24" t="str">
        <f>VLOOKUP(A339,編號對照表!$B$1:$C$133,2,FALSE)</f>
        <v>Fb1-76</v>
      </c>
      <c r="K339" s="24" t="s">
        <v>826</v>
      </c>
      <c r="L339" s="24" t="s">
        <v>683</v>
      </c>
      <c r="M339" s="24">
        <v>1.27</v>
      </c>
      <c r="N339" s="24">
        <v>10</v>
      </c>
      <c r="O339" s="24">
        <v>25</v>
      </c>
      <c r="P339" s="24">
        <v>15</v>
      </c>
      <c r="Q339" s="24">
        <v>60</v>
      </c>
      <c r="R339" s="24">
        <v>200</v>
      </c>
      <c r="S339" s="24">
        <v>7</v>
      </c>
      <c r="T339" s="24">
        <v>0</v>
      </c>
      <c r="U339" s="24">
        <v>7</v>
      </c>
      <c r="V339" s="24">
        <v>11</v>
      </c>
    </row>
    <row r="340" spans="1:22" x14ac:dyDescent="0.25">
      <c r="A340" s="24" t="s">
        <v>350</v>
      </c>
      <c r="B340" s="24" t="s">
        <v>16</v>
      </c>
      <c r="C340" s="24">
        <v>33.477053511887803</v>
      </c>
      <c r="D340" s="24">
        <v>213.68693560361899</v>
      </c>
      <c r="E340" s="25">
        <v>0.21909833885729299</v>
      </c>
      <c r="F340" s="24">
        <v>8</v>
      </c>
      <c r="G340" s="24">
        <v>5.07</v>
      </c>
      <c r="H340" s="24">
        <v>7</v>
      </c>
      <c r="I340" s="24">
        <v>43</v>
      </c>
      <c r="J340" s="24" t="str">
        <f>VLOOKUP(A340,編號對照表!$B$1:$C$133,2,FALSE)</f>
        <v>Fb1-76</v>
      </c>
      <c r="K340" s="24" t="s">
        <v>826</v>
      </c>
      <c r="L340" s="24" t="s">
        <v>683</v>
      </c>
      <c r="M340" s="24">
        <v>1.27</v>
      </c>
      <c r="N340" s="24">
        <v>10</v>
      </c>
      <c r="O340" s="24">
        <v>25</v>
      </c>
      <c r="P340" s="24">
        <v>15</v>
      </c>
      <c r="Q340" s="24">
        <v>60</v>
      </c>
      <c r="R340" s="24">
        <v>200</v>
      </c>
      <c r="S340" s="24">
        <v>7</v>
      </c>
      <c r="T340" s="24">
        <v>0</v>
      </c>
      <c r="U340" s="24">
        <v>7</v>
      </c>
      <c r="V340" s="24">
        <v>36</v>
      </c>
    </row>
    <row r="341" spans="1:22" x14ac:dyDescent="0.25">
      <c r="A341" s="24" t="s">
        <v>351</v>
      </c>
      <c r="B341" s="24" t="s">
        <v>13</v>
      </c>
      <c r="C341" s="24">
        <v>43.060798197984703</v>
      </c>
      <c r="D341" s="24">
        <v>18.903039162978502</v>
      </c>
      <c r="E341" s="25">
        <v>0</v>
      </c>
      <c r="F341" s="24">
        <v>8</v>
      </c>
      <c r="G341" s="24">
        <v>5.07</v>
      </c>
      <c r="H341" s="24">
        <v>9</v>
      </c>
      <c r="I341" s="24">
        <v>4</v>
      </c>
      <c r="J341" s="24" t="str">
        <f>VLOOKUP(A341,編號對照表!$B$1:$C$133,2,FALSE)</f>
        <v>FG2-63</v>
      </c>
      <c r="K341" s="24" t="s">
        <v>827</v>
      </c>
      <c r="L341" s="24" t="s">
        <v>694</v>
      </c>
      <c r="M341" s="24">
        <v>2.54</v>
      </c>
      <c r="N341" s="24">
        <v>15</v>
      </c>
      <c r="O341" s="24">
        <v>25</v>
      </c>
      <c r="P341" s="24">
        <v>15</v>
      </c>
      <c r="Q341" s="24">
        <v>120</v>
      </c>
      <c r="R341" s="24">
        <v>280</v>
      </c>
      <c r="S341" s="24">
        <v>9</v>
      </c>
      <c r="T341" s="24">
        <v>0</v>
      </c>
      <c r="U341" s="24">
        <v>4</v>
      </c>
      <c r="V341" s="24">
        <v>0</v>
      </c>
    </row>
    <row r="342" spans="1:22" x14ac:dyDescent="0.25">
      <c r="A342" s="24" t="s">
        <v>351</v>
      </c>
      <c r="B342" s="24" t="s">
        <v>15</v>
      </c>
      <c r="C342" s="24">
        <v>99.282655864953995</v>
      </c>
      <c r="D342" s="24">
        <v>0</v>
      </c>
      <c r="E342" s="25">
        <v>0</v>
      </c>
      <c r="F342" s="24">
        <v>8</v>
      </c>
      <c r="G342" s="24">
        <v>5.07</v>
      </c>
      <c r="H342" s="24">
        <v>20</v>
      </c>
      <c r="I342" s="24">
        <v>3</v>
      </c>
      <c r="J342" s="24" t="str">
        <f>VLOOKUP(A342,編號對照表!$B$1:$C$133,2,FALSE)</f>
        <v>FG2-63</v>
      </c>
      <c r="K342" s="24" t="s">
        <v>623</v>
      </c>
      <c r="L342" s="24" t="s">
        <v>874</v>
      </c>
      <c r="M342" s="24">
        <v>2.54</v>
      </c>
      <c r="N342" s="24">
        <v>15</v>
      </c>
      <c r="O342" s="24">
        <v>25</v>
      </c>
      <c r="P342" s="24">
        <v>15</v>
      </c>
      <c r="Q342" s="24">
        <v>120</v>
      </c>
      <c r="R342" s="24">
        <v>280</v>
      </c>
      <c r="S342" s="24">
        <v>16</v>
      </c>
      <c r="T342" s="24">
        <v>4</v>
      </c>
      <c r="U342" s="24">
        <v>3</v>
      </c>
      <c r="V342" s="24">
        <v>0</v>
      </c>
    </row>
    <row r="343" spans="1:22" x14ac:dyDescent="0.25">
      <c r="A343" s="24" t="s">
        <v>351</v>
      </c>
      <c r="B343" s="24" t="s">
        <v>16</v>
      </c>
      <c r="C343" s="24">
        <v>96.793994307518005</v>
      </c>
      <c r="D343" s="24">
        <v>0</v>
      </c>
      <c r="E343" s="25">
        <v>5.02192589920014E-2</v>
      </c>
      <c r="F343" s="24">
        <v>8</v>
      </c>
      <c r="G343" s="24">
        <v>5.07</v>
      </c>
      <c r="H343" s="24">
        <v>20</v>
      </c>
      <c r="I343" s="24">
        <v>3</v>
      </c>
      <c r="J343" s="24" t="str">
        <f>VLOOKUP(A343,編號對照表!$B$1:$C$133,2,FALSE)</f>
        <v>FG2-63</v>
      </c>
      <c r="K343" s="24" t="s">
        <v>623</v>
      </c>
      <c r="L343" s="24" t="s">
        <v>694</v>
      </c>
      <c r="M343" s="24">
        <v>2.54</v>
      </c>
      <c r="N343" s="24">
        <v>15</v>
      </c>
      <c r="O343" s="24">
        <v>25</v>
      </c>
      <c r="P343" s="24">
        <v>15</v>
      </c>
      <c r="Q343" s="24">
        <v>120</v>
      </c>
      <c r="R343" s="24">
        <v>280</v>
      </c>
      <c r="S343" s="24">
        <v>16</v>
      </c>
      <c r="T343" s="24">
        <v>4</v>
      </c>
      <c r="U343" s="24">
        <v>3</v>
      </c>
      <c r="V343" s="24">
        <v>0</v>
      </c>
    </row>
    <row r="344" spans="1:22" x14ac:dyDescent="0.25">
      <c r="A344" s="24" t="s">
        <v>352</v>
      </c>
      <c r="B344" s="24" t="s">
        <v>13</v>
      </c>
      <c r="C344" s="24">
        <v>38.603341672569499</v>
      </c>
      <c r="D344" s="24">
        <v>34.260614775121198</v>
      </c>
      <c r="E344" s="25">
        <v>0</v>
      </c>
      <c r="F344" s="24">
        <v>8</v>
      </c>
      <c r="G344" s="24">
        <v>5.07</v>
      </c>
      <c r="H344" s="24">
        <v>8</v>
      </c>
      <c r="I344" s="24">
        <v>7</v>
      </c>
      <c r="J344" s="24" t="str">
        <f>VLOOKUP(A344,編號對照表!$B$1:$C$133,2,FALSE)</f>
        <v>Fb2-E5</v>
      </c>
      <c r="K344" s="24" t="s">
        <v>828</v>
      </c>
      <c r="L344" s="24" t="s">
        <v>683</v>
      </c>
      <c r="M344" s="24">
        <v>1.27</v>
      </c>
      <c r="N344" s="24">
        <v>10</v>
      </c>
      <c r="O344" s="24">
        <v>25</v>
      </c>
      <c r="P344" s="24">
        <v>15</v>
      </c>
      <c r="Q344" s="24">
        <v>100</v>
      </c>
      <c r="R344" s="24">
        <v>280</v>
      </c>
      <c r="S344" s="24">
        <v>8</v>
      </c>
      <c r="T344" s="24">
        <v>0</v>
      </c>
      <c r="U344" s="24">
        <v>7</v>
      </c>
      <c r="V344" s="24">
        <v>0</v>
      </c>
    </row>
    <row r="345" spans="1:22" x14ac:dyDescent="0.25">
      <c r="A345" s="24" t="s">
        <v>352</v>
      </c>
      <c r="B345" s="24" t="s">
        <v>15</v>
      </c>
      <c r="C345" s="24">
        <v>55.937618017196698</v>
      </c>
      <c r="D345" s="24">
        <v>23.593516089022199</v>
      </c>
      <c r="E345" s="25">
        <v>0</v>
      </c>
      <c r="F345" s="24">
        <v>8</v>
      </c>
      <c r="G345" s="24">
        <v>5.07</v>
      </c>
      <c r="H345" s="24">
        <v>12</v>
      </c>
      <c r="I345" s="24">
        <v>5</v>
      </c>
      <c r="J345" s="24" t="str">
        <f>VLOOKUP(A345,編號對照表!$B$1:$C$133,2,FALSE)</f>
        <v>Fb2-E5</v>
      </c>
      <c r="K345" s="24" t="s">
        <v>828</v>
      </c>
      <c r="L345" s="24" t="s">
        <v>683</v>
      </c>
      <c r="M345" s="24">
        <v>1.27</v>
      </c>
      <c r="N345" s="24">
        <v>10</v>
      </c>
      <c r="O345" s="24">
        <v>25</v>
      </c>
      <c r="P345" s="24">
        <v>15</v>
      </c>
      <c r="Q345" s="24">
        <v>100</v>
      </c>
      <c r="R345" s="24">
        <v>280</v>
      </c>
      <c r="S345" s="24">
        <v>12</v>
      </c>
      <c r="T345" s="24">
        <v>0</v>
      </c>
      <c r="U345" s="24">
        <v>5</v>
      </c>
      <c r="V345" s="24">
        <v>0</v>
      </c>
    </row>
    <row r="346" spans="1:22" x14ac:dyDescent="0.25">
      <c r="A346" s="24" t="s">
        <v>352</v>
      </c>
      <c r="B346" s="24" t="s">
        <v>16</v>
      </c>
      <c r="C346" s="24">
        <v>56.8492757156491</v>
      </c>
      <c r="D346" s="24">
        <v>11.2471252214164</v>
      </c>
      <c r="E346" s="25">
        <v>0</v>
      </c>
      <c r="F346" s="24">
        <v>8</v>
      </c>
      <c r="G346" s="24">
        <v>5.07</v>
      </c>
      <c r="H346" s="24">
        <v>12</v>
      </c>
      <c r="I346" s="24">
        <v>3</v>
      </c>
      <c r="J346" s="24" t="str">
        <f>VLOOKUP(A346,編號對照表!$B$1:$C$133,2,FALSE)</f>
        <v>Fb2-E5</v>
      </c>
      <c r="K346" s="24" t="s">
        <v>828</v>
      </c>
      <c r="L346" s="24" t="s">
        <v>683</v>
      </c>
      <c r="M346" s="24">
        <v>1.27</v>
      </c>
      <c r="N346" s="24">
        <v>10</v>
      </c>
      <c r="O346" s="24">
        <v>25</v>
      </c>
      <c r="P346" s="24">
        <v>15</v>
      </c>
      <c r="Q346" s="24">
        <v>100</v>
      </c>
      <c r="R346" s="24">
        <v>280</v>
      </c>
      <c r="S346" s="24">
        <v>12</v>
      </c>
      <c r="T346" s="24">
        <v>0</v>
      </c>
      <c r="U346" s="24">
        <v>3</v>
      </c>
      <c r="V346" s="24">
        <v>0</v>
      </c>
    </row>
    <row r="347" spans="1:22" x14ac:dyDescent="0.25">
      <c r="A347" s="24" t="s">
        <v>353</v>
      </c>
      <c r="B347" s="24" t="s">
        <v>13</v>
      </c>
      <c r="C347" s="24">
        <v>11.249557137489299</v>
      </c>
      <c r="D347" s="24">
        <v>103.94820943474799</v>
      </c>
      <c r="E347" s="25">
        <v>0.110338476952165</v>
      </c>
      <c r="F347" s="24">
        <v>8</v>
      </c>
      <c r="G347" s="24">
        <v>5.07</v>
      </c>
      <c r="H347" s="24">
        <v>3</v>
      </c>
      <c r="I347" s="24">
        <v>21</v>
      </c>
      <c r="J347" s="24" t="str">
        <f>VLOOKUP(A347,編號對照表!$B$1:$C$133,2,FALSE)</f>
        <v>Fb2-E4</v>
      </c>
      <c r="K347" s="24" t="s">
        <v>829</v>
      </c>
      <c r="L347" s="24" t="s">
        <v>683</v>
      </c>
      <c r="M347" s="24">
        <v>1.27</v>
      </c>
      <c r="N347" s="24">
        <v>10</v>
      </c>
      <c r="O347" s="24">
        <v>25</v>
      </c>
      <c r="P347" s="24">
        <v>15</v>
      </c>
      <c r="Q347" s="24">
        <v>100</v>
      </c>
      <c r="R347" s="24">
        <v>280</v>
      </c>
      <c r="S347" s="24">
        <v>3</v>
      </c>
      <c r="T347" s="24">
        <v>0</v>
      </c>
      <c r="U347" s="24">
        <v>13</v>
      </c>
      <c r="V347" s="24">
        <v>8</v>
      </c>
    </row>
    <row r="348" spans="1:22" x14ac:dyDescent="0.25">
      <c r="A348" s="24" t="s">
        <v>353</v>
      </c>
      <c r="B348" s="24" t="s">
        <v>15</v>
      </c>
      <c r="C348" s="24">
        <v>19.752238877117598</v>
      </c>
      <c r="D348" s="24">
        <v>67.301597446203203</v>
      </c>
      <c r="E348" s="25">
        <v>5.02192589920014E-2</v>
      </c>
      <c r="F348" s="24">
        <v>8</v>
      </c>
      <c r="G348" s="24">
        <v>5.07</v>
      </c>
      <c r="H348" s="24">
        <v>4</v>
      </c>
      <c r="I348" s="24">
        <v>14</v>
      </c>
      <c r="J348" s="24" t="str">
        <f>VLOOKUP(A348,編號對照表!$B$1:$C$133,2,FALSE)</f>
        <v>Fb2-E4</v>
      </c>
      <c r="K348" s="24" t="s">
        <v>829</v>
      </c>
      <c r="L348" s="24" t="s">
        <v>683</v>
      </c>
      <c r="M348" s="24">
        <v>1.27</v>
      </c>
      <c r="N348" s="24">
        <v>10</v>
      </c>
      <c r="O348" s="24">
        <v>25</v>
      </c>
      <c r="P348" s="24">
        <v>15</v>
      </c>
      <c r="Q348" s="24">
        <v>100</v>
      </c>
      <c r="R348" s="24">
        <v>280</v>
      </c>
      <c r="S348" s="24">
        <v>4</v>
      </c>
      <c r="T348" s="24">
        <v>0</v>
      </c>
      <c r="U348" s="24">
        <v>12</v>
      </c>
      <c r="V348" s="24">
        <v>2</v>
      </c>
    </row>
    <row r="349" spans="1:22" x14ac:dyDescent="0.25">
      <c r="A349" s="24" t="s">
        <v>353</v>
      </c>
      <c r="B349" s="24" t="s">
        <v>16</v>
      </c>
      <c r="C349" s="24">
        <v>13.6994733475149</v>
      </c>
      <c r="D349" s="24">
        <v>46.066506765782798</v>
      </c>
      <c r="E349" s="25">
        <v>5.02192589920014E-2</v>
      </c>
      <c r="F349" s="24">
        <v>8</v>
      </c>
      <c r="G349" s="24">
        <v>5.07</v>
      </c>
      <c r="H349" s="24">
        <v>3</v>
      </c>
      <c r="I349" s="24">
        <v>10</v>
      </c>
      <c r="J349" s="24" t="str">
        <f>VLOOKUP(A349,編號對照表!$B$1:$C$133,2,FALSE)</f>
        <v>Fb2-E4</v>
      </c>
      <c r="K349" s="24" t="s">
        <v>602</v>
      </c>
      <c r="L349" s="24" t="s">
        <v>683</v>
      </c>
      <c r="M349" s="24">
        <v>1.27</v>
      </c>
      <c r="N349" s="24">
        <v>10</v>
      </c>
      <c r="O349" s="24">
        <v>25</v>
      </c>
      <c r="P349" s="24">
        <v>15</v>
      </c>
      <c r="Q349" s="24">
        <v>100</v>
      </c>
      <c r="R349" s="24">
        <v>280</v>
      </c>
      <c r="S349" s="24">
        <v>3</v>
      </c>
      <c r="T349" s="24">
        <v>0</v>
      </c>
      <c r="U349" s="24">
        <v>10</v>
      </c>
      <c r="V349" s="24">
        <v>0</v>
      </c>
    </row>
    <row r="350" spans="1:22" x14ac:dyDescent="0.25">
      <c r="A350" s="24" t="s">
        <v>354</v>
      </c>
      <c r="B350" s="24" t="s">
        <v>13</v>
      </c>
      <c r="C350" s="24">
        <v>97.981467843055697</v>
      </c>
      <c r="D350" s="24">
        <v>119.236595928669</v>
      </c>
      <c r="E350" s="25">
        <v>0</v>
      </c>
      <c r="F350" s="24">
        <v>8</v>
      </c>
      <c r="G350" s="24">
        <v>5.07</v>
      </c>
      <c r="H350" s="24">
        <v>20</v>
      </c>
      <c r="I350" s="24">
        <v>24</v>
      </c>
      <c r="J350" s="24" t="str">
        <f>VLOOKUP(A350,編號對照表!$B$1:$C$133,2,FALSE)</f>
        <v>FG2-64</v>
      </c>
      <c r="K350" s="24" t="s">
        <v>830</v>
      </c>
      <c r="L350" s="24" t="s">
        <v>874</v>
      </c>
      <c r="M350" s="24">
        <v>2.54</v>
      </c>
      <c r="N350" s="24">
        <v>15</v>
      </c>
      <c r="O350" s="24">
        <v>25</v>
      </c>
      <c r="P350" s="24">
        <v>15</v>
      </c>
      <c r="Q350" s="24">
        <v>120</v>
      </c>
      <c r="R350" s="24">
        <v>280</v>
      </c>
      <c r="S350" s="24">
        <v>16</v>
      </c>
      <c r="T350" s="24">
        <v>4</v>
      </c>
      <c r="U350" s="24">
        <v>16</v>
      </c>
      <c r="V350" s="24">
        <v>8</v>
      </c>
    </row>
    <row r="351" spans="1:22" x14ac:dyDescent="0.25">
      <c r="A351" s="24" t="s">
        <v>354</v>
      </c>
      <c r="B351" s="24" t="s">
        <v>15</v>
      </c>
      <c r="C351" s="24">
        <v>121.327918022871</v>
      </c>
      <c r="D351" s="24">
        <v>44.834306463599198</v>
      </c>
      <c r="E351" s="25">
        <v>0</v>
      </c>
      <c r="F351" s="24">
        <v>8</v>
      </c>
      <c r="G351" s="24">
        <v>5.07</v>
      </c>
      <c r="H351" s="24">
        <v>24</v>
      </c>
      <c r="I351" s="24">
        <v>9</v>
      </c>
      <c r="J351" s="24" t="str">
        <f>VLOOKUP(A351,編號對照表!$B$1:$C$133,2,FALSE)</f>
        <v>FG2-64</v>
      </c>
      <c r="K351" s="24" t="s">
        <v>830</v>
      </c>
      <c r="L351" s="24" t="s">
        <v>874</v>
      </c>
      <c r="M351" s="24">
        <v>2.54</v>
      </c>
      <c r="N351" s="24">
        <v>15</v>
      </c>
      <c r="O351" s="24">
        <v>25</v>
      </c>
      <c r="P351" s="24">
        <v>15</v>
      </c>
      <c r="Q351" s="24">
        <v>120</v>
      </c>
      <c r="R351" s="24">
        <v>280</v>
      </c>
      <c r="S351" s="24">
        <v>16</v>
      </c>
      <c r="T351" s="24">
        <v>8</v>
      </c>
      <c r="U351" s="24">
        <v>9</v>
      </c>
      <c r="V351" s="24">
        <v>0</v>
      </c>
    </row>
    <row r="352" spans="1:22" x14ac:dyDescent="0.25">
      <c r="A352" s="24" t="s">
        <v>354</v>
      </c>
      <c r="B352" s="24" t="s">
        <v>16</v>
      </c>
      <c r="C352" s="24">
        <v>121.375266462564</v>
      </c>
      <c r="D352" s="24">
        <v>0</v>
      </c>
      <c r="E352" s="25">
        <v>0</v>
      </c>
      <c r="F352" s="24">
        <v>8</v>
      </c>
      <c r="G352" s="24">
        <v>5.07</v>
      </c>
      <c r="H352" s="24">
        <v>24</v>
      </c>
      <c r="I352" s="24">
        <v>3</v>
      </c>
      <c r="J352" s="24" t="str">
        <f>VLOOKUP(A352,編號對照表!$B$1:$C$133,2,FALSE)</f>
        <v>FG2-64</v>
      </c>
      <c r="K352" s="24" t="s">
        <v>467</v>
      </c>
      <c r="L352" s="24" t="s">
        <v>694</v>
      </c>
      <c r="M352" s="24">
        <v>2.54</v>
      </c>
      <c r="N352" s="24">
        <v>15</v>
      </c>
      <c r="O352" s="24">
        <v>25</v>
      </c>
      <c r="P352" s="24">
        <v>15</v>
      </c>
      <c r="Q352" s="24">
        <v>120</v>
      </c>
      <c r="R352" s="24">
        <v>280</v>
      </c>
      <c r="S352" s="24">
        <v>16</v>
      </c>
      <c r="T352" s="24">
        <v>8</v>
      </c>
      <c r="U352" s="24">
        <v>3</v>
      </c>
      <c r="V352" s="24">
        <v>0</v>
      </c>
    </row>
    <row r="353" spans="1:22" x14ac:dyDescent="0.25">
      <c r="A353" s="24" t="s">
        <v>355</v>
      </c>
      <c r="B353" s="24" t="s">
        <v>13</v>
      </c>
      <c r="C353" s="24">
        <v>1.98230423848145</v>
      </c>
      <c r="D353" s="24">
        <v>13.644827995449299</v>
      </c>
      <c r="E353" s="25">
        <v>0</v>
      </c>
      <c r="F353" s="24">
        <v>8</v>
      </c>
      <c r="G353" s="24">
        <v>5.07</v>
      </c>
      <c r="H353" s="24">
        <v>3</v>
      </c>
      <c r="I353" s="24">
        <v>3</v>
      </c>
      <c r="J353" s="24" t="str">
        <f>VLOOKUP(A353,編號對照表!$B$1:$C$133,2,FALSE)</f>
        <v>FB1-C'1</v>
      </c>
      <c r="K353" s="24" t="s">
        <v>831</v>
      </c>
      <c r="L353" s="24" t="s">
        <v>683</v>
      </c>
      <c r="M353" s="24">
        <v>1.27</v>
      </c>
      <c r="N353" s="24">
        <v>12</v>
      </c>
      <c r="O353" s="24">
        <v>25</v>
      </c>
      <c r="P353" s="24">
        <v>15</v>
      </c>
      <c r="Q353" s="24">
        <v>80</v>
      </c>
      <c r="R353" s="24">
        <v>200</v>
      </c>
      <c r="S353" s="24">
        <v>3</v>
      </c>
      <c r="T353" s="24">
        <v>0</v>
      </c>
      <c r="U353" s="24">
        <v>3</v>
      </c>
      <c r="V353" s="24">
        <v>0</v>
      </c>
    </row>
    <row r="354" spans="1:22" x14ac:dyDescent="0.25">
      <c r="A354" s="24" t="s">
        <v>355</v>
      </c>
      <c r="B354" s="24" t="s">
        <v>15</v>
      </c>
      <c r="C354" s="24">
        <v>28.251158073544499</v>
      </c>
      <c r="D354" s="24">
        <v>8.82866093888879</v>
      </c>
      <c r="E354" s="25">
        <v>0</v>
      </c>
      <c r="F354" s="24">
        <v>8</v>
      </c>
      <c r="G354" s="24">
        <v>5.07</v>
      </c>
      <c r="H354" s="24">
        <v>6</v>
      </c>
      <c r="I354" s="24">
        <v>3</v>
      </c>
      <c r="J354" s="24" t="str">
        <f>VLOOKUP(A354,編號對照表!$B$1:$C$133,2,FALSE)</f>
        <v>FB1-C'1</v>
      </c>
      <c r="K354" s="24" t="s">
        <v>603</v>
      </c>
      <c r="L354" s="24" t="s">
        <v>683</v>
      </c>
      <c r="M354" s="24">
        <v>1.27</v>
      </c>
      <c r="N354" s="24">
        <v>12</v>
      </c>
      <c r="O354" s="24">
        <v>25</v>
      </c>
      <c r="P354" s="24">
        <v>15</v>
      </c>
      <c r="Q354" s="24">
        <v>80</v>
      </c>
      <c r="R354" s="24">
        <v>200</v>
      </c>
      <c r="S354" s="24">
        <v>6</v>
      </c>
      <c r="T354" s="24">
        <v>0</v>
      </c>
      <c r="U354" s="24">
        <v>3</v>
      </c>
      <c r="V354" s="24">
        <v>0</v>
      </c>
    </row>
    <row r="355" spans="1:22" x14ac:dyDescent="0.25">
      <c r="A355" s="24" t="s">
        <v>355</v>
      </c>
      <c r="B355" s="24" t="s">
        <v>16</v>
      </c>
      <c r="C355" s="24">
        <v>33.576830755919197</v>
      </c>
      <c r="D355" s="24">
        <v>2.8359948191791799</v>
      </c>
      <c r="E355" s="25">
        <v>0</v>
      </c>
      <c r="F355" s="24">
        <v>8</v>
      </c>
      <c r="G355" s="24">
        <v>5.07</v>
      </c>
      <c r="H355" s="24">
        <v>7</v>
      </c>
      <c r="I355" s="24">
        <v>3</v>
      </c>
      <c r="J355" s="24" t="str">
        <f>VLOOKUP(A355,編號對照表!$B$1:$C$133,2,FALSE)</f>
        <v>FB1-C'1</v>
      </c>
      <c r="K355" s="24" t="s">
        <v>831</v>
      </c>
      <c r="L355" s="24" t="s">
        <v>683</v>
      </c>
      <c r="M355" s="24">
        <v>1.27</v>
      </c>
      <c r="N355" s="24">
        <v>12</v>
      </c>
      <c r="O355" s="24">
        <v>25</v>
      </c>
      <c r="P355" s="24">
        <v>15</v>
      </c>
      <c r="Q355" s="24">
        <v>80</v>
      </c>
      <c r="R355" s="24">
        <v>200</v>
      </c>
      <c r="S355" s="24">
        <v>7</v>
      </c>
      <c r="T355" s="24">
        <v>0</v>
      </c>
      <c r="U355" s="24">
        <v>3</v>
      </c>
      <c r="V355" s="24">
        <v>0</v>
      </c>
    </row>
    <row r="356" spans="1:22" x14ac:dyDescent="0.25">
      <c r="A356" s="24" t="s">
        <v>356</v>
      </c>
      <c r="B356" s="24" t="s">
        <v>13</v>
      </c>
      <c r="C356" s="24">
        <v>50.378385931253398</v>
      </c>
      <c r="D356" s="24">
        <v>2.6738349697552599</v>
      </c>
      <c r="E356" s="25">
        <v>0</v>
      </c>
      <c r="F356" s="24">
        <v>8</v>
      </c>
      <c r="G356" s="24">
        <v>5.07</v>
      </c>
      <c r="H356" s="24">
        <v>10</v>
      </c>
      <c r="I356" s="24">
        <v>3</v>
      </c>
      <c r="J356" s="24" t="str">
        <f>VLOOKUP(A356,編號對照表!$B$1:$C$133,2,FALSE)</f>
        <v>FG1-93</v>
      </c>
      <c r="K356" s="24" t="s">
        <v>468</v>
      </c>
      <c r="L356" s="24" t="s">
        <v>683</v>
      </c>
      <c r="M356" s="24">
        <v>1.27</v>
      </c>
      <c r="N356" s="24">
        <v>12</v>
      </c>
      <c r="O356" s="24">
        <v>25</v>
      </c>
      <c r="P356" s="24">
        <v>15</v>
      </c>
      <c r="Q356" s="24">
        <v>80</v>
      </c>
      <c r="R356" s="24">
        <v>200</v>
      </c>
      <c r="S356" s="24">
        <v>10</v>
      </c>
      <c r="T356" s="24">
        <v>0</v>
      </c>
      <c r="U356" s="24">
        <v>3</v>
      </c>
      <c r="V356" s="24">
        <v>0</v>
      </c>
    </row>
    <row r="357" spans="1:22" x14ac:dyDescent="0.25">
      <c r="A357" s="24" t="s">
        <v>356</v>
      </c>
      <c r="B357" s="24" t="s">
        <v>15</v>
      </c>
      <c r="C357" s="24">
        <v>61.2761406227946</v>
      </c>
      <c r="D357" s="24">
        <v>20.002715755253998</v>
      </c>
      <c r="E357" s="25">
        <v>0</v>
      </c>
      <c r="F357" s="24">
        <v>8</v>
      </c>
      <c r="G357" s="24">
        <v>5.07</v>
      </c>
      <c r="H357" s="24">
        <v>13</v>
      </c>
      <c r="I357" s="24">
        <v>4</v>
      </c>
      <c r="J357" s="24" t="str">
        <f>VLOOKUP(A357,編號對照表!$B$1:$C$133,2,FALSE)</f>
        <v>FG1-93</v>
      </c>
      <c r="K357" s="24" t="s">
        <v>832</v>
      </c>
      <c r="L357" s="24" t="s">
        <v>683</v>
      </c>
      <c r="M357" s="24">
        <v>1.27</v>
      </c>
      <c r="N357" s="24">
        <v>12</v>
      </c>
      <c r="O357" s="24">
        <v>25</v>
      </c>
      <c r="P357" s="24">
        <v>15</v>
      </c>
      <c r="Q357" s="24">
        <v>80</v>
      </c>
      <c r="R357" s="24">
        <v>200</v>
      </c>
      <c r="S357" s="24">
        <v>10</v>
      </c>
      <c r="T357" s="24">
        <v>3</v>
      </c>
      <c r="U357" s="24">
        <v>4</v>
      </c>
      <c r="V357" s="24">
        <v>0</v>
      </c>
    </row>
    <row r="358" spans="1:22" x14ac:dyDescent="0.25">
      <c r="A358" s="24" t="s">
        <v>356</v>
      </c>
      <c r="B358" s="24" t="s">
        <v>16</v>
      </c>
      <c r="C358" s="24">
        <v>59.976172633469098</v>
      </c>
      <c r="D358" s="24">
        <v>44.052847661077998</v>
      </c>
      <c r="E358" s="25">
        <v>0</v>
      </c>
      <c r="F358" s="24">
        <v>8</v>
      </c>
      <c r="G358" s="24">
        <v>5.07</v>
      </c>
      <c r="H358" s="24">
        <v>12</v>
      </c>
      <c r="I358" s="24">
        <v>9</v>
      </c>
      <c r="J358" s="24" t="str">
        <f>VLOOKUP(A358,編號對照表!$B$1:$C$133,2,FALSE)</f>
        <v>FG1-93</v>
      </c>
      <c r="K358" s="24" t="s">
        <v>468</v>
      </c>
      <c r="L358" s="24" t="s">
        <v>683</v>
      </c>
      <c r="M358" s="24">
        <v>1.27</v>
      </c>
      <c r="N358" s="24">
        <v>12</v>
      </c>
      <c r="O358" s="24">
        <v>25</v>
      </c>
      <c r="P358" s="24">
        <v>15</v>
      </c>
      <c r="Q358" s="24">
        <v>80</v>
      </c>
      <c r="R358" s="24">
        <v>200</v>
      </c>
      <c r="S358" s="24">
        <v>10</v>
      </c>
      <c r="T358" s="24">
        <v>2</v>
      </c>
      <c r="U358" s="24">
        <v>9</v>
      </c>
      <c r="V358" s="24">
        <v>0</v>
      </c>
    </row>
    <row r="359" spans="1:22" x14ac:dyDescent="0.25">
      <c r="A359" s="24" t="s">
        <v>357</v>
      </c>
      <c r="B359" s="24" t="s">
        <v>13</v>
      </c>
      <c r="C359" s="24">
        <v>119.259832426906</v>
      </c>
      <c r="D359" s="24">
        <v>0</v>
      </c>
      <c r="E359" s="25">
        <v>0</v>
      </c>
      <c r="F359" s="24">
        <v>8</v>
      </c>
      <c r="G359" s="24">
        <v>5.07</v>
      </c>
      <c r="H359" s="24">
        <v>24</v>
      </c>
      <c r="I359" s="24">
        <v>3</v>
      </c>
      <c r="J359" s="24" t="str">
        <f>VLOOKUP(A359,編號對照表!$B$1:$C$133,2,FALSE)</f>
        <v>FB2-D3</v>
      </c>
      <c r="K359" s="24" t="s">
        <v>624</v>
      </c>
      <c r="L359" s="24" t="s">
        <v>694</v>
      </c>
      <c r="M359" s="24">
        <v>2.54</v>
      </c>
      <c r="N359" s="24">
        <v>15</v>
      </c>
      <c r="O359" s="24">
        <v>25</v>
      </c>
      <c r="P359" s="24">
        <v>15</v>
      </c>
      <c r="Q359" s="24">
        <v>120</v>
      </c>
      <c r="R359" s="24">
        <v>280</v>
      </c>
      <c r="S359" s="24">
        <v>16</v>
      </c>
      <c r="T359" s="24">
        <v>8</v>
      </c>
      <c r="U359" s="24">
        <v>3</v>
      </c>
      <c r="V359" s="24">
        <v>0</v>
      </c>
    </row>
    <row r="360" spans="1:22" x14ac:dyDescent="0.25">
      <c r="A360" s="24" t="s">
        <v>357</v>
      </c>
      <c r="B360" s="24" t="s">
        <v>15</v>
      </c>
      <c r="C360" s="24">
        <v>119.267692789435</v>
      </c>
      <c r="D360" s="24">
        <v>0</v>
      </c>
      <c r="E360" s="25">
        <v>0</v>
      </c>
      <c r="F360" s="24">
        <v>8</v>
      </c>
      <c r="G360" s="24">
        <v>5.07</v>
      </c>
      <c r="H360" s="24">
        <v>24</v>
      </c>
      <c r="I360" s="24">
        <v>3</v>
      </c>
      <c r="J360" s="24" t="str">
        <f>VLOOKUP(A360,編號對照表!$B$1:$C$133,2,FALSE)</f>
        <v>FB2-D3</v>
      </c>
      <c r="K360" s="24" t="s">
        <v>833</v>
      </c>
      <c r="L360" s="24" t="s">
        <v>874</v>
      </c>
      <c r="M360" s="24">
        <v>2.54</v>
      </c>
      <c r="N360" s="24">
        <v>15</v>
      </c>
      <c r="O360" s="24">
        <v>25</v>
      </c>
      <c r="P360" s="24">
        <v>15</v>
      </c>
      <c r="Q360" s="24">
        <v>120</v>
      </c>
      <c r="R360" s="24">
        <v>280</v>
      </c>
      <c r="S360" s="24">
        <v>16</v>
      </c>
      <c r="T360" s="24">
        <v>8</v>
      </c>
      <c r="U360" s="24">
        <v>3</v>
      </c>
      <c r="V360" s="24">
        <v>0</v>
      </c>
    </row>
    <row r="361" spans="1:22" x14ac:dyDescent="0.25">
      <c r="A361" s="24" t="s">
        <v>357</v>
      </c>
      <c r="B361" s="24" t="s">
        <v>16</v>
      </c>
      <c r="C361" s="24">
        <v>64.070946536958203</v>
      </c>
      <c r="D361" s="24">
        <v>0</v>
      </c>
      <c r="E361" s="25">
        <v>0</v>
      </c>
      <c r="F361" s="24">
        <v>8</v>
      </c>
      <c r="G361" s="24">
        <v>5.07</v>
      </c>
      <c r="H361" s="24">
        <v>13</v>
      </c>
      <c r="I361" s="24">
        <v>3</v>
      </c>
      <c r="J361" s="24" t="str">
        <f>VLOOKUP(A361,編號對照表!$B$1:$C$133,2,FALSE)</f>
        <v>FB2-D3</v>
      </c>
      <c r="K361" s="24" t="s">
        <v>624</v>
      </c>
      <c r="L361" s="24" t="s">
        <v>694</v>
      </c>
      <c r="M361" s="24">
        <v>2.54</v>
      </c>
      <c r="N361" s="24">
        <v>15</v>
      </c>
      <c r="O361" s="24">
        <v>25</v>
      </c>
      <c r="P361" s="24">
        <v>15</v>
      </c>
      <c r="Q361" s="24">
        <v>120</v>
      </c>
      <c r="R361" s="24">
        <v>280</v>
      </c>
      <c r="S361" s="24">
        <v>13</v>
      </c>
      <c r="T361" s="24">
        <v>0</v>
      </c>
      <c r="U361" s="24">
        <v>3</v>
      </c>
      <c r="V361" s="24">
        <v>0</v>
      </c>
    </row>
    <row r="362" spans="1:22" x14ac:dyDescent="0.25">
      <c r="A362" s="24" t="s">
        <v>358</v>
      </c>
      <c r="B362" s="24" t="s">
        <v>13</v>
      </c>
      <c r="C362" s="24">
        <v>135.85217297077199</v>
      </c>
      <c r="D362" s="24">
        <v>13.439109316095699</v>
      </c>
      <c r="E362" s="25">
        <v>0</v>
      </c>
      <c r="F362" s="24">
        <v>8</v>
      </c>
      <c r="G362" s="24">
        <v>5.07</v>
      </c>
      <c r="H362" s="24">
        <v>27</v>
      </c>
      <c r="I362" s="24">
        <v>3</v>
      </c>
      <c r="J362" s="24" t="str">
        <f>VLOOKUP(A362,編號對照表!$B$1:$C$133,2,FALSE)</f>
        <v>FB1-D2</v>
      </c>
      <c r="K362" s="24" t="s">
        <v>674</v>
      </c>
      <c r="L362" s="24" t="s">
        <v>683</v>
      </c>
      <c r="M362" s="24">
        <v>1.27</v>
      </c>
      <c r="N362" s="24">
        <v>12</v>
      </c>
      <c r="O362" s="24">
        <v>25</v>
      </c>
      <c r="P362" s="24">
        <v>15</v>
      </c>
      <c r="Q362" s="24">
        <v>80</v>
      </c>
      <c r="R362" s="24">
        <v>200</v>
      </c>
      <c r="S362" s="24">
        <v>10</v>
      </c>
      <c r="T362" s="24">
        <v>17</v>
      </c>
      <c r="U362" s="24">
        <v>3</v>
      </c>
      <c r="V362" s="24">
        <v>0</v>
      </c>
    </row>
    <row r="363" spans="1:22" x14ac:dyDescent="0.25">
      <c r="A363" s="24" t="s">
        <v>358</v>
      </c>
      <c r="B363" s="24" t="s">
        <v>15</v>
      </c>
      <c r="C363" s="24">
        <v>135.86740940809199</v>
      </c>
      <c r="D363" s="24">
        <v>0</v>
      </c>
      <c r="E363" s="25">
        <v>0</v>
      </c>
      <c r="F363" s="24">
        <v>8</v>
      </c>
      <c r="G363" s="24">
        <v>5.07</v>
      </c>
      <c r="H363" s="24">
        <v>27</v>
      </c>
      <c r="I363" s="24">
        <v>3</v>
      </c>
      <c r="J363" s="24" t="str">
        <f>VLOOKUP(A363,編號對照表!$B$1:$C$133,2,FALSE)</f>
        <v>FB1-D2</v>
      </c>
      <c r="K363" s="24" t="s">
        <v>834</v>
      </c>
      <c r="L363" s="24" t="s">
        <v>683</v>
      </c>
      <c r="M363" s="24">
        <v>1.27</v>
      </c>
      <c r="N363" s="24">
        <v>12</v>
      </c>
      <c r="O363" s="24">
        <v>25</v>
      </c>
      <c r="P363" s="24">
        <v>15</v>
      </c>
      <c r="Q363" s="24">
        <v>80</v>
      </c>
      <c r="R363" s="24">
        <v>200</v>
      </c>
      <c r="S363" s="24">
        <v>10</v>
      </c>
      <c r="T363" s="24">
        <v>17</v>
      </c>
      <c r="U363" s="24">
        <v>3</v>
      </c>
      <c r="V363" s="24">
        <v>0</v>
      </c>
    </row>
    <row r="364" spans="1:22" x14ac:dyDescent="0.25">
      <c r="A364" s="24" t="s">
        <v>358</v>
      </c>
      <c r="B364" s="24" t="s">
        <v>16</v>
      </c>
      <c r="C364" s="24">
        <v>69.627952761948094</v>
      </c>
      <c r="D364" s="24">
        <v>0</v>
      </c>
      <c r="E364" s="25">
        <v>0</v>
      </c>
      <c r="F364" s="24">
        <v>8</v>
      </c>
      <c r="G364" s="24">
        <v>5.07</v>
      </c>
      <c r="H364" s="24">
        <v>14</v>
      </c>
      <c r="I364" s="24">
        <v>3</v>
      </c>
      <c r="J364" s="24" t="str">
        <f>VLOOKUP(A364,編號對照表!$B$1:$C$133,2,FALSE)</f>
        <v>FB1-D2</v>
      </c>
      <c r="K364" s="24" t="s">
        <v>674</v>
      </c>
      <c r="L364" s="24" t="s">
        <v>683</v>
      </c>
      <c r="M364" s="24">
        <v>1.27</v>
      </c>
      <c r="N364" s="24">
        <v>12</v>
      </c>
      <c r="O364" s="24">
        <v>25</v>
      </c>
      <c r="P364" s="24">
        <v>15</v>
      </c>
      <c r="Q364" s="24">
        <v>80</v>
      </c>
      <c r="R364" s="24">
        <v>200</v>
      </c>
      <c r="S364" s="24">
        <v>10</v>
      </c>
      <c r="T364" s="24">
        <v>4</v>
      </c>
      <c r="U364" s="24">
        <v>3</v>
      </c>
      <c r="V364" s="24">
        <v>0</v>
      </c>
    </row>
    <row r="365" spans="1:22" x14ac:dyDescent="0.25">
      <c r="A365" s="24" t="s">
        <v>359</v>
      </c>
      <c r="B365" s="24" t="s">
        <v>13</v>
      </c>
      <c r="C365" s="24">
        <v>65.261386334896102</v>
      </c>
      <c r="D365" s="24">
        <v>0</v>
      </c>
      <c r="E365" s="25">
        <v>0</v>
      </c>
      <c r="F365" s="24">
        <v>8</v>
      </c>
      <c r="G365" s="24">
        <v>5.07</v>
      </c>
      <c r="H365" s="24">
        <v>13</v>
      </c>
      <c r="I365" s="24">
        <v>3</v>
      </c>
      <c r="J365" s="24" t="str">
        <f>VLOOKUP(A365,編號對照表!$B$1:$C$133,2,FALSE)</f>
        <v>FG2-84</v>
      </c>
      <c r="K365" s="24" t="s">
        <v>625</v>
      </c>
      <c r="L365" s="24" t="s">
        <v>874</v>
      </c>
      <c r="M365" s="24">
        <v>2.54</v>
      </c>
      <c r="N365" s="24">
        <v>15</v>
      </c>
      <c r="O365" s="24">
        <v>25</v>
      </c>
      <c r="P365" s="24">
        <v>15</v>
      </c>
      <c r="Q365" s="24">
        <v>120</v>
      </c>
      <c r="R365" s="24">
        <v>280</v>
      </c>
      <c r="S365" s="24">
        <v>13</v>
      </c>
      <c r="T365" s="24">
        <v>0</v>
      </c>
      <c r="U365" s="24">
        <v>3</v>
      </c>
      <c r="V365" s="24">
        <v>0</v>
      </c>
    </row>
    <row r="366" spans="1:22" x14ac:dyDescent="0.25">
      <c r="A366" s="24" t="s">
        <v>359</v>
      </c>
      <c r="B366" s="24" t="s">
        <v>15</v>
      </c>
      <c r="C366" s="24">
        <v>57.560196146369002</v>
      </c>
      <c r="D366" s="24">
        <v>0</v>
      </c>
      <c r="E366" s="25">
        <v>0</v>
      </c>
      <c r="F366" s="24">
        <v>8</v>
      </c>
      <c r="G366" s="24">
        <v>5.07</v>
      </c>
      <c r="H366" s="24">
        <v>12</v>
      </c>
      <c r="I366" s="24">
        <v>3</v>
      </c>
      <c r="J366" s="24" t="str">
        <f>VLOOKUP(A366,編號對照表!$B$1:$C$133,2,FALSE)</f>
        <v>FG2-84</v>
      </c>
      <c r="K366" s="24" t="s">
        <v>835</v>
      </c>
      <c r="L366" s="24" t="s">
        <v>874</v>
      </c>
      <c r="M366" s="24">
        <v>2.54</v>
      </c>
      <c r="N366" s="24">
        <v>15</v>
      </c>
      <c r="O366" s="24">
        <v>25</v>
      </c>
      <c r="P366" s="24">
        <v>15</v>
      </c>
      <c r="Q366" s="24">
        <v>120</v>
      </c>
      <c r="R366" s="24">
        <v>280</v>
      </c>
      <c r="S366" s="24">
        <v>12</v>
      </c>
      <c r="T366" s="24">
        <v>0</v>
      </c>
      <c r="U366" s="24">
        <v>3</v>
      </c>
      <c r="V366" s="24">
        <v>0</v>
      </c>
    </row>
    <row r="367" spans="1:22" x14ac:dyDescent="0.25">
      <c r="A367" s="24" t="s">
        <v>359</v>
      </c>
      <c r="B367" s="24" t="s">
        <v>16</v>
      </c>
      <c r="C367" s="24">
        <v>30.184828210622101</v>
      </c>
      <c r="D367" s="24">
        <v>3.97898373194039</v>
      </c>
      <c r="E367" s="25">
        <v>0</v>
      </c>
      <c r="F367" s="24">
        <v>8</v>
      </c>
      <c r="G367" s="24">
        <v>5.07</v>
      </c>
      <c r="H367" s="24">
        <v>6</v>
      </c>
      <c r="I367" s="24">
        <v>3</v>
      </c>
      <c r="J367" s="24" t="str">
        <f>VLOOKUP(A367,編號對照表!$B$1:$C$133,2,FALSE)</f>
        <v>FG2-84</v>
      </c>
      <c r="K367" s="24" t="s">
        <v>835</v>
      </c>
      <c r="L367" s="24" t="s">
        <v>874</v>
      </c>
      <c r="M367" s="24">
        <v>2.54</v>
      </c>
      <c r="N367" s="24">
        <v>15</v>
      </c>
      <c r="O367" s="24">
        <v>25</v>
      </c>
      <c r="P367" s="24">
        <v>15</v>
      </c>
      <c r="Q367" s="24">
        <v>120</v>
      </c>
      <c r="R367" s="24">
        <v>280</v>
      </c>
      <c r="S367" s="24">
        <v>6</v>
      </c>
      <c r="T367" s="24">
        <v>0</v>
      </c>
      <c r="U367" s="24">
        <v>3</v>
      </c>
      <c r="V367" s="24">
        <v>0</v>
      </c>
    </row>
    <row r="368" spans="1:22" x14ac:dyDescent="0.25">
      <c r="A368" s="24" t="s">
        <v>360</v>
      </c>
      <c r="B368" s="24" t="s">
        <v>13</v>
      </c>
      <c r="C368" s="24">
        <v>81.165926530957194</v>
      </c>
      <c r="D368" s="24">
        <v>62.753348611295202</v>
      </c>
      <c r="E368" s="25">
        <v>0</v>
      </c>
      <c r="F368" s="24">
        <v>8</v>
      </c>
      <c r="G368" s="24">
        <v>5.07</v>
      </c>
      <c r="H368" s="24">
        <v>17</v>
      </c>
      <c r="I368" s="24">
        <v>13</v>
      </c>
      <c r="J368" s="24" t="str">
        <f>VLOOKUP(A368,編號對照表!$B$1:$C$133,2,FALSE)</f>
        <v>FG2-85</v>
      </c>
      <c r="K368" s="24" t="s">
        <v>653</v>
      </c>
      <c r="L368" s="24" t="s">
        <v>874</v>
      </c>
      <c r="M368" s="24">
        <v>2.54</v>
      </c>
      <c r="N368" s="24">
        <v>15</v>
      </c>
      <c r="O368" s="24">
        <v>25</v>
      </c>
      <c r="P368" s="24">
        <v>15</v>
      </c>
      <c r="Q368" s="24">
        <v>120</v>
      </c>
      <c r="R368" s="24">
        <v>280</v>
      </c>
      <c r="S368" s="24">
        <v>15</v>
      </c>
      <c r="T368" s="24">
        <v>2</v>
      </c>
      <c r="U368" s="24">
        <v>13</v>
      </c>
      <c r="V368" s="24">
        <v>0</v>
      </c>
    </row>
    <row r="369" spans="1:22" x14ac:dyDescent="0.25">
      <c r="A369" s="24" t="s">
        <v>360</v>
      </c>
      <c r="B369" s="24" t="s">
        <v>15</v>
      </c>
      <c r="C369" s="24">
        <v>125.170480459929</v>
      </c>
      <c r="D369" s="24">
        <v>17.458173679187901</v>
      </c>
      <c r="E369" s="25">
        <v>0</v>
      </c>
      <c r="F369" s="24">
        <v>8</v>
      </c>
      <c r="G369" s="24">
        <v>5.07</v>
      </c>
      <c r="H369" s="24">
        <v>25</v>
      </c>
      <c r="I369" s="24">
        <v>4</v>
      </c>
      <c r="J369" s="24" t="str">
        <f>VLOOKUP(A369,編號對照表!$B$1:$C$133,2,FALSE)</f>
        <v>FG2-85</v>
      </c>
      <c r="K369" s="24" t="s">
        <v>653</v>
      </c>
      <c r="L369" s="24" t="s">
        <v>874</v>
      </c>
      <c r="M369" s="24">
        <v>2.54</v>
      </c>
      <c r="N369" s="24">
        <v>15</v>
      </c>
      <c r="O369" s="24">
        <v>25</v>
      </c>
      <c r="P369" s="24">
        <v>15</v>
      </c>
      <c r="Q369" s="24">
        <v>120</v>
      </c>
      <c r="R369" s="24">
        <v>280</v>
      </c>
      <c r="S369" s="24">
        <v>16</v>
      </c>
      <c r="T369" s="24">
        <v>9</v>
      </c>
      <c r="U369" s="24">
        <v>4</v>
      </c>
      <c r="V369" s="24">
        <v>0</v>
      </c>
    </row>
    <row r="370" spans="1:22" x14ac:dyDescent="0.25">
      <c r="A370" s="24" t="s">
        <v>360</v>
      </c>
      <c r="B370" s="24" t="s">
        <v>16</v>
      </c>
      <c r="C370" s="24">
        <v>120.743745937943</v>
      </c>
      <c r="D370" s="24">
        <v>9.5312925986945594</v>
      </c>
      <c r="E370" s="25">
        <v>0</v>
      </c>
      <c r="F370" s="24">
        <v>8</v>
      </c>
      <c r="G370" s="24">
        <v>5.07</v>
      </c>
      <c r="H370" s="24">
        <v>24</v>
      </c>
      <c r="I370" s="24">
        <v>3</v>
      </c>
      <c r="J370" s="24" t="str">
        <f>VLOOKUP(A370,編號對照表!$B$1:$C$133,2,FALSE)</f>
        <v>FG2-85</v>
      </c>
      <c r="K370" s="24" t="s">
        <v>836</v>
      </c>
      <c r="L370" s="24" t="s">
        <v>694</v>
      </c>
      <c r="M370" s="24">
        <v>2.54</v>
      </c>
      <c r="N370" s="24">
        <v>15</v>
      </c>
      <c r="O370" s="24">
        <v>25</v>
      </c>
      <c r="P370" s="24">
        <v>15</v>
      </c>
      <c r="Q370" s="24">
        <v>120</v>
      </c>
      <c r="R370" s="24">
        <v>280</v>
      </c>
      <c r="S370" s="24">
        <v>16</v>
      </c>
      <c r="T370" s="24">
        <v>8</v>
      </c>
      <c r="U370" s="24">
        <v>3</v>
      </c>
      <c r="V370" s="24">
        <v>0</v>
      </c>
    </row>
    <row r="371" spans="1:22" x14ac:dyDescent="0.25">
      <c r="A371" s="24" t="s">
        <v>361</v>
      </c>
      <c r="B371" s="24" t="s">
        <v>13</v>
      </c>
      <c r="C371" s="24">
        <v>157.19076618552199</v>
      </c>
      <c r="D371" s="24">
        <v>3.09351918986067</v>
      </c>
      <c r="E371" s="25">
        <v>0</v>
      </c>
      <c r="F371" s="24">
        <v>8</v>
      </c>
      <c r="G371" s="24">
        <v>5.07</v>
      </c>
      <c r="H371" s="24">
        <v>32</v>
      </c>
      <c r="I371" s="24">
        <v>3</v>
      </c>
      <c r="J371" s="24" t="str">
        <f>VLOOKUP(A371,編號對照表!$B$1:$C$133,2,FALSE)</f>
        <v>Fb1-E1</v>
      </c>
      <c r="K371" s="24" t="s">
        <v>837</v>
      </c>
      <c r="L371" s="24" t="s">
        <v>683</v>
      </c>
      <c r="M371" s="24">
        <v>1.27</v>
      </c>
      <c r="N371" s="24">
        <v>15</v>
      </c>
      <c r="O371" s="24">
        <v>25</v>
      </c>
      <c r="P371" s="24">
        <v>15</v>
      </c>
      <c r="Q371" s="24">
        <v>60</v>
      </c>
      <c r="R371" s="24">
        <v>200</v>
      </c>
      <c r="S371" s="24">
        <v>7</v>
      </c>
      <c r="T371" s="24">
        <v>25</v>
      </c>
      <c r="U371" s="24">
        <v>3</v>
      </c>
      <c r="V371" s="24">
        <v>0</v>
      </c>
    </row>
    <row r="372" spans="1:22" x14ac:dyDescent="0.25">
      <c r="A372" s="24" t="s">
        <v>361</v>
      </c>
      <c r="B372" s="24" t="s">
        <v>15</v>
      </c>
      <c r="C372" s="24">
        <v>150.806223973632</v>
      </c>
      <c r="D372" s="24">
        <v>0</v>
      </c>
      <c r="E372" s="25">
        <v>0.110345962457359</v>
      </c>
      <c r="F372" s="24">
        <v>8</v>
      </c>
      <c r="G372" s="24">
        <v>5.07</v>
      </c>
      <c r="H372" s="24">
        <v>30</v>
      </c>
      <c r="I372" s="24">
        <v>3</v>
      </c>
      <c r="J372" s="24" t="str">
        <f>VLOOKUP(A372,編號對照表!$B$1:$C$133,2,FALSE)</f>
        <v>Fb1-E1</v>
      </c>
      <c r="K372" s="24" t="s">
        <v>837</v>
      </c>
      <c r="L372" s="24" t="s">
        <v>683</v>
      </c>
      <c r="M372" s="24">
        <v>1.27</v>
      </c>
      <c r="N372" s="24">
        <v>15</v>
      </c>
      <c r="O372" s="24">
        <v>25</v>
      </c>
      <c r="P372" s="24">
        <v>15</v>
      </c>
      <c r="Q372" s="24">
        <v>60</v>
      </c>
      <c r="R372" s="24">
        <v>200</v>
      </c>
      <c r="S372" s="24">
        <v>7</v>
      </c>
      <c r="T372" s="24">
        <v>23</v>
      </c>
      <c r="U372" s="24">
        <v>3</v>
      </c>
      <c r="V372" s="24">
        <v>0</v>
      </c>
    </row>
    <row r="373" spans="1:22" x14ac:dyDescent="0.25">
      <c r="A373" s="24" t="s">
        <v>361</v>
      </c>
      <c r="B373" s="24" t="s">
        <v>16</v>
      </c>
      <c r="C373" s="24">
        <v>55.775642395019503</v>
      </c>
      <c r="D373" s="24">
        <v>1.22264726087451</v>
      </c>
      <c r="E373" s="25">
        <v>0.10272542713210001</v>
      </c>
      <c r="F373" s="24">
        <v>8</v>
      </c>
      <c r="G373" s="24">
        <v>5.07</v>
      </c>
      <c r="H373" s="24">
        <v>12</v>
      </c>
      <c r="I373" s="24">
        <v>3</v>
      </c>
      <c r="J373" s="24" t="str">
        <f>VLOOKUP(A373,編號對照表!$B$1:$C$133,2,FALSE)</f>
        <v>Fb1-E1</v>
      </c>
      <c r="K373" s="24" t="s">
        <v>654</v>
      </c>
      <c r="L373" s="24" t="s">
        <v>683</v>
      </c>
      <c r="M373" s="24">
        <v>1.27</v>
      </c>
      <c r="N373" s="24">
        <v>15</v>
      </c>
      <c r="O373" s="24">
        <v>25</v>
      </c>
      <c r="P373" s="24">
        <v>15</v>
      </c>
      <c r="Q373" s="24">
        <v>60</v>
      </c>
      <c r="R373" s="24">
        <v>200</v>
      </c>
      <c r="S373" s="24">
        <v>7</v>
      </c>
      <c r="T373" s="24">
        <v>5</v>
      </c>
      <c r="U373" s="24">
        <v>3</v>
      </c>
      <c r="V373" s="24">
        <v>0</v>
      </c>
    </row>
    <row r="374" spans="1:22" x14ac:dyDescent="0.25">
      <c r="A374" s="24" t="s">
        <v>362</v>
      </c>
      <c r="B374" s="24" t="s">
        <v>13</v>
      </c>
      <c r="C374" s="24">
        <v>37.788811605423703</v>
      </c>
      <c r="D374" s="24">
        <v>34.2885218560696</v>
      </c>
      <c r="E374" s="25">
        <v>0.100438517984003</v>
      </c>
      <c r="F374" s="24">
        <v>8</v>
      </c>
      <c r="G374" s="24">
        <v>5.07</v>
      </c>
      <c r="H374" s="24">
        <v>8</v>
      </c>
      <c r="I374" s="24">
        <v>7</v>
      </c>
      <c r="J374" s="24" t="str">
        <f>VLOOKUP(A374,編號對照表!$B$1:$C$133,2,FALSE)</f>
        <v>Fb1-D1</v>
      </c>
      <c r="K374" s="24" t="s">
        <v>451</v>
      </c>
      <c r="L374" s="24" t="s">
        <v>683</v>
      </c>
      <c r="M374" s="24">
        <v>1.27</v>
      </c>
      <c r="N374" s="24">
        <v>15</v>
      </c>
      <c r="O374" s="24">
        <v>25</v>
      </c>
      <c r="P374" s="24">
        <v>15</v>
      </c>
      <c r="Q374" s="24">
        <v>60</v>
      </c>
      <c r="R374" s="24">
        <v>200</v>
      </c>
      <c r="S374" s="24">
        <v>6</v>
      </c>
      <c r="T374" s="24">
        <v>2</v>
      </c>
      <c r="U374" s="24">
        <v>7</v>
      </c>
      <c r="V374" s="24">
        <v>0</v>
      </c>
    </row>
    <row r="375" spans="1:22" x14ac:dyDescent="0.25">
      <c r="A375" s="24" t="s">
        <v>362</v>
      </c>
      <c r="B375" s="24" t="s">
        <v>15</v>
      </c>
      <c r="C375" s="24">
        <v>62.877475284040003</v>
      </c>
      <c r="D375" s="24">
        <v>18.236332107335301</v>
      </c>
      <c r="E375" s="25">
        <v>0</v>
      </c>
      <c r="F375" s="24">
        <v>8</v>
      </c>
      <c r="G375" s="24">
        <v>5.07</v>
      </c>
      <c r="H375" s="24">
        <v>13</v>
      </c>
      <c r="I375" s="24">
        <v>4</v>
      </c>
      <c r="J375" s="24" t="str">
        <f>VLOOKUP(A375,編號對照表!$B$1:$C$133,2,FALSE)</f>
        <v>Fb1-D1</v>
      </c>
      <c r="K375" s="24" t="s">
        <v>451</v>
      </c>
      <c r="L375" s="24" t="s">
        <v>683</v>
      </c>
      <c r="M375" s="24">
        <v>1.27</v>
      </c>
      <c r="N375" s="24">
        <v>15</v>
      </c>
      <c r="O375" s="24">
        <v>25</v>
      </c>
      <c r="P375" s="24">
        <v>15</v>
      </c>
      <c r="Q375" s="24">
        <v>60</v>
      </c>
      <c r="R375" s="24">
        <v>200</v>
      </c>
      <c r="S375" s="24">
        <v>7</v>
      </c>
      <c r="T375" s="24">
        <v>6</v>
      </c>
      <c r="U375" s="24">
        <v>4</v>
      </c>
      <c r="V375" s="24">
        <v>0</v>
      </c>
    </row>
    <row r="376" spans="1:22" x14ac:dyDescent="0.25">
      <c r="A376" s="24" t="s">
        <v>362</v>
      </c>
      <c r="B376" s="24" t="s">
        <v>16</v>
      </c>
      <c r="C376" s="24">
        <v>69.762878119945498</v>
      </c>
      <c r="D376" s="24">
        <v>0</v>
      </c>
      <c r="E376" s="25">
        <v>0</v>
      </c>
      <c r="F376" s="24">
        <v>8</v>
      </c>
      <c r="G376" s="24">
        <v>5.07</v>
      </c>
      <c r="H376" s="24">
        <v>14</v>
      </c>
      <c r="I376" s="24">
        <v>3</v>
      </c>
      <c r="J376" s="24" t="str">
        <f>VLOOKUP(A376,編號對照表!$B$1:$C$133,2,FALSE)</f>
        <v>Fb1-D1</v>
      </c>
      <c r="K376" s="24" t="s">
        <v>838</v>
      </c>
      <c r="L376" s="24" t="s">
        <v>683</v>
      </c>
      <c r="M376" s="24">
        <v>1.27</v>
      </c>
      <c r="N376" s="24">
        <v>15</v>
      </c>
      <c r="O376" s="24">
        <v>25</v>
      </c>
      <c r="P376" s="24">
        <v>15</v>
      </c>
      <c r="Q376" s="24">
        <v>60</v>
      </c>
      <c r="R376" s="24">
        <v>200</v>
      </c>
      <c r="S376" s="24">
        <v>7</v>
      </c>
      <c r="T376" s="24">
        <v>7</v>
      </c>
      <c r="U376" s="24">
        <v>3</v>
      </c>
      <c r="V376" s="24">
        <v>0</v>
      </c>
    </row>
    <row r="377" spans="1:22" x14ac:dyDescent="0.25">
      <c r="A377" s="24" t="s">
        <v>363</v>
      </c>
      <c r="B377" s="24" t="s">
        <v>13</v>
      </c>
      <c r="C377" s="24">
        <v>51.708132959902301</v>
      </c>
      <c r="D377" s="24">
        <v>60.884957201778903</v>
      </c>
      <c r="E377" s="25">
        <v>0</v>
      </c>
      <c r="F377" s="24">
        <v>8</v>
      </c>
      <c r="G377" s="24">
        <v>5.07</v>
      </c>
      <c r="H377" s="24">
        <v>11</v>
      </c>
      <c r="I377" s="24">
        <v>13</v>
      </c>
      <c r="J377" s="24" t="str">
        <f>VLOOKUP(A377,編號對照表!$B$1:$C$133,2,FALSE)</f>
        <v>Fb2-74</v>
      </c>
      <c r="K377" s="24" t="s">
        <v>864</v>
      </c>
      <c r="L377" s="24" t="s">
        <v>683</v>
      </c>
      <c r="M377" s="24">
        <v>1.27</v>
      </c>
      <c r="N377" s="24">
        <v>10</v>
      </c>
      <c r="O377" s="24">
        <v>25</v>
      </c>
      <c r="P377" s="24">
        <v>15</v>
      </c>
      <c r="Q377" s="24">
        <v>100</v>
      </c>
      <c r="R377" s="24">
        <v>280</v>
      </c>
      <c r="S377" s="24">
        <v>11</v>
      </c>
      <c r="T377" s="24">
        <v>0</v>
      </c>
      <c r="U377" s="24">
        <v>13</v>
      </c>
      <c r="V377" s="24">
        <v>0</v>
      </c>
    </row>
    <row r="378" spans="1:22" x14ac:dyDescent="0.25">
      <c r="A378" s="24" t="s">
        <v>363</v>
      </c>
      <c r="B378" s="24" t="s">
        <v>15</v>
      </c>
      <c r="C378" s="24">
        <v>74.6511435136199</v>
      </c>
      <c r="D378" s="24">
        <v>55.759060196578503</v>
      </c>
      <c r="E378" s="25">
        <v>0.100438517984003</v>
      </c>
      <c r="F378" s="24">
        <v>8</v>
      </c>
      <c r="G378" s="24">
        <v>5.07</v>
      </c>
      <c r="H378" s="24">
        <v>15</v>
      </c>
      <c r="I378" s="24">
        <v>11</v>
      </c>
      <c r="J378" s="24" t="str">
        <f>VLOOKUP(A378,編號對照表!$B$1:$C$133,2,FALSE)</f>
        <v>Fb2-74</v>
      </c>
      <c r="K378" s="24" t="s">
        <v>655</v>
      </c>
      <c r="L378" s="24" t="s">
        <v>683</v>
      </c>
      <c r="M378" s="24">
        <v>1.27</v>
      </c>
      <c r="N378" s="24">
        <v>10</v>
      </c>
      <c r="O378" s="24">
        <v>25</v>
      </c>
      <c r="P378" s="24">
        <v>15</v>
      </c>
      <c r="Q378" s="24">
        <v>100</v>
      </c>
      <c r="R378" s="24">
        <v>280</v>
      </c>
      <c r="S378" s="24">
        <v>13</v>
      </c>
      <c r="T378" s="24">
        <v>2</v>
      </c>
      <c r="U378" s="24">
        <v>11</v>
      </c>
      <c r="V378" s="24">
        <v>0</v>
      </c>
    </row>
    <row r="379" spans="1:22" x14ac:dyDescent="0.25">
      <c r="A379" s="24" t="s">
        <v>363</v>
      </c>
      <c r="B379" s="24" t="s">
        <v>16</v>
      </c>
      <c r="C379" s="24">
        <v>42.049409821629503</v>
      </c>
      <c r="D379" s="24">
        <v>46.837599948048599</v>
      </c>
      <c r="E379" s="25">
        <v>0.100438517984003</v>
      </c>
      <c r="F379" s="24">
        <v>8</v>
      </c>
      <c r="G379" s="24">
        <v>5.07</v>
      </c>
      <c r="H379" s="24">
        <v>9</v>
      </c>
      <c r="I379" s="24">
        <v>10</v>
      </c>
      <c r="J379" s="24" t="str">
        <f>VLOOKUP(A379,編號對照表!$B$1:$C$133,2,FALSE)</f>
        <v>Fb2-74</v>
      </c>
      <c r="K379" s="24" t="s">
        <v>864</v>
      </c>
      <c r="L379" s="24" t="s">
        <v>683</v>
      </c>
      <c r="M379" s="24">
        <v>1.27</v>
      </c>
      <c r="N379" s="24">
        <v>10</v>
      </c>
      <c r="O379" s="24">
        <v>25</v>
      </c>
      <c r="P379" s="24">
        <v>15</v>
      </c>
      <c r="Q379" s="24">
        <v>100</v>
      </c>
      <c r="R379" s="24">
        <v>280</v>
      </c>
      <c r="S379" s="24">
        <v>9</v>
      </c>
      <c r="T379" s="24">
        <v>0</v>
      </c>
      <c r="U379" s="24">
        <v>10</v>
      </c>
      <c r="V379" s="24">
        <v>0</v>
      </c>
    </row>
    <row r="380" spans="1:22" x14ac:dyDescent="0.25">
      <c r="A380" s="24" t="s">
        <v>364</v>
      </c>
      <c r="B380" s="24" t="s">
        <v>13</v>
      </c>
      <c r="C380" s="24">
        <v>131.91716745495799</v>
      </c>
      <c r="D380" s="24">
        <v>4.3172150617465403</v>
      </c>
      <c r="E380" s="25">
        <v>0</v>
      </c>
      <c r="F380" s="24">
        <v>8</v>
      </c>
      <c r="G380" s="24">
        <v>5.07</v>
      </c>
      <c r="H380" s="24">
        <v>27</v>
      </c>
      <c r="I380" s="24">
        <v>3</v>
      </c>
      <c r="J380" s="24" t="str">
        <f>VLOOKUP(A380,編號對照表!$B$1:$C$133,2,FALSE)</f>
        <v>Fb2-75</v>
      </c>
      <c r="K380" s="24" t="s">
        <v>839</v>
      </c>
      <c r="L380" s="24" t="s">
        <v>683</v>
      </c>
      <c r="M380" s="24">
        <v>1.27</v>
      </c>
      <c r="N380" s="24">
        <v>10</v>
      </c>
      <c r="O380" s="24">
        <v>25</v>
      </c>
      <c r="P380" s="24">
        <v>15</v>
      </c>
      <c r="Q380" s="24">
        <v>100</v>
      </c>
      <c r="R380" s="24">
        <v>280</v>
      </c>
      <c r="S380" s="24">
        <v>13</v>
      </c>
      <c r="T380" s="24">
        <v>14</v>
      </c>
      <c r="U380" s="24">
        <v>3</v>
      </c>
      <c r="V380" s="24">
        <v>0</v>
      </c>
    </row>
    <row r="381" spans="1:22" x14ac:dyDescent="0.25">
      <c r="A381" s="24" t="s">
        <v>364</v>
      </c>
      <c r="B381" s="24" t="s">
        <v>15</v>
      </c>
      <c r="C381" s="24">
        <v>130.54161332547699</v>
      </c>
      <c r="D381" s="24">
        <v>0</v>
      </c>
      <c r="E381" s="25">
        <v>5.02192589920014E-2</v>
      </c>
      <c r="F381" s="24">
        <v>8</v>
      </c>
      <c r="G381" s="24">
        <v>5.07</v>
      </c>
      <c r="H381" s="24">
        <v>26</v>
      </c>
      <c r="I381" s="24">
        <v>3</v>
      </c>
      <c r="J381" s="24" t="str">
        <f>VLOOKUP(A381,編號對照表!$B$1:$C$133,2,FALSE)</f>
        <v>Fb2-75</v>
      </c>
      <c r="K381" s="24" t="s">
        <v>839</v>
      </c>
      <c r="L381" s="24" t="s">
        <v>683</v>
      </c>
      <c r="M381" s="24">
        <v>1.27</v>
      </c>
      <c r="N381" s="24">
        <v>10</v>
      </c>
      <c r="O381" s="24">
        <v>25</v>
      </c>
      <c r="P381" s="24">
        <v>15</v>
      </c>
      <c r="Q381" s="24">
        <v>100</v>
      </c>
      <c r="R381" s="24">
        <v>280</v>
      </c>
      <c r="S381" s="24">
        <v>13</v>
      </c>
      <c r="T381" s="24">
        <v>13</v>
      </c>
      <c r="U381" s="24">
        <v>3</v>
      </c>
      <c r="V381" s="24">
        <v>0</v>
      </c>
    </row>
    <row r="382" spans="1:22" x14ac:dyDescent="0.25">
      <c r="A382" s="24" t="s">
        <v>364</v>
      </c>
      <c r="B382" s="24" t="s">
        <v>16</v>
      </c>
      <c r="C382" s="24">
        <v>72.700362652540207</v>
      </c>
      <c r="D382" s="24">
        <v>0</v>
      </c>
      <c r="E382" s="25">
        <v>0.21870252676308199</v>
      </c>
      <c r="F382" s="24">
        <v>8</v>
      </c>
      <c r="G382" s="24">
        <v>5.07</v>
      </c>
      <c r="H382" s="24">
        <v>15</v>
      </c>
      <c r="I382" s="24">
        <v>3</v>
      </c>
      <c r="J382" s="24" t="str">
        <f>VLOOKUP(A382,編號對照表!$B$1:$C$133,2,FALSE)</f>
        <v>Fb2-75</v>
      </c>
      <c r="K382" s="24" t="s">
        <v>675</v>
      </c>
      <c r="L382" s="24" t="s">
        <v>683</v>
      </c>
      <c r="M382" s="24">
        <v>1.27</v>
      </c>
      <c r="N382" s="24">
        <v>10</v>
      </c>
      <c r="O382" s="24">
        <v>25</v>
      </c>
      <c r="P382" s="24">
        <v>15</v>
      </c>
      <c r="Q382" s="24">
        <v>100</v>
      </c>
      <c r="R382" s="24">
        <v>280</v>
      </c>
      <c r="S382" s="24">
        <v>13</v>
      </c>
      <c r="T382" s="24">
        <v>2</v>
      </c>
      <c r="U382" s="24">
        <v>3</v>
      </c>
      <c r="V382" s="24">
        <v>0</v>
      </c>
    </row>
    <row r="383" spans="1:22" x14ac:dyDescent="0.25">
      <c r="A383" s="24" t="s">
        <v>365</v>
      </c>
      <c r="B383" s="24" t="s">
        <v>13</v>
      </c>
      <c r="C383" s="24">
        <v>101.777538657188</v>
      </c>
      <c r="D383" s="24">
        <v>1.80101502337493</v>
      </c>
      <c r="E383" s="25">
        <v>5.02192589920014E-2</v>
      </c>
      <c r="F383" s="24">
        <v>8</v>
      </c>
      <c r="G383" s="24">
        <v>5.07</v>
      </c>
      <c r="H383" s="24">
        <v>21</v>
      </c>
      <c r="I383" s="24">
        <v>3</v>
      </c>
      <c r="J383" s="24" t="str">
        <f>VLOOKUP(A383,編號對照表!$B$1:$C$133,2,FALSE)</f>
        <v>Fb2-D5</v>
      </c>
      <c r="K383" s="24" t="s">
        <v>626</v>
      </c>
      <c r="L383" s="24" t="s">
        <v>683</v>
      </c>
      <c r="M383" s="24">
        <v>1.27</v>
      </c>
      <c r="N383" s="24">
        <v>10</v>
      </c>
      <c r="O383" s="24">
        <v>25</v>
      </c>
      <c r="P383" s="24">
        <v>15</v>
      </c>
      <c r="Q383" s="24">
        <v>100</v>
      </c>
      <c r="R383" s="24">
        <v>280</v>
      </c>
      <c r="S383" s="24">
        <v>13</v>
      </c>
      <c r="T383" s="24">
        <v>8</v>
      </c>
      <c r="U383" s="24">
        <v>3</v>
      </c>
      <c r="V383" s="24">
        <v>0</v>
      </c>
    </row>
    <row r="384" spans="1:22" x14ac:dyDescent="0.25">
      <c r="A384" s="24" t="s">
        <v>365</v>
      </c>
      <c r="B384" s="24" t="s">
        <v>15</v>
      </c>
      <c r="C384" s="24">
        <v>99.422726780176205</v>
      </c>
      <c r="D384" s="24">
        <v>0</v>
      </c>
      <c r="E384" s="25">
        <v>0</v>
      </c>
      <c r="F384" s="24">
        <v>8</v>
      </c>
      <c r="G384" s="24">
        <v>5.07</v>
      </c>
      <c r="H384" s="24">
        <v>20</v>
      </c>
      <c r="I384" s="24">
        <v>3</v>
      </c>
      <c r="J384" s="24" t="str">
        <f>VLOOKUP(A384,編號對照表!$B$1:$C$133,2,FALSE)</f>
        <v>Fb2-D5</v>
      </c>
      <c r="K384" s="24" t="s">
        <v>840</v>
      </c>
      <c r="L384" s="24" t="s">
        <v>683</v>
      </c>
      <c r="M384" s="24">
        <v>1.27</v>
      </c>
      <c r="N384" s="24">
        <v>10</v>
      </c>
      <c r="O384" s="24">
        <v>25</v>
      </c>
      <c r="P384" s="24">
        <v>15</v>
      </c>
      <c r="Q384" s="24">
        <v>100</v>
      </c>
      <c r="R384" s="24">
        <v>280</v>
      </c>
      <c r="S384" s="24">
        <v>13</v>
      </c>
      <c r="T384" s="24">
        <v>7</v>
      </c>
      <c r="U384" s="24">
        <v>3</v>
      </c>
      <c r="V384" s="24">
        <v>0</v>
      </c>
    </row>
    <row r="385" spans="1:22" x14ac:dyDescent="0.25">
      <c r="A385" s="24" t="s">
        <v>365</v>
      </c>
      <c r="B385" s="24" t="s">
        <v>16</v>
      </c>
      <c r="C385" s="24">
        <v>42.313728481531101</v>
      </c>
      <c r="D385" s="24">
        <v>0</v>
      </c>
      <c r="E385" s="25">
        <v>0.129214487969875</v>
      </c>
      <c r="F385" s="24">
        <v>8</v>
      </c>
      <c r="G385" s="24">
        <v>5.07</v>
      </c>
      <c r="H385" s="24">
        <v>9</v>
      </c>
      <c r="I385" s="24">
        <v>3</v>
      </c>
      <c r="J385" s="24" t="str">
        <f>VLOOKUP(A385,編號對照表!$B$1:$C$133,2,FALSE)</f>
        <v>Fb2-D5</v>
      </c>
      <c r="K385" s="24" t="s">
        <v>626</v>
      </c>
      <c r="L385" s="24" t="s">
        <v>683</v>
      </c>
      <c r="M385" s="24">
        <v>1.27</v>
      </c>
      <c r="N385" s="24">
        <v>10</v>
      </c>
      <c r="O385" s="24">
        <v>25</v>
      </c>
      <c r="P385" s="24">
        <v>15</v>
      </c>
      <c r="Q385" s="24">
        <v>100</v>
      </c>
      <c r="R385" s="24">
        <v>280</v>
      </c>
      <c r="S385" s="24">
        <v>9</v>
      </c>
      <c r="T385" s="24">
        <v>0</v>
      </c>
      <c r="U385" s="24">
        <v>3</v>
      </c>
      <c r="V385" s="24">
        <v>0</v>
      </c>
    </row>
    <row r="386" spans="1:22" x14ac:dyDescent="0.25">
      <c r="A386" s="24" t="s">
        <v>366</v>
      </c>
      <c r="B386" s="24" t="s">
        <v>13</v>
      </c>
      <c r="C386" s="24">
        <v>59.875040315091603</v>
      </c>
      <c r="D386" s="24">
        <v>8.1496243365109002</v>
      </c>
      <c r="E386" s="25">
        <v>0</v>
      </c>
      <c r="F386" s="24">
        <v>8</v>
      </c>
      <c r="G386" s="24">
        <v>5.07</v>
      </c>
      <c r="H386" s="24">
        <v>12</v>
      </c>
      <c r="I386" s="24">
        <v>3</v>
      </c>
      <c r="J386" s="24" t="str">
        <f>VLOOKUP(A386,編號對照表!$B$1:$C$133,2,FALSE)</f>
        <v>Fb2-D4</v>
      </c>
      <c r="K386" s="24" t="s">
        <v>865</v>
      </c>
      <c r="L386" s="24" t="s">
        <v>683</v>
      </c>
      <c r="M386" s="24">
        <v>1.27</v>
      </c>
      <c r="N386" s="24">
        <v>10</v>
      </c>
      <c r="O386" s="24">
        <v>25</v>
      </c>
      <c r="P386" s="24">
        <v>15</v>
      </c>
      <c r="Q386" s="24">
        <v>100</v>
      </c>
      <c r="R386" s="24">
        <v>280</v>
      </c>
      <c r="S386" s="24">
        <v>12</v>
      </c>
      <c r="T386" s="24">
        <v>0</v>
      </c>
      <c r="U386" s="24">
        <v>3</v>
      </c>
      <c r="V386" s="24">
        <v>0</v>
      </c>
    </row>
    <row r="387" spans="1:22" x14ac:dyDescent="0.25">
      <c r="A387" s="24" t="s">
        <v>366</v>
      </c>
      <c r="B387" s="24" t="s">
        <v>15</v>
      </c>
      <c r="C387" s="24">
        <v>64.805289730429607</v>
      </c>
      <c r="D387" s="24">
        <v>0.671742745907977</v>
      </c>
      <c r="E387" s="25">
        <v>0</v>
      </c>
      <c r="F387" s="24">
        <v>8</v>
      </c>
      <c r="G387" s="24">
        <v>5.07</v>
      </c>
      <c r="H387" s="24">
        <v>13</v>
      </c>
      <c r="I387" s="24">
        <v>3</v>
      </c>
      <c r="J387" s="24" t="str">
        <f>VLOOKUP(A387,編號對照表!$B$1:$C$133,2,FALSE)</f>
        <v>Fb2-D4</v>
      </c>
      <c r="K387" s="24" t="s">
        <v>604</v>
      </c>
      <c r="L387" s="24" t="s">
        <v>683</v>
      </c>
      <c r="M387" s="24">
        <v>1.27</v>
      </c>
      <c r="N387" s="24">
        <v>10</v>
      </c>
      <c r="O387" s="24">
        <v>25</v>
      </c>
      <c r="P387" s="24">
        <v>15</v>
      </c>
      <c r="Q387" s="24">
        <v>100</v>
      </c>
      <c r="R387" s="24">
        <v>280</v>
      </c>
      <c r="S387" s="24">
        <v>13</v>
      </c>
      <c r="T387" s="24">
        <v>0</v>
      </c>
      <c r="U387" s="24">
        <v>3</v>
      </c>
      <c r="V387" s="24">
        <v>0</v>
      </c>
    </row>
    <row r="388" spans="1:22" x14ac:dyDescent="0.25">
      <c r="A388" s="24" t="s">
        <v>366</v>
      </c>
      <c r="B388" s="24" t="s">
        <v>16</v>
      </c>
      <c r="C388" s="24">
        <v>64.802346751093907</v>
      </c>
      <c r="D388" s="24">
        <v>11.8597398977727</v>
      </c>
      <c r="E388" s="25">
        <v>0</v>
      </c>
      <c r="F388" s="24">
        <v>8</v>
      </c>
      <c r="G388" s="24">
        <v>5.07</v>
      </c>
      <c r="H388" s="24">
        <v>13</v>
      </c>
      <c r="I388" s="24">
        <v>3</v>
      </c>
      <c r="J388" s="24" t="str">
        <f>VLOOKUP(A388,編號對照表!$B$1:$C$133,2,FALSE)</f>
        <v>Fb2-D4</v>
      </c>
      <c r="K388" s="24" t="s">
        <v>865</v>
      </c>
      <c r="L388" s="24" t="s">
        <v>683</v>
      </c>
      <c r="M388" s="24">
        <v>1.27</v>
      </c>
      <c r="N388" s="24">
        <v>10</v>
      </c>
      <c r="O388" s="24">
        <v>25</v>
      </c>
      <c r="P388" s="24">
        <v>15</v>
      </c>
      <c r="Q388" s="24">
        <v>100</v>
      </c>
      <c r="R388" s="24">
        <v>280</v>
      </c>
      <c r="S388" s="24">
        <v>13</v>
      </c>
      <c r="T388" s="24">
        <v>0</v>
      </c>
      <c r="U388" s="24">
        <v>3</v>
      </c>
      <c r="V388" s="24">
        <v>0</v>
      </c>
    </row>
    <row r="389" spans="1:22" x14ac:dyDescent="0.25">
      <c r="A389" s="24" t="s">
        <v>367</v>
      </c>
      <c r="B389" s="24" t="s">
        <v>13</v>
      </c>
      <c r="C389" s="24">
        <v>75.173019431531401</v>
      </c>
      <c r="D389" s="24">
        <v>11.482503032311801</v>
      </c>
      <c r="E389" s="25">
        <v>0</v>
      </c>
      <c r="F389" s="24">
        <v>8</v>
      </c>
      <c r="G389" s="24">
        <v>5.07</v>
      </c>
      <c r="H389" s="24">
        <v>15</v>
      </c>
      <c r="I389" s="24">
        <v>3</v>
      </c>
      <c r="J389" s="24" t="str">
        <f>VLOOKUP(A389,編號對照表!$B$1:$C$133,2,FALSE)</f>
        <v>Fb2-D3</v>
      </c>
      <c r="K389" s="24" t="s">
        <v>866</v>
      </c>
      <c r="L389" s="24" t="s">
        <v>683</v>
      </c>
      <c r="M389" s="24">
        <v>1.27</v>
      </c>
      <c r="N389" s="24">
        <v>10</v>
      </c>
      <c r="O389" s="24">
        <v>25</v>
      </c>
      <c r="P389" s="24">
        <v>15</v>
      </c>
      <c r="Q389" s="24">
        <v>100</v>
      </c>
      <c r="R389" s="24">
        <v>280</v>
      </c>
      <c r="S389" s="24">
        <v>13</v>
      </c>
      <c r="T389" s="24">
        <v>2</v>
      </c>
      <c r="U389" s="24">
        <v>3</v>
      </c>
      <c r="V389" s="24">
        <v>0</v>
      </c>
    </row>
    <row r="390" spans="1:22" x14ac:dyDescent="0.25">
      <c r="A390" s="24" t="s">
        <v>367</v>
      </c>
      <c r="B390" s="24" t="s">
        <v>15</v>
      </c>
      <c r="C390" s="24">
        <v>74.874772690236597</v>
      </c>
      <c r="D390" s="24">
        <v>27.4890498258173</v>
      </c>
      <c r="E390" s="25">
        <v>0</v>
      </c>
      <c r="F390" s="24">
        <v>8</v>
      </c>
      <c r="G390" s="24">
        <v>5.07</v>
      </c>
      <c r="H390" s="24">
        <v>15</v>
      </c>
      <c r="I390" s="24">
        <v>6</v>
      </c>
      <c r="J390" s="24" t="str">
        <f>VLOOKUP(A390,編號對照表!$B$1:$C$133,2,FALSE)</f>
        <v>Fb2-D3</v>
      </c>
      <c r="K390" s="24" t="s">
        <v>866</v>
      </c>
      <c r="L390" s="24" t="s">
        <v>683</v>
      </c>
      <c r="M390" s="24">
        <v>1.27</v>
      </c>
      <c r="N390" s="24">
        <v>10</v>
      </c>
      <c r="O390" s="24">
        <v>25</v>
      </c>
      <c r="P390" s="24">
        <v>15</v>
      </c>
      <c r="Q390" s="24">
        <v>100</v>
      </c>
      <c r="R390" s="24">
        <v>280</v>
      </c>
      <c r="S390" s="24">
        <v>13</v>
      </c>
      <c r="T390" s="24">
        <v>2</v>
      </c>
      <c r="U390" s="24">
        <v>6</v>
      </c>
      <c r="V390" s="24">
        <v>0</v>
      </c>
    </row>
    <row r="391" spans="1:22" x14ac:dyDescent="0.25">
      <c r="A391" s="24" t="s">
        <v>367</v>
      </c>
      <c r="B391" s="24" t="s">
        <v>16</v>
      </c>
      <c r="C391" s="24">
        <v>41.222209110856099</v>
      </c>
      <c r="D391" s="24">
        <v>72.640464641153798</v>
      </c>
      <c r="E391" s="25">
        <v>8.3698763046413702E-2</v>
      </c>
      <c r="F391" s="24">
        <v>8</v>
      </c>
      <c r="G391" s="24">
        <v>5.07</v>
      </c>
      <c r="H391" s="24">
        <v>9</v>
      </c>
      <c r="I391" s="24">
        <v>15</v>
      </c>
      <c r="J391" s="24" t="str">
        <f>VLOOKUP(A391,編號對照表!$B$1:$C$133,2,FALSE)</f>
        <v>Fb2-D3</v>
      </c>
      <c r="K391" s="24" t="s">
        <v>866</v>
      </c>
      <c r="L391" s="24" t="s">
        <v>683</v>
      </c>
      <c r="M391" s="24">
        <v>1.27</v>
      </c>
      <c r="N391" s="24">
        <v>10</v>
      </c>
      <c r="O391" s="24">
        <v>25</v>
      </c>
      <c r="P391" s="24">
        <v>15</v>
      </c>
      <c r="Q391" s="24">
        <v>100</v>
      </c>
      <c r="R391" s="24">
        <v>280</v>
      </c>
      <c r="S391" s="24">
        <v>9</v>
      </c>
      <c r="T391" s="24">
        <v>0</v>
      </c>
      <c r="U391" s="24">
        <v>13</v>
      </c>
      <c r="V391" s="24">
        <v>2</v>
      </c>
    </row>
    <row r="392" spans="1:22" x14ac:dyDescent="0.25">
      <c r="A392" s="24" t="s">
        <v>369</v>
      </c>
      <c r="B392" s="24" t="s">
        <v>13</v>
      </c>
      <c r="C392" s="24">
        <v>2.5835057022050001</v>
      </c>
      <c r="D392" s="24">
        <v>42.525758035480997</v>
      </c>
      <c r="E392" s="25">
        <v>0</v>
      </c>
      <c r="F392" s="24">
        <v>8</v>
      </c>
      <c r="G392" s="24">
        <v>5.07</v>
      </c>
      <c r="H392" s="24">
        <v>3</v>
      </c>
      <c r="I392" s="24">
        <v>9</v>
      </c>
      <c r="J392" s="24" t="str">
        <f>VLOOKUP(A392,編號對照表!$B$1:$C$133,2,FALSE)</f>
        <v>Fb2-D2</v>
      </c>
      <c r="K392" s="24" t="s">
        <v>605</v>
      </c>
      <c r="L392" s="24" t="s">
        <v>683</v>
      </c>
      <c r="M392" s="24">
        <v>1.27</v>
      </c>
      <c r="N392" s="24">
        <v>10</v>
      </c>
      <c r="O392" s="24">
        <v>25</v>
      </c>
      <c r="P392" s="24">
        <v>15</v>
      </c>
      <c r="Q392" s="24">
        <v>100</v>
      </c>
      <c r="R392" s="24">
        <v>280</v>
      </c>
      <c r="S392" s="24">
        <v>3</v>
      </c>
      <c r="T392" s="24">
        <v>0</v>
      </c>
      <c r="U392" s="24">
        <v>9</v>
      </c>
      <c r="V392" s="24">
        <v>0</v>
      </c>
    </row>
    <row r="393" spans="1:22" x14ac:dyDescent="0.25">
      <c r="A393" s="24" t="s">
        <v>369</v>
      </c>
      <c r="B393" s="24" t="s">
        <v>15</v>
      </c>
      <c r="C393" s="24">
        <v>10.7618805486709</v>
      </c>
      <c r="D393" s="24">
        <v>37.0919704437256</v>
      </c>
      <c r="E393" s="25">
        <v>0</v>
      </c>
      <c r="F393" s="24">
        <v>8</v>
      </c>
      <c r="G393" s="24">
        <v>5.07</v>
      </c>
      <c r="H393" s="24">
        <v>3</v>
      </c>
      <c r="I393" s="24">
        <v>8</v>
      </c>
      <c r="J393" s="24" t="str">
        <f>VLOOKUP(A393,編號對照表!$B$1:$C$133,2,FALSE)</f>
        <v>Fb2-D2</v>
      </c>
      <c r="K393" s="24" t="s">
        <v>841</v>
      </c>
      <c r="L393" s="24" t="s">
        <v>683</v>
      </c>
      <c r="M393" s="24">
        <v>1.27</v>
      </c>
      <c r="N393" s="24">
        <v>10</v>
      </c>
      <c r="O393" s="24">
        <v>25</v>
      </c>
      <c r="P393" s="24">
        <v>15</v>
      </c>
      <c r="Q393" s="24">
        <v>100</v>
      </c>
      <c r="R393" s="24">
        <v>280</v>
      </c>
      <c r="S393" s="24">
        <v>3</v>
      </c>
      <c r="T393" s="24">
        <v>0</v>
      </c>
      <c r="U393" s="24">
        <v>8</v>
      </c>
      <c r="V393" s="24">
        <v>0</v>
      </c>
    </row>
    <row r="394" spans="1:22" x14ac:dyDescent="0.25">
      <c r="A394" s="24" t="s">
        <v>369</v>
      </c>
      <c r="B394" s="24" t="s">
        <v>16</v>
      </c>
      <c r="C394" s="24">
        <v>9.5739436801523006</v>
      </c>
      <c r="D394" s="24">
        <v>25.410943198949099</v>
      </c>
      <c r="E394" s="25">
        <v>8.3698763046413702E-2</v>
      </c>
      <c r="F394" s="24">
        <v>8</v>
      </c>
      <c r="G394" s="24">
        <v>5.07</v>
      </c>
      <c r="H394" s="24">
        <v>3</v>
      </c>
      <c r="I394" s="24">
        <v>6</v>
      </c>
      <c r="J394" s="24" t="str">
        <f>VLOOKUP(A394,編號對照表!$B$1:$C$133,2,FALSE)</f>
        <v>Fb2-D2</v>
      </c>
      <c r="K394" s="24" t="s">
        <v>841</v>
      </c>
      <c r="L394" s="24" t="s">
        <v>683</v>
      </c>
      <c r="M394" s="24">
        <v>1.27</v>
      </c>
      <c r="N394" s="24">
        <v>10</v>
      </c>
      <c r="O394" s="24">
        <v>25</v>
      </c>
      <c r="P394" s="24">
        <v>15</v>
      </c>
      <c r="Q394" s="24">
        <v>100</v>
      </c>
      <c r="R394" s="24">
        <v>280</v>
      </c>
      <c r="S394" s="24">
        <v>3</v>
      </c>
      <c r="T394" s="24">
        <v>0</v>
      </c>
      <c r="U394" s="24">
        <v>6</v>
      </c>
      <c r="V394" s="24">
        <v>0</v>
      </c>
    </row>
    <row r="395" spans="1:22" x14ac:dyDescent="0.25">
      <c r="A395" s="24" t="s">
        <v>370</v>
      </c>
      <c r="B395" s="24" t="s">
        <v>13</v>
      </c>
      <c r="C395" s="24">
        <v>18.625773955136498</v>
      </c>
      <c r="D395" s="24">
        <v>23.753936402499701</v>
      </c>
      <c r="E395" s="25">
        <v>0</v>
      </c>
      <c r="F395" s="24">
        <v>8</v>
      </c>
      <c r="G395" s="24">
        <v>5.07</v>
      </c>
      <c r="H395" s="24">
        <v>4</v>
      </c>
      <c r="I395" s="24">
        <v>5</v>
      </c>
      <c r="J395" s="24" t="str">
        <f>VLOOKUP(A395,編號對照表!$B$1:$C$133,2,FALSE)</f>
        <v>Fb2-E3</v>
      </c>
      <c r="K395" s="24" t="s">
        <v>842</v>
      </c>
      <c r="L395" s="24" t="s">
        <v>683</v>
      </c>
      <c r="M395" s="24">
        <v>1.27</v>
      </c>
      <c r="N395" s="24">
        <v>10</v>
      </c>
      <c r="O395" s="24">
        <v>25</v>
      </c>
      <c r="P395" s="24">
        <v>15</v>
      </c>
      <c r="Q395" s="24">
        <v>100</v>
      </c>
      <c r="R395" s="24">
        <v>280</v>
      </c>
      <c r="S395" s="24">
        <v>4</v>
      </c>
      <c r="T395" s="24">
        <v>0</v>
      </c>
      <c r="U395" s="24">
        <v>5</v>
      </c>
      <c r="V395" s="24">
        <v>0</v>
      </c>
    </row>
    <row r="396" spans="1:22" x14ac:dyDescent="0.25">
      <c r="A396" s="24" t="s">
        <v>370</v>
      </c>
      <c r="B396" s="24" t="s">
        <v>15</v>
      </c>
      <c r="C396" s="24">
        <v>51.316469907760599</v>
      </c>
      <c r="D396" s="24">
        <v>10.642483830452001</v>
      </c>
      <c r="E396" s="25">
        <v>0</v>
      </c>
      <c r="F396" s="24">
        <v>8</v>
      </c>
      <c r="G396" s="24">
        <v>5.07</v>
      </c>
      <c r="H396" s="24">
        <v>11</v>
      </c>
      <c r="I396" s="24">
        <v>3</v>
      </c>
      <c r="J396" s="24" t="str">
        <f>VLOOKUP(A396,編號對照表!$B$1:$C$133,2,FALSE)</f>
        <v>Fb2-E3</v>
      </c>
      <c r="K396" s="24" t="s">
        <v>627</v>
      </c>
      <c r="L396" s="24" t="s">
        <v>683</v>
      </c>
      <c r="M396" s="24">
        <v>1.27</v>
      </c>
      <c r="N396" s="24">
        <v>10</v>
      </c>
      <c r="O396" s="24">
        <v>25</v>
      </c>
      <c r="P396" s="24">
        <v>15</v>
      </c>
      <c r="Q396" s="24">
        <v>100</v>
      </c>
      <c r="R396" s="24">
        <v>280</v>
      </c>
      <c r="S396" s="24">
        <v>11</v>
      </c>
      <c r="T396" s="24">
        <v>0</v>
      </c>
      <c r="U396" s="24">
        <v>3</v>
      </c>
      <c r="V396" s="24">
        <v>0</v>
      </c>
    </row>
    <row r="397" spans="1:22" x14ac:dyDescent="0.25">
      <c r="A397" s="24" t="s">
        <v>370</v>
      </c>
      <c r="B397" s="24" t="s">
        <v>16</v>
      </c>
      <c r="C397" s="24">
        <v>51.942295394837899</v>
      </c>
      <c r="D397" s="24">
        <v>18.386554438620799</v>
      </c>
      <c r="E397" s="25">
        <v>0</v>
      </c>
      <c r="F397" s="24">
        <v>8</v>
      </c>
      <c r="G397" s="24">
        <v>5.07</v>
      </c>
      <c r="H397" s="24">
        <v>11</v>
      </c>
      <c r="I397" s="24">
        <v>4</v>
      </c>
      <c r="J397" s="24" t="str">
        <f>VLOOKUP(A397,編號對照表!$B$1:$C$133,2,FALSE)</f>
        <v>Fb2-E3</v>
      </c>
      <c r="K397" s="24" t="s">
        <v>842</v>
      </c>
      <c r="L397" s="24" t="s">
        <v>683</v>
      </c>
      <c r="M397" s="24">
        <v>1.27</v>
      </c>
      <c r="N397" s="24">
        <v>10</v>
      </c>
      <c r="O397" s="24">
        <v>25</v>
      </c>
      <c r="P397" s="24">
        <v>15</v>
      </c>
      <c r="Q397" s="24">
        <v>100</v>
      </c>
      <c r="R397" s="24">
        <v>280</v>
      </c>
      <c r="S397" s="24">
        <v>11</v>
      </c>
      <c r="T397" s="24">
        <v>0</v>
      </c>
      <c r="U397" s="24">
        <v>4</v>
      </c>
      <c r="V397" s="24">
        <v>0</v>
      </c>
    </row>
    <row r="398" spans="1:22" x14ac:dyDescent="0.25">
      <c r="A398" s="24" t="s">
        <v>371</v>
      </c>
      <c r="B398" s="24" t="s">
        <v>13</v>
      </c>
      <c r="C398" s="24">
        <v>61.990637332200997</v>
      </c>
      <c r="D398" s="24">
        <v>19.4896839093417</v>
      </c>
      <c r="E398" s="25">
        <v>8.3698763046413702E-2</v>
      </c>
      <c r="F398" s="24">
        <v>8</v>
      </c>
      <c r="G398" s="24">
        <v>5.07</v>
      </c>
      <c r="H398" s="24">
        <v>13</v>
      </c>
      <c r="I398" s="24">
        <v>4</v>
      </c>
      <c r="J398" s="24" t="str">
        <f>VLOOKUP(A398,編號對照表!$B$1:$C$133,2,FALSE)</f>
        <v>Fb2-E2</v>
      </c>
      <c r="K398" s="24" t="s">
        <v>606</v>
      </c>
      <c r="L398" s="24" t="s">
        <v>683</v>
      </c>
      <c r="M398" s="24">
        <v>1.27</v>
      </c>
      <c r="N398" s="24">
        <v>10</v>
      </c>
      <c r="O398" s="24">
        <v>25</v>
      </c>
      <c r="P398" s="24">
        <v>15</v>
      </c>
      <c r="Q398" s="24">
        <v>100</v>
      </c>
      <c r="R398" s="24">
        <v>280</v>
      </c>
      <c r="S398" s="24">
        <v>13</v>
      </c>
      <c r="T398" s="24">
        <v>0</v>
      </c>
      <c r="U398" s="24">
        <v>4</v>
      </c>
      <c r="V398" s="24">
        <v>0</v>
      </c>
    </row>
    <row r="399" spans="1:22" x14ac:dyDescent="0.25">
      <c r="A399" s="24" t="s">
        <v>371</v>
      </c>
      <c r="B399" s="24" t="s">
        <v>15</v>
      </c>
      <c r="C399" s="24">
        <v>79.612731933593807</v>
      </c>
      <c r="D399" s="24">
        <v>5.6488270638510603</v>
      </c>
      <c r="E399" s="25">
        <v>0</v>
      </c>
      <c r="F399" s="24">
        <v>8</v>
      </c>
      <c r="G399" s="24">
        <v>5.07</v>
      </c>
      <c r="H399" s="24">
        <v>16</v>
      </c>
      <c r="I399" s="24">
        <v>3</v>
      </c>
      <c r="J399" s="24" t="str">
        <f>VLOOKUP(A399,編號對照表!$B$1:$C$133,2,FALSE)</f>
        <v>Fb2-E2</v>
      </c>
      <c r="K399" s="24" t="s">
        <v>843</v>
      </c>
      <c r="L399" s="24" t="s">
        <v>683</v>
      </c>
      <c r="M399" s="24">
        <v>1.27</v>
      </c>
      <c r="N399" s="24">
        <v>10</v>
      </c>
      <c r="O399" s="24">
        <v>25</v>
      </c>
      <c r="P399" s="24">
        <v>15</v>
      </c>
      <c r="Q399" s="24">
        <v>100</v>
      </c>
      <c r="R399" s="24">
        <v>280</v>
      </c>
      <c r="S399" s="24">
        <v>13</v>
      </c>
      <c r="T399" s="24">
        <v>3</v>
      </c>
      <c r="U399" s="24">
        <v>3</v>
      </c>
      <c r="V399" s="24">
        <v>0</v>
      </c>
    </row>
    <row r="400" spans="1:22" x14ac:dyDescent="0.25">
      <c r="A400" s="24" t="s">
        <v>371</v>
      </c>
      <c r="B400" s="24" t="s">
        <v>16</v>
      </c>
      <c r="C400" s="24">
        <v>82.444297149777398</v>
      </c>
      <c r="D400" s="24">
        <v>0</v>
      </c>
      <c r="E400" s="25">
        <v>0</v>
      </c>
      <c r="F400" s="24">
        <v>8</v>
      </c>
      <c r="G400" s="24">
        <v>5.07</v>
      </c>
      <c r="H400" s="24">
        <v>17</v>
      </c>
      <c r="I400" s="24">
        <v>3</v>
      </c>
      <c r="J400" s="24" t="str">
        <f>VLOOKUP(A400,編號對照表!$B$1:$C$133,2,FALSE)</f>
        <v>Fb2-E2</v>
      </c>
      <c r="K400" s="24" t="s">
        <v>843</v>
      </c>
      <c r="L400" s="24" t="s">
        <v>683</v>
      </c>
      <c r="M400" s="24">
        <v>1.27</v>
      </c>
      <c r="N400" s="24">
        <v>10</v>
      </c>
      <c r="O400" s="24">
        <v>25</v>
      </c>
      <c r="P400" s="24">
        <v>15</v>
      </c>
      <c r="Q400" s="24">
        <v>100</v>
      </c>
      <c r="R400" s="24">
        <v>280</v>
      </c>
      <c r="S400" s="24">
        <v>13</v>
      </c>
      <c r="T400" s="24">
        <v>4</v>
      </c>
      <c r="U400" s="24">
        <v>3</v>
      </c>
      <c r="V400" s="24">
        <v>0</v>
      </c>
    </row>
  </sheetData>
  <sortState ref="A2:P211">
    <sortCondition ref="A2:A211"/>
  </sortState>
  <phoneticPr fontId="2" type="noConversion"/>
  <conditionalFormatting sqref="E1:E1048576">
    <cfRule type="cellIs" dxfId="2" priority="4" operator="greaterThan">
      <formula>0.503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L1:L1048576">
    <cfRule type="containsText" dxfId="1" priority="5" operator="containsText" text="5">
      <formula>NOT(ISERROR(SEARCH("5",L1)))</formula>
    </cfRule>
    <cfRule type="containsText" dxfId="0" priority="6" operator="containsText" text="2">
      <formula>NOT(ISERROR(SEARCH("2",L1)))</formula>
    </cfRule>
  </conditionalFormatting>
  <conditionalFormatting sqref="N1:N1048576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D1205"/>
  <sheetViews>
    <sheetView zoomScale="80" zoomScaleNormal="80" workbookViewId="0">
      <selection activeCell="M10" sqref="M10"/>
    </sheetView>
  </sheetViews>
  <sheetFormatPr defaultRowHeight="16.5" x14ac:dyDescent="0.25"/>
  <cols>
    <col min="1" max="1" width="13.125" bestFit="1" customWidth="1"/>
    <col min="2" max="2" width="4.875" bestFit="1" customWidth="1"/>
    <col min="3" max="3" width="3.75" bestFit="1" customWidth="1"/>
    <col min="4" max="4" width="8.25" bestFit="1" customWidth="1"/>
    <col min="5" max="5" width="9" bestFit="1" customWidth="1"/>
    <col min="6" max="6" width="5.625" bestFit="1" customWidth="1"/>
    <col min="7" max="7" width="4.625" bestFit="1" customWidth="1"/>
    <col min="8" max="8" width="13.25" bestFit="1" customWidth="1"/>
    <col min="9" max="9" width="13.625" bestFit="1" customWidth="1"/>
    <col min="10" max="10" width="9.125" bestFit="1" customWidth="1"/>
    <col min="11" max="11" width="5.625" customWidth="1"/>
    <col min="12" max="12" width="13.25" bestFit="1" customWidth="1"/>
    <col min="13" max="13" width="13.625" bestFit="1" customWidth="1"/>
    <col min="14" max="14" width="12.625" customWidth="1"/>
    <col min="15" max="15" width="9.125" bestFit="1" customWidth="1"/>
    <col min="16" max="16" width="13.25" bestFit="1" customWidth="1"/>
    <col min="17" max="17" width="12.75" bestFit="1" customWidth="1"/>
    <col min="18" max="18" width="12.5" bestFit="1" customWidth="1"/>
    <col min="19" max="19" width="9.125" bestFit="1" customWidth="1"/>
    <col min="20" max="20" width="7.375" customWidth="1"/>
    <col min="21" max="23" width="8.25" bestFit="1" customWidth="1"/>
    <col min="24" max="24" width="7.375" customWidth="1"/>
    <col min="25" max="25" width="8.25" bestFit="1" customWidth="1"/>
    <col min="26" max="26" width="7.375" bestFit="1" customWidth="1"/>
    <col min="27" max="27" width="2.75" customWidth="1"/>
    <col min="28" max="28" width="7.375" bestFit="1" customWidth="1"/>
    <col min="29" max="29" width="5.625" bestFit="1" customWidth="1"/>
    <col min="30" max="30" width="4.625" customWidth="1"/>
    <col min="31" max="31" width="5.625" bestFit="1" customWidth="1"/>
    <col min="32" max="32" width="7.375" bestFit="1" customWidth="1"/>
    <col min="33" max="33" width="4.625" bestFit="1" customWidth="1"/>
    <col min="34" max="34" width="7.375" bestFit="1" customWidth="1"/>
    <col min="35" max="35" width="5.625" bestFit="1" customWidth="1"/>
    <col min="36" max="36" width="7.375" bestFit="1" customWidth="1"/>
    <col min="37" max="38" width="2.75" bestFit="1" customWidth="1"/>
    <col min="39" max="39" width="4.625" bestFit="1" customWidth="1"/>
    <col min="40" max="43" width="3.75" bestFit="1" customWidth="1"/>
    <col min="44" max="44" width="2.75" customWidth="1"/>
    <col min="45" max="46" width="3.75" bestFit="1" customWidth="1"/>
    <col min="47" max="47" width="2.75" customWidth="1"/>
    <col min="48" max="48" width="4.625" customWidth="1"/>
    <col min="49" max="51" width="5.625" bestFit="1" customWidth="1"/>
    <col min="52" max="52" width="5.25" bestFit="1" customWidth="1"/>
    <col min="53" max="53" width="4.625" customWidth="1"/>
    <col min="54" max="54" width="5.625" bestFit="1" customWidth="1"/>
    <col min="55" max="57" width="4.625" bestFit="1" customWidth="1"/>
    <col min="58" max="61" width="2.75" bestFit="1" customWidth="1"/>
    <col min="62" max="62" width="4.625" bestFit="1" customWidth="1"/>
    <col min="63" max="64" width="2.75" bestFit="1" customWidth="1"/>
    <col min="65" max="65" width="4.625" customWidth="1"/>
    <col min="66" max="66" width="4.625" bestFit="1" customWidth="1"/>
    <col min="67" max="67" width="2.75" bestFit="1" customWidth="1"/>
    <col min="68" max="68" width="4.625" customWidth="1"/>
    <col min="69" max="69" width="5.25" customWidth="1"/>
    <col min="70" max="71" width="4.625" bestFit="1" customWidth="1"/>
    <col min="72" max="72" width="2.75" customWidth="1"/>
    <col min="73" max="73" width="4.625" customWidth="1"/>
    <col min="74" max="75" width="4.625" bestFit="1" customWidth="1"/>
    <col min="76" max="76" width="3.75" bestFit="1" customWidth="1"/>
    <col min="77" max="77" width="2.75" bestFit="1" customWidth="1"/>
    <col min="78" max="80" width="4.625" bestFit="1" customWidth="1"/>
    <col min="81" max="82" width="2.75" customWidth="1"/>
    <col min="83" max="83" width="2.75" bestFit="1" customWidth="1"/>
    <col min="85" max="85" width="3.75" customWidth="1"/>
    <col min="87" max="87" width="3.75" customWidth="1"/>
    <col min="88" max="88" width="2.75" customWidth="1"/>
    <col min="90" max="90" width="5.25" customWidth="1"/>
    <col min="91" max="91" width="5.625" customWidth="1"/>
    <col min="94" max="94" width="4.375" customWidth="1"/>
    <col min="101" max="101" width="4.625" customWidth="1"/>
    <col min="102" max="103" width="2.75" customWidth="1"/>
  </cols>
  <sheetData>
    <row r="1" spans="1:60" x14ac:dyDescent="0.25">
      <c r="A1" t="s">
        <v>527</v>
      </c>
      <c r="B1" t="s">
        <v>79</v>
      </c>
      <c r="H1" t="s">
        <v>205</v>
      </c>
      <c r="I1" t="s">
        <v>150</v>
      </c>
      <c r="M1" t="s">
        <v>206</v>
      </c>
      <c r="N1" t="s">
        <v>150</v>
      </c>
    </row>
    <row r="2" spans="1:60" x14ac:dyDescent="0.25">
      <c r="A2" t="s">
        <v>113</v>
      </c>
      <c r="C2" t="s">
        <v>877</v>
      </c>
      <c r="X2">
        <v>10</v>
      </c>
      <c r="AA2">
        <v>10</v>
      </c>
      <c r="AD2">
        <v>10</v>
      </c>
      <c r="AR2">
        <v>3</v>
      </c>
      <c r="AU2">
        <v>5</v>
      </c>
      <c r="AX2">
        <v>3</v>
      </c>
    </row>
    <row r="3" spans="1:60" x14ac:dyDescent="0.25">
      <c r="A3" t="s">
        <v>114</v>
      </c>
      <c r="C3" t="s">
        <v>847</v>
      </c>
      <c r="X3">
        <v>0</v>
      </c>
      <c r="Z3">
        <v>14</v>
      </c>
      <c r="AD3">
        <v>0</v>
      </c>
      <c r="AR3">
        <v>0</v>
      </c>
      <c r="AU3">
        <v>0</v>
      </c>
      <c r="AX3">
        <v>0</v>
      </c>
    </row>
    <row r="5" spans="1:60" x14ac:dyDescent="0.25">
      <c r="A5" t="s">
        <v>115</v>
      </c>
      <c r="C5" t="s">
        <v>877</v>
      </c>
      <c r="X5">
        <v>0</v>
      </c>
      <c r="AA5">
        <v>0</v>
      </c>
      <c r="AC5">
        <v>12</v>
      </c>
      <c r="AR5">
        <v>8</v>
      </c>
      <c r="AU5">
        <v>0</v>
      </c>
      <c r="AX5">
        <v>0</v>
      </c>
    </row>
    <row r="6" spans="1:60" x14ac:dyDescent="0.25">
      <c r="A6" t="s">
        <v>116</v>
      </c>
      <c r="C6" t="s">
        <v>877</v>
      </c>
      <c r="X6">
        <v>3</v>
      </c>
      <c r="AA6">
        <v>3</v>
      </c>
      <c r="AD6">
        <v>10</v>
      </c>
      <c r="AR6">
        <v>10</v>
      </c>
      <c r="AU6">
        <v>3</v>
      </c>
      <c r="AX6">
        <v>9</v>
      </c>
    </row>
    <row r="8" spans="1:60" x14ac:dyDescent="0.25">
      <c r="A8" t="s">
        <v>117</v>
      </c>
      <c r="P8" t="s">
        <v>632</v>
      </c>
      <c r="R8" t="s">
        <v>633</v>
      </c>
      <c r="T8" t="s">
        <v>730</v>
      </c>
      <c r="X8" t="s">
        <v>454</v>
      </c>
      <c r="Z8" t="s">
        <v>454</v>
      </c>
      <c r="AB8" t="s">
        <v>632</v>
      </c>
    </row>
    <row r="9" spans="1:60" x14ac:dyDescent="0.25">
      <c r="A9" t="s">
        <v>118</v>
      </c>
      <c r="P9" t="s">
        <v>737</v>
      </c>
      <c r="AJ9" t="s">
        <v>736</v>
      </c>
    </row>
    <row r="10" spans="1:60" x14ac:dyDescent="0.25">
      <c r="A10" t="s">
        <v>119</v>
      </c>
      <c r="P10">
        <v>0</v>
      </c>
      <c r="AL10">
        <v>0</v>
      </c>
      <c r="BH10">
        <v>0</v>
      </c>
    </row>
    <row r="11" spans="1:60" x14ac:dyDescent="0.25">
      <c r="A11" t="s">
        <v>120</v>
      </c>
      <c r="B11" t="s">
        <v>121</v>
      </c>
      <c r="H11">
        <v>0</v>
      </c>
      <c r="BE11">
        <v>200</v>
      </c>
    </row>
    <row r="12" spans="1:60" x14ac:dyDescent="0.25">
      <c r="A12" t="s">
        <v>122</v>
      </c>
      <c r="I12">
        <v>0</v>
      </c>
      <c r="K12">
        <v>1065</v>
      </c>
      <c r="AE12">
        <v>665</v>
      </c>
      <c r="AY12">
        <v>719</v>
      </c>
    </row>
    <row r="13" spans="1:60" x14ac:dyDescent="0.25">
      <c r="A13" t="s">
        <v>123</v>
      </c>
      <c r="M13">
        <v>120</v>
      </c>
      <c r="AG13">
        <v>120</v>
      </c>
      <c r="BA13">
        <v>110</v>
      </c>
    </row>
    <row r="14" spans="1:60" x14ac:dyDescent="0.25">
      <c r="A14" t="s">
        <v>124</v>
      </c>
      <c r="M14">
        <v>-60</v>
      </c>
      <c r="AG14">
        <v>-80</v>
      </c>
      <c r="BA14">
        <v>-80</v>
      </c>
    </row>
    <row r="15" spans="1:60" x14ac:dyDescent="0.25">
      <c r="A15" t="s">
        <v>125</v>
      </c>
      <c r="L15">
        <v>-200</v>
      </c>
      <c r="AE15">
        <v>-200</v>
      </c>
      <c r="AX15">
        <v>-200</v>
      </c>
    </row>
    <row r="18" spans="1:82" x14ac:dyDescent="0.25">
      <c r="A18" t="s">
        <v>527</v>
      </c>
      <c r="B18" t="s">
        <v>79</v>
      </c>
      <c r="H18" t="s">
        <v>207</v>
      </c>
      <c r="I18" t="s">
        <v>150</v>
      </c>
      <c r="M18" t="s">
        <v>208</v>
      </c>
      <c r="N18" t="s">
        <v>150</v>
      </c>
      <c r="Q18" t="s">
        <v>235</v>
      </c>
      <c r="R18" t="s">
        <v>150</v>
      </c>
    </row>
    <row r="19" spans="1:82" x14ac:dyDescent="0.25">
      <c r="A19" t="s">
        <v>113</v>
      </c>
      <c r="C19" t="s">
        <v>877</v>
      </c>
      <c r="X19">
        <v>3</v>
      </c>
      <c r="AA19">
        <v>9</v>
      </c>
      <c r="AD19">
        <v>5</v>
      </c>
      <c r="AR19">
        <v>3</v>
      </c>
      <c r="AU19">
        <v>3</v>
      </c>
      <c r="AX19">
        <v>3</v>
      </c>
      <c r="BL19">
        <v>8</v>
      </c>
      <c r="BO19">
        <v>10</v>
      </c>
      <c r="BR19">
        <v>10</v>
      </c>
    </row>
    <row r="20" spans="1:82" x14ac:dyDescent="0.25">
      <c r="A20" t="s">
        <v>114</v>
      </c>
      <c r="C20" t="s">
        <v>877</v>
      </c>
      <c r="X20">
        <v>0</v>
      </c>
      <c r="AA20">
        <v>2</v>
      </c>
      <c r="AD20">
        <v>0</v>
      </c>
      <c r="AR20">
        <v>0</v>
      </c>
      <c r="AU20">
        <v>0</v>
      </c>
      <c r="AX20">
        <v>0</v>
      </c>
      <c r="BL20">
        <v>0</v>
      </c>
      <c r="BN20">
        <v>15</v>
      </c>
      <c r="BQ20">
        <v>14</v>
      </c>
    </row>
    <row r="22" spans="1:82" x14ac:dyDescent="0.25">
      <c r="A22" t="s">
        <v>115</v>
      </c>
      <c r="C22" t="s">
        <v>847</v>
      </c>
      <c r="X22">
        <v>2</v>
      </c>
      <c r="AA22">
        <v>0</v>
      </c>
      <c r="AD22">
        <v>0</v>
      </c>
      <c r="AR22">
        <v>0</v>
      </c>
      <c r="AU22">
        <v>4</v>
      </c>
      <c r="AX22">
        <v>10</v>
      </c>
      <c r="BK22">
        <v>27</v>
      </c>
      <c r="BO22">
        <v>0</v>
      </c>
      <c r="BR22">
        <v>0</v>
      </c>
    </row>
    <row r="23" spans="1:82" x14ac:dyDescent="0.25">
      <c r="A23" t="s">
        <v>116</v>
      </c>
      <c r="C23" t="s">
        <v>877</v>
      </c>
      <c r="X23">
        <v>9</v>
      </c>
      <c r="AA23">
        <v>3</v>
      </c>
      <c r="AD23">
        <v>8</v>
      </c>
      <c r="AR23">
        <v>8</v>
      </c>
      <c r="AU23">
        <v>10</v>
      </c>
      <c r="AX23">
        <v>10</v>
      </c>
      <c r="BL23">
        <v>10</v>
      </c>
      <c r="BO23">
        <v>3</v>
      </c>
      <c r="BR23">
        <v>3</v>
      </c>
    </row>
    <row r="25" spans="1:82" x14ac:dyDescent="0.25">
      <c r="A25" t="s">
        <v>117</v>
      </c>
      <c r="P25" t="s">
        <v>634</v>
      </c>
      <c r="R25" t="s">
        <v>634</v>
      </c>
      <c r="T25" t="s">
        <v>632</v>
      </c>
      <c r="X25" t="s">
        <v>632</v>
      </c>
      <c r="Z25" t="s">
        <v>634</v>
      </c>
      <c r="AB25" t="s">
        <v>632</v>
      </c>
      <c r="AF25" t="s">
        <v>454</v>
      </c>
      <c r="AH25" t="s">
        <v>632</v>
      </c>
      <c r="AJ25" t="s">
        <v>632</v>
      </c>
    </row>
    <row r="26" spans="1:82" x14ac:dyDescent="0.25">
      <c r="A26" t="s">
        <v>118</v>
      </c>
      <c r="P26" t="s">
        <v>737</v>
      </c>
      <c r="AJ26" t="s">
        <v>736</v>
      </c>
      <c r="BD26" t="s">
        <v>737</v>
      </c>
    </row>
    <row r="27" spans="1:82" x14ac:dyDescent="0.25">
      <c r="A27" t="s">
        <v>119</v>
      </c>
      <c r="P27">
        <v>0</v>
      </c>
      <c r="AL27">
        <v>0</v>
      </c>
      <c r="BH27">
        <v>0</v>
      </c>
      <c r="CD27">
        <v>0</v>
      </c>
    </row>
    <row r="28" spans="1:82" x14ac:dyDescent="0.25">
      <c r="A28" t="s">
        <v>120</v>
      </c>
      <c r="B28" t="s">
        <v>121</v>
      </c>
      <c r="F28">
        <v>200</v>
      </c>
      <c r="CB28">
        <v>0</v>
      </c>
    </row>
    <row r="29" spans="1:82" x14ac:dyDescent="0.25">
      <c r="A29" t="s">
        <v>122</v>
      </c>
      <c r="G29">
        <v>665</v>
      </c>
      <c r="J29">
        <v>719</v>
      </c>
      <c r="AD29">
        <v>430</v>
      </c>
      <c r="AW29">
        <v>1177</v>
      </c>
      <c r="BS29">
        <v>0</v>
      </c>
    </row>
    <row r="30" spans="1:82" x14ac:dyDescent="0.25">
      <c r="A30" t="s">
        <v>123</v>
      </c>
      <c r="M30">
        <v>110</v>
      </c>
      <c r="AG30">
        <v>110</v>
      </c>
      <c r="BA30">
        <v>187</v>
      </c>
      <c r="BU30">
        <v>115</v>
      </c>
    </row>
    <row r="31" spans="1:82" x14ac:dyDescent="0.25">
      <c r="A31" t="s">
        <v>124</v>
      </c>
      <c r="M31">
        <v>-80</v>
      </c>
      <c r="AG31">
        <v>-80</v>
      </c>
      <c r="BA31">
        <v>-80</v>
      </c>
      <c r="BU31">
        <v>-60</v>
      </c>
    </row>
    <row r="32" spans="1:82" x14ac:dyDescent="0.25">
      <c r="A32" t="s">
        <v>125</v>
      </c>
      <c r="L32">
        <v>-200</v>
      </c>
      <c r="AE32">
        <v>-200</v>
      </c>
      <c r="AX32">
        <v>-200</v>
      </c>
      <c r="BQ32">
        <v>-200</v>
      </c>
    </row>
    <row r="35" spans="1:82" x14ac:dyDescent="0.25">
      <c r="A35" t="s">
        <v>528</v>
      </c>
      <c r="B35" t="s">
        <v>79</v>
      </c>
      <c r="H35" t="s">
        <v>198</v>
      </c>
      <c r="I35" t="s">
        <v>150</v>
      </c>
      <c r="M35" t="s">
        <v>199</v>
      </c>
      <c r="N35" t="s">
        <v>150</v>
      </c>
      <c r="R35" t="s">
        <v>200</v>
      </c>
      <c r="S35" t="s">
        <v>150</v>
      </c>
    </row>
    <row r="36" spans="1:82" x14ac:dyDescent="0.25">
      <c r="A36" t="s">
        <v>113</v>
      </c>
      <c r="C36" t="s">
        <v>847</v>
      </c>
      <c r="X36">
        <v>10</v>
      </c>
      <c r="AA36">
        <v>10</v>
      </c>
      <c r="AD36">
        <v>8</v>
      </c>
      <c r="AR36">
        <v>3</v>
      </c>
      <c r="AU36">
        <v>4</v>
      </c>
      <c r="AX36">
        <v>3</v>
      </c>
      <c r="BL36">
        <v>3</v>
      </c>
      <c r="BO36">
        <v>9</v>
      </c>
      <c r="BR36">
        <v>3</v>
      </c>
    </row>
    <row r="37" spans="1:82" x14ac:dyDescent="0.25">
      <c r="A37" t="s">
        <v>114</v>
      </c>
      <c r="C37" t="s">
        <v>877</v>
      </c>
      <c r="X37">
        <v>9</v>
      </c>
      <c r="Z37">
        <v>20</v>
      </c>
      <c r="AD37">
        <v>0</v>
      </c>
      <c r="AR37">
        <v>0</v>
      </c>
      <c r="AU37">
        <v>0</v>
      </c>
      <c r="AX37">
        <v>0</v>
      </c>
      <c r="BL37">
        <v>0</v>
      </c>
      <c r="BO37">
        <v>0</v>
      </c>
      <c r="BR37">
        <v>0</v>
      </c>
    </row>
    <row r="39" spans="1:82" x14ac:dyDescent="0.25">
      <c r="A39" t="s">
        <v>115</v>
      </c>
      <c r="C39" t="s">
        <v>847</v>
      </c>
      <c r="X39">
        <v>0</v>
      </c>
      <c r="AA39">
        <v>0</v>
      </c>
      <c r="AC39">
        <v>14</v>
      </c>
      <c r="AR39">
        <v>9</v>
      </c>
      <c r="AU39">
        <v>0</v>
      </c>
      <c r="AX39">
        <v>0</v>
      </c>
      <c r="BL39">
        <v>0</v>
      </c>
      <c r="BO39">
        <v>0</v>
      </c>
      <c r="BR39">
        <v>0</v>
      </c>
    </row>
    <row r="40" spans="1:82" x14ac:dyDescent="0.25">
      <c r="A40" t="s">
        <v>116</v>
      </c>
      <c r="C40" t="s">
        <v>877</v>
      </c>
      <c r="X40">
        <v>3</v>
      </c>
      <c r="AA40">
        <v>3</v>
      </c>
      <c r="AD40">
        <v>10</v>
      </c>
      <c r="AR40">
        <v>10</v>
      </c>
      <c r="AU40">
        <v>3</v>
      </c>
      <c r="AX40">
        <v>8</v>
      </c>
      <c r="BL40">
        <v>10</v>
      </c>
      <c r="BO40">
        <v>3</v>
      </c>
      <c r="BR40">
        <v>7</v>
      </c>
    </row>
    <row r="42" spans="1:82" x14ac:dyDescent="0.25">
      <c r="A42" t="s">
        <v>117</v>
      </c>
      <c r="P42" t="s">
        <v>634</v>
      </c>
      <c r="R42" t="s">
        <v>633</v>
      </c>
      <c r="T42" t="s">
        <v>730</v>
      </c>
      <c r="X42" t="s">
        <v>454</v>
      </c>
      <c r="Z42" t="s">
        <v>454</v>
      </c>
      <c r="AB42" t="s">
        <v>632</v>
      </c>
      <c r="AF42" t="s">
        <v>632</v>
      </c>
      <c r="AH42" t="s">
        <v>632</v>
      </c>
      <c r="AJ42" t="s">
        <v>632</v>
      </c>
    </row>
    <row r="43" spans="1:82" x14ac:dyDescent="0.25">
      <c r="A43" t="s">
        <v>118</v>
      </c>
      <c r="P43" t="s">
        <v>737</v>
      </c>
      <c r="AJ43" t="s">
        <v>736</v>
      </c>
      <c r="BD43" t="s">
        <v>731</v>
      </c>
    </row>
    <row r="44" spans="1:82" x14ac:dyDescent="0.25">
      <c r="A44" t="s">
        <v>119</v>
      </c>
      <c r="P44">
        <v>0</v>
      </c>
      <c r="AL44">
        <v>0</v>
      </c>
      <c r="BH44">
        <v>0</v>
      </c>
      <c r="CD44">
        <v>0</v>
      </c>
    </row>
    <row r="45" spans="1:82" x14ac:dyDescent="0.25">
      <c r="A45" t="s">
        <v>120</v>
      </c>
      <c r="B45" t="s">
        <v>121</v>
      </c>
      <c r="H45">
        <v>0</v>
      </c>
      <c r="CB45">
        <v>200</v>
      </c>
    </row>
    <row r="46" spans="1:82" x14ac:dyDescent="0.25">
      <c r="A46" t="s">
        <v>122</v>
      </c>
      <c r="I46">
        <v>0</v>
      </c>
      <c r="K46">
        <v>1065</v>
      </c>
      <c r="AE46">
        <v>665</v>
      </c>
      <c r="AY46">
        <v>719</v>
      </c>
      <c r="BS46">
        <v>430</v>
      </c>
    </row>
    <row r="47" spans="1:82" x14ac:dyDescent="0.25">
      <c r="A47" t="s">
        <v>123</v>
      </c>
      <c r="M47">
        <v>120</v>
      </c>
      <c r="AG47">
        <v>110</v>
      </c>
      <c r="BA47">
        <v>110</v>
      </c>
      <c r="BU47">
        <v>110</v>
      </c>
    </row>
    <row r="48" spans="1:82" x14ac:dyDescent="0.25">
      <c r="A48" t="s">
        <v>124</v>
      </c>
      <c r="M48">
        <v>-60</v>
      </c>
      <c r="AG48">
        <v>-80</v>
      </c>
      <c r="BA48">
        <v>-80</v>
      </c>
      <c r="BU48">
        <v>-80</v>
      </c>
    </row>
    <row r="49" spans="1:82" x14ac:dyDescent="0.25">
      <c r="A49" t="s">
        <v>125</v>
      </c>
      <c r="L49">
        <v>-200</v>
      </c>
      <c r="AE49">
        <v>-200</v>
      </c>
      <c r="AX49">
        <v>-200</v>
      </c>
      <c r="BQ49">
        <v>-200</v>
      </c>
    </row>
    <row r="52" spans="1:82" x14ac:dyDescent="0.25">
      <c r="A52" t="s">
        <v>528</v>
      </c>
      <c r="B52" t="s">
        <v>79</v>
      </c>
      <c r="H52" t="s">
        <v>201</v>
      </c>
      <c r="I52" t="s">
        <v>150</v>
      </c>
      <c r="L52" t="s">
        <v>214</v>
      </c>
      <c r="M52" t="s">
        <v>150</v>
      </c>
      <c r="P52" t="s">
        <v>215</v>
      </c>
      <c r="Q52" t="s">
        <v>150</v>
      </c>
    </row>
    <row r="53" spans="1:82" x14ac:dyDescent="0.25">
      <c r="A53" t="s">
        <v>113</v>
      </c>
      <c r="C53" t="s">
        <v>877</v>
      </c>
      <c r="X53">
        <v>3</v>
      </c>
      <c r="AA53">
        <v>3</v>
      </c>
      <c r="AD53">
        <v>3</v>
      </c>
      <c r="AR53">
        <v>3</v>
      </c>
      <c r="AU53">
        <v>3</v>
      </c>
      <c r="AX53">
        <v>3</v>
      </c>
      <c r="BL53">
        <v>9</v>
      </c>
      <c r="BO53">
        <v>10</v>
      </c>
      <c r="BR53">
        <v>10</v>
      </c>
    </row>
    <row r="54" spans="1:82" x14ac:dyDescent="0.25">
      <c r="A54" t="s">
        <v>114</v>
      </c>
      <c r="C54" t="s">
        <v>847</v>
      </c>
      <c r="X54">
        <v>0</v>
      </c>
      <c r="AA54">
        <v>0</v>
      </c>
      <c r="AD54">
        <v>0</v>
      </c>
      <c r="AR54">
        <v>0</v>
      </c>
      <c r="AU54">
        <v>0</v>
      </c>
      <c r="AX54">
        <v>0</v>
      </c>
      <c r="BL54">
        <v>0</v>
      </c>
      <c r="BN54">
        <v>16</v>
      </c>
      <c r="BQ54">
        <v>16</v>
      </c>
    </row>
    <row r="56" spans="1:82" x14ac:dyDescent="0.25">
      <c r="A56" t="s">
        <v>115</v>
      </c>
      <c r="C56" t="s">
        <v>847</v>
      </c>
      <c r="X56">
        <v>0</v>
      </c>
      <c r="AA56">
        <v>0</v>
      </c>
      <c r="AD56">
        <v>0</v>
      </c>
      <c r="AR56">
        <v>0</v>
      </c>
      <c r="AU56">
        <v>2</v>
      </c>
      <c r="AX56">
        <v>10</v>
      </c>
      <c r="BK56">
        <v>12</v>
      </c>
      <c r="BO56">
        <v>0</v>
      </c>
      <c r="BR56">
        <v>0</v>
      </c>
    </row>
    <row r="57" spans="1:82" x14ac:dyDescent="0.25">
      <c r="A57" t="s">
        <v>116</v>
      </c>
      <c r="C57" t="s">
        <v>877</v>
      </c>
      <c r="X57">
        <v>7</v>
      </c>
      <c r="AA57">
        <v>6</v>
      </c>
      <c r="AD57">
        <v>6</v>
      </c>
      <c r="AR57">
        <v>4</v>
      </c>
      <c r="AU57">
        <v>10</v>
      </c>
      <c r="AX57">
        <v>10</v>
      </c>
      <c r="BL57">
        <v>10</v>
      </c>
      <c r="BO57">
        <v>3</v>
      </c>
      <c r="BR57">
        <v>3</v>
      </c>
    </row>
    <row r="59" spans="1:82" x14ac:dyDescent="0.25">
      <c r="A59" t="s">
        <v>117</v>
      </c>
      <c r="P59" t="s">
        <v>632</v>
      </c>
      <c r="R59" t="s">
        <v>632</v>
      </c>
      <c r="T59" t="s">
        <v>632</v>
      </c>
      <c r="X59" t="s">
        <v>632</v>
      </c>
      <c r="Z59" t="s">
        <v>632</v>
      </c>
      <c r="AB59" t="s">
        <v>632</v>
      </c>
      <c r="AF59" t="s">
        <v>632</v>
      </c>
      <c r="AH59" t="s">
        <v>632</v>
      </c>
      <c r="AJ59" t="s">
        <v>632</v>
      </c>
    </row>
    <row r="60" spans="1:82" x14ac:dyDescent="0.25">
      <c r="A60" t="s">
        <v>118</v>
      </c>
      <c r="P60" t="s">
        <v>731</v>
      </c>
      <c r="AJ60" t="s">
        <v>737</v>
      </c>
      <c r="BD60" t="s">
        <v>727</v>
      </c>
    </row>
    <row r="61" spans="1:82" x14ac:dyDescent="0.25">
      <c r="A61" t="s">
        <v>119</v>
      </c>
      <c r="P61">
        <v>0</v>
      </c>
      <c r="AL61">
        <v>0</v>
      </c>
      <c r="BH61">
        <v>0</v>
      </c>
      <c r="CD61">
        <v>0</v>
      </c>
    </row>
    <row r="62" spans="1:82" x14ac:dyDescent="0.25">
      <c r="A62" t="s">
        <v>120</v>
      </c>
      <c r="B62" t="s">
        <v>121</v>
      </c>
      <c r="F62">
        <v>200</v>
      </c>
      <c r="CB62">
        <v>0</v>
      </c>
    </row>
    <row r="63" spans="1:82" x14ac:dyDescent="0.25">
      <c r="A63" t="s">
        <v>122</v>
      </c>
      <c r="G63">
        <v>719</v>
      </c>
      <c r="J63">
        <v>430</v>
      </c>
      <c r="AD63">
        <v>490</v>
      </c>
      <c r="AW63">
        <v>1034</v>
      </c>
      <c r="BS63">
        <v>0</v>
      </c>
    </row>
    <row r="64" spans="1:82" x14ac:dyDescent="0.25">
      <c r="A64" t="s">
        <v>123</v>
      </c>
      <c r="M64">
        <v>110</v>
      </c>
      <c r="AH64">
        <v>86</v>
      </c>
      <c r="BB64">
        <v>120</v>
      </c>
      <c r="BV64">
        <v>110</v>
      </c>
    </row>
    <row r="65" spans="1:73" x14ac:dyDescent="0.25">
      <c r="A65" t="s">
        <v>124</v>
      </c>
      <c r="M65">
        <v>-80</v>
      </c>
      <c r="AG65">
        <v>-80</v>
      </c>
      <c r="BA65">
        <v>-80</v>
      </c>
      <c r="BU65">
        <v>-60</v>
      </c>
    </row>
    <row r="66" spans="1:73" x14ac:dyDescent="0.25">
      <c r="A66" t="s">
        <v>125</v>
      </c>
      <c r="L66">
        <v>-200</v>
      </c>
      <c r="AE66">
        <v>-200</v>
      </c>
      <c r="AX66">
        <v>-200</v>
      </c>
      <c r="BQ66">
        <v>-200</v>
      </c>
    </row>
    <row r="69" spans="1:73" x14ac:dyDescent="0.25">
      <c r="A69" t="s">
        <v>529</v>
      </c>
      <c r="B69" t="s">
        <v>79</v>
      </c>
      <c r="H69" t="s">
        <v>190</v>
      </c>
      <c r="I69" t="s">
        <v>150</v>
      </c>
      <c r="M69" t="s">
        <v>191</v>
      </c>
      <c r="N69" t="s">
        <v>150</v>
      </c>
    </row>
    <row r="70" spans="1:73" x14ac:dyDescent="0.25">
      <c r="A70" t="s">
        <v>113</v>
      </c>
      <c r="C70" t="s">
        <v>877</v>
      </c>
      <c r="X70">
        <v>10</v>
      </c>
      <c r="AA70">
        <v>10</v>
      </c>
      <c r="AD70">
        <v>9</v>
      </c>
      <c r="AR70">
        <v>3</v>
      </c>
      <c r="AU70">
        <v>4</v>
      </c>
      <c r="AX70">
        <v>3</v>
      </c>
    </row>
    <row r="71" spans="1:73" x14ac:dyDescent="0.25">
      <c r="A71" t="s">
        <v>114</v>
      </c>
      <c r="C71" t="s">
        <v>877</v>
      </c>
      <c r="X71">
        <v>10</v>
      </c>
      <c r="Z71">
        <v>19</v>
      </c>
      <c r="AD71">
        <v>0</v>
      </c>
      <c r="AR71">
        <v>0</v>
      </c>
      <c r="AU71">
        <v>0</v>
      </c>
      <c r="AX71">
        <v>0</v>
      </c>
    </row>
    <row r="73" spans="1:73" x14ac:dyDescent="0.25">
      <c r="A73" t="s">
        <v>115</v>
      </c>
      <c r="C73" t="s">
        <v>877</v>
      </c>
      <c r="X73">
        <v>0</v>
      </c>
      <c r="AA73">
        <v>0</v>
      </c>
      <c r="AC73">
        <v>13</v>
      </c>
      <c r="AR73">
        <v>10</v>
      </c>
      <c r="AU73">
        <v>0</v>
      </c>
      <c r="AX73">
        <v>3</v>
      </c>
    </row>
    <row r="74" spans="1:73" x14ac:dyDescent="0.25">
      <c r="A74" t="s">
        <v>116</v>
      </c>
      <c r="C74" t="s">
        <v>847</v>
      </c>
      <c r="X74">
        <v>3</v>
      </c>
      <c r="AA74">
        <v>3</v>
      </c>
      <c r="AD74">
        <v>10</v>
      </c>
      <c r="AR74">
        <v>10</v>
      </c>
      <c r="AU74">
        <v>3</v>
      </c>
      <c r="AX74">
        <v>10</v>
      </c>
    </row>
    <row r="76" spans="1:73" x14ac:dyDescent="0.25">
      <c r="A76" t="s">
        <v>117</v>
      </c>
      <c r="P76" t="s">
        <v>634</v>
      </c>
      <c r="R76" t="s">
        <v>633</v>
      </c>
      <c r="T76" t="s">
        <v>453</v>
      </c>
      <c r="X76" t="s">
        <v>454</v>
      </c>
      <c r="Z76" t="s">
        <v>633</v>
      </c>
      <c r="AB76" t="s">
        <v>632</v>
      </c>
    </row>
    <row r="77" spans="1:73" x14ac:dyDescent="0.25">
      <c r="A77" t="s">
        <v>118</v>
      </c>
      <c r="P77" t="s">
        <v>736</v>
      </c>
      <c r="AJ77" t="s">
        <v>736</v>
      </c>
    </row>
    <row r="78" spans="1:73" x14ac:dyDescent="0.25">
      <c r="A78" t="s">
        <v>119</v>
      </c>
      <c r="P78">
        <v>0</v>
      </c>
      <c r="AL78">
        <v>0</v>
      </c>
      <c r="BH78">
        <v>0</v>
      </c>
    </row>
    <row r="79" spans="1:73" x14ac:dyDescent="0.25">
      <c r="A79" t="s">
        <v>120</v>
      </c>
      <c r="B79" t="s">
        <v>121</v>
      </c>
      <c r="H79">
        <v>0</v>
      </c>
      <c r="BE79">
        <v>200</v>
      </c>
    </row>
    <row r="80" spans="1:73" x14ac:dyDescent="0.25">
      <c r="A80" t="s">
        <v>122</v>
      </c>
      <c r="I80">
        <v>0</v>
      </c>
      <c r="K80">
        <v>1065</v>
      </c>
      <c r="AE80">
        <v>665</v>
      </c>
      <c r="AY80">
        <v>719</v>
      </c>
    </row>
    <row r="81" spans="1:60" x14ac:dyDescent="0.25">
      <c r="A81" t="s">
        <v>123</v>
      </c>
      <c r="M81">
        <v>115</v>
      </c>
      <c r="AG81">
        <v>110</v>
      </c>
      <c r="BA81">
        <v>110</v>
      </c>
    </row>
    <row r="82" spans="1:60" x14ac:dyDescent="0.25">
      <c r="A82" t="s">
        <v>124</v>
      </c>
      <c r="M82">
        <v>-60</v>
      </c>
      <c r="AG82">
        <v>-80</v>
      </c>
      <c r="BA82">
        <v>-80</v>
      </c>
    </row>
    <row r="83" spans="1:60" x14ac:dyDescent="0.25">
      <c r="A83" t="s">
        <v>125</v>
      </c>
      <c r="L83">
        <v>-200</v>
      </c>
      <c r="AE83">
        <v>-200</v>
      </c>
      <c r="AX83">
        <v>-200</v>
      </c>
    </row>
    <row r="86" spans="1:60" x14ac:dyDescent="0.25">
      <c r="A86" t="s">
        <v>529</v>
      </c>
      <c r="B86" t="s">
        <v>79</v>
      </c>
      <c r="H86" t="s">
        <v>192</v>
      </c>
      <c r="I86" t="s">
        <v>150</v>
      </c>
      <c r="M86" t="s">
        <v>193</v>
      </c>
      <c r="N86" t="s">
        <v>150</v>
      </c>
    </row>
    <row r="87" spans="1:60" x14ac:dyDescent="0.25">
      <c r="A87" t="s">
        <v>113</v>
      </c>
      <c r="C87" t="s">
        <v>877</v>
      </c>
      <c r="X87">
        <v>4</v>
      </c>
      <c r="AA87">
        <v>7</v>
      </c>
      <c r="AD87">
        <v>5</v>
      </c>
      <c r="AR87">
        <v>4</v>
      </c>
      <c r="AU87">
        <v>5</v>
      </c>
      <c r="AX87">
        <v>4</v>
      </c>
    </row>
    <row r="88" spans="1:60" x14ac:dyDescent="0.25">
      <c r="A88" t="s">
        <v>114</v>
      </c>
      <c r="C88" t="s">
        <v>877</v>
      </c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</row>
    <row r="90" spans="1:60" x14ac:dyDescent="0.25">
      <c r="A90" t="s">
        <v>115</v>
      </c>
      <c r="C90" t="s">
        <v>847</v>
      </c>
      <c r="X90">
        <v>6</v>
      </c>
      <c r="AA90">
        <v>0</v>
      </c>
      <c r="AD90">
        <v>0</v>
      </c>
      <c r="AR90">
        <v>0</v>
      </c>
      <c r="AU90">
        <v>0</v>
      </c>
      <c r="AW90">
        <v>11</v>
      </c>
    </row>
    <row r="91" spans="1:60" x14ac:dyDescent="0.25">
      <c r="A91" t="s">
        <v>116</v>
      </c>
      <c r="C91" t="s">
        <v>877</v>
      </c>
      <c r="X91">
        <v>10</v>
      </c>
      <c r="AA91">
        <v>3</v>
      </c>
      <c r="AD91">
        <v>3</v>
      </c>
      <c r="AR91">
        <v>3</v>
      </c>
      <c r="AU91">
        <v>6</v>
      </c>
      <c r="AX91">
        <v>10</v>
      </c>
    </row>
    <row r="93" spans="1:60" x14ac:dyDescent="0.25">
      <c r="A93" t="s">
        <v>117</v>
      </c>
      <c r="P93" t="s">
        <v>634</v>
      </c>
      <c r="R93" t="s">
        <v>634</v>
      </c>
      <c r="T93" t="s">
        <v>632</v>
      </c>
      <c r="X93" t="s">
        <v>632</v>
      </c>
      <c r="Z93" t="s">
        <v>632</v>
      </c>
      <c r="AB93" t="s">
        <v>632</v>
      </c>
    </row>
    <row r="94" spans="1:60" x14ac:dyDescent="0.25">
      <c r="A94" t="s">
        <v>118</v>
      </c>
      <c r="P94" t="s">
        <v>736</v>
      </c>
      <c r="AJ94" t="s">
        <v>728</v>
      </c>
    </row>
    <row r="95" spans="1:60" x14ac:dyDescent="0.25">
      <c r="A95" t="s">
        <v>119</v>
      </c>
      <c r="P95">
        <v>0</v>
      </c>
      <c r="AL95">
        <v>0</v>
      </c>
      <c r="BH95">
        <v>0</v>
      </c>
    </row>
    <row r="96" spans="1:60" x14ac:dyDescent="0.25">
      <c r="A96" t="s">
        <v>120</v>
      </c>
      <c r="B96" t="s">
        <v>121</v>
      </c>
      <c r="F96">
        <v>200</v>
      </c>
      <c r="BC96">
        <v>200</v>
      </c>
    </row>
    <row r="97" spans="1:60" x14ac:dyDescent="0.25">
      <c r="A97" t="s">
        <v>122</v>
      </c>
      <c r="G97">
        <v>665</v>
      </c>
      <c r="J97">
        <v>719</v>
      </c>
      <c r="AD97">
        <v>633</v>
      </c>
      <c r="AX97">
        <v>660</v>
      </c>
    </row>
    <row r="98" spans="1:60" x14ac:dyDescent="0.25">
      <c r="A98" t="s">
        <v>123</v>
      </c>
      <c r="M98">
        <v>110</v>
      </c>
      <c r="AG98">
        <v>115</v>
      </c>
      <c r="BA98">
        <v>120</v>
      </c>
    </row>
    <row r="99" spans="1:60" x14ac:dyDescent="0.25">
      <c r="A99" t="s">
        <v>124</v>
      </c>
      <c r="M99">
        <v>-80</v>
      </c>
      <c r="AG99">
        <v>-80</v>
      </c>
      <c r="BA99">
        <v>-80</v>
      </c>
    </row>
    <row r="100" spans="1:60" x14ac:dyDescent="0.25">
      <c r="A100" t="s">
        <v>125</v>
      </c>
      <c r="L100">
        <v>-200</v>
      </c>
      <c r="AE100">
        <v>-200</v>
      </c>
      <c r="AX100">
        <v>-200</v>
      </c>
    </row>
    <row r="103" spans="1:60" x14ac:dyDescent="0.25">
      <c r="A103" t="s">
        <v>226</v>
      </c>
      <c r="B103" t="s">
        <v>79</v>
      </c>
      <c r="I103" t="s">
        <v>230</v>
      </c>
      <c r="J103" t="s">
        <v>150</v>
      </c>
      <c r="M103" t="s">
        <v>231</v>
      </c>
      <c r="N103" t="s">
        <v>150</v>
      </c>
    </row>
    <row r="104" spans="1:60" x14ac:dyDescent="0.25">
      <c r="A104" t="s">
        <v>113</v>
      </c>
      <c r="C104" t="s">
        <v>847</v>
      </c>
      <c r="X104">
        <v>5</v>
      </c>
      <c r="AA104">
        <v>5</v>
      </c>
      <c r="AD104">
        <v>3</v>
      </c>
      <c r="AR104">
        <v>4</v>
      </c>
      <c r="AU104">
        <v>10</v>
      </c>
      <c r="AX104">
        <v>10</v>
      </c>
    </row>
    <row r="105" spans="1:60" x14ac:dyDescent="0.25">
      <c r="A105" t="s">
        <v>114</v>
      </c>
      <c r="C105" t="s">
        <v>877</v>
      </c>
      <c r="X105">
        <v>0</v>
      </c>
      <c r="AA105">
        <v>0</v>
      </c>
      <c r="AD105">
        <v>0</v>
      </c>
      <c r="AR105">
        <v>0</v>
      </c>
      <c r="AT105">
        <v>17</v>
      </c>
      <c r="AW105">
        <v>15</v>
      </c>
    </row>
    <row r="107" spans="1:60" x14ac:dyDescent="0.25">
      <c r="A107" t="s">
        <v>115</v>
      </c>
      <c r="C107" t="s">
        <v>847</v>
      </c>
      <c r="X107">
        <v>2</v>
      </c>
      <c r="AA107">
        <v>2</v>
      </c>
      <c r="AC107">
        <v>12</v>
      </c>
      <c r="AQ107">
        <v>15</v>
      </c>
      <c r="AU107">
        <v>0</v>
      </c>
      <c r="AX107">
        <v>0</v>
      </c>
    </row>
    <row r="108" spans="1:60" x14ac:dyDescent="0.25">
      <c r="A108" t="s">
        <v>116</v>
      </c>
      <c r="C108" t="s">
        <v>877</v>
      </c>
      <c r="X108">
        <v>9</v>
      </c>
      <c r="AA108">
        <v>9</v>
      </c>
      <c r="AD108">
        <v>10</v>
      </c>
      <c r="AR108">
        <v>10</v>
      </c>
      <c r="AU108">
        <v>3</v>
      </c>
      <c r="AX108">
        <v>3</v>
      </c>
    </row>
    <row r="110" spans="1:60" x14ac:dyDescent="0.25">
      <c r="A110" t="s">
        <v>117</v>
      </c>
      <c r="P110" t="s">
        <v>632</v>
      </c>
      <c r="R110" t="s">
        <v>632</v>
      </c>
      <c r="T110" t="s">
        <v>632</v>
      </c>
      <c r="X110" t="s">
        <v>632</v>
      </c>
      <c r="Z110" t="s">
        <v>632</v>
      </c>
      <c r="AB110" t="s">
        <v>632</v>
      </c>
    </row>
    <row r="111" spans="1:60" x14ac:dyDescent="0.25">
      <c r="A111" t="s">
        <v>118</v>
      </c>
      <c r="P111" t="s">
        <v>738</v>
      </c>
      <c r="AJ111" t="s">
        <v>738</v>
      </c>
    </row>
    <row r="112" spans="1:60" x14ac:dyDescent="0.25">
      <c r="A112" t="s">
        <v>119</v>
      </c>
      <c r="P112">
        <v>0</v>
      </c>
      <c r="AL112">
        <v>0</v>
      </c>
      <c r="BH112">
        <v>0</v>
      </c>
    </row>
    <row r="113" spans="1:57" x14ac:dyDescent="0.25">
      <c r="A113" t="s">
        <v>120</v>
      </c>
      <c r="B113" t="s">
        <v>121</v>
      </c>
      <c r="F113">
        <v>200</v>
      </c>
      <c r="BE113">
        <v>0</v>
      </c>
    </row>
    <row r="114" spans="1:57" x14ac:dyDescent="0.25">
      <c r="A114" t="s">
        <v>122</v>
      </c>
      <c r="G114">
        <v>633</v>
      </c>
      <c r="J114">
        <v>660</v>
      </c>
      <c r="AC114">
        <v>1034</v>
      </c>
      <c r="AY114">
        <v>0</v>
      </c>
    </row>
    <row r="115" spans="1:57" x14ac:dyDescent="0.25">
      <c r="A115" t="s">
        <v>123</v>
      </c>
      <c r="M115">
        <v>120</v>
      </c>
      <c r="AG115">
        <v>120</v>
      </c>
      <c r="BA115">
        <v>110</v>
      </c>
    </row>
    <row r="116" spans="1:57" x14ac:dyDescent="0.25">
      <c r="A116" t="s">
        <v>124</v>
      </c>
      <c r="M116">
        <v>-80</v>
      </c>
      <c r="AG116">
        <v>-80</v>
      </c>
      <c r="BA116">
        <v>-60</v>
      </c>
    </row>
    <row r="117" spans="1:57" x14ac:dyDescent="0.25">
      <c r="A117" t="s">
        <v>125</v>
      </c>
      <c r="L117">
        <v>-200</v>
      </c>
      <c r="AE117">
        <v>-200</v>
      </c>
      <c r="AX117">
        <v>-200</v>
      </c>
    </row>
    <row r="120" spans="1:57" x14ac:dyDescent="0.25">
      <c r="A120" t="s">
        <v>182</v>
      </c>
      <c r="B120" t="s">
        <v>79</v>
      </c>
      <c r="H120" t="s">
        <v>183</v>
      </c>
      <c r="I120" t="s">
        <v>150</v>
      </c>
      <c r="M120" t="s">
        <v>184</v>
      </c>
      <c r="N120" t="s">
        <v>150</v>
      </c>
    </row>
    <row r="121" spans="1:57" x14ac:dyDescent="0.25">
      <c r="A121" t="s">
        <v>113</v>
      </c>
      <c r="C121" t="s">
        <v>877</v>
      </c>
      <c r="X121">
        <v>10</v>
      </c>
      <c r="AA121">
        <v>10</v>
      </c>
      <c r="AD121">
        <v>9</v>
      </c>
      <c r="AR121">
        <v>3</v>
      </c>
      <c r="AU121">
        <v>5</v>
      </c>
      <c r="AX121">
        <v>6</v>
      </c>
    </row>
    <row r="122" spans="1:57" x14ac:dyDescent="0.25">
      <c r="A122" t="s">
        <v>114</v>
      </c>
      <c r="C122" t="s">
        <v>847</v>
      </c>
      <c r="X122">
        <v>9</v>
      </c>
      <c r="Z122">
        <v>18</v>
      </c>
      <c r="AD122">
        <v>0</v>
      </c>
      <c r="AR122">
        <v>0</v>
      </c>
      <c r="AU122">
        <v>0</v>
      </c>
      <c r="AX122">
        <v>0</v>
      </c>
    </row>
    <row r="124" spans="1:57" x14ac:dyDescent="0.25">
      <c r="A124" t="s">
        <v>115</v>
      </c>
      <c r="C124" t="s">
        <v>847</v>
      </c>
      <c r="X124">
        <v>0</v>
      </c>
      <c r="AA124">
        <v>0</v>
      </c>
      <c r="AC124">
        <v>14</v>
      </c>
      <c r="AQ124">
        <v>12</v>
      </c>
      <c r="AU124">
        <v>0</v>
      </c>
      <c r="AX124">
        <v>9</v>
      </c>
    </row>
    <row r="125" spans="1:57" x14ac:dyDescent="0.25">
      <c r="A125" t="s">
        <v>116</v>
      </c>
      <c r="C125" t="s">
        <v>877</v>
      </c>
      <c r="X125">
        <v>3</v>
      </c>
      <c r="AA125">
        <v>3</v>
      </c>
      <c r="AD125">
        <v>10</v>
      </c>
      <c r="AR125">
        <v>10</v>
      </c>
      <c r="AU125">
        <v>6</v>
      </c>
      <c r="AX125">
        <v>10</v>
      </c>
    </row>
    <row r="127" spans="1:57" x14ac:dyDescent="0.25">
      <c r="A127" t="s">
        <v>117</v>
      </c>
      <c r="P127" t="s">
        <v>632</v>
      </c>
      <c r="R127" t="s">
        <v>633</v>
      </c>
      <c r="T127" t="s">
        <v>453</v>
      </c>
      <c r="X127" t="s">
        <v>454</v>
      </c>
      <c r="Z127" t="s">
        <v>454</v>
      </c>
      <c r="AB127" t="s">
        <v>632</v>
      </c>
    </row>
    <row r="128" spans="1:57" x14ac:dyDescent="0.25">
      <c r="A128" t="s">
        <v>118</v>
      </c>
      <c r="P128" t="s">
        <v>846</v>
      </c>
      <c r="AJ128" t="s">
        <v>727</v>
      </c>
    </row>
    <row r="129" spans="1:60" x14ac:dyDescent="0.25">
      <c r="A129" t="s">
        <v>119</v>
      </c>
      <c r="P129">
        <v>0</v>
      </c>
      <c r="AL129">
        <v>0</v>
      </c>
      <c r="BH129">
        <v>0</v>
      </c>
    </row>
    <row r="130" spans="1:60" x14ac:dyDescent="0.25">
      <c r="A130" t="s">
        <v>120</v>
      </c>
      <c r="B130" t="s">
        <v>121</v>
      </c>
      <c r="H130">
        <v>0</v>
      </c>
      <c r="BE130">
        <v>280</v>
      </c>
    </row>
    <row r="131" spans="1:60" x14ac:dyDescent="0.25">
      <c r="A131" t="s">
        <v>122</v>
      </c>
      <c r="I131">
        <v>0</v>
      </c>
      <c r="K131">
        <v>1065</v>
      </c>
      <c r="AE131">
        <v>665</v>
      </c>
      <c r="AY131">
        <v>719</v>
      </c>
    </row>
    <row r="132" spans="1:60" x14ac:dyDescent="0.25">
      <c r="A132" t="s">
        <v>123</v>
      </c>
      <c r="M132">
        <v>115</v>
      </c>
      <c r="AG132">
        <v>110</v>
      </c>
      <c r="BA132">
        <v>110</v>
      </c>
    </row>
    <row r="133" spans="1:60" x14ac:dyDescent="0.25">
      <c r="A133" t="s">
        <v>124</v>
      </c>
      <c r="M133">
        <v>-60</v>
      </c>
      <c r="AG133">
        <v>-80</v>
      </c>
      <c r="AZ133">
        <v>-120</v>
      </c>
    </row>
    <row r="134" spans="1:60" x14ac:dyDescent="0.25">
      <c r="A134" t="s">
        <v>125</v>
      </c>
      <c r="L134">
        <v>-200</v>
      </c>
      <c r="AE134">
        <v>-200</v>
      </c>
      <c r="AX134">
        <v>-280</v>
      </c>
    </row>
    <row r="137" spans="1:60" x14ac:dyDescent="0.25">
      <c r="A137" t="s">
        <v>182</v>
      </c>
      <c r="B137" t="s">
        <v>79</v>
      </c>
      <c r="H137" t="s">
        <v>698</v>
      </c>
      <c r="I137" t="s">
        <v>740</v>
      </c>
      <c r="M137" t="s">
        <v>699</v>
      </c>
      <c r="N137" t="s">
        <v>740</v>
      </c>
    </row>
    <row r="138" spans="1:60" x14ac:dyDescent="0.25">
      <c r="A138" t="s">
        <v>113</v>
      </c>
      <c r="C138" t="s">
        <v>877</v>
      </c>
      <c r="W138">
        <v>13</v>
      </c>
      <c r="Z138">
        <v>15</v>
      </c>
      <c r="AC138">
        <v>13</v>
      </c>
      <c r="AQ138">
        <v>16</v>
      </c>
      <c r="AT138">
        <v>16</v>
      </c>
      <c r="AW138">
        <v>12</v>
      </c>
    </row>
    <row r="139" spans="1:60" x14ac:dyDescent="0.25">
      <c r="A139" t="s">
        <v>114</v>
      </c>
      <c r="C139" t="s">
        <v>877</v>
      </c>
      <c r="X139">
        <v>0</v>
      </c>
      <c r="AA139">
        <v>0</v>
      </c>
      <c r="AD139">
        <v>0</v>
      </c>
      <c r="AR139">
        <v>4</v>
      </c>
      <c r="AU139">
        <v>8</v>
      </c>
      <c r="AX139">
        <v>0</v>
      </c>
    </row>
    <row r="141" spans="1:60" x14ac:dyDescent="0.25">
      <c r="A141" t="s">
        <v>115</v>
      </c>
      <c r="C141" t="s">
        <v>877</v>
      </c>
      <c r="X141">
        <v>2</v>
      </c>
      <c r="AA141">
        <v>0</v>
      </c>
      <c r="AD141">
        <v>0</v>
      </c>
      <c r="AR141">
        <v>0</v>
      </c>
      <c r="AU141">
        <v>0</v>
      </c>
      <c r="AW141">
        <v>13</v>
      </c>
    </row>
    <row r="142" spans="1:60" x14ac:dyDescent="0.25">
      <c r="A142" t="s">
        <v>116</v>
      </c>
      <c r="C142" t="s">
        <v>847</v>
      </c>
      <c r="W142">
        <v>15</v>
      </c>
      <c r="AA142">
        <v>6</v>
      </c>
      <c r="AD142">
        <v>3</v>
      </c>
      <c r="AR142">
        <v>3</v>
      </c>
      <c r="AU142">
        <v>4</v>
      </c>
      <c r="AW142">
        <v>16</v>
      </c>
    </row>
    <row r="144" spans="1:60" x14ac:dyDescent="0.25">
      <c r="A144" t="s">
        <v>117</v>
      </c>
      <c r="P144" t="s">
        <v>454</v>
      </c>
      <c r="R144" t="s">
        <v>454</v>
      </c>
      <c r="T144" t="s">
        <v>454</v>
      </c>
      <c r="X144" t="s">
        <v>454</v>
      </c>
      <c r="Z144" t="s">
        <v>454</v>
      </c>
      <c r="AB144" t="s">
        <v>454</v>
      </c>
    </row>
    <row r="145" spans="1:60" x14ac:dyDescent="0.25">
      <c r="A145" t="s">
        <v>118</v>
      </c>
      <c r="P145" t="s">
        <v>738</v>
      </c>
      <c r="AJ145" t="s">
        <v>738</v>
      </c>
    </row>
    <row r="146" spans="1:60" x14ac:dyDescent="0.25">
      <c r="A146" t="s">
        <v>119</v>
      </c>
      <c r="P146">
        <v>0</v>
      </c>
      <c r="AL146">
        <v>0</v>
      </c>
      <c r="BH146">
        <v>0</v>
      </c>
    </row>
    <row r="147" spans="1:60" x14ac:dyDescent="0.25">
      <c r="A147" t="s">
        <v>120</v>
      </c>
      <c r="B147" t="s">
        <v>121</v>
      </c>
      <c r="F147">
        <v>200</v>
      </c>
      <c r="BC147">
        <v>200</v>
      </c>
    </row>
    <row r="148" spans="1:60" x14ac:dyDescent="0.25">
      <c r="A148" t="s">
        <v>122</v>
      </c>
      <c r="G148">
        <v>665</v>
      </c>
      <c r="J148">
        <v>719</v>
      </c>
      <c r="AC148">
        <v>1007</v>
      </c>
      <c r="AW148">
        <v>654</v>
      </c>
    </row>
    <row r="149" spans="1:60" x14ac:dyDescent="0.25">
      <c r="A149" t="s">
        <v>123</v>
      </c>
      <c r="M149">
        <v>110</v>
      </c>
      <c r="AG149">
        <v>110</v>
      </c>
      <c r="BA149">
        <v>120</v>
      </c>
    </row>
    <row r="150" spans="1:60" x14ac:dyDescent="0.25">
      <c r="A150" t="s">
        <v>124</v>
      </c>
      <c r="L150">
        <v>-120</v>
      </c>
      <c r="AF150">
        <v>-80</v>
      </c>
      <c r="AY150">
        <v>-120</v>
      </c>
    </row>
    <row r="151" spans="1:60" x14ac:dyDescent="0.25">
      <c r="A151" t="s">
        <v>125</v>
      </c>
      <c r="L151">
        <v>-280</v>
      </c>
      <c r="AE151">
        <v>-200</v>
      </c>
      <c r="AX151">
        <v>-280</v>
      </c>
    </row>
    <row r="154" spans="1:60" x14ac:dyDescent="0.25">
      <c r="A154" t="s">
        <v>112</v>
      </c>
      <c r="B154" t="s">
        <v>79</v>
      </c>
      <c r="H154" t="s">
        <v>177</v>
      </c>
      <c r="I154" t="s">
        <v>150</v>
      </c>
      <c r="L154" t="s">
        <v>178</v>
      </c>
      <c r="M154" t="s">
        <v>150</v>
      </c>
    </row>
    <row r="155" spans="1:60" x14ac:dyDescent="0.25">
      <c r="A155" t="s">
        <v>113</v>
      </c>
      <c r="C155" t="s">
        <v>877</v>
      </c>
      <c r="X155">
        <v>5</v>
      </c>
      <c r="AA155">
        <v>5</v>
      </c>
      <c r="AD155">
        <v>3</v>
      </c>
      <c r="AR155">
        <v>8</v>
      </c>
      <c r="AU155">
        <v>10</v>
      </c>
      <c r="AX155">
        <v>10</v>
      </c>
    </row>
    <row r="156" spans="1:60" x14ac:dyDescent="0.25">
      <c r="A156" t="s">
        <v>114</v>
      </c>
      <c r="C156" t="s">
        <v>877</v>
      </c>
      <c r="X156">
        <v>0</v>
      </c>
      <c r="AA156">
        <v>0</v>
      </c>
      <c r="AD156">
        <v>0</v>
      </c>
      <c r="AR156">
        <v>0</v>
      </c>
      <c r="AT156">
        <v>16</v>
      </c>
      <c r="AW156">
        <v>15</v>
      </c>
    </row>
    <row r="158" spans="1:60" x14ac:dyDescent="0.25">
      <c r="A158" t="s">
        <v>115</v>
      </c>
      <c r="C158" t="s">
        <v>847</v>
      </c>
      <c r="W158">
        <v>22</v>
      </c>
      <c r="AA158">
        <v>7</v>
      </c>
      <c r="AC158">
        <v>13</v>
      </c>
      <c r="AQ158">
        <v>16</v>
      </c>
      <c r="AU158">
        <v>0</v>
      </c>
      <c r="AX158">
        <v>0</v>
      </c>
    </row>
    <row r="159" spans="1:60" x14ac:dyDescent="0.25">
      <c r="A159" t="s">
        <v>116</v>
      </c>
      <c r="C159" t="s">
        <v>877</v>
      </c>
      <c r="X159">
        <v>10</v>
      </c>
      <c r="AA159">
        <v>10</v>
      </c>
      <c r="AD159">
        <v>10</v>
      </c>
      <c r="AR159">
        <v>10</v>
      </c>
      <c r="AU159">
        <v>3</v>
      </c>
      <c r="AX159">
        <v>3</v>
      </c>
    </row>
    <row r="161" spans="1:60" x14ac:dyDescent="0.25">
      <c r="A161" t="s">
        <v>117</v>
      </c>
      <c r="P161" t="s">
        <v>632</v>
      </c>
      <c r="R161" t="s">
        <v>632</v>
      </c>
      <c r="T161" t="s">
        <v>632</v>
      </c>
      <c r="X161" t="s">
        <v>632</v>
      </c>
      <c r="Z161" t="s">
        <v>632</v>
      </c>
      <c r="AB161" t="s">
        <v>632</v>
      </c>
    </row>
    <row r="162" spans="1:60" x14ac:dyDescent="0.25">
      <c r="A162" t="s">
        <v>118</v>
      </c>
      <c r="P162" t="s">
        <v>727</v>
      </c>
      <c r="AJ162" t="s">
        <v>738</v>
      </c>
    </row>
    <row r="163" spans="1:60" x14ac:dyDescent="0.25">
      <c r="A163" t="s">
        <v>119</v>
      </c>
      <c r="P163">
        <v>0</v>
      </c>
      <c r="AL163">
        <v>0</v>
      </c>
      <c r="BH163">
        <v>0</v>
      </c>
    </row>
    <row r="164" spans="1:60" x14ac:dyDescent="0.25">
      <c r="A164" t="s">
        <v>120</v>
      </c>
      <c r="B164" t="s">
        <v>121</v>
      </c>
      <c r="F164">
        <v>280</v>
      </c>
      <c r="BE164">
        <v>0</v>
      </c>
    </row>
    <row r="165" spans="1:60" x14ac:dyDescent="0.25">
      <c r="A165" t="s">
        <v>122</v>
      </c>
      <c r="F165">
        <v>1007</v>
      </c>
      <c r="I165">
        <v>654</v>
      </c>
      <c r="AB165">
        <v>1034</v>
      </c>
      <c r="AX165">
        <v>0</v>
      </c>
    </row>
    <row r="166" spans="1:60" x14ac:dyDescent="0.25">
      <c r="A166" t="s">
        <v>123</v>
      </c>
      <c r="M166">
        <v>120</v>
      </c>
      <c r="AG166">
        <v>120</v>
      </c>
      <c r="BA166">
        <v>120</v>
      </c>
    </row>
    <row r="167" spans="1:60" x14ac:dyDescent="0.25">
      <c r="A167" t="s">
        <v>124</v>
      </c>
      <c r="L167">
        <v>-120</v>
      </c>
      <c r="AF167">
        <v>-80</v>
      </c>
      <c r="AZ167">
        <v>-60</v>
      </c>
    </row>
    <row r="168" spans="1:60" x14ac:dyDescent="0.25">
      <c r="A168" t="s">
        <v>125</v>
      </c>
      <c r="L168">
        <v>-280</v>
      </c>
      <c r="AE168">
        <v>-200</v>
      </c>
      <c r="AX168">
        <v>-200</v>
      </c>
    </row>
    <row r="171" spans="1:60" x14ac:dyDescent="0.25">
      <c r="A171" t="s">
        <v>112</v>
      </c>
      <c r="B171" t="s">
        <v>79</v>
      </c>
      <c r="H171" t="s">
        <v>175</v>
      </c>
      <c r="I171" t="s">
        <v>150</v>
      </c>
      <c r="M171" t="s">
        <v>176</v>
      </c>
      <c r="N171" t="s">
        <v>150</v>
      </c>
    </row>
    <row r="172" spans="1:60" x14ac:dyDescent="0.25">
      <c r="A172" t="s">
        <v>113</v>
      </c>
      <c r="C172" t="s">
        <v>847</v>
      </c>
      <c r="X172">
        <v>10</v>
      </c>
      <c r="AA172">
        <v>10</v>
      </c>
      <c r="AD172">
        <v>10</v>
      </c>
      <c r="AR172">
        <v>3</v>
      </c>
      <c r="AU172">
        <v>3</v>
      </c>
      <c r="AX172">
        <v>9</v>
      </c>
    </row>
    <row r="173" spans="1:60" x14ac:dyDescent="0.25">
      <c r="A173" t="s">
        <v>114</v>
      </c>
      <c r="C173" t="s">
        <v>877</v>
      </c>
      <c r="X173">
        <v>9</v>
      </c>
      <c r="Z173">
        <v>17</v>
      </c>
      <c r="AD173">
        <v>0</v>
      </c>
      <c r="AR173">
        <v>0</v>
      </c>
      <c r="AU173">
        <v>0</v>
      </c>
      <c r="AX173">
        <v>2</v>
      </c>
    </row>
    <row r="175" spans="1:60" x14ac:dyDescent="0.25">
      <c r="A175" t="s">
        <v>115</v>
      </c>
      <c r="C175" t="s">
        <v>847</v>
      </c>
      <c r="X175">
        <v>0</v>
      </c>
      <c r="AA175">
        <v>0</v>
      </c>
      <c r="AC175">
        <v>19</v>
      </c>
      <c r="AQ175">
        <v>18</v>
      </c>
      <c r="AU175">
        <v>2</v>
      </c>
      <c r="AW175">
        <v>16</v>
      </c>
    </row>
    <row r="176" spans="1:60" x14ac:dyDescent="0.25">
      <c r="A176" t="s">
        <v>116</v>
      </c>
      <c r="C176" t="s">
        <v>877</v>
      </c>
      <c r="X176">
        <v>3</v>
      </c>
      <c r="AA176">
        <v>3</v>
      </c>
      <c r="AD176">
        <v>10</v>
      </c>
      <c r="AR176">
        <v>10</v>
      </c>
      <c r="AU176">
        <v>10</v>
      </c>
      <c r="AX176">
        <v>10</v>
      </c>
    </row>
    <row r="178" spans="1:60" x14ac:dyDescent="0.25">
      <c r="A178" t="s">
        <v>117</v>
      </c>
      <c r="P178" t="s">
        <v>632</v>
      </c>
      <c r="R178" t="s">
        <v>633</v>
      </c>
      <c r="T178" t="s">
        <v>453</v>
      </c>
      <c r="X178" t="s">
        <v>454</v>
      </c>
      <c r="Z178" t="s">
        <v>454</v>
      </c>
      <c r="AB178" t="s">
        <v>454</v>
      </c>
    </row>
    <row r="179" spans="1:60" x14ac:dyDescent="0.25">
      <c r="A179" t="s">
        <v>118</v>
      </c>
      <c r="P179" t="s">
        <v>738</v>
      </c>
      <c r="AJ179" t="s">
        <v>727</v>
      </c>
    </row>
    <row r="180" spans="1:60" x14ac:dyDescent="0.25">
      <c r="A180" t="s">
        <v>119</v>
      </c>
      <c r="P180">
        <v>0</v>
      </c>
      <c r="AL180">
        <v>0</v>
      </c>
      <c r="BH180">
        <v>0</v>
      </c>
    </row>
    <row r="181" spans="1:60" x14ac:dyDescent="0.25">
      <c r="A181" t="s">
        <v>120</v>
      </c>
      <c r="B181" t="s">
        <v>121</v>
      </c>
      <c r="H181">
        <v>0</v>
      </c>
      <c r="BE181">
        <v>280</v>
      </c>
    </row>
    <row r="182" spans="1:60" x14ac:dyDescent="0.25">
      <c r="A182" t="s">
        <v>122</v>
      </c>
      <c r="I182">
        <v>0</v>
      </c>
      <c r="K182">
        <v>1065</v>
      </c>
      <c r="AE182">
        <v>665</v>
      </c>
      <c r="AY182">
        <v>920</v>
      </c>
    </row>
    <row r="183" spans="1:60" x14ac:dyDescent="0.25">
      <c r="A183" t="s">
        <v>123</v>
      </c>
      <c r="M183">
        <v>110</v>
      </c>
      <c r="AG183">
        <v>110</v>
      </c>
      <c r="BA183">
        <v>113</v>
      </c>
    </row>
    <row r="184" spans="1:60" x14ac:dyDescent="0.25">
      <c r="A184" t="s">
        <v>124</v>
      </c>
      <c r="M184">
        <v>-60</v>
      </c>
      <c r="AG184">
        <v>-80</v>
      </c>
      <c r="AZ184">
        <v>-120</v>
      </c>
    </row>
    <row r="185" spans="1:60" x14ac:dyDescent="0.25">
      <c r="A185" t="s">
        <v>125</v>
      </c>
      <c r="L185">
        <v>-200</v>
      </c>
      <c r="AE185">
        <v>-200</v>
      </c>
      <c r="AX185">
        <v>-280</v>
      </c>
    </row>
    <row r="188" spans="1:60" x14ac:dyDescent="0.25">
      <c r="A188" t="s">
        <v>112</v>
      </c>
      <c r="B188" t="s">
        <v>79</v>
      </c>
      <c r="H188" t="s">
        <v>709</v>
      </c>
      <c r="I188" t="s">
        <v>740</v>
      </c>
      <c r="M188" t="s">
        <v>712</v>
      </c>
      <c r="N188" t="s">
        <v>740</v>
      </c>
    </row>
    <row r="189" spans="1:60" x14ac:dyDescent="0.25">
      <c r="A189" t="s">
        <v>113</v>
      </c>
      <c r="C189" t="s">
        <v>877</v>
      </c>
      <c r="X189">
        <v>9</v>
      </c>
      <c r="Z189">
        <v>16</v>
      </c>
      <c r="AC189">
        <v>16</v>
      </c>
      <c r="AQ189">
        <v>16</v>
      </c>
      <c r="AT189">
        <v>16</v>
      </c>
      <c r="AW189">
        <v>16</v>
      </c>
    </row>
    <row r="190" spans="1:60" x14ac:dyDescent="0.25">
      <c r="A190" t="s">
        <v>114</v>
      </c>
      <c r="C190" t="s">
        <v>847</v>
      </c>
      <c r="X190">
        <v>0</v>
      </c>
      <c r="AA190">
        <v>4</v>
      </c>
      <c r="AD190">
        <v>4</v>
      </c>
      <c r="AR190">
        <v>4</v>
      </c>
      <c r="AU190">
        <v>8</v>
      </c>
      <c r="AX190">
        <v>8</v>
      </c>
    </row>
    <row r="192" spans="1:60" x14ac:dyDescent="0.25">
      <c r="A192" t="s">
        <v>115</v>
      </c>
      <c r="C192" t="s">
        <v>847</v>
      </c>
      <c r="X192">
        <v>0</v>
      </c>
      <c r="AA192">
        <v>0</v>
      </c>
      <c r="AD192">
        <v>0</v>
      </c>
      <c r="AR192">
        <v>8</v>
      </c>
      <c r="AU192">
        <v>0</v>
      </c>
      <c r="AX192">
        <v>0</v>
      </c>
    </row>
    <row r="193" spans="1:60" x14ac:dyDescent="0.25">
      <c r="A193" t="s">
        <v>116</v>
      </c>
      <c r="C193" t="s">
        <v>877</v>
      </c>
      <c r="X193">
        <v>4</v>
      </c>
      <c r="AA193">
        <v>3</v>
      </c>
      <c r="AD193">
        <v>3</v>
      </c>
      <c r="AQ193">
        <v>16</v>
      </c>
      <c r="AU193">
        <v>9</v>
      </c>
      <c r="AX193">
        <v>3</v>
      </c>
    </row>
    <row r="195" spans="1:60" x14ac:dyDescent="0.25">
      <c r="A195" t="s">
        <v>117</v>
      </c>
      <c r="P195" t="s">
        <v>454</v>
      </c>
      <c r="R195" t="s">
        <v>454</v>
      </c>
      <c r="T195" t="s">
        <v>454</v>
      </c>
      <c r="X195" t="s">
        <v>454</v>
      </c>
      <c r="Z195" t="s">
        <v>454</v>
      </c>
      <c r="AB195" t="s">
        <v>454</v>
      </c>
    </row>
    <row r="196" spans="1:60" x14ac:dyDescent="0.25">
      <c r="A196" t="s">
        <v>118</v>
      </c>
      <c r="P196" t="s">
        <v>728</v>
      </c>
      <c r="AJ196" t="s">
        <v>728</v>
      </c>
    </row>
    <row r="197" spans="1:60" x14ac:dyDescent="0.25">
      <c r="A197" t="s">
        <v>119</v>
      </c>
      <c r="P197">
        <v>0</v>
      </c>
      <c r="AL197">
        <v>0</v>
      </c>
      <c r="BH197">
        <v>0</v>
      </c>
    </row>
    <row r="198" spans="1:60" x14ac:dyDescent="0.25">
      <c r="A198" t="s">
        <v>120</v>
      </c>
      <c r="B198" t="s">
        <v>121</v>
      </c>
      <c r="F198">
        <v>200</v>
      </c>
      <c r="BE198">
        <v>0</v>
      </c>
    </row>
    <row r="199" spans="1:60" x14ac:dyDescent="0.25">
      <c r="A199" t="s">
        <v>122</v>
      </c>
      <c r="G199">
        <v>665</v>
      </c>
      <c r="J199">
        <v>920</v>
      </c>
      <c r="AC199">
        <v>1066</v>
      </c>
      <c r="AY199">
        <v>0</v>
      </c>
    </row>
    <row r="200" spans="1:60" x14ac:dyDescent="0.25">
      <c r="A200" t="s">
        <v>123</v>
      </c>
      <c r="M200">
        <v>113</v>
      </c>
      <c r="AI200">
        <v>0</v>
      </c>
      <c r="BE200">
        <v>0</v>
      </c>
    </row>
    <row r="201" spans="1:60" x14ac:dyDescent="0.25">
      <c r="A201" t="s">
        <v>124</v>
      </c>
      <c r="L201">
        <v>-120</v>
      </c>
      <c r="AE201">
        <v>-120</v>
      </c>
      <c r="AX201">
        <v>-120</v>
      </c>
    </row>
    <row r="202" spans="1:60" x14ac:dyDescent="0.25">
      <c r="A202" t="s">
        <v>125</v>
      </c>
      <c r="L202">
        <v>-280</v>
      </c>
      <c r="AE202">
        <v>-280</v>
      </c>
      <c r="AX202">
        <v>-280</v>
      </c>
    </row>
    <row r="205" spans="1:60" x14ac:dyDescent="0.25">
      <c r="A205" t="s">
        <v>170</v>
      </c>
      <c r="B205" t="s">
        <v>79</v>
      </c>
      <c r="I205" t="s">
        <v>171</v>
      </c>
      <c r="J205" t="s">
        <v>150</v>
      </c>
      <c r="N205" t="s">
        <v>172</v>
      </c>
      <c r="O205" t="s">
        <v>150</v>
      </c>
    </row>
    <row r="206" spans="1:60" x14ac:dyDescent="0.25">
      <c r="A206" t="s">
        <v>113</v>
      </c>
      <c r="C206" t="s">
        <v>877</v>
      </c>
      <c r="X206">
        <v>10</v>
      </c>
      <c r="AA206">
        <v>10</v>
      </c>
      <c r="AD206">
        <v>9</v>
      </c>
      <c r="AR206">
        <v>3</v>
      </c>
      <c r="AU206">
        <v>4</v>
      </c>
      <c r="AX206">
        <v>10</v>
      </c>
    </row>
    <row r="207" spans="1:60" x14ac:dyDescent="0.25">
      <c r="A207" t="s">
        <v>114</v>
      </c>
      <c r="C207" t="s">
        <v>877</v>
      </c>
      <c r="X207">
        <v>8</v>
      </c>
      <c r="Z207">
        <v>16</v>
      </c>
      <c r="AD207">
        <v>2</v>
      </c>
      <c r="AR207">
        <v>0</v>
      </c>
      <c r="AU207">
        <v>0</v>
      </c>
      <c r="AX207">
        <v>5</v>
      </c>
    </row>
    <row r="209" spans="1:60" x14ac:dyDescent="0.25">
      <c r="A209" t="s">
        <v>115</v>
      </c>
      <c r="C209" t="s">
        <v>877</v>
      </c>
      <c r="X209">
        <v>0</v>
      </c>
      <c r="AA209">
        <v>0</v>
      </c>
      <c r="AC209">
        <v>23</v>
      </c>
      <c r="AQ209">
        <v>22</v>
      </c>
      <c r="AU209">
        <v>2</v>
      </c>
      <c r="AW209">
        <v>18</v>
      </c>
    </row>
    <row r="210" spans="1:60" x14ac:dyDescent="0.25">
      <c r="A210" t="s">
        <v>116</v>
      </c>
      <c r="C210" t="s">
        <v>847</v>
      </c>
      <c r="X210">
        <v>3</v>
      </c>
      <c r="AA210">
        <v>3</v>
      </c>
      <c r="AD210">
        <v>10</v>
      </c>
      <c r="AR210">
        <v>10</v>
      </c>
      <c r="AU210">
        <v>10</v>
      </c>
      <c r="AX210">
        <v>10</v>
      </c>
    </row>
    <row r="212" spans="1:60" x14ac:dyDescent="0.25">
      <c r="A212" t="s">
        <v>117</v>
      </c>
      <c r="P212" t="s">
        <v>632</v>
      </c>
      <c r="R212" t="s">
        <v>454</v>
      </c>
      <c r="T212" t="s">
        <v>453</v>
      </c>
      <c r="X212" t="s">
        <v>452</v>
      </c>
      <c r="Z212" t="s">
        <v>452</v>
      </c>
      <c r="AB212" t="s">
        <v>454</v>
      </c>
    </row>
    <row r="213" spans="1:60" x14ac:dyDescent="0.25">
      <c r="A213" t="s">
        <v>118</v>
      </c>
      <c r="P213" t="s">
        <v>728</v>
      </c>
      <c r="AJ213" t="s">
        <v>728</v>
      </c>
    </row>
    <row r="214" spans="1:60" x14ac:dyDescent="0.25">
      <c r="A214" t="s">
        <v>119</v>
      </c>
      <c r="P214">
        <v>0</v>
      </c>
      <c r="AL214">
        <v>0</v>
      </c>
      <c r="BH214">
        <v>0</v>
      </c>
    </row>
    <row r="215" spans="1:60" x14ac:dyDescent="0.25">
      <c r="A215" t="s">
        <v>120</v>
      </c>
      <c r="B215" t="s">
        <v>121</v>
      </c>
      <c r="H215">
        <v>0</v>
      </c>
      <c r="BE215">
        <v>280</v>
      </c>
    </row>
    <row r="216" spans="1:60" x14ac:dyDescent="0.25">
      <c r="A216" t="s">
        <v>122</v>
      </c>
      <c r="I216">
        <v>0</v>
      </c>
      <c r="K216">
        <v>1065</v>
      </c>
      <c r="AE216">
        <v>665</v>
      </c>
      <c r="AX216">
        <v>1155</v>
      </c>
    </row>
    <row r="217" spans="1:60" x14ac:dyDescent="0.25">
      <c r="A217" t="s">
        <v>123</v>
      </c>
      <c r="M217">
        <v>110</v>
      </c>
      <c r="AG217">
        <v>110</v>
      </c>
      <c r="BA217">
        <v>119</v>
      </c>
    </row>
    <row r="218" spans="1:60" x14ac:dyDescent="0.25">
      <c r="A218" t="s">
        <v>124</v>
      </c>
      <c r="M218">
        <v>-60</v>
      </c>
      <c r="AG218">
        <v>-80</v>
      </c>
      <c r="AZ218">
        <v>-120</v>
      </c>
    </row>
    <row r="219" spans="1:60" x14ac:dyDescent="0.25">
      <c r="A219" t="s">
        <v>125</v>
      </c>
      <c r="L219">
        <v>-200</v>
      </c>
      <c r="AE219">
        <v>-200</v>
      </c>
      <c r="AX219">
        <v>-280</v>
      </c>
    </row>
    <row r="222" spans="1:60" x14ac:dyDescent="0.25">
      <c r="A222" t="s">
        <v>222</v>
      </c>
      <c r="B222" t="s">
        <v>79</v>
      </c>
      <c r="I222" t="s">
        <v>700</v>
      </c>
      <c r="J222" t="s">
        <v>740</v>
      </c>
      <c r="N222" t="s">
        <v>701</v>
      </c>
      <c r="O222" t="s">
        <v>740</v>
      </c>
    </row>
    <row r="223" spans="1:60" x14ac:dyDescent="0.25">
      <c r="A223" t="s">
        <v>113</v>
      </c>
      <c r="C223" t="s">
        <v>877</v>
      </c>
      <c r="W223">
        <v>16</v>
      </c>
      <c r="Z223">
        <v>16</v>
      </c>
      <c r="AC223">
        <v>16</v>
      </c>
      <c r="AQ223">
        <v>16</v>
      </c>
      <c r="AT223">
        <v>16</v>
      </c>
      <c r="AW223">
        <v>16</v>
      </c>
    </row>
    <row r="224" spans="1:60" x14ac:dyDescent="0.25">
      <c r="A224" t="s">
        <v>114</v>
      </c>
      <c r="C224" t="s">
        <v>877</v>
      </c>
      <c r="X224">
        <v>9</v>
      </c>
      <c r="Z224">
        <v>11</v>
      </c>
      <c r="AD224">
        <v>5</v>
      </c>
      <c r="AR224">
        <v>4</v>
      </c>
      <c r="AU224">
        <v>9</v>
      </c>
      <c r="AX224">
        <v>0</v>
      </c>
    </row>
    <row r="226" spans="1:60" x14ac:dyDescent="0.25">
      <c r="A226" t="s">
        <v>115</v>
      </c>
      <c r="C226" t="s">
        <v>847</v>
      </c>
      <c r="W226">
        <v>11</v>
      </c>
      <c r="AA226">
        <v>0</v>
      </c>
      <c r="AD226">
        <v>0</v>
      </c>
      <c r="AR226">
        <v>0</v>
      </c>
      <c r="AU226">
        <v>0</v>
      </c>
      <c r="AW226">
        <v>20</v>
      </c>
    </row>
    <row r="227" spans="1:60" x14ac:dyDescent="0.25">
      <c r="A227" t="s">
        <v>116</v>
      </c>
      <c r="C227" t="s">
        <v>877</v>
      </c>
      <c r="W227">
        <v>16</v>
      </c>
      <c r="AA227">
        <v>4</v>
      </c>
      <c r="AD227">
        <v>9</v>
      </c>
      <c r="AR227">
        <v>9</v>
      </c>
      <c r="AT227">
        <v>15</v>
      </c>
      <c r="AW227">
        <v>16</v>
      </c>
    </row>
    <row r="229" spans="1:60" x14ac:dyDescent="0.25">
      <c r="A229" t="s">
        <v>117</v>
      </c>
      <c r="P229" t="s">
        <v>454</v>
      </c>
      <c r="R229" t="s">
        <v>454</v>
      </c>
      <c r="T229" t="s">
        <v>454</v>
      </c>
      <c r="X229" t="s">
        <v>454</v>
      </c>
      <c r="Z229" t="s">
        <v>454</v>
      </c>
      <c r="AB229" t="s">
        <v>454</v>
      </c>
    </row>
    <row r="230" spans="1:60" x14ac:dyDescent="0.25">
      <c r="A230" t="s">
        <v>118</v>
      </c>
      <c r="P230" t="s">
        <v>728</v>
      </c>
      <c r="AJ230" t="s">
        <v>728</v>
      </c>
    </row>
    <row r="231" spans="1:60" x14ac:dyDescent="0.25">
      <c r="A231" t="s">
        <v>119</v>
      </c>
      <c r="P231">
        <v>0</v>
      </c>
      <c r="AL231">
        <v>0</v>
      </c>
      <c r="BH231">
        <v>0</v>
      </c>
    </row>
    <row r="232" spans="1:60" x14ac:dyDescent="0.25">
      <c r="A232" t="s">
        <v>120</v>
      </c>
      <c r="B232" t="s">
        <v>121</v>
      </c>
      <c r="F232">
        <v>200</v>
      </c>
      <c r="BC232">
        <v>200</v>
      </c>
    </row>
    <row r="233" spans="1:60" x14ac:dyDescent="0.25">
      <c r="A233" t="s">
        <v>122</v>
      </c>
      <c r="G233">
        <v>665</v>
      </c>
      <c r="I233">
        <v>1155</v>
      </c>
      <c r="AB233">
        <v>1155</v>
      </c>
      <c r="AV233">
        <v>645</v>
      </c>
    </row>
    <row r="234" spans="1:60" x14ac:dyDescent="0.25">
      <c r="A234" t="s">
        <v>123</v>
      </c>
      <c r="M234">
        <v>119</v>
      </c>
      <c r="AG234">
        <v>110</v>
      </c>
      <c r="BA234">
        <v>130</v>
      </c>
    </row>
    <row r="235" spans="1:60" x14ac:dyDescent="0.25">
      <c r="A235" t="s">
        <v>124</v>
      </c>
      <c r="L235">
        <v>-120</v>
      </c>
      <c r="AE235">
        <v>-120</v>
      </c>
      <c r="AX235">
        <v>-120</v>
      </c>
    </row>
    <row r="236" spans="1:60" x14ac:dyDescent="0.25">
      <c r="A236" t="s">
        <v>125</v>
      </c>
      <c r="L236">
        <v>-280</v>
      </c>
      <c r="AE236">
        <v>-280</v>
      </c>
      <c r="AX236">
        <v>-280</v>
      </c>
    </row>
    <row r="239" spans="1:60" x14ac:dyDescent="0.25">
      <c r="A239" t="s">
        <v>222</v>
      </c>
      <c r="B239" t="s">
        <v>79</v>
      </c>
      <c r="I239" t="s">
        <v>240</v>
      </c>
      <c r="J239" t="s">
        <v>150</v>
      </c>
      <c r="M239" t="s">
        <v>241</v>
      </c>
      <c r="N239" t="s">
        <v>150</v>
      </c>
    </row>
    <row r="240" spans="1:60" x14ac:dyDescent="0.25">
      <c r="A240" t="s">
        <v>113</v>
      </c>
      <c r="C240" t="s">
        <v>847</v>
      </c>
      <c r="X240">
        <v>10</v>
      </c>
      <c r="AA240">
        <v>9</v>
      </c>
      <c r="AD240">
        <v>3</v>
      </c>
      <c r="AR240">
        <v>10</v>
      </c>
      <c r="AU240">
        <v>10</v>
      </c>
      <c r="AX240">
        <v>10</v>
      </c>
    </row>
    <row r="241" spans="1:60" x14ac:dyDescent="0.25">
      <c r="A241" t="s">
        <v>114</v>
      </c>
      <c r="C241" t="s">
        <v>877</v>
      </c>
      <c r="X241">
        <v>3</v>
      </c>
      <c r="AA241">
        <v>2</v>
      </c>
      <c r="AD241">
        <v>0</v>
      </c>
      <c r="AR241">
        <v>4</v>
      </c>
      <c r="AT241">
        <v>15</v>
      </c>
      <c r="AW241">
        <v>14</v>
      </c>
    </row>
    <row r="243" spans="1:60" x14ac:dyDescent="0.25">
      <c r="A243" t="s">
        <v>115</v>
      </c>
      <c r="C243" t="s">
        <v>847</v>
      </c>
      <c r="W243">
        <v>38</v>
      </c>
      <c r="Z243">
        <v>21</v>
      </c>
      <c r="AC243">
        <v>15</v>
      </c>
      <c r="AQ243">
        <v>20</v>
      </c>
      <c r="AU243">
        <v>0</v>
      </c>
      <c r="AX243">
        <v>0</v>
      </c>
    </row>
    <row r="244" spans="1:60" x14ac:dyDescent="0.25">
      <c r="A244" t="s">
        <v>116</v>
      </c>
      <c r="C244" t="s">
        <v>877</v>
      </c>
      <c r="X244">
        <v>10</v>
      </c>
      <c r="AA244">
        <v>10</v>
      </c>
      <c r="AD244">
        <v>10</v>
      </c>
      <c r="AR244">
        <v>10</v>
      </c>
      <c r="AU244">
        <v>4</v>
      </c>
      <c r="AX244">
        <v>3</v>
      </c>
    </row>
    <row r="246" spans="1:60" x14ac:dyDescent="0.25">
      <c r="A246" t="s">
        <v>117</v>
      </c>
      <c r="P246" t="s">
        <v>632</v>
      </c>
      <c r="R246" t="s">
        <v>632</v>
      </c>
      <c r="T246" t="s">
        <v>632</v>
      </c>
      <c r="X246" t="s">
        <v>632</v>
      </c>
      <c r="Z246" t="s">
        <v>632</v>
      </c>
      <c r="AB246" t="s">
        <v>632</v>
      </c>
    </row>
    <row r="247" spans="1:60" x14ac:dyDescent="0.25">
      <c r="A247" t="s">
        <v>118</v>
      </c>
      <c r="P247" t="s">
        <v>728</v>
      </c>
      <c r="AJ247" t="s">
        <v>728</v>
      </c>
    </row>
    <row r="248" spans="1:60" x14ac:dyDescent="0.25">
      <c r="A248" t="s">
        <v>119</v>
      </c>
      <c r="P248">
        <v>0</v>
      </c>
      <c r="AL248">
        <v>0</v>
      </c>
      <c r="BH248">
        <v>0</v>
      </c>
    </row>
    <row r="249" spans="1:60" x14ac:dyDescent="0.25">
      <c r="A249" t="s">
        <v>120</v>
      </c>
      <c r="B249" t="s">
        <v>121</v>
      </c>
      <c r="F249">
        <v>280</v>
      </c>
      <c r="BE249">
        <v>0</v>
      </c>
    </row>
    <row r="250" spans="1:60" x14ac:dyDescent="0.25">
      <c r="A250" t="s">
        <v>122</v>
      </c>
      <c r="F250">
        <v>1155</v>
      </c>
      <c r="I250">
        <v>645</v>
      </c>
      <c r="AB250">
        <v>1033</v>
      </c>
      <c r="AX250">
        <v>0</v>
      </c>
    </row>
    <row r="251" spans="1:60" x14ac:dyDescent="0.25">
      <c r="A251" t="s">
        <v>123</v>
      </c>
      <c r="M251">
        <v>130</v>
      </c>
      <c r="AG251">
        <v>130</v>
      </c>
      <c r="BA251">
        <v>100</v>
      </c>
    </row>
    <row r="252" spans="1:60" x14ac:dyDescent="0.25">
      <c r="A252" t="s">
        <v>124</v>
      </c>
      <c r="L252">
        <v>-120</v>
      </c>
      <c r="AF252">
        <v>-80</v>
      </c>
      <c r="AZ252">
        <v>-60</v>
      </c>
    </row>
    <row r="253" spans="1:60" x14ac:dyDescent="0.25">
      <c r="A253" t="s">
        <v>125</v>
      </c>
      <c r="L253">
        <v>-280</v>
      </c>
      <c r="AE253">
        <v>-200</v>
      </c>
      <c r="AX253">
        <v>-200</v>
      </c>
    </row>
    <row r="256" spans="1:60" x14ac:dyDescent="0.25">
      <c r="A256" t="s">
        <v>164</v>
      </c>
      <c r="B256" t="s">
        <v>79</v>
      </c>
      <c r="I256" t="s">
        <v>165</v>
      </c>
      <c r="J256" t="s">
        <v>150</v>
      </c>
      <c r="N256" t="s">
        <v>166</v>
      </c>
      <c r="O256" t="s">
        <v>150</v>
      </c>
    </row>
    <row r="257" spans="1:60" x14ac:dyDescent="0.25">
      <c r="A257" t="s">
        <v>113</v>
      </c>
      <c r="C257" t="s">
        <v>877</v>
      </c>
      <c r="X257">
        <v>10</v>
      </c>
      <c r="AA257">
        <v>10</v>
      </c>
      <c r="AD257">
        <v>8</v>
      </c>
      <c r="AR257">
        <v>3</v>
      </c>
      <c r="AU257">
        <v>9</v>
      </c>
      <c r="AX257">
        <v>10</v>
      </c>
    </row>
    <row r="258" spans="1:60" x14ac:dyDescent="0.25">
      <c r="A258" t="s">
        <v>114</v>
      </c>
      <c r="C258" t="s">
        <v>847</v>
      </c>
      <c r="X258">
        <v>2</v>
      </c>
      <c r="AA258">
        <v>10</v>
      </c>
      <c r="AD258">
        <v>0</v>
      </c>
      <c r="AR258">
        <v>0</v>
      </c>
      <c r="AU258">
        <v>2</v>
      </c>
      <c r="AW258">
        <v>14</v>
      </c>
    </row>
    <row r="260" spans="1:60" x14ac:dyDescent="0.25">
      <c r="A260" t="s">
        <v>115</v>
      </c>
      <c r="C260" t="s">
        <v>847</v>
      </c>
      <c r="X260">
        <v>0</v>
      </c>
      <c r="AA260">
        <v>0</v>
      </c>
      <c r="AC260">
        <v>18</v>
      </c>
      <c r="AQ260">
        <v>13</v>
      </c>
      <c r="AU260">
        <v>0</v>
      </c>
      <c r="AX260">
        <v>8</v>
      </c>
    </row>
    <row r="261" spans="1:60" x14ac:dyDescent="0.25">
      <c r="A261" t="s">
        <v>116</v>
      </c>
      <c r="C261" t="s">
        <v>877</v>
      </c>
      <c r="X261">
        <v>3</v>
      </c>
      <c r="AA261">
        <v>3</v>
      </c>
      <c r="AD261">
        <v>10</v>
      </c>
      <c r="AR261">
        <v>10</v>
      </c>
      <c r="AU261">
        <v>7</v>
      </c>
      <c r="AX261">
        <v>10</v>
      </c>
    </row>
    <row r="263" spans="1:60" x14ac:dyDescent="0.25">
      <c r="A263" t="s">
        <v>117</v>
      </c>
      <c r="P263" t="s">
        <v>632</v>
      </c>
      <c r="R263" t="s">
        <v>634</v>
      </c>
      <c r="T263" t="s">
        <v>452</v>
      </c>
      <c r="X263" t="s">
        <v>452</v>
      </c>
      <c r="Z263" t="s">
        <v>452</v>
      </c>
      <c r="AB263" t="s">
        <v>632</v>
      </c>
    </row>
    <row r="264" spans="1:60" x14ac:dyDescent="0.25">
      <c r="A264" t="s">
        <v>118</v>
      </c>
      <c r="P264" t="s">
        <v>728</v>
      </c>
      <c r="AJ264" t="s">
        <v>728</v>
      </c>
    </row>
    <row r="265" spans="1:60" x14ac:dyDescent="0.25">
      <c r="A265" t="s">
        <v>119</v>
      </c>
      <c r="P265">
        <v>0</v>
      </c>
      <c r="AL265">
        <v>0</v>
      </c>
      <c r="BH265">
        <v>0</v>
      </c>
    </row>
    <row r="266" spans="1:60" x14ac:dyDescent="0.25">
      <c r="A266" t="s">
        <v>120</v>
      </c>
      <c r="B266" t="s">
        <v>121</v>
      </c>
      <c r="H266">
        <v>0</v>
      </c>
      <c r="BE266">
        <v>280</v>
      </c>
    </row>
    <row r="267" spans="1:60" x14ac:dyDescent="0.25">
      <c r="A267" t="s">
        <v>122</v>
      </c>
      <c r="I267">
        <v>0</v>
      </c>
      <c r="K267">
        <v>1065</v>
      </c>
      <c r="AE267">
        <v>665</v>
      </c>
      <c r="AY267">
        <v>750</v>
      </c>
    </row>
    <row r="268" spans="1:60" x14ac:dyDescent="0.25">
      <c r="A268" t="s">
        <v>123</v>
      </c>
      <c r="M268">
        <v>105</v>
      </c>
      <c r="AG268">
        <v>105</v>
      </c>
      <c r="BA268">
        <v>110</v>
      </c>
    </row>
    <row r="269" spans="1:60" x14ac:dyDescent="0.25">
      <c r="A269" t="s">
        <v>124</v>
      </c>
      <c r="M269">
        <v>-60</v>
      </c>
      <c r="AG269">
        <v>-80</v>
      </c>
      <c r="AZ269">
        <v>-120</v>
      </c>
    </row>
    <row r="270" spans="1:60" x14ac:dyDescent="0.25">
      <c r="A270" t="s">
        <v>125</v>
      </c>
      <c r="L270">
        <v>-200</v>
      </c>
      <c r="AE270">
        <v>-200</v>
      </c>
      <c r="AX270">
        <v>-280</v>
      </c>
    </row>
    <row r="273" spans="1:60" x14ac:dyDescent="0.25">
      <c r="A273" t="s">
        <v>164</v>
      </c>
      <c r="B273" t="s">
        <v>79</v>
      </c>
      <c r="I273" t="s">
        <v>703</v>
      </c>
      <c r="J273" t="s">
        <v>740</v>
      </c>
      <c r="N273" t="s">
        <v>714</v>
      </c>
      <c r="O273" t="s">
        <v>740</v>
      </c>
    </row>
    <row r="274" spans="1:60" x14ac:dyDescent="0.25">
      <c r="A274" t="s">
        <v>113</v>
      </c>
      <c r="C274" t="s">
        <v>877</v>
      </c>
      <c r="W274">
        <v>14</v>
      </c>
      <c r="Z274">
        <v>16</v>
      </c>
      <c r="AC274">
        <v>16</v>
      </c>
      <c r="AQ274">
        <v>13</v>
      </c>
      <c r="AT274">
        <v>12</v>
      </c>
      <c r="AX274">
        <v>6</v>
      </c>
    </row>
    <row r="275" spans="1:60" x14ac:dyDescent="0.25">
      <c r="A275" t="s">
        <v>114</v>
      </c>
      <c r="C275" t="s">
        <v>877</v>
      </c>
      <c r="X275">
        <v>0</v>
      </c>
      <c r="AA275">
        <v>7</v>
      </c>
      <c r="AD275">
        <v>5</v>
      </c>
      <c r="AR275">
        <v>0</v>
      </c>
      <c r="AU275">
        <v>0</v>
      </c>
      <c r="AX275">
        <v>0</v>
      </c>
    </row>
    <row r="277" spans="1:60" x14ac:dyDescent="0.25">
      <c r="A277" t="s">
        <v>115</v>
      </c>
      <c r="C277" t="s">
        <v>877</v>
      </c>
      <c r="X277">
        <v>0</v>
      </c>
      <c r="AA277">
        <v>0</v>
      </c>
      <c r="AD277">
        <v>0</v>
      </c>
      <c r="AR277">
        <v>0</v>
      </c>
      <c r="AU277">
        <v>0</v>
      </c>
      <c r="AX277">
        <v>0</v>
      </c>
    </row>
    <row r="278" spans="1:60" x14ac:dyDescent="0.25">
      <c r="A278" t="s">
        <v>116</v>
      </c>
      <c r="C278" t="s">
        <v>847</v>
      </c>
      <c r="X278">
        <v>3</v>
      </c>
      <c r="AA278">
        <v>3</v>
      </c>
      <c r="AD278">
        <v>3</v>
      </c>
      <c r="AR278">
        <v>3</v>
      </c>
      <c r="AU278">
        <v>3</v>
      </c>
      <c r="AX278">
        <v>3</v>
      </c>
    </row>
    <row r="280" spans="1:60" x14ac:dyDescent="0.25">
      <c r="A280" t="s">
        <v>117</v>
      </c>
      <c r="P280" t="s">
        <v>454</v>
      </c>
      <c r="R280" t="s">
        <v>454</v>
      </c>
      <c r="T280" t="s">
        <v>454</v>
      </c>
      <c r="X280" t="s">
        <v>454</v>
      </c>
      <c r="Z280" t="s">
        <v>454</v>
      </c>
      <c r="AB280" t="s">
        <v>454</v>
      </c>
    </row>
    <row r="281" spans="1:60" x14ac:dyDescent="0.25">
      <c r="A281" t="s">
        <v>118</v>
      </c>
      <c r="P281" t="s">
        <v>728</v>
      </c>
      <c r="AJ281" t="s">
        <v>728</v>
      </c>
    </row>
    <row r="282" spans="1:60" x14ac:dyDescent="0.25">
      <c r="A282" t="s">
        <v>119</v>
      </c>
      <c r="P282">
        <v>0</v>
      </c>
      <c r="AL282">
        <v>0</v>
      </c>
      <c r="BH282">
        <v>0</v>
      </c>
    </row>
    <row r="283" spans="1:60" x14ac:dyDescent="0.25">
      <c r="A283" t="s">
        <v>120</v>
      </c>
      <c r="B283" t="s">
        <v>121</v>
      </c>
      <c r="F283">
        <v>200</v>
      </c>
      <c r="BC283">
        <v>280</v>
      </c>
    </row>
    <row r="284" spans="1:60" x14ac:dyDescent="0.25">
      <c r="A284" t="s">
        <v>122</v>
      </c>
      <c r="G284">
        <v>665</v>
      </c>
      <c r="J284">
        <v>750</v>
      </c>
      <c r="AD284">
        <v>664</v>
      </c>
      <c r="AW284">
        <v>1352</v>
      </c>
    </row>
    <row r="285" spans="1:60" x14ac:dyDescent="0.25">
      <c r="A285" t="s">
        <v>123</v>
      </c>
      <c r="M285">
        <v>110</v>
      </c>
      <c r="AH285">
        <v>80</v>
      </c>
      <c r="BD285">
        <v>0</v>
      </c>
    </row>
    <row r="286" spans="1:60" x14ac:dyDescent="0.25">
      <c r="A286" t="s">
        <v>124</v>
      </c>
      <c r="L286">
        <v>-120</v>
      </c>
      <c r="AE286">
        <v>-120</v>
      </c>
      <c r="AX286">
        <v>-120</v>
      </c>
    </row>
    <row r="287" spans="1:60" x14ac:dyDescent="0.25">
      <c r="A287" t="s">
        <v>125</v>
      </c>
      <c r="L287">
        <v>-280</v>
      </c>
      <c r="AE287">
        <v>-280</v>
      </c>
      <c r="AX287">
        <v>-280</v>
      </c>
    </row>
    <row r="290" spans="1:38" x14ac:dyDescent="0.25">
      <c r="A290" t="s">
        <v>216</v>
      </c>
      <c r="B290" t="s">
        <v>79</v>
      </c>
      <c r="I290" t="s">
        <v>715</v>
      </c>
      <c r="J290" t="s">
        <v>740</v>
      </c>
    </row>
    <row r="291" spans="1:38" x14ac:dyDescent="0.25">
      <c r="A291" t="s">
        <v>113</v>
      </c>
      <c r="C291" t="s">
        <v>877</v>
      </c>
      <c r="W291">
        <v>15</v>
      </c>
      <c r="Z291">
        <v>16</v>
      </c>
      <c r="AC291">
        <v>16</v>
      </c>
    </row>
    <row r="292" spans="1:38" x14ac:dyDescent="0.25">
      <c r="A292" t="s">
        <v>114</v>
      </c>
      <c r="C292" t="s">
        <v>877</v>
      </c>
      <c r="X292">
        <v>2</v>
      </c>
      <c r="AA292">
        <v>9</v>
      </c>
      <c r="AD292">
        <v>8</v>
      </c>
    </row>
    <row r="294" spans="1:38" x14ac:dyDescent="0.25">
      <c r="A294" t="s">
        <v>115</v>
      </c>
      <c r="C294" t="s">
        <v>847</v>
      </c>
      <c r="X294">
        <v>0</v>
      </c>
      <c r="AA294">
        <v>0</v>
      </c>
      <c r="AD294">
        <v>0</v>
      </c>
    </row>
    <row r="295" spans="1:38" x14ac:dyDescent="0.25">
      <c r="A295" t="s">
        <v>116</v>
      </c>
      <c r="C295" t="s">
        <v>877</v>
      </c>
      <c r="W295">
        <v>13</v>
      </c>
      <c r="AA295">
        <v>4</v>
      </c>
      <c r="AD295">
        <v>3</v>
      </c>
    </row>
    <row r="297" spans="1:38" x14ac:dyDescent="0.25">
      <c r="A297" t="s">
        <v>117</v>
      </c>
      <c r="P297" t="s">
        <v>454</v>
      </c>
      <c r="R297" t="s">
        <v>454</v>
      </c>
      <c r="T297" t="s">
        <v>454</v>
      </c>
    </row>
    <row r="298" spans="1:38" x14ac:dyDescent="0.25">
      <c r="A298" t="s">
        <v>118</v>
      </c>
      <c r="P298" t="s">
        <v>724</v>
      </c>
    </row>
    <row r="299" spans="1:38" x14ac:dyDescent="0.25">
      <c r="A299" t="s">
        <v>119</v>
      </c>
      <c r="P299">
        <v>0</v>
      </c>
      <c r="AL299">
        <v>0</v>
      </c>
    </row>
    <row r="300" spans="1:38" x14ac:dyDescent="0.25">
      <c r="A300" t="s">
        <v>120</v>
      </c>
      <c r="B300" t="s">
        <v>121</v>
      </c>
      <c r="F300">
        <v>280</v>
      </c>
      <c r="AF300">
        <v>200</v>
      </c>
    </row>
    <row r="301" spans="1:38" x14ac:dyDescent="0.25">
      <c r="A301" t="s">
        <v>122</v>
      </c>
      <c r="G301">
        <v>664</v>
      </c>
      <c r="I301">
        <v>1352</v>
      </c>
      <c r="AC301">
        <v>638</v>
      </c>
    </row>
    <row r="302" spans="1:38" x14ac:dyDescent="0.25">
      <c r="A302" t="s">
        <v>123</v>
      </c>
      <c r="O302">
        <v>0</v>
      </c>
      <c r="AJ302">
        <v>75</v>
      </c>
    </row>
    <row r="303" spans="1:38" x14ac:dyDescent="0.25">
      <c r="A303" t="s">
        <v>124</v>
      </c>
      <c r="L303">
        <v>-120</v>
      </c>
      <c r="AE303">
        <v>-120</v>
      </c>
    </row>
    <row r="304" spans="1:38" x14ac:dyDescent="0.25">
      <c r="A304" t="s">
        <v>125</v>
      </c>
      <c r="L304">
        <v>-280</v>
      </c>
      <c r="AE304">
        <v>-280</v>
      </c>
    </row>
    <row r="307" spans="1:60" x14ac:dyDescent="0.25">
      <c r="A307" t="s">
        <v>216</v>
      </c>
      <c r="B307" t="s">
        <v>79</v>
      </c>
      <c r="I307" t="s">
        <v>217</v>
      </c>
      <c r="J307" t="s">
        <v>150</v>
      </c>
      <c r="N307" t="s">
        <v>218</v>
      </c>
      <c r="O307" t="s">
        <v>150</v>
      </c>
    </row>
    <row r="308" spans="1:60" x14ac:dyDescent="0.25">
      <c r="A308" t="s">
        <v>113</v>
      </c>
      <c r="C308" t="s">
        <v>847</v>
      </c>
      <c r="X308">
        <v>3</v>
      </c>
      <c r="AA308">
        <v>5</v>
      </c>
      <c r="AD308">
        <v>3</v>
      </c>
      <c r="AR308">
        <v>10</v>
      </c>
      <c r="AU308">
        <v>10</v>
      </c>
      <c r="AX308">
        <v>10</v>
      </c>
    </row>
    <row r="309" spans="1:60" x14ac:dyDescent="0.25">
      <c r="A309" t="s">
        <v>114</v>
      </c>
      <c r="C309" t="s">
        <v>877</v>
      </c>
      <c r="X309">
        <v>0</v>
      </c>
      <c r="AA309">
        <v>0</v>
      </c>
      <c r="AD309">
        <v>0</v>
      </c>
      <c r="AR309">
        <v>3</v>
      </c>
      <c r="AU309">
        <v>9</v>
      </c>
      <c r="AX309">
        <v>6</v>
      </c>
    </row>
    <row r="311" spans="1:60" x14ac:dyDescent="0.25">
      <c r="A311" t="s">
        <v>115</v>
      </c>
      <c r="C311" t="s">
        <v>847</v>
      </c>
      <c r="X311">
        <v>2</v>
      </c>
      <c r="AA311">
        <v>0</v>
      </c>
      <c r="AD311">
        <v>0</v>
      </c>
      <c r="AR311">
        <v>0</v>
      </c>
      <c r="AU311">
        <v>0</v>
      </c>
      <c r="AX311">
        <v>0</v>
      </c>
    </row>
    <row r="312" spans="1:60" x14ac:dyDescent="0.25">
      <c r="A312" t="s">
        <v>116</v>
      </c>
      <c r="C312" t="s">
        <v>877</v>
      </c>
      <c r="X312">
        <v>9</v>
      </c>
      <c r="AA312">
        <v>8</v>
      </c>
      <c r="AD312">
        <v>7</v>
      </c>
      <c r="AR312">
        <v>5</v>
      </c>
      <c r="AU312">
        <v>3</v>
      </c>
      <c r="AX312">
        <v>3</v>
      </c>
    </row>
    <row r="314" spans="1:60" x14ac:dyDescent="0.25">
      <c r="A314" t="s">
        <v>117</v>
      </c>
      <c r="P314" t="s">
        <v>632</v>
      </c>
      <c r="R314" t="s">
        <v>632</v>
      </c>
      <c r="T314" t="s">
        <v>632</v>
      </c>
      <c r="X314" t="s">
        <v>632</v>
      </c>
      <c r="Z314" t="s">
        <v>632</v>
      </c>
      <c r="AB314" t="s">
        <v>632</v>
      </c>
    </row>
    <row r="315" spans="1:60" x14ac:dyDescent="0.25">
      <c r="A315" t="s">
        <v>118</v>
      </c>
      <c r="P315" t="s">
        <v>728</v>
      </c>
      <c r="AJ315" t="s">
        <v>728</v>
      </c>
    </row>
    <row r="316" spans="1:60" x14ac:dyDescent="0.25">
      <c r="A316" t="s">
        <v>119</v>
      </c>
      <c r="P316">
        <v>0</v>
      </c>
      <c r="AL316">
        <v>0</v>
      </c>
      <c r="BH316">
        <v>0</v>
      </c>
    </row>
    <row r="317" spans="1:60" x14ac:dyDescent="0.25">
      <c r="A317" t="s">
        <v>120</v>
      </c>
      <c r="B317" t="s">
        <v>121</v>
      </c>
      <c r="F317">
        <v>280</v>
      </c>
      <c r="BE317">
        <v>0</v>
      </c>
    </row>
    <row r="318" spans="1:60" x14ac:dyDescent="0.25">
      <c r="A318" t="s">
        <v>122</v>
      </c>
      <c r="F318">
        <v>1352</v>
      </c>
      <c r="I318">
        <v>638</v>
      </c>
      <c r="AB318">
        <v>1033</v>
      </c>
      <c r="AX318">
        <v>0</v>
      </c>
    </row>
    <row r="319" spans="1:60" x14ac:dyDescent="0.25">
      <c r="A319" t="s">
        <v>123</v>
      </c>
      <c r="N319">
        <v>75</v>
      </c>
      <c r="AI319">
        <v>75</v>
      </c>
      <c r="BC319">
        <v>110</v>
      </c>
    </row>
    <row r="320" spans="1:60" x14ac:dyDescent="0.25">
      <c r="A320" t="s">
        <v>124</v>
      </c>
      <c r="L320">
        <v>-120</v>
      </c>
      <c r="AF320">
        <v>-80</v>
      </c>
      <c r="AZ320">
        <v>-60</v>
      </c>
    </row>
    <row r="321" spans="1:60" x14ac:dyDescent="0.25">
      <c r="A321" t="s">
        <v>125</v>
      </c>
      <c r="L321">
        <v>-280</v>
      </c>
      <c r="AE321">
        <v>-200</v>
      </c>
      <c r="AX321">
        <v>-200</v>
      </c>
    </row>
    <row r="324" spans="1:60" x14ac:dyDescent="0.25">
      <c r="A324" t="s">
        <v>160</v>
      </c>
      <c r="B324" t="s">
        <v>79</v>
      </c>
      <c r="I324" t="s">
        <v>161</v>
      </c>
      <c r="J324" t="s">
        <v>150</v>
      </c>
      <c r="N324" t="s">
        <v>162</v>
      </c>
      <c r="O324" t="s">
        <v>150</v>
      </c>
    </row>
    <row r="325" spans="1:60" x14ac:dyDescent="0.25">
      <c r="A325" t="s">
        <v>113</v>
      </c>
      <c r="C325" t="s">
        <v>877</v>
      </c>
      <c r="X325">
        <v>10</v>
      </c>
      <c r="AA325">
        <v>10</v>
      </c>
      <c r="AD325">
        <v>10</v>
      </c>
      <c r="AR325">
        <v>10</v>
      </c>
      <c r="AU325">
        <v>10</v>
      </c>
      <c r="AX325">
        <v>10</v>
      </c>
    </row>
    <row r="326" spans="1:60" x14ac:dyDescent="0.25">
      <c r="A326" t="s">
        <v>114</v>
      </c>
      <c r="C326" t="s">
        <v>847</v>
      </c>
      <c r="X326">
        <v>9</v>
      </c>
      <c r="Z326">
        <v>22</v>
      </c>
      <c r="AD326">
        <v>6</v>
      </c>
      <c r="AR326">
        <v>10</v>
      </c>
      <c r="AT326">
        <v>22</v>
      </c>
      <c r="AW326">
        <v>19</v>
      </c>
    </row>
    <row r="328" spans="1:60" x14ac:dyDescent="0.25">
      <c r="A328" t="s">
        <v>115</v>
      </c>
      <c r="C328" t="s">
        <v>847</v>
      </c>
      <c r="X328">
        <v>0</v>
      </c>
      <c r="AA328">
        <v>0</v>
      </c>
      <c r="AC328">
        <v>16</v>
      </c>
      <c r="AR328">
        <v>0</v>
      </c>
      <c r="AU328">
        <v>0</v>
      </c>
      <c r="AW328">
        <v>15</v>
      </c>
    </row>
    <row r="329" spans="1:60" x14ac:dyDescent="0.25">
      <c r="A329" t="s">
        <v>116</v>
      </c>
      <c r="C329" t="s">
        <v>877</v>
      </c>
      <c r="X329">
        <v>3</v>
      </c>
      <c r="AA329">
        <v>7</v>
      </c>
      <c r="AD329">
        <v>10</v>
      </c>
      <c r="AR329">
        <v>3</v>
      </c>
      <c r="AU329">
        <v>3</v>
      </c>
      <c r="AX329">
        <v>10</v>
      </c>
    </row>
    <row r="331" spans="1:60" x14ac:dyDescent="0.25">
      <c r="A331" t="s">
        <v>117</v>
      </c>
      <c r="P331" t="s">
        <v>632</v>
      </c>
      <c r="R331" t="s">
        <v>632</v>
      </c>
      <c r="T331" t="s">
        <v>632</v>
      </c>
      <c r="X331" t="s">
        <v>632</v>
      </c>
      <c r="Z331" t="s">
        <v>633</v>
      </c>
      <c r="AB331" t="s">
        <v>453</v>
      </c>
    </row>
    <row r="332" spans="1:60" x14ac:dyDescent="0.25">
      <c r="A332" t="s">
        <v>118</v>
      </c>
      <c r="P332" t="s">
        <v>728</v>
      </c>
      <c r="AJ332" t="s">
        <v>728</v>
      </c>
    </row>
    <row r="333" spans="1:60" x14ac:dyDescent="0.25">
      <c r="A333" t="s">
        <v>119</v>
      </c>
      <c r="P333">
        <v>0</v>
      </c>
      <c r="AL333">
        <v>0</v>
      </c>
      <c r="BH333">
        <v>0</v>
      </c>
    </row>
    <row r="334" spans="1:60" x14ac:dyDescent="0.25">
      <c r="A334" t="s">
        <v>120</v>
      </c>
      <c r="B334" t="s">
        <v>121</v>
      </c>
      <c r="H334">
        <v>0</v>
      </c>
      <c r="BE334">
        <v>200</v>
      </c>
    </row>
    <row r="335" spans="1:60" x14ac:dyDescent="0.25">
      <c r="A335" t="s">
        <v>122</v>
      </c>
      <c r="I335">
        <v>0</v>
      </c>
      <c r="K335">
        <v>1065</v>
      </c>
      <c r="AE335">
        <v>665</v>
      </c>
      <c r="AY335">
        <v>878</v>
      </c>
    </row>
    <row r="336" spans="1:60" x14ac:dyDescent="0.25">
      <c r="A336" t="s">
        <v>123</v>
      </c>
      <c r="M336">
        <v>105</v>
      </c>
      <c r="AG336">
        <v>115</v>
      </c>
      <c r="BC336">
        <v>0</v>
      </c>
    </row>
    <row r="337" spans="1:53" x14ac:dyDescent="0.25">
      <c r="A337" t="s">
        <v>124</v>
      </c>
      <c r="M337">
        <v>-60</v>
      </c>
      <c r="AG337">
        <v>-80</v>
      </c>
      <c r="BA337">
        <v>-80</v>
      </c>
    </row>
    <row r="338" spans="1:53" x14ac:dyDescent="0.25">
      <c r="A338" t="s">
        <v>125</v>
      </c>
      <c r="L338">
        <v>-200</v>
      </c>
      <c r="AE338">
        <v>-200</v>
      </c>
      <c r="AX338">
        <v>-200</v>
      </c>
    </row>
    <row r="341" spans="1:53" x14ac:dyDescent="0.25">
      <c r="A341" t="s">
        <v>160</v>
      </c>
      <c r="B341" t="s">
        <v>79</v>
      </c>
      <c r="I341" t="s">
        <v>163</v>
      </c>
      <c r="J341" t="s">
        <v>150</v>
      </c>
    </row>
    <row r="342" spans="1:53" x14ac:dyDescent="0.25">
      <c r="A342" t="s">
        <v>113</v>
      </c>
      <c r="C342" t="s">
        <v>877</v>
      </c>
      <c r="X342">
        <v>10</v>
      </c>
      <c r="AA342">
        <v>10</v>
      </c>
      <c r="AD342">
        <v>10</v>
      </c>
    </row>
    <row r="343" spans="1:53" x14ac:dyDescent="0.25">
      <c r="A343" t="s">
        <v>114</v>
      </c>
      <c r="C343" t="s">
        <v>877</v>
      </c>
      <c r="X343">
        <v>0</v>
      </c>
      <c r="AA343">
        <v>3</v>
      </c>
      <c r="AD343">
        <v>2</v>
      </c>
    </row>
    <row r="345" spans="1:53" x14ac:dyDescent="0.25">
      <c r="A345" t="s">
        <v>115</v>
      </c>
      <c r="C345" t="s">
        <v>877</v>
      </c>
      <c r="X345">
        <v>0</v>
      </c>
      <c r="AA345">
        <v>0</v>
      </c>
      <c r="AD345">
        <v>0</v>
      </c>
    </row>
    <row r="346" spans="1:53" x14ac:dyDescent="0.25">
      <c r="A346" t="s">
        <v>116</v>
      </c>
      <c r="C346" t="s">
        <v>847</v>
      </c>
      <c r="X346">
        <v>3</v>
      </c>
      <c r="AA346">
        <v>4</v>
      </c>
      <c r="AD346">
        <v>9</v>
      </c>
    </row>
    <row r="348" spans="1:53" x14ac:dyDescent="0.25">
      <c r="A348" t="s">
        <v>117</v>
      </c>
      <c r="P348" t="s">
        <v>632</v>
      </c>
      <c r="R348" t="s">
        <v>632</v>
      </c>
      <c r="T348" t="s">
        <v>632</v>
      </c>
    </row>
    <row r="349" spans="1:53" x14ac:dyDescent="0.25">
      <c r="A349" t="s">
        <v>118</v>
      </c>
      <c r="P349" t="s">
        <v>728</v>
      </c>
    </row>
    <row r="350" spans="1:53" x14ac:dyDescent="0.25">
      <c r="A350" t="s">
        <v>119</v>
      </c>
      <c r="P350">
        <v>0</v>
      </c>
      <c r="AL350">
        <v>0</v>
      </c>
    </row>
    <row r="351" spans="1:53" x14ac:dyDescent="0.25">
      <c r="A351" t="s">
        <v>120</v>
      </c>
      <c r="B351" t="s">
        <v>121</v>
      </c>
      <c r="F351">
        <v>200</v>
      </c>
      <c r="AH351">
        <v>0</v>
      </c>
    </row>
    <row r="352" spans="1:53" x14ac:dyDescent="0.25">
      <c r="A352" t="s">
        <v>122</v>
      </c>
      <c r="G352">
        <v>665</v>
      </c>
      <c r="J352">
        <v>878</v>
      </c>
      <c r="AF352">
        <v>0</v>
      </c>
    </row>
    <row r="353" spans="1:60" x14ac:dyDescent="0.25">
      <c r="A353" t="s">
        <v>123</v>
      </c>
      <c r="O353">
        <v>0</v>
      </c>
      <c r="AK353">
        <v>0</v>
      </c>
    </row>
    <row r="354" spans="1:60" x14ac:dyDescent="0.25">
      <c r="A354" t="s">
        <v>124</v>
      </c>
      <c r="M354">
        <v>-80</v>
      </c>
      <c r="AG354">
        <v>-80</v>
      </c>
    </row>
    <row r="355" spans="1:60" x14ac:dyDescent="0.25">
      <c r="A355" t="s">
        <v>125</v>
      </c>
      <c r="L355">
        <v>-200</v>
      </c>
      <c r="AE355">
        <v>-200</v>
      </c>
    </row>
    <row r="358" spans="1:60" x14ac:dyDescent="0.25">
      <c r="A358" t="s">
        <v>127</v>
      </c>
      <c r="B358" t="s">
        <v>79</v>
      </c>
      <c r="I358" t="s">
        <v>530</v>
      </c>
      <c r="J358" t="s">
        <v>150</v>
      </c>
      <c r="N358" t="s">
        <v>531</v>
      </c>
      <c r="O358" t="s">
        <v>150</v>
      </c>
    </row>
    <row r="359" spans="1:60" x14ac:dyDescent="0.25">
      <c r="A359" t="s">
        <v>113</v>
      </c>
      <c r="C359" t="s">
        <v>877</v>
      </c>
      <c r="X359">
        <v>10</v>
      </c>
      <c r="AA359">
        <v>10</v>
      </c>
      <c r="AD359">
        <v>10</v>
      </c>
      <c r="AR359">
        <v>3</v>
      </c>
      <c r="AU359">
        <v>3</v>
      </c>
      <c r="AX359">
        <v>3</v>
      </c>
    </row>
    <row r="360" spans="1:60" x14ac:dyDescent="0.25">
      <c r="A360" t="s">
        <v>114</v>
      </c>
      <c r="C360" t="s">
        <v>877</v>
      </c>
      <c r="X360">
        <v>0</v>
      </c>
      <c r="AA360">
        <v>10</v>
      </c>
      <c r="AD360">
        <v>9</v>
      </c>
      <c r="AR360">
        <v>0</v>
      </c>
      <c r="AU360">
        <v>0</v>
      </c>
      <c r="AX360">
        <v>0</v>
      </c>
    </row>
    <row r="362" spans="1:60" x14ac:dyDescent="0.25">
      <c r="A362" t="s">
        <v>115</v>
      </c>
      <c r="C362" t="s">
        <v>847</v>
      </c>
      <c r="X362">
        <v>0</v>
      </c>
      <c r="AA362">
        <v>0</v>
      </c>
      <c r="AD362">
        <v>0</v>
      </c>
      <c r="AR362">
        <v>0</v>
      </c>
      <c r="AU362">
        <v>0</v>
      </c>
      <c r="AX362">
        <v>0</v>
      </c>
    </row>
    <row r="363" spans="1:60" x14ac:dyDescent="0.25">
      <c r="A363" t="s">
        <v>116</v>
      </c>
      <c r="C363" t="s">
        <v>877</v>
      </c>
      <c r="X363">
        <v>3</v>
      </c>
      <c r="AA363">
        <v>3</v>
      </c>
      <c r="AD363">
        <v>3</v>
      </c>
      <c r="AR363">
        <v>3</v>
      </c>
      <c r="AU363">
        <v>4</v>
      </c>
      <c r="AX363">
        <v>6</v>
      </c>
    </row>
    <row r="365" spans="1:60" x14ac:dyDescent="0.25">
      <c r="A365" t="s">
        <v>117</v>
      </c>
      <c r="P365" t="s">
        <v>632</v>
      </c>
      <c r="R365" t="s">
        <v>632</v>
      </c>
      <c r="T365" t="s">
        <v>632</v>
      </c>
      <c r="X365" t="s">
        <v>632</v>
      </c>
      <c r="Z365" t="s">
        <v>632</v>
      </c>
      <c r="AB365" t="s">
        <v>632</v>
      </c>
    </row>
    <row r="366" spans="1:60" x14ac:dyDescent="0.25">
      <c r="A366" t="s">
        <v>118</v>
      </c>
      <c r="P366" t="s">
        <v>728</v>
      </c>
      <c r="AJ366" t="s">
        <v>728</v>
      </c>
    </row>
    <row r="367" spans="1:60" x14ac:dyDescent="0.25">
      <c r="A367" t="s">
        <v>119</v>
      </c>
      <c r="P367">
        <v>0</v>
      </c>
      <c r="AL367">
        <v>0</v>
      </c>
      <c r="BH367">
        <v>0</v>
      </c>
    </row>
    <row r="368" spans="1:60" x14ac:dyDescent="0.25">
      <c r="A368" t="s">
        <v>120</v>
      </c>
      <c r="B368" t="s">
        <v>121</v>
      </c>
      <c r="H368">
        <v>0</v>
      </c>
      <c r="BE368">
        <v>200</v>
      </c>
    </row>
    <row r="369" spans="1:55" x14ac:dyDescent="0.25">
      <c r="A369" t="s">
        <v>122</v>
      </c>
      <c r="I369">
        <v>0</v>
      </c>
      <c r="K369">
        <v>1188</v>
      </c>
      <c r="AE369">
        <v>410</v>
      </c>
      <c r="AY369">
        <v>890</v>
      </c>
    </row>
    <row r="370" spans="1:55" x14ac:dyDescent="0.25">
      <c r="A370" t="s">
        <v>123</v>
      </c>
      <c r="O370">
        <v>0</v>
      </c>
      <c r="AI370">
        <v>130</v>
      </c>
      <c r="BC370">
        <v>140</v>
      </c>
    </row>
    <row r="371" spans="1:55" x14ac:dyDescent="0.25">
      <c r="A371" t="s">
        <v>124</v>
      </c>
      <c r="M371">
        <v>-60</v>
      </c>
      <c r="AG371">
        <v>-80</v>
      </c>
      <c r="BA371">
        <v>-80</v>
      </c>
    </row>
    <row r="372" spans="1:55" x14ac:dyDescent="0.25">
      <c r="A372" t="s">
        <v>125</v>
      </c>
      <c r="L372">
        <v>-200</v>
      </c>
      <c r="AE372">
        <v>-200</v>
      </c>
      <c r="AX372">
        <v>-200</v>
      </c>
    </row>
    <row r="375" spans="1:55" x14ac:dyDescent="0.25">
      <c r="A375" t="s">
        <v>127</v>
      </c>
      <c r="B375" t="s">
        <v>79</v>
      </c>
      <c r="I375" t="s">
        <v>532</v>
      </c>
      <c r="J375" t="s">
        <v>150</v>
      </c>
    </row>
    <row r="376" spans="1:55" x14ac:dyDescent="0.25">
      <c r="A376" t="s">
        <v>113</v>
      </c>
      <c r="C376" t="s">
        <v>847</v>
      </c>
      <c r="X376">
        <v>3</v>
      </c>
      <c r="AA376">
        <v>10</v>
      </c>
      <c r="AD376">
        <v>3</v>
      </c>
    </row>
    <row r="377" spans="1:55" x14ac:dyDescent="0.25">
      <c r="A377" t="s">
        <v>114</v>
      </c>
      <c r="C377" t="s">
        <v>877</v>
      </c>
      <c r="X377">
        <v>0</v>
      </c>
      <c r="AA377">
        <v>6</v>
      </c>
      <c r="AD377">
        <v>0</v>
      </c>
    </row>
    <row r="379" spans="1:55" x14ac:dyDescent="0.25">
      <c r="A379" t="s">
        <v>115</v>
      </c>
      <c r="C379" t="s">
        <v>847</v>
      </c>
      <c r="X379">
        <v>8</v>
      </c>
      <c r="AA379">
        <v>0</v>
      </c>
      <c r="AD379">
        <v>8</v>
      </c>
    </row>
    <row r="380" spans="1:55" x14ac:dyDescent="0.25">
      <c r="A380" t="s">
        <v>116</v>
      </c>
      <c r="C380" t="s">
        <v>877</v>
      </c>
      <c r="X380">
        <v>10</v>
      </c>
      <c r="AA380">
        <v>3</v>
      </c>
      <c r="AD380">
        <v>10</v>
      </c>
    </row>
    <row r="382" spans="1:55" x14ac:dyDescent="0.25">
      <c r="A382" t="s">
        <v>117</v>
      </c>
      <c r="P382" t="s">
        <v>452</v>
      </c>
      <c r="R382" t="s">
        <v>452</v>
      </c>
      <c r="T382" t="s">
        <v>452</v>
      </c>
    </row>
    <row r="383" spans="1:55" x14ac:dyDescent="0.25">
      <c r="A383" t="s">
        <v>118</v>
      </c>
      <c r="P383" t="s">
        <v>728</v>
      </c>
    </row>
    <row r="384" spans="1:55" x14ac:dyDescent="0.25">
      <c r="A384" t="s">
        <v>119</v>
      </c>
      <c r="P384">
        <v>0</v>
      </c>
      <c r="AL384">
        <v>0</v>
      </c>
    </row>
    <row r="385" spans="1:50" x14ac:dyDescent="0.25">
      <c r="A385" t="s">
        <v>120</v>
      </c>
      <c r="B385" t="s">
        <v>121</v>
      </c>
      <c r="F385">
        <v>200</v>
      </c>
      <c r="AF385">
        <v>200</v>
      </c>
    </row>
    <row r="386" spans="1:50" x14ac:dyDescent="0.25">
      <c r="A386" t="s">
        <v>122</v>
      </c>
      <c r="G386">
        <v>410</v>
      </c>
      <c r="J386">
        <v>890</v>
      </c>
      <c r="AD386">
        <v>850</v>
      </c>
    </row>
    <row r="387" spans="1:50" x14ac:dyDescent="0.25">
      <c r="A387" t="s">
        <v>123</v>
      </c>
      <c r="M387">
        <v>140</v>
      </c>
      <c r="AG387">
        <v>110</v>
      </c>
    </row>
    <row r="388" spans="1:50" x14ac:dyDescent="0.25">
      <c r="A388" t="s">
        <v>124</v>
      </c>
      <c r="M388">
        <v>-80</v>
      </c>
      <c r="AG388">
        <v>-80</v>
      </c>
    </row>
    <row r="389" spans="1:50" x14ac:dyDescent="0.25">
      <c r="A389" t="s">
        <v>125</v>
      </c>
      <c r="L389">
        <v>-200</v>
      </c>
      <c r="AE389">
        <v>-200</v>
      </c>
    </row>
    <row r="392" spans="1:50" x14ac:dyDescent="0.25">
      <c r="A392" t="s">
        <v>127</v>
      </c>
      <c r="B392" t="s">
        <v>79</v>
      </c>
      <c r="I392" t="s">
        <v>533</v>
      </c>
      <c r="J392" t="s">
        <v>150</v>
      </c>
      <c r="N392" t="s">
        <v>534</v>
      </c>
      <c r="O392" t="s">
        <v>150</v>
      </c>
    </row>
    <row r="393" spans="1:50" x14ac:dyDescent="0.25">
      <c r="A393" t="s">
        <v>113</v>
      </c>
      <c r="C393" t="s">
        <v>877</v>
      </c>
      <c r="X393">
        <v>4</v>
      </c>
      <c r="AA393">
        <v>10</v>
      </c>
      <c r="AD393">
        <v>5</v>
      </c>
      <c r="AR393">
        <v>3</v>
      </c>
      <c r="AU393">
        <v>9</v>
      </c>
      <c r="AX393">
        <v>3</v>
      </c>
    </row>
    <row r="394" spans="1:50" x14ac:dyDescent="0.25">
      <c r="A394" t="s">
        <v>114</v>
      </c>
      <c r="C394" t="s">
        <v>847</v>
      </c>
      <c r="X394">
        <v>0</v>
      </c>
      <c r="AA394">
        <v>3</v>
      </c>
      <c r="AD394">
        <v>0</v>
      </c>
      <c r="AR394">
        <v>0</v>
      </c>
      <c r="AU394">
        <v>2</v>
      </c>
      <c r="AX394">
        <v>0</v>
      </c>
    </row>
    <row r="396" spans="1:50" x14ac:dyDescent="0.25">
      <c r="A396" t="s">
        <v>115</v>
      </c>
      <c r="C396" t="s">
        <v>847</v>
      </c>
      <c r="X396">
        <v>3</v>
      </c>
      <c r="AA396">
        <v>0</v>
      </c>
      <c r="AD396">
        <v>0</v>
      </c>
      <c r="AR396">
        <v>6</v>
      </c>
      <c r="AU396">
        <v>0</v>
      </c>
      <c r="AW396">
        <v>12</v>
      </c>
    </row>
    <row r="397" spans="1:50" x14ac:dyDescent="0.25">
      <c r="A397" t="s">
        <v>116</v>
      </c>
      <c r="C397" t="s">
        <v>877</v>
      </c>
      <c r="X397">
        <v>10</v>
      </c>
      <c r="AA397">
        <v>3</v>
      </c>
      <c r="AD397">
        <v>7</v>
      </c>
      <c r="AR397">
        <v>10</v>
      </c>
      <c r="AU397">
        <v>3</v>
      </c>
      <c r="AX397">
        <v>10</v>
      </c>
    </row>
    <row r="399" spans="1:50" x14ac:dyDescent="0.25">
      <c r="A399" t="s">
        <v>117</v>
      </c>
      <c r="P399" t="s">
        <v>632</v>
      </c>
      <c r="R399" t="s">
        <v>632</v>
      </c>
      <c r="T399" t="s">
        <v>632</v>
      </c>
      <c r="X399" t="s">
        <v>454</v>
      </c>
      <c r="Z399" t="s">
        <v>453</v>
      </c>
      <c r="AB399" t="s">
        <v>452</v>
      </c>
    </row>
    <row r="400" spans="1:50" x14ac:dyDescent="0.25">
      <c r="A400" t="s">
        <v>118</v>
      </c>
      <c r="P400" t="s">
        <v>728</v>
      </c>
      <c r="AJ400" t="s">
        <v>728</v>
      </c>
    </row>
    <row r="401" spans="1:60" x14ac:dyDescent="0.25">
      <c r="A401" t="s">
        <v>119</v>
      </c>
      <c r="P401">
        <v>0</v>
      </c>
      <c r="AL401">
        <v>0</v>
      </c>
      <c r="BH401">
        <v>0</v>
      </c>
    </row>
    <row r="402" spans="1:60" x14ac:dyDescent="0.25">
      <c r="A402" t="s">
        <v>120</v>
      </c>
      <c r="B402" t="s">
        <v>121</v>
      </c>
      <c r="F402">
        <v>200</v>
      </c>
      <c r="BC402">
        <v>200</v>
      </c>
    </row>
    <row r="403" spans="1:60" x14ac:dyDescent="0.25">
      <c r="A403" t="s">
        <v>122</v>
      </c>
      <c r="G403">
        <v>890</v>
      </c>
      <c r="J403">
        <v>850</v>
      </c>
      <c r="AD403">
        <v>850</v>
      </c>
      <c r="AX403">
        <v>852</v>
      </c>
    </row>
    <row r="404" spans="1:60" x14ac:dyDescent="0.25">
      <c r="A404" t="s">
        <v>123</v>
      </c>
      <c r="M404">
        <v>110</v>
      </c>
      <c r="AG404">
        <v>110</v>
      </c>
      <c r="BA404">
        <v>110</v>
      </c>
    </row>
    <row r="405" spans="1:60" x14ac:dyDescent="0.25">
      <c r="A405" t="s">
        <v>124</v>
      </c>
      <c r="M405">
        <v>-80</v>
      </c>
      <c r="AG405">
        <v>-80</v>
      </c>
      <c r="BA405">
        <v>-80</v>
      </c>
    </row>
    <row r="406" spans="1:60" x14ac:dyDescent="0.25">
      <c r="A406" t="s">
        <v>125</v>
      </c>
      <c r="L406">
        <v>-200</v>
      </c>
      <c r="AE406">
        <v>-200</v>
      </c>
      <c r="AX406">
        <v>-200</v>
      </c>
    </row>
    <row r="409" spans="1:60" x14ac:dyDescent="0.25">
      <c r="A409" t="s">
        <v>127</v>
      </c>
      <c r="B409" t="s">
        <v>79</v>
      </c>
      <c r="I409" t="s">
        <v>535</v>
      </c>
      <c r="J409" t="s">
        <v>150</v>
      </c>
      <c r="N409" t="s">
        <v>536</v>
      </c>
      <c r="O409" t="s">
        <v>150</v>
      </c>
    </row>
    <row r="410" spans="1:60" x14ac:dyDescent="0.25">
      <c r="A410" t="s">
        <v>113</v>
      </c>
      <c r="C410" t="s">
        <v>877</v>
      </c>
      <c r="X410">
        <v>7</v>
      </c>
      <c r="AA410">
        <v>3</v>
      </c>
      <c r="AD410">
        <v>3</v>
      </c>
      <c r="AR410">
        <v>3</v>
      </c>
      <c r="AU410">
        <v>10</v>
      </c>
      <c r="AX410">
        <v>3</v>
      </c>
    </row>
    <row r="411" spans="1:60" x14ac:dyDescent="0.25">
      <c r="A411" t="s">
        <v>114</v>
      </c>
      <c r="C411" t="s">
        <v>877</v>
      </c>
      <c r="X411">
        <v>0</v>
      </c>
      <c r="AA411">
        <v>0</v>
      </c>
      <c r="AD411">
        <v>0</v>
      </c>
      <c r="AR411">
        <v>0</v>
      </c>
      <c r="AU411">
        <v>7</v>
      </c>
      <c r="AX411">
        <v>0</v>
      </c>
    </row>
    <row r="413" spans="1:60" x14ac:dyDescent="0.25">
      <c r="A413" t="s">
        <v>115</v>
      </c>
      <c r="C413" t="s">
        <v>877</v>
      </c>
      <c r="W413">
        <v>12</v>
      </c>
      <c r="Z413">
        <v>11</v>
      </c>
      <c r="AC413">
        <v>15</v>
      </c>
      <c r="AQ413">
        <v>17</v>
      </c>
      <c r="AU413">
        <v>0</v>
      </c>
      <c r="AX413">
        <v>9</v>
      </c>
    </row>
    <row r="414" spans="1:60" x14ac:dyDescent="0.25">
      <c r="A414" t="s">
        <v>116</v>
      </c>
      <c r="C414" t="s">
        <v>847</v>
      </c>
      <c r="X414">
        <v>10</v>
      </c>
      <c r="AA414">
        <v>10</v>
      </c>
      <c r="AD414">
        <v>10</v>
      </c>
      <c r="AR414">
        <v>10</v>
      </c>
      <c r="AU414">
        <v>5</v>
      </c>
      <c r="AX414">
        <v>10</v>
      </c>
    </row>
    <row r="416" spans="1:60" x14ac:dyDescent="0.25">
      <c r="A416" t="s">
        <v>117</v>
      </c>
      <c r="P416" t="s">
        <v>632</v>
      </c>
      <c r="R416" t="s">
        <v>454</v>
      </c>
      <c r="T416" t="s">
        <v>632</v>
      </c>
      <c r="X416" t="s">
        <v>452</v>
      </c>
      <c r="Z416" t="s">
        <v>452</v>
      </c>
      <c r="AB416" t="s">
        <v>452</v>
      </c>
    </row>
    <row r="417" spans="1:60" x14ac:dyDescent="0.25">
      <c r="A417" t="s">
        <v>118</v>
      </c>
      <c r="P417" t="s">
        <v>728</v>
      </c>
      <c r="AJ417" t="s">
        <v>724</v>
      </c>
    </row>
    <row r="418" spans="1:60" x14ac:dyDescent="0.25">
      <c r="A418" t="s">
        <v>119</v>
      </c>
      <c r="P418">
        <v>0</v>
      </c>
      <c r="AL418">
        <v>0</v>
      </c>
      <c r="BH418">
        <v>0</v>
      </c>
    </row>
    <row r="419" spans="1:60" x14ac:dyDescent="0.25">
      <c r="A419" t="s">
        <v>120</v>
      </c>
      <c r="B419" t="s">
        <v>121</v>
      </c>
      <c r="F419">
        <v>200</v>
      </c>
      <c r="BC419">
        <v>200</v>
      </c>
    </row>
    <row r="420" spans="1:60" x14ac:dyDescent="0.25">
      <c r="A420" t="s">
        <v>122</v>
      </c>
      <c r="G420">
        <v>850</v>
      </c>
      <c r="J420">
        <v>852</v>
      </c>
      <c r="AD420">
        <v>851</v>
      </c>
      <c r="AX420">
        <v>830</v>
      </c>
    </row>
    <row r="421" spans="1:60" x14ac:dyDescent="0.25">
      <c r="A421" t="s">
        <v>123</v>
      </c>
      <c r="M421">
        <v>110</v>
      </c>
      <c r="AG421">
        <v>110</v>
      </c>
      <c r="BA421">
        <v>110</v>
      </c>
    </row>
    <row r="422" spans="1:60" x14ac:dyDescent="0.25">
      <c r="A422" t="s">
        <v>124</v>
      </c>
      <c r="M422">
        <v>-80</v>
      </c>
      <c r="AG422">
        <v>-80</v>
      </c>
      <c r="BA422">
        <v>-80</v>
      </c>
    </row>
    <row r="423" spans="1:60" x14ac:dyDescent="0.25">
      <c r="A423" t="s">
        <v>125</v>
      </c>
      <c r="L423">
        <v>-200</v>
      </c>
      <c r="AE423">
        <v>-200</v>
      </c>
      <c r="AX423">
        <v>-200</v>
      </c>
    </row>
    <row r="426" spans="1:60" x14ac:dyDescent="0.25">
      <c r="A426" t="s">
        <v>127</v>
      </c>
      <c r="B426" t="s">
        <v>79</v>
      </c>
      <c r="I426" t="s">
        <v>537</v>
      </c>
      <c r="J426" t="s">
        <v>150</v>
      </c>
      <c r="N426" t="s">
        <v>538</v>
      </c>
      <c r="O426" t="s">
        <v>150</v>
      </c>
    </row>
    <row r="427" spans="1:60" x14ac:dyDescent="0.25">
      <c r="A427" t="s">
        <v>113</v>
      </c>
      <c r="C427" t="s">
        <v>877</v>
      </c>
      <c r="X427">
        <v>9</v>
      </c>
      <c r="AA427">
        <v>10</v>
      </c>
      <c r="AD427">
        <v>7</v>
      </c>
      <c r="AR427">
        <v>3</v>
      </c>
      <c r="AU427">
        <v>10</v>
      </c>
      <c r="AX427">
        <v>3</v>
      </c>
    </row>
    <row r="428" spans="1:60" x14ac:dyDescent="0.25">
      <c r="A428" t="s">
        <v>114</v>
      </c>
      <c r="C428" t="s">
        <v>877</v>
      </c>
      <c r="X428">
        <v>2</v>
      </c>
      <c r="AA428">
        <v>6</v>
      </c>
      <c r="AD428">
        <v>0</v>
      </c>
      <c r="AR428">
        <v>0</v>
      </c>
      <c r="AU428">
        <v>5</v>
      </c>
      <c r="AX428">
        <v>0</v>
      </c>
    </row>
    <row r="430" spans="1:60" x14ac:dyDescent="0.25">
      <c r="A430" t="s">
        <v>115</v>
      </c>
      <c r="C430" t="s">
        <v>847</v>
      </c>
      <c r="X430">
        <v>0</v>
      </c>
      <c r="AA430">
        <v>0</v>
      </c>
      <c r="AD430">
        <v>0</v>
      </c>
      <c r="AR430">
        <v>9</v>
      </c>
      <c r="AU430">
        <v>0</v>
      </c>
      <c r="AX430">
        <v>8</v>
      </c>
    </row>
    <row r="431" spans="1:60" x14ac:dyDescent="0.25">
      <c r="A431" t="s">
        <v>116</v>
      </c>
      <c r="C431" t="s">
        <v>877</v>
      </c>
      <c r="X431">
        <v>3</v>
      </c>
      <c r="AA431">
        <v>3</v>
      </c>
      <c r="AD431">
        <v>5</v>
      </c>
      <c r="AR431">
        <v>10</v>
      </c>
      <c r="AU431">
        <v>3</v>
      </c>
      <c r="AX431">
        <v>10</v>
      </c>
    </row>
    <row r="433" spans="1:60" x14ac:dyDescent="0.25">
      <c r="A433" t="s">
        <v>117</v>
      </c>
      <c r="P433" t="s">
        <v>632</v>
      </c>
      <c r="R433" t="s">
        <v>632</v>
      </c>
      <c r="T433" t="s">
        <v>632</v>
      </c>
      <c r="X433" t="s">
        <v>452</v>
      </c>
      <c r="Z433" t="s">
        <v>452</v>
      </c>
      <c r="AB433" t="s">
        <v>452</v>
      </c>
    </row>
    <row r="434" spans="1:60" x14ac:dyDescent="0.25">
      <c r="A434" t="s">
        <v>118</v>
      </c>
      <c r="P434" t="s">
        <v>728</v>
      </c>
      <c r="AJ434" t="s">
        <v>728</v>
      </c>
    </row>
    <row r="435" spans="1:60" x14ac:dyDescent="0.25">
      <c r="A435" t="s">
        <v>119</v>
      </c>
      <c r="P435">
        <v>0</v>
      </c>
      <c r="AL435">
        <v>0</v>
      </c>
      <c r="BH435">
        <v>0</v>
      </c>
    </row>
    <row r="436" spans="1:60" x14ac:dyDescent="0.25">
      <c r="A436" t="s">
        <v>120</v>
      </c>
      <c r="B436" t="s">
        <v>121</v>
      </c>
      <c r="F436">
        <v>200</v>
      </c>
      <c r="BE436">
        <v>0</v>
      </c>
    </row>
    <row r="437" spans="1:60" x14ac:dyDescent="0.25">
      <c r="A437" t="s">
        <v>122</v>
      </c>
      <c r="G437">
        <v>851</v>
      </c>
      <c r="J437">
        <v>830</v>
      </c>
      <c r="AC437">
        <v>1045</v>
      </c>
      <c r="AY437">
        <v>0</v>
      </c>
    </row>
    <row r="438" spans="1:60" x14ac:dyDescent="0.25">
      <c r="A438" t="s">
        <v>123</v>
      </c>
      <c r="M438">
        <v>110</v>
      </c>
      <c r="AG438">
        <v>100</v>
      </c>
      <c r="BA438">
        <v>165</v>
      </c>
    </row>
    <row r="439" spans="1:60" x14ac:dyDescent="0.25">
      <c r="A439" t="s">
        <v>124</v>
      </c>
      <c r="M439">
        <v>-80</v>
      </c>
      <c r="AG439">
        <v>-80</v>
      </c>
      <c r="BA439">
        <v>-60</v>
      </c>
    </row>
    <row r="440" spans="1:60" x14ac:dyDescent="0.25">
      <c r="A440" t="s">
        <v>125</v>
      </c>
      <c r="L440">
        <v>-200</v>
      </c>
      <c r="AE440">
        <v>-200</v>
      </c>
      <c r="AX440">
        <v>-200</v>
      </c>
    </row>
    <row r="443" spans="1:60" x14ac:dyDescent="0.25">
      <c r="A443" t="s">
        <v>539</v>
      </c>
      <c r="B443" t="s">
        <v>79</v>
      </c>
      <c r="I443" t="s">
        <v>540</v>
      </c>
      <c r="J443" t="s">
        <v>150</v>
      </c>
    </row>
    <row r="444" spans="1:60" x14ac:dyDescent="0.25">
      <c r="A444" t="s">
        <v>113</v>
      </c>
      <c r="C444" t="s">
        <v>847</v>
      </c>
      <c r="X444">
        <v>3</v>
      </c>
      <c r="AA444">
        <v>9</v>
      </c>
      <c r="AD444">
        <v>3</v>
      </c>
    </row>
    <row r="445" spans="1:60" x14ac:dyDescent="0.25">
      <c r="A445" t="s">
        <v>114</v>
      </c>
      <c r="C445" t="s">
        <v>877</v>
      </c>
      <c r="X445">
        <v>0</v>
      </c>
      <c r="AA445">
        <v>0</v>
      </c>
      <c r="AD445">
        <v>0</v>
      </c>
    </row>
    <row r="447" spans="1:60" x14ac:dyDescent="0.25">
      <c r="A447" t="s">
        <v>115</v>
      </c>
      <c r="C447" t="s">
        <v>847</v>
      </c>
      <c r="X447">
        <v>7</v>
      </c>
      <c r="AA447">
        <v>0</v>
      </c>
      <c r="AC447">
        <v>19</v>
      </c>
    </row>
    <row r="448" spans="1:60" x14ac:dyDescent="0.25">
      <c r="A448" t="s">
        <v>116</v>
      </c>
      <c r="C448" t="s">
        <v>877</v>
      </c>
      <c r="X448">
        <v>10</v>
      </c>
      <c r="AA448">
        <v>4</v>
      </c>
      <c r="AD448">
        <v>10</v>
      </c>
    </row>
    <row r="450" spans="1:50" x14ac:dyDescent="0.25">
      <c r="A450" t="s">
        <v>117</v>
      </c>
      <c r="P450" t="s">
        <v>632</v>
      </c>
      <c r="R450" t="s">
        <v>632</v>
      </c>
      <c r="T450" t="s">
        <v>632</v>
      </c>
    </row>
    <row r="451" spans="1:50" x14ac:dyDescent="0.25">
      <c r="A451" t="s">
        <v>118</v>
      </c>
      <c r="P451" t="s">
        <v>728</v>
      </c>
    </row>
    <row r="452" spans="1:50" x14ac:dyDescent="0.25">
      <c r="A452" t="s">
        <v>119</v>
      </c>
      <c r="P452">
        <v>0</v>
      </c>
      <c r="AL452">
        <v>0</v>
      </c>
    </row>
    <row r="453" spans="1:50" x14ac:dyDescent="0.25">
      <c r="A453" t="s">
        <v>120</v>
      </c>
      <c r="B453" t="s">
        <v>121</v>
      </c>
      <c r="H453">
        <v>0</v>
      </c>
      <c r="AH453">
        <v>280</v>
      </c>
    </row>
    <row r="454" spans="1:50" x14ac:dyDescent="0.25">
      <c r="A454" t="s">
        <v>122</v>
      </c>
      <c r="I454">
        <v>0</v>
      </c>
      <c r="K454">
        <v>1207</v>
      </c>
      <c r="AE454">
        <v>890</v>
      </c>
    </row>
    <row r="455" spans="1:50" x14ac:dyDescent="0.25">
      <c r="A455" t="s">
        <v>123</v>
      </c>
      <c r="O455">
        <v>0</v>
      </c>
      <c r="AI455">
        <v>110</v>
      </c>
    </row>
    <row r="456" spans="1:50" x14ac:dyDescent="0.25">
      <c r="A456" t="s">
        <v>124</v>
      </c>
      <c r="M456">
        <v>-60</v>
      </c>
      <c r="AF456">
        <v>-120</v>
      </c>
    </row>
    <row r="457" spans="1:50" x14ac:dyDescent="0.25">
      <c r="A457" t="s">
        <v>125</v>
      </c>
      <c r="L457">
        <v>-200</v>
      </c>
      <c r="AE457">
        <v>-280</v>
      </c>
    </row>
    <row r="460" spans="1:50" x14ac:dyDescent="0.25">
      <c r="A460" t="s">
        <v>539</v>
      </c>
      <c r="B460" t="s">
        <v>79</v>
      </c>
      <c r="I460" t="s">
        <v>705</v>
      </c>
      <c r="J460" t="s">
        <v>740</v>
      </c>
      <c r="N460" t="s">
        <v>706</v>
      </c>
      <c r="O460" t="s">
        <v>740</v>
      </c>
    </row>
    <row r="461" spans="1:50" x14ac:dyDescent="0.25">
      <c r="A461" t="s">
        <v>113</v>
      </c>
      <c r="C461" t="s">
        <v>877</v>
      </c>
      <c r="X461">
        <v>3</v>
      </c>
      <c r="Z461">
        <v>16</v>
      </c>
      <c r="AD461">
        <v>3</v>
      </c>
      <c r="AR461">
        <v>3</v>
      </c>
      <c r="AT461">
        <v>16</v>
      </c>
      <c r="AX461">
        <v>3</v>
      </c>
    </row>
    <row r="462" spans="1:50" x14ac:dyDescent="0.25">
      <c r="A462" t="s">
        <v>114</v>
      </c>
      <c r="C462" t="s">
        <v>847</v>
      </c>
      <c r="X462">
        <v>0</v>
      </c>
      <c r="AA462">
        <v>0</v>
      </c>
      <c r="AD462">
        <v>0</v>
      </c>
      <c r="AR462">
        <v>0</v>
      </c>
      <c r="AU462">
        <v>2</v>
      </c>
      <c r="AX462">
        <v>0</v>
      </c>
    </row>
    <row r="464" spans="1:50" x14ac:dyDescent="0.25">
      <c r="A464" t="s">
        <v>115</v>
      </c>
      <c r="C464" t="s">
        <v>847</v>
      </c>
      <c r="X464">
        <v>3</v>
      </c>
      <c r="AA464">
        <v>0</v>
      </c>
      <c r="AD464">
        <v>3</v>
      </c>
      <c r="AR464">
        <v>3</v>
      </c>
      <c r="AU464">
        <v>0</v>
      </c>
      <c r="AX464">
        <v>4</v>
      </c>
    </row>
    <row r="465" spans="1:60" x14ac:dyDescent="0.25">
      <c r="A465" t="s">
        <v>116</v>
      </c>
      <c r="C465" t="s">
        <v>877</v>
      </c>
      <c r="W465">
        <v>16</v>
      </c>
      <c r="AA465">
        <v>3</v>
      </c>
      <c r="AC465">
        <v>16</v>
      </c>
      <c r="AQ465">
        <v>16</v>
      </c>
      <c r="AU465">
        <v>3</v>
      </c>
      <c r="AW465">
        <v>16</v>
      </c>
    </row>
    <row r="467" spans="1:60" x14ac:dyDescent="0.25">
      <c r="A467" t="s">
        <v>117</v>
      </c>
      <c r="P467" t="s">
        <v>452</v>
      </c>
      <c r="R467" t="s">
        <v>452</v>
      </c>
      <c r="T467" t="s">
        <v>452</v>
      </c>
      <c r="X467" t="s">
        <v>452</v>
      </c>
      <c r="Z467" t="s">
        <v>453</v>
      </c>
      <c r="AB467" t="s">
        <v>453</v>
      </c>
    </row>
    <row r="468" spans="1:60" x14ac:dyDescent="0.25">
      <c r="A468" t="s">
        <v>118</v>
      </c>
      <c r="P468" t="s">
        <v>728</v>
      </c>
      <c r="AJ468" t="s">
        <v>728</v>
      </c>
    </row>
    <row r="469" spans="1:60" x14ac:dyDescent="0.25">
      <c r="A469" t="s">
        <v>119</v>
      </c>
      <c r="P469">
        <v>0</v>
      </c>
      <c r="AL469">
        <v>0</v>
      </c>
      <c r="BH469">
        <v>0</v>
      </c>
    </row>
    <row r="470" spans="1:60" x14ac:dyDescent="0.25">
      <c r="A470" t="s">
        <v>120</v>
      </c>
      <c r="B470" t="s">
        <v>121</v>
      </c>
      <c r="F470">
        <v>200</v>
      </c>
      <c r="BC470">
        <v>280</v>
      </c>
    </row>
    <row r="471" spans="1:60" x14ac:dyDescent="0.25">
      <c r="A471" t="s">
        <v>122</v>
      </c>
      <c r="F471">
        <v>1207</v>
      </c>
      <c r="I471">
        <v>890</v>
      </c>
      <c r="AC471">
        <v>850</v>
      </c>
      <c r="AW471">
        <v>850</v>
      </c>
    </row>
    <row r="472" spans="1:60" x14ac:dyDescent="0.25">
      <c r="A472" t="s">
        <v>123</v>
      </c>
      <c r="M472">
        <v>110</v>
      </c>
      <c r="AG472">
        <v>110</v>
      </c>
      <c r="BA472">
        <v>110</v>
      </c>
    </row>
    <row r="473" spans="1:60" x14ac:dyDescent="0.25">
      <c r="A473" t="s">
        <v>124</v>
      </c>
      <c r="L473">
        <v>-120</v>
      </c>
      <c r="AE473">
        <v>-120</v>
      </c>
      <c r="AX473">
        <v>-120</v>
      </c>
    </row>
    <row r="474" spans="1:60" x14ac:dyDescent="0.25">
      <c r="A474" t="s">
        <v>125</v>
      </c>
      <c r="L474">
        <v>-280</v>
      </c>
      <c r="AE474">
        <v>-280</v>
      </c>
      <c r="AX474">
        <v>-280</v>
      </c>
    </row>
    <row r="477" spans="1:60" x14ac:dyDescent="0.25">
      <c r="A477" t="s">
        <v>539</v>
      </c>
      <c r="B477" t="s">
        <v>79</v>
      </c>
      <c r="I477" t="s">
        <v>704</v>
      </c>
      <c r="J477" t="s">
        <v>740</v>
      </c>
    </row>
    <row r="478" spans="1:60" x14ac:dyDescent="0.25">
      <c r="A478" t="s">
        <v>113</v>
      </c>
      <c r="C478" t="s">
        <v>877</v>
      </c>
      <c r="X478">
        <v>3</v>
      </c>
      <c r="AA478">
        <v>3</v>
      </c>
      <c r="AD478">
        <v>3</v>
      </c>
    </row>
    <row r="479" spans="1:60" x14ac:dyDescent="0.25">
      <c r="A479" t="s">
        <v>114</v>
      </c>
      <c r="C479" t="s">
        <v>877</v>
      </c>
      <c r="X479">
        <v>0</v>
      </c>
      <c r="AA479">
        <v>0</v>
      </c>
      <c r="AD479">
        <v>0</v>
      </c>
    </row>
    <row r="481" spans="1:50" x14ac:dyDescent="0.25">
      <c r="A481" t="s">
        <v>115</v>
      </c>
      <c r="C481" t="s">
        <v>877</v>
      </c>
      <c r="X481">
        <v>0</v>
      </c>
      <c r="AA481">
        <v>0</v>
      </c>
      <c r="AD481">
        <v>0</v>
      </c>
    </row>
    <row r="482" spans="1:50" x14ac:dyDescent="0.25">
      <c r="A482" t="s">
        <v>116</v>
      </c>
      <c r="C482" t="s">
        <v>847</v>
      </c>
      <c r="X482">
        <v>3</v>
      </c>
      <c r="AA482">
        <v>4</v>
      </c>
      <c r="AD482">
        <v>5</v>
      </c>
    </row>
    <row r="484" spans="1:50" x14ac:dyDescent="0.25">
      <c r="A484" t="s">
        <v>117</v>
      </c>
      <c r="P484" t="s">
        <v>454</v>
      </c>
      <c r="R484" t="s">
        <v>454</v>
      </c>
      <c r="T484" t="s">
        <v>454</v>
      </c>
    </row>
    <row r="485" spans="1:50" x14ac:dyDescent="0.25">
      <c r="A485" t="s">
        <v>118</v>
      </c>
      <c r="P485" t="s">
        <v>739</v>
      </c>
    </row>
    <row r="486" spans="1:50" x14ac:dyDescent="0.25">
      <c r="A486" t="s">
        <v>119</v>
      </c>
      <c r="P486">
        <v>0</v>
      </c>
      <c r="AL486">
        <v>0</v>
      </c>
    </row>
    <row r="487" spans="1:50" x14ac:dyDescent="0.25">
      <c r="A487" t="s">
        <v>120</v>
      </c>
      <c r="B487" t="s">
        <v>121</v>
      </c>
      <c r="F487">
        <v>280</v>
      </c>
      <c r="AF487">
        <v>200</v>
      </c>
    </row>
    <row r="488" spans="1:50" x14ac:dyDescent="0.25">
      <c r="A488" t="s">
        <v>122</v>
      </c>
      <c r="G488">
        <v>850</v>
      </c>
      <c r="J488">
        <v>850</v>
      </c>
      <c r="AD488">
        <v>852</v>
      </c>
    </row>
    <row r="489" spans="1:50" x14ac:dyDescent="0.25">
      <c r="A489" t="s">
        <v>123</v>
      </c>
      <c r="M489">
        <v>110</v>
      </c>
      <c r="AG489">
        <v>110</v>
      </c>
    </row>
    <row r="490" spans="1:50" x14ac:dyDescent="0.25">
      <c r="A490" t="s">
        <v>124</v>
      </c>
      <c r="L490">
        <v>-120</v>
      </c>
      <c r="AE490">
        <v>-120</v>
      </c>
    </row>
    <row r="491" spans="1:50" x14ac:dyDescent="0.25">
      <c r="A491" t="s">
        <v>125</v>
      </c>
      <c r="L491">
        <v>-280</v>
      </c>
      <c r="AE491">
        <v>-280</v>
      </c>
    </row>
    <row r="494" spans="1:50" x14ac:dyDescent="0.25">
      <c r="A494" t="s">
        <v>539</v>
      </c>
      <c r="B494" t="s">
        <v>79</v>
      </c>
      <c r="I494" t="s">
        <v>541</v>
      </c>
      <c r="J494" t="s">
        <v>150</v>
      </c>
      <c r="N494" t="s">
        <v>542</v>
      </c>
      <c r="O494" t="s">
        <v>150</v>
      </c>
    </row>
    <row r="495" spans="1:50" x14ac:dyDescent="0.25">
      <c r="A495" t="s">
        <v>113</v>
      </c>
      <c r="C495" t="s">
        <v>877</v>
      </c>
      <c r="X495">
        <v>8</v>
      </c>
      <c r="AA495">
        <v>10</v>
      </c>
      <c r="AD495">
        <v>10</v>
      </c>
      <c r="AR495">
        <v>4</v>
      </c>
      <c r="AU495">
        <v>10</v>
      </c>
      <c r="AX495">
        <v>5</v>
      </c>
    </row>
    <row r="496" spans="1:50" x14ac:dyDescent="0.25">
      <c r="A496" t="s">
        <v>114</v>
      </c>
      <c r="C496" t="s">
        <v>877</v>
      </c>
      <c r="X496">
        <v>0</v>
      </c>
      <c r="Z496">
        <v>21</v>
      </c>
      <c r="AD496">
        <v>0</v>
      </c>
      <c r="AR496">
        <v>0</v>
      </c>
      <c r="AT496">
        <v>16</v>
      </c>
      <c r="AX496">
        <v>0</v>
      </c>
    </row>
    <row r="498" spans="1:60" x14ac:dyDescent="0.25">
      <c r="A498" t="s">
        <v>115</v>
      </c>
      <c r="C498" t="s">
        <v>847</v>
      </c>
      <c r="W498">
        <v>17</v>
      </c>
      <c r="AA498">
        <v>0</v>
      </c>
      <c r="AD498">
        <v>0</v>
      </c>
      <c r="AR498">
        <v>7</v>
      </c>
      <c r="AU498">
        <v>10</v>
      </c>
      <c r="AX498">
        <v>10</v>
      </c>
    </row>
    <row r="499" spans="1:60" x14ac:dyDescent="0.25">
      <c r="A499" t="s">
        <v>116</v>
      </c>
      <c r="C499" t="s">
        <v>877</v>
      </c>
      <c r="X499">
        <v>10</v>
      </c>
      <c r="AA499">
        <v>3</v>
      </c>
      <c r="AD499">
        <v>4</v>
      </c>
      <c r="AR499">
        <v>10</v>
      </c>
      <c r="AU499">
        <v>10</v>
      </c>
      <c r="AX499">
        <v>10</v>
      </c>
    </row>
    <row r="501" spans="1:60" x14ac:dyDescent="0.25">
      <c r="A501" t="s">
        <v>117</v>
      </c>
      <c r="P501" t="s">
        <v>733</v>
      </c>
      <c r="R501" t="s">
        <v>452</v>
      </c>
      <c r="T501" t="s">
        <v>454</v>
      </c>
      <c r="X501" t="s">
        <v>634</v>
      </c>
      <c r="Z501" t="s">
        <v>634</v>
      </c>
      <c r="AB501" t="s">
        <v>632</v>
      </c>
    </row>
    <row r="502" spans="1:60" x14ac:dyDescent="0.25">
      <c r="A502" t="s">
        <v>118</v>
      </c>
      <c r="P502" t="s">
        <v>727</v>
      </c>
      <c r="AJ502" t="s">
        <v>739</v>
      </c>
    </row>
    <row r="503" spans="1:60" x14ac:dyDescent="0.25">
      <c r="A503" t="s">
        <v>119</v>
      </c>
      <c r="P503">
        <v>0</v>
      </c>
      <c r="AL503">
        <v>0</v>
      </c>
      <c r="BH503">
        <v>0</v>
      </c>
    </row>
    <row r="504" spans="1:60" x14ac:dyDescent="0.25">
      <c r="A504" t="s">
        <v>120</v>
      </c>
      <c r="B504" t="s">
        <v>121</v>
      </c>
      <c r="F504">
        <v>280</v>
      </c>
      <c r="BC504">
        <v>200</v>
      </c>
    </row>
    <row r="505" spans="1:60" x14ac:dyDescent="0.25">
      <c r="A505" t="s">
        <v>122</v>
      </c>
      <c r="G505">
        <v>850</v>
      </c>
      <c r="J505">
        <v>852</v>
      </c>
      <c r="AD505">
        <v>851</v>
      </c>
      <c r="AX505">
        <v>830</v>
      </c>
    </row>
    <row r="506" spans="1:60" x14ac:dyDescent="0.25">
      <c r="A506" t="s">
        <v>123</v>
      </c>
      <c r="M506">
        <v>110</v>
      </c>
      <c r="AG506">
        <v>110</v>
      </c>
      <c r="BA506">
        <v>110</v>
      </c>
    </row>
    <row r="507" spans="1:60" x14ac:dyDescent="0.25">
      <c r="A507" t="s">
        <v>124</v>
      </c>
      <c r="L507">
        <v>-120</v>
      </c>
      <c r="AF507">
        <v>-80</v>
      </c>
      <c r="AZ507">
        <v>-80</v>
      </c>
    </row>
    <row r="508" spans="1:60" x14ac:dyDescent="0.25">
      <c r="A508" t="s">
        <v>125</v>
      </c>
      <c r="L508">
        <v>-280</v>
      </c>
      <c r="AE508">
        <v>-200</v>
      </c>
      <c r="AX508">
        <v>-200</v>
      </c>
    </row>
    <row r="511" spans="1:60" x14ac:dyDescent="0.25">
      <c r="A511" t="s">
        <v>539</v>
      </c>
      <c r="B511" t="s">
        <v>79</v>
      </c>
      <c r="I511" t="s">
        <v>543</v>
      </c>
      <c r="J511" t="s">
        <v>150</v>
      </c>
      <c r="N511" t="s">
        <v>544</v>
      </c>
      <c r="O511" t="s">
        <v>150</v>
      </c>
    </row>
    <row r="512" spans="1:60" x14ac:dyDescent="0.25">
      <c r="A512" t="s">
        <v>113</v>
      </c>
      <c r="C512" t="s">
        <v>847</v>
      </c>
      <c r="X512">
        <v>10</v>
      </c>
      <c r="AA512">
        <v>10</v>
      </c>
      <c r="AD512">
        <v>10</v>
      </c>
      <c r="AR512">
        <v>6</v>
      </c>
      <c r="AU512">
        <v>10</v>
      </c>
      <c r="AX512">
        <v>10</v>
      </c>
    </row>
    <row r="513" spans="1:60" x14ac:dyDescent="0.25">
      <c r="A513" t="s">
        <v>114</v>
      </c>
      <c r="C513" t="s">
        <v>877</v>
      </c>
      <c r="W513">
        <v>33</v>
      </c>
      <c r="Z513">
        <v>29</v>
      </c>
      <c r="AD513">
        <v>10</v>
      </c>
      <c r="AR513">
        <v>0</v>
      </c>
      <c r="AT513">
        <v>20</v>
      </c>
      <c r="AX513">
        <v>5</v>
      </c>
    </row>
    <row r="515" spans="1:60" x14ac:dyDescent="0.25">
      <c r="A515" t="s">
        <v>115</v>
      </c>
      <c r="C515" t="s">
        <v>847</v>
      </c>
      <c r="X515">
        <v>0</v>
      </c>
      <c r="AA515">
        <v>0</v>
      </c>
      <c r="AD515">
        <v>0</v>
      </c>
      <c r="AQ515">
        <v>12</v>
      </c>
      <c r="AU515">
        <v>0</v>
      </c>
      <c r="AX515">
        <v>0</v>
      </c>
    </row>
    <row r="516" spans="1:60" x14ac:dyDescent="0.25">
      <c r="A516" t="s">
        <v>116</v>
      </c>
      <c r="C516" t="s">
        <v>877</v>
      </c>
      <c r="X516">
        <v>3</v>
      </c>
      <c r="AA516">
        <v>3</v>
      </c>
      <c r="AD516">
        <v>3</v>
      </c>
      <c r="AR516">
        <v>10</v>
      </c>
      <c r="AU516">
        <v>3</v>
      </c>
      <c r="AX516">
        <v>3</v>
      </c>
    </row>
    <row r="518" spans="1:60" x14ac:dyDescent="0.25">
      <c r="A518" t="s">
        <v>117</v>
      </c>
      <c r="P518" t="s">
        <v>632</v>
      </c>
      <c r="R518" t="s">
        <v>632</v>
      </c>
      <c r="T518" t="s">
        <v>632</v>
      </c>
      <c r="X518" t="s">
        <v>453</v>
      </c>
      <c r="Z518" t="s">
        <v>454</v>
      </c>
      <c r="AB518" t="s">
        <v>454</v>
      </c>
    </row>
    <row r="519" spans="1:60" x14ac:dyDescent="0.25">
      <c r="A519" t="s">
        <v>118</v>
      </c>
      <c r="P519" t="s">
        <v>734</v>
      </c>
      <c r="AJ519" t="s">
        <v>734</v>
      </c>
    </row>
    <row r="520" spans="1:60" x14ac:dyDescent="0.25">
      <c r="A520" t="s">
        <v>119</v>
      </c>
      <c r="P520">
        <v>0</v>
      </c>
      <c r="AL520">
        <v>0</v>
      </c>
      <c r="BH520">
        <v>0</v>
      </c>
    </row>
    <row r="521" spans="1:60" x14ac:dyDescent="0.25">
      <c r="A521" t="s">
        <v>120</v>
      </c>
      <c r="B521" t="s">
        <v>121</v>
      </c>
      <c r="F521">
        <v>200</v>
      </c>
      <c r="BE521">
        <v>0</v>
      </c>
    </row>
    <row r="522" spans="1:60" x14ac:dyDescent="0.25">
      <c r="A522" t="s">
        <v>122</v>
      </c>
      <c r="G522">
        <v>851</v>
      </c>
      <c r="J522">
        <v>830</v>
      </c>
      <c r="AC522">
        <v>1045</v>
      </c>
      <c r="AY522">
        <v>0</v>
      </c>
    </row>
    <row r="523" spans="1:60" x14ac:dyDescent="0.25">
      <c r="A523" t="s">
        <v>123</v>
      </c>
      <c r="M523">
        <v>110</v>
      </c>
      <c r="AG523">
        <v>110</v>
      </c>
      <c r="BA523">
        <v>165</v>
      </c>
    </row>
    <row r="524" spans="1:60" x14ac:dyDescent="0.25">
      <c r="A524" t="s">
        <v>124</v>
      </c>
      <c r="M524">
        <v>-80</v>
      </c>
      <c r="AG524">
        <v>-80</v>
      </c>
      <c r="BA524">
        <v>-60</v>
      </c>
    </row>
    <row r="525" spans="1:60" x14ac:dyDescent="0.25">
      <c r="A525" t="s">
        <v>125</v>
      </c>
      <c r="L525">
        <v>-200</v>
      </c>
      <c r="AE525">
        <v>-200</v>
      </c>
      <c r="AX525">
        <v>-200</v>
      </c>
    </row>
    <row r="528" spans="1:60" x14ac:dyDescent="0.25">
      <c r="A528" t="s">
        <v>156</v>
      </c>
      <c r="B528" t="s">
        <v>79</v>
      </c>
      <c r="H528" t="s">
        <v>545</v>
      </c>
      <c r="I528" t="s">
        <v>150</v>
      </c>
      <c r="L528" t="s">
        <v>707</v>
      </c>
      <c r="M528" t="s">
        <v>740</v>
      </c>
    </row>
    <row r="529" spans="1:60" x14ac:dyDescent="0.25">
      <c r="A529" t="s">
        <v>113</v>
      </c>
      <c r="C529" t="s">
        <v>877</v>
      </c>
      <c r="X529">
        <v>3</v>
      </c>
      <c r="AA529">
        <v>6</v>
      </c>
      <c r="AD529">
        <v>7</v>
      </c>
      <c r="AR529">
        <v>3</v>
      </c>
      <c r="AT529">
        <v>13</v>
      </c>
      <c r="AX529">
        <v>3</v>
      </c>
    </row>
    <row r="530" spans="1:60" x14ac:dyDescent="0.25">
      <c r="A530" t="s">
        <v>114</v>
      </c>
      <c r="C530" t="s">
        <v>847</v>
      </c>
      <c r="X530">
        <v>0</v>
      </c>
      <c r="AA530">
        <v>0</v>
      </c>
      <c r="AD530">
        <v>0</v>
      </c>
      <c r="AR530">
        <v>0</v>
      </c>
      <c r="AU530">
        <v>0</v>
      </c>
      <c r="AX530">
        <v>0</v>
      </c>
    </row>
    <row r="532" spans="1:60" x14ac:dyDescent="0.25">
      <c r="A532" t="s">
        <v>115</v>
      </c>
      <c r="C532" t="s">
        <v>847</v>
      </c>
      <c r="X532">
        <v>0</v>
      </c>
      <c r="AA532">
        <v>0</v>
      </c>
      <c r="AD532">
        <v>0</v>
      </c>
      <c r="AR532">
        <v>0</v>
      </c>
      <c r="AU532">
        <v>0</v>
      </c>
      <c r="AX532">
        <v>0</v>
      </c>
    </row>
    <row r="533" spans="1:60" x14ac:dyDescent="0.25">
      <c r="A533" t="s">
        <v>116</v>
      </c>
      <c r="C533" t="s">
        <v>877</v>
      </c>
      <c r="X533">
        <v>3</v>
      </c>
      <c r="AA533">
        <v>3</v>
      </c>
      <c r="AD533">
        <v>3</v>
      </c>
      <c r="AQ533">
        <v>16</v>
      </c>
      <c r="AU533">
        <v>3</v>
      </c>
      <c r="AW533">
        <v>16</v>
      </c>
    </row>
    <row r="535" spans="1:60" x14ac:dyDescent="0.25">
      <c r="A535" t="s">
        <v>117</v>
      </c>
      <c r="P535" t="s">
        <v>632</v>
      </c>
      <c r="R535" t="s">
        <v>632</v>
      </c>
      <c r="T535" t="s">
        <v>632</v>
      </c>
      <c r="X535" t="s">
        <v>454</v>
      </c>
      <c r="Z535" t="s">
        <v>454</v>
      </c>
      <c r="AB535" t="s">
        <v>454</v>
      </c>
    </row>
    <row r="536" spans="1:60" x14ac:dyDescent="0.25">
      <c r="A536" t="s">
        <v>118</v>
      </c>
      <c r="P536" t="s">
        <v>734</v>
      </c>
      <c r="AJ536" t="s">
        <v>734</v>
      </c>
    </row>
    <row r="537" spans="1:60" x14ac:dyDescent="0.25">
      <c r="A537" t="s">
        <v>119</v>
      </c>
      <c r="P537">
        <v>0</v>
      </c>
      <c r="AL537">
        <v>0</v>
      </c>
      <c r="BH537">
        <v>0</v>
      </c>
    </row>
    <row r="538" spans="1:60" x14ac:dyDescent="0.25">
      <c r="A538" t="s">
        <v>120</v>
      </c>
      <c r="B538" t="s">
        <v>121</v>
      </c>
      <c r="F538">
        <v>280</v>
      </c>
      <c r="BC538">
        <v>200</v>
      </c>
    </row>
    <row r="539" spans="1:60" x14ac:dyDescent="0.25">
      <c r="A539" t="s">
        <v>122</v>
      </c>
      <c r="F539">
        <v>1110</v>
      </c>
      <c r="I539">
        <v>677</v>
      </c>
      <c r="AB539">
        <v>1110</v>
      </c>
      <c r="AV539">
        <v>677</v>
      </c>
    </row>
    <row r="540" spans="1:60" x14ac:dyDescent="0.25">
      <c r="A540" t="s">
        <v>123</v>
      </c>
      <c r="N540">
        <v>81</v>
      </c>
      <c r="AJ540">
        <v>0</v>
      </c>
      <c r="BE540">
        <v>80</v>
      </c>
    </row>
    <row r="541" spans="1:60" x14ac:dyDescent="0.25">
      <c r="A541" t="s">
        <v>124</v>
      </c>
      <c r="L541">
        <v>-120</v>
      </c>
      <c r="AE541">
        <v>-120</v>
      </c>
      <c r="AX541">
        <v>-120</v>
      </c>
    </row>
    <row r="542" spans="1:60" x14ac:dyDescent="0.25">
      <c r="A542" t="s">
        <v>125</v>
      </c>
      <c r="L542">
        <v>-280</v>
      </c>
      <c r="AE542">
        <v>-280</v>
      </c>
      <c r="AX542">
        <v>-280</v>
      </c>
    </row>
    <row r="545" spans="1:60" x14ac:dyDescent="0.25">
      <c r="A545" t="s">
        <v>546</v>
      </c>
      <c r="B545" t="s">
        <v>79</v>
      </c>
      <c r="H545" t="s">
        <v>547</v>
      </c>
      <c r="I545" t="s">
        <v>150</v>
      </c>
      <c r="M545" t="s">
        <v>713</v>
      </c>
      <c r="N545" t="s">
        <v>740</v>
      </c>
    </row>
    <row r="546" spans="1:60" x14ac:dyDescent="0.25">
      <c r="A546" t="s">
        <v>113</v>
      </c>
      <c r="C546" t="s">
        <v>877</v>
      </c>
      <c r="X546">
        <v>10</v>
      </c>
      <c r="AA546">
        <v>10</v>
      </c>
      <c r="AD546">
        <v>10</v>
      </c>
      <c r="AQ546">
        <v>16</v>
      </c>
      <c r="AT546">
        <v>16</v>
      </c>
      <c r="AW546">
        <v>13</v>
      </c>
    </row>
    <row r="547" spans="1:60" x14ac:dyDescent="0.25">
      <c r="A547" t="s">
        <v>114</v>
      </c>
      <c r="C547" t="s">
        <v>877</v>
      </c>
      <c r="W547">
        <v>17</v>
      </c>
      <c r="Z547">
        <v>17</v>
      </c>
      <c r="AD547">
        <v>4</v>
      </c>
      <c r="AR547">
        <v>8</v>
      </c>
      <c r="AU547">
        <v>8</v>
      </c>
      <c r="AX547">
        <v>0</v>
      </c>
    </row>
    <row r="549" spans="1:60" x14ac:dyDescent="0.25">
      <c r="A549" t="s">
        <v>115</v>
      </c>
      <c r="C549" t="s">
        <v>877</v>
      </c>
      <c r="X549">
        <v>0</v>
      </c>
      <c r="AA549">
        <v>0</v>
      </c>
      <c r="AD549">
        <v>0</v>
      </c>
      <c r="AR549">
        <v>0</v>
      </c>
      <c r="AU549">
        <v>0</v>
      </c>
      <c r="AX549">
        <v>0</v>
      </c>
    </row>
    <row r="550" spans="1:60" x14ac:dyDescent="0.25">
      <c r="A550" t="s">
        <v>116</v>
      </c>
      <c r="C550" t="s">
        <v>847</v>
      </c>
      <c r="X550">
        <v>3</v>
      </c>
      <c r="AA550">
        <v>3</v>
      </c>
      <c r="AD550">
        <v>3</v>
      </c>
      <c r="AR550">
        <v>3</v>
      </c>
      <c r="AU550">
        <v>3</v>
      </c>
      <c r="AX550">
        <v>3</v>
      </c>
    </row>
    <row r="552" spans="1:60" x14ac:dyDescent="0.25">
      <c r="A552" t="s">
        <v>117</v>
      </c>
      <c r="P552" t="s">
        <v>632</v>
      </c>
      <c r="R552" t="s">
        <v>632</v>
      </c>
      <c r="T552" t="s">
        <v>632</v>
      </c>
      <c r="X552" t="s">
        <v>454</v>
      </c>
      <c r="Z552" t="s">
        <v>454</v>
      </c>
      <c r="AB552" t="s">
        <v>454</v>
      </c>
    </row>
    <row r="553" spans="1:60" x14ac:dyDescent="0.25">
      <c r="A553" t="s">
        <v>118</v>
      </c>
      <c r="P553" t="s">
        <v>734</v>
      </c>
      <c r="AJ553" t="s">
        <v>727</v>
      </c>
    </row>
    <row r="554" spans="1:60" x14ac:dyDescent="0.25">
      <c r="A554" t="s">
        <v>119</v>
      </c>
      <c r="P554">
        <v>0</v>
      </c>
      <c r="AL554">
        <v>0</v>
      </c>
      <c r="BH554">
        <v>0</v>
      </c>
    </row>
    <row r="555" spans="1:60" x14ac:dyDescent="0.25">
      <c r="A555" t="s">
        <v>120</v>
      </c>
      <c r="B555" t="s">
        <v>121</v>
      </c>
      <c r="H555">
        <v>0</v>
      </c>
      <c r="BE555">
        <v>280</v>
      </c>
    </row>
    <row r="556" spans="1:60" x14ac:dyDescent="0.25">
      <c r="A556" t="s">
        <v>122</v>
      </c>
      <c r="I556">
        <v>0</v>
      </c>
      <c r="L556">
        <v>683</v>
      </c>
      <c r="AE556">
        <v>1032</v>
      </c>
      <c r="AX556">
        <v>1303</v>
      </c>
    </row>
    <row r="557" spans="1:60" x14ac:dyDescent="0.25">
      <c r="A557" t="s">
        <v>123</v>
      </c>
      <c r="O557">
        <v>0</v>
      </c>
      <c r="AI557">
        <v>112</v>
      </c>
      <c r="BC557">
        <v>114</v>
      </c>
    </row>
    <row r="558" spans="1:60" x14ac:dyDescent="0.25">
      <c r="A558" t="s">
        <v>124</v>
      </c>
      <c r="L558">
        <v>-120</v>
      </c>
      <c r="AE558">
        <v>-120</v>
      </c>
      <c r="AX558">
        <v>-120</v>
      </c>
    </row>
    <row r="559" spans="1:60" x14ac:dyDescent="0.25">
      <c r="A559" t="s">
        <v>125</v>
      </c>
      <c r="L559">
        <v>-280</v>
      </c>
      <c r="AE559">
        <v>-280</v>
      </c>
      <c r="AX559">
        <v>-280</v>
      </c>
    </row>
    <row r="562" spans="1:60" x14ac:dyDescent="0.25">
      <c r="A562" t="s">
        <v>546</v>
      </c>
      <c r="B562" t="s">
        <v>79</v>
      </c>
      <c r="H562" t="s">
        <v>702</v>
      </c>
      <c r="I562" t="s">
        <v>740</v>
      </c>
      <c r="M562" t="s">
        <v>548</v>
      </c>
      <c r="N562" t="s">
        <v>150</v>
      </c>
    </row>
    <row r="563" spans="1:60" x14ac:dyDescent="0.25">
      <c r="A563" t="s">
        <v>113</v>
      </c>
      <c r="C563" t="s">
        <v>877</v>
      </c>
      <c r="X563">
        <v>3</v>
      </c>
      <c r="Z563">
        <v>13</v>
      </c>
      <c r="AC563">
        <v>11</v>
      </c>
      <c r="AR563">
        <v>3</v>
      </c>
      <c r="AU563">
        <v>9</v>
      </c>
      <c r="AX563">
        <v>3</v>
      </c>
    </row>
    <row r="564" spans="1:60" x14ac:dyDescent="0.25">
      <c r="A564" t="s">
        <v>114</v>
      </c>
      <c r="C564" t="s">
        <v>877</v>
      </c>
      <c r="X564">
        <v>0</v>
      </c>
      <c r="AA564">
        <v>0</v>
      </c>
      <c r="AD564">
        <v>0</v>
      </c>
      <c r="AR564">
        <v>0</v>
      </c>
      <c r="AU564">
        <v>2</v>
      </c>
      <c r="AX564">
        <v>0</v>
      </c>
    </row>
    <row r="566" spans="1:60" x14ac:dyDescent="0.25">
      <c r="A566" t="s">
        <v>115</v>
      </c>
      <c r="C566" t="s">
        <v>847</v>
      </c>
      <c r="X566">
        <v>0</v>
      </c>
      <c r="AA566">
        <v>0</v>
      </c>
      <c r="AD566">
        <v>0</v>
      </c>
      <c r="AR566">
        <v>6</v>
      </c>
      <c r="AU566">
        <v>0</v>
      </c>
      <c r="AX566">
        <v>2</v>
      </c>
    </row>
    <row r="567" spans="1:60" x14ac:dyDescent="0.25">
      <c r="A567" t="s">
        <v>116</v>
      </c>
      <c r="C567" t="s">
        <v>877</v>
      </c>
      <c r="W567">
        <v>12</v>
      </c>
      <c r="AA567">
        <v>4</v>
      </c>
      <c r="AC567">
        <v>13</v>
      </c>
      <c r="AR567">
        <v>10</v>
      </c>
      <c r="AU567">
        <v>5</v>
      </c>
      <c r="AX567">
        <v>9</v>
      </c>
    </row>
    <row r="569" spans="1:60" x14ac:dyDescent="0.25">
      <c r="A569" t="s">
        <v>117</v>
      </c>
      <c r="P569" t="s">
        <v>454</v>
      </c>
      <c r="R569" t="s">
        <v>454</v>
      </c>
      <c r="T569" t="s">
        <v>454</v>
      </c>
      <c r="X569" t="s">
        <v>632</v>
      </c>
      <c r="Z569" t="s">
        <v>632</v>
      </c>
      <c r="AB569" t="s">
        <v>632</v>
      </c>
    </row>
    <row r="570" spans="1:60" x14ac:dyDescent="0.25">
      <c r="A570" t="s">
        <v>118</v>
      </c>
      <c r="P570" t="s">
        <v>734</v>
      </c>
      <c r="AJ570" t="s">
        <v>734</v>
      </c>
    </row>
    <row r="571" spans="1:60" x14ac:dyDescent="0.25">
      <c r="A571" t="s">
        <v>119</v>
      </c>
      <c r="P571">
        <v>0</v>
      </c>
      <c r="AL571">
        <v>0</v>
      </c>
      <c r="BH571">
        <v>0</v>
      </c>
    </row>
    <row r="572" spans="1:60" x14ac:dyDescent="0.25">
      <c r="A572" t="s">
        <v>120</v>
      </c>
      <c r="B572" t="s">
        <v>121</v>
      </c>
      <c r="F572">
        <v>280</v>
      </c>
      <c r="BC572">
        <v>200</v>
      </c>
    </row>
    <row r="573" spans="1:60" x14ac:dyDescent="0.25">
      <c r="A573" t="s">
        <v>122</v>
      </c>
      <c r="F573">
        <v>1032</v>
      </c>
      <c r="H573">
        <v>1303</v>
      </c>
      <c r="AB573">
        <v>852</v>
      </c>
      <c r="AV573">
        <v>851</v>
      </c>
    </row>
    <row r="574" spans="1:60" x14ac:dyDescent="0.25">
      <c r="A574" t="s">
        <v>123</v>
      </c>
      <c r="M574">
        <v>114</v>
      </c>
      <c r="AG574">
        <v>110</v>
      </c>
      <c r="BA574">
        <v>105</v>
      </c>
    </row>
    <row r="575" spans="1:60" x14ac:dyDescent="0.25">
      <c r="A575" t="s">
        <v>124</v>
      </c>
      <c r="L575">
        <v>-120</v>
      </c>
      <c r="AE575">
        <v>-120</v>
      </c>
      <c r="AY575">
        <v>-80</v>
      </c>
    </row>
    <row r="576" spans="1:60" x14ac:dyDescent="0.25">
      <c r="A576" t="s">
        <v>125</v>
      </c>
      <c r="L576">
        <v>-280</v>
      </c>
      <c r="AE576">
        <v>-280</v>
      </c>
      <c r="AX576">
        <v>-200</v>
      </c>
    </row>
    <row r="579" spans="1:60" x14ac:dyDescent="0.25">
      <c r="A579" t="s">
        <v>546</v>
      </c>
      <c r="B579" t="s">
        <v>79</v>
      </c>
      <c r="H579" t="s">
        <v>549</v>
      </c>
      <c r="I579" t="s">
        <v>150</v>
      </c>
      <c r="M579" t="s">
        <v>550</v>
      </c>
      <c r="N579" t="s">
        <v>150</v>
      </c>
    </row>
    <row r="580" spans="1:60" x14ac:dyDescent="0.25">
      <c r="A580" t="s">
        <v>113</v>
      </c>
      <c r="C580" t="s">
        <v>847</v>
      </c>
      <c r="X580">
        <v>3</v>
      </c>
      <c r="AA580">
        <v>9</v>
      </c>
      <c r="AD580">
        <v>3</v>
      </c>
      <c r="AR580">
        <v>3</v>
      </c>
      <c r="AU580">
        <v>10</v>
      </c>
      <c r="AX580">
        <v>3</v>
      </c>
    </row>
    <row r="581" spans="1:60" x14ac:dyDescent="0.25">
      <c r="A581" t="s">
        <v>114</v>
      </c>
      <c r="C581" t="s">
        <v>877</v>
      </c>
      <c r="X581">
        <v>0</v>
      </c>
      <c r="AA581">
        <v>2</v>
      </c>
      <c r="AD581">
        <v>0</v>
      </c>
      <c r="AR581">
        <v>0</v>
      </c>
      <c r="AU581">
        <v>2</v>
      </c>
      <c r="AX581">
        <v>0</v>
      </c>
    </row>
    <row r="583" spans="1:60" x14ac:dyDescent="0.25">
      <c r="A583" t="s">
        <v>115</v>
      </c>
      <c r="C583" t="s">
        <v>847</v>
      </c>
      <c r="X583">
        <v>0</v>
      </c>
      <c r="AA583">
        <v>0</v>
      </c>
      <c r="AD583">
        <v>7</v>
      </c>
      <c r="AR583">
        <v>5</v>
      </c>
      <c r="AU583">
        <v>0</v>
      </c>
      <c r="AX583">
        <v>5</v>
      </c>
    </row>
    <row r="584" spans="1:60" x14ac:dyDescent="0.25">
      <c r="A584" t="s">
        <v>116</v>
      </c>
      <c r="C584" t="s">
        <v>877</v>
      </c>
      <c r="X584">
        <v>10</v>
      </c>
      <c r="AA584">
        <v>3</v>
      </c>
      <c r="AD584">
        <v>10</v>
      </c>
      <c r="AR584">
        <v>10</v>
      </c>
      <c r="AU584">
        <v>7</v>
      </c>
      <c r="AX584">
        <v>10</v>
      </c>
    </row>
    <row r="586" spans="1:60" x14ac:dyDescent="0.25">
      <c r="A586" t="s">
        <v>117</v>
      </c>
      <c r="P586" t="s">
        <v>632</v>
      </c>
      <c r="R586" t="s">
        <v>633</v>
      </c>
      <c r="T586" t="s">
        <v>454</v>
      </c>
      <c r="X586" t="s">
        <v>632</v>
      </c>
      <c r="Z586" t="s">
        <v>632</v>
      </c>
      <c r="AB586" t="s">
        <v>632</v>
      </c>
    </row>
    <row r="587" spans="1:60" x14ac:dyDescent="0.25">
      <c r="A587" t="s">
        <v>118</v>
      </c>
      <c r="P587" t="s">
        <v>734</v>
      </c>
      <c r="AJ587" t="s">
        <v>739</v>
      </c>
    </row>
    <row r="588" spans="1:60" x14ac:dyDescent="0.25">
      <c r="A588" t="s">
        <v>119</v>
      </c>
      <c r="P588">
        <v>0</v>
      </c>
      <c r="AL588">
        <v>0</v>
      </c>
      <c r="BH588">
        <v>0</v>
      </c>
    </row>
    <row r="589" spans="1:60" x14ac:dyDescent="0.25">
      <c r="A589" t="s">
        <v>120</v>
      </c>
      <c r="B589" t="s">
        <v>121</v>
      </c>
      <c r="F589">
        <v>200</v>
      </c>
      <c r="BC589">
        <v>200</v>
      </c>
    </row>
    <row r="590" spans="1:60" x14ac:dyDescent="0.25">
      <c r="A590" t="s">
        <v>122</v>
      </c>
      <c r="G590">
        <v>852</v>
      </c>
      <c r="J590">
        <v>851</v>
      </c>
      <c r="AD590">
        <v>830</v>
      </c>
      <c r="AW590">
        <v>1045</v>
      </c>
    </row>
    <row r="591" spans="1:60" x14ac:dyDescent="0.25">
      <c r="A591" t="s">
        <v>123</v>
      </c>
      <c r="M591">
        <v>105</v>
      </c>
      <c r="AG591">
        <v>110</v>
      </c>
      <c r="BA591">
        <v>110</v>
      </c>
    </row>
    <row r="592" spans="1:60" x14ac:dyDescent="0.25">
      <c r="A592" t="s">
        <v>124</v>
      </c>
      <c r="M592">
        <v>-80</v>
      </c>
      <c r="AG592">
        <v>-80</v>
      </c>
      <c r="BA592">
        <v>-80</v>
      </c>
    </row>
    <row r="593" spans="1:50" x14ac:dyDescent="0.25">
      <c r="A593" t="s">
        <v>125</v>
      </c>
      <c r="L593">
        <v>-200</v>
      </c>
      <c r="AE593">
        <v>-200</v>
      </c>
      <c r="AX593">
        <v>-200</v>
      </c>
    </row>
    <row r="596" spans="1:50" x14ac:dyDescent="0.25">
      <c r="A596" t="s">
        <v>546</v>
      </c>
      <c r="B596" t="s">
        <v>79</v>
      </c>
      <c r="H596" t="s">
        <v>551</v>
      </c>
      <c r="I596" t="s">
        <v>150</v>
      </c>
    </row>
    <row r="597" spans="1:50" x14ac:dyDescent="0.25">
      <c r="A597" t="s">
        <v>113</v>
      </c>
      <c r="C597" t="s">
        <v>877</v>
      </c>
      <c r="X597">
        <v>5</v>
      </c>
      <c r="AA597">
        <v>10</v>
      </c>
      <c r="AD597">
        <v>10</v>
      </c>
    </row>
    <row r="598" spans="1:50" x14ac:dyDescent="0.25">
      <c r="A598" t="s">
        <v>114</v>
      </c>
      <c r="C598" t="s">
        <v>847</v>
      </c>
      <c r="X598">
        <v>0</v>
      </c>
      <c r="Z598">
        <v>19</v>
      </c>
      <c r="AD598">
        <v>5</v>
      </c>
    </row>
    <row r="600" spans="1:50" x14ac:dyDescent="0.25">
      <c r="A600" t="s">
        <v>115</v>
      </c>
      <c r="C600" t="s">
        <v>847</v>
      </c>
      <c r="W600">
        <v>13</v>
      </c>
      <c r="AA600">
        <v>0</v>
      </c>
      <c r="AD600">
        <v>0</v>
      </c>
    </row>
    <row r="601" spans="1:50" x14ac:dyDescent="0.25">
      <c r="A601" t="s">
        <v>116</v>
      </c>
      <c r="C601" t="s">
        <v>877</v>
      </c>
      <c r="X601">
        <v>10</v>
      </c>
      <c r="AA601">
        <v>3</v>
      </c>
      <c r="AD601">
        <v>3</v>
      </c>
    </row>
    <row r="603" spans="1:50" x14ac:dyDescent="0.25">
      <c r="A603" t="s">
        <v>117</v>
      </c>
      <c r="P603" t="s">
        <v>453</v>
      </c>
      <c r="R603" t="s">
        <v>454</v>
      </c>
      <c r="T603" t="s">
        <v>454</v>
      </c>
    </row>
    <row r="604" spans="1:50" x14ac:dyDescent="0.25">
      <c r="A604" t="s">
        <v>118</v>
      </c>
      <c r="P604" t="s">
        <v>734</v>
      </c>
    </row>
    <row r="605" spans="1:50" x14ac:dyDescent="0.25">
      <c r="A605" t="s">
        <v>119</v>
      </c>
      <c r="P605">
        <v>0</v>
      </c>
      <c r="AL605">
        <v>0</v>
      </c>
    </row>
    <row r="606" spans="1:50" x14ac:dyDescent="0.25">
      <c r="A606" t="s">
        <v>120</v>
      </c>
      <c r="B606" t="s">
        <v>121</v>
      </c>
      <c r="F606">
        <v>200</v>
      </c>
      <c r="AH606">
        <v>0</v>
      </c>
    </row>
    <row r="607" spans="1:50" x14ac:dyDescent="0.25">
      <c r="A607" t="s">
        <v>122</v>
      </c>
      <c r="G607">
        <v>830</v>
      </c>
      <c r="I607">
        <v>1045</v>
      </c>
      <c r="AE607">
        <v>0</v>
      </c>
    </row>
    <row r="608" spans="1:50" x14ac:dyDescent="0.25">
      <c r="A608" t="s">
        <v>123</v>
      </c>
      <c r="M608">
        <v>110</v>
      </c>
      <c r="AG608">
        <v>165</v>
      </c>
    </row>
    <row r="609" spans="1:82" x14ac:dyDescent="0.25">
      <c r="A609" t="s">
        <v>124</v>
      </c>
      <c r="M609">
        <v>-80</v>
      </c>
      <c r="AG609">
        <v>-60</v>
      </c>
    </row>
    <row r="610" spans="1:82" x14ac:dyDescent="0.25">
      <c r="A610" t="s">
        <v>125</v>
      </c>
      <c r="L610">
        <v>-200</v>
      </c>
      <c r="AE610">
        <v>-200</v>
      </c>
    </row>
    <row r="613" spans="1:82" x14ac:dyDescent="0.25">
      <c r="A613" t="s">
        <v>157</v>
      </c>
      <c r="B613" t="s">
        <v>79</v>
      </c>
      <c r="H613" t="s">
        <v>552</v>
      </c>
      <c r="I613" t="s">
        <v>150</v>
      </c>
      <c r="L613" t="s">
        <v>696</v>
      </c>
      <c r="M613" t="s">
        <v>740</v>
      </c>
      <c r="P613" t="s">
        <v>697</v>
      </c>
      <c r="Q613" t="s">
        <v>740</v>
      </c>
    </row>
    <row r="614" spans="1:82" x14ac:dyDescent="0.25">
      <c r="A614" t="s">
        <v>113</v>
      </c>
      <c r="C614" t="s">
        <v>877</v>
      </c>
      <c r="X614">
        <v>10</v>
      </c>
      <c r="AA614">
        <v>10</v>
      </c>
      <c r="AD614">
        <v>10</v>
      </c>
      <c r="AQ614">
        <v>16</v>
      </c>
      <c r="AT614">
        <v>16</v>
      </c>
      <c r="AW614">
        <v>16</v>
      </c>
      <c r="BK614">
        <v>15</v>
      </c>
      <c r="BN614">
        <v>15</v>
      </c>
      <c r="BQ614">
        <v>13</v>
      </c>
    </row>
    <row r="615" spans="1:82" x14ac:dyDescent="0.25">
      <c r="A615" t="s">
        <v>114</v>
      </c>
      <c r="C615" t="s">
        <v>877</v>
      </c>
      <c r="W615">
        <v>14</v>
      </c>
      <c r="Z615">
        <v>14</v>
      </c>
      <c r="AD615">
        <v>3</v>
      </c>
      <c r="AR615">
        <v>8</v>
      </c>
      <c r="AT615">
        <v>21</v>
      </c>
      <c r="AW615">
        <v>20</v>
      </c>
      <c r="BL615">
        <v>0</v>
      </c>
      <c r="BO615">
        <v>0</v>
      </c>
      <c r="BR615">
        <v>0</v>
      </c>
    </row>
    <row r="617" spans="1:82" x14ac:dyDescent="0.25">
      <c r="A617" t="s">
        <v>115</v>
      </c>
      <c r="C617" t="s">
        <v>877</v>
      </c>
      <c r="X617">
        <v>6</v>
      </c>
      <c r="AA617">
        <v>0</v>
      </c>
      <c r="AD617">
        <v>0</v>
      </c>
      <c r="AQ617">
        <v>12</v>
      </c>
      <c r="AU617">
        <v>0</v>
      </c>
      <c r="AX617">
        <v>0</v>
      </c>
      <c r="BK617">
        <v>15</v>
      </c>
      <c r="BO617">
        <v>9</v>
      </c>
      <c r="BR617">
        <v>6</v>
      </c>
    </row>
    <row r="618" spans="1:82" x14ac:dyDescent="0.25">
      <c r="A618" t="s">
        <v>116</v>
      </c>
      <c r="C618" t="s">
        <v>847</v>
      </c>
      <c r="X618">
        <v>10</v>
      </c>
      <c r="AA618">
        <v>5</v>
      </c>
      <c r="AD618">
        <v>7</v>
      </c>
      <c r="AQ618">
        <v>16</v>
      </c>
      <c r="AU618">
        <v>7</v>
      </c>
      <c r="AX618">
        <v>3</v>
      </c>
      <c r="BK618">
        <v>16</v>
      </c>
      <c r="BN618">
        <v>16</v>
      </c>
      <c r="BQ618">
        <v>16</v>
      </c>
    </row>
    <row r="620" spans="1:82" x14ac:dyDescent="0.25">
      <c r="A620" t="s">
        <v>117</v>
      </c>
      <c r="P620" t="s">
        <v>632</v>
      </c>
      <c r="R620" t="s">
        <v>632</v>
      </c>
      <c r="T620" t="s">
        <v>632</v>
      </c>
      <c r="X620" t="s">
        <v>454</v>
      </c>
      <c r="Z620" t="s">
        <v>454</v>
      </c>
      <c r="AB620" t="s">
        <v>454</v>
      </c>
      <c r="AF620" t="s">
        <v>454</v>
      </c>
      <c r="AH620" t="s">
        <v>454</v>
      </c>
      <c r="AJ620" t="s">
        <v>454</v>
      </c>
    </row>
    <row r="621" spans="1:82" x14ac:dyDescent="0.25">
      <c r="A621" t="s">
        <v>118</v>
      </c>
      <c r="P621" t="s">
        <v>734</v>
      </c>
      <c r="AJ621" t="s">
        <v>734</v>
      </c>
      <c r="BD621" t="s">
        <v>739</v>
      </c>
    </row>
    <row r="622" spans="1:82" x14ac:dyDescent="0.25">
      <c r="A622" t="s">
        <v>119</v>
      </c>
      <c r="P622">
        <v>0</v>
      </c>
      <c r="AL622">
        <v>0</v>
      </c>
      <c r="BH622">
        <v>0</v>
      </c>
      <c r="CD622">
        <v>0</v>
      </c>
    </row>
    <row r="623" spans="1:82" x14ac:dyDescent="0.25">
      <c r="A623" t="s">
        <v>120</v>
      </c>
      <c r="B623" t="s">
        <v>121</v>
      </c>
      <c r="F623">
        <v>280</v>
      </c>
      <c r="BZ623">
        <v>200</v>
      </c>
    </row>
    <row r="624" spans="1:82" x14ac:dyDescent="0.25">
      <c r="A624" t="s">
        <v>122</v>
      </c>
      <c r="G624">
        <v>843</v>
      </c>
      <c r="J624">
        <v>652</v>
      </c>
      <c r="AD624">
        <v>843</v>
      </c>
      <c r="AX624">
        <v>960</v>
      </c>
      <c r="BR624">
        <v>879</v>
      </c>
    </row>
    <row r="625" spans="1:74" x14ac:dyDescent="0.25">
      <c r="A625" t="s">
        <v>123</v>
      </c>
      <c r="N625">
        <v>85</v>
      </c>
      <c r="AH625">
        <v>110</v>
      </c>
      <c r="BB625">
        <v>110</v>
      </c>
      <c r="BV625">
        <v>110</v>
      </c>
    </row>
    <row r="626" spans="1:74" x14ac:dyDescent="0.25">
      <c r="A626" t="s">
        <v>124</v>
      </c>
      <c r="L626">
        <v>-120</v>
      </c>
      <c r="AE626">
        <v>-120</v>
      </c>
      <c r="AX626">
        <v>-120</v>
      </c>
      <c r="BR626">
        <v>-80</v>
      </c>
    </row>
    <row r="627" spans="1:74" x14ac:dyDescent="0.25">
      <c r="A627" t="s">
        <v>125</v>
      </c>
      <c r="L627">
        <v>-280</v>
      </c>
      <c r="AE627">
        <v>-280</v>
      </c>
      <c r="AX627">
        <v>-280</v>
      </c>
      <c r="BQ627">
        <v>-200</v>
      </c>
    </row>
    <row r="630" spans="1:74" x14ac:dyDescent="0.25">
      <c r="A630" t="s">
        <v>157</v>
      </c>
      <c r="B630" t="s">
        <v>79</v>
      </c>
      <c r="H630" t="s">
        <v>553</v>
      </c>
      <c r="I630" t="s">
        <v>150</v>
      </c>
      <c r="L630" t="s">
        <v>554</v>
      </c>
      <c r="M630" t="s">
        <v>150</v>
      </c>
    </row>
    <row r="631" spans="1:74" x14ac:dyDescent="0.25">
      <c r="A631" t="s">
        <v>113</v>
      </c>
      <c r="C631" t="s">
        <v>877</v>
      </c>
      <c r="X631">
        <v>4</v>
      </c>
      <c r="AA631">
        <v>10</v>
      </c>
      <c r="AD631">
        <v>10</v>
      </c>
      <c r="AR631">
        <v>4</v>
      </c>
      <c r="AU631">
        <v>10</v>
      </c>
      <c r="AX631">
        <v>3</v>
      </c>
    </row>
    <row r="632" spans="1:74" x14ac:dyDescent="0.25">
      <c r="A632" t="s">
        <v>114</v>
      </c>
      <c r="C632" t="s">
        <v>877</v>
      </c>
      <c r="X632">
        <v>0</v>
      </c>
      <c r="AA632">
        <v>8</v>
      </c>
      <c r="AD632">
        <v>4</v>
      </c>
      <c r="AR632">
        <v>0</v>
      </c>
      <c r="AU632">
        <v>2</v>
      </c>
      <c r="AX632">
        <v>0</v>
      </c>
    </row>
    <row r="634" spans="1:74" x14ac:dyDescent="0.25">
      <c r="A634" t="s">
        <v>115</v>
      </c>
      <c r="C634" t="s">
        <v>847</v>
      </c>
      <c r="X634">
        <v>6</v>
      </c>
      <c r="AA634">
        <v>0</v>
      </c>
      <c r="AC634">
        <v>23</v>
      </c>
      <c r="AR634">
        <v>3</v>
      </c>
      <c r="AU634">
        <v>0</v>
      </c>
      <c r="AX634">
        <v>8</v>
      </c>
    </row>
    <row r="635" spans="1:74" x14ac:dyDescent="0.25">
      <c r="A635" t="s">
        <v>116</v>
      </c>
      <c r="C635" t="s">
        <v>877</v>
      </c>
      <c r="X635">
        <v>10</v>
      </c>
      <c r="AA635">
        <v>10</v>
      </c>
      <c r="AD635">
        <v>10</v>
      </c>
      <c r="AR635">
        <v>10</v>
      </c>
      <c r="AU635">
        <v>5</v>
      </c>
      <c r="AX635">
        <v>10</v>
      </c>
    </row>
    <row r="637" spans="1:74" x14ac:dyDescent="0.25">
      <c r="A637" t="s">
        <v>117</v>
      </c>
      <c r="P637" t="s">
        <v>632</v>
      </c>
      <c r="R637" t="s">
        <v>632</v>
      </c>
      <c r="T637" t="s">
        <v>453</v>
      </c>
      <c r="X637" t="s">
        <v>632</v>
      </c>
      <c r="Z637" t="s">
        <v>632</v>
      </c>
      <c r="AB637" t="s">
        <v>632</v>
      </c>
    </row>
    <row r="638" spans="1:74" x14ac:dyDescent="0.25">
      <c r="A638" t="s">
        <v>118</v>
      </c>
      <c r="P638" t="s">
        <v>875</v>
      </c>
      <c r="AJ638" t="s">
        <v>875</v>
      </c>
    </row>
    <row r="639" spans="1:74" x14ac:dyDescent="0.25">
      <c r="A639" t="s">
        <v>119</v>
      </c>
      <c r="P639">
        <v>0</v>
      </c>
      <c r="AL639">
        <v>0</v>
      </c>
      <c r="BH639">
        <v>0</v>
      </c>
    </row>
    <row r="640" spans="1:74" x14ac:dyDescent="0.25">
      <c r="A640" t="s">
        <v>120</v>
      </c>
      <c r="B640" t="s">
        <v>121</v>
      </c>
      <c r="F640">
        <v>280</v>
      </c>
      <c r="BC640">
        <v>200</v>
      </c>
    </row>
    <row r="641" spans="1:60" x14ac:dyDescent="0.25">
      <c r="A641" t="s">
        <v>122</v>
      </c>
      <c r="G641">
        <v>960</v>
      </c>
      <c r="J641">
        <v>879</v>
      </c>
      <c r="AD641">
        <v>875</v>
      </c>
      <c r="AX641">
        <v>830</v>
      </c>
    </row>
    <row r="642" spans="1:60" x14ac:dyDescent="0.25">
      <c r="A642" t="s">
        <v>123</v>
      </c>
      <c r="M642">
        <v>110</v>
      </c>
      <c r="AG642">
        <v>123</v>
      </c>
      <c r="BA642">
        <v>110</v>
      </c>
    </row>
    <row r="643" spans="1:60" x14ac:dyDescent="0.25">
      <c r="A643" t="s">
        <v>124</v>
      </c>
      <c r="M643">
        <v>-80</v>
      </c>
      <c r="AG643">
        <v>-80</v>
      </c>
      <c r="BA643">
        <v>-80</v>
      </c>
    </row>
    <row r="644" spans="1:60" x14ac:dyDescent="0.25">
      <c r="A644" t="s">
        <v>125</v>
      </c>
      <c r="L644">
        <v>-200</v>
      </c>
      <c r="AE644">
        <v>-200</v>
      </c>
      <c r="AX644">
        <v>-200</v>
      </c>
    </row>
    <row r="647" spans="1:60" x14ac:dyDescent="0.25">
      <c r="A647" t="s">
        <v>157</v>
      </c>
      <c r="B647" t="s">
        <v>79</v>
      </c>
      <c r="H647" t="s">
        <v>555</v>
      </c>
      <c r="I647" t="s">
        <v>150</v>
      </c>
      <c r="M647" t="s">
        <v>556</v>
      </c>
      <c r="N647" t="s">
        <v>150</v>
      </c>
    </row>
    <row r="648" spans="1:60" x14ac:dyDescent="0.25">
      <c r="A648" t="s">
        <v>113</v>
      </c>
      <c r="C648" t="s">
        <v>847</v>
      </c>
      <c r="X648">
        <v>5</v>
      </c>
      <c r="AA648">
        <v>10</v>
      </c>
      <c r="AD648">
        <v>3</v>
      </c>
      <c r="AR648">
        <v>3</v>
      </c>
      <c r="AU648">
        <v>10</v>
      </c>
      <c r="AX648">
        <v>3</v>
      </c>
    </row>
    <row r="649" spans="1:60" x14ac:dyDescent="0.25">
      <c r="A649" t="s">
        <v>114</v>
      </c>
      <c r="C649" t="s">
        <v>877</v>
      </c>
      <c r="X649">
        <v>0</v>
      </c>
      <c r="AA649">
        <v>3</v>
      </c>
      <c r="AD649">
        <v>0</v>
      </c>
      <c r="AR649">
        <v>0</v>
      </c>
      <c r="AU649">
        <v>3</v>
      </c>
      <c r="AX649">
        <v>0</v>
      </c>
    </row>
    <row r="651" spans="1:60" x14ac:dyDescent="0.25">
      <c r="A651" t="s">
        <v>115</v>
      </c>
      <c r="C651" t="s">
        <v>847</v>
      </c>
      <c r="X651">
        <v>0</v>
      </c>
      <c r="AA651">
        <v>0</v>
      </c>
      <c r="AD651">
        <v>6</v>
      </c>
      <c r="AR651">
        <v>9</v>
      </c>
      <c r="AU651">
        <v>0</v>
      </c>
      <c r="AX651">
        <v>5</v>
      </c>
    </row>
    <row r="652" spans="1:60" x14ac:dyDescent="0.25">
      <c r="A652" t="s">
        <v>116</v>
      </c>
      <c r="C652" t="s">
        <v>877</v>
      </c>
      <c r="X652">
        <v>6</v>
      </c>
      <c r="AA652">
        <v>3</v>
      </c>
      <c r="AD652">
        <v>10</v>
      </c>
      <c r="AR652">
        <v>10</v>
      </c>
      <c r="AU652">
        <v>3</v>
      </c>
      <c r="AX652">
        <v>10</v>
      </c>
    </row>
    <row r="654" spans="1:60" x14ac:dyDescent="0.25">
      <c r="A654" t="s">
        <v>117</v>
      </c>
      <c r="P654" t="s">
        <v>632</v>
      </c>
      <c r="R654" t="s">
        <v>632</v>
      </c>
      <c r="T654" t="s">
        <v>632</v>
      </c>
      <c r="X654" t="s">
        <v>452</v>
      </c>
      <c r="Z654" t="s">
        <v>452</v>
      </c>
      <c r="AB654" t="s">
        <v>454</v>
      </c>
    </row>
    <row r="655" spans="1:60" x14ac:dyDescent="0.25">
      <c r="A655" t="s">
        <v>118</v>
      </c>
      <c r="P655" t="s">
        <v>844</v>
      </c>
      <c r="AJ655" t="s">
        <v>844</v>
      </c>
    </row>
    <row r="656" spans="1:60" x14ac:dyDescent="0.25">
      <c r="A656" t="s">
        <v>119</v>
      </c>
      <c r="P656">
        <v>0</v>
      </c>
      <c r="AL656">
        <v>0</v>
      </c>
      <c r="BH656">
        <v>0</v>
      </c>
    </row>
    <row r="657" spans="1:55" x14ac:dyDescent="0.25">
      <c r="A657" t="s">
        <v>120</v>
      </c>
      <c r="B657" t="s">
        <v>121</v>
      </c>
      <c r="F657">
        <v>200</v>
      </c>
      <c r="BC657">
        <v>200</v>
      </c>
    </row>
    <row r="658" spans="1:55" x14ac:dyDescent="0.25">
      <c r="A658" t="s">
        <v>122</v>
      </c>
      <c r="G658">
        <v>875</v>
      </c>
      <c r="J658">
        <v>830</v>
      </c>
      <c r="AC658">
        <v>1045</v>
      </c>
      <c r="AW658">
        <v>830</v>
      </c>
    </row>
    <row r="659" spans="1:55" x14ac:dyDescent="0.25">
      <c r="A659" t="s">
        <v>123</v>
      </c>
      <c r="M659">
        <v>110</v>
      </c>
      <c r="AG659">
        <v>165</v>
      </c>
      <c r="BA659">
        <v>110</v>
      </c>
    </row>
    <row r="660" spans="1:55" x14ac:dyDescent="0.25">
      <c r="A660" t="s">
        <v>124</v>
      </c>
      <c r="M660">
        <v>-80</v>
      </c>
      <c r="AG660">
        <v>-60</v>
      </c>
      <c r="BA660">
        <v>-80</v>
      </c>
    </row>
    <row r="661" spans="1:55" x14ac:dyDescent="0.25">
      <c r="A661" t="s">
        <v>125</v>
      </c>
      <c r="L661">
        <v>-200</v>
      </c>
      <c r="AE661">
        <v>-200</v>
      </c>
      <c r="AX661">
        <v>-200</v>
      </c>
    </row>
    <row r="664" spans="1:55" x14ac:dyDescent="0.25">
      <c r="A664" t="s">
        <v>158</v>
      </c>
      <c r="B664" t="s">
        <v>79</v>
      </c>
      <c r="H664" t="s">
        <v>557</v>
      </c>
      <c r="I664" t="s">
        <v>150</v>
      </c>
      <c r="L664" t="s">
        <v>558</v>
      </c>
      <c r="M664" t="s">
        <v>150</v>
      </c>
    </row>
    <row r="665" spans="1:55" x14ac:dyDescent="0.25">
      <c r="A665" t="s">
        <v>113</v>
      </c>
      <c r="C665" t="s">
        <v>877</v>
      </c>
      <c r="X665">
        <v>10</v>
      </c>
      <c r="AA665">
        <v>10</v>
      </c>
      <c r="AD665">
        <v>5</v>
      </c>
      <c r="AR665">
        <v>6</v>
      </c>
      <c r="AU665">
        <v>10</v>
      </c>
      <c r="AX665">
        <v>10</v>
      </c>
    </row>
    <row r="666" spans="1:55" x14ac:dyDescent="0.25">
      <c r="A666" t="s">
        <v>114</v>
      </c>
      <c r="C666" t="s">
        <v>847</v>
      </c>
      <c r="W666">
        <v>15</v>
      </c>
      <c r="Z666">
        <v>14</v>
      </c>
      <c r="AD666">
        <v>0</v>
      </c>
      <c r="AR666">
        <v>0</v>
      </c>
      <c r="AT666">
        <v>18</v>
      </c>
      <c r="AW666">
        <v>18</v>
      </c>
    </row>
    <row r="668" spans="1:55" x14ac:dyDescent="0.25">
      <c r="A668" t="s">
        <v>115</v>
      </c>
      <c r="C668" t="s">
        <v>847</v>
      </c>
      <c r="X668">
        <v>0</v>
      </c>
      <c r="AA668">
        <v>0</v>
      </c>
      <c r="AD668">
        <v>0</v>
      </c>
      <c r="AQ668">
        <v>25</v>
      </c>
      <c r="AU668">
        <v>0</v>
      </c>
      <c r="AX668">
        <v>0</v>
      </c>
    </row>
    <row r="669" spans="1:55" x14ac:dyDescent="0.25">
      <c r="A669" t="s">
        <v>116</v>
      </c>
      <c r="C669" t="s">
        <v>877</v>
      </c>
      <c r="X669">
        <v>3</v>
      </c>
      <c r="AA669">
        <v>3</v>
      </c>
      <c r="AD669">
        <v>3</v>
      </c>
      <c r="AR669">
        <v>10</v>
      </c>
      <c r="AU669">
        <v>10</v>
      </c>
      <c r="AX669">
        <v>3</v>
      </c>
    </row>
    <row r="671" spans="1:55" x14ac:dyDescent="0.25">
      <c r="A671" t="s">
        <v>117</v>
      </c>
      <c r="P671" t="s">
        <v>632</v>
      </c>
      <c r="R671" t="s">
        <v>634</v>
      </c>
      <c r="T671" t="s">
        <v>634</v>
      </c>
      <c r="X671" t="s">
        <v>632</v>
      </c>
      <c r="Z671" t="s">
        <v>632</v>
      </c>
      <c r="AB671" t="s">
        <v>632</v>
      </c>
    </row>
    <row r="672" spans="1:55" x14ac:dyDescent="0.25">
      <c r="A672" t="s">
        <v>118</v>
      </c>
      <c r="P672" t="s">
        <v>875</v>
      </c>
      <c r="AJ672" t="s">
        <v>729</v>
      </c>
    </row>
    <row r="673" spans="1:60" x14ac:dyDescent="0.25">
      <c r="A673" t="s">
        <v>119</v>
      </c>
      <c r="P673">
        <v>0</v>
      </c>
      <c r="AL673">
        <v>0</v>
      </c>
      <c r="BH673">
        <v>0</v>
      </c>
    </row>
    <row r="674" spans="1:60" x14ac:dyDescent="0.25">
      <c r="A674" t="s">
        <v>120</v>
      </c>
      <c r="B674" t="s">
        <v>121</v>
      </c>
      <c r="F674">
        <v>200</v>
      </c>
      <c r="BC674">
        <v>200</v>
      </c>
    </row>
    <row r="675" spans="1:60" x14ac:dyDescent="0.25">
      <c r="A675" t="s">
        <v>122</v>
      </c>
      <c r="G675">
        <v>846</v>
      </c>
      <c r="J675">
        <v>585</v>
      </c>
      <c r="AD675">
        <v>846</v>
      </c>
      <c r="AX675">
        <v>960</v>
      </c>
    </row>
    <row r="676" spans="1:60" x14ac:dyDescent="0.25">
      <c r="A676" t="s">
        <v>123</v>
      </c>
      <c r="N676">
        <v>85</v>
      </c>
      <c r="AH676">
        <v>110</v>
      </c>
      <c r="BB676">
        <v>110</v>
      </c>
    </row>
    <row r="677" spans="1:60" x14ac:dyDescent="0.25">
      <c r="A677" t="s">
        <v>124</v>
      </c>
      <c r="M677">
        <v>-80</v>
      </c>
      <c r="AG677">
        <v>-80</v>
      </c>
      <c r="BA677">
        <v>-80</v>
      </c>
    </row>
    <row r="678" spans="1:60" x14ac:dyDescent="0.25">
      <c r="A678" t="s">
        <v>125</v>
      </c>
      <c r="L678">
        <v>-200</v>
      </c>
      <c r="AE678">
        <v>-200</v>
      </c>
      <c r="AX678">
        <v>-200</v>
      </c>
    </row>
    <row r="681" spans="1:60" x14ac:dyDescent="0.25">
      <c r="A681" t="s">
        <v>158</v>
      </c>
      <c r="B681" t="s">
        <v>79</v>
      </c>
      <c r="H681" t="s">
        <v>559</v>
      </c>
      <c r="I681" t="s">
        <v>150</v>
      </c>
      <c r="L681" t="s">
        <v>560</v>
      </c>
      <c r="M681" t="s">
        <v>150</v>
      </c>
    </row>
    <row r="682" spans="1:60" x14ac:dyDescent="0.25">
      <c r="A682" t="s">
        <v>113</v>
      </c>
      <c r="C682" t="s">
        <v>877</v>
      </c>
      <c r="X682">
        <v>3</v>
      </c>
      <c r="AA682">
        <v>10</v>
      </c>
      <c r="AD682">
        <v>5</v>
      </c>
      <c r="AR682">
        <v>3</v>
      </c>
      <c r="AU682">
        <v>10</v>
      </c>
      <c r="AX682">
        <v>3</v>
      </c>
    </row>
    <row r="683" spans="1:60" x14ac:dyDescent="0.25">
      <c r="A683" t="s">
        <v>114</v>
      </c>
      <c r="C683" t="s">
        <v>877</v>
      </c>
      <c r="X683">
        <v>0</v>
      </c>
      <c r="Z683">
        <v>14</v>
      </c>
      <c r="AD683">
        <v>0</v>
      </c>
      <c r="AR683">
        <v>0</v>
      </c>
      <c r="AU683">
        <v>9</v>
      </c>
      <c r="AX683">
        <v>0</v>
      </c>
    </row>
    <row r="685" spans="1:60" x14ac:dyDescent="0.25">
      <c r="A685" t="s">
        <v>115</v>
      </c>
      <c r="C685" t="s">
        <v>877</v>
      </c>
      <c r="W685">
        <v>13</v>
      </c>
      <c r="AA685">
        <v>2</v>
      </c>
      <c r="AC685">
        <v>22</v>
      </c>
      <c r="AR685">
        <v>10</v>
      </c>
      <c r="AU685">
        <v>0</v>
      </c>
      <c r="AW685">
        <v>12</v>
      </c>
    </row>
    <row r="686" spans="1:60" x14ac:dyDescent="0.25">
      <c r="A686" t="s">
        <v>116</v>
      </c>
      <c r="C686" t="s">
        <v>847</v>
      </c>
      <c r="X686">
        <v>10</v>
      </c>
      <c r="AA686">
        <v>9</v>
      </c>
      <c r="AD686">
        <v>10</v>
      </c>
      <c r="AR686">
        <v>10</v>
      </c>
      <c r="AU686">
        <v>9</v>
      </c>
      <c r="AX686">
        <v>10</v>
      </c>
    </row>
    <row r="688" spans="1:60" x14ac:dyDescent="0.25">
      <c r="A688" t="s">
        <v>117</v>
      </c>
      <c r="P688" t="s">
        <v>632</v>
      </c>
      <c r="R688" t="s">
        <v>454</v>
      </c>
      <c r="T688" t="s">
        <v>632</v>
      </c>
      <c r="X688" t="s">
        <v>632</v>
      </c>
      <c r="Z688" t="s">
        <v>632</v>
      </c>
      <c r="AB688" t="s">
        <v>632</v>
      </c>
    </row>
    <row r="689" spans="1:60" x14ac:dyDescent="0.25">
      <c r="A689" t="s">
        <v>118</v>
      </c>
      <c r="P689" t="s">
        <v>875</v>
      </c>
      <c r="AJ689" t="s">
        <v>844</v>
      </c>
    </row>
    <row r="690" spans="1:60" x14ac:dyDescent="0.25">
      <c r="A690" t="s">
        <v>119</v>
      </c>
      <c r="P690">
        <v>0</v>
      </c>
      <c r="AL690">
        <v>0</v>
      </c>
      <c r="BH690">
        <v>0</v>
      </c>
    </row>
    <row r="691" spans="1:60" x14ac:dyDescent="0.25">
      <c r="A691" t="s">
        <v>120</v>
      </c>
      <c r="B691" t="s">
        <v>121</v>
      </c>
      <c r="F691">
        <v>200</v>
      </c>
      <c r="BC691">
        <v>200</v>
      </c>
    </row>
    <row r="692" spans="1:60" x14ac:dyDescent="0.25">
      <c r="A692" t="s">
        <v>122</v>
      </c>
      <c r="G692">
        <v>846</v>
      </c>
      <c r="J692">
        <v>960</v>
      </c>
      <c r="AD692">
        <v>873</v>
      </c>
      <c r="AX692">
        <v>834</v>
      </c>
    </row>
    <row r="693" spans="1:60" x14ac:dyDescent="0.25">
      <c r="A693" t="s">
        <v>123</v>
      </c>
      <c r="M693">
        <v>110</v>
      </c>
      <c r="AG693">
        <v>110</v>
      </c>
      <c r="BA693">
        <v>110</v>
      </c>
    </row>
    <row r="694" spans="1:60" x14ac:dyDescent="0.25">
      <c r="A694" t="s">
        <v>124</v>
      </c>
      <c r="M694">
        <v>-80</v>
      </c>
      <c r="AG694">
        <v>-80</v>
      </c>
      <c r="BA694">
        <v>-80</v>
      </c>
    </row>
    <row r="695" spans="1:60" x14ac:dyDescent="0.25">
      <c r="A695" t="s">
        <v>125</v>
      </c>
      <c r="L695">
        <v>-200</v>
      </c>
      <c r="AE695">
        <v>-200</v>
      </c>
      <c r="AX695">
        <v>-200</v>
      </c>
    </row>
    <row r="698" spans="1:60" x14ac:dyDescent="0.25">
      <c r="A698" t="s">
        <v>158</v>
      </c>
      <c r="B698" t="s">
        <v>79</v>
      </c>
      <c r="H698" t="s">
        <v>561</v>
      </c>
      <c r="I698" t="s">
        <v>150</v>
      </c>
      <c r="L698" t="s">
        <v>562</v>
      </c>
      <c r="M698" t="s">
        <v>150</v>
      </c>
    </row>
    <row r="699" spans="1:60" x14ac:dyDescent="0.25">
      <c r="A699" t="s">
        <v>113</v>
      </c>
      <c r="C699" t="s">
        <v>877</v>
      </c>
      <c r="X699">
        <v>4</v>
      </c>
      <c r="AA699">
        <v>10</v>
      </c>
      <c r="AD699">
        <v>3</v>
      </c>
      <c r="AR699">
        <v>3</v>
      </c>
      <c r="AU699">
        <v>3</v>
      </c>
      <c r="AX699">
        <v>3</v>
      </c>
    </row>
    <row r="700" spans="1:60" x14ac:dyDescent="0.25">
      <c r="A700" t="s">
        <v>114</v>
      </c>
      <c r="C700" t="s">
        <v>877</v>
      </c>
      <c r="X700">
        <v>0</v>
      </c>
      <c r="AA700">
        <v>10</v>
      </c>
      <c r="AD700">
        <v>0</v>
      </c>
      <c r="AR700">
        <v>0</v>
      </c>
      <c r="AU700">
        <v>0</v>
      </c>
      <c r="AX700">
        <v>0</v>
      </c>
    </row>
    <row r="702" spans="1:60" x14ac:dyDescent="0.25">
      <c r="A702" t="s">
        <v>115</v>
      </c>
      <c r="C702" t="s">
        <v>847</v>
      </c>
      <c r="W702">
        <v>16</v>
      </c>
      <c r="AA702">
        <v>0</v>
      </c>
      <c r="AD702">
        <v>10</v>
      </c>
      <c r="AR702">
        <v>0</v>
      </c>
      <c r="AU702">
        <v>0</v>
      </c>
      <c r="AX702">
        <v>0</v>
      </c>
    </row>
    <row r="703" spans="1:60" x14ac:dyDescent="0.25">
      <c r="A703" t="s">
        <v>116</v>
      </c>
      <c r="C703" t="s">
        <v>877</v>
      </c>
      <c r="X703">
        <v>10</v>
      </c>
      <c r="AA703">
        <v>7</v>
      </c>
      <c r="AD703">
        <v>10</v>
      </c>
      <c r="AR703">
        <v>3</v>
      </c>
      <c r="AU703">
        <v>3</v>
      </c>
      <c r="AX703">
        <v>4</v>
      </c>
    </row>
    <row r="705" spans="1:60" x14ac:dyDescent="0.25">
      <c r="A705" t="s">
        <v>117</v>
      </c>
      <c r="P705" t="s">
        <v>632</v>
      </c>
      <c r="R705" t="s">
        <v>632</v>
      </c>
      <c r="T705" t="s">
        <v>632</v>
      </c>
      <c r="X705" t="s">
        <v>632</v>
      </c>
      <c r="Z705" t="s">
        <v>632</v>
      </c>
      <c r="AB705" t="s">
        <v>632</v>
      </c>
    </row>
    <row r="706" spans="1:60" x14ac:dyDescent="0.25">
      <c r="A706" t="s">
        <v>118</v>
      </c>
      <c r="P706" t="s">
        <v>875</v>
      </c>
      <c r="AJ706" t="s">
        <v>875</v>
      </c>
    </row>
    <row r="707" spans="1:60" x14ac:dyDescent="0.25">
      <c r="A707" t="s">
        <v>119</v>
      </c>
      <c r="P707">
        <v>0</v>
      </c>
      <c r="AL707">
        <v>0</v>
      </c>
      <c r="BH707">
        <v>0</v>
      </c>
    </row>
    <row r="708" spans="1:60" x14ac:dyDescent="0.25">
      <c r="A708" t="s">
        <v>120</v>
      </c>
      <c r="B708" t="s">
        <v>121</v>
      </c>
      <c r="F708">
        <v>200</v>
      </c>
      <c r="BC708">
        <v>200</v>
      </c>
    </row>
    <row r="709" spans="1:60" x14ac:dyDescent="0.25">
      <c r="A709" t="s">
        <v>122</v>
      </c>
      <c r="G709">
        <v>873</v>
      </c>
      <c r="J709">
        <v>834</v>
      </c>
      <c r="AD709">
        <v>784</v>
      </c>
      <c r="AX709">
        <v>834</v>
      </c>
    </row>
    <row r="710" spans="1:60" x14ac:dyDescent="0.25">
      <c r="A710" t="s">
        <v>123</v>
      </c>
      <c r="M710">
        <v>110</v>
      </c>
      <c r="AI710">
        <v>0</v>
      </c>
      <c r="BC710">
        <v>110</v>
      </c>
    </row>
    <row r="711" spans="1:60" x14ac:dyDescent="0.25">
      <c r="A711" t="s">
        <v>124</v>
      </c>
      <c r="M711">
        <v>-80</v>
      </c>
      <c r="AG711">
        <v>-80</v>
      </c>
      <c r="BA711">
        <v>-80</v>
      </c>
    </row>
    <row r="712" spans="1:60" x14ac:dyDescent="0.25">
      <c r="A712" t="s">
        <v>125</v>
      </c>
      <c r="L712">
        <v>-200</v>
      </c>
      <c r="AE712">
        <v>-200</v>
      </c>
      <c r="AX712">
        <v>-200</v>
      </c>
    </row>
    <row r="715" spans="1:60" x14ac:dyDescent="0.25">
      <c r="A715" t="s">
        <v>563</v>
      </c>
      <c r="B715" t="s">
        <v>79</v>
      </c>
      <c r="H715" t="s">
        <v>564</v>
      </c>
      <c r="I715" t="s">
        <v>150</v>
      </c>
    </row>
    <row r="716" spans="1:60" x14ac:dyDescent="0.25">
      <c r="A716" t="s">
        <v>113</v>
      </c>
      <c r="C716" t="s">
        <v>847</v>
      </c>
      <c r="X716">
        <v>10</v>
      </c>
      <c r="AA716">
        <v>10</v>
      </c>
      <c r="AD716">
        <v>8</v>
      </c>
    </row>
    <row r="717" spans="1:60" x14ac:dyDescent="0.25">
      <c r="A717" t="s">
        <v>114</v>
      </c>
      <c r="C717" t="s">
        <v>877</v>
      </c>
      <c r="X717">
        <v>5</v>
      </c>
      <c r="AA717">
        <v>10</v>
      </c>
      <c r="AD717">
        <v>0</v>
      </c>
    </row>
    <row r="719" spans="1:60" x14ac:dyDescent="0.25">
      <c r="A719" t="s">
        <v>115</v>
      </c>
      <c r="C719" t="s">
        <v>847</v>
      </c>
      <c r="X719">
        <v>0</v>
      </c>
      <c r="AA719">
        <v>0</v>
      </c>
      <c r="AD719">
        <v>4</v>
      </c>
    </row>
    <row r="720" spans="1:60" x14ac:dyDescent="0.25">
      <c r="A720" t="s">
        <v>116</v>
      </c>
      <c r="C720" t="s">
        <v>877</v>
      </c>
      <c r="X720">
        <v>3</v>
      </c>
      <c r="AA720">
        <v>3</v>
      </c>
      <c r="AD720">
        <v>10</v>
      </c>
    </row>
    <row r="722" spans="1:50" x14ac:dyDescent="0.25">
      <c r="A722" t="s">
        <v>117</v>
      </c>
      <c r="P722" t="s">
        <v>454</v>
      </c>
      <c r="R722" t="s">
        <v>632</v>
      </c>
      <c r="T722" t="s">
        <v>632</v>
      </c>
    </row>
    <row r="723" spans="1:50" x14ac:dyDescent="0.25">
      <c r="A723" t="s">
        <v>118</v>
      </c>
      <c r="P723" t="s">
        <v>844</v>
      </c>
    </row>
    <row r="724" spans="1:50" x14ac:dyDescent="0.25">
      <c r="A724" t="s">
        <v>119</v>
      </c>
      <c r="P724">
        <v>0</v>
      </c>
      <c r="AL724">
        <v>0</v>
      </c>
    </row>
    <row r="725" spans="1:50" x14ac:dyDescent="0.25">
      <c r="A725" t="s">
        <v>120</v>
      </c>
      <c r="B725" t="s">
        <v>121</v>
      </c>
      <c r="H725">
        <v>0</v>
      </c>
      <c r="AJ725">
        <v>0</v>
      </c>
    </row>
    <row r="726" spans="1:50" x14ac:dyDescent="0.25">
      <c r="A726" t="s">
        <v>122</v>
      </c>
      <c r="I726">
        <v>0</v>
      </c>
      <c r="L726">
        <v>670</v>
      </c>
      <c r="AH726">
        <v>0</v>
      </c>
    </row>
    <row r="727" spans="1:50" x14ac:dyDescent="0.25">
      <c r="A727" t="s">
        <v>123</v>
      </c>
      <c r="O727">
        <v>0</v>
      </c>
      <c r="AI727">
        <v>170</v>
      </c>
    </row>
    <row r="728" spans="1:50" x14ac:dyDescent="0.25">
      <c r="A728" t="s">
        <v>124</v>
      </c>
      <c r="M728">
        <v>-80</v>
      </c>
      <c r="AG728">
        <v>-60</v>
      </c>
    </row>
    <row r="729" spans="1:50" x14ac:dyDescent="0.25">
      <c r="A729" t="s">
        <v>125</v>
      </c>
      <c r="L729">
        <v>-200</v>
      </c>
      <c r="AE729">
        <v>-200</v>
      </c>
    </row>
    <row r="732" spans="1:50" x14ac:dyDescent="0.25">
      <c r="A732" t="s">
        <v>565</v>
      </c>
      <c r="B732" t="s">
        <v>79</v>
      </c>
      <c r="H732" t="s">
        <v>209</v>
      </c>
      <c r="I732" t="s">
        <v>152</v>
      </c>
      <c r="M732" t="s">
        <v>210</v>
      </c>
      <c r="N732" t="s">
        <v>152</v>
      </c>
    </row>
    <row r="733" spans="1:50" x14ac:dyDescent="0.25">
      <c r="A733" t="s">
        <v>113</v>
      </c>
      <c r="C733" t="s">
        <v>877</v>
      </c>
      <c r="X733">
        <v>7</v>
      </c>
      <c r="AA733">
        <v>7</v>
      </c>
      <c r="AD733">
        <v>7</v>
      </c>
      <c r="AR733">
        <v>3</v>
      </c>
      <c r="AU733">
        <v>3</v>
      </c>
      <c r="AX733">
        <v>3</v>
      </c>
    </row>
    <row r="734" spans="1:50" x14ac:dyDescent="0.25">
      <c r="A734" t="s">
        <v>114</v>
      </c>
      <c r="C734" t="s">
        <v>847</v>
      </c>
      <c r="X734">
        <v>0</v>
      </c>
      <c r="AA734">
        <v>10</v>
      </c>
      <c r="AD734">
        <v>2</v>
      </c>
      <c r="AR734">
        <v>0</v>
      </c>
      <c r="AU734">
        <v>0</v>
      </c>
      <c r="AX734">
        <v>0</v>
      </c>
    </row>
    <row r="736" spans="1:50" x14ac:dyDescent="0.25">
      <c r="A736" t="s">
        <v>115</v>
      </c>
      <c r="C736" t="s">
        <v>847</v>
      </c>
      <c r="X736">
        <v>0</v>
      </c>
      <c r="AA736">
        <v>0</v>
      </c>
      <c r="AD736">
        <v>0</v>
      </c>
      <c r="AR736">
        <v>2</v>
      </c>
      <c r="AU736">
        <v>0</v>
      </c>
      <c r="AX736">
        <v>0</v>
      </c>
    </row>
    <row r="737" spans="1:70" x14ac:dyDescent="0.25">
      <c r="A737" t="s">
        <v>116</v>
      </c>
      <c r="C737" t="s">
        <v>877</v>
      </c>
      <c r="X737">
        <v>3</v>
      </c>
      <c r="AA737">
        <v>3</v>
      </c>
      <c r="AD737">
        <v>7</v>
      </c>
      <c r="AR737">
        <v>6</v>
      </c>
      <c r="AU737">
        <v>3</v>
      </c>
      <c r="AX737">
        <v>6</v>
      </c>
    </row>
    <row r="739" spans="1:70" x14ac:dyDescent="0.25">
      <c r="A739" t="s">
        <v>117</v>
      </c>
      <c r="P739" t="s">
        <v>635</v>
      </c>
      <c r="R739" t="s">
        <v>635</v>
      </c>
      <c r="T739" t="s">
        <v>635</v>
      </c>
      <c r="X739" t="s">
        <v>635</v>
      </c>
      <c r="Z739" t="s">
        <v>635</v>
      </c>
      <c r="AB739" t="s">
        <v>635</v>
      </c>
    </row>
    <row r="740" spans="1:70" x14ac:dyDescent="0.25">
      <c r="A740" t="s">
        <v>118</v>
      </c>
      <c r="P740" t="s">
        <v>844</v>
      </c>
      <c r="AJ740" t="s">
        <v>875</v>
      </c>
    </row>
    <row r="741" spans="1:70" x14ac:dyDescent="0.25">
      <c r="A741" t="s">
        <v>119</v>
      </c>
      <c r="P741">
        <v>0</v>
      </c>
      <c r="AL741">
        <v>0</v>
      </c>
      <c r="BH741">
        <v>0</v>
      </c>
    </row>
    <row r="742" spans="1:70" x14ac:dyDescent="0.25">
      <c r="A742" t="s">
        <v>120</v>
      </c>
      <c r="B742" t="s">
        <v>121</v>
      </c>
      <c r="H742">
        <v>0</v>
      </c>
      <c r="BE742">
        <v>200</v>
      </c>
    </row>
    <row r="743" spans="1:70" x14ac:dyDescent="0.25">
      <c r="A743" t="s">
        <v>122</v>
      </c>
      <c r="I743">
        <v>0</v>
      </c>
      <c r="K743">
        <v>1065</v>
      </c>
      <c r="AE743">
        <v>665</v>
      </c>
      <c r="AY743">
        <v>719</v>
      </c>
    </row>
    <row r="744" spans="1:70" x14ac:dyDescent="0.25">
      <c r="A744" t="s">
        <v>123</v>
      </c>
      <c r="O744">
        <v>0</v>
      </c>
      <c r="AK744">
        <v>0</v>
      </c>
      <c r="BG744">
        <v>0</v>
      </c>
    </row>
    <row r="745" spans="1:70" x14ac:dyDescent="0.25">
      <c r="A745" t="s">
        <v>124</v>
      </c>
      <c r="M745">
        <v>-60</v>
      </c>
      <c r="AG745">
        <v>-80</v>
      </c>
      <c r="BA745">
        <v>-80</v>
      </c>
    </row>
    <row r="746" spans="1:70" x14ac:dyDescent="0.25">
      <c r="A746" t="s">
        <v>125</v>
      </c>
      <c r="L746">
        <v>-200</v>
      </c>
      <c r="AE746">
        <v>-200</v>
      </c>
      <c r="AX746">
        <v>-200</v>
      </c>
    </row>
    <row r="749" spans="1:70" x14ac:dyDescent="0.25">
      <c r="A749" t="s">
        <v>565</v>
      </c>
      <c r="B749" t="s">
        <v>79</v>
      </c>
      <c r="H749" t="s">
        <v>211</v>
      </c>
      <c r="I749" t="s">
        <v>152</v>
      </c>
      <c r="M749" t="s">
        <v>212</v>
      </c>
      <c r="N749" t="s">
        <v>152</v>
      </c>
      <c r="R749" t="s">
        <v>213</v>
      </c>
      <c r="S749" t="s">
        <v>152</v>
      </c>
    </row>
    <row r="750" spans="1:70" x14ac:dyDescent="0.25">
      <c r="A750" t="s">
        <v>113</v>
      </c>
      <c r="C750" t="s">
        <v>877</v>
      </c>
      <c r="X750">
        <v>3</v>
      </c>
      <c r="AA750">
        <v>5</v>
      </c>
      <c r="AD750">
        <v>3</v>
      </c>
      <c r="AR750">
        <v>3</v>
      </c>
      <c r="AU750">
        <v>3</v>
      </c>
      <c r="AX750">
        <v>3</v>
      </c>
      <c r="BL750">
        <v>7</v>
      </c>
      <c r="BO750">
        <v>7</v>
      </c>
      <c r="BR750">
        <v>6</v>
      </c>
    </row>
    <row r="751" spans="1:70" x14ac:dyDescent="0.25">
      <c r="A751" t="s">
        <v>114</v>
      </c>
      <c r="C751" t="s">
        <v>877</v>
      </c>
      <c r="X751">
        <v>0</v>
      </c>
      <c r="AA751">
        <v>0</v>
      </c>
      <c r="AD751">
        <v>0</v>
      </c>
      <c r="AR751">
        <v>0</v>
      </c>
      <c r="AU751">
        <v>0</v>
      </c>
      <c r="AX751">
        <v>0</v>
      </c>
      <c r="BL751">
        <v>8</v>
      </c>
      <c r="BO751">
        <v>10</v>
      </c>
      <c r="BR751">
        <v>2</v>
      </c>
    </row>
    <row r="753" spans="1:82" x14ac:dyDescent="0.25">
      <c r="A753" t="s">
        <v>115</v>
      </c>
      <c r="C753" t="s">
        <v>877</v>
      </c>
      <c r="X753">
        <v>0</v>
      </c>
      <c r="AA753">
        <v>0</v>
      </c>
      <c r="AD753">
        <v>0</v>
      </c>
      <c r="AR753">
        <v>0</v>
      </c>
      <c r="AU753">
        <v>0</v>
      </c>
      <c r="AX753">
        <v>0</v>
      </c>
      <c r="BL753">
        <v>0</v>
      </c>
      <c r="BO753">
        <v>0</v>
      </c>
      <c r="BR753">
        <v>0</v>
      </c>
    </row>
    <row r="754" spans="1:82" x14ac:dyDescent="0.25">
      <c r="A754" t="s">
        <v>116</v>
      </c>
      <c r="C754" t="s">
        <v>847</v>
      </c>
      <c r="X754">
        <v>5</v>
      </c>
      <c r="AA754">
        <v>3</v>
      </c>
      <c r="AD754">
        <v>5</v>
      </c>
      <c r="AR754">
        <v>5</v>
      </c>
      <c r="AU754">
        <v>4</v>
      </c>
      <c r="AX754">
        <v>5</v>
      </c>
      <c r="BL754">
        <v>3</v>
      </c>
      <c r="BO754">
        <v>3</v>
      </c>
      <c r="BR754">
        <v>3</v>
      </c>
    </row>
    <row r="756" spans="1:82" x14ac:dyDescent="0.25">
      <c r="A756" t="s">
        <v>117</v>
      </c>
      <c r="P756" t="s">
        <v>635</v>
      </c>
      <c r="R756" t="s">
        <v>635</v>
      </c>
      <c r="T756" t="s">
        <v>635</v>
      </c>
      <c r="X756" t="s">
        <v>635</v>
      </c>
      <c r="Z756" t="s">
        <v>635</v>
      </c>
      <c r="AB756" t="s">
        <v>635</v>
      </c>
      <c r="AF756" t="s">
        <v>635</v>
      </c>
      <c r="AH756" t="s">
        <v>635</v>
      </c>
      <c r="AJ756" t="s">
        <v>635</v>
      </c>
    </row>
    <row r="757" spans="1:82" x14ac:dyDescent="0.25">
      <c r="A757" t="s">
        <v>118</v>
      </c>
      <c r="P757" t="s">
        <v>875</v>
      </c>
      <c r="AJ757" t="s">
        <v>875</v>
      </c>
      <c r="BD757" t="s">
        <v>876</v>
      </c>
    </row>
    <row r="758" spans="1:82" x14ac:dyDescent="0.25">
      <c r="A758" t="s">
        <v>119</v>
      </c>
      <c r="P758">
        <v>0</v>
      </c>
      <c r="AL758">
        <v>0</v>
      </c>
      <c r="BH758">
        <v>0</v>
      </c>
      <c r="CD758">
        <v>0</v>
      </c>
    </row>
    <row r="759" spans="1:82" x14ac:dyDescent="0.25">
      <c r="A759" t="s">
        <v>120</v>
      </c>
      <c r="B759" t="s">
        <v>121</v>
      </c>
      <c r="F759">
        <v>200</v>
      </c>
      <c r="CB759">
        <v>0</v>
      </c>
    </row>
    <row r="760" spans="1:82" x14ac:dyDescent="0.25">
      <c r="A760" t="s">
        <v>122</v>
      </c>
      <c r="G760">
        <v>665</v>
      </c>
      <c r="J760">
        <v>719</v>
      </c>
      <c r="AD760">
        <v>430</v>
      </c>
      <c r="AX760">
        <v>816</v>
      </c>
      <c r="BT760">
        <v>0</v>
      </c>
    </row>
    <row r="761" spans="1:82" x14ac:dyDescent="0.25">
      <c r="A761" t="s">
        <v>123</v>
      </c>
      <c r="O761">
        <v>0</v>
      </c>
      <c r="AK761">
        <v>0</v>
      </c>
      <c r="BG761">
        <v>0</v>
      </c>
      <c r="CC761">
        <v>0</v>
      </c>
    </row>
    <row r="762" spans="1:82" x14ac:dyDescent="0.25">
      <c r="A762" t="s">
        <v>124</v>
      </c>
      <c r="M762">
        <v>-80</v>
      </c>
      <c r="AG762">
        <v>-80</v>
      </c>
      <c r="BA762">
        <v>-80</v>
      </c>
      <c r="BU762">
        <v>-80</v>
      </c>
    </row>
    <row r="763" spans="1:82" x14ac:dyDescent="0.25">
      <c r="A763" t="s">
        <v>125</v>
      </c>
      <c r="L763">
        <v>-200</v>
      </c>
      <c r="AE763">
        <v>-200</v>
      </c>
      <c r="AX763">
        <v>-200</v>
      </c>
      <c r="BQ763">
        <v>-200</v>
      </c>
    </row>
    <row r="766" spans="1:82" x14ac:dyDescent="0.25">
      <c r="A766" t="s">
        <v>566</v>
      </c>
      <c r="B766" t="s">
        <v>79</v>
      </c>
      <c r="H766" t="s">
        <v>202</v>
      </c>
      <c r="I766" t="s">
        <v>152</v>
      </c>
    </row>
    <row r="767" spans="1:82" x14ac:dyDescent="0.25">
      <c r="A767" t="s">
        <v>113</v>
      </c>
      <c r="C767" t="s">
        <v>877</v>
      </c>
      <c r="X767">
        <v>7</v>
      </c>
      <c r="AA767">
        <v>7</v>
      </c>
      <c r="AD767">
        <v>7</v>
      </c>
    </row>
    <row r="768" spans="1:82" x14ac:dyDescent="0.25">
      <c r="A768" t="s">
        <v>114</v>
      </c>
      <c r="C768" t="s">
        <v>877</v>
      </c>
      <c r="X768">
        <v>8</v>
      </c>
      <c r="Z768">
        <v>14</v>
      </c>
      <c r="AD768">
        <v>2</v>
      </c>
    </row>
    <row r="770" spans="1:38" x14ac:dyDescent="0.25">
      <c r="A770" t="s">
        <v>115</v>
      </c>
      <c r="C770" t="s">
        <v>847</v>
      </c>
      <c r="X770">
        <v>0</v>
      </c>
      <c r="AA770">
        <v>0</v>
      </c>
      <c r="AD770">
        <v>0</v>
      </c>
    </row>
    <row r="771" spans="1:38" x14ac:dyDescent="0.25">
      <c r="A771" t="s">
        <v>116</v>
      </c>
      <c r="C771" t="s">
        <v>877</v>
      </c>
      <c r="X771">
        <v>3</v>
      </c>
      <c r="AA771">
        <v>3</v>
      </c>
      <c r="AD771">
        <v>4</v>
      </c>
    </row>
    <row r="773" spans="1:38" x14ac:dyDescent="0.25">
      <c r="A773" t="s">
        <v>117</v>
      </c>
      <c r="P773" t="s">
        <v>452</v>
      </c>
      <c r="R773" t="s">
        <v>635</v>
      </c>
      <c r="T773" t="s">
        <v>635</v>
      </c>
    </row>
    <row r="774" spans="1:38" x14ac:dyDescent="0.25">
      <c r="A774" t="s">
        <v>118</v>
      </c>
      <c r="P774" t="s">
        <v>875</v>
      </c>
    </row>
    <row r="775" spans="1:38" x14ac:dyDescent="0.25">
      <c r="A775" t="s">
        <v>119</v>
      </c>
      <c r="P775">
        <v>0</v>
      </c>
      <c r="AL775">
        <v>0</v>
      </c>
    </row>
    <row r="776" spans="1:38" x14ac:dyDescent="0.25">
      <c r="A776" t="s">
        <v>120</v>
      </c>
      <c r="B776" t="s">
        <v>121</v>
      </c>
      <c r="H776">
        <v>0</v>
      </c>
      <c r="AJ776">
        <v>0</v>
      </c>
    </row>
    <row r="777" spans="1:38" x14ac:dyDescent="0.25">
      <c r="A777" t="s">
        <v>122</v>
      </c>
      <c r="I777">
        <v>0</v>
      </c>
      <c r="K777">
        <v>1065</v>
      </c>
      <c r="AG777">
        <v>0</v>
      </c>
    </row>
    <row r="778" spans="1:38" x14ac:dyDescent="0.25">
      <c r="A778" t="s">
        <v>123</v>
      </c>
      <c r="O778">
        <v>0</v>
      </c>
      <c r="AK778">
        <v>0</v>
      </c>
    </row>
    <row r="779" spans="1:38" x14ac:dyDescent="0.25">
      <c r="A779" t="s">
        <v>124</v>
      </c>
      <c r="M779">
        <v>-60</v>
      </c>
      <c r="AG779">
        <v>-80</v>
      </c>
    </row>
    <row r="780" spans="1:38" x14ac:dyDescent="0.25">
      <c r="A780" t="s">
        <v>125</v>
      </c>
      <c r="L780">
        <v>-200</v>
      </c>
      <c r="AE780">
        <v>-200</v>
      </c>
    </row>
    <row r="783" spans="1:38" x14ac:dyDescent="0.25">
      <c r="A783" t="s">
        <v>567</v>
      </c>
      <c r="B783" t="s">
        <v>79</v>
      </c>
      <c r="H783" t="s">
        <v>568</v>
      </c>
      <c r="I783" t="s">
        <v>152</v>
      </c>
    </row>
    <row r="784" spans="1:38" x14ac:dyDescent="0.25">
      <c r="A784" t="s">
        <v>113</v>
      </c>
      <c r="C784" t="s">
        <v>847</v>
      </c>
      <c r="X784">
        <v>3</v>
      </c>
      <c r="AA784">
        <v>5</v>
      </c>
      <c r="AD784">
        <v>3</v>
      </c>
    </row>
    <row r="785" spans="1:38" x14ac:dyDescent="0.25">
      <c r="A785" t="s">
        <v>114</v>
      </c>
      <c r="C785" t="s">
        <v>877</v>
      </c>
      <c r="X785">
        <v>0</v>
      </c>
      <c r="AA785">
        <v>0</v>
      </c>
      <c r="AD785">
        <v>0</v>
      </c>
    </row>
    <row r="787" spans="1:38" x14ac:dyDescent="0.25">
      <c r="A787" t="s">
        <v>115</v>
      </c>
      <c r="C787" t="s">
        <v>847</v>
      </c>
      <c r="X787">
        <v>0</v>
      </c>
      <c r="AA787">
        <v>0</v>
      </c>
      <c r="AD787">
        <v>0</v>
      </c>
    </row>
    <row r="788" spans="1:38" x14ac:dyDescent="0.25">
      <c r="A788" t="s">
        <v>116</v>
      </c>
      <c r="C788" t="s">
        <v>877</v>
      </c>
      <c r="X788">
        <v>4</v>
      </c>
      <c r="AA788">
        <v>3</v>
      </c>
      <c r="AD788">
        <v>3</v>
      </c>
    </row>
    <row r="790" spans="1:38" x14ac:dyDescent="0.25">
      <c r="A790" t="s">
        <v>117</v>
      </c>
      <c r="P790" t="s">
        <v>635</v>
      </c>
      <c r="R790" t="s">
        <v>635</v>
      </c>
      <c r="T790" t="s">
        <v>635</v>
      </c>
    </row>
    <row r="791" spans="1:38" x14ac:dyDescent="0.25">
      <c r="A791" t="s">
        <v>118</v>
      </c>
      <c r="P791" t="s">
        <v>876</v>
      </c>
    </row>
    <row r="792" spans="1:38" x14ac:dyDescent="0.25">
      <c r="A792" t="s">
        <v>119</v>
      </c>
      <c r="P792">
        <v>0</v>
      </c>
      <c r="AL792">
        <v>0</v>
      </c>
    </row>
    <row r="793" spans="1:38" x14ac:dyDescent="0.25">
      <c r="A793" t="s">
        <v>120</v>
      </c>
      <c r="B793" t="s">
        <v>121</v>
      </c>
      <c r="H793">
        <v>0</v>
      </c>
      <c r="AJ793">
        <v>0</v>
      </c>
    </row>
    <row r="794" spans="1:38" x14ac:dyDescent="0.25">
      <c r="A794" t="s">
        <v>122</v>
      </c>
      <c r="I794">
        <v>0</v>
      </c>
      <c r="L794">
        <v>665</v>
      </c>
      <c r="AH794">
        <v>0</v>
      </c>
    </row>
    <row r="795" spans="1:38" x14ac:dyDescent="0.25">
      <c r="A795" t="s">
        <v>123</v>
      </c>
      <c r="O795">
        <v>0</v>
      </c>
      <c r="AK795">
        <v>0</v>
      </c>
    </row>
    <row r="796" spans="1:38" x14ac:dyDescent="0.25">
      <c r="A796" t="s">
        <v>124</v>
      </c>
      <c r="M796">
        <v>-80</v>
      </c>
      <c r="AG796">
        <v>-80</v>
      </c>
    </row>
    <row r="797" spans="1:38" x14ac:dyDescent="0.25">
      <c r="A797" t="s">
        <v>125</v>
      </c>
      <c r="L797">
        <v>-200</v>
      </c>
      <c r="AE797">
        <v>-200</v>
      </c>
    </row>
    <row r="800" spans="1:38" x14ac:dyDescent="0.25">
      <c r="A800" t="s">
        <v>566</v>
      </c>
      <c r="B800" t="s">
        <v>79</v>
      </c>
      <c r="H800" t="s">
        <v>203</v>
      </c>
      <c r="I800" t="s">
        <v>152</v>
      </c>
      <c r="M800" t="s">
        <v>204</v>
      </c>
      <c r="N800" t="s">
        <v>152</v>
      </c>
    </row>
    <row r="801" spans="1:60" x14ac:dyDescent="0.25">
      <c r="A801" t="s">
        <v>113</v>
      </c>
      <c r="C801" t="s">
        <v>877</v>
      </c>
      <c r="X801">
        <v>3</v>
      </c>
      <c r="AA801">
        <v>7</v>
      </c>
      <c r="AD801">
        <v>3</v>
      </c>
      <c r="AR801">
        <v>3</v>
      </c>
      <c r="AU801">
        <v>3</v>
      </c>
      <c r="AX801">
        <v>3</v>
      </c>
    </row>
    <row r="802" spans="1:60" x14ac:dyDescent="0.25">
      <c r="A802" t="s">
        <v>114</v>
      </c>
      <c r="C802" t="s">
        <v>847</v>
      </c>
      <c r="X802">
        <v>0</v>
      </c>
      <c r="AA802">
        <v>0</v>
      </c>
      <c r="AD802">
        <v>0</v>
      </c>
      <c r="AR802">
        <v>0</v>
      </c>
      <c r="AU802">
        <v>0</v>
      </c>
      <c r="AX802">
        <v>0</v>
      </c>
    </row>
    <row r="804" spans="1:60" x14ac:dyDescent="0.25">
      <c r="A804" t="s">
        <v>115</v>
      </c>
      <c r="C804" t="s">
        <v>847</v>
      </c>
      <c r="X804">
        <v>0</v>
      </c>
      <c r="AA804">
        <v>0</v>
      </c>
      <c r="AD804">
        <v>0</v>
      </c>
      <c r="AR804">
        <v>0</v>
      </c>
      <c r="AU804">
        <v>0</v>
      </c>
      <c r="AX804">
        <v>0</v>
      </c>
    </row>
    <row r="805" spans="1:60" x14ac:dyDescent="0.25">
      <c r="A805" t="s">
        <v>116</v>
      </c>
      <c r="C805" t="s">
        <v>877</v>
      </c>
      <c r="X805">
        <v>3</v>
      </c>
      <c r="AA805">
        <v>3</v>
      </c>
      <c r="AD805">
        <v>5</v>
      </c>
      <c r="AR805">
        <v>4</v>
      </c>
      <c r="AU805">
        <v>3</v>
      </c>
      <c r="AX805">
        <v>3</v>
      </c>
    </row>
    <row r="807" spans="1:60" x14ac:dyDescent="0.25">
      <c r="A807" t="s">
        <v>117</v>
      </c>
      <c r="P807" t="s">
        <v>635</v>
      </c>
      <c r="R807" t="s">
        <v>635</v>
      </c>
      <c r="T807" t="s">
        <v>635</v>
      </c>
      <c r="X807" t="s">
        <v>635</v>
      </c>
      <c r="Z807" t="s">
        <v>635</v>
      </c>
      <c r="AB807" t="s">
        <v>635</v>
      </c>
    </row>
    <row r="808" spans="1:60" x14ac:dyDescent="0.25">
      <c r="A808" t="s">
        <v>118</v>
      </c>
      <c r="P808" t="s">
        <v>728</v>
      </c>
      <c r="AJ808" t="s">
        <v>728</v>
      </c>
    </row>
    <row r="809" spans="1:60" x14ac:dyDescent="0.25">
      <c r="A809" t="s">
        <v>119</v>
      </c>
      <c r="P809">
        <v>0</v>
      </c>
      <c r="AL809">
        <v>0</v>
      </c>
      <c r="BH809">
        <v>0</v>
      </c>
    </row>
    <row r="810" spans="1:60" x14ac:dyDescent="0.25">
      <c r="A810" t="s">
        <v>120</v>
      </c>
      <c r="B810" t="s">
        <v>121</v>
      </c>
      <c r="H810">
        <v>0</v>
      </c>
      <c r="BG810">
        <v>0</v>
      </c>
    </row>
    <row r="811" spans="1:60" x14ac:dyDescent="0.25">
      <c r="A811" t="s">
        <v>122</v>
      </c>
      <c r="I811">
        <v>0</v>
      </c>
      <c r="L811">
        <v>719</v>
      </c>
      <c r="AF811">
        <v>430</v>
      </c>
      <c r="BB811">
        <v>0</v>
      </c>
    </row>
    <row r="812" spans="1:60" x14ac:dyDescent="0.25">
      <c r="A812" t="s">
        <v>123</v>
      </c>
      <c r="O812">
        <v>0</v>
      </c>
      <c r="AK812">
        <v>0</v>
      </c>
      <c r="BG812">
        <v>0</v>
      </c>
    </row>
    <row r="813" spans="1:60" x14ac:dyDescent="0.25">
      <c r="A813" t="s">
        <v>124</v>
      </c>
      <c r="M813">
        <v>-80</v>
      </c>
      <c r="AG813">
        <v>-80</v>
      </c>
      <c r="BA813">
        <v>-80</v>
      </c>
    </row>
    <row r="814" spans="1:60" x14ac:dyDescent="0.25">
      <c r="A814" t="s">
        <v>125</v>
      </c>
      <c r="L814">
        <v>-200</v>
      </c>
      <c r="AE814">
        <v>-200</v>
      </c>
      <c r="AX814">
        <v>-200</v>
      </c>
    </row>
    <row r="817" spans="1:38" x14ac:dyDescent="0.25">
      <c r="A817" t="s">
        <v>569</v>
      </c>
      <c r="B817" t="s">
        <v>79</v>
      </c>
      <c r="H817" t="s">
        <v>234</v>
      </c>
      <c r="I817" t="s">
        <v>152</v>
      </c>
    </row>
    <row r="818" spans="1:38" x14ac:dyDescent="0.25">
      <c r="A818" t="s">
        <v>113</v>
      </c>
      <c r="C818" t="s">
        <v>877</v>
      </c>
      <c r="X818">
        <v>3</v>
      </c>
      <c r="AA818">
        <v>4</v>
      </c>
      <c r="AD818">
        <v>3</v>
      </c>
    </row>
    <row r="819" spans="1:38" x14ac:dyDescent="0.25">
      <c r="A819" t="s">
        <v>114</v>
      </c>
      <c r="C819" t="s">
        <v>877</v>
      </c>
      <c r="X819">
        <v>0</v>
      </c>
      <c r="AA819">
        <v>0</v>
      </c>
      <c r="AD819">
        <v>0</v>
      </c>
    </row>
    <row r="821" spans="1:38" x14ac:dyDescent="0.25">
      <c r="A821" t="s">
        <v>115</v>
      </c>
      <c r="C821" t="s">
        <v>877</v>
      </c>
      <c r="X821">
        <v>0</v>
      </c>
      <c r="AA821">
        <v>0</v>
      </c>
      <c r="AD821">
        <v>0</v>
      </c>
    </row>
    <row r="822" spans="1:38" x14ac:dyDescent="0.25">
      <c r="A822" t="s">
        <v>116</v>
      </c>
      <c r="C822" t="s">
        <v>847</v>
      </c>
      <c r="X822">
        <v>3</v>
      </c>
      <c r="AA822">
        <v>3</v>
      </c>
      <c r="AD822">
        <v>4</v>
      </c>
    </row>
    <row r="824" spans="1:38" x14ac:dyDescent="0.25">
      <c r="A824" t="s">
        <v>117</v>
      </c>
      <c r="P824" t="s">
        <v>635</v>
      </c>
      <c r="R824" t="s">
        <v>635</v>
      </c>
      <c r="T824" t="s">
        <v>635</v>
      </c>
    </row>
    <row r="825" spans="1:38" x14ac:dyDescent="0.25">
      <c r="A825" t="s">
        <v>118</v>
      </c>
      <c r="P825" t="s">
        <v>728</v>
      </c>
    </row>
    <row r="826" spans="1:38" x14ac:dyDescent="0.25">
      <c r="A826" t="s">
        <v>119</v>
      </c>
      <c r="P826">
        <v>0</v>
      </c>
      <c r="AL826">
        <v>0</v>
      </c>
    </row>
    <row r="827" spans="1:38" x14ac:dyDescent="0.25">
      <c r="A827" t="s">
        <v>120</v>
      </c>
      <c r="B827" t="s">
        <v>121</v>
      </c>
      <c r="H827">
        <v>0</v>
      </c>
      <c r="AJ827">
        <v>0</v>
      </c>
    </row>
    <row r="828" spans="1:38" x14ac:dyDescent="0.25">
      <c r="A828" t="s">
        <v>122</v>
      </c>
      <c r="I828">
        <v>0</v>
      </c>
      <c r="K828">
        <v>1035</v>
      </c>
      <c r="AG828">
        <v>0</v>
      </c>
    </row>
    <row r="829" spans="1:38" x14ac:dyDescent="0.25">
      <c r="A829" t="s">
        <v>123</v>
      </c>
      <c r="O829">
        <v>0</v>
      </c>
      <c r="AK829">
        <v>0</v>
      </c>
    </row>
    <row r="830" spans="1:38" x14ac:dyDescent="0.25">
      <c r="A830" t="s">
        <v>124</v>
      </c>
      <c r="M830">
        <v>-80</v>
      </c>
      <c r="AG830">
        <v>-60</v>
      </c>
    </row>
    <row r="831" spans="1:38" x14ac:dyDescent="0.25">
      <c r="A831" t="s">
        <v>125</v>
      </c>
      <c r="L831">
        <v>-200</v>
      </c>
      <c r="AE831">
        <v>-200</v>
      </c>
    </row>
    <row r="834" spans="1:60" x14ac:dyDescent="0.25">
      <c r="A834" t="s">
        <v>570</v>
      </c>
      <c r="B834" t="s">
        <v>79</v>
      </c>
      <c r="H834" t="s">
        <v>194</v>
      </c>
      <c r="I834" t="s">
        <v>152</v>
      </c>
      <c r="M834" t="s">
        <v>195</v>
      </c>
      <c r="N834" t="s">
        <v>152</v>
      </c>
    </row>
    <row r="835" spans="1:60" x14ac:dyDescent="0.25">
      <c r="A835" t="s">
        <v>113</v>
      </c>
      <c r="C835" t="s">
        <v>877</v>
      </c>
      <c r="X835">
        <v>7</v>
      </c>
      <c r="AA835">
        <v>7</v>
      </c>
      <c r="AD835">
        <v>7</v>
      </c>
      <c r="AR835">
        <v>3</v>
      </c>
      <c r="AU835">
        <v>3</v>
      </c>
      <c r="AX835">
        <v>3</v>
      </c>
    </row>
    <row r="836" spans="1:60" x14ac:dyDescent="0.25">
      <c r="A836" t="s">
        <v>114</v>
      </c>
      <c r="C836" t="s">
        <v>877</v>
      </c>
      <c r="X836">
        <v>9</v>
      </c>
      <c r="Z836">
        <v>15</v>
      </c>
      <c r="AD836">
        <v>0</v>
      </c>
      <c r="AR836">
        <v>0</v>
      </c>
      <c r="AU836">
        <v>0</v>
      </c>
      <c r="AX836">
        <v>0</v>
      </c>
    </row>
    <row r="838" spans="1:60" x14ac:dyDescent="0.25">
      <c r="A838" t="s">
        <v>115</v>
      </c>
      <c r="C838" t="s">
        <v>847</v>
      </c>
      <c r="X838">
        <v>0</v>
      </c>
      <c r="AA838">
        <v>0</v>
      </c>
      <c r="AD838">
        <v>5</v>
      </c>
      <c r="AR838">
        <v>5</v>
      </c>
      <c r="AU838">
        <v>0</v>
      </c>
      <c r="AX838">
        <v>0</v>
      </c>
    </row>
    <row r="839" spans="1:60" x14ac:dyDescent="0.25">
      <c r="A839" t="s">
        <v>116</v>
      </c>
      <c r="C839" t="s">
        <v>877</v>
      </c>
      <c r="X839">
        <v>3</v>
      </c>
      <c r="AA839">
        <v>3</v>
      </c>
      <c r="AD839">
        <v>7</v>
      </c>
      <c r="AR839">
        <v>7</v>
      </c>
      <c r="AU839">
        <v>3</v>
      </c>
      <c r="AX839">
        <v>7</v>
      </c>
    </row>
    <row r="841" spans="1:60" x14ac:dyDescent="0.25">
      <c r="A841" t="s">
        <v>117</v>
      </c>
      <c r="P841" t="s">
        <v>454</v>
      </c>
      <c r="R841" t="s">
        <v>635</v>
      </c>
      <c r="T841" t="s">
        <v>632</v>
      </c>
      <c r="X841" t="s">
        <v>635</v>
      </c>
      <c r="Z841" t="s">
        <v>635</v>
      </c>
      <c r="AB841" t="s">
        <v>635</v>
      </c>
    </row>
    <row r="842" spans="1:60" x14ac:dyDescent="0.25">
      <c r="A842" t="s">
        <v>118</v>
      </c>
      <c r="P842" t="s">
        <v>867</v>
      </c>
      <c r="AJ842" t="s">
        <v>735</v>
      </c>
    </row>
    <row r="843" spans="1:60" x14ac:dyDescent="0.25">
      <c r="A843" t="s">
        <v>119</v>
      </c>
      <c r="P843">
        <v>0</v>
      </c>
      <c r="AL843">
        <v>0</v>
      </c>
      <c r="BH843">
        <v>0</v>
      </c>
    </row>
    <row r="844" spans="1:60" x14ac:dyDescent="0.25">
      <c r="A844" t="s">
        <v>120</v>
      </c>
      <c r="B844" t="s">
        <v>121</v>
      </c>
      <c r="H844">
        <v>0</v>
      </c>
      <c r="BE844">
        <v>200</v>
      </c>
    </row>
    <row r="845" spans="1:60" x14ac:dyDescent="0.25">
      <c r="A845" t="s">
        <v>122</v>
      </c>
      <c r="I845">
        <v>0</v>
      </c>
      <c r="K845">
        <v>1065</v>
      </c>
      <c r="AE845">
        <v>665</v>
      </c>
      <c r="AY845">
        <v>719</v>
      </c>
    </row>
    <row r="846" spans="1:60" x14ac:dyDescent="0.25">
      <c r="A846" t="s">
        <v>123</v>
      </c>
      <c r="O846">
        <v>0</v>
      </c>
      <c r="AK846">
        <v>0</v>
      </c>
      <c r="BG846">
        <v>0</v>
      </c>
    </row>
    <row r="847" spans="1:60" x14ac:dyDescent="0.25">
      <c r="A847" t="s">
        <v>124</v>
      </c>
      <c r="M847">
        <v>-60</v>
      </c>
      <c r="AG847">
        <v>-80</v>
      </c>
      <c r="BA847">
        <v>-80</v>
      </c>
    </row>
    <row r="848" spans="1:60" x14ac:dyDescent="0.25">
      <c r="A848" t="s">
        <v>125</v>
      </c>
      <c r="L848">
        <v>-200</v>
      </c>
      <c r="AE848">
        <v>-200</v>
      </c>
      <c r="AX848">
        <v>-200</v>
      </c>
    </row>
    <row r="851" spans="1:60" x14ac:dyDescent="0.25">
      <c r="A851" t="s">
        <v>570</v>
      </c>
      <c r="B851" t="s">
        <v>79</v>
      </c>
      <c r="H851" t="s">
        <v>196</v>
      </c>
      <c r="I851" t="s">
        <v>152</v>
      </c>
      <c r="M851" t="s">
        <v>197</v>
      </c>
      <c r="N851" t="s">
        <v>152</v>
      </c>
    </row>
    <row r="852" spans="1:60" x14ac:dyDescent="0.25">
      <c r="A852" t="s">
        <v>113</v>
      </c>
      <c r="C852" t="s">
        <v>847</v>
      </c>
      <c r="X852">
        <v>3</v>
      </c>
      <c r="AA852">
        <v>5</v>
      </c>
      <c r="AD852">
        <v>3</v>
      </c>
      <c r="AR852">
        <v>3</v>
      </c>
      <c r="AU852">
        <v>3</v>
      </c>
      <c r="AX852">
        <v>3</v>
      </c>
    </row>
    <row r="853" spans="1:60" x14ac:dyDescent="0.25">
      <c r="A853" t="s">
        <v>114</v>
      </c>
      <c r="C853" t="s">
        <v>877</v>
      </c>
      <c r="X853">
        <v>0</v>
      </c>
      <c r="AA853">
        <v>0</v>
      </c>
      <c r="AD853">
        <v>0</v>
      </c>
      <c r="AR853">
        <v>0</v>
      </c>
      <c r="AU853">
        <v>0</v>
      </c>
      <c r="AX853">
        <v>0</v>
      </c>
    </row>
    <row r="855" spans="1:60" x14ac:dyDescent="0.25">
      <c r="A855" t="s">
        <v>115</v>
      </c>
      <c r="C855" t="s">
        <v>847</v>
      </c>
      <c r="X855">
        <v>0</v>
      </c>
      <c r="AA855">
        <v>0</v>
      </c>
      <c r="AD855">
        <v>0</v>
      </c>
      <c r="AR855">
        <v>0</v>
      </c>
      <c r="AU855">
        <v>0</v>
      </c>
      <c r="AX855">
        <v>0</v>
      </c>
    </row>
    <row r="856" spans="1:60" x14ac:dyDescent="0.25">
      <c r="A856" t="s">
        <v>116</v>
      </c>
      <c r="C856" t="s">
        <v>877</v>
      </c>
      <c r="X856">
        <v>7</v>
      </c>
      <c r="AA856">
        <v>3</v>
      </c>
      <c r="AD856">
        <v>3</v>
      </c>
      <c r="AR856">
        <v>3</v>
      </c>
      <c r="AU856">
        <v>3</v>
      </c>
      <c r="AX856">
        <v>3</v>
      </c>
    </row>
    <row r="858" spans="1:60" x14ac:dyDescent="0.25">
      <c r="A858" t="s">
        <v>117</v>
      </c>
      <c r="P858" t="s">
        <v>635</v>
      </c>
      <c r="R858" t="s">
        <v>635</v>
      </c>
      <c r="T858" t="s">
        <v>635</v>
      </c>
      <c r="X858" t="s">
        <v>635</v>
      </c>
      <c r="Z858" t="s">
        <v>635</v>
      </c>
      <c r="AB858" t="s">
        <v>635</v>
      </c>
    </row>
    <row r="859" spans="1:60" x14ac:dyDescent="0.25">
      <c r="A859" t="s">
        <v>118</v>
      </c>
      <c r="P859" t="s">
        <v>867</v>
      </c>
      <c r="AJ859" t="s">
        <v>727</v>
      </c>
    </row>
    <row r="860" spans="1:60" x14ac:dyDescent="0.25">
      <c r="A860" t="s">
        <v>119</v>
      </c>
      <c r="P860">
        <v>0</v>
      </c>
      <c r="AL860">
        <v>0</v>
      </c>
      <c r="BH860">
        <v>0</v>
      </c>
    </row>
    <row r="861" spans="1:60" x14ac:dyDescent="0.25">
      <c r="A861" t="s">
        <v>120</v>
      </c>
      <c r="B861" t="s">
        <v>121</v>
      </c>
      <c r="F861">
        <v>200</v>
      </c>
      <c r="BE861">
        <v>0</v>
      </c>
    </row>
    <row r="862" spans="1:60" x14ac:dyDescent="0.25">
      <c r="A862" t="s">
        <v>122</v>
      </c>
      <c r="G862">
        <v>665</v>
      </c>
      <c r="J862">
        <v>719</v>
      </c>
      <c r="AD862">
        <v>531</v>
      </c>
      <c r="AZ862">
        <v>0</v>
      </c>
    </row>
    <row r="863" spans="1:60" x14ac:dyDescent="0.25">
      <c r="A863" t="s">
        <v>123</v>
      </c>
      <c r="O863">
        <v>0</v>
      </c>
      <c r="AK863">
        <v>0</v>
      </c>
      <c r="BG863">
        <v>0</v>
      </c>
    </row>
    <row r="864" spans="1:60" x14ac:dyDescent="0.25">
      <c r="A864" t="s">
        <v>124</v>
      </c>
      <c r="M864">
        <v>-80</v>
      </c>
      <c r="AG864">
        <v>-80</v>
      </c>
      <c r="BA864">
        <v>-80</v>
      </c>
    </row>
    <row r="865" spans="1:50" x14ac:dyDescent="0.25">
      <c r="A865" t="s">
        <v>125</v>
      </c>
      <c r="L865">
        <v>-200</v>
      </c>
      <c r="AE865">
        <v>-200</v>
      </c>
      <c r="AX865">
        <v>-200</v>
      </c>
    </row>
    <row r="868" spans="1:50" x14ac:dyDescent="0.25">
      <c r="A868" t="s">
        <v>571</v>
      </c>
      <c r="B868" t="s">
        <v>79</v>
      </c>
      <c r="H868" t="s">
        <v>572</v>
      </c>
      <c r="I868" t="s">
        <v>152</v>
      </c>
    </row>
    <row r="869" spans="1:50" x14ac:dyDescent="0.25">
      <c r="A869" t="s">
        <v>113</v>
      </c>
      <c r="C869" t="s">
        <v>877</v>
      </c>
      <c r="X869">
        <v>3</v>
      </c>
      <c r="AA869">
        <v>5</v>
      </c>
      <c r="AD869">
        <v>3</v>
      </c>
    </row>
    <row r="870" spans="1:50" x14ac:dyDescent="0.25">
      <c r="A870" t="s">
        <v>114</v>
      </c>
      <c r="C870" t="s">
        <v>847</v>
      </c>
      <c r="X870">
        <v>0</v>
      </c>
      <c r="AA870">
        <v>0</v>
      </c>
      <c r="AD870">
        <v>0</v>
      </c>
    </row>
    <row r="872" spans="1:50" x14ac:dyDescent="0.25">
      <c r="A872" t="s">
        <v>115</v>
      </c>
      <c r="C872" t="s">
        <v>847</v>
      </c>
      <c r="X872">
        <v>0</v>
      </c>
      <c r="AA872">
        <v>0</v>
      </c>
      <c r="AD872">
        <v>0</v>
      </c>
    </row>
    <row r="873" spans="1:50" x14ac:dyDescent="0.25">
      <c r="A873" t="s">
        <v>116</v>
      </c>
      <c r="C873" t="s">
        <v>877</v>
      </c>
      <c r="X873">
        <v>4</v>
      </c>
      <c r="AA873">
        <v>3</v>
      </c>
      <c r="AD873">
        <v>3</v>
      </c>
    </row>
    <row r="875" spans="1:50" x14ac:dyDescent="0.25">
      <c r="A875" t="s">
        <v>117</v>
      </c>
      <c r="P875" t="s">
        <v>635</v>
      </c>
      <c r="R875" t="s">
        <v>635</v>
      </c>
      <c r="T875" t="s">
        <v>635</v>
      </c>
    </row>
    <row r="876" spans="1:50" x14ac:dyDescent="0.25">
      <c r="A876" t="s">
        <v>118</v>
      </c>
      <c r="P876" t="s">
        <v>725</v>
      </c>
    </row>
    <row r="877" spans="1:50" x14ac:dyDescent="0.25">
      <c r="A877" t="s">
        <v>119</v>
      </c>
      <c r="P877">
        <v>0</v>
      </c>
      <c r="AL877">
        <v>0</v>
      </c>
    </row>
    <row r="878" spans="1:50" x14ac:dyDescent="0.25">
      <c r="A878" t="s">
        <v>120</v>
      </c>
      <c r="B878" t="s">
        <v>121</v>
      </c>
      <c r="H878">
        <v>0</v>
      </c>
      <c r="AJ878">
        <v>0</v>
      </c>
    </row>
    <row r="879" spans="1:50" x14ac:dyDescent="0.25">
      <c r="A879" t="s">
        <v>122</v>
      </c>
      <c r="I879">
        <v>0</v>
      </c>
      <c r="L879">
        <v>603</v>
      </c>
      <c r="AH879">
        <v>0</v>
      </c>
    </row>
    <row r="880" spans="1:50" x14ac:dyDescent="0.25">
      <c r="A880" t="s">
        <v>123</v>
      </c>
      <c r="O880">
        <v>0</v>
      </c>
      <c r="AK880">
        <v>0</v>
      </c>
    </row>
    <row r="881" spans="1:38" x14ac:dyDescent="0.25">
      <c r="A881" t="s">
        <v>124</v>
      </c>
      <c r="M881">
        <v>-80</v>
      </c>
      <c r="AG881">
        <v>-80</v>
      </c>
    </row>
    <row r="882" spans="1:38" x14ac:dyDescent="0.25">
      <c r="A882" t="s">
        <v>125</v>
      </c>
      <c r="L882">
        <v>-200</v>
      </c>
      <c r="AE882">
        <v>-200</v>
      </c>
    </row>
    <row r="885" spans="1:38" x14ac:dyDescent="0.25">
      <c r="A885" t="s">
        <v>232</v>
      </c>
      <c r="B885" t="s">
        <v>79</v>
      </c>
      <c r="I885" t="s">
        <v>233</v>
      </c>
      <c r="J885" t="s">
        <v>152</v>
      </c>
    </row>
    <row r="886" spans="1:38" x14ac:dyDescent="0.25">
      <c r="A886" t="s">
        <v>113</v>
      </c>
      <c r="C886" t="s">
        <v>877</v>
      </c>
      <c r="X886">
        <v>3</v>
      </c>
      <c r="AA886">
        <v>4</v>
      </c>
      <c r="AD886">
        <v>3</v>
      </c>
    </row>
    <row r="887" spans="1:38" x14ac:dyDescent="0.25">
      <c r="A887" t="s">
        <v>114</v>
      </c>
      <c r="C887" t="s">
        <v>877</v>
      </c>
      <c r="X887">
        <v>0</v>
      </c>
      <c r="AA887">
        <v>0</v>
      </c>
      <c r="AD887">
        <v>0</v>
      </c>
    </row>
    <row r="889" spans="1:38" x14ac:dyDescent="0.25">
      <c r="A889" t="s">
        <v>115</v>
      </c>
      <c r="C889" t="s">
        <v>877</v>
      </c>
      <c r="X889">
        <v>7</v>
      </c>
      <c r="AA889">
        <v>0</v>
      </c>
      <c r="AD889">
        <v>0</v>
      </c>
    </row>
    <row r="890" spans="1:38" x14ac:dyDescent="0.25">
      <c r="A890" t="s">
        <v>116</v>
      </c>
      <c r="C890" t="s">
        <v>847</v>
      </c>
      <c r="X890">
        <v>7</v>
      </c>
      <c r="AA890">
        <v>4</v>
      </c>
      <c r="AD890">
        <v>7</v>
      </c>
    </row>
    <row r="892" spans="1:38" x14ac:dyDescent="0.25">
      <c r="A892" t="s">
        <v>117</v>
      </c>
      <c r="P892" t="s">
        <v>635</v>
      </c>
      <c r="R892" t="s">
        <v>635</v>
      </c>
      <c r="T892" t="s">
        <v>635</v>
      </c>
    </row>
    <row r="893" spans="1:38" x14ac:dyDescent="0.25">
      <c r="A893" t="s">
        <v>118</v>
      </c>
      <c r="P893" t="s">
        <v>726</v>
      </c>
    </row>
    <row r="894" spans="1:38" x14ac:dyDescent="0.25">
      <c r="A894" t="s">
        <v>119</v>
      </c>
      <c r="P894">
        <v>0</v>
      </c>
      <c r="AL894">
        <v>0</v>
      </c>
    </row>
    <row r="895" spans="1:38" x14ac:dyDescent="0.25">
      <c r="A895" t="s">
        <v>120</v>
      </c>
      <c r="B895" t="s">
        <v>121</v>
      </c>
      <c r="H895">
        <v>0</v>
      </c>
      <c r="AJ895">
        <v>0</v>
      </c>
    </row>
    <row r="896" spans="1:38" x14ac:dyDescent="0.25">
      <c r="A896" t="s">
        <v>122</v>
      </c>
      <c r="I896">
        <v>0</v>
      </c>
      <c r="K896">
        <v>1034</v>
      </c>
      <c r="AG896">
        <v>0</v>
      </c>
    </row>
    <row r="897" spans="1:60" x14ac:dyDescent="0.25">
      <c r="A897" t="s">
        <v>123</v>
      </c>
      <c r="O897">
        <v>0</v>
      </c>
      <c r="AK897">
        <v>0</v>
      </c>
    </row>
    <row r="898" spans="1:60" x14ac:dyDescent="0.25">
      <c r="A898" t="s">
        <v>124</v>
      </c>
      <c r="M898">
        <v>-80</v>
      </c>
      <c r="AG898">
        <v>-60</v>
      </c>
    </row>
    <row r="899" spans="1:60" x14ac:dyDescent="0.25">
      <c r="A899" t="s">
        <v>125</v>
      </c>
      <c r="L899">
        <v>-200</v>
      </c>
      <c r="AE899">
        <v>-200</v>
      </c>
    </row>
    <row r="902" spans="1:60" x14ac:dyDescent="0.25">
      <c r="A902" t="s">
        <v>185</v>
      </c>
      <c r="B902" t="s">
        <v>79</v>
      </c>
      <c r="H902" t="s">
        <v>186</v>
      </c>
      <c r="I902" t="s">
        <v>152</v>
      </c>
      <c r="M902" t="s">
        <v>187</v>
      </c>
      <c r="N902" t="s">
        <v>152</v>
      </c>
    </row>
    <row r="903" spans="1:60" x14ac:dyDescent="0.25">
      <c r="A903" t="s">
        <v>113</v>
      </c>
      <c r="C903" t="s">
        <v>877</v>
      </c>
      <c r="X903">
        <v>7</v>
      </c>
      <c r="AA903">
        <v>7</v>
      </c>
      <c r="AD903">
        <v>7</v>
      </c>
      <c r="AR903">
        <v>3</v>
      </c>
      <c r="AU903">
        <v>3</v>
      </c>
      <c r="AX903">
        <v>3</v>
      </c>
    </row>
    <row r="904" spans="1:60" x14ac:dyDescent="0.25">
      <c r="A904" t="s">
        <v>114</v>
      </c>
      <c r="C904" t="s">
        <v>877</v>
      </c>
      <c r="X904">
        <v>9</v>
      </c>
      <c r="Z904">
        <v>14</v>
      </c>
      <c r="AD904">
        <v>0</v>
      </c>
      <c r="AR904">
        <v>0</v>
      </c>
      <c r="AU904">
        <v>0</v>
      </c>
      <c r="AX904">
        <v>0</v>
      </c>
    </row>
    <row r="906" spans="1:60" x14ac:dyDescent="0.25">
      <c r="A906" t="s">
        <v>115</v>
      </c>
      <c r="C906" t="s">
        <v>847</v>
      </c>
      <c r="X906">
        <v>0</v>
      </c>
      <c r="AA906">
        <v>0</v>
      </c>
      <c r="AD906">
        <v>5</v>
      </c>
      <c r="AR906">
        <v>5</v>
      </c>
      <c r="AU906">
        <v>0</v>
      </c>
      <c r="AX906">
        <v>2</v>
      </c>
    </row>
    <row r="907" spans="1:60" x14ac:dyDescent="0.25">
      <c r="A907" t="s">
        <v>116</v>
      </c>
      <c r="C907" t="s">
        <v>877</v>
      </c>
      <c r="X907">
        <v>3</v>
      </c>
      <c r="AA907">
        <v>3</v>
      </c>
      <c r="AD907">
        <v>7</v>
      </c>
      <c r="AR907">
        <v>7</v>
      </c>
      <c r="AU907">
        <v>3</v>
      </c>
      <c r="AX907">
        <v>7</v>
      </c>
    </row>
    <row r="909" spans="1:60" x14ac:dyDescent="0.25">
      <c r="A909" t="s">
        <v>117</v>
      </c>
      <c r="P909" t="s">
        <v>454</v>
      </c>
      <c r="R909" t="s">
        <v>635</v>
      </c>
      <c r="T909" t="s">
        <v>635</v>
      </c>
      <c r="X909" t="s">
        <v>635</v>
      </c>
      <c r="Z909" t="s">
        <v>635</v>
      </c>
      <c r="AB909" t="s">
        <v>635</v>
      </c>
    </row>
    <row r="910" spans="1:60" x14ac:dyDescent="0.25">
      <c r="A910" t="s">
        <v>118</v>
      </c>
      <c r="P910" t="s">
        <v>725</v>
      </c>
      <c r="AJ910" t="s">
        <v>725</v>
      </c>
    </row>
    <row r="911" spans="1:60" x14ac:dyDescent="0.25">
      <c r="A911" t="s">
        <v>119</v>
      </c>
      <c r="P911">
        <v>0</v>
      </c>
      <c r="AL911">
        <v>0</v>
      </c>
      <c r="BH911">
        <v>0</v>
      </c>
    </row>
    <row r="912" spans="1:60" x14ac:dyDescent="0.25">
      <c r="A912" t="s">
        <v>120</v>
      </c>
      <c r="B912" t="s">
        <v>121</v>
      </c>
      <c r="H912">
        <v>0</v>
      </c>
      <c r="BE912">
        <v>200</v>
      </c>
    </row>
    <row r="913" spans="1:60" x14ac:dyDescent="0.25">
      <c r="A913" t="s">
        <v>122</v>
      </c>
      <c r="I913">
        <v>0</v>
      </c>
      <c r="K913">
        <v>1065</v>
      </c>
      <c r="AE913">
        <v>665</v>
      </c>
      <c r="AY913">
        <v>719</v>
      </c>
    </row>
    <row r="914" spans="1:60" x14ac:dyDescent="0.25">
      <c r="A914" t="s">
        <v>123</v>
      </c>
      <c r="O914">
        <v>0</v>
      </c>
      <c r="AK914">
        <v>0</v>
      </c>
      <c r="BG914">
        <v>0</v>
      </c>
    </row>
    <row r="915" spans="1:60" x14ac:dyDescent="0.25">
      <c r="A915" t="s">
        <v>124</v>
      </c>
      <c r="M915">
        <v>-60</v>
      </c>
      <c r="AG915">
        <v>-80</v>
      </c>
      <c r="BA915">
        <v>-80</v>
      </c>
    </row>
    <row r="916" spans="1:60" x14ac:dyDescent="0.25">
      <c r="A916" t="s">
        <v>125</v>
      </c>
      <c r="L916">
        <v>-200</v>
      </c>
      <c r="AE916">
        <v>-200</v>
      </c>
      <c r="AX916">
        <v>-200</v>
      </c>
    </row>
    <row r="919" spans="1:60" x14ac:dyDescent="0.25">
      <c r="A919" t="s">
        <v>185</v>
      </c>
      <c r="B919" t="s">
        <v>79</v>
      </c>
      <c r="H919" t="s">
        <v>188</v>
      </c>
      <c r="I919" t="s">
        <v>152</v>
      </c>
      <c r="M919" t="s">
        <v>189</v>
      </c>
      <c r="N919" t="s">
        <v>152</v>
      </c>
    </row>
    <row r="920" spans="1:60" x14ac:dyDescent="0.25">
      <c r="A920" t="s">
        <v>113</v>
      </c>
      <c r="C920" t="s">
        <v>847</v>
      </c>
      <c r="X920">
        <v>3</v>
      </c>
      <c r="AA920">
        <v>5</v>
      </c>
      <c r="AD920">
        <v>3</v>
      </c>
      <c r="AR920">
        <v>5</v>
      </c>
      <c r="AU920">
        <v>6</v>
      </c>
      <c r="AX920">
        <v>4</v>
      </c>
    </row>
    <row r="921" spans="1:60" x14ac:dyDescent="0.25">
      <c r="A921" t="s">
        <v>114</v>
      </c>
      <c r="C921" t="s">
        <v>877</v>
      </c>
      <c r="X921">
        <v>0</v>
      </c>
      <c r="AA921">
        <v>0</v>
      </c>
      <c r="AD921">
        <v>0</v>
      </c>
      <c r="AR921">
        <v>0</v>
      </c>
      <c r="AU921">
        <v>0</v>
      </c>
      <c r="AX921">
        <v>0</v>
      </c>
    </row>
    <row r="923" spans="1:60" x14ac:dyDescent="0.25">
      <c r="A923" t="s">
        <v>115</v>
      </c>
      <c r="C923" t="s">
        <v>847</v>
      </c>
      <c r="X923">
        <v>2</v>
      </c>
      <c r="AA923">
        <v>0</v>
      </c>
      <c r="AD923">
        <v>0</v>
      </c>
      <c r="AR923">
        <v>0</v>
      </c>
      <c r="AU923">
        <v>0</v>
      </c>
      <c r="AX923">
        <v>5</v>
      </c>
    </row>
    <row r="924" spans="1:60" x14ac:dyDescent="0.25">
      <c r="A924" t="s">
        <v>116</v>
      </c>
      <c r="C924" t="s">
        <v>877</v>
      </c>
      <c r="X924">
        <v>7</v>
      </c>
      <c r="AA924">
        <v>3</v>
      </c>
      <c r="AD924">
        <v>3</v>
      </c>
      <c r="AR924">
        <v>5</v>
      </c>
      <c r="AU924">
        <v>3</v>
      </c>
      <c r="AX924">
        <v>7</v>
      </c>
    </row>
    <row r="926" spans="1:60" x14ac:dyDescent="0.25">
      <c r="A926" t="s">
        <v>117</v>
      </c>
      <c r="P926" t="s">
        <v>635</v>
      </c>
      <c r="R926" t="s">
        <v>635</v>
      </c>
      <c r="T926" t="s">
        <v>635</v>
      </c>
      <c r="X926" t="s">
        <v>635</v>
      </c>
      <c r="Z926" t="s">
        <v>635</v>
      </c>
      <c r="AB926" t="s">
        <v>632</v>
      </c>
    </row>
    <row r="927" spans="1:60" x14ac:dyDescent="0.25">
      <c r="A927" t="s">
        <v>118</v>
      </c>
      <c r="P927" t="s">
        <v>735</v>
      </c>
      <c r="AJ927" t="s">
        <v>726</v>
      </c>
    </row>
    <row r="928" spans="1:60" x14ac:dyDescent="0.25">
      <c r="A928" t="s">
        <v>119</v>
      </c>
      <c r="P928">
        <v>0</v>
      </c>
      <c r="AL928">
        <v>0</v>
      </c>
      <c r="BH928">
        <v>0</v>
      </c>
    </row>
    <row r="929" spans="1:59" x14ac:dyDescent="0.25">
      <c r="A929" t="s">
        <v>120</v>
      </c>
      <c r="B929" t="s">
        <v>121</v>
      </c>
      <c r="F929">
        <v>200</v>
      </c>
      <c r="BC929">
        <v>200</v>
      </c>
    </row>
    <row r="930" spans="1:59" x14ac:dyDescent="0.25">
      <c r="A930" t="s">
        <v>122</v>
      </c>
      <c r="G930">
        <v>665</v>
      </c>
      <c r="J930">
        <v>719</v>
      </c>
      <c r="AD930">
        <v>820</v>
      </c>
      <c r="AX930">
        <v>657</v>
      </c>
    </row>
    <row r="931" spans="1:59" x14ac:dyDescent="0.25">
      <c r="A931" t="s">
        <v>123</v>
      </c>
      <c r="O931">
        <v>0</v>
      </c>
      <c r="AK931">
        <v>0</v>
      </c>
      <c r="BG931">
        <v>0</v>
      </c>
    </row>
    <row r="932" spans="1:59" x14ac:dyDescent="0.25">
      <c r="A932" t="s">
        <v>124</v>
      </c>
      <c r="M932">
        <v>-80</v>
      </c>
      <c r="AG932">
        <v>-80</v>
      </c>
      <c r="BA932">
        <v>-60</v>
      </c>
    </row>
    <row r="933" spans="1:59" x14ac:dyDescent="0.25">
      <c r="A933" t="s">
        <v>125</v>
      </c>
      <c r="L933">
        <v>-200</v>
      </c>
      <c r="AE933">
        <v>-200</v>
      </c>
      <c r="AX933">
        <v>-200</v>
      </c>
    </row>
    <row r="936" spans="1:59" x14ac:dyDescent="0.25">
      <c r="A936" t="s">
        <v>229</v>
      </c>
      <c r="B936" t="s">
        <v>79</v>
      </c>
      <c r="I936" t="s">
        <v>227</v>
      </c>
      <c r="J936" t="s">
        <v>152</v>
      </c>
      <c r="N936" t="s">
        <v>228</v>
      </c>
      <c r="O936" t="s">
        <v>152</v>
      </c>
    </row>
    <row r="937" spans="1:59" x14ac:dyDescent="0.25">
      <c r="A937" t="s">
        <v>113</v>
      </c>
      <c r="C937" t="s">
        <v>877</v>
      </c>
      <c r="X937">
        <v>3</v>
      </c>
      <c r="AA937">
        <v>3</v>
      </c>
      <c r="AD937">
        <v>3</v>
      </c>
      <c r="AR937">
        <v>7</v>
      </c>
      <c r="AU937">
        <v>7</v>
      </c>
      <c r="AX937">
        <v>7</v>
      </c>
    </row>
    <row r="938" spans="1:59" x14ac:dyDescent="0.25">
      <c r="A938" t="s">
        <v>114</v>
      </c>
      <c r="C938" t="s">
        <v>847</v>
      </c>
      <c r="X938">
        <v>0</v>
      </c>
      <c r="AA938">
        <v>0</v>
      </c>
      <c r="AD938">
        <v>0</v>
      </c>
      <c r="AR938">
        <v>0</v>
      </c>
      <c r="AT938">
        <v>12</v>
      </c>
      <c r="AW938">
        <v>11</v>
      </c>
    </row>
    <row r="940" spans="1:59" x14ac:dyDescent="0.25">
      <c r="A940" t="s">
        <v>115</v>
      </c>
      <c r="C940" t="s">
        <v>847</v>
      </c>
      <c r="X940">
        <v>5</v>
      </c>
      <c r="AA940">
        <v>0</v>
      </c>
      <c r="AD940">
        <v>6</v>
      </c>
      <c r="AR940">
        <v>5</v>
      </c>
      <c r="AU940">
        <v>0</v>
      </c>
      <c r="AX940">
        <v>0</v>
      </c>
    </row>
    <row r="941" spans="1:59" x14ac:dyDescent="0.25">
      <c r="A941" t="s">
        <v>116</v>
      </c>
      <c r="C941" t="s">
        <v>877</v>
      </c>
      <c r="X941">
        <v>7</v>
      </c>
      <c r="AA941">
        <v>4</v>
      </c>
      <c r="AD941">
        <v>7</v>
      </c>
      <c r="AR941">
        <v>7</v>
      </c>
      <c r="AU941">
        <v>3</v>
      </c>
      <c r="AX941">
        <v>3</v>
      </c>
    </row>
    <row r="943" spans="1:59" x14ac:dyDescent="0.25">
      <c r="A943" t="s">
        <v>117</v>
      </c>
      <c r="P943" t="s">
        <v>635</v>
      </c>
      <c r="R943" t="s">
        <v>635</v>
      </c>
      <c r="T943" t="s">
        <v>635</v>
      </c>
      <c r="X943" t="s">
        <v>635</v>
      </c>
      <c r="Z943" t="s">
        <v>635</v>
      </c>
      <c r="AB943" t="s">
        <v>635</v>
      </c>
    </row>
    <row r="944" spans="1:59" x14ac:dyDescent="0.25">
      <c r="A944" t="s">
        <v>118</v>
      </c>
      <c r="P944" t="s">
        <v>725</v>
      </c>
      <c r="AJ944" t="s">
        <v>735</v>
      </c>
    </row>
    <row r="945" spans="1:60" x14ac:dyDescent="0.25">
      <c r="A945" t="s">
        <v>119</v>
      </c>
      <c r="P945">
        <v>0</v>
      </c>
      <c r="AL945">
        <v>0</v>
      </c>
      <c r="BH945">
        <v>0</v>
      </c>
    </row>
    <row r="946" spans="1:60" x14ac:dyDescent="0.25">
      <c r="A946" t="s">
        <v>120</v>
      </c>
      <c r="B946" t="s">
        <v>121</v>
      </c>
      <c r="F946">
        <v>200</v>
      </c>
      <c r="BE946">
        <v>0</v>
      </c>
    </row>
    <row r="947" spans="1:60" x14ac:dyDescent="0.25">
      <c r="A947" t="s">
        <v>122</v>
      </c>
      <c r="G947">
        <v>820</v>
      </c>
      <c r="J947">
        <v>657</v>
      </c>
      <c r="AC947">
        <v>1034</v>
      </c>
      <c r="AY947">
        <v>0</v>
      </c>
    </row>
    <row r="948" spans="1:60" x14ac:dyDescent="0.25">
      <c r="A948" t="s">
        <v>123</v>
      </c>
      <c r="O948">
        <v>0</v>
      </c>
      <c r="AK948">
        <v>0</v>
      </c>
      <c r="BG948">
        <v>0</v>
      </c>
    </row>
    <row r="949" spans="1:60" x14ac:dyDescent="0.25">
      <c r="A949" t="s">
        <v>124</v>
      </c>
      <c r="M949">
        <v>-60</v>
      </c>
      <c r="AG949">
        <v>-80</v>
      </c>
      <c r="BA949">
        <v>-60</v>
      </c>
    </row>
    <row r="950" spans="1:60" x14ac:dyDescent="0.25">
      <c r="A950" t="s">
        <v>125</v>
      </c>
      <c r="L950">
        <v>-200</v>
      </c>
      <c r="AE950">
        <v>-200</v>
      </c>
      <c r="AX950">
        <v>-200</v>
      </c>
    </row>
    <row r="953" spans="1:60" x14ac:dyDescent="0.25">
      <c r="A953" t="s">
        <v>179</v>
      </c>
      <c r="B953" t="s">
        <v>79</v>
      </c>
      <c r="H953" t="s">
        <v>180</v>
      </c>
      <c r="I953" t="s">
        <v>152</v>
      </c>
      <c r="M953" t="s">
        <v>181</v>
      </c>
      <c r="N953" t="s">
        <v>152</v>
      </c>
    </row>
    <row r="954" spans="1:60" x14ac:dyDescent="0.25">
      <c r="A954" t="s">
        <v>113</v>
      </c>
      <c r="C954" t="s">
        <v>877</v>
      </c>
      <c r="X954">
        <v>7</v>
      </c>
      <c r="AA954">
        <v>7</v>
      </c>
      <c r="AD954">
        <v>7</v>
      </c>
      <c r="AR954">
        <v>7</v>
      </c>
      <c r="AU954">
        <v>7</v>
      </c>
      <c r="AX954">
        <v>7</v>
      </c>
    </row>
    <row r="955" spans="1:60" x14ac:dyDescent="0.25">
      <c r="A955" t="s">
        <v>114</v>
      </c>
      <c r="C955" t="s">
        <v>877</v>
      </c>
      <c r="X955">
        <v>2</v>
      </c>
      <c r="Z955">
        <v>23</v>
      </c>
      <c r="AD955">
        <v>7</v>
      </c>
      <c r="AR955">
        <v>7</v>
      </c>
      <c r="AT955">
        <v>15</v>
      </c>
      <c r="AW955">
        <v>14</v>
      </c>
    </row>
    <row r="957" spans="1:60" x14ac:dyDescent="0.25">
      <c r="A957" t="s">
        <v>115</v>
      </c>
      <c r="C957" t="s">
        <v>877</v>
      </c>
      <c r="W957">
        <v>26</v>
      </c>
      <c r="AA957">
        <v>0</v>
      </c>
      <c r="AD957">
        <v>0</v>
      </c>
      <c r="AR957">
        <v>0</v>
      </c>
      <c r="AU957">
        <v>0</v>
      </c>
      <c r="AX957">
        <v>0</v>
      </c>
    </row>
    <row r="958" spans="1:60" x14ac:dyDescent="0.25">
      <c r="A958" t="s">
        <v>116</v>
      </c>
      <c r="C958" t="s">
        <v>847</v>
      </c>
      <c r="X958">
        <v>7</v>
      </c>
      <c r="AA958">
        <v>3</v>
      </c>
      <c r="AD958">
        <v>3</v>
      </c>
      <c r="AR958">
        <v>3</v>
      </c>
      <c r="AU958">
        <v>3</v>
      </c>
      <c r="AX958">
        <v>3</v>
      </c>
    </row>
    <row r="960" spans="1:60" x14ac:dyDescent="0.25">
      <c r="A960" t="s">
        <v>117</v>
      </c>
      <c r="P960" t="s">
        <v>632</v>
      </c>
      <c r="R960" t="s">
        <v>454</v>
      </c>
      <c r="T960" t="s">
        <v>454</v>
      </c>
      <c r="X960" t="s">
        <v>635</v>
      </c>
      <c r="Z960" t="s">
        <v>635</v>
      </c>
      <c r="AB960" t="s">
        <v>635</v>
      </c>
    </row>
    <row r="961" spans="1:60" x14ac:dyDescent="0.25">
      <c r="A961" t="s">
        <v>118</v>
      </c>
      <c r="P961" t="s">
        <v>735</v>
      </c>
      <c r="AJ961" t="s">
        <v>726</v>
      </c>
    </row>
    <row r="962" spans="1:60" x14ac:dyDescent="0.25">
      <c r="A962" t="s">
        <v>119</v>
      </c>
      <c r="P962">
        <v>0</v>
      </c>
      <c r="AL962">
        <v>0</v>
      </c>
      <c r="BH962">
        <v>0</v>
      </c>
    </row>
    <row r="963" spans="1:60" x14ac:dyDescent="0.25">
      <c r="A963" t="s">
        <v>120</v>
      </c>
      <c r="B963" t="s">
        <v>121</v>
      </c>
      <c r="H963">
        <v>0</v>
      </c>
      <c r="BG963">
        <v>0</v>
      </c>
    </row>
    <row r="964" spans="1:60" x14ac:dyDescent="0.25">
      <c r="A964" t="s">
        <v>122</v>
      </c>
      <c r="I964">
        <v>0</v>
      </c>
      <c r="K964">
        <v>1065</v>
      </c>
      <c r="AE964">
        <v>665</v>
      </c>
      <c r="BA964">
        <v>0</v>
      </c>
    </row>
    <row r="965" spans="1:60" x14ac:dyDescent="0.25">
      <c r="A965" t="s">
        <v>123</v>
      </c>
      <c r="O965">
        <v>0</v>
      </c>
      <c r="AK965">
        <v>0</v>
      </c>
      <c r="BG965">
        <v>0</v>
      </c>
    </row>
    <row r="966" spans="1:60" x14ac:dyDescent="0.25">
      <c r="A966" t="s">
        <v>124</v>
      </c>
      <c r="M966">
        <v>-60</v>
      </c>
      <c r="AG966">
        <v>-80</v>
      </c>
      <c r="AZ966">
        <v>-120</v>
      </c>
    </row>
    <row r="967" spans="1:60" x14ac:dyDescent="0.25">
      <c r="A967" t="s">
        <v>125</v>
      </c>
      <c r="L967">
        <v>-200</v>
      </c>
      <c r="AE967">
        <v>-200</v>
      </c>
      <c r="AX967">
        <v>-280</v>
      </c>
    </row>
    <row r="970" spans="1:60" x14ac:dyDescent="0.25">
      <c r="A970" t="s">
        <v>223</v>
      </c>
      <c r="B970" t="s">
        <v>79</v>
      </c>
      <c r="I970" t="s">
        <v>573</v>
      </c>
      <c r="J970" t="s">
        <v>152</v>
      </c>
    </row>
    <row r="971" spans="1:60" x14ac:dyDescent="0.25">
      <c r="A971" t="s">
        <v>113</v>
      </c>
      <c r="C971" t="s">
        <v>877</v>
      </c>
      <c r="X971">
        <v>3</v>
      </c>
      <c r="AA971">
        <v>7</v>
      </c>
      <c r="AD971">
        <v>3</v>
      </c>
    </row>
    <row r="972" spans="1:60" x14ac:dyDescent="0.25">
      <c r="A972" t="s">
        <v>114</v>
      </c>
      <c r="C972" t="s">
        <v>877</v>
      </c>
      <c r="X972">
        <v>0</v>
      </c>
      <c r="Z972">
        <v>15</v>
      </c>
      <c r="AD972">
        <v>0</v>
      </c>
    </row>
    <row r="974" spans="1:60" x14ac:dyDescent="0.25">
      <c r="A974" t="s">
        <v>115</v>
      </c>
      <c r="C974" t="s">
        <v>847</v>
      </c>
      <c r="W974">
        <v>13</v>
      </c>
      <c r="AA974">
        <v>3</v>
      </c>
      <c r="AC974">
        <v>21</v>
      </c>
    </row>
    <row r="975" spans="1:60" x14ac:dyDescent="0.25">
      <c r="A975" t="s">
        <v>116</v>
      </c>
      <c r="C975" t="s">
        <v>877</v>
      </c>
      <c r="X975">
        <v>7</v>
      </c>
      <c r="AA975">
        <v>7</v>
      </c>
      <c r="AD975">
        <v>7</v>
      </c>
    </row>
    <row r="977" spans="1:38" x14ac:dyDescent="0.25">
      <c r="A977" t="s">
        <v>117</v>
      </c>
      <c r="P977" t="s">
        <v>453</v>
      </c>
      <c r="R977" t="s">
        <v>453</v>
      </c>
      <c r="T977" t="s">
        <v>635</v>
      </c>
    </row>
    <row r="978" spans="1:38" x14ac:dyDescent="0.25">
      <c r="A978" t="s">
        <v>118</v>
      </c>
      <c r="P978" t="s">
        <v>726</v>
      </c>
    </row>
    <row r="979" spans="1:38" x14ac:dyDescent="0.25">
      <c r="A979" t="s">
        <v>119</v>
      </c>
      <c r="P979">
        <v>0</v>
      </c>
      <c r="AL979">
        <v>0</v>
      </c>
    </row>
    <row r="980" spans="1:38" x14ac:dyDescent="0.25">
      <c r="A980" t="s">
        <v>120</v>
      </c>
      <c r="B980" t="s">
        <v>121</v>
      </c>
      <c r="H980">
        <v>0</v>
      </c>
      <c r="AJ980">
        <v>0</v>
      </c>
    </row>
    <row r="981" spans="1:38" x14ac:dyDescent="0.25">
      <c r="A981" t="s">
        <v>122</v>
      </c>
      <c r="I981">
        <v>0</v>
      </c>
      <c r="L981">
        <v>648</v>
      </c>
      <c r="AH981">
        <v>0</v>
      </c>
    </row>
    <row r="982" spans="1:38" x14ac:dyDescent="0.25">
      <c r="A982" t="s">
        <v>123</v>
      </c>
      <c r="O982">
        <v>0</v>
      </c>
      <c r="AK982">
        <v>0</v>
      </c>
    </row>
    <row r="983" spans="1:38" x14ac:dyDescent="0.25">
      <c r="A983" t="s">
        <v>124</v>
      </c>
      <c r="L983">
        <v>-120</v>
      </c>
      <c r="AF983">
        <v>-80</v>
      </c>
    </row>
    <row r="984" spans="1:38" x14ac:dyDescent="0.25">
      <c r="A984" t="s">
        <v>125</v>
      </c>
      <c r="L984">
        <v>-280</v>
      </c>
      <c r="AE984">
        <v>-200</v>
      </c>
    </row>
    <row r="987" spans="1:38" x14ac:dyDescent="0.25">
      <c r="A987" t="s">
        <v>224</v>
      </c>
      <c r="B987" t="s">
        <v>79</v>
      </c>
      <c r="I987" t="s">
        <v>225</v>
      </c>
      <c r="J987" t="s">
        <v>152</v>
      </c>
    </row>
    <row r="988" spans="1:38" x14ac:dyDescent="0.25">
      <c r="A988" t="s">
        <v>113</v>
      </c>
      <c r="C988" t="s">
        <v>847</v>
      </c>
      <c r="X988">
        <v>7</v>
      </c>
      <c r="AA988">
        <v>7</v>
      </c>
      <c r="AD988">
        <v>7</v>
      </c>
    </row>
    <row r="989" spans="1:38" x14ac:dyDescent="0.25">
      <c r="A989" t="s">
        <v>114</v>
      </c>
      <c r="C989" t="s">
        <v>877</v>
      </c>
      <c r="X989">
        <v>4</v>
      </c>
      <c r="Z989">
        <v>12</v>
      </c>
      <c r="AC989">
        <v>11</v>
      </c>
    </row>
    <row r="991" spans="1:38" x14ac:dyDescent="0.25">
      <c r="A991" t="s">
        <v>115</v>
      </c>
      <c r="C991" t="s">
        <v>847</v>
      </c>
      <c r="X991">
        <v>0</v>
      </c>
      <c r="AA991">
        <v>0</v>
      </c>
      <c r="AD991">
        <v>0</v>
      </c>
    </row>
    <row r="992" spans="1:38" x14ac:dyDescent="0.25">
      <c r="A992" t="s">
        <v>116</v>
      </c>
      <c r="C992" t="s">
        <v>877</v>
      </c>
      <c r="X992">
        <v>6</v>
      </c>
      <c r="AA992">
        <v>3</v>
      </c>
      <c r="AD992">
        <v>3</v>
      </c>
    </row>
    <row r="994" spans="1:50" x14ac:dyDescent="0.25">
      <c r="A994" t="s">
        <v>117</v>
      </c>
      <c r="P994" t="s">
        <v>635</v>
      </c>
      <c r="R994" t="s">
        <v>635</v>
      </c>
      <c r="T994" t="s">
        <v>635</v>
      </c>
    </row>
    <row r="995" spans="1:50" x14ac:dyDescent="0.25">
      <c r="A995" t="s">
        <v>118</v>
      </c>
      <c r="P995" t="s">
        <v>726</v>
      </c>
    </row>
    <row r="996" spans="1:50" x14ac:dyDescent="0.25">
      <c r="A996" t="s">
        <v>119</v>
      </c>
      <c r="P996">
        <v>0</v>
      </c>
      <c r="AL996">
        <v>0</v>
      </c>
    </row>
    <row r="997" spans="1:50" x14ac:dyDescent="0.25">
      <c r="A997" t="s">
        <v>120</v>
      </c>
      <c r="B997" t="s">
        <v>121</v>
      </c>
      <c r="H997">
        <v>0</v>
      </c>
      <c r="AJ997">
        <v>0</v>
      </c>
    </row>
    <row r="998" spans="1:50" x14ac:dyDescent="0.25">
      <c r="A998" t="s">
        <v>122</v>
      </c>
      <c r="I998">
        <v>0</v>
      </c>
      <c r="K998">
        <v>1034</v>
      </c>
      <c r="AG998">
        <v>0</v>
      </c>
    </row>
    <row r="999" spans="1:50" x14ac:dyDescent="0.25">
      <c r="A999" t="s">
        <v>123</v>
      </c>
      <c r="O999">
        <v>0</v>
      </c>
      <c r="AK999">
        <v>0</v>
      </c>
    </row>
    <row r="1000" spans="1:50" x14ac:dyDescent="0.25">
      <c r="A1000" t="s">
        <v>124</v>
      </c>
      <c r="M1000">
        <v>-80</v>
      </c>
      <c r="AG1000">
        <v>-60</v>
      </c>
    </row>
    <row r="1001" spans="1:50" x14ac:dyDescent="0.25">
      <c r="A1001" t="s">
        <v>125</v>
      </c>
      <c r="L1001">
        <v>-200</v>
      </c>
      <c r="AE1001">
        <v>-200</v>
      </c>
    </row>
    <row r="1004" spans="1:50" x14ac:dyDescent="0.25">
      <c r="A1004" t="s">
        <v>126</v>
      </c>
      <c r="B1004" t="s">
        <v>79</v>
      </c>
      <c r="H1004" t="s">
        <v>173</v>
      </c>
      <c r="I1004" t="s">
        <v>152</v>
      </c>
      <c r="M1004" t="s">
        <v>174</v>
      </c>
      <c r="N1004" t="s">
        <v>152</v>
      </c>
    </row>
    <row r="1005" spans="1:50" x14ac:dyDescent="0.25">
      <c r="A1005" t="s">
        <v>113</v>
      </c>
      <c r="C1005" t="s">
        <v>877</v>
      </c>
      <c r="X1005">
        <v>7</v>
      </c>
      <c r="AA1005">
        <v>7</v>
      </c>
      <c r="AD1005">
        <v>6</v>
      </c>
      <c r="AR1005">
        <v>3</v>
      </c>
      <c r="AU1005">
        <v>4</v>
      </c>
      <c r="AX1005">
        <v>3</v>
      </c>
    </row>
    <row r="1006" spans="1:50" x14ac:dyDescent="0.25">
      <c r="A1006" t="s">
        <v>114</v>
      </c>
      <c r="C1006" t="s">
        <v>847</v>
      </c>
      <c r="X1006">
        <v>7</v>
      </c>
      <c r="Z1006">
        <v>13</v>
      </c>
      <c r="AD1006">
        <v>2</v>
      </c>
      <c r="AR1006">
        <v>0</v>
      </c>
      <c r="AU1006">
        <v>0</v>
      </c>
      <c r="AX1006">
        <v>0</v>
      </c>
    </row>
    <row r="1008" spans="1:50" x14ac:dyDescent="0.25">
      <c r="A1008" t="s">
        <v>115</v>
      </c>
      <c r="C1008" t="s">
        <v>847</v>
      </c>
      <c r="X1008">
        <v>0</v>
      </c>
      <c r="AA1008">
        <v>0</v>
      </c>
      <c r="AD1008">
        <v>10</v>
      </c>
      <c r="AR1008">
        <v>10</v>
      </c>
      <c r="AU1008">
        <v>0</v>
      </c>
      <c r="AX1008">
        <v>2</v>
      </c>
    </row>
    <row r="1009" spans="1:60" x14ac:dyDescent="0.25">
      <c r="A1009" t="s">
        <v>116</v>
      </c>
      <c r="C1009" t="s">
        <v>877</v>
      </c>
      <c r="X1009">
        <v>3</v>
      </c>
      <c r="AA1009">
        <v>3</v>
      </c>
      <c r="AD1009">
        <v>7</v>
      </c>
      <c r="AR1009">
        <v>7</v>
      </c>
      <c r="AU1009">
        <v>6</v>
      </c>
      <c r="AX1009">
        <v>6</v>
      </c>
    </row>
    <row r="1011" spans="1:60" x14ac:dyDescent="0.25">
      <c r="A1011" t="s">
        <v>117</v>
      </c>
      <c r="P1011" t="s">
        <v>454</v>
      </c>
      <c r="R1011" t="s">
        <v>635</v>
      </c>
      <c r="T1011" t="s">
        <v>632</v>
      </c>
      <c r="X1011" t="s">
        <v>635</v>
      </c>
      <c r="Z1011" t="s">
        <v>635</v>
      </c>
      <c r="AB1011" t="s">
        <v>635</v>
      </c>
    </row>
    <row r="1012" spans="1:60" x14ac:dyDescent="0.25">
      <c r="A1012" t="s">
        <v>118</v>
      </c>
      <c r="P1012" t="s">
        <v>725</v>
      </c>
      <c r="AJ1012" t="s">
        <v>727</v>
      </c>
    </row>
    <row r="1013" spans="1:60" x14ac:dyDescent="0.25">
      <c r="A1013" t="s">
        <v>119</v>
      </c>
      <c r="P1013">
        <v>0</v>
      </c>
      <c r="AL1013">
        <v>0</v>
      </c>
      <c r="BH1013">
        <v>0</v>
      </c>
    </row>
    <row r="1014" spans="1:60" x14ac:dyDescent="0.25">
      <c r="A1014" t="s">
        <v>120</v>
      </c>
      <c r="B1014" t="s">
        <v>121</v>
      </c>
      <c r="H1014">
        <v>0</v>
      </c>
      <c r="BG1014">
        <v>0</v>
      </c>
    </row>
    <row r="1015" spans="1:60" x14ac:dyDescent="0.25">
      <c r="A1015" t="s">
        <v>122</v>
      </c>
      <c r="I1015">
        <v>0</v>
      </c>
      <c r="K1015">
        <v>1065</v>
      </c>
      <c r="AE1015">
        <v>665</v>
      </c>
      <c r="BA1015">
        <v>0</v>
      </c>
    </row>
    <row r="1016" spans="1:60" x14ac:dyDescent="0.25">
      <c r="A1016" t="s">
        <v>123</v>
      </c>
      <c r="O1016">
        <v>0</v>
      </c>
      <c r="AK1016">
        <v>0</v>
      </c>
      <c r="BG1016">
        <v>0</v>
      </c>
    </row>
    <row r="1017" spans="1:60" x14ac:dyDescent="0.25">
      <c r="A1017" t="s">
        <v>124</v>
      </c>
      <c r="M1017">
        <v>-60</v>
      </c>
      <c r="AG1017">
        <v>-80</v>
      </c>
      <c r="AZ1017">
        <v>-120</v>
      </c>
    </row>
    <row r="1018" spans="1:60" x14ac:dyDescent="0.25">
      <c r="A1018" t="s">
        <v>125</v>
      </c>
      <c r="L1018">
        <v>-200</v>
      </c>
      <c r="AE1018">
        <v>-200</v>
      </c>
      <c r="AX1018">
        <v>-280</v>
      </c>
    </row>
    <row r="1021" spans="1:60" x14ac:dyDescent="0.25">
      <c r="A1021" t="s">
        <v>167</v>
      </c>
      <c r="B1021" t="s">
        <v>79</v>
      </c>
      <c r="I1021" t="s">
        <v>168</v>
      </c>
      <c r="J1021" t="s">
        <v>152</v>
      </c>
      <c r="N1021" t="s">
        <v>169</v>
      </c>
      <c r="O1021" t="s">
        <v>152</v>
      </c>
    </row>
    <row r="1022" spans="1:60" x14ac:dyDescent="0.25">
      <c r="A1022" t="s">
        <v>113</v>
      </c>
      <c r="C1022" t="s">
        <v>877</v>
      </c>
      <c r="X1022">
        <v>7</v>
      </c>
      <c r="AA1022">
        <v>7</v>
      </c>
      <c r="AD1022">
        <v>7</v>
      </c>
      <c r="AR1022">
        <v>3</v>
      </c>
      <c r="AU1022">
        <v>3</v>
      </c>
      <c r="AX1022">
        <v>5</v>
      </c>
    </row>
    <row r="1023" spans="1:60" x14ac:dyDescent="0.25">
      <c r="A1023" t="s">
        <v>114</v>
      </c>
      <c r="C1023" t="s">
        <v>877</v>
      </c>
      <c r="X1023">
        <v>6</v>
      </c>
      <c r="Z1023">
        <v>11</v>
      </c>
      <c r="AD1023">
        <v>0</v>
      </c>
      <c r="AR1023">
        <v>0</v>
      </c>
      <c r="AU1023">
        <v>0</v>
      </c>
      <c r="AX1023">
        <v>0</v>
      </c>
    </row>
    <row r="1025" spans="1:60" x14ac:dyDescent="0.25">
      <c r="A1025" t="s">
        <v>115</v>
      </c>
      <c r="C1025" t="s">
        <v>877</v>
      </c>
      <c r="X1025">
        <v>0</v>
      </c>
      <c r="AA1025">
        <v>0</v>
      </c>
      <c r="AD1025">
        <v>10</v>
      </c>
      <c r="AR1025">
        <v>10</v>
      </c>
      <c r="AU1025">
        <v>0</v>
      </c>
      <c r="AX1025">
        <v>2</v>
      </c>
    </row>
    <row r="1026" spans="1:60" x14ac:dyDescent="0.25">
      <c r="A1026" t="s">
        <v>116</v>
      </c>
      <c r="C1026" t="s">
        <v>847</v>
      </c>
      <c r="X1026">
        <v>3</v>
      </c>
      <c r="AA1026">
        <v>3</v>
      </c>
      <c r="AD1026">
        <v>7</v>
      </c>
      <c r="AR1026">
        <v>7</v>
      </c>
      <c r="AU1026">
        <v>5</v>
      </c>
      <c r="AX1026">
        <v>7</v>
      </c>
    </row>
    <row r="1028" spans="1:60" x14ac:dyDescent="0.25">
      <c r="A1028" t="s">
        <v>117</v>
      </c>
      <c r="P1028" t="s">
        <v>454</v>
      </c>
      <c r="R1028" t="s">
        <v>635</v>
      </c>
      <c r="T1028" t="s">
        <v>635</v>
      </c>
      <c r="X1028" t="s">
        <v>635</v>
      </c>
      <c r="Z1028" t="s">
        <v>635</v>
      </c>
      <c r="AB1028" t="s">
        <v>635</v>
      </c>
    </row>
    <row r="1029" spans="1:60" x14ac:dyDescent="0.25">
      <c r="A1029" t="s">
        <v>118</v>
      </c>
      <c r="P1029" t="s">
        <v>845</v>
      </c>
      <c r="AJ1029" t="s">
        <v>845</v>
      </c>
    </row>
    <row r="1030" spans="1:60" x14ac:dyDescent="0.25">
      <c r="A1030" t="s">
        <v>119</v>
      </c>
      <c r="P1030">
        <v>0</v>
      </c>
      <c r="AL1030">
        <v>0</v>
      </c>
      <c r="BH1030">
        <v>0</v>
      </c>
    </row>
    <row r="1031" spans="1:60" x14ac:dyDescent="0.25">
      <c r="A1031" t="s">
        <v>120</v>
      </c>
      <c r="B1031" t="s">
        <v>121</v>
      </c>
      <c r="H1031">
        <v>0</v>
      </c>
      <c r="BG1031">
        <v>0</v>
      </c>
    </row>
    <row r="1032" spans="1:60" x14ac:dyDescent="0.25">
      <c r="A1032" t="s">
        <v>122</v>
      </c>
      <c r="I1032">
        <v>0</v>
      </c>
      <c r="K1032">
        <v>1065</v>
      </c>
      <c r="AE1032">
        <v>665</v>
      </c>
      <c r="BA1032">
        <v>0</v>
      </c>
    </row>
    <row r="1033" spans="1:60" x14ac:dyDescent="0.25">
      <c r="A1033" t="s">
        <v>123</v>
      </c>
      <c r="O1033">
        <v>0</v>
      </c>
      <c r="AK1033">
        <v>0</v>
      </c>
      <c r="BG1033">
        <v>0</v>
      </c>
    </row>
    <row r="1034" spans="1:60" x14ac:dyDescent="0.25">
      <c r="A1034" t="s">
        <v>124</v>
      </c>
      <c r="M1034">
        <v>-60</v>
      </c>
      <c r="AG1034">
        <v>-80</v>
      </c>
      <c r="AZ1034">
        <v>-120</v>
      </c>
    </row>
    <row r="1035" spans="1:60" x14ac:dyDescent="0.25">
      <c r="A1035" t="s">
        <v>125</v>
      </c>
      <c r="L1035">
        <v>-200</v>
      </c>
      <c r="AE1035">
        <v>-200</v>
      </c>
      <c r="AX1035">
        <v>-280</v>
      </c>
    </row>
    <row r="1038" spans="1:60" x14ac:dyDescent="0.25">
      <c r="A1038" t="s">
        <v>219</v>
      </c>
      <c r="B1038" t="s">
        <v>79</v>
      </c>
      <c r="I1038" t="s">
        <v>708</v>
      </c>
      <c r="J1038" t="s">
        <v>848</v>
      </c>
      <c r="N1038" t="s">
        <v>716</v>
      </c>
      <c r="O1038" t="s">
        <v>848</v>
      </c>
    </row>
    <row r="1039" spans="1:60" x14ac:dyDescent="0.25">
      <c r="A1039" t="s">
        <v>113</v>
      </c>
      <c r="C1039" t="s">
        <v>877</v>
      </c>
      <c r="X1039">
        <v>4</v>
      </c>
      <c r="Z1039">
        <v>13</v>
      </c>
      <c r="AD1039">
        <v>10</v>
      </c>
      <c r="AQ1039">
        <v>11</v>
      </c>
      <c r="AT1039">
        <v>13</v>
      </c>
      <c r="AX1039">
        <v>9</v>
      </c>
    </row>
    <row r="1040" spans="1:60" x14ac:dyDescent="0.25">
      <c r="A1040" t="s">
        <v>114</v>
      </c>
      <c r="C1040" t="s">
        <v>877</v>
      </c>
      <c r="X1040">
        <v>0</v>
      </c>
      <c r="AA1040">
        <v>0</v>
      </c>
      <c r="AD1040">
        <v>0</v>
      </c>
      <c r="AR1040">
        <v>0</v>
      </c>
      <c r="AU1040">
        <v>2</v>
      </c>
      <c r="AX1040">
        <v>0</v>
      </c>
    </row>
    <row r="1042" spans="1:60" x14ac:dyDescent="0.25">
      <c r="A1042" t="s">
        <v>115</v>
      </c>
      <c r="C1042" t="s">
        <v>847</v>
      </c>
      <c r="X1042">
        <v>0</v>
      </c>
      <c r="AA1042">
        <v>0</v>
      </c>
      <c r="AD1042">
        <v>0</v>
      </c>
      <c r="AR1042">
        <v>0</v>
      </c>
      <c r="AU1042">
        <v>0</v>
      </c>
      <c r="AX1042">
        <v>0</v>
      </c>
    </row>
    <row r="1043" spans="1:60" x14ac:dyDescent="0.25">
      <c r="A1043" t="s">
        <v>116</v>
      </c>
      <c r="C1043" t="s">
        <v>877</v>
      </c>
      <c r="X1043">
        <v>5</v>
      </c>
      <c r="AA1043">
        <v>3</v>
      </c>
      <c r="AD1043">
        <v>3</v>
      </c>
      <c r="AQ1043">
        <v>13</v>
      </c>
      <c r="AT1043">
        <v>11</v>
      </c>
      <c r="AX1043">
        <v>10</v>
      </c>
    </row>
    <row r="1045" spans="1:60" x14ac:dyDescent="0.25">
      <c r="A1045" t="s">
        <v>117</v>
      </c>
      <c r="P1045" t="s">
        <v>634</v>
      </c>
      <c r="R1045" t="s">
        <v>634</v>
      </c>
      <c r="T1045" t="s">
        <v>634</v>
      </c>
      <c r="X1045" t="s">
        <v>634</v>
      </c>
      <c r="Z1045" t="s">
        <v>634</v>
      </c>
      <c r="AB1045" t="s">
        <v>634</v>
      </c>
    </row>
    <row r="1046" spans="1:60" x14ac:dyDescent="0.25">
      <c r="A1046" t="s">
        <v>118</v>
      </c>
      <c r="P1046" t="s">
        <v>845</v>
      </c>
      <c r="AJ1046" t="s">
        <v>845</v>
      </c>
    </row>
    <row r="1047" spans="1:60" x14ac:dyDescent="0.25">
      <c r="A1047" t="s">
        <v>119</v>
      </c>
      <c r="P1047">
        <v>0</v>
      </c>
      <c r="AL1047">
        <v>0</v>
      </c>
      <c r="BH1047">
        <v>0</v>
      </c>
    </row>
    <row r="1048" spans="1:60" x14ac:dyDescent="0.25">
      <c r="A1048" t="s">
        <v>120</v>
      </c>
      <c r="B1048" t="s">
        <v>121</v>
      </c>
      <c r="H1048">
        <v>0</v>
      </c>
      <c r="BE1048">
        <v>280</v>
      </c>
    </row>
    <row r="1049" spans="1:60" x14ac:dyDescent="0.25">
      <c r="A1049" t="s">
        <v>122</v>
      </c>
      <c r="I1049">
        <v>0</v>
      </c>
      <c r="L1049">
        <v>579</v>
      </c>
      <c r="AF1049">
        <v>732</v>
      </c>
      <c r="AY1049">
        <v>1250</v>
      </c>
    </row>
    <row r="1050" spans="1:60" x14ac:dyDescent="0.25">
      <c r="A1050" t="s">
        <v>123</v>
      </c>
      <c r="O1050">
        <v>0</v>
      </c>
      <c r="AK1050">
        <v>0</v>
      </c>
      <c r="BG1050">
        <v>0</v>
      </c>
    </row>
    <row r="1051" spans="1:60" x14ac:dyDescent="0.25">
      <c r="A1051" t="s">
        <v>124</v>
      </c>
      <c r="L1051">
        <v>-120</v>
      </c>
      <c r="AE1051">
        <v>-120</v>
      </c>
      <c r="AX1051">
        <v>-120</v>
      </c>
    </row>
    <row r="1052" spans="1:60" x14ac:dyDescent="0.25">
      <c r="A1052" t="s">
        <v>125</v>
      </c>
      <c r="L1052">
        <v>-280</v>
      </c>
      <c r="AE1052">
        <v>-280</v>
      </c>
      <c r="AX1052">
        <v>-280</v>
      </c>
    </row>
    <row r="1055" spans="1:60" x14ac:dyDescent="0.25">
      <c r="A1055" t="s">
        <v>219</v>
      </c>
      <c r="B1055" t="s">
        <v>79</v>
      </c>
      <c r="I1055" t="s">
        <v>717</v>
      </c>
      <c r="J1055" t="s">
        <v>848</v>
      </c>
    </row>
    <row r="1056" spans="1:60" x14ac:dyDescent="0.25">
      <c r="A1056" t="s">
        <v>113</v>
      </c>
      <c r="C1056" t="s">
        <v>847</v>
      </c>
      <c r="W1056">
        <v>13</v>
      </c>
      <c r="Z1056">
        <v>13</v>
      </c>
      <c r="AC1056">
        <v>13</v>
      </c>
    </row>
    <row r="1057" spans="1:38" x14ac:dyDescent="0.25">
      <c r="A1057" t="s">
        <v>114</v>
      </c>
      <c r="C1057" t="s">
        <v>877</v>
      </c>
      <c r="W1057">
        <v>14</v>
      </c>
      <c r="Z1057">
        <v>13</v>
      </c>
      <c r="AD1057">
        <v>2</v>
      </c>
    </row>
    <row r="1059" spans="1:38" x14ac:dyDescent="0.25">
      <c r="A1059" t="s">
        <v>115</v>
      </c>
      <c r="C1059" t="s">
        <v>847</v>
      </c>
      <c r="X1059">
        <v>0</v>
      </c>
      <c r="AA1059">
        <v>0</v>
      </c>
      <c r="AD1059">
        <v>0</v>
      </c>
    </row>
    <row r="1060" spans="1:38" x14ac:dyDescent="0.25">
      <c r="A1060" t="s">
        <v>116</v>
      </c>
      <c r="C1060" t="s">
        <v>877</v>
      </c>
      <c r="X1060">
        <v>3</v>
      </c>
      <c r="AA1060">
        <v>3</v>
      </c>
      <c r="AD1060">
        <v>3</v>
      </c>
    </row>
    <row r="1062" spans="1:38" x14ac:dyDescent="0.25">
      <c r="A1062" t="s">
        <v>117</v>
      </c>
      <c r="P1062" t="s">
        <v>634</v>
      </c>
      <c r="R1062" t="s">
        <v>634</v>
      </c>
      <c r="T1062" t="s">
        <v>634</v>
      </c>
    </row>
    <row r="1063" spans="1:38" x14ac:dyDescent="0.25">
      <c r="A1063" t="s">
        <v>118</v>
      </c>
      <c r="P1063" t="s">
        <v>846</v>
      </c>
    </row>
    <row r="1064" spans="1:38" x14ac:dyDescent="0.25">
      <c r="A1064" t="s">
        <v>119</v>
      </c>
      <c r="P1064">
        <v>0</v>
      </c>
      <c r="AL1064">
        <v>0</v>
      </c>
    </row>
    <row r="1065" spans="1:38" x14ac:dyDescent="0.25">
      <c r="A1065" t="s">
        <v>120</v>
      </c>
      <c r="B1065" t="s">
        <v>121</v>
      </c>
      <c r="F1065">
        <v>280</v>
      </c>
      <c r="AF1065">
        <v>200</v>
      </c>
    </row>
    <row r="1066" spans="1:38" x14ac:dyDescent="0.25">
      <c r="A1066" t="s">
        <v>122</v>
      </c>
      <c r="G1066">
        <v>732</v>
      </c>
      <c r="I1066">
        <v>1250</v>
      </c>
      <c r="AC1066">
        <v>642</v>
      </c>
    </row>
    <row r="1067" spans="1:38" x14ac:dyDescent="0.25">
      <c r="A1067" t="s">
        <v>123</v>
      </c>
      <c r="O1067">
        <v>0</v>
      </c>
      <c r="AK1067">
        <v>0</v>
      </c>
    </row>
    <row r="1068" spans="1:38" x14ac:dyDescent="0.25">
      <c r="A1068" t="s">
        <v>124</v>
      </c>
      <c r="L1068">
        <v>-120</v>
      </c>
      <c r="AE1068">
        <v>-120</v>
      </c>
    </row>
    <row r="1069" spans="1:38" x14ac:dyDescent="0.25">
      <c r="A1069" t="s">
        <v>125</v>
      </c>
      <c r="L1069">
        <v>-280</v>
      </c>
      <c r="AE1069">
        <v>-280</v>
      </c>
    </row>
    <row r="1072" spans="1:38" x14ac:dyDescent="0.25">
      <c r="A1072" t="s">
        <v>219</v>
      </c>
      <c r="B1072" t="s">
        <v>79</v>
      </c>
      <c r="I1072" t="s">
        <v>220</v>
      </c>
      <c r="J1072" t="s">
        <v>152</v>
      </c>
      <c r="N1072" t="s">
        <v>221</v>
      </c>
      <c r="O1072" t="s">
        <v>152</v>
      </c>
    </row>
    <row r="1073" spans="1:60" x14ac:dyDescent="0.25">
      <c r="A1073" t="s">
        <v>113</v>
      </c>
      <c r="C1073" t="s">
        <v>877</v>
      </c>
      <c r="X1073">
        <v>7</v>
      </c>
      <c r="AA1073">
        <v>7</v>
      </c>
      <c r="AD1073">
        <v>7</v>
      </c>
      <c r="AR1073">
        <v>7</v>
      </c>
      <c r="AU1073">
        <v>7</v>
      </c>
      <c r="AX1073">
        <v>7</v>
      </c>
    </row>
    <row r="1074" spans="1:60" x14ac:dyDescent="0.25">
      <c r="A1074" t="s">
        <v>114</v>
      </c>
      <c r="C1074" t="s">
        <v>847</v>
      </c>
      <c r="X1074">
        <v>0</v>
      </c>
      <c r="AA1074">
        <v>0</v>
      </c>
      <c r="AD1074">
        <v>0</v>
      </c>
      <c r="AR1074">
        <v>2</v>
      </c>
      <c r="AU1074">
        <v>10</v>
      </c>
      <c r="AX1074">
        <v>9</v>
      </c>
    </row>
    <row r="1076" spans="1:60" x14ac:dyDescent="0.25">
      <c r="A1076" t="s">
        <v>115</v>
      </c>
      <c r="C1076" t="s">
        <v>847</v>
      </c>
      <c r="X1076">
        <v>0</v>
      </c>
      <c r="Z1076">
        <v>11</v>
      </c>
      <c r="AC1076">
        <v>36</v>
      </c>
      <c r="AR1076">
        <v>2</v>
      </c>
      <c r="AU1076">
        <v>0</v>
      </c>
      <c r="AX1076">
        <v>0</v>
      </c>
    </row>
    <row r="1077" spans="1:60" x14ac:dyDescent="0.25">
      <c r="A1077" t="s">
        <v>116</v>
      </c>
      <c r="C1077" t="s">
        <v>877</v>
      </c>
      <c r="X1077">
        <v>3</v>
      </c>
      <c r="AA1077">
        <v>7</v>
      </c>
      <c r="AD1077">
        <v>7</v>
      </c>
      <c r="AR1077">
        <v>6</v>
      </c>
      <c r="AU1077">
        <v>3</v>
      </c>
      <c r="AX1077">
        <v>3</v>
      </c>
    </row>
    <row r="1079" spans="1:60" x14ac:dyDescent="0.25">
      <c r="A1079" t="s">
        <v>117</v>
      </c>
      <c r="P1079" t="s">
        <v>635</v>
      </c>
      <c r="R1079" t="s">
        <v>634</v>
      </c>
      <c r="T1079" t="s">
        <v>634</v>
      </c>
      <c r="X1079" t="s">
        <v>635</v>
      </c>
      <c r="Z1079" t="s">
        <v>635</v>
      </c>
      <c r="AB1079" t="s">
        <v>635</v>
      </c>
    </row>
    <row r="1080" spans="1:60" x14ac:dyDescent="0.25">
      <c r="A1080" t="s">
        <v>118</v>
      </c>
      <c r="P1080" t="s">
        <v>845</v>
      </c>
      <c r="AJ1080" t="s">
        <v>734</v>
      </c>
    </row>
    <row r="1081" spans="1:60" x14ac:dyDescent="0.25">
      <c r="A1081" t="s">
        <v>119</v>
      </c>
      <c r="P1081">
        <v>0</v>
      </c>
      <c r="AL1081">
        <v>0</v>
      </c>
      <c r="BH1081">
        <v>0</v>
      </c>
    </row>
    <row r="1082" spans="1:60" x14ac:dyDescent="0.25">
      <c r="A1082" t="s">
        <v>120</v>
      </c>
      <c r="B1082" t="s">
        <v>121</v>
      </c>
      <c r="F1082">
        <v>280</v>
      </c>
      <c r="BE1082">
        <v>0</v>
      </c>
    </row>
    <row r="1083" spans="1:60" x14ac:dyDescent="0.25">
      <c r="A1083" t="s">
        <v>122</v>
      </c>
      <c r="F1083">
        <v>1250</v>
      </c>
      <c r="I1083">
        <v>642</v>
      </c>
      <c r="AB1083">
        <v>1033</v>
      </c>
      <c r="AX1083">
        <v>0</v>
      </c>
    </row>
    <row r="1084" spans="1:60" x14ac:dyDescent="0.25">
      <c r="A1084" t="s">
        <v>123</v>
      </c>
      <c r="O1084">
        <v>0</v>
      </c>
      <c r="AK1084">
        <v>0</v>
      </c>
      <c r="BG1084">
        <v>0</v>
      </c>
    </row>
    <row r="1085" spans="1:60" x14ac:dyDescent="0.25">
      <c r="A1085" t="s">
        <v>124</v>
      </c>
      <c r="L1085">
        <v>-120</v>
      </c>
      <c r="AF1085">
        <v>-80</v>
      </c>
      <c r="AZ1085">
        <v>-60</v>
      </c>
    </row>
    <row r="1086" spans="1:60" x14ac:dyDescent="0.25">
      <c r="A1086" t="s">
        <v>125</v>
      </c>
      <c r="L1086">
        <v>-280</v>
      </c>
      <c r="AE1086">
        <v>-200</v>
      </c>
      <c r="AX1086">
        <v>-200</v>
      </c>
    </row>
    <row r="1089" spans="1:38" x14ac:dyDescent="0.25">
      <c r="A1089" t="s">
        <v>574</v>
      </c>
      <c r="B1089" t="s">
        <v>79</v>
      </c>
      <c r="H1089" t="s">
        <v>239</v>
      </c>
      <c r="I1089" t="s">
        <v>152</v>
      </c>
    </row>
    <row r="1090" spans="1:38" x14ac:dyDescent="0.25">
      <c r="A1090" t="s">
        <v>113</v>
      </c>
      <c r="C1090" t="s">
        <v>877</v>
      </c>
      <c r="X1090">
        <v>3</v>
      </c>
      <c r="AA1090">
        <v>7</v>
      </c>
      <c r="AD1090">
        <v>7</v>
      </c>
    </row>
    <row r="1091" spans="1:38" x14ac:dyDescent="0.25">
      <c r="A1091" t="s">
        <v>114</v>
      </c>
      <c r="C1091" t="s">
        <v>877</v>
      </c>
      <c r="X1091">
        <v>0</v>
      </c>
      <c r="AA1091">
        <v>0</v>
      </c>
      <c r="AD1091">
        <v>4</v>
      </c>
    </row>
    <row r="1093" spans="1:38" x14ac:dyDescent="0.25">
      <c r="A1093" t="s">
        <v>115</v>
      </c>
      <c r="C1093" t="s">
        <v>877</v>
      </c>
      <c r="W1093">
        <v>27</v>
      </c>
      <c r="AA1093">
        <v>8</v>
      </c>
      <c r="AD1093">
        <v>0</v>
      </c>
    </row>
    <row r="1094" spans="1:38" x14ac:dyDescent="0.25">
      <c r="A1094" t="s">
        <v>116</v>
      </c>
      <c r="C1094" t="s">
        <v>847</v>
      </c>
      <c r="X1094">
        <v>7</v>
      </c>
      <c r="AA1094">
        <v>7</v>
      </c>
      <c r="AD1094">
        <v>3</v>
      </c>
    </row>
    <row r="1096" spans="1:38" x14ac:dyDescent="0.25">
      <c r="A1096" t="s">
        <v>117</v>
      </c>
      <c r="P1096" t="s">
        <v>635</v>
      </c>
      <c r="R1096" t="s">
        <v>635</v>
      </c>
      <c r="T1096" t="s">
        <v>635</v>
      </c>
    </row>
    <row r="1097" spans="1:38" x14ac:dyDescent="0.25">
      <c r="A1097" t="s">
        <v>118</v>
      </c>
      <c r="P1097" t="s">
        <v>732</v>
      </c>
    </row>
    <row r="1098" spans="1:38" x14ac:dyDescent="0.25">
      <c r="A1098" t="s">
        <v>119</v>
      </c>
      <c r="P1098">
        <v>0</v>
      </c>
      <c r="AL1098">
        <v>0</v>
      </c>
    </row>
    <row r="1099" spans="1:38" x14ac:dyDescent="0.25">
      <c r="A1099" t="s">
        <v>120</v>
      </c>
      <c r="B1099" t="s">
        <v>121</v>
      </c>
      <c r="H1099">
        <v>0</v>
      </c>
      <c r="AJ1099">
        <v>0</v>
      </c>
    </row>
    <row r="1100" spans="1:38" x14ac:dyDescent="0.25">
      <c r="A1100" t="s">
        <v>122</v>
      </c>
      <c r="I1100">
        <v>0</v>
      </c>
      <c r="L1100">
        <v>986</v>
      </c>
      <c r="AH1100">
        <v>0</v>
      </c>
    </row>
    <row r="1101" spans="1:38" x14ac:dyDescent="0.25">
      <c r="A1101" t="s">
        <v>123</v>
      </c>
      <c r="O1101">
        <v>0</v>
      </c>
      <c r="AK1101">
        <v>0</v>
      </c>
    </row>
    <row r="1102" spans="1:38" x14ac:dyDescent="0.25">
      <c r="A1102" t="s">
        <v>124</v>
      </c>
      <c r="M1102">
        <v>-60</v>
      </c>
      <c r="AF1102">
        <v>-120</v>
      </c>
    </row>
    <row r="1103" spans="1:38" x14ac:dyDescent="0.25">
      <c r="A1103" t="s">
        <v>125</v>
      </c>
      <c r="L1103">
        <v>-200</v>
      </c>
      <c r="AE1103">
        <v>-280</v>
      </c>
    </row>
    <row r="1106" spans="1:82" x14ac:dyDescent="0.25">
      <c r="A1106" t="s">
        <v>154</v>
      </c>
      <c r="B1106" t="s">
        <v>79</v>
      </c>
      <c r="H1106" t="s">
        <v>155</v>
      </c>
      <c r="I1106" t="s">
        <v>152</v>
      </c>
      <c r="M1106" t="s">
        <v>721</v>
      </c>
      <c r="N1106" t="s">
        <v>848</v>
      </c>
      <c r="R1106" t="s">
        <v>720</v>
      </c>
      <c r="S1106" t="s">
        <v>848</v>
      </c>
    </row>
    <row r="1107" spans="1:82" x14ac:dyDescent="0.25">
      <c r="A1107" t="s">
        <v>113</v>
      </c>
      <c r="C1107" t="s">
        <v>877</v>
      </c>
      <c r="X1107">
        <v>6</v>
      </c>
      <c r="AA1107">
        <v>7</v>
      </c>
      <c r="AD1107">
        <v>7</v>
      </c>
      <c r="AR1107">
        <v>3</v>
      </c>
      <c r="AU1107">
        <v>3</v>
      </c>
      <c r="AX1107">
        <v>3</v>
      </c>
      <c r="BK1107">
        <v>13</v>
      </c>
      <c r="BN1107">
        <v>13</v>
      </c>
      <c r="BR1107">
        <v>9</v>
      </c>
    </row>
    <row r="1108" spans="1:82" x14ac:dyDescent="0.25">
      <c r="A1108" t="s">
        <v>114</v>
      </c>
      <c r="C1108" t="s">
        <v>877</v>
      </c>
      <c r="X1108">
        <v>2</v>
      </c>
      <c r="AA1108">
        <v>6</v>
      </c>
      <c r="AD1108">
        <v>7</v>
      </c>
      <c r="AR1108">
        <v>0</v>
      </c>
      <c r="AU1108">
        <v>0</v>
      </c>
      <c r="AX1108">
        <v>0</v>
      </c>
      <c r="BL1108">
        <v>2</v>
      </c>
      <c r="BO1108">
        <v>2</v>
      </c>
      <c r="BR1108">
        <v>0</v>
      </c>
    </row>
    <row r="1110" spans="1:82" x14ac:dyDescent="0.25">
      <c r="A1110" t="s">
        <v>115</v>
      </c>
      <c r="C1110" t="s">
        <v>847</v>
      </c>
      <c r="X1110">
        <v>0</v>
      </c>
      <c r="AA1110">
        <v>0</v>
      </c>
      <c r="AD1110">
        <v>0</v>
      </c>
      <c r="AR1110">
        <v>0</v>
      </c>
      <c r="AU1110">
        <v>0</v>
      </c>
      <c r="AX1110">
        <v>0</v>
      </c>
      <c r="BL1110">
        <v>0</v>
      </c>
      <c r="BO1110">
        <v>0</v>
      </c>
      <c r="BR1110">
        <v>2</v>
      </c>
    </row>
    <row r="1111" spans="1:82" x14ac:dyDescent="0.25">
      <c r="A1111" t="s">
        <v>116</v>
      </c>
      <c r="C1111" t="s">
        <v>877</v>
      </c>
      <c r="X1111">
        <v>7</v>
      </c>
      <c r="AA1111">
        <v>4</v>
      </c>
      <c r="AD1111">
        <v>3</v>
      </c>
      <c r="AR1111">
        <v>9</v>
      </c>
      <c r="AU1111">
        <v>8</v>
      </c>
      <c r="AX1111">
        <v>6</v>
      </c>
      <c r="BL1111">
        <v>3</v>
      </c>
      <c r="BO1111">
        <v>6</v>
      </c>
      <c r="BQ1111">
        <v>13</v>
      </c>
    </row>
    <row r="1113" spans="1:82" x14ac:dyDescent="0.25">
      <c r="A1113" t="s">
        <v>117</v>
      </c>
      <c r="P1113" t="s">
        <v>635</v>
      </c>
      <c r="R1113" t="s">
        <v>635</v>
      </c>
      <c r="T1113" t="s">
        <v>635</v>
      </c>
      <c r="X1113" t="s">
        <v>634</v>
      </c>
      <c r="Z1113" t="s">
        <v>634</v>
      </c>
      <c r="AB1113" t="s">
        <v>634</v>
      </c>
      <c r="AF1113" t="s">
        <v>634</v>
      </c>
      <c r="AH1113" t="s">
        <v>634</v>
      </c>
      <c r="AJ1113" t="s">
        <v>634</v>
      </c>
    </row>
    <row r="1114" spans="1:82" x14ac:dyDescent="0.25">
      <c r="A1114" t="s">
        <v>118</v>
      </c>
      <c r="P1114" t="s">
        <v>732</v>
      </c>
      <c r="AJ1114" t="s">
        <v>732</v>
      </c>
      <c r="BD1114" t="s">
        <v>732</v>
      </c>
    </row>
    <row r="1115" spans="1:82" x14ac:dyDescent="0.25">
      <c r="A1115" t="s">
        <v>119</v>
      </c>
      <c r="P1115">
        <v>0</v>
      </c>
      <c r="AL1115">
        <v>0</v>
      </c>
      <c r="BH1115">
        <v>0</v>
      </c>
      <c r="CD1115">
        <v>0</v>
      </c>
    </row>
    <row r="1116" spans="1:82" x14ac:dyDescent="0.25">
      <c r="A1116" t="s">
        <v>120</v>
      </c>
      <c r="B1116" t="s">
        <v>121</v>
      </c>
      <c r="F1116">
        <v>280</v>
      </c>
      <c r="BZ1116">
        <v>280</v>
      </c>
    </row>
    <row r="1117" spans="1:82" x14ac:dyDescent="0.25">
      <c r="A1117" t="s">
        <v>122</v>
      </c>
      <c r="G1117">
        <v>530</v>
      </c>
      <c r="J1117">
        <v>668</v>
      </c>
      <c r="AD1117">
        <v>530</v>
      </c>
      <c r="AX1117">
        <v>536</v>
      </c>
      <c r="BR1117">
        <v>735</v>
      </c>
    </row>
    <row r="1118" spans="1:82" x14ac:dyDescent="0.25">
      <c r="A1118" t="s">
        <v>123</v>
      </c>
      <c r="O1118">
        <v>0</v>
      </c>
      <c r="AK1118">
        <v>0</v>
      </c>
      <c r="BG1118">
        <v>0</v>
      </c>
      <c r="CC1118">
        <v>0</v>
      </c>
    </row>
    <row r="1119" spans="1:82" x14ac:dyDescent="0.25">
      <c r="A1119" t="s">
        <v>124</v>
      </c>
      <c r="L1119">
        <v>-120</v>
      </c>
      <c r="AE1119">
        <v>-100</v>
      </c>
      <c r="AX1119">
        <v>-120</v>
      </c>
      <c r="BQ1119">
        <v>-120</v>
      </c>
    </row>
    <row r="1120" spans="1:82" x14ac:dyDescent="0.25">
      <c r="A1120" t="s">
        <v>125</v>
      </c>
      <c r="L1120">
        <v>-280</v>
      </c>
      <c r="AE1120">
        <v>-280</v>
      </c>
      <c r="AX1120">
        <v>-280</v>
      </c>
      <c r="BQ1120">
        <v>-280</v>
      </c>
    </row>
    <row r="1123" spans="1:60" x14ac:dyDescent="0.25">
      <c r="A1123" t="s">
        <v>154</v>
      </c>
      <c r="B1123" t="s">
        <v>79</v>
      </c>
      <c r="H1123" t="s">
        <v>719</v>
      </c>
      <c r="I1123" t="s">
        <v>848</v>
      </c>
      <c r="M1123" t="s">
        <v>718</v>
      </c>
      <c r="N1123" t="s">
        <v>848</v>
      </c>
    </row>
    <row r="1124" spans="1:60" x14ac:dyDescent="0.25">
      <c r="A1124" t="s">
        <v>113</v>
      </c>
      <c r="C1124" t="s">
        <v>847</v>
      </c>
      <c r="W1124">
        <v>12</v>
      </c>
      <c r="Z1124">
        <v>13</v>
      </c>
      <c r="AC1124">
        <v>13</v>
      </c>
      <c r="AQ1124">
        <v>13</v>
      </c>
      <c r="AT1124">
        <v>13</v>
      </c>
      <c r="AX1124">
        <v>9</v>
      </c>
    </row>
    <row r="1125" spans="1:60" x14ac:dyDescent="0.25">
      <c r="A1125" t="s">
        <v>114</v>
      </c>
      <c r="C1125" t="s">
        <v>877</v>
      </c>
      <c r="X1125">
        <v>0</v>
      </c>
      <c r="AA1125">
        <v>0</v>
      </c>
      <c r="AD1125">
        <v>0</v>
      </c>
      <c r="AR1125">
        <v>8</v>
      </c>
      <c r="AU1125">
        <v>7</v>
      </c>
      <c r="AX1125">
        <v>0</v>
      </c>
    </row>
    <row r="1127" spans="1:60" x14ac:dyDescent="0.25">
      <c r="A1127" t="s">
        <v>115</v>
      </c>
      <c r="C1127" t="s">
        <v>847</v>
      </c>
      <c r="X1127">
        <v>0</v>
      </c>
      <c r="AA1127">
        <v>0</v>
      </c>
      <c r="AD1127">
        <v>0</v>
      </c>
      <c r="AR1127">
        <v>0</v>
      </c>
      <c r="AU1127">
        <v>0</v>
      </c>
      <c r="AX1127">
        <v>0</v>
      </c>
    </row>
    <row r="1128" spans="1:60" x14ac:dyDescent="0.25">
      <c r="A1128" t="s">
        <v>116</v>
      </c>
      <c r="C1128" t="s">
        <v>877</v>
      </c>
      <c r="X1128">
        <v>3</v>
      </c>
      <c r="AA1128">
        <v>3</v>
      </c>
      <c r="AD1128">
        <v>3</v>
      </c>
      <c r="AR1128">
        <v>3</v>
      </c>
      <c r="AU1128">
        <v>3</v>
      </c>
      <c r="AX1128">
        <v>3</v>
      </c>
    </row>
    <row r="1130" spans="1:60" x14ac:dyDescent="0.25">
      <c r="A1130" t="s">
        <v>117</v>
      </c>
      <c r="P1130" t="s">
        <v>634</v>
      </c>
      <c r="R1130" t="s">
        <v>634</v>
      </c>
      <c r="T1130" t="s">
        <v>634</v>
      </c>
      <c r="X1130" t="s">
        <v>634</v>
      </c>
      <c r="Z1130" t="s">
        <v>634</v>
      </c>
      <c r="AB1130" t="s">
        <v>634</v>
      </c>
    </row>
    <row r="1131" spans="1:60" x14ac:dyDescent="0.25">
      <c r="A1131" t="s">
        <v>118</v>
      </c>
      <c r="P1131" t="s">
        <v>732</v>
      </c>
      <c r="AJ1131" t="s">
        <v>732</v>
      </c>
    </row>
    <row r="1132" spans="1:60" x14ac:dyDescent="0.25">
      <c r="A1132" t="s">
        <v>119</v>
      </c>
      <c r="P1132">
        <v>0</v>
      </c>
      <c r="AL1132">
        <v>0</v>
      </c>
      <c r="BH1132">
        <v>0</v>
      </c>
    </row>
    <row r="1133" spans="1:60" x14ac:dyDescent="0.25">
      <c r="A1133" t="s">
        <v>120</v>
      </c>
      <c r="B1133" t="s">
        <v>121</v>
      </c>
      <c r="F1133">
        <v>280</v>
      </c>
      <c r="BC1133">
        <v>280</v>
      </c>
    </row>
    <row r="1134" spans="1:60" x14ac:dyDescent="0.25">
      <c r="A1134" t="s">
        <v>122</v>
      </c>
      <c r="G1134">
        <v>536</v>
      </c>
      <c r="J1134">
        <v>735</v>
      </c>
      <c r="AD1134">
        <v>834</v>
      </c>
      <c r="AX1134">
        <v>735</v>
      </c>
    </row>
    <row r="1135" spans="1:60" x14ac:dyDescent="0.25">
      <c r="A1135" t="s">
        <v>123</v>
      </c>
      <c r="O1135">
        <v>0</v>
      </c>
      <c r="AI1135">
        <v>119</v>
      </c>
      <c r="BE1135">
        <v>0</v>
      </c>
    </row>
    <row r="1136" spans="1:60" x14ac:dyDescent="0.25">
      <c r="A1136" t="s">
        <v>124</v>
      </c>
      <c r="L1136">
        <v>-120</v>
      </c>
      <c r="AE1136">
        <v>-120</v>
      </c>
      <c r="AX1136">
        <v>-120</v>
      </c>
    </row>
    <row r="1137" spans="1:82" x14ac:dyDescent="0.25">
      <c r="A1137" t="s">
        <v>125</v>
      </c>
      <c r="L1137">
        <v>-280</v>
      </c>
      <c r="AE1137">
        <v>-280</v>
      </c>
      <c r="AX1137">
        <v>-280</v>
      </c>
    </row>
    <row r="1140" spans="1:82" x14ac:dyDescent="0.25">
      <c r="A1140" t="s">
        <v>151</v>
      </c>
      <c r="B1140" t="s">
        <v>79</v>
      </c>
      <c r="H1140" t="s">
        <v>153</v>
      </c>
      <c r="I1140" t="s">
        <v>152</v>
      </c>
      <c r="M1140" t="s">
        <v>723</v>
      </c>
      <c r="N1140" t="s">
        <v>848</v>
      </c>
      <c r="R1140" t="s">
        <v>722</v>
      </c>
      <c r="S1140" t="s">
        <v>848</v>
      </c>
    </row>
    <row r="1141" spans="1:82" x14ac:dyDescent="0.25">
      <c r="A1141" t="s">
        <v>113</v>
      </c>
      <c r="C1141" t="s">
        <v>877</v>
      </c>
      <c r="X1141">
        <v>7</v>
      </c>
      <c r="AA1141">
        <v>7</v>
      </c>
      <c r="AD1141">
        <v>7</v>
      </c>
      <c r="AQ1141">
        <v>13</v>
      </c>
      <c r="AT1141">
        <v>13</v>
      </c>
      <c r="AW1141">
        <v>13</v>
      </c>
      <c r="BL1141">
        <v>4</v>
      </c>
      <c r="BN1141">
        <v>11</v>
      </c>
      <c r="BQ1141">
        <v>11</v>
      </c>
    </row>
    <row r="1142" spans="1:82" x14ac:dyDescent="0.25">
      <c r="A1142" t="s">
        <v>114</v>
      </c>
      <c r="C1142" t="s">
        <v>847</v>
      </c>
      <c r="W1142">
        <v>25</v>
      </c>
      <c r="Z1142">
        <v>23</v>
      </c>
      <c r="AD1142">
        <v>5</v>
      </c>
      <c r="AR1142">
        <v>0</v>
      </c>
      <c r="AU1142">
        <v>3</v>
      </c>
      <c r="AX1142">
        <v>4</v>
      </c>
      <c r="BL1142">
        <v>0</v>
      </c>
      <c r="BO1142">
        <v>0</v>
      </c>
      <c r="BR1142">
        <v>0</v>
      </c>
    </row>
    <row r="1144" spans="1:82" x14ac:dyDescent="0.25">
      <c r="A1144" t="s">
        <v>115</v>
      </c>
      <c r="C1144" t="s">
        <v>847</v>
      </c>
      <c r="X1144">
        <v>0</v>
      </c>
      <c r="AA1144">
        <v>0</v>
      </c>
      <c r="AD1144">
        <v>0</v>
      </c>
      <c r="AR1144">
        <v>0</v>
      </c>
      <c r="AU1144">
        <v>0</v>
      </c>
      <c r="AX1144">
        <v>0</v>
      </c>
      <c r="BL1144">
        <v>0</v>
      </c>
      <c r="BO1144">
        <v>0</v>
      </c>
      <c r="BR1144">
        <v>0</v>
      </c>
    </row>
    <row r="1145" spans="1:82" x14ac:dyDescent="0.25">
      <c r="A1145" t="s">
        <v>116</v>
      </c>
      <c r="C1145" t="s">
        <v>877</v>
      </c>
      <c r="X1145">
        <v>3</v>
      </c>
      <c r="AA1145">
        <v>3</v>
      </c>
      <c r="AD1145">
        <v>3</v>
      </c>
      <c r="AR1145">
        <v>4</v>
      </c>
      <c r="AU1145">
        <v>3</v>
      </c>
      <c r="AX1145">
        <v>3</v>
      </c>
      <c r="BL1145">
        <v>5</v>
      </c>
      <c r="BO1145">
        <v>3</v>
      </c>
      <c r="BR1145">
        <v>4</v>
      </c>
    </row>
    <row r="1147" spans="1:82" x14ac:dyDescent="0.25">
      <c r="A1147" t="s">
        <v>117</v>
      </c>
      <c r="P1147" t="s">
        <v>635</v>
      </c>
      <c r="R1147" t="s">
        <v>635</v>
      </c>
      <c r="T1147" t="s">
        <v>635</v>
      </c>
      <c r="X1147" t="s">
        <v>634</v>
      </c>
      <c r="Z1147" t="s">
        <v>634</v>
      </c>
      <c r="AB1147" t="s">
        <v>634</v>
      </c>
      <c r="AF1147" t="s">
        <v>634</v>
      </c>
      <c r="AH1147" t="s">
        <v>634</v>
      </c>
      <c r="AJ1147" t="s">
        <v>634</v>
      </c>
    </row>
    <row r="1148" spans="1:82" x14ac:dyDescent="0.25">
      <c r="A1148" t="s">
        <v>118</v>
      </c>
      <c r="P1148" t="s">
        <v>732</v>
      </c>
      <c r="AJ1148" t="s">
        <v>732</v>
      </c>
      <c r="BD1148" t="s">
        <v>732</v>
      </c>
    </row>
    <row r="1149" spans="1:82" x14ac:dyDescent="0.25">
      <c r="A1149" t="s">
        <v>119</v>
      </c>
      <c r="P1149">
        <v>0</v>
      </c>
      <c r="AL1149">
        <v>0</v>
      </c>
      <c r="BH1149">
        <v>0</v>
      </c>
      <c r="CD1149">
        <v>0</v>
      </c>
    </row>
    <row r="1150" spans="1:82" x14ac:dyDescent="0.25">
      <c r="A1150" t="s">
        <v>120</v>
      </c>
      <c r="B1150" t="s">
        <v>121</v>
      </c>
      <c r="F1150">
        <v>280</v>
      </c>
      <c r="BZ1150">
        <v>280</v>
      </c>
    </row>
    <row r="1151" spans="1:82" x14ac:dyDescent="0.25">
      <c r="A1151" t="s">
        <v>122</v>
      </c>
      <c r="G1151">
        <v>456</v>
      </c>
      <c r="J1151">
        <v>660</v>
      </c>
      <c r="AD1151">
        <v>456</v>
      </c>
      <c r="AX1151">
        <v>477</v>
      </c>
      <c r="BR1151">
        <v>564</v>
      </c>
    </row>
    <row r="1152" spans="1:82" x14ac:dyDescent="0.25">
      <c r="A1152" t="s">
        <v>123</v>
      </c>
      <c r="O1152">
        <v>0</v>
      </c>
      <c r="AK1152">
        <v>0</v>
      </c>
      <c r="BG1152">
        <v>0</v>
      </c>
      <c r="CC1152">
        <v>0</v>
      </c>
    </row>
    <row r="1153" spans="1:69" x14ac:dyDescent="0.25">
      <c r="A1153" t="s">
        <v>124</v>
      </c>
      <c r="L1153">
        <v>-120</v>
      </c>
      <c r="AE1153">
        <v>-100</v>
      </c>
      <c r="AX1153">
        <v>-120</v>
      </c>
      <c r="BQ1153">
        <v>-120</v>
      </c>
    </row>
    <row r="1154" spans="1:69" x14ac:dyDescent="0.25">
      <c r="A1154" t="s">
        <v>125</v>
      </c>
      <c r="L1154">
        <v>-280</v>
      </c>
      <c r="AE1154">
        <v>-280</v>
      </c>
      <c r="AX1154">
        <v>-280</v>
      </c>
      <c r="BQ1154">
        <v>-280</v>
      </c>
    </row>
    <row r="1157" spans="1:69" x14ac:dyDescent="0.25">
      <c r="A1157" t="s">
        <v>151</v>
      </c>
      <c r="B1157" t="s">
        <v>79</v>
      </c>
      <c r="H1157" t="s">
        <v>711</v>
      </c>
      <c r="I1157" t="s">
        <v>848</v>
      </c>
      <c r="M1157" t="s">
        <v>710</v>
      </c>
      <c r="N1157" t="s">
        <v>848</v>
      </c>
    </row>
    <row r="1158" spans="1:69" x14ac:dyDescent="0.25">
      <c r="A1158" t="s">
        <v>113</v>
      </c>
      <c r="C1158" t="s">
        <v>877</v>
      </c>
      <c r="X1158">
        <v>3</v>
      </c>
      <c r="AA1158">
        <v>4</v>
      </c>
      <c r="AD1158">
        <v>3</v>
      </c>
      <c r="AR1158">
        <v>8</v>
      </c>
      <c r="AT1158">
        <v>12</v>
      </c>
      <c r="AW1158">
        <v>12</v>
      </c>
    </row>
    <row r="1159" spans="1:69" x14ac:dyDescent="0.25">
      <c r="A1159" t="s">
        <v>114</v>
      </c>
      <c r="C1159" t="s">
        <v>877</v>
      </c>
      <c r="X1159">
        <v>0</v>
      </c>
      <c r="AA1159">
        <v>0</v>
      </c>
      <c r="AD1159">
        <v>0</v>
      </c>
      <c r="AR1159">
        <v>0</v>
      </c>
      <c r="AU1159">
        <v>0</v>
      </c>
      <c r="AX1159">
        <v>0</v>
      </c>
    </row>
    <row r="1161" spans="1:69" x14ac:dyDescent="0.25">
      <c r="A1161" t="s">
        <v>115</v>
      </c>
      <c r="C1161" t="s">
        <v>877</v>
      </c>
      <c r="X1161">
        <v>8</v>
      </c>
      <c r="AA1161">
        <v>2</v>
      </c>
      <c r="AD1161">
        <v>0</v>
      </c>
      <c r="AR1161">
        <v>0</v>
      </c>
      <c r="AU1161">
        <v>0</v>
      </c>
      <c r="AX1161">
        <v>0</v>
      </c>
    </row>
    <row r="1162" spans="1:69" x14ac:dyDescent="0.25">
      <c r="A1162" t="s">
        <v>116</v>
      </c>
      <c r="C1162" t="s">
        <v>847</v>
      </c>
      <c r="W1162">
        <v>13</v>
      </c>
      <c r="Z1162">
        <v>12</v>
      </c>
      <c r="AD1162">
        <v>10</v>
      </c>
      <c r="AR1162">
        <v>7</v>
      </c>
      <c r="AU1162">
        <v>5</v>
      </c>
      <c r="AX1162">
        <v>3</v>
      </c>
    </row>
    <row r="1164" spans="1:69" x14ac:dyDescent="0.25">
      <c r="A1164" t="s">
        <v>117</v>
      </c>
      <c r="P1164" t="s">
        <v>634</v>
      </c>
      <c r="R1164" t="s">
        <v>634</v>
      </c>
      <c r="T1164" t="s">
        <v>634</v>
      </c>
      <c r="X1164" t="s">
        <v>634</v>
      </c>
      <c r="Z1164" t="s">
        <v>634</v>
      </c>
      <c r="AB1164" t="s">
        <v>634</v>
      </c>
    </row>
    <row r="1165" spans="1:69" x14ac:dyDescent="0.25">
      <c r="A1165" t="s">
        <v>118</v>
      </c>
      <c r="P1165" t="s">
        <v>732</v>
      </c>
      <c r="AJ1165" t="s">
        <v>727</v>
      </c>
    </row>
    <row r="1166" spans="1:69" x14ac:dyDescent="0.25">
      <c r="A1166" t="s">
        <v>119</v>
      </c>
      <c r="P1166">
        <v>0</v>
      </c>
      <c r="AL1166">
        <v>0</v>
      </c>
      <c r="BH1166">
        <v>0</v>
      </c>
    </row>
    <row r="1167" spans="1:69" x14ac:dyDescent="0.25">
      <c r="A1167" t="s">
        <v>120</v>
      </c>
      <c r="B1167" t="s">
        <v>121</v>
      </c>
      <c r="F1167">
        <v>280</v>
      </c>
      <c r="BC1167">
        <v>280</v>
      </c>
    </row>
    <row r="1168" spans="1:69" x14ac:dyDescent="0.25">
      <c r="A1168" t="s">
        <v>122</v>
      </c>
      <c r="G1168">
        <v>477</v>
      </c>
      <c r="J1168">
        <v>564</v>
      </c>
      <c r="AD1168">
        <v>564</v>
      </c>
      <c r="AX1168">
        <v>564</v>
      </c>
    </row>
    <row r="1169" spans="1:60" x14ac:dyDescent="0.25">
      <c r="A1169" t="s">
        <v>123</v>
      </c>
      <c r="O1169">
        <v>0</v>
      </c>
      <c r="AK1169">
        <v>0</v>
      </c>
      <c r="BG1169">
        <v>0</v>
      </c>
    </row>
    <row r="1170" spans="1:60" x14ac:dyDescent="0.25">
      <c r="A1170" t="s">
        <v>124</v>
      </c>
      <c r="L1170">
        <v>-120</v>
      </c>
      <c r="AE1170">
        <v>-120</v>
      </c>
      <c r="AX1170">
        <v>-120</v>
      </c>
    </row>
    <row r="1171" spans="1:60" x14ac:dyDescent="0.25">
      <c r="A1171" t="s">
        <v>125</v>
      </c>
      <c r="L1171">
        <v>-280</v>
      </c>
      <c r="AE1171">
        <v>-280</v>
      </c>
      <c r="AX1171">
        <v>-280</v>
      </c>
    </row>
    <row r="1174" spans="1:60" x14ac:dyDescent="0.25">
      <c r="A1174" t="s">
        <v>236</v>
      </c>
      <c r="B1174" t="s">
        <v>79</v>
      </c>
      <c r="I1174" t="s">
        <v>237</v>
      </c>
      <c r="J1174" t="s">
        <v>152</v>
      </c>
      <c r="N1174" t="s">
        <v>238</v>
      </c>
      <c r="O1174" t="s">
        <v>152</v>
      </c>
    </row>
    <row r="1175" spans="1:60" x14ac:dyDescent="0.25">
      <c r="A1175" t="s">
        <v>113</v>
      </c>
      <c r="C1175" t="s">
        <v>877</v>
      </c>
      <c r="X1175">
        <v>7</v>
      </c>
      <c r="AA1175">
        <v>7</v>
      </c>
      <c r="AD1175">
        <v>4</v>
      </c>
      <c r="AR1175">
        <v>3</v>
      </c>
      <c r="AU1175">
        <v>7</v>
      </c>
      <c r="AX1175">
        <v>3</v>
      </c>
    </row>
    <row r="1176" spans="1:60" x14ac:dyDescent="0.25">
      <c r="A1176" t="s">
        <v>114</v>
      </c>
      <c r="C1176" t="s">
        <v>877</v>
      </c>
      <c r="X1176">
        <v>9</v>
      </c>
      <c r="AA1176">
        <v>6</v>
      </c>
      <c r="AD1176">
        <v>0</v>
      </c>
      <c r="AR1176">
        <v>0</v>
      </c>
      <c r="AU1176">
        <v>5</v>
      </c>
      <c r="AX1176">
        <v>0</v>
      </c>
    </row>
    <row r="1178" spans="1:60" x14ac:dyDescent="0.25">
      <c r="A1178" t="s">
        <v>115</v>
      </c>
      <c r="C1178" t="s">
        <v>847</v>
      </c>
      <c r="X1178">
        <v>0</v>
      </c>
      <c r="AA1178">
        <v>0</v>
      </c>
      <c r="AD1178">
        <v>3</v>
      </c>
      <c r="AR1178">
        <v>8</v>
      </c>
      <c r="AU1178">
        <v>0</v>
      </c>
      <c r="AW1178">
        <v>15</v>
      </c>
    </row>
    <row r="1179" spans="1:60" x14ac:dyDescent="0.25">
      <c r="A1179" t="s">
        <v>116</v>
      </c>
      <c r="C1179" t="s">
        <v>877</v>
      </c>
      <c r="X1179">
        <v>3</v>
      </c>
      <c r="AA1179">
        <v>3</v>
      </c>
      <c r="AD1179">
        <v>7</v>
      </c>
      <c r="AR1179">
        <v>7</v>
      </c>
      <c r="AU1179">
        <v>3</v>
      </c>
      <c r="AX1179">
        <v>7</v>
      </c>
    </row>
    <row r="1181" spans="1:60" x14ac:dyDescent="0.25">
      <c r="A1181" t="s">
        <v>117</v>
      </c>
      <c r="P1181" t="s">
        <v>635</v>
      </c>
      <c r="R1181" t="s">
        <v>635</v>
      </c>
      <c r="T1181" t="s">
        <v>635</v>
      </c>
      <c r="X1181" t="s">
        <v>452</v>
      </c>
      <c r="Z1181" t="s">
        <v>452</v>
      </c>
      <c r="AB1181" t="s">
        <v>452</v>
      </c>
    </row>
    <row r="1182" spans="1:60" x14ac:dyDescent="0.25">
      <c r="A1182" t="s">
        <v>118</v>
      </c>
      <c r="P1182" t="s">
        <v>732</v>
      </c>
      <c r="AJ1182" t="s">
        <v>732</v>
      </c>
    </row>
    <row r="1183" spans="1:60" x14ac:dyDescent="0.25">
      <c r="A1183" t="s">
        <v>119</v>
      </c>
      <c r="P1183">
        <v>0</v>
      </c>
      <c r="AL1183">
        <v>0</v>
      </c>
      <c r="BH1183">
        <v>0</v>
      </c>
    </row>
    <row r="1184" spans="1:60" x14ac:dyDescent="0.25">
      <c r="A1184" t="s">
        <v>120</v>
      </c>
      <c r="B1184" t="s">
        <v>121</v>
      </c>
      <c r="H1184">
        <v>0</v>
      </c>
      <c r="BG1184">
        <v>0</v>
      </c>
    </row>
    <row r="1185" spans="1:60" x14ac:dyDescent="0.25">
      <c r="A1185" t="s">
        <v>122</v>
      </c>
      <c r="I1185">
        <v>0</v>
      </c>
      <c r="L1185">
        <v>724</v>
      </c>
      <c r="AF1185">
        <v>797</v>
      </c>
      <c r="BB1185">
        <v>0</v>
      </c>
    </row>
    <row r="1186" spans="1:60" x14ac:dyDescent="0.25">
      <c r="A1186" t="s">
        <v>123</v>
      </c>
      <c r="O1186">
        <v>0</v>
      </c>
      <c r="AK1186">
        <v>0</v>
      </c>
      <c r="BG1186">
        <v>0</v>
      </c>
    </row>
    <row r="1187" spans="1:60" x14ac:dyDescent="0.25">
      <c r="A1187" t="s">
        <v>124</v>
      </c>
      <c r="M1187">
        <v>-60</v>
      </c>
      <c r="AG1187">
        <v>-80</v>
      </c>
      <c r="BA1187">
        <v>-80</v>
      </c>
    </row>
    <row r="1188" spans="1:60" x14ac:dyDescent="0.25">
      <c r="A1188" t="s">
        <v>125</v>
      </c>
      <c r="L1188">
        <v>-200</v>
      </c>
      <c r="AE1188">
        <v>-200</v>
      </c>
      <c r="AX1188">
        <v>-200</v>
      </c>
    </row>
    <row r="1191" spans="1:60" x14ac:dyDescent="0.25">
      <c r="A1191" t="s">
        <v>159</v>
      </c>
      <c r="B1191" t="s">
        <v>79</v>
      </c>
      <c r="I1191" t="s">
        <v>575</v>
      </c>
      <c r="J1191" t="s">
        <v>150</v>
      </c>
      <c r="M1191" t="s">
        <v>576</v>
      </c>
      <c r="N1191" t="s">
        <v>150</v>
      </c>
    </row>
    <row r="1192" spans="1:60" x14ac:dyDescent="0.25">
      <c r="A1192" t="s">
        <v>113</v>
      </c>
      <c r="C1192" t="s">
        <v>847</v>
      </c>
      <c r="X1192">
        <v>3</v>
      </c>
      <c r="AA1192">
        <v>8</v>
      </c>
      <c r="AD1192">
        <v>10</v>
      </c>
      <c r="AR1192">
        <v>10</v>
      </c>
      <c r="AU1192">
        <v>10</v>
      </c>
      <c r="AX1192">
        <v>10</v>
      </c>
    </row>
    <row r="1193" spans="1:60" x14ac:dyDescent="0.25">
      <c r="A1193" t="s">
        <v>114</v>
      </c>
      <c r="C1193" t="s">
        <v>877</v>
      </c>
      <c r="X1193">
        <v>0</v>
      </c>
      <c r="AA1193">
        <v>0</v>
      </c>
      <c r="AD1193">
        <v>3</v>
      </c>
      <c r="AQ1193">
        <v>13</v>
      </c>
      <c r="AT1193">
        <v>17</v>
      </c>
      <c r="AX1193">
        <v>0</v>
      </c>
    </row>
    <row r="1195" spans="1:60" x14ac:dyDescent="0.25">
      <c r="A1195" t="s">
        <v>115</v>
      </c>
      <c r="C1195" t="s">
        <v>847</v>
      </c>
      <c r="W1195">
        <v>17</v>
      </c>
      <c r="AA1195">
        <v>0</v>
      </c>
      <c r="AD1195">
        <v>0</v>
      </c>
      <c r="AR1195">
        <v>0</v>
      </c>
      <c r="AU1195">
        <v>0</v>
      </c>
      <c r="AW1195">
        <v>15</v>
      </c>
    </row>
    <row r="1196" spans="1:60" x14ac:dyDescent="0.25">
      <c r="A1196" t="s">
        <v>116</v>
      </c>
      <c r="C1196" t="s">
        <v>877</v>
      </c>
      <c r="X1196">
        <v>10</v>
      </c>
      <c r="AA1196">
        <v>6</v>
      </c>
      <c r="AD1196">
        <v>3</v>
      </c>
      <c r="AR1196">
        <v>3</v>
      </c>
      <c r="AU1196">
        <v>3</v>
      </c>
      <c r="AX1196">
        <v>10</v>
      </c>
    </row>
    <row r="1198" spans="1:60" x14ac:dyDescent="0.25">
      <c r="A1198" t="s">
        <v>117</v>
      </c>
      <c r="P1198" t="s">
        <v>452</v>
      </c>
      <c r="R1198" t="s">
        <v>452</v>
      </c>
      <c r="T1198" t="s">
        <v>632</v>
      </c>
      <c r="X1198" t="s">
        <v>632</v>
      </c>
      <c r="Z1198" t="s">
        <v>632</v>
      </c>
      <c r="AB1198" t="s">
        <v>454</v>
      </c>
    </row>
    <row r="1199" spans="1:60" x14ac:dyDescent="0.25">
      <c r="A1199" t="s">
        <v>118</v>
      </c>
      <c r="P1199" t="s">
        <v>732</v>
      </c>
      <c r="AJ1199" t="s">
        <v>732</v>
      </c>
    </row>
    <row r="1200" spans="1:60" x14ac:dyDescent="0.25">
      <c r="A1200" t="s">
        <v>119</v>
      </c>
      <c r="P1200">
        <v>0</v>
      </c>
      <c r="AL1200">
        <v>0</v>
      </c>
      <c r="BH1200">
        <v>0</v>
      </c>
    </row>
    <row r="1201" spans="1:59" x14ac:dyDescent="0.25">
      <c r="A1201" t="s">
        <v>120</v>
      </c>
      <c r="B1201" t="s">
        <v>121</v>
      </c>
      <c r="H1201">
        <v>0</v>
      </c>
      <c r="BG1201">
        <v>0</v>
      </c>
    </row>
    <row r="1202" spans="1:59" x14ac:dyDescent="0.25">
      <c r="A1202" t="s">
        <v>122</v>
      </c>
      <c r="I1202">
        <v>0</v>
      </c>
      <c r="K1202">
        <v>1065</v>
      </c>
      <c r="AE1202">
        <v>665</v>
      </c>
      <c r="BA1202">
        <v>0</v>
      </c>
    </row>
    <row r="1203" spans="1:59" x14ac:dyDescent="0.25">
      <c r="A1203" t="s">
        <v>123</v>
      </c>
      <c r="O1203">
        <v>0</v>
      </c>
      <c r="AK1203">
        <v>0</v>
      </c>
      <c r="BG1203">
        <v>0</v>
      </c>
    </row>
    <row r="1204" spans="1:59" x14ac:dyDescent="0.25">
      <c r="A1204" t="s">
        <v>124</v>
      </c>
      <c r="M1204">
        <v>-60</v>
      </c>
      <c r="AG1204">
        <v>-80</v>
      </c>
      <c r="BA1204">
        <v>-80</v>
      </c>
    </row>
    <row r="1205" spans="1:59" x14ac:dyDescent="0.25">
      <c r="A1205" t="s">
        <v>125</v>
      </c>
      <c r="L1205">
        <v>-200</v>
      </c>
      <c r="AE1205">
        <v>-200</v>
      </c>
      <c r="AX1205">
        <v>-200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I129"/>
  <sheetViews>
    <sheetView topLeftCell="A82" zoomScale="98" zoomScaleNormal="98" workbookViewId="0">
      <selection activeCell="M118" sqref="M118"/>
    </sheetView>
  </sheetViews>
  <sheetFormatPr defaultRowHeight="16.5" x14ac:dyDescent="0.25"/>
  <cols>
    <col min="1" max="1" width="12.375" bestFit="1" customWidth="1"/>
    <col min="2" max="2" width="7.25" bestFit="1" customWidth="1"/>
    <col min="3" max="3" width="21.25" customWidth="1"/>
    <col min="4" max="4" width="21.375" customWidth="1"/>
    <col min="5" max="5" width="21.25" customWidth="1"/>
    <col min="6" max="6" width="10" bestFit="1" customWidth="1"/>
    <col min="7" max="8" width="7.25" bestFit="1" customWidth="1"/>
    <col min="9" max="9" width="9" style="1"/>
    <col min="10" max="10" width="7.25" bestFit="1" customWidth="1"/>
    <col min="11" max="11" width="4.125" bestFit="1" customWidth="1"/>
  </cols>
  <sheetData>
    <row r="1" spans="1:9" ht="18" thickTop="1" thickBot="1" x14ac:dyDescent="0.3">
      <c r="A1" s="11"/>
      <c r="B1" s="11"/>
      <c r="C1" s="11" t="s">
        <v>26</v>
      </c>
      <c r="D1" s="11" t="s">
        <v>27</v>
      </c>
      <c r="E1" s="11" t="s">
        <v>28</v>
      </c>
    </row>
    <row r="2" spans="1:9" ht="17.25" thickTop="1" x14ac:dyDescent="0.25">
      <c r="A2" s="4" t="s">
        <v>17</v>
      </c>
      <c r="B2" s="3"/>
      <c r="C2" s="3"/>
      <c r="D2" s="3"/>
      <c r="E2" s="5"/>
    </row>
    <row r="3" spans="1:9" x14ac:dyDescent="0.25">
      <c r="A3" s="6" t="s">
        <v>18</v>
      </c>
      <c r="B3" s="2"/>
      <c r="C3" s="2"/>
      <c r="D3" s="2"/>
      <c r="E3" s="7"/>
      <c r="I3"/>
    </row>
    <row r="4" spans="1:9" x14ac:dyDescent="0.25">
      <c r="A4" s="6" t="s">
        <v>19</v>
      </c>
      <c r="B4" s="2"/>
      <c r="C4" s="2"/>
      <c r="D4" s="2"/>
      <c r="E4" s="7"/>
      <c r="I4"/>
    </row>
    <row r="5" spans="1:9" x14ac:dyDescent="0.25">
      <c r="A5" s="6" t="s">
        <v>20</v>
      </c>
      <c r="B5" s="2"/>
      <c r="C5" s="2"/>
      <c r="D5" s="2"/>
      <c r="E5" s="7"/>
      <c r="I5"/>
    </row>
    <row r="6" spans="1:9" x14ac:dyDescent="0.25">
      <c r="A6" s="4" t="s">
        <v>21</v>
      </c>
      <c r="B6" s="3"/>
      <c r="C6" s="3"/>
      <c r="D6" s="3"/>
      <c r="E6" s="5"/>
      <c r="I6"/>
    </row>
    <row r="7" spans="1:9" x14ac:dyDescent="0.25">
      <c r="A7" s="6" t="s">
        <v>29</v>
      </c>
      <c r="B7" s="2"/>
      <c r="C7" s="2"/>
      <c r="D7" s="2"/>
      <c r="E7" s="7"/>
      <c r="I7"/>
    </row>
    <row r="8" spans="1:9" x14ac:dyDescent="0.25">
      <c r="A8" s="6" t="s">
        <v>30</v>
      </c>
      <c r="B8" s="2"/>
      <c r="C8" s="2"/>
      <c r="D8" s="2"/>
      <c r="E8" s="7"/>
      <c r="I8"/>
    </row>
    <row r="9" spans="1:9" x14ac:dyDescent="0.25">
      <c r="A9" s="6" t="s">
        <v>31</v>
      </c>
      <c r="B9" s="2"/>
      <c r="C9" s="2"/>
      <c r="D9" s="2"/>
      <c r="E9" s="7"/>
    </row>
    <row r="10" spans="1:9" x14ac:dyDescent="0.25">
      <c r="A10" s="4" t="s">
        <v>22</v>
      </c>
      <c r="B10" s="3"/>
      <c r="C10" s="3"/>
      <c r="D10" s="3"/>
      <c r="E10" s="5"/>
    </row>
    <row r="11" spans="1:9" x14ac:dyDescent="0.25">
      <c r="A11" s="6" t="s">
        <v>32</v>
      </c>
      <c r="B11" s="2"/>
      <c r="C11" s="2"/>
      <c r="D11" s="2"/>
      <c r="E11" s="7"/>
    </row>
    <row r="12" spans="1:9" x14ac:dyDescent="0.25">
      <c r="A12" s="6" t="s">
        <v>33</v>
      </c>
      <c r="B12" s="2"/>
      <c r="C12" s="2"/>
      <c r="D12" s="2"/>
      <c r="E12" s="7"/>
    </row>
    <row r="13" spans="1:9" x14ac:dyDescent="0.25">
      <c r="A13" s="6" t="s">
        <v>34</v>
      </c>
      <c r="B13" s="2"/>
      <c r="C13" s="2"/>
      <c r="D13" s="2"/>
      <c r="E13" s="7"/>
      <c r="I13"/>
    </row>
    <row r="14" spans="1:9" x14ac:dyDescent="0.25">
      <c r="A14" s="4" t="s">
        <v>35</v>
      </c>
      <c r="B14" s="3"/>
      <c r="C14" s="3"/>
      <c r="D14" s="3"/>
      <c r="E14" s="5"/>
      <c r="I14"/>
    </row>
    <row r="15" spans="1:9" x14ac:dyDescent="0.25">
      <c r="A15" s="6" t="s">
        <v>32</v>
      </c>
      <c r="B15" s="2"/>
      <c r="C15" s="2"/>
      <c r="D15" s="2"/>
      <c r="E15" s="7"/>
      <c r="I15"/>
    </row>
    <row r="16" spans="1:9" x14ac:dyDescent="0.25">
      <c r="A16" s="6" t="s">
        <v>33</v>
      </c>
      <c r="B16" s="2"/>
      <c r="C16" s="2"/>
      <c r="D16" s="2"/>
      <c r="E16" s="7"/>
      <c r="I16"/>
    </row>
    <row r="17" spans="1:9" x14ac:dyDescent="0.25">
      <c r="A17" s="6" t="s">
        <v>34</v>
      </c>
      <c r="B17" s="2"/>
      <c r="C17" s="2"/>
      <c r="D17" s="2"/>
      <c r="E17" s="7"/>
      <c r="I17"/>
    </row>
    <row r="18" spans="1:9" x14ac:dyDescent="0.25">
      <c r="A18" s="4" t="s">
        <v>23</v>
      </c>
      <c r="B18" s="3"/>
      <c r="C18" s="3"/>
      <c r="D18" s="3"/>
      <c r="E18" s="5"/>
      <c r="I18"/>
    </row>
    <row r="19" spans="1:9" x14ac:dyDescent="0.25">
      <c r="A19" s="6" t="s">
        <v>36</v>
      </c>
      <c r="B19" s="2"/>
      <c r="C19" s="2"/>
      <c r="D19" s="2"/>
      <c r="E19" s="7"/>
    </row>
    <row r="20" spans="1:9" x14ac:dyDescent="0.25">
      <c r="A20" s="6" t="s">
        <v>37</v>
      </c>
      <c r="B20" s="2"/>
      <c r="C20" s="2"/>
      <c r="D20" s="2"/>
      <c r="E20" s="7"/>
    </row>
    <row r="21" spans="1:9" x14ac:dyDescent="0.25">
      <c r="A21" s="6" t="s">
        <v>38</v>
      </c>
      <c r="B21" s="2"/>
      <c r="C21" s="2"/>
      <c r="D21" s="2"/>
      <c r="E21" s="7"/>
    </row>
    <row r="22" spans="1:9" x14ac:dyDescent="0.25">
      <c r="A22" s="4" t="s">
        <v>39</v>
      </c>
      <c r="B22" s="3"/>
      <c r="C22" s="3"/>
      <c r="D22" s="3"/>
      <c r="E22" s="5"/>
    </row>
    <row r="23" spans="1:9" x14ac:dyDescent="0.25">
      <c r="A23" s="6" t="s">
        <v>40</v>
      </c>
      <c r="B23" s="2"/>
      <c r="C23" s="2"/>
      <c r="D23" s="2"/>
      <c r="E23" s="7"/>
      <c r="I23"/>
    </row>
    <row r="24" spans="1:9" x14ac:dyDescent="0.25">
      <c r="A24" s="6" t="s">
        <v>41</v>
      </c>
      <c r="B24" s="2"/>
      <c r="C24" s="2"/>
      <c r="D24" s="2"/>
      <c r="E24" s="7"/>
      <c r="I24"/>
    </row>
    <row r="25" spans="1:9" x14ac:dyDescent="0.25">
      <c r="A25" s="6" t="s">
        <v>42</v>
      </c>
      <c r="B25" s="2"/>
      <c r="C25" s="2"/>
      <c r="D25" s="2"/>
      <c r="E25" s="7"/>
      <c r="I25"/>
    </row>
    <row r="26" spans="1:9" x14ac:dyDescent="0.25">
      <c r="A26" s="4" t="s">
        <v>43</v>
      </c>
      <c r="B26" s="3"/>
      <c r="C26" s="3"/>
      <c r="D26" s="3"/>
      <c r="E26" s="5"/>
      <c r="I26"/>
    </row>
    <row r="27" spans="1:9" x14ac:dyDescent="0.25">
      <c r="A27" s="6" t="s">
        <v>44</v>
      </c>
      <c r="B27" s="2"/>
      <c r="C27" s="2"/>
      <c r="D27" s="2"/>
      <c r="E27" s="7"/>
      <c r="I27"/>
    </row>
    <row r="28" spans="1:9" x14ac:dyDescent="0.25">
      <c r="A28" s="6" t="s">
        <v>33</v>
      </c>
      <c r="B28" s="2"/>
      <c r="C28" s="2"/>
      <c r="D28" s="2"/>
      <c r="E28" s="7"/>
      <c r="I28"/>
    </row>
    <row r="29" spans="1:9" x14ac:dyDescent="0.25">
      <c r="A29" s="6" t="s">
        <v>45</v>
      </c>
      <c r="B29" s="2"/>
      <c r="C29" s="2"/>
      <c r="D29" s="2"/>
      <c r="E29" s="7"/>
    </row>
    <row r="30" spans="1:9" x14ac:dyDescent="0.25">
      <c r="A30" s="4" t="s">
        <v>46</v>
      </c>
      <c r="B30" s="3"/>
      <c r="C30" s="3"/>
      <c r="D30" s="3"/>
      <c r="E30" s="5"/>
    </row>
    <row r="31" spans="1:9" x14ac:dyDescent="0.25">
      <c r="A31" s="6" t="s">
        <v>47</v>
      </c>
      <c r="B31" s="2"/>
      <c r="C31" s="2"/>
      <c r="D31" s="2"/>
      <c r="E31" s="7"/>
    </row>
    <row r="32" spans="1:9" x14ac:dyDescent="0.25">
      <c r="A32" s="6" t="s">
        <v>48</v>
      </c>
      <c r="B32" s="2"/>
      <c r="C32" s="2"/>
      <c r="D32" s="2"/>
      <c r="E32" s="7"/>
    </row>
    <row r="33" spans="1:9" x14ac:dyDescent="0.25">
      <c r="A33" s="6" t="s">
        <v>45</v>
      </c>
      <c r="B33" s="2"/>
      <c r="C33" s="2"/>
      <c r="D33" s="2"/>
      <c r="E33" s="7"/>
      <c r="I33"/>
    </row>
    <row r="34" spans="1:9" x14ac:dyDescent="0.25">
      <c r="A34" s="4" t="s">
        <v>24</v>
      </c>
      <c r="B34" s="3"/>
      <c r="C34" s="3"/>
      <c r="D34" s="3"/>
      <c r="E34" s="5"/>
      <c r="I34"/>
    </row>
    <row r="35" spans="1:9" x14ac:dyDescent="0.25">
      <c r="A35" s="6" t="s">
        <v>32</v>
      </c>
      <c r="B35" s="2"/>
      <c r="C35" s="2"/>
      <c r="D35" s="2"/>
      <c r="E35" s="7"/>
      <c r="I35"/>
    </row>
    <row r="36" spans="1:9" x14ac:dyDescent="0.25">
      <c r="A36" s="6" t="s">
        <v>33</v>
      </c>
      <c r="B36" s="2"/>
      <c r="C36" s="2"/>
      <c r="D36" s="2"/>
      <c r="E36" s="7"/>
      <c r="I36"/>
    </row>
    <row r="37" spans="1:9" x14ac:dyDescent="0.25">
      <c r="A37" s="6" t="s">
        <v>34</v>
      </c>
      <c r="B37" s="2"/>
      <c r="C37" s="2"/>
      <c r="D37" s="2"/>
      <c r="E37" s="7"/>
      <c r="I37"/>
    </row>
    <row r="38" spans="1:9" x14ac:dyDescent="0.25">
      <c r="A38" s="4" t="s">
        <v>49</v>
      </c>
      <c r="B38" s="3"/>
      <c r="C38" s="3"/>
      <c r="D38" s="3"/>
      <c r="E38" s="5"/>
      <c r="I38"/>
    </row>
    <row r="39" spans="1:9" x14ac:dyDescent="0.25">
      <c r="A39" s="6" t="s">
        <v>32</v>
      </c>
      <c r="B39" s="2"/>
      <c r="C39" s="2"/>
      <c r="D39" s="2"/>
      <c r="E39" s="7"/>
    </row>
    <row r="40" spans="1:9" x14ac:dyDescent="0.25">
      <c r="A40" s="6" t="s">
        <v>33</v>
      </c>
      <c r="B40" s="2"/>
      <c r="C40" s="2"/>
      <c r="D40" s="2"/>
      <c r="E40" s="7"/>
    </row>
    <row r="41" spans="1:9" x14ac:dyDescent="0.25">
      <c r="A41" s="6" t="s">
        <v>34</v>
      </c>
      <c r="B41" s="2"/>
      <c r="C41" s="2"/>
      <c r="D41" s="2"/>
      <c r="E41" s="7"/>
    </row>
    <row r="42" spans="1:9" x14ac:dyDescent="0.25">
      <c r="A42" s="4" t="s">
        <v>50</v>
      </c>
      <c r="B42" s="3"/>
      <c r="C42" s="3"/>
      <c r="D42" s="3"/>
      <c r="E42" s="5"/>
    </row>
    <row r="43" spans="1:9" x14ac:dyDescent="0.25">
      <c r="A43" s="6" t="s">
        <v>32</v>
      </c>
      <c r="B43" s="2"/>
      <c r="C43" s="2"/>
      <c r="D43" s="2"/>
      <c r="E43" s="7"/>
    </row>
    <row r="44" spans="1:9" x14ac:dyDescent="0.25">
      <c r="A44" s="6" t="s">
        <v>33</v>
      </c>
      <c r="B44" s="2"/>
      <c r="C44" s="2"/>
      <c r="D44" s="2"/>
      <c r="E44" s="7"/>
    </row>
    <row r="45" spans="1:9" x14ac:dyDescent="0.25">
      <c r="A45" s="6" t="s">
        <v>34</v>
      </c>
      <c r="B45" s="2"/>
      <c r="C45" s="2"/>
      <c r="D45" s="2"/>
      <c r="E45" s="7"/>
    </row>
    <row r="46" spans="1:9" x14ac:dyDescent="0.25">
      <c r="A46" s="4" t="s">
        <v>51</v>
      </c>
      <c r="B46" s="3"/>
      <c r="C46" s="3"/>
      <c r="D46" s="3"/>
      <c r="E46" s="5"/>
    </row>
    <row r="47" spans="1:9" x14ac:dyDescent="0.25">
      <c r="A47" s="6" t="s">
        <v>32</v>
      </c>
      <c r="B47" s="2"/>
      <c r="C47" s="2"/>
      <c r="D47" s="2"/>
      <c r="E47" s="7"/>
    </row>
    <row r="48" spans="1:9" x14ac:dyDescent="0.25">
      <c r="A48" s="6" t="s">
        <v>33</v>
      </c>
      <c r="B48" s="2"/>
      <c r="C48" s="2"/>
      <c r="D48" s="2"/>
      <c r="E48" s="7"/>
    </row>
    <row r="49" spans="1:5" x14ac:dyDescent="0.25">
      <c r="A49" s="6" t="s">
        <v>34</v>
      </c>
      <c r="B49" s="2"/>
      <c r="C49" s="2"/>
      <c r="D49" s="2"/>
      <c r="E49" s="7"/>
    </row>
    <row r="50" spans="1:5" x14ac:dyDescent="0.25">
      <c r="A50" s="4" t="s">
        <v>52</v>
      </c>
      <c r="B50" s="3"/>
      <c r="C50" s="3"/>
      <c r="D50" s="3"/>
      <c r="E50" s="5"/>
    </row>
    <row r="51" spans="1:5" x14ac:dyDescent="0.25">
      <c r="A51" s="6" t="s">
        <v>32</v>
      </c>
      <c r="B51" s="2"/>
      <c r="C51" s="2"/>
      <c r="D51" s="2"/>
      <c r="E51" s="7"/>
    </row>
    <row r="52" spans="1:5" x14ac:dyDescent="0.25">
      <c r="A52" s="6" t="s">
        <v>33</v>
      </c>
      <c r="B52" s="2"/>
      <c r="C52" s="2"/>
      <c r="D52" s="2"/>
      <c r="E52" s="7"/>
    </row>
    <row r="53" spans="1:5" x14ac:dyDescent="0.25">
      <c r="A53" s="6" t="s">
        <v>34</v>
      </c>
      <c r="B53" s="2"/>
      <c r="C53" s="2"/>
      <c r="D53" s="2"/>
      <c r="E53" s="7"/>
    </row>
    <row r="54" spans="1:5" x14ac:dyDescent="0.25">
      <c r="A54" s="4" t="s">
        <v>53</v>
      </c>
      <c r="B54" s="3"/>
      <c r="C54" s="3"/>
      <c r="D54" s="3"/>
      <c r="E54" s="5"/>
    </row>
    <row r="55" spans="1:5" x14ac:dyDescent="0.25">
      <c r="A55" s="6" t="s">
        <v>32</v>
      </c>
      <c r="B55" s="2"/>
      <c r="C55" s="2"/>
      <c r="D55" s="2"/>
      <c r="E55" s="7"/>
    </row>
    <row r="56" spans="1:5" x14ac:dyDescent="0.25">
      <c r="A56" s="6" t="s">
        <v>33</v>
      </c>
      <c r="B56" s="2"/>
      <c r="C56" s="2"/>
      <c r="D56" s="2"/>
      <c r="E56" s="7"/>
    </row>
    <row r="57" spans="1:5" x14ac:dyDescent="0.25">
      <c r="A57" s="6" t="s">
        <v>34</v>
      </c>
      <c r="B57" s="2"/>
      <c r="C57" s="2"/>
      <c r="D57" s="2"/>
      <c r="E57" s="7"/>
    </row>
    <row r="58" spans="1:5" x14ac:dyDescent="0.25">
      <c r="A58" s="4" t="s">
        <v>54</v>
      </c>
      <c r="B58" s="3"/>
      <c r="C58" s="3"/>
      <c r="D58" s="3"/>
      <c r="E58" s="5"/>
    </row>
    <row r="59" spans="1:5" x14ac:dyDescent="0.25">
      <c r="A59" s="6" t="s">
        <v>32</v>
      </c>
      <c r="B59" s="2"/>
      <c r="C59" s="2"/>
      <c r="D59" s="2"/>
      <c r="E59" s="7"/>
    </row>
    <row r="60" spans="1:5" x14ac:dyDescent="0.25">
      <c r="A60" s="6" t="s">
        <v>33</v>
      </c>
      <c r="B60" s="2"/>
      <c r="C60" s="2"/>
      <c r="D60" s="2"/>
      <c r="E60" s="7"/>
    </row>
    <row r="61" spans="1:5" x14ac:dyDescent="0.25">
      <c r="A61" s="6" t="s">
        <v>34</v>
      </c>
      <c r="B61" s="2"/>
      <c r="C61" s="2"/>
      <c r="D61" s="2"/>
      <c r="E61" s="7"/>
    </row>
    <row r="62" spans="1:5" x14ac:dyDescent="0.25">
      <c r="A62" s="4" t="s">
        <v>55</v>
      </c>
      <c r="B62" s="3"/>
      <c r="C62" s="3"/>
      <c r="D62" s="3"/>
      <c r="E62" s="5"/>
    </row>
    <row r="63" spans="1:5" x14ac:dyDescent="0.25">
      <c r="A63" s="6" t="s">
        <v>32</v>
      </c>
      <c r="B63" s="2"/>
      <c r="C63" s="2"/>
      <c r="D63" s="2"/>
      <c r="E63" s="7"/>
    </row>
    <row r="64" spans="1:5" x14ac:dyDescent="0.25">
      <c r="A64" s="6" t="s">
        <v>33</v>
      </c>
      <c r="B64" s="2"/>
      <c r="C64" s="2"/>
      <c r="D64" s="2"/>
      <c r="E64" s="7"/>
    </row>
    <row r="65" spans="1:5" x14ac:dyDescent="0.25">
      <c r="A65" s="6" t="s">
        <v>34</v>
      </c>
      <c r="B65" s="2"/>
      <c r="C65" s="2"/>
      <c r="D65" s="2"/>
      <c r="E65" s="7"/>
    </row>
    <row r="66" spans="1:5" x14ac:dyDescent="0.25">
      <c r="A66" s="4" t="s">
        <v>25</v>
      </c>
      <c r="B66" s="3"/>
      <c r="C66" s="3"/>
      <c r="D66" s="3"/>
      <c r="E66" s="5"/>
    </row>
    <row r="67" spans="1:5" x14ac:dyDescent="0.25">
      <c r="A67" s="6" t="s">
        <v>32</v>
      </c>
      <c r="B67" s="2"/>
      <c r="C67" s="2"/>
      <c r="D67" s="2"/>
      <c r="E67" s="7"/>
    </row>
    <row r="68" spans="1:5" x14ac:dyDescent="0.25">
      <c r="A68" s="6" t="s">
        <v>33</v>
      </c>
      <c r="B68" s="2"/>
      <c r="C68" s="2"/>
      <c r="D68" s="2"/>
      <c r="E68" s="7"/>
    </row>
    <row r="69" spans="1:5" x14ac:dyDescent="0.25">
      <c r="A69" s="6" t="s">
        <v>34</v>
      </c>
      <c r="B69" s="2"/>
      <c r="C69" s="2"/>
      <c r="D69" s="2"/>
      <c r="E69" s="7"/>
    </row>
    <row r="70" spans="1:5" x14ac:dyDescent="0.25">
      <c r="A70" s="4" t="s">
        <v>56</v>
      </c>
      <c r="B70" s="3"/>
      <c r="C70" s="3"/>
      <c r="D70" s="3"/>
      <c r="E70" s="5"/>
    </row>
    <row r="71" spans="1:5" x14ac:dyDescent="0.25">
      <c r="A71" s="6" t="s">
        <v>32</v>
      </c>
      <c r="B71" s="2"/>
      <c r="C71" s="2"/>
      <c r="D71" s="2"/>
      <c r="E71" s="7"/>
    </row>
    <row r="72" spans="1:5" x14ac:dyDescent="0.25">
      <c r="A72" s="6" t="s">
        <v>33</v>
      </c>
      <c r="B72" s="2"/>
      <c r="C72" s="2"/>
      <c r="D72" s="2"/>
      <c r="E72" s="7"/>
    </row>
    <row r="73" spans="1:5" x14ac:dyDescent="0.25">
      <c r="A73" s="6" t="s">
        <v>34</v>
      </c>
      <c r="B73" s="2"/>
      <c r="C73" s="2"/>
      <c r="D73" s="2"/>
      <c r="E73" s="7"/>
    </row>
    <row r="74" spans="1:5" x14ac:dyDescent="0.25">
      <c r="A74" s="4" t="s">
        <v>57</v>
      </c>
      <c r="B74" s="3"/>
      <c r="C74" s="3"/>
      <c r="D74" s="3"/>
      <c r="E74" s="5"/>
    </row>
    <row r="75" spans="1:5" x14ac:dyDescent="0.25">
      <c r="A75" s="6" t="s">
        <v>32</v>
      </c>
      <c r="B75" s="2"/>
      <c r="C75" s="2"/>
      <c r="D75" s="2"/>
      <c r="E75" s="7"/>
    </row>
    <row r="76" spans="1:5" x14ac:dyDescent="0.25">
      <c r="A76" s="6" t="s">
        <v>33</v>
      </c>
      <c r="B76" s="2"/>
      <c r="C76" s="2"/>
      <c r="D76" s="2"/>
      <c r="E76" s="7"/>
    </row>
    <row r="77" spans="1:5" x14ac:dyDescent="0.25">
      <c r="A77" s="6" t="s">
        <v>34</v>
      </c>
      <c r="B77" s="2"/>
      <c r="C77" s="2"/>
      <c r="D77" s="2"/>
      <c r="E77" s="7"/>
    </row>
    <row r="78" spans="1:5" x14ac:dyDescent="0.25">
      <c r="A78" s="4" t="s">
        <v>58</v>
      </c>
      <c r="B78" s="3"/>
      <c r="C78" s="3"/>
      <c r="D78" s="3"/>
      <c r="E78" s="5"/>
    </row>
    <row r="79" spans="1:5" x14ac:dyDescent="0.25">
      <c r="A79" s="6" t="s">
        <v>32</v>
      </c>
      <c r="B79" s="2"/>
      <c r="C79" s="2"/>
      <c r="D79" s="2"/>
      <c r="E79" s="7"/>
    </row>
    <row r="80" spans="1:5" x14ac:dyDescent="0.25">
      <c r="A80" s="6" t="s">
        <v>33</v>
      </c>
      <c r="B80" s="2"/>
      <c r="C80" s="2"/>
      <c r="D80" s="2"/>
      <c r="E80" s="7"/>
    </row>
    <row r="81" spans="1:5" x14ac:dyDescent="0.25">
      <c r="A81" s="6" t="s">
        <v>34</v>
      </c>
      <c r="B81" s="2"/>
      <c r="C81" s="2"/>
      <c r="D81" s="2"/>
      <c r="E81" s="7"/>
    </row>
    <row r="82" spans="1:5" x14ac:dyDescent="0.25">
      <c r="A82" s="4" t="s">
        <v>59</v>
      </c>
      <c r="B82" s="3"/>
      <c r="C82" s="3"/>
      <c r="D82" s="3"/>
      <c r="E82" s="5"/>
    </row>
    <row r="83" spans="1:5" x14ac:dyDescent="0.25">
      <c r="A83" s="6" t="s">
        <v>32</v>
      </c>
      <c r="B83" s="2"/>
      <c r="C83" s="2"/>
      <c r="D83" s="2"/>
      <c r="E83" s="7"/>
    </row>
    <row r="84" spans="1:5" x14ac:dyDescent="0.25">
      <c r="A84" s="6" t="s">
        <v>33</v>
      </c>
      <c r="B84" s="2"/>
      <c r="C84" s="2"/>
      <c r="D84" s="2"/>
      <c r="E84" s="7"/>
    </row>
    <row r="85" spans="1:5" x14ac:dyDescent="0.25">
      <c r="A85" s="6" t="s">
        <v>34</v>
      </c>
      <c r="B85" s="2"/>
      <c r="C85" s="2"/>
      <c r="D85" s="2"/>
      <c r="E85" s="7"/>
    </row>
    <row r="86" spans="1:5" x14ac:dyDescent="0.25">
      <c r="A86" s="4" t="s">
        <v>60</v>
      </c>
      <c r="B86" s="3"/>
      <c r="C86" s="3"/>
      <c r="D86" s="3"/>
      <c r="E86" s="5"/>
    </row>
    <row r="87" spans="1:5" x14ac:dyDescent="0.25">
      <c r="A87" s="6" t="s">
        <v>32</v>
      </c>
      <c r="B87" s="2"/>
      <c r="C87" s="2"/>
      <c r="D87" s="2"/>
      <c r="E87" s="7"/>
    </row>
    <row r="88" spans="1:5" x14ac:dyDescent="0.25">
      <c r="A88" s="6" t="s">
        <v>33</v>
      </c>
      <c r="B88" s="2"/>
      <c r="C88" s="2"/>
      <c r="D88" s="2"/>
      <c r="E88" s="7"/>
    </row>
    <row r="89" spans="1:5" x14ac:dyDescent="0.25">
      <c r="A89" s="6" t="s">
        <v>34</v>
      </c>
      <c r="B89" s="2"/>
      <c r="C89" s="2"/>
      <c r="D89" s="2"/>
      <c r="E89" s="7"/>
    </row>
    <row r="90" spans="1:5" x14ac:dyDescent="0.25">
      <c r="A90" s="4" t="s">
        <v>61</v>
      </c>
      <c r="B90" s="3"/>
      <c r="C90" s="3"/>
      <c r="D90" s="3"/>
      <c r="E90" s="5"/>
    </row>
    <row r="91" spans="1:5" x14ac:dyDescent="0.25">
      <c r="A91" s="6" t="s">
        <v>32</v>
      </c>
      <c r="B91" s="2"/>
      <c r="C91" s="2"/>
      <c r="D91" s="2"/>
      <c r="E91" s="7"/>
    </row>
    <row r="92" spans="1:5" x14ac:dyDescent="0.25">
      <c r="A92" s="6" t="s">
        <v>33</v>
      </c>
      <c r="B92" s="2"/>
      <c r="C92" s="2"/>
      <c r="D92" s="2"/>
      <c r="E92" s="7"/>
    </row>
    <row r="93" spans="1:5" x14ac:dyDescent="0.25">
      <c r="A93" s="6" t="s">
        <v>34</v>
      </c>
      <c r="B93" s="2"/>
      <c r="C93" s="2"/>
      <c r="D93" s="2"/>
      <c r="E93" s="7"/>
    </row>
    <row r="94" spans="1:5" x14ac:dyDescent="0.25">
      <c r="A94" s="4" t="s">
        <v>62</v>
      </c>
      <c r="B94" s="3"/>
      <c r="C94" s="3"/>
      <c r="D94" s="3"/>
      <c r="E94" s="5"/>
    </row>
    <row r="95" spans="1:5" x14ac:dyDescent="0.25">
      <c r="A95" s="6" t="s">
        <v>32</v>
      </c>
      <c r="B95" s="2"/>
      <c r="C95" s="2"/>
      <c r="D95" s="2"/>
      <c r="E95" s="7"/>
    </row>
    <row r="96" spans="1:5" x14ac:dyDescent="0.25">
      <c r="A96" s="6" t="s">
        <v>33</v>
      </c>
      <c r="B96" s="2"/>
      <c r="C96" s="2"/>
      <c r="D96" s="2"/>
      <c r="E96" s="7"/>
    </row>
    <row r="97" spans="1:5" x14ac:dyDescent="0.25">
      <c r="A97" s="6" t="s">
        <v>34</v>
      </c>
      <c r="B97" s="2"/>
      <c r="C97" s="2"/>
      <c r="D97" s="2"/>
      <c r="E97" s="7"/>
    </row>
    <row r="98" spans="1:5" x14ac:dyDescent="0.25">
      <c r="A98" s="4" t="s">
        <v>60</v>
      </c>
      <c r="B98" s="3"/>
      <c r="C98" s="3"/>
      <c r="D98" s="3"/>
      <c r="E98" s="5"/>
    </row>
    <row r="99" spans="1:5" x14ac:dyDescent="0.25">
      <c r="A99" s="6" t="s">
        <v>32</v>
      </c>
      <c r="B99" s="2"/>
      <c r="C99" s="2"/>
      <c r="D99" s="2"/>
      <c r="E99" s="7"/>
    </row>
    <row r="100" spans="1:5" x14ac:dyDescent="0.25">
      <c r="A100" s="6" t="s">
        <v>33</v>
      </c>
      <c r="B100" s="2"/>
      <c r="C100" s="2"/>
      <c r="D100" s="2"/>
      <c r="E100" s="7"/>
    </row>
    <row r="101" spans="1:5" x14ac:dyDescent="0.25">
      <c r="A101" s="6" t="s">
        <v>34</v>
      </c>
      <c r="B101" s="2"/>
      <c r="C101" s="2"/>
      <c r="D101" s="2"/>
      <c r="E101" s="7"/>
    </row>
    <row r="102" spans="1:5" x14ac:dyDescent="0.25">
      <c r="A102" s="4" t="s">
        <v>63</v>
      </c>
      <c r="B102" s="3"/>
      <c r="C102" s="3"/>
      <c r="D102" s="3"/>
      <c r="E102" s="5"/>
    </row>
    <row r="103" spans="1:5" x14ac:dyDescent="0.25">
      <c r="A103" s="6" t="s">
        <v>32</v>
      </c>
      <c r="B103" s="2"/>
      <c r="C103" s="2"/>
      <c r="D103" s="2"/>
      <c r="E103" s="7"/>
    </row>
    <row r="104" spans="1:5" x14ac:dyDescent="0.25">
      <c r="A104" s="6" t="s">
        <v>33</v>
      </c>
      <c r="B104" s="2"/>
      <c r="C104" s="2"/>
      <c r="D104" s="2"/>
      <c r="E104" s="7"/>
    </row>
    <row r="105" spans="1:5" x14ac:dyDescent="0.25">
      <c r="A105" s="6" t="s">
        <v>34</v>
      </c>
      <c r="B105" s="2"/>
      <c r="C105" s="2"/>
      <c r="D105" s="2"/>
      <c r="E105" s="7"/>
    </row>
    <row r="106" spans="1:5" x14ac:dyDescent="0.25">
      <c r="A106" s="4" t="s">
        <v>64</v>
      </c>
      <c r="B106" s="3"/>
      <c r="C106" s="3"/>
      <c r="D106" s="3"/>
      <c r="E106" s="5"/>
    </row>
    <row r="107" spans="1:5" x14ac:dyDescent="0.25">
      <c r="A107" s="6" t="s">
        <v>32</v>
      </c>
      <c r="B107" s="2"/>
      <c r="C107" s="2"/>
      <c r="D107" s="2"/>
      <c r="E107" s="7"/>
    </row>
    <row r="108" spans="1:5" x14ac:dyDescent="0.25">
      <c r="A108" s="6" t="s">
        <v>33</v>
      </c>
      <c r="B108" s="2"/>
      <c r="C108" s="2"/>
      <c r="D108" s="2"/>
      <c r="E108" s="7"/>
    </row>
    <row r="109" spans="1:5" x14ac:dyDescent="0.25">
      <c r="A109" s="6" t="s">
        <v>34</v>
      </c>
      <c r="B109" s="2"/>
      <c r="C109" s="2"/>
      <c r="D109" s="2"/>
      <c r="E109" s="7"/>
    </row>
    <row r="110" spans="1:5" x14ac:dyDescent="0.25">
      <c r="A110" s="4" t="s">
        <v>65</v>
      </c>
      <c r="B110" s="3"/>
      <c r="C110" s="3"/>
      <c r="D110" s="3"/>
      <c r="E110" s="5"/>
    </row>
    <row r="111" spans="1:5" x14ac:dyDescent="0.25">
      <c r="A111" s="6" t="s">
        <v>32</v>
      </c>
      <c r="B111" s="2"/>
      <c r="C111" s="2"/>
      <c r="D111" s="2"/>
      <c r="E111" s="7"/>
    </row>
    <row r="112" spans="1:5" x14ac:dyDescent="0.25">
      <c r="A112" s="6" t="s">
        <v>33</v>
      </c>
      <c r="B112" s="2"/>
      <c r="C112" s="2"/>
      <c r="D112" s="2"/>
      <c r="E112" s="7"/>
    </row>
    <row r="113" spans="1:5" x14ac:dyDescent="0.25">
      <c r="A113" s="6" t="s">
        <v>34</v>
      </c>
      <c r="B113" s="2"/>
      <c r="C113" s="2"/>
      <c r="D113" s="2"/>
      <c r="E113" s="7"/>
    </row>
    <row r="114" spans="1:5" x14ac:dyDescent="0.25">
      <c r="A114" s="4" t="s">
        <v>66</v>
      </c>
      <c r="B114" s="3"/>
      <c r="C114" s="3"/>
      <c r="D114" s="3"/>
      <c r="E114" s="5"/>
    </row>
    <row r="115" spans="1:5" x14ac:dyDescent="0.25">
      <c r="A115" s="6" t="s">
        <v>32</v>
      </c>
      <c r="B115" s="2"/>
      <c r="C115" s="2"/>
      <c r="D115" s="2"/>
      <c r="E115" s="7"/>
    </row>
    <row r="116" spans="1:5" x14ac:dyDescent="0.25">
      <c r="A116" s="6" t="s">
        <v>33</v>
      </c>
      <c r="B116" s="2"/>
      <c r="C116" s="2"/>
      <c r="D116" s="2"/>
      <c r="E116" s="7"/>
    </row>
    <row r="117" spans="1:5" x14ac:dyDescent="0.25">
      <c r="A117" s="6" t="s">
        <v>34</v>
      </c>
      <c r="B117" s="2"/>
      <c r="C117" s="2"/>
      <c r="D117" s="2"/>
      <c r="E117" s="7"/>
    </row>
    <row r="118" spans="1:5" ht="17.25" thickBot="1" x14ac:dyDescent="0.3">
      <c r="A118" s="8"/>
      <c r="B118" s="9"/>
      <c r="C118" s="9"/>
      <c r="D118" s="9"/>
      <c r="E118" s="10"/>
    </row>
    <row r="119" spans="1:5" ht="17.25" thickTop="1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8"/>
  <sheetViews>
    <sheetView topLeftCell="A46" zoomScale="160" zoomScaleNormal="160" workbookViewId="0">
      <selection activeCell="H6" sqref="H6"/>
    </sheetView>
  </sheetViews>
  <sheetFormatPr defaultRowHeight="16.5" x14ac:dyDescent="0.25"/>
  <sheetData>
    <row r="1" spans="1:3" x14ac:dyDescent="0.25">
      <c r="A1" s="16" t="s">
        <v>69</v>
      </c>
      <c r="B1" s="17" t="s">
        <v>71</v>
      </c>
      <c r="C1" s="18"/>
    </row>
    <row r="2" spans="1:3" x14ac:dyDescent="0.25">
      <c r="A2" s="16" t="s">
        <v>70</v>
      </c>
      <c r="B2" s="17" t="s">
        <v>72</v>
      </c>
      <c r="C2" s="18"/>
    </row>
    <row r="5" spans="1:3" x14ac:dyDescent="0.25">
      <c r="B5" s="15" t="s">
        <v>68</v>
      </c>
      <c r="C5" t="s">
        <v>73</v>
      </c>
    </row>
    <row r="6" spans="1:3" x14ac:dyDescent="0.25">
      <c r="C6" t="s">
        <v>74</v>
      </c>
    </row>
    <row r="8" spans="1:3" x14ac:dyDescent="0.25">
      <c r="B8" s="15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L24"/>
  <sheetViews>
    <sheetView zoomScale="115" zoomScaleNormal="115" workbookViewId="0">
      <selection activeCell="H10" sqref="H10"/>
    </sheetView>
  </sheetViews>
  <sheetFormatPr defaultRowHeight="16.5" x14ac:dyDescent="0.25"/>
  <cols>
    <col min="1" max="1" width="14.25" customWidth="1"/>
    <col min="2" max="2" width="14.5" customWidth="1"/>
  </cols>
  <sheetData>
    <row r="2" spans="1:9" x14ac:dyDescent="0.25">
      <c r="A2" t="s">
        <v>128</v>
      </c>
    </row>
    <row r="4" spans="1:9" x14ac:dyDescent="0.25">
      <c r="B4" s="15" t="s">
        <v>129</v>
      </c>
      <c r="C4">
        <v>70</v>
      </c>
    </row>
    <row r="5" spans="1:9" x14ac:dyDescent="0.25">
      <c r="B5" s="15" t="s">
        <v>130</v>
      </c>
      <c r="C5">
        <v>240</v>
      </c>
    </row>
    <row r="6" spans="1:9" x14ac:dyDescent="0.25">
      <c r="B6" s="15" t="s">
        <v>131</v>
      </c>
      <c r="C6">
        <v>78</v>
      </c>
    </row>
    <row r="7" spans="1:9" x14ac:dyDescent="0.25">
      <c r="B7" s="15" t="s">
        <v>132</v>
      </c>
      <c r="C7">
        <v>4</v>
      </c>
    </row>
    <row r="8" spans="1:9" x14ac:dyDescent="0.25">
      <c r="B8" t="s">
        <v>133</v>
      </c>
      <c r="C8">
        <v>1.27</v>
      </c>
    </row>
    <row r="9" spans="1:9" x14ac:dyDescent="0.25">
      <c r="B9" t="s">
        <v>134</v>
      </c>
      <c r="C9">
        <f>C8*2/(0.0015*C4)</f>
        <v>24.190476190476193</v>
      </c>
    </row>
    <row r="10" spans="1:9" x14ac:dyDescent="0.25">
      <c r="B10" t="s">
        <v>135</v>
      </c>
      <c r="C10">
        <f>ROUNDUP((C5-C6-10-10)/C9,0)+1</f>
        <v>7</v>
      </c>
    </row>
    <row r="11" spans="1:9" x14ac:dyDescent="0.25">
      <c r="B11" t="s">
        <v>136</v>
      </c>
      <c r="C11">
        <f>C8*C10*2</f>
        <v>17.78</v>
      </c>
      <c r="D11" t="s">
        <v>137</v>
      </c>
    </row>
    <row r="12" spans="1:9" x14ac:dyDescent="0.25">
      <c r="B12" t="s">
        <v>138</v>
      </c>
      <c r="C12">
        <f>C7+1</f>
        <v>5</v>
      </c>
      <c r="D12" t="s">
        <v>139</v>
      </c>
      <c r="E12" t="s">
        <v>140</v>
      </c>
      <c r="F12">
        <v>1.99</v>
      </c>
      <c r="G12" t="s">
        <v>141</v>
      </c>
      <c r="I12">
        <f>F20*2*F12</f>
        <v>19.899999999999999</v>
      </c>
    </row>
    <row r="13" spans="1:9" x14ac:dyDescent="0.25">
      <c r="C13">
        <f>C7-1</f>
        <v>3</v>
      </c>
      <c r="E13" t="s">
        <v>142</v>
      </c>
      <c r="F13">
        <v>0.71</v>
      </c>
      <c r="G13" t="s">
        <v>136</v>
      </c>
      <c r="I13">
        <f>F22*2*F13</f>
        <v>17.04</v>
      </c>
    </row>
    <row r="19" spans="3:12" x14ac:dyDescent="0.25">
      <c r="C19">
        <f>C12</f>
        <v>5</v>
      </c>
      <c r="D19" t="s">
        <v>143</v>
      </c>
      <c r="E19" t="s">
        <v>144</v>
      </c>
      <c r="F19">
        <f>F12*2/0.0015/C4</f>
        <v>37.904761904761905</v>
      </c>
    </row>
    <row r="20" spans="3:12" x14ac:dyDescent="0.25">
      <c r="E20" t="s">
        <v>145</v>
      </c>
      <c r="F20">
        <f>ROUNDUP((C5-20-C6)/F19,0)+1</f>
        <v>5</v>
      </c>
    </row>
    <row r="21" spans="3:12" x14ac:dyDescent="0.25">
      <c r="C21">
        <f>C13</f>
        <v>3</v>
      </c>
      <c r="D21" t="s">
        <v>146</v>
      </c>
      <c r="E21" t="s">
        <v>147</v>
      </c>
      <c r="F21">
        <f>F13*2/0.0015/C4</f>
        <v>13.523809523809524</v>
      </c>
    </row>
    <row r="22" spans="3:12" x14ac:dyDescent="0.25">
      <c r="E22" t="s">
        <v>148</v>
      </c>
      <c r="F22">
        <f>ROUNDUP((C5-C6-20)/F21,0)+1</f>
        <v>12</v>
      </c>
    </row>
    <row r="24" spans="3:12" x14ac:dyDescent="0.25">
      <c r="K24" t="s">
        <v>149</v>
      </c>
      <c r="L24" t="s">
        <v>95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O41"/>
  <sheetViews>
    <sheetView workbookViewId="0">
      <selection activeCell="N5" sqref="N5"/>
    </sheetView>
  </sheetViews>
  <sheetFormatPr defaultColWidth="9" defaultRowHeight="15.75" x14ac:dyDescent="0.25"/>
  <cols>
    <col min="1" max="1" width="9" style="49"/>
    <col min="2" max="2" width="18.875" style="49" customWidth="1"/>
    <col min="3" max="3" width="9.75" style="49" customWidth="1"/>
    <col min="4" max="5" width="9" style="49"/>
    <col min="6" max="6" width="9" style="49" customWidth="1"/>
    <col min="7" max="16384" width="9" style="49"/>
  </cols>
  <sheetData>
    <row r="1" spans="1:15" x14ac:dyDescent="0.25">
      <c r="A1" s="49" t="s">
        <v>932</v>
      </c>
      <c r="B1" s="62" t="s">
        <v>931</v>
      </c>
    </row>
    <row r="2" spans="1:15" ht="16.5" x14ac:dyDescent="0.25">
      <c r="A2" s="49" t="s">
        <v>930</v>
      </c>
      <c r="B2" s="62" t="s">
        <v>929</v>
      </c>
    </row>
    <row r="3" spans="1:15" ht="16.5" x14ac:dyDescent="0.25">
      <c r="A3" s="49" t="s">
        <v>928</v>
      </c>
      <c r="B3" s="63" t="s">
        <v>927</v>
      </c>
      <c r="F3" s="62"/>
      <c r="G3" s="62"/>
    </row>
    <row r="4" spans="1:15" ht="16.5" x14ac:dyDescent="0.25">
      <c r="B4" s="63"/>
      <c r="F4" s="62"/>
      <c r="G4" s="62"/>
    </row>
    <row r="5" spans="1:15" x14ac:dyDescent="0.25">
      <c r="B5" s="62" t="s">
        <v>926</v>
      </c>
      <c r="C5" s="49" t="s">
        <v>925</v>
      </c>
      <c r="F5" s="62"/>
      <c r="G5" s="62"/>
    </row>
    <row r="6" spans="1:15" x14ac:dyDescent="0.25">
      <c r="B6" s="62" t="s">
        <v>924</v>
      </c>
      <c r="C6" s="49">
        <v>60</v>
      </c>
      <c r="F6" s="62"/>
      <c r="G6" s="62"/>
    </row>
    <row r="7" spans="1:15" x14ac:dyDescent="0.25">
      <c r="B7" s="62" t="s">
        <v>923</v>
      </c>
      <c r="C7" s="49">
        <v>20</v>
      </c>
      <c r="F7" s="62"/>
      <c r="G7" s="62"/>
    </row>
    <row r="8" spans="1:15" x14ac:dyDescent="0.25">
      <c r="B8" s="62" t="s">
        <v>922</v>
      </c>
      <c r="C8" s="49">
        <v>10</v>
      </c>
      <c r="F8" s="62"/>
      <c r="G8" s="62"/>
    </row>
    <row r="9" spans="1:15" x14ac:dyDescent="0.25">
      <c r="B9" s="62" t="s">
        <v>921</v>
      </c>
      <c r="C9" s="49">
        <v>4</v>
      </c>
      <c r="F9" s="62"/>
      <c r="G9" s="62"/>
    </row>
    <row r="10" spans="1:15" x14ac:dyDescent="0.25">
      <c r="B10" s="62" t="s">
        <v>920</v>
      </c>
      <c r="C10" s="49">
        <v>7.5</v>
      </c>
      <c r="F10" s="62"/>
      <c r="G10" s="62"/>
    </row>
    <row r="11" spans="1:15" x14ac:dyDescent="0.25">
      <c r="B11" s="62" t="s">
        <v>919</v>
      </c>
      <c r="C11" s="49">
        <v>2</v>
      </c>
      <c r="F11" s="62"/>
      <c r="G11" s="62"/>
    </row>
    <row r="12" spans="1:15" ht="16.5" x14ac:dyDescent="0.25">
      <c r="B12" s="63"/>
      <c r="F12" s="62"/>
      <c r="G12" s="62"/>
    </row>
    <row r="13" spans="1:15" ht="16.5" x14ac:dyDescent="0.25">
      <c r="B13" s="61" t="s">
        <v>918</v>
      </c>
      <c r="C13" s="60"/>
      <c r="D13" s="59" t="s">
        <v>917</v>
      </c>
      <c r="E13" s="59" t="s">
        <v>916</v>
      </c>
      <c r="F13" s="65" t="s">
        <v>915</v>
      </c>
      <c r="G13" s="65"/>
      <c r="H13" s="66" t="s">
        <v>914</v>
      </c>
      <c r="I13" s="66"/>
      <c r="J13" s="64" t="s">
        <v>913</v>
      </c>
      <c r="K13" s="64"/>
      <c r="L13" s="64"/>
      <c r="M13" s="64"/>
      <c r="N13" s="64"/>
      <c r="O13" s="64"/>
    </row>
    <row r="14" spans="1:15" ht="16.5" thickBot="1" x14ac:dyDescent="0.3">
      <c r="C14" s="56" t="s">
        <v>912</v>
      </c>
      <c r="D14" s="55" t="s">
        <v>911</v>
      </c>
      <c r="E14" s="55" t="s">
        <v>911</v>
      </c>
      <c r="F14" s="58" t="s">
        <v>908</v>
      </c>
      <c r="G14" s="58" t="s">
        <v>910</v>
      </c>
      <c r="H14" s="57" t="s">
        <v>909</v>
      </c>
      <c r="I14" s="57" t="s">
        <v>908</v>
      </c>
      <c r="J14" s="56" t="s">
        <v>907</v>
      </c>
      <c r="K14" s="56" t="s">
        <v>906</v>
      </c>
      <c r="L14" s="56" t="s">
        <v>905</v>
      </c>
      <c r="M14" s="55" t="s">
        <v>904</v>
      </c>
      <c r="N14" s="55" t="s">
        <v>903</v>
      </c>
      <c r="O14" s="55" t="s">
        <v>902</v>
      </c>
    </row>
    <row r="15" spans="1:15" ht="25.5" customHeight="1" x14ac:dyDescent="0.25">
      <c r="C15" s="54">
        <v>1</v>
      </c>
      <c r="D15" s="50">
        <v>80</v>
      </c>
      <c r="E15" s="51">
        <v>200</v>
      </c>
      <c r="F15" s="52">
        <v>4</v>
      </c>
      <c r="G15" s="51">
        <v>12.5</v>
      </c>
      <c r="H15" s="52">
        <v>5</v>
      </c>
      <c r="I15" s="51">
        <v>4</v>
      </c>
      <c r="J15" s="52">
        <v>4</v>
      </c>
      <c r="K15" s="50">
        <v>4</v>
      </c>
      <c r="L15" s="51">
        <v>4</v>
      </c>
      <c r="M15" s="52">
        <v>5</v>
      </c>
      <c r="N15" s="50">
        <v>4</v>
      </c>
      <c r="O15" s="51">
        <v>5</v>
      </c>
    </row>
    <row r="16" spans="1:15" ht="25.5" customHeight="1" x14ac:dyDescent="0.25">
      <c r="C16" s="53">
        <v>2</v>
      </c>
      <c r="D16" s="50">
        <v>60</v>
      </c>
      <c r="E16" s="51">
        <v>200</v>
      </c>
      <c r="F16" s="52">
        <v>4</v>
      </c>
      <c r="G16" s="51">
        <v>15</v>
      </c>
      <c r="H16" s="52">
        <v>4</v>
      </c>
      <c r="I16" s="51">
        <v>4</v>
      </c>
      <c r="J16" s="52">
        <v>3</v>
      </c>
      <c r="K16" s="50">
        <v>4</v>
      </c>
      <c r="L16" s="51">
        <v>3</v>
      </c>
      <c r="M16" s="52">
        <v>4</v>
      </c>
      <c r="N16" s="50">
        <v>3</v>
      </c>
      <c r="O16" s="51">
        <v>4</v>
      </c>
    </row>
    <row r="17" spans="3:15" ht="25.5" customHeight="1" x14ac:dyDescent="0.25">
      <c r="C17" s="53">
        <v>3</v>
      </c>
      <c r="D17" s="50">
        <v>120</v>
      </c>
      <c r="E17" s="51">
        <v>280</v>
      </c>
      <c r="F17" s="52">
        <v>5</v>
      </c>
      <c r="G17" s="51">
        <v>12.5</v>
      </c>
      <c r="H17" s="52">
        <v>9</v>
      </c>
      <c r="I17" s="51">
        <v>5</v>
      </c>
      <c r="J17" s="52">
        <v>5</v>
      </c>
      <c r="K17" s="50">
        <v>5</v>
      </c>
      <c r="L17" s="51">
        <v>5</v>
      </c>
      <c r="M17" s="52">
        <v>5</v>
      </c>
      <c r="N17" s="50">
        <v>5</v>
      </c>
      <c r="O17" s="51">
        <v>5</v>
      </c>
    </row>
    <row r="18" spans="3:15" ht="25.5" customHeight="1" x14ac:dyDescent="0.25">
      <c r="C18" s="53">
        <v>4</v>
      </c>
      <c r="D18" s="50">
        <v>100</v>
      </c>
      <c r="E18" s="51">
        <v>280</v>
      </c>
      <c r="F18" s="52">
        <v>5</v>
      </c>
      <c r="G18" s="51">
        <v>15</v>
      </c>
      <c r="H18" s="52">
        <v>7</v>
      </c>
      <c r="I18" s="51">
        <v>5</v>
      </c>
      <c r="J18" s="52">
        <v>4</v>
      </c>
      <c r="K18" s="50">
        <v>4</v>
      </c>
      <c r="L18" s="51">
        <v>4</v>
      </c>
      <c r="M18" s="52">
        <v>4</v>
      </c>
      <c r="N18" s="50">
        <v>4</v>
      </c>
      <c r="O18" s="51">
        <v>4</v>
      </c>
    </row>
    <row r="19" spans="3:15" ht="25.5" customHeight="1" x14ac:dyDescent="0.25">
      <c r="C19" s="53">
        <v>5</v>
      </c>
      <c r="D19" s="50"/>
      <c r="E19" s="51"/>
      <c r="F19" s="52"/>
      <c r="G19" s="51"/>
      <c r="H19" s="52"/>
      <c r="I19" s="51"/>
      <c r="J19" s="52"/>
      <c r="K19" s="50"/>
      <c r="L19" s="51"/>
      <c r="M19" s="52"/>
      <c r="N19" s="50"/>
      <c r="O19" s="51"/>
    </row>
    <row r="20" spans="3:15" ht="25.5" customHeight="1" x14ac:dyDescent="0.25">
      <c r="C20" s="53">
        <v>6</v>
      </c>
      <c r="D20" s="50"/>
      <c r="E20" s="51"/>
      <c r="F20" s="52"/>
      <c r="G20" s="51"/>
      <c r="H20" s="52"/>
      <c r="I20" s="51"/>
      <c r="J20" s="52"/>
      <c r="K20" s="50"/>
      <c r="L20" s="51"/>
      <c r="M20" s="52"/>
      <c r="N20" s="50"/>
      <c r="O20" s="51"/>
    </row>
    <row r="21" spans="3:15" ht="25.5" customHeight="1" x14ac:dyDescent="0.25">
      <c r="C21" s="53">
        <v>7</v>
      </c>
      <c r="D21" s="50"/>
      <c r="E21" s="51"/>
      <c r="F21" s="52"/>
      <c r="G21" s="51"/>
      <c r="H21" s="52"/>
      <c r="I21" s="51"/>
      <c r="J21" s="52"/>
      <c r="K21" s="50"/>
      <c r="L21" s="51"/>
      <c r="M21" s="52"/>
      <c r="N21" s="50"/>
      <c r="O21" s="51"/>
    </row>
    <row r="22" spans="3:15" ht="25.5" customHeight="1" x14ac:dyDescent="0.25">
      <c r="C22" s="53">
        <v>8</v>
      </c>
      <c r="D22" s="50"/>
      <c r="E22" s="51"/>
      <c r="F22" s="52"/>
      <c r="G22" s="51"/>
      <c r="H22" s="52"/>
      <c r="I22" s="51"/>
      <c r="J22" s="52"/>
      <c r="K22" s="50"/>
      <c r="L22" s="51"/>
      <c r="M22" s="52"/>
      <c r="N22" s="50"/>
      <c r="O22" s="51"/>
    </row>
    <row r="23" spans="3:15" ht="25.5" customHeight="1" x14ac:dyDescent="0.25">
      <c r="C23" s="53">
        <v>9</v>
      </c>
      <c r="D23" s="50"/>
      <c r="E23" s="51"/>
      <c r="F23" s="52"/>
      <c r="G23" s="51"/>
      <c r="H23" s="52"/>
      <c r="I23" s="51"/>
      <c r="J23" s="52"/>
      <c r="K23" s="50"/>
      <c r="L23" s="51"/>
      <c r="M23" s="52"/>
      <c r="N23" s="50"/>
      <c r="O23" s="51"/>
    </row>
    <row r="24" spans="3:15" ht="25.5" customHeight="1" x14ac:dyDescent="0.25">
      <c r="C24" s="53">
        <v>10</v>
      </c>
      <c r="D24" s="50"/>
      <c r="E24" s="51"/>
      <c r="F24" s="52"/>
      <c r="G24" s="51"/>
      <c r="H24" s="52"/>
      <c r="I24" s="51"/>
      <c r="J24" s="52"/>
      <c r="K24" s="50"/>
      <c r="L24" s="51"/>
      <c r="M24" s="52"/>
      <c r="N24" s="50"/>
      <c r="O24" s="51"/>
    </row>
    <row r="25" spans="3:15" ht="25.5" customHeight="1" x14ac:dyDescent="0.25">
      <c r="C25" s="53"/>
      <c r="D25" s="50"/>
      <c r="E25" s="51"/>
      <c r="F25" s="52"/>
      <c r="G25" s="51"/>
      <c r="H25" s="52"/>
      <c r="I25" s="51"/>
      <c r="J25" s="52"/>
      <c r="K25" s="50"/>
      <c r="L25" s="51"/>
      <c r="M25" s="52"/>
      <c r="N25" s="50"/>
      <c r="O25" s="51"/>
    </row>
    <row r="26" spans="3:15" x14ac:dyDescent="0.25"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</row>
    <row r="27" spans="3:15" x14ac:dyDescent="0.25"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</row>
    <row r="28" spans="3:15" x14ac:dyDescent="0.25"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</row>
    <row r="29" spans="3:15" x14ac:dyDescent="0.25"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</row>
    <row r="30" spans="3:15" x14ac:dyDescent="0.25"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</row>
    <row r="31" spans="3:15" x14ac:dyDescent="0.25"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</row>
    <row r="32" spans="3:15" x14ac:dyDescent="0.25"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</row>
    <row r="33" spans="3:15" x14ac:dyDescent="0.25"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</row>
    <row r="34" spans="3:15" x14ac:dyDescent="0.25"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</row>
    <row r="35" spans="3:15" x14ac:dyDescent="0.25"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</row>
    <row r="36" spans="3:15" x14ac:dyDescent="0.25"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</row>
    <row r="37" spans="3:15" x14ac:dyDescent="0.25"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</row>
    <row r="38" spans="3:15" x14ac:dyDescent="0.25"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</row>
    <row r="39" spans="3:15" x14ac:dyDescent="0.25"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</row>
    <row r="40" spans="3:15" x14ac:dyDescent="0.25"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</row>
    <row r="41" spans="3:15" x14ac:dyDescent="0.2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mergeCells count="3">
    <mergeCell ref="J13:O13"/>
    <mergeCell ref="F13:G13"/>
    <mergeCell ref="H13:I13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N17"/>
  <sheetViews>
    <sheetView workbookViewId="0">
      <selection activeCell="F7" sqref="F7"/>
    </sheetView>
  </sheetViews>
  <sheetFormatPr defaultColWidth="8.875" defaultRowHeight="15.75" x14ac:dyDescent="0.25"/>
  <cols>
    <col min="1" max="1" width="8.875" style="37"/>
    <col min="2" max="2" width="18.125" style="37" bestFit="1" customWidth="1"/>
    <col min="3" max="3" width="12.5" style="37" customWidth="1"/>
    <col min="4" max="4" width="10.5" style="38" bestFit="1" customWidth="1"/>
    <col min="5" max="5" width="8.25" style="38" bestFit="1" customWidth="1"/>
    <col min="6" max="6" width="17.75" style="38" bestFit="1" customWidth="1"/>
    <col min="7" max="7" width="10.5" style="37" bestFit="1" customWidth="1"/>
    <col min="8" max="8" width="10.5" style="38" bestFit="1" customWidth="1"/>
    <col min="9" max="9" width="10.5" style="39" bestFit="1" customWidth="1"/>
    <col min="10" max="10" width="24.25" style="38" customWidth="1"/>
    <col min="11" max="11" width="22.625" style="38" bestFit="1" customWidth="1"/>
    <col min="12" max="12" width="12.875" style="38" bestFit="1" customWidth="1"/>
    <col min="13" max="13" width="12.875" style="39" bestFit="1" customWidth="1"/>
    <col min="14" max="14" width="15.375" style="38" bestFit="1" customWidth="1"/>
    <col min="15" max="16384" width="8.875" style="37"/>
  </cols>
  <sheetData>
    <row r="1" spans="1:14" x14ac:dyDescent="0.25">
      <c r="A1" s="37" t="s">
        <v>901</v>
      </c>
      <c r="B1" s="48">
        <v>43122</v>
      </c>
      <c r="D1" s="37"/>
      <c r="E1" s="37"/>
      <c r="F1" s="37"/>
      <c r="H1" s="37"/>
      <c r="I1" s="37"/>
      <c r="J1" s="37"/>
      <c r="K1" s="37"/>
      <c r="L1" s="37"/>
      <c r="M1" s="37"/>
      <c r="N1" s="37"/>
    </row>
    <row r="2" spans="1:14" ht="16.5" x14ac:dyDescent="0.25">
      <c r="A2" s="37" t="s">
        <v>900</v>
      </c>
      <c r="B2" s="47" t="s">
        <v>899</v>
      </c>
      <c r="D2" s="37"/>
      <c r="E2" s="37"/>
      <c r="F2" s="37"/>
      <c r="H2" s="37"/>
      <c r="I2" s="37"/>
      <c r="J2" s="37"/>
      <c r="K2" s="37"/>
      <c r="L2" s="37"/>
      <c r="M2" s="37"/>
      <c r="N2" s="37"/>
    </row>
    <row r="3" spans="1:14" x14ac:dyDescent="0.25">
      <c r="A3" s="37" t="s">
        <v>898</v>
      </c>
      <c r="D3" s="41"/>
      <c r="E3" s="41"/>
      <c r="F3" s="41"/>
      <c r="G3" s="43"/>
      <c r="H3" s="41"/>
      <c r="I3" s="42"/>
      <c r="J3" s="41"/>
      <c r="K3" s="41"/>
      <c r="L3" s="41"/>
      <c r="M3" s="42"/>
      <c r="N3" s="41"/>
    </row>
    <row r="4" spans="1:14" x14ac:dyDescent="0.25">
      <c r="D4" s="37"/>
      <c r="E4" s="37"/>
      <c r="F4" s="37"/>
      <c r="H4" s="37"/>
      <c r="I4" s="37"/>
      <c r="J4" s="37"/>
      <c r="K4" s="37"/>
      <c r="L4" s="37"/>
      <c r="M4" s="37"/>
      <c r="N4" s="37"/>
    </row>
    <row r="5" spans="1:14" ht="32.25" thickBot="1" x14ac:dyDescent="0.3">
      <c r="D5" s="44" t="s">
        <v>897</v>
      </c>
      <c r="E5" s="44" t="s">
        <v>896</v>
      </c>
      <c r="F5" s="44" t="s">
        <v>895</v>
      </c>
      <c r="G5" s="46" t="s">
        <v>894</v>
      </c>
      <c r="H5" s="44" t="s">
        <v>893</v>
      </c>
      <c r="I5" s="45" t="s">
        <v>892</v>
      </c>
      <c r="J5" s="44" t="s">
        <v>891</v>
      </c>
      <c r="K5" s="44" t="s">
        <v>890</v>
      </c>
      <c r="L5" s="44" t="s">
        <v>889</v>
      </c>
      <c r="M5" s="44" t="s">
        <v>888</v>
      </c>
      <c r="N5" s="44" t="s">
        <v>887</v>
      </c>
    </row>
    <row r="6" spans="1:14" ht="16.5" thickTop="1" x14ac:dyDescent="0.25">
      <c r="D6" s="41" t="s">
        <v>886</v>
      </c>
      <c r="E6" s="41">
        <v>7.5</v>
      </c>
      <c r="F6" s="41">
        <v>2.5</v>
      </c>
      <c r="G6" s="42">
        <v>22</v>
      </c>
      <c r="H6" s="42">
        <v>10</v>
      </c>
      <c r="I6" s="42">
        <v>10</v>
      </c>
      <c r="J6" s="41">
        <v>25</v>
      </c>
      <c r="K6" s="41">
        <v>15</v>
      </c>
      <c r="L6" s="41">
        <v>75</v>
      </c>
      <c r="M6" s="41">
        <v>15</v>
      </c>
      <c r="N6" s="41" t="s">
        <v>885</v>
      </c>
    </row>
    <row r="7" spans="1:14" x14ac:dyDescent="0.25">
      <c r="D7" s="41"/>
      <c r="E7" s="41"/>
      <c r="F7" s="41"/>
      <c r="G7" s="43"/>
      <c r="H7" s="41"/>
      <c r="I7" s="42"/>
      <c r="J7" s="41"/>
      <c r="K7" s="41"/>
      <c r="L7" s="41"/>
      <c r="M7" s="42"/>
      <c r="N7" s="41"/>
    </row>
    <row r="8" spans="1:14" x14ac:dyDescent="0.25">
      <c r="D8" s="41"/>
      <c r="E8" s="41"/>
      <c r="F8" s="41"/>
      <c r="G8" s="43"/>
      <c r="H8" s="41"/>
      <c r="I8" s="42"/>
      <c r="J8" s="41"/>
      <c r="K8" s="41"/>
      <c r="L8" s="41"/>
      <c r="M8" s="42"/>
      <c r="N8" s="41"/>
    </row>
    <row r="9" spans="1:14" x14ac:dyDescent="0.25">
      <c r="D9" s="41"/>
      <c r="E9" s="41"/>
      <c r="F9" s="41"/>
      <c r="G9" s="43"/>
      <c r="H9" s="41"/>
      <c r="I9" s="42"/>
      <c r="J9" s="41"/>
      <c r="K9" s="41"/>
      <c r="L9" s="41"/>
      <c r="M9" s="42"/>
      <c r="N9" s="41"/>
    </row>
    <row r="10" spans="1:14" x14ac:dyDescent="0.25">
      <c r="D10" s="41"/>
      <c r="E10" s="41"/>
      <c r="F10" s="41"/>
      <c r="G10" s="43"/>
      <c r="H10" s="41"/>
      <c r="I10" s="42"/>
      <c r="J10" s="41"/>
      <c r="K10" s="41"/>
      <c r="L10" s="41"/>
      <c r="M10" s="42"/>
      <c r="N10" s="41"/>
    </row>
    <row r="11" spans="1:14" x14ac:dyDescent="0.25">
      <c r="D11" s="41"/>
      <c r="E11" s="41"/>
      <c r="F11" s="41"/>
      <c r="G11" s="43"/>
      <c r="H11" s="41"/>
      <c r="I11" s="42"/>
      <c r="J11" s="41"/>
      <c r="K11" s="41"/>
      <c r="L11" s="41"/>
      <c r="M11" s="42"/>
      <c r="N11" s="41"/>
    </row>
    <row r="12" spans="1:14" x14ac:dyDescent="0.25">
      <c r="D12" s="41"/>
      <c r="E12" s="41"/>
      <c r="F12" s="41"/>
      <c r="G12" s="43"/>
      <c r="H12" s="41"/>
      <c r="I12" s="42"/>
      <c r="J12" s="41"/>
      <c r="K12" s="41"/>
      <c r="L12" s="41"/>
      <c r="M12" s="42"/>
      <c r="N12" s="41"/>
    </row>
    <row r="13" spans="1:14" x14ac:dyDescent="0.25">
      <c r="D13" s="41"/>
      <c r="E13" s="41"/>
      <c r="F13" s="41"/>
      <c r="G13" s="43"/>
      <c r="H13" s="41"/>
      <c r="I13" s="42"/>
      <c r="J13" s="41"/>
      <c r="K13" s="41"/>
      <c r="L13" s="41"/>
      <c r="M13" s="42"/>
      <c r="N13" s="41"/>
    </row>
    <row r="14" spans="1:14" x14ac:dyDescent="0.25">
      <c r="D14" s="41"/>
      <c r="E14" s="41"/>
      <c r="F14" s="41"/>
      <c r="G14" s="43"/>
      <c r="H14" s="41"/>
      <c r="I14" s="42"/>
      <c r="J14" s="41"/>
      <c r="K14" s="41"/>
      <c r="L14" s="41"/>
      <c r="M14" s="42"/>
      <c r="N14" s="41"/>
    </row>
    <row r="15" spans="1:14" x14ac:dyDescent="0.25">
      <c r="D15" s="41"/>
      <c r="E15" s="41"/>
      <c r="F15" s="41"/>
      <c r="G15" s="43"/>
      <c r="H15" s="41"/>
      <c r="I15" s="42"/>
      <c r="J15" s="41"/>
      <c r="K15" s="41"/>
      <c r="L15" s="41"/>
      <c r="M15" s="42"/>
      <c r="N15" s="41"/>
    </row>
    <row r="16" spans="1:14" x14ac:dyDescent="0.25">
      <c r="D16" s="41"/>
      <c r="E16" s="41"/>
      <c r="F16" s="41"/>
      <c r="G16" s="43"/>
      <c r="H16" s="41"/>
      <c r="I16" s="42"/>
      <c r="J16" s="41"/>
      <c r="K16" s="41"/>
      <c r="L16" s="41"/>
      <c r="M16" s="42"/>
      <c r="N16" s="41"/>
    </row>
    <row r="17" spans="5:14" x14ac:dyDescent="0.25">
      <c r="E17" s="40"/>
      <c r="F17" s="40"/>
      <c r="N17" s="40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B050"/>
  </sheetPr>
  <dimension ref="B2:C28"/>
  <sheetViews>
    <sheetView workbookViewId="0">
      <selection activeCell="C11" sqref="C11"/>
    </sheetView>
  </sheetViews>
  <sheetFormatPr defaultColWidth="8.875" defaultRowHeight="15.75" x14ac:dyDescent="0.25"/>
  <cols>
    <col min="1" max="1" width="8.875" style="27"/>
    <col min="2" max="2" width="13.625" style="27" customWidth="1"/>
    <col min="3" max="16384" width="8.875" style="27"/>
  </cols>
  <sheetData>
    <row r="2" spans="2:3" x14ac:dyDescent="0.25">
      <c r="B2" s="27" t="s">
        <v>884</v>
      </c>
      <c r="C2" s="36" t="s">
        <v>883</v>
      </c>
    </row>
    <row r="3" spans="2:3" x14ac:dyDescent="0.25">
      <c r="B3" s="27" t="s">
        <v>882</v>
      </c>
      <c r="C3" s="35">
        <v>2.2000000000000002</v>
      </c>
    </row>
    <row r="4" spans="2:3" x14ac:dyDescent="0.25">
      <c r="B4" s="27" t="s">
        <v>881</v>
      </c>
      <c r="C4" s="35">
        <v>0.1</v>
      </c>
    </row>
    <row r="5" spans="2:3" x14ac:dyDescent="0.25">
      <c r="C5" s="27" t="s">
        <v>880</v>
      </c>
    </row>
    <row r="6" spans="2:3" x14ac:dyDescent="0.25">
      <c r="B6" s="34" t="s">
        <v>879</v>
      </c>
    </row>
    <row r="7" spans="2:3" s="32" customFormat="1" x14ac:dyDescent="0.25"/>
    <row r="8" spans="2:3" x14ac:dyDescent="0.25">
      <c r="B8" s="27" t="str">
        <f>"Welcome to the version "&amp;C3&amp;" release of "&amp;C2&amp;". There are a number of significant updates in this version that we hope you will like, some of the key highlights include:"</f>
        <v>Welcome to the version 2.2 release of 地梁配筋. There are a number of significant updates in this version that we hope you will like, some of the key highlights include:</v>
      </c>
    </row>
    <row r="10" spans="2:3" s="28" customFormat="1" ht="16.5" x14ac:dyDescent="0.25">
      <c r="B10" s="29">
        <v>1</v>
      </c>
      <c r="C10" s="30" t="s">
        <v>878</v>
      </c>
    </row>
    <row r="11" spans="2:3" s="28" customFormat="1" x14ac:dyDescent="0.25">
      <c r="B11" s="29"/>
    </row>
    <row r="12" spans="2:3" s="28" customFormat="1" x14ac:dyDescent="0.25">
      <c r="B12" s="29"/>
    </row>
    <row r="13" spans="2:3" s="33" customFormat="1" x14ac:dyDescent="0.25"/>
    <row r="14" spans="2:3" s="28" customFormat="1" x14ac:dyDescent="0.25">
      <c r="B14" s="28" t="str">
        <f>"The release notes are arranged in the following sections related to "&amp;$C$2&amp;" focus areas. Here are some further updates:"</f>
        <v>The release notes are arranged in the following sections related to 地梁配筋 focus areas. Here are some further updates:</v>
      </c>
    </row>
    <row r="15" spans="2:3" s="28" customFormat="1" x14ac:dyDescent="0.25"/>
    <row r="16" spans="2:3" s="32" customFormat="1" x14ac:dyDescent="0.25"/>
    <row r="17" spans="2:3" ht="16.5" x14ac:dyDescent="0.25">
      <c r="B17" s="27" t="s">
        <v>934</v>
      </c>
    </row>
    <row r="19" spans="2:3" s="28" customFormat="1" ht="16.5" x14ac:dyDescent="0.25">
      <c r="B19" s="29">
        <v>1</v>
      </c>
      <c r="C19" s="30" t="s">
        <v>936</v>
      </c>
    </row>
    <row r="20" spans="2:3" s="28" customFormat="1" ht="16.5" x14ac:dyDescent="0.25">
      <c r="B20" s="29">
        <v>2</v>
      </c>
      <c r="C20" s="30" t="s">
        <v>937</v>
      </c>
    </row>
    <row r="21" spans="2:3" s="28" customFormat="1" ht="16.5" x14ac:dyDescent="0.25">
      <c r="B21" s="29">
        <v>3</v>
      </c>
      <c r="C21" s="30" t="s">
        <v>938</v>
      </c>
    </row>
    <row r="22" spans="2:3" s="28" customFormat="1" x14ac:dyDescent="0.25">
      <c r="B22" s="29"/>
    </row>
    <row r="23" spans="2:3" s="32" customFormat="1" x14ac:dyDescent="0.25"/>
    <row r="24" spans="2:3" ht="16.5" x14ac:dyDescent="0.25">
      <c r="B24" s="27" t="s">
        <v>933</v>
      </c>
    </row>
    <row r="26" spans="2:3" s="28" customFormat="1" x14ac:dyDescent="0.25">
      <c r="B26" s="29">
        <v>1</v>
      </c>
      <c r="C26" s="31" t="s">
        <v>935</v>
      </c>
    </row>
    <row r="27" spans="2:3" s="28" customFormat="1" ht="16.5" x14ac:dyDescent="0.25">
      <c r="B27" s="29"/>
      <c r="C27" s="30"/>
    </row>
    <row r="28" spans="2:3" s="28" customFormat="1" x14ac:dyDescent="0.25">
      <c r="B28" s="29"/>
    </row>
  </sheetData>
  <phoneticPr fontId="2" type="noConversion"/>
  <hyperlinks>
    <hyperlink ref="B6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編號對照表</vt:lpstr>
      <vt:lpstr>SAFE</vt:lpstr>
      <vt:lpstr>計算表</vt:lpstr>
      <vt:lpstr>RCAD</vt:lpstr>
      <vt:lpstr>工作表4</vt:lpstr>
      <vt:lpstr> Instructions</vt:lpstr>
      <vt:lpstr>工作表5</vt:lpstr>
      <vt:lpstr>參數設定</vt:lpstr>
      <vt:lpstr>地梁配筋</vt:lpstr>
      <vt:lpstr>版本資訊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2018-01-22T14:59:06Z</dcterms:modified>
</cp:coreProperties>
</file>