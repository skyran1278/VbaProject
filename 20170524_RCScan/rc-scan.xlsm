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827" codeName="{37B6ACAC-4A07-160E-37E0-EFA003358AD4}"/>
  <workbookPr codeName="ThisWorkbook" defaultThemeVersion="124226"/>
  <mc:AlternateContent xmlns:mc="http://schemas.openxmlformats.org/markup-compatibility/2006">
    <mc:Choice Requires="x15">
      <x15ac:absPath xmlns:x15ac="http://schemas.microsoft.com/office/spreadsheetml/2010/11/ac" url="C:\Users\elementspublic\Documents\PAUL\VbaProject\20170524_RCScan\"/>
    </mc:Choice>
  </mc:AlternateContent>
  <bookViews>
    <workbookView xWindow="360" yWindow="132" windowWidth="18840" windowHeight="11196" firstSheet="1" activeTab="1" xr2:uid="{00000000-000D-0000-FFFF-FFFF00000000}"/>
  </bookViews>
  <sheets>
    <sheet name="Rule" sheetId="1" r:id="rId1"/>
    <sheet name="General Information" sheetId="6" r:id="rId2"/>
    <sheet name="柱配筋" sheetId="9" r:id="rId3"/>
    <sheet name="大梁配筋" sheetId="16" r:id="rId4"/>
    <sheet name="小梁配筋" sheetId="8" r:id="rId5"/>
    <sheet name="地梁配筋" sheetId="11" r:id="rId6"/>
    <sheet name="柱鋼筋比" sheetId="13" r:id="rId7"/>
    <sheet name="鋼筋號數比" sheetId="14" r:id="rId8"/>
    <sheet name="版本資訊" sheetId="17" r:id="rId9"/>
    <sheet name="Rebar Size" sheetId="10" r:id="rId10"/>
    <sheet name="Rule - old" sheetId="15" r:id="rId11"/>
  </sheets>
  <functionGroups builtInGroupCount="19"/>
  <calcPr calcId="171027" refMode="R1C1"/>
  <fileRecoveryPr autoRecover="0"/>
</workbook>
</file>

<file path=xl/calcChain.xml><?xml version="1.0" encoding="utf-8"?>
<calcChain xmlns="http://schemas.openxmlformats.org/spreadsheetml/2006/main">
  <c r="B16" i="17" l="1"/>
  <c r="B8" i="17" l="1"/>
  <c r="P253" i="15" l="1"/>
  <c r="M253" i="15" s="1"/>
  <c r="P246" i="15"/>
  <c r="M246" i="15" s="1"/>
  <c r="Q245" i="15"/>
  <c r="P245" i="15"/>
  <c r="M245" i="15" s="1"/>
  <c r="P244" i="15"/>
  <c r="M244" i="15" s="1"/>
  <c r="Q243" i="15"/>
  <c r="M243" i="15" s="1"/>
  <c r="P243" i="15"/>
  <c r="P237" i="15"/>
  <c r="M237" i="15" s="1"/>
  <c r="Q236" i="15"/>
  <c r="P236" i="15"/>
  <c r="P235" i="15"/>
  <c r="M235" i="15" s="1"/>
  <c r="Q234" i="15"/>
  <c r="P234" i="15"/>
  <c r="M234" i="15" s="1"/>
  <c r="Q232" i="15"/>
  <c r="P232" i="15"/>
  <c r="Q231" i="15"/>
  <c r="M231" i="15" s="1"/>
  <c r="P231" i="15"/>
  <c r="Q230" i="15"/>
  <c r="P230" i="15"/>
  <c r="Q228" i="15"/>
  <c r="M228" i="15" s="1"/>
  <c r="P228" i="15"/>
  <c r="Q227" i="15"/>
  <c r="P227" i="15"/>
  <c r="M227" i="15" s="1"/>
  <c r="Q226" i="15"/>
  <c r="P226" i="15"/>
  <c r="Q224" i="15"/>
  <c r="P224" i="15"/>
  <c r="M224" i="15" s="1"/>
  <c r="Q217" i="15"/>
  <c r="P217" i="15"/>
  <c r="M217" i="15" s="1"/>
  <c r="Q216" i="15"/>
  <c r="P216" i="15"/>
  <c r="P214" i="15"/>
  <c r="M214" i="15" s="1"/>
  <c r="P213" i="15"/>
  <c r="M213" i="15" s="1"/>
  <c r="P212" i="15"/>
  <c r="M212" i="15" s="1"/>
  <c r="P211" i="15"/>
  <c r="M211" i="15" s="1"/>
  <c r="Q207" i="15"/>
  <c r="P207" i="15"/>
  <c r="Q206" i="15"/>
  <c r="P206" i="15"/>
  <c r="P205" i="15"/>
  <c r="M205" i="15" s="1"/>
  <c r="P204" i="15"/>
  <c r="M204" i="15" s="1"/>
  <c r="P203" i="15"/>
  <c r="M203" i="15" s="1"/>
  <c r="P202" i="15"/>
  <c r="M202" i="15" s="1"/>
  <c r="M195" i="15"/>
  <c r="P193" i="15"/>
  <c r="M193" i="15"/>
  <c r="P192" i="15"/>
  <c r="M192" i="15"/>
  <c r="P190" i="15"/>
  <c r="M190" i="15"/>
  <c r="P189" i="15"/>
  <c r="M189" i="15"/>
  <c r="M185" i="15"/>
  <c r="M184" i="15"/>
  <c r="P183" i="15"/>
  <c r="M183" i="15"/>
  <c r="P182" i="15"/>
  <c r="M182" i="15"/>
  <c r="P181" i="15"/>
  <c r="M181" i="15"/>
  <c r="P180" i="15"/>
  <c r="M180" i="15"/>
  <c r="Q176" i="15"/>
  <c r="P176" i="15"/>
  <c r="M176" i="15" s="1"/>
  <c r="Q175" i="15"/>
  <c r="P175" i="15"/>
  <c r="P174" i="15"/>
  <c r="M174" i="15"/>
  <c r="P173" i="15"/>
  <c r="M173" i="15"/>
  <c r="Q172" i="15"/>
  <c r="P172" i="15"/>
  <c r="M172" i="15" s="1"/>
  <c r="Q171" i="15"/>
  <c r="P171" i="15"/>
  <c r="M171" i="15" s="1"/>
  <c r="Q169" i="15"/>
  <c r="P169" i="15"/>
  <c r="Q168" i="15"/>
  <c r="M168" i="15" s="1"/>
  <c r="P168" i="15"/>
  <c r="P167" i="15"/>
  <c r="M167" i="15" s="1"/>
  <c r="P166" i="15"/>
  <c r="M166" i="15" s="1"/>
  <c r="P157" i="15"/>
  <c r="M157" i="15" s="1"/>
  <c r="P156" i="15"/>
  <c r="M156" i="15" s="1"/>
  <c r="P154" i="15"/>
  <c r="M154" i="15" s="1"/>
  <c r="P153" i="15"/>
  <c r="M153" i="15" s="1"/>
  <c r="Q145" i="15"/>
  <c r="P145" i="15"/>
  <c r="P143" i="15"/>
  <c r="M143" i="15" s="1"/>
  <c r="P142" i="15"/>
  <c r="M142" i="15" s="1"/>
  <c r="P141" i="15"/>
  <c r="M141" i="15" s="1"/>
  <c r="M139" i="15"/>
  <c r="M138" i="15"/>
  <c r="M137" i="15"/>
  <c r="P135" i="15"/>
  <c r="M135" i="15" s="1"/>
  <c r="P134" i="15"/>
  <c r="M134" i="15" s="1"/>
  <c r="P133" i="15"/>
  <c r="M133" i="15"/>
  <c r="P131" i="15"/>
  <c r="M131" i="15" s="1"/>
  <c r="P130" i="15"/>
  <c r="M130" i="15" s="1"/>
  <c r="P129" i="15"/>
  <c r="M129" i="15" s="1"/>
  <c r="P127" i="15"/>
  <c r="M127" i="15"/>
  <c r="P126" i="15"/>
  <c r="M126" i="15" s="1"/>
  <c r="Q122" i="15"/>
  <c r="P122" i="15"/>
  <c r="N122" i="15"/>
  <c r="R121" i="15"/>
  <c r="Q121" i="15"/>
  <c r="P121" i="15"/>
  <c r="N121" i="15"/>
  <c r="Q120" i="15"/>
  <c r="P120" i="15"/>
  <c r="N120" i="15"/>
  <c r="N119" i="15"/>
  <c r="Q118" i="15"/>
  <c r="P118" i="15"/>
  <c r="N118" i="15"/>
  <c r="Q117" i="15"/>
  <c r="P117" i="15"/>
  <c r="N117" i="15"/>
  <c r="Q116" i="15"/>
  <c r="P116" i="15"/>
  <c r="N116" i="15"/>
  <c r="Q115" i="15"/>
  <c r="P115" i="15"/>
  <c r="N115" i="15"/>
  <c r="N114" i="15"/>
  <c r="Q113" i="15"/>
  <c r="P113" i="15"/>
  <c r="N113" i="15"/>
  <c r="Q112" i="15"/>
  <c r="P112" i="15"/>
  <c r="N112" i="15"/>
  <c r="Q111" i="15"/>
  <c r="P111" i="15"/>
  <c r="N111" i="15"/>
  <c r="Q110" i="15"/>
  <c r="P110" i="15"/>
  <c r="N110" i="15"/>
  <c r="N107" i="15"/>
  <c r="N106" i="15"/>
  <c r="N105" i="15"/>
  <c r="N104" i="15"/>
  <c r="N103" i="15"/>
  <c r="P102" i="15"/>
  <c r="M102" i="15" s="1"/>
  <c r="N102" i="15"/>
  <c r="P101" i="15"/>
  <c r="N101" i="15"/>
  <c r="N100" i="15"/>
  <c r="N99" i="15"/>
  <c r="N98" i="15"/>
  <c r="N97" i="15"/>
  <c r="P96" i="15"/>
  <c r="M96" i="15" s="1"/>
  <c r="N96" i="15"/>
  <c r="P95" i="15"/>
  <c r="M95" i="15" s="1"/>
  <c r="N95" i="15"/>
  <c r="N94" i="15"/>
  <c r="P93" i="15"/>
  <c r="M93" i="15" s="1"/>
  <c r="N93" i="15"/>
  <c r="P92" i="15"/>
  <c r="N92" i="15"/>
  <c r="M92" i="15"/>
  <c r="N91" i="15"/>
  <c r="P90" i="15"/>
  <c r="N90" i="15"/>
  <c r="M90" i="15"/>
  <c r="P89" i="15"/>
  <c r="N89" i="15"/>
  <c r="M89" i="15"/>
  <c r="N88" i="15"/>
  <c r="N87" i="15"/>
  <c r="Q86" i="15"/>
  <c r="P86" i="15"/>
  <c r="M86" i="15" s="1"/>
  <c r="N86" i="15"/>
  <c r="R85" i="15"/>
  <c r="Q85" i="15"/>
  <c r="P85" i="15"/>
  <c r="M85" i="15" s="1"/>
  <c r="N85" i="15"/>
  <c r="Q84" i="15"/>
  <c r="P84" i="15"/>
  <c r="N84" i="15"/>
  <c r="N83" i="15"/>
  <c r="Q82" i="15"/>
  <c r="M82" i="15" s="1"/>
  <c r="P82" i="15"/>
  <c r="N82" i="15"/>
  <c r="Q81" i="15"/>
  <c r="M81" i="15" s="1"/>
  <c r="P81" i="15"/>
  <c r="N81" i="15"/>
  <c r="Q80" i="15"/>
  <c r="P80" i="15"/>
  <c r="N80" i="15"/>
  <c r="Q79" i="15"/>
  <c r="P79" i="15"/>
  <c r="N79" i="15"/>
  <c r="N78" i="15"/>
  <c r="Q77" i="15"/>
  <c r="P77" i="15"/>
  <c r="M77" i="15" s="1"/>
  <c r="N77" i="15"/>
  <c r="Q76" i="15"/>
  <c r="P76" i="15"/>
  <c r="M76" i="15" s="1"/>
  <c r="N76" i="15"/>
  <c r="Q75" i="15"/>
  <c r="P75" i="15"/>
  <c r="M75" i="15" s="1"/>
  <c r="N75" i="15"/>
  <c r="Q74" i="15"/>
  <c r="P74" i="15"/>
  <c r="M74" i="15" s="1"/>
  <c r="N74" i="15"/>
  <c r="N73" i="15"/>
  <c r="Q72" i="15"/>
  <c r="P72" i="15"/>
  <c r="M72" i="15" s="1"/>
  <c r="N72" i="15"/>
  <c r="R70" i="15"/>
  <c r="Q70" i="15"/>
  <c r="P70" i="15"/>
  <c r="M70" i="15" s="1"/>
  <c r="N70" i="15"/>
  <c r="Q69" i="15"/>
  <c r="P69" i="15"/>
  <c r="M69" i="15" s="1"/>
  <c r="N69" i="15"/>
  <c r="N68" i="15"/>
  <c r="Q67" i="15"/>
  <c r="P67" i="15"/>
  <c r="N67" i="15"/>
  <c r="Q66" i="15"/>
  <c r="P66" i="15"/>
  <c r="N66" i="15"/>
  <c r="Q65" i="15"/>
  <c r="M65" i="15" s="1"/>
  <c r="P65" i="15"/>
  <c r="N65" i="15"/>
  <c r="Q64" i="15"/>
  <c r="P64" i="15"/>
  <c r="N64" i="15"/>
  <c r="N63" i="15"/>
  <c r="Q62" i="15"/>
  <c r="P62" i="15"/>
  <c r="M62" i="15" s="1"/>
  <c r="N62" i="15"/>
  <c r="Q61" i="15"/>
  <c r="P61" i="15"/>
  <c r="M61" i="15" s="1"/>
  <c r="N61" i="15"/>
  <c r="Q60" i="15"/>
  <c r="P60" i="15"/>
  <c r="M60" i="15" s="1"/>
  <c r="N60" i="15"/>
  <c r="Q59" i="15"/>
  <c r="P59" i="15"/>
  <c r="M59" i="15" s="1"/>
  <c r="N59" i="15"/>
  <c r="M25" i="15"/>
  <c r="P24" i="15"/>
  <c r="M24" i="15" s="1"/>
  <c r="P23" i="15"/>
  <c r="M23" i="15" s="1"/>
  <c r="M22" i="15"/>
  <c r="P21" i="15"/>
  <c r="M21" i="15" s="1"/>
  <c r="P20" i="15"/>
  <c r="M20" i="15" s="1"/>
  <c r="P19" i="15"/>
  <c r="M19" i="15"/>
  <c r="P17" i="15"/>
  <c r="P16" i="15"/>
  <c r="M16" i="15"/>
  <c r="P15" i="15"/>
  <c r="M15" i="15" s="1"/>
  <c r="P13" i="15"/>
  <c r="M13" i="15"/>
  <c r="P10" i="15"/>
  <c r="M10" i="15" s="1"/>
  <c r="F4" i="15"/>
  <c r="E4" i="15"/>
  <c r="D4" i="15"/>
  <c r="C3" i="15" s="1"/>
  <c r="M64" i="15" l="1"/>
  <c r="M80" i="15"/>
  <c r="M145" i="15"/>
  <c r="M169" i="15"/>
  <c r="M175" i="15"/>
  <c r="M230" i="15"/>
  <c r="M232" i="15"/>
  <c r="M67" i="15"/>
  <c r="M79" i="15"/>
  <c r="M84" i="15"/>
  <c r="M207" i="15"/>
  <c r="M66" i="15"/>
  <c r="M206" i="15"/>
  <c r="M216" i="15"/>
  <c r="M226" i="15"/>
  <c r="M236" i="15"/>
  <c r="J13" i="10"/>
  <c r="G13" i="10"/>
  <c r="J12" i="10"/>
  <c r="G12" i="10"/>
  <c r="J11" i="10"/>
  <c r="G11" i="10"/>
  <c r="J10" i="10"/>
  <c r="G10" i="10"/>
  <c r="J9" i="10"/>
  <c r="G9" i="10"/>
  <c r="J8" i="10"/>
  <c r="G8" i="10"/>
  <c r="J7" i="10"/>
  <c r="G7" i="10"/>
  <c r="J6" i="10"/>
  <c r="G6" i="10"/>
  <c r="J5" i="10"/>
  <c r="G5" i="10"/>
  <c r="J4" i="10"/>
  <c r="G4" i="10"/>
  <c r="J3" i="10"/>
  <c r="G3" i="10"/>
  <c r="J2" i="10"/>
  <c r="G2" i="10"/>
  <c r="B1" i="6"/>
  <c r="F4" i="1"/>
  <c r="E4" i="1"/>
  <c r="D4" i="1"/>
  <c r="C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BC038C9D-05DF-4091-9EB1-8088BA4F021B}">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FF80AD38-9939-4765-8878-8F82185035E2}">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A04366C9-D7F0-410F-A63A-72210B7CE359}">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sharedStrings.xml><?xml version="1.0" encoding="utf-8"?>
<sst xmlns="http://schemas.openxmlformats.org/spreadsheetml/2006/main" count="5798" uniqueCount="1097">
  <si>
    <t>1F</t>
    <phoneticPr fontId="1" type="noConversion"/>
  </si>
  <si>
    <t>update</t>
    <phoneticPr fontId="1" type="noConversion"/>
  </si>
  <si>
    <t>2017.5.14</t>
    <phoneticPr fontId="1" type="noConversion"/>
  </si>
  <si>
    <t>Criteria</t>
    <phoneticPr fontId="1" type="noConversion"/>
  </si>
  <si>
    <t>#</t>
    <phoneticPr fontId="1" type="noConversion"/>
  </si>
  <si>
    <t>Item</t>
    <phoneticPr fontId="1" type="noConversion"/>
  </si>
  <si>
    <t>Type</t>
    <phoneticPr fontId="1" type="noConversion"/>
  </si>
  <si>
    <t>PassCriteriaFormula</t>
    <phoneticPr fontId="1" type="noConversion"/>
  </si>
  <si>
    <t>0104</t>
  </si>
  <si>
    <t>0105</t>
  </si>
  <si>
    <t>0106</t>
  </si>
  <si>
    <t>0107</t>
  </si>
  <si>
    <t>0108</t>
  </si>
  <si>
    <t>0109</t>
  </si>
  <si>
    <t>0110</t>
  </si>
  <si>
    <t>0111</t>
  </si>
  <si>
    <t>0112</t>
  </si>
  <si>
    <t>0113</t>
  </si>
  <si>
    <t>0114</t>
  </si>
  <si>
    <t>0201</t>
    <phoneticPr fontId="1" type="noConversion"/>
  </si>
  <si>
    <t>0203</t>
  </si>
  <si>
    <t>0204</t>
  </si>
  <si>
    <t>0205</t>
  </si>
  <si>
    <t>0206</t>
  </si>
  <si>
    <t>0207</t>
  </si>
  <si>
    <t>0208</t>
  </si>
  <si>
    <t>0209</t>
  </si>
  <si>
    <t>0210</t>
  </si>
  <si>
    <t>0211</t>
  </si>
  <si>
    <t>0212</t>
  </si>
  <si>
    <t>0213</t>
  </si>
  <si>
    <t>0214</t>
  </si>
  <si>
    <t>0215</t>
  </si>
  <si>
    <t>0303</t>
  </si>
  <si>
    <t>0305</t>
  </si>
  <si>
    <t>0306</t>
  </si>
  <si>
    <t>0308</t>
  </si>
  <si>
    <t>0402</t>
    <phoneticPr fontId="1" type="noConversion"/>
  </si>
  <si>
    <t>0403</t>
    <phoneticPr fontId="1" type="noConversion"/>
  </si>
  <si>
    <t>0404</t>
  </si>
  <si>
    <t>0405</t>
  </si>
  <si>
    <t>0406</t>
  </si>
  <si>
    <t>0407</t>
  </si>
  <si>
    <t>0408</t>
  </si>
  <si>
    <t>0409</t>
  </si>
  <si>
    <t>0410</t>
  </si>
  <si>
    <t>0411</t>
  </si>
  <si>
    <t>0412</t>
  </si>
  <si>
    <t>0413</t>
  </si>
  <si>
    <t>0414</t>
  </si>
  <si>
    <t>0415</t>
  </si>
  <si>
    <t>0416</t>
  </si>
  <si>
    <t>0417</t>
  </si>
  <si>
    <t>0418</t>
  </si>
  <si>
    <t>0501</t>
    <phoneticPr fontId="1" type="noConversion"/>
  </si>
  <si>
    <t>0502</t>
    <phoneticPr fontId="1" type="noConversion"/>
  </si>
  <si>
    <t>0503</t>
  </si>
  <si>
    <t>0504</t>
  </si>
  <si>
    <t>0505</t>
  </si>
  <si>
    <t>0506</t>
  </si>
  <si>
    <t>0507</t>
  </si>
  <si>
    <t>0508</t>
  </si>
  <si>
    <t>0509</t>
  </si>
  <si>
    <t>0510</t>
  </si>
  <si>
    <t>0511</t>
  </si>
  <si>
    <t>0600</t>
    <phoneticPr fontId="1" type="noConversion"/>
  </si>
  <si>
    <t>0601</t>
    <phoneticPr fontId="1" type="noConversion"/>
  </si>
  <si>
    <t>0602</t>
    <phoneticPr fontId="1" type="noConversion"/>
  </si>
  <si>
    <t>0603</t>
  </si>
  <si>
    <t>0604</t>
  </si>
  <si>
    <t>0605</t>
  </si>
  <si>
    <t>0606</t>
  </si>
  <si>
    <t>0607</t>
  </si>
  <si>
    <t>0608</t>
  </si>
  <si>
    <t>0609</t>
  </si>
  <si>
    <t>Location</t>
    <phoneticPr fontId="1" type="noConversion"/>
  </si>
  <si>
    <t>Index1</t>
    <phoneticPr fontId="1" type="noConversion"/>
  </si>
  <si>
    <t>Index2</t>
    <phoneticPr fontId="1" type="noConversion"/>
  </si>
  <si>
    <t>Index3</t>
    <phoneticPr fontId="1" type="noConversion"/>
  </si>
  <si>
    <t>---</t>
    <phoneticPr fontId="1" type="noConversion"/>
  </si>
  <si>
    <t>0216</t>
  </si>
  <si>
    <t>0217</t>
  </si>
  <si>
    <t>0218</t>
  </si>
  <si>
    <t>0219</t>
  </si>
  <si>
    <t>Vs &lt;=4Vc *120%</t>
    <phoneticPr fontId="1" type="noConversion"/>
  </si>
  <si>
    <t>0702</t>
    <phoneticPr fontId="1" type="noConversion"/>
  </si>
  <si>
    <t>L/D&lt;=4</t>
    <phoneticPr fontId="1" type="noConversion"/>
  </si>
  <si>
    <t>3.52/fy</t>
    <phoneticPr fontId="1" type="noConversion"/>
  </si>
  <si>
    <t>0703</t>
    <phoneticPr fontId="1" type="noConversion"/>
  </si>
  <si>
    <t>0704</t>
  </si>
  <si>
    <t>0705</t>
  </si>
  <si>
    <t>0706</t>
  </si>
  <si>
    <t>0802</t>
    <phoneticPr fontId="1" type="noConversion"/>
  </si>
  <si>
    <t>0803</t>
    <phoneticPr fontId="1" type="noConversion"/>
  </si>
  <si>
    <t>0804</t>
  </si>
  <si>
    <t>0805</t>
  </si>
  <si>
    <t>0806</t>
  </si>
  <si>
    <t>0807</t>
  </si>
  <si>
    <t>0808</t>
  </si>
  <si>
    <t>0809</t>
  </si>
  <si>
    <t>0810</t>
  </si>
  <si>
    <t>0811</t>
  </si>
  <si>
    <t>0220</t>
  </si>
  <si>
    <t>0221</t>
  </si>
  <si>
    <t>0222</t>
  </si>
  <si>
    <t>0223</t>
  </si>
  <si>
    <t>0224</t>
  </si>
  <si>
    <t>0225</t>
  </si>
  <si>
    <t>0226</t>
  </si>
  <si>
    <t>0227</t>
  </si>
  <si>
    <t>0419</t>
  </si>
  <si>
    <t>0420</t>
  </si>
  <si>
    <t>0115</t>
  </si>
  <si>
    <t>0116</t>
  </si>
  <si>
    <t>0117</t>
  </si>
  <si>
    <t>0118</t>
  </si>
  <si>
    <t>0119</t>
  </si>
  <si>
    <t>0120</t>
  </si>
  <si>
    <t>0121</t>
  </si>
  <si>
    <t>0122</t>
  </si>
  <si>
    <t>0123</t>
  </si>
  <si>
    <t>0124</t>
  </si>
  <si>
    <t>0125</t>
  </si>
  <si>
    <t>0126</t>
  </si>
  <si>
    <t>0127</t>
  </si>
  <si>
    <t>0128</t>
  </si>
  <si>
    <t>0902</t>
    <phoneticPr fontId="1" type="noConversion"/>
  </si>
  <si>
    <t>0903</t>
  </si>
  <si>
    <t>0904</t>
  </si>
  <si>
    <t>0905</t>
  </si>
  <si>
    <t>0906</t>
  </si>
  <si>
    <t>0907</t>
  </si>
  <si>
    <t>1003</t>
  </si>
  <si>
    <t>1004</t>
  </si>
  <si>
    <t>1005</t>
  </si>
  <si>
    <t>1006</t>
  </si>
  <si>
    <t>1101</t>
    <phoneticPr fontId="1" type="noConversion"/>
  </si>
  <si>
    <t>1001</t>
    <phoneticPr fontId="1" type="noConversion"/>
  </si>
  <si>
    <t>1002</t>
    <phoneticPr fontId="1" type="noConversion"/>
  </si>
  <si>
    <t>1102</t>
    <phoneticPr fontId="1" type="noConversion"/>
  </si>
  <si>
    <t>1103</t>
  </si>
  <si>
    <t>1104</t>
  </si>
  <si>
    <t>1105</t>
  </si>
  <si>
    <t>1106</t>
  </si>
  <si>
    <t>1107</t>
  </si>
  <si>
    <t>1108</t>
  </si>
  <si>
    <t>1007</t>
  </si>
  <si>
    <t>1008</t>
  </si>
  <si>
    <t>1009</t>
  </si>
  <si>
    <t>1010</t>
  </si>
  <si>
    <t>1109</t>
  </si>
  <si>
    <t>1110</t>
  </si>
  <si>
    <t>1111</t>
  </si>
  <si>
    <t>1112</t>
  </si>
  <si>
    <t>1113</t>
  </si>
  <si>
    <t>1114</t>
  </si>
  <si>
    <t>1200</t>
    <phoneticPr fontId="1" type="noConversion"/>
  </si>
  <si>
    <t>1201</t>
    <phoneticPr fontId="1" type="noConversion"/>
  </si>
  <si>
    <t>1202</t>
    <phoneticPr fontId="1" type="noConversion"/>
  </si>
  <si>
    <t>1203</t>
  </si>
  <si>
    <t>1204</t>
  </si>
  <si>
    <t>1205</t>
  </si>
  <si>
    <t>1206</t>
  </si>
  <si>
    <t>1207</t>
  </si>
  <si>
    <t>1208</t>
  </si>
  <si>
    <t>1301</t>
    <phoneticPr fontId="1" type="noConversion"/>
  </si>
  <si>
    <t>1302</t>
  </si>
  <si>
    <t>1303</t>
  </si>
  <si>
    <t>1304</t>
  </si>
  <si>
    <t>1305</t>
  </si>
  <si>
    <t>1306</t>
  </si>
  <si>
    <t>1300</t>
    <phoneticPr fontId="1" type="noConversion"/>
  </si>
  <si>
    <t>0129</t>
  </si>
  <si>
    <t>0130</t>
  </si>
  <si>
    <t>0131</t>
  </si>
  <si>
    <t>0132</t>
  </si>
  <si>
    <t>0133</t>
  </si>
  <si>
    <t>0134</t>
  </si>
  <si>
    <t>0135</t>
  </si>
  <si>
    <t>0136</t>
  </si>
  <si>
    <t>0137</t>
  </si>
  <si>
    <t>0138</t>
  </si>
  <si>
    <t>0139</t>
  </si>
  <si>
    <t>0140</t>
  </si>
  <si>
    <t>0141</t>
  </si>
  <si>
    <t>0142</t>
  </si>
  <si>
    <t>0143</t>
  </si>
  <si>
    <t>0144</t>
  </si>
  <si>
    <t>0145</t>
  </si>
  <si>
    <t>ALL</t>
    <phoneticPr fontId="1" type="noConversion"/>
  </si>
  <si>
    <t>ALL</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</si>
  <si>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</si>
  <si>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</si>
  <si>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</si>
  <si>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</si>
  <si>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</si>
  <si>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</si>
  <si>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</si>
  <si>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</si>
  <si>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</si>
  <si>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0701</t>
    <phoneticPr fontId="1" type="noConversion"/>
  </si>
  <si>
    <t>0801</t>
    <phoneticPr fontId="1" type="noConversion"/>
  </si>
  <si>
    <t>0900</t>
    <phoneticPr fontId="1" type="noConversion"/>
  </si>
  <si>
    <t>1000</t>
    <phoneticPr fontId="1" type="noConversion"/>
  </si>
  <si>
    <t>1100</t>
    <phoneticPr fontId="1" type="noConversion"/>
  </si>
  <si>
    <t>0401</t>
    <phoneticPr fontId="1" type="noConversion"/>
  </si>
  <si>
    <t>0300</t>
    <phoneticPr fontId="1" type="noConversion"/>
  </si>
  <si>
    <t>0200</t>
    <phoneticPr fontId="1" type="noConversion"/>
  </si>
  <si>
    <t>0100</t>
    <phoneticPr fontId="1" type="noConversion"/>
  </si>
  <si>
    <t>NG Message</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</si>
  <si>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</si>
  <si>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</si>
  <si>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</si>
  <si>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</si>
  <si>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</si>
  <si>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</si>
  <si>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</si>
  <si>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</si>
  <si>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</si>
  <si>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0500</t>
    <phoneticPr fontId="1" type="noConversion"/>
  </si>
  <si>
    <t xml:space="preserve">   </t>
    <phoneticPr fontId="1" type="noConversion"/>
  </si>
  <si>
    <t>0421</t>
  </si>
  <si>
    <t>UPDATE</t>
    <phoneticPr fontId="1" type="noConversion"/>
  </si>
  <si>
    <t>PROJECT</t>
    <phoneticPr fontId="1" type="noConversion"/>
  </si>
  <si>
    <t>SUBJECT</t>
    <phoneticPr fontId="1" type="noConversion"/>
  </si>
  <si>
    <t>4F</t>
  </si>
  <si>
    <t>3F</t>
  </si>
  <si>
    <t>2F</t>
  </si>
  <si>
    <t>B1</t>
    <phoneticPr fontId="1" type="noConversion"/>
  </si>
  <si>
    <t>#3</t>
  </si>
  <si>
    <t>#10</t>
  </si>
  <si>
    <t>0.375 = 3/8</t>
  </si>
  <si>
    <t>#4</t>
  </si>
  <si>
    <t>#13</t>
  </si>
  <si>
    <t>0.500 = 4/8</t>
  </si>
  <si>
    <t>#5</t>
  </si>
  <si>
    <t>#16</t>
  </si>
  <si>
    <t>0.625 = 5/8</t>
  </si>
  <si>
    <t>#6</t>
  </si>
  <si>
    <t>#19</t>
  </si>
  <si>
    <t>0.750 = 6/8</t>
  </si>
  <si>
    <t>#7</t>
  </si>
  <si>
    <t>#22</t>
  </si>
  <si>
    <t>0.875 = 7/8</t>
  </si>
  <si>
    <t>#8</t>
  </si>
  <si>
    <t>#25</t>
  </si>
  <si>
    <t>1.000 = 8/8</t>
  </si>
  <si>
    <t>#9</t>
  </si>
  <si>
    <t>#29</t>
  </si>
  <si>
    <t>#32</t>
  </si>
  <si>
    <t>#11</t>
  </si>
  <si>
    <t>#36</t>
  </si>
  <si>
    <t>#12</t>
  </si>
  <si>
    <t>#40</t>
  </si>
  <si>
    <t>#14</t>
  </si>
  <si>
    <t>#43</t>
  </si>
  <si>
    <t>#18</t>
  </si>
  <si>
    <t>#57</t>
  </si>
  <si>
    <t>0202</t>
  </si>
  <si>
    <t>0228</t>
  </si>
  <si>
    <t>0229</t>
  </si>
  <si>
    <t>0230</t>
  </si>
  <si>
    <t>0231</t>
  </si>
  <si>
    <t>0232</t>
  </si>
  <si>
    <t>0233</t>
  </si>
  <si>
    <t>0234</t>
  </si>
  <si>
    <t>0235</t>
  </si>
  <si>
    <t>0236</t>
  </si>
  <si>
    <t>0237</t>
  </si>
  <si>
    <t>0238</t>
  </si>
  <si>
    <t>0239</t>
  </si>
  <si>
    <t>0240</t>
  </si>
  <si>
    <t>0241</t>
  </si>
  <si>
    <r>
      <rPr>
        <sz val="12"/>
        <color rgb="FF9C5700"/>
        <rFont val="微軟正黑體"/>
        <family val="2"/>
        <charset val="136"/>
      </rPr>
      <t>鋼筋尺寸</t>
    </r>
  </si>
  <si>
    <r>
      <t>"Soft"</t>
    </r>
    <r>
      <rPr>
        <sz val="12"/>
        <color theme="1"/>
        <rFont val="微軟正黑體"/>
        <family val="2"/>
        <charset val="136"/>
      </rPr>
      <t>鋼筋尺寸</t>
    </r>
  </si>
  <si>
    <r>
      <rPr>
        <sz val="12"/>
        <color theme="1"/>
        <rFont val="微軟正黑體"/>
        <family val="2"/>
        <charset val="136"/>
      </rPr>
      <t>重量（</t>
    </r>
    <r>
      <rPr>
        <sz val="12"/>
        <color theme="1"/>
        <rFont val="Calibri"/>
        <family val="2"/>
      </rPr>
      <t>lb/ft</t>
    </r>
    <r>
      <rPr>
        <sz val="12"/>
        <color theme="1"/>
        <rFont val="微軟正黑體"/>
        <family val="2"/>
        <charset val="136"/>
      </rPr>
      <t>）</t>
    </r>
  </si>
  <si>
    <r>
      <rPr>
        <sz val="12"/>
        <color theme="1"/>
        <rFont val="微軟正黑體"/>
        <family val="2"/>
        <charset val="136"/>
      </rPr>
      <t>重量（</t>
    </r>
    <r>
      <rPr>
        <sz val="12"/>
        <color theme="1"/>
        <rFont val="Calibri"/>
        <family val="2"/>
      </rPr>
      <t>kg/m</t>
    </r>
    <r>
      <rPr>
        <sz val="12"/>
        <color theme="1"/>
        <rFont val="微軟正黑體"/>
        <family val="2"/>
        <charset val="136"/>
      </rPr>
      <t>）</t>
    </r>
  </si>
  <si>
    <r>
      <rPr>
        <sz val="12"/>
        <color theme="1"/>
        <rFont val="微軟正黑體"/>
        <family val="2"/>
        <charset val="136"/>
      </rPr>
      <t>直徑（</t>
    </r>
    <r>
      <rPr>
        <sz val="12"/>
        <color theme="1"/>
        <rFont val="Calibri"/>
        <family val="2"/>
      </rPr>
      <t>in</t>
    </r>
    <r>
      <rPr>
        <sz val="12"/>
        <color theme="1"/>
        <rFont val="微軟正黑體"/>
        <family val="2"/>
        <charset val="136"/>
      </rPr>
      <t>）</t>
    </r>
  </si>
  <si>
    <r>
      <rPr>
        <sz val="12"/>
        <color theme="1"/>
        <rFont val="微軟正黑體"/>
        <family val="2"/>
        <charset val="136"/>
      </rPr>
      <t>直徑（</t>
    </r>
    <r>
      <rPr>
        <sz val="12"/>
        <color theme="1"/>
        <rFont val="Calibri"/>
        <family val="2"/>
      </rPr>
      <t>mm</t>
    </r>
    <r>
      <rPr>
        <sz val="12"/>
        <color theme="1"/>
        <rFont val="微軟正黑體"/>
        <family val="2"/>
        <charset val="136"/>
      </rPr>
      <t>）</t>
    </r>
  </si>
  <si>
    <r>
      <rPr>
        <sz val="12"/>
        <color theme="1"/>
        <rFont val="微軟正黑體"/>
        <family val="2"/>
        <charset val="136"/>
      </rPr>
      <t>截面積（</t>
    </r>
    <r>
      <rPr>
        <sz val="12"/>
        <color theme="1"/>
        <rFont val="Calibri"/>
        <family val="2"/>
      </rPr>
      <t>in²</t>
    </r>
    <r>
      <rPr>
        <sz val="12"/>
        <color theme="1"/>
        <rFont val="微軟正黑體"/>
        <family val="2"/>
        <charset val="136"/>
      </rPr>
      <t>）</t>
    </r>
  </si>
  <si>
    <r>
      <rPr>
        <sz val="12"/>
        <color theme="1"/>
        <rFont val="微軟正黑體"/>
        <family val="2"/>
        <charset val="136"/>
      </rPr>
      <t>截面積（</t>
    </r>
    <r>
      <rPr>
        <sz val="12"/>
        <color theme="1"/>
        <rFont val="Calibri"/>
        <family val="2"/>
      </rPr>
      <t>mm²</t>
    </r>
    <r>
      <rPr>
        <sz val="12"/>
        <color theme="1"/>
        <rFont val="微軟正黑體"/>
        <family val="2"/>
        <charset val="136"/>
      </rPr>
      <t>）</t>
    </r>
  </si>
  <si>
    <t>PR</t>
    <phoneticPr fontId="1" type="noConversion"/>
  </si>
  <si>
    <t>Warning Message</t>
  </si>
  <si>
    <t>ALL</t>
  </si>
  <si>
    <t>4.9.4</t>
    <phoneticPr fontId="1" type="noConversion"/>
  </si>
  <si>
    <t>4.9.3</t>
    <phoneticPr fontId="1" type="noConversion"/>
  </si>
  <si>
    <t>PR</t>
  </si>
  <si>
    <t>-</t>
  </si>
  <si>
    <t>#3@15</t>
  </si>
  <si>
    <t>#4@10</t>
  </si>
  <si>
    <t>#4@15</t>
  </si>
  <si>
    <t>RF</t>
  </si>
  <si>
    <t>#4@12</t>
  </si>
  <si>
    <t>Note</t>
  </si>
  <si>
    <t>RF</t>
    <phoneticPr fontId="1" type="noConversion"/>
  </si>
  <si>
    <t>bB201</t>
  </si>
  <si>
    <t>3-#6</t>
  </si>
  <si>
    <t>6-#6</t>
  </si>
  <si>
    <t>C11</t>
  </si>
  <si>
    <t>C12</t>
  </si>
  <si>
    <t>C28</t>
  </si>
  <si>
    <t>C29</t>
  </si>
  <si>
    <t>C32</t>
  </si>
  <si>
    <t>C15</t>
  </si>
  <si>
    <t>C1</t>
  </si>
  <si>
    <t>C2</t>
  </si>
  <si>
    <t>C3</t>
  </si>
  <si>
    <t>C4</t>
  </si>
  <si>
    <t>C5</t>
  </si>
  <si>
    <t>C6</t>
  </si>
  <si>
    <t>C7</t>
  </si>
  <si>
    <t>C8</t>
  </si>
  <si>
    <t>C9</t>
  </si>
  <si>
    <t>C10</t>
  </si>
  <si>
    <t>C14</t>
  </si>
  <si>
    <t>C16</t>
  </si>
  <si>
    <t>C21</t>
  </si>
  <si>
    <t>C22</t>
  </si>
  <si>
    <t>C23</t>
  </si>
  <si>
    <t>C25</t>
  </si>
  <si>
    <t>C26</t>
  </si>
  <si>
    <t>C27</t>
  </si>
  <si>
    <t>C30</t>
  </si>
  <si>
    <t>C31</t>
  </si>
  <si>
    <t>Story</t>
  </si>
  <si>
    <t>cm</t>
  </si>
  <si>
    <t>0102</t>
  </si>
  <si>
    <t>0103</t>
  </si>
  <si>
    <t>0101</t>
    <phoneticPr fontId="1" type="noConversion"/>
  </si>
  <si>
    <t>---</t>
    <phoneticPr fontId="1" type="noConversion"/>
  </si>
  <si>
    <t>0400</t>
    <phoneticPr fontId="1" type="noConversion"/>
  </si>
  <si>
    <t>0700</t>
    <phoneticPr fontId="1" type="noConversion"/>
  </si>
  <si>
    <t>0800</t>
    <phoneticPr fontId="1" type="noConversion"/>
  </si>
  <si>
    <t>0301</t>
    <phoneticPr fontId="1" type="noConversion"/>
  </si>
  <si>
    <t>0302</t>
  </si>
  <si>
    <t>0304</t>
  </si>
  <si>
    <t>0307</t>
  </si>
  <si>
    <t>0309</t>
  </si>
  <si>
    <t>0310</t>
  </si>
  <si>
    <t>0311</t>
  </si>
  <si>
    <t>0312</t>
  </si>
  <si>
    <t>0201</t>
    <phoneticPr fontId="1" type="noConversion"/>
  </si>
  <si>
    <t>0401</t>
    <phoneticPr fontId="1" type="noConversion"/>
  </si>
  <si>
    <t>0402</t>
  </si>
  <si>
    <t>0403</t>
  </si>
  <si>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</si>
  <si>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</si>
  <si>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</si>
  <si>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深梁</t>
    </r>
  </si>
  <si>
    <r>
      <rPr>
        <sz val="12"/>
        <rFont val="微軟正黑體"/>
        <family val="2"/>
        <charset val="136"/>
      </rPr>
      <t>箍筋</t>
    </r>
    <phoneticPr fontId="1" type="noConversion"/>
  </si>
  <si>
    <r>
      <rPr>
        <sz val="12"/>
        <rFont val="微軟正黑體"/>
        <family val="2"/>
        <charset val="136"/>
      </rPr>
      <t>下限</t>
    </r>
    <phoneticPr fontId="1" type="noConversion"/>
  </si>
  <si>
    <r>
      <rPr>
        <sz val="12"/>
        <color theme="1"/>
        <rFont val="微軟正黑體"/>
        <family val="2"/>
        <charset val="136"/>
      </rPr>
      <t>垂直剪力鋼筋面積</t>
    </r>
    <r>
      <rPr>
        <sz val="12"/>
        <color theme="1"/>
        <rFont val="Calibri"/>
        <family val="2"/>
      </rPr>
      <t xml:space="preserve"> Av </t>
    </r>
    <r>
      <rPr>
        <sz val="12"/>
        <color theme="1"/>
        <rFont val="微軟正黑體"/>
        <family val="2"/>
        <charset val="136"/>
      </rPr>
      <t>不得小於</t>
    </r>
    <r>
      <rPr>
        <sz val="12"/>
        <color theme="1"/>
        <rFont val="Calibri"/>
        <family val="2"/>
      </rPr>
      <t xml:space="preserve"> 0.0025 * bw * s</t>
    </r>
    <r>
      <rPr>
        <sz val="12"/>
        <color theme="1"/>
        <rFont val="微軟正黑體"/>
        <family val="2"/>
        <charset val="136"/>
      </rPr>
      <t>，</t>
    </r>
    <r>
      <rPr>
        <sz val="12"/>
        <color theme="1"/>
        <rFont val="Calibri"/>
        <family val="2"/>
      </rPr>
      <t xml:space="preserve">s </t>
    </r>
    <r>
      <rPr>
        <sz val="12"/>
        <color theme="1"/>
        <rFont val="微軟正黑體"/>
        <family val="2"/>
        <charset val="136"/>
      </rPr>
      <t>不得大於</t>
    </r>
    <r>
      <rPr>
        <sz val="12"/>
        <color theme="1"/>
        <rFont val="Calibri"/>
        <family val="2"/>
      </rPr>
      <t xml:space="preserve"> d / 5 </t>
    </r>
    <r>
      <rPr>
        <sz val="12"/>
        <color theme="1"/>
        <rFont val="微軟正黑體"/>
        <family val="2"/>
        <charset val="136"/>
      </rPr>
      <t>或</t>
    </r>
    <r>
      <rPr>
        <sz val="12"/>
        <color theme="1"/>
        <rFont val="Calibri"/>
        <family val="2"/>
      </rPr>
      <t xml:space="preserve"> 30 cm</t>
    </r>
    <r>
      <rPr>
        <sz val="12"/>
        <color theme="1"/>
        <rFont val="微軟正黑體"/>
        <family val="2"/>
        <charset val="136"/>
      </rPr>
      <t>。</t>
    </r>
  </si>
  <si>
    <r>
      <rPr>
        <sz val="12"/>
        <color theme="1"/>
        <rFont val="微軟正黑體"/>
        <family val="2"/>
        <charset val="136"/>
      </rPr>
      <t>【</t>
    </r>
    <r>
      <rPr>
        <sz val="12"/>
        <color theme="1"/>
        <rFont val="Calibri"/>
        <family val="2"/>
      </rPr>
      <t>0101</t>
    </r>
    <r>
      <rPr>
        <sz val="12"/>
        <color theme="1"/>
        <rFont val="微軟正黑體"/>
        <family val="2"/>
        <charset val="136"/>
      </rPr>
      <t>】請確認短梁箍筋，是否小於</t>
    </r>
    <r>
      <rPr>
        <sz val="12"/>
        <color theme="1"/>
        <rFont val="Calibri"/>
        <family val="2"/>
      </rPr>
      <t xml:space="preserve"> 0.0025 * bw * s</t>
    </r>
    <phoneticPr fontId="1" type="noConversion"/>
  </si>
  <si>
    <r>
      <rPr>
        <sz val="12"/>
        <rFont val="微軟正黑體"/>
        <family val="2"/>
        <charset val="136"/>
      </rPr>
      <t>側筋</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</si>
  <si>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不得小於</t>
    </r>
    <r>
      <rPr>
        <sz val="12"/>
        <rFont val="Calibri"/>
        <family val="2"/>
      </rPr>
      <t xml:space="preserve"> 0.0015 * bw * s2</t>
    </r>
    <r>
      <rPr>
        <sz val="12"/>
        <rFont val="微軟正黑體"/>
        <family val="2"/>
        <charset val="136"/>
      </rPr>
      <t>，</t>
    </r>
    <r>
      <rPr>
        <sz val="12"/>
        <rFont val="Calibri"/>
        <family val="2"/>
      </rPr>
      <t xml:space="preserve">s2 </t>
    </r>
    <r>
      <rPr>
        <sz val="12"/>
        <rFont val="微軟正黑體"/>
        <family val="2"/>
        <charset val="136"/>
      </rPr>
      <t>不得大於</t>
    </r>
    <r>
      <rPr>
        <sz val="12"/>
        <rFont val="Calibri"/>
        <family val="2"/>
      </rPr>
      <t xml:space="preserve"> d / 5 </t>
    </r>
    <r>
      <rPr>
        <sz val="12"/>
        <rFont val="微軟正黑體"/>
        <family val="2"/>
        <charset val="136"/>
      </rPr>
      <t>或</t>
    </r>
    <r>
      <rPr>
        <sz val="12"/>
        <rFont val="Calibri"/>
        <family val="2"/>
      </rPr>
      <t xml:space="preserve"> 30 cm</t>
    </r>
    <r>
      <rPr>
        <sz val="12"/>
        <rFont val="微軟正黑體"/>
        <family val="2"/>
        <charset val="136"/>
      </rPr>
      <t>。</t>
    </r>
  </si>
  <si>
    <r>
      <rPr>
        <sz val="12"/>
        <rFont val="微軟正黑體"/>
        <family val="2"/>
        <charset val="136"/>
      </rPr>
      <t>上限</t>
    </r>
    <phoneticPr fontId="1" type="noConversion"/>
  </si>
  <si>
    <r>
      <rPr>
        <sz val="12"/>
        <color theme="1"/>
        <rFont val="微軟正黑體"/>
        <family val="2"/>
        <charset val="136"/>
      </rPr>
      <t>主筋比</t>
    </r>
  </si>
  <si>
    <r>
      <rPr>
        <sz val="12"/>
        <color theme="1"/>
        <rFont val="微軟正黑體"/>
        <family val="2"/>
        <charset val="136"/>
      </rPr>
      <t>上層筋</t>
    </r>
  </si>
  <si>
    <r>
      <rPr>
        <sz val="12"/>
        <rFont val="微軟正黑體"/>
        <family val="2"/>
        <charset val="136"/>
      </rPr>
      <t>下限</t>
    </r>
  </si>
  <si>
    <r>
      <rPr>
        <sz val="12"/>
        <rFont val="微軟正黑體"/>
        <family val="2"/>
        <charset val="136"/>
      </rPr>
      <t>最少鋼筋比大於</t>
    </r>
    <r>
      <rPr>
        <sz val="12"/>
        <rFont val="Calibri"/>
        <family val="2"/>
      </rPr>
      <t xml:space="preserve"> 0.3 %</t>
    </r>
  </si>
  <si>
    <r>
      <rPr>
        <sz val="12"/>
        <rFont val="微軟正黑體"/>
        <family val="2"/>
        <charset val="136"/>
      </rPr>
      <t>【</t>
    </r>
    <r>
      <rPr>
        <sz val="12"/>
        <rFont val="Calibri"/>
        <family val="2"/>
      </rPr>
      <t>0104</t>
    </r>
    <r>
      <rPr>
        <sz val="12"/>
        <rFont val="微軟正黑體"/>
        <family val="2"/>
        <charset val="136"/>
      </rPr>
      <t>】請確認上層筋下限，是否符合最少鋼筋比大於</t>
    </r>
    <r>
      <rPr>
        <sz val="12"/>
        <rFont val="Calibri"/>
        <family val="2"/>
      </rPr>
      <t xml:space="preserve"> 0.3 % </t>
    </r>
    <r>
      <rPr>
        <sz val="12"/>
        <rFont val="微軟正黑體"/>
        <family val="2"/>
        <charset val="136"/>
      </rPr>
      <t>規定</t>
    </r>
  </si>
  <si>
    <r>
      <rPr>
        <sz val="12"/>
        <color theme="1"/>
        <rFont val="微軟正黑體"/>
        <family val="2"/>
        <charset val="136"/>
      </rPr>
      <t>下層筋</t>
    </r>
  </si>
  <si>
    <r>
      <rPr>
        <sz val="12"/>
        <rFont val="微軟正黑體"/>
        <family val="2"/>
        <charset val="136"/>
      </rPr>
      <t>【</t>
    </r>
    <r>
      <rPr>
        <sz val="12"/>
        <rFont val="Calibri"/>
        <family val="2"/>
      </rPr>
      <t>0105</t>
    </r>
    <r>
      <rPr>
        <sz val="12"/>
        <rFont val="微軟正黑體"/>
        <family val="2"/>
        <charset val="136"/>
      </rPr>
      <t>】請確認下層筋下限，是否符合最少鋼筋比大於</t>
    </r>
    <r>
      <rPr>
        <sz val="12"/>
        <rFont val="Calibri"/>
        <family val="2"/>
      </rPr>
      <t xml:space="preserve"> 0.3 % </t>
    </r>
    <r>
      <rPr>
        <sz val="12"/>
        <rFont val="微軟正黑體"/>
        <family val="2"/>
        <charset val="136"/>
      </rPr>
      <t>規定</t>
    </r>
  </si>
  <si>
    <r>
      <rPr>
        <sz val="12"/>
        <rFont val="微軟正黑體"/>
        <family val="2"/>
        <charset val="136"/>
      </rPr>
      <t>鋼筋間距</t>
    </r>
    <r>
      <rPr>
        <sz val="12"/>
        <rFont val="Calibri"/>
        <family val="2"/>
      </rPr>
      <t xml:space="preserve"> 25 cm </t>
    </r>
    <r>
      <rPr>
        <sz val="12"/>
        <rFont val="微軟正黑體"/>
        <family val="2"/>
        <charset val="136"/>
      </rPr>
      <t>以下</t>
    </r>
  </si>
  <si>
    <r>
      <rPr>
        <sz val="12"/>
        <rFont val="微軟正黑體"/>
        <family val="2"/>
        <charset val="136"/>
      </rPr>
      <t>【</t>
    </r>
    <r>
      <rPr>
        <sz val="12"/>
        <rFont val="Calibri"/>
        <family val="2"/>
      </rPr>
      <t>0106</t>
    </r>
    <r>
      <rPr>
        <sz val="12"/>
        <rFont val="微軟正黑體"/>
        <family val="2"/>
        <charset val="136"/>
      </rPr>
      <t>】請確認鋼筋間距下限，是否符合鋼筋間距</t>
    </r>
    <r>
      <rPr>
        <sz val="12"/>
        <rFont val="Calibri"/>
        <family val="2"/>
      </rPr>
      <t xml:space="preserve"> 25 cm </t>
    </r>
    <r>
      <rPr>
        <sz val="12"/>
        <rFont val="微軟正黑體"/>
        <family val="2"/>
        <charset val="136"/>
      </rPr>
      <t>以下規定</t>
    </r>
  </si>
  <si>
    <r>
      <rPr>
        <sz val="12"/>
        <rFont val="微軟正黑體"/>
        <family val="2"/>
        <charset val="136"/>
      </rPr>
      <t>【</t>
    </r>
    <r>
      <rPr>
        <sz val="12"/>
        <rFont val="Calibri"/>
        <family val="2"/>
      </rPr>
      <t>0107</t>
    </r>
    <r>
      <rPr>
        <sz val="12"/>
        <rFont val="微軟正黑體"/>
        <family val="2"/>
        <charset val="136"/>
      </rPr>
      <t>】請確認鋼筋間距，是否符合單排支數下限規定</t>
    </r>
  </si>
  <si>
    <r>
      <rPr>
        <sz val="12"/>
        <rFont val="微軟正黑體"/>
        <family val="2"/>
        <charset val="136"/>
      </rPr>
      <t>鋼筋比在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</si>
  <si>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0108</t>
    </r>
    <r>
      <rPr>
        <sz val="12"/>
        <rFont val="微軟正黑體"/>
        <family val="2"/>
        <charset val="136"/>
      </rPr>
      <t>】請確認上層筋上限，是否在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</si>
  <si>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0109</t>
    </r>
    <r>
      <rPr>
        <sz val="12"/>
        <rFont val="微軟正黑體"/>
        <family val="2"/>
        <charset val="136"/>
      </rPr>
      <t>】請確認下層筋上限，是否在</t>
    </r>
    <r>
      <rPr>
        <sz val="12"/>
        <rFont val="Calibri"/>
        <family val="2"/>
      </rPr>
      <t xml:space="preserve"> 2% </t>
    </r>
    <r>
      <rPr>
        <sz val="12"/>
        <rFont val="微軟正黑體"/>
        <family val="2"/>
        <charset val="136"/>
      </rPr>
      <t>以下</t>
    </r>
  </si>
  <si>
    <r>
      <rPr>
        <sz val="12"/>
        <color theme="1"/>
        <rFont val="微軟正黑體"/>
        <family val="2"/>
        <charset val="136"/>
      </rPr>
      <t>中央</t>
    </r>
  </si>
  <si>
    <r>
      <rPr>
        <sz val="12"/>
        <rFont val="微軟正黑體"/>
        <family val="2"/>
        <charset val="136"/>
      </rPr>
      <t>如果鋼筋支數大於</t>
    </r>
    <r>
      <rPr>
        <sz val="12"/>
        <rFont val="Calibri"/>
        <family val="2"/>
      </rPr>
      <t>3</t>
    </r>
    <r>
      <rPr>
        <sz val="12"/>
        <rFont val="微軟正黑體"/>
        <family val="2"/>
        <charset val="136"/>
      </rPr>
      <t>支，中央下層鋼筋量需小於端部最小鋼筋量的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</si>
  <si>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0110</t>
    </r>
    <r>
      <rPr>
        <sz val="12"/>
        <rFont val="微軟正黑體"/>
        <family val="2"/>
        <charset val="136"/>
      </rPr>
      <t>】請確認中央下層筋相對鋼筋量，是否符合中央下層鋼筋量需小於端部最小鋼筋量的</t>
    </r>
    <r>
      <rPr>
        <sz val="12"/>
        <rFont val="Calibri"/>
        <family val="2"/>
      </rPr>
      <t xml:space="preserve"> 70% </t>
    </r>
    <r>
      <rPr>
        <sz val="12"/>
        <rFont val="微軟正黑體"/>
        <family val="2"/>
        <charset val="136"/>
      </rPr>
      <t>規定</t>
    </r>
  </si>
  <si>
    <r>
      <rPr>
        <sz val="12"/>
        <color theme="1"/>
        <rFont val="微軟正黑體"/>
        <family val="2"/>
        <charset val="136"/>
      </rPr>
      <t>左端</t>
    </r>
  </si>
  <si>
    <r>
      <rPr>
        <sz val="12"/>
        <rFont val="微軟正黑體"/>
        <family val="2"/>
        <charset val="136"/>
      </rPr>
      <t>如果鋼筋支數大於</t>
    </r>
    <r>
      <rPr>
        <sz val="12"/>
        <rFont val="Calibri"/>
        <family val="2"/>
      </rPr>
      <t>3</t>
    </r>
    <r>
      <rPr>
        <sz val="12"/>
        <rFont val="微軟正黑體"/>
        <family val="2"/>
        <charset val="136"/>
      </rPr>
      <t>支，端部上層鋼筋量需小於中央鋼筋量的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</si>
  <si>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0111</t>
    </r>
    <r>
      <rPr>
        <sz val="12"/>
        <rFont val="微軟正黑體"/>
        <family val="2"/>
        <charset val="136"/>
      </rPr>
      <t>】請確認左端上層筋相對鋼筋量，是否符合端部上層鋼筋量需小於中央鋼筋量的</t>
    </r>
    <r>
      <rPr>
        <sz val="12"/>
        <rFont val="Calibri"/>
        <family val="2"/>
      </rPr>
      <t xml:space="preserve"> 70% </t>
    </r>
    <r>
      <rPr>
        <sz val="12"/>
        <rFont val="微軟正黑體"/>
        <family val="2"/>
        <charset val="136"/>
      </rPr>
      <t>規定</t>
    </r>
  </si>
  <si>
    <r>
      <rPr>
        <sz val="12"/>
        <color theme="1"/>
        <rFont val="微軟正黑體"/>
        <family val="2"/>
        <charset val="136"/>
      </rPr>
      <t>右端</t>
    </r>
  </si>
  <si>
    <r>
      <rPr>
        <sz val="12"/>
        <rFont val="微軟正黑體"/>
        <family val="2"/>
        <charset val="136"/>
      </rPr>
      <t>【</t>
    </r>
    <r>
      <rPr>
        <sz val="12"/>
        <rFont val="Calibri"/>
        <family val="2"/>
      </rPr>
      <t>0112</t>
    </r>
    <r>
      <rPr>
        <sz val="12"/>
        <rFont val="微軟正黑體"/>
        <family val="2"/>
        <charset val="136"/>
      </rPr>
      <t>】請確認右端上層筋相對鋼筋量，是否符合端部上層鋼筋量需小於中央鋼筋量的</t>
    </r>
    <r>
      <rPr>
        <sz val="12"/>
        <rFont val="Calibri"/>
        <family val="2"/>
      </rPr>
      <t xml:space="preserve"> 70% </t>
    </r>
    <r>
      <rPr>
        <sz val="12"/>
        <rFont val="微軟正黑體"/>
        <family val="2"/>
        <charset val="136"/>
      </rPr>
      <t>規定</t>
    </r>
  </si>
  <si>
    <r>
      <rPr>
        <sz val="12"/>
        <rFont val="微軟正黑體"/>
        <family val="2"/>
        <charset val="136"/>
      </rPr>
      <t>箍筋間距</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</si>
  <si>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</si>
  <si>
    <r>
      <rPr>
        <sz val="12"/>
        <rFont val="微軟正黑體"/>
        <family val="2"/>
        <charset val="136"/>
      </rPr>
      <t>【</t>
    </r>
    <r>
      <rPr>
        <sz val="12"/>
        <rFont val="Calibri"/>
        <family val="2"/>
      </rPr>
      <t>0113</t>
    </r>
    <r>
      <rPr>
        <sz val="12"/>
        <rFont val="微軟正黑體"/>
        <family val="2"/>
        <charset val="136"/>
      </rPr>
      <t>】請確認箍筋間距下限，是否符合</t>
    </r>
    <r>
      <rPr>
        <sz val="12"/>
        <rFont val="Calibri"/>
        <family val="2"/>
      </rPr>
      <t xml:space="preserve"> 10cm </t>
    </r>
    <r>
      <rPr>
        <sz val="12"/>
        <rFont val="微軟正黑體"/>
        <family val="2"/>
        <charset val="136"/>
      </rPr>
      <t>以上規定</t>
    </r>
  </si>
  <si>
    <r>
      <rPr>
        <sz val="12"/>
        <rFont val="微軟正黑體"/>
        <family val="2"/>
        <charset val="136"/>
      </rPr>
      <t>箍筋間距</t>
    </r>
    <r>
      <rPr>
        <sz val="12"/>
        <rFont val="Calibri"/>
        <family val="2"/>
      </rPr>
      <t xml:space="preserve"> 30cm </t>
    </r>
    <r>
      <rPr>
        <sz val="12"/>
        <rFont val="微軟正黑體"/>
        <family val="2"/>
        <charset val="136"/>
      </rPr>
      <t>以下</t>
    </r>
  </si>
  <si>
    <r>
      <rPr>
        <sz val="12"/>
        <rFont val="微軟正黑體"/>
        <family val="2"/>
        <charset val="136"/>
      </rPr>
      <t>【</t>
    </r>
    <r>
      <rPr>
        <sz val="12"/>
        <rFont val="Calibri"/>
        <family val="2"/>
      </rPr>
      <t>0114</t>
    </r>
    <r>
      <rPr>
        <sz val="12"/>
        <rFont val="微軟正黑體"/>
        <family val="2"/>
        <charset val="136"/>
      </rPr>
      <t>】請確認箍筋間距上限，是否符合</t>
    </r>
    <r>
      <rPr>
        <sz val="12"/>
        <rFont val="Calibri"/>
        <family val="2"/>
      </rPr>
      <t xml:space="preserve"> 30cm </t>
    </r>
    <r>
      <rPr>
        <sz val="12"/>
        <rFont val="微軟正黑體"/>
        <family val="2"/>
        <charset val="136"/>
      </rPr>
      <t>以下規定</t>
    </r>
  </si>
  <si>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</si>
  <si>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</si>
  <si>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</si>
  <si>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受撓構材之最少鋼筋量</t>
    </r>
  </si>
  <si>
    <r>
      <rPr>
        <sz val="12"/>
        <color theme="1"/>
        <rFont val="微軟正黑體"/>
        <family val="2"/>
        <charset val="136"/>
      </rPr>
      <t>【</t>
    </r>
    <r>
      <rPr>
        <sz val="12"/>
        <color theme="1"/>
        <rFont val="Calibri"/>
        <family val="2"/>
      </rPr>
      <t>0201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</si>
  <si>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</si>
  <si>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</si>
  <si>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</si>
  <si>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</si>
  <si>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如梁與柵版之總深度</t>
    </r>
    <r>
      <rPr>
        <sz val="12"/>
        <color theme="1"/>
        <rFont val="Calibri"/>
        <family val="2"/>
      </rPr>
      <t xml:space="preserve"> h </t>
    </r>
    <r>
      <rPr>
        <sz val="12"/>
        <color theme="1"/>
        <rFont val="微軟正黑體"/>
        <family val="2"/>
        <charset val="136"/>
      </rPr>
      <t>超過</t>
    </r>
    <r>
      <rPr>
        <sz val="12"/>
        <color theme="1"/>
        <rFont val="Calibri"/>
        <family val="2"/>
      </rPr>
      <t xml:space="preserve"> 90 cm </t>
    </r>
    <r>
      <rPr>
        <sz val="12"/>
        <color theme="1"/>
        <rFont val="微軟正黑體"/>
        <family val="2"/>
        <charset val="136"/>
      </rPr>
      <t>時，在距最外受拉面</t>
    </r>
    <r>
      <rPr>
        <sz val="12"/>
        <color theme="1"/>
        <rFont val="Calibri"/>
        <family val="2"/>
      </rPr>
      <t xml:space="preserve"> h/2 </t>
    </r>
    <r>
      <rPr>
        <sz val="12"/>
        <color theme="1"/>
        <rFont val="微軟正黑體"/>
        <family val="2"/>
        <charset val="136"/>
      </rPr>
      <t>範圍內之梁腹兩側應加置縱向表層鋼筋，梁腹每側表層鋼筋之間距</t>
    </r>
    <r>
      <rPr>
        <sz val="12"/>
        <color theme="1"/>
        <rFont val="Calibri"/>
        <family val="2"/>
      </rPr>
      <t xml:space="preserve"> s </t>
    </r>
    <r>
      <rPr>
        <sz val="12"/>
        <color theme="1"/>
        <rFont val="微軟正黑體"/>
        <family val="2"/>
        <charset val="136"/>
      </rPr>
      <t>不得大於式</t>
    </r>
    <r>
      <rPr>
        <sz val="12"/>
        <color theme="1"/>
        <rFont val="Calibri"/>
        <family val="2"/>
      </rPr>
      <t>(3-6)</t>
    </r>
    <r>
      <rPr>
        <sz val="12"/>
        <color theme="1"/>
        <rFont val="微軟正黑體"/>
        <family val="2"/>
        <charset val="136"/>
      </rPr>
      <t>之規定，其</t>
    </r>
    <r>
      <rPr>
        <sz val="12"/>
        <color theme="1"/>
        <rFont val="Calibri"/>
        <family val="2"/>
      </rPr>
      <t xml:space="preserve"> cc</t>
    </r>
    <r>
      <rPr>
        <sz val="12"/>
        <color theme="1"/>
        <rFont val="微軟正黑體"/>
        <family val="2"/>
        <charset val="136"/>
      </rPr>
      <t>為表層鋼筋或預力鋼筋至最近側面之淨保護層厚度。此等鋼筋應可併入強度計算，惟鋼筋之應力須按應變一致性之分析求得。</t>
    </r>
  </si>
  <si>
    <r>
      <rPr>
        <sz val="12"/>
        <color theme="1"/>
        <rFont val="微軟正黑體"/>
        <family val="2"/>
        <charset val="136"/>
      </rPr>
      <t>淨跨</t>
    </r>
    <r>
      <rPr>
        <sz val="12"/>
        <color theme="1"/>
        <rFont val="Calibri"/>
        <family val="2"/>
      </rPr>
      <t xml:space="preserve"> ln </t>
    </r>
    <r>
      <rPr>
        <sz val="12"/>
        <color theme="1"/>
        <rFont val="微軟正黑體"/>
        <family val="2"/>
        <charset val="136"/>
      </rPr>
      <t>不大於</t>
    </r>
    <r>
      <rPr>
        <sz val="12"/>
        <color theme="1"/>
        <rFont val="Calibri"/>
        <family val="2"/>
      </rPr>
      <t xml:space="preserve"> 4 </t>
    </r>
    <r>
      <rPr>
        <sz val="12"/>
        <color theme="1"/>
        <rFont val="微軟正黑體"/>
        <family val="2"/>
        <charset val="136"/>
      </rPr>
      <t>倍梁總深</t>
    </r>
  </si>
  <si>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</si>
  <si>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</si>
  <si>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剪力計算強度</t>
    </r>
    <r>
      <rPr>
        <sz val="12"/>
        <color theme="1"/>
        <rFont val="Calibri"/>
        <family val="2"/>
      </rPr>
      <t xml:space="preserve"> Vs </t>
    </r>
    <r>
      <rPr>
        <sz val="12"/>
        <color theme="1"/>
        <rFont val="微軟正黑體"/>
        <family val="2"/>
        <charset val="136"/>
      </rPr>
      <t>不可大於</t>
    </r>
    <r>
      <rPr>
        <sz val="12"/>
        <color theme="1"/>
        <rFont val="Calibri"/>
        <family val="2"/>
      </rPr>
      <t xml:space="preserve"> 2.12 * fc' * bw * d</t>
    </r>
    <r>
      <rPr>
        <sz val="12"/>
        <color theme="1"/>
        <rFont val="微軟正黑體"/>
        <family val="2"/>
        <charset val="136"/>
      </rPr>
      <t>。</t>
    </r>
  </si>
  <si>
    <r>
      <rPr>
        <sz val="12"/>
        <color theme="1"/>
        <rFont val="微軟正黑體"/>
        <family val="2"/>
        <charset val="136"/>
      </rPr>
      <t>單排支數</t>
    </r>
  </si>
  <si>
    <r>
      <rPr>
        <sz val="12"/>
        <color theme="1"/>
        <rFont val="微軟正黑體"/>
        <family val="2"/>
        <charset val="136"/>
      </rPr>
      <t>同層平行鋼筋間之淨距不得小於</t>
    </r>
    <r>
      <rPr>
        <sz val="12"/>
        <color theme="1"/>
        <rFont val="Calibri"/>
        <family val="2"/>
      </rPr>
      <t xml:space="preserve"> 1.0db</t>
    </r>
    <r>
      <rPr>
        <sz val="12"/>
        <color theme="1"/>
        <rFont val="微軟正黑體"/>
        <family val="2"/>
        <charset val="136"/>
      </rPr>
      <t>，或粗粒料標稱最大粒徑</t>
    </r>
    <r>
      <rPr>
        <sz val="12"/>
        <color theme="1"/>
        <rFont val="Calibri"/>
        <family val="2"/>
      </rPr>
      <t xml:space="preserve"> 1.33 </t>
    </r>
    <r>
      <rPr>
        <sz val="12"/>
        <color theme="1"/>
        <rFont val="微軟正黑體"/>
        <family val="2"/>
        <charset val="136"/>
      </rPr>
      <t>倍，亦不得小於</t>
    </r>
    <r>
      <rPr>
        <sz val="12"/>
        <color theme="1"/>
        <rFont val="Calibri"/>
        <family val="2"/>
      </rPr>
      <t xml:space="preserve"> 2.5 cm</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</si>
  <si>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</si>
  <si>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單排支數需大於</t>
    </r>
    <r>
      <rPr>
        <sz val="12"/>
        <color theme="1"/>
        <rFont val="Calibri"/>
        <family val="2"/>
      </rPr>
      <t>1</t>
    </r>
    <r>
      <rPr>
        <sz val="12"/>
        <color theme="1"/>
        <rFont val="微軟正黑體"/>
        <family val="2"/>
        <charset val="136"/>
      </rPr>
      <t>支</t>
    </r>
  </si>
  <si>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</si>
  <si>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拉力鋼筋比不得大於</t>
    </r>
    <r>
      <rPr>
        <sz val="12"/>
        <color theme="1"/>
        <rFont val="Calibri"/>
        <family val="2"/>
      </rPr>
      <t xml:space="preserve"> (fc' + 100) / (4 * fy)</t>
    </r>
    <r>
      <rPr>
        <sz val="12"/>
        <color theme="1"/>
        <rFont val="微軟正黑體"/>
        <family val="2"/>
        <charset val="136"/>
      </rPr>
      <t>，亦不得大於</t>
    </r>
    <r>
      <rPr>
        <sz val="12"/>
        <color theme="1"/>
        <rFont val="Calibri"/>
        <family val="2"/>
      </rPr>
      <t xml:space="preserve"> 0.025</t>
    </r>
    <r>
      <rPr>
        <sz val="12"/>
        <color theme="1"/>
        <rFont val="微軟正黑體"/>
        <family val="2"/>
        <charset val="136"/>
      </rPr>
      <t>。</t>
    </r>
  </si>
  <si>
    <r>
      <rPr>
        <sz val="12"/>
        <color theme="1"/>
        <rFont val="微軟正黑體"/>
        <family val="2"/>
        <charset val="136"/>
      </rPr>
      <t>【</t>
    </r>
    <r>
      <rPr>
        <sz val="12"/>
        <color theme="1"/>
        <rFont val="Calibri"/>
        <family val="2"/>
      </rPr>
      <t>0214</t>
    </r>
    <r>
      <rPr>
        <sz val="12"/>
        <color theme="1"/>
        <rFont val="微軟正黑體"/>
        <family val="2"/>
        <charset val="136"/>
      </rPr>
      <t>】請確認右端上層筋上限，是否符合規範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</si>
  <si>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0216</t>
    </r>
    <r>
      <rPr>
        <sz val="12"/>
        <color theme="1"/>
        <rFont val="微軟正黑體"/>
        <family val="2"/>
        <charset val="136"/>
      </rPr>
      <t>】請確認中央下層筋上限，是否符合規範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</si>
  <si>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撓曲構材在梁柱交接面及其它可能產生塑鉸位置，其壓力鋼筋量不得小於拉力鋼筋量之半。在沿構材長度上任何斷面，不論正彎矩鋼筋量或負彎矩鋼筋量均不得低於兩端柱面處所具最大負彎矩鋼筋量之</t>
    </r>
    <r>
      <rPr>
        <sz val="12"/>
        <color theme="1"/>
        <rFont val="Calibri"/>
        <family val="2"/>
      </rPr>
      <t xml:space="preserve"> 1/4</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</si>
  <si>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】請確認耐震最小量鋼筋，是否符合規範</t>
    </r>
    <r>
      <rPr>
        <sz val="12"/>
        <color theme="1"/>
        <rFont val="Calibri"/>
        <family val="2"/>
      </rPr>
      <t xml:space="preserve"> 15.4.2.2 </t>
    </r>
    <r>
      <rPr>
        <sz val="12"/>
        <color theme="1"/>
        <rFont val="微軟正黑體"/>
        <family val="2"/>
        <charset val="136"/>
      </rPr>
      <t>規定</t>
    </r>
  </si>
  <si>
    <r>
      <rPr>
        <sz val="12"/>
        <color theme="1"/>
        <rFont val="微軟正黑體"/>
        <family val="2"/>
        <charset val="136"/>
      </rPr>
      <t>【</t>
    </r>
    <r>
      <rPr>
        <sz val="12"/>
        <color theme="1"/>
        <rFont val="Calibri"/>
        <family val="2"/>
      </rPr>
      <t>0219</t>
    </r>
    <r>
      <rPr>
        <sz val="12"/>
        <color theme="1"/>
        <rFont val="微軟正黑體"/>
        <family val="2"/>
        <charset val="136"/>
      </rPr>
      <t>】請確認箍筋間距下限，是否符合</t>
    </r>
    <r>
      <rPr>
        <sz val="12"/>
        <color theme="1"/>
        <rFont val="Calibri"/>
        <family val="2"/>
      </rPr>
      <t xml:space="preserve"> 10cm </t>
    </r>
    <r>
      <rPr>
        <sz val="12"/>
        <color theme="1"/>
        <rFont val="微軟正黑體"/>
        <family val="2"/>
        <charset val="136"/>
      </rPr>
      <t>以上規定</t>
    </r>
  </si>
  <si>
    <r>
      <rPr>
        <sz val="12"/>
        <color theme="1"/>
        <rFont val="微軟正黑體"/>
        <family val="2"/>
        <charset val="136"/>
      </rPr>
      <t>如果鋼筋支數大於</t>
    </r>
    <r>
      <rPr>
        <sz val="12"/>
        <color theme="1"/>
        <rFont val="Calibri"/>
        <family val="2"/>
      </rPr>
      <t>3</t>
    </r>
    <r>
      <rPr>
        <sz val="12"/>
        <color theme="1"/>
        <rFont val="微軟正黑體"/>
        <family val="2"/>
        <charset val="136"/>
      </rPr>
      <t>支，中央上層鋼筋量需小於端部最小鋼筋量的</t>
    </r>
    <r>
      <rPr>
        <sz val="12"/>
        <color theme="1"/>
        <rFont val="Calibri"/>
        <family val="2"/>
      </rPr>
      <t xml:space="preserve"> 70%</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</si>
  <si>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】請確認中央上層筋相對鋼筋量，是否符合中央上層鋼筋量需小於端部最小鋼筋量的</t>
    </r>
    <r>
      <rPr>
        <sz val="12"/>
        <color theme="1"/>
        <rFont val="Calibri"/>
        <family val="2"/>
      </rPr>
      <t xml:space="preserve"> 70% </t>
    </r>
    <r>
      <rPr>
        <sz val="12"/>
        <color theme="1"/>
        <rFont val="微軟正黑體"/>
        <family val="2"/>
        <charset val="136"/>
      </rPr>
      <t>規定</t>
    </r>
  </si>
  <si>
    <r>
      <rPr>
        <sz val="12"/>
        <color theme="1"/>
        <rFont val="微軟正黑體"/>
        <family val="2"/>
        <charset val="136"/>
      </rPr>
      <t>【</t>
    </r>
    <r>
      <rPr>
        <sz val="12"/>
        <color theme="1"/>
        <rFont val="Calibri"/>
        <family val="2"/>
      </rPr>
      <t>0301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</si>
  <si>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</si>
  <si>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</si>
  <si>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</si>
  <si>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</si>
  <si>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</si>
  <si>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</si>
  <si>
    <r>
      <rPr>
        <sz val="12"/>
        <color theme="1"/>
        <rFont val="微軟正黑體"/>
        <family val="2"/>
        <charset val="136"/>
      </rPr>
      <t>【</t>
    </r>
    <r>
      <rPr>
        <sz val="12"/>
        <color theme="1"/>
        <rFont val="Calibri"/>
        <family val="2"/>
      </rPr>
      <t>0308</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</si>
  <si>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小梁鋼筋比在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</si>
  <si>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0310</t>
    </r>
    <r>
      <rPr>
        <sz val="12"/>
        <color theme="1"/>
        <rFont val="微軟正黑體"/>
        <family val="2"/>
        <charset val="136"/>
      </rPr>
      <t>】請確認上層筋上限，是否在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</si>
  <si>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0311</t>
    </r>
    <r>
      <rPr>
        <sz val="12"/>
        <color theme="1"/>
        <rFont val="微軟正黑體"/>
        <family val="2"/>
        <charset val="136"/>
      </rPr>
      <t>】請確認下層筋上限，是否在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</si>
  <si>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垂直載重</t>
    </r>
  </si>
  <si>
    <r>
      <rPr>
        <sz val="12"/>
        <color theme="1"/>
        <rFont val="微軟正黑體"/>
        <family val="2"/>
        <charset val="136"/>
      </rPr>
      <t>假設帶寬</t>
    </r>
    <r>
      <rPr>
        <sz val="12"/>
        <color theme="1"/>
        <rFont val="Calibri"/>
        <family val="2"/>
      </rPr>
      <t xml:space="preserve"> 3m ,</t>
    </r>
    <r>
      <rPr>
        <sz val="12"/>
        <color theme="1"/>
        <rFont val="微軟正黑體"/>
        <family val="2"/>
        <charset val="136"/>
      </rPr>
      <t>則</t>
    </r>
    <r>
      <rPr>
        <sz val="12"/>
        <color theme="1"/>
        <rFont val="Calibri"/>
        <family val="2"/>
      </rPr>
      <t xml:space="preserve"> 0.6 * 1/8 * wu * L^2 &lt;= As * fy * d</t>
    </r>
  </si>
  <si>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</si>
  <si>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</si>
  <si>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</si>
  <si>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</si>
  <si>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</si>
  <si>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下限</t>
    </r>
    <phoneticPr fontId="1" type="noConversion"/>
  </si>
  <si>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</si>
  <si>
    <r>
      <rPr>
        <sz val="12"/>
        <color theme="1"/>
        <rFont val="微軟正黑體"/>
        <family val="2"/>
        <charset val="136"/>
      </rPr>
      <t>頂樓區鋼筋比不大於</t>
    </r>
    <r>
      <rPr>
        <sz val="12"/>
        <color theme="1"/>
        <rFont val="Calibri"/>
        <family val="2"/>
      </rPr>
      <t xml:space="preserve"> 1.2 %</t>
    </r>
  </si>
  <si>
    <r>
      <rPr>
        <b/>
        <sz val="14"/>
        <color theme="1"/>
        <rFont val="微軟正黑體"/>
        <family val="2"/>
        <charset val="136"/>
      </rPr>
      <t>非高樓柱</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</si>
  <si>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</si>
  <si>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</si>
  <si>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</si>
  <si>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</si>
  <si>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b/>
        <sz val="14"/>
        <color theme="1"/>
        <rFont val="微軟正黑體"/>
        <family val="2"/>
        <charset val="136"/>
      </rPr>
      <t>基腳版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</si>
  <si>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</si>
  <si>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</si>
  <si>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</si>
  <si>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安全性</t>
    </r>
    <phoneticPr fontId="1" type="noConversion"/>
  </si>
  <si>
    <r>
      <rPr>
        <b/>
        <sz val="14"/>
        <color theme="1"/>
        <rFont val="微軟正黑體"/>
        <family val="2"/>
        <charset val="136"/>
      </rPr>
      <t>基樁</t>
    </r>
    <phoneticPr fontId="1" type="noConversion"/>
  </si>
  <si>
    <r>
      <rPr>
        <sz val="12"/>
        <color rgb="FF006100"/>
        <rFont val="微軟正黑體"/>
        <family val="2"/>
        <charset val="136"/>
      </rPr>
      <t>操作流程</t>
    </r>
    <phoneticPr fontId="1" type="noConversion"/>
  </si>
  <si>
    <r>
      <rPr>
        <sz val="12"/>
        <color theme="1"/>
        <rFont val="微軟正黑體"/>
        <family val="2"/>
        <charset val="136"/>
      </rPr>
      <t>貼上</t>
    </r>
    <r>
      <rPr>
        <sz val="12"/>
        <color theme="1"/>
        <rFont val="Calibri"/>
        <family val="2"/>
      </rPr>
      <t xml:space="preserve"> RCAD </t>
    </r>
    <r>
      <rPr>
        <sz val="12"/>
        <color theme="1"/>
        <rFont val="微軟正黑體"/>
        <family val="2"/>
        <charset val="136"/>
      </rPr>
      <t>配筋表格</t>
    </r>
    <phoneticPr fontId="1" type="noConversion"/>
  </si>
  <si>
    <r>
      <rPr>
        <sz val="12"/>
        <color theme="1"/>
        <rFont val="微軟正黑體"/>
        <family val="2"/>
        <charset val="136"/>
      </rPr>
      <t>輸入左側部分專案資料</t>
    </r>
    <phoneticPr fontId="1" type="noConversion"/>
  </si>
  <si>
    <r>
      <rPr>
        <sz val="12"/>
        <color theme="1"/>
        <rFont val="微軟正黑體"/>
        <family val="2"/>
        <charset val="136"/>
      </rPr>
      <t>按下</t>
    </r>
    <r>
      <rPr>
        <sz val="12"/>
        <color theme="1"/>
        <rFont val="Calibri"/>
        <family val="2"/>
      </rPr>
      <t xml:space="preserve"> Expert Check</t>
    </r>
    <phoneticPr fontId="1" type="noConversion"/>
  </si>
  <si>
    <r>
      <rPr>
        <sz val="12"/>
        <color theme="1"/>
        <rFont val="微軟正黑體"/>
        <family val="2"/>
        <charset val="136"/>
      </rPr>
      <t>可於</t>
    </r>
    <r>
      <rPr>
        <sz val="12"/>
        <color theme="1"/>
        <rFont val="Calibri"/>
        <family val="2"/>
      </rPr>
      <t xml:space="preserve"> Rule </t>
    </r>
    <r>
      <rPr>
        <sz val="12"/>
        <color theme="1"/>
        <rFont val="微軟正黑體"/>
        <family val="2"/>
        <charset val="136"/>
      </rPr>
      <t>查閱錯誤資訊</t>
    </r>
    <r>
      <rPr>
        <sz val="12"/>
        <color theme="1"/>
        <rFont val="Calibri"/>
        <family val="2"/>
      </rPr>
      <t xml:space="preserve"> </t>
    </r>
    <phoneticPr fontId="1" type="noConversion"/>
  </si>
  <si>
    <r>
      <rPr>
        <sz val="12"/>
        <color rgb="FF9C0006"/>
        <rFont val="微軟正黑體"/>
        <family val="2"/>
        <charset val="136"/>
      </rPr>
      <t>注意事項</t>
    </r>
    <phoneticPr fontId="1" type="noConversion"/>
  </si>
  <si>
    <r>
      <rPr>
        <sz val="12"/>
        <color theme="1"/>
        <rFont val="微軟正黑體"/>
        <family val="2"/>
        <charset val="136"/>
      </rPr>
      <t>主筋</t>
    </r>
    <phoneticPr fontId="1" type="noConversion"/>
  </si>
  <si>
    <r>
      <t xml:space="preserve">(S), (E), (i) - check </t>
    </r>
    <r>
      <rPr>
        <sz val="12"/>
        <color rgb="FF006100"/>
        <rFont val="微軟正黑體"/>
        <family val="2"/>
        <charset val="136"/>
      </rPr>
      <t>結果</t>
    </r>
    <r>
      <rPr>
        <sz val="12"/>
        <color rgb="FF006100"/>
        <rFont val="Calibri"/>
        <family val="2"/>
      </rPr>
      <t xml:space="preserve"> ok</t>
    </r>
  </si>
  <si>
    <r>
      <rPr>
        <sz val="12"/>
        <color theme="1"/>
        <rFont val="微軟正黑體"/>
        <family val="2"/>
        <charset val="136"/>
      </rPr>
      <t>樓層</t>
    </r>
  </si>
  <si>
    <r>
      <rPr>
        <sz val="12"/>
        <color theme="1"/>
        <rFont val="微軟正黑體"/>
        <family val="2"/>
        <charset val="136"/>
      </rPr>
      <t>編號</t>
    </r>
  </si>
  <si>
    <r>
      <t>RC</t>
    </r>
    <r>
      <rPr>
        <sz val="12"/>
        <color theme="1"/>
        <rFont val="微軟正黑體"/>
        <family val="2"/>
        <charset val="136"/>
      </rPr>
      <t>梁寬</t>
    </r>
  </si>
  <si>
    <r>
      <t>RC</t>
    </r>
    <r>
      <rPr>
        <sz val="12"/>
        <color theme="1"/>
        <rFont val="微軟正黑體"/>
        <family val="2"/>
        <charset val="136"/>
      </rPr>
      <t>梁深</t>
    </r>
  </si>
  <si>
    <r>
      <rPr>
        <sz val="12"/>
        <color theme="1"/>
        <rFont val="微軟正黑體"/>
        <family val="2"/>
        <charset val="136"/>
      </rPr>
      <t>主筋</t>
    </r>
  </si>
  <si>
    <r>
      <rPr>
        <sz val="12"/>
        <color theme="1"/>
        <rFont val="微軟正黑體"/>
        <family val="2"/>
        <charset val="136"/>
      </rPr>
      <t>腰筋</t>
    </r>
  </si>
  <si>
    <r>
      <rPr>
        <sz val="12"/>
        <color theme="1"/>
        <rFont val="微軟正黑體"/>
        <family val="2"/>
        <charset val="136"/>
      </rPr>
      <t>箍筋</t>
    </r>
  </si>
  <si>
    <r>
      <rPr>
        <sz val="12"/>
        <color theme="1"/>
        <rFont val="微軟正黑體"/>
        <family val="2"/>
        <charset val="136"/>
      </rPr>
      <t>梁長</t>
    </r>
  </si>
  <si>
    <r>
      <rPr>
        <sz val="12"/>
        <color theme="1"/>
        <rFont val="微軟正黑體"/>
        <family val="2"/>
        <charset val="136"/>
      </rPr>
      <t>支承寬</t>
    </r>
  </si>
  <si>
    <r>
      <rPr>
        <sz val="12"/>
        <color theme="1"/>
        <rFont val="微軟正黑體"/>
        <family val="2"/>
        <charset val="136"/>
      </rPr>
      <t>上層</t>
    </r>
    <r>
      <rPr>
        <sz val="12"/>
        <color theme="1"/>
        <rFont val="Calibri"/>
        <family val="2"/>
      </rPr>
      <t xml:space="preserve"> </t>
    </r>
    <r>
      <rPr>
        <sz val="12"/>
        <color theme="1"/>
        <rFont val="微軟正黑體"/>
        <family val="2"/>
        <charset val="136"/>
      </rPr>
      <t>第一排</t>
    </r>
  </si>
  <si>
    <r>
      <rPr>
        <sz val="12"/>
        <color theme="1"/>
        <rFont val="微軟正黑體"/>
        <family val="2"/>
        <charset val="136"/>
      </rPr>
      <t>上層</t>
    </r>
    <r>
      <rPr>
        <sz val="12"/>
        <color theme="1"/>
        <rFont val="Calibri"/>
        <family val="2"/>
      </rPr>
      <t xml:space="preserve"> </t>
    </r>
    <r>
      <rPr>
        <sz val="12"/>
        <color theme="1"/>
        <rFont val="微軟正黑體"/>
        <family val="2"/>
        <charset val="136"/>
      </rPr>
      <t>第二排</t>
    </r>
  </si>
  <si>
    <r>
      <rPr>
        <sz val="12"/>
        <color theme="1"/>
        <rFont val="微軟正黑體"/>
        <family val="2"/>
        <charset val="136"/>
      </rPr>
      <t>端部</t>
    </r>
  </si>
  <si>
    <r>
      <rPr>
        <sz val="12"/>
        <color theme="1"/>
        <rFont val="微軟正黑體"/>
        <family val="2"/>
        <charset val="136"/>
      </rPr>
      <t>鋼筋尺寸</t>
    </r>
  </si>
  <si>
    <r>
      <rPr>
        <sz val="12"/>
        <color theme="1"/>
        <rFont val="微軟正黑體"/>
        <family val="2"/>
        <charset val="136"/>
      </rPr>
      <t>箍筋</t>
    </r>
    <phoneticPr fontId="1" type="noConversion"/>
  </si>
  <si>
    <r>
      <rPr>
        <sz val="12"/>
        <color theme="1"/>
        <rFont val="微軟正黑體"/>
        <family val="2"/>
        <charset val="136"/>
      </rPr>
      <t>小梁</t>
    </r>
    <phoneticPr fontId="1" type="noConversion"/>
  </si>
  <si>
    <r>
      <rPr>
        <sz val="12"/>
        <color theme="1"/>
        <rFont val="微軟正黑體"/>
        <family val="2"/>
        <charset val="136"/>
      </rPr>
      <t>腰筋</t>
    </r>
    <phoneticPr fontId="1" type="noConversion"/>
  </si>
  <si>
    <r>
      <rPr>
        <sz val="12"/>
        <color rgb="FF9C5700"/>
        <rFont val="微軟正黑體"/>
        <family val="2"/>
        <charset val="136"/>
      </rPr>
      <t>直徑（</t>
    </r>
    <r>
      <rPr>
        <sz val="12"/>
        <color rgb="FF9C5700"/>
        <rFont val="Calibri"/>
        <family val="2"/>
      </rPr>
      <t>cm</t>
    </r>
    <r>
      <rPr>
        <sz val="12"/>
        <color rgb="FF9C5700"/>
        <rFont val="微軟正黑體"/>
        <family val="2"/>
        <charset val="136"/>
      </rPr>
      <t>）</t>
    </r>
    <phoneticPr fontId="1" type="noConversion"/>
  </si>
  <si>
    <r>
      <rPr>
        <sz val="12"/>
        <color rgb="FF9C5700"/>
        <rFont val="微軟正黑體"/>
        <family val="2"/>
        <charset val="136"/>
      </rPr>
      <t>截面積（</t>
    </r>
    <r>
      <rPr>
        <sz val="12"/>
        <color rgb="FF9C5700"/>
        <rFont val="Calibri"/>
        <family val="2"/>
      </rPr>
      <t>cm²</t>
    </r>
    <r>
      <rPr>
        <sz val="12"/>
        <color rgb="FF9C5700"/>
        <rFont val="微軟正黑體"/>
        <family val="2"/>
        <charset val="136"/>
      </rPr>
      <t>）</t>
    </r>
    <phoneticPr fontId="1" type="noConversion"/>
  </si>
  <si>
    <r>
      <rPr>
        <b/>
        <sz val="14"/>
        <color theme="1"/>
        <rFont val="微軟正黑體"/>
        <family val="2"/>
        <charset val="136"/>
      </rPr>
      <t>地梁</t>
    </r>
    <phoneticPr fontId="1" type="noConversion"/>
  </si>
  <si>
    <r>
      <rPr>
        <sz val="12"/>
        <rFont val="微軟正黑體"/>
        <family val="2"/>
        <charset val="136"/>
      </rPr>
      <t>大地梁</t>
    </r>
    <phoneticPr fontId="1" type="noConversion"/>
  </si>
  <si>
    <r>
      <rPr>
        <sz val="12"/>
        <rFont val="微軟正黑體"/>
        <family val="2"/>
        <charset val="136"/>
      </rPr>
      <t>短梁側筋</t>
    </r>
    <phoneticPr fontId="1" type="noConversion"/>
  </si>
  <si>
    <r>
      <rPr>
        <sz val="12"/>
        <rFont val="微軟正黑體"/>
        <family val="2"/>
        <charset val="136"/>
      </rPr>
      <t>不少於</t>
    </r>
    <r>
      <rPr>
        <sz val="12"/>
        <rFont val="Calibri"/>
        <family val="2"/>
      </rPr>
      <t>0.0015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</si>
  <si>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</si>
  <si>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</si>
  <si>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短梁箍筋</t>
    </r>
    <phoneticPr fontId="1" type="noConversion"/>
  </si>
  <si>
    <r>
      <rPr>
        <sz val="12"/>
        <rFont val="微軟正黑體"/>
        <family val="2"/>
        <charset val="136"/>
      </rPr>
      <t>不少於</t>
    </r>
    <r>
      <rPr>
        <sz val="12"/>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</si>
  <si>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</si>
  <si>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</si>
  <si>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大地梁</t>
    </r>
    <phoneticPr fontId="1" type="noConversion"/>
  </si>
  <si>
    <r>
      <rPr>
        <sz val="12"/>
        <rFont val="微軟正黑體"/>
        <family val="2"/>
        <charset val="136"/>
      </rPr>
      <t>上層筋</t>
    </r>
    <phoneticPr fontId="1" type="noConversion"/>
  </si>
  <si>
    <r>
      <rPr>
        <sz val="12"/>
        <rFont val="微軟正黑體"/>
        <family val="2"/>
        <charset val="136"/>
      </rPr>
      <t>最小</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</si>
  <si>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</si>
  <si>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</si>
  <si>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上層筋</t>
    </r>
    <phoneticPr fontId="1" type="noConversion"/>
  </si>
  <si>
    <r>
      <rPr>
        <sz val="12"/>
        <rFont val="微軟正黑體"/>
        <family val="2"/>
        <charset val="136"/>
      </rPr>
      <t>最大</t>
    </r>
    <phoneticPr fontId="1" type="noConversion"/>
  </si>
  <si>
    <r>
      <rPr>
        <sz val="12"/>
        <rFont val="微軟正黑體"/>
        <family val="2"/>
        <charset val="136"/>
      </rPr>
      <t>不超過</t>
    </r>
    <r>
      <rPr>
        <sz val="12"/>
        <rFont val="Calibri"/>
        <family val="2"/>
      </rPr>
      <t>2%</t>
    </r>
    <phoneticPr fontId="1" type="noConversion"/>
  </si>
  <si>
    <r>
      <rPr>
        <sz val="12"/>
        <rFont val="微軟正黑體"/>
        <family val="2"/>
        <charset val="136"/>
      </rPr>
      <t>大地梁</t>
    </r>
    <phoneticPr fontId="1" type="noConversion"/>
  </si>
  <si>
    <r>
      <rPr>
        <sz val="12"/>
        <rFont val="微軟正黑體"/>
        <family val="2"/>
        <charset val="136"/>
      </rPr>
      <t>下層筋</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</si>
  <si>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</si>
  <si>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</si>
  <si>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下層筋</t>
    </r>
    <phoneticPr fontId="1" type="noConversion"/>
  </si>
  <si>
    <r>
      <rPr>
        <sz val="12"/>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</si>
  <si>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</si>
  <si>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rFont val="微軟正黑體"/>
        <family val="2"/>
        <charset val="136"/>
      </rPr>
      <t>中央部斷筋</t>
    </r>
    <phoneticPr fontId="1" type="noConversion"/>
  </si>
  <si>
    <r>
      <rPr>
        <sz val="12"/>
        <rFont val="微軟正黑體"/>
        <family val="2"/>
        <charset val="136"/>
      </rPr>
      <t>相較於端部</t>
    </r>
    <r>
      <rPr>
        <sz val="12"/>
        <rFont val="Calibri"/>
        <family val="2"/>
      </rPr>
      <t xml:space="preserve"> </t>
    </r>
    <r>
      <rPr>
        <sz val="12"/>
        <rFont val="微軟正黑體"/>
        <family val="2"/>
        <charset val="136"/>
      </rPr>
      <t>少於</t>
    </r>
    <r>
      <rPr>
        <sz val="12"/>
        <rFont val="Calibri"/>
        <family val="2"/>
      </rPr>
      <t xml:space="preserve">80% </t>
    </r>
    <phoneticPr fontId="1" type="noConversion"/>
  </si>
  <si>
    <r>
      <rPr>
        <sz val="12"/>
        <rFont val="微軟正黑體"/>
        <family val="2"/>
        <charset val="136"/>
      </rPr>
      <t>大地梁</t>
    </r>
    <phoneticPr fontId="1" type="noConversion"/>
  </si>
  <si>
    <r>
      <rPr>
        <sz val="12"/>
        <rFont val="微軟正黑體"/>
        <family val="2"/>
        <charset val="136"/>
      </rPr>
      <t>間距不大於</t>
    </r>
    <r>
      <rPr>
        <sz val="12"/>
        <rFont val="Calibri"/>
        <family val="2"/>
      </rPr>
      <t>30CM</t>
    </r>
    <phoneticPr fontId="1" type="noConversion"/>
  </si>
  <si>
    <r>
      <rPr>
        <sz val="12"/>
        <rFont val="微軟正黑體"/>
        <family val="2"/>
        <charset val="136"/>
      </rPr>
      <t>下限</t>
    </r>
    <phoneticPr fontId="1" type="noConversion"/>
  </si>
  <si>
    <r>
      <rPr>
        <sz val="12"/>
        <rFont val="微軟正黑體"/>
        <family val="2"/>
        <charset val="136"/>
      </rPr>
      <t>間距不小於</t>
    </r>
    <r>
      <rPr>
        <sz val="12"/>
        <rFont val="Calibri"/>
        <family val="2"/>
      </rPr>
      <t>10CM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</si>
  <si>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</si>
  <si>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邊梁</t>
    </r>
    <phoneticPr fontId="1" type="noConversion"/>
  </si>
  <si>
    <r>
      <rPr>
        <sz val="12"/>
        <rFont val="微軟正黑體"/>
        <family val="2"/>
        <charset val="136"/>
      </rPr>
      <t>主筋</t>
    </r>
    <phoneticPr fontId="1" type="noConversion"/>
  </si>
  <si>
    <r>
      <rPr>
        <sz val="12"/>
        <rFont val="微軟正黑體"/>
        <family val="2"/>
        <charset val="136"/>
      </rPr>
      <t>號數</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</si>
  <si>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</si>
  <si>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</si>
  <si>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邊梁</t>
    </r>
    <phoneticPr fontId="1" type="noConversion"/>
  </si>
  <si>
    <r>
      <rPr>
        <sz val="12"/>
        <rFont val="微軟正黑體"/>
        <family val="2"/>
        <charset val="136"/>
      </rPr>
      <t>主筋號數</t>
    </r>
    <phoneticPr fontId="1" type="noConversion"/>
  </si>
  <si>
    <r>
      <rPr>
        <sz val="12"/>
        <rFont val="微軟正黑體"/>
        <family val="2"/>
        <charset val="136"/>
      </rPr>
      <t>小地梁</t>
    </r>
    <phoneticPr fontId="1" type="noConversion"/>
  </si>
  <si>
    <r>
      <rPr>
        <sz val="12"/>
        <rFont val="微軟正黑體"/>
        <family val="2"/>
        <charset val="136"/>
      </rPr>
      <t>短梁側筋</t>
    </r>
    <phoneticPr fontId="1" type="noConversion"/>
  </si>
  <si>
    <r>
      <rPr>
        <sz val="12"/>
        <rFont val="微軟正黑體"/>
        <family val="2"/>
        <charset val="136"/>
      </rPr>
      <t>最大</t>
    </r>
    <phoneticPr fontId="1" type="noConversion"/>
  </si>
  <si>
    <r>
      <rPr>
        <sz val="12"/>
        <color theme="1"/>
        <rFont val="微軟正黑體"/>
        <family val="2"/>
        <charset val="136"/>
      </rPr>
      <t>小地梁</t>
    </r>
    <phoneticPr fontId="1" type="noConversion"/>
  </si>
  <si>
    <r>
      <rPr>
        <sz val="12"/>
        <color theme="1"/>
        <rFont val="微軟正黑體"/>
        <family val="2"/>
        <charset val="136"/>
      </rPr>
      <t>短梁箍筋</t>
    </r>
    <phoneticPr fontId="1" type="noConversion"/>
  </si>
  <si>
    <r>
      <rPr>
        <sz val="12"/>
        <color theme="1"/>
        <rFont val="微軟正黑體"/>
        <family val="2"/>
        <charset val="136"/>
      </rPr>
      <t>最小</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</si>
  <si>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</si>
  <si>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短梁箍筋</t>
    </r>
    <phoneticPr fontId="1" type="noConversion"/>
  </si>
  <si>
    <r>
      <rPr>
        <sz val="12"/>
        <color theme="1"/>
        <rFont val="微軟正黑體"/>
        <family val="2"/>
        <charset val="136"/>
      </rPr>
      <t>最大</t>
    </r>
    <phoneticPr fontId="1" type="noConversion"/>
  </si>
  <si>
    <r>
      <rPr>
        <sz val="12"/>
        <color theme="1"/>
        <rFont val="微軟正黑體"/>
        <family val="2"/>
        <charset val="136"/>
      </rPr>
      <t>不少於</t>
    </r>
    <r>
      <rPr>
        <sz val="12"/>
        <color theme="1"/>
        <rFont val="Calibri"/>
        <family val="2"/>
      </rPr>
      <t>0.0015</t>
    </r>
    <phoneticPr fontId="1" type="noConversion"/>
  </si>
  <si>
    <r>
      <rPr>
        <sz val="12"/>
        <color theme="1"/>
        <rFont val="微軟正黑體"/>
        <family val="2"/>
        <charset val="136"/>
      </rPr>
      <t>不少於</t>
    </r>
    <r>
      <rPr>
        <sz val="12"/>
        <color theme="1"/>
        <rFont val="Calibri"/>
        <family val="2"/>
      </rPr>
      <t>0.0015</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</si>
  <si>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</si>
  <si>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側筋</t>
    </r>
    <phoneticPr fontId="1" type="noConversion"/>
  </si>
  <si>
    <r>
      <rPr>
        <sz val="12"/>
        <color rgb="FFFF0000"/>
        <rFont val="微軟正黑體"/>
        <family val="2"/>
        <charset val="136"/>
      </rPr>
      <t>最小</t>
    </r>
    <phoneticPr fontId="1" type="noConversion"/>
  </si>
  <si>
    <r>
      <rPr>
        <sz val="12"/>
        <color rgb="FFFF0000"/>
        <rFont val="微軟正黑體"/>
        <family val="2"/>
        <charset val="136"/>
      </rPr>
      <t>不多於</t>
    </r>
    <r>
      <rPr>
        <sz val="12"/>
        <color rgb="FFFF0000"/>
        <rFont val="Calibri"/>
        <family val="2"/>
      </rPr>
      <t>0.0015*125%</t>
    </r>
    <phoneticPr fontId="1" type="noConversion"/>
  </si>
  <si>
    <r>
      <rPr>
        <sz val="12"/>
        <color theme="1"/>
        <rFont val="微軟正黑體"/>
        <family val="2"/>
        <charset val="136"/>
      </rPr>
      <t>間距不少於規範值下限</t>
    </r>
    <r>
      <rPr>
        <sz val="12"/>
        <color theme="1"/>
        <rFont val="Calibri"/>
        <family val="2"/>
      </rPr>
      <t>70%</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</si>
  <si>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</si>
  <si>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</si>
  <si>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不少於</t>
    </r>
    <r>
      <rPr>
        <sz val="12"/>
        <color rgb="FFFF0000"/>
        <rFont val="Calibri"/>
        <family val="2"/>
      </rPr>
      <t>0.0015</t>
    </r>
    <phoneticPr fontId="1" type="noConversion"/>
  </si>
  <si>
    <r>
      <rPr>
        <sz val="12"/>
        <color theme="1"/>
        <rFont val="微軟正黑體"/>
        <family val="2"/>
        <charset val="136"/>
      </rPr>
      <t>間距不大於</t>
    </r>
    <r>
      <rPr>
        <sz val="12"/>
        <color theme="1"/>
        <rFont val="Calibri"/>
        <family val="2"/>
      </rPr>
      <t>30CM</t>
    </r>
    <phoneticPr fontId="1" type="noConversion"/>
  </si>
  <si>
    <r>
      <rPr>
        <sz val="12"/>
        <color theme="1"/>
        <rFont val="微軟正黑體"/>
        <family val="2"/>
        <charset val="136"/>
      </rPr>
      <t>小地梁</t>
    </r>
    <phoneticPr fontId="1" type="noConversion"/>
  </si>
  <si>
    <r>
      <rPr>
        <sz val="12"/>
        <color theme="1"/>
        <rFont val="微軟正黑體"/>
        <family val="2"/>
        <charset val="136"/>
      </rPr>
      <t>上層筋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</si>
  <si>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</si>
  <si>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</si>
  <si>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上層筋</t>
    </r>
    <phoneticPr fontId="1" type="noConversion"/>
  </si>
  <si>
    <r>
      <rPr>
        <sz val="12"/>
        <color theme="1"/>
        <rFont val="微軟正黑體"/>
        <family val="2"/>
        <charset val="136"/>
      </rPr>
      <t>最大</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</si>
  <si>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</si>
  <si>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不超過</t>
    </r>
    <r>
      <rPr>
        <sz val="12"/>
        <color theme="1"/>
        <rFont val="Calibri"/>
        <family val="2"/>
      </rPr>
      <t>2%</t>
    </r>
    <phoneticPr fontId="1" type="noConversion"/>
  </si>
  <si>
    <r>
      <rPr>
        <sz val="12"/>
        <color rgb="FFFF0000"/>
        <rFont val="微軟正黑體"/>
        <family val="2"/>
        <charset val="136"/>
      </rPr>
      <t>上層筋</t>
    </r>
    <phoneticPr fontId="1" type="noConversion"/>
  </si>
  <si>
    <r>
      <rPr>
        <sz val="12"/>
        <color rgb="FFFF0000"/>
        <rFont val="微軟正黑體"/>
        <family val="2"/>
        <charset val="136"/>
      </rPr>
      <t>端部斷筋</t>
    </r>
    <phoneticPr fontId="1" type="noConversion"/>
  </si>
  <si>
    <r>
      <rPr>
        <sz val="12"/>
        <color rgb="FFFF0000"/>
        <rFont val="微軟正黑體"/>
        <family val="2"/>
        <charset val="136"/>
      </rPr>
      <t>相較於中央</t>
    </r>
    <r>
      <rPr>
        <sz val="12"/>
        <color rgb="FFFF0000"/>
        <rFont val="Calibri"/>
        <family val="2"/>
      </rPr>
      <t xml:space="preserve"> </t>
    </r>
    <r>
      <rPr>
        <sz val="12"/>
        <color rgb="FFFF0000"/>
        <rFont val="微軟正黑體"/>
        <family val="2"/>
        <charset val="136"/>
      </rPr>
      <t>少於</t>
    </r>
    <r>
      <rPr>
        <sz val="12"/>
        <color rgb="FFFF0000"/>
        <rFont val="Calibri"/>
        <family val="2"/>
      </rPr>
      <t>80%</t>
    </r>
    <phoneticPr fontId="1" type="noConversion"/>
  </si>
  <si>
    <r>
      <rPr>
        <sz val="12"/>
        <color theme="1"/>
        <rFont val="微軟正黑體"/>
        <family val="2"/>
        <charset val="136"/>
      </rPr>
      <t>相較於中央</t>
    </r>
    <r>
      <rPr>
        <sz val="12"/>
        <color theme="1"/>
        <rFont val="Calibri"/>
        <family val="2"/>
      </rPr>
      <t xml:space="preserve"> </t>
    </r>
    <r>
      <rPr>
        <sz val="12"/>
        <color theme="1"/>
        <rFont val="微軟正黑體"/>
        <family val="2"/>
        <charset val="136"/>
      </rPr>
      <t>少於</t>
    </r>
    <r>
      <rPr>
        <sz val="12"/>
        <color theme="1"/>
        <rFont val="Calibri"/>
        <family val="2"/>
      </rPr>
      <t>80%</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</si>
  <si>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</si>
  <si>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</si>
  <si>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</si>
  <si>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</si>
  <si>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</si>
  <si>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</si>
  <si>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中央部斷筋</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</si>
  <si>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</si>
  <si>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</si>
  <si>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</si>
  <si>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</si>
  <si>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rgb="FFFF0000"/>
        <rFont val="微軟正黑體"/>
        <family val="2"/>
        <charset val="136"/>
      </rPr>
      <t>短梁</t>
    </r>
    <phoneticPr fontId="1" type="noConversion"/>
  </si>
  <si>
    <r>
      <rPr>
        <sz val="12"/>
        <color rgb="FFFF0000"/>
        <rFont val="微軟正黑體"/>
        <family val="2"/>
        <charset val="136"/>
      </rPr>
      <t>請確認是否為深梁</t>
    </r>
  </si>
  <si>
    <r>
      <rPr>
        <sz val="12"/>
        <color rgb="FFFF0000"/>
        <rFont val="微軟正黑體"/>
        <family val="2"/>
        <charset val="136"/>
      </rPr>
      <t>梁上柱</t>
    </r>
    <phoneticPr fontId="1" type="noConversion"/>
  </si>
  <si>
    <r>
      <rPr>
        <sz val="12"/>
        <color rgb="FFFF0000"/>
        <rFont val="微軟正黑體"/>
        <family val="2"/>
        <charset val="136"/>
      </rPr>
      <t>有或無</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</si>
  <si>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</si>
  <si>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</si>
  <si>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</si>
  <si>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</si>
  <si>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上限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</si>
  <si>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</si>
  <si>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</si>
  <si>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</si>
  <si>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</si>
  <si>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上限</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</si>
  <si>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</si>
  <si>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</si>
  <si>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</si>
  <si>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</si>
  <si>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</si>
  <si>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</si>
  <si>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</si>
  <si>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</si>
  <si>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</si>
  <si>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</si>
  <si>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相對鋼筋量</t>
    </r>
    <phoneticPr fontId="1" type="noConversion"/>
  </si>
  <si>
    <r>
      <rPr>
        <sz val="12"/>
        <color theme="1"/>
        <rFont val="微軟正黑體"/>
        <family val="2"/>
        <charset val="136"/>
      </rPr>
      <t>不多於端部小值</t>
    </r>
    <r>
      <rPr>
        <sz val="12"/>
        <color theme="1"/>
        <rFont val="Calibri"/>
        <family val="2"/>
      </rPr>
      <t>80%</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</si>
  <si>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</si>
  <si>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最小</t>
    </r>
  </si>
  <si>
    <r>
      <rPr>
        <sz val="12"/>
        <color theme="1"/>
        <rFont val="微軟正黑體"/>
        <family val="2"/>
        <charset val="136"/>
      </rPr>
      <t>不低於</t>
    </r>
    <r>
      <rPr>
        <sz val="12"/>
        <color theme="1"/>
        <rFont val="Calibri"/>
        <family val="2"/>
      </rPr>
      <t>14/fy</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</si>
  <si>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中央上層筋下限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</si>
  <si>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上限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</si>
  <si>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</si>
  <si>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主筋比</t>
    </r>
  </si>
  <si>
    <r>
      <rPr>
        <sz val="12"/>
        <color rgb="FFFF0000"/>
        <rFont val="微軟正黑體"/>
        <family val="2"/>
        <charset val="136"/>
      </rPr>
      <t>左端</t>
    </r>
  </si>
  <si>
    <r>
      <rPr>
        <sz val="12"/>
        <color rgb="FFFF0000"/>
        <rFont val="微軟正黑體"/>
        <family val="2"/>
        <charset val="136"/>
      </rPr>
      <t>上層筋</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</si>
  <si>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</si>
  <si>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</si>
  <si>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theme="1"/>
        <rFont val="微軟正黑體"/>
        <family val="2"/>
        <charset val="136"/>
      </rPr>
      <t>下限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</si>
  <si>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</si>
  <si>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</si>
  <si>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</si>
  <si>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rgb="FFFF0000"/>
        <rFont val="微軟正黑體"/>
        <family val="2"/>
        <charset val="136"/>
      </rPr>
      <t>右端</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</si>
  <si>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</si>
  <si>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</si>
  <si>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</si>
  <si>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</si>
  <si>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</si>
  <si>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</si>
  <si>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theme="1"/>
        <rFont val="微軟正黑體"/>
        <family val="2"/>
        <charset val="136"/>
      </rPr>
      <t>上限</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</si>
  <si>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</si>
  <si>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</si>
  <si>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下層筋</t>
    </r>
  </si>
  <si>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</si>
  <si>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</si>
  <si>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rgb="FFFF0000"/>
        <rFont val="微軟正黑體"/>
        <family val="2"/>
        <charset val="136"/>
      </rPr>
      <t>中央</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</si>
  <si>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</si>
  <si>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</si>
  <si>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rgb="FFFF0000"/>
        <rFont val="微軟正黑體"/>
        <family val="2"/>
        <charset val="136"/>
      </rPr>
      <t>相對鋼筋量</t>
    </r>
    <phoneticPr fontId="1" type="noConversion"/>
  </si>
  <si>
    <r>
      <rPr>
        <sz val="12"/>
        <color rgb="FFFF0000"/>
        <rFont val="微軟正黑體"/>
        <family val="2"/>
        <charset val="136"/>
      </rPr>
      <t>不多於端部小值</t>
    </r>
    <r>
      <rPr>
        <sz val="12"/>
        <color rgb="FFFF0000"/>
        <rFont val="Calibri"/>
        <family val="2"/>
      </rPr>
      <t>80%</t>
    </r>
    <phoneticPr fontId="1" type="noConversion"/>
  </si>
  <si>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</si>
  <si>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</si>
  <si>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</si>
  <si>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最大</t>
    </r>
    <phoneticPr fontId="1" type="noConversion"/>
  </si>
  <si>
    <r>
      <rPr>
        <sz val="12"/>
        <color theme="1"/>
        <rFont val="微軟正黑體"/>
        <family val="2"/>
        <charset val="136"/>
      </rPr>
      <t>淨距不少於</t>
    </r>
    <r>
      <rPr>
        <sz val="12"/>
        <color theme="1"/>
        <rFont val="Calibri"/>
        <family val="2"/>
      </rPr>
      <t>1db</t>
    </r>
    <phoneticPr fontId="1" type="noConversion"/>
  </si>
  <si>
    <r>
      <rPr>
        <sz val="12"/>
        <color theme="1"/>
        <rFont val="微軟正黑體"/>
        <family val="2"/>
        <charset val="136"/>
      </rPr>
      <t>箍筋間距</t>
    </r>
  </si>
  <si>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</si>
  <si>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</si>
  <si>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</si>
  <si>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</si>
  <si>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</si>
  <si>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剪力鋼筋量</t>
    </r>
  </si>
  <si>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</si>
  <si>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</si>
  <si>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</si>
  <si>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rgb="FFFF0000"/>
        <rFont val="微軟正黑體"/>
        <family val="2"/>
        <charset val="136"/>
      </rPr>
      <t>主筋比</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</si>
  <si>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</si>
  <si>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 xml:space="preserve"> 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</si>
  <si>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</si>
  <si>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</si>
  <si>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</si>
  <si>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</si>
  <si>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</si>
  <si>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</si>
  <si>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</si>
  <si>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</si>
  <si>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單排支數上限</t>
    </r>
    <r>
      <rPr>
        <sz val="12"/>
        <color theme="1"/>
        <rFont val="Calibri"/>
        <family val="2"/>
      </rPr>
      <t xml:space="preserve"> </t>
    </r>
    <r>
      <rPr>
        <sz val="12"/>
        <color theme="1"/>
        <rFont val="微軟正黑體"/>
        <family val="2"/>
        <charset val="136"/>
      </rPr>
      <t>規定</t>
    </r>
  </si>
  <si>
    <r>
      <rPr>
        <sz val="12"/>
        <color theme="1"/>
        <rFont val="微軟正黑體"/>
        <family val="2"/>
        <charset val="136"/>
      </rPr>
      <t>載重預警</t>
    </r>
    <phoneticPr fontId="1" type="noConversion"/>
  </si>
  <si>
    <r>
      <rPr>
        <sz val="12"/>
        <color theme="1"/>
        <rFont val="微軟正黑體"/>
        <family val="2"/>
        <charset val="136"/>
      </rPr>
      <t>長跨配筋太少</t>
    </r>
    <phoneticPr fontId="1" type="noConversion"/>
  </si>
  <si>
    <r>
      <rPr>
        <sz val="12"/>
        <color theme="1"/>
        <rFont val="微軟正黑體"/>
        <family val="2"/>
        <charset val="136"/>
      </rPr>
      <t>假設帶寬</t>
    </r>
    <r>
      <rPr>
        <sz val="12"/>
        <color theme="1"/>
        <rFont val="Calibri"/>
        <family val="2"/>
      </rPr>
      <t>3M , 1/8wuL^2 &lt;= 10/6*Asfyd</t>
    </r>
    <phoneticPr fontId="1" type="noConversion"/>
  </si>
  <si>
    <r>
      <rPr>
        <sz val="12"/>
        <color theme="1"/>
        <rFont val="微軟正黑體"/>
        <family val="2"/>
        <charset val="136"/>
      </rPr>
      <t>垂直載重配筋可能不足</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</si>
  <si>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</si>
  <si>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</si>
  <si>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左端下層筋下限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</si>
  <si>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右端下層筋下限</t>
    </r>
    <r>
      <rPr>
        <sz val="12"/>
        <color theme="1"/>
        <rFont val="Calibri"/>
        <family val="2"/>
      </rPr>
      <t xml:space="preserve"> </t>
    </r>
    <r>
      <rPr>
        <sz val="12"/>
        <color theme="1"/>
        <rFont val="微軟正黑體"/>
        <family val="2"/>
        <charset val="136"/>
      </rPr>
      <t>規定</t>
    </r>
  </si>
  <si>
    <r>
      <t xml:space="preserve"> </t>
    </r>
    <r>
      <rPr>
        <sz val="12"/>
        <color theme="1"/>
        <rFont val="微軟正黑體"/>
        <family val="2"/>
        <charset val="136"/>
      </rPr>
      <t>規定</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</si>
  <si>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</si>
  <si>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</si>
  <si>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b/>
        <sz val="14"/>
        <color theme="1"/>
        <rFont val="微軟正黑體"/>
        <family val="2"/>
        <charset val="136"/>
      </rPr>
      <t>高樓柱</t>
    </r>
    <phoneticPr fontId="1" type="noConversion"/>
  </si>
  <si>
    <r>
      <rPr>
        <sz val="12"/>
        <color theme="1"/>
        <rFont val="微軟正黑體"/>
        <family val="2"/>
        <charset val="136"/>
      </rPr>
      <t>標準層</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</si>
  <si>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</si>
  <si>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下限</t>
    </r>
    <phoneticPr fontId="1" type="noConversion"/>
  </si>
  <si>
    <r>
      <rPr>
        <sz val="12"/>
        <color theme="1"/>
        <rFont val="微軟正黑體"/>
        <family val="2"/>
        <charset val="136"/>
      </rPr>
      <t>標準層</t>
    </r>
    <phoneticPr fontId="1" type="noConversion"/>
  </si>
  <si>
    <r>
      <rPr>
        <sz val="12"/>
        <color theme="1"/>
        <rFont val="微軟正黑體"/>
        <family val="2"/>
        <charset val="136"/>
      </rPr>
      <t>鋼筋比</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</si>
  <si>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</si>
  <si>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</si>
  <si>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1F</t>
    </r>
    <r>
      <rPr>
        <sz val="12"/>
        <color theme="1"/>
        <rFont val="微軟正黑體"/>
        <family val="2"/>
        <charset val="136"/>
      </rPr>
      <t>層</t>
    </r>
    <phoneticPr fontId="1" type="noConversion"/>
  </si>
  <si>
    <r>
      <rPr>
        <sz val="12"/>
        <color theme="1"/>
        <rFont val="微軟正黑體"/>
        <family val="2"/>
        <charset val="136"/>
      </rPr>
      <t>尺寸是否過大</t>
    </r>
    <phoneticPr fontId="1" type="noConversion"/>
  </si>
  <si>
    <r>
      <rPr>
        <sz val="12"/>
        <color theme="1"/>
        <rFont val="微軟正黑體"/>
        <family val="2"/>
        <charset val="136"/>
      </rPr>
      <t>不低於</t>
    </r>
    <r>
      <rPr>
        <sz val="12"/>
        <color theme="1"/>
        <rFont val="Calibri"/>
        <family val="2"/>
      </rPr>
      <t>2%</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</si>
  <si>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</si>
  <si>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鋼筋比</t>
    </r>
    <phoneticPr fontId="1" type="noConversion"/>
  </si>
  <si>
    <r>
      <t>1F</t>
    </r>
    <r>
      <rPr>
        <sz val="12"/>
        <color theme="1"/>
        <rFont val="微軟正黑體"/>
        <family val="2"/>
        <charset val="136"/>
      </rPr>
      <t>層</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</si>
  <si>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</si>
  <si>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最低</t>
    </r>
    <r>
      <rPr>
        <sz val="12"/>
        <color theme="1"/>
        <rFont val="Calibri"/>
        <family val="2"/>
      </rPr>
      <t>1/3</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</si>
  <si>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</si>
  <si>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1.5%</t>
    </r>
    <phoneticPr fontId="1" type="noConversion"/>
  </si>
  <si>
    <r>
      <rPr>
        <sz val="12"/>
        <color theme="1"/>
        <rFont val="微軟正黑體"/>
        <family val="2"/>
        <charset val="136"/>
      </rPr>
      <t>最低</t>
    </r>
    <r>
      <rPr>
        <sz val="12"/>
        <color theme="1"/>
        <rFont val="Calibri"/>
        <family val="2"/>
      </rPr>
      <t>1/4</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</si>
  <si>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</si>
  <si>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</si>
  <si>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最低</t>
    </r>
    <r>
      <rPr>
        <sz val="12"/>
        <color theme="1"/>
        <rFont val="Calibri"/>
        <family val="2"/>
      </rPr>
      <t>1/5</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</si>
  <si>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</si>
  <si>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各層各柱</t>
    </r>
    <phoneticPr fontId="1" type="noConversion"/>
  </si>
  <si>
    <r>
      <rPr>
        <sz val="12"/>
        <color theme="1"/>
        <rFont val="微軟正黑體"/>
        <family val="2"/>
        <charset val="136"/>
      </rPr>
      <t>上層柱主筋量漸縮是否過大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</si>
  <si>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</si>
  <si>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</si>
  <si>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</si>
  <si>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</si>
  <si>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本層柱主筋量漸縮是否過大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</si>
  <si>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</si>
  <si>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往下是否有變化</t>
    </r>
    <phoneticPr fontId="1" type="noConversion"/>
  </si>
  <si>
    <r>
      <rPr>
        <sz val="12"/>
        <color theme="1"/>
        <rFont val="微軟正黑體"/>
        <family val="2"/>
        <charset val="136"/>
      </rPr>
      <t>不高於</t>
    </r>
    <r>
      <rPr>
        <sz val="12"/>
        <color theme="1"/>
        <rFont val="Calibri"/>
        <family val="2"/>
      </rPr>
      <t>90%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</si>
  <si>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</si>
  <si>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下層柱主筋量是否配置過多</t>
    </r>
    <phoneticPr fontId="1" type="noConversion"/>
  </si>
  <si>
    <r>
      <rPr>
        <sz val="12"/>
        <color theme="1"/>
        <rFont val="微軟正黑體"/>
        <family val="2"/>
        <charset val="136"/>
      </rPr>
      <t>各層各柱</t>
    </r>
    <phoneticPr fontId="1" type="noConversion"/>
  </si>
  <si>
    <r>
      <rPr>
        <sz val="12"/>
        <color theme="1"/>
        <rFont val="微軟正黑體"/>
        <family val="2"/>
        <charset val="136"/>
      </rPr>
      <t>箍筋比</t>
    </r>
    <phoneticPr fontId="1" type="noConversion"/>
  </si>
  <si>
    <r>
      <rPr>
        <sz val="12"/>
        <color theme="1"/>
        <rFont val="微軟正黑體"/>
        <family val="2"/>
        <charset val="136"/>
      </rPr>
      <t>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</si>
  <si>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</si>
  <si>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箍筋比</t>
    </r>
    <phoneticPr fontId="1" type="noConversion"/>
  </si>
  <si>
    <r>
      <rPr>
        <sz val="12"/>
        <color theme="1"/>
        <rFont val="微軟正黑體"/>
        <family val="2"/>
        <charset val="136"/>
      </rPr>
      <t>非圍束段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</si>
  <si>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</si>
  <si>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各層各柱</t>
    </r>
    <phoneticPr fontId="1" type="noConversion"/>
  </si>
  <si>
    <r>
      <rPr>
        <sz val="12"/>
        <color theme="1"/>
        <rFont val="微軟正黑體"/>
        <family val="2"/>
        <charset val="136"/>
      </rPr>
      <t>間距不超過</t>
    </r>
    <r>
      <rPr>
        <sz val="12"/>
        <color theme="1"/>
        <rFont val="Calibri"/>
        <family val="2"/>
      </rPr>
      <t>10CM</t>
    </r>
    <phoneticPr fontId="1" type="noConversion"/>
  </si>
  <si>
    <r>
      <rPr>
        <sz val="12"/>
        <color theme="1"/>
        <rFont val="微軟正黑體"/>
        <family val="2"/>
        <charset val="136"/>
      </rPr>
      <t>繫筋</t>
    </r>
    <phoneticPr fontId="1" type="noConversion"/>
  </si>
  <si>
    <r>
      <rPr>
        <sz val="12"/>
        <color theme="1"/>
        <rFont val="微軟正黑體"/>
        <family val="2"/>
        <charset val="136"/>
      </rPr>
      <t>隔根勾</t>
    </r>
    <phoneticPr fontId="1" type="noConversion"/>
  </si>
  <si>
    <r>
      <rPr>
        <sz val="12"/>
        <color theme="1"/>
        <rFont val="微軟正黑體"/>
        <family val="2"/>
        <charset val="136"/>
      </rPr>
      <t>支數不少於隔根勾所需支數</t>
    </r>
    <phoneticPr fontId="1" type="noConversion"/>
  </si>
  <si>
    <r>
      <rPr>
        <sz val="12"/>
        <color theme="1"/>
        <rFont val="微軟正黑體"/>
        <family val="2"/>
        <charset val="136"/>
      </rPr>
      <t>梁柱接頭施作性</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</si>
  <si>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</si>
  <si>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</si>
  <si>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上限</t>
    </r>
    <phoneticPr fontId="1" type="noConversion"/>
  </si>
  <si>
    <r>
      <rPr>
        <sz val="12"/>
        <color theme="1"/>
        <rFont val="微軟正黑體"/>
        <family val="2"/>
        <charset val="136"/>
      </rPr>
      <t>牆中柱</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</si>
  <si>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</si>
  <si>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</si>
  <si>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</si>
  <si>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箍筋比</t>
    </r>
    <phoneticPr fontId="1" type="noConversion"/>
  </si>
  <si>
    <r>
      <rPr>
        <sz val="12"/>
        <color theme="1"/>
        <rFont val="微軟正黑體"/>
        <family val="2"/>
        <charset val="136"/>
      </rPr>
      <t>牆中柱</t>
    </r>
    <phoneticPr fontId="1" type="noConversion"/>
  </si>
  <si>
    <r>
      <rPr>
        <sz val="12"/>
        <color theme="1"/>
        <rFont val="微軟正黑體"/>
        <family val="2"/>
        <charset val="136"/>
      </rPr>
      <t>箍筋比</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</si>
  <si>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</si>
  <si>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</si>
  <si>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各層</t>
    </r>
    <phoneticPr fontId="1" type="noConversion"/>
  </si>
  <si>
    <r>
      <rPr>
        <sz val="12"/>
        <color theme="1"/>
        <rFont val="微軟正黑體"/>
        <family val="2"/>
        <charset val="136"/>
      </rPr>
      <t>間距</t>
    </r>
    <phoneticPr fontId="1" type="noConversion"/>
  </si>
  <si>
    <r>
      <rPr>
        <sz val="12"/>
        <color theme="1"/>
        <rFont val="微軟正黑體"/>
        <family val="2"/>
        <charset val="136"/>
      </rPr>
      <t>最小</t>
    </r>
    <phoneticPr fontId="1" type="noConversion"/>
  </si>
  <si>
    <r>
      <rPr>
        <sz val="12"/>
        <color theme="1"/>
        <rFont val="微軟正黑體"/>
        <family val="2"/>
        <charset val="136"/>
      </rPr>
      <t>不小於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</si>
  <si>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</si>
  <si>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</si>
  <si>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各層</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</si>
  <si>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</si>
  <si>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</si>
  <si>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</si>
  <si>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各層</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</si>
  <si>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</si>
  <si>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</si>
  <si>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號數</t>
    </r>
    <phoneticPr fontId="1" type="noConversion"/>
  </si>
  <si>
    <r>
      <rPr>
        <sz val="12"/>
        <color theme="1"/>
        <rFont val="微軟正黑體"/>
        <family val="2"/>
        <charset val="136"/>
      </rPr>
      <t>不小於</t>
    </r>
    <r>
      <rPr>
        <sz val="12"/>
        <color theme="1"/>
        <rFont val="Calibri"/>
        <family val="2"/>
      </rPr>
      <t>#4</t>
    </r>
    <phoneticPr fontId="1" type="noConversion"/>
  </si>
  <si>
    <r>
      <rPr>
        <sz val="12"/>
        <color theme="1"/>
        <rFont val="微軟正黑體"/>
        <family val="2"/>
        <charset val="136"/>
      </rPr>
      <t>不大於</t>
    </r>
    <r>
      <rPr>
        <sz val="12"/>
        <color theme="1"/>
        <rFont val="Calibri"/>
        <family val="2"/>
      </rPr>
      <t>#5</t>
    </r>
    <phoneticPr fontId="1" type="noConversion"/>
  </si>
  <si>
    <r>
      <rPr>
        <sz val="12"/>
        <color theme="1"/>
        <rFont val="微軟正黑體"/>
        <family val="2"/>
        <charset val="136"/>
      </rPr>
      <t>不小於</t>
    </r>
    <r>
      <rPr>
        <sz val="12"/>
        <color theme="1"/>
        <rFont val="Calibri"/>
        <family val="2"/>
      </rPr>
      <t>10cm</t>
    </r>
    <phoneticPr fontId="1" type="noConversion"/>
  </si>
  <si>
    <r>
      <t>1F</t>
    </r>
    <r>
      <rPr>
        <sz val="12"/>
        <color theme="1"/>
        <rFont val="微軟正黑體"/>
        <family val="2"/>
        <charset val="136"/>
      </rPr>
      <t>層</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</si>
  <si>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</si>
  <si>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20cm</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</si>
  <si>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</si>
  <si>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</si>
  <si>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</si>
  <si>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</si>
  <si>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b/>
        <sz val="14"/>
        <color theme="1"/>
        <rFont val="微軟正黑體"/>
        <family val="2"/>
        <charset val="136"/>
      </rPr>
      <t>筏基版</t>
    </r>
    <phoneticPr fontId="1" type="noConversion"/>
  </si>
  <si>
    <r>
      <rPr>
        <sz val="12"/>
        <color theme="1"/>
        <rFont val="微軟正黑體"/>
        <family val="2"/>
        <charset val="136"/>
      </rPr>
      <t>上層筋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</si>
  <si>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</si>
  <si>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</si>
  <si>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</si>
  <si>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</si>
  <si>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</si>
  <si>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</si>
  <si>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</si>
  <si>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</si>
  <si>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</si>
  <si>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sz val="12"/>
        <color theme="1"/>
        <rFont val="微軟正黑體"/>
        <family val="2"/>
        <charset val="136"/>
      </rPr>
      <t>是否有斷筋</t>
    </r>
  </si>
  <si>
    <r>
      <rPr>
        <sz val="12"/>
        <color rgb="FFFF0000"/>
        <rFont val="微軟正黑體"/>
        <family val="2"/>
        <charset val="136"/>
      </rPr>
      <t>下層筋</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</si>
  <si>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</si>
  <si>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</si>
  <si>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</si>
  <si>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b/>
        <sz val="14"/>
        <color theme="1"/>
        <rFont val="微軟正黑體"/>
        <family val="2"/>
        <charset val="136"/>
      </rPr>
      <t>基腳版</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</si>
  <si>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</si>
  <si>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</si>
  <si>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</si>
  <si>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</si>
  <si>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</si>
  <si>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有或無</t>
    </r>
    <phoneticPr fontId="1" type="noConversion"/>
  </si>
  <si>
    <r>
      <rPr>
        <sz val="12"/>
        <color theme="1"/>
        <rFont val="微軟正黑體"/>
        <family val="2"/>
        <charset val="136"/>
      </rPr>
      <t>基腳超過</t>
    </r>
    <r>
      <rPr>
        <sz val="12"/>
        <color theme="1"/>
        <rFont val="Calibri"/>
        <family val="2"/>
      </rPr>
      <t xml:space="preserve">3m </t>
    </r>
    <r>
      <rPr>
        <sz val="12"/>
        <color theme="1"/>
        <rFont val="微軟正黑體"/>
        <family val="2"/>
        <charset val="136"/>
      </rPr>
      <t>非單一配筋</t>
    </r>
    <phoneticPr fontId="1" type="noConversion"/>
  </si>
  <si>
    <r>
      <rPr>
        <sz val="12"/>
        <color theme="1"/>
        <rFont val="微軟正黑體"/>
        <family val="2"/>
        <charset val="136"/>
      </rPr>
      <t>相對鋼筋量</t>
    </r>
    <phoneticPr fontId="1" type="noConversion"/>
  </si>
  <si>
    <r>
      <rPr>
        <sz val="12"/>
        <color theme="1"/>
        <rFont val="微軟正黑體"/>
        <family val="2"/>
        <charset val="136"/>
      </rPr>
      <t>相較於下層筋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</si>
  <si>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</si>
  <si>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b/>
        <sz val="14"/>
        <color theme="1"/>
        <rFont val="微軟正黑體"/>
        <family val="2"/>
        <charset val="136"/>
      </rPr>
      <t>地下室外牆</t>
    </r>
    <phoneticPr fontId="1" type="noConversion"/>
  </si>
  <si>
    <r>
      <rPr>
        <sz val="12"/>
        <color theme="1"/>
        <rFont val="微軟正黑體"/>
        <family val="2"/>
        <charset val="136"/>
      </rPr>
      <t>地下室各層</t>
    </r>
    <phoneticPr fontId="1" type="noConversion"/>
  </si>
  <si>
    <r>
      <rPr>
        <sz val="12"/>
        <color theme="1"/>
        <rFont val="微軟正黑體"/>
        <family val="2"/>
        <charset val="136"/>
      </rPr>
      <t>外側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</si>
  <si>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</si>
  <si>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</si>
  <si>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</si>
  <si>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</si>
  <si>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地下室各層</t>
    </r>
    <phoneticPr fontId="1" type="noConversion"/>
  </si>
  <si>
    <r>
      <rPr>
        <sz val="12"/>
        <color rgb="FFFF0000"/>
        <rFont val="微軟正黑體"/>
        <family val="2"/>
        <charset val="136"/>
      </rPr>
      <t>內側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</si>
  <si>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</si>
  <si>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</si>
  <si>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</si>
  <si>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</si>
  <si>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下限</t>
    </r>
    <phoneticPr fontId="1" type="noConversion"/>
  </si>
  <si>
    <r>
      <rPr>
        <sz val="12"/>
        <color theme="1"/>
        <rFont val="微軟正黑體"/>
        <family val="2"/>
        <charset val="136"/>
      </rPr>
      <t>外側</t>
    </r>
    <phoneticPr fontId="1" type="noConversion"/>
  </si>
  <si>
    <r>
      <rPr>
        <sz val="12"/>
        <color theme="1"/>
        <rFont val="微軟正黑體"/>
        <family val="2"/>
        <charset val="136"/>
      </rPr>
      <t>上限</t>
    </r>
    <phoneticPr fontId="1" type="noConversion"/>
  </si>
  <si>
    <r>
      <rPr>
        <sz val="12"/>
        <color theme="1"/>
        <rFont val="微軟正黑體"/>
        <family val="2"/>
        <charset val="136"/>
      </rPr>
      <t>地下室各層</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</si>
  <si>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</si>
  <si>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</si>
  <si>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地下室各層</t>
    </r>
    <phoneticPr fontId="1" type="noConversion"/>
  </si>
  <si>
    <r>
      <rPr>
        <sz val="12"/>
        <color theme="1"/>
        <rFont val="微軟正黑體"/>
        <family val="2"/>
        <charset val="136"/>
      </rPr>
      <t>垂直筋</t>
    </r>
    <phoneticPr fontId="1" type="noConversion"/>
  </si>
  <si>
    <r>
      <rPr>
        <sz val="12"/>
        <color theme="1"/>
        <rFont val="微軟正黑體"/>
        <family val="2"/>
        <charset val="136"/>
      </rPr>
      <t>鋼筋量</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</si>
  <si>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</si>
  <si>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</si>
  <si>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rgb="FFFF0000"/>
        <rFont val="微軟正黑體"/>
        <family val="2"/>
        <charset val="136"/>
      </rPr>
      <t>內側</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</si>
  <si>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</si>
  <si>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</si>
  <si>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b/>
        <sz val="14"/>
        <color theme="1"/>
        <rFont val="微軟正黑體"/>
        <family val="2"/>
        <charset val="136"/>
      </rPr>
      <t>剪力牆</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</si>
  <si>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</si>
  <si>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</si>
  <si>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</si>
  <si>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</si>
  <si>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</si>
  <si>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垂直筋</t>
    </r>
    <phoneticPr fontId="1" type="noConversion"/>
  </si>
  <si>
    <r>
      <rPr>
        <sz val="12"/>
        <color theme="1"/>
        <rFont val="微軟正黑體"/>
        <family val="2"/>
        <charset val="136"/>
      </rPr>
      <t>水平筋</t>
    </r>
    <phoneticPr fontId="1" type="noConversion"/>
  </si>
  <si>
    <r>
      <rPr>
        <sz val="12"/>
        <color theme="1"/>
        <rFont val="微軟正黑體"/>
        <family val="2"/>
        <charset val="136"/>
      </rPr>
      <t>間距</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</si>
  <si>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</si>
  <si>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鋼筋量</t>
    </r>
    <phoneticPr fontId="1" type="noConversion"/>
  </si>
  <si>
    <r>
      <rPr>
        <sz val="12"/>
        <color theme="1"/>
        <rFont val="微軟正黑體"/>
        <family val="2"/>
        <charset val="136"/>
      </rPr>
      <t>拐頭</t>
    </r>
    <phoneticPr fontId="1" type="noConversion"/>
  </si>
  <si>
    <r>
      <rPr>
        <sz val="12"/>
        <color theme="1"/>
        <rFont val="微軟正黑體"/>
        <family val="2"/>
        <charset val="136"/>
      </rPr>
      <t>主筋量</t>
    </r>
    <phoneticPr fontId="1" type="noConversion"/>
  </si>
  <si>
    <r>
      <rPr>
        <sz val="12"/>
        <color theme="1"/>
        <rFont val="微軟正黑體"/>
        <family val="2"/>
        <charset val="136"/>
      </rPr>
      <t>不少於</t>
    </r>
    <r>
      <rPr>
        <sz val="12"/>
        <color theme="1"/>
        <rFont val="Calibri"/>
        <family val="2"/>
      </rPr>
      <t>1%</t>
    </r>
    <phoneticPr fontId="1" type="noConversion"/>
  </si>
  <si>
    <r>
      <rPr>
        <sz val="12"/>
        <color theme="1"/>
        <rFont val="微軟正黑體"/>
        <family val="2"/>
        <charset val="136"/>
      </rPr>
      <t>主筋量</t>
    </r>
    <phoneticPr fontId="1" type="noConversion"/>
  </si>
  <si>
    <r>
      <rPr>
        <sz val="12"/>
        <color theme="1"/>
        <rFont val="微軟正黑體"/>
        <family val="2"/>
        <charset val="136"/>
      </rPr>
      <t>不多於</t>
    </r>
    <r>
      <rPr>
        <sz val="12"/>
        <color theme="1"/>
        <rFont val="Calibri"/>
        <family val="2"/>
      </rPr>
      <t>4%</t>
    </r>
    <phoneticPr fontId="1" type="noConversion"/>
  </si>
  <si>
    <r>
      <rPr>
        <b/>
        <sz val="14"/>
        <color theme="1"/>
        <rFont val="微軟正黑體"/>
        <family val="2"/>
        <charset val="136"/>
      </rPr>
      <t>連續壁</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</si>
  <si>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</si>
  <si>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</si>
  <si>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1/20 </t>
    </r>
    <r>
      <rPr>
        <sz val="12"/>
        <color theme="1"/>
        <rFont val="微軟正黑體"/>
        <family val="2"/>
        <charset val="136"/>
      </rPr>
      <t>深度</t>
    </r>
    <r>
      <rPr>
        <sz val="12"/>
        <color theme="1"/>
        <rFont val="Calibri"/>
        <family val="2"/>
      </rPr>
      <t>-10CM</t>
    </r>
    <phoneticPr fontId="1" type="noConversion"/>
  </si>
  <si>
    <r>
      <rPr>
        <sz val="12"/>
        <color theme="1"/>
        <rFont val="微軟正黑體"/>
        <family val="2"/>
        <charset val="136"/>
      </rPr>
      <t>不少於</t>
    </r>
    <r>
      <rPr>
        <sz val="12"/>
        <color theme="1"/>
        <rFont val="Calibri"/>
        <family val="2"/>
      </rPr>
      <t>0.003</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</si>
  <si>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</si>
  <si>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垂直筋</t>
    </r>
    <phoneticPr fontId="1" type="noConversion"/>
  </si>
  <si>
    <r>
      <rPr>
        <sz val="12"/>
        <color rgb="FFFF0000"/>
        <rFont val="微軟正黑體"/>
        <family val="2"/>
        <charset val="136"/>
      </rPr>
      <t>內側</t>
    </r>
    <phoneticPr fontId="1" type="noConversion"/>
  </si>
  <si>
    <r>
      <rPr>
        <sz val="12"/>
        <color theme="1"/>
        <rFont val="微軟正黑體"/>
        <family val="2"/>
        <charset val="136"/>
      </rPr>
      <t>最大</t>
    </r>
    <phoneticPr fontId="1" type="noConversion"/>
  </si>
  <si>
    <r>
      <rPr>
        <sz val="12"/>
        <color theme="1"/>
        <rFont val="微軟正黑體"/>
        <family val="2"/>
        <charset val="136"/>
      </rPr>
      <t>垂直筋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</si>
  <si>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</si>
  <si>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</si>
  <si>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</si>
  <si>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</si>
  <si>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垂直剪力筋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</si>
  <si>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</si>
  <si>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</si>
  <si>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地中壁</t>
    </r>
    <phoneticPr fontId="1" type="noConversion"/>
  </si>
  <si>
    <r>
      <rPr>
        <sz val="12"/>
        <color theme="1"/>
        <rFont val="微軟正黑體"/>
        <family val="2"/>
        <charset val="136"/>
      </rPr>
      <t>施工性</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</si>
  <si>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</si>
  <si>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</si>
  <si>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50CM </t>
    </r>
    <r>
      <rPr>
        <sz val="12"/>
        <color theme="1"/>
        <rFont val="微軟正黑體"/>
        <family val="2"/>
        <charset val="136"/>
      </rPr>
      <t>不多於</t>
    </r>
    <r>
      <rPr>
        <sz val="12"/>
        <color theme="1"/>
        <rFont val="Calibri"/>
        <family val="2"/>
      </rPr>
      <t>60CM</t>
    </r>
    <phoneticPr fontId="1" type="noConversion"/>
  </si>
  <si>
    <r>
      <rPr>
        <sz val="12"/>
        <color theme="1"/>
        <rFont val="微軟正黑體"/>
        <family val="2"/>
        <charset val="136"/>
      </rPr>
      <t>請確認地中壁厚度是否過小或過大</t>
    </r>
    <phoneticPr fontId="1" type="noConversion"/>
  </si>
  <si>
    <r>
      <rPr>
        <sz val="12"/>
        <color theme="1"/>
        <rFont val="微軟正黑體"/>
        <family val="2"/>
        <charset val="136"/>
      </rPr>
      <t>水平剪力筋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</si>
  <si>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</si>
  <si>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</si>
  <si>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</si>
  <si>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</si>
  <si>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rPr>
        <sz val="12"/>
        <color theme="1"/>
        <rFont val="微軟正黑體"/>
        <family val="2"/>
        <charset val="136"/>
      </rPr>
      <t>指標種類</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</si>
  <si>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</si>
  <si>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</si>
  <si>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剪力筋</t>
    </r>
    <phoneticPr fontId="1" type="noConversion"/>
  </si>
  <si>
    <r>
      <rPr>
        <b/>
        <sz val="14"/>
        <color theme="1"/>
        <rFont val="微軟正黑體"/>
        <family val="2"/>
        <charset val="136"/>
      </rPr>
      <t>地梁</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</si>
  <si>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</si>
  <si>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</si>
  <si>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</si>
  <si>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rFont val="微軟正黑體"/>
        <family val="2"/>
        <charset val="136"/>
      </rPr>
      <t>下限</t>
    </r>
    <phoneticPr fontId="1" type="noConversion"/>
  </si>
  <si>
    <r>
      <rPr>
        <sz val="12"/>
        <rFont val="微軟正黑體"/>
        <family val="2"/>
        <charset val="136"/>
      </rPr>
      <t>【</t>
    </r>
    <r>
      <rPr>
        <sz val="12"/>
        <rFont val="Calibri"/>
        <family val="2"/>
      </rPr>
      <t>0102</t>
    </r>
    <r>
      <rPr>
        <sz val="12"/>
        <rFont val="微軟正黑體"/>
        <family val="2"/>
        <charset val="136"/>
      </rPr>
      <t>】請確認短梁側筋，是否小於</t>
    </r>
    <r>
      <rPr>
        <sz val="12"/>
        <rFont val="Calibri"/>
        <family val="2"/>
      </rPr>
      <t xml:space="preserve"> 0.0015 * bw * s2</t>
    </r>
    <phoneticPr fontId="1" type="noConversion"/>
  </si>
  <si>
    <r>
      <rPr>
        <sz val="12"/>
        <rFont val="微軟正黑體"/>
        <family val="2"/>
        <charset val="136"/>
      </rPr>
      <t>側筋</t>
    </r>
    <phoneticPr fontId="1" type="noConversion"/>
  </si>
  <si>
    <r>
      <rPr>
        <sz val="12"/>
        <rFont val="微軟正黑體"/>
        <family val="2"/>
        <charset val="136"/>
      </rPr>
      <t>上限</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</si>
  <si>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不得大於</t>
    </r>
    <r>
      <rPr>
        <sz val="12"/>
        <rFont val="Calibri"/>
        <family val="2"/>
      </rPr>
      <t xml:space="preserve"> 0.0015 * bw * s2 * 1.5</t>
    </r>
    <r>
      <rPr>
        <sz val="12"/>
        <rFont val="微軟正黑體"/>
        <family val="2"/>
        <charset val="136"/>
      </rPr>
      <t>。</t>
    </r>
    <phoneticPr fontId="1" type="noConversion"/>
  </si>
  <si>
    <r>
      <rPr>
        <sz val="12"/>
        <rFont val="微軟正黑體"/>
        <family val="2"/>
        <charset val="136"/>
      </rPr>
      <t>【</t>
    </r>
    <r>
      <rPr>
        <sz val="12"/>
        <rFont val="Calibri"/>
        <family val="2"/>
      </rPr>
      <t>0103</t>
    </r>
    <r>
      <rPr>
        <sz val="12"/>
        <rFont val="微軟正黑體"/>
        <family val="2"/>
        <charset val="136"/>
      </rPr>
      <t>】請確認短梁側筋，是否大於</t>
    </r>
    <r>
      <rPr>
        <sz val="12"/>
        <rFont val="Calibri"/>
        <family val="2"/>
      </rPr>
      <t xml:space="preserve"> 1.5 * 0.0015 * BW * S2</t>
    </r>
    <phoneticPr fontId="1" type="noConversion"/>
  </si>
  <si>
    <r>
      <rPr>
        <sz val="12"/>
        <rFont val="微軟正黑體"/>
        <family val="2"/>
        <charset val="136"/>
      </rPr>
      <t>最少鋼筋比大於</t>
    </r>
    <r>
      <rPr>
        <sz val="12"/>
        <rFont val="Calibri"/>
        <family val="2"/>
      </rPr>
      <t xml:space="preserve"> 0.3 %</t>
    </r>
    <phoneticPr fontId="1" type="noConversion"/>
  </si>
  <si>
    <r>
      <rPr>
        <sz val="12"/>
        <color theme="1"/>
        <rFont val="微軟正黑體"/>
        <family val="2"/>
        <charset val="136"/>
      </rPr>
      <t>主筋間距</t>
    </r>
    <phoneticPr fontId="1" type="noConversion"/>
  </si>
  <si>
    <r>
      <rPr>
        <sz val="12"/>
        <rFont val="微軟正黑體"/>
        <family val="2"/>
        <charset val="136"/>
      </rPr>
      <t>上限</t>
    </r>
    <phoneticPr fontId="1" type="noConversion"/>
  </si>
  <si>
    <r>
      <rPr>
        <sz val="12"/>
        <color theme="1"/>
        <rFont val="微軟正黑體"/>
        <family val="2"/>
        <charset val="136"/>
      </rPr>
      <t>主筋間距</t>
    </r>
    <phoneticPr fontId="1" type="noConversion"/>
  </si>
  <si>
    <r>
      <rPr>
        <sz val="12"/>
        <rFont val="微軟正黑體"/>
        <family val="2"/>
        <charset val="136"/>
      </rPr>
      <t>最少一支</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</si>
  <si>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</si>
  <si>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</si>
  <si>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</si>
  <si>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箍筋間距</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</si>
  <si>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</si>
  <si>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</si>
  <si>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</si>
  <si>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</si>
  <si>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</si>
  <si>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】請確認是否為深梁</t>
    </r>
    <phoneticPr fontId="1" type="noConversion"/>
  </si>
  <si>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</si>
  <si>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</si>
  <si>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】請確認剪力鋼筋量上限，是否符合規範</t>
    </r>
    <r>
      <rPr>
        <sz val="12"/>
        <color theme="1"/>
        <rFont val="Calibri"/>
        <family val="2"/>
      </rPr>
      <t xml:space="preserve"> 4.6.7.9 </t>
    </r>
    <r>
      <rPr>
        <sz val="12"/>
        <color theme="1"/>
        <rFont val="微軟正黑體"/>
        <family val="2"/>
        <charset val="136"/>
      </rPr>
      <t>規定</t>
    </r>
    <phoneticPr fontId="1" type="noConversion"/>
  </si>
  <si>
    <r>
      <rPr>
        <sz val="12"/>
        <rFont val="微軟正黑體"/>
        <family val="2"/>
        <charset val="136"/>
      </rPr>
      <t>上限</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</si>
  <si>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</si>
  <si>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</si>
  <si>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</si>
  <si>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】請確認左端上層筋上限，是否符合規範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</si>
  <si>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</si>
  <si>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0213</t>
    </r>
    <r>
      <rPr>
        <sz val="12"/>
        <color theme="1"/>
        <rFont val="微軟正黑體"/>
        <family val="2"/>
        <charset val="136"/>
      </rPr>
      <t>】請確認中央上層筋上限，是否符合規範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</si>
  <si>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</si>
  <si>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rFont val="微軟正黑體"/>
        <family val="2"/>
        <charset val="136"/>
      </rPr>
      <t>上限</t>
    </r>
    <phoneticPr fontId="1" type="noConversion"/>
  </si>
  <si>
    <r>
      <rPr>
        <sz val="12"/>
        <color theme="1"/>
        <rFont val="微軟正黑體"/>
        <family val="2"/>
        <charset val="136"/>
      </rPr>
      <t>【</t>
    </r>
    <r>
      <rPr>
        <sz val="12"/>
        <color theme="1"/>
        <rFont val="Calibri"/>
        <family val="2"/>
      </rPr>
      <t>0215</t>
    </r>
    <r>
      <rPr>
        <sz val="12"/>
        <color theme="1"/>
        <rFont val="微軟正黑體"/>
        <family val="2"/>
        <charset val="136"/>
      </rPr>
      <t>】請確認左端下層筋上限，是否符合規範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</si>
  <si>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0217</t>
    </r>
    <r>
      <rPr>
        <sz val="12"/>
        <color theme="1"/>
        <rFont val="微軟正黑體"/>
        <family val="2"/>
        <charset val="136"/>
      </rPr>
      <t>】請確認右端下層筋上限，是否符合規範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</si>
  <si>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0220</t>
    </r>
    <r>
      <rPr>
        <sz val="12"/>
        <color theme="1"/>
        <rFont val="微軟正黑體"/>
        <family val="2"/>
        <charset val="136"/>
      </rPr>
      <t>】請確認箍筋間距上限，是否符合</t>
    </r>
    <r>
      <rPr>
        <sz val="12"/>
        <color theme="1"/>
        <rFont val="Calibri"/>
        <family val="2"/>
      </rPr>
      <t xml:space="preserve"> 30cm </t>
    </r>
    <r>
      <rPr>
        <sz val="12"/>
        <color theme="1"/>
        <rFont val="微軟正黑體"/>
        <family val="2"/>
        <charset val="136"/>
      </rPr>
      <t>以下規定</t>
    </r>
    <phoneticPr fontId="1" type="noConversion"/>
  </si>
  <si>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</si>
  <si>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</si>
  <si>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</si>
  <si>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</si>
  <si>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</si>
  <si>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】垂直載重配筋可能不足</t>
    </r>
    <phoneticPr fontId="1" type="noConversion"/>
  </si>
  <si>
    <r>
      <rPr>
        <b/>
        <sz val="14"/>
        <color theme="1"/>
        <rFont val="微軟正黑體"/>
        <family val="2"/>
        <charset val="136"/>
      </rPr>
      <t>高樓柱</t>
    </r>
    <phoneticPr fontId="1" type="noConversion"/>
  </si>
  <si>
    <r>
      <rPr>
        <sz val="12"/>
        <color theme="1"/>
        <rFont val="微軟正黑體"/>
        <family val="2"/>
        <charset val="136"/>
      </rPr>
      <t>經濟性</t>
    </r>
    <phoneticPr fontId="1" type="noConversion"/>
  </si>
  <si>
    <r>
      <rPr>
        <sz val="12"/>
        <color theme="1"/>
        <rFont val="微軟正黑體"/>
        <family val="2"/>
        <charset val="136"/>
      </rPr>
      <t>鋼筋比</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</si>
  <si>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</si>
  <si>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</si>
  <si>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</si>
  <si>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</si>
  <si>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</si>
  <si>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rFont val="微軟正黑體"/>
        <family val="2"/>
        <charset val="136"/>
      </rPr>
      <t>箍筋</t>
    </r>
    <phoneticPr fontId="1" type="noConversion"/>
  </si>
  <si>
    <r>
      <rPr>
        <sz val="12"/>
        <color theme="1"/>
        <rFont val="微軟正黑體"/>
        <family val="2"/>
        <charset val="136"/>
      </rPr>
      <t>下限</t>
    </r>
    <phoneticPr fontId="1" type="noConversion"/>
  </si>
  <si>
    <r>
      <rPr>
        <sz val="12"/>
        <color theme="1"/>
        <rFont val="微軟正黑體"/>
        <family val="2"/>
        <charset val="136"/>
      </rPr>
      <t>頂樓區</t>
    </r>
    <phoneticPr fontId="1" type="noConversion"/>
  </si>
  <si>
    <r>
      <rPr>
        <sz val="12"/>
        <color theme="1"/>
        <rFont val="微軟正黑體"/>
        <family val="2"/>
        <charset val="136"/>
      </rPr>
      <t>鋼筋比</t>
    </r>
    <phoneticPr fontId="1" type="noConversion"/>
  </si>
  <si>
    <r>
      <rPr>
        <sz val="12"/>
        <color theme="1"/>
        <rFont val="微軟正黑體"/>
        <family val="2"/>
        <charset val="136"/>
      </rPr>
      <t>上限</t>
    </r>
    <phoneticPr fontId="1" type="noConversion"/>
  </si>
  <si>
    <r>
      <rPr>
        <sz val="12"/>
        <color theme="1"/>
        <rFont val="微軟正黑體"/>
        <family val="2"/>
        <charset val="136"/>
      </rPr>
      <t>繫筋</t>
    </r>
    <phoneticPr fontId="1" type="noConversion"/>
  </si>
  <si>
    <r>
      <rPr>
        <sz val="12"/>
        <color theme="1"/>
        <rFont val="微軟正黑體"/>
        <family val="2"/>
        <charset val="136"/>
      </rPr>
      <t>下限</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</si>
  <si>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</si>
  <si>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</si>
  <si>
    <r>
      <rPr>
        <b/>
        <sz val="14"/>
        <color theme="1"/>
        <rFont val="微軟正黑體"/>
        <family val="2"/>
        <charset val="136"/>
      </rPr>
      <t>非高樓柱</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</si>
  <si>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</si>
  <si>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</si>
  <si>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</si>
  <si>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</si>
  <si>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</si>
  <si>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b/>
        <sz val="14"/>
        <color theme="1"/>
        <rFont val="微軟正黑體"/>
        <family val="2"/>
        <charset val="136"/>
      </rPr>
      <t>筏基版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</si>
  <si>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</si>
  <si>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</si>
  <si>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</si>
  <si>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地下室外牆</t>
    </r>
    <phoneticPr fontId="1" type="noConversion"/>
  </si>
  <si>
    <r>
      <rPr>
        <b/>
        <sz val="14"/>
        <color theme="1"/>
        <rFont val="微軟正黑體"/>
        <family val="2"/>
        <charset val="136"/>
      </rPr>
      <t>剪力牆</t>
    </r>
    <phoneticPr fontId="1" type="noConversion"/>
  </si>
  <si>
    <r>
      <rPr>
        <b/>
        <sz val="14"/>
        <color theme="1"/>
        <rFont val="微軟正黑體"/>
        <family val="2"/>
        <charset val="136"/>
      </rPr>
      <t>連續壁</t>
    </r>
    <phoneticPr fontId="1" type="noConversion"/>
  </si>
  <si>
    <r>
      <rPr>
        <b/>
        <sz val="14"/>
        <color theme="1"/>
        <rFont val="微軟正黑體"/>
        <family val="2"/>
        <charset val="136"/>
      </rPr>
      <t>地中壁</t>
    </r>
    <phoneticPr fontId="1" type="noConversion"/>
  </si>
  <si>
    <r>
      <rPr>
        <sz val="12"/>
        <color theme="1"/>
        <rFont val="微軟正黑體"/>
        <family val="2"/>
        <charset val="136"/>
      </rPr>
      <t>地梁</t>
    </r>
    <phoneticPr fontId="1" type="noConversion"/>
  </si>
  <si>
    <r>
      <rPr>
        <sz val="12"/>
        <color theme="1"/>
        <rFont val="微軟正黑體"/>
        <family val="2"/>
        <charset val="136"/>
      </rPr>
      <t>大梁</t>
    </r>
    <phoneticPr fontId="1" type="noConversion"/>
  </si>
  <si>
    <r>
      <rPr>
        <sz val="12"/>
        <color theme="1"/>
        <rFont val="微軟正黑體"/>
        <family val="2"/>
        <charset val="136"/>
      </rPr>
      <t>主筋</t>
    </r>
    <phoneticPr fontId="1" type="noConversion"/>
  </si>
  <si>
    <r>
      <rPr>
        <sz val="12"/>
        <color theme="1"/>
        <rFont val="微軟正黑體"/>
        <family val="2"/>
        <charset val="136"/>
      </rPr>
      <t>柱</t>
    </r>
    <phoneticPr fontId="1" type="noConversion"/>
  </si>
  <si>
    <r>
      <rPr>
        <sz val="12"/>
        <color theme="1"/>
        <rFont val="微軟正黑體"/>
        <family val="2"/>
        <charset val="136"/>
      </rPr>
      <t>主筋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</si>
  <si>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</si>
  <si>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</si>
  <si>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</si>
  <si>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</si>
  <si>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t>Update: The update addresses these issues</t>
  </si>
  <si>
    <t>RC Scan</t>
    <phoneticPr fontId="1" type="noConversion"/>
  </si>
  <si>
    <t>Project</t>
    <phoneticPr fontId="1" type="noConversion"/>
  </si>
  <si>
    <t>Current version</t>
    <phoneticPr fontId="1" type="noConversion"/>
  </si>
  <si>
    <t>Latest version</t>
    <phoneticPr fontId="1" type="noConversion"/>
  </si>
  <si>
    <r>
      <rPr>
        <sz val="12"/>
        <color theme="1"/>
        <rFont val="微軟正黑體"/>
        <family val="2"/>
        <charset val="136"/>
      </rPr>
      <t>一定要有</t>
    </r>
    <r>
      <rPr>
        <sz val="12"/>
        <color theme="1"/>
        <rFont val="Calibri"/>
        <family val="2"/>
      </rPr>
      <t xml:space="preserve"> 1F </t>
    </r>
    <r>
      <rPr>
        <sz val="12"/>
        <color theme="1"/>
        <rFont val="微軟正黑體"/>
        <family val="2"/>
        <charset val="136"/>
      </rPr>
      <t>與</t>
    </r>
    <r>
      <rPr>
        <sz val="12"/>
        <color theme="1"/>
        <rFont val="Calibri"/>
        <family val="2"/>
      </rPr>
      <t xml:space="preserve"> RF</t>
    </r>
    <r>
      <rPr>
        <sz val="12"/>
        <color theme="1"/>
        <rFont val="微軟正黑體"/>
        <family val="2"/>
        <charset val="136"/>
      </rPr>
      <t>，以判斷非耐震層與頂樓區</t>
    </r>
    <phoneticPr fontId="1" type="noConversion"/>
  </si>
  <si>
    <r>
      <rPr>
        <sz val="12"/>
        <color theme="1"/>
        <rFont val="微軟正黑體"/>
        <family val="2"/>
        <charset val="136"/>
      </rPr>
      <t>【</t>
    </r>
    <r>
      <rPr>
        <sz val="12"/>
        <color theme="1"/>
        <rFont val="Calibri"/>
        <family val="2"/>
      </rPr>
      <t>0403</t>
    </r>
    <r>
      <rPr>
        <sz val="12"/>
        <color theme="1"/>
        <rFont val="微軟正黑體"/>
        <family val="2"/>
        <charset val="136"/>
      </rPr>
      <t>】請確認</t>
    </r>
    <r>
      <rPr>
        <sz val="12"/>
        <color theme="1"/>
        <rFont val="Calibri"/>
        <family val="2"/>
      </rPr>
      <t>X</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</si>
  <si>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0404</t>
    </r>
    <r>
      <rPr>
        <sz val="12"/>
        <color theme="1"/>
        <rFont val="微軟正黑體"/>
        <family val="2"/>
        <charset val="136"/>
      </rPr>
      <t>】請確認</t>
    </r>
    <r>
      <rPr>
        <sz val="12"/>
        <color theme="1"/>
        <rFont val="Calibri"/>
        <family val="2"/>
      </rPr>
      <t>Y</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</si>
  <si>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0405</t>
    </r>
    <r>
      <rPr>
        <sz val="12"/>
        <color theme="1"/>
        <rFont val="微軟正黑體"/>
        <family val="2"/>
        <charset val="136"/>
      </rPr>
      <t>】請確認高樓區鋼筋比，是否超過</t>
    </r>
    <r>
      <rPr>
        <sz val="12"/>
        <color theme="1"/>
        <rFont val="Calibri"/>
        <family val="2"/>
      </rPr>
      <t xml:space="preserve"> 1.2 %</t>
    </r>
    <phoneticPr fontId="1" type="noConversion"/>
  </si>
  <si>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X</t>
    </r>
    <r>
      <rPr>
        <sz val="12"/>
        <color theme="1"/>
        <rFont val="微軟正黑體"/>
        <family val="2"/>
        <charset val="136"/>
      </rPr>
      <t>向繫筋未符合隔根勾</t>
    </r>
    <phoneticPr fontId="1" type="noConversion"/>
  </si>
  <si>
    <r>
      <rPr>
        <sz val="12"/>
        <color theme="1"/>
        <rFont val="微軟正黑體"/>
        <family val="2"/>
        <charset val="136"/>
      </rPr>
      <t>【</t>
    </r>
    <r>
      <rPr>
        <sz val="12"/>
        <color theme="1"/>
        <rFont val="Calibri"/>
        <family val="2"/>
      </rPr>
      <t>0407</t>
    </r>
    <r>
      <rPr>
        <sz val="12"/>
        <color theme="1"/>
        <rFont val="微軟正黑體"/>
        <family val="2"/>
        <charset val="136"/>
      </rPr>
      <t>】</t>
    </r>
    <r>
      <rPr>
        <sz val="12"/>
        <color theme="1"/>
        <rFont val="Calibri"/>
        <family val="2"/>
      </rPr>
      <t>Y</t>
    </r>
    <r>
      <rPr>
        <sz val="12"/>
        <color theme="1"/>
        <rFont val="微軟正黑體"/>
        <family val="2"/>
        <charset val="136"/>
      </rPr>
      <t>向繫筋未符合隔根勾</t>
    </r>
    <phoneticPr fontId="1" type="noConversion"/>
  </si>
  <si>
    <t>【0401】請確認上層柱主筋量，漸縮是否過大</t>
  </si>
  <si>
    <t>【0402】請確認下層柱主筋量，漸縮是否過大</t>
  </si>
  <si>
    <r>
      <rPr>
        <sz val="12"/>
        <color rgb="FF9C0006"/>
        <rFont val="微軟正黑體"/>
        <family val="2"/>
        <charset val="136"/>
      </rPr>
      <t>【</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</si>
  <si>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
【</t>
    </r>
    <r>
      <rPr>
        <sz val="12"/>
        <color rgb="FF9C0006"/>
        <rFont val="Calibri"/>
        <family val="2"/>
      </rPr>
      <t>0402</t>
    </r>
    <r>
      <rPr>
        <sz val="12"/>
        <color rgb="FF9C0006"/>
        <rFont val="微軟正黑體"/>
        <family val="2"/>
        <charset val="136"/>
      </rPr>
      <t>】請確認下層柱主筋量，漸縮是否過大_x000D_</t>
    </r>
  </si>
  <si>
    <t>Story</t>
    <phoneticPr fontId="1" type="noConversion"/>
  </si>
  <si>
    <t>cm</t>
    <phoneticPr fontId="1" type="noConversion"/>
  </si>
  <si>
    <t>C1</t>
    <phoneticPr fontId="1" type="noConversion"/>
  </si>
  <si>
    <t>4F</t>
    <phoneticPr fontId="1" type="noConversion"/>
  </si>
  <si>
    <t>3F</t>
    <phoneticPr fontId="1" type="noConversion"/>
  </si>
  <si>
    <t>2F</t>
    <phoneticPr fontId="1" type="noConversion"/>
  </si>
  <si>
    <t>C10</t>
    <phoneticPr fontId="1" type="noConversion"/>
  </si>
  <si>
    <t>C11</t>
    <phoneticPr fontId="1" type="noConversion"/>
  </si>
  <si>
    <t>C12</t>
    <phoneticPr fontId="1" type="noConversion"/>
  </si>
  <si>
    <t>C14</t>
    <phoneticPr fontId="1" type="noConversion"/>
  </si>
  <si>
    <t>C15</t>
    <phoneticPr fontId="1" type="noConversion"/>
  </si>
  <si>
    <t>C16</t>
    <phoneticPr fontId="1" type="noConversion"/>
  </si>
  <si>
    <t>C2</t>
    <phoneticPr fontId="1" type="noConversion"/>
  </si>
  <si>
    <t>C21</t>
    <phoneticPr fontId="1" type="noConversion"/>
  </si>
  <si>
    <t>C22</t>
    <phoneticPr fontId="1" type="noConversion"/>
  </si>
  <si>
    <t>C23</t>
    <phoneticPr fontId="1" type="noConversion"/>
  </si>
  <si>
    <t>C25</t>
    <phoneticPr fontId="1" type="noConversion"/>
  </si>
  <si>
    <t>C26</t>
    <phoneticPr fontId="1" type="noConversion"/>
  </si>
  <si>
    <t>C27</t>
    <phoneticPr fontId="1" type="noConversion"/>
  </si>
  <si>
    <t>C28</t>
    <phoneticPr fontId="1" type="noConversion"/>
  </si>
  <si>
    <t>C29</t>
    <phoneticPr fontId="1" type="noConversion"/>
  </si>
  <si>
    <t>C3</t>
    <phoneticPr fontId="1" type="noConversion"/>
  </si>
  <si>
    <t>C30</t>
    <phoneticPr fontId="1" type="noConversion"/>
  </si>
  <si>
    <t>C31</t>
    <phoneticPr fontId="1" type="noConversion"/>
  </si>
  <si>
    <t>C32</t>
    <phoneticPr fontId="1" type="noConversion"/>
  </si>
  <si>
    <t>C4</t>
    <phoneticPr fontId="1" type="noConversion"/>
  </si>
  <si>
    <t>C5</t>
    <phoneticPr fontId="1" type="noConversion"/>
  </si>
  <si>
    <t>C6</t>
    <phoneticPr fontId="1" type="noConversion"/>
  </si>
  <si>
    <t>C7</t>
    <phoneticPr fontId="1" type="noConversion"/>
  </si>
  <si>
    <t>C8</t>
    <phoneticPr fontId="1" type="noConversion"/>
  </si>
  <si>
    <t>C9</t>
    <phoneticPr fontId="1" type="noConversion"/>
  </si>
  <si>
    <r>
      <rPr>
        <sz val="12"/>
        <color theme="1"/>
        <rFont val="微軟正黑體"/>
        <family val="2"/>
        <charset val="136"/>
      </rPr>
      <t>柱主筋</t>
    </r>
    <phoneticPr fontId="1" type="noConversion"/>
  </si>
  <si>
    <r>
      <rPr>
        <sz val="12"/>
        <color theme="1"/>
        <rFont val="微軟正黑體"/>
        <family val="2"/>
        <charset val="136"/>
      </rPr>
      <t>．自動檢查更新版本與</t>
    </r>
    <r>
      <rPr>
        <sz val="12"/>
        <color theme="1"/>
        <rFont val="Calibri"/>
        <family val="2"/>
      </rPr>
      <t xml:space="preserve"> Mac </t>
    </r>
    <r>
      <rPr>
        <sz val="12"/>
        <color theme="1"/>
        <rFont val="微軟正黑體"/>
        <family val="2"/>
        <charset val="136"/>
      </rPr>
      <t>相容</t>
    </r>
    <phoneticPr fontId="1" type="noConversion"/>
  </si>
  <si>
    <r>
      <rPr>
        <sz val="12"/>
        <color theme="1"/>
        <rFont val="微軟正黑體"/>
        <family val="2"/>
        <charset val="136"/>
      </rPr>
      <t>．優化效能，刪除不需要的名稱與連線</t>
    </r>
    <phoneticPr fontId="1" type="noConversion"/>
  </si>
  <si>
    <r>
      <rPr>
        <sz val="12"/>
        <color theme="1"/>
        <rFont val="微軟正黑體"/>
        <family val="2"/>
        <charset val="136"/>
      </rPr>
      <t>．修正柱繫筋</t>
    </r>
    <r>
      <rPr>
        <sz val="12"/>
        <color theme="1"/>
        <rFont val="Calibri"/>
        <family val="2"/>
      </rPr>
      <t xml:space="preserve"> X Y </t>
    </r>
    <r>
      <rPr>
        <sz val="12"/>
        <color theme="1"/>
        <rFont val="微軟正黑體"/>
        <family val="2"/>
        <charset val="136"/>
      </rPr>
      <t>向相反</t>
    </r>
    <phoneticPr fontId="1" type="noConversion"/>
  </si>
  <si>
    <r>
      <rPr>
        <sz val="12"/>
        <color theme="1"/>
        <rFont val="微軟正黑體"/>
        <family val="2"/>
        <charset val="136"/>
      </rPr>
      <t>．修正柱橫向鋼筋規範</t>
    </r>
    <phoneticPr fontId="1" type="noConversion"/>
  </si>
  <si>
    <r>
      <rPr>
        <sz val="12"/>
        <color theme="1"/>
        <rFont val="微軟正黑體"/>
        <family val="2"/>
        <charset val="136"/>
      </rPr>
      <t>．</t>
    </r>
    <r>
      <rPr>
        <sz val="12"/>
        <color theme="1"/>
        <rFont val="Calibri"/>
        <family val="2"/>
      </rPr>
      <t xml:space="preserve">X Y </t>
    </r>
    <r>
      <rPr>
        <sz val="12"/>
        <color theme="1"/>
        <rFont val="微軟正黑體"/>
        <family val="2"/>
        <charset val="136"/>
      </rPr>
      <t>雙向分開檢討</t>
    </r>
    <phoneticPr fontId="1" type="noConversion"/>
  </si>
  <si>
    <r>
      <rPr>
        <sz val="12"/>
        <color theme="1"/>
        <rFont val="微軟正黑體"/>
        <family val="2"/>
        <charset val="136"/>
      </rPr>
      <t>．小於</t>
    </r>
    <r>
      <rPr>
        <sz val="12"/>
        <color theme="1"/>
        <rFont val="Calibri"/>
        <family val="2"/>
      </rPr>
      <t xml:space="preserve"> 400 cm </t>
    </r>
    <r>
      <rPr>
        <sz val="12"/>
        <color theme="1"/>
        <rFont val="微軟正黑體"/>
        <family val="2"/>
        <charset val="136"/>
      </rPr>
      <t>梁不檢討相對鋼筋量</t>
    </r>
    <phoneticPr fontId="1" type="noConversion"/>
  </si>
  <si>
    <r>
      <rPr>
        <sz val="12"/>
        <color theme="1"/>
        <rFont val="微軟正黑體"/>
        <family val="2"/>
        <charset val="136"/>
      </rPr>
      <t>．修正柱上下層減縮限制</t>
    </r>
    <phoneticPr fontId="1" type="noConversion"/>
  </si>
  <si>
    <t>version 1.19 release:</t>
    <phoneticPr fontId="1" type="noConversion"/>
  </si>
  <si>
    <t>version 1.21 release:</t>
    <phoneticPr fontId="1" type="noConversion"/>
  </si>
  <si>
    <r>
      <rPr>
        <sz val="12"/>
        <color theme="1"/>
        <rFont val="微軟正黑體"/>
        <family val="2"/>
        <charset val="136"/>
      </rPr>
      <t>．</t>
    </r>
    <r>
      <rPr>
        <sz val="12"/>
        <color theme="1"/>
        <rFont val="Calibri"/>
        <family val="2"/>
      </rPr>
      <t xml:space="preserve">Mac </t>
    </r>
    <r>
      <rPr>
        <sz val="12"/>
        <color theme="1"/>
        <rFont val="微軟正黑體"/>
        <family val="2"/>
        <charset val="136"/>
      </rPr>
      <t>版本容易出現無法預期的錯誤，不推薦在</t>
    </r>
    <r>
      <rPr>
        <sz val="12"/>
        <color theme="1"/>
        <rFont val="Calibri"/>
        <family val="2"/>
      </rPr>
      <t xml:space="preserve"> Mac </t>
    </r>
    <r>
      <rPr>
        <sz val="12"/>
        <color theme="1"/>
        <rFont val="微軟正黑體"/>
        <family val="2"/>
        <charset val="136"/>
      </rPr>
      <t>執行</t>
    </r>
    <r>
      <rPr>
        <sz val="12"/>
        <color theme="1"/>
        <rFont val="Calibri"/>
        <family val="2"/>
      </rPr>
      <t/>
    </r>
    <phoneticPr fontId="1" type="noConversion"/>
  </si>
  <si>
    <t>version 1.22 release:</t>
    <phoneticPr fontId="1" type="noConversion"/>
  </si>
  <si>
    <t>C53</t>
  </si>
  <si>
    <t>C52</t>
  </si>
  <si>
    <t>C51</t>
  </si>
  <si>
    <t>P3</t>
  </si>
  <si>
    <t>P2</t>
  </si>
  <si>
    <t>C13</t>
  </si>
  <si>
    <t>17F</t>
  </si>
  <si>
    <t>16F</t>
  </si>
  <si>
    <t>15F</t>
  </si>
  <si>
    <t>14F</t>
  </si>
  <si>
    <t>13F</t>
  </si>
  <si>
    <t>12F</t>
  </si>
  <si>
    <t>11F</t>
  </si>
  <si>
    <t>10F</t>
  </si>
  <si>
    <t>9F</t>
  </si>
  <si>
    <t>8F</t>
  </si>
  <si>
    <t>7F</t>
  </si>
  <si>
    <t>6F</t>
  </si>
  <si>
    <t>5F</t>
  </si>
  <si>
    <t>C41</t>
  </si>
  <si>
    <t>1F</t>
  </si>
  <si>
    <t>B1</t>
  </si>
  <si>
    <t>B2</t>
  </si>
  <si>
    <t>B3</t>
  </si>
  <si>
    <t>P3</t>
    <phoneticPr fontId="1" type="noConversion"/>
  </si>
  <si>
    <t>P2</t>
    <phoneticPr fontId="1" type="noConversion"/>
  </si>
  <si>
    <t>17F</t>
    <phoneticPr fontId="1" type="noConversion"/>
  </si>
  <si>
    <t>16F</t>
    <phoneticPr fontId="1" type="noConversion"/>
  </si>
  <si>
    <t>Welcome to the version 1.23 release of RC Scan. There are a number of significant updates in this version that we hope you will like, some of the key highlights include:</t>
  </si>
  <si>
    <t>STORY</t>
  </si>
  <si>
    <t>Fy</t>
  </si>
  <si>
    <t>Fyt</t>
  </si>
  <si>
    <t>SDL</t>
  </si>
  <si>
    <t>LL</t>
  </si>
  <si>
    <t>SpanX</t>
  </si>
  <si>
    <t>SpanY</t>
  </si>
  <si>
    <t>20-#8</t>
    <phoneticPr fontId="1" type="noConversion"/>
  </si>
  <si>
    <t>22-#8</t>
    <phoneticPr fontId="1" type="noConversion"/>
  </si>
  <si>
    <t>30-#8</t>
    <phoneticPr fontId="1" type="noConversion"/>
  </si>
  <si>
    <t>28-#8</t>
    <phoneticPr fontId="1" type="noConversion"/>
  </si>
  <si>
    <t>32-#8</t>
    <phoneticPr fontId="1" type="noConversion"/>
  </si>
  <si>
    <t>16-#8</t>
    <phoneticPr fontId="1" type="noConversion"/>
  </si>
  <si>
    <t>36-#8</t>
    <phoneticPr fontId="1" type="noConversion"/>
  </si>
  <si>
    <t>30-#10</t>
    <phoneticPr fontId="1" type="noConversion"/>
  </si>
  <si>
    <t>38-#10</t>
    <phoneticPr fontId="1" type="noConversion"/>
  </si>
  <si>
    <t>46-#8</t>
    <phoneticPr fontId="1" type="noConversion"/>
  </si>
  <si>
    <t>32-#10</t>
    <phoneticPr fontId="1" type="noConversion"/>
  </si>
  <si>
    <t>34-#10</t>
    <phoneticPr fontId="1" type="noConversion"/>
  </si>
  <si>
    <t>40-#10</t>
    <phoneticPr fontId="1" type="noConversion"/>
  </si>
  <si>
    <t>26-#8</t>
    <phoneticPr fontId="1" type="noConversion"/>
  </si>
  <si>
    <t>40-#8</t>
    <phoneticPr fontId="1" type="noConversion"/>
  </si>
  <si>
    <t>60-#8</t>
    <phoneticPr fontId="1" type="noConversion"/>
  </si>
  <si>
    <t>52-#8</t>
    <phoneticPr fontId="1" type="noConversion"/>
  </si>
  <si>
    <t>38-#8</t>
    <phoneticPr fontId="1" type="noConversion"/>
  </si>
  <si>
    <t>48-#10</t>
    <phoneticPr fontId="1" type="noConversion"/>
  </si>
  <si>
    <t>36-#10</t>
    <phoneticPr fontId="1" type="noConversion"/>
  </si>
  <si>
    <t>15F</t>
    <phoneticPr fontId="1" type="noConversion"/>
  </si>
  <si>
    <t>14F</t>
    <phoneticPr fontId="1" type="noConversion"/>
  </si>
  <si>
    <t>13F</t>
    <phoneticPr fontId="1" type="noConversion"/>
  </si>
  <si>
    <t>12F</t>
    <phoneticPr fontId="1" type="noConversion"/>
  </si>
  <si>
    <t>11F</t>
    <phoneticPr fontId="1" type="noConversion"/>
  </si>
  <si>
    <t>10F</t>
    <phoneticPr fontId="1" type="noConversion"/>
  </si>
  <si>
    <t>9F</t>
    <phoneticPr fontId="1" type="noConversion"/>
  </si>
  <si>
    <t>8F</t>
    <phoneticPr fontId="1" type="noConversion"/>
  </si>
  <si>
    <t>7F</t>
    <phoneticPr fontId="1" type="noConversion"/>
  </si>
  <si>
    <t>6F</t>
    <phoneticPr fontId="1" type="noConversion"/>
  </si>
  <si>
    <t>5F</t>
    <phoneticPr fontId="1" type="noConversion"/>
  </si>
  <si>
    <t>B2</t>
    <phoneticPr fontId="1" type="noConversion"/>
  </si>
  <si>
    <t>B3</t>
    <phoneticPr fontId="1" type="noConversion"/>
  </si>
  <si>
    <t>C13</t>
    <phoneticPr fontId="1" type="noConversion"/>
  </si>
  <si>
    <t>C41</t>
    <phoneticPr fontId="1" type="noConversion"/>
  </si>
  <si>
    <t>C51</t>
    <phoneticPr fontId="1" type="noConversion"/>
  </si>
  <si>
    <t>C52</t>
    <phoneticPr fontId="1" type="noConversion"/>
  </si>
  <si>
    <t>C53</t>
    <phoneticPr fontId="1" type="noConversion"/>
  </si>
  <si>
    <r>
      <rPr>
        <sz val="12"/>
        <color theme="1"/>
        <rFont val="微軟正黑體"/>
        <family val="2"/>
        <charset val="136"/>
      </rPr>
      <t>柱編號</t>
    </r>
  </si>
  <si>
    <r>
      <t>X</t>
    </r>
    <r>
      <rPr>
        <sz val="12"/>
        <color theme="1"/>
        <rFont val="微軟正黑體"/>
        <family val="2"/>
        <charset val="136"/>
      </rPr>
      <t>向柱寬</t>
    </r>
  </si>
  <si>
    <r>
      <t>Y</t>
    </r>
    <r>
      <rPr>
        <sz val="12"/>
        <color theme="1"/>
        <rFont val="微軟正黑體"/>
        <family val="2"/>
        <charset val="136"/>
      </rPr>
      <t>向柱寬</t>
    </r>
  </si>
  <si>
    <r>
      <rPr>
        <sz val="12"/>
        <color theme="1"/>
        <rFont val="微軟正黑體"/>
        <family val="2"/>
        <charset val="136"/>
      </rPr>
      <t>柱箍筋</t>
    </r>
  </si>
  <si>
    <r>
      <t>X</t>
    </r>
    <r>
      <rPr>
        <sz val="12"/>
        <color theme="1"/>
        <rFont val="微軟正黑體"/>
        <family val="2"/>
        <charset val="136"/>
      </rPr>
      <t>向支數</t>
    </r>
  </si>
  <si>
    <r>
      <t>Y</t>
    </r>
    <r>
      <rPr>
        <sz val="12"/>
        <color theme="1"/>
        <rFont val="微軟正黑體"/>
        <family val="2"/>
        <charset val="136"/>
      </rPr>
      <t>向支數</t>
    </r>
  </si>
  <si>
    <r>
      <rPr>
        <sz val="12"/>
        <color theme="1"/>
        <rFont val="微軟正黑體"/>
        <family val="2"/>
        <charset val="136"/>
      </rPr>
      <t>圍束區</t>
    </r>
  </si>
  <si>
    <r>
      <rPr>
        <sz val="12"/>
        <color theme="1"/>
        <rFont val="微軟正黑體"/>
        <family val="2"/>
        <charset val="136"/>
      </rPr>
      <t>非圍束區</t>
    </r>
  </si>
  <si>
    <r>
      <t>X</t>
    </r>
    <r>
      <rPr>
        <sz val="12"/>
        <color theme="1"/>
        <rFont val="微軟正黑體"/>
        <family val="2"/>
        <charset val="136"/>
      </rPr>
      <t>向繫筋</t>
    </r>
  </si>
  <si>
    <r>
      <t>Y</t>
    </r>
    <r>
      <rPr>
        <sz val="12"/>
        <color theme="1"/>
        <rFont val="微軟正黑體"/>
        <family val="2"/>
        <charset val="136"/>
      </rPr>
      <t>向繫筋</t>
    </r>
  </si>
  <si>
    <r>
      <rPr>
        <sz val="12"/>
        <color rgb="FF9C0006"/>
        <rFont val="微軟正黑體"/>
        <family val="2"/>
        <charset val="136"/>
      </rPr>
      <t>【</t>
    </r>
    <r>
      <rPr>
        <sz val="12"/>
        <color rgb="FF9C0006"/>
        <rFont val="Calibri"/>
        <family val="2"/>
      </rPr>
      <t>0405</t>
    </r>
    <r>
      <rPr>
        <sz val="12"/>
        <color rgb="FF9C0006"/>
        <rFont val="微軟正黑體"/>
        <family val="2"/>
        <charset val="136"/>
      </rPr>
      <t>】請確認高樓區鋼筋比，是否超過</t>
    </r>
    <r>
      <rPr>
        <sz val="12"/>
        <color rgb="FF9C0006"/>
        <rFont val="Calibri"/>
        <family val="2"/>
      </rPr>
      <t xml:space="preserve"> 1.2 %_x000D_
</t>
    </r>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</si>
  <si>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0405</t>
    </r>
    <r>
      <rPr>
        <sz val="12"/>
        <color rgb="FF9C0006"/>
        <rFont val="微軟正黑體"/>
        <family val="2"/>
        <charset val="136"/>
      </rPr>
      <t>】請確認高樓區鋼筋比，是否超過</t>
    </r>
    <r>
      <rPr>
        <sz val="12"/>
        <color rgb="FF9C0006"/>
        <rFont val="Calibri"/>
        <family val="2"/>
      </rPr>
      <t xml:space="preserve"> 1.2 %_x000D_
</t>
    </r>
    <r>
      <rPr>
        <sz val="12"/>
        <color rgb="FF9C0006"/>
        <rFont val="微軟正黑體"/>
        <family val="2"/>
        <charset val="136"/>
      </rPr>
      <t>【</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</si>
  <si>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0405</t>
    </r>
    <r>
      <rPr>
        <sz val="12"/>
        <color rgb="FF9C0006"/>
        <rFont val="微軟正黑體"/>
        <family val="2"/>
        <charset val="136"/>
      </rPr>
      <t>】請確認高樓區鋼筋比，是否超過</t>
    </r>
    <r>
      <rPr>
        <sz val="12"/>
        <color rgb="FF9C0006"/>
        <rFont val="Calibri"/>
        <family val="2"/>
      </rPr>
      <t xml:space="preserve"> 1.2 %_x000D_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</si>
  <si>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</si>
  <si>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theme="1"/>
        <rFont val="微軟正黑體"/>
        <family val="2"/>
        <charset val="136"/>
      </rPr>
      <t>．修正高樓區樓層錯誤問題</t>
    </r>
    <phoneticPr fontId="1" type="noConversion"/>
  </si>
  <si>
    <r>
      <rPr>
        <sz val="12"/>
        <color theme="1"/>
        <rFont val="微軟正黑體"/>
        <family val="2"/>
        <charset val="136"/>
      </rPr>
      <t>．為避免使用到未修正的錯誤檔案，導致錯誤的結果，從此版本後新增自動檢查版本功能</t>
    </r>
    <phoneticPr fontId="1" type="noConversion"/>
  </si>
  <si>
    <r>
      <rPr>
        <sz val="12"/>
        <color theme="1"/>
        <rFont val="微軟正黑體"/>
        <family val="2"/>
        <charset val="136"/>
      </rPr>
      <t>優化樣式</t>
    </r>
    <phoneticPr fontId="1" type="noConversion"/>
  </si>
  <si>
    <r>
      <rPr>
        <sz val="12"/>
        <color theme="1"/>
        <rFont val="微軟正黑體"/>
        <family val="2"/>
        <charset val="136"/>
      </rPr>
      <t>修正問題</t>
    </r>
    <phoneticPr fontId="1" type="noConversion"/>
  </si>
  <si>
    <r>
      <rPr>
        <sz val="12"/>
        <color theme="1"/>
        <rFont val="微軟正黑體"/>
        <family val="2"/>
        <charset val="136"/>
      </rPr>
      <t>樓層由高到低按照順序排列</t>
    </r>
    <phoneticPr fontId="1" type="noConversion"/>
  </si>
  <si>
    <r>
      <rPr>
        <sz val="12"/>
        <color rgb="FF9C5700"/>
        <rFont val="微軟正黑體"/>
        <family val="2"/>
        <charset val="136"/>
      </rPr>
      <t>梁版</t>
    </r>
    <r>
      <rPr>
        <sz val="12"/>
        <color rgb="FF9C5700"/>
        <rFont val="Calibri"/>
        <family val="2"/>
      </rPr>
      <t xml:space="preserve"> fc'</t>
    </r>
  </si>
  <si>
    <r>
      <rPr>
        <sz val="12"/>
        <color rgb="FF9C5700"/>
        <rFont val="微軟正黑體"/>
        <family val="2"/>
        <charset val="136"/>
      </rPr>
      <t>柱牆</t>
    </r>
    <r>
      <rPr>
        <sz val="12"/>
        <color rgb="FF9C5700"/>
        <rFont val="Calibri"/>
        <family val="2"/>
      </rPr>
      <t xml:space="preserve"> fc'</t>
    </r>
  </si>
  <si>
    <t>Welcome to the version 1.3 release of RC Scan. There are a number of significant updates in this version that we hope you will like, some of the key highlights include:</t>
  </si>
  <si>
    <r>
      <rPr>
        <sz val="12"/>
        <color theme="1"/>
        <rFont val="微軟正黑體"/>
        <family val="2"/>
        <charset val="136"/>
      </rPr>
      <t>修正耐震部分不必檢討地下層</t>
    </r>
    <phoneticPr fontId="1" type="noConversion"/>
  </si>
  <si>
    <r>
      <rPr>
        <sz val="12"/>
        <color rgb="FF9C0006"/>
        <rFont val="微軟正黑體"/>
        <family val="2"/>
        <charset val="136"/>
      </rPr>
      <t>【</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</si>
  <si>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t>C24</t>
  </si>
  <si>
    <t>C35</t>
  </si>
  <si>
    <t>44-#10</t>
    <phoneticPr fontId="1" type="noConversion"/>
  </si>
  <si>
    <t>26-#10</t>
    <phoneticPr fontId="1" type="noConversion"/>
  </si>
  <si>
    <t>52-#10</t>
    <phoneticPr fontId="1" type="noConversion"/>
  </si>
  <si>
    <t>60-#10</t>
    <phoneticPr fontId="1" type="noConversion"/>
  </si>
  <si>
    <t>74-#10</t>
    <phoneticPr fontId="1" type="noConversion"/>
  </si>
  <si>
    <t>46-#10</t>
    <phoneticPr fontId="1" type="noConversion"/>
  </si>
  <si>
    <t>18-#8</t>
    <phoneticPr fontId="1" type="noConversion"/>
  </si>
  <si>
    <t>24-#8</t>
    <phoneticPr fontId="1" type="noConversion"/>
  </si>
  <si>
    <t>14-#8</t>
    <phoneticPr fontId="1" type="noConversion"/>
  </si>
  <si>
    <t>28-#10</t>
    <phoneticPr fontId="1" type="noConversion"/>
  </si>
  <si>
    <t>48-#8</t>
    <phoneticPr fontId="1" type="noConversion"/>
  </si>
  <si>
    <t>54-#10</t>
    <phoneticPr fontId="1" type="noConversion"/>
  </si>
  <si>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t>
    </r>
  </si>
  <si>
    <t>柱編號</t>
    <phoneticPr fontId="1" type="noConversion"/>
  </si>
  <si>
    <t>X向柱寬</t>
    <phoneticPr fontId="1" type="noConversion"/>
  </si>
  <si>
    <t>Y向柱寬</t>
    <phoneticPr fontId="1" type="noConversion"/>
  </si>
  <si>
    <t>C24</t>
    <phoneticPr fontId="1" type="noConversion"/>
  </si>
  <si>
    <t>C35</t>
    <phoneticPr fontId="1" type="noConversion"/>
  </si>
  <si>
    <t>優化速度</t>
    <phoneticPr fontId="1" type="noConversion"/>
  </si>
  <si>
    <t>調整格式</t>
    <phoneticPr fontId="1" type="noConversion"/>
  </si>
  <si>
    <t>調整輸出表格</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</si>
</sst>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2"/>
      <color theme="1"/>
      <name val="新細明體"/>
      <family val="2"/>
      <charset val="136"/>
      <scheme val="minor"/>
    </font>
    <font>
      <sz val="9"/>
      <name val="新細明體"/>
      <family val="2"/>
      <charset val="136"/>
      <scheme val="minor"/>
    </font>
    <font>
      <sz val="12"/>
      <color theme="1"/>
      <name val="微軟正黑體"/>
      <family val="2"/>
      <charset val="136"/>
    </font>
    <font>
      <b/>
      <sz val="14"/>
      <color theme="1"/>
      <name val="微軟正黑體"/>
      <family val="2"/>
      <charset val="136"/>
    </font>
    <font>
      <sz val="12"/>
      <color rgb="FFFF0000"/>
      <name val="微軟正黑體"/>
      <family val="2"/>
      <charset val="136"/>
    </font>
    <font>
      <sz val="12"/>
      <color theme="1"/>
      <name val="新細明體"/>
      <family val="2"/>
      <charset val="136"/>
      <scheme val="minor"/>
    </font>
    <font>
      <sz val="12"/>
      <color rgb="FF9C5700"/>
      <name val="新細明體"/>
      <family val="2"/>
      <charset val="136"/>
      <scheme val="minor"/>
    </font>
    <font>
      <sz val="12"/>
      <color rgb="FF9C5700"/>
      <name val="微軟正黑體"/>
      <family val="2"/>
      <charset val="136"/>
    </font>
    <font>
      <sz val="12"/>
      <color rgb="FF006100"/>
      <name val="新細明體"/>
      <family val="2"/>
      <charset val="136"/>
      <scheme val="minor"/>
    </font>
    <font>
      <sz val="12"/>
      <color rgb="FF9C0006"/>
      <name val="新細明體"/>
      <family val="2"/>
      <charset val="136"/>
      <scheme val="minor"/>
    </font>
    <font>
      <sz val="12"/>
      <color rgb="FF9C5700"/>
      <name val="Calibri"/>
      <family val="2"/>
    </font>
    <font>
      <sz val="12"/>
      <color theme="1"/>
      <name val="Calibri"/>
      <family val="2"/>
    </font>
    <font>
      <sz val="9"/>
      <color indexed="81"/>
      <name val="Tahoma"/>
      <family val="2"/>
    </font>
    <font>
      <b/>
      <sz val="9"/>
      <color indexed="81"/>
      <name val="Tahoma"/>
      <family val="2"/>
    </font>
    <font>
      <sz val="9"/>
      <color indexed="81"/>
      <name val="細明體"/>
      <family val="3"/>
      <charset val="136"/>
    </font>
    <font>
      <sz val="12"/>
      <name val="微軟正黑體"/>
      <family val="2"/>
      <charset val="136"/>
    </font>
    <font>
      <sz val="12"/>
      <color rgb="FF006100"/>
      <name val="Calibri"/>
      <family val="2"/>
    </font>
    <font>
      <sz val="12"/>
      <color rgb="FF9C0006"/>
      <name val="Calibri"/>
      <family val="2"/>
    </font>
    <font>
      <b/>
      <sz val="14"/>
      <color theme="1"/>
      <name val="Calibri"/>
      <family val="2"/>
    </font>
    <font>
      <b/>
      <sz val="16"/>
      <color theme="1"/>
      <name val="Calibri"/>
      <family val="2"/>
    </font>
    <font>
      <sz val="12"/>
      <color rgb="FFFF0000"/>
      <name val="Calibri"/>
      <family val="2"/>
    </font>
    <font>
      <sz val="12"/>
      <name val="Calibri"/>
      <family val="2"/>
    </font>
    <font>
      <sz val="12"/>
      <color rgb="FF006100"/>
      <name val="微軟正黑體"/>
      <family val="2"/>
      <charset val="136"/>
    </font>
    <font>
      <sz val="12"/>
      <color rgb="FF9C0006"/>
      <name val="微軟正黑體"/>
      <family val="2"/>
      <charset val="136"/>
    </font>
    <font>
      <sz val="12"/>
      <color rgb="FF0070C0"/>
      <name val="Calibri"/>
      <family val="2"/>
    </font>
    <font>
      <u/>
      <sz val="12"/>
      <color theme="10"/>
      <name val="新細明體"/>
      <family val="2"/>
      <charset val="136"/>
      <scheme val="minor"/>
    </font>
    <font>
      <u/>
      <sz val="12"/>
      <color theme="10"/>
      <name val="Calibri"/>
      <family val="2"/>
    </font>
    <font>
      <sz val="12"/>
      <color theme="1"/>
      <name val="細明體"/>
      <family val="3"/>
      <charset val="136"/>
    </font>
  </fonts>
  <fills count="17">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FFCC"/>
      </patternFill>
    </fill>
    <fill>
      <patternFill patternType="solid">
        <fgColor theme="4" tint="0.79998168889431442"/>
        <bgColor indexed="64"/>
      </patternFill>
    </fill>
    <fill>
      <patternFill patternType="solid">
        <fgColor theme="0" tint="-0.249977111117893"/>
        <bgColor indexed="64"/>
      </patternFill>
    </fill>
    <fill>
      <patternFill patternType="solid">
        <fgColor rgb="FFFFEB9C"/>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theme="0" tint="-0.14999847407452621"/>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double">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bottom style="thin">
        <color indexed="64"/>
      </bottom>
      <diagonal/>
    </border>
  </borders>
  <cellStyleXfs count="7">
    <xf numFmtId="0" fontId="0" fillId="0" borderId="0">
      <alignment vertical="center"/>
    </xf>
    <xf numFmtId="0" fontId="5" fillId="9" borderId="2" applyNumberFormat="0" applyFont="0" applyAlignment="0" applyProtection="0">
      <alignment vertical="center"/>
    </xf>
    <xf numFmtId="0" fontId="6" fillId="12" borderId="0" applyNumberFormat="0" applyBorder="0" applyAlignment="0" applyProtection="0">
      <alignment vertical="center"/>
    </xf>
    <xf numFmtId="0" fontId="8" fillId="13" borderId="0" applyNumberFormat="0" applyBorder="0" applyAlignment="0" applyProtection="0">
      <alignment vertical="center"/>
    </xf>
    <xf numFmtId="0" fontId="9" fillId="14" borderId="0" applyNumberFormat="0" applyBorder="0" applyAlignment="0" applyProtection="0">
      <alignment vertical="center"/>
    </xf>
    <xf numFmtId="9" fontId="5" fillId="0" borderId="0" applyFont="0" applyFill="0" applyBorder="0" applyAlignment="0" applyProtection="0">
      <alignment vertical="center"/>
    </xf>
    <xf numFmtId="0" fontId="25" fillId="0" borderId="0" applyNumberFormat="0" applyFill="0" applyBorder="0" applyAlignment="0" applyProtection="0">
      <alignment vertical="center"/>
    </xf>
  </cellStyleXfs>
  <cellXfs count="175">
    <xf numFmtId="0" fontId="0" fillId="0" borderId="0" xfId="0">
      <alignment vertical="center"/>
    </xf>
    <xf numFmtId="0" fontId="10" fillId="12" borderId="0" xfId="2" applyFont="1" applyAlignment="1">
      <alignment horizontal="center" vertical="center"/>
    </xf>
    <xf numFmtId="14" fontId="11" fillId="0" borderId="0" xfId="0" applyNumberFormat="1" applyFont="1" applyFill="1" applyAlignment="1">
      <alignment horizontal="center" vertical="center"/>
    </xf>
    <xf numFmtId="0" fontId="11" fillId="0" borderId="0" xfId="0" applyFont="1" applyFill="1" applyAlignment="1">
      <alignment horizontal="center" vertical="center"/>
    </xf>
    <xf numFmtId="0" fontId="11" fillId="0" borderId="1" xfId="0" applyFont="1" applyBorder="1" applyAlignment="1">
      <alignment horizontal="center" vertical="center"/>
    </xf>
    <xf numFmtId="0" fontId="11" fillId="0" borderId="0" xfId="0" applyFont="1" applyAlignment="1">
      <alignment horizontal="center" vertical="center"/>
    </xf>
    <xf numFmtId="0" fontId="11" fillId="0" borderId="0" xfId="0" applyFont="1">
      <alignment vertical="center"/>
    </xf>
    <xf numFmtId="0" fontId="10" fillId="12" borderId="13" xfId="2" applyFont="1" applyBorder="1" applyAlignment="1">
      <alignment horizontal="center" vertical="center"/>
    </xf>
    <xf numFmtId="0" fontId="10" fillId="12" borderId="14" xfId="2" applyFont="1" applyBorder="1" applyAlignment="1">
      <alignment horizontal="center" vertical="center"/>
    </xf>
    <xf numFmtId="0" fontId="10" fillId="12" borderId="15" xfId="2" applyFont="1" applyBorder="1" applyAlignment="1">
      <alignment horizontal="center" vertical="center"/>
    </xf>
    <xf numFmtId="0" fontId="11" fillId="0" borderId="11"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12" xfId="0" applyFont="1" applyFill="1" applyBorder="1" applyAlignment="1">
      <alignment horizontal="center" vertical="center"/>
    </xf>
    <xf numFmtId="0" fontId="11" fillId="0" borderId="19" xfId="0" applyFont="1" applyBorder="1" applyAlignment="1">
      <alignment horizontal="center" vertical="center"/>
    </xf>
    <xf numFmtId="10" fontId="11" fillId="0" borderId="1" xfId="5" applyNumberFormat="1" applyFont="1" applyBorder="1" applyAlignment="1">
      <alignment horizontal="center" vertical="center"/>
    </xf>
    <xf numFmtId="0" fontId="11" fillId="15" borderId="0" xfId="0" applyFont="1" applyFill="1" applyAlignment="1">
      <alignment horizontal="center" vertical="center"/>
    </xf>
    <xf numFmtId="14" fontId="11" fillId="15" borderId="0" xfId="0" applyNumberFormat="1" applyFont="1" applyFill="1" applyAlignment="1">
      <alignment horizontal="center" vertical="center"/>
    </xf>
    <xf numFmtId="0" fontId="11" fillId="15" borderId="11" xfId="0" applyFont="1" applyFill="1" applyBorder="1" applyAlignment="1">
      <alignment horizontal="center" vertical="center"/>
    </xf>
    <xf numFmtId="0" fontId="11" fillId="15" borderId="0" xfId="0" applyFont="1" applyFill="1" applyBorder="1" applyAlignment="1">
      <alignment horizontal="center" vertical="center"/>
    </xf>
    <xf numFmtId="0" fontId="11" fillId="15" borderId="0" xfId="0" applyFont="1" applyFill="1" applyBorder="1" applyAlignment="1">
      <alignment horizontal="left" vertical="center"/>
    </xf>
    <xf numFmtId="0" fontId="11" fillId="15" borderId="26" xfId="0" applyFont="1" applyFill="1" applyBorder="1" applyAlignment="1">
      <alignment horizontal="center" vertical="center"/>
    </xf>
    <xf numFmtId="0" fontId="11" fillId="15" borderId="12" xfId="0" applyFont="1" applyFill="1" applyBorder="1" applyAlignment="1">
      <alignment horizontal="left" vertical="center"/>
    </xf>
    <xf numFmtId="0" fontId="11" fillId="15" borderId="27" xfId="0" applyFont="1" applyFill="1" applyBorder="1" applyAlignment="1">
      <alignment horizontal="left" vertical="center"/>
    </xf>
    <xf numFmtId="0" fontId="11" fillId="15" borderId="30" xfId="0" applyFont="1" applyFill="1" applyBorder="1" applyAlignment="1">
      <alignment horizontal="center" vertical="center"/>
    </xf>
    <xf numFmtId="0" fontId="11" fillId="15" borderId="0" xfId="0" applyFont="1" applyFill="1">
      <alignment vertical="center"/>
    </xf>
    <xf numFmtId="0" fontId="18" fillId="15" borderId="0" xfId="0" applyFont="1" applyFill="1" applyAlignment="1">
      <alignment horizontal="center" vertical="center"/>
    </xf>
    <xf numFmtId="0" fontId="11" fillId="5" borderId="0" xfId="0" applyFont="1" applyFill="1" applyAlignment="1">
      <alignment horizontal="center" vertical="center"/>
    </xf>
    <xf numFmtId="0" fontId="11" fillId="4" borderId="0" xfId="0" applyFont="1" applyFill="1" applyAlignment="1">
      <alignment horizontal="center" vertical="center"/>
    </xf>
    <xf numFmtId="0" fontId="11" fillId="6" borderId="0" xfId="0" applyFont="1" applyFill="1" applyAlignment="1">
      <alignment horizontal="center" vertical="center"/>
    </xf>
    <xf numFmtId="0" fontId="11" fillId="7" borderId="0" xfId="0" applyFont="1" applyFill="1" applyAlignment="1">
      <alignment horizontal="center" vertical="center"/>
    </xf>
    <xf numFmtId="0" fontId="11" fillId="8" borderId="0" xfId="0" applyFont="1" applyFill="1" applyAlignment="1">
      <alignment horizontal="center" vertical="center"/>
    </xf>
    <xf numFmtId="0" fontId="11" fillId="10" borderId="0" xfId="0" applyFont="1" applyFill="1" applyAlignment="1">
      <alignment horizontal="center" vertical="center"/>
    </xf>
    <xf numFmtId="0" fontId="11" fillId="3" borderId="0" xfId="0" applyFont="1" applyFill="1" applyAlignment="1">
      <alignment horizontal="center" vertical="center"/>
    </xf>
    <xf numFmtId="0" fontId="19" fillId="15" borderId="0" xfId="0" applyFont="1" applyFill="1" applyAlignment="1">
      <alignment horizontal="center" vertical="center"/>
    </xf>
    <xf numFmtId="0" fontId="19" fillId="5" borderId="0" xfId="0" applyFont="1" applyFill="1" applyAlignment="1">
      <alignment horizontal="center" vertical="center"/>
    </xf>
    <xf numFmtId="0" fontId="19" fillId="4" borderId="0" xfId="0" applyFont="1" applyFill="1" applyAlignment="1">
      <alignment horizontal="center" vertical="center"/>
    </xf>
    <xf numFmtId="0" fontId="19" fillId="6" borderId="0" xfId="0" applyFont="1" applyFill="1" applyAlignment="1">
      <alignment horizontal="center" vertical="center"/>
    </xf>
    <xf numFmtId="0" fontId="18"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5" borderId="6" xfId="0" applyFont="1" applyFill="1" applyBorder="1" applyAlignment="1">
      <alignment horizontal="center" vertical="center"/>
    </xf>
    <xf numFmtId="0" fontId="11" fillId="4" borderId="6" xfId="0" applyFont="1" applyFill="1" applyBorder="1" applyAlignment="1">
      <alignment horizontal="center" vertical="center"/>
    </xf>
    <xf numFmtId="0" fontId="11" fillId="6" borderId="6" xfId="0" applyFont="1" applyFill="1" applyBorder="1" applyAlignment="1">
      <alignment horizontal="center" vertical="center"/>
    </xf>
    <xf numFmtId="0" fontId="11" fillId="7" borderId="6" xfId="0" applyFont="1" applyFill="1" applyBorder="1" applyAlignment="1">
      <alignment horizontal="center" vertical="center"/>
    </xf>
    <xf numFmtId="0" fontId="11" fillId="15" borderId="6" xfId="0" applyFont="1" applyFill="1" applyBorder="1" applyAlignment="1">
      <alignment horizontal="center" vertical="center"/>
    </xf>
    <xf numFmtId="0" fontId="11" fillId="8" borderId="6" xfId="0" applyFont="1" applyFill="1" applyBorder="1" applyAlignment="1">
      <alignment horizontal="center" vertical="center"/>
    </xf>
    <xf numFmtId="0" fontId="11" fillId="10" borderId="6" xfId="0" applyFont="1" applyFill="1" applyBorder="1" applyAlignment="1">
      <alignment horizontal="center" vertical="center"/>
    </xf>
    <xf numFmtId="0" fontId="11" fillId="3" borderId="31" xfId="0" applyFont="1" applyFill="1" applyBorder="1" applyAlignment="1">
      <alignment horizontal="center" vertical="center"/>
    </xf>
    <xf numFmtId="0" fontId="18" fillId="2" borderId="8" xfId="0" applyFont="1" applyFill="1" applyBorder="1" applyAlignment="1">
      <alignment horizontal="center" vertical="center"/>
    </xf>
    <xf numFmtId="0" fontId="11" fillId="2" borderId="9" xfId="0" quotePrefix="1" applyFont="1" applyFill="1" applyBorder="1" applyAlignment="1">
      <alignment horizontal="center" vertical="center"/>
    </xf>
    <xf numFmtId="0" fontId="11" fillId="5" borderId="9" xfId="0" applyFont="1" applyFill="1" applyBorder="1" applyAlignment="1">
      <alignment horizontal="center" vertical="center"/>
    </xf>
    <xf numFmtId="0" fontId="11" fillId="4" borderId="9" xfId="0" applyFont="1" applyFill="1" applyBorder="1" applyAlignment="1">
      <alignment horizontal="center" vertical="center"/>
    </xf>
    <xf numFmtId="0" fontId="11" fillId="6" borderId="9" xfId="0" applyFont="1" applyFill="1" applyBorder="1" applyAlignment="1">
      <alignment horizontal="center" vertical="center"/>
    </xf>
    <xf numFmtId="0" fontId="11" fillId="7" borderId="9" xfId="0" applyFont="1" applyFill="1" applyBorder="1" applyAlignment="1">
      <alignment horizontal="center" vertical="center"/>
    </xf>
    <xf numFmtId="0" fontId="11" fillId="15" borderId="9" xfId="0" applyFont="1" applyFill="1" applyBorder="1" applyAlignment="1">
      <alignment horizontal="center" vertical="center"/>
    </xf>
    <xf numFmtId="0" fontId="11" fillId="8" borderId="9" xfId="0" applyFont="1" applyFill="1" applyBorder="1" applyAlignment="1">
      <alignment horizontal="center" vertical="center"/>
    </xf>
    <xf numFmtId="0" fontId="11" fillId="10" borderId="9" xfId="0" applyFont="1" applyFill="1" applyBorder="1" applyAlignment="1">
      <alignment horizontal="center" vertical="center"/>
    </xf>
    <xf numFmtId="0" fontId="11" fillId="3" borderId="32" xfId="0" applyFont="1" applyFill="1" applyBorder="1" applyAlignment="1">
      <alignment horizontal="center" vertical="center"/>
    </xf>
    <xf numFmtId="0" fontId="18" fillId="0" borderId="1" xfId="0" applyFont="1" applyBorder="1" applyAlignment="1">
      <alignment horizontal="center" vertical="center"/>
    </xf>
    <xf numFmtId="0" fontId="20" fillId="0" borderId="1" xfId="0" quotePrefix="1" applyFont="1" applyBorder="1" applyAlignment="1">
      <alignment horizontal="center" vertical="center"/>
    </xf>
    <xf numFmtId="0" fontId="20" fillId="5" borderId="1" xfId="0" applyFont="1" applyFill="1" applyBorder="1" applyAlignment="1">
      <alignment horizontal="center" vertical="center"/>
    </xf>
    <xf numFmtId="0" fontId="20" fillId="4" borderId="1" xfId="0" applyFont="1" applyFill="1" applyBorder="1" applyAlignment="1">
      <alignment horizontal="center" vertical="center"/>
    </xf>
    <xf numFmtId="0" fontId="20" fillId="6" borderId="1" xfId="0" applyFont="1" applyFill="1" applyBorder="1" applyAlignment="1">
      <alignment horizontal="center" vertical="center"/>
    </xf>
    <xf numFmtId="0" fontId="20" fillId="7" borderId="1" xfId="0" quotePrefix="1" applyFont="1" applyFill="1" applyBorder="1" applyAlignment="1">
      <alignment horizontal="center" vertical="center"/>
    </xf>
    <xf numFmtId="0" fontId="20" fillId="15" borderId="1" xfId="0" applyFont="1" applyFill="1" applyBorder="1" applyAlignment="1">
      <alignment horizontal="center" vertical="center"/>
    </xf>
    <xf numFmtId="0" fontId="20" fillId="8" borderId="1" xfId="0" applyFont="1" applyFill="1" applyBorder="1" applyAlignment="1">
      <alignment horizontal="center" vertical="center"/>
    </xf>
    <xf numFmtId="0" fontId="20" fillId="10" borderId="1" xfId="0" applyFont="1" applyFill="1" applyBorder="1" applyAlignment="1">
      <alignment horizontal="center" vertical="center"/>
    </xf>
    <xf numFmtId="0" fontId="20" fillId="3" borderId="1" xfId="0" applyFont="1" applyFill="1" applyBorder="1" applyAlignment="1">
      <alignment horizontal="center" vertical="center"/>
    </xf>
    <xf numFmtId="0" fontId="11" fillId="0" borderId="1" xfId="0" quotePrefix="1" applyFont="1" applyBorder="1" applyAlignment="1">
      <alignment horizontal="center" vertical="center"/>
    </xf>
    <xf numFmtId="0" fontId="11" fillId="5" borderId="1" xfId="0" applyFont="1" applyFill="1" applyBorder="1" applyAlignment="1">
      <alignment horizontal="center" vertical="center"/>
    </xf>
    <xf numFmtId="0" fontId="11" fillId="4" borderId="1" xfId="0" applyFont="1" applyFill="1" applyBorder="1" applyAlignment="1">
      <alignment horizontal="center" vertical="center"/>
    </xf>
    <xf numFmtId="0" fontId="11" fillId="6" borderId="1" xfId="0" applyFont="1" applyFill="1" applyBorder="1" applyAlignment="1">
      <alignment horizontal="center" vertical="center"/>
    </xf>
    <xf numFmtId="0" fontId="11" fillId="7" borderId="1" xfId="0" quotePrefix="1" applyFont="1" applyFill="1" applyBorder="1" applyAlignment="1">
      <alignment horizontal="center" vertical="center"/>
    </xf>
    <xf numFmtId="0" fontId="11" fillId="15" borderId="1" xfId="0" applyFont="1" applyFill="1" applyBorder="1" applyAlignment="1">
      <alignment horizontal="center" vertical="center"/>
    </xf>
    <xf numFmtId="0" fontId="21" fillId="15" borderId="1" xfId="0" applyFont="1" applyFill="1" applyBorder="1" applyAlignment="1">
      <alignment horizontal="center" vertical="center"/>
    </xf>
    <xf numFmtId="0" fontId="21" fillId="8" borderId="1" xfId="0" applyFont="1" applyFill="1" applyBorder="1" applyAlignment="1">
      <alignment horizontal="center" vertical="center"/>
    </xf>
    <xf numFmtId="0" fontId="11" fillId="10" borderId="1" xfId="0" applyFont="1" applyFill="1" applyBorder="1" applyAlignment="1">
      <alignment horizontal="center" vertical="center"/>
    </xf>
    <xf numFmtId="0" fontId="11" fillId="3" borderId="1" xfId="0" applyFont="1" applyFill="1" applyBorder="1" applyAlignment="1">
      <alignment horizontal="center" vertical="center"/>
    </xf>
    <xf numFmtId="0" fontId="21" fillId="10" borderId="1" xfId="0" applyFont="1" applyFill="1" applyBorder="1" applyAlignment="1">
      <alignment horizontal="center" vertical="center"/>
    </xf>
    <xf numFmtId="0" fontId="21" fillId="3" borderId="4" xfId="0" applyFont="1" applyFill="1" applyBorder="1" applyAlignment="1">
      <alignment horizontal="center" vertical="center"/>
    </xf>
    <xf numFmtId="0" fontId="11" fillId="7" borderId="1" xfId="0" applyFont="1" applyFill="1" applyBorder="1" applyAlignment="1">
      <alignment horizontal="center" vertical="center"/>
    </xf>
    <xf numFmtId="0" fontId="11" fillId="8" borderId="1" xfId="0" applyFont="1" applyFill="1" applyBorder="1" applyAlignment="1">
      <alignment horizontal="center" vertical="center"/>
    </xf>
    <xf numFmtId="0" fontId="11" fillId="3" borderId="24" xfId="0" applyFont="1" applyFill="1" applyBorder="1" applyAlignment="1">
      <alignment horizontal="center" vertical="center"/>
    </xf>
    <xf numFmtId="10" fontId="11" fillId="3" borderId="24" xfId="0" applyNumberFormat="1" applyFont="1" applyFill="1" applyBorder="1" applyAlignment="1">
      <alignment horizontal="center" vertical="center"/>
    </xf>
    <xf numFmtId="0" fontId="18" fillId="0" borderId="3" xfId="0" applyFont="1" applyBorder="1" applyAlignment="1">
      <alignment horizontal="center" vertical="center"/>
    </xf>
    <xf numFmtId="0" fontId="11" fillId="0" borderId="3" xfId="0" applyFont="1" applyBorder="1" applyAlignment="1">
      <alignment horizontal="center" vertical="center"/>
    </xf>
    <xf numFmtId="0" fontId="11" fillId="5" borderId="3" xfId="0" applyFont="1" applyFill="1" applyBorder="1" applyAlignment="1">
      <alignment horizontal="center" vertical="center"/>
    </xf>
    <xf numFmtId="0" fontId="11" fillId="4" borderId="3" xfId="0" applyFont="1" applyFill="1" applyBorder="1" applyAlignment="1">
      <alignment horizontal="center" vertical="center"/>
    </xf>
    <xf numFmtId="0" fontId="11" fillId="6" borderId="3" xfId="0" applyFont="1" applyFill="1" applyBorder="1" applyAlignment="1">
      <alignment horizontal="center" vertical="center"/>
    </xf>
    <xf numFmtId="0" fontId="11" fillId="7" borderId="3" xfId="0" applyFont="1" applyFill="1" applyBorder="1" applyAlignment="1">
      <alignment horizontal="center" vertical="center"/>
    </xf>
    <xf numFmtId="0" fontId="11" fillId="15" borderId="3" xfId="0" applyFont="1" applyFill="1" applyBorder="1" applyAlignment="1">
      <alignment horizontal="center" vertical="center"/>
    </xf>
    <xf numFmtId="0" fontId="11" fillId="8" borderId="3" xfId="0" applyFont="1" applyFill="1" applyBorder="1" applyAlignment="1">
      <alignment horizontal="center" vertical="center"/>
    </xf>
    <xf numFmtId="0" fontId="11" fillId="10" borderId="3" xfId="0" applyFont="1" applyFill="1" applyBorder="1" applyAlignment="1">
      <alignment horizontal="center" vertical="center"/>
    </xf>
    <xf numFmtId="0" fontId="11" fillId="3" borderId="25" xfId="0" applyFont="1" applyFill="1" applyBorder="1" applyAlignment="1">
      <alignment horizontal="center" vertical="center"/>
    </xf>
    <xf numFmtId="0" fontId="11" fillId="0" borderId="3" xfId="0" quotePrefix="1" applyFont="1" applyBorder="1" applyAlignment="1">
      <alignment horizontal="center" vertical="center"/>
    </xf>
    <xf numFmtId="0" fontId="18" fillId="0" borderId="0" xfId="0" applyFont="1" applyAlignment="1">
      <alignment horizontal="center" vertical="center"/>
    </xf>
    <xf numFmtId="0" fontId="11" fillId="10" borderId="12" xfId="0" applyFont="1" applyFill="1" applyBorder="1" applyAlignment="1">
      <alignment horizontal="center" vertical="center"/>
    </xf>
    <xf numFmtId="0" fontId="11" fillId="0" borderId="0" xfId="0" applyFont="1" applyAlignment="1">
      <alignment horizontal="left" vertical="center"/>
    </xf>
    <xf numFmtId="0" fontId="11" fillId="10" borderId="0" xfId="0" applyFont="1" applyFill="1">
      <alignment vertical="center"/>
    </xf>
    <xf numFmtId="0" fontId="11" fillId="11" borderId="0" xfId="0" applyFont="1" applyFill="1">
      <alignment vertical="center"/>
    </xf>
    <xf numFmtId="0" fontId="19" fillId="0" borderId="0" xfId="0" applyFont="1" applyAlignment="1">
      <alignment horizontal="center" vertical="center"/>
    </xf>
    <xf numFmtId="0" fontId="11" fillId="10" borderId="7" xfId="0" applyFont="1" applyFill="1" applyBorder="1" applyAlignment="1">
      <alignment horizontal="center" vertical="center"/>
    </xf>
    <xf numFmtId="0" fontId="11" fillId="11" borderId="7" xfId="0" applyFont="1" applyFill="1" applyBorder="1" applyAlignment="1">
      <alignment horizontal="center" vertical="center"/>
    </xf>
    <xf numFmtId="0" fontId="11" fillId="3" borderId="9" xfId="0" applyFont="1" applyFill="1" applyBorder="1" applyAlignment="1">
      <alignment horizontal="center" vertical="center"/>
    </xf>
    <xf numFmtId="0" fontId="11" fillId="10" borderId="10" xfId="0" applyFont="1" applyFill="1" applyBorder="1" applyAlignment="1">
      <alignment horizontal="center" vertical="center"/>
    </xf>
    <xf numFmtId="0" fontId="11" fillId="11" borderId="10" xfId="0" applyFont="1" applyFill="1" applyBorder="1" applyAlignment="1">
      <alignment horizontal="center" vertical="center"/>
    </xf>
    <xf numFmtId="0" fontId="20" fillId="0" borderId="1" xfId="0" applyFont="1" applyBorder="1" applyAlignment="1">
      <alignment horizontal="center" vertical="center"/>
    </xf>
    <xf numFmtId="0" fontId="20" fillId="11" borderId="1" xfId="0" applyFont="1" applyFill="1" applyBorder="1" applyAlignment="1">
      <alignment horizontal="center" vertical="center"/>
    </xf>
    <xf numFmtId="0" fontId="11" fillId="10" borderId="1" xfId="0" applyFont="1" applyFill="1" applyBorder="1" applyAlignment="1">
      <alignment horizontal="left" vertical="center"/>
    </xf>
    <xf numFmtId="0" fontId="11" fillId="11" borderId="1" xfId="0" applyFont="1" applyFill="1" applyBorder="1" applyAlignment="1">
      <alignment horizontal="left" vertical="center"/>
    </xf>
    <xf numFmtId="0" fontId="21" fillId="7" borderId="1" xfId="0" quotePrefix="1" applyFont="1" applyFill="1" applyBorder="1" applyAlignment="1">
      <alignment horizontal="center" vertical="center"/>
    </xf>
    <xf numFmtId="0" fontId="21" fillId="0" borderId="1" xfId="0" applyFont="1" applyBorder="1" applyAlignment="1">
      <alignment horizontal="center" vertical="center"/>
    </xf>
    <xf numFmtId="0" fontId="21" fillId="10" borderId="1" xfId="0" applyFont="1" applyFill="1" applyBorder="1" applyAlignment="1">
      <alignment horizontal="left" vertical="center"/>
    </xf>
    <xf numFmtId="0" fontId="21" fillId="11" borderId="4" xfId="0" applyFont="1" applyFill="1" applyBorder="1">
      <alignment vertical="center"/>
    </xf>
    <xf numFmtId="0" fontId="21" fillId="0" borderId="0" xfId="0" applyFont="1" applyAlignment="1">
      <alignment horizontal="center" vertical="center"/>
    </xf>
    <xf numFmtId="0" fontId="21" fillId="11" borderId="1" xfId="0" applyFont="1" applyFill="1" applyBorder="1" applyAlignment="1">
      <alignment horizontal="left" vertical="center"/>
    </xf>
    <xf numFmtId="0" fontId="24" fillId="5" borderId="1" xfId="0" applyFont="1" applyFill="1" applyBorder="1" applyAlignment="1">
      <alignment horizontal="center" vertical="center"/>
    </xf>
    <xf numFmtId="0" fontId="24" fillId="6" borderId="1" xfId="0" applyFont="1" applyFill="1" applyBorder="1" applyAlignment="1">
      <alignment horizontal="center" vertical="center"/>
    </xf>
    <xf numFmtId="0" fontId="21" fillId="9" borderId="1" xfId="1" applyFont="1" applyBorder="1" applyAlignment="1">
      <alignment horizontal="center" vertical="center"/>
    </xf>
    <xf numFmtId="0" fontId="20" fillId="10" borderId="1" xfId="0" applyFont="1" applyFill="1" applyBorder="1" applyAlignment="1">
      <alignment horizontal="left" vertical="center"/>
    </xf>
    <xf numFmtId="0" fontId="11" fillId="11" borderId="1" xfId="0" applyFont="1" applyFill="1" applyBorder="1" applyAlignment="1">
      <alignment horizontal="center" vertical="center"/>
    </xf>
    <xf numFmtId="0" fontId="11" fillId="10" borderId="1" xfId="0" applyFont="1" applyFill="1" applyBorder="1">
      <alignment vertical="center"/>
    </xf>
    <xf numFmtId="0" fontId="11" fillId="11" borderId="1" xfId="0" applyFont="1" applyFill="1" applyBorder="1">
      <alignment vertical="center"/>
    </xf>
    <xf numFmtId="0" fontId="20" fillId="7" borderId="1" xfId="0" applyFont="1" applyFill="1" applyBorder="1" applyAlignment="1">
      <alignment horizontal="center" vertical="center"/>
    </xf>
    <xf numFmtId="0" fontId="20" fillId="10" borderId="1" xfId="0" applyFont="1" applyFill="1" applyBorder="1">
      <alignment vertical="center"/>
    </xf>
    <xf numFmtId="0" fontId="20" fillId="11" borderId="1" xfId="0" applyFont="1" applyFill="1" applyBorder="1">
      <alignment vertical="center"/>
    </xf>
    <xf numFmtId="10" fontId="11" fillId="10" borderId="1" xfId="0" applyNumberFormat="1" applyFont="1" applyFill="1" applyBorder="1">
      <alignment vertical="center"/>
    </xf>
    <xf numFmtId="10" fontId="11" fillId="11" borderId="1" xfId="0" applyNumberFormat="1" applyFont="1" applyFill="1" applyBorder="1">
      <alignment vertical="center"/>
    </xf>
    <xf numFmtId="10" fontId="20" fillId="10" borderId="1" xfId="0" applyNumberFormat="1" applyFont="1" applyFill="1" applyBorder="1">
      <alignment vertical="center"/>
    </xf>
    <xf numFmtId="10" fontId="20" fillId="11" borderId="1" xfId="0" applyNumberFormat="1" applyFont="1" applyFill="1" applyBorder="1">
      <alignment vertical="center"/>
    </xf>
    <xf numFmtId="0" fontId="11" fillId="10" borderId="3" xfId="0" applyFont="1" applyFill="1" applyBorder="1">
      <alignment vertical="center"/>
    </xf>
    <xf numFmtId="0" fontId="11" fillId="11" borderId="3" xfId="0" applyFont="1" applyFill="1" applyBorder="1">
      <alignment vertical="center"/>
    </xf>
    <xf numFmtId="0" fontId="18" fillId="0" borderId="4" xfId="0" applyFont="1" applyBorder="1" applyAlignment="1">
      <alignment horizontal="center" vertical="center"/>
    </xf>
    <xf numFmtId="0" fontId="11" fillId="0" borderId="4" xfId="0" quotePrefix="1" applyFont="1" applyBorder="1" applyAlignment="1">
      <alignment horizontal="center" vertical="center"/>
    </xf>
    <xf numFmtId="0" fontId="11" fillId="5"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1" fillId="0" borderId="4" xfId="0" applyFont="1" applyBorder="1" applyAlignment="1">
      <alignment horizontal="center" vertical="center"/>
    </xf>
    <xf numFmtId="0" fontId="11" fillId="8" borderId="4" xfId="0" applyFont="1" applyFill="1" applyBorder="1" applyAlignment="1">
      <alignment horizontal="center" vertical="center"/>
    </xf>
    <xf numFmtId="0" fontId="11" fillId="10" borderId="4" xfId="0" applyFont="1" applyFill="1" applyBorder="1">
      <alignment vertical="center"/>
    </xf>
    <xf numFmtId="0" fontId="11" fillId="11" borderId="4" xfId="0" applyFont="1" applyFill="1" applyBorder="1">
      <alignment vertical="center"/>
    </xf>
    <xf numFmtId="10" fontId="11" fillId="0" borderId="19" xfId="5" applyNumberFormat="1" applyFont="1" applyBorder="1" applyAlignment="1">
      <alignment horizontal="center" vertical="center"/>
    </xf>
    <xf numFmtId="10" fontId="10" fillId="12" borderId="22" xfId="2" applyNumberFormat="1" applyFont="1" applyBorder="1" applyAlignment="1">
      <alignment horizontal="center" vertical="center"/>
    </xf>
    <xf numFmtId="10" fontId="10" fillId="12" borderId="21" xfId="2" applyNumberFormat="1" applyFont="1" applyBorder="1" applyAlignment="1">
      <alignment horizontal="center" vertical="center"/>
    </xf>
    <xf numFmtId="0" fontId="11" fillId="16" borderId="0" xfId="0" applyFont="1" applyFill="1" applyAlignment="1">
      <alignment horizontal="left" vertical="center"/>
    </xf>
    <xf numFmtId="0" fontId="20" fillId="16" borderId="0" xfId="0" applyFont="1" applyFill="1" applyAlignment="1">
      <alignment horizontal="left" vertical="center"/>
    </xf>
    <xf numFmtId="0" fontId="26" fillId="16" borderId="0" xfId="6" applyFont="1" applyFill="1" applyAlignment="1">
      <alignment horizontal="left" vertical="center"/>
    </xf>
    <xf numFmtId="0" fontId="11" fillId="16" borderId="33" xfId="0" applyFont="1" applyFill="1" applyBorder="1" applyAlignment="1">
      <alignment horizontal="left" vertical="center"/>
    </xf>
    <xf numFmtId="0" fontId="20" fillId="16" borderId="0" xfId="0" applyNumberFormat="1" applyFont="1" applyFill="1" applyAlignment="1">
      <alignment horizontal="left" vertical="center"/>
    </xf>
    <xf numFmtId="0" fontId="11" fillId="16" borderId="0" xfId="0" applyFont="1" applyFill="1" applyBorder="1" applyAlignment="1">
      <alignment horizontal="left" vertical="center"/>
    </xf>
    <xf numFmtId="0" fontId="11" fillId="16" borderId="0" xfId="0" applyFont="1" applyFill="1" applyAlignment="1">
      <alignment horizontal="center" vertical="center"/>
    </xf>
    <xf numFmtId="0" fontId="17" fillId="14" borderId="19" xfId="4" applyFont="1" applyBorder="1" applyAlignment="1">
      <alignment horizontal="center" vertical="center" wrapText="1"/>
    </xf>
    <xf numFmtId="0" fontId="16" fillId="13" borderId="19" xfId="3" applyFont="1" applyBorder="1" applyAlignment="1">
      <alignment horizontal="center" vertical="center" wrapText="1"/>
    </xf>
    <xf numFmtId="0" fontId="16" fillId="13" borderId="19" xfId="3" applyFont="1" applyBorder="1" applyAlignment="1">
      <alignment horizontal="center" vertical="center"/>
    </xf>
    <xf numFmtId="0" fontId="17" fillId="14" borderId="19" xfId="4" applyFont="1" applyBorder="1" applyAlignment="1">
      <alignment horizontal="center" vertical="center"/>
    </xf>
    <xf numFmtId="0" fontId="16" fillId="13" borderId="28" xfId="3" applyFont="1" applyBorder="1" applyAlignment="1">
      <alignment horizontal="center" vertical="center"/>
    </xf>
    <xf numFmtId="0" fontId="16" fillId="13" borderId="29" xfId="3" applyFont="1" applyBorder="1" applyAlignment="1">
      <alignment horizontal="center" vertical="center"/>
    </xf>
    <xf numFmtId="0" fontId="17" fillId="14" borderId="28" xfId="4" applyFont="1" applyBorder="1" applyAlignment="1">
      <alignment horizontal="center" vertical="center"/>
    </xf>
    <xf numFmtId="0" fontId="17" fillId="14" borderId="29" xfId="4" applyFont="1" applyBorder="1" applyAlignment="1">
      <alignment horizontal="center" vertical="center"/>
    </xf>
    <xf numFmtId="0" fontId="10" fillId="12" borderId="22" xfId="2" applyFont="1" applyBorder="1" applyAlignment="1">
      <alignment horizontal="center" vertical="center"/>
    </xf>
    <xf numFmtId="0" fontId="10" fillId="12" borderId="21" xfId="2" applyFont="1" applyBorder="1" applyAlignment="1">
      <alignment horizontal="center" vertical="center"/>
    </xf>
    <xf numFmtId="0" fontId="16" fillId="13" borderId="20" xfId="3" applyFont="1" applyBorder="1" applyAlignment="1">
      <alignment horizontal="center" vertical="center" wrapText="1"/>
    </xf>
    <xf numFmtId="0" fontId="16" fillId="13" borderId="19" xfId="3" applyFont="1" applyBorder="1" applyAlignment="1">
      <alignment horizontal="center" vertical="center" wrapText="1"/>
    </xf>
    <xf numFmtId="0" fontId="16" fillId="13" borderId="17" xfId="3" applyFont="1" applyBorder="1" applyAlignment="1">
      <alignment horizontal="center" vertical="center" wrapText="1"/>
    </xf>
    <xf numFmtId="0" fontId="16" fillId="13" borderId="18" xfId="3" applyFont="1" applyBorder="1" applyAlignment="1">
      <alignment horizontal="center" vertical="center" wrapText="1"/>
    </xf>
    <xf numFmtId="0" fontId="17" fillId="14" borderId="20" xfId="4" applyFont="1" applyBorder="1" applyAlignment="1">
      <alignment horizontal="center" vertical="center" wrapText="1"/>
    </xf>
    <xf numFmtId="0" fontId="17" fillId="14" borderId="19" xfId="4" applyFont="1" applyBorder="1" applyAlignment="1">
      <alignment horizontal="center" vertical="center" wrapText="1"/>
    </xf>
    <xf numFmtId="0" fontId="17" fillId="14" borderId="17" xfId="4" applyFont="1" applyBorder="1" applyAlignment="1">
      <alignment horizontal="center" vertical="center" wrapText="1"/>
    </xf>
    <xf numFmtId="0" fontId="17" fillId="14" borderId="18" xfId="4" applyFont="1" applyBorder="1" applyAlignment="1">
      <alignment horizontal="center" vertical="center" wrapText="1"/>
    </xf>
    <xf numFmtId="0" fontId="11" fillId="0" borderId="16" xfId="0" applyFont="1" applyBorder="1" applyAlignment="1">
      <alignment horizontal="center" vertical="center"/>
    </xf>
    <xf numFmtId="0" fontId="11" fillId="0" borderId="23" xfId="0" applyFont="1" applyBorder="1" applyAlignment="1">
      <alignment horizontal="center" vertical="center"/>
    </xf>
    <xf numFmtId="0" fontId="11" fillId="0" borderId="24" xfId="0" applyFont="1" applyBorder="1" applyAlignment="1">
      <alignment horizontal="center" vertical="center"/>
    </xf>
    <xf numFmtId="0" fontId="11" fillId="0" borderId="0" xfId="0" applyFont="1" applyBorder="1" applyAlignment="1">
      <alignment horizontal="center" vertical="center"/>
    </xf>
    <xf numFmtId="1" fontId="11" fillId="0" borderId="0" xfId="0" applyNumberFormat="1" applyFont="1" applyBorder="1" applyAlignment="1">
      <alignment horizontal="center" vertical="center"/>
    </xf>
    <xf numFmtId="0" fontId="27" fillId="16" borderId="0" xfId="0" applyFont="1" applyFill="1" applyAlignment="1">
      <alignment horizontal="left" vertical="center"/>
    </xf>
  </cellXfs>
  <cellStyles count="7">
    <cellStyle name="一般" xfId="0" builtinId="0"/>
    <cellStyle name="中等" xfId="2" builtinId="28"/>
    <cellStyle name="好" xfId="3" builtinId="26"/>
    <cellStyle name="百分比" xfId="5" builtinId="5"/>
    <cellStyle name="備註" xfId="1" builtinId="10"/>
    <cellStyle name="超連結" xfId="6" builtinId="8"/>
    <cellStyle name="壞" xfId="4" builtinId="27"/>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13</xdr:col>
      <xdr:colOff>0</xdr:colOff>
      <xdr:row>10</xdr:row>
      <xdr:rowOff>177053</xdr:rowOff>
    </xdr:from>
    <xdr:to>
      <xdr:col>14</xdr:col>
      <xdr:colOff>1265817</xdr:colOff>
      <xdr:row>16</xdr:row>
      <xdr:rowOff>0</xdr:rowOff>
    </xdr:to>
    <xdr:sp macro="[0]!MainSub.Main" textlink="">
      <xdr:nvSpPr>
        <xdr:cNvPr id="2" name="矩形 1">
          <a:extLst>
            <a:ext uri="{FF2B5EF4-FFF2-40B4-BE49-F238E27FC236}">
              <a16:creationId xmlns:a16="http://schemas.microsoft.com/office/drawing/2014/main" id="{A5BBC7F3-EF35-4D11-B95D-6F40A95223E1}"/>
            </a:ext>
          </a:extLst>
        </xdr:cNvPr>
        <xdr:cNvSpPr/>
      </xdr:nvSpPr>
      <xdr:spPr>
        <a:xfrm>
          <a:off x="8442960" y="2188733"/>
          <a:ext cx="1883037" cy="1011667"/>
        </a:xfrm>
        <a:prstGeom prst="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2800"/>
            <a:t>RC</a:t>
          </a:r>
        </a:p>
        <a:p>
          <a:pPr algn="ctr"/>
          <a:r>
            <a:rPr lang="en-US" altLang="zh-TW" sz="2800"/>
            <a:t>SCAN</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57</xdr:row>
      <xdr:rowOff>76616</xdr:rowOff>
    </xdr:from>
    <xdr:to>
      <xdr:col>10</xdr:col>
      <xdr:colOff>208708</xdr:colOff>
      <xdr:row>74</xdr:row>
      <xdr:rowOff>0</xdr:rowOff>
    </xdr:to>
    <xdr:pic>
      <xdr:nvPicPr>
        <xdr:cNvPr id="3" name="圖片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stretch>
          <a:fillRect/>
        </a:stretch>
      </xdr:blipFill>
      <xdr:spPr>
        <a:xfrm>
          <a:off x="685800" y="4277141"/>
          <a:ext cx="6733333" cy="3323809"/>
        </a:xfrm>
        <a:prstGeom prst="rect">
          <a:avLst/>
        </a:prstGeom>
      </xdr:spPr>
    </xdr:pic>
    <xdr:clientData/>
  </xdr:twoCellAnchor>
  <xdr:twoCellAnchor editAs="oneCell">
    <xdr:from>
      <xdr:col>1</xdr:col>
      <xdr:colOff>0</xdr:colOff>
      <xdr:row>80</xdr:row>
      <xdr:rowOff>0</xdr:rowOff>
    </xdr:from>
    <xdr:to>
      <xdr:col>14</xdr:col>
      <xdr:colOff>484556</xdr:colOff>
      <xdr:row>83</xdr:row>
      <xdr:rowOff>28496</xdr:rowOff>
    </xdr:to>
    <xdr:pic>
      <xdr:nvPicPr>
        <xdr:cNvPr id="4" name="圖片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a:stretch>
          <a:fillRect/>
        </a:stretch>
      </xdr:blipFill>
      <xdr:spPr>
        <a:xfrm>
          <a:off x="685800" y="6600825"/>
          <a:ext cx="9752381" cy="628571"/>
        </a:xfrm>
        <a:prstGeom prst="rect">
          <a:avLst/>
        </a:prstGeom>
      </xdr:spPr>
    </xdr:pic>
    <xdr:clientData/>
  </xdr:twoCellAnchor>
  <xdr:twoCellAnchor editAs="oneCell">
    <xdr:from>
      <xdr:col>1</xdr:col>
      <xdr:colOff>0</xdr:colOff>
      <xdr:row>123</xdr:row>
      <xdr:rowOff>142982</xdr:rowOff>
    </xdr:from>
    <xdr:to>
      <xdr:col>18</xdr:col>
      <xdr:colOff>541356</xdr:colOff>
      <xdr:row>128</xdr:row>
      <xdr:rowOff>0</xdr:rowOff>
    </xdr:to>
    <xdr:pic>
      <xdr:nvPicPr>
        <xdr:cNvPr id="5" name="圖片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3"/>
        <a:stretch>
          <a:fillRect/>
        </a:stretch>
      </xdr:blipFill>
      <xdr:spPr>
        <a:xfrm>
          <a:off x="685800" y="17564207"/>
          <a:ext cx="12552381" cy="857143"/>
        </a:xfrm>
        <a:prstGeom prst="rect">
          <a:avLst/>
        </a:prstGeom>
      </xdr:spPr>
    </xdr:pic>
    <xdr:clientData/>
  </xdr:twoCellAnchor>
  <xdr:twoCellAnchor editAs="oneCell">
    <xdr:from>
      <xdr:col>1</xdr:col>
      <xdr:colOff>19050</xdr:colOff>
      <xdr:row>128</xdr:row>
      <xdr:rowOff>0</xdr:rowOff>
    </xdr:from>
    <xdr:to>
      <xdr:col>18</xdr:col>
      <xdr:colOff>541358</xdr:colOff>
      <xdr:row>129</xdr:row>
      <xdr:rowOff>123785</xdr:rowOff>
    </xdr:to>
    <xdr:pic>
      <xdr:nvPicPr>
        <xdr:cNvPr id="6" name="圖片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4"/>
        <a:stretch>
          <a:fillRect/>
        </a:stretch>
      </xdr:blipFill>
      <xdr:spPr>
        <a:xfrm>
          <a:off x="704850" y="9020175"/>
          <a:ext cx="12533333" cy="323810"/>
        </a:xfrm>
        <a:prstGeom prst="rect">
          <a:avLst/>
        </a:prstGeom>
      </xdr:spPr>
    </xdr:pic>
    <xdr:clientData/>
  </xdr:twoCellAnchor>
  <xdr:twoCellAnchor editAs="oneCell">
    <xdr:from>
      <xdr:col>1</xdr:col>
      <xdr:colOff>0</xdr:colOff>
      <xdr:row>46</xdr:row>
      <xdr:rowOff>104951</xdr:rowOff>
    </xdr:from>
    <xdr:to>
      <xdr:col>3</xdr:col>
      <xdr:colOff>533118</xdr:colOff>
      <xdr:row>53</xdr:row>
      <xdr:rowOff>114300</xdr:rowOff>
    </xdr:to>
    <xdr:pic>
      <xdr:nvPicPr>
        <xdr:cNvPr id="2" name="圖片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5"/>
        <a:stretch>
          <a:fillRect/>
        </a:stretch>
      </xdr:blipFill>
      <xdr:spPr>
        <a:xfrm>
          <a:off x="685800" y="2105201"/>
          <a:ext cx="2257143" cy="1409524"/>
        </a:xfrm>
        <a:prstGeom prst="rect">
          <a:avLst/>
        </a:prstGeom>
      </xdr:spPr>
    </xdr:pic>
    <xdr:clientData/>
  </xdr:twoCellAnchor>
  <xdr:twoCellAnchor editAs="oneCell">
    <xdr:from>
      <xdr:col>1</xdr:col>
      <xdr:colOff>0</xdr:colOff>
      <xdr:row>194</xdr:row>
      <xdr:rowOff>19050</xdr:rowOff>
    </xdr:from>
    <xdr:to>
      <xdr:col>14</xdr:col>
      <xdr:colOff>608365</xdr:colOff>
      <xdr:row>230</xdr:row>
      <xdr:rowOff>103864</xdr:rowOff>
    </xdr:to>
    <xdr:pic>
      <xdr:nvPicPr>
        <xdr:cNvPr id="8" name="圖片 7">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6"/>
        <a:stretch>
          <a:fillRect/>
        </a:stretch>
      </xdr:blipFill>
      <xdr:spPr>
        <a:xfrm>
          <a:off x="685800" y="31480125"/>
          <a:ext cx="9876190" cy="7285714"/>
        </a:xfrm>
        <a:prstGeom prst="rect">
          <a:avLst/>
        </a:prstGeom>
      </xdr:spPr>
    </xdr:pic>
    <xdr:clientData/>
  </xdr:twoCellAnchor>
  <xdr:twoCellAnchor editAs="oneCell">
    <xdr:from>
      <xdr:col>1</xdr:col>
      <xdr:colOff>1073</xdr:colOff>
      <xdr:row>84</xdr:row>
      <xdr:rowOff>0</xdr:rowOff>
    </xdr:from>
    <xdr:to>
      <xdr:col>13</xdr:col>
      <xdr:colOff>0</xdr:colOff>
      <xdr:row>119</xdr:row>
      <xdr:rowOff>75315</xdr:rowOff>
    </xdr:to>
    <xdr:pic>
      <xdr:nvPicPr>
        <xdr:cNvPr id="9" name="圖片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embed="rId7"/>
        <a:stretch>
          <a:fillRect/>
        </a:stretch>
      </xdr:blipFill>
      <xdr:spPr>
        <a:xfrm>
          <a:off x="686873" y="9610725"/>
          <a:ext cx="8580952" cy="7076190"/>
        </a:xfrm>
        <a:prstGeom prst="rect">
          <a:avLst/>
        </a:prstGeom>
      </xdr:spPr>
    </xdr:pic>
    <xdr:clientData/>
  </xdr:twoCellAnchor>
  <xdr:twoCellAnchor editAs="oneCell">
    <xdr:from>
      <xdr:col>1</xdr:col>
      <xdr:colOff>0</xdr:colOff>
      <xdr:row>150</xdr:row>
      <xdr:rowOff>47625</xdr:rowOff>
    </xdr:from>
    <xdr:to>
      <xdr:col>14</xdr:col>
      <xdr:colOff>475032</xdr:colOff>
      <xdr:row>186</xdr:row>
      <xdr:rowOff>161011</xdr:rowOff>
    </xdr:to>
    <xdr:pic>
      <xdr:nvPicPr>
        <xdr:cNvPr id="10" name="圖片 9">
          <a:extLst>
            <a:ext uri="{FF2B5EF4-FFF2-40B4-BE49-F238E27FC236}">
              <a16:creationId xmlns:a16="http://schemas.microsoft.com/office/drawing/2014/main" id="{00000000-0008-0000-0800-00000A000000}"/>
            </a:ext>
          </a:extLst>
        </xdr:cNvPr>
        <xdr:cNvPicPr>
          <a:picLocks noChangeAspect="1"/>
        </xdr:cNvPicPr>
      </xdr:nvPicPr>
      <xdr:blipFill>
        <a:blip xmlns:r="http://schemas.openxmlformats.org/officeDocument/2006/relationships" r:embed="rId8"/>
        <a:stretch>
          <a:fillRect/>
        </a:stretch>
      </xdr:blipFill>
      <xdr:spPr>
        <a:xfrm>
          <a:off x="685800" y="22869525"/>
          <a:ext cx="9742857" cy="7314286"/>
        </a:xfrm>
        <a:prstGeom prst="rect">
          <a:avLst/>
        </a:prstGeom>
      </xdr:spPr>
    </xdr:pic>
    <xdr:clientData/>
  </xdr:twoCellAnchor>
  <xdr:twoCellAnchor editAs="oneCell">
    <xdr:from>
      <xdr:col>1</xdr:col>
      <xdr:colOff>0</xdr:colOff>
      <xdr:row>129</xdr:row>
      <xdr:rowOff>190500</xdr:rowOff>
    </xdr:from>
    <xdr:to>
      <xdr:col>16</xdr:col>
      <xdr:colOff>103432</xdr:colOff>
      <xdr:row>149</xdr:row>
      <xdr:rowOff>161429</xdr:rowOff>
    </xdr:to>
    <xdr:pic>
      <xdr:nvPicPr>
        <xdr:cNvPr id="11" name="圖片 10">
          <a:extLst>
            <a:ext uri="{FF2B5EF4-FFF2-40B4-BE49-F238E27FC236}">
              <a16:creationId xmlns:a16="http://schemas.microsoft.com/office/drawing/2014/main" id="{00000000-0008-0000-0800-00000B000000}"/>
            </a:ext>
          </a:extLst>
        </xdr:cNvPr>
        <xdr:cNvPicPr>
          <a:picLocks noChangeAspect="1"/>
        </xdr:cNvPicPr>
      </xdr:nvPicPr>
      <xdr:blipFill>
        <a:blip xmlns:r="http://schemas.openxmlformats.org/officeDocument/2006/relationships" r:embed="rId9"/>
        <a:stretch>
          <a:fillRect/>
        </a:stretch>
      </xdr:blipFill>
      <xdr:spPr>
        <a:xfrm>
          <a:off x="685800" y="18811875"/>
          <a:ext cx="10742857" cy="3971429"/>
        </a:xfrm>
        <a:prstGeom prst="rect">
          <a:avLst/>
        </a:prstGeom>
      </xdr:spPr>
    </xdr:pic>
    <xdr:clientData/>
  </xdr:twoCellAnchor>
  <xdr:twoCellAnchor editAs="oneCell">
    <xdr:from>
      <xdr:col>1</xdr:col>
      <xdr:colOff>0</xdr:colOff>
      <xdr:row>191</xdr:row>
      <xdr:rowOff>38100</xdr:rowOff>
    </xdr:from>
    <xdr:to>
      <xdr:col>21</xdr:col>
      <xdr:colOff>464908</xdr:colOff>
      <xdr:row>193</xdr:row>
      <xdr:rowOff>180907</xdr:rowOff>
    </xdr:to>
    <xdr:pic>
      <xdr:nvPicPr>
        <xdr:cNvPr id="12" name="圖片 11">
          <a:extLst>
            <a:ext uri="{FF2B5EF4-FFF2-40B4-BE49-F238E27FC236}">
              <a16:creationId xmlns:a16="http://schemas.microsoft.com/office/drawing/2014/main" id="{00000000-0008-0000-0800-00000C000000}"/>
            </a:ext>
          </a:extLst>
        </xdr:cNvPr>
        <xdr:cNvPicPr>
          <a:picLocks noChangeAspect="1"/>
        </xdr:cNvPicPr>
      </xdr:nvPicPr>
      <xdr:blipFill>
        <a:blip xmlns:r="http://schemas.openxmlformats.org/officeDocument/2006/relationships" r:embed="rId10"/>
        <a:stretch>
          <a:fillRect/>
        </a:stretch>
      </xdr:blipFill>
      <xdr:spPr>
        <a:xfrm>
          <a:off x="685800" y="30870525"/>
          <a:ext cx="14533333" cy="542857"/>
        </a:xfrm>
        <a:prstGeom prst="rect">
          <a:avLst/>
        </a:prstGeom>
      </xdr:spPr>
    </xdr:pic>
    <xdr:clientData/>
  </xdr:twoCellAnchor>
  <xdr:oneCellAnchor>
    <xdr:from>
      <xdr:col>1</xdr:col>
      <xdr:colOff>0</xdr:colOff>
      <xdr:row>28</xdr:row>
      <xdr:rowOff>142932</xdr:rowOff>
    </xdr:from>
    <xdr:ext cx="4118040" cy="451428"/>
    <xdr:pic>
      <xdr:nvPicPr>
        <xdr:cNvPr id="15" name="圖片 14">
          <a:extLst>
            <a:ext uri="{FF2B5EF4-FFF2-40B4-BE49-F238E27FC236}">
              <a16:creationId xmlns:a16="http://schemas.microsoft.com/office/drawing/2014/main" id="{C2536E6C-27ED-41C4-ADD7-F57FF43AD417}"/>
            </a:ext>
          </a:extLst>
        </xdr:cNvPr>
        <xdr:cNvPicPr>
          <a:picLocks noChangeAspect="1"/>
        </xdr:cNvPicPr>
      </xdr:nvPicPr>
      <xdr:blipFill>
        <a:blip xmlns:r="http://schemas.openxmlformats.org/officeDocument/2006/relationships" r:embed="rId11"/>
        <a:stretch>
          <a:fillRect/>
        </a:stretch>
      </xdr:blipFill>
      <xdr:spPr>
        <a:xfrm>
          <a:off x="617220" y="2124132"/>
          <a:ext cx="4118040" cy="451428"/>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10</xdr:col>
      <xdr:colOff>1771650</xdr:colOff>
      <xdr:row>54</xdr:row>
      <xdr:rowOff>142875</xdr:rowOff>
    </xdr:from>
    <xdr:to>
      <xdr:col>13</xdr:col>
      <xdr:colOff>161925</xdr:colOff>
      <xdr:row>57</xdr:row>
      <xdr:rowOff>47625</xdr:rowOff>
    </xdr:to>
    <xdr:sp macro="" textlink="">
      <xdr:nvSpPr>
        <xdr:cNvPr id="2" name="橢圓 1">
          <a:extLst>
            <a:ext uri="{FF2B5EF4-FFF2-40B4-BE49-F238E27FC236}">
              <a16:creationId xmlns:a16="http://schemas.microsoft.com/office/drawing/2014/main" id="{D4FDF7C9-1743-4E4C-9823-F91BF86F6EF7}"/>
            </a:ext>
          </a:extLst>
        </xdr:cNvPr>
        <xdr:cNvSpPr/>
      </xdr:nvSpPr>
      <xdr:spPr>
        <a:xfrm>
          <a:off x="11087100" y="13020675"/>
          <a:ext cx="6419850" cy="6191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10</xdr:col>
      <xdr:colOff>1495425</xdr:colOff>
      <xdr:row>156</xdr:row>
      <xdr:rowOff>200025</xdr:rowOff>
    </xdr:from>
    <xdr:to>
      <xdr:col>12</xdr:col>
      <xdr:colOff>2971800</xdr:colOff>
      <xdr:row>162</xdr:row>
      <xdr:rowOff>38100</xdr:rowOff>
    </xdr:to>
    <xdr:sp macro="" textlink="">
      <xdr:nvSpPr>
        <xdr:cNvPr id="3" name="橢圓 2">
          <a:extLst>
            <a:ext uri="{FF2B5EF4-FFF2-40B4-BE49-F238E27FC236}">
              <a16:creationId xmlns:a16="http://schemas.microsoft.com/office/drawing/2014/main" id="{2C3C0106-52F9-4832-9E7D-58E9C73D3ADC}"/>
            </a:ext>
          </a:extLst>
        </xdr:cNvPr>
        <xdr:cNvSpPr/>
      </xdr:nvSpPr>
      <xdr:spPr>
        <a:xfrm>
          <a:off x="10810875" y="37423725"/>
          <a:ext cx="6419850" cy="12668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742949</xdr:colOff>
      <xdr:row>253</xdr:row>
      <xdr:rowOff>104775</xdr:rowOff>
    </xdr:from>
    <xdr:to>
      <xdr:col>13</xdr:col>
      <xdr:colOff>142874</xdr:colOff>
      <xdr:row>255</xdr:row>
      <xdr:rowOff>171450</xdr:rowOff>
    </xdr:to>
    <xdr:sp macro="" textlink="">
      <xdr:nvSpPr>
        <xdr:cNvPr id="4" name="橢圓 3">
          <a:extLst>
            <a:ext uri="{FF2B5EF4-FFF2-40B4-BE49-F238E27FC236}">
              <a16:creationId xmlns:a16="http://schemas.microsoft.com/office/drawing/2014/main" id="{59ECC65B-3634-4568-831A-71146D47432E}"/>
            </a:ext>
          </a:extLst>
        </xdr:cNvPr>
        <xdr:cNvSpPr/>
      </xdr:nvSpPr>
      <xdr:spPr>
        <a:xfrm>
          <a:off x="3705224" y="60340875"/>
          <a:ext cx="13782675"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7</xdr:col>
      <xdr:colOff>381001</xdr:colOff>
      <xdr:row>195</xdr:row>
      <xdr:rowOff>66675</xdr:rowOff>
    </xdr:from>
    <xdr:to>
      <xdr:col>13</xdr:col>
      <xdr:colOff>371476</xdr:colOff>
      <xdr:row>197</xdr:row>
      <xdr:rowOff>133350</xdr:rowOff>
    </xdr:to>
    <xdr:sp macro="" textlink="">
      <xdr:nvSpPr>
        <xdr:cNvPr id="5" name="橢圓 4">
          <a:extLst>
            <a:ext uri="{FF2B5EF4-FFF2-40B4-BE49-F238E27FC236}">
              <a16:creationId xmlns:a16="http://schemas.microsoft.com/office/drawing/2014/main" id="{33D45C3F-0FF4-44B7-A674-B105FE5D7570}"/>
            </a:ext>
          </a:extLst>
        </xdr:cNvPr>
        <xdr:cNvSpPr/>
      </xdr:nvSpPr>
      <xdr:spPr>
        <a:xfrm>
          <a:off x="6686551" y="46396275"/>
          <a:ext cx="11029950"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mailto:#3@15" TargetMode="External"/><Relationship Id="rId2" Type="http://schemas.openxmlformats.org/officeDocument/2006/relationships/hyperlink" Target="mailto:#3@20" TargetMode="External"/><Relationship Id="rId1" Type="http://schemas.openxmlformats.org/officeDocument/2006/relationships/hyperlink" Target="mailto:#3@15"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3" Type="http://schemas.openxmlformats.org/officeDocument/2006/relationships/hyperlink" Target="mailto:#3@15" TargetMode="External"/><Relationship Id="rId2" Type="http://schemas.openxmlformats.org/officeDocument/2006/relationships/hyperlink" Target="mailto:#3@20" TargetMode="External"/><Relationship Id="rId1" Type="http://schemas.openxmlformats.org/officeDocument/2006/relationships/hyperlink" Target="mailto:#3@15"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hyperlink" Target="mailto:#3@15" TargetMode="External"/><Relationship Id="rId2" Type="http://schemas.openxmlformats.org/officeDocument/2006/relationships/hyperlink" Target="mailto:#3@20" TargetMode="External"/><Relationship Id="rId1" Type="http://schemas.openxmlformats.org/officeDocument/2006/relationships/hyperlink" Target="mailto:#3@15" TargetMode="Externa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hyperlink" Target="https://github.com/skyran1278/VbaProject/issues" TargetMode="Externa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tabColor rgb="FFFF0000"/>
  </sheetPr>
  <dimension ref="A1:M206"/>
  <sheetViews>
    <sheetView topLeftCell="I56" zoomScaleNormal="100" workbookViewId="0">
      <selection activeCell="L13" sqref="L13"/>
    </sheetView>
  </sheetViews>
  <sheetFormatPr defaultColWidth="9" defaultRowHeight="18" x14ac:dyDescent="0.3"/>
  <cols>
    <col min="1" max="1" width="9" style="24"/>
    <col min="2" max="2" width="12.21875" style="94" customWidth="1"/>
    <col min="3" max="3" width="6.88671875" style="5" customWidth="1"/>
    <col min="4" max="4" width="10.77734375" style="26" customWidth="1"/>
    <col min="5" max="5" width="11.6640625" style="27" customWidth="1"/>
    <col min="6" max="6" width="11.6640625" style="28" customWidth="1"/>
    <col min="7" max="7" width="20.6640625" style="29" customWidth="1"/>
    <col min="8" max="8" width="12.6640625" style="15" customWidth="1"/>
    <col min="9" max="9" width="15.21875" style="15" customWidth="1"/>
    <col min="10" max="10" width="11.6640625" style="15" customWidth="1"/>
    <col min="11" max="11" width="24.77734375" style="30" customWidth="1"/>
    <col min="12" max="12" width="70.77734375" style="31" customWidth="1"/>
    <col min="13" max="13" width="91.44140625" style="32" customWidth="1"/>
    <col min="14" max="14" width="9" style="6"/>
    <col min="15" max="15" width="17.33203125" style="6" customWidth="1"/>
    <col min="16" max="16384" width="9" style="6"/>
  </cols>
  <sheetData>
    <row r="1" spans="1:13" ht="15.6" x14ac:dyDescent="0.3">
      <c r="A1" s="15" t="s">
        <v>222</v>
      </c>
      <c r="B1" s="16">
        <v>43029</v>
      </c>
      <c r="C1" s="15"/>
    </row>
    <row r="2" spans="1:13" ht="15.6" x14ac:dyDescent="0.3">
      <c r="A2" s="15" t="s">
        <v>223</v>
      </c>
      <c r="B2" s="15"/>
      <c r="C2" s="15"/>
    </row>
    <row r="3" spans="1:13" ht="21" x14ac:dyDescent="0.3">
      <c r="A3" s="15" t="s">
        <v>224</v>
      </c>
      <c r="B3" s="15"/>
      <c r="C3" s="33">
        <f>SUM(D4:F4)</f>
        <v>60</v>
      </c>
      <c r="D3" s="34"/>
      <c r="E3" s="35"/>
      <c r="F3" s="36"/>
    </row>
    <row r="4" spans="1:13" ht="21.6" thickBot="1" x14ac:dyDescent="0.35">
      <c r="B4" s="25"/>
      <c r="C4" s="33"/>
      <c r="D4" s="34">
        <f>SUM(D6:D128)</f>
        <v>48</v>
      </c>
      <c r="E4" s="35">
        <f>SUM(E6:E128)</f>
        <v>12</v>
      </c>
      <c r="F4" s="36">
        <f>SUM(F6:F128)</f>
        <v>0</v>
      </c>
    </row>
    <row r="5" spans="1:13" x14ac:dyDescent="0.3">
      <c r="B5" s="37" t="s">
        <v>191</v>
      </c>
      <c r="C5" s="38" t="s">
        <v>192</v>
      </c>
      <c r="D5" s="39" t="s">
        <v>193</v>
      </c>
      <c r="E5" s="40" t="s">
        <v>194</v>
      </c>
      <c r="F5" s="41" t="s">
        <v>195</v>
      </c>
      <c r="G5" s="42" t="s">
        <v>196</v>
      </c>
      <c r="H5" s="43" t="s">
        <v>197</v>
      </c>
      <c r="I5" s="43" t="s">
        <v>197</v>
      </c>
      <c r="J5" s="43" t="s">
        <v>197</v>
      </c>
      <c r="K5" s="44" t="s">
        <v>198</v>
      </c>
      <c r="L5" s="45" t="s">
        <v>199</v>
      </c>
      <c r="M5" s="46" t="s">
        <v>209</v>
      </c>
    </row>
    <row r="6" spans="1:13" ht="18.600000000000001" thickBot="1" x14ac:dyDescent="0.35">
      <c r="B6" s="47" t="s">
        <v>832</v>
      </c>
      <c r="C6" s="48" t="s">
        <v>208</v>
      </c>
      <c r="D6" s="49" t="s">
        <v>833</v>
      </c>
      <c r="E6" s="50" t="s">
        <v>834</v>
      </c>
      <c r="F6" s="51" t="s">
        <v>835</v>
      </c>
      <c r="G6" s="52"/>
      <c r="H6" s="53"/>
      <c r="I6" s="53"/>
      <c r="J6" s="53"/>
      <c r="K6" s="54"/>
      <c r="L6" s="55"/>
      <c r="M6" s="56"/>
    </row>
    <row r="7" spans="1:13" x14ac:dyDescent="0.3">
      <c r="B7" s="57"/>
      <c r="C7" s="58"/>
      <c r="D7" s="59"/>
      <c r="E7" s="60"/>
      <c r="F7" s="61"/>
      <c r="G7" s="62"/>
      <c r="H7" s="63"/>
      <c r="I7" s="63"/>
      <c r="J7" s="63"/>
      <c r="K7" s="64"/>
      <c r="L7" s="65"/>
      <c r="M7" s="66"/>
    </row>
    <row r="8" spans="1:13" x14ac:dyDescent="0.3">
      <c r="B8" s="57"/>
      <c r="C8" s="67" t="s">
        <v>328</v>
      </c>
      <c r="D8" s="68">
        <v>1</v>
      </c>
      <c r="E8" s="69"/>
      <c r="F8" s="70"/>
      <c r="G8" s="71" t="s">
        <v>329</v>
      </c>
      <c r="H8" s="72" t="s">
        <v>348</v>
      </c>
      <c r="I8" s="73"/>
      <c r="J8" s="73" t="s">
        <v>349</v>
      </c>
      <c r="K8" s="74" t="s">
        <v>836</v>
      </c>
      <c r="L8" s="75" t="s">
        <v>351</v>
      </c>
      <c r="M8" s="76" t="s">
        <v>352</v>
      </c>
    </row>
    <row r="9" spans="1:13" x14ac:dyDescent="0.3">
      <c r="B9" s="57"/>
      <c r="C9" s="67" t="s">
        <v>326</v>
      </c>
      <c r="D9" s="68">
        <v>1</v>
      </c>
      <c r="E9" s="69"/>
      <c r="F9" s="70"/>
      <c r="G9" s="71" t="s">
        <v>329</v>
      </c>
      <c r="H9" s="72" t="s">
        <v>348</v>
      </c>
      <c r="I9" s="73"/>
      <c r="J9" s="73" t="s">
        <v>353</v>
      </c>
      <c r="K9" s="74" t="s">
        <v>350</v>
      </c>
      <c r="L9" s="77" t="s">
        <v>354</v>
      </c>
      <c r="M9" s="78" t="s">
        <v>837</v>
      </c>
    </row>
    <row r="10" spans="1:13" x14ac:dyDescent="0.3">
      <c r="B10" s="57"/>
      <c r="C10" s="67" t="s">
        <v>327</v>
      </c>
      <c r="D10" s="68"/>
      <c r="E10" s="69">
        <v>1</v>
      </c>
      <c r="F10" s="70"/>
      <c r="G10" s="71" t="s">
        <v>329</v>
      </c>
      <c r="H10" s="72" t="s">
        <v>348</v>
      </c>
      <c r="I10" s="73"/>
      <c r="J10" s="73" t="s">
        <v>838</v>
      </c>
      <c r="K10" s="74" t="s">
        <v>839</v>
      </c>
      <c r="L10" s="77" t="s">
        <v>840</v>
      </c>
      <c r="M10" s="78" t="s">
        <v>841</v>
      </c>
    </row>
    <row r="11" spans="1:13" x14ac:dyDescent="0.3">
      <c r="B11" s="57"/>
      <c r="C11" s="67" t="s">
        <v>8</v>
      </c>
      <c r="D11" s="68">
        <v>1</v>
      </c>
      <c r="E11" s="69"/>
      <c r="F11" s="70"/>
      <c r="G11" s="71" t="s">
        <v>329</v>
      </c>
      <c r="H11" s="72" t="s">
        <v>356</v>
      </c>
      <c r="I11" s="72"/>
      <c r="J11" s="72" t="s">
        <v>357</v>
      </c>
      <c r="K11" s="74" t="s">
        <v>358</v>
      </c>
      <c r="L11" s="77" t="s">
        <v>359</v>
      </c>
      <c r="M11" s="78" t="s">
        <v>360</v>
      </c>
    </row>
    <row r="12" spans="1:13" x14ac:dyDescent="0.3">
      <c r="B12" s="57"/>
      <c r="C12" s="67" t="s">
        <v>9</v>
      </c>
      <c r="D12" s="68">
        <v>1</v>
      </c>
      <c r="E12" s="69"/>
      <c r="F12" s="70"/>
      <c r="G12" s="71" t="s">
        <v>329</v>
      </c>
      <c r="H12" s="72" t="s">
        <v>356</v>
      </c>
      <c r="I12" s="72"/>
      <c r="J12" s="72" t="s">
        <v>361</v>
      </c>
      <c r="K12" s="74" t="s">
        <v>358</v>
      </c>
      <c r="L12" s="77" t="s">
        <v>842</v>
      </c>
      <c r="M12" s="78" t="s">
        <v>362</v>
      </c>
    </row>
    <row r="13" spans="1:13" x14ac:dyDescent="0.3">
      <c r="B13" s="57"/>
      <c r="C13" s="67" t="s">
        <v>10</v>
      </c>
      <c r="D13" s="68">
        <v>1</v>
      </c>
      <c r="E13" s="69"/>
      <c r="F13" s="70"/>
      <c r="G13" s="71" t="s">
        <v>329</v>
      </c>
      <c r="H13" s="72"/>
      <c r="I13" s="72" t="s">
        <v>843</v>
      </c>
      <c r="J13" s="73"/>
      <c r="K13" s="74" t="s">
        <v>844</v>
      </c>
      <c r="L13" s="77" t="s">
        <v>363</v>
      </c>
      <c r="M13" s="78" t="s">
        <v>364</v>
      </c>
    </row>
    <row r="14" spans="1:13" x14ac:dyDescent="0.3">
      <c r="B14" s="57"/>
      <c r="C14" s="67" t="s">
        <v>11</v>
      </c>
      <c r="D14" s="68">
        <v>1</v>
      </c>
      <c r="E14" s="69"/>
      <c r="F14" s="70"/>
      <c r="G14" s="71" t="s">
        <v>329</v>
      </c>
      <c r="H14" s="72"/>
      <c r="I14" s="72" t="s">
        <v>845</v>
      </c>
      <c r="J14" s="73"/>
      <c r="K14" s="74" t="s">
        <v>358</v>
      </c>
      <c r="L14" s="77" t="s">
        <v>846</v>
      </c>
      <c r="M14" s="78" t="s">
        <v>365</v>
      </c>
    </row>
    <row r="15" spans="1:13" x14ac:dyDescent="0.3">
      <c r="B15" s="57"/>
      <c r="C15" s="67" t="s">
        <v>12</v>
      </c>
      <c r="D15" s="68">
        <v>1</v>
      </c>
      <c r="E15" s="69"/>
      <c r="F15" s="70"/>
      <c r="G15" s="71" t="s">
        <v>329</v>
      </c>
      <c r="H15" s="72" t="s">
        <v>356</v>
      </c>
      <c r="I15" s="72"/>
      <c r="J15" s="72" t="s">
        <v>357</v>
      </c>
      <c r="K15" s="74" t="s">
        <v>847</v>
      </c>
      <c r="L15" s="77" t="s">
        <v>366</v>
      </c>
      <c r="M15" s="78" t="s">
        <v>367</v>
      </c>
    </row>
    <row r="16" spans="1:13" x14ac:dyDescent="0.3">
      <c r="B16" s="57"/>
      <c r="C16" s="67" t="s">
        <v>13</v>
      </c>
      <c r="D16" s="68">
        <v>1</v>
      </c>
      <c r="E16" s="69"/>
      <c r="F16" s="70"/>
      <c r="G16" s="71" t="s">
        <v>329</v>
      </c>
      <c r="H16" s="72" t="s">
        <v>356</v>
      </c>
      <c r="I16" s="72"/>
      <c r="J16" s="72" t="s">
        <v>361</v>
      </c>
      <c r="K16" s="74" t="s">
        <v>355</v>
      </c>
      <c r="L16" s="77" t="s">
        <v>366</v>
      </c>
      <c r="M16" s="78" t="s">
        <v>368</v>
      </c>
    </row>
    <row r="17" spans="2:13" x14ac:dyDescent="0.3">
      <c r="B17" s="57"/>
      <c r="C17" s="67" t="s">
        <v>14</v>
      </c>
      <c r="D17" s="68"/>
      <c r="E17" s="69">
        <v>1</v>
      </c>
      <c r="F17" s="70"/>
      <c r="G17" s="71" t="s">
        <v>329</v>
      </c>
      <c r="H17" s="72" t="s">
        <v>356</v>
      </c>
      <c r="I17" s="72" t="s">
        <v>369</v>
      </c>
      <c r="J17" s="72" t="s">
        <v>361</v>
      </c>
      <c r="K17" s="74" t="s">
        <v>355</v>
      </c>
      <c r="L17" s="77" t="s">
        <v>370</v>
      </c>
      <c r="M17" s="78" t="s">
        <v>371</v>
      </c>
    </row>
    <row r="18" spans="2:13" x14ac:dyDescent="0.3">
      <c r="B18" s="57"/>
      <c r="C18" s="67" t="s">
        <v>15</v>
      </c>
      <c r="D18" s="68"/>
      <c r="E18" s="69">
        <v>1</v>
      </c>
      <c r="F18" s="70"/>
      <c r="G18" s="71" t="s">
        <v>329</v>
      </c>
      <c r="H18" s="72" t="s">
        <v>356</v>
      </c>
      <c r="I18" s="15" t="s">
        <v>372</v>
      </c>
      <c r="J18" s="72" t="s">
        <v>357</v>
      </c>
      <c r="K18" s="74" t="s">
        <v>848</v>
      </c>
      <c r="L18" s="77" t="s">
        <v>373</v>
      </c>
      <c r="M18" s="78" t="s">
        <v>374</v>
      </c>
    </row>
    <row r="19" spans="2:13" x14ac:dyDescent="0.3">
      <c r="B19" s="57"/>
      <c r="C19" s="67" t="s">
        <v>16</v>
      </c>
      <c r="D19" s="68"/>
      <c r="E19" s="69">
        <v>1</v>
      </c>
      <c r="F19" s="70"/>
      <c r="G19" s="71" t="s">
        <v>329</v>
      </c>
      <c r="H19" s="72" t="s">
        <v>356</v>
      </c>
      <c r="I19" s="72" t="s">
        <v>375</v>
      </c>
      <c r="J19" s="72" t="s">
        <v>357</v>
      </c>
      <c r="K19" s="74" t="s">
        <v>849</v>
      </c>
      <c r="L19" s="77" t="s">
        <v>373</v>
      </c>
      <c r="M19" s="78" t="s">
        <v>376</v>
      </c>
    </row>
    <row r="20" spans="2:13" x14ac:dyDescent="0.3">
      <c r="B20" s="57"/>
      <c r="C20" s="67" t="s">
        <v>17</v>
      </c>
      <c r="D20" s="68">
        <v>1</v>
      </c>
      <c r="E20" s="69">
        <v>1</v>
      </c>
      <c r="F20" s="70"/>
      <c r="G20" s="71" t="s">
        <v>329</v>
      </c>
      <c r="H20" s="72"/>
      <c r="I20" s="73" t="s">
        <v>850</v>
      </c>
      <c r="J20" s="73"/>
      <c r="K20" s="74" t="s">
        <v>358</v>
      </c>
      <c r="L20" s="77" t="s">
        <v>378</v>
      </c>
      <c r="M20" s="78" t="s">
        <v>379</v>
      </c>
    </row>
    <row r="21" spans="2:13" x14ac:dyDescent="0.3">
      <c r="B21" s="57"/>
      <c r="C21" s="67" t="s">
        <v>18</v>
      </c>
      <c r="D21" s="68">
        <v>1</v>
      </c>
      <c r="E21" s="69">
        <v>1</v>
      </c>
      <c r="F21" s="70"/>
      <c r="G21" s="71" t="s">
        <v>329</v>
      </c>
      <c r="H21" s="73"/>
      <c r="I21" s="73" t="s">
        <v>377</v>
      </c>
      <c r="J21" s="73"/>
      <c r="K21" s="74" t="s">
        <v>355</v>
      </c>
      <c r="L21" s="77" t="s">
        <v>380</v>
      </c>
      <c r="M21" s="78" t="s">
        <v>381</v>
      </c>
    </row>
    <row r="22" spans="2:13" ht="18.600000000000001" thickBot="1" x14ac:dyDescent="0.35">
      <c r="B22" s="57"/>
      <c r="C22" s="4"/>
      <c r="D22" s="68"/>
      <c r="E22" s="69"/>
      <c r="F22" s="70"/>
      <c r="G22" s="79"/>
      <c r="H22" s="72"/>
      <c r="I22" s="72"/>
      <c r="J22" s="72"/>
      <c r="K22" s="80"/>
      <c r="L22" s="75"/>
      <c r="M22" s="76"/>
    </row>
    <row r="23" spans="2:13" x14ac:dyDescent="0.3">
      <c r="B23" s="37" t="s">
        <v>191</v>
      </c>
      <c r="C23" s="38" t="s">
        <v>192</v>
      </c>
      <c r="D23" s="39" t="s">
        <v>193</v>
      </c>
      <c r="E23" s="40" t="s">
        <v>194</v>
      </c>
      <c r="F23" s="41" t="s">
        <v>195</v>
      </c>
      <c r="G23" s="42" t="s">
        <v>196</v>
      </c>
      <c r="H23" s="43" t="s">
        <v>197</v>
      </c>
      <c r="I23" s="43" t="s">
        <v>197</v>
      </c>
      <c r="J23" s="43" t="s">
        <v>197</v>
      </c>
      <c r="K23" s="44" t="s">
        <v>198</v>
      </c>
      <c r="L23" s="45" t="s">
        <v>199</v>
      </c>
      <c r="M23" s="46" t="s">
        <v>209</v>
      </c>
    </row>
    <row r="24" spans="2:13" ht="18.600000000000001" thickBot="1" x14ac:dyDescent="0.35">
      <c r="B24" s="47" t="s">
        <v>382</v>
      </c>
      <c r="C24" s="48" t="s">
        <v>207</v>
      </c>
      <c r="D24" s="49" t="s">
        <v>345</v>
      </c>
      <c r="E24" s="50" t="s">
        <v>346</v>
      </c>
      <c r="F24" s="51" t="s">
        <v>347</v>
      </c>
      <c r="G24" s="52"/>
      <c r="H24" s="53"/>
      <c r="I24" s="53"/>
      <c r="J24" s="53"/>
      <c r="K24" s="54"/>
      <c r="L24" s="55"/>
      <c r="M24" s="56"/>
    </row>
    <row r="25" spans="2:13" x14ac:dyDescent="0.3">
      <c r="B25" s="57"/>
      <c r="C25" s="67"/>
      <c r="D25" s="68"/>
      <c r="E25" s="69"/>
      <c r="F25" s="70"/>
      <c r="G25" s="79"/>
      <c r="H25" s="72"/>
      <c r="I25" s="72"/>
      <c r="J25" s="72"/>
      <c r="K25" s="80"/>
      <c r="L25" s="75"/>
      <c r="M25" s="76"/>
    </row>
    <row r="26" spans="2:13" x14ac:dyDescent="0.3">
      <c r="B26" s="57"/>
      <c r="C26" s="67" t="s">
        <v>341</v>
      </c>
      <c r="D26" s="68">
        <v>1</v>
      </c>
      <c r="E26" s="69"/>
      <c r="F26" s="70"/>
      <c r="G26" s="71" t="s">
        <v>329</v>
      </c>
      <c r="H26" s="72" t="s">
        <v>356</v>
      </c>
      <c r="I26" s="72" t="s">
        <v>372</v>
      </c>
      <c r="J26" s="72" t="s">
        <v>357</v>
      </c>
      <c r="K26" s="74" t="s">
        <v>851</v>
      </c>
      <c r="L26" s="75" t="s">
        <v>385</v>
      </c>
      <c r="M26" s="76" t="s">
        <v>386</v>
      </c>
    </row>
    <row r="27" spans="2:13" x14ac:dyDescent="0.3">
      <c r="B27" s="57"/>
      <c r="C27" s="67" t="s">
        <v>258</v>
      </c>
      <c r="D27" s="68">
        <v>1</v>
      </c>
      <c r="E27" s="69"/>
      <c r="F27" s="70"/>
      <c r="G27" s="71" t="s">
        <v>329</v>
      </c>
      <c r="H27" s="72" t="s">
        <v>356</v>
      </c>
      <c r="I27" s="72" t="s">
        <v>369</v>
      </c>
      <c r="J27" s="72" t="s">
        <v>357</v>
      </c>
      <c r="K27" s="74" t="s">
        <v>350</v>
      </c>
      <c r="L27" s="75" t="s">
        <v>385</v>
      </c>
      <c r="M27" s="76" t="s">
        <v>852</v>
      </c>
    </row>
    <row r="28" spans="2:13" x14ac:dyDescent="0.3">
      <c r="B28" s="57"/>
      <c r="C28" s="67" t="s">
        <v>20</v>
      </c>
      <c r="D28" s="68">
        <v>1</v>
      </c>
      <c r="E28" s="69"/>
      <c r="F28" s="70"/>
      <c r="G28" s="71" t="s">
        <v>329</v>
      </c>
      <c r="H28" s="72" t="s">
        <v>356</v>
      </c>
      <c r="I28" s="72" t="s">
        <v>375</v>
      </c>
      <c r="J28" s="72" t="s">
        <v>357</v>
      </c>
      <c r="K28" s="74" t="s">
        <v>851</v>
      </c>
      <c r="L28" s="75" t="s">
        <v>385</v>
      </c>
      <c r="M28" s="76" t="s">
        <v>387</v>
      </c>
    </row>
    <row r="29" spans="2:13" x14ac:dyDescent="0.3">
      <c r="B29" s="57"/>
      <c r="C29" s="67" t="s">
        <v>21</v>
      </c>
      <c r="D29" s="68">
        <v>1</v>
      </c>
      <c r="E29" s="69"/>
      <c r="F29" s="70"/>
      <c r="G29" s="71" t="s">
        <v>329</v>
      </c>
      <c r="H29" s="72" t="s">
        <v>356</v>
      </c>
      <c r="I29" s="72" t="s">
        <v>372</v>
      </c>
      <c r="J29" s="72" t="s">
        <v>361</v>
      </c>
      <c r="K29" s="74" t="s">
        <v>350</v>
      </c>
      <c r="L29" s="75" t="s">
        <v>385</v>
      </c>
      <c r="M29" s="76" t="s">
        <v>389</v>
      </c>
    </row>
    <row r="30" spans="2:13" x14ac:dyDescent="0.3">
      <c r="B30" s="57"/>
      <c r="C30" s="67" t="s">
        <v>22</v>
      </c>
      <c r="D30" s="68">
        <v>1</v>
      </c>
      <c r="E30" s="69"/>
      <c r="F30" s="70"/>
      <c r="G30" s="71" t="s">
        <v>329</v>
      </c>
      <c r="H30" s="72" t="s">
        <v>356</v>
      </c>
      <c r="I30" s="72" t="s">
        <v>369</v>
      </c>
      <c r="J30" s="72" t="s">
        <v>361</v>
      </c>
      <c r="K30" s="74" t="s">
        <v>851</v>
      </c>
      <c r="L30" s="75" t="s">
        <v>385</v>
      </c>
      <c r="M30" s="76" t="s">
        <v>390</v>
      </c>
    </row>
    <row r="31" spans="2:13" x14ac:dyDescent="0.3">
      <c r="B31" s="57"/>
      <c r="C31" s="67" t="s">
        <v>23</v>
      </c>
      <c r="D31" s="68">
        <v>1</v>
      </c>
      <c r="E31" s="69"/>
      <c r="F31" s="70"/>
      <c r="G31" s="71" t="s">
        <v>329</v>
      </c>
      <c r="H31" s="72" t="s">
        <v>356</v>
      </c>
      <c r="I31" s="72" t="s">
        <v>375</v>
      </c>
      <c r="J31" s="72" t="s">
        <v>361</v>
      </c>
      <c r="K31" s="74" t="s">
        <v>851</v>
      </c>
      <c r="L31" s="75" t="s">
        <v>385</v>
      </c>
      <c r="M31" s="76" t="s">
        <v>853</v>
      </c>
    </row>
    <row r="32" spans="2:13" x14ac:dyDescent="0.3">
      <c r="B32" s="57"/>
      <c r="C32" s="67" t="s">
        <v>24</v>
      </c>
      <c r="D32" s="68">
        <v>1</v>
      </c>
      <c r="E32" s="69"/>
      <c r="F32" s="70"/>
      <c r="G32" s="71" t="s">
        <v>329</v>
      </c>
      <c r="H32" s="72"/>
      <c r="I32" s="72" t="s">
        <v>854</v>
      </c>
      <c r="J32" s="72"/>
      <c r="K32" s="74" t="s">
        <v>355</v>
      </c>
      <c r="L32" s="75" t="s">
        <v>391</v>
      </c>
      <c r="M32" s="76" t="s">
        <v>855</v>
      </c>
    </row>
    <row r="33" spans="2:13" x14ac:dyDescent="0.3">
      <c r="B33" s="57"/>
      <c r="C33" s="67" t="s">
        <v>25</v>
      </c>
      <c r="D33" s="68">
        <v>1</v>
      </c>
      <c r="E33" s="69"/>
      <c r="F33" s="70"/>
      <c r="G33" s="71" t="s">
        <v>329</v>
      </c>
      <c r="H33" s="72" t="s">
        <v>348</v>
      </c>
      <c r="I33" s="72"/>
      <c r="J33" s="72"/>
      <c r="K33" s="74"/>
      <c r="L33" s="75" t="s">
        <v>392</v>
      </c>
      <c r="M33" s="76" t="s">
        <v>856</v>
      </c>
    </row>
    <row r="34" spans="2:13" x14ac:dyDescent="0.3">
      <c r="B34" s="57"/>
      <c r="C34" s="67" t="s">
        <v>26</v>
      </c>
      <c r="D34" s="68">
        <v>1</v>
      </c>
      <c r="E34" s="69"/>
      <c r="F34" s="70"/>
      <c r="G34" s="71" t="s">
        <v>329</v>
      </c>
      <c r="H34" s="72"/>
      <c r="I34" s="73" t="s">
        <v>857</v>
      </c>
      <c r="J34" s="72"/>
      <c r="K34" s="80" t="s">
        <v>858</v>
      </c>
      <c r="L34" s="75" t="s">
        <v>395</v>
      </c>
      <c r="M34" s="76" t="s">
        <v>859</v>
      </c>
    </row>
    <row r="35" spans="2:13" x14ac:dyDescent="0.3">
      <c r="B35" s="57"/>
      <c r="C35" s="67" t="s">
        <v>27</v>
      </c>
      <c r="D35" s="68">
        <v>1</v>
      </c>
      <c r="E35" s="69"/>
      <c r="F35" s="70"/>
      <c r="G35" s="71" t="s">
        <v>329</v>
      </c>
      <c r="H35" s="72"/>
      <c r="I35" s="72" t="s">
        <v>396</v>
      </c>
      <c r="J35" s="72"/>
      <c r="K35" s="74" t="s">
        <v>860</v>
      </c>
      <c r="L35" s="75" t="s">
        <v>397</v>
      </c>
      <c r="M35" s="76" t="s">
        <v>398</v>
      </c>
    </row>
    <row r="36" spans="2:13" x14ac:dyDescent="0.3">
      <c r="B36" s="57"/>
      <c r="C36" s="67" t="s">
        <v>28</v>
      </c>
      <c r="D36" s="68">
        <v>1</v>
      </c>
      <c r="E36" s="69"/>
      <c r="F36" s="70"/>
      <c r="G36" s="71" t="s">
        <v>329</v>
      </c>
      <c r="H36" s="72"/>
      <c r="I36" s="72" t="s">
        <v>396</v>
      </c>
      <c r="J36" s="72"/>
      <c r="K36" s="74" t="s">
        <v>861</v>
      </c>
      <c r="L36" s="75" t="s">
        <v>399</v>
      </c>
      <c r="M36" s="76" t="s">
        <v>862</v>
      </c>
    </row>
    <row r="37" spans="2:13" x14ac:dyDescent="0.3">
      <c r="B37" s="57"/>
      <c r="C37" s="67" t="s">
        <v>29</v>
      </c>
      <c r="D37" s="68">
        <v>1</v>
      </c>
      <c r="E37" s="69"/>
      <c r="F37" s="70"/>
      <c r="G37" s="71" t="s">
        <v>863</v>
      </c>
      <c r="H37" s="72" t="s">
        <v>356</v>
      </c>
      <c r="I37" s="72" t="s">
        <v>372</v>
      </c>
      <c r="J37" s="72" t="s">
        <v>357</v>
      </c>
      <c r="K37" s="74" t="s">
        <v>849</v>
      </c>
      <c r="L37" s="75" t="s">
        <v>401</v>
      </c>
      <c r="M37" s="76" t="s">
        <v>864</v>
      </c>
    </row>
    <row r="38" spans="2:13" x14ac:dyDescent="0.3">
      <c r="B38" s="57"/>
      <c r="C38" s="67" t="s">
        <v>30</v>
      </c>
      <c r="D38" s="68">
        <v>1</v>
      </c>
      <c r="E38" s="69"/>
      <c r="F38" s="70"/>
      <c r="G38" s="71" t="s">
        <v>865</v>
      </c>
      <c r="H38" s="72" t="s">
        <v>356</v>
      </c>
      <c r="I38" s="72" t="s">
        <v>369</v>
      </c>
      <c r="J38" s="72" t="s">
        <v>357</v>
      </c>
      <c r="K38" s="74" t="s">
        <v>849</v>
      </c>
      <c r="L38" s="75" t="s">
        <v>401</v>
      </c>
      <c r="M38" s="76" t="s">
        <v>866</v>
      </c>
    </row>
    <row r="39" spans="2:13" x14ac:dyDescent="0.3">
      <c r="B39" s="57"/>
      <c r="C39" s="67" t="s">
        <v>31</v>
      </c>
      <c r="D39" s="68">
        <v>1</v>
      </c>
      <c r="E39" s="69"/>
      <c r="F39" s="70"/>
      <c r="G39" s="71" t="s">
        <v>867</v>
      </c>
      <c r="H39" s="72" t="s">
        <v>356</v>
      </c>
      <c r="I39" s="72" t="s">
        <v>375</v>
      </c>
      <c r="J39" s="72" t="s">
        <v>357</v>
      </c>
      <c r="K39" s="74" t="s">
        <v>868</v>
      </c>
      <c r="L39" s="75" t="s">
        <v>401</v>
      </c>
      <c r="M39" s="76" t="s">
        <v>402</v>
      </c>
    </row>
    <row r="40" spans="2:13" x14ac:dyDescent="0.3">
      <c r="B40" s="57"/>
      <c r="C40" s="67" t="s">
        <v>32</v>
      </c>
      <c r="D40" s="68">
        <v>1</v>
      </c>
      <c r="E40" s="69"/>
      <c r="F40" s="70"/>
      <c r="G40" s="71" t="s">
        <v>867</v>
      </c>
      <c r="H40" s="72" t="s">
        <v>356</v>
      </c>
      <c r="I40" s="72" t="s">
        <v>372</v>
      </c>
      <c r="J40" s="72" t="s">
        <v>361</v>
      </c>
      <c r="K40" s="74" t="s">
        <v>848</v>
      </c>
      <c r="L40" s="75" t="s">
        <v>401</v>
      </c>
      <c r="M40" s="76" t="s">
        <v>869</v>
      </c>
    </row>
    <row r="41" spans="2:13" x14ac:dyDescent="0.3">
      <c r="B41" s="57"/>
      <c r="C41" s="67" t="s">
        <v>80</v>
      </c>
      <c r="D41" s="68">
        <v>1</v>
      </c>
      <c r="E41" s="69"/>
      <c r="F41" s="70"/>
      <c r="G41" s="71" t="s">
        <v>867</v>
      </c>
      <c r="H41" s="72" t="s">
        <v>356</v>
      </c>
      <c r="I41" s="72" t="s">
        <v>369</v>
      </c>
      <c r="J41" s="72" t="s">
        <v>361</v>
      </c>
      <c r="K41" s="74" t="s">
        <v>355</v>
      </c>
      <c r="L41" s="75" t="s">
        <v>401</v>
      </c>
      <c r="M41" s="76" t="s">
        <v>403</v>
      </c>
    </row>
    <row r="42" spans="2:13" x14ac:dyDescent="0.3">
      <c r="B42" s="57"/>
      <c r="C42" s="67" t="s">
        <v>81</v>
      </c>
      <c r="D42" s="68">
        <v>1</v>
      </c>
      <c r="E42" s="69"/>
      <c r="F42" s="70"/>
      <c r="G42" s="71" t="s">
        <v>400</v>
      </c>
      <c r="H42" s="72" t="s">
        <v>356</v>
      </c>
      <c r="I42" s="72" t="s">
        <v>375</v>
      </c>
      <c r="J42" s="72" t="s">
        <v>361</v>
      </c>
      <c r="K42" s="74" t="s">
        <v>355</v>
      </c>
      <c r="L42" s="75" t="s">
        <v>401</v>
      </c>
      <c r="M42" s="76" t="s">
        <v>870</v>
      </c>
    </row>
    <row r="43" spans="2:13" x14ac:dyDescent="0.3">
      <c r="B43" s="57"/>
      <c r="C43" s="67" t="s">
        <v>82</v>
      </c>
      <c r="D43" s="68">
        <v>1</v>
      </c>
      <c r="E43" s="69"/>
      <c r="F43" s="70"/>
      <c r="G43" s="71" t="s">
        <v>867</v>
      </c>
      <c r="H43" s="72" t="s">
        <v>356</v>
      </c>
      <c r="I43" s="72"/>
      <c r="J43" s="72"/>
      <c r="K43" s="74" t="s">
        <v>358</v>
      </c>
      <c r="L43" s="75" t="s">
        <v>404</v>
      </c>
      <c r="M43" s="76" t="s">
        <v>405</v>
      </c>
    </row>
    <row r="44" spans="2:13" x14ac:dyDescent="0.3">
      <c r="B44" s="57"/>
      <c r="C44" s="67" t="s">
        <v>83</v>
      </c>
      <c r="D44" s="68">
        <v>1</v>
      </c>
      <c r="E44" s="69">
        <v>1</v>
      </c>
      <c r="F44" s="70"/>
      <c r="G44" s="71" t="s">
        <v>329</v>
      </c>
      <c r="H44" s="72"/>
      <c r="I44" s="73" t="s">
        <v>850</v>
      </c>
      <c r="J44" s="73"/>
      <c r="K44" s="74" t="s">
        <v>358</v>
      </c>
      <c r="L44" s="77" t="s">
        <v>378</v>
      </c>
      <c r="M44" s="76" t="s">
        <v>406</v>
      </c>
    </row>
    <row r="45" spans="2:13" x14ac:dyDescent="0.3">
      <c r="B45" s="57"/>
      <c r="C45" s="67" t="s">
        <v>102</v>
      </c>
      <c r="D45" s="68">
        <v>1</v>
      </c>
      <c r="E45" s="69">
        <v>1</v>
      </c>
      <c r="F45" s="70"/>
      <c r="G45" s="71" t="s">
        <v>329</v>
      </c>
      <c r="H45" s="73"/>
      <c r="I45" s="73" t="s">
        <v>377</v>
      </c>
      <c r="J45" s="73"/>
      <c r="K45" s="74" t="s">
        <v>849</v>
      </c>
      <c r="L45" s="77" t="s">
        <v>380</v>
      </c>
      <c r="M45" s="76" t="s">
        <v>871</v>
      </c>
    </row>
    <row r="46" spans="2:13" x14ac:dyDescent="0.3">
      <c r="B46" s="57"/>
      <c r="C46" s="67" t="s">
        <v>103</v>
      </c>
      <c r="D46" s="68"/>
      <c r="E46" s="69">
        <v>1</v>
      </c>
      <c r="F46" s="70"/>
      <c r="G46" s="71" t="s">
        <v>329</v>
      </c>
      <c r="H46" s="72" t="s">
        <v>356</v>
      </c>
      <c r="I46" s="72" t="s">
        <v>369</v>
      </c>
      <c r="J46" s="72" t="s">
        <v>357</v>
      </c>
      <c r="K46" s="74" t="s">
        <v>848</v>
      </c>
      <c r="L46" s="75" t="s">
        <v>407</v>
      </c>
      <c r="M46" s="76" t="s">
        <v>408</v>
      </c>
    </row>
    <row r="47" spans="2:13" ht="18.600000000000001" thickBot="1" x14ac:dyDescent="0.35">
      <c r="B47" s="57"/>
      <c r="C47" s="67"/>
      <c r="D47" s="68"/>
      <c r="E47" s="69"/>
      <c r="F47" s="70"/>
      <c r="G47" s="79"/>
      <c r="H47" s="72"/>
      <c r="I47" s="72"/>
      <c r="J47" s="72"/>
      <c r="K47" s="80"/>
      <c r="L47" s="75"/>
      <c r="M47" s="81"/>
    </row>
    <row r="48" spans="2:13" x14ac:dyDescent="0.3">
      <c r="B48" s="37" t="s">
        <v>191</v>
      </c>
      <c r="C48" s="38" t="s">
        <v>192</v>
      </c>
      <c r="D48" s="39" t="s">
        <v>193</v>
      </c>
      <c r="E48" s="40" t="s">
        <v>194</v>
      </c>
      <c r="F48" s="41" t="s">
        <v>195</v>
      </c>
      <c r="G48" s="42" t="s">
        <v>196</v>
      </c>
      <c r="H48" s="43" t="s">
        <v>197</v>
      </c>
      <c r="I48" s="43" t="s">
        <v>197</v>
      </c>
      <c r="J48" s="43" t="s">
        <v>197</v>
      </c>
      <c r="K48" s="44" t="s">
        <v>198</v>
      </c>
      <c r="L48" s="45" t="s">
        <v>199</v>
      </c>
      <c r="M48" s="46" t="s">
        <v>209</v>
      </c>
    </row>
    <row r="49" spans="2:13" ht="18.600000000000001" thickBot="1" x14ac:dyDescent="0.35">
      <c r="B49" s="47" t="s">
        <v>872</v>
      </c>
      <c r="C49" s="48" t="s">
        <v>206</v>
      </c>
      <c r="D49" s="49" t="s">
        <v>873</v>
      </c>
      <c r="E49" s="50" t="s">
        <v>346</v>
      </c>
      <c r="F49" s="51" t="s">
        <v>874</v>
      </c>
      <c r="G49" s="52"/>
      <c r="H49" s="53"/>
      <c r="I49" s="53"/>
      <c r="J49" s="53"/>
      <c r="K49" s="54"/>
      <c r="L49" s="55"/>
      <c r="M49" s="56"/>
    </row>
    <row r="50" spans="2:13" x14ac:dyDescent="0.3">
      <c r="B50" s="57"/>
      <c r="C50" s="67"/>
      <c r="D50" s="68"/>
      <c r="E50" s="69"/>
      <c r="F50" s="70"/>
      <c r="G50" s="79"/>
      <c r="H50" s="72"/>
      <c r="I50" s="72"/>
      <c r="J50" s="72"/>
      <c r="K50" s="80"/>
      <c r="L50" s="75"/>
      <c r="M50" s="76"/>
    </row>
    <row r="51" spans="2:13" x14ac:dyDescent="0.3">
      <c r="B51" s="57"/>
      <c r="C51" s="67" t="s">
        <v>333</v>
      </c>
      <c r="D51" s="68">
        <v>1</v>
      </c>
      <c r="E51" s="69"/>
      <c r="F51" s="70"/>
      <c r="G51" s="71" t="s">
        <v>329</v>
      </c>
      <c r="H51" s="72" t="s">
        <v>356</v>
      </c>
      <c r="I51" s="72" t="s">
        <v>372</v>
      </c>
      <c r="J51" s="72" t="s">
        <v>357</v>
      </c>
      <c r="K51" s="74" t="s">
        <v>350</v>
      </c>
      <c r="L51" s="75" t="s">
        <v>385</v>
      </c>
      <c r="M51" s="76" t="s">
        <v>409</v>
      </c>
    </row>
    <row r="52" spans="2:13" x14ac:dyDescent="0.3">
      <c r="B52" s="57"/>
      <c r="C52" s="67" t="s">
        <v>334</v>
      </c>
      <c r="D52" s="68">
        <v>1</v>
      </c>
      <c r="E52" s="69"/>
      <c r="F52" s="70"/>
      <c r="G52" s="71" t="s">
        <v>329</v>
      </c>
      <c r="H52" s="72" t="s">
        <v>356</v>
      </c>
      <c r="I52" s="72" t="s">
        <v>369</v>
      </c>
      <c r="J52" s="72" t="s">
        <v>357</v>
      </c>
      <c r="K52" s="74" t="s">
        <v>350</v>
      </c>
      <c r="L52" s="75" t="s">
        <v>385</v>
      </c>
      <c r="M52" s="76" t="s">
        <v>410</v>
      </c>
    </row>
    <row r="53" spans="2:13" x14ac:dyDescent="0.3">
      <c r="B53" s="57"/>
      <c r="C53" s="67" t="s">
        <v>33</v>
      </c>
      <c r="D53" s="68">
        <v>1</v>
      </c>
      <c r="E53" s="69"/>
      <c r="F53" s="70"/>
      <c r="G53" s="71" t="s">
        <v>329</v>
      </c>
      <c r="H53" s="72" t="s">
        <v>356</v>
      </c>
      <c r="I53" s="72" t="s">
        <v>375</v>
      </c>
      <c r="J53" s="72" t="s">
        <v>357</v>
      </c>
      <c r="K53" s="74" t="s">
        <v>350</v>
      </c>
      <c r="L53" s="75" t="s">
        <v>385</v>
      </c>
      <c r="M53" s="76" t="s">
        <v>411</v>
      </c>
    </row>
    <row r="54" spans="2:13" x14ac:dyDescent="0.3">
      <c r="B54" s="57"/>
      <c r="C54" s="67" t="s">
        <v>335</v>
      </c>
      <c r="D54" s="68">
        <v>1</v>
      </c>
      <c r="E54" s="69"/>
      <c r="F54" s="70"/>
      <c r="G54" s="71" t="s">
        <v>329</v>
      </c>
      <c r="H54" s="72" t="s">
        <v>356</v>
      </c>
      <c r="I54" s="72" t="s">
        <v>372</v>
      </c>
      <c r="J54" s="72" t="s">
        <v>361</v>
      </c>
      <c r="K54" s="74" t="s">
        <v>350</v>
      </c>
      <c r="L54" s="75" t="s">
        <v>385</v>
      </c>
      <c r="M54" s="76" t="s">
        <v>412</v>
      </c>
    </row>
    <row r="55" spans="2:13" x14ac:dyDescent="0.3">
      <c r="B55" s="57"/>
      <c r="C55" s="67" t="s">
        <v>34</v>
      </c>
      <c r="D55" s="68">
        <v>1</v>
      </c>
      <c r="E55" s="69"/>
      <c r="F55" s="70"/>
      <c r="G55" s="71" t="s">
        <v>329</v>
      </c>
      <c r="H55" s="72" t="s">
        <v>356</v>
      </c>
      <c r="I55" s="72" t="s">
        <v>369</v>
      </c>
      <c r="J55" s="72" t="s">
        <v>361</v>
      </c>
      <c r="K55" s="74" t="s">
        <v>350</v>
      </c>
      <c r="L55" s="75" t="s">
        <v>385</v>
      </c>
      <c r="M55" s="76" t="s">
        <v>413</v>
      </c>
    </row>
    <row r="56" spans="2:13" x14ac:dyDescent="0.3">
      <c r="B56" s="57"/>
      <c r="C56" s="67" t="s">
        <v>35</v>
      </c>
      <c r="D56" s="68">
        <v>1</v>
      </c>
      <c r="E56" s="69"/>
      <c r="F56" s="70"/>
      <c r="G56" s="71" t="s">
        <v>329</v>
      </c>
      <c r="H56" s="72" t="s">
        <v>356</v>
      </c>
      <c r="I56" s="72" t="s">
        <v>375</v>
      </c>
      <c r="J56" s="72" t="s">
        <v>361</v>
      </c>
      <c r="K56" s="74" t="s">
        <v>350</v>
      </c>
      <c r="L56" s="75" t="s">
        <v>385</v>
      </c>
      <c r="M56" s="76" t="s">
        <v>414</v>
      </c>
    </row>
    <row r="57" spans="2:13" x14ac:dyDescent="0.3">
      <c r="B57" s="57"/>
      <c r="C57" s="67" t="s">
        <v>336</v>
      </c>
      <c r="D57" s="68">
        <v>1</v>
      </c>
      <c r="E57" s="69"/>
      <c r="F57" s="70"/>
      <c r="G57" s="71" t="s">
        <v>329</v>
      </c>
      <c r="H57" s="72"/>
      <c r="I57" s="72" t="s">
        <v>875</v>
      </c>
      <c r="J57" s="72"/>
      <c r="K57" s="74" t="s">
        <v>355</v>
      </c>
      <c r="L57" s="75" t="s">
        <v>391</v>
      </c>
      <c r="M57" s="76" t="s">
        <v>415</v>
      </c>
    </row>
    <row r="58" spans="2:13" x14ac:dyDescent="0.3">
      <c r="B58" s="57"/>
      <c r="C58" s="67" t="s">
        <v>36</v>
      </c>
      <c r="D58" s="68">
        <v>1</v>
      </c>
      <c r="E58" s="69"/>
      <c r="F58" s="70"/>
      <c r="G58" s="71" t="s">
        <v>329</v>
      </c>
      <c r="H58" s="72"/>
      <c r="I58" s="72" t="s">
        <v>396</v>
      </c>
      <c r="J58" s="72"/>
      <c r="K58" s="74" t="s">
        <v>355</v>
      </c>
      <c r="L58" s="75" t="s">
        <v>397</v>
      </c>
      <c r="M58" s="76" t="s">
        <v>416</v>
      </c>
    </row>
    <row r="59" spans="2:13" x14ac:dyDescent="0.3">
      <c r="B59" s="57"/>
      <c r="C59" s="67" t="s">
        <v>337</v>
      </c>
      <c r="D59" s="68">
        <v>1</v>
      </c>
      <c r="E59" s="69"/>
      <c r="F59" s="70"/>
      <c r="G59" s="71" t="s">
        <v>329</v>
      </c>
      <c r="H59" s="72"/>
      <c r="I59" s="72" t="s">
        <v>396</v>
      </c>
      <c r="J59" s="72"/>
      <c r="K59" s="74" t="s">
        <v>350</v>
      </c>
      <c r="L59" s="75" t="s">
        <v>399</v>
      </c>
      <c r="M59" s="76" t="s">
        <v>876</v>
      </c>
    </row>
    <row r="60" spans="2:13" x14ac:dyDescent="0.3">
      <c r="B60" s="57"/>
      <c r="C60" s="67" t="s">
        <v>338</v>
      </c>
      <c r="D60" s="68">
        <v>1</v>
      </c>
      <c r="E60" s="69"/>
      <c r="F60" s="70"/>
      <c r="G60" s="71" t="s">
        <v>329</v>
      </c>
      <c r="H60" s="72" t="s">
        <v>356</v>
      </c>
      <c r="I60" s="72"/>
      <c r="J60" s="72" t="s">
        <v>357</v>
      </c>
      <c r="K60" s="74" t="s">
        <v>848</v>
      </c>
      <c r="L60" s="75" t="s">
        <v>417</v>
      </c>
      <c r="M60" s="76" t="s">
        <v>418</v>
      </c>
    </row>
    <row r="61" spans="2:13" x14ac:dyDescent="0.3">
      <c r="B61" s="57"/>
      <c r="C61" s="67" t="s">
        <v>339</v>
      </c>
      <c r="D61" s="68">
        <v>1</v>
      </c>
      <c r="E61" s="69"/>
      <c r="F61" s="70"/>
      <c r="G61" s="71" t="s">
        <v>329</v>
      </c>
      <c r="H61" s="72" t="s">
        <v>356</v>
      </c>
      <c r="I61" s="72"/>
      <c r="J61" s="72" t="s">
        <v>361</v>
      </c>
      <c r="K61" s="74" t="s">
        <v>355</v>
      </c>
      <c r="L61" s="75" t="s">
        <v>417</v>
      </c>
      <c r="M61" s="76" t="s">
        <v>419</v>
      </c>
    </row>
    <row r="62" spans="2:13" x14ac:dyDescent="0.3">
      <c r="B62" s="57"/>
      <c r="C62" s="67" t="s">
        <v>340</v>
      </c>
      <c r="D62" s="68">
        <v>1</v>
      </c>
      <c r="E62" s="60"/>
      <c r="F62" s="61"/>
      <c r="G62" s="71" t="s">
        <v>329</v>
      </c>
      <c r="H62" s="63"/>
      <c r="I62" s="72" t="s">
        <v>420</v>
      </c>
      <c r="J62" s="63"/>
      <c r="K62" s="74" t="s">
        <v>350</v>
      </c>
      <c r="L62" s="75" t="s">
        <v>421</v>
      </c>
      <c r="M62" s="76" t="s">
        <v>877</v>
      </c>
    </row>
    <row r="63" spans="2:13" ht="18.600000000000001" thickBot="1" x14ac:dyDescent="0.35">
      <c r="B63" s="57"/>
      <c r="C63" s="4"/>
      <c r="D63" s="68"/>
      <c r="E63" s="69"/>
      <c r="F63" s="70"/>
      <c r="G63" s="79"/>
      <c r="H63" s="72"/>
      <c r="I63" s="72"/>
      <c r="J63" s="72"/>
      <c r="K63" s="80"/>
      <c r="L63" s="75"/>
      <c r="M63" s="76"/>
    </row>
    <row r="64" spans="2:13" x14ac:dyDescent="0.3">
      <c r="B64" s="37" t="s">
        <v>191</v>
      </c>
      <c r="C64" s="38" t="s">
        <v>192</v>
      </c>
      <c r="D64" s="39" t="s">
        <v>193</v>
      </c>
      <c r="E64" s="40" t="s">
        <v>194</v>
      </c>
      <c r="F64" s="41" t="s">
        <v>195</v>
      </c>
      <c r="G64" s="42" t="s">
        <v>196</v>
      </c>
      <c r="H64" s="43" t="s">
        <v>197</v>
      </c>
      <c r="I64" s="43" t="s">
        <v>197</v>
      </c>
      <c r="J64" s="43" t="s">
        <v>197</v>
      </c>
      <c r="K64" s="44" t="s">
        <v>198</v>
      </c>
      <c r="L64" s="45" t="s">
        <v>199</v>
      </c>
      <c r="M64" s="46" t="s">
        <v>209</v>
      </c>
    </row>
    <row r="65" spans="2:13" ht="18.600000000000001" thickBot="1" x14ac:dyDescent="0.35">
      <c r="B65" s="47" t="s">
        <v>878</v>
      </c>
      <c r="C65" s="48" t="s">
        <v>330</v>
      </c>
      <c r="D65" s="49" t="s">
        <v>873</v>
      </c>
      <c r="E65" s="50" t="s">
        <v>879</v>
      </c>
      <c r="F65" s="51" t="s">
        <v>874</v>
      </c>
      <c r="G65" s="52"/>
      <c r="H65" s="53"/>
      <c r="I65" s="53"/>
      <c r="J65" s="53"/>
      <c r="K65" s="54"/>
      <c r="L65" s="55"/>
      <c r="M65" s="56"/>
    </row>
    <row r="66" spans="2:13" x14ac:dyDescent="0.3">
      <c r="B66" s="57"/>
      <c r="C66" s="4"/>
      <c r="D66" s="68"/>
      <c r="E66" s="69"/>
      <c r="F66" s="70"/>
      <c r="G66" s="79"/>
      <c r="H66" s="72"/>
      <c r="I66" s="72"/>
      <c r="J66" s="72"/>
      <c r="K66" s="80"/>
      <c r="L66" s="75"/>
      <c r="M66" s="81"/>
    </row>
    <row r="67" spans="2:13" x14ac:dyDescent="0.3">
      <c r="B67" s="57"/>
      <c r="C67" s="67" t="s">
        <v>342</v>
      </c>
      <c r="D67" s="68">
        <v>1</v>
      </c>
      <c r="E67" s="69">
        <v>1</v>
      </c>
      <c r="F67" s="70"/>
      <c r="G67" s="71" t="s">
        <v>329</v>
      </c>
      <c r="H67" s="72"/>
      <c r="I67" s="72" t="s">
        <v>880</v>
      </c>
      <c r="J67" s="72"/>
      <c r="K67" s="80" t="s">
        <v>881</v>
      </c>
      <c r="L67" s="75" t="s">
        <v>882</v>
      </c>
      <c r="M67" s="82" t="s">
        <v>929</v>
      </c>
    </row>
    <row r="68" spans="2:13" x14ac:dyDescent="0.3">
      <c r="B68" s="57"/>
      <c r="C68" s="67" t="s">
        <v>343</v>
      </c>
      <c r="D68" s="68">
        <v>1</v>
      </c>
      <c r="E68" s="69">
        <v>1</v>
      </c>
      <c r="F68" s="70"/>
      <c r="G68" s="71" t="s">
        <v>329</v>
      </c>
      <c r="H68" s="72"/>
      <c r="I68" s="72" t="s">
        <v>883</v>
      </c>
      <c r="J68" s="72"/>
      <c r="K68" s="80" t="s">
        <v>884</v>
      </c>
      <c r="L68" s="75" t="s">
        <v>885</v>
      </c>
      <c r="M68" s="82" t="s">
        <v>930</v>
      </c>
    </row>
    <row r="69" spans="2:13" x14ac:dyDescent="0.3">
      <c r="B69" s="57"/>
      <c r="C69" s="67" t="s">
        <v>344</v>
      </c>
      <c r="D69" s="68">
        <v>1</v>
      </c>
      <c r="E69" s="69"/>
      <c r="F69" s="70"/>
      <c r="G69" s="71" t="s">
        <v>329</v>
      </c>
      <c r="H69" s="72"/>
      <c r="I69" s="73" t="s">
        <v>393</v>
      </c>
      <c r="J69" s="72"/>
      <c r="K69" s="80" t="s">
        <v>554</v>
      </c>
      <c r="L69" s="75" t="s">
        <v>428</v>
      </c>
      <c r="M69" s="82" t="s">
        <v>924</v>
      </c>
    </row>
    <row r="70" spans="2:13" x14ac:dyDescent="0.3">
      <c r="B70" s="57"/>
      <c r="C70" s="67" t="s">
        <v>39</v>
      </c>
      <c r="D70" s="68">
        <v>1</v>
      </c>
      <c r="E70" s="69"/>
      <c r="F70" s="70"/>
      <c r="G70" s="71" t="s">
        <v>329</v>
      </c>
      <c r="H70" s="72"/>
      <c r="I70" s="73" t="s">
        <v>886</v>
      </c>
      <c r="J70" s="72"/>
      <c r="K70" s="80" t="s">
        <v>887</v>
      </c>
      <c r="L70" s="75" t="s">
        <v>428</v>
      </c>
      <c r="M70" s="82" t="s">
        <v>925</v>
      </c>
    </row>
    <row r="71" spans="2:13" x14ac:dyDescent="0.3">
      <c r="B71" s="57"/>
      <c r="C71" s="67" t="s">
        <v>40</v>
      </c>
      <c r="D71" s="68"/>
      <c r="E71" s="69">
        <v>1</v>
      </c>
      <c r="F71" s="70"/>
      <c r="G71" s="71" t="s">
        <v>888</v>
      </c>
      <c r="H71" s="72"/>
      <c r="I71" s="72" t="s">
        <v>889</v>
      </c>
      <c r="J71" s="72"/>
      <c r="K71" s="80" t="s">
        <v>890</v>
      </c>
      <c r="L71" s="75" t="s">
        <v>429</v>
      </c>
      <c r="M71" s="81" t="s">
        <v>926</v>
      </c>
    </row>
    <row r="72" spans="2:13" x14ac:dyDescent="0.3">
      <c r="B72" s="57"/>
      <c r="C72" s="67" t="s">
        <v>41</v>
      </c>
      <c r="D72" s="68">
        <v>1</v>
      </c>
      <c r="E72" s="69"/>
      <c r="F72" s="70"/>
      <c r="G72" s="71" t="s">
        <v>79</v>
      </c>
      <c r="H72" s="72"/>
      <c r="I72" s="72" t="s">
        <v>891</v>
      </c>
      <c r="J72" s="72"/>
      <c r="K72" s="80" t="s">
        <v>892</v>
      </c>
      <c r="L72" s="75" t="s">
        <v>893</v>
      </c>
      <c r="M72" s="81" t="s">
        <v>927</v>
      </c>
    </row>
    <row r="73" spans="2:13" x14ac:dyDescent="0.3">
      <c r="B73" s="57"/>
      <c r="C73" s="67" t="s">
        <v>42</v>
      </c>
      <c r="D73" s="68">
        <v>1</v>
      </c>
      <c r="E73" s="69"/>
      <c r="F73" s="70"/>
      <c r="G73" s="71" t="s">
        <v>79</v>
      </c>
      <c r="H73" s="72"/>
      <c r="I73" s="72" t="s">
        <v>891</v>
      </c>
      <c r="J73" s="72"/>
      <c r="K73" s="80" t="s">
        <v>892</v>
      </c>
      <c r="L73" s="75" t="s">
        <v>894</v>
      </c>
      <c r="M73" s="81" t="s">
        <v>928</v>
      </c>
    </row>
    <row r="74" spans="2:13" x14ac:dyDescent="0.3">
      <c r="B74" s="57"/>
      <c r="C74" s="4"/>
      <c r="D74" s="68"/>
      <c r="E74" s="69"/>
      <c r="F74" s="70"/>
      <c r="G74" s="79"/>
      <c r="H74" s="72"/>
      <c r="I74" s="72"/>
      <c r="J74" s="72"/>
      <c r="K74" s="80"/>
      <c r="L74" s="75"/>
      <c r="M74" s="81"/>
    </row>
    <row r="75" spans="2:13" x14ac:dyDescent="0.3">
      <c r="B75" s="57"/>
      <c r="C75" s="4"/>
      <c r="D75" s="68"/>
      <c r="E75" s="69"/>
      <c r="F75" s="70"/>
      <c r="G75" s="79"/>
      <c r="H75" s="72"/>
      <c r="I75" s="72"/>
      <c r="J75" s="72"/>
      <c r="K75" s="80"/>
      <c r="L75" s="75"/>
      <c r="M75" s="81"/>
    </row>
    <row r="76" spans="2:13" x14ac:dyDescent="0.3">
      <c r="B76" s="57"/>
      <c r="C76" s="4"/>
      <c r="D76" s="68"/>
      <c r="E76" s="69"/>
      <c r="F76" s="70"/>
      <c r="G76" s="79"/>
      <c r="H76" s="72"/>
      <c r="I76" s="72"/>
      <c r="J76" s="72"/>
      <c r="K76" s="80"/>
      <c r="L76" s="75"/>
      <c r="M76" s="81"/>
    </row>
    <row r="77" spans="2:13" x14ac:dyDescent="0.3">
      <c r="B77" s="57"/>
      <c r="C77" s="4"/>
      <c r="D77" s="68"/>
      <c r="E77" s="69"/>
      <c r="F77" s="70"/>
      <c r="G77" s="79"/>
      <c r="H77" s="72"/>
      <c r="I77" s="72"/>
      <c r="J77" s="72"/>
      <c r="K77" s="80"/>
      <c r="L77" s="75"/>
      <c r="M77" s="81"/>
    </row>
    <row r="78" spans="2:13" ht="18.600000000000001" thickBot="1" x14ac:dyDescent="0.35">
      <c r="B78" s="57"/>
      <c r="C78" s="4"/>
      <c r="D78" s="68"/>
      <c r="E78" s="69"/>
      <c r="F78" s="70"/>
      <c r="G78" s="79"/>
      <c r="H78" s="72"/>
      <c r="I78" s="72"/>
      <c r="J78" s="72"/>
      <c r="K78" s="80"/>
      <c r="L78" s="75"/>
      <c r="M78" s="81"/>
    </row>
    <row r="79" spans="2:13" x14ac:dyDescent="0.3">
      <c r="B79" s="37" t="s">
        <v>210</v>
      </c>
      <c r="C79" s="38" t="s">
        <v>211</v>
      </c>
      <c r="D79" s="39" t="s">
        <v>212</v>
      </c>
      <c r="E79" s="40" t="s">
        <v>213</v>
      </c>
      <c r="F79" s="41" t="s">
        <v>214</v>
      </c>
      <c r="G79" s="42" t="s">
        <v>215</v>
      </c>
      <c r="H79" s="43" t="s">
        <v>216</v>
      </c>
      <c r="I79" s="43" t="s">
        <v>216</v>
      </c>
      <c r="J79" s="43" t="s">
        <v>216</v>
      </c>
      <c r="K79" s="44" t="s">
        <v>217</v>
      </c>
      <c r="L79" s="45" t="s">
        <v>218</v>
      </c>
      <c r="M79" s="46" t="s">
        <v>209</v>
      </c>
    </row>
    <row r="80" spans="2:13" ht="18.600000000000001" thickBot="1" x14ac:dyDescent="0.35">
      <c r="B80" s="47" t="s">
        <v>895</v>
      </c>
      <c r="C80" s="48" t="s">
        <v>219</v>
      </c>
      <c r="D80" s="49" t="s">
        <v>896</v>
      </c>
      <c r="E80" s="50" t="s">
        <v>897</v>
      </c>
      <c r="F80" s="51" t="s">
        <v>898</v>
      </c>
      <c r="G80" s="52"/>
      <c r="H80" s="53"/>
      <c r="I80" s="53"/>
      <c r="J80" s="53"/>
      <c r="K80" s="54"/>
      <c r="L80" s="55"/>
      <c r="M80" s="56"/>
    </row>
    <row r="81" spans="2:13" ht="18.600000000000001" thickBot="1" x14ac:dyDescent="0.35">
      <c r="B81" s="83"/>
      <c r="C81" s="84"/>
      <c r="D81" s="85"/>
      <c r="E81" s="86"/>
      <c r="F81" s="87"/>
      <c r="G81" s="88"/>
      <c r="H81" s="89"/>
      <c r="I81" s="89"/>
      <c r="J81" s="89"/>
      <c r="K81" s="90"/>
      <c r="L81" s="91"/>
      <c r="M81" s="92"/>
    </row>
    <row r="82" spans="2:13" x14ac:dyDescent="0.3">
      <c r="B82" s="37" t="s">
        <v>6</v>
      </c>
      <c r="C82" s="38" t="s">
        <v>4</v>
      </c>
      <c r="D82" s="39" t="s">
        <v>76</v>
      </c>
      <c r="E82" s="40" t="s">
        <v>77</v>
      </c>
      <c r="F82" s="41" t="s">
        <v>78</v>
      </c>
      <c r="G82" s="42" t="s">
        <v>75</v>
      </c>
      <c r="H82" s="43" t="s">
        <v>5</v>
      </c>
      <c r="I82" s="43" t="s">
        <v>5</v>
      </c>
      <c r="J82" s="43" t="s">
        <v>5</v>
      </c>
      <c r="K82" s="44" t="s">
        <v>3</v>
      </c>
      <c r="L82" s="45" t="s">
        <v>7</v>
      </c>
      <c r="M82" s="46" t="s">
        <v>209</v>
      </c>
    </row>
    <row r="83" spans="2:13" ht="18.600000000000001" thickBot="1" x14ac:dyDescent="0.35">
      <c r="B83" s="47" t="s">
        <v>431</v>
      </c>
      <c r="C83" s="48" t="s">
        <v>65</v>
      </c>
      <c r="D83" s="49" t="s">
        <v>899</v>
      </c>
      <c r="E83" s="50" t="s">
        <v>879</v>
      </c>
      <c r="F83" s="51" t="s">
        <v>900</v>
      </c>
      <c r="G83" s="52"/>
      <c r="H83" s="53"/>
      <c r="I83" s="53"/>
      <c r="J83" s="53"/>
      <c r="K83" s="54"/>
      <c r="L83" s="55"/>
      <c r="M83" s="56"/>
    </row>
    <row r="84" spans="2:13" ht="17.25" customHeight="1" thickBot="1" x14ac:dyDescent="0.35">
      <c r="B84" s="57"/>
      <c r="C84" s="4"/>
      <c r="D84" s="68"/>
      <c r="E84" s="69"/>
      <c r="F84" s="70"/>
      <c r="G84" s="79"/>
      <c r="H84" s="72"/>
      <c r="I84" s="72"/>
      <c r="J84" s="72"/>
      <c r="K84" s="80"/>
      <c r="L84" s="75"/>
      <c r="M84" s="81"/>
    </row>
    <row r="85" spans="2:13" x14ac:dyDescent="0.3">
      <c r="B85" s="37" t="s">
        <v>191</v>
      </c>
      <c r="C85" s="38" t="s">
        <v>192</v>
      </c>
      <c r="D85" s="39" t="s">
        <v>193</v>
      </c>
      <c r="E85" s="40" t="s">
        <v>194</v>
      </c>
      <c r="F85" s="41" t="s">
        <v>195</v>
      </c>
      <c r="G85" s="42" t="s">
        <v>196</v>
      </c>
      <c r="H85" s="43" t="s">
        <v>197</v>
      </c>
      <c r="I85" s="43" t="s">
        <v>197</v>
      </c>
      <c r="J85" s="43" t="s">
        <v>197</v>
      </c>
      <c r="K85" s="44" t="s">
        <v>198</v>
      </c>
      <c r="L85" s="45" t="s">
        <v>199</v>
      </c>
      <c r="M85" s="46" t="s">
        <v>209</v>
      </c>
    </row>
    <row r="86" spans="2:13" ht="18.600000000000001" thickBot="1" x14ac:dyDescent="0.35">
      <c r="B86" s="47" t="s">
        <v>901</v>
      </c>
      <c r="C86" s="48" t="s">
        <v>331</v>
      </c>
      <c r="D86" s="49" t="s">
        <v>345</v>
      </c>
      <c r="E86" s="50" t="s">
        <v>879</v>
      </c>
      <c r="F86" s="51" t="s">
        <v>898</v>
      </c>
      <c r="G86" s="52"/>
      <c r="H86" s="53"/>
      <c r="I86" s="53"/>
      <c r="J86" s="53"/>
      <c r="K86" s="54"/>
      <c r="L86" s="55"/>
      <c r="M86" s="56"/>
    </row>
    <row r="87" spans="2:13" ht="18.600000000000001" thickBot="1" x14ac:dyDescent="0.35">
      <c r="B87" s="57"/>
      <c r="C87" s="4"/>
      <c r="D87" s="68"/>
      <c r="E87" s="69"/>
      <c r="F87" s="70"/>
      <c r="G87" s="79"/>
      <c r="H87" s="72"/>
      <c r="I87" s="72"/>
      <c r="J87" s="72"/>
      <c r="K87" s="80"/>
      <c r="L87" s="75"/>
      <c r="M87" s="81"/>
    </row>
    <row r="88" spans="2:13" x14ac:dyDescent="0.3">
      <c r="B88" s="37" t="s">
        <v>191</v>
      </c>
      <c r="C88" s="38" t="s">
        <v>192</v>
      </c>
      <c r="D88" s="39" t="s">
        <v>193</v>
      </c>
      <c r="E88" s="40" t="s">
        <v>194</v>
      </c>
      <c r="F88" s="41" t="s">
        <v>195</v>
      </c>
      <c r="G88" s="42" t="s">
        <v>196</v>
      </c>
      <c r="H88" s="43" t="s">
        <v>197</v>
      </c>
      <c r="I88" s="43" t="s">
        <v>197</v>
      </c>
      <c r="J88" s="43" t="s">
        <v>197</v>
      </c>
      <c r="K88" s="44" t="s">
        <v>198</v>
      </c>
      <c r="L88" s="45" t="s">
        <v>199</v>
      </c>
      <c r="M88" s="46" t="s">
        <v>209</v>
      </c>
    </row>
    <row r="89" spans="2:13" ht="18.600000000000001" thickBot="1" x14ac:dyDescent="0.35">
      <c r="B89" s="47" t="s">
        <v>435</v>
      </c>
      <c r="C89" s="48" t="s">
        <v>332</v>
      </c>
      <c r="D89" s="49" t="s">
        <v>899</v>
      </c>
      <c r="E89" s="50" t="s">
        <v>879</v>
      </c>
      <c r="F89" s="51" t="s">
        <v>874</v>
      </c>
      <c r="G89" s="52"/>
      <c r="H89" s="53"/>
      <c r="I89" s="53"/>
      <c r="J89" s="53"/>
      <c r="K89" s="54"/>
      <c r="L89" s="55"/>
      <c r="M89" s="56"/>
    </row>
    <row r="90" spans="2:13" ht="18.600000000000001" thickBot="1" x14ac:dyDescent="0.35">
      <c r="B90" s="57"/>
      <c r="C90" s="4"/>
      <c r="D90" s="68"/>
      <c r="E90" s="69"/>
      <c r="F90" s="70"/>
      <c r="G90" s="79"/>
      <c r="H90" s="72"/>
      <c r="I90" s="72"/>
      <c r="J90" s="72"/>
      <c r="K90" s="80"/>
      <c r="L90" s="75"/>
      <c r="M90" s="81"/>
    </row>
    <row r="91" spans="2:13" x14ac:dyDescent="0.3">
      <c r="B91" s="37" t="s">
        <v>191</v>
      </c>
      <c r="C91" s="38" t="s">
        <v>192</v>
      </c>
      <c r="D91" s="39" t="s">
        <v>902</v>
      </c>
      <c r="E91" s="40" t="s">
        <v>903</v>
      </c>
      <c r="F91" s="41" t="s">
        <v>904</v>
      </c>
      <c r="G91" s="42" t="s">
        <v>196</v>
      </c>
      <c r="H91" s="43" t="s">
        <v>197</v>
      </c>
      <c r="I91" s="43" t="s">
        <v>197</v>
      </c>
      <c r="J91" s="43" t="s">
        <v>197</v>
      </c>
      <c r="K91" s="44" t="s">
        <v>198</v>
      </c>
      <c r="L91" s="45" t="s">
        <v>199</v>
      </c>
      <c r="M91" s="46" t="s">
        <v>209</v>
      </c>
    </row>
    <row r="92" spans="2:13" ht="18.600000000000001" thickBot="1" x14ac:dyDescent="0.35">
      <c r="B92" s="47" t="s">
        <v>905</v>
      </c>
      <c r="C92" s="48" t="s">
        <v>202</v>
      </c>
      <c r="D92" s="49" t="s">
        <v>896</v>
      </c>
      <c r="E92" s="50" t="s">
        <v>879</v>
      </c>
      <c r="F92" s="51" t="s">
        <v>874</v>
      </c>
      <c r="G92" s="52"/>
      <c r="H92" s="53"/>
      <c r="I92" s="53"/>
      <c r="J92" s="53"/>
      <c r="K92" s="54"/>
      <c r="L92" s="55"/>
      <c r="M92" s="56"/>
    </row>
    <row r="93" spans="2:13" ht="18.600000000000001" thickBot="1" x14ac:dyDescent="0.35">
      <c r="B93" s="57"/>
      <c r="C93" s="4"/>
      <c r="D93" s="68"/>
      <c r="E93" s="69"/>
      <c r="F93" s="70"/>
      <c r="G93" s="79"/>
      <c r="H93" s="72"/>
      <c r="I93" s="72"/>
      <c r="J93" s="72"/>
      <c r="K93" s="80"/>
      <c r="L93" s="75"/>
      <c r="M93" s="81"/>
    </row>
    <row r="94" spans="2:13" x14ac:dyDescent="0.3">
      <c r="B94" s="37" t="s">
        <v>191</v>
      </c>
      <c r="C94" s="38" t="s">
        <v>192</v>
      </c>
      <c r="D94" s="39" t="s">
        <v>903</v>
      </c>
      <c r="E94" s="40" t="s">
        <v>902</v>
      </c>
      <c r="F94" s="41" t="s">
        <v>904</v>
      </c>
      <c r="G94" s="42" t="s">
        <v>196</v>
      </c>
      <c r="H94" s="43" t="s">
        <v>197</v>
      </c>
      <c r="I94" s="43" t="s">
        <v>197</v>
      </c>
      <c r="J94" s="43" t="s">
        <v>197</v>
      </c>
      <c r="K94" s="44" t="s">
        <v>198</v>
      </c>
      <c r="L94" s="45" t="s">
        <v>199</v>
      </c>
      <c r="M94" s="46" t="s">
        <v>209</v>
      </c>
    </row>
    <row r="95" spans="2:13" ht="18.600000000000001" thickBot="1" x14ac:dyDescent="0.35">
      <c r="B95" s="47" t="s">
        <v>906</v>
      </c>
      <c r="C95" s="48" t="s">
        <v>203</v>
      </c>
      <c r="D95" s="49" t="s">
        <v>873</v>
      </c>
      <c r="E95" s="50" t="s">
        <v>879</v>
      </c>
      <c r="F95" s="51" t="s">
        <v>874</v>
      </c>
      <c r="G95" s="52"/>
      <c r="H95" s="53"/>
      <c r="I95" s="53"/>
      <c r="J95" s="53"/>
      <c r="K95" s="54"/>
      <c r="L95" s="55"/>
      <c r="M95" s="56"/>
    </row>
    <row r="96" spans="2:13" ht="18.600000000000001" thickBot="1" x14ac:dyDescent="0.35">
      <c r="B96" s="57"/>
      <c r="C96" s="67"/>
      <c r="D96" s="68"/>
      <c r="E96" s="69"/>
      <c r="F96" s="70"/>
      <c r="G96" s="79"/>
      <c r="H96" s="72"/>
      <c r="I96" s="72"/>
      <c r="J96" s="72"/>
      <c r="K96" s="80"/>
      <c r="L96" s="75"/>
      <c r="M96" s="81"/>
    </row>
    <row r="97" spans="2:13" x14ac:dyDescent="0.3">
      <c r="B97" s="37" t="s">
        <v>191</v>
      </c>
      <c r="C97" s="38" t="s">
        <v>192</v>
      </c>
      <c r="D97" s="39" t="s">
        <v>903</v>
      </c>
      <c r="E97" s="40" t="s">
        <v>902</v>
      </c>
      <c r="F97" s="41" t="s">
        <v>904</v>
      </c>
      <c r="G97" s="42" t="s">
        <v>196</v>
      </c>
      <c r="H97" s="43" t="s">
        <v>197</v>
      </c>
      <c r="I97" s="43" t="s">
        <v>197</v>
      </c>
      <c r="J97" s="43" t="s">
        <v>197</v>
      </c>
      <c r="K97" s="44" t="s">
        <v>198</v>
      </c>
      <c r="L97" s="45" t="s">
        <v>199</v>
      </c>
      <c r="M97" s="46" t="s">
        <v>209</v>
      </c>
    </row>
    <row r="98" spans="2:13" ht="18.600000000000001" thickBot="1" x14ac:dyDescent="0.35">
      <c r="B98" s="47" t="s">
        <v>907</v>
      </c>
      <c r="C98" s="48" t="s">
        <v>204</v>
      </c>
      <c r="D98" s="49" t="s">
        <v>896</v>
      </c>
      <c r="E98" s="50" t="s">
        <v>346</v>
      </c>
      <c r="F98" s="51" t="s">
        <v>347</v>
      </c>
      <c r="G98" s="52"/>
      <c r="H98" s="53"/>
      <c r="I98" s="53"/>
      <c r="J98" s="53"/>
      <c r="K98" s="54"/>
      <c r="L98" s="55"/>
      <c r="M98" s="56"/>
    </row>
    <row r="99" spans="2:13" ht="18.600000000000001" thickBot="1" x14ac:dyDescent="0.35">
      <c r="B99" s="83"/>
      <c r="C99" s="93"/>
      <c r="D99" s="85"/>
      <c r="E99" s="86"/>
      <c r="F99" s="87"/>
      <c r="G99" s="88"/>
      <c r="H99" s="89"/>
      <c r="I99" s="89"/>
      <c r="J99" s="89"/>
      <c r="K99" s="90"/>
      <c r="L99" s="91"/>
      <c r="M99" s="92"/>
    </row>
    <row r="100" spans="2:13" x14ac:dyDescent="0.3">
      <c r="B100" s="37" t="s">
        <v>6</v>
      </c>
      <c r="C100" s="38" t="s">
        <v>4</v>
      </c>
      <c r="D100" s="39" t="s">
        <v>904</v>
      </c>
      <c r="E100" s="40" t="s">
        <v>436</v>
      </c>
      <c r="F100" s="41" t="s">
        <v>902</v>
      </c>
      <c r="G100" s="42" t="s">
        <v>75</v>
      </c>
      <c r="H100" s="43" t="s">
        <v>5</v>
      </c>
      <c r="I100" s="43" t="s">
        <v>5</v>
      </c>
      <c r="J100" s="43" t="s">
        <v>5</v>
      </c>
      <c r="K100" s="44" t="s">
        <v>3</v>
      </c>
      <c r="L100" s="45" t="s">
        <v>7</v>
      </c>
      <c r="M100" s="46" t="s">
        <v>209</v>
      </c>
    </row>
    <row r="101" spans="2:13" ht="18.600000000000001" thickBot="1" x14ac:dyDescent="0.35">
      <c r="B101" s="47" t="s">
        <v>908</v>
      </c>
      <c r="C101" s="48" t="s">
        <v>156</v>
      </c>
      <c r="D101" s="49" t="s">
        <v>873</v>
      </c>
      <c r="E101" s="50" t="s">
        <v>879</v>
      </c>
      <c r="F101" s="51" t="s">
        <v>898</v>
      </c>
      <c r="G101" s="52"/>
      <c r="H101" s="53"/>
      <c r="I101" s="53"/>
      <c r="J101" s="53"/>
      <c r="K101" s="54"/>
      <c r="L101" s="55"/>
      <c r="M101" s="56"/>
    </row>
    <row r="102" spans="2:13" ht="15.6" customHeight="1" thickBot="1" x14ac:dyDescent="0.35">
      <c r="B102" s="83"/>
      <c r="C102" s="84"/>
      <c r="D102" s="85"/>
      <c r="E102" s="86"/>
      <c r="F102" s="87"/>
      <c r="G102" s="88"/>
      <c r="H102" s="89"/>
      <c r="I102" s="89"/>
      <c r="J102" s="89"/>
      <c r="K102" s="90"/>
      <c r="L102" s="91"/>
      <c r="M102" s="92"/>
    </row>
    <row r="103" spans="2:13" x14ac:dyDescent="0.3">
      <c r="B103" s="37" t="s">
        <v>6</v>
      </c>
      <c r="C103" s="38" t="s">
        <v>4</v>
      </c>
      <c r="D103" s="39" t="s">
        <v>436</v>
      </c>
      <c r="E103" s="40" t="s">
        <v>902</v>
      </c>
      <c r="F103" s="41" t="s">
        <v>904</v>
      </c>
      <c r="G103" s="42" t="s">
        <v>75</v>
      </c>
      <c r="H103" s="43" t="s">
        <v>5</v>
      </c>
      <c r="I103" s="43" t="s">
        <v>5</v>
      </c>
      <c r="J103" s="43" t="s">
        <v>5</v>
      </c>
      <c r="K103" s="44" t="s">
        <v>3</v>
      </c>
      <c r="L103" s="45" t="s">
        <v>7</v>
      </c>
      <c r="M103" s="46" t="s">
        <v>209</v>
      </c>
    </row>
    <row r="104" spans="2:13" ht="18.600000000000001" thickBot="1" x14ac:dyDescent="0.35">
      <c r="B104" s="47" t="s">
        <v>440</v>
      </c>
      <c r="C104" s="48" t="s">
        <v>171</v>
      </c>
      <c r="D104" s="49" t="s">
        <v>873</v>
      </c>
      <c r="E104" s="50" t="s">
        <v>879</v>
      </c>
      <c r="F104" s="51" t="s">
        <v>898</v>
      </c>
      <c r="G104" s="52"/>
      <c r="H104" s="53"/>
      <c r="I104" s="53"/>
      <c r="J104" s="53"/>
      <c r="K104" s="54"/>
      <c r="L104" s="55"/>
      <c r="M104" s="56"/>
    </row>
    <row r="105" spans="2:13" x14ac:dyDescent="0.3">
      <c r="B105" s="57"/>
      <c r="C105" s="4"/>
      <c r="D105" s="68"/>
      <c r="E105" s="69"/>
      <c r="F105" s="70"/>
      <c r="G105" s="79"/>
      <c r="H105" s="72"/>
      <c r="I105" s="72"/>
      <c r="J105" s="72"/>
      <c r="K105" s="80"/>
      <c r="L105" s="75"/>
      <c r="M105" s="81"/>
    </row>
    <row r="106" spans="2:13" x14ac:dyDescent="0.3">
      <c r="B106" s="57"/>
      <c r="C106" s="4"/>
      <c r="D106" s="68"/>
      <c r="E106" s="69"/>
      <c r="F106" s="70"/>
      <c r="G106" s="79"/>
      <c r="H106" s="72"/>
      <c r="I106" s="72"/>
      <c r="J106" s="72"/>
      <c r="K106" s="80"/>
      <c r="L106" s="75"/>
      <c r="M106" s="81"/>
    </row>
    <row r="107" spans="2:13" x14ac:dyDescent="0.3">
      <c r="B107" s="57"/>
      <c r="C107" s="4"/>
      <c r="D107" s="68"/>
      <c r="E107" s="69"/>
      <c r="F107" s="70"/>
      <c r="G107" s="79"/>
      <c r="H107" s="72"/>
      <c r="I107" s="72"/>
      <c r="J107" s="72"/>
      <c r="K107" s="80"/>
      <c r="L107" s="75"/>
      <c r="M107" s="81"/>
    </row>
    <row r="108" spans="2:13" x14ac:dyDescent="0.3">
      <c r="B108" s="57"/>
      <c r="C108" s="4"/>
      <c r="D108" s="68"/>
      <c r="E108" s="69"/>
      <c r="F108" s="70"/>
      <c r="G108" s="79"/>
      <c r="H108" s="72"/>
      <c r="I108" s="72"/>
      <c r="J108" s="72"/>
      <c r="K108" s="80"/>
      <c r="L108" s="75"/>
      <c r="M108" s="81"/>
    </row>
    <row r="109" spans="2:13" x14ac:dyDescent="0.3">
      <c r="L109" s="95"/>
    </row>
    <row r="110" spans="2:13" x14ac:dyDescent="0.3">
      <c r="L110" s="95"/>
    </row>
    <row r="111" spans="2:13" x14ac:dyDescent="0.3">
      <c r="L111" s="95"/>
    </row>
    <row r="112" spans="2:13" x14ac:dyDescent="0.3">
      <c r="L112" s="95"/>
    </row>
    <row r="113" spans="12:12" x14ac:dyDescent="0.3">
      <c r="L113" s="95"/>
    </row>
    <row r="114" spans="12:12" x14ac:dyDescent="0.3">
      <c r="L114" s="95"/>
    </row>
    <row r="115" spans="12:12" x14ac:dyDescent="0.3">
      <c r="L115" s="95"/>
    </row>
    <row r="116" spans="12:12" x14ac:dyDescent="0.3">
      <c r="L116" s="95"/>
    </row>
    <row r="117" spans="12:12" x14ac:dyDescent="0.3">
      <c r="L117" s="95"/>
    </row>
    <row r="118" spans="12:12" x14ac:dyDescent="0.3">
      <c r="L118" s="95"/>
    </row>
    <row r="119" spans="12:12" x14ac:dyDescent="0.3">
      <c r="L119" s="95"/>
    </row>
    <row r="120" spans="12:12" x14ac:dyDescent="0.3">
      <c r="L120" s="95"/>
    </row>
    <row r="121" spans="12:12" x14ac:dyDescent="0.3">
      <c r="L121" s="95"/>
    </row>
    <row r="122" spans="12:12" x14ac:dyDescent="0.3">
      <c r="L122" s="95"/>
    </row>
    <row r="123" spans="12:12" x14ac:dyDescent="0.3">
      <c r="L123" s="95"/>
    </row>
    <row r="124" spans="12:12" x14ac:dyDescent="0.3">
      <c r="L124" s="95"/>
    </row>
    <row r="125" spans="12:12" x14ac:dyDescent="0.3">
      <c r="L125" s="95"/>
    </row>
    <row r="126" spans="12:12" x14ac:dyDescent="0.3">
      <c r="L126" s="95"/>
    </row>
    <row r="127" spans="12:12" x14ac:dyDescent="0.3">
      <c r="L127" s="95"/>
    </row>
    <row r="128" spans="12:12" x14ac:dyDescent="0.3">
      <c r="L128" s="95"/>
    </row>
    <row r="129" spans="12:12" x14ac:dyDescent="0.3">
      <c r="L129" s="95"/>
    </row>
    <row r="130" spans="12:12" x14ac:dyDescent="0.3">
      <c r="L130" s="95"/>
    </row>
    <row r="131" spans="12:12" x14ac:dyDescent="0.3">
      <c r="L131" s="95"/>
    </row>
    <row r="132" spans="12:12" x14ac:dyDescent="0.3">
      <c r="L132" s="95"/>
    </row>
    <row r="133" spans="12:12" x14ac:dyDescent="0.3">
      <c r="L133" s="95"/>
    </row>
    <row r="134" spans="12:12" x14ac:dyDescent="0.3">
      <c r="L134" s="95"/>
    </row>
    <row r="135" spans="12:12" x14ac:dyDescent="0.3">
      <c r="L135" s="95"/>
    </row>
    <row r="136" spans="12:12" x14ac:dyDescent="0.3">
      <c r="L136" s="95"/>
    </row>
    <row r="137" spans="12:12" x14ac:dyDescent="0.3">
      <c r="L137" s="95"/>
    </row>
    <row r="138" spans="12:12" x14ac:dyDescent="0.3">
      <c r="L138" s="95"/>
    </row>
    <row r="139" spans="12:12" x14ac:dyDescent="0.3">
      <c r="L139" s="95"/>
    </row>
    <row r="140" spans="12:12" x14ac:dyDescent="0.3">
      <c r="L140" s="95"/>
    </row>
    <row r="141" spans="12:12" x14ac:dyDescent="0.3">
      <c r="L141" s="95"/>
    </row>
    <row r="142" spans="12:12" x14ac:dyDescent="0.3">
      <c r="L142" s="95"/>
    </row>
    <row r="143" spans="12:12" x14ac:dyDescent="0.3">
      <c r="L143" s="95"/>
    </row>
    <row r="144" spans="12:12" x14ac:dyDescent="0.3">
      <c r="L144" s="95"/>
    </row>
    <row r="145" spans="12:12" x14ac:dyDescent="0.3">
      <c r="L145" s="95"/>
    </row>
    <row r="146" spans="12:12" x14ac:dyDescent="0.3">
      <c r="L146" s="95"/>
    </row>
    <row r="147" spans="12:12" x14ac:dyDescent="0.3">
      <c r="L147" s="95"/>
    </row>
    <row r="148" spans="12:12" x14ac:dyDescent="0.3">
      <c r="L148" s="95"/>
    </row>
    <row r="149" spans="12:12" x14ac:dyDescent="0.3">
      <c r="L149" s="95"/>
    </row>
    <row r="150" spans="12:12" x14ac:dyDescent="0.3">
      <c r="L150" s="95"/>
    </row>
    <row r="151" spans="12:12" x14ac:dyDescent="0.3">
      <c r="L151" s="95"/>
    </row>
    <row r="152" spans="12:12" x14ac:dyDescent="0.3">
      <c r="L152" s="95"/>
    </row>
    <row r="153" spans="12:12" x14ac:dyDescent="0.3">
      <c r="L153" s="95"/>
    </row>
    <row r="154" spans="12:12" x14ac:dyDescent="0.3">
      <c r="L154" s="95"/>
    </row>
    <row r="155" spans="12:12" x14ac:dyDescent="0.3">
      <c r="L155" s="95"/>
    </row>
    <row r="156" spans="12:12" x14ac:dyDescent="0.3">
      <c r="L156" s="95"/>
    </row>
    <row r="157" spans="12:12" x14ac:dyDescent="0.3">
      <c r="L157" s="95"/>
    </row>
    <row r="158" spans="12:12" x14ac:dyDescent="0.3">
      <c r="L158" s="95"/>
    </row>
    <row r="159" spans="12:12" x14ac:dyDescent="0.3">
      <c r="L159" s="95"/>
    </row>
    <row r="160" spans="12:12" x14ac:dyDescent="0.3">
      <c r="L160" s="95"/>
    </row>
    <row r="161" spans="12:12" x14ac:dyDescent="0.3">
      <c r="L161" s="95"/>
    </row>
    <row r="162" spans="12:12" x14ac:dyDescent="0.3">
      <c r="L162" s="95"/>
    </row>
    <row r="163" spans="12:12" x14ac:dyDescent="0.3">
      <c r="L163" s="95"/>
    </row>
    <row r="164" spans="12:12" x14ac:dyDescent="0.3">
      <c r="L164" s="95"/>
    </row>
    <row r="165" spans="12:12" x14ac:dyDescent="0.3">
      <c r="L165" s="95"/>
    </row>
    <row r="166" spans="12:12" x14ac:dyDescent="0.3">
      <c r="L166" s="95"/>
    </row>
    <row r="167" spans="12:12" x14ac:dyDescent="0.3">
      <c r="L167" s="95"/>
    </row>
    <row r="168" spans="12:12" x14ac:dyDescent="0.3">
      <c r="L168" s="95"/>
    </row>
    <row r="169" spans="12:12" x14ac:dyDescent="0.3">
      <c r="L169" s="95"/>
    </row>
    <row r="170" spans="12:12" x14ac:dyDescent="0.3">
      <c r="L170" s="95"/>
    </row>
    <row r="171" spans="12:12" x14ac:dyDescent="0.3">
      <c r="L171" s="95"/>
    </row>
    <row r="172" spans="12:12" x14ac:dyDescent="0.3">
      <c r="L172" s="95"/>
    </row>
    <row r="173" spans="12:12" x14ac:dyDescent="0.3">
      <c r="L173" s="95"/>
    </row>
    <row r="174" spans="12:12" x14ac:dyDescent="0.3">
      <c r="L174" s="95"/>
    </row>
    <row r="175" spans="12:12" x14ac:dyDescent="0.3">
      <c r="L175" s="95"/>
    </row>
    <row r="176" spans="12:12" x14ac:dyDescent="0.3">
      <c r="L176" s="95"/>
    </row>
    <row r="177" spans="12:12" x14ac:dyDescent="0.3">
      <c r="L177" s="95"/>
    </row>
    <row r="178" spans="12:12" x14ac:dyDescent="0.3">
      <c r="L178" s="95"/>
    </row>
    <row r="179" spans="12:12" x14ac:dyDescent="0.3">
      <c r="L179" s="95"/>
    </row>
    <row r="180" spans="12:12" x14ac:dyDescent="0.3">
      <c r="L180" s="95"/>
    </row>
    <row r="181" spans="12:12" x14ac:dyDescent="0.3">
      <c r="L181" s="95"/>
    </row>
    <row r="182" spans="12:12" x14ac:dyDescent="0.3">
      <c r="L182" s="95"/>
    </row>
    <row r="183" spans="12:12" x14ac:dyDescent="0.3">
      <c r="L183" s="95"/>
    </row>
    <row r="184" spans="12:12" x14ac:dyDescent="0.3">
      <c r="L184" s="95"/>
    </row>
    <row r="185" spans="12:12" x14ac:dyDescent="0.3">
      <c r="L185" s="95"/>
    </row>
    <row r="186" spans="12:12" x14ac:dyDescent="0.3">
      <c r="L186" s="95"/>
    </row>
    <row r="187" spans="12:12" x14ac:dyDescent="0.3">
      <c r="L187" s="95"/>
    </row>
    <row r="188" spans="12:12" x14ac:dyDescent="0.3">
      <c r="L188" s="95"/>
    </row>
    <row r="189" spans="12:12" x14ac:dyDescent="0.3">
      <c r="L189" s="95"/>
    </row>
    <row r="190" spans="12:12" x14ac:dyDescent="0.3">
      <c r="L190" s="95"/>
    </row>
    <row r="191" spans="12:12" x14ac:dyDescent="0.3">
      <c r="L191" s="95"/>
    </row>
    <row r="192" spans="12:12" x14ac:dyDescent="0.3">
      <c r="L192" s="95"/>
    </row>
    <row r="193" spans="12:12" x14ac:dyDescent="0.3">
      <c r="L193" s="95"/>
    </row>
    <row r="194" spans="12:12" x14ac:dyDescent="0.3">
      <c r="L194" s="95"/>
    </row>
    <row r="195" spans="12:12" x14ac:dyDescent="0.3">
      <c r="L195" s="95"/>
    </row>
    <row r="196" spans="12:12" x14ac:dyDescent="0.3">
      <c r="L196" s="95"/>
    </row>
    <row r="197" spans="12:12" x14ac:dyDescent="0.3">
      <c r="L197" s="95"/>
    </row>
    <row r="198" spans="12:12" x14ac:dyDescent="0.3">
      <c r="L198" s="95"/>
    </row>
    <row r="199" spans="12:12" x14ac:dyDescent="0.3">
      <c r="L199" s="95"/>
    </row>
    <row r="200" spans="12:12" x14ac:dyDescent="0.3">
      <c r="L200" s="95"/>
    </row>
    <row r="201" spans="12:12" x14ac:dyDescent="0.3">
      <c r="L201" s="95"/>
    </row>
    <row r="202" spans="12:12" x14ac:dyDescent="0.3">
      <c r="L202" s="95"/>
    </row>
    <row r="203" spans="12:12" x14ac:dyDescent="0.3">
      <c r="L203" s="95"/>
    </row>
    <row r="204" spans="12:12" x14ac:dyDescent="0.3">
      <c r="L204" s="95"/>
    </row>
    <row r="205" spans="12:12" x14ac:dyDescent="0.3">
      <c r="L205" s="95"/>
    </row>
    <row r="206" spans="12:12" x14ac:dyDescent="0.3">
      <c r="L206" s="95"/>
    </row>
  </sheetData>
  <phoneticPr fontId="1" type="noConversion"/>
  <pageMargins left="0.35" right="0.36" top="0.62" bottom="0.48" header="0.31496062992125984" footer="0.31496062992125984"/>
  <pageSetup paperSize="9" scale="70" orientation="landscape" r:id="rId1"/>
  <headerFooter>
    <oddFooter>第 &amp;P 頁，共 &amp;N 頁</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tabColor rgb="FFFFC000"/>
  </sheetPr>
  <dimension ref="A1:Q25"/>
  <sheetViews>
    <sheetView tabSelected="1" workbookViewId="0"/>
  </sheetViews>
  <sheetFormatPr defaultColWidth="9" defaultRowHeight="15.6" x14ac:dyDescent="0.3"/>
  <cols>
    <col min="1" max="1" width="10.21875" style="15" bestFit="1" customWidth="1"/>
    <col min="2" max="2" width="12.88671875" style="15" bestFit="1" customWidth="1"/>
    <col min="3" max="3" width="11.44140625" style="15" customWidth="1"/>
    <col min="4" max="4" width="9" style="10"/>
    <col min="5" max="10" width="9.109375" style="11" bestFit="1" customWidth="1"/>
    <col min="11" max="11" width="9" style="11"/>
    <col min="12" max="12" width="9" style="12"/>
    <col min="13" max="13" width="9" style="15"/>
    <col min="14" max="14" width="9.109375" style="15" bestFit="1" customWidth="1"/>
    <col min="15" max="15" width="44.21875" style="15" bestFit="1" customWidth="1"/>
    <col min="16" max="16384" width="9" style="15"/>
  </cols>
  <sheetData>
    <row r="1" spans="1:17" ht="16.2" thickBot="1" x14ac:dyDescent="0.35">
      <c r="A1" s="15" t="s">
        <v>222</v>
      </c>
      <c r="B1" s="16">
        <f ca="1">NOW()</f>
        <v>43130.654156249999</v>
      </c>
      <c r="C1" s="16"/>
      <c r="D1" s="7" t="s">
        <v>1005</v>
      </c>
      <c r="E1" s="8" t="s">
        <v>1006</v>
      </c>
      <c r="F1" s="8" t="s">
        <v>1007</v>
      </c>
      <c r="G1" s="8" t="s">
        <v>1069</v>
      </c>
      <c r="H1" s="8" t="s">
        <v>1070</v>
      </c>
      <c r="I1" s="8" t="s">
        <v>1008</v>
      </c>
      <c r="J1" s="8" t="s">
        <v>1009</v>
      </c>
      <c r="K1" s="8" t="s">
        <v>1010</v>
      </c>
      <c r="L1" s="9" t="s">
        <v>1011</v>
      </c>
      <c r="N1" s="155" t="s">
        <v>441</v>
      </c>
      <c r="O1" s="156"/>
    </row>
    <row r="2" spans="1:17" ht="16.2" thickTop="1" x14ac:dyDescent="0.3">
      <c r="A2" s="15" t="s">
        <v>223</v>
      </c>
      <c r="D2" s="10" t="s">
        <v>286</v>
      </c>
      <c r="E2" s="11">
        <v>4200</v>
      </c>
      <c r="F2" s="11">
        <v>4200</v>
      </c>
      <c r="G2" s="11">
        <v>280</v>
      </c>
      <c r="H2" s="11">
        <v>280</v>
      </c>
      <c r="I2" s="11">
        <v>0.3</v>
      </c>
      <c r="J2" s="11">
        <v>1</v>
      </c>
      <c r="N2" s="17">
        <v>1</v>
      </c>
      <c r="O2" s="21" t="s">
        <v>442</v>
      </c>
    </row>
    <row r="3" spans="1:17" x14ac:dyDescent="0.3">
      <c r="A3" s="15" t="s">
        <v>224</v>
      </c>
      <c r="D3" s="10" t="s">
        <v>979</v>
      </c>
      <c r="E3" s="11">
        <v>4200</v>
      </c>
      <c r="F3" s="11">
        <v>4200</v>
      </c>
      <c r="G3" s="11">
        <v>280</v>
      </c>
      <c r="H3" s="11">
        <v>280</v>
      </c>
      <c r="I3" s="11">
        <v>0.3</v>
      </c>
      <c r="J3" s="11">
        <v>0.2</v>
      </c>
      <c r="N3" s="17">
        <v>2</v>
      </c>
      <c r="O3" s="21" t="s">
        <v>443</v>
      </c>
    </row>
    <row r="4" spans="1:17" x14ac:dyDescent="0.3">
      <c r="D4" s="10" t="s">
        <v>980</v>
      </c>
      <c r="E4" s="11">
        <v>4200</v>
      </c>
      <c r="F4" s="11">
        <v>4200</v>
      </c>
      <c r="G4" s="11">
        <v>280</v>
      </c>
      <c r="H4" s="11">
        <v>280</v>
      </c>
      <c r="I4" s="11">
        <v>0.3</v>
      </c>
      <c r="J4" s="11">
        <v>0.2</v>
      </c>
      <c r="M4" s="23"/>
      <c r="N4" s="18">
        <v>3</v>
      </c>
      <c r="O4" s="21" t="s">
        <v>444</v>
      </c>
    </row>
    <row r="5" spans="1:17" x14ac:dyDescent="0.3">
      <c r="D5" s="10" t="s">
        <v>291</v>
      </c>
      <c r="E5" s="11">
        <v>4200</v>
      </c>
      <c r="F5" s="11">
        <v>4200</v>
      </c>
      <c r="G5" s="11">
        <v>350</v>
      </c>
      <c r="H5" s="11">
        <v>280</v>
      </c>
      <c r="I5" s="11">
        <v>0.34499999999999997</v>
      </c>
      <c r="J5" s="11">
        <v>0.3</v>
      </c>
      <c r="N5" s="20">
        <v>4</v>
      </c>
      <c r="O5" s="22" t="s">
        <v>445</v>
      </c>
      <c r="P5" s="18"/>
      <c r="Q5" s="18"/>
    </row>
    <row r="6" spans="1:17" x14ac:dyDescent="0.3">
      <c r="D6" s="10" t="s">
        <v>982</v>
      </c>
      <c r="E6" s="11">
        <v>4200</v>
      </c>
      <c r="F6" s="11">
        <v>4200</v>
      </c>
      <c r="G6" s="11">
        <v>280</v>
      </c>
      <c r="H6" s="11">
        <v>350</v>
      </c>
      <c r="I6" s="11">
        <v>0.3</v>
      </c>
      <c r="J6" s="11">
        <v>0.2</v>
      </c>
      <c r="N6" s="18"/>
      <c r="O6" s="19"/>
    </row>
    <row r="7" spans="1:17" ht="16.2" thickBot="1" x14ac:dyDescent="0.35">
      <c r="D7" s="10" t="s">
        <v>983</v>
      </c>
      <c r="E7" s="11">
        <v>4200</v>
      </c>
      <c r="F7" s="11">
        <v>4200</v>
      </c>
      <c r="G7" s="11">
        <v>280</v>
      </c>
      <c r="H7" s="11">
        <v>280</v>
      </c>
      <c r="I7" s="11">
        <v>0.3</v>
      </c>
      <c r="J7" s="11">
        <v>0.2</v>
      </c>
      <c r="N7" s="157" t="s">
        <v>446</v>
      </c>
      <c r="O7" s="158"/>
    </row>
    <row r="8" spans="1:17" ht="16.2" thickTop="1" x14ac:dyDescent="0.3">
      <c r="D8" s="10" t="s">
        <v>984</v>
      </c>
      <c r="E8" s="11">
        <v>4200</v>
      </c>
      <c r="F8" s="11">
        <v>4200</v>
      </c>
      <c r="G8" s="11">
        <v>280</v>
      </c>
      <c r="H8" s="11">
        <v>280</v>
      </c>
      <c r="I8" s="11">
        <v>0.29499999999999998</v>
      </c>
      <c r="J8" s="11">
        <v>0.2</v>
      </c>
      <c r="N8" s="17">
        <v>1</v>
      </c>
      <c r="O8" s="21" t="s">
        <v>1068</v>
      </c>
    </row>
    <row r="9" spans="1:17" x14ac:dyDescent="0.3">
      <c r="D9" s="10" t="s">
        <v>985</v>
      </c>
      <c r="E9" s="11">
        <v>4200</v>
      </c>
      <c r="F9" s="11">
        <v>4200</v>
      </c>
      <c r="G9" s="11">
        <v>280</v>
      </c>
      <c r="H9" s="11">
        <v>280</v>
      </c>
      <c r="I9" s="11">
        <v>0.29499999999999998</v>
      </c>
      <c r="J9" s="11">
        <v>0.2</v>
      </c>
      <c r="N9" s="20">
        <v>2</v>
      </c>
      <c r="O9" s="22" t="s">
        <v>923</v>
      </c>
    </row>
    <row r="10" spans="1:17" x14ac:dyDescent="0.3">
      <c r="D10" s="10" t="s">
        <v>986</v>
      </c>
      <c r="E10" s="11">
        <v>4200</v>
      </c>
      <c r="F10" s="11">
        <v>4200</v>
      </c>
      <c r="G10" s="11">
        <v>280</v>
      </c>
      <c r="H10" s="11">
        <v>280</v>
      </c>
      <c r="I10" s="11">
        <v>0.29499999999999998</v>
      </c>
      <c r="J10" s="11">
        <v>0.2</v>
      </c>
    </row>
    <row r="11" spans="1:17" x14ac:dyDescent="0.3">
      <c r="D11" s="10" t="s">
        <v>987</v>
      </c>
      <c r="E11" s="11">
        <v>4200</v>
      </c>
      <c r="F11" s="11">
        <v>4200</v>
      </c>
      <c r="G11" s="11">
        <v>280</v>
      </c>
      <c r="H11" s="11">
        <v>280</v>
      </c>
      <c r="I11" s="11">
        <v>0.29499999999999998</v>
      </c>
      <c r="J11" s="11">
        <v>0.2</v>
      </c>
    </row>
    <row r="12" spans="1:17" x14ac:dyDescent="0.3">
      <c r="D12" s="10" t="s">
        <v>988</v>
      </c>
      <c r="E12" s="11">
        <v>4200</v>
      </c>
      <c r="F12" s="11">
        <v>4200</v>
      </c>
      <c r="G12" s="11">
        <v>280</v>
      </c>
      <c r="H12" s="11">
        <v>280</v>
      </c>
      <c r="I12" s="11">
        <v>0.29499999999999998</v>
      </c>
      <c r="J12" s="11">
        <v>0.2</v>
      </c>
    </row>
    <row r="13" spans="1:17" x14ac:dyDescent="0.3">
      <c r="D13" s="10" t="s">
        <v>989</v>
      </c>
      <c r="E13" s="11">
        <v>4200</v>
      </c>
      <c r="F13" s="11">
        <v>4200</v>
      </c>
      <c r="G13" s="11">
        <v>280</v>
      </c>
      <c r="H13" s="11">
        <v>280</v>
      </c>
      <c r="I13" s="11">
        <v>0.29499999999999998</v>
      </c>
      <c r="J13" s="11">
        <v>0.2</v>
      </c>
    </row>
    <row r="14" spans="1:17" x14ac:dyDescent="0.3">
      <c r="D14" s="10" t="s">
        <v>990</v>
      </c>
      <c r="E14" s="11">
        <v>4200</v>
      </c>
      <c r="F14" s="11">
        <v>4200</v>
      </c>
      <c r="G14" s="11">
        <v>350</v>
      </c>
      <c r="H14" s="11">
        <v>280</v>
      </c>
      <c r="I14" s="11">
        <v>0.27500000000000002</v>
      </c>
      <c r="J14" s="11">
        <v>0.2</v>
      </c>
    </row>
    <row r="15" spans="1:17" x14ac:dyDescent="0.3">
      <c r="D15" s="10" t="s">
        <v>991</v>
      </c>
      <c r="E15" s="11">
        <v>4200</v>
      </c>
      <c r="F15" s="11">
        <v>4200</v>
      </c>
      <c r="G15" s="11">
        <v>350</v>
      </c>
      <c r="H15" s="11">
        <v>350</v>
      </c>
      <c r="I15" s="11">
        <v>0.27500000000000002</v>
      </c>
      <c r="J15" s="11">
        <v>0.2</v>
      </c>
    </row>
    <row r="16" spans="1:17" x14ac:dyDescent="0.3">
      <c r="D16" s="10" t="s">
        <v>992</v>
      </c>
      <c r="E16" s="11">
        <v>4200</v>
      </c>
      <c r="F16" s="11">
        <v>4200</v>
      </c>
      <c r="G16" s="11">
        <v>350</v>
      </c>
      <c r="H16" s="11">
        <v>350</v>
      </c>
      <c r="I16" s="11">
        <v>0.27500000000000002</v>
      </c>
      <c r="J16" s="11">
        <v>0.2</v>
      </c>
    </row>
    <row r="17" spans="4:10" x14ac:dyDescent="0.3">
      <c r="D17" s="10" t="s">
        <v>993</v>
      </c>
      <c r="E17" s="11">
        <v>4200</v>
      </c>
      <c r="F17" s="11">
        <v>4200</v>
      </c>
      <c r="G17" s="11">
        <v>350</v>
      </c>
      <c r="H17" s="11">
        <v>350</v>
      </c>
      <c r="I17" s="11">
        <v>0.23400000000000001</v>
      </c>
      <c r="J17" s="11">
        <v>0.2</v>
      </c>
    </row>
    <row r="18" spans="4:10" x14ac:dyDescent="0.3">
      <c r="D18" s="10" t="s">
        <v>994</v>
      </c>
      <c r="E18" s="11">
        <v>4200</v>
      </c>
      <c r="F18" s="11">
        <v>4200</v>
      </c>
      <c r="G18" s="11">
        <v>350</v>
      </c>
      <c r="H18" s="11">
        <v>350</v>
      </c>
      <c r="I18" s="11">
        <v>0.3</v>
      </c>
      <c r="J18" s="11">
        <v>0.2</v>
      </c>
    </row>
    <row r="19" spans="4:10" x14ac:dyDescent="0.3">
      <c r="D19" s="10" t="s">
        <v>225</v>
      </c>
      <c r="E19" s="11">
        <v>4200</v>
      </c>
      <c r="F19" s="11">
        <v>4200</v>
      </c>
      <c r="G19" s="11">
        <v>350</v>
      </c>
      <c r="H19" s="11">
        <v>350</v>
      </c>
      <c r="I19" s="11">
        <v>0.3</v>
      </c>
      <c r="J19" s="11">
        <v>0.3</v>
      </c>
    </row>
    <row r="20" spans="4:10" x14ac:dyDescent="0.3">
      <c r="D20" s="10" t="s">
        <v>226</v>
      </c>
      <c r="E20" s="11">
        <v>4200</v>
      </c>
      <c r="F20" s="11">
        <v>4200</v>
      </c>
      <c r="G20" s="11">
        <v>420</v>
      </c>
      <c r="H20" s="11">
        <v>350</v>
      </c>
      <c r="I20" s="11">
        <v>0.3</v>
      </c>
      <c r="J20" s="11">
        <v>0.3</v>
      </c>
    </row>
    <row r="21" spans="4:10" x14ac:dyDescent="0.3">
      <c r="D21" s="10" t="s">
        <v>227</v>
      </c>
      <c r="E21" s="11">
        <v>4200</v>
      </c>
      <c r="F21" s="11">
        <v>4200</v>
      </c>
      <c r="G21" s="11">
        <v>420</v>
      </c>
      <c r="H21" s="11">
        <v>420</v>
      </c>
      <c r="I21" s="11">
        <v>0.33</v>
      </c>
      <c r="J21" s="11">
        <v>0.3</v>
      </c>
    </row>
    <row r="22" spans="4:10" x14ac:dyDescent="0.3">
      <c r="D22" s="10" t="s">
        <v>996</v>
      </c>
      <c r="E22" s="11">
        <v>4200</v>
      </c>
      <c r="F22" s="11">
        <v>4200</v>
      </c>
      <c r="G22" s="11">
        <v>420</v>
      </c>
      <c r="H22" s="11">
        <v>420</v>
      </c>
      <c r="I22" s="11">
        <v>0.3</v>
      </c>
      <c r="J22" s="11">
        <v>0.5</v>
      </c>
    </row>
    <row r="23" spans="4:10" x14ac:dyDescent="0.3">
      <c r="D23" s="10" t="s">
        <v>997</v>
      </c>
      <c r="E23" s="11">
        <v>4200</v>
      </c>
      <c r="F23" s="11">
        <v>4200</v>
      </c>
      <c r="G23" s="11">
        <v>350</v>
      </c>
      <c r="H23" s="11">
        <v>420</v>
      </c>
      <c r="I23" s="11">
        <v>0.12</v>
      </c>
      <c r="J23" s="11">
        <v>0.5</v>
      </c>
    </row>
    <row r="24" spans="4:10" x14ac:dyDescent="0.3">
      <c r="D24" s="10" t="s">
        <v>998</v>
      </c>
      <c r="E24" s="11">
        <v>4200</v>
      </c>
      <c r="F24" s="11">
        <v>4200</v>
      </c>
      <c r="G24" s="11">
        <v>350</v>
      </c>
      <c r="H24" s="11">
        <v>350</v>
      </c>
      <c r="I24" s="11">
        <v>0.12</v>
      </c>
      <c r="J24" s="11">
        <v>0.5</v>
      </c>
    </row>
    <row r="25" spans="4:10" x14ac:dyDescent="0.3">
      <c r="D25" s="10" t="s">
        <v>999</v>
      </c>
      <c r="E25" s="11">
        <v>4200</v>
      </c>
      <c r="F25" s="11">
        <v>4200</v>
      </c>
      <c r="G25" s="11">
        <v>350</v>
      </c>
      <c r="H25" s="11">
        <v>350</v>
      </c>
      <c r="I25" s="11">
        <v>0.12</v>
      </c>
      <c r="J25" s="11">
        <v>0.5</v>
      </c>
    </row>
  </sheetData>
  <mergeCells count="2">
    <mergeCell ref="N1:O1"/>
    <mergeCell ref="N7:O7"/>
  </mergeCells>
  <phoneticPr fontId="1" type="noConversion"/>
  <conditionalFormatting sqref="D1:D1048576">
    <cfRule type="containsText" dxfId="1" priority="1" operator="containsText" text="RF">
      <formula>NOT(ISERROR(SEARCH("RF",D1)))</formula>
    </cfRule>
    <cfRule type="beginsWith" dxfId="0" priority="2" operator="beginsWith" text="1F">
      <formula>LEFT(D1,LEN("1F"))="1F"</formula>
    </cfRule>
  </conditionalFormatting>
  <pageMargins left="0.7" right="0.7" top="0.75" bottom="0.75" header="0.3" footer="0.3"/>
  <pageSetup paperSize="9"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9">
    <tabColor rgb="FF0070C0"/>
  </sheetPr>
  <dimension ref="A1:M440"/>
  <sheetViews>
    <sheetView workbookViewId="0">
      <pane ySplit="2" topLeftCell="A3" activePane="bottomLeft" state="frozen"/>
      <selection activeCell="B4" sqref="B4"/>
      <selection pane="bottomLeft" activeCell="L15" sqref="L15"/>
    </sheetView>
  </sheetViews>
  <sheetFormatPr defaultColWidth="9" defaultRowHeight="15.6" x14ac:dyDescent="0.3"/>
  <cols>
    <col min="1" max="2" width="9" style="172"/>
    <col min="3" max="11" width="9" style="172" customWidth="1"/>
    <col min="12" max="12" width="50.77734375" style="13" bestFit="1" customWidth="1"/>
    <col min="13" max="13" width="9" style="141" customWidth="1"/>
    <col min="14" max="16384" width="9" style="5"/>
  </cols>
  <sheetData>
    <row r="1" spans="1:13" x14ac:dyDescent="0.3">
      <c r="A1" s="172" t="s">
        <v>324</v>
      </c>
      <c r="B1" s="172" t="s">
        <v>1050</v>
      </c>
      <c r="C1" s="172" t="s">
        <v>1051</v>
      </c>
      <c r="D1" s="172" t="s">
        <v>1052</v>
      </c>
      <c r="E1" s="172" t="s">
        <v>964</v>
      </c>
      <c r="H1" s="172" t="s">
        <v>1053</v>
      </c>
      <c r="L1" s="159" t="s">
        <v>282</v>
      </c>
      <c r="M1" s="142"/>
    </row>
    <row r="2" spans="1:13" ht="16.2" thickBot="1" x14ac:dyDescent="0.35">
      <c r="C2" s="172" t="s">
        <v>325</v>
      </c>
      <c r="D2" s="172" t="s">
        <v>325</v>
      </c>
      <c r="E2" s="172" t="s">
        <v>447</v>
      </c>
      <c r="F2" s="172" t="s">
        <v>1054</v>
      </c>
      <c r="G2" s="172" t="s">
        <v>1055</v>
      </c>
      <c r="H2" s="172" t="s">
        <v>1056</v>
      </c>
      <c r="I2" s="172" t="s">
        <v>1057</v>
      </c>
      <c r="J2" s="172" t="s">
        <v>1058</v>
      </c>
      <c r="K2" s="172" t="s">
        <v>1059</v>
      </c>
      <c r="L2" s="160"/>
      <c r="M2" s="143"/>
    </row>
    <row r="3" spans="1:13" ht="16.2" thickTop="1" x14ac:dyDescent="0.3">
      <c r="A3" s="172" t="s">
        <v>291</v>
      </c>
      <c r="B3" s="172" t="s">
        <v>304</v>
      </c>
      <c r="C3" s="172">
        <v>90</v>
      </c>
      <c r="D3" s="172">
        <v>90</v>
      </c>
      <c r="E3" s="172" t="s">
        <v>1012</v>
      </c>
      <c r="F3" s="172">
        <v>6</v>
      </c>
      <c r="G3" s="172">
        <v>6</v>
      </c>
      <c r="H3" s="172" t="s">
        <v>289</v>
      </c>
      <c r="I3" s="172" t="s">
        <v>290</v>
      </c>
      <c r="J3" s="172">
        <v>3</v>
      </c>
      <c r="K3" s="172">
        <v>3</v>
      </c>
      <c r="L3" s="154" t="s">
        <v>1062</v>
      </c>
      <c r="M3" s="141">
        <v>1.2567901234567901E-2</v>
      </c>
    </row>
    <row r="4" spans="1:13" ht="78" x14ac:dyDescent="0.3">
      <c r="A4" s="172" t="s">
        <v>982</v>
      </c>
      <c r="B4" s="172" t="s">
        <v>304</v>
      </c>
      <c r="C4" s="172">
        <v>90</v>
      </c>
      <c r="D4" s="172">
        <v>90</v>
      </c>
      <c r="E4" s="172" t="s">
        <v>1012</v>
      </c>
      <c r="F4" s="172">
        <v>6</v>
      </c>
      <c r="G4" s="172">
        <v>6</v>
      </c>
      <c r="H4" s="172" t="s">
        <v>289</v>
      </c>
      <c r="I4" s="172" t="s">
        <v>290</v>
      </c>
      <c r="J4" s="172">
        <v>2</v>
      </c>
      <c r="K4" s="172">
        <v>2</v>
      </c>
      <c r="L4" s="151" t="s">
        <v>1060</v>
      </c>
      <c r="M4" s="141">
        <v>1.2567901234567901E-2</v>
      </c>
    </row>
    <row r="5" spans="1:13" x14ac:dyDescent="0.3">
      <c r="A5" s="172" t="s">
        <v>983</v>
      </c>
      <c r="B5" s="172" t="s">
        <v>304</v>
      </c>
      <c r="C5" s="172">
        <v>90</v>
      </c>
      <c r="D5" s="172">
        <v>90</v>
      </c>
      <c r="E5" s="172" t="s">
        <v>1012</v>
      </c>
      <c r="F5" s="172">
        <v>6</v>
      </c>
      <c r="G5" s="172">
        <v>6</v>
      </c>
      <c r="H5" s="172" t="s">
        <v>289</v>
      </c>
      <c r="I5" s="172" t="s">
        <v>290</v>
      </c>
      <c r="J5" s="172">
        <v>2</v>
      </c>
      <c r="K5" s="172">
        <v>2</v>
      </c>
      <c r="L5" s="151" t="s">
        <v>1062</v>
      </c>
      <c r="M5" s="141">
        <v>1.2567901234567901E-2</v>
      </c>
    </row>
    <row r="6" spans="1:13" x14ac:dyDescent="0.3">
      <c r="A6" s="172" t="s">
        <v>984</v>
      </c>
      <c r="B6" s="172" t="s">
        <v>304</v>
      </c>
      <c r="C6" s="172">
        <v>90</v>
      </c>
      <c r="D6" s="172">
        <v>90</v>
      </c>
      <c r="E6" s="172" t="s">
        <v>1012</v>
      </c>
      <c r="F6" s="172">
        <v>6</v>
      </c>
      <c r="G6" s="172">
        <v>6</v>
      </c>
      <c r="H6" s="172" t="s">
        <v>289</v>
      </c>
      <c r="I6" s="172" t="s">
        <v>290</v>
      </c>
      <c r="J6" s="172">
        <v>2</v>
      </c>
      <c r="K6" s="172">
        <v>2</v>
      </c>
      <c r="L6" s="151" t="s">
        <v>1062</v>
      </c>
      <c r="M6" s="141">
        <v>1.2567901234567901E-2</v>
      </c>
    </row>
    <row r="7" spans="1:13" x14ac:dyDescent="0.3">
      <c r="A7" s="172" t="s">
        <v>985</v>
      </c>
      <c r="B7" s="172" t="s">
        <v>304</v>
      </c>
      <c r="C7" s="172">
        <v>90</v>
      </c>
      <c r="D7" s="172">
        <v>90</v>
      </c>
      <c r="E7" s="172" t="s">
        <v>1012</v>
      </c>
      <c r="F7" s="172">
        <v>6</v>
      </c>
      <c r="G7" s="172">
        <v>6</v>
      </c>
      <c r="H7" s="172" t="s">
        <v>289</v>
      </c>
      <c r="I7" s="172" t="s">
        <v>290</v>
      </c>
      <c r="J7" s="172">
        <v>2</v>
      </c>
      <c r="K7" s="172">
        <v>2</v>
      </c>
      <c r="L7" s="154" t="s">
        <v>1062</v>
      </c>
      <c r="M7" s="141">
        <v>1.2567901234567901E-2</v>
      </c>
    </row>
    <row r="8" spans="1:13" x14ac:dyDescent="0.3">
      <c r="A8" s="172" t="s">
        <v>986</v>
      </c>
      <c r="B8" s="172" t="s">
        <v>304</v>
      </c>
      <c r="C8" s="172">
        <v>90</v>
      </c>
      <c r="D8" s="172">
        <v>90</v>
      </c>
      <c r="E8" s="172" t="s">
        <v>1012</v>
      </c>
      <c r="F8" s="172">
        <v>6</v>
      </c>
      <c r="G8" s="172">
        <v>6</v>
      </c>
      <c r="H8" s="172" t="s">
        <v>289</v>
      </c>
      <c r="I8" s="172" t="s">
        <v>290</v>
      </c>
      <c r="J8" s="172">
        <v>2</v>
      </c>
      <c r="K8" s="172">
        <v>2</v>
      </c>
      <c r="L8" s="153" t="s">
        <v>448</v>
      </c>
      <c r="M8" s="141">
        <v>1.2567901234567901E-2</v>
      </c>
    </row>
    <row r="9" spans="1:13" x14ac:dyDescent="0.3">
      <c r="A9" s="172" t="s">
        <v>987</v>
      </c>
      <c r="B9" s="172" t="s">
        <v>304</v>
      </c>
      <c r="C9" s="172">
        <v>90</v>
      </c>
      <c r="D9" s="172">
        <v>90</v>
      </c>
      <c r="E9" s="172" t="s">
        <v>1012</v>
      </c>
      <c r="F9" s="172">
        <v>6</v>
      </c>
      <c r="G9" s="172">
        <v>6</v>
      </c>
      <c r="H9" s="172" t="s">
        <v>289</v>
      </c>
      <c r="I9" s="172" t="s">
        <v>290</v>
      </c>
      <c r="J9" s="172">
        <v>2</v>
      </c>
      <c r="K9" s="172">
        <v>2</v>
      </c>
      <c r="L9" s="152" t="s">
        <v>448</v>
      </c>
      <c r="M9" s="141">
        <v>1.2567901234567901E-2</v>
      </c>
    </row>
    <row r="10" spans="1:13" x14ac:dyDescent="0.3">
      <c r="A10" s="172" t="s">
        <v>988</v>
      </c>
      <c r="B10" s="172" t="s">
        <v>304</v>
      </c>
      <c r="C10" s="172">
        <v>90</v>
      </c>
      <c r="D10" s="172">
        <v>90</v>
      </c>
      <c r="E10" s="172" t="s">
        <v>1012</v>
      </c>
      <c r="F10" s="172">
        <v>6</v>
      </c>
      <c r="G10" s="172">
        <v>6</v>
      </c>
      <c r="H10" s="172" t="s">
        <v>289</v>
      </c>
      <c r="I10" s="172" t="s">
        <v>290</v>
      </c>
      <c r="J10" s="172">
        <v>2</v>
      </c>
      <c r="K10" s="172">
        <v>2</v>
      </c>
      <c r="L10" s="153" t="s">
        <v>448</v>
      </c>
      <c r="M10" s="141">
        <v>1.2567901234567901E-2</v>
      </c>
    </row>
    <row r="11" spans="1:13" x14ac:dyDescent="0.3">
      <c r="A11" s="172" t="s">
        <v>989</v>
      </c>
      <c r="B11" s="172" t="s">
        <v>304</v>
      </c>
      <c r="C11" s="173">
        <v>90</v>
      </c>
      <c r="D11" s="173">
        <v>90</v>
      </c>
      <c r="E11" s="172" t="s">
        <v>1012</v>
      </c>
      <c r="F11" s="172">
        <v>6</v>
      </c>
      <c r="G11" s="172">
        <v>6</v>
      </c>
      <c r="H11" s="172" t="s">
        <v>289</v>
      </c>
      <c r="I11" s="172" t="s">
        <v>290</v>
      </c>
      <c r="J11" s="172">
        <v>2</v>
      </c>
      <c r="K11" s="172">
        <v>2</v>
      </c>
      <c r="L11" s="152" t="s">
        <v>448</v>
      </c>
      <c r="M11" s="141">
        <v>1.2567901234567901E-2</v>
      </c>
    </row>
    <row r="12" spans="1:13" x14ac:dyDescent="0.3">
      <c r="A12" s="172" t="s">
        <v>990</v>
      </c>
      <c r="B12" s="172" t="s">
        <v>304</v>
      </c>
      <c r="C12" s="172">
        <v>90</v>
      </c>
      <c r="D12" s="172">
        <v>90</v>
      </c>
      <c r="E12" s="172" t="s">
        <v>1012</v>
      </c>
      <c r="F12" s="172">
        <v>6</v>
      </c>
      <c r="G12" s="172">
        <v>6</v>
      </c>
      <c r="H12" s="172" t="s">
        <v>289</v>
      </c>
      <c r="I12" s="172" t="s">
        <v>290</v>
      </c>
      <c r="J12" s="172">
        <v>3</v>
      </c>
      <c r="K12" s="172">
        <v>3</v>
      </c>
      <c r="L12" s="153" t="s">
        <v>448</v>
      </c>
      <c r="M12" s="141">
        <v>1.2567901234567901E-2</v>
      </c>
    </row>
    <row r="13" spans="1:13" x14ac:dyDescent="0.3">
      <c r="A13" s="172" t="s">
        <v>991</v>
      </c>
      <c r="B13" s="172" t="s">
        <v>304</v>
      </c>
      <c r="C13" s="172">
        <v>90</v>
      </c>
      <c r="D13" s="172">
        <v>90</v>
      </c>
      <c r="E13" s="172" t="s">
        <v>1012</v>
      </c>
      <c r="F13" s="172">
        <v>6</v>
      </c>
      <c r="G13" s="172">
        <v>6</v>
      </c>
      <c r="H13" s="172" t="s">
        <v>289</v>
      </c>
      <c r="I13" s="172" t="s">
        <v>290</v>
      </c>
      <c r="J13" s="172">
        <v>3</v>
      </c>
      <c r="K13" s="172">
        <v>3</v>
      </c>
      <c r="L13" s="152" t="s">
        <v>448</v>
      </c>
      <c r="M13" s="141">
        <v>1.2567901234567901E-2</v>
      </c>
    </row>
    <row r="14" spans="1:13" x14ac:dyDescent="0.3">
      <c r="A14" s="172" t="s">
        <v>992</v>
      </c>
      <c r="B14" s="172" t="s">
        <v>304</v>
      </c>
      <c r="C14" s="172">
        <v>90</v>
      </c>
      <c r="D14" s="172">
        <v>90</v>
      </c>
      <c r="E14" s="172" t="s">
        <v>1012</v>
      </c>
      <c r="F14" s="172">
        <v>6</v>
      </c>
      <c r="G14" s="172">
        <v>6</v>
      </c>
      <c r="H14" s="172" t="s">
        <v>289</v>
      </c>
      <c r="I14" s="172" t="s">
        <v>290</v>
      </c>
      <c r="J14" s="172">
        <v>3</v>
      </c>
      <c r="K14" s="172">
        <v>3</v>
      </c>
      <c r="L14" s="152" t="s">
        <v>448</v>
      </c>
      <c r="M14" s="141">
        <v>1.2567901234567901E-2</v>
      </c>
    </row>
    <row r="15" spans="1:13" x14ac:dyDescent="0.3">
      <c r="A15" s="172" t="s">
        <v>993</v>
      </c>
      <c r="B15" s="172" t="s">
        <v>304</v>
      </c>
      <c r="C15" s="172">
        <v>90</v>
      </c>
      <c r="D15" s="172">
        <v>90</v>
      </c>
      <c r="E15" s="172" t="s">
        <v>1012</v>
      </c>
      <c r="F15" s="172">
        <v>6</v>
      </c>
      <c r="G15" s="172">
        <v>6</v>
      </c>
      <c r="H15" s="172" t="s">
        <v>289</v>
      </c>
      <c r="I15" s="172" t="s">
        <v>290</v>
      </c>
      <c r="J15" s="172">
        <v>3</v>
      </c>
      <c r="K15" s="172">
        <v>3</v>
      </c>
      <c r="L15" s="152" t="s">
        <v>448</v>
      </c>
      <c r="M15" s="141">
        <v>1.2567901234567901E-2</v>
      </c>
    </row>
    <row r="16" spans="1:13" x14ac:dyDescent="0.3">
      <c r="A16" s="172" t="s">
        <v>994</v>
      </c>
      <c r="B16" s="172" t="s">
        <v>304</v>
      </c>
      <c r="C16" s="172">
        <v>90</v>
      </c>
      <c r="D16" s="172">
        <v>110</v>
      </c>
      <c r="E16" s="172" t="s">
        <v>1013</v>
      </c>
      <c r="F16" s="172">
        <v>6</v>
      </c>
      <c r="G16" s="172">
        <v>7</v>
      </c>
      <c r="H16" s="172" t="s">
        <v>289</v>
      </c>
      <c r="I16" s="172" t="s">
        <v>290</v>
      </c>
      <c r="J16" s="172">
        <v>4</v>
      </c>
      <c r="K16" s="172">
        <v>3</v>
      </c>
      <c r="L16" s="153" t="s">
        <v>448</v>
      </c>
      <c r="M16" s="141">
        <v>1.131111111111111E-2</v>
      </c>
    </row>
    <row r="17" spans="1:13" x14ac:dyDescent="0.3">
      <c r="A17" s="172" t="s">
        <v>225</v>
      </c>
      <c r="B17" s="172" t="s">
        <v>304</v>
      </c>
      <c r="C17" s="172">
        <v>90</v>
      </c>
      <c r="D17" s="172">
        <v>110</v>
      </c>
      <c r="E17" s="172" t="s">
        <v>1013</v>
      </c>
      <c r="F17" s="172">
        <v>6</v>
      </c>
      <c r="G17" s="172">
        <v>7</v>
      </c>
      <c r="H17" s="172" t="s">
        <v>289</v>
      </c>
      <c r="I17" s="172" t="s">
        <v>290</v>
      </c>
      <c r="J17" s="172">
        <v>4</v>
      </c>
      <c r="K17" s="172">
        <v>3</v>
      </c>
      <c r="L17" s="152" t="s">
        <v>448</v>
      </c>
      <c r="M17" s="141">
        <v>1.131111111111111E-2</v>
      </c>
    </row>
    <row r="18" spans="1:13" x14ac:dyDescent="0.3">
      <c r="A18" s="172" t="s">
        <v>226</v>
      </c>
      <c r="B18" s="172" t="s">
        <v>304</v>
      </c>
      <c r="C18" s="172">
        <v>90</v>
      </c>
      <c r="D18" s="172">
        <v>110</v>
      </c>
      <c r="E18" s="172" t="s">
        <v>1013</v>
      </c>
      <c r="F18" s="172">
        <v>6</v>
      </c>
      <c r="G18" s="172">
        <v>7</v>
      </c>
      <c r="H18" s="172" t="s">
        <v>289</v>
      </c>
      <c r="I18" s="172" t="s">
        <v>290</v>
      </c>
      <c r="J18" s="172">
        <v>5</v>
      </c>
      <c r="K18" s="172">
        <v>4</v>
      </c>
      <c r="L18" s="153" t="s">
        <v>448</v>
      </c>
      <c r="M18" s="141">
        <v>1.131111111111111E-2</v>
      </c>
    </row>
    <row r="19" spans="1:13" ht="31.2" x14ac:dyDescent="0.3">
      <c r="A19" s="172" t="s">
        <v>227</v>
      </c>
      <c r="B19" s="172" t="s">
        <v>304</v>
      </c>
      <c r="C19" s="172">
        <v>90</v>
      </c>
      <c r="D19" s="172">
        <v>110</v>
      </c>
      <c r="E19" s="172" t="s">
        <v>1013</v>
      </c>
      <c r="F19" s="172">
        <v>6</v>
      </c>
      <c r="G19" s="172">
        <v>7</v>
      </c>
      <c r="H19" s="172" t="s">
        <v>289</v>
      </c>
      <c r="I19" s="172" t="s">
        <v>289</v>
      </c>
      <c r="J19" s="172">
        <v>5</v>
      </c>
      <c r="K19" s="172">
        <v>4</v>
      </c>
      <c r="L19" s="151" t="s">
        <v>1063</v>
      </c>
      <c r="M19" s="141">
        <v>1.131111111111111E-2</v>
      </c>
    </row>
    <row r="20" spans="1:13" x14ac:dyDescent="0.3">
      <c r="A20" s="172" t="s">
        <v>996</v>
      </c>
      <c r="B20" s="172" t="s">
        <v>304</v>
      </c>
      <c r="C20" s="172">
        <v>100</v>
      </c>
      <c r="D20" s="172">
        <v>140</v>
      </c>
      <c r="E20" s="172" t="s">
        <v>1014</v>
      </c>
      <c r="F20" s="172">
        <v>7</v>
      </c>
      <c r="G20" s="172">
        <v>10</v>
      </c>
      <c r="H20" s="172" t="s">
        <v>290</v>
      </c>
      <c r="I20" s="172" t="s">
        <v>290</v>
      </c>
      <c r="J20" s="172">
        <v>6</v>
      </c>
      <c r="K20" s="172">
        <v>3</v>
      </c>
      <c r="L20" s="152" t="s">
        <v>448</v>
      </c>
      <c r="M20" s="141">
        <v>1.0907142857142857E-2</v>
      </c>
    </row>
    <row r="21" spans="1:13" x14ac:dyDescent="0.3">
      <c r="A21" s="172" t="s">
        <v>997</v>
      </c>
      <c r="B21" s="172" t="s">
        <v>304</v>
      </c>
      <c r="C21" s="172">
        <v>100</v>
      </c>
      <c r="D21" s="172">
        <v>140</v>
      </c>
      <c r="E21" s="172" t="s">
        <v>1015</v>
      </c>
      <c r="F21" s="172">
        <v>7</v>
      </c>
      <c r="G21" s="172">
        <v>9</v>
      </c>
      <c r="H21" s="172" t="s">
        <v>290</v>
      </c>
      <c r="I21" s="172" t="s">
        <v>290</v>
      </c>
      <c r="J21" s="172">
        <v>4</v>
      </c>
      <c r="K21" s="172">
        <v>3</v>
      </c>
      <c r="L21" s="152" t="s">
        <v>448</v>
      </c>
      <c r="M21" s="141">
        <v>1.0179999999999998E-2</v>
      </c>
    </row>
    <row r="22" spans="1:13" x14ac:dyDescent="0.3">
      <c r="A22" s="172" t="s">
        <v>998</v>
      </c>
      <c r="B22" s="172" t="s">
        <v>304</v>
      </c>
      <c r="C22" s="172">
        <v>100</v>
      </c>
      <c r="D22" s="172">
        <v>140</v>
      </c>
      <c r="E22" s="172" t="s">
        <v>1015</v>
      </c>
      <c r="F22" s="172">
        <v>7</v>
      </c>
      <c r="G22" s="172">
        <v>9</v>
      </c>
      <c r="H22" s="172" t="s">
        <v>290</v>
      </c>
      <c r="I22" s="172" t="s">
        <v>290</v>
      </c>
      <c r="J22" s="172">
        <v>4</v>
      </c>
      <c r="K22" s="172">
        <v>3</v>
      </c>
      <c r="L22" s="152" t="s">
        <v>448</v>
      </c>
      <c r="M22" s="141">
        <v>1.0179999999999998E-2</v>
      </c>
    </row>
    <row r="23" spans="1:13" x14ac:dyDescent="0.3">
      <c r="A23" s="172" t="s">
        <v>999</v>
      </c>
      <c r="B23" s="172" t="s">
        <v>304</v>
      </c>
      <c r="C23" s="172">
        <v>100</v>
      </c>
      <c r="D23" s="172">
        <v>140</v>
      </c>
      <c r="E23" s="172" t="s">
        <v>1016</v>
      </c>
      <c r="F23" s="172">
        <v>8</v>
      </c>
      <c r="G23" s="172">
        <v>10</v>
      </c>
      <c r="H23" s="172" t="s">
        <v>290</v>
      </c>
      <c r="I23" s="172" t="s">
        <v>290</v>
      </c>
      <c r="J23" s="172">
        <v>4</v>
      </c>
      <c r="K23" s="172">
        <v>3</v>
      </c>
      <c r="L23" s="152" t="s">
        <v>448</v>
      </c>
      <c r="M23" s="141">
        <v>1.1634285714285713E-2</v>
      </c>
    </row>
    <row r="24" spans="1:13" x14ac:dyDescent="0.3">
      <c r="A24" s="172" t="s">
        <v>286</v>
      </c>
      <c r="B24" s="172" t="s">
        <v>313</v>
      </c>
      <c r="C24" s="172">
        <v>60</v>
      </c>
      <c r="D24" s="172">
        <v>60</v>
      </c>
      <c r="E24" s="172" t="s">
        <v>1017</v>
      </c>
      <c r="F24" s="172">
        <v>5</v>
      </c>
      <c r="G24" s="172">
        <v>5</v>
      </c>
      <c r="H24" s="172" t="s">
        <v>289</v>
      </c>
      <c r="I24" s="172" t="s">
        <v>290</v>
      </c>
      <c r="J24" s="172">
        <v>1</v>
      </c>
      <c r="K24" s="172">
        <v>1</v>
      </c>
      <c r="L24" s="152" t="s">
        <v>448</v>
      </c>
      <c r="M24" s="141">
        <v>2.2622222222222221E-2</v>
      </c>
    </row>
    <row r="25" spans="1:13" x14ac:dyDescent="0.3">
      <c r="A25" s="172" t="s">
        <v>979</v>
      </c>
      <c r="B25" s="172" t="s">
        <v>313</v>
      </c>
      <c r="C25" s="172">
        <v>60</v>
      </c>
      <c r="D25" s="172">
        <v>60</v>
      </c>
      <c r="E25" s="172" t="s">
        <v>1017</v>
      </c>
      <c r="F25" s="172">
        <v>5</v>
      </c>
      <c r="G25" s="172">
        <v>5</v>
      </c>
      <c r="H25" s="172" t="s">
        <v>289</v>
      </c>
      <c r="I25" s="172" t="s">
        <v>290</v>
      </c>
      <c r="J25" s="172">
        <v>1</v>
      </c>
      <c r="K25" s="172">
        <v>1</v>
      </c>
      <c r="L25" s="152" t="s">
        <v>448</v>
      </c>
      <c r="M25" s="141">
        <v>2.2622222222222221E-2</v>
      </c>
    </row>
    <row r="26" spans="1:13" ht="31.2" x14ac:dyDescent="0.3">
      <c r="A26" s="172" t="s">
        <v>980</v>
      </c>
      <c r="B26" s="172" t="s">
        <v>313</v>
      </c>
      <c r="C26" s="172">
        <v>60</v>
      </c>
      <c r="D26" s="172">
        <v>60</v>
      </c>
      <c r="E26" s="172" t="s">
        <v>1015</v>
      </c>
      <c r="F26" s="172">
        <v>8</v>
      </c>
      <c r="G26" s="172">
        <v>8</v>
      </c>
      <c r="H26" s="172" t="s">
        <v>289</v>
      </c>
      <c r="I26" s="172" t="s">
        <v>290</v>
      </c>
      <c r="J26" s="172">
        <v>3</v>
      </c>
      <c r="K26" s="172">
        <v>3</v>
      </c>
      <c r="L26" s="151" t="s">
        <v>932</v>
      </c>
      <c r="M26" s="141">
        <v>3.9588888888888882E-2</v>
      </c>
    </row>
    <row r="27" spans="1:13" x14ac:dyDescent="0.3">
      <c r="A27" s="172" t="s">
        <v>291</v>
      </c>
      <c r="B27" s="172" t="s">
        <v>313</v>
      </c>
      <c r="C27" s="172">
        <v>95</v>
      </c>
      <c r="D27" s="172">
        <v>80</v>
      </c>
      <c r="E27" s="172" t="s">
        <v>1012</v>
      </c>
      <c r="F27" s="172">
        <v>6</v>
      </c>
      <c r="G27" s="172">
        <v>6</v>
      </c>
      <c r="H27" s="172" t="s">
        <v>289</v>
      </c>
      <c r="I27" s="172" t="s">
        <v>290</v>
      </c>
      <c r="J27" s="172">
        <v>3</v>
      </c>
      <c r="K27" s="172">
        <v>4</v>
      </c>
      <c r="L27" s="151" t="s">
        <v>1062</v>
      </c>
      <c r="M27" s="141">
        <v>1.3394736842105263E-2</v>
      </c>
    </row>
    <row r="28" spans="1:13" ht="78" x14ac:dyDescent="0.3">
      <c r="A28" s="172" t="s">
        <v>982</v>
      </c>
      <c r="B28" s="172" t="s">
        <v>313</v>
      </c>
      <c r="C28" s="172">
        <v>95</v>
      </c>
      <c r="D28" s="172">
        <v>80</v>
      </c>
      <c r="E28" s="172" t="s">
        <v>1012</v>
      </c>
      <c r="F28" s="172">
        <v>6</v>
      </c>
      <c r="G28" s="172">
        <v>6</v>
      </c>
      <c r="H28" s="172" t="s">
        <v>289</v>
      </c>
      <c r="I28" s="172" t="s">
        <v>290</v>
      </c>
      <c r="J28" s="172">
        <v>2</v>
      </c>
      <c r="K28" s="172">
        <v>3</v>
      </c>
      <c r="L28" s="151" t="s">
        <v>1060</v>
      </c>
      <c r="M28" s="141">
        <v>1.3394736842105263E-2</v>
      </c>
    </row>
    <row r="29" spans="1:13" x14ac:dyDescent="0.3">
      <c r="A29" s="172" t="s">
        <v>983</v>
      </c>
      <c r="B29" s="172" t="s">
        <v>313</v>
      </c>
      <c r="C29" s="172">
        <v>95</v>
      </c>
      <c r="D29" s="172">
        <v>80</v>
      </c>
      <c r="E29" s="172" t="s">
        <v>1012</v>
      </c>
      <c r="F29" s="172">
        <v>6</v>
      </c>
      <c r="G29" s="172">
        <v>6</v>
      </c>
      <c r="H29" s="172" t="s">
        <v>289</v>
      </c>
      <c r="I29" s="172" t="s">
        <v>290</v>
      </c>
      <c r="J29" s="172">
        <v>2</v>
      </c>
      <c r="K29" s="172">
        <v>3</v>
      </c>
      <c r="L29" s="151" t="s">
        <v>1062</v>
      </c>
      <c r="M29" s="141">
        <v>1.3394736842105263E-2</v>
      </c>
    </row>
    <row r="30" spans="1:13" x14ac:dyDescent="0.3">
      <c r="A30" s="172" t="s">
        <v>984</v>
      </c>
      <c r="B30" s="172" t="s">
        <v>313</v>
      </c>
      <c r="C30" s="172">
        <v>95</v>
      </c>
      <c r="D30" s="172">
        <v>80</v>
      </c>
      <c r="E30" s="172" t="s">
        <v>1012</v>
      </c>
      <c r="F30" s="172">
        <v>6</v>
      </c>
      <c r="G30" s="172">
        <v>6</v>
      </c>
      <c r="H30" s="172" t="s">
        <v>289</v>
      </c>
      <c r="I30" s="172" t="s">
        <v>290</v>
      </c>
      <c r="J30" s="172">
        <v>2</v>
      </c>
      <c r="K30" s="172">
        <v>3</v>
      </c>
      <c r="L30" s="151" t="s">
        <v>1062</v>
      </c>
      <c r="M30" s="141">
        <v>1.3394736842105263E-2</v>
      </c>
    </row>
    <row r="31" spans="1:13" x14ac:dyDescent="0.3">
      <c r="A31" s="172" t="s">
        <v>985</v>
      </c>
      <c r="B31" s="172" t="s">
        <v>313</v>
      </c>
      <c r="C31" s="173">
        <v>95</v>
      </c>
      <c r="D31" s="173">
        <v>80</v>
      </c>
      <c r="E31" s="172" t="s">
        <v>1012</v>
      </c>
      <c r="F31" s="172">
        <v>6</v>
      </c>
      <c r="G31" s="172">
        <v>6</v>
      </c>
      <c r="H31" s="172" t="s">
        <v>289</v>
      </c>
      <c r="I31" s="172" t="s">
        <v>290</v>
      </c>
      <c r="J31" s="172">
        <v>2</v>
      </c>
      <c r="K31" s="172">
        <v>3</v>
      </c>
      <c r="L31" s="151" t="s">
        <v>1062</v>
      </c>
      <c r="M31" s="141">
        <v>1.3394736842105263E-2</v>
      </c>
    </row>
    <row r="32" spans="1:13" x14ac:dyDescent="0.3">
      <c r="A32" s="172" t="s">
        <v>986</v>
      </c>
      <c r="B32" s="172" t="s">
        <v>313</v>
      </c>
      <c r="C32" s="172">
        <v>95</v>
      </c>
      <c r="D32" s="172">
        <v>80</v>
      </c>
      <c r="E32" s="172" t="s">
        <v>1012</v>
      </c>
      <c r="F32" s="172">
        <v>6</v>
      </c>
      <c r="G32" s="172">
        <v>6</v>
      </c>
      <c r="H32" s="172" t="s">
        <v>289</v>
      </c>
      <c r="I32" s="172" t="s">
        <v>290</v>
      </c>
      <c r="J32" s="172">
        <v>2</v>
      </c>
      <c r="K32" s="172">
        <v>3</v>
      </c>
      <c r="L32" s="152" t="s">
        <v>448</v>
      </c>
      <c r="M32" s="141">
        <v>1.3394736842105263E-2</v>
      </c>
    </row>
    <row r="33" spans="1:13" x14ac:dyDescent="0.3">
      <c r="A33" s="172" t="s">
        <v>987</v>
      </c>
      <c r="B33" s="172" t="s">
        <v>313</v>
      </c>
      <c r="C33" s="172">
        <v>95</v>
      </c>
      <c r="D33" s="172">
        <v>80</v>
      </c>
      <c r="E33" s="172" t="s">
        <v>1012</v>
      </c>
      <c r="F33" s="172">
        <v>6</v>
      </c>
      <c r="G33" s="172">
        <v>6</v>
      </c>
      <c r="H33" s="172" t="s">
        <v>289</v>
      </c>
      <c r="I33" s="172" t="s">
        <v>290</v>
      </c>
      <c r="J33" s="172">
        <v>2</v>
      </c>
      <c r="K33" s="172">
        <v>3</v>
      </c>
      <c r="L33" s="153" t="s">
        <v>448</v>
      </c>
      <c r="M33" s="141">
        <v>1.3394736842105263E-2</v>
      </c>
    </row>
    <row r="34" spans="1:13" x14ac:dyDescent="0.3">
      <c r="A34" s="172" t="s">
        <v>988</v>
      </c>
      <c r="B34" s="172" t="s">
        <v>313</v>
      </c>
      <c r="C34" s="172">
        <v>95</v>
      </c>
      <c r="D34" s="172">
        <v>80</v>
      </c>
      <c r="E34" s="172" t="s">
        <v>1012</v>
      </c>
      <c r="F34" s="172">
        <v>6</v>
      </c>
      <c r="G34" s="172">
        <v>6</v>
      </c>
      <c r="H34" s="172" t="s">
        <v>289</v>
      </c>
      <c r="I34" s="172" t="s">
        <v>290</v>
      </c>
      <c r="J34" s="172">
        <v>2</v>
      </c>
      <c r="K34" s="172">
        <v>3</v>
      </c>
      <c r="L34" s="152" t="s">
        <v>448</v>
      </c>
      <c r="M34" s="141">
        <v>1.3394736842105263E-2</v>
      </c>
    </row>
    <row r="35" spans="1:13" x14ac:dyDescent="0.3">
      <c r="A35" s="172" t="s">
        <v>989</v>
      </c>
      <c r="B35" s="172" t="s">
        <v>313</v>
      </c>
      <c r="C35" s="172">
        <v>95</v>
      </c>
      <c r="D35" s="172">
        <v>80</v>
      </c>
      <c r="E35" s="172" t="s">
        <v>1012</v>
      </c>
      <c r="F35" s="172">
        <v>6</v>
      </c>
      <c r="G35" s="172">
        <v>6</v>
      </c>
      <c r="H35" s="172" t="s">
        <v>289</v>
      </c>
      <c r="I35" s="172" t="s">
        <v>290</v>
      </c>
      <c r="J35" s="172">
        <v>2</v>
      </c>
      <c r="K35" s="172">
        <v>3</v>
      </c>
      <c r="L35" s="152" t="s">
        <v>448</v>
      </c>
      <c r="M35" s="141">
        <v>1.3394736842105263E-2</v>
      </c>
    </row>
    <row r="36" spans="1:13" x14ac:dyDescent="0.3">
      <c r="A36" s="172" t="s">
        <v>990</v>
      </c>
      <c r="B36" s="172" t="s">
        <v>313</v>
      </c>
      <c r="C36" s="172">
        <v>95</v>
      </c>
      <c r="D36" s="172">
        <v>80</v>
      </c>
      <c r="E36" s="172" t="s">
        <v>1012</v>
      </c>
      <c r="F36" s="172">
        <v>6</v>
      </c>
      <c r="G36" s="172">
        <v>6</v>
      </c>
      <c r="H36" s="172" t="s">
        <v>289</v>
      </c>
      <c r="I36" s="172" t="s">
        <v>290</v>
      </c>
      <c r="J36" s="172">
        <v>3</v>
      </c>
      <c r="K36" s="172">
        <v>4</v>
      </c>
      <c r="L36" s="153" t="s">
        <v>448</v>
      </c>
      <c r="M36" s="141">
        <v>1.3394736842105263E-2</v>
      </c>
    </row>
    <row r="37" spans="1:13" x14ac:dyDescent="0.3">
      <c r="A37" s="172" t="s">
        <v>991</v>
      </c>
      <c r="B37" s="172" t="s">
        <v>313</v>
      </c>
      <c r="C37" s="172">
        <v>95</v>
      </c>
      <c r="D37" s="172">
        <v>80</v>
      </c>
      <c r="E37" s="172" t="s">
        <v>1012</v>
      </c>
      <c r="F37" s="172">
        <v>6</v>
      </c>
      <c r="G37" s="172">
        <v>6</v>
      </c>
      <c r="H37" s="172" t="s">
        <v>289</v>
      </c>
      <c r="I37" s="172" t="s">
        <v>290</v>
      </c>
      <c r="J37" s="172">
        <v>3</v>
      </c>
      <c r="K37" s="172">
        <v>4</v>
      </c>
      <c r="L37" s="152" t="s">
        <v>448</v>
      </c>
      <c r="M37" s="141">
        <v>1.3394736842105263E-2</v>
      </c>
    </row>
    <row r="38" spans="1:13" x14ac:dyDescent="0.3">
      <c r="A38" s="172" t="s">
        <v>992</v>
      </c>
      <c r="B38" s="172" t="s">
        <v>313</v>
      </c>
      <c r="C38" s="172">
        <v>95</v>
      </c>
      <c r="D38" s="172">
        <v>80</v>
      </c>
      <c r="E38" s="172" t="s">
        <v>1012</v>
      </c>
      <c r="F38" s="172">
        <v>6</v>
      </c>
      <c r="G38" s="172">
        <v>6</v>
      </c>
      <c r="H38" s="172" t="s">
        <v>289</v>
      </c>
      <c r="I38" s="172" t="s">
        <v>290</v>
      </c>
      <c r="J38" s="172">
        <v>3</v>
      </c>
      <c r="K38" s="172">
        <v>4</v>
      </c>
      <c r="L38" s="152" t="s">
        <v>448</v>
      </c>
      <c r="M38" s="141">
        <v>1.3394736842105263E-2</v>
      </c>
    </row>
    <row r="39" spans="1:13" x14ac:dyDescent="0.3">
      <c r="A39" s="172" t="s">
        <v>993</v>
      </c>
      <c r="B39" s="172" t="s">
        <v>313</v>
      </c>
      <c r="C39" s="172">
        <v>95</v>
      </c>
      <c r="D39" s="172">
        <v>80</v>
      </c>
      <c r="E39" s="172" t="s">
        <v>1012</v>
      </c>
      <c r="F39" s="172">
        <v>6</v>
      </c>
      <c r="G39" s="172">
        <v>6</v>
      </c>
      <c r="H39" s="172" t="s">
        <v>289</v>
      </c>
      <c r="I39" s="172" t="s">
        <v>290</v>
      </c>
      <c r="J39" s="172">
        <v>3</v>
      </c>
      <c r="K39" s="172">
        <v>4</v>
      </c>
      <c r="L39" s="152" t="s">
        <v>448</v>
      </c>
      <c r="M39" s="141">
        <v>1.3394736842105263E-2</v>
      </c>
    </row>
    <row r="40" spans="1:13" x14ac:dyDescent="0.3">
      <c r="A40" s="172" t="s">
        <v>994</v>
      </c>
      <c r="B40" s="172" t="s">
        <v>313</v>
      </c>
      <c r="C40" s="172">
        <v>105</v>
      </c>
      <c r="D40" s="172">
        <v>80</v>
      </c>
      <c r="E40" s="172" t="s">
        <v>1013</v>
      </c>
      <c r="F40" s="172">
        <v>7</v>
      </c>
      <c r="G40" s="172">
        <v>6</v>
      </c>
      <c r="H40" s="172" t="s">
        <v>289</v>
      </c>
      <c r="I40" s="172" t="s">
        <v>290</v>
      </c>
      <c r="J40" s="172">
        <v>3</v>
      </c>
      <c r="K40" s="172">
        <v>4</v>
      </c>
      <c r="L40" s="152" t="s">
        <v>448</v>
      </c>
      <c r="M40" s="141">
        <v>1.3330952380952379E-2</v>
      </c>
    </row>
    <row r="41" spans="1:13" x14ac:dyDescent="0.3">
      <c r="A41" s="172" t="s">
        <v>225</v>
      </c>
      <c r="B41" s="172" t="s">
        <v>313</v>
      </c>
      <c r="C41" s="173">
        <v>105</v>
      </c>
      <c r="D41" s="173">
        <v>80</v>
      </c>
      <c r="E41" s="173" t="s">
        <v>1018</v>
      </c>
      <c r="F41" s="173">
        <v>11</v>
      </c>
      <c r="G41" s="173">
        <v>9</v>
      </c>
      <c r="H41" s="173" t="s">
        <v>289</v>
      </c>
      <c r="I41" s="173" t="s">
        <v>290</v>
      </c>
      <c r="J41" s="173">
        <v>3</v>
      </c>
      <c r="K41" s="173">
        <v>4</v>
      </c>
      <c r="L41" s="151" t="s">
        <v>931</v>
      </c>
      <c r="M41" s="141">
        <v>2.1814285714285717E-2</v>
      </c>
    </row>
    <row r="42" spans="1:13" x14ac:dyDescent="0.3">
      <c r="A42" s="172" t="s">
        <v>226</v>
      </c>
      <c r="B42" s="172" t="s">
        <v>313</v>
      </c>
      <c r="C42" s="172">
        <v>105</v>
      </c>
      <c r="D42" s="172">
        <v>80</v>
      </c>
      <c r="E42" s="172" t="s">
        <v>1013</v>
      </c>
      <c r="F42" s="172">
        <v>7</v>
      </c>
      <c r="G42" s="172">
        <v>6</v>
      </c>
      <c r="H42" s="172" t="s">
        <v>289</v>
      </c>
      <c r="I42" s="172" t="s">
        <v>290</v>
      </c>
      <c r="J42" s="172">
        <v>4</v>
      </c>
      <c r="K42" s="172">
        <v>5</v>
      </c>
      <c r="L42" s="152" t="s">
        <v>448</v>
      </c>
      <c r="M42" s="141">
        <v>1.3330952380952379E-2</v>
      </c>
    </row>
    <row r="43" spans="1:13" x14ac:dyDescent="0.3">
      <c r="A43" s="172" t="s">
        <v>227</v>
      </c>
      <c r="B43" s="172" t="s">
        <v>313</v>
      </c>
      <c r="C43" s="172">
        <v>105</v>
      </c>
      <c r="D43" s="172">
        <v>80</v>
      </c>
      <c r="E43" s="172" t="s">
        <v>1013</v>
      </c>
      <c r="F43" s="172">
        <v>7</v>
      </c>
      <c r="G43" s="172">
        <v>6</v>
      </c>
      <c r="H43" s="172" t="s">
        <v>289</v>
      </c>
      <c r="I43" s="172" t="s">
        <v>289</v>
      </c>
      <c r="J43" s="172">
        <v>4</v>
      </c>
      <c r="K43" s="172">
        <v>5</v>
      </c>
      <c r="L43" s="152" t="s">
        <v>448</v>
      </c>
      <c r="M43" s="141">
        <v>1.3330952380952379E-2</v>
      </c>
    </row>
    <row r="44" spans="1:13" x14ac:dyDescent="0.3">
      <c r="A44" s="172" t="s">
        <v>996</v>
      </c>
      <c r="B44" s="172" t="s">
        <v>313</v>
      </c>
      <c r="C44" s="172">
        <v>125</v>
      </c>
      <c r="D44" s="172">
        <v>95</v>
      </c>
      <c r="E44" s="172" t="s">
        <v>1018</v>
      </c>
      <c r="F44" s="172">
        <v>11</v>
      </c>
      <c r="G44" s="172">
        <v>9</v>
      </c>
      <c r="H44" s="172" t="s">
        <v>290</v>
      </c>
      <c r="I44" s="172" t="s">
        <v>290</v>
      </c>
      <c r="J44" s="172">
        <v>3</v>
      </c>
      <c r="K44" s="172">
        <v>4</v>
      </c>
      <c r="L44" s="152" t="s">
        <v>448</v>
      </c>
      <c r="M44" s="141">
        <v>1.5430736842105264E-2</v>
      </c>
    </row>
    <row r="45" spans="1:13" x14ac:dyDescent="0.3">
      <c r="A45" s="172" t="s">
        <v>997</v>
      </c>
      <c r="B45" s="172" t="s">
        <v>313</v>
      </c>
      <c r="C45" s="172">
        <v>125</v>
      </c>
      <c r="D45" s="172">
        <v>95</v>
      </c>
      <c r="E45" s="172" t="s">
        <v>1019</v>
      </c>
      <c r="F45" s="172">
        <v>10</v>
      </c>
      <c r="G45" s="172">
        <v>7</v>
      </c>
      <c r="H45" s="172" t="s">
        <v>290</v>
      </c>
      <c r="I45" s="172" t="s">
        <v>290</v>
      </c>
      <c r="J45" s="172">
        <v>3</v>
      </c>
      <c r="K45" s="172">
        <v>4</v>
      </c>
      <c r="L45" s="152" t="s">
        <v>448</v>
      </c>
      <c r="M45" s="141">
        <v>2.0690526315789472E-2</v>
      </c>
    </row>
    <row r="46" spans="1:13" x14ac:dyDescent="0.3">
      <c r="A46" s="172" t="s">
        <v>998</v>
      </c>
      <c r="B46" s="172" t="s">
        <v>313</v>
      </c>
      <c r="C46" s="172">
        <v>125</v>
      </c>
      <c r="D46" s="172">
        <v>95</v>
      </c>
      <c r="E46" s="172" t="s">
        <v>1020</v>
      </c>
      <c r="F46" s="172">
        <v>12</v>
      </c>
      <c r="G46" s="172">
        <v>9</v>
      </c>
      <c r="H46" s="172" t="s">
        <v>290</v>
      </c>
      <c r="I46" s="172" t="s">
        <v>290</v>
      </c>
      <c r="J46" s="172">
        <v>3</v>
      </c>
      <c r="K46" s="172">
        <v>5</v>
      </c>
      <c r="L46" s="152" t="s">
        <v>448</v>
      </c>
      <c r="M46" s="141">
        <v>2.6207999999999999E-2</v>
      </c>
    </row>
    <row r="47" spans="1:13" x14ac:dyDescent="0.3">
      <c r="A47" s="172" t="s">
        <v>999</v>
      </c>
      <c r="B47" s="172" t="s">
        <v>313</v>
      </c>
      <c r="C47" s="172">
        <v>125</v>
      </c>
      <c r="D47" s="172">
        <v>95</v>
      </c>
      <c r="E47" s="172" t="s">
        <v>1076</v>
      </c>
      <c r="F47" s="172">
        <v>14</v>
      </c>
      <c r="G47" s="172">
        <v>10</v>
      </c>
      <c r="H47" s="172" t="s">
        <v>290</v>
      </c>
      <c r="I47" s="172" t="s">
        <v>290</v>
      </c>
      <c r="J47" s="172">
        <v>4</v>
      </c>
      <c r="K47" s="172">
        <v>6</v>
      </c>
      <c r="L47" s="152" t="s">
        <v>448</v>
      </c>
      <c r="M47" s="141">
        <v>3.034610526315789E-2</v>
      </c>
    </row>
    <row r="48" spans="1:13" x14ac:dyDescent="0.3">
      <c r="A48" s="172" t="s">
        <v>286</v>
      </c>
      <c r="B48" s="172" t="s">
        <v>298</v>
      </c>
      <c r="C48" s="172">
        <v>80</v>
      </c>
      <c r="D48" s="172">
        <v>95</v>
      </c>
      <c r="E48" s="172" t="s">
        <v>1012</v>
      </c>
      <c r="F48" s="172">
        <v>6</v>
      </c>
      <c r="G48" s="172">
        <v>6</v>
      </c>
      <c r="H48" s="172" t="s">
        <v>289</v>
      </c>
      <c r="I48" s="172" t="s">
        <v>290</v>
      </c>
      <c r="J48" s="172">
        <v>3</v>
      </c>
      <c r="K48" s="172">
        <v>2</v>
      </c>
      <c r="L48" s="153" t="s">
        <v>448</v>
      </c>
      <c r="M48" s="141">
        <v>1.3394736842105263E-2</v>
      </c>
    </row>
    <row r="49" spans="1:13" x14ac:dyDescent="0.3">
      <c r="A49" s="172" t="s">
        <v>979</v>
      </c>
      <c r="B49" s="172" t="s">
        <v>298</v>
      </c>
      <c r="C49" s="172">
        <v>80</v>
      </c>
      <c r="D49" s="172">
        <v>95</v>
      </c>
      <c r="E49" s="172" t="s">
        <v>1012</v>
      </c>
      <c r="F49" s="172">
        <v>6</v>
      </c>
      <c r="G49" s="172">
        <v>6</v>
      </c>
      <c r="H49" s="172" t="s">
        <v>289</v>
      </c>
      <c r="I49" s="172" t="s">
        <v>290</v>
      </c>
      <c r="J49" s="172">
        <v>3</v>
      </c>
      <c r="K49" s="172">
        <v>2</v>
      </c>
      <c r="L49" s="152" t="s">
        <v>448</v>
      </c>
      <c r="M49" s="141">
        <v>1.3394736842105263E-2</v>
      </c>
    </row>
    <row r="50" spans="1:13" x14ac:dyDescent="0.3">
      <c r="A50" s="172" t="s">
        <v>980</v>
      </c>
      <c r="B50" s="172" t="s">
        <v>298</v>
      </c>
      <c r="C50" s="172">
        <v>80</v>
      </c>
      <c r="D50" s="172">
        <v>95</v>
      </c>
      <c r="E50" s="172" t="s">
        <v>1013</v>
      </c>
      <c r="F50" s="172">
        <v>6</v>
      </c>
      <c r="G50" s="172">
        <v>7</v>
      </c>
      <c r="H50" s="172" t="s">
        <v>289</v>
      </c>
      <c r="I50" s="172" t="s">
        <v>290</v>
      </c>
      <c r="J50" s="172">
        <v>3</v>
      </c>
      <c r="K50" s="172">
        <v>2</v>
      </c>
      <c r="L50" s="153" t="s">
        <v>448</v>
      </c>
      <c r="M50" s="141">
        <v>1.4734210526315789E-2</v>
      </c>
    </row>
    <row r="51" spans="1:13" x14ac:dyDescent="0.3">
      <c r="A51" s="172" t="s">
        <v>291</v>
      </c>
      <c r="B51" s="172" t="s">
        <v>298</v>
      </c>
      <c r="C51" s="173">
        <v>80</v>
      </c>
      <c r="D51" s="173">
        <v>95</v>
      </c>
      <c r="E51" s="172" t="s">
        <v>1012</v>
      </c>
      <c r="F51" s="172">
        <v>6</v>
      </c>
      <c r="G51" s="172">
        <v>6</v>
      </c>
      <c r="H51" s="172" t="s">
        <v>289</v>
      </c>
      <c r="I51" s="172" t="s">
        <v>290</v>
      </c>
      <c r="J51" s="172">
        <v>4</v>
      </c>
      <c r="K51" s="172">
        <v>3</v>
      </c>
      <c r="L51" s="154" t="s">
        <v>1062</v>
      </c>
      <c r="M51" s="141">
        <v>1.3394736842105263E-2</v>
      </c>
    </row>
    <row r="52" spans="1:13" ht="78" x14ac:dyDescent="0.3">
      <c r="A52" s="172" t="s">
        <v>982</v>
      </c>
      <c r="B52" s="172" t="s">
        <v>298</v>
      </c>
      <c r="C52" s="172">
        <v>80</v>
      </c>
      <c r="D52" s="172">
        <v>95</v>
      </c>
      <c r="E52" s="172" t="s">
        <v>1012</v>
      </c>
      <c r="F52" s="172">
        <v>6</v>
      </c>
      <c r="G52" s="172">
        <v>6</v>
      </c>
      <c r="H52" s="172" t="s">
        <v>289</v>
      </c>
      <c r="I52" s="172" t="s">
        <v>290</v>
      </c>
      <c r="J52" s="172">
        <v>3</v>
      </c>
      <c r="K52" s="172">
        <v>2</v>
      </c>
      <c r="L52" s="151" t="s">
        <v>1060</v>
      </c>
      <c r="M52" s="141">
        <v>1.3394736842105263E-2</v>
      </c>
    </row>
    <row r="53" spans="1:13" x14ac:dyDescent="0.3">
      <c r="A53" s="172" t="s">
        <v>983</v>
      </c>
      <c r="B53" s="172" t="s">
        <v>298</v>
      </c>
      <c r="C53" s="172">
        <v>80</v>
      </c>
      <c r="D53" s="172">
        <v>95</v>
      </c>
      <c r="E53" s="172" t="s">
        <v>1012</v>
      </c>
      <c r="F53" s="172">
        <v>6</v>
      </c>
      <c r="G53" s="172">
        <v>6</v>
      </c>
      <c r="H53" s="172" t="s">
        <v>289</v>
      </c>
      <c r="I53" s="172" t="s">
        <v>290</v>
      </c>
      <c r="J53" s="172">
        <v>3</v>
      </c>
      <c r="K53" s="172">
        <v>2</v>
      </c>
      <c r="L53" s="151" t="s">
        <v>1062</v>
      </c>
      <c r="M53" s="141">
        <v>1.3394736842105263E-2</v>
      </c>
    </row>
    <row r="54" spans="1:13" x14ac:dyDescent="0.3">
      <c r="A54" s="172" t="s">
        <v>984</v>
      </c>
      <c r="B54" s="172" t="s">
        <v>298</v>
      </c>
      <c r="C54" s="172">
        <v>80</v>
      </c>
      <c r="D54" s="172">
        <v>95</v>
      </c>
      <c r="E54" s="172" t="s">
        <v>1012</v>
      </c>
      <c r="F54" s="172">
        <v>6</v>
      </c>
      <c r="G54" s="172">
        <v>6</v>
      </c>
      <c r="H54" s="172" t="s">
        <v>289</v>
      </c>
      <c r="I54" s="172" t="s">
        <v>290</v>
      </c>
      <c r="J54" s="172">
        <v>3</v>
      </c>
      <c r="K54" s="172">
        <v>2</v>
      </c>
      <c r="L54" s="151" t="s">
        <v>1062</v>
      </c>
      <c r="M54" s="141">
        <v>1.3394736842105263E-2</v>
      </c>
    </row>
    <row r="55" spans="1:13" x14ac:dyDescent="0.3">
      <c r="A55" s="172" t="s">
        <v>985</v>
      </c>
      <c r="B55" s="172" t="s">
        <v>298</v>
      </c>
      <c r="C55" s="172">
        <v>80</v>
      </c>
      <c r="D55" s="172">
        <v>95</v>
      </c>
      <c r="E55" s="172" t="s">
        <v>1012</v>
      </c>
      <c r="F55" s="172">
        <v>6</v>
      </c>
      <c r="G55" s="172">
        <v>6</v>
      </c>
      <c r="H55" s="172" t="s">
        <v>289</v>
      </c>
      <c r="I55" s="172" t="s">
        <v>290</v>
      </c>
      <c r="J55" s="172">
        <v>3</v>
      </c>
      <c r="K55" s="172">
        <v>2</v>
      </c>
      <c r="L55" s="151" t="s">
        <v>1062</v>
      </c>
      <c r="M55" s="141">
        <v>1.3394736842105263E-2</v>
      </c>
    </row>
    <row r="56" spans="1:13" x14ac:dyDescent="0.3">
      <c r="A56" s="172" t="s">
        <v>986</v>
      </c>
      <c r="B56" s="172" t="s">
        <v>298</v>
      </c>
      <c r="C56" s="172">
        <v>80</v>
      </c>
      <c r="D56" s="172">
        <v>95</v>
      </c>
      <c r="E56" s="172" t="s">
        <v>1012</v>
      </c>
      <c r="F56" s="172">
        <v>6</v>
      </c>
      <c r="G56" s="172">
        <v>6</v>
      </c>
      <c r="H56" s="172" t="s">
        <v>289</v>
      </c>
      <c r="I56" s="172" t="s">
        <v>290</v>
      </c>
      <c r="J56" s="172">
        <v>3</v>
      </c>
      <c r="K56" s="172">
        <v>2</v>
      </c>
      <c r="L56" s="153" t="s">
        <v>448</v>
      </c>
      <c r="M56" s="141">
        <v>1.3394736842105263E-2</v>
      </c>
    </row>
    <row r="57" spans="1:13" x14ac:dyDescent="0.3">
      <c r="A57" s="172" t="s">
        <v>987</v>
      </c>
      <c r="B57" s="172" t="s">
        <v>298</v>
      </c>
      <c r="C57" s="172">
        <v>80</v>
      </c>
      <c r="D57" s="172">
        <v>95</v>
      </c>
      <c r="E57" s="172" t="s">
        <v>1012</v>
      </c>
      <c r="F57" s="172">
        <v>6</v>
      </c>
      <c r="G57" s="172">
        <v>6</v>
      </c>
      <c r="H57" s="172" t="s">
        <v>289</v>
      </c>
      <c r="I57" s="172" t="s">
        <v>290</v>
      </c>
      <c r="J57" s="172">
        <v>3</v>
      </c>
      <c r="K57" s="172">
        <v>2</v>
      </c>
      <c r="L57" s="152" t="s">
        <v>448</v>
      </c>
      <c r="M57" s="141">
        <v>1.3394736842105263E-2</v>
      </c>
    </row>
    <row r="58" spans="1:13" x14ac:dyDescent="0.3">
      <c r="A58" s="172" t="s">
        <v>988</v>
      </c>
      <c r="B58" s="172" t="s">
        <v>298</v>
      </c>
      <c r="C58" s="172">
        <v>80</v>
      </c>
      <c r="D58" s="172">
        <v>95</v>
      </c>
      <c r="E58" s="172" t="s">
        <v>1012</v>
      </c>
      <c r="F58" s="172">
        <v>6</v>
      </c>
      <c r="G58" s="172">
        <v>6</v>
      </c>
      <c r="H58" s="172" t="s">
        <v>289</v>
      </c>
      <c r="I58" s="172" t="s">
        <v>290</v>
      </c>
      <c r="J58" s="172">
        <v>3</v>
      </c>
      <c r="K58" s="172">
        <v>2</v>
      </c>
      <c r="L58" s="153" t="s">
        <v>448</v>
      </c>
      <c r="M58" s="141">
        <v>1.3394736842105263E-2</v>
      </c>
    </row>
    <row r="59" spans="1:13" x14ac:dyDescent="0.3">
      <c r="A59" s="172" t="s">
        <v>989</v>
      </c>
      <c r="B59" s="172" t="s">
        <v>298</v>
      </c>
      <c r="C59" s="172">
        <v>80</v>
      </c>
      <c r="D59" s="172">
        <v>95</v>
      </c>
      <c r="E59" s="172" t="s">
        <v>1012</v>
      </c>
      <c r="F59" s="172">
        <v>6</v>
      </c>
      <c r="G59" s="172">
        <v>6</v>
      </c>
      <c r="H59" s="172" t="s">
        <v>289</v>
      </c>
      <c r="I59" s="172" t="s">
        <v>290</v>
      </c>
      <c r="J59" s="172">
        <v>3</v>
      </c>
      <c r="K59" s="172">
        <v>2</v>
      </c>
      <c r="L59" s="153" t="s">
        <v>448</v>
      </c>
      <c r="M59" s="141">
        <v>1.3394736842105263E-2</v>
      </c>
    </row>
    <row r="60" spans="1:13" x14ac:dyDescent="0.3">
      <c r="A60" s="172" t="s">
        <v>990</v>
      </c>
      <c r="B60" s="172" t="s">
        <v>298</v>
      </c>
      <c r="C60" s="172">
        <v>80</v>
      </c>
      <c r="D60" s="172">
        <v>95</v>
      </c>
      <c r="E60" s="172" t="s">
        <v>1012</v>
      </c>
      <c r="F60" s="172">
        <v>6</v>
      </c>
      <c r="G60" s="172">
        <v>6</v>
      </c>
      <c r="H60" s="172" t="s">
        <v>289</v>
      </c>
      <c r="I60" s="172" t="s">
        <v>290</v>
      </c>
      <c r="J60" s="172">
        <v>4</v>
      </c>
      <c r="K60" s="172">
        <v>3</v>
      </c>
      <c r="L60" s="153" t="s">
        <v>448</v>
      </c>
      <c r="M60" s="141">
        <v>1.3394736842105263E-2</v>
      </c>
    </row>
    <row r="61" spans="1:13" x14ac:dyDescent="0.3">
      <c r="A61" s="172" t="s">
        <v>991</v>
      </c>
      <c r="B61" s="172" t="s">
        <v>298</v>
      </c>
      <c r="C61" s="172">
        <v>80</v>
      </c>
      <c r="D61" s="172">
        <v>95</v>
      </c>
      <c r="E61" s="172" t="s">
        <v>1012</v>
      </c>
      <c r="F61" s="172">
        <v>6</v>
      </c>
      <c r="G61" s="172">
        <v>6</v>
      </c>
      <c r="H61" s="172" t="s">
        <v>289</v>
      </c>
      <c r="I61" s="172" t="s">
        <v>290</v>
      </c>
      <c r="J61" s="172">
        <v>4</v>
      </c>
      <c r="K61" s="172">
        <v>3</v>
      </c>
      <c r="L61" s="152" t="s">
        <v>448</v>
      </c>
      <c r="M61" s="141">
        <v>1.3394736842105263E-2</v>
      </c>
    </row>
    <row r="62" spans="1:13" x14ac:dyDescent="0.3">
      <c r="A62" s="172" t="s">
        <v>992</v>
      </c>
      <c r="B62" s="172" t="s">
        <v>298</v>
      </c>
      <c r="C62" s="172">
        <v>80</v>
      </c>
      <c r="D62" s="172">
        <v>95</v>
      </c>
      <c r="E62" s="172" t="s">
        <v>1012</v>
      </c>
      <c r="F62" s="172">
        <v>6</v>
      </c>
      <c r="G62" s="172">
        <v>6</v>
      </c>
      <c r="H62" s="172" t="s">
        <v>289</v>
      </c>
      <c r="I62" s="172" t="s">
        <v>290</v>
      </c>
      <c r="J62" s="172">
        <v>4</v>
      </c>
      <c r="K62" s="172">
        <v>3</v>
      </c>
      <c r="L62" s="152" t="s">
        <v>448</v>
      </c>
      <c r="M62" s="141">
        <v>1.3394736842105263E-2</v>
      </c>
    </row>
    <row r="63" spans="1:13" x14ac:dyDescent="0.3">
      <c r="A63" s="172" t="s">
        <v>993</v>
      </c>
      <c r="B63" s="172" t="s">
        <v>298</v>
      </c>
      <c r="C63" s="172">
        <v>80</v>
      </c>
      <c r="D63" s="172">
        <v>95</v>
      </c>
      <c r="E63" s="172" t="s">
        <v>1016</v>
      </c>
      <c r="F63" s="172">
        <v>8</v>
      </c>
      <c r="G63" s="172">
        <v>10</v>
      </c>
      <c r="H63" s="172" t="s">
        <v>289</v>
      </c>
      <c r="I63" s="172" t="s">
        <v>290</v>
      </c>
      <c r="J63" s="172">
        <v>4</v>
      </c>
      <c r="K63" s="172">
        <v>3</v>
      </c>
      <c r="L63" s="152" t="s">
        <v>448</v>
      </c>
      <c r="M63" s="141">
        <v>2.143157894736842E-2</v>
      </c>
    </row>
    <row r="64" spans="1:13" x14ac:dyDescent="0.3">
      <c r="A64" s="172" t="s">
        <v>994</v>
      </c>
      <c r="B64" s="172" t="s">
        <v>298</v>
      </c>
      <c r="C64" s="172">
        <v>80</v>
      </c>
      <c r="D64" s="172">
        <v>105</v>
      </c>
      <c r="E64" s="172" t="s">
        <v>1021</v>
      </c>
      <c r="F64" s="172">
        <v>11</v>
      </c>
      <c r="G64" s="172">
        <v>14</v>
      </c>
      <c r="H64" s="172" t="s">
        <v>289</v>
      </c>
      <c r="I64" s="172" t="s">
        <v>290</v>
      </c>
      <c r="J64" s="172">
        <v>6</v>
      </c>
      <c r="K64" s="172">
        <v>4</v>
      </c>
      <c r="L64" s="152" t="s">
        <v>448</v>
      </c>
      <c r="M64" s="141">
        <v>2.7873809523809523E-2</v>
      </c>
    </row>
    <row r="65" spans="1:13" x14ac:dyDescent="0.3">
      <c r="A65" s="172" t="s">
        <v>225</v>
      </c>
      <c r="B65" s="172" t="s">
        <v>298</v>
      </c>
      <c r="C65" s="172">
        <v>80</v>
      </c>
      <c r="D65" s="172">
        <v>105</v>
      </c>
      <c r="E65" s="172" t="s">
        <v>1021</v>
      </c>
      <c r="F65" s="172">
        <v>11</v>
      </c>
      <c r="G65" s="172">
        <v>14</v>
      </c>
      <c r="H65" s="172" t="s">
        <v>289</v>
      </c>
      <c r="I65" s="172" t="s">
        <v>290</v>
      </c>
      <c r="J65" s="172">
        <v>6</v>
      </c>
      <c r="K65" s="172">
        <v>4</v>
      </c>
      <c r="L65" s="152" t="s">
        <v>448</v>
      </c>
      <c r="M65" s="141">
        <v>2.7873809523809523E-2</v>
      </c>
    </row>
    <row r="66" spans="1:13" x14ac:dyDescent="0.3">
      <c r="A66" s="172" t="s">
        <v>226</v>
      </c>
      <c r="B66" s="172" t="s">
        <v>298</v>
      </c>
      <c r="C66" s="172">
        <v>80</v>
      </c>
      <c r="D66" s="172">
        <v>105</v>
      </c>
      <c r="E66" s="172" t="s">
        <v>1021</v>
      </c>
      <c r="F66" s="172">
        <v>11</v>
      </c>
      <c r="G66" s="172">
        <v>14</v>
      </c>
      <c r="H66" s="172" t="s">
        <v>289</v>
      </c>
      <c r="I66" s="172" t="s">
        <v>290</v>
      </c>
      <c r="J66" s="172">
        <v>6</v>
      </c>
      <c r="K66" s="172">
        <v>4</v>
      </c>
      <c r="L66" s="153" t="s">
        <v>448</v>
      </c>
      <c r="M66" s="141">
        <v>2.7873809523809523E-2</v>
      </c>
    </row>
    <row r="67" spans="1:13" x14ac:dyDescent="0.3">
      <c r="A67" s="172" t="s">
        <v>227</v>
      </c>
      <c r="B67" s="172" t="s">
        <v>298</v>
      </c>
      <c r="C67" s="172">
        <v>90</v>
      </c>
      <c r="D67" s="172">
        <v>110</v>
      </c>
      <c r="E67" s="172" t="s">
        <v>1021</v>
      </c>
      <c r="F67" s="172">
        <v>11</v>
      </c>
      <c r="G67" s="172">
        <v>14</v>
      </c>
      <c r="H67" s="172" t="s">
        <v>289</v>
      </c>
      <c r="I67" s="172" t="s">
        <v>289</v>
      </c>
      <c r="J67" s="172">
        <v>6</v>
      </c>
      <c r="K67" s="172">
        <v>4</v>
      </c>
      <c r="L67" s="151" t="s">
        <v>931</v>
      </c>
      <c r="M67" s="141">
        <v>2.365050505050505E-2</v>
      </c>
    </row>
    <row r="68" spans="1:13" x14ac:dyDescent="0.3">
      <c r="A68" s="172" t="s">
        <v>996</v>
      </c>
      <c r="B68" s="172" t="s">
        <v>298</v>
      </c>
      <c r="C68" s="172">
        <v>90</v>
      </c>
      <c r="D68" s="172">
        <v>110</v>
      </c>
      <c r="E68" s="172" t="s">
        <v>1013</v>
      </c>
      <c r="F68" s="172">
        <v>6</v>
      </c>
      <c r="G68" s="172">
        <v>7</v>
      </c>
      <c r="H68" s="172" t="s">
        <v>290</v>
      </c>
      <c r="I68" s="172" t="s">
        <v>290</v>
      </c>
      <c r="J68" s="172">
        <v>5</v>
      </c>
      <c r="K68" s="172">
        <v>4</v>
      </c>
      <c r="L68" s="152" t="s">
        <v>448</v>
      </c>
      <c r="M68" s="141">
        <v>1.131111111111111E-2</v>
      </c>
    </row>
    <row r="69" spans="1:13" x14ac:dyDescent="0.3">
      <c r="A69" s="172" t="s">
        <v>997</v>
      </c>
      <c r="B69" s="172" t="s">
        <v>298</v>
      </c>
      <c r="C69" s="172">
        <v>90</v>
      </c>
      <c r="D69" s="172">
        <v>110</v>
      </c>
      <c r="E69" s="172" t="s">
        <v>1016</v>
      </c>
      <c r="F69" s="172">
        <v>8</v>
      </c>
      <c r="G69" s="172">
        <v>10</v>
      </c>
      <c r="H69" s="172" t="s">
        <v>290</v>
      </c>
      <c r="I69" s="172" t="s">
        <v>290</v>
      </c>
      <c r="J69" s="172">
        <v>4</v>
      </c>
      <c r="K69" s="172">
        <v>3</v>
      </c>
      <c r="L69" s="152" t="s">
        <v>448</v>
      </c>
      <c r="M69" s="141">
        <v>1.6452525252525253E-2</v>
      </c>
    </row>
    <row r="70" spans="1:13" x14ac:dyDescent="0.3">
      <c r="A70" s="172" t="s">
        <v>998</v>
      </c>
      <c r="B70" s="172" t="s">
        <v>298</v>
      </c>
      <c r="C70" s="172">
        <v>90</v>
      </c>
      <c r="D70" s="172">
        <v>110</v>
      </c>
      <c r="E70" s="172" t="s">
        <v>1077</v>
      </c>
      <c r="F70" s="172">
        <v>7</v>
      </c>
      <c r="G70" s="172">
        <v>8</v>
      </c>
      <c r="H70" s="172" t="s">
        <v>290</v>
      </c>
      <c r="I70" s="172" t="s">
        <v>290</v>
      </c>
      <c r="J70" s="172">
        <v>4</v>
      </c>
      <c r="K70" s="172">
        <v>3</v>
      </c>
      <c r="L70" s="152" t="s">
        <v>448</v>
      </c>
      <c r="M70" s="141">
        <v>2.1509090909090908E-2</v>
      </c>
    </row>
    <row r="71" spans="1:13" x14ac:dyDescent="0.3">
      <c r="A71" s="172" t="s">
        <v>999</v>
      </c>
      <c r="B71" s="172" t="s">
        <v>298</v>
      </c>
      <c r="C71" s="172">
        <v>90</v>
      </c>
      <c r="D71" s="172">
        <v>110</v>
      </c>
      <c r="E71" s="172" t="s">
        <v>1022</v>
      </c>
      <c r="F71" s="172">
        <v>8</v>
      </c>
      <c r="G71" s="172">
        <v>10</v>
      </c>
      <c r="H71" s="172" t="s">
        <v>290</v>
      </c>
      <c r="I71" s="172" t="s">
        <v>290</v>
      </c>
      <c r="J71" s="172">
        <v>4</v>
      </c>
      <c r="K71" s="172">
        <v>3</v>
      </c>
      <c r="L71" s="152" t="s">
        <v>448</v>
      </c>
      <c r="M71" s="141">
        <v>2.6472727272727273E-2</v>
      </c>
    </row>
    <row r="72" spans="1:13" x14ac:dyDescent="0.3">
      <c r="A72" s="172" t="s">
        <v>286</v>
      </c>
      <c r="B72" s="172" t="s">
        <v>299</v>
      </c>
      <c r="C72" s="172">
        <v>60</v>
      </c>
      <c r="D72" s="172">
        <v>60</v>
      </c>
      <c r="E72" s="172" t="s">
        <v>1017</v>
      </c>
      <c r="F72" s="172">
        <v>5</v>
      </c>
      <c r="G72" s="172">
        <v>5</v>
      </c>
      <c r="H72" s="172" t="s">
        <v>289</v>
      </c>
      <c r="I72" s="172" t="s">
        <v>290</v>
      </c>
      <c r="J72" s="172">
        <v>1</v>
      </c>
      <c r="K72" s="172">
        <v>1</v>
      </c>
      <c r="L72" s="153" t="s">
        <v>448</v>
      </c>
      <c r="M72" s="141">
        <v>2.2622222222222221E-2</v>
      </c>
    </row>
    <row r="73" spans="1:13" x14ac:dyDescent="0.3">
      <c r="A73" s="172" t="s">
        <v>979</v>
      </c>
      <c r="B73" s="172" t="s">
        <v>299</v>
      </c>
      <c r="C73" s="172">
        <v>60</v>
      </c>
      <c r="D73" s="172">
        <v>60</v>
      </c>
      <c r="E73" s="172" t="s">
        <v>1017</v>
      </c>
      <c r="F73" s="172">
        <v>5</v>
      </c>
      <c r="G73" s="172">
        <v>5</v>
      </c>
      <c r="H73" s="172" t="s">
        <v>289</v>
      </c>
      <c r="I73" s="172" t="s">
        <v>290</v>
      </c>
      <c r="J73" s="172">
        <v>1</v>
      </c>
      <c r="K73" s="172">
        <v>1</v>
      </c>
      <c r="L73" s="152" t="s">
        <v>448</v>
      </c>
      <c r="M73" s="141">
        <v>2.2622222222222221E-2</v>
      </c>
    </row>
    <row r="74" spans="1:13" ht="31.2" x14ac:dyDescent="0.3">
      <c r="A74" s="172" t="s">
        <v>980</v>
      </c>
      <c r="B74" s="172" t="s">
        <v>299</v>
      </c>
      <c r="C74" s="172">
        <v>60</v>
      </c>
      <c r="D74" s="172">
        <v>60</v>
      </c>
      <c r="E74" s="172" t="s">
        <v>1016</v>
      </c>
      <c r="F74" s="172">
        <v>9</v>
      </c>
      <c r="G74" s="172">
        <v>9</v>
      </c>
      <c r="H74" s="172" t="s">
        <v>289</v>
      </c>
      <c r="I74" s="172" t="s">
        <v>290</v>
      </c>
      <c r="J74" s="172">
        <v>3</v>
      </c>
      <c r="K74" s="172">
        <v>3</v>
      </c>
      <c r="L74" s="151" t="s">
        <v>932</v>
      </c>
      <c r="M74" s="141">
        <v>4.5244444444444441E-2</v>
      </c>
    </row>
    <row r="75" spans="1:13" x14ac:dyDescent="0.3">
      <c r="A75" s="172" t="s">
        <v>291</v>
      </c>
      <c r="B75" s="172" t="s">
        <v>299</v>
      </c>
      <c r="C75" s="172">
        <v>105</v>
      </c>
      <c r="D75" s="172">
        <v>80</v>
      </c>
      <c r="E75" s="172" t="s">
        <v>1013</v>
      </c>
      <c r="F75" s="172">
        <v>7</v>
      </c>
      <c r="G75" s="172">
        <v>6</v>
      </c>
      <c r="H75" s="172" t="s">
        <v>289</v>
      </c>
      <c r="I75" s="172" t="s">
        <v>290</v>
      </c>
      <c r="J75" s="172">
        <v>3</v>
      </c>
      <c r="K75" s="172">
        <v>4</v>
      </c>
      <c r="L75" s="151" t="s">
        <v>1062</v>
      </c>
      <c r="M75" s="141">
        <v>1.3330952380952379E-2</v>
      </c>
    </row>
    <row r="76" spans="1:13" ht="78" x14ac:dyDescent="0.3">
      <c r="A76" s="172" t="s">
        <v>982</v>
      </c>
      <c r="B76" s="172" t="s">
        <v>299</v>
      </c>
      <c r="C76" s="172">
        <v>105</v>
      </c>
      <c r="D76" s="172">
        <v>80</v>
      </c>
      <c r="E76" s="172" t="s">
        <v>1013</v>
      </c>
      <c r="F76" s="172">
        <v>7</v>
      </c>
      <c r="G76" s="172">
        <v>6</v>
      </c>
      <c r="H76" s="172" t="s">
        <v>289</v>
      </c>
      <c r="I76" s="172" t="s">
        <v>290</v>
      </c>
      <c r="J76" s="172">
        <v>2</v>
      </c>
      <c r="K76" s="172">
        <v>3</v>
      </c>
      <c r="L76" s="151" t="s">
        <v>1060</v>
      </c>
      <c r="M76" s="141">
        <v>1.3330952380952379E-2</v>
      </c>
    </row>
    <row r="77" spans="1:13" x14ac:dyDescent="0.3">
      <c r="A77" s="172" t="s">
        <v>983</v>
      </c>
      <c r="B77" s="172" t="s">
        <v>299</v>
      </c>
      <c r="C77" s="172">
        <v>105</v>
      </c>
      <c r="D77" s="172">
        <v>80</v>
      </c>
      <c r="E77" s="172" t="s">
        <v>1013</v>
      </c>
      <c r="F77" s="172">
        <v>7</v>
      </c>
      <c r="G77" s="172">
        <v>6</v>
      </c>
      <c r="H77" s="172" t="s">
        <v>289</v>
      </c>
      <c r="I77" s="172" t="s">
        <v>290</v>
      </c>
      <c r="J77" s="172">
        <v>2</v>
      </c>
      <c r="K77" s="172">
        <v>3</v>
      </c>
      <c r="L77" s="151" t="s">
        <v>1062</v>
      </c>
      <c r="M77" s="141">
        <v>1.3330952380952379E-2</v>
      </c>
    </row>
    <row r="78" spans="1:13" x14ac:dyDescent="0.3">
      <c r="A78" s="172" t="s">
        <v>984</v>
      </c>
      <c r="B78" s="172" t="s">
        <v>299</v>
      </c>
      <c r="C78" s="172">
        <v>105</v>
      </c>
      <c r="D78" s="172">
        <v>80</v>
      </c>
      <c r="E78" s="172" t="s">
        <v>1013</v>
      </c>
      <c r="F78" s="172">
        <v>7</v>
      </c>
      <c r="G78" s="172">
        <v>6</v>
      </c>
      <c r="H78" s="172" t="s">
        <v>289</v>
      </c>
      <c r="I78" s="172" t="s">
        <v>290</v>
      </c>
      <c r="J78" s="172">
        <v>2</v>
      </c>
      <c r="K78" s="172">
        <v>3</v>
      </c>
      <c r="L78" s="151" t="s">
        <v>1062</v>
      </c>
      <c r="M78" s="141">
        <v>1.3330952380952379E-2</v>
      </c>
    </row>
    <row r="79" spans="1:13" x14ac:dyDescent="0.3">
      <c r="A79" s="172" t="s">
        <v>985</v>
      </c>
      <c r="B79" s="172" t="s">
        <v>299</v>
      </c>
      <c r="C79" s="172">
        <v>105</v>
      </c>
      <c r="D79" s="172">
        <v>80</v>
      </c>
      <c r="E79" s="172" t="s">
        <v>1013</v>
      </c>
      <c r="F79" s="172">
        <v>7</v>
      </c>
      <c r="G79" s="172">
        <v>6</v>
      </c>
      <c r="H79" s="172" t="s">
        <v>289</v>
      </c>
      <c r="I79" s="172" t="s">
        <v>290</v>
      </c>
      <c r="J79" s="172">
        <v>2</v>
      </c>
      <c r="K79" s="172">
        <v>3</v>
      </c>
      <c r="L79" s="151" t="s">
        <v>1062</v>
      </c>
      <c r="M79" s="141">
        <v>1.3330952380952379E-2</v>
      </c>
    </row>
    <row r="80" spans="1:13" x14ac:dyDescent="0.3">
      <c r="A80" s="172" t="s">
        <v>986</v>
      </c>
      <c r="B80" s="172" t="s">
        <v>299</v>
      </c>
      <c r="C80" s="172">
        <v>105</v>
      </c>
      <c r="D80" s="172">
        <v>80</v>
      </c>
      <c r="E80" s="172" t="s">
        <v>1013</v>
      </c>
      <c r="F80" s="172">
        <v>7</v>
      </c>
      <c r="G80" s="172">
        <v>6</v>
      </c>
      <c r="H80" s="172" t="s">
        <v>289</v>
      </c>
      <c r="I80" s="172" t="s">
        <v>290</v>
      </c>
      <c r="J80" s="172">
        <v>2</v>
      </c>
      <c r="K80" s="172">
        <v>3</v>
      </c>
      <c r="L80" s="152" t="s">
        <v>448</v>
      </c>
      <c r="M80" s="141">
        <v>1.3330952380952379E-2</v>
      </c>
    </row>
    <row r="81" spans="1:13" x14ac:dyDescent="0.3">
      <c r="A81" s="172" t="s">
        <v>987</v>
      </c>
      <c r="B81" s="172" t="s">
        <v>299</v>
      </c>
      <c r="C81" s="172">
        <v>105</v>
      </c>
      <c r="D81" s="172">
        <v>80</v>
      </c>
      <c r="E81" s="172" t="s">
        <v>1013</v>
      </c>
      <c r="F81" s="172">
        <v>7</v>
      </c>
      <c r="G81" s="172">
        <v>6</v>
      </c>
      <c r="H81" s="172" t="s">
        <v>289</v>
      </c>
      <c r="I81" s="172" t="s">
        <v>290</v>
      </c>
      <c r="J81" s="172">
        <v>2</v>
      </c>
      <c r="K81" s="172">
        <v>3</v>
      </c>
      <c r="L81" s="152" t="s">
        <v>448</v>
      </c>
      <c r="M81" s="141">
        <v>1.3330952380952379E-2</v>
      </c>
    </row>
    <row r="82" spans="1:13" x14ac:dyDescent="0.3">
      <c r="A82" s="172" t="s">
        <v>988</v>
      </c>
      <c r="B82" s="172" t="s">
        <v>299</v>
      </c>
      <c r="C82" s="173">
        <v>105</v>
      </c>
      <c r="D82" s="173">
        <v>80</v>
      </c>
      <c r="E82" s="172" t="s">
        <v>1016</v>
      </c>
      <c r="F82" s="172">
        <v>10</v>
      </c>
      <c r="G82" s="172">
        <v>8</v>
      </c>
      <c r="H82" s="172" t="s">
        <v>289</v>
      </c>
      <c r="I82" s="172" t="s">
        <v>290</v>
      </c>
      <c r="J82" s="172">
        <v>3</v>
      </c>
      <c r="K82" s="172">
        <v>4</v>
      </c>
      <c r="L82" s="153" t="s">
        <v>448</v>
      </c>
      <c r="M82" s="141">
        <v>1.9390476190476191E-2</v>
      </c>
    </row>
    <row r="83" spans="1:13" x14ac:dyDescent="0.3">
      <c r="A83" s="172" t="s">
        <v>989</v>
      </c>
      <c r="B83" s="172" t="s">
        <v>299</v>
      </c>
      <c r="C83" s="172">
        <v>105</v>
      </c>
      <c r="D83" s="172">
        <v>80</v>
      </c>
      <c r="E83" s="172" t="s">
        <v>1022</v>
      </c>
      <c r="F83" s="172">
        <v>11</v>
      </c>
      <c r="G83" s="172">
        <v>7</v>
      </c>
      <c r="H83" s="172" t="s">
        <v>289</v>
      </c>
      <c r="I83" s="172" t="s">
        <v>290</v>
      </c>
      <c r="J83" s="172">
        <v>2</v>
      </c>
      <c r="K83" s="172">
        <v>4</v>
      </c>
      <c r="L83" s="153" t="s">
        <v>448</v>
      </c>
      <c r="M83" s="141">
        <v>3.1199999999999999E-2</v>
      </c>
    </row>
    <row r="84" spans="1:13" x14ac:dyDescent="0.3">
      <c r="A84" s="172" t="s">
        <v>990</v>
      </c>
      <c r="B84" s="172" t="s">
        <v>299</v>
      </c>
      <c r="C84" s="172">
        <v>105</v>
      </c>
      <c r="D84" s="172">
        <v>80</v>
      </c>
      <c r="E84" s="172" t="s">
        <v>1022</v>
      </c>
      <c r="F84" s="172">
        <v>11</v>
      </c>
      <c r="G84" s="172">
        <v>7</v>
      </c>
      <c r="H84" s="172" t="s">
        <v>289</v>
      </c>
      <c r="I84" s="172" t="s">
        <v>290</v>
      </c>
      <c r="J84" s="172">
        <v>3</v>
      </c>
      <c r="K84" s="172">
        <v>4</v>
      </c>
      <c r="L84" s="153" t="s">
        <v>448</v>
      </c>
      <c r="M84" s="141">
        <v>3.1199999999999999E-2</v>
      </c>
    </row>
    <row r="85" spans="1:13" x14ac:dyDescent="0.3">
      <c r="A85" s="172" t="s">
        <v>991</v>
      </c>
      <c r="B85" s="172" t="s">
        <v>299</v>
      </c>
      <c r="C85" s="172">
        <v>105</v>
      </c>
      <c r="D85" s="172">
        <v>80</v>
      </c>
      <c r="E85" s="172" t="s">
        <v>1022</v>
      </c>
      <c r="F85" s="172">
        <v>11</v>
      </c>
      <c r="G85" s="172">
        <v>7</v>
      </c>
      <c r="H85" s="172" t="s">
        <v>289</v>
      </c>
      <c r="I85" s="172" t="s">
        <v>290</v>
      </c>
      <c r="J85" s="172">
        <v>3</v>
      </c>
      <c r="K85" s="172">
        <v>4</v>
      </c>
      <c r="L85" s="152" t="s">
        <v>448</v>
      </c>
      <c r="M85" s="141">
        <v>3.1199999999999999E-2</v>
      </c>
    </row>
    <row r="86" spans="1:13" x14ac:dyDescent="0.3">
      <c r="A86" s="172" t="s">
        <v>992</v>
      </c>
      <c r="B86" s="172" t="s">
        <v>299</v>
      </c>
      <c r="C86" s="172">
        <v>105</v>
      </c>
      <c r="D86" s="172">
        <v>80</v>
      </c>
      <c r="E86" s="172" t="s">
        <v>1022</v>
      </c>
      <c r="F86" s="172">
        <v>11</v>
      </c>
      <c r="G86" s="172">
        <v>7</v>
      </c>
      <c r="H86" s="172" t="s">
        <v>289</v>
      </c>
      <c r="I86" s="172" t="s">
        <v>290</v>
      </c>
      <c r="J86" s="172">
        <v>3</v>
      </c>
      <c r="K86" s="172">
        <v>4</v>
      </c>
      <c r="L86" s="153" t="s">
        <v>448</v>
      </c>
      <c r="M86" s="141">
        <v>3.1199999999999999E-2</v>
      </c>
    </row>
    <row r="87" spans="1:13" x14ac:dyDescent="0.3">
      <c r="A87" s="172" t="s">
        <v>993</v>
      </c>
      <c r="B87" s="172" t="s">
        <v>299</v>
      </c>
      <c r="C87" s="172">
        <v>115</v>
      </c>
      <c r="D87" s="172">
        <v>80</v>
      </c>
      <c r="E87" s="172" t="s">
        <v>1022</v>
      </c>
      <c r="F87" s="172">
        <v>11</v>
      </c>
      <c r="G87" s="172">
        <v>7</v>
      </c>
      <c r="H87" s="172" t="s">
        <v>289</v>
      </c>
      <c r="I87" s="172" t="s">
        <v>290</v>
      </c>
      <c r="J87" s="172">
        <v>3</v>
      </c>
      <c r="K87" s="172">
        <v>5</v>
      </c>
      <c r="L87" s="152" t="s">
        <v>448</v>
      </c>
      <c r="M87" s="141">
        <v>2.8486956521739128E-2</v>
      </c>
    </row>
    <row r="88" spans="1:13" x14ac:dyDescent="0.3">
      <c r="A88" s="172" t="s">
        <v>994</v>
      </c>
      <c r="B88" s="172" t="s">
        <v>299</v>
      </c>
      <c r="C88" s="173">
        <v>115</v>
      </c>
      <c r="D88" s="173">
        <v>80</v>
      </c>
      <c r="E88" s="172" t="s">
        <v>1023</v>
      </c>
      <c r="F88" s="172">
        <v>11</v>
      </c>
      <c r="G88" s="172">
        <v>8</v>
      </c>
      <c r="H88" s="172" t="s">
        <v>289</v>
      </c>
      <c r="I88" s="172" t="s">
        <v>290</v>
      </c>
      <c r="J88" s="172">
        <v>3</v>
      </c>
      <c r="K88" s="172">
        <v>5</v>
      </c>
      <c r="L88" s="152" t="s">
        <v>448</v>
      </c>
      <c r="M88" s="141">
        <v>3.0267391304347822E-2</v>
      </c>
    </row>
    <row r="89" spans="1:13" x14ac:dyDescent="0.3">
      <c r="A89" s="172" t="s">
        <v>225</v>
      </c>
      <c r="B89" s="172" t="s">
        <v>299</v>
      </c>
      <c r="C89" s="172">
        <v>115</v>
      </c>
      <c r="D89" s="172">
        <v>90</v>
      </c>
      <c r="E89" s="172" t="s">
        <v>1024</v>
      </c>
      <c r="F89" s="172">
        <v>12</v>
      </c>
      <c r="G89" s="172">
        <v>10</v>
      </c>
      <c r="H89" s="172" t="s">
        <v>289</v>
      </c>
      <c r="I89" s="172" t="s">
        <v>290</v>
      </c>
      <c r="J89" s="172">
        <v>4</v>
      </c>
      <c r="K89" s="172">
        <v>5</v>
      </c>
      <c r="L89" s="153" t="s">
        <v>448</v>
      </c>
      <c r="M89" s="141">
        <v>3.1652173913043473E-2</v>
      </c>
    </row>
    <row r="90" spans="1:13" x14ac:dyDescent="0.3">
      <c r="A90" s="172" t="s">
        <v>226</v>
      </c>
      <c r="B90" s="172" t="s">
        <v>299</v>
      </c>
      <c r="C90" s="172">
        <v>115</v>
      </c>
      <c r="D90" s="172">
        <v>90</v>
      </c>
      <c r="E90" s="172" t="s">
        <v>1024</v>
      </c>
      <c r="F90" s="172">
        <v>12</v>
      </c>
      <c r="G90" s="172">
        <v>10</v>
      </c>
      <c r="H90" s="172" t="s">
        <v>289</v>
      </c>
      <c r="I90" s="172" t="s">
        <v>290</v>
      </c>
      <c r="J90" s="172">
        <v>4</v>
      </c>
      <c r="K90" s="172">
        <v>6</v>
      </c>
      <c r="L90" s="152" t="s">
        <v>448</v>
      </c>
      <c r="M90" s="141">
        <v>3.1652173913043473E-2</v>
      </c>
    </row>
    <row r="91" spans="1:13" x14ac:dyDescent="0.3">
      <c r="A91" s="172" t="s">
        <v>227</v>
      </c>
      <c r="B91" s="172" t="s">
        <v>299</v>
      </c>
      <c r="C91" s="172">
        <v>115</v>
      </c>
      <c r="D91" s="172">
        <v>90</v>
      </c>
      <c r="E91" s="172" t="s">
        <v>1024</v>
      </c>
      <c r="F91" s="172">
        <v>12</v>
      </c>
      <c r="G91" s="172">
        <v>10</v>
      </c>
      <c r="H91" s="172" t="s">
        <v>289</v>
      </c>
      <c r="I91" s="172" t="s">
        <v>289</v>
      </c>
      <c r="J91" s="172">
        <v>4</v>
      </c>
      <c r="K91" s="172">
        <v>6</v>
      </c>
      <c r="L91" s="151" t="s">
        <v>931</v>
      </c>
      <c r="M91" s="141">
        <v>3.1652173913043473E-2</v>
      </c>
    </row>
    <row r="92" spans="1:13" x14ac:dyDescent="0.3">
      <c r="A92" s="172" t="s">
        <v>996</v>
      </c>
      <c r="B92" s="172" t="s">
        <v>299</v>
      </c>
      <c r="C92" s="172">
        <v>160</v>
      </c>
      <c r="D92" s="172">
        <v>100</v>
      </c>
      <c r="E92" s="172" t="s">
        <v>1016</v>
      </c>
      <c r="F92" s="172">
        <v>11</v>
      </c>
      <c r="G92" s="172">
        <v>7</v>
      </c>
      <c r="H92" s="172" t="s">
        <v>290</v>
      </c>
      <c r="I92" s="172" t="s">
        <v>290</v>
      </c>
      <c r="J92" s="172">
        <v>2</v>
      </c>
      <c r="K92" s="172">
        <v>5</v>
      </c>
      <c r="L92" s="152" t="s">
        <v>448</v>
      </c>
      <c r="M92" s="141">
        <v>1.018E-2</v>
      </c>
    </row>
    <row r="93" spans="1:13" x14ac:dyDescent="0.3">
      <c r="A93" s="172" t="s">
        <v>997</v>
      </c>
      <c r="B93" s="172" t="s">
        <v>299</v>
      </c>
      <c r="C93" s="172">
        <v>160</v>
      </c>
      <c r="D93" s="172">
        <v>100</v>
      </c>
      <c r="E93" s="172" t="s">
        <v>1078</v>
      </c>
      <c r="F93" s="172">
        <v>17</v>
      </c>
      <c r="G93" s="172">
        <v>11</v>
      </c>
      <c r="H93" s="172" t="s">
        <v>290</v>
      </c>
      <c r="I93" s="172" t="s">
        <v>290</v>
      </c>
      <c r="J93" s="172">
        <v>4</v>
      </c>
      <c r="K93" s="172">
        <v>7</v>
      </c>
      <c r="L93" s="151" t="s">
        <v>1088</v>
      </c>
      <c r="M93" s="141">
        <v>2.6617499999999999E-2</v>
      </c>
    </row>
    <row r="94" spans="1:13" x14ac:dyDescent="0.3">
      <c r="A94" s="172" t="s">
        <v>998</v>
      </c>
      <c r="B94" s="172" t="s">
        <v>299</v>
      </c>
      <c r="C94" s="172">
        <v>160</v>
      </c>
      <c r="D94" s="172">
        <v>100</v>
      </c>
      <c r="E94" s="172" t="s">
        <v>1079</v>
      </c>
      <c r="F94" s="172">
        <v>19</v>
      </c>
      <c r="G94" s="172">
        <v>11</v>
      </c>
      <c r="H94" s="172" t="s">
        <v>290</v>
      </c>
      <c r="I94" s="172" t="s">
        <v>290</v>
      </c>
      <c r="J94" s="172">
        <v>4</v>
      </c>
      <c r="K94" s="172">
        <v>8</v>
      </c>
      <c r="L94" s="152" t="s">
        <v>448</v>
      </c>
      <c r="M94" s="141">
        <v>3.07125E-2</v>
      </c>
    </row>
    <row r="95" spans="1:13" x14ac:dyDescent="0.3">
      <c r="A95" s="172" t="s">
        <v>999</v>
      </c>
      <c r="B95" s="172" t="s">
        <v>299</v>
      </c>
      <c r="C95" s="172">
        <v>160</v>
      </c>
      <c r="D95" s="172">
        <v>100</v>
      </c>
      <c r="E95" s="172" t="s">
        <v>1080</v>
      </c>
      <c r="F95" s="172">
        <v>19</v>
      </c>
      <c r="G95" s="172">
        <v>11</v>
      </c>
      <c r="H95" s="172" t="s">
        <v>290</v>
      </c>
      <c r="I95" s="172" t="s">
        <v>290</v>
      </c>
      <c r="J95" s="172">
        <v>4</v>
      </c>
      <c r="K95" s="172">
        <v>8</v>
      </c>
      <c r="L95" s="152" t="s">
        <v>448</v>
      </c>
      <c r="M95" s="141">
        <v>3.7878749999999996E-2</v>
      </c>
    </row>
    <row r="96" spans="1:13" x14ac:dyDescent="0.3">
      <c r="A96" s="172" t="s">
        <v>291</v>
      </c>
      <c r="B96" s="172" t="s">
        <v>981</v>
      </c>
      <c r="C96" s="172">
        <v>90</v>
      </c>
      <c r="D96" s="172">
        <v>90</v>
      </c>
      <c r="E96" s="172" t="s">
        <v>1012</v>
      </c>
      <c r="F96" s="172">
        <v>6</v>
      </c>
      <c r="G96" s="172">
        <v>6</v>
      </c>
      <c r="H96" s="172" t="s">
        <v>289</v>
      </c>
      <c r="I96" s="172" t="s">
        <v>292</v>
      </c>
      <c r="J96" s="172">
        <v>3</v>
      </c>
      <c r="K96" s="172">
        <v>3</v>
      </c>
      <c r="L96" s="154" t="s">
        <v>1062</v>
      </c>
      <c r="M96" s="141">
        <v>1.2567901234567901E-2</v>
      </c>
    </row>
    <row r="97" spans="1:13" ht="78" x14ac:dyDescent="0.3">
      <c r="A97" s="172" t="s">
        <v>982</v>
      </c>
      <c r="B97" s="172" t="s">
        <v>981</v>
      </c>
      <c r="C97" s="172">
        <v>90</v>
      </c>
      <c r="D97" s="172">
        <v>90</v>
      </c>
      <c r="E97" s="172" t="s">
        <v>1012</v>
      </c>
      <c r="F97" s="172">
        <v>6</v>
      </c>
      <c r="G97" s="172">
        <v>6</v>
      </c>
      <c r="H97" s="172" t="s">
        <v>289</v>
      </c>
      <c r="I97" s="172" t="s">
        <v>290</v>
      </c>
      <c r="J97" s="172">
        <v>2</v>
      </c>
      <c r="K97" s="172">
        <v>2</v>
      </c>
      <c r="L97" s="151" t="s">
        <v>1060</v>
      </c>
      <c r="M97" s="141">
        <v>1.2567901234567901E-2</v>
      </c>
    </row>
    <row r="98" spans="1:13" x14ac:dyDescent="0.3">
      <c r="A98" s="172" t="s">
        <v>983</v>
      </c>
      <c r="B98" s="172" t="s">
        <v>981</v>
      </c>
      <c r="C98" s="172">
        <v>90</v>
      </c>
      <c r="D98" s="172">
        <v>90</v>
      </c>
      <c r="E98" s="172" t="s">
        <v>1012</v>
      </c>
      <c r="F98" s="172">
        <v>6</v>
      </c>
      <c r="G98" s="172">
        <v>6</v>
      </c>
      <c r="H98" s="172" t="s">
        <v>289</v>
      </c>
      <c r="I98" s="172" t="s">
        <v>290</v>
      </c>
      <c r="J98" s="172">
        <v>2</v>
      </c>
      <c r="K98" s="172">
        <v>2</v>
      </c>
      <c r="L98" s="151" t="s">
        <v>1062</v>
      </c>
      <c r="M98" s="141">
        <v>1.2567901234567901E-2</v>
      </c>
    </row>
    <row r="99" spans="1:13" x14ac:dyDescent="0.3">
      <c r="A99" s="172" t="s">
        <v>984</v>
      </c>
      <c r="B99" s="172" t="s">
        <v>981</v>
      </c>
      <c r="C99" s="172">
        <v>90</v>
      </c>
      <c r="D99" s="172">
        <v>90</v>
      </c>
      <c r="E99" s="172" t="s">
        <v>1012</v>
      </c>
      <c r="F99" s="172">
        <v>6</v>
      </c>
      <c r="G99" s="172">
        <v>6</v>
      </c>
      <c r="H99" s="172" t="s">
        <v>289</v>
      </c>
      <c r="I99" s="172" t="s">
        <v>290</v>
      </c>
      <c r="J99" s="172">
        <v>2</v>
      </c>
      <c r="K99" s="172">
        <v>2</v>
      </c>
      <c r="L99" s="154" t="s">
        <v>1062</v>
      </c>
      <c r="M99" s="141">
        <v>1.2567901234567901E-2</v>
      </c>
    </row>
    <row r="100" spans="1:13" x14ac:dyDescent="0.3">
      <c r="A100" s="172" t="s">
        <v>985</v>
      </c>
      <c r="B100" s="172" t="s">
        <v>981</v>
      </c>
      <c r="C100" s="172">
        <v>90</v>
      </c>
      <c r="D100" s="172">
        <v>90</v>
      </c>
      <c r="E100" s="172" t="s">
        <v>1012</v>
      </c>
      <c r="F100" s="172">
        <v>6</v>
      </c>
      <c r="G100" s="172">
        <v>6</v>
      </c>
      <c r="H100" s="172" t="s">
        <v>289</v>
      </c>
      <c r="I100" s="172" t="s">
        <v>290</v>
      </c>
      <c r="J100" s="172">
        <v>2</v>
      </c>
      <c r="K100" s="172">
        <v>2</v>
      </c>
      <c r="L100" s="151" t="s">
        <v>1062</v>
      </c>
      <c r="M100" s="141">
        <v>1.2567901234567901E-2</v>
      </c>
    </row>
    <row r="101" spans="1:13" x14ac:dyDescent="0.3">
      <c r="A101" s="172" t="s">
        <v>986</v>
      </c>
      <c r="B101" s="172" t="s">
        <v>981</v>
      </c>
      <c r="C101" s="172">
        <v>90</v>
      </c>
      <c r="D101" s="172">
        <v>90</v>
      </c>
      <c r="E101" s="172" t="s">
        <v>1012</v>
      </c>
      <c r="F101" s="172">
        <v>6</v>
      </c>
      <c r="G101" s="172">
        <v>6</v>
      </c>
      <c r="H101" s="172" t="s">
        <v>289</v>
      </c>
      <c r="I101" s="172" t="s">
        <v>290</v>
      </c>
      <c r="J101" s="172">
        <v>2</v>
      </c>
      <c r="K101" s="172">
        <v>2</v>
      </c>
      <c r="L101" s="153" t="s">
        <v>448</v>
      </c>
      <c r="M101" s="141">
        <v>1.2567901234567901E-2</v>
      </c>
    </row>
    <row r="102" spans="1:13" x14ac:dyDescent="0.3">
      <c r="A102" s="172" t="s">
        <v>987</v>
      </c>
      <c r="B102" s="172" t="s">
        <v>981</v>
      </c>
      <c r="C102" s="172">
        <v>90</v>
      </c>
      <c r="D102" s="172">
        <v>90</v>
      </c>
      <c r="E102" s="172" t="s">
        <v>1012</v>
      </c>
      <c r="F102" s="172">
        <v>6</v>
      </c>
      <c r="G102" s="172">
        <v>6</v>
      </c>
      <c r="H102" s="172" t="s">
        <v>289</v>
      </c>
      <c r="I102" s="172" t="s">
        <v>290</v>
      </c>
      <c r="J102" s="172">
        <v>2</v>
      </c>
      <c r="K102" s="172">
        <v>2</v>
      </c>
      <c r="L102" s="153" t="s">
        <v>448</v>
      </c>
      <c r="M102" s="141">
        <v>1.2567901234567901E-2</v>
      </c>
    </row>
    <row r="103" spans="1:13" x14ac:dyDescent="0.3">
      <c r="A103" s="172" t="s">
        <v>988</v>
      </c>
      <c r="B103" s="172" t="s">
        <v>981</v>
      </c>
      <c r="C103" s="172">
        <v>90</v>
      </c>
      <c r="D103" s="172">
        <v>90</v>
      </c>
      <c r="E103" s="172" t="s">
        <v>1012</v>
      </c>
      <c r="F103" s="172">
        <v>6</v>
      </c>
      <c r="G103" s="172">
        <v>6</v>
      </c>
      <c r="H103" s="172" t="s">
        <v>289</v>
      </c>
      <c r="I103" s="172" t="s">
        <v>290</v>
      </c>
      <c r="J103" s="172">
        <v>2</v>
      </c>
      <c r="K103" s="172">
        <v>2</v>
      </c>
      <c r="L103" s="153" t="s">
        <v>448</v>
      </c>
      <c r="M103" s="141">
        <v>1.2567901234567901E-2</v>
      </c>
    </row>
    <row r="104" spans="1:13" x14ac:dyDescent="0.3">
      <c r="A104" s="172" t="s">
        <v>989</v>
      </c>
      <c r="B104" s="172" t="s">
        <v>981</v>
      </c>
      <c r="C104" s="172">
        <v>90</v>
      </c>
      <c r="D104" s="172">
        <v>90</v>
      </c>
      <c r="E104" s="172" t="s">
        <v>1012</v>
      </c>
      <c r="F104" s="172">
        <v>6</v>
      </c>
      <c r="G104" s="172">
        <v>6</v>
      </c>
      <c r="H104" s="172" t="s">
        <v>289</v>
      </c>
      <c r="I104" s="172" t="s">
        <v>290</v>
      </c>
      <c r="J104" s="172">
        <v>2</v>
      </c>
      <c r="K104" s="172">
        <v>2</v>
      </c>
      <c r="L104" s="153" t="s">
        <v>448</v>
      </c>
      <c r="M104" s="141">
        <v>1.2567901234567901E-2</v>
      </c>
    </row>
    <row r="105" spans="1:13" x14ac:dyDescent="0.3">
      <c r="A105" s="172" t="s">
        <v>990</v>
      </c>
      <c r="B105" s="172" t="s">
        <v>981</v>
      </c>
      <c r="C105" s="172">
        <v>90</v>
      </c>
      <c r="D105" s="172">
        <v>90</v>
      </c>
      <c r="E105" s="172" t="s">
        <v>1012</v>
      </c>
      <c r="F105" s="172">
        <v>6</v>
      </c>
      <c r="G105" s="172">
        <v>6</v>
      </c>
      <c r="H105" s="172" t="s">
        <v>289</v>
      </c>
      <c r="I105" s="172" t="s">
        <v>290</v>
      </c>
      <c r="J105" s="172">
        <v>3</v>
      </c>
      <c r="K105" s="172">
        <v>3</v>
      </c>
      <c r="L105" s="152" t="s">
        <v>448</v>
      </c>
      <c r="M105" s="141">
        <v>1.2567901234567901E-2</v>
      </c>
    </row>
    <row r="106" spans="1:13" x14ac:dyDescent="0.3">
      <c r="A106" s="172" t="s">
        <v>991</v>
      </c>
      <c r="B106" s="172" t="s">
        <v>981</v>
      </c>
      <c r="C106" s="172">
        <v>90</v>
      </c>
      <c r="D106" s="172">
        <v>90</v>
      </c>
      <c r="E106" s="172" t="s">
        <v>1012</v>
      </c>
      <c r="F106" s="172">
        <v>6</v>
      </c>
      <c r="G106" s="172">
        <v>6</v>
      </c>
      <c r="H106" s="172" t="s">
        <v>289</v>
      </c>
      <c r="I106" s="172" t="s">
        <v>290</v>
      </c>
      <c r="J106" s="172">
        <v>3</v>
      </c>
      <c r="K106" s="172">
        <v>3</v>
      </c>
      <c r="L106" s="152" t="s">
        <v>448</v>
      </c>
      <c r="M106" s="141">
        <v>1.2567901234567901E-2</v>
      </c>
    </row>
    <row r="107" spans="1:13" x14ac:dyDescent="0.3">
      <c r="A107" s="172" t="s">
        <v>992</v>
      </c>
      <c r="B107" s="172" t="s">
        <v>981</v>
      </c>
      <c r="C107" s="172">
        <v>90</v>
      </c>
      <c r="D107" s="172">
        <v>90</v>
      </c>
      <c r="E107" s="172" t="s">
        <v>1012</v>
      </c>
      <c r="F107" s="172">
        <v>6</v>
      </c>
      <c r="G107" s="172">
        <v>6</v>
      </c>
      <c r="H107" s="172" t="s">
        <v>289</v>
      </c>
      <c r="I107" s="172" t="s">
        <v>290</v>
      </c>
      <c r="J107" s="172">
        <v>3</v>
      </c>
      <c r="K107" s="172">
        <v>3</v>
      </c>
      <c r="L107" s="152" t="s">
        <v>448</v>
      </c>
      <c r="M107" s="141">
        <v>1.2567901234567901E-2</v>
      </c>
    </row>
    <row r="108" spans="1:13" x14ac:dyDescent="0.3">
      <c r="A108" s="172" t="s">
        <v>993</v>
      </c>
      <c r="B108" s="172" t="s">
        <v>981</v>
      </c>
      <c r="C108" s="172">
        <v>90</v>
      </c>
      <c r="D108" s="172">
        <v>90</v>
      </c>
      <c r="E108" s="172" t="s">
        <v>1012</v>
      </c>
      <c r="F108" s="172">
        <v>6</v>
      </c>
      <c r="G108" s="172">
        <v>6</v>
      </c>
      <c r="H108" s="172" t="s">
        <v>289</v>
      </c>
      <c r="I108" s="172" t="s">
        <v>290</v>
      </c>
      <c r="J108" s="172">
        <v>3</v>
      </c>
      <c r="K108" s="172">
        <v>3</v>
      </c>
      <c r="L108" s="152" t="s">
        <v>448</v>
      </c>
      <c r="M108" s="141">
        <v>1.2567901234567901E-2</v>
      </c>
    </row>
    <row r="109" spans="1:13" x14ac:dyDescent="0.3">
      <c r="A109" s="172" t="s">
        <v>994</v>
      </c>
      <c r="B109" s="172" t="s">
        <v>981</v>
      </c>
      <c r="C109" s="172">
        <v>90</v>
      </c>
      <c r="D109" s="172">
        <v>110</v>
      </c>
      <c r="E109" s="172" t="s">
        <v>1013</v>
      </c>
      <c r="F109" s="172">
        <v>6</v>
      </c>
      <c r="G109" s="172">
        <v>7</v>
      </c>
      <c r="H109" s="172" t="s">
        <v>289</v>
      </c>
      <c r="I109" s="172" t="s">
        <v>290</v>
      </c>
      <c r="J109" s="172">
        <v>4</v>
      </c>
      <c r="K109" s="172">
        <v>3</v>
      </c>
      <c r="L109" s="153" t="s">
        <v>448</v>
      </c>
      <c r="M109" s="141">
        <v>1.131111111111111E-2</v>
      </c>
    </row>
    <row r="110" spans="1:13" x14ac:dyDescent="0.3">
      <c r="A110" s="172" t="s">
        <v>225</v>
      </c>
      <c r="B110" s="172" t="s">
        <v>981</v>
      </c>
      <c r="C110" s="172">
        <v>90</v>
      </c>
      <c r="D110" s="172">
        <v>110</v>
      </c>
      <c r="E110" s="172" t="s">
        <v>1013</v>
      </c>
      <c r="F110" s="172">
        <v>6</v>
      </c>
      <c r="G110" s="172">
        <v>7</v>
      </c>
      <c r="H110" s="172" t="s">
        <v>289</v>
      </c>
      <c r="I110" s="172" t="s">
        <v>290</v>
      </c>
      <c r="J110" s="172">
        <v>4</v>
      </c>
      <c r="K110" s="172">
        <v>3</v>
      </c>
      <c r="L110" s="152" t="s">
        <v>448</v>
      </c>
      <c r="M110" s="141">
        <v>1.131111111111111E-2</v>
      </c>
    </row>
    <row r="111" spans="1:13" x14ac:dyDescent="0.3">
      <c r="A111" s="172" t="s">
        <v>226</v>
      </c>
      <c r="B111" s="172" t="s">
        <v>981</v>
      </c>
      <c r="C111" s="172">
        <v>90</v>
      </c>
      <c r="D111" s="172">
        <v>110</v>
      </c>
      <c r="E111" s="172" t="s">
        <v>1013</v>
      </c>
      <c r="F111" s="172">
        <v>6</v>
      </c>
      <c r="G111" s="172">
        <v>7</v>
      </c>
      <c r="H111" s="172" t="s">
        <v>289</v>
      </c>
      <c r="I111" s="172" t="s">
        <v>290</v>
      </c>
      <c r="J111" s="172">
        <v>5</v>
      </c>
      <c r="K111" s="172">
        <v>4</v>
      </c>
      <c r="L111" s="153" t="s">
        <v>448</v>
      </c>
      <c r="M111" s="141">
        <v>1.131111111111111E-2</v>
      </c>
    </row>
    <row r="112" spans="1:13" ht="31.2" x14ac:dyDescent="0.3">
      <c r="A112" s="172" t="s">
        <v>227</v>
      </c>
      <c r="B112" s="172" t="s">
        <v>981</v>
      </c>
      <c r="C112" s="172">
        <v>90</v>
      </c>
      <c r="D112" s="172">
        <v>110</v>
      </c>
      <c r="E112" s="172" t="s">
        <v>1013</v>
      </c>
      <c r="F112" s="172">
        <v>6</v>
      </c>
      <c r="G112" s="172">
        <v>7</v>
      </c>
      <c r="H112" s="172" t="s">
        <v>289</v>
      </c>
      <c r="I112" s="172" t="s">
        <v>289</v>
      </c>
      <c r="J112" s="172">
        <v>5</v>
      </c>
      <c r="K112" s="172">
        <v>4</v>
      </c>
      <c r="L112" s="151" t="s">
        <v>1063</v>
      </c>
      <c r="M112" s="141">
        <v>1.131111111111111E-2</v>
      </c>
    </row>
    <row r="113" spans="1:13" x14ac:dyDescent="0.3">
      <c r="A113" s="172" t="s">
        <v>996</v>
      </c>
      <c r="B113" s="172" t="s">
        <v>981</v>
      </c>
      <c r="C113" s="172">
        <v>90</v>
      </c>
      <c r="D113" s="172">
        <v>130</v>
      </c>
      <c r="E113" s="172" t="s">
        <v>1025</v>
      </c>
      <c r="F113" s="172">
        <v>6</v>
      </c>
      <c r="G113" s="172">
        <v>9</v>
      </c>
      <c r="H113" s="172" t="s">
        <v>290</v>
      </c>
      <c r="I113" s="172" t="s">
        <v>290</v>
      </c>
      <c r="J113" s="172">
        <v>6</v>
      </c>
      <c r="K113" s="172">
        <v>3</v>
      </c>
      <c r="L113" s="152" t="s">
        <v>448</v>
      </c>
      <c r="M113" s="141">
        <v>1.1311111111111112E-2</v>
      </c>
    </row>
    <row r="114" spans="1:13" x14ac:dyDescent="0.3">
      <c r="A114" s="172" t="s">
        <v>997</v>
      </c>
      <c r="B114" s="172" t="s">
        <v>981</v>
      </c>
      <c r="C114" s="172">
        <v>90</v>
      </c>
      <c r="D114" s="172">
        <v>130</v>
      </c>
      <c r="E114" s="172" t="s">
        <v>1077</v>
      </c>
      <c r="F114" s="172">
        <v>6</v>
      </c>
      <c r="G114" s="172">
        <v>9</v>
      </c>
      <c r="H114" s="172" t="s">
        <v>290</v>
      </c>
      <c r="I114" s="172" t="s">
        <v>290</v>
      </c>
      <c r="J114" s="172">
        <v>5</v>
      </c>
      <c r="K114" s="172">
        <v>3</v>
      </c>
      <c r="L114" s="152" t="s">
        <v>448</v>
      </c>
      <c r="M114" s="141">
        <v>1.8200000000000001E-2</v>
      </c>
    </row>
    <row r="115" spans="1:13" x14ac:dyDescent="0.3">
      <c r="A115" s="172" t="s">
        <v>998</v>
      </c>
      <c r="B115" s="172" t="s">
        <v>981</v>
      </c>
      <c r="C115" s="172">
        <v>90</v>
      </c>
      <c r="D115" s="172">
        <v>130</v>
      </c>
      <c r="E115" s="172" t="s">
        <v>1023</v>
      </c>
      <c r="F115" s="172">
        <v>8</v>
      </c>
      <c r="G115" s="172">
        <v>11</v>
      </c>
      <c r="H115" s="172" t="s">
        <v>290</v>
      </c>
      <c r="I115" s="172" t="s">
        <v>290</v>
      </c>
      <c r="J115" s="172">
        <v>5</v>
      </c>
      <c r="K115" s="172">
        <v>3</v>
      </c>
      <c r="L115" s="152" t="s">
        <v>448</v>
      </c>
      <c r="M115" s="141">
        <v>2.3799999999999998E-2</v>
      </c>
    </row>
    <row r="116" spans="1:13" x14ac:dyDescent="0.3">
      <c r="A116" s="172" t="s">
        <v>999</v>
      </c>
      <c r="B116" s="172" t="s">
        <v>981</v>
      </c>
      <c r="C116" s="172">
        <v>90</v>
      </c>
      <c r="D116" s="172">
        <v>130</v>
      </c>
      <c r="E116" s="172" t="s">
        <v>1024</v>
      </c>
      <c r="F116" s="172">
        <v>9</v>
      </c>
      <c r="G116" s="172">
        <v>13</v>
      </c>
      <c r="H116" s="172" t="s">
        <v>290</v>
      </c>
      <c r="I116" s="172" t="s">
        <v>290</v>
      </c>
      <c r="J116" s="172">
        <v>5</v>
      </c>
      <c r="K116" s="172">
        <v>3</v>
      </c>
      <c r="L116" s="152" t="s">
        <v>448</v>
      </c>
      <c r="M116" s="141">
        <v>2.7999999999999997E-2</v>
      </c>
    </row>
    <row r="117" spans="1:13" ht="31.2" x14ac:dyDescent="0.3">
      <c r="A117" s="172" t="s">
        <v>291</v>
      </c>
      <c r="B117" s="172" t="s">
        <v>314</v>
      </c>
      <c r="C117" s="172">
        <v>90</v>
      </c>
      <c r="D117" s="172">
        <v>90</v>
      </c>
      <c r="E117" s="172" t="s">
        <v>1026</v>
      </c>
      <c r="F117" s="172">
        <v>11</v>
      </c>
      <c r="G117" s="172">
        <v>11</v>
      </c>
      <c r="H117" s="172" t="s">
        <v>289</v>
      </c>
      <c r="I117" s="172" t="s">
        <v>289</v>
      </c>
      <c r="J117" s="172">
        <v>4</v>
      </c>
      <c r="K117" s="172">
        <v>4</v>
      </c>
      <c r="L117" s="151" t="s">
        <v>1061</v>
      </c>
      <c r="M117" s="141">
        <v>2.5135802469135802E-2</v>
      </c>
    </row>
    <row r="118" spans="1:13" ht="78" x14ac:dyDescent="0.3">
      <c r="A118" s="172" t="s">
        <v>982</v>
      </c>
      <c r="B118" s="172" t="s">
        <v>314</v>
      </c>
      <c r="C118" s="172">
        <v>90</v>
      </c>
      <c r="D118" s="172">
        <v>90</v>
      </c>
      <c r="E118" s="172" t="s">
        <v>1012</v>
      </c>
      <c r="F118" s="172">
        <v>6</v>
      </c>
      <c r="G118" s="172">
        <v>6</v>
      </c>
      <c r="H118" s="172" t="s">
        <v>289</v>
      </c>
      <c r="I118" s="172" t="s">
        <v>290</v>
      </c>
      <c r="J118" s="172">
        <v>2</v>
      </c>
      <c r="K118" s="172">
        <v>2</v>
      </c>
      <c r="L118" s="151" t="s">
        <v>1060</v>
      </c>
      <c r="M118" s="141">
        <v>1.2567901234567901E-2</v>
      </c>
    </row>
    <row r="119" spans="1:13" x14ac:dyDescent="0.3">
      <c r="A119" s="172" t="s">
        <v>983</v>
      </c>
      <c r="B119" s="172" t="s">
        <v>314</v>
      </c>
      <c r="C119" s="172">
        <v>90</v>
      </c>
      <c r="D119" s="172">
        <v>90</v>
      </c>
      <c r="E119" s="172" t="s">
        <v>1012</v>
      </c>
      <c r="F119" s="172">
        <v>6</v>
      </c>
      <c r="G119" s="172">
        <v>6</v>
      </c>
      <c r="H119" s="172" t="s">
        <v>289</v>
      </c>
      <c r="I119" s="172" t="s">
        <v>290</v>
      </c>
      <c r="J119" s="172">
        <v>2</v>
      </c>
      <c r="K119" s="172">
        <v>2</v>
      </c>
      <c r="L119" s="154" t="s">
        <v>1062</v>
      </c>
      <c r="M119" s="141">
        <v>1.2567901234567901E-2</v>
      </c>
    </row>
    <row r="120" spans="1:13" x14ac:dyDescent="0.3">
      <c r="A120" s="172" t="s">
        <v>984</v>
      </c>
      <c r="B120" s="172" t="s">
        <v>314</v>
      </c>
      <c r="C120" s="172">
        <v>90</v>
      </c>
      <c r="D120" s="172">
        <v>90</v>
      </c>
      <c r="E120" s="172" t="s">
        <v>1012</v>
      </c>
      <c r="F120" s="172">
        <v>6</v>
      </c>
      <c r="G120" s="172">
        <v>6</v>
      </c>
      <c r="H120" s="172" t="s">
        <v>289</v>
      </c>
      <c r="I120" s="172" t="s">
        <v>290</v>
      </c>
      <c r="J120" s="172">
        <v>2</v>
      </c>
      <c r="K120" s="172">
        <v>2</v>
      </c>
      <c r="L120" s="154" t="s">
        <v>1062</v>
      </c>
      <c r="M120" s="141">
        <v>1.2567901234567901E-2</v>
      </c>
    </row>
    <row r="121" spans="1:13" x14ac:dyDescent="0.3">
      <c r="A121" s="172" t="s">
        <v>985</v>
      </c>
      <c r="B121" s="172" t="s">
        <v>314</v>
      </c>
      <c r="C121" s="172">
        <v>90</v>
      </c>
      <c r="D121" s="172">
        <v>90</v>
      </c>
      <c r="E121" s="172" t="s">
        <v>1012</v>
      </c>
      <c r="F121" s="172">
        <v>6</v>
      </c>
      <c r="G121" s="172">
        <v>6</v>
      </c>
      <c r="H121" s="172" t="s">
        <v>289</v>
      </c>
      <c r="I121" s="172" t="s">
        <v>290</v>
      </c>
      <c r="J121" s="172">
        <v>2</v>
      </c>
      <c r="K121" s="172">
        <v>2</v>
      </c>
      <c r="L121" s="154" t="s">
        <v>1062</v>
      </c>
      <c r="M121" s="141">
        <v>1.2567901234567901E-2</v>
      </c>
    </row>
    <row r="122" spans="1:13" x14ac:dyDescent="0.3">
      <c r="A122" s="172" t="s">
        <v>986</v>
      </c>
      <c r="B122" s="172" t="s">
        <v>314</v>
      </c>
      <c r="C122" s="172">
        <v>90</v>
      </c>
      <c r="D122" s="172">
        <v>90</v>
      </c>
      <c r="E122" s="172" t="s">
        <v>1012</v>
      </c>
      <c r="F122" s="172">
        <v>6</v>
      </c>
      <c r="G122" s="172">
        <v>6</v>
      </c>
      <c r="H122" s="172" t="s">
        <v>289</v>
      </c>
      <c r="I122" s="172" t="s">
        <v>290</v>
      </c>
      <c r="J122" s="172">
        <v>2</v>
      </c>
      <c r="K122" s="172">
        <v>2</v>
      </c>
      <c r="L122" s="152" t="s">
        <v>448</v>
      </c>
      <c r="M122" s="141">
        <v>1.2567901234567901E-2</v>
      </c>
    </row>
    <row r="123" spans="1:13" x14ac:dyDescent="0.3">
      <c r="A123" s="172" t="s">
        <v>987</v>
      </c>
      <c r="B123" s="172" t="s">
        <v>314</v>
      </c>
      <c r="C123" s="172">
        <v>90</v>
      </c>
      <c r="D123" s="172">
        <v>90</v>
      </c>
      <c r="E123" s="172" t="s">
        <v>1012</v>
      </c>
      <c r="F123" s="172">
        <v>6</v>
      </c>
      <c r="G123" s="172">
        <v>6</v>
      </c>
      <c r="H123" s="172" t="s">
        <v>289</v>
      </c>
      <c r="I123" s="172" t="s">
        <v>290</v>
      </c>
      <c r="J123" s="172">
        <v>2</v>
      </c>
      <c r="K123" s="172">
        <v>2</v>
      </c>
      <c r="L123" s="153" t="s">
        <v>448</v>
      </c>
      <c r="M123" s="141">
        <v>1.2567901234567901E-2</v>
      </c>
    </row>
    <row r="124" spans="1:13" x14ac:dyDescent="0.3">
      <c r="A124" s="172" t="s">
        <v>988</v>
      </c>
      <c r="B124" s="172" t="s">
        <v>314</v>
      </c>
      <c r="C124" s="172">
        <v>90</v>
      </c>
      <c r="D124" s="172">
        <v>90</v>
      </c>
      <c r="E124" s="172" t="s">
        <v>1012</v>
      </c>
      <c r="F124" s="172">
        <v>6</v>
      </c>
      <c r="G124" s="172">
        <v>6</v>
      </c>
      <c r="H124" s="172" t="s">
        <v>289</v>
      </c>
      <c r="I124" s="172" t="s">
        <v>290</v>
      </c>
      <c r="J124" s="172">
        <v>2</v>
      </c>
      <c r="K124" s="172">
        <v>2</v>
      </c>
      <c r="L124" s="153" t="s">
        <v>448</v>
      </c>
      <c r="M124" s="141">
        <v>1.2567901234567901E-2</v>
      </c>
    </row>
    <row r="125" spans="1:13" x14ac:dyDescent="0.3">
      <c r="A125" s="172" t="s">
        <v>989</v>
      </c>
      <c r="B125" s="172" t="s">
        <v>314</v>
      </c>
      <c r="C125" s="172">
        <v>90</v>
      </c>
      <c r="D125" s="172">
        <v>90</v>
      </c>
      <c r="E125" s="172" t="s">
        <v>1015</v>
      </c>
      <c r="F125" s="172">
        <v>8</v>
      </c>
      <c r="G125" s="172">
        <v>8</v>
      </c>
      <c r="H125" s="172" t="s">
        <v>289</v>
      </c>
      <c r="I125" s="172" t="s">
        <v>290</v>
      </c>
      <c r="J125" s="172">
        <v>3</v>
      </c>
      <c r="K125" s="172">
        <v>3</v>
      </c>
      <c r="L125" s="153" t="s">
        <v>448</v>
      </c>
      <c r="M125" s="141">
        <v>1.7595061728395058E-2</v>
      </c>
    </row>
    <row r="126" spans="1:13" x14ac:dyDescent="0.3">
      <c r="A126" s="172" t="s">
        <v>990</v>
      </c>
      <c r="B126" s="172" t="s">
        <v>314</v>
      </c>
      <c r="C126" s="172">
        <v>90</v>
      </c>
      <c r="D126" s="172">
        <v>90</v>
      </c>
      <c r="E126" s="172" t="s">
        <v>1015</v>
      </c>
      <c r="F126" s="172">
        <v>8</v>
      </c>
      <c r="G126" s="172">
        <v>8</v>
      </c>
      <c r="H126" s="172" t="s">
        <v>289</v>
      </c>
      <c r="I126" s="172" t="s">
        <v>290</v>
      </c>
      <c r="J126" s="172">
        <v>3</v>
      </c>
      <c r="K126" s="172">
        <v>3</v>
      </c>
      <c r="L126" s="152" t="s">
        <v>448</v>
      </c>
      <c r="M126" s="141">
        <v>1.7595061728395058E-2</v>
      </c>
    </row>
    <row r="127" spans="1:13" x14ac:dyDescent="0.3">
      <c r="A127" s="172" t="s">
        <v>991</v>
      </c>
      <c r="B127" s="172" t="s">
        <v>314</v>
      </c>
      <c r="C127" s="172">
        <v>90</v>
      </c>
      <c r="D127" s="172">
        <v>90</v>
      </c>
      <c r="E127" s="172" t="s">
        <v>1015</v>
      </c>
      <c r="F127" s="172">
        <v>8</v>
      </c>
      <c r="G127" s="172">
        <v>8</v>
      </c>
      <c r="H127" s="172" t="s">
        <v>289</v>
      </c>
      <c r="I127" s="172" t="s">
        <v>290</v>
      </c>
      <c r="J127" s="172">
        <v>3</v>
      </c>
      <c r="K127" s="172">
        <v>3</v>
      </c>
      <c r="L127" s="153" t="s">
        <v>448</v>
      </c>
      <c r="M127" s="141">
        <v>1.7595061728395058E-2</v>
      </c>
    </row>
    <row r="128" spans="1:13" x14ac:dyDescent="0.3">
      <c r="A128" s="172" t="s">
        <v>992</v>
      </c>
      <c r="B128" s="172" t="s">
        <v>314</v>
      </c>
      <c r="C128" s="172">
        <v>90</v>
      </c>
      <c r="D128" s="172">
        <v>90</v>
      </c>
      <c r="E128" s="172" t="s">
        <v>1015</v>
      </c>
      <c r="F128" s="172">
        <v>8</v>
      </c>
      <c r="G128" s="172">
        <v>8</v>
      </c>
      <c r="H128" s="172" t="s">
        <v>289</v>
      </c>
      <c r="I128" s="172" t="s">
        <v>290</v>
      </c>
      <c r="J128" s="172">
        <v>3</v>
      </c>
      <c r="K128" s="172">
        <v>3</v>
      </c>
      <c r="L128" s="153" t="s">
        <v>448</v>
      </c>
      <c r="M128" s="141">
        <v>1.7595061728395058E-2</v>
      </c>
    </row>
    <row r="129" spans="1:13" x14ac:dyDescent="0.3">
      <c r="A129" s="172" t="s">
        <v>993</v>
      </c>
      <c r="B129" s="172" t="s">
        <v>314</v>
      </c>
      <c r="C129" s="172">
        <v>90</v>
      </c>
      <c r="D129" s="172">
        <v>90</v>
      </c>
      <c r="E129" s="172" t="s">
        <v>1015</v>
      </c>
      <c r="F129" s="172">
        <v>8</v>
      </c>
      <c r="G129" s="172">
        <v>8</v>
      </c>
      <c r="H129" s="172" t="s">
        <v>289</v>
      </c>
      <c r="I129" s="172" t="s">
        <v>290</v>
      </c>
      <c r="J129" s="172">
        <v>3</v>
      </c>
      <c r="K129" s="172">
        <v>3</v>
      </c>
      <c r="L129" s="153" t="s">
        <v>448</v>
      </c>
      <c r="M129" s="141">
        <v>1.7595061728395058E-2</v>
      </c>
    </row>
    <row r="130" spans="1:13" x14ac:dyDescent="0.3">
      <c r="A130" s="172" t="s">
        <v>994</v>
      </c>
      <c r="B130" s="172" t="s">
        <v>314</v>
      </c>
      <c r="C130" s="172">
        <v>90</v>
      </c>
      <c r="D130" s="172">
        <v>110</v>
      </c>
      <c r="E130" s="172" t="s">
        <v>1016</v>
      </c>
      <c r="F130" s="172">
        <v>8</v>
      </c>
      <c r="G130" s="172">
        <v>10</v>
      </c>
      <c r="H130" s="172" t="s">
        <v>289</v>
      </c>
      <c r="I130" s="172" t="s">
        <v>290</v>
      </c>
      <c r="J130" s="172">
        <v>4</v>
      </c>
      <c r="K130" s="172">
        <v>3</v>
      </c>
      <c r="L130" s="153" t="s">
        <v>448</v>
      </c>
      <c r="M130" s="141">
        <v>1.6452525252525253E-2</v>
      </c>
    </row>
    <row r="131" spans="1:13" x14ac:dyDescent="0.3">
      <c r="A131" s="172" t="s">
        <v>225</v>
      </c>
      <c r="B131" s="172" t="s">
        <v>314</v>
      </c>
      <c r="C131" s="172">
        <v>90</v>
      </c>
      <c r="D131" s="172">
        <v>110</v>
      </c>
      <c r="E131" s="172" t="s">
        <v>1016</v>
      </c>
      <c r="F131" s="172">
        <v>8</v>
      </c>
      <c r="G131" s="172">
        <v>10</v>
      </c>
      <c r="H131" s="172" t="s">
        <v>289</v>
      </c>
      <c r="I131" s="172" t="s">
        <v>290</v>
      </c>
      <c r="J131" s="172">
        <v>4</v>
      </c>
      <c r="K131" s="172">
        <v>3</v>
      </c>
      <c r="L131" s="152" t="s">
        <v>448</v>
      </c>
      <c r="M131" s="141">
        <v>1.6452525252525253E-2</v>
      </c>
    </row>
    <row r="132" spans="1:13" x14ac:dyDescent="0.3">
      <c r="A132" s="172" t="s">
        <v>226</v>
      </c>
      <c r="B132" s="172" t="s">
        <v>314</v>
      </c>
      <c r="C132" s="172">
        <v>90</v>
      </c>
      <c r="D132" s="172">
        <v>110</v>
      </c>
      <c r="E132" s="172" t="s">
        <v>1016</v>
      </c>
      <c r="F132" s="172">
        <v>8</v>
      </c>
      <c r="G132" s="172">
        <v>10</v>
      </c>
      <c r="H132" s="172" t="s">
        <v>289</v>
      </c>
      <c r="I132" s="172" t="s">
        <v>290</v>
      </c>
      <c r="J132" s="172">
        <v>6</v>
      </c>
      <c r="K132" s="172">
        <v>4</v>
      </c>
      <c r="L132" s="152" t="s">
        <v>448</v>
      </c>
      <c r="M132" s="141">
        <v>1.6452525252525253E-2</v>
      </c>
    </row>
    <row r="133" spans="1:13" x14ac:dyDescent="0.3">
      <c r="A133" s="172" t="s">
        <v>227</v>
      </c>
      <c r="B133" s="172" t="s">
        <v>314</v>
      </c>
      <c r="C133" s="172">
        <v>100</v>
      </c>
      <c r="D133" s="172">
        <v>110</v>
      </c>
      <c r="E133" s="172" t="s">
        <v>1016</v>
      </c>
      <c r="F133" s="172">
        <v>8</v>
      </c>
      <c r="G133" s="172">
        <v>10</v>
      </c>
      <c r="H133" s="172" t="s">
        <v>289</v>
      </c>
      <c r="I133" s="172" t="s">
        <v>289</v>
      </c>
      <c r="J133" s="172">
        <v>6</v>
      </c>
      <c r="K133" s="172">
        <v>5</v>
      </c>
      <c r="L133" s="151" t="s">
        <v>931</v>
      </c>
      <c r="M133" s="141">
        <v>1.4807272727272726E-2</v>
      </c>
    </row>
    <row r="134" spans="1:13" x14ac:dyDescent="0.3">
      <c r="A134" s="172" t="s">
        <v>996</v>
      </c>
      <c r="B134" s="172" t="s">
        <v>314</v>
      </c>
      <c r="C134" s="172">
        <v>100</v>
      </c>
      <c r="D134" s="172">
        <v>140</v>
      </c>
      <c r="E134" s="172" t="s">
        <v>1015</v>
      </c>
      <c r="F134" s="172">
        <v>7</v>
      </c>
      <c r="G134" s="172">
        <v>9</v>
      </c>
      <c r="H134" s="172" t="s">
        <v>290</v>
      </c>
      <c r="I134" s="172" t="s">
        <v>290</v>
      </c>
      <c r="J134" s="172">
        <v>6</v>
      </c>
      <c r="K134" s="172">
        <v>3</v>
      </c>
      <c r="L134" s="152" t="s">
        <v>448</v>
      </c>
      <c r="M134" s="141">
        <v>1.0179999999999998E-2</v>
      </c>
    </row>
    <row r="135" spans="1:13" x14ac:dyDescent="0.3">
      <c r="A135" s="172" t="s">
        <v>997</v>
      </c>
      <c r="B135" s="172" t="s">
        <v>314</v>
      </c>
      <c r="C135" s="172">
        <v>100</v>
      </c>
      <c r="D135" s="172">
        <v>140</v>
      </c>
      <c r="E135" s="172" t="s">
        <v>1022</v>
      </c>
      <c r="F135" s="172">
        <v>8</v>
      </c>
      <c r="G135" s="172">
        <v>10</v>
      </c>
      <c r="H135" s="172" t="s">
        <v>290</v>
      </c>
      <c r="I135" s="172" t="s">
        <v>290</v>
      </c>
      <c r="J135" s="172">
        <v>4</v>
      </c>
      <c r="K135" s="172">
        <v>3</v>
      </c>
      <c r="L135" s="151" t="s">
        <v>1088</v>
      </c>
      <c r="M135" s="141">
        <v>1.8720000000000001E-2</v>
      </c>
    </row>
    <row r="136" spans="1:13" x14ac:dyDescent="0.3">
      <c r="A136" s="172" t="s">
        <v>998</v>
      </c>
      <c r="B136" s="172" t="s">
        <v>314</v>
      </c>
      <c r="C136" s="172">
        <v>100</v>
      </c>
      <c r="D136" s="172">
        <v>140</v>
      </c>
      <c r="E136" s="172" t="s">
        <v>1020</v>
      </c>
      <c r="F136" s="172">
        <v>9</v>
      </c>
      <c r="G136" s="172">
        <v>12</v>
      </c>
      <c r="H136" s="172" t="s">
        <v>290</v>
      </c>
      <c r="I136" s="172" t="s">
        <v>290</v>
      </c>
      <c r="J136" s="172">
        <v>5</v>
      </c>
      <c r="K136" s="172">
        <v>3</v>
      </c>
      <c r="L136" s="152" t="s">
        <v>448</v>
      </c>
      <c r="M136" s="141">
        <v>2.2229999999999996E-2</v>
      </c>
    </row>
    <row r="137" spans="1:13" x14ac:dyDescent="0.3">
      <c r="A137" s="172" t="s">
        <v>999</v>
      </c>
      <c r="B137" s="172" t="s">
        <v>314</v>
      </c>
      <c r="C137" s="172">
        <v>100</v>
      </c>
      <c r="D137" s="172">
        <v>140</v>
      </c>
      <c r="E137" s="172" t="s">
        <v>1081</v>
      </c>
      <c r="F137" s="172">
        <v>10</v>
      </c>
      <c r="G137" s="172">
        <v>15</v>
      </c>
      <c r="H137" s="172" t="s">
        <v>290</v>
      </c>
      <c r="I137" s="172" t="s">
        <v>290</v>
      </c>
      <c r="J137" s="172">
        <v>6</v>
      </c>
      <c r="K137" s="172">
        <v>4</v>
      </c>
      <c r="L137" s="152" t="s">
        <v>448</v>
      </c>
      <c r="M137" s="141">
        <v>2.6909999999999996E-2</v>
      </c>
    </row>
    <row r="138" spans="1:13" ht="31.2" x14ac:dyDescent="0.3">
      <c r="A138" s="172" t="s">
        <v>291</v>
      </c>
      <c r="B138" s="172" t="s">
        <v>303</v>
      </c>
      <c r="C138" s="172">
        <v>90</v>
      </c>
      <c r="D138" s="172">
        <v>90</v>
      </c>
      <c r="E138" s="172" t="s">
        <v>1027</v>
      </c>
      <c r="F138" s="172">
        <v>16</v>
      </c>
      <c r="G138" s="172">
        <v>16</v>
      </c>
      <c r="H138" s="172" t="s">
        <v>289</v>
      </c>
      <c r="I138" s="172" t="s">
        <v>292</v>
      </c>
      <c r="J138" s="172">
        <v>7</v>
      </c>
      <c r="K138" s="172">
        <v>7</v>
      </c>
      <c r="L138" s="151" t="s">
        <v>1061</v>
      </c>
      <c r="M138" s="141">
        <v>3.7703703703703698E-2</v>
      </c>
    </row>
    <row r="139" spans="1:13" ht="78" x14ac:dyDescent="0.3">
      <c r="A139" s="172" t="s">
        <v>982</v>
      </c>
      <c r="B139" s="172" t="s">
        <v>303</v>
      </c>
      <c r="C139" s="172">
        <v>90</v>
      </c>
      <c r="D139" s="172">
        <v>90</v>
      </c>
      <c r="E139" s="172" t="s">
        <v>1012</v>
      </c>
      <c r="F139" s="172">
        <v>6</v>
      </c>
      <c r="G139" s="172">
        <v>6</v>
      </c>
      <c r="H139" s="172" t="s">
        <v>289</v>
      </c>
      <c r="I139" s="172" t="s">
        <v>290</v>
      </c>
      <c r="J139" s="172">
        <v>2</v>
      </c>
      <c r="K139" s="172">
        <v>2</v>
      </c>
      <c r="L139" s="151" t="s">
        <v>1060</v>
      </c>
      <c r="M139" s="141">
        <v>1.2567901234567901E-2</v>
      </c>
    </row>
    <row r="140" spans="1:13" x14ac:dyDescent="0.3">
      <c r="A140" s="172" t="s">
        <v>983</v>
      </c>
      <c r="B140" s="172" t="s">
        <v>303</v>
      </c>
      <c r="C140" s="172">
        <v>90</v>
      </c>
      <c r="D140" s="172">
        <v>90</v>
      </c>
      <c r="E140" s="172" t="s">
        <v>1012</v>
      </c>
      <c r="F140" s="172">
        <v>6</v>
      </c>
      <c r="G140" s="172">
        <v>6</v>
      </c>
      <c r="H140" s="172" t="s">
        <v>289</v>
      </c>
      <c r="I140" s="172" t="s">
        <v>290</v>
      </c>
      <c r="J140" s="172">
        <v>2</v>
      </c>
      <c r="K140" s="172">
        <v>2</v>
      </c>
      <c r="L140" s="154" t="s">
        <v>1062</v>
      </c>
      <c r="M140" s="141">
        <v>1.2567901234567901E-2</v>
      </c>
    </row>
    <row r="141" spans="1:13" x14ac:dyDescent="0.3">
      <c r="A141" s="172" t="s">
        <v>984</v>
      </c>
      <c r="B141" s="172" t="s">
        <v>303</v>
      </c>
      <c r="C141" s="173">
        <v>90</v>
      </c>
      <c r="D141" s="173">
        <v>90</v>
      </c>
      <c r="E141" s="173" t="s">
        <v>1012</v>
      </c>
      <c r="F141" s="173">
        <v>6</v>
      </c>
      <c r="G141" s="173">
        <v>6</v>
      </c>
      <c r="H141" s="173" t="s">
        <v>289</v>
      </c>
      <c r="I141" s="173" t="s">
        <v>290</v>
      </c>
      <c r="J141" s="173">
        <v>2</v>
      </c>
      <c r="K141" s="173">
        <v>2</v>
      </c>
      <c r="L141" s="151" t="s">
        <v>1062</v>
      </c>
      <c r="M141" s="141">
        <v>1.2567901234567901E-2</v>
      </c>
    </row>
    <row r="142" spans="1:13" x14ac:dyDescent="0.3">
      <c r="A142" s="172" t="s">
        <v>985</v>
      </c>
      <c r="B142" s="172" t="s">
        <v>303</v>
      </c>
      <c r="C142" s="172">
        <v>90</v>
      </c>
      <c r="D142" s="172">
        <v>90</v>
      </c>
      <c r="E142" s="172" t="s">
        <v>1012</v>
      </c>
      <c r="F142" s="172">
        <v>6</v>
      </c>
      <c r="G142" s="172">
        <v>6</v>
      </c>
      <c r="H142" s="172" t="s">
        <v>289</v>
      </c>
      <c r="I142" s="172" t="s">
        <v>290</v>
      </c>
      <c r="J142" s="172">
        <v>2</v>
      </c>
      <c r="K142" s="172">
        <v>2</v>
      </c>
      <c r="L142" s="154" t="s">
        <v>1062</v>
      </c>
      <c r="M142" s="141">
        <v>1.2567901234567901E-2</v>
      </c>
    </row>
    <row r="143" spans="1:13" x14ac:dyDescent="0.3">
      <c r="A143" s="172" t="s">
        <v>986</v>
      </c>
      <c r="B143" s="172" t="s">
        <v>303</v>
      </c>
      <c r="C143" s="172">
        <v>90</v>
      </c>
      <c r="D143" s="172">
        <v>90</v>
      </c>
      <c r="E143" s="172" t="s">
        <v>1012</v>
      </c>
      <c r="F143" s="172">
        <v>6</v>
      </c>
      <c r="G143" s="172">
        <v>6</v>
      </c>
      <c r="H143" s="172" t="s">
        <v>289</v>
      </c>
      <c r="I143" s="172" t="s">
        <v>290</v>
      </c>
      <c r="J143" s="172">
        <v>2</v>
      </c>
      <c r="K143" s="172">
        <v>2</v>
      </c>
      <c r="L143" s="153" t="s">
        <v>448</v>
      </c>
      <c r="M143" s="141">
        <v>1.2567901234567901E-2</v>
      </c>
    </row>
    <row r="144" spans="1:13" x14ac:dyDescent="0.3">
      <c r="A144" s="172" t="s">
        <v>987</v>
      </c>
      <c r="B144" s="172" t="s">
        <v>303</v>
      </c>
      <c r="C144" s="172">
        <v>90</v>
      </c>
      <c r="D144" s="172">
        <v>90</v>
      </c>
      <c r="E144" s="172" t="s">
        <v>1012</v>
      </c>
      <c r="F144" s="172">
        <v>6</v>
      </c>
      <c r="G144" s="172">
        <v>6</v>
      </c>
      <c r="H144" s="172" t="s">
        <v>289</v>
      </c>
      <c r="I144" s="172" t="s">
        <v>290</v>
      </c>
      <c r="J144" s="172">
        <v>2</v>
      </c>
      <c r="K144" s="172">
        <v>2</v>
      </c>
      <c r="L144" s="153" t="s">
        <v>448</v>
      </c>
      <c r="M144" s="141">
        <v>1.2567901234567901E-2</v>
      </c>
    </row>
    <row r="145" spans="1:13" x14ac:dyDescent="0.3">
      <c r="A145" s="172" t="s">
        <v>988</v>
      </c>
      <c r="B145" s="172" t="s">
        <v>303</v>
      </c>
      <c r="C145" s="172">
        <v>90</v>
      </c>
      <c r="D145" s="172">
        <v>90</v>
      </c>
      <c r="E145" s="172" t="s">
        <v>1012</v>
      </c>
      <c r="F145" s="172">
        <v>6</v>
      </c>
      <c r="G145" s="172">
        <v>6</v>
      </c>
      <c r="H145" s="172" t="s">
        <v>289</v>
      </c>
      <c r="I145" s="172" t="s">
        <v>290</v>
      </c>
      <c r="J145" s="172">
        <v>2</v>
      </c>
      <c r="K145" s="172">
        <v>2</v>
      </c>
      <c r="L145" s="152" t="s">
        <v>448</v>
      </c>
      <c r="M145" s="141">
        <v>1.2567901234567901E-2</v>
      </c>
    </row>
    <row r="146" spans="1:13" x14ac:dyDescent="0.3">
      <c r="A146" s="172" t="s">
        <v>989</v>
      </c>
      <c r="B146" s="172" t="s">
        <v>303</v>
      </c>
      <c r="C146" s="172">
        <v>90</v>
      </c>
      <c r="D146" s="172">
        <v>90</v>
      </c>
      <c r="E146" s="172" t="s">
        <v>1012</v>
      </c>
      <c r="F146" s="172">
        <v>6</v>
      </c>
      <c r="G146" s="172">
        <v>6</v>
      </c>
      <c r="H146" s="172" t="s">
        <v>289</v>
      </c>
      <c r="I146" s="172" t="s">
        <v>290</v>
      </c>
      <c r="J146" s="172">
        <v>2</v>
      </c>
      <c r="K146" s="172">
        <v>2</v>
      </c>
      <c r="L146" s="153" t="s">
        <v>448</v>
      </c>
      <c r="M146" s="141">
        <v>1.2567901234567901E-2</v>
      </c>
    </row>
    <row r="147" spans="1:13" x14ac:dyDescent="0.3">
      <c r="A147" s="172" t="s">
        <v>990</v>
      </c>
      <c r="B147" s="172" t="s">
        <v>303</v>
      </c>
      <c r="C147" s="172">
        <v>90</v>
      </c>
      <c r="D147" s="172">
        <v>90</v>
      </c>
      <c r="E147" s="172" t="s">
        <v>1012</v>
      </c>
      <c r="F147" s="172">
        <v>6</v>
      </c>
      <c r="G147" s="172">
        <v>6</v>
      </c>
      <c r="H147" s="172" t="s">
        <v>289</v>
      </c>
      <c r="I147" s="172" t="s">
        <v>290</v>
      </c>
      <c r="J147" s="172">
        <v>3</v>
      </c>
      <c r="K147" s="172">
        <v>3</v>
      </c>
      <c r="L147" s="152" t="s">
        <v>448</v>
      </c>
      <c r="M147" s="141">
        <v>1.2567901234567901E-2</v>
      </c>
    </row>
    <row r="148" spans="1:13" x14ac:dyDescent="0.3">
      <c r="A148" s="172" t="s">
        <v>991</v>
      </c>
      <c r="B148" s="172" t="s">
        <v>303</v>
      </c>
      <c r="C148" s="172">
        <v>90</v>
      </c>
      <c r="D148" s="172">
        <v>90</v>
      </c>
      <c r="E148" s="172" t="s">
        <v>1012</v>
      </c>
      <c r="F148" s="172">
        <v>6</v>
      </c>
      <c r="G148" s="172">
        <v>6</v>
      </c>
      <c r="H148" s="172" t="s">
        <v>289</v>
      </c>
      <c r="I148" s="172" t="s">
        <v>290</v>
      </c>
      <c r="J148" s="172">
        <v>3</v>
      </c>
      <c r="K148" s="172">
        <v>3</v>
      </c>
      <c r="L148" s="152" t="s">
        <v>448</v>
      </c>
      <c r="M148" s="141">
        <v>1.2567901234567901E-2</v>
      </c>
    </row>
    <row r="149" spans="1:13" x14ac:dyDescent="0.3">
      <c r="A149" s="172" t="s">
        <v>992</v>
      </c>
      <c r="B149" s="172" t="s">
        <v>303</v>
      </c>
      <c r="C149" s="172">
        <v>90</v>
      </c>
      <c r="D149" s="172">
        <v>90</v>
      </c>
      <c r="E149" s="172" t="s">
        <v>1015</v>
      </c>
      <c r="F149" s="172">
        <v>8</v>
      </c>
      <c r="G149" s="172">
        <v>8</v>
      </c>
      <c r="H149" s="172" t="s">
        <v>289</v>
      </c>
      <c r="I149" s="172" t="s">
        <v>290</v>
      </c>
      <c r="J149" s="172">
        <v>3</v>
      </c>
      <c r="K149" s="172">
        <v>3</v>
      </c>
      <c r="L149" s="152" t="s">
        <v>448</v>
      </c>
      <c r="M149" s="141">
        <v>1.7595061728395058E-2</v>
      </c>
    </row>
    <row r="150" spans="1:13" x14ac:dyDescent="0.3">
      <c r="A150" s="172" t="s">
        <v>993</v>
      </c>
      <c r="B150" s="172" t="s">
        <v>303</v>
      </c>
      <c r="C150" s="172">
        <v>90</v>
      </c>
      <c r="D150" s="172">
        <v>90</v>
      </c>
      <c r="E150" s="172" t="s">
        <v>1015</v>
      </c>
      <c r="F150" s="172">
        <v>8</v>
      </c>
      <c r="G150" s="172">
        <v>8</v>
      </c>
      <c r="H150" s="172" t="s">
        <v>289</v>
      </c>
      <c r="I150" s="172" t="s">
        <v>290</v>
      </c>
      <c r="J150" s="172">
        <v>3</v>
      </c>
      <c r="K150" s="172">
        <v>3</v>
      </c>
      <c r="L150" s="153" t="s">
        <v>448</v>
      </c>
      <c r="M150" s="141">
        <v>1.7595061728395058E-2</v>
      </c>
    </row>
    <row r="151" spans="1:13" x14ac:dyDescent="0.3">
      <c r="A151" s="172" t="s">
        <v>994</v>
      </c>
      <c r="B151" s="172" t="s">
        <v>303</v>
      </c>
      <c r="C151" s="172">
        <v>90</v>
      </c>
      <c r="D151" s="172">
        <v>110</v>
      </c>
      <c r="E151" s="172" t="s">
        <v>1014</v>
      </c>
      <c r="F151" s="172">
        <v>8</v>
      </c>
      <c r="G151" s="172">
        <v>9</v>
      </c>
      <c r="H151" s="172" t="s">
        <v>289</v>
      </c>
      <c r="I151" s="172" t="s">
        <v>290</v>
      </c>
      <c r="J151" s="172">
        <v>4</v>
      </c>
      <c r="K151" s="172">
        <v>3</v>
      </c>
      <c r="L151" s="153" t="s">
        <v>448</v>
      </c>
      <c r="M151" s="141">
        <v>1.5424242424242424E-2</v>
      </c>
    </row>
    <row r="152" spans="1:13" x14ac:dyDescent="0.3">
      <c r="A152" s="172" t="s">
        <v>225</v>
      </c>
      <c r="B152" s="172" t="s">
        <v>303</v>
      </c>
      <c r="C152" s="173">
        <v>90</v>
      </c>
      <c r="D152" s="173">
        <v>110</v>
      </c>
      <c r="E152" s="172" t="s">
        <v>1014</v>
      </c>
      <c r="F152" s="172">
        <v>8</v>
      </c>
      <c r="G152" s="172">
        <v>9</v>
      </c>
      <c r="H152" s="172" t="s">
        <v>289</v>
      </c>
      <c r="I152" s="172" t="s">
        <v>290</v>
      </c>
      <c r="J152" s="172">
        <v>4</v>
      </c>
      <c r="K152" s="172">
        <v>3</v>
      </c>
      <c r="L152" s="153" t="s">
        <v>448</v>
      </c>
      <c r="M152" s="141">
        <v>1.5424242424242424E-2</v>
      </c>
    </row>
    <row r="153" spans="1:13" x14ac:dyDescent="0.3">
      <c r="A153" s="172" t="s">
        <v>226</v>
      </c>
      <c r="B153" s="172" t="s">
        <v>303</v>
      </c>
      <c r="C153" s="172">
        <v>90</v>
      </c>
      <c r="D153" s="172">
        <v>110</v>
      </c>
      <c r="E153" s="172" t="s">
        <v>1014</v>
      </c>
      <c r="F153" s="172">
        <v>8</v>
      </c>
      <c r="G153" s="172">
        <v>9</v>
      </c>
      <c r="H153" s="172" t="s">
        <v>289</v>
      </c>
      <c r="I153" s="172" t="s">
        <v>290</v>
      </c>
      <c r="J153" s="172">
        <v>6</v>
      </c>
      <c r="K153" s="172">
        <v>4</v>
      </c>
      <c r="L153" s="152" t="s">
        <v>448</v>
      </c>
      <c r="M153" s="141">
        <v>1.5424242424242424E-2</v>
      </c>
    </row>
    <row r="154" spans="1:13" x14ac:dyDescent="0.3">
      <c r="A154" s="172" t="s">
        <v>227</v>
      </c>
      <c r="B154" s="172" t="s">
        <v>303</v>
      </c>
      <c r="C154" s="172">
        <v>100</v>
      </c>
      <c r="D154" s="172">
        <v>110</v>
      </c>
      <c r="E154" s="172" t="s">
        <v>1014</v>
      </c>
      <c r="F154" s="172">
        <v>8</v>
      </c>
      <c r="G154" s="172">
        <v>9</v>
      </c>
      <c r="H154" s="172" t="s">
        <v>289</v>
      </c>
      <c r="I154" s="172" t="s">
        <v>289</v>
      </c>
      <c r="J154" s="172">
        <v>6</v>
      </c>
      <c r="K154" s="172">
        <v>5</v>
      </c>
      <c r="L154" s="152" t="s">
        <v>448</v>
      </c>
      <c r="M154" s="141">
        <v>1.3881818181818181E-2</v>
      </c>
    </row>
    <row r="155" spans="1:13" x14ac:dyDescent="0.3">
      <c r="A155" s="172" t="s">
        <v>996</v>
      </c>
      <c r="B155" s="172" t="s">
        <v>303</v>
      </c>
      <c r="C155" s="173">
        <v>100</v>
      </c>
      <c r="D155" s="173">
        <v>140</v>
      </c>
      <c r="E155" s="172" t="s">
        <v>1014</v>
      </c>
      <c r="F155" s="172">
        <v>7</v>
      </c>
      <c r="G155" s="172">
        <v>10</v>
      </c>
      <c r="H155" s="172" t="s">
        <v>290</v>
      </c>
      <c r="I155" s="172" t="s">
        <v>290</v>
      </c>
      <c r="J155" s="172">
        <v>6</v>
      </c>
      <c r="K155" s="172">
        <v>3</v>
      </c>
      <c r="L155" s="152" t="s">
        <v>448</v>
      </c>
      <c r="M155" s="141">
        <v>1.0907142857142857E-2</v>
      </c>
    </row>
    <row r="156" spans="1:13" x14ac:dyDescent="0.3">
      <c r="A156" s="172" t="s">
        <v>997</v>
      </c>
      <c r="B156" s="172" t="s">
        <v>303</v>
      </c>
      <c r="C156" s="172">
        <v>100</v>
      </c>
      <c r="D156" s="172">
        <v>140</v>
      </c>
      <c r="E156" s="172" t="s">
        <v>1015</v>
      </c>
      <c r="F156" s="172">
        <v>7</v>
      </c>
      <c r="G156" s="172">
        <v>9</v>
      </c>
      <c r="H156" s="172" t="s">
        <v>290</v>
      </c>
      <c r="I156" s="172" t="s">
        <v>290</v>
      </c>
      <c r="J156" s="172">
        <v>4</v>
      </c>
      <c r="K156" s="172">
        <v>3</v>
      </c>
      <c r="L156" s="152" t="s">
        <v>448</v>
      </c>
      <c r="M156" s="141">
        <v>1.0179999999999998E-2</v>
      </c>
    </row>
    <row r="157" spans="1:13" x14ac:dyDescent="0.3">
      <c r="A157" s="172" t="s">
        <v>998</v>
      </c>
      <c r="B157" s="172" t="s">
        <v>303</v>
      </c>
      <c r="C157" s="172">
        <v>100</v>
      </c>
      <c r="D157" s="172">
        <v>140</v>
      </c>
      <c r="E157" s="172" t="s">
        <v>1015</v>
      </c>
      <c r="F157" s="172">
        <v>7</v>
      </c>
      <c r="G157" s="172">
        <v>9</v>
      </c>
      <c r="H157" s="172" t="s">
        <v>290</v>
      </c>
      <c r="I157" s="172" t="s">
        <v>290</v>
      </c>
      <c r="J157" s="172">
        <v>4</v>
      </c>
      <c r="K157" s="172">
        <v>3</v>
      </c>
      <c r="L157" s="152" t="s">
        <v>448</v>
      </c>
      <c r="M157" s="141">
        <v>1.0179999999999998E-2</v>
      </c>
    </row>
    <row r="158" spans="1:13" x14ac:dyDescent="0.3">
      <c r="A158" s="172" t="s">
        <v>999</v>
      </c>
      <c r="B158" s="172" t="s">
        <v>303</v>
      </c>
      <c r="C158" s="172">
        <v>100</v>
      </c>
      <c r="D158" s="172">
        <v>140</v>
      </c>
      <c r="E158" s="172" t="s">
        <v>1026</v>
      </c>
      <c r="F158" s="172">
        <v>9</v>
      </c>
      <c r="G158" s="172">
        <v>13</v>
      </c>
      <c r="H158" s="172" t="s">
        <v>290</v>
      </c>
      <c r="I158" s="172" t="s">
        <v>290</v>
      </c>
      <c r="J158" s="172">
        <v>5</v>
      </c>
      <c r="K158" s="172">
        <v>3</v>
      </c>
      <c r="L158" s="152" t="s">
        <v>448</v>
      </c>
      <c r="M158" s="141">
        <v>1.4542857142857142E-2</v>
      </c>
    </row>
    <row r="159" spans="1:13" ht="31.2" x14ac:dyDescent="0.3">
      <c r="A159" s="172" t="s">
        <v>291</v>
      </c>
      <c r="B159" s="172" t="s">
        <v>315</v>
      </c>
      <c r="C159" s="172">
        <v>90</v>
      </c>
      <c r="D159" s="172">
        <v>90</v>
      </c>
      <c r="E159" s="172" t="s">
        <v>1028</v>
      </c>
      <c r="F159" s="172">
        <v>14</v>
      </c>
      <c r="G159" s="172">
        <v>14</v>
      </c>
      <c r="H159" s="172" t="s">
        <v>289</v>
      </c>
      <c r="I159" s="172" t="s">
        <v>292</v>
      </c>
      <c r="J159" s="172">
        <v>6</v>
      </c>
      <c r="K159" s="172">
        <v>6</v>
      </c>
      <c r="L159" s="151" t="s">
        <v>1061</v>
      </c>
      <c r="M159" s="141">
        <v>3.2676543209876542E-2</v>
      </c>
    </row>
    <row r="160" spans="1:13" ht="78" x14ac:dyDescent="0.3">
      <c r="A160" s="172" t="s">
        <v>982</v>
      </c>
      <c r="B160" s="172" t="s">
        <v>315</v>
      </c>
      <c r="C160" s="172">
        <v>90</v>
      </c>
      <c r="D160" s="172">
        <v>90</v>
      </c>
      <c r="E160" s="172" t="s">
        <v>1012</v>
      </c>
      <c r="F160" s="172">
        <v>6</v>
      </c>
      <c r="G160" s="172">
        <v>6</v>
      </c>
      <c r="H160" s="172" t="s">
        <v>289</v>
      </c>
      <c r="I160" s="172" t="s">
        <v>290</v>
      </c>
      <c r="J160" s="172">
        <v>2</v>
      </c>
      <c r="K160" s="172">
        <v>2</v>
      </c>
      <c r="L160" s="151" t="s">
        <v>1060</v>
      </c>
      <c r="M160" s="141">
        <v>1.2567901234567901E-2</v>
      </c>
    </row>
    <row r="161" spans="1:13" x14ac:dyDescent="0.3">
      <c r="A161" s="172" t="s">
        <v>983</v>
      </c>
      <c r="B161" s="172" t="s">
        <v>315</v>
      </c>
      <c r="C161" s="172">
        <v>90</v>
      </c>
      <c r="D161" s="172">
        <v>90</v>
      </c>
      <c r="E161" s="172" t="s">
        <v>1012</v>
      </c>
      <c r="F161" s="172">
        <v>6</v>
      </c>
      <c r="G161" s="172">
        <v>6</v>
      </c>
      <c r="H161" s="172" t="s">
        <v>289</v>
      </c>
      <c r="I161" s="172" t="s">
        <v>290</v>
      </c>
      <c r="J161" s="172">
        <v>2</v>
      </c>
      <c r="K161" s="172">
        <v>2</v>
      </c>
      <c r="L161" s="154" t="s">
        <v>1062</v>
      </c>
      <c r="M161" s="141">
        <v>1.2567901234567901E-2</v>
      </c>
    </row>
    <row r="162" spans="1:13" x14ac:dyDescent="0.3">
      <c r="A162" s="172" t="s">
        <v>984</v>
      </c>
      <c r="B162" s="172" t="s">
        <v>315</v>
      </c>
      <c r="C162" s="172">
        <v>90</v>
      </c>
      <c r="D162" s="172">
        <v>90</v>
      </c>
      <c r="E162" s="172" t="s">
        <v>1012</v>
      </c>
      <c r="F162" s="172">
        <v>6</v>
      </c>
      <c r="G162" s="172">
        <v>6</v>
      </c>
      <c r="H162" s="172" t="s">
        <v>289</v>
      </c>
      <c r="I162" s="172" t="s">
        <v>290</v>
      </c>
      <c r="J162" s="172">
        <v>2</v>
      </c>
      <c r="K162" s="172">
        <v>2</v>
      </c>
      <c r="L162" s="151" t="s">
        <v>1062</v>
      </c>
      <c r="M162" s="141">
        <v>1.2567901234567901E-2</v>
      </c>
    </row>
    <row r="163" spans="1:13" x14ac:dyDescent="0.3">
      <c r="A163" s="172" t="s">
        <v>985</v>
      </c>
      <c r="B163" s="172" t="s">
        <v>315</v>
      </c>
      <c r="C163" s="172">
        <v>90</v>
      </c>
      <c r="D163" s="172">
        <v>90</v>
      </c>
      <c r="E163" s="172" t="s">
        <v>1012</v>
      </c>
      <c r="F163" s="172">
        <v>6</v>
      </c>
      <c r="G163" s="172">
        <v>6</v>
      </c>
      <c r="H163" s="172" t="s">
        <v>289</v>
      </c>
      <c r="I163" s="172" t="s">
        <v>290</v>
      </c>
      <c r="J163" s="172">
        <v>2</v>
      </c>
      <c r="K163" s="172">
        <v>2</v>
      </c>
      <c r="L163" s="154" t="s">
        <v>1062</v>
      </c>
      <c r="M163" s="141">
        <v>1.2567901234567901E-2</v>
      </c>
    </row>
    <row r="164" spans="1:13" x14ac:dyDescent="0.3">
      <c r="A164" s="172" t="s">
        <v>986</v>
      </c>
      <c r="B164" s="172" t="s">
        <v>315</v>
      </c>
      <c r="C164" s="172">
        <v>90</v>
      </c>
      <c r="D164" s="172">
        <v>90</v>
      </c>
      <c r="E164" s="172" t="s">
        <v>1012</v>
      </c>
      <c r="F164" s="172">
        <v>6</v>
      </c>
      <c r="G164" s="172">
        <v>6</v>
      </c>
      <c r="H164" s="172" t="s">
        <v>289</v>
      </c>
      <c r="I164" s="172" t="s">
        <v>290</v>
      </c>
      <c r="J164" s="172">
        <v>2</v>
      </c>
      <c r="K164" s="172">
        <v>2</v>
      </c>
      <c r="L164" s="153" t="s">
        <v>448</v>
      </c>
      <c r="M164" s="141">
        <v>1.2567901234567901E-2</v>
      </c>
    </row>
    <row r="165" spans="1:13" x14ac:dyDescent="0.3">
      <c r="A165" s="172" t="s">
        <v>987</v>
      </c>
      <c r="B165" s="172" t="s">
        <v>315</v>
      </c>
      <c r="C165" s="172">
        <v>90</v>
      </c>
      <c r="D165" s="172">
        <v>90</v>
      </c>
      <c r="E165" s="172" t="s">
        <v>1012</v>
      </c>
      <c r="F165" s="172">
        <v>6</v>
      </c>
      <c r="G165" s="172">
        <v>6</v>
      </c>
      <c r="H165" s="172" t="s">
        <v>289</v>
      </c>
      <c r="I165" s="172" t="s">
        <v>290</v>
      </c>
      <c r="J165" s="172">
        <v>2</v>
      </c>
      <c r="K165" s="172">
        <v>2</v>
      </c>
      <c r="L165" s="152" t="s">
        <v>448</v>
      </c>
      <c r="M165" s="141">
        <v>1.2567901234567901E-2</v>
      </c>
    </row>
    <row r="166" spans="1:13" x14ac:dyDescent="0.3">
      <c r="A166" s="172" t="s">
        <v>988</v>
      </c>
      <c r="B166" s="172" t="s">
        <v>315</v>
      </c>
      <c r="C166" s="172">
        <v>90</v>
      </c>
      <c r="D166" s="172">
        <v>90</v>
      </c>
      <c r="E166" s="172" t="s">
        <v>1012</v>
      </c>
      <c r="F166" s="172">
        <v>6</v>
      </c>
      <c r="G166" s="172">
        <v>6</v>
      </c>
      <c r="H166" s="172" t="s">
        <v>289</v>
      </c>
      <c r="I166" s="172" t="s">
        <v>290</v>
      </c>
      <c r="J166" s="172">
        <v>2</v>
      </c>
      <c r="K166" s="172">
        <v>2</v>
      </c>
      <c r="L166" s="152" t="s">
        <v>448</v>
      </c>
      <c r="M166" s="141">
        <v>1.2567901234567901E-2</v>
      </c>
    </row>
    <row r="167" spans="1:13" x14ac:dyDescent="0.3">
      <c r="A167" s="172" t="s">
        <v>989</v>
      </c>
      <c r="B167" s="172" t="s">
        <v>315</v>
      </c>
      <c r="C167" s="172">
        <v>90</v>
      </c>
      <c r="D167" s="172">
        <v>90</v>
      </c>
      <c r="E167" s="172" t="s">
        <v>1012</v>
      </c>
      <c r="F167" s="172">
        <v>6</v>
      </c>
      <c r="G167" s="172">
        <v>6</v>
      </c>
      <c r="H167" s="172" t="s">
        <v>289</v>
      </c>
      <c r="I167" s="172" t="s">
        <v>290</v>
      </c>
      <c r="J167" s="172">
        <v>2</v>
      </c>
      <c r="K167" s="172">
        <v>2</v>
      </c>
      <c r="L167" s="152" t="s">
        <v>448</v>
      </c>
      <c r="M167" s="141">
        <v>1.2567901234567901E-2</v>
      </c>
    </row>
    <row r="168" spans="1:13" x14ac:dyDescent="0.3">
      <c r="A168" s="172" t="s">
        <v>990</v>
      </c>
      <c r="B168" s="172" t="s">
        <v>315</v>
      </c>
      <c r="C168" s="172">
        <v>90</v>
      </c>
      <c r="D168" s="172">
        <v>90</v>
      </c>
      <c r="E168" s="172" t="s">
        <v>1012</v>
      </c>
      <c r="F168" s="172">
        <v>6</v>
      </c>
      <c r="G168" s="172">
        <v>6</v>
      </c>
      <c r="H168" s="172" t="s">
        <v>289</v>
      </c>
      <c r="I168" s="172" t="s">
        <v>290</v>
      </c>
      <c r="J168" s="172">
        <v>3</v>
      </c>
      <c r="K168" s="172">
        <v>3</v>
      </c>
      <c r="L168" s="153" t="s">
        <v>448</v>
      </c>
      <c r="M168" s="141">
        <v>1.2567901234567901E-2</v>
      </c>
    </row>
    <row r="169" spans="1:13" x14ac:dyDescent="0.3">
      <c r="A169" s="172" t="s">
        <v>991</v>
      </c>
      <c r="B169" s="172" t="s">
        <v>315</v>
      </c>
      <c r="C169" s="172">
        <v>90</v>
      </c>
      <c r="D169" s="172">
        <v>90</v>
      </c>
      <c r="E169" s="172" t="s">
        <v>1012</v>
      </c>
      <c r="F169" s="172">
        <v>6</v>
      </c>
      <c r="G169" s="172">
        <v>6</v>
      </c>
      <c r="H169" s="172" t="s">
        <v>289</v>
      </c>
      <c r="I169" s="172" t="s">
        <v>290</v>
      </c>
      <c r="J169" s="172">
        <v>3</v>
      </c>
      <c r="K169" s="172">
        <v>3</v>
      </c>
      <c r="L169" s="152" t="s">
        <v>448</v>
      </c>
      <c r="M169" s="141">
        <v>1.2567901234567901E-2</v>
      </c>
    </row>
    <row r="170" spans="1:13" x14ac:dyDescent="0.3">
      <c r="A170" s="172" t="s">
        <v>992</v>
      </c>
      <c r="B170" s="172" t="s">
        <v>315</v>
      </c>
      <c r="C170" s="173">
        <v>90</v>
      </c>
      <c r="D170" s="173">
        <v>90</v>
      </c>
      <c r="E170" s="173" t="s">
        <v>1016</v>
      </c>
      <c r="F170" s="173">
        <v>9</v>
      </c>
      <c r="G170" s="173">
        <v>9</v>
      </c>
      <c r="H170" s="173" t="s">
        <v>289</v>
      </c>
      <c r="I170" s="173" t="s">
        <v>290</v>
      </c>
      <c r="J170" s="173">
        <v>3</v>
      </c>
      <c r="K170" s="173">
        <v>3</v>
      </c>
      <c r="L170" s="153" t="s">
        <v>448</v>
      </c>
      <c r="M170" s="141">
        <v>2.0108641975308643E-2</v>
      </c>
    </row>
    <row r="171" spans="1:13" x14ac:dyDescent="0.3">
      <c r="A171" s="172" t="s">
        <v>993</v>
      </c>
      <c r="B171" s="172" t="s">
        <v>315</v>
      </c>
      <c r="C171" s="172">
        <v>90</v>
      </c>
      <c r="D171" s="172">
        <v>90</v>
      </c>
      <c r="E171" s="172" t="s">
        <v>1022</v>
      </c>
      <c r="F171" s="172">
        <v>9</v>
      </c>
      <c r="G171" s="172">
        <v>9</v>
      </c>
      <c r="H171" s="172" t="s">
        <v>289</v>
      </c>
      <c r="I171" s="172" t="s">
        <v>290</v>
      </c>
      <c r="J171" s="172">
        <v>3</v>
      </c>
      <c r="K171" s="172">
        <v>3</v>
      </c>
      <c r="L171" s="154" t="s">
        <v>931</v>
      </c>
      <c r="M171" s="141">
        <v>3.2355555555555554E-2</v>
      </c>
    </row>
    <row r="172" spans="1:13" x14ac:dyDescent="0.3">
      <c r="A172" s="172" t="s">
        <v>994</v>
      </c>
      <c r="B172" s="172" t="s">
        <v>315</v>
      </c>
      <c r="C172" s="172">
        <v>90</v>
      </c>
      <c r="D172" s="172">
        <v>130</v>
      </c>
      <c r="E172" s="172" t="s">
        <v>1022</v>
      </c>
      <c r="F172" s="172">
        <v>7</v>
      </c>
      <c r="G172" s="172">
        <v>11</v>
      </c>
      <c r="H172" s="172" t="s">
        <v>289</v>
      </c>
      <c r="I172" s="172" t="s">
        <v>290</v>
      </c>
      <c r="J172" s="172">
        <v>6</v>
      </c>
      <c r="K172" s="172">
        <v>3</v>
      </c>
      <c r="L172" s="152" t="s">
        <v>448</v>
      </c>
      <c r="M172" s="141">
        <v>2.24E-2</v>
      </c>
    </row>
    <row r="173" spans="1:13" x14ac:dyDescent="0.3">
      <c r="A173" s="172" t="s">
        <v>225</v>
      </c>
      <c r="B173" s="172" t="s">
        <v>315</v>
      </c>
      <c r="C173" s="172">
        <v>90</v>
      </c>
      <c r="D173" s="172">
        <v>130</v>
      </c>
      <c r="E173" s="172" t="s">
        <v>1022</v>
      </c>
      <c r="F173" s="172">
        <v>7</v>
      </c>
      <c r="G173" s="172">
        <v>11</v>
      </c>
      <c r="H173" s="172" t="s">
        <v>289</v>
      </c>
      <c r="I173" s="172" t="s">
        <v>290</v>
      </c>
      <c r="J173" s="172">
        <v>6</v>
      </c>
      <c r="K173" s="172">
        <v>3</v>
      </c>
      <c r="L173" s="152" t="s">
        <v>448</v>
      </c>
      <c r="M173" s="141">
        <v>2.24E-2</v>
      </c>
    </row>
    <row r="174" spans="1:13" x14ac:dyDescent="0.3">
      <c r="A174" s="172" t="s">
        <v>226</v>
      </c>
      <c r="B174" s="172" t="s">
        <v>315</v>
      </c>
      <c r="C174" s="173">
        <v>90</v>
      </c>
      <c r="D174" s="173">
        <v>130</v>
      </c>
      <c r="E174" s="172" t="s">
        <v>1022</v>
      </c>
      <c r="F174" s="172">
        <v>7</v>
      </c>
      <c r="G174" s="172">
        <v>11</v>
      </c>
      <c r="H174" s="172" t="s">
        <v>289</v>
      </c>
      <c r="I174" s="172" t="s">
        <v>290</v>
      </c>
      <c r="J174" s="172">
        <v>7</v>
      </c>
      <c r="K174" s="172">
        <v>4</v>
      </c>
      <c r="L174" s="153" t="s">
        <v>448</v>
      </c>
      <c r="M174" s="141">
        <v>2.24E-2</v>
      </c>
    </row>
    <row r="175" spans="1:13" x14ac:dyDescent="0.3">
      <c r="A175" s="172" t="s">
        <v>227</v>
      </c>
      <c r="B175" s="172" t="s">
        <v>315</v>
      </c>
      <c r="C175" s="172">
        <v>100</v>
      </c>
      <c r="D175" s="172">
        <v>130</v>
      </c>
      <c r="E175" s="172" t="s">
        <v>1022</v>
      </c>
      <c r="F175" s="172">
        <v>7</v>
      </c>
      <c r="G175" s="172">
        <v>11</v>
      </c>
      <c r="H175" s="172" t="s">
        <v>289</v>
      </c>
      <c r="I175" s="172" t="s">
        <v>289</v>
      </c>
      <c r="J175" s="172">
        <v>7</v>
      </c>
      <c r="K175" s="172">
        <v>5</v>
      </c>
      <c r="L175" s="152" t="s">
        <v>448</v>
      </c>
      <c r="M175" s="141">
        <v>2.0159999999999997E-2</v>
      </c>
    </row>
    <row r="176" spans="1:13" x14ac:dyDescent="0.3">
      <c r="A176" s="172" t="s">
        <v>996</v>
      </c>
      <c r="B176" s="172" t="s">
        <v>315</v>
      </c>
      <c r="C176" s="172">
        <v>100</v>
      </c>
      <c r="D176" s="172">
        <v>140</v>
      </c>
      <c r="E176" s="172" t="s">
        <v>1026</v>
      </c>
      <c r="F176" s="172">
        <v>9</v>
      </c>
      <c r="G176" s="172">
        <v>13</v>
      </c>
      <c r="H176" s="172" t="s">
        <v>290</v>
      </c>
      <c r="I176" s="172" t="s">
        <v>290</v>
      </c>
      <c r="J176" s="172">
        <v>6</v>
      </c>
      <c r="K176" s="172">
        <v>3</v>
      </c>
      <c r="L176" s="152" t="s">
        <v>448</v>
      </c>
      <c r="M176" s="141">
        <v>1.4542857142857142E-2</v>
      </c>
    </row>
    <row r="177" spans="1:13" x14ac:dyDescent="0.3">
      <c r="A177" s="172" t="s">
        <v>997</v>
      </c>
      <c r="B177" s="172" t="s">
        <v>315</v>
      </c>
      <c r="C177" s="172">
        <v>100</v>
      </c>
      <c r="D177" s="172">
        <v>140</v>
      </c>
      <c r="E177" s="172" t="s">
        <v>1023</v>
      </c>
      <c r="F177" s="172">
        <v>8</v>
      </c>
      <c r="G177" s="172">
        <v>11</v>
      </c>
      <c r="H177" s="172" t="s">
        <v>290</v>
      </c>
      <c r="I177" s="172" t="s">
        <v>290</v>
      </c>
      <c r="J177" s="172">
        <v>4</v>
      </c>
      <c r="K177" s="172">
        <v>3</v>
      </c>
      <c r="L177" s="152" t="s">
        <v>448</v>
      </c>
      <c r="M177" s="141">
        <v>1.9889999999999998E-2</v>
      </c>
    </row>
    <row r="178" spans="1:13" x14ac:dyDescent="0.3">
      <c r="A178" s="172" t="s">
        <v>998</v>
      </c>
      <c r="B178" s="172" t="s">
        <v>315</v>
      </c>
      <c r="C178" s="172">
        <v>100</v>
      </c>
      <c r="D178" s="172">
        <v>140</v>
      </c>
      <c r="E178" s="172" t="s">
        <v>1020</v>
      </c>
      <c r="F178" s="172">
        <v>9</v>
      </c>
      <c r="G178" s="172">
        <v>12</v>
      </c>
      <c r="H178" s="172" t="s">
        <v>290</v>
      </c>
      <c r="I178" s="172" t="s">
        <v>290</v>
      </c>
      <c r="J178" s="172">
        <v>5</v>
      </c>
      <c r="K178" s="172">
        <v>3</v>
      </c>
      <c r="L178" s="152" t="s">
        <v>448</v>
      </c>
      <c r="M178" s="141">
        <v>2.2229999999999996E-2</v>
      </c>
    </row>
    <row r="179" spans="1:13" x14ac:dyDescent="0.3">
      <c r="A179" s="172" t="s">
        <v>999</v>
      </c>
      <c r="B179" s="172" t="s">
        <v>315</v>
      </c>
      <c r="C179" s="172">
        <v>100</v>
      </c>
      <c r="D179" s="172">
        <v>140</v>
      </c>
      <c r="E179" s="172" t="s">
        <v>1076</v>
      </c>
      <c r="F179" s="172">
        <v>10</v>
      </c>
      <c r="G179" s="172">
        <v>14</v>
      </c>
      <c r="H179" s="172" t="s">
        <v>290</v>
      </c>
      <c r="I179" s="172" t="s">
        <v>290</v>
      </c>
      <c r="J179" s="172">
        <v>6</v>
      </c>
      <c r="K179" s="172">
        <v>4</v>
      </c>
      <c r="L179" s="152" t="s">
        <v>448</v>
      </c>
      <c r="M179" s="141">
        <v>2.5739999999999996E-2</v>
      </c>
    </row>
    <row r="180" spans="1:13" x14ac:dyDescent="0.3">
      <c r="A180" s="172" t="s">
        <v>291</v>
      </c>
      <c r="B180" s="172" t="s">
        <v>305</v>
      </c>
      <c r="C180" s="172">
        <v>90</v>
      </c>
      <c r="D180" s="172">
        <v>90</v>
      </c>
      <c r="E180" s="172" t="s">
        <v>1012</v>
      </c>
      <c r="F180" s="172">
        <v>6</v>
      </c>
      <c r="G180" s="172">
        <v>6</v>
      </c>
      <c r="H180" s="172" t="s">
        <v>289</v>
      </c>
      <c r="I180" s="172" t="s">
        <v>292</v>
      </c>
      <c r="J180" s="172">
        <v>3</v>
      </c>
      <c r="K180" s="172">
        <v>3</v>
      </c>
      <c r="L180" s="154" t="s">
        <v>1062</v>
      </c>
      <c r="M180" s="141">
        <v>1.2567901234567901E-2</v>
      </c>
    </row>
    <row r="181" spans="1:13" ht="78" x14ac:dyDescent="0.3">
      <c r="A181" s="172" t="s">
        <v>982</v>
      </c>
      <c r="B181" s="172" t="s">
        <v>305</v>
      </c>
      <c r="C181" s="172">
        <v>90</v>
      </c>
      <c r="D181" s="172">
        <v>90</v>
      </c>
      <c r="E181" s="172" t="s">
        <v>1012</v>
      </c>
      <c r="F181" s="172">
        <v>6</v>
      </c>
      <c r="G181" s="172">
        <v>6</v>
      </c>
      <c r="H181" s="172" t="s">
        <v>289</v>
      </c>
      <c r="I181" s="172" t="s">
        <v>290</v>
      </c>
      <c r="J181" s="172">
        <v>2</v>
      </c>
      <c r="K181" s="172">
        <v>2</v>
      </c>
      <c r="L181" s="151" t="s">
        <v>1060</v>
      </c>
      <c r="M181" s="141">
        <v>1.2567901234567901E-2</v>
      </c>
    </row>
    <row r="182" spans="1:13" x14ac:dyDescent="0.3">
      <c r="A182" s="172" t="s">
        <v>983</v>
      </c>
      <c r="B182" s="172" t="s">
        <v>305</v>
      </c>
      <c r="C182" s="172">
        <v>90</v>
      </c>
      <c r="D182" s="172">
        <v>90</v>
      </c>
      <c r="E182" s="172" t="s">
        <v>1012</v>
      </c>
      <c r="F182" s="172">
        <v>6</v>
      </c>
      <c r="G182" s="172">
        <v>6</v>
      </c>
      <c r="H182" s="172" t="s">
        <v>289</v>
      </c>
      <c r="I182" s="172" t="s">
        <v>290</v>
      </c>
      <c r="J182" s="172">
        <v>2</v>
      </c>
      <c r="K182" s="172">
        <v>2</v>
      </c>
      <c r="L182" s="154" t="s">
        <v>1062</v>
      </c>
      <c r="M182" s="141">
        <v>1.2567901234567901E-2</v>
      </c>
    </row>
    <row r="183" spans="1:13" x14ac:dyDescent="0.3">
      <c r="A183" s="172" t="s">
        <v>984</v>
      </c>
      <c r="B183" s="172" t="s">
        <v>305</v>
      </c>
      <c r="C183" s="173">
        <v>90</v>
      </c>
      <c r="D183" s="173">
        <v>90</v>
      </c>
      <c r="E183" s="172" t="s">
        <v>1012</v>
      </c>
      <c r="F183" s="172">
        <v>6</v>
      </c>
      <c r="G183" s="172">
        <v>6</v>
      </c>
      <c r="H183" s="172" t="s">
        <v>289</v>
      </c>
      <c r="I183" s="172" t="s">
        <v>292</v>
      </c>
      <c r="J183" s="172">
        <v>2</v>
      </c>
      <c r="K183" s="172">
        <v>2</v>
      </c>
      <c r="L183" s="154" t="s">
        <v>1062</v>
      </c>
      <c r="M183" s="141">
        <v>1.2567901234567901E-2</v>
      </c>
    </row>
    <row r="184" spans="1:13" x14ac:dyDescent="0.3">
      <c r="A184" s="172" t="s">
        <v>985</v>
      </c>
      <c r="B184" s="172" t="s">
        <v>305</v>
      </c>
      <c r="C184" s="172">
        <v>90</v>
      </c>
      <c r="D184" s="172">
        <v>90</v>
      </c>
      <c r="E184" s="172" t="s">
        <v>1012</v>
      </c>
      <c r="F184" s="172">
        <v>6</v>
      </c>
      <c r="G184" s="172">
        <v>6</v>
      </c>
      <c r="H184" s="172" t="s">
        <v>289</v>
      </c>
      <c r="I184" s="172" t="s">
        <v>292</v>
      </c>
      <c r="J184" s="172">
        <v>2</v>
      </c>
      <c r="K184" s="172">
        <v>2</v>
      </c>
      <c r="L184" s="154" t="s">
        <v>1062</v>
      </c>
      <c r="M184" s="141">
        <v>1.2567901234567901E-2</v>
      </c>
    </row>
    <row r="185" spans="1:13" x14ac:dyDescent="0.3">
      <c r="A185" s="172" t="s">
        <v>986</v>
      </c>
      <c r="B185" s="172" t="s">
        <v>305</v>
      </c>
      <c r="C185" s="172">
        <v>90</v>
      </c>
      <c r="D185" s="172">
        <v>90</v>
      </c>
      <c r="E185" s="172" t="s">
        <v>1012</v>
      </c>
      <c r="F185" s="172">
        <v>6</v>
      </c>
      <c r="G185" s="172">
        <v>6</v>
      </c>
      <c r="H185" s="172" t="s">
        <v>289</v>
      </c>
      <c r="I185" s="172" t="s">
        <v>290</v>
      </c>
      <c r="J185" s="172">
        <v>2</v>
      </c>
      <c r="K185" s="172">
        <v>2</v>
      </c>
      <c r="L185" s="153" t="s">
        <v>448</v>
      </c>
      <c r="M185" s="141">
        <v>1.2567901234567901E-2</v>
      </c>
    </row>
    <row r="186" spans="1:13" x14ac:dyDescent="0.3">
      <c r="A186" s="172" t="s">
        <v>987</v>
      </c>
      <c r="B186" s="172" t="s">
        <v>305</v>
      </c>
      <c r="C186" s="172">
        <v>90</v>
      </c>
      <c r="D186" s="172">
        <v>90</v>
      </c>
      <c r="E186" s="172" t="s">
        <v>1012</v>
      </c>
      <c r="F186" s="172">
        <v>6</v>
      </c>
      <c r="G186" s="172">
        <v>6</v>
      </c>
      <c r="H186" s="172" t="s">
        <v>289</v>
      </c>
      <c r="I186" s="172" t="s">
        <v>290</v>
      </c>
      <c r="J186" s="172">
        <v>2</v>
      </c>
      <c r="K186" s="172">
        <v>2</v>
      </c>
      <c r="L186" s="153" t="s">
        <v>448</v>
      </c>
      <c r="M186" s="141">
        <v>1.2567901234567901E-2</v>
      </c>
    </row>
    <row r="187" spans="1:13" x14ac:dyDescent="0.3">
      <c r="A187" s="172" t="s">
        <v>988</v>
      </c>
      <c r="B187" s="172" t="s">
        <v>305</v>
      </c>
      <c r="C187" s="172">
        <v>90</v>
      </c>
      <c r="D187" s="172">
        <v>90</v>
      </c>
      <c r="E187" s="172" t="s">
        <v>1012</v>
      </c>
      <c r="F187" s="172">
        <v>6</v>
      </c>
      <c r="G187" s="172">
        <v>6</v>
      </c>
      <c r="H187" s="172" t="s">
        <v>289</v>
      </c>
      <c r="I187" s="172" t="s">
        <v>290</v>
      </c>
      <c r="J187" s="172">
        <v>2</v>
      </c>
      <c r="K187" s="172">
        <v>2</v>
      </c>
      <c r="L187" s="152" t="s">
        <v>448</v>
      </c>
      <c r="M187" s="141">
        <v>1.2567901234567901E-2</v>
      </c>
    </row>
    <row r="188" spans="1:13" x14ac:dyDescent="0.3">
      <c r="A188" s="172" t="s">
        <v>989</v>
      </c>
      <c r="B188" s="172" t="s">
        <v>305</v>
      </c>
      <c r="C188" s="172">
        <v>90</v>
      </c>
      <c r="D188" s="172">
        <v>90</v>
      </c>
      <c r="E188" s="172" t="s">
        <v>1012</v>
      </c>
      <c r="F188" s="172">
        <v>6</v>
      </c>
      <c r="G188" s="172">
        <v>6</v>
      </c>
      <c r="H188" s="172" t="s">
        <v>289</v>
      </c>
      <c r="I188" s="172" t="s">
        <v>290</v>
      </c>
      <c r="J188" s="172">
        <v>2</v>
      </c>
      <c r="K188" s="172">
        <v>2</v>
      </c>
      <c r="L188" s="152" t="s">
        <v>448</v>
      </c>
      <c r="M188" s="141">
        <v>1.2567901234567901E-2</v>
      </c>
    </row>
    <row r="189" spans="1:13" x14ac:dyDescent="0.3">
      <c r="A189" s="172" t="s">
        <v>990</v>
      </c>
      <c r="B189" s="172" t="s">
        <v>305</v>
      </c>
      <c r="C189" s="172">
        <v>90</v>
      </c>
      <c r="D189" s="172">
        <v>90</v>
      </c>
      <c r="E189" s="172" t="s">
        <v>1016</v>
      </c>
      <c r="F189" s="172">
        <v>9</v>
      </c>
      <c r="G189" s="172">
        <v>9</v>
      </c>
      <c r="H189" s="172" t="s">
        <v>289</v>
      </c>
      <c r="I189" s="172" t="s">
        <v>290</v>
      </c>
      <c r="J189" s="172">
        <v>3</v>
      </c>
      <c r="K189" s="172">
        <v>3</v>
      </c>
      <c r="L189" s="152" t="s">
        <v>448</v>
      </c>
      <c r="M189" s="141">
        <v>2.0108641975308643E-2</v>
      </c>
    </row>
    <row r="190" spans="1:13" x14ac:dyDescent="0.3">
      <c r="A190" s="172" t="s">
        <v>991</v>
      </c>
      <c r="B190" s="172" t="s">
        <v>305</v>
      </c>
      <c r="C190" s="173">
        <v>90</v>
      </c>
      <c r="D190" s="173">
        <v>90</v>
      </c>
      <c r="E190" s="172" t="s">
        <v>1015</v>
      </c>
      <c r="F190" s="172">
        <v>8</v>
      </c>
      <c r="G190" s="172">
        <v>8</v>
      </c>
      <c r="H190" s="172" t="s">
        <v>289</v>
      </c>
      <c r="I190" s="172" t="s">
        <v>290</v>
      </c>
      <c r="J190" s="172">
        <v>3</v>
      </c>
      <c r="K190" s="172">
        <v>3</v>
      </c>
      <c r="L190" s="153" t="s">
        <v>448</v>
      </c>
      <c r="M190" s="141">
        <v>1.7595061728395058E-2</v>
      </c>
    </row>
    <row r="191" spans="1:13" x14ac:dyDescent="0.3">
      <c r="A191" s="172" t="s">
        <v>992</v>
      </c>
      <c r="B191" s="172" t="s">
        <v>305</v>
      </c>
      <c r="C191" s="173">
        <v>90</v>
      </c>
      <c r="D191" s="173">
        <v>90</v>
      </c>
      <c r="E191" s="173" t="s">
        <v>1015</v>
      </c>
      <c r="F191" s="173">
        <v>8</v>
      </c>
      <c r="G191" s="173">
        <v>8</v>
      </c>
      <c r="H191" s="173" t="s">
        <v>289</v>
      </c>
      <c r="I191" s="173" t="s">
        <v>290</v>
      </c>
      <c r="J191" s="173">
        <v>3</v>
      </c>
      <c r="K191" s="173">
        <v>3</v>
      </c>
      <c r="L191" s="153" t="s">
        <v>448</v>
      </c>
      <c r="M191" s="141">
        <v>1.7595061728395058E-2</v>
      </c>
    </row>
    <row r="192" spans="1:13" x14ac:dyDescent="0.3">
      <c r="A192" s="172" t="s">
        <v>993</v>
      </c>
      <c r="B192" s="172" t="s">
        <v>305</v>
      </c>
      <c r="C192" s="172">
        <v>90</v>
      </c>
      <c r="D192" s="172">
        <v>90</v>
      </c>
      <c r="E192" s="172" t="s">
        <v>1015</v>
      </c>
      <c r="F192" s="172">
        <v>8</v>
      </c>
      <c r="G192" s="172">
        <v>8</v>
      </c>
      <c r="H192" s="172" t="s">
        <v>289</v>
      </c>
      <c r="I192" s="172" t="s">
        <v>290</v>
      </c>
      <c r="J192" s="172">
        <v>3</v>
      </c>
      <c r="K192" s="172">
        <v>3</v>
      </c>
      <c r="L192" s="152" t="s">
        <v>448</v>
      </c>
      <c r="M192" s="141">
        <v>1.7595061728395058E-2</v>
      </c>
    </row>
    <row r="193" spans="1:13" x14ac:dyDescent="0.3">
      <c r="A193" s="172" t="s">
        <v>994</v>
      </c>
      <c r="B193" s="172" t="s">
        <v>305</v>
      </c>
      <c r="C193" s="172">
        <v>90</v>
      </c>
      <c r="D193" s="172">
        <v>110</v>
      </c>
      <c r="E193" s="172" t="s">
        <v>1014</v>
      </c>
      <c r="F193" s="172">
        <v>8</v>
      </c>
      <c r="G193" s="172">
        <v>9</v>
      </c>
      <c r="H193" s="172" t="s">
        <v>289</v>
      </c>
      <c r="I193" s="172" t="s">
        <v>292</v>
      </c>
      <c r="J193" s="172">
        <v>4</v>
      </c>
      <c r="K193" s="172">
        <v>3</v>
      </c>
      <c r="L193" s="152" t="s">
        <v>448</v>
      </c>
      <c r="M193" s="141">
        <v>1.5424242424242424E-2</v>
      </c>
    </row>
    <row r="194" spans="1:13" x14ac:dyDescent="0.3">
      <c r="A194" s="172" t="s">
        <v>225</v>
      </c>
      <c r="B194" s="172" t="s">
        <v>305</v>
      </c>
      <c r="C194" s="172">
        <v>90</v>
      </c>
      <c r="D194" s="172">
        <v>110</v>
      </c>
      <c r="E194" s="172" t="s">
        <v>1019</v>
      </c>
      <c r="F194" s="172">
        <v>7</v>
      </c>
      <c r="G194" s="172">
        <v>10</v>
      </c>
      <c r="H194" s="172" t="s">
        <v>289</v>
      </c>
      <c r="I194" s="172" t="s">
        <v>290</v>
      </c>
      <c r="J194" s="172">
        <v>4</v>
      </c>
      <c r="K194" s="172">
        <v>3</v>
      </c>
      <c r="L194" s="152" t="s">
        <v>448</v>
      </c>
      <c r="M194" s="141">
        <v>2.4818181818181816E-2</v>
      </c>
    </row>
    <row r="195" spans="1:13" x14ac:dyDescent="0.3">
      <c r="A195" s="172" t="s">
        <v>226</v>
      </c>
      <c r="B195" s="172" t="s">
        <v>305</v>
      </c>
      <c r="C195" s="172">
        <v>90</v>
      </c>
      <c r="D195" s="172">
        <v>110</v>
      </c>
      <c r="E195" s="172" t="s">
        <v>1019</v>
      </c>
      <c r="F195" s="172">
        <v>7</v>
      </c>
      <c r="G195" s="172">
        <v>10</v>
      </c>
      <c r="H195" s="172" t="s">
        <v>289</v>
      </c>
      <c r="I195" s="172" t="s">
        <v>290</v>
      </c>
      <c r="J195" s="172">
        <v>6</v>
      </c>
      <c r="K195" s="172">
        <v>4</v>
      </c>
      <c r="L195" s="153" t="s">
        <v>448</v>
      </c>
      <c r="M195" s="141">
        <v>2.4818181818181816E-2</v>
      </c>
    </row>
    <row r="196" spans="1:13" x14ac:dyDescent="0.3">
      <c r="A196" s="172" t="s">
        <v>227</v>
      </c>
      <c r="B196" s="172" t="s">
        <v>305</v>
      </c>
      <c r="C196" s="172">
        <v>100</v>
      </c>
      <c r="D196" s="172">
        <v>110</v>
      </c>
      <c r="E196" s="172" t="s">
        <v>1019</v>
      </c>
      <c r="F196" s="172">
        <v>8</v>
      </c>
      <c r="G196" s="172">
        <v>9</v>
      </c>
      <c r="H196" s="172" t="s">
        <v>289</v>
      </c>
      <c r="I196" s="172" t="s">
        <v>289</v>
      </c>
      <c r="J196" s="172">
        <v>6</v>
      </c>
      <c r="K196" s="172">
        <v>5</v>
      </c>
      <c r="L196" s="151" t="s">
        <v>931</v>
      </c>
      <c r="M196" s="141">
        <v>2.2336363636363637E-2</v>
      </c>
    </row>
    <row r="197" spans="1:13" x14ac:dyDescent="0.3">
      <c r="A197" s="172" t="s">
        <v>996</v>
      </c>
      <c r="B197" s="172" t="s">
        <v>305</v>
      </c>
      <c r="C197" s="172">
        <v>100</v>
      </c>
      <c r="D197" s="172">
        <v>140</v>
      </c>
      <c r="E197" s="172" t="s">
        <v>1018</v>
      </c>
      <c r="F197" s="172">
        <v>8</v>
      </c>
      <c r="G197" s="172">
        <v>12</v>
      </c>
      <c r="H197" s="172" t="s">
        <v>290</v>
      </c>
      <c r="I197" s="172" t="s">
        <v>290</v>
      </c>
      <c r="J197" s="172">
        <v>6</v>
      </c>
      <c r="K197" s="172">
        <v>3</v>
      </c>
      <c r="L197" s="152" t="s">
        <v>448</v>
      </c>
      <c r="M197" s="141">
        <v>1.3088571428571429E-2</v>
      </c>
    </row>
    <row r="198" spans="1:13" x14ac:dyDescent="0.3">
      <c r="A198" s="172" t="s">
        <v>997</v>
      </c>
      <c r="B198" s="172" t="s">
        <v>305</v>
      </c>
      <c r="C198" s="172">
        <v>100</v>
      </c>
      <c r="D198" s="172">
        <v>140</v>
      </c>
      <c r="E198" s="172" t="s">
        <v>1015</v>
      </c>
      <c r="F198" s="172">
        <v>7</v>
      </c>
      <c r="G198" s="172">
        <v>9</v>
      </c>
      <c r="H198" s="172" t="s">
        <v>290</v>
      </c>
      <c r="I198" s="172" t="s">
        <v>290</v>
      </c>
      <c r="J198" s="172">
        <v>4</v>
      </c>
      <c r="K198" s="172">
        <v>3</v>
      </c>
      <c r="L198" s="152" t="s">
        <v>448</v>
      </c>
      <c r="M198" s="141">
        <v>1.0179999999999998E-2</v>
      </c>
    </row>
    <row r="199" spans="1:13" x14ac:dyDescent="0.3">
      <c r="A199" s="172" t="s">
        <v>998</v>
      </c>
      <c r="B199" s="172" t="s">
        <v>305</v>
      </c>
      <c r="C199" s="172">
        <v>100</v>
      </c>
      <c r="D199" s="172">
        <v>140</v>
      </c>
      <c r="E199" s="172" t="s">
        <v>1029</v>
      </c>
      <c r="F199" s="172">
        <v>9</v>
      </c>
      <c r="G199" s="172">
        <v>12</v>
      </c>
      <c r="H199" s="172" t="s">
        <v>290</v>
      </c>
      <c r="I199" s="172" t="s">
        <v>290</v>
      </c>
      <c r="J199" s="172">
        <v>5</v>
      </c>
      <c r="K199" s="172">
        <v>3</v>
      </c>
      <c r="L199" s="152" t="s">
        <v>448</v>
      </c>
      <c r="M199" s="141">
        <v>1.3815714285714285E-2</v>
      </c>
    </row>
    <row r="200" spans="1:13" x14ac:dyDescent="0.3">
      <c r="A200" s="172" t="s">
        <v>999</v>
      </c>
      <c r="B200" s="172" t="s">
        <v>305</v>
      </c>
      <c r="C200" s="172">
        <v>100</v>
      </c>
      <c r="D200" s="172">
        <v>140</v>
      </c>
      <c r="E200" s="172" t="s">
        <v>1019</v>
      </c>
      <c r="F200" s="172">
        <v>7</v>
      </c>
      <c r="G200" s="172">
        <v>10</v>
      </c>
      <c r="H200" s="172" t="s">
        <v>290</v>
      </c>
      <c r="I200" s="172" t="s">
        <v>290</v>
      </c>
      <c r="J200" s="172">
        <v>4</v>
      </c>
      <c r="K200" s="172">
        <v>3</v>
      </c>
      <c r="L200" s="152" t="s">
        <v>448</v>
      </c>
      <c r="M200" s="141">
        <v>1.755E-2</v>
      </c>
    </row>
    <row r="201" spans="1:13" x14ac:dyDescent="0.3">
      <c r="A201" s="172" t="s">
        <v>225</v>
      </c>
      <c r="B201" s="172" t="s">
        <v>316</v>
      </c>
      <c r="C201" s="172">
        <v>60</v>
      </c>
      <c r="D201" s="172">
        <v>90</v>
      </c>
      <c r="E201" s="172" t="s">
        <v>1013</v>
      </c>
      <c r="F201" s="172">
        <v>5</v>
      </c>
      <c r="G201" s="172">
        <v>8</v>
      </c>
      <c r="H201" s="172" t="s">
        <v>289</v>
      </c>
      <c r="I201" s="172" t="s">
        <v>292</v>
      </c>
      <c r="J201" s="172">
        <v>3</v>
      </c>
      <c r="K201" s="172">
        <v>2</v>
      </c>
      <c r="L201" s="153" t="s">
        <v>448</v>
      </c>
      <c r="M201" s="141">
        <v>2.0737037037037036E-2</v>
      </c>
    </row>
    <row r="202" spans="1:13" x14ac:dyDescent="0.3">
      <c r="A202" s="172" t="s">
        <v>226</v>
      </c>
      <c r="B202" s="172" t="s">
        <v>316</v>
      </c>
      <c r="C202" s="172">
        <v>60</v>
      </c>
      <c r="D202" s="172">
        <v>90</v>
      </c>
      <c r="E202" s="172" t="s">
        <v>1017</v>
      </c>
      <c r="F202" s="172">
        <v>4</v>
      </c>
      <c r="G202" s="172">
        <v>6</v>
      </c>
      <c r="H202" s="172" t="s">
        <v>289</v>
      </c>
      <c r="I202" s="172" t="s">
        <v>290</v>
      </c>
      <c r="J202" s="172">
        <v>4</v>
      </c>
      <c r="K202" s="172">
        <v>2</v>
      </c>
      <c r="L202" s="152" t="s">
        <v>448</v>
      </c>
      <c r="M202" s="141">
        <v>1.508148148148148E-2</v>
      </c>
    </row>
    <row r="203" spans="1:13" x14ac:dyDescent="0.3">
      <c r="A203" s="172" t="s">
        <v>227</v>
      </c>
      <c r="B203" s="172" t="s">
        <v>316</v>
      </c>
      <c r="C203" s="172">
        <v>60</v>
      </c>
      <c r="D203" s="172">
        <v>90</v>
      </c>
      <c r="E203" s="172" t="s">
        <v>1017</v>
      </c>
      <c r="F203" s="172">
        <v>4</v>
      </c>
      <c r="G203" s="172">
        <v>6</v>
      </c>
      <c r="H203" s="172" t="s">
        <v>289</v>
      </c>
      <c r="I203" s="172" t="s">
        <v>289</v>
      </c>
      <c r="J203" s="172">
        <v>4</v>
      </c>
      <c r="K203" s="172">
        <v>2</v>
      </c>
      <c r="L203" s="152" t="s">
        <v>448</v>
      </c>
      <c r="M203" s="141">
        <v>1.508148148148148E-2</v>
      </c>
    </row>
    <row r="204" spans="1:13" x14ac:dyDescent="0.3">
      <c r="A204" s="172" t="s">
        <v>996</v>
      </c>
      <c r="B204" s="172" t="s">
        <v>316</v>
      </c>
      <c r="C204" s="172">
        <v>60</v>
      </c>
      <c r="D204" s="172">
        <v>90</v>
      </c>
      <c r="E204" s="172" t="s">
        <v>1013</v>
      </c>
      <c r="F204" s="172">
        <v>5</v>
      </c>
      <c r="G204" s="172">
        <v>8</v>
      </c>
      <c r="H204" s="172" t="s">
        <v>290</v>
      </c>
      <c r="I204" s="172" t="s">
        <v>290</v>
      </c>
      <c r="J204" s="172">
        <v>6</v>
      </c>
      <c r="K204" s="172">
        <v>3</v>
      </c>
      <c r="L204" s="152" t="s">
        <v>448</v>
      </c>
      <c r="M204" s="141">
        <v>2.0737037037037036E-2</v>
      </c>
    </row>
    <row r="205" spans="1:13" x14ac:dyDescent="0.3">
      <c r="A205" s="172" t="s">
        <v>997</v>
      </c>
      <c r="B205" s="172" t="s">
        <v>316</v>
      </c>
      <c r="C205" s="173">
        <v>60</v>
      </c>
      <c r="D205" s="173">
        <v>90</v>
      </c>
      <c r="E205" s="172" t="s">
        <v>1082</v>
      </c>
      <c r="F205" s="172">
        <v>4</v>
      </c>
      <c r="G205" s="172">
        <v>7</v>
      </c>
      <c r="H205" s="172" t="s">
        <v>290</v>
      </c>
      <c r="I205" s="172" t="s">
        <v>290</v>
      </c>
      <c r="J205" s="172">
        <v>5</v>
      </c>
      <c r="K205" s="172">
        <v>2</v>
      </c>
      <c r="L205" s="152" t="s">
        <v>448</v>
      </c>
      <c r="M205" s="141">
        <v>1.6966666666666668E-2</v>
      </c>
    </row>
    <row r="206" spans="1:13" x14ac:dyDescent="0.3">
      <c r="A206" s="172" t="s">
        <v>998</v>
      </c>
      <c r="B206" s="172" t="s">
        <v>316</v>
      </c>
      <c r="C206" s="172">
        <v>60</v>
      </c>
      <c r="D206" s="172">
        <v>90</v>
      </c>
      <c r="E206" s="172" t="s">
        <v>1082</v>
      </c>
      <c r="F206" s="172">
        <v>4</v>
      </c>
      <c r="G206" s="172">
        <v>7</v>
      </c>
      <c r="H206" s="172" t="s">
        <v>290</v>
      </c>
      <c r="I206" s="172" t="s">
        <v>290</v>
      </c>
      <c r="J206" s="172">
        <v>5</v>
      </c>
      <c r="K206" s="172">
        <v>2</v>
      </c>
      <c r="L206" s="152" t="s">
        <v>448</v>
      </c>
      <c r="M206" s="141">
        <v>1.6966666666666668E-2</v>
      </c>
    </row>
    <row r="207" spans="1:13" x14ac:dyDescent="0.3">
      <c r="A207" s="172" t="s">
        <v>999</v>
      </c>
      <c r="B207" s="172" t="s">
        <v>316</v>
      </c>
      <c r="C207" s="172">
        <v>60</v>
      </c>
      <c r="D207" s="172">
        <v>90</v>
      </c>
      <c r="E207" s="172" t="s">
        <v>1082</v>
      </c>
      <c r="F207" s="172">
        <v>4</v>
      </c>
      <c r="G207" s="172">
        <v>7</v>
      </c>
      <c r="H207" s="172" t="s">
        <v>290</v>
      </c>
      <c r="I207" s="172" t="s">
        <v>290</v>
      </c>
      <c r="J207" s="172">
        <v>5</v>
      </c>
      <c r="K207" s="172">
        <v>2</v>
      </c>
      <c r="L207" s="152" t="s">
        <v>448</v>
      </c>
      <c r="M207" s="141">
        <v>1.6966666666666668E-2</v>
      </c>
    </row>
    <row r="208" spans="1:13" x14ac:dyDescent="0.3">
      <c r="A208" s="172" t="s">
        <v>225</v>
      </c>
      <c r="B208" s="172" t="s">
        <v>317</v>
      </c>
      <c r="C208" s="173">
        <v>60</v>
      </c>
      <c r="D208" s="173">
        <v>90</v>
      </c>
      <c r="E208" s="172" t="s">
        <v>1016</v>
      </c>
      <c r="F208" s="172">
        <v>7</v>
      </c>
      <c r="G208" s="172">
        <v>11</v>
      </c>
      <c r="H208" s="172" t="s">
        <v>289</v>
      </c>
      <c r="I208" s="172" t="s">
        <v>292</v>
      </c>
      <c r="J208" s="172">
        <v>4</v>
      </c>
      <c r="K208" s="172">
        <v>2</v>
      </c>
      <c r="L208" s="151" t="s">
        <v>931</v>
      </c>
      <c r="M208" s="141">
        <v>3.0162962962962961E-2</v>
      </c>
    </row>
    <row r="209" spans="1:13" x14ac:dyDescent="0.3">
      <c r="A209" s="172" t="s">
        <v>226</v>
      </c>
      <c r="B209" s="172" t="s">
        <v>317</v>
      </c>
      <c r="C209" s="173">
        <v>60</v>
      </c>
      <c r="D209" s="173">
        <v>90</v>
      </c>
      <c r="E209" s="172" t="s">
        <v>1012</v>
      </c>
      <c r="F209" s="172">
        <v>5</v>
      </c>
      <c r="G209" s="172">
        <v>7</v>
      </c>
      <c r="H209" s="172" t="s">
        <v>289</v>
      </c>
      <c r="I209" s="172" t="s">
        <v>292</v>
      </c>
      <c r="J209" s="172">
        <v>4</v>
      </c>
      <c r="K209" s="172">
        <v>2</v>
      </c>
      <c r="L209" s="152" t="s">
        <v>448</v>
      </c>
      <c r="M209" s="141">
        <v>1.8851851851851852E-2</v>
      </c>
    </row>
    <row r="210" spans="1:13" x14ac:dyDescent="0.3">
      <c r="A210" s="172" t="s">
        <v>227</v>
      </c>
      <c r="B210" s="172" t="s">
        <v>317</v>
      </c>
      <c r="C210" s="172">
        <v>60</v>
      </c>
      <c r="D210" s="172">
        <v>90</v>
      </c>
      <c r="E210" s="172" t="s">
        <v>1025</v>
      </c>
      <c r="F210" s="172">
        <v>6</v>
      </c>
      <c r="G210" s="172">
        <v>9</v>
      </c>
      <c r="H210" s="172" t="s">
        <v>289</v>
      </c>
      <c r="I210" s="172" t="s">
        <v>289</v>
      </c>
      <c r="J210" s="172">
        <v>4</v>
      </c>
      <c r="K210" s="172">
        <v>2</v>
      </c>
      <c r="L210" s="152" t="s">
        <v>448</v>
      </c>
      <c r="M210" s="141">
        <v>2.4507407407407408E-2</v>
      </c>
    </row>
    <row r="211" spans="1:13" x14ac:dyDescent="0.3">
      <c r="A211" s="172" t="s">
        <v>996</v>
      </c>
      <c r="B211" s="172" t="s">
        <v>317</v>
      </c>
      <c r="C211" s="172">
        <v>60</v>
      </c>
      <c r="D211" s="172">
        <v>90</v>
      </c>
      <c r="E211" s="172" t="s">
        <v>1013</v>
      </c>
      <c r="F211" s="172">
        <v>5</v>
      </c>
      <c r="G211" s="172">
        <v>8</v>
      </c>
      <c r="H211" s="172" t="s">
        <v>290</v>
      </c>
      <c r="I211" s="172" t="s">
        <v>290</v>
      </c>
      <c r="J211" s="172">
        <v>6</v>
      </c>
      <c r="K211" s="172">
        <v>3</v>
      </c>
      <c r="L211" s="152" t="s">
        <v>448</v>
      </c>
      <c r="M211" s="141">
        <v>2.0737037037037036E-2</v>
      </c>
    </row>
    <row r="212" spans="1:13" x14ac:dyDescent="0.3">
      <c r="A212" s="172" t="s">
        <v>997</v>
      </c>
      <c r="B212" s="172" t="s">
        <v>317</v>
      </c>
      <c r="C212" s="173">
        <v>60</v>
      </c>
      <c r="D212" s="173">
        <v>90</v>
      </c>
      <c r="E212" s="172" t="s">
        <v>1082</v>
      </c>
      <c r="F212" s="172">
        <v>4</v>
      </c>
      <c r="G212" s="172">
        <v>7</v>
      </c>
      <c r="H212" s="172" t="s">
        <v>290</v>
      </c>
      <c r="I212" s="172" t="s">
        <v>290</v>
      </c>
      <c r="J212" s="172">
        <v>5</v>
      </c>
      <c r="K212" s="172">
        <v>2</v>
      </c>
      <c r="L212" s="152" t="s">
        <v>448</v>
      </c>
      <c r="M212" s="141">
        <v>1.6966666666666668E-2</v>
      </c>
    </row>
    <row r="213" spans="1:13" x14ac:dyDescent="0.3">
      <c r="A213" s="172" t="s">
        <v>998</v>
      </c>
      <c r="B213" s="172" t="s">
        <v>317</v>
      </c>
      <c r="C213" s="172">
        <v>60</v>
      </c>
      <c r="D213" s="172">
        <v>90</v>
      </c>
      <c r="E213" s="172" t="s">
        <v>1082</v>
      </c>
      <c r="F213" s="172">
        <v>4</v>
      </c>
      <c r="G213" s="172">
        <v>7</v>
      </c>
      <c r="H213" s="172" t="s">
        <v>290</v>
      </c>
      <c r="I213" s="172" t="s">
        <v>290</v>
      </c>
      <c r="J213" s="172">
        <v>5</v>
      </c>
      <c r="K213" s="172">
        <v>2</v>
      </c>
      <c r="L213" s="152" t="s">
        <v>448</v>
      </c>
      <c r="M213" s="141">
        <v>1.6966666666666668E-2</v>
      </c>
    </row>
    <row r="214" spans="1:13" x14ac:dyDescent="0.3">
      <c r="A214" s="172" t="s">
        <v>999</v>
      </c>
      <c r="B214" s="172" t="s">
        <v>317</v>
      </c>
      <c r="C214" s="173">
        <v>60</v>
      </c>
      <c r="D214" s="173">
        <v>90</v>
      </c>
      <c r="E214" s="172" t="s">
        <v>1082</v>
      </c>
      <c r="F214" s="172">
        <v>4</v>
      </c>
      <c r="G214" s="172">
        <v>7</v>
      </c>
      <c r="H214" s="172" t="s">
        <v>290</v>
      </c>
      <c r="I214" s="172" t="s">
        <v>290</v>
      </c>
      <c r="J214" s="172">
        <v>5</v>
      </c>
      <c r="K214" s="172">
        <v>2</v>
      </c>
      <c r="L214" s="152" t="s">
        <v>448</v>
      </c>
      <c r="M214" s="141">
        <v>1.6966666666666668E-2</v>
      </c>
    </row>
    <row r="215" spans="1:13" x14ac:dyDescent="0.3">
      <c r="A215" s="172" t="s">
        <v>225</v>
      </c>
      <c r="B215" s="172" t="s">
        <v>318</v>
      </c>
      <c r="C215" s="172">
        <v>60</v>
      </c>
      <c r="D215" s="172">
        <v>90</v>
      </c>
      <c r="E215" s="172" t="s">
        <v>1016</v>
      </c>
      <c r="F215" s="172">
        <v>7</v>
      </c>
      <c r="G215" s="172">
        <v>11</v>
      </c>
      <c r="H215" s="172" t="s">
        <v>289</v>
      </c>
      <c r="I215" s="172" t="s">
        <v>292</v>
      </c>
      <c r="J215" s="172">
        <v>4</v>
      </c>
      <c r="K215" s="172">
        <v>2</v>
      </c>
      <c r="L215" s="151" t="s">
        <v>931</v>
      </c>
      <c r="M215" s="141">
        <v>3.0162962962962961E-2</v>
      </c>
    </row>
    <row r="216" spans="1:13" x14ac:dyDescent="0.3">
      <c r="A216" s="172" t="s">
        <v>226</v>
      </c>
      <c r="B216" s="172" t="s">
        <v>318</v>
      </c>
      <c r="C216" s="172">
        <v>60</v>
      </c>
      <c r="D216" s="172">
        <v>90</v>
      </c>
      <c r="E216" s="172" t="s">
        <v>1012</v>
      </c>
      <c r="F216" s="172">
        <v>5</v>
      </c>
      <c r="G216" s="172">
        <v>7</v>
      </c>
      <c r="H216" s="172" t="s">
        <v>289</v>
      </c>
      <c r="I216" s="172" t="s">
        <v>292</v>
      </c>
      <c r="J216" s="172">
        <v>4</v>
      </c>
      <c r="K216" s="172">
        <v>2</v>
      </c>
      <c r="L216" s="153" t="s">
        <v>448</v>
      </c>
      <c r="M216" s="141">
        <v>1.8851851851851852E-2</v>
      </c>
    </row>
    <row r="217" spans="1:13" x14ac:dyDescent="0.3">
      <c r="A217" s="172" t="s">
        <v>227</v>
      </c>
      <c r="B217" s="172" t="s">
        <v>318</v>
      </c>
      <c r="C217" s="172">
        <v>60</v>
      </c>
      <c r="D217" s="172">
        <v>90</v>
      </c>
      <c r="E217" s="172" t="s">
        <v>1012</v>
      </c>
      <c r="F217" s="172">
        <v>5</v>
      </c>
      <c r="G217" s="172">
        <v>7</v>
      </c>
      <c r="H217" s="172" t="s">
        <v>289</v>
      </c>
      <c r="I217" s="172" t="s">
        <v>289</v>
      </c>
      <c r="J217" s="172">
        <v>4</v>
      </c>
      <c r="K217" s="172">
        <v>2</v>
      </c>
      <c r="L217" s="152" t="s">
        <v>448</v>
      </c>
      <c r="M217" s="141">
        <v>1.8851851851851852E-2</v>
      </c>
    </row>
    <row r="218" spans="1:13" x14ac:dyDescent="0.3">
      <c r="A218" s="172" t="s">
        <v>996</v>
      </c>
      <c r="B218" s="172" t="s">
        <v>318</v>
      </c>
      <c r="C218" s="172">
        <v>60</v>
      </c>
      <c r="D218" s="172">
        <v>90</v>
      </c>
      <c r="E218" s="172" t="s">
        <v>1013</v>
      </c>
      <c r="F218" s="172">
        <v>5</v>
      </c>
      <c r="G218" s="172">
        <v>8</v>
      </c>
      <c r="H218" s="172" t="s">
        <v>290</v>
      </c>
      <c r="I218" s="172" t="s">
        <v>290</v>
      </c>
      <c r="J218" s="172">
        <v>6</v>
      </c>
      <c r="K218" s="172">
        <v>3</v>
      </c>
      <c r="L218" s="152" t="s">
        <v>448</v>
      </c>
      <c r="M218" s="141">
        <v>2.0737037037037036E-2</v>
      </c>
    </row>
    <row r="219" spans="1:13" x14ac:dyDescent="0.3">
      <c r="A219" s="172" t="s">
        <v>997</v>
      </c>
      <c r="B219" s="172" t="s">
        <v>318</v>
      </c>
      <c r="C219" s="172">
        <v>60</v>
      </c>
      <c r="D219" s="172">
        <v>90</v>
      </c>
      <c r="E219" s="172" t="s">
        <v>1082</v>
      </c>
      <c r="F219" s="172">
        <v>4</v>
      </c>
      <c r="G219" s="172">
        <v>7</v>
      </c>
      <c r="H219" s="172" t="s">
        <v>290</v>
      </c>
      <c r="I219" s="172" t="s">
        <v>290</v>
      </c>
      <c r="J219" s="172">
        <v>5</v>
      </c>
      <c r="K219" s="172">
        <v>2</v>
      </c>
      <c r="L219" s="152" t="s">
        <v>448</v>
      </c>
      <c r="M219" s="141">
        <v>1.6966666666666668E-2</v>
      </c>
    </row>
    <row r="220" spans="1:13" x14ac:dyDescent="0.3">
      <c r="A220" s="172" t="s">
        <v>998</v>
      </c>
      <c r="B220" s="172" t="s">
        <v>318</v>
      </c>
      <c r="C220" s="172">
        <v>60</v>
      </c>
      <c r="D220" s="172">
        <v>90</v>
      </c>
      <c r="E220" s="172" t="s">
        <v>1082</v>
      </c>
      <c r="F220" s="172">
        <v>4</v>
      </c>
      <c r="G220" s="172">
        <v>7</v>
      </c>
      <c r="H220" s="172" t="s">
        <v>290</v>
      </c>
      <c r="I220" s="172" t="s">
        <v>290</v>
      </c>
      <c r="J220" s="172">
        <v>5</v>
      </c>
      <c r="K220" s="172">
        <v>2</v>
      </c>
      <c r="L220" s="152" t="s">
        <v>448</v>
      </c>
      <c r="M220" s="141">
        <v>1.6966666666666668E-2</v>
      </c>
    </row>
    <row r="221" spans="1:13" x14ac:dyDescent="0.3">
      <c r="A221" s="172" t="s">
        <v>999</v>
      </c>
      <c r="B221" s="172" t="s">
        <v>318</v>
      </c>
      <c r="C221" s="173">
        <v>60</v>
      </c>
      <c r="D221" s="173">
        <v>90</v>
      </c>
      <c r="E221" s="172" t="s">
        <v>1082</v>
      </c>
      <c r="F221" s="172">
        <v>4</v>
      </c>
      <c r="G221" s="172">
        <v>7</v>
      </c>
      <c r="H221" s="172" t="s">
        <v>290</v>
      </c>
      <c r="I221" s="172" t="s">
        <v>290</v>
      </c>
      <c r="J221" s="172">
        <v>5</v>
      </c>
      <c r="K221" s="172">
        <v>2</v>
      </c>
      <c r="L221" s="152" t="s">
        <v>448</v>
      </c>
      <c r="M221" s="141">
        <v>1.6966666666666668E-2</v>
      </c>
    </row>
    <row r="222" spans="1:13" x14ac:dyDescent="0.3">
      <c r="A222" s="172" t="s">
        <v>996</v>
      </c>
      <c r="B222" s="172" t="s">
        <v>1074</v>
      </c>
      <c r="C222" s="172">
        <v>80</v>
      </c>
      <c r="D222" s="172">
        <v>100</v>
      </c>
      <c r="E222" s="172" t="s">
        <v>1013</v>
      </c>
      <c r="F222" s="172">
        <v>6</v>
      </c>
      <c r="G222" s="172">
        <v>7</v>
      </c>
      <c r="H222" s="172" t="s">
        <v>290</v>
      </c>
      <c r="I222" s="172" t="s">
        <v>290</v>
      </c>
      <c r="J222" s="172">
        <v>5</v>
      </c>
      <c r="K222" s="172">
        <v>4</v>
      </c>
      <c r="L222" s="152" t="s">
        <v>448</v>
      </c>
      <c r="M222" s="141">
        <v>1.39975E-2</v>
      </c>
    </row>
    <row r="223" spans="1:13" x14ac:dyDescent="0.3">
      <c r="A223" s="172" t="s">
        <v>997</v>
      </c>
      <c r="B223" s="172" t="s">
        <v>1074</v>
      </c>
      <c r="C223" s="172">
        <v>80</v>
      </c>
      <c r="D223" s="172">
        <v>100</v>
      </c>
      <c r="E223" s="172" t="s">
        <v>1082</v>
      </c>
      <c r="F223" s="172">
        <v>5</v>
      </c>
      <c r="G223" s="172">
        <v>6</v>
      </c>
      <c r="H223" s="172" t="s">
        <v>290</v>
      </c>
      <c r="I223" s="172" t="s">
        <v>290</v>
      </c>
      <c r="J223" s="172">
        <v>4</v>
      </c>
      <c r="K223" s="172">
        <v>3</v>
      </c>
      <c r="L223" s="152" t="s">
        <v>448</v>
      </c>
      <c r="M223" s="141">
        <v>1.1452500000000001E-2</v>
      </c>
    </row>
    <row r="224" spans="1:13" x14ac:dyDescent="0.3">
      <c r="A224" s="172" t="s">
        <v>998</v>
      </c>
      <c r="B224" s="172" t="s">
        <v>1074</v>
      </c>
      <c r="C224" s="172">
        <v>80</v>
      </c>
      <c r="D224" s="172">
        <v>100</v>
      </c>
      <c r="E224" s="172" t="s">
        <v>1082</v>
      </c>
      <c r="F224" s="172">
        <v>5</v>
      </c>
      <c r="G224" s="172">
        <v>6</v>
      </c>
      <c r="H224" s="172" t="s">
        <v>290</v>
      </c>
      <c r="I224" s="172" t="s">
        <v>290</v>
      </c>
      <c r="J224" s="172">
        <v>4</v>
      </c>
      <c r="K224" s="172">
        <v>3</v>
      </c>
      <c r="L224" s="152" t="s">
        <v>448</v>
      </c>
      <c r="M224" s="141">
        <v>1.1452500000000001E-2</v>
      </c>
    </row>
    <row r="225" spans="1:13" x14ac:dyDescent="0.3">
      <c r="A225" s="172" t="s">
        <v>999</v>
      </c>
      <c r="B225" s="172" t="s">
        <v>1074</v>
      </c>
      <c r="C225" s="172">
        <v>80</v>
      </c>
      <c r="D225" s="172">
        <v>100</v>
      </c>
      <c r="E225" s="172" t="s">
        <v>1082</v>
      </c>
      <c r="F225" s="172">
        <v>5</v>
      </c>
      <c r="G225" s="172">
        <v>6</v>
      </c>
      <c r="H225" s="172" t="s">
        <v>290</v>
      </c>
      <c r="I225" s="172" t="s">
        <v>290</v>
      </c>
      <c r="J225" s="172">
        <v>4</v>
      </c>
      <c r="K225" s="172">
        <v>3</v>
      </c>
      <c r="L225" s="152" t="s">
        <v>448</v>
      </c>
      <c r="M225" s="141">
        <v>1.1452500000000001E-2</v>
      </c>
    </row>
    <row r="226" spans="1:13" x14ac:dyDescent="0.3">
      <c r="A226" s="172" t="s">
        <v>226</v>
      </c>
      <c r="B226" s="172" t="s">
        <v>319</v>
      </c>
      <c r="C226" s="172">
        <v>70</v>
      </c>
      <c r="D226" s="172">
        <v>145</v>
      </c>
      <c r="E226" s="172" t="s">
        <v>1025</v>
      </c>
      <c r="F226" s="172">
        <v>5</v>
      </c>
      <c r="G226" s="172">
        <v>10</v>
      </c>
      <c r="H226" s="172" t="s">
        <v>289</v>
      </c>
      <c r="I226" s="172" t="s">
        <v>290</v>
      </c>
      <c r="J226" s="172">
        <v>8</v>
      </c>
      <c r="K226" s="172">
        <v>3</v>
      </c>
      <c r="L226" s="153" t="s">
        <v>448</v>
      </c>
      <c r="M226" s="141">
        <v>1.3038423645320197E-2</v>
      </c>
    </row>
    <row r="227" spans="1:13" x14ac:dyDescent="0.3">
      <c r="A227" s="172" t="s">
        <v>227</v>
      </c>
      <c r="B227" s="172" t="s">
        <v>319</v>
      </c>
      <c r="C227" s="172">
        <v>70</v>
      </c>
      <c r="D227" s="172">
        <v>145</v>
      </c>
      <c r="E227" s="172" t="s">
        <v>1025</v>
      </c>
      <c r="F227" s="172">
        <v>5</v>
      </c>
      <c r="G227" s="172">
        <v>10</v>
      </c>
      <c r="H227" s="172" t="s">
        <v>289</v>
      </c>
      <c r="I227" s="172" t="s">
        <v>289</v>
      </c>
      <c r="J227" s="172">
        <v>8</v>
      </c>
      <c r="K227" s="172">
        <v>3</v>
      </c>
      <c r="L227" s="152" t="s">
        <v>448</v>
      </c>
      <c r="M227" s="141">
        <v>1.3038423645320197E-2</v>
      </c>
    </row>
    <row r="228" spans="1:13" x14ac:dyDescent="0.3">
      <c r="A228" s="172" t="s">
        <v>225</v>
      </c>
      <c r="B228" s="172" t="s">
        <v>320</v>
      </c>
      <c r="C228" s="172">
        <v>60</v>
      </c>
      <c r="D228" s="172">
        <v>90</v>
      </c>
      <c r="E228" s="172" t="s">
        <v>1017</v>
      </c>
      <c r="F228" s="172">
        <v>4</v>
      </c>
      <c r="G228" s="172">
        <v>6</v>
      </c>
      <c r="H228" s="172" t="s">
        <v>289</v>
      </c>
      <c r="I228" s="172" t="s">
        <v>292</v>
      </c>
      <c r="J228" s="172">
        <v>3</v>
      </c>
      <c r="K228" s="172">
        <v>2</v>
      </c>
      <c r="L228" s="152" t="s">
        <v>448</v>
      </c>
      <c r="M228" s="141">
        <v>1.508148148148148E-2</v>
      </c>
    </row>
    <row r="229" spans="1:13" x14ac:dyDescent="0.3">
      <c r="A229" s="172" t="s">
        <v>226</v>
      </c>
      <c r="B229" s="172" t="s">
        <v>320</v>
      </c>
      <c r="C229" s="172">
        <v>60</v>
      </c>
      <c r="D229" s="172">
        <v>90</v>
      </c>
      <c r="E229" s="172" t="s">
        <v>1017</v>
      </c>
      <c r="F229" s="172">
        <v>4</v>
      </c>
      <c r="G229" s="172">
        <v>6</v>
      </c>
      <c r="H229" s="172" t="s">
        <v>289</v>
      </c>
      <c r="I229" s="172" t="s">
        <v>290</v>
      </c>
      <c r="J229" s="172">
        <v>4</v>
      </c>
      <c r="K229" s="172">
        <v>2</v>
      </c>
      <c r="L229" s="153" t="s">
        <v>448</v>
      </c>
      <c r="M229" s="141">
        <v>1.508148148148148E-2</v>
      </c>
    </row>
    <row r="230" spans="1:13" x14ac:dyDescent="0.3">
      <c r="A230" s="172" t="s">
        <v>227</v>
      </c>
      <c r="B230" s="172" t="s">
        <v>320</v>
      </c>
      <c r="C230" s="172">
        <v>60</v>
      </c>
      <c r="D230" s="172">
        <v>90</v>
      </c>
      <c r="E230" s="172" t="s">
        <v>1017</v>
      </c>
      <c r="F230" s="172">
        <v>4</v>
      </c>
      <c r="G230" s="172">
        <v>6</v>
      </c>
      <c r="H230" s="172" t="s">
        <v>289</v>
      </c>
      <c r="I230" s="172" t="s">
        <v>289</v>
      </c>
      <c r="J230" s="172">
        <v>4</v>
      </c>
      <c r="K230" s="172">
        <v>2</v>
      </c>
      <c r="L230" s="152" t="s">
        <v>448</v>
      </c>
      <c r="M230" s="141">
        <v>1.508148148148148E-2</v>
      </c>
    </row>
    <row r="231" spans="1:13" x14ac:dyDescent="0.3">
      <c r="A231" s="172" t="s">
        <v>996</v>
      </c>
      <c r="B231" s="172" t="s">
        <v>320</v>
      </c>
      <c r="C231" s="173">
        <v>60</v>
      </c>
      <c r="D231" s="173">
        <v>90</v>
      </c>
      <c r="E231" s="173" t="s">
        <v>1013</v>
      </c>
      <c r="F231" s="173">
        <v>5</v>
      </c>
      <c r="G231" s="173">
        <v>8</v>
      </c>
      <c r="H231" s="173" t="s">
        <v>290</v>
      </c>
      <c r="I231" s="173" t="s">
        <v>290</v>
      </c>
      <c r="J231" s="173">
        <v>6</v>
      </c>
      <c r="K231" s="173">
        <v>3</v>
      </c>
      <c r="L231" s="152" t="s">
        <v>448</v>
      </c>
      <c r="M231" s="141">
        <v>2.0737037037037036E-2</v>
      </c>
    </row>
    <row r="232" spans="1:13" x14ac:dyDescent="0.3">
      <c r="A232" s="172" t="s">
        <v>997</v>
      </c>
      <c r="B232" s="172" t="s">
        <v>320</v>
      </c>
      <c r="C232" s="172">
        <v>60</v>
      </c>
      <c r="D232" s="172">
        <v>90</v>
      </c>
      <c r="E232" s="172" t="s">
        <v>1082</v>
      </c>
      <c r="F232" s="172">
        <v>4</v>
      </c>
      <c r="G232" s="172">
        <v>7</v>
      </c>
      <c r="H232" s="172" t="s">
        <v>290</v>
      </c>
      <c r="I232" s="172" t="s">
        <v>290</v>
      </c>
      <c r="J232" s="172">
        <v>5</v>
      </c>
      <c r="K232" s="172">
        <v>2</v>
      </c>
      <c r="L232" s="152" t="s">
        <v>448</v>
      </c>
      <c r="M232" s="141">
        <v>1.6966666666666668E-2</v>
      </c>
    </row>
    <row r="233" spans="1:13" x14ac:dyDescent="0.3">
      <c r="A233" s="172" t="s">
        <v>998</v>
      </c>
      <c r="B233" s="172" t="s">
        <v>320</v>
      </c>
      <c r="C233" s="172">
        <v>60</v>
      </c>
      <c r="D233" s="172">
        <v>90</v>
      </c>
      <c r="E233" s="172" t="s">
        <v>1082</v>
      </c>
      <c r="F233" s="172">
        <v>4</v>
      </c>
      <c r="G233" s="172">
        <v>7</v>
      </c>
      <c r="H233" s="172" t="s">
        <v>290</v>
      </c>
      <c r="I233" s="172" t="s">
        <v>290</v>
      </c>
      <c r="J233" s="172">
        <v>5</v>
      </c>
      <c r="K233" s="172">
        <v>2</v>
      </c>
      <c r="L233" s="152" t="s">
        <v>448</v>
      </c>
      <c r="M233" s="141">
        <v>1.6966666666666668E-2</v>
      </c>
    </row>
    <row r="234" spans="1:13" x14ac:dyDescent="0.3">
      <c r="A234" s="172" t="s">
        <v>999</v>
      </c>
      <c r="B234" s="172" t="s">
        <v>320</v>
      </c>
      <c r="C234" s="172">
        <v>60</v>
      </c>
      <c r="D234" s="172">
        <v>90</v>
      </c>
      <c r="E234" s="172" t="s">
        <v>1082</v>
      </c>
      <c r="F234" s="172">
        <v>4</v>
      </c>
      <c r="G234" s="172">
        <v>7</v>
      </c>
      <c r="H234" s="172" t="s">
        <v>290</v>
      </c>
      <c r="I234" s="172" t="s">
        <v>290</v>
      </c>
      <c r="J234" s="172">
        <v>5</v>
      </c>
      <c r="K234" s="172">
        <v>2</v>
      </c>
      <c r="L234" s="152" t="s">
        <v>448</v>
      </c>
      <c r="M234" s="141">
        <v>1.6966666666666668E-2</v>
      </c>
    </row>
    <row r="235" spans="1:13" x14ac:dyDescent="0.3">
      <c r="A235" s="172" t="s">
        <v>226</v>
      </c>
      <c r="B235" s="172" t="s">
        <v>321</v>
      </c>
      <c r="C235" s="172">
        <v>70</v>
      </c>
      <c r="D235" s="172">
        <v>70</v>
      </c>
      <c r="E235" s="172" t="s">
        <v>1012</v>
      </c>
      <c r="F235" s="172">
        <v>6</v>
      </c>
      <c r="G235" s="172">
        <v>6</v>
      </c>
      <c r="H235" s="172" t="s">
        <v>289</v>
      </c>
      <c r="I235" s="172" t="s">
        <v>290</v>
      </c>
      <c r="J235" s="172">
        <v>3</v>
      </c>
      <c r="K235" s="172">
        <v>3</v>
      </c>
      <c r="L235" s="153" t="s">
        <v>448</v>
      </c>
      <c r="M235" s="141">
        <v>2.0775510204081631E-2</v>
      </c>
    </row>
    <row r="236" spans="1:13" x14ac:dyDescent="0.3">
      <c r="A236" s="172" t="s">
        <v>227</v>
      </c>
      <c r="B236" s="172" t="s">
        <v>321</v>
      </c>
      <c r="C236" s="173">
        <v>70</v>
      </c>
      <c r="D236" s="173">
        <v>70</v>
      </c>
      <c r="E236" s="172" t="s">
        <v>1012</v>
      </c>
      <c r="F236" s="172">
        <v>6</v>
      </c>
      <c r="G236" s="172">
        <v>6</v>
      </c>
      <c r="H236" s="172" t="s">
        <v>289</v>
      </c>
      <c r="I236" s="172" t="s">
        <v>289</v>
      </c>
      <c r="J236" s="172">
        <v>3</v>
      </c>
      <c r="K236" s="172">
        <v>3</v>
      </c>
      <c r="L236" s="152" t="s">
        <v>448</v>
      </c>
      <c r="M236" s="141">
        <v>2.0775510204081631E-2</v>
      </c>
    </row>
    <row r="237" spans="1:13" x14ac:dyDescent="0.3">
      <c r="A237" s="172" t="s">
        <v>225</v>
      </c>
      <c r="B237" s="172" t="s">
        <v>300</v>
      </c>
      <c r="C237" s="172">
        <v>60</v>
      </c>
      <c r="D237" s="172">
        <v>90</v>
      </c>
      <c r="E237" s="172" t="s">
        <v>1016</v>
      </c>
      <c r="F237" s="172">
        <v>7</v>
      </c>
      <c r="G237" s="172">
        <v>11</v>
      </c>
      <c r="H237" s="172" t="s">
        <v>289</v>
      </c>
      <c r="I237" s="172" t="s">
        <v>290</v>
      </c>
      <c r="J237" s="172">
        <v>4</v>
      </c>
      <c r="K237" s="172">
        <v>2</v>
      </c>
      <c r="L237" s="151" t="s">
        <v>931</v>
      </c>
      <c r="M237" s="141">
        <v>3.0162962962962961E-2</v>
      </c>
    </row>
    <row r="238" spans="1:13" x14ac:dyDescent="0.3">
      <c r="A238" s="172" t="s">
        <v>226</v>
      </c>
      <c r="B238" s="172" t="s">
        <v>300</v>
      </c>
      <c r="C238" s="172">
        <v>60</v>
      </c>
      <c r="D238" s="172">
        <v>90</v>
      </c>
      <c r="E238" s="172" t="s">
        <v>1013</v>
      </c>
      <c r="F238" s="172">
        <v>5</v>
      </c>
      <c r="G238" s="172">
        <v>8</v>
      </c>
      <c r="H238" s="172" t="s">
        <v>289</v>
      </c>
      <c r="I238" s="172" t="s">
        <v>290</v>
      </c>
      <c r="J238" s="172">
        <v>4</v>
      </c>
      <c r="K238" s="172">
        <v>2</v>
      </c>
      <c r="L238" s="153" t="s">
        <v>448</v>
      </c>
      <c r="M238" s="141">
        <v>2.0737037037037036E-2</v>
      </c>
    </row>
    <row r="239" spans="1:13" x14ac:dyDescent="0.3">
      <c r="A239" s="172" t="s">
        <v>227</v>
      </c>
      <c r="B239" s="172" t="s">
        <v>300</v>
      </c>
      <c r="C239" s="172">
        <v>60</v>
      </c>
      <c r="D239" s="172">
        <v>90</v>
      </c>
      <c r="E239" s="172" t="s">
        <v>1025</v>
      </c>
      <c r="F239" s="172">
        <v>6</v>
      </c>
      <c r="G239" s="172">
        <v>9</v>
      </c>
      <c r="H239" s="172" t="s">
        <v>289</v>
      </c>
      <c r="I239" s="172" t="s">
        <v>289</v>
      </c>
      <c r="J239" s="172">
        <v>4</v>
      </c>
      <c r="K239" s="172">
        <v>2</v>
      </c>
      <c r="L239" s="152" t="s">
        <v>448</v>
      </c>
      <c r="M239" s="141">
        <v>2.4507407407407408E-2</v>
      </c>
    </row>
    <row r="240" spans="1:13" x14ac:dyDescent="0.3">
      <c r="A240" s="172" t="s">
        <v>996</v>
      </c>
      <c r="B240" s="172" t="s">
        <v>300</v>
      </c>
      <c r="C240" s="172">
        <v>60</v>
      </c>
      <c r="D240" s="172">
        <v>90</v>
      </c>
      <c r="E240" s="172" t="s">
        <v>1013</v>
      </c>
      <c r="F240" s="172">
        <v>5</v>
      </c>
      <c r="G240" s="172">
        <v>8</v>
      </c>
      <c r="H240" s="172" t="s">
        <v>290</v>
      </c>
      <c r="I240" s="172" t="s">
        <v>290</v>
      </c>
      <c r="J240" s="172">
        <v>6</v>
      </c>
      <c r="K240" s="172">
        <v>3</v>
      </c>
      <c r="L240" s="152" t="s">
        <v>448</v>
      </c>
      <c r="M240" s="141">
        <v>2.0737037037037036E-2</v>
      </c>
    </row>
    <row r="241" spans="1:13" x14ac:dyDescent="0.3">
      <c r="A241" s="172" t="s">
        <v>997</v>
      </c>
      <c r="B241" s="172" t="s">
        <v>300</v>
      </c>
      <c r="C241" s="172">
        <v>60</v>
      </c>
      <c r="D241" s="172">
        <v>90</v>
      </c>
      <c r="E241" s="172" t="s">
        <v>1082</v>
      </c>
      <c r="F241" s="172">
        <v>4</v>
      </c>
      <c r="G241" s="172">
        <v>7</v>
      </c>
      <c r="H241" s="172" t="s">
        <v>290</v>
      </c>
      <c r="I241" s="172" t="s">
        <v>290</v>
      </c>
      <c r="J241" s="172">
        <v>5</v>
      </c>
      <c r="K241" s="172">
        <v>2</v>
      </c>
      <c r="L241" s="152" t="s">
        <v>448</v>
      </c>
      <c r="M241" s="141">
        <v>1.6966666666666668E-2</v>
      </c>
    </row>
    <row r="242" spans="1:13" x14ac:dyDescent="0.3">
      <c r="A242" s="172" t="s">
        <v>998</v>
      </c>
      <c r="B242" s="172" t="s">
        <v>300</v>
      </c>
      <c r="C242" s="172">
        <v>60</v>
      </c>
      <c r="D242" s="172">
        <v>90</v>
      </c>
      <c r="E242" s="172" t="s">
        <v>1082</v>
      </c>
      <c r="F242" s="172">
        <v>4</v>
      </c>
      <c r="G242" s="172">
        <v>7</v>
      </c>
      <c r="H242" s="172" t="s">
        <v>290</v>
      </c>
      <c r="I242" s="172" t="s">
        <v>290</v>
      </c>
      <c r="J242" s="172">
        <v>5</v>
      </c>
      <c r="K242" s="172">
        <v>2</v>
      </c>
      <c r="L242" s="152" t="s">
        <v>448</v>
      </c>
      <c r="M242" s="141">
        <v>1.6966666666666668E-2</v>
      </c>
    </row>
    <row r="243" spans="1:13" x14ac:dyDescent="0.3">
      <c r="A243" s="172" t="s">
        <v>999</v>
      </c>
      <c r="B243" s="172" t="s">
        <v>300</v>
      </c>
      <c r="C243" s="172">
        <v>60</v>
      </c>
      <c r="D243" s="172">
        <v>90</v>
      </c>
      <c r="E243" s="172" t="s">
        <v>1082</v>
      </c>
      <c r="F243" s="172">
        <v>4</v>
      </c>
      <c r="G243" s="172">
        <v>7</v>
      </c>
      <c r="H243" s="172" t="s">
        <v>290</v>
      </c>
      <c r="I243" s="172" t="s">
        <v>290</v>
      </c>
      <c r="J243" s="172">
        <v>5</v>
      </c>
      <c r="K243" s="172">
        <v>2</v>
      </c>
      <c r="L243" s="152" t="s">
        <v>448</v>
      </c>
      <c r="M243" s="141">
        <v>1.6966666666666668E-2</v>
      </c>
    </row>
    <row r="244" spans="1:13" x14ac:dyDescent="0.3">
      <c r="A244" s="172" t="s">
        <v>225</v>
      </c>
      <c r="B244" s="172" t="s">
        <v>301</v>
      </c>
      <c r="C244" s="172">
        <v>90</v>
      </c>
      <c r="D244" s="172">
        <v>60</v>
      </c>
      <c r="E244" s="172" t="s">
        <v>1018</v>
      </c>
      <c r="F244" s="172">
        <v>12</v>
      </c>
      <c r="G244" s="172">
        <v>8</v>
      </c>
      <c r="H244" s="172" t="s">
        <v>289</v>
      </c>
      <c r="I244" s="172" t="s">
        <v>292</v>
      </c>
      <c r="J244" s="172">
        <v>3</v>
      </c>
      <c r="K244" s="172">
        <v>5</v>
      </c>
      <c r="L244" s="151" t="s">
        <v>931</v>
      </c>
      <c r="M244" s="141">
        <v>3.3933333333333336E-2</v>
      </c>
    </row>
    <row r="245" spans="1:13" x14ac:dyDescent="0.3">
      <c r="A245" s="172" t="s">
        <v>226</v>
      </c>
      <c r="B245" s="172" t="s">
        <v>301</v>
      </c>
      <c r="C245" s="172">
        <v>90</v>
      </c>
      <c r="D245" s="172">
        <v>60</v>
      </c>
      <c r="E245" s="172" t="s">
        <v>1013</v>
      </c>
      <c r="F245" s="172">
        <v>8</v>
      </c>
      <c r="G245" s="172">
        <v>5</v>
      </c>
      <c r="H245" s="172" t="s">
        <v>289</v>
      </c>
      <c r="I245" s="172" t="s">
        <v>292</v>
      </c>
      <c r="J245" s="172">
        <v>2</v>
      </c>
      <c r="K245" s="172">
        <v>4</v>
      </c>
      <c r="L245" s="153" t="s">
        <v>448</v>
      </c>
      <c r="M245" s="141">
        <v>2.0737037037037036E-2</v>
      </c>
    </row>
    <row r="246" spans="1:13" x14ac:dyDescent="0.3">
      <c r="A246" s="172" t="s">
        <v>227</v>
      </c>
      <c r="B246" s="172" t="s">
        <v>301</v>
      </c>
      <c r="C246" s="172">
        <v>90</v>
      </c>
      <c r="D246" s="172">
        <v>60</v>
      </c>
      <c r="E246" s="172" t="s">
        <v>1025</v>
      </c>
      <c r="F246" s="172">
        <v>9</v>
      </c>
      <c r="G246" s="172">
        <v>6</v>
      </c>
      <c r="H246" s="172" t="s">
        <v>289</v>
      </c>
      <c r="I246" s="172" t="s">
        <v>289</v>
      </c>
      <c r="J246" s="172">
        <v>2</v>
      </c>
      <c r="K246" s="172">
        <v>4</v>
      </c>
      <c r="L246" s="152" t="s">
        <v>448</v>
      </c>
      <c r="M246" s="141">
        <v>2.4507407407407408E-2</v>
      </c>
    </row>
    <row r="247" spans="1:13" x14ac:dyDescent="0.3">
      <c r="A247" s="172" t="s">
        <v>996</v>
      </c>
      <c r="B247" s="172" t="s">
        <v>301</v>
      </c>
      <c r="C247" s="172">
        <v>90</v>
      </c>
      <c r="D247" s="172">
        <v>60</v>
      </c>
      <c r="E247" s="172" t="s">
        <v>1013</v>
      </c>
      <c r="F247" s="172">
        <v>8</v>
      </c>
      <c r="G247" s="172">
        <v>5</v>
      </c>
      <c r="H247" s="172" t="s">
        <v>290</v>
      </c>
      <c r="I247" s="172" t="s">
        <v>290</v>
      </c>
      <c r="J247" s="172">
        <v>3</v>
      </c>
      <c r="K247" s="172">
        <v>6</v>
      </c>
      <c r="L247" s="152" t="s">
        <v>448</v>
      </c>
      <c r="M247" s="141">
        <v>2.0737037037037036E-2</v>
      </c>
    </row>
    <row r="248" spans="1:13" x14ac:dyDescent="0.3">
      <c r="A248" s="172" t="s">
        <v>997</v>
      </c>
      <c r="B248" s="172" t="s">
        <v>301</v>
      </c>
      <c r="C248" s="172">
        <v>90</v>
      </c>
      <c r="D248" s="172">
        <v>60</v>
      </c>
      <c r="E248" s="172" t="s">
        <v>1082</v>
      </c>
      <c r="F248" s="172">
        <v>7</v>
      </c>
      <c r="G248" s="172">
        <v>4</v>
      </c>
      <c r="H248" s="172" t="s">
        <v>290</v>
      </c>
      <c r="I248" s="172" t="s">
        <v>290</v>
      </c>
      <c r="J248" s="172">
        <v>2</v>
      </c>
      <c r="K248" s="172">
        <v>5</v>
      </c>
      <c r="L248" s="152" t="s">
        <v>448</v>
      </c>
      <c r="M248" s="141">
        <v>1.6966666666666668E-2</v>
      </c>
    </row>
    <row r="249" spans="1:13" x14ac:dyDescent="0.3">
      <c r="A249" s="172" t="s">
        <v>998</v>
      </c>
      <c r="B249" s="172" t="s">
        <v>301</v>
      </c>
      <c r="C249" s="172">
        <v>90</v>
      </c>
      <c r="D249" s="172">
        <v>60</v>
      </c>
      <c r="E249" s="172" t="s">
        <v>1082</v>
      </c>
      <c r="F249" s="172">
        <v>7</v>
      </c>
      <c r="G249" s="172">
        <v>4</v>
      </c>
      <c r="H249" s="172" t="s">
        <v>290</v>
      </c>
      <c r="I249" s="172" t="s">
        <v>290</v>
      </c>
      <c r="J249" s="172">
        <v>2</v>
      </c>
      <c r="K249" s="172">
        <v>5</v>
      </c>
      <c r="L249" s="152" t="s">
        <v>448</v>
      </c>
      <c r="M249" s="141">
        <v>1.6966666666666668E-2</v>
      </c>
    </row>
    <row r="250" spans="1:13" x14ac:dyDescent="0.3">
      <c r="A250" s="172" t="s">
        <v>999</v>
      </c>
      <c r="B250" s="172" t="s">
        <v>301</v>
      </c>
      <c r="C250" s="172">
        <v>90</v>
      </c>
      <c r="D250" s="172">
        <v>60</v>
      </c>
      <c r="E250" s="172" t="s">
        <v>1082</v>
      </c>
      <c r="F250" s="172">
        <v>7</v>
      </c>
      <c r="G250" s="172">
        <v>4</v>
      </c>
      <c r="H250" s="172" t="s">
        <v>290</v>
      </c>
      <c r="I250" s="172" t="s">
        <v>290</v>
      </c>
      <c r="J250" s="172">
        <v>2</v>
      </c>
      <c r="K250" s="172">
        <v>5</v>
      </c>
      <c r="L250" s="152" t="s">
        <v>448</v>
      </c>
      <c r="M250" s="141">
        <v>1.6966666666666668E-2</v>
      </c>
    </row>
    <row r="251" spans="1:13" x14ac:dyDescent="0.3">
      <c r="A251" s="172" t="s">
        <v>291</v>
      </c>
      <c r="B251" s="172" t="s">
        <v>306</v>
      </c>
      <c r="C251" s="172">
        <v>90</v>
      </c>
      <c r="D251" s="172">
        <v>90</v>
      </c>
      <c r="E251" s="172" t="s">
        <v>1012</v>
      </c>
      <c r="F251" s="172">
        <v>6</v>
      </c>
      <c r="G251" s="172">
        <v>6</v>
      </c>
      <c r="H251" s="172" t="s">
        <v>289</v>
      </c>
      <c r="I251" s="172" t="s">
        <v>292</v>
      </c>
      <c r="J251" s="172">
        <v>3</v>
      </c>
      <c r="K251" s="172">
        <v>3</v>
      </c>
      <c r="L251" s="154" t="s">
        <v>1062</v>
      </c>
      <c r="M251" s="141">
        <v>1.2567901234567901E-2</v>
      </c>
    </row>
    <row r="252" spans="1:13" ht="78" x14ac:dyDescent="0.3">
      <c r="A252" s="172" t="s">
        <v>982</v>
      </c>
      <c r="B252" s="172" t="s">
        <v>306</v>
      </c>
      <c r="C252" s="172">
        <v>90</v>
      </c>
      <c r="D252" s="172">
        <v>90</v>
      </c>
      <c r="E252" s="172" t="s">
        <v>1012</v>
      </c>
      <c r="F252" s="172">
        <v>6</v>
      </c>
      <c r="G252" s="172">
        <v>6</v>
      </c>
      <c r="H252" s="172" t="s">
        <v>289</v>
      </c>
      <c r="I252" s="172" t="s">
        <v>290</v>
      </c>
      <c r="J252" s="172">
        <v>2</v>
      </c>
      <c r="K252" s="172">
        <v>2</v>
      </c>
      <c r="L252" s="151" t="s">
        <v>1060</v>
      </c>
      <c r="M252" s="141">
        <v>1.2567901234567901E-2</v>
      </c>
    </row>
    <row r="253" spans="1:13" x14ac:dyDescent="0.3">
      <c r="A253" s="172" t="s">
        <v>983</v>
      </c>
      <c r="B253" s="172" t="s">
        <v>306</v>
      </c>
      <c r="C253" s="172">
        <v>90</v>
      </c>
      <c r="D253" s="172">
        <v>90</v>
      </c>
      <c r="E253" s="172" t="s">
        <v>1012</v>
      </c>
      <c r="F253" s="172">
        <v>6</v>
      </c>
      <c r="G253" s="172">
        <v>6</v>
      </c>
      <c r="H253" s="172" t="s">
        <v>289</v>
      </c>
      <c r="I253" s="172" t="s">
        <v>290</v>
      </c>
      <c r="J253" s="172">
        <v>2</v>
      </c>
      <c r="K253" s="172">
        <v>2</v>
      </c>
      <c r="L253" s="154" t="s">
        <v>1062</v>
      </c>
      <c r="M253" s="141">
        <v>1.2567901234567901E-2</v>
      </c>
    </row>
    <row r="254" spans="1:13" x14ac:dyDescent="0.3">
      <c r="A254" s="172" t="s">
        <v>984</v>
      </c>
      <c r="B254" s="172" t="s">
        <v>306</v>
      </c>
      <c r="C254" s="173">
        <v>90</v>
      </c>
      <c r="D254" s="173">
        <v>90</v>
      </c>
      <c r="E254" s="172" t="s">
        <v>1012</v>
      </c>
      <c r="F254" s="172">
        <v>6</v>
      </c>
      <c r="G254" s="172">
        <v>6</v>
      </c>
      <c r="H254" s="172" t="s">
        <v>289</v>
      </c>
      <c r="I254" s="172" t="s">
        <v>290</v>
      </c>
      <c r="J254" s="172">
        <v>2</v>
      </c>
      <c r="K254" s="172">
        <v>2</v>
      </c>
      <c r="L254" s="154" t="s">
        <v>1062</v>
      </c>
      <c r="M254" s="141">
        <v>1.2567901234567901E-2</v>
      </c>
    </row>
    <row r="255" spans="1:13" x14ac:dyDescent="0.3">
      <c r="A255" s="172" t="s">
        <v>985</v>
      </c>
      <c r="B255" s="172" t="s">
        <v>306</v>
      </c>
      <c r="C255" s="172">
        <v>90</v>
      </c>
      <c r="D255" s="172">
        <v>90</v>
      </c>
      <c r="E255" s="172" t="s">
        <v>1012</v>
      </c>
      <c r="F255" s="172">
        <v>6</v>
      </c>
      <c r="G255" s="172">
        <v>6</v>
      </c>
      <c r="H255" s="172" t="s">
        <v>289</v>
      </c>
      <c r="I255" s="172" t="s">
        <v>290</v>
      </c>
      <c r="J255" s="172">
        <v>2</v>
      </c>
      <c r="K255" s="172">
        <v>2</v>
      </c>
      <c r="L255" s="154" t="s">
        <v>1062</v>
      </c>
      <c r="M255" s="141">
        <v>1.2567901234567901E-2</v>
      </c>
    </row>
    <row r="256" spans="1:13" x14ac:dyDescent="0.3">
      <c r="A256" s="172" t="s">
        <v>986</v>
      </c>
      <c r="B256" s="172" t="s">
        <v>306</v>
      </c>
      <c r="C256" s="172">
        <v>90</v>
      </c>
      <c r="D256" s="172">
        <v>90</v>
      </c>
      <c r="E256" s="172" t="s">
        <v>1012</v>
      </c>
      <c r="F256" s="172">
        <v>6</v>
      </c>
      <c r="G256" s="172">
        <v>6</v>
      </c>
      <c r="H256" s="172" t="s">
        <v>289</v>
      </c>
      <c r="I256" s="172" t="s">
        <v>290</v>
      </c>
      <c r="J256" s="172">
        <v>2</v>
      </c>
      <c r="K256" s="172">
        <v>2</v>
      </c>
      <c r="L256" s="153" t="s">
        <v>448</v>
      </c>
      <c r="M256" s="141">
        <v>1.2567901234567901E-2</v>
      </c>
    </row>
    <row r="257" spans="1:13" x14ac:dyDescent="0.3">
      <c r="A257" s="172" t="s">
        <v>987</v>
      </c>
      <c r="B257" s="172" t="s">
        <v>306</v>
      </c>
      <c r="C257" s="172">
        <v>90</v>
      </c>
      <c r="D257" s="172">
        <v>90</v>
      </c>
      <c r="E257" s="172" t="s">
        <v>1012</v>
      </c>
      <c r="F257" s="172">
        <v>6</v>
      </c>
      <c r="G257" s="172">
        <v>6</v>
      </c>
      <c r="H257" s="172" t="s">
        <v>289</v>
      </c>
      <c r="I257" s="172" t="s">
        <v>290</v>
      </c>
      <c r="J257" s="172">
        <v>2</v>
      </c>
      <c r="K257" s="172">
        <v>2</v>
      </c>
      <c r="L257" s="153" t="s">
        <v>448</v>
      </c>
      <c r="M257" s="141">
        <v>1.2567901234567901E-2</v>
      </c>
    </row>
    <row r="258" spans="1:13" x14ac:dyDescent="0.3">
      <c r="A258" s="172" t="s">
        <v>988</v>
      </c>
      <c r="B258" s="172" t="s">
        <v>306</v>
      </c>
      <c r="C258" s="172">
        <v>90</v>
      </c>
      <c r="D258" s="172">
        <v>90</v>
      </c>
      <c r="E258" s="172" t="s">
        <v>1012</v>
      </c>
      <c r="F258" s="172">
        <v>6</v>
      </c>
      <c r="G258" s="172">
        <v>6</v>
      </c>
      <c r="H258" s="172" t="s">
        <v>289</v>
      </c>
      <c r="I258" s="172" t="s">
        <v>290</v>
      </c>
      <c r="J258" s="172">
        <v>2</v>
      </c>
      <c r="K258" s="172">
        <v>2</v>
      </c>
      <c r="L258" s="153" t="s">
        <v>448</v>
      </c>
      <c r="M258" s="141">
        <v>1.2567901234567901E-2</v>
      </c>
    </row>
    <row r="259" spans="1:13" x14ac:dyDescent="0.3">
      <c r="A259" s="172" t="s">
        <v>989</v>
      </c>
      <c r="B259" s="172" t="s">
        <v>306</v>
      </c>
      <c r="C259" s="173">
        <v>90</v>
      </c>
      <c r="D259" s="173">
        <v>90</v>
      </c>
      <c r="E259" s="172" t="s">
        <v>1012</v>
      </c>
      <c r="F259" s="172">
        <v>6</v>
      </c>
      <c r="G259" s="172">
        <v>6</v>
      </c>
      <c r="H259" s="172" t="s">
        <v>289</v>
      </c>
      <c r="I259" s="172" t="s">
        <v>290</v>
      </c>
      <c r="J259" s="172">
        <v>2</v>
      </c>
      <c r="K259" s="172">
        <v>2</v>
      </c>
      <c r="L259" s="152" t="s">
        <v>448</v>
      </c>
      <c r="M259" s="141">
        <v>1.2567901234567901E-2</v>
      </c>
    </row>
    <row r="260" spans="1:13" x14ac:dyDescent="0.3">
      <c r="A260" s="172" t="s">
        <v>990</v>
      </c>
      <c r="B260" s="172" t="s">
        <v>306</v>
      </c>
      <c r="C260" s="172">
        <v>90</v>
      </c>
      <c r="D260" s="172">
        <v>90</v>
      </c>
      <c r="E260" s="172" t="s">
        <v>1015</v>
      </c>
      <c r="F260" s="172">
        <v>8</v>
      </c>
      <c r="G260" s="172">
        <v>8</v>
      </c>
      <c r="H260" s="172" t="s">
        <v>289</v>
      </c>
      <c r="I260" s="172" t="s">
        <v>290</v>
      </c>
      <c r="J260" s="172">
        <v>3</v>
      </c>
      <c r="K260" s="172">
        <v>3</v>
      </c>
      <c r="L260" s="152" t="s">
        <v>448</v>
      </c>
      <c r="M260" s="141">
        <v>1.7595061728395058E-2</v>
      </c>
    </row>
    <row r="261" spans="1:13" x14ac:dyDescent="0.3">
      <c r="A261" s="172" t="s">
        <v>991</v>
      </c>
      <c r="B261" s="172" t="s">
        <v>306</v>
      </c>
      <c r="C261" s="173">
        <v>90</v>
      </c>
      <c r="D261" s="173">
        <v>90</v>
      </c>
      <c r="E261" s="172" t="s">
        <v>1015</v>
      </c>
      <c r="F261" s="172">
        <v>8</v>
      </c>
      <c r="G261" s="172">
        <v>8</v>
      </c>
      <c r="H261" s="172" t="s">
        <v>289</v>
      </c>
      <c r="I261" s="172" t="s">
        <v>290</v>
      </c>
      <c r="J261" s="172">
        <v>3</v>
      </c>
      <c r="K261" s="172">
        <v>3</v>
      </c>
      <c r="L261" s="152" t="s">
        <v>448</v>
      </c>
      <c r="M261" s="141">
        <v>1.7595061728395058E-2</v>
      </c>
    </row>
    <row r="262" spans="1:13" x14ac:dyDescent="0.3">
      <c r="A262" s="172" t="s">
        <v>992</v>
      </c>
      <c r="B262" s="172" t="s">
        <v>306</v>
      </c>
      <c r="C262" s="172">
        <v>90</v>
      </c>
      <c r="D262" s="172">
        <v>90</v>
      </c>
      <c r="E262" s="172" t="s">
        <v>1015</v>
      </c>
      <c r="F262" s="172">
        <v>8</v>
      </c>
      <c r="G262" s="172">
        <v>8</v>
      </c>
      <c r="H262" s="172" t="s">
        <v>289</v>
      </c>
      <c r="I262" s="172" t="s">
        <v>290</v>
      </c>
      <c r="J262" s="172">
        <v>3</v>
      </c>
      <c r="K262" s="172">
        <v>3</v>
      </c>
      <c r="L262" s="152" t="s">
        <v>448</v>
      </c>
      <c r="M262" s="141">
        <v>1.7595061728395058E-2</v>
      </c>
    </row>
    <row r="263" spans="1:13" x14ac:dyDescent="0.3">
      <c r="A263" s="172" t="s">
        <v>993</v>
      </c>
      <c r="B263" s="172" t="s">
        <v>306</v>
      </c>
      <c r="C263" s="172">
        <v>90</v>
      </c>
      <c r="D263" s="172">
        <v>90</v>
      </c>
      <c r="E263" s="172" t="s">
        <v>1015</v>
      </c>
      <c r="F263" s="172">
        <v>8</v>
      </c>
      <c r="G263" s="172">
        <v>8</v>
      </c>
      <c r="H263" s="172" t="s">
        <v>289</v>
      </c>
      <c r="I263" s="172" t="s">
        <v>290</v>
      </c>
      <c r="J263" s="172">
        <v>3</v>
      </c>
      <c r="K263" s="172">
        <v>3</v>
      </c>
      <c r="L263" s="153" t="s">
        <v>448</v>
      </c>
      <c r="M263" s="141">
        <v>1.7595061728395058E-2</v>
      </c>
    </row>
    <row r="264" spans="1:13" x14ac:dyDescent="0.3">
      <c r="A264" s="172" t="s">
        <v>994</v>
      </c>
      <c r="B264" s="172" t="s">
        <v>306</v>
      </c>
      <c r="C264" s="172">
        <v>90</v>
      </c>
      <c r="D264" s="172">
        <v>110</v>
      </c>
      <c r="E264" s="172" t="s">
        <v>1014</v>
      </c>
      <c r="F264" s="172">
        <v>8</v>
      </c>
      <c r="G264" s="172">
        <v>9</v>
      </c>
      <c r="H264" s="172" t="s">
        <v>289</v>
      </c>
      <c r="I264" s="172" t="s">
        <v>290</v>
      </c>
      <c r="J264" s="172">
        <v>4</v>
      </c>
      <c r="K264" s="172">
        <v>3</v>
      </c>
      <c r="L264" s="153" t="s">
        <v>448</v>
      </c>
      <c r="M264" s="141">
        <v>1.5424242424242424E-2</v>
      </c>
    </row>
    <row r="265" spans="1:13" x14ac:dyDescent="0.3">
      <c r="A265" s="172" t="s">
        <v>225</v>
      </c>
      <c r="B265" s="172" t="s">
        <v>306</v>
      </c>
      <c r="C265" s="172">
        <v>90</v>
      </c>
      <c r="D265" s="172">
        <v>110</v>
      </c>
      <c r="E265" s="172" t="s">
        <v>1019</v>
      </c>
      <c r="F265" s="172">
        <v>7</v>
      </c>
      <c r="G265" s="172">
        <v>10</v>
      </c>
      <c r="H265" s="172" t="s">
        <v>289</v>
      </c>
      <c r="I265" s="172" t="s">
        <v>290</v>
      </c>
      <c r="J265" s="172">
        <v>4</v>
      </c>
      <c r="K265" s="172">
        <v>3</v>
      </c>
      <c r="L265" s="152" t="s">
        <v>448</v>
      </c>
      <c r="M265" s="141">
        <v>2.4818181818181816E-2</v>
      </c>
    </row>
    <row r="266" spans="1:13" x14ac:dyDescent="0.3">
      <c r="A266" s="172" t="s">
        <v>226</v>
      </c>
      <c r="B266" s="172" t="s">
        <v>306</v>
      </c>
      <c r="C266" s="172">
        <v>90</v>
      </c>
      <c r="D266" s="172">
        <v>110</v>
      </c>
      <c r="E266" s="172" t="s">
        <v>1019</v>
      </c>
      <c r="F266" s="172">
        <v>7</v>
      </c>
      <c r="G266" s="172">
        <v>10</v>
      </c>
      <c r="H266" s="172" t="s">
        <v>289</v>
      </c>
      <c r="I266" s="172" t="s">
        <v>290</v>
      </c>
      <c r="J266" s="172">
        <v>6</v>
      </c>
      <c r="K266" s="172">
        <v>4</v>
      </c>
      <c r="L266" s="153" t="s">
        <v>448</v>
      </c>
      <c r="M266" s="141">
        <v>2.4818181818181816E-2</v>
      </c>
    </row>
    <row r="267" spans="1:13" x14ac:dyDescent="0.3">
      <c r="A267" s="172" t="s">
        <v>227</v>
      </c>
      <c r="B267" s="172" t="s">
        <v>306</v>
      </c>
      <c r="C267" s="172">
        <v>90</v>
      </c>
      <c r="D267" s="172">
        <v>130</v>
      </c>
      <c r="E267" s="172" t="s">
        <v>1030</v>
      </c>
      <c r="F267" s="172">
        <v>9</v>
      </c>
      <c r="G267" s="172">
        <v>17</v>
      </c>
      <c r="H267" s="172" t="s">
        <v>289</v>
      </c>
      <c r="I267" s="172" t="s">
        <v>289</v>
      </c>
      <c r="J267" s="172">
        <v>7</v>
      </c>
      <c r="K267" s="172">
        <v>4</v>
      </c>
      <c r="L267" s="151" t="s">
        <v>931</v>
      </c>
      <c r="M267" s="141">
        <v>3.3599999999999998E-2</v>
      </c>
    </row>
    <row r="268" spans="1:13" x14ac:dyDescent="0.3">
      <c r="A268" s="172" t="s">
        <v>996</v>
      </c>
      <c r="B268" s="172" t="s">
        <v>306</v>
      </c>
      <c r="C268" s="172">
        <v>90</v>
      </c>
      <c r="D268" s="172">
        <v>130</v>
      </c>
      <c r="E268" s="172" t="s">
        <v>1083</v>
      </c>
      <c r="F268" s="172">
        <v>6</v>
      </c>
      <c r="G268" s="172">
        <v>8</v>
      </c>
      <c r="H268" s="172" t="s">
        <v>290</v>
      </c>
      <c r="I268" s="172" t="s">
        <v>290</v>
      </c>
      <c r="J268" s="172">
        <v>6</v>
      </c>
      <c r="K268" s="172">
        <v>3</v>
      </c>
      <c r="L268" s="152" t="s">
        <v>448</v>
      </c>
      <c r="M268" s="141">
        <v>1.044102564102564E-2</v>
      </c>
    </row>
    <row r="269" spans="1:13" x14ac:dyDescent="0.3">
      <c r="A269" s="172" t="s">
        <v>997</v>
      </c>
      <c r="B269" s="172" t="s">
        <v>306</v>
      </c>
      <c r="C269" s="172">
        <v>90</v>
      </c>
      <c r="D269" s="172">
        <v>130</v>
      </c>
      <c r="E269" s="172" t="s">
        <v>1083</v>
      </c>
      <c r="F269" s="172">
        <v>6</v>
      </c>
      <c r="G269" s="172">
        <v>8</v>
      </c>
      <c r="H269" s="172" t="s">
        <v>290</v>
      </c>
      <c r="I269" s="172" t="s">
        <v>290</v>
      </c>
      <c r="J269" s="172">
        <v>5</v>
      </c>
      <c r="K269" s="172">
        <v>3</v>
      </c>
      <c r="L269" s="152" t="s">
        <v>448</v>
      </c>
      <c r="M269" s="141">
        <v>1.044102564102564E-2</v>
      </c>
    </row>
    <row r="270" spans="1:13" x14ac:dyDescent="0.3">
      <c r="A270" s="172" t="s">
        <v>998</v>
      </c>
      <c r="B270" s="172" t="s">
        <v>306</v>
      </c>
      <c r="C270" s="172">
        <v>90</v>
      </c>
      <c r="D270" s="172">
        <v>130</v>
      </c>
      <c r="E270" s="172" t="s">
        <v>1083</v>
      </c>
      <c r="F270" s="172">
        <v>6</v>
      </c>
      <c r="G270" s="172">
        <v>8</v>
      </c>
      <c r="H270" s="172" t="s">
        <v>290</v>
      </c>
      <c r="I270" s="172" t="s">
        <v>290</v>
      </c>
      <c r="J270" s="172">
        <v>5</v>
      </c>
      <c r="K270" s="172">
        <v>3</v>
      </c>
      <c r="L270" s="152" t="s">
        <v>448</v>
      </c>
      <c r="M270" s="141">
        <v>1.044102564102564E-2</v>
      </c>
    </row>
    <row r="271" spans="1:13" x14ac:dyDescent="0.3">
      <c r="A271" s="172" t="s">
        <v>999</v>
      </c>
      <c r="B271" s="172" t="s">
        <v>306</v>
      </c>
      <c r="C271" s="172">
        <v>90</v>
      </c>
      <c r="D271" s="172">
        <v>130</v>
      </c>
      <c r="E271" s="172" t="s">
        <v>1083</v>
      </c>
      <c r="F271" s="172">
        <v>6</v>
      </c>
      <c r="G271" s="172">
        <v>8</v>
      </c>
      <c r="H271" s="172" t="s">
        <v>290</v>
      </c>
      <c r="I271" s="172" t="s">
        <v>290</v>
      </c>
      <c r="J271" s="172">
        <v>5</v>
      </c>
      <c r="K271" s="172">
        <v>3</v>
      </c>
      <c r="L271" s="152" t="s">
        <v>448</v>
      </c>
      <c r="M271" s="141">
        <v>1.044102564102564E-2</v>
      </c>
    </row>
    <row r="272" spans="1:13" x14ac:dyDescent="0.3">
      <c r="A272" s="172" t="s">
        <v>225</v>
      </c>
      <c r="B272" s="172" t="s">
        <v>322</v>
      </c>
      <c r="C272" s="172">
        <v>90</v>
      </c>
      <c r="D272" s="172">
        <v>60</v>
      </c>
      <c r="E272" s="172" t="s">
        <v>1018</v>
      </c>
      <c r="F272" s="172">
        <v>12</v>
      </c>
      <c r="G272" s="172">
        <v>8</v>
      </c>
      <c r="H272" s="172" t="s">
        <v>289</v>
      </c>
      <c r="I272" s="172" t="s">
        <v>292</v>
      </c>
      <c r="J272" s="172">
        <v>3</v>
      </c>
      <c r="K272" s="172">
        <v>5</v>
      </c>
      <c r="L272" s="153" t="s">
        <v>448</v>
      </c>
      <c r="M272" s="141">
        <v>3.3933333333333336E-2</v>
      </c>
    </row>
    <row r="273" spans="1:13" x14ac:dyDescent="0.3">
      <c r="A273" s="172" t="s">
        <v>226</v>
      </c>
      <c r="B273" s="172" t="s">
        <v>322</v>
      </c>
      <c r="C273" s="172">
        <v>90</v>
      </c>
      <c r="D273" s="172">
        <v>60</v>
      </c>
      <c r="E273" s="172" t="s">
        <v>1025</v>
      </c>
      <c r="F273" s="172">
        <v>9</v>
      </c>
      <c r="G273" s="172">
        <v>6</v>
      </c>
      <c r="H273" s="172" t="s">
        <v>289</v>
      </c>
      <c r="I273" s="172" t="s">
        <v>290</v>
      </c>
      <c r="J273" s="172">
        <v>2</v>
      </c>
      <c r="K273" s="172">
        <v>4</v>
      </c>
      <c r="L273" s="153" t="s">
        <v>448</v>
      </c>
      <c r="M273" s="141">
        <v>2.4507407407407408E-2</v>
      </c>
    </row>
    <row r="274" spans="1:13" x14ac:dyDescent="0.3">
      <c r="A274" s="172" t="s">
        <v>227</v>
      </c>
      <c r="B274" s="172" t="s">
        <v>322</v>
      </c>
      <c r="C274" s="172">
        <v>90</v>
      </c>
      <c r="D274" s="172">
        <v>60</v>
      </c>
      <c r="E274" s="172" t="s">
        <v>1013</v>
      </c>
      <c r="F274" s="172">
        <v>8</v>
      </c>
      <c r="G274" s="172">
        <v>5</v>
      </c>
      <c r="H274" s="172" t="s">
        <v>289</v>
      </c>
      <c r="I274" s="172" t="s">
        <v>289</v>
      </c>
      <c r="J274" s="172">
        <v>2</v>
      </c>
      <c r="K274" s="172">
        <v>4</v>
      </c>
      <c r="L274" s="152" t="s">
        <v>448</v>
      </c>
      <c r="M274" s="141">
        <v>2.0737037037037036E-2</v>
      </c>
    </row>
    <row r="275" spans="1:13" x14ac:dyDescent="0.3">
      <c r="A275" s="172" t="s">
        <v>996</v>
      </c>
      <c r="B275" s="172" t="s">
        <v>322</v>
      </c>
      <c r="C275" s="172">
        <v>90</v>
      </c>
      <c r="D275" s="172">
        <v>60</v>
      </c>
      <c r="E275" s="172" t="s">
        <v>1013</v>
      </c>
      <c r="F275" s="172">
        <v>8</v>
      </c>
      <c r="G275" s="172">
        <v>5</v>
      </c>
      <c r="H275" s="172" t="s">
        <v>290</v>
      </c>
      <c r="I275" s="172" t="s">
        <v>290</v>
      </c>
      <c r="J275" s="172">
        <v>3</v>
      </c>
      <c r="K275" s="172">
        <v>6</v>
      </c>
      <c r="L275" s="152" t="s">
        <v>448</v>
      </c>
      <c r="M275" s="141">
        <v>2.0737037037037036E-2</v>
      </c>
    </row>
    <row r="276" spans="1:13" x14ac:dyDescent="0.3">
      <c r="A276" s="172" t="s">
        <v>997</v>
      </c>
      <c r="B276" s="172" t="s">
        <v>322</v>
      </c>
      <c r="C276" s="172">
        <v>90</v>
      </c>
      <c r="D276" s="172">
        <v>60</v>
      </c>
      <c r="E276" s="172" t="s">
        <v>1082</v>
      </c>
      <c r="F276" s="172">
        <v>7</v>
      </c>
      <c r="G276" s="172">
        <v>4</v>
      </c>
      <c r="H276" s="172" t="s">
        <v>290</v>
      </c>
      <c r="I276" s="172" t="s">
        <v>290</v>
      </c>
      <c r="J276" s="172">
        <v>2</v>
      </c>
      <c r="K276" s="172">
        <v>5</v>
      </c>
      <c r="L276" s="152" t="s">
        <v>448</v>
      </c>
      <c r="M276" s="141">
        <v>1.6966666666666668E-2</v>
      </c>
    </row>
    <row r="277" spans="1:13" x14ac:dyDescent="0.3">
      <c r="A277" s="172" t="s">
        <v>998</v>
      </c>
      <c r="B277" s="172" t="s">
        <v>322</v>
      </c>
      <c r="C277" s="172">
        <v>90</v>
      </c>
      <c r="D277" s="172">
        <v>60</v>
      </c>
      <c r="E277" s="172" t="s">
        <v>1082</v>
      </c>
      <c r="F277" s="172">
        <v>7</v>
      </c>
      <c r="G277" s="172">
        <v>4</v>
      </c>
      <c r="H277" s="172" t="s">
        <v>290</v>
      </c>
      <c r="I277" s="172" t="s">
        <v>290</v>
      </c>
      <c r="J277" s="172">
        <v>2</v>
      </c>
      <c r="K277" s="172">
        <v>5</v>
      </c>
      <c r="L277" s="152" t="s">
        <v>448</v>
      </c>
      <c r="M277" s="141">
        <v>1.6966666666666668E-2</v>
      </c>
    </row>
    <row r="278" spans="1:13" x14ac:dyDescent="0.3">
      <c r="A278" s="172" t="s">
        <v>999</v>
      </c>
      <c r="B278" s="172" t="s">
        <v>322</v>
      </c>
      <c r="C278" s="173">
        <v>90</v>
      </c>
      <c r="D278" s="173">
        <v>60</v>
      </c>
      <c r="E278" s="173" t="s">
        <v>1082</v>
      </c>
      <c r="F278" s="173">
        <v>7</v>
      </c>
      <c r="G278" s="173">
        <v>4</v>
      </c>
      <c r="H278" s="173" t="s">
        <v>290</v>
      </c>
      <c r="I278" s="173" t="s">
        <v>290</v>
      </c>
      <c r="J278" s="173">
        <v>2</v>
      </c>
      <c r="K278" s="173">
        <v>5</v>
      </c>
      <c r="L278" s="152" t="s">
        <v>448</v>
      </c>
      <c r="M278" s="141">
        <v>1.6966666666666668E-2</v>
      </c>
    </row>
    <row r="279" spans="1:13" x14ac:dyDescent="0.3">
      <c r="A279" s="172" t="s">
        <v>225</v>
      </c>
      <c r="B279" s="172" t="s">
        <v>323</v>
      </c>
      <c r="C279" s="172">
        <v>90</v>
      </c>
      <c r="D279" s="172">
        <v>60</v>
      </c>
      <c r="E279" s="172" t="s">
        <v>1029</v>
      </c>
      <c r="F279" s="172">
        <v>13</v>
      </c>
      <c r="G279" s="172">
        <v>8</v>
      </c>
      <c r="H279" s="172" t="s">
        <v>289</v>
      </c>
      <c r="I279" s="172" t="s">
        <v>292</v>
      </c>
      <c r="J279" s="172">
        <v>3</v>
      </c>
      <c r="K279" s="172">
        <v>5</v>
      </c>
      <c r="L279" s="151" t="s">
        <v>931</v>
      </c>
      <c r="M279" s="141">
        <v>3.5818518518518513E-2</v>
      </c>
    </row>
    <row r="280" spans="1:13" x14ac:dyDescent="0.3">
      <c r="A280" s="172" t="s">
        <v>226</v>
      </c>
      <c r="B280" s="172" t="s">
        <v>323</v>
      </c>
      <c r="C280" s="172">
        <v>90</v>
      </c>
      <c r="D280" s="172">
        <v>60</v>
      </c>
      <c r="E280" s="172" t="s">
        <v>1025</v>
      </c>
      <c r="F280" s="172">
        <v>9</v>
      </c>
      <c r="G280" s="172">
        <v>6</v>
      </c>
      <c r="H280" s="172" t="s">
        <v>289</v>
      </c>
      <c r="I280" s="172" t="s">
        <v>292</v>
      </c>
      <c r="J280" s="172">
        <v>2</v>
      </c>
      <c r="K280" s="172">
        <v>4</v>
      </c>
      <c r="L280" s="152" t="s">
        <v>448</v>
      </c>
      <c r="M280" s="141">
        <v>2.4507407407407408E-2</v>
      </c>
    </row>
    <row r="281" spans="1:13" x14ac:dyDescent="0.3">
      <c r="A281" s="172" t="s">
        <v>227</v>
      </c>
      <c r="B281" s="172" t="s">
        <v>323</v>
      </c>
      <c r="C281" s="173">
        <v>90</v>
      </c>
      <c r="D281" s="173">
        <v>60</v>
      </c>
      <c r="E281" s="172" t="s">
        <v>1025</v>
      </c>
      <c r="F281" s="172">
        <v>9</v>
      </c>
      <c r="G281" s="172">
        <v>6</v>
      </c>
      <c r="H281" s="172" t="s">
        <v>289</v>
      </c>
      <c r="I281" s="172" t="s">
        <v>289</v>
      </c>
      <c r="J281" s="172">
        <v>2</v>
      </c>
      <c r="K281" s="172">
        <v>4</v>
      </c>
      <c r="L281" s="152" t="s">
        <v>448</v>
      </c>
      <c r="M281" s="141">
        <v>2.4507407407407408E-2</v>
      </c>
    </row>
    <row r="282" spans="1:13" x14ac:dyDescent="0.3">
      <c r="A282" s="172" t="s">
        <v>996</v>
      </c>
      <c r="B282" s="172" t="s">
        <v>323</v>
      </c>
      <c r="C282" s="172">
        <v>90</v>
      </c>
      <c r="D282" s="172">
        <v>60</v>
      </c>
      <c r="E282" s="172" t="s">
        <v>1013</v>
      </c>
      <c r="F282" s="172">
        <v>8</v>
      </c>
      <c r="G282" s="172">
        <v>5</v>
      </c>
      <c r="H282" s="172" t="s">
        <v>290</v>
      </c>
      <c r="I282" s="172" t="s">
        <v>290</v>
      </c>
      <c r="J282" s="172">
        <v>3</v>
      </c>
      <c r="K282" s="172">
        <v>6</v>
      </c>
      <c r="L282" s="152" t="s">
        <v>448</v>
      </c>
      <c r="M282" s="141">
        <v>2.0737037037037036E-2</v>
      </c>
    </row>
    <row r="283" spans="1:13" x14ac:dyDescent="0.3">
      <c r="A283" s="172" t="s">
        <v>997</v>
      </c>
      <c r="B283" s="172" t="s">
        <v>323</v>
      </c>
      <c r="C283" s="172">
        <v>90</v>
      </c>
      <c r="D283" s="172">
        <v>60</v>
      </c>
      <c r="E283" s="172" t="s">
        <v>1082</v>
      </c>
      <c r="F283" s="172">
        <v>7</v>
      </c>
      <c r="G283" s="172">
        <v>4</v>
      </c>
      <c r="H283" s="172" t="s">
        <v>290</v>
      </c>
      <c r="I283" s="172" t="s">
        <v>290</v>
      </c>
      <c r="J283" s="172">
        <v>2</v>
      </c>
      <c r="K283" s="172">
        <v>5</v>
      </c>
      <c r="L283" s="152" t="s">
        <v>448</v>
      </c>
      <c r="M283" s="141">
        <v>1.6966666666666668E-2</v>
      </c>
    </row>
    <row r="284" spans="1:13" x14ac:dyDescent="0.3">
      <c r="A284" s="172" t="s">
        <v>998</v>
      </c>
      <c r="B284" s="172" t="s">
        <v>323</v>
      </c>
      <c r="C284" s="172">
        <v>90</v>
      </c>
      <c r="D284" s="172">
        <v>60</v>
      </c>
      <c r="E284" s="172" t="s">
        <v>1082</v>
      </c>
      <c r="F284" s="172">
        <v>7</v>
      </c>
      <c r="G284" s="172">
        <v>4</v>
      </c>
      <c r="H284" s="172" t="s">
        <v>290</v>
      </c>
      <c r="I284" s="172" t="s">
        <v>290</v>
      </c>
      <c r="J284" s="172">
        <v>2</v>
      </c>
      <c r="K284" s="172">
        <v>5</v>
      </c>
      <c r="L284" s="152" t="s">
        <v>448</v>
      </c>
      <c r="M284" s="141">
        <v>1.6966666666666668E-2</v>
      </c>
    </row>
    <row r="285" spans="1:13" x14ac:dyDescent="0.3">
      <c r="A285" s="172" t="s">
        <v>999</v>
      </c>
      <c r="B285" s="172" t="s">
        <v>323</v>
      </c>
      <c r="C285" s="172">
        <v>90</v>
      </c>
      <c r="D285" s="172">
        <v>60</v>
      </c>
      <c r="E285" s="172" t="s">
        <v>1082</v>
      </c>
      <c r="F285" s="172">
        <v>7</v>
      </c>
      <c r="G285" s="172">
        <v>4</v>
      </c>
      <c r="H285" s="172" t="s">
        <v>290</v>
      </c>
      <c r="I285" s="172" t="s">
        <v>290</v>
      </c>
      <c r="J285" s="172">
        <v>2</v>
      </c>
      <c r="K285" s="172">
        <v>5</v>
      </c>
      <c r="L285" s="152" t="s">
        <v>448</v>
      </c>
      <c r="M285" s="141">
        <v>1.6966666666666668E-2</v>
      </c>
    </row>
    <row r="286" spans="1:13" x14ac:dyDescent="0.3">
      <c r="A286" s="172" t="s">
        <v>225</v>
      </c>
      <c r="B286" s="172" t="s">
        <v>302</v>
      </c>
      <c r="C286" s="173">
        <v>90</v>
      </c>
      <c r="D286" s="173">
        <v>60</v>
      </c>
      <c r="E286" s="173" t="s">
        <v>1025</v>
      </c>
      <c r="F286" s="173">
        <v>9</v>
      </c>
      <c r="G286" s="173">
        <v>6</v>
      </c>
      <c r="H286" s="173" t="s">
        <v>289</v>
      </c>
      <c r="I286" s="173" t="s">
        <v>290</v>
      </c>
      <c r="J286" s="173">
        <v>2</v>
      </c>
      <c r="K286" s="173">
        <v>3</v>
      </c>
      <c r="L286" s="153" t="s">
        <v>448</v>
      </c>
      <c r="M286" s="141">
        <v>2.4507407407407408E-2</v>
      </c>
    </row>
    <row r="287" spans="1:13" x14ac:dyDescent="0.3">
      <c r="A287" s="172" t="s">
        <v>226</v>
      </c>
      <c r="B287" s="172" t="s">
        <v>302</v>
      </c>
      <c r="C287" s="172">
        <v>90</v>
      </c>
      <c r="D287" s="172">
        <v>60</v>
      </c>
      <c r="E287" s="172" t="s">
        <v>1012</v>
      </c>
      <c r="F287" s="172">
        <v>7</v>
      </c>
      <c r="G287" s="172">
        <v>5</v>
      </c>
      <c r="H287" s="172" t="s">
        <v>289</v>
      </c>
      <c r="I287" s="172" t="s">
        <v>290</v>
      </c>
      <c r="J287" s="172">
        <v>2</v>
      </c>
      <c r="K287" s="172">
        <v>4</v>
      </c>
      <c r="L287" s="153" t="s">
        <v>448</v>
      </c>
      <c r="M287" s="141">
        <v>1.8851851851851852E-2</v>
      </c>
    </row>
    <row r="288" spans="1:13" x14ac:dyDescent="0.3">
      <c r="A288" s="172" t="s">
        <v>227</v>
      </c>
      <c r="B288" s="172" t="s">
        <v>302</v>
      </c>
      <c r="C288" s="172">
        <v>90</v>
      </c>
      <c r="D288" s="172">
        <v>60</v>
      </c>
      <c r="E288" s="172" t="s">
        <v>1016</v>
      </c>
      <c r="F288" s="172">
        <v>11</v>
      </c>
      <c r="G288" s="172">
        <v>7</v>
      </c>
      <c r="H288" s="172" t="s">
        <v>289</v>
      </c>
      <c r="I288" s="172" t="s">
        <v>289</v>
      </c>
      <c r="J288" s="172">
        <v>2</v>
      </c>
      <c r="K288" s="172">
        <v>4</v>
      </c>
      <c r="L288" s="151" t="s">
        <v>931</v>
      </c>
      <c r="M288" s="141">
        <v>3.0162962962962961E-2</v>
      </c>
    </row>
    <row r="289" spans="1:13" x14ac:dyDescent="0.3">
      <c r="A289" s="172" t="s">
        <v>996</v>
      </c>
      <c r="B289" s="172" t="s">
        <v>302</v>
      </c>
      <c r="C289" s="172">
        <v>90</v>
      </c>
      <c r="D289" s="172">
        <v>60</v>
      </c>
      <c r="E289" s="172" t="s">
        <v>1013</v>
      </c>
      <c r="F289" s="172">
        <v>8</v>
      </c>
      <c r="G289" s="172">
        <v>5</v>
      </c>
      <c r="H289" s="172" t="s">
        <v>290</v>
      </c>
      <c r="I289" s="172" t="s">
        <v>290</v>
      </c>
      <c r="J289" s="172">
        <v>3</v>
      </c>
      <c r="K289" s="172">
        <v>6</v>
      </c>
      <c r="L289" s="152" t="s">
        <v>448</v>
      </c>
      <c r="M289" s="141">
        <v>2.0737037037037036E-2</v>
      </c>
    </row>
    <row r="290" spans="1:13" x14ac:dyDescent="0.3">
      <c r="A290" s="172" t="s">
        <v>997</v>
      </c>
      <c r="B290" s="172" t="s">
        <v>302</v>
      </c>
      <c r="C290" s="172">
        <v>90</v>
      </c>
      <c r="D290" s="172">
        <v>60</v>
      </c>
      <c r="E290" s="172" t="s">
        <v>1082</v>
      </c>
      <c r="F290" s="172">
        <v>7</v>
      </c>
      <c r="G290" s="172">
        <v>4</v>
      </c>
      <c r="H290" s="172" t="s">
        <v>290</v>
      </c>
      <c r="I290" s="172" t="s">
        <v>290</v>
      </c>
      <c r="J290" s="172">
        <v>2</v>
      </c>
      <c r="K290" s="172">
        <v>5</v>
      </c>
      <c r="L290" s="152" t="s">
        <v>448</v>
      </c>
      <c r="M290" s="141">
        <v>1.6966666666666668E-2</v>
      </c>
    </row>
    <row r="291" spans="1:13" x14ac:dyDescent="0.3">
      <c r="A291" s="172" t="s">
        <v>998</v>
      </c>
      <c r="B291" s="172" t="s">
        <v>302</v>
      </c>
      <c r="C291" s="172">
        <v>90</v>
      </c>
      <c r="D291" s="172">
        <v>60</v>
      </c>
      <c r="E291" s="172" t="s">
        <v>1082</v>
      </c>
      <c r="F291" s="172">
        <v>7</v>
      </c>
      <c r="G291" s="172">
        <v>4</v>
      </c>
      <c r="H291" s="172" t="s">
        <v>290</v>
      </c>
      <c r="I291" s="172" t="s">
        <v>290</v>
      </c>
      <c r="J291" s="172">
        <v>2</v>
      </c>
      <c r="K291" s="172">
        <v>5</v>
      </c>
      <c r="L291" s="152" t="s">
        <v>448</v>
      </c>
      <c r="M291" s="141">
        <v>1.6966666666666668E-2</v>
      </c>
    </row>
    <row r="292" spans="1:13" x14ac:dyDescent="0.3">
      <c r="A292" s="172" t="s">
        <v>999</v>
      </c>
      <c r="B292" s="172" t="s">
        <v>302</v>
      </c>
      <c r="C292" s="173">
        <v>90</v>
      </c>
      <c r="D292" s="173">
        <v>60</v>
      </c>
      <c r="E292" s="172" t="s">
        <v>1082</v>
      </c>
      <c r="F292" s="172">
        <v>7</v>
      </c>
      <c r="G292" s="172">
        <v>4</v>
      </c>
      <c r="H292" s="172" t="s">
        <v>290</v>
      </c>
      <c r="I292" s="172" t="s">
        <v>290</v>
      </c>
      <c r="J292" s="172">
        <v>2</v>
      </c>
      <c r="K292" s="172">
        <v>5</v>
      </c>
      <c r="L292" s="152" t="s">
        <v>448</v>
      </c>
      <c r="M292" s="141">
        <v>1.6966666666666668E-2</v>
      </c>
    </row>
    <row r="293" spans="1:13" x14ac:dyDescent="0.3">
      <c r="A293" s="172" t="s">
        <v>996</v>
      </c>
      <c r="B293" s="172" t="s">
        <v>1075</v>
      </c>
      <c r="C293" s="172">
        <v>60</v>
      </c>
      <c r="D293" s="172">
        <v>50</v>
      </c>
      <c r="E293" s="172" t="s">
        <v>1082</v>
      </c>
      <c r="F293" s="172">
        <v>6</v>
      </c>
      <c r="G293" s="172">
        <v>5</v>
      </c>
      <c r="H293" s="172" t="s">
        <v>292</v>
      </c>
      <c r="I293" s="172" t="s">
        <v>290</v>
      </c>
      <c r="J293" s="172">
        <v>3</v>
      </c>
      <c r="K293" s="172">
        <v>4</v>
      </c>
      <c r="L293" s="153" t="s">
        <v>448</v>
      </c>
      <c r="M293" s="141">
        <v>3.0540000000000001E-2</v>
      </c>
    </row>
    <row r="294" spans="1:13" x14ac:dyDescent="0.3">
      <c r="A294" s="172" t="s">
        <v>997</v>
      </c>
      <c r="B294" s="172" t="s">
        <v>1075</v>
      </c>
      <c r="C294" s="172">
        <v>60</v>
      </c>
      <c r="D294" s="172">
        <v>50</v>
      </c>
      <c r="E294" s="172" t="s">
        <v>1084</v>
      </c>
      <c r="F294" s="172">
        <v>5</v>
      </c>
      <c r="G294" s="172">
        <v>4</v>
      </c>
      <c r="H294" s="172" t="s">
        <v>292</v>
      </c>
      <c r="I294" s="172" t="s">
        <v>290</v>
      </c>
      <c r="J294" s="172">
        <v>2</v>
      </c>
      <c r="K294" s="172">
        <v>3</v>
      </c>
      <c r="L294" s="152" t="s">
        <v>448</v>
      </c>
      <c r="M294" s="141">
        <v>2.3753333333333331E-2</v>
      </c>
    </row>
    <row r="295" spans="1:13" x14ac:dyDescent="0.3">
      <c r="A295" s="172" t="s">
        <v>998</v>
      </c>
      <c r="B295" s="172" t="s">
        <v>1075</v>
      </c>
      <c r="C295" s="172">
        <v>60</v>
      </c>
      <c r="D295" s="172">
        <v>50</v>
      </c>
      <c r="E295" s="172" t="s">
        <v>1084</v>
      </c>
      <c r="F295" s="172">
        <v>5</v>
      </c>
      <c r="G295" s="172">
        <v>4</v>
      </c>
      <c r="H295" s="172" t="s">
        <v>292</v>
      </c>
      <c r="I295" s="172" t="s">
        <v>290</v>
      </c>
      <c r="J295" s="172">
        <v>2</v>
      </c>
      <c r="K295" s="172">
        <v>3</v>
      </c>
      <c r="L295" s="153" t="s">
        <v>448</v>
      </c>
      <c r="M295" s="141">
        <v>2.3753333333333331E-2</v>
      </c>
    </row>
    <row r="296" spans="1:13" x14ac:dyDescent="0.3">
      <c r="A296" s="172" t="s">
        <v>999</v>
      </c>
      <c r="B296" s="172" t="s">
        <v>1075</v>
      </c>
      <c r="C296" s="172">
        <v>60</v>
      </c>
      <c r="D296" s="172">
        <v>50</v>
      </c>
      <c r="E296" s="172" t="s">
        <v>1013</v>
      </c>
      <c r="F296" s="172">
        <v>6</v>
      </c>
      <c r="G296" s="172">
        <v>5</v>
      </c>
      <c r="H296" s="172" t="s">
        <v>292</v>
      </c>
      <c r="I296" s="172" t="s">
        <v>290</v>
      </c>
      <c r="J296" s="172">
        <v>2</v>
      </c>
      <c r="K296" s="172">
        <v>3</v>
      </c>
      <c r="L296" s="153" t="s">
        <v>448</v>
      </c>
      <c r="M296" s="141">
        <v>3.7326666666666661E-2</v>
      </c>
    </row>
    <row r="297" spans="1:13" x14ac:dyDescent="0.3">
      <c r="A297" s="172" t="s">
        <v>291</v>
      </c>
      <c r="B297" s="172" t="s">
        <v>307</v>
      </c>
      <c r="C297" s="172">
        <v>90</v>
      </c>
      <c r="D297" s="172">
        <v>90</v>
      </c>
      <c r="E297" s="172" t="s">
        <v>1012</v>
      </c>
      <c r="F297" s="172">
        <v>6</v>
      </c>
      <c r="G297" s="172">
        <v>6</v>
      </c>
      <c r="H297" s="172" t="s">
        <v>289</v>
      </c>
      <c r="I297" s="172" t="s">
        <v>292</v>
      </c>
      <c r="J297" s="172">
        <v>3</v>
      </c>
      <c r="K297" s="172">
        <v>3</v>
      </c>
      <c r="L297" s="151" t="s">
        <v>1062</v>
      </c>
      <c r="M297" s="141">
        <v>1.2567901234567901E-2</v>
      </c>
    </row>
    <row r="298" spans="1:13" ht="78" x14ac:dyDescent="0.3">
      <c r="A298" s="172" t="s">
        <v>982</v>
      </c>
      <c r="B298" s="172" t="s">
        <v>307</v>
      </c>
      <c r="C298" s="172">
        <v>90</v>
      </c>
      <c r="D298" s="172">
        <v>90</v>
      </c>
      <c r="E298" s="172" t="s">
        <v>1012</v>
      </c>
      <c r="F298" s="172">
        <v>6</v>
      </c>
      <c r="G298" s="172">
        <v>6</v>
      </c>
      <c r="H298" s="172" t="s">
        <v>289</v>
      </c>
      <c r="I298" s="172" t="s">
        <v>290</v>
      </c>
      <c r="J298" s="172">
        <v>2</v>
      </c>
      <c r="K298" s="172">
        <v>2</v>
      </c>
      <c r="L298" s="151" t="s">
        <v>1060</v>
      </c>
      <c r="M298" s="141">
        <v>1.2567901234567901E-2</v>
      </c>
    </row>
    <row r="299" spans="1:13" x14ac:dyDescent="0.3">
      <c r="A299" s="172" t="s">
        <v>983</v>
      </c>
      <c r="B299" s="172" t="s">
        <v>307</v>
      </c>
      <c r="C299" s="173">
        <v>90</v>
      </c>
      <c r="D299" s="173">
        <v>90</v>
      </c>
      <c r="E299" s="172" t="s">
        <v>1012</v>
      </c>
      <c r="F299" s="172">
        <v>6</v>
      </c>
      <c r="G299" s="172">
        <v>6</v>
      </c>
      <c r="H299" s="172" t="s">
        <v>289</v>
      </c>
      <c r="I299" s="172" t="s">
        <v>290</v>
      </c>
      <c r="J299" s="172">
        <v>2</v>
      </c>
      <c r="K299" s="172">
        <v>2</v>
      </c>
      <c r="L299" s="151" t="s">
        <v>1062</v>
      </c>
      <c r="M299" s="141">
        <v>1.2567901234567901E-2</v>
      </c>
    </row>
    <row r="300" spans="1:13" x14ac:dyDescent="0.3">
      <c r="A300" s="172" t="s">
        <v>984</v>
      </c>
      <c r="B300" s="172" t="s">
        <v>307</v>
      </c>
      <c r="C300" s="172">
        <v>90</v>
      </c>
      <c r="D300" s="172">
        <v>90</v>
      </c>
      <c r="E300" s="172" t="s">
        <v>1012</v>
      </c>
      <c r="F300" s="172">
        <v>6</v>
      </c>
      <c r="G300" s="172">
        <v>6</v>
      </c>
      <c r="H300" s="172" t="s">
        <v>289</v>
      </c>
      <c r="I300" s="172" t="s">
        <v>290</v>
      </c>
      <c r="J300" s="172">
        <v>2</v>
      </c>
      <c r="K300" s="172">
        <v>2</v>
      </c>
      <c r="L300" s="154" t="s">
        <v>1062</v>
      </c>
      <c r="M300" s="141">
        <v>1.2567901234567901E-2</v>
      </c>
    </row>
    <row r="301" spans="1:13" x14ac:dyDescent="0.3">
      <c r="A301" s="172" t="s">
        <v>985</v>
      </c>
      <c r="B301" s="172" t="s">
        <v>307</v>
      </c>
      <c r="C301" s="172">
        <v>90</v>
      </c>
      <c r="D301" s="172">
        <v>90</v>
      </c>
      <c r="E301" s="172" t="s">
        <v>1012</v>
      </c>
      <c r="F301" s="172">
        <v>6</v>
      </c>
      <c r="G301" s="172">
        <v>6</v>
      </c>
      <c r="H301" s="172" t="s">
        <v>289</v>
      </c>
      <c r="I301" s="172" t="s">
        <v>290</v>
      </c>
      <c r="J301" s="172">
        <v>2</v>
      </c>
      <c r="K301" s="172">
        <v>2</v>
      </c>
      <c r="L301" s="154" t="s">
        <v>1062</v>
      </c>
      <c r="M301" s="141">
        <v>1.2567901234567901E-2</v>
      </c>
    </row>
    <row r="302" spans="1:13" x14ac:dyDescent="0.3">
      <c r="A302" s="172" t="s">
        <v>986</v>
      </c>
      <c r="B302" s="172" t="s">
        <v>307</v>
      </c>
      <c r="C302" s="172">
        <v>90</v>
      </c>
      <c r="D302" s="172">
        <v>90</v>
      </c>
      <c r="E302" s="172" t="s">
        <v>1012</v>
      </c>
      <c r="F302" s="172">
        <v>6</v>
      </c>
      <c r="G302" s="172">
        <v>6</v>
      </c>
      <c r="H302" s="172" t="s">
        <v>289</v>
      </c>
      <c r="I302" s="172" t="s">
        <v>290</v>
      </c>
      <c r="J302" s="172">
        <v>2</v>
      </c>
      <c r="K302" s="172">
        <v>2</v>
      </c>
      <c r="L302" s="153" t="s">
        <v>448</v>
      </c>
      <c r="M302" s="141">
        <v>1.2567901234567901E-2</v>
      </c>
    </row>
    <row r="303" spans="1:13" x14ac:dyDescent="0.3">
      <c r="A303" s="172" t="s">
        <v>987</v>
      </c>
      <c r="B303" s="172" t="s">
        <v>307</v>
      </c>
      <c r="C303" s="172">
        <v>90</v>
      </c>
      <c r="D303" s="172">
        <v>90</v>
      </c>
      <c r="E303" s="172" t="s">
        <v>1012</v>
      </c>
      <c r="F303" s="172">
        <v>6</v>
      </c>
      <c r="G303" s="172">
        <v>6</v>
      </c>
      <c r="H303" s="172" t="s">
        <v>289</v>
      </c>
      <c r="I303" s="172" t="s">
        <v>290</v>
      </c>
      <c r="J303" s="172">
        <v>2</v>
      </c>
      <c r="K303" s="172">
        <v>2</v>
      </c>
      <c r="L303" s="153" t="s">
        <v>448</v>
      </c>
      <c r="M303" s="141">
        <v>1.2567901234567901E-2</v>
      </c>
    </row>
    <row r="304" spans="1:13" x14ac:dyDescent="0.3">
      <c r="A304" s="172" t="s">
        <v>988</v>
      </c>
      <c r="B304" s="172" t="s">
        <v>307</v>
      </c>
      <c r="C304" s="172">
        <v>90</v>
      </c>
      <c r="D304" s="172">
        <v>90</v>
      </c>
      <c r="E304" s="172" t="s">
        <v>1012</v>
      </c>
      <c r="F304" s="172">
        <v>6</v>
      </c>
      <c r="G304" s="172">
        <v>6</v>
      </c>
      <c r="H304" s="172" t="s">
        <v>289</v>
      </c>
      <c r="I304" s="172" t="s">
        <v>290</v>
      </c>
      <c r="J304" s="172">
        <v>2</v>
      </c>
      <c r="K304" s="172">
        <v>2</v>
      </c>
      <c r="L304" s="153" t="s">
        <v>448</v>
      </c>
      <c r="M304" s="141">
        <v>1.2567901234567901E-2</v>
      </c>
    </row>
    <row r="305" spans="1:13" x14ac:dyDescent="0.3">
      <c r="A305" s="172" t="s">
        <v>989</v>
      </c>
      <c r="B305" s="172" t="s">
        <v>307</v>
      </c>
      <c r="C305" s="172">
        <v>90</v>
      </c>
      <c r="D305" s="172">
        <v>90</v>
      </c>
      <c r="E305" s="172" t="s">
        <v>1012</v>
      </c>
      <c r="F305" s="172">
        <v>6</v>
      </c>
      <c r="G305" s="172">
        <v>6</v>
      </c>
      <c r="H305" s="172" t="s">
        <v>289</v>
      </c>
      <c r="I305" s="172" t="s">
        <v>290</v>
      </c>
      <c r="J305" s="172">
        <v>2</v>
      </c>
      <c r="K305" s="172">
        <v>2</v>
      </c>
      <c r="L305" s="153" t="s">
        <v>448</v>
      </c>
      <c r="M305" s="141">
        <v>1.2567901234567901E-2</v>
      </c>
    </row>
    <row r="306" spans="1:13" x14ac:dyDescent="0.3">
      <c r="A306" s="172" t="s">
        <v>990</v>
      </c>
      <c r="B306" s="172" t="s">
        <v>307</v>
      </c>
      <c r="C306" s="172">
        <v>90</v>
      </c>
      <c r="D306" s="172">
        <v>90</v>
      </c>
      <c r="E306" s="172" t="s">
        <v>1012</v>
      </c>
      <c r="F306" s="172">
        <v>6</v>
      </c>
      <c r="G306" s="172">
        <v>6</v>
      </c>
      <c r="H306" s="172" t="s">
        <v>289</v>
      </c>
      <c r="I306" s="172" t="s">
        <v>290</v>
      </c>
      <c r="J306" s="172">
        <v>3</v>
      </c>
      <c r="K306" s="172">
        <v>3</v>
      </c>
      <c r="L306" s="153" t="s">
        <v>448</v>
      </c>
      <c r="M306" s="141">
        <v>1.2567901234567901E-2</v>
      </c>
    </row>
    <row r="307" spans="1:13" x14ac:dyDescent="0.3">
      <c r="A307" s="172" t="s">
        <v>991</v>
      </c>
      <c r="B307" s="172" t="s">
        <v>307</v>
      </c>
      <c r="C307" s="172">
        <v>90</v>
      </c>
      <c r="D307" s="172">
        <v>90</v>
      </c>
      <c r="E307" s="172" t="s">
        <v>1012</v>
      </c>
      <c r="F307" s="172">
        <v>6</v>
      </c>
      <c r="G307" s="172">
        <v>6</v>
      </c>
      <c r="H307" s="172" t="s">
        <v>289</v>
      </c>
      <c r="I307" s="172" t="s">
        <v>290</v>
      </c>
      <c r="J307" s="172">
        <v>3</v>
      </c>
      <c r="K307" s="172">
        <v>3</v>
      </c>
      <c r="L307" s="152" t="s">
        <v>448</v>
      </c>
      <c r="M307" s="141">
        <v>1.2567901234567901E-2</v>
      </c>
    </row>
    <row r="308" spans="1:13" x14ac:dyDescent="0.3">
      <c r="A308" s="172" t="s">
        <v>992</v>
      </c>
      <c r="B308" s="172" t="s">
        <v>307</v>
      </c>
      <c r="C308" s="172">
        <v>90</v>
      </c>
      <c r="D308" s="172">
        <v>90</v>
      </c>
      <c r="E308" s="172" t="s">
        <v>1012</v>
      </c>
      <c r="F308" s="172">
        <v>6</v>
      </c>
      <c r="G308" s="172">
        <v>6</v>
      </c>
      <c r="H308" s="172" t="s">
        <v>289</v>
      </c>
      <c r="I308" s="172" t="s">
        <v>290</v>
      </c>
      <c r="J308" s="172">
        <v>3</v>
      </c>
      <c r="K308" s="172">
        <v>3</v>
      </c>
      <c r="L308" s="152" t="s">
        <v>448</v>
      </c>
      <c r="M308" s="141">
        <v>1.2567901234567901E-2</v>
      </c>
    </row>
    <row r="309" spans="1:13" x14ac:dyDescent="0.3">
      <c r="A309" s="172" t="s">
        <v>993</v>
      </c>
      <c r="B309" s="172" t="s">
        <v>307</v>
      </c>
      <c r="C309" s="172">
        <v>90</v>
      </c>
      <c r="D309" s="172">
        <v>90</v>
      </c>
      <c r="E309" s="172" t="s">
        <v>1016</v>
      </c>
      <c r="F309" s="172">
        <v>9</v>
      </c>
      <c r="G309" s="172">
        <v>9</v>
      </c>
      <c r="H309" s="172" t="s">
        <v>289</v>
      </c>
      <c r="I309" s="172" t="s">
        <v>290</v>
      </c>
      <c r="J309" s="172">
        <v>3</v>
      </c>
      <c r="K309" s="172">
        <v>3</v>
      </c>
      <c r="L309" s="154" t="s">
        <v>931</v>
      </c>
      <c r="M309" s="141">
        <v>2.0108641975308643E-2</v>
      </c>
    </row>
    <row r="310" spans="1:13" x14ac:dyDescent="0.3">
      <c r="A310" s="172" t="s">
        <v>994</v>
      </c>
      <c r="B310" s="172" t="s">
        <v>307</v>
      </c>
      <c r="C310" s="172">
        <v>130</v>
      </c>
      <c r="D310" s="172">
        <v>90</v>
      </c>
      <c r="E310" s="172" t="s">
        <v>1016</v>
      </c>
      <c r="F310" s="172">
        <v>11</v>
      </c>
      <c r="G310" s="172">
        <v>7</v>
      </c>
      <c r="H310" s="172" t="s">
        <v>289</v>
      </c>
      <c r="I310" s="172" t="s">
        <v>290</v>
      </c>
      <c r="J310" s="172">
        <v>3</v>
      </c>
      <c r="K310" s="172">
        <v>6</v>
      </c>
      <c r="L310" s="152" t="s">
        <v>448</v>
      </c>
      <c r="M310" s="141">
        <v>1.3921367521367521E-2</v>
      </c>
    </row>
    <row r="311" spans="1:13" x14ac:dyDescent="0.3">
      <c r="A311" s="172" t="s">
        <v>225</v>
      </c>
      <c r="B311" s="172" t="s">
        <v>307</v>
      </c>
      <c r="C311" s="172">
        <v>130</v>
      </c>
      <c r="D311" s="172">
        <v>90</v>
      </c>
      <c r="E311" s="172" t="s">
        <v>1016</v>
      </c>
      <c r="F311" s="172">
        <v>11</v>
      </c>
      <c r="G311" s="172">
        <v>7</v>
      </c>
      <c r="H311" s="172" t="s">
        <v>289</v>
      </c>
      <c r="I311" s="172" t="s">
        <v>290</v>
      </c>
      <c r="J311" s="172">
        <v>3</v>
      </c>
      <c r="K311" s="172">
        <v>6</v>
      </c>
      <c r="L311" s="152" t="s">
        <v>448</v>
      </c>
      <c r="M311" s="141">
        <v>1.3921367521367521E-2</v>
      </c>
    </row>
    <row r="312" spans="1:13" x14ac:dyDescent="0.3">
      <c r="A312" s="172" t="s">
        <v>226</v>
      </c>
      <c r="B312" s="172" t="s">
        <v>307</v>
      </c>
      <c r="C312" s="172">
        <v>130</v>
      </c>
      <c r="D312" s="172">
        <v>90</v>
      </c>
      <c r="E312" s="172" t="s">
        <v>1022</v>
      </c>
      <c r="F312" s="172">
        <v>11</v>
      </c>
      <c r="G312" s="172">
        <v>7</v>
      </c>
      <c r="H312" s="172" t="s">
        <v>289</v>
      </c>
      <c r="I312" s="172" t="s">
        <v>290</v>
      </c>
      <c r="J312" s="172">
        <v>4</v>
      </c>
      <c r="K312" s="172">
        <v>7</v>
      </c>
      <c r="L312" s="153" t="s">
        <v>448</v>
      </c>
      <c r="M312" s="141">
        <v>2.24E-2</v>
      </c>
    </row>
    <row r="313" spans="1:13" x14ac:dyDescent="0.3">
      <c r="A313" s="172" t="s">
        <v>227</v>
      </c>
      <c r="B313" s="172" t="s">
        <v>307</v>
      </c>
      <c r="C313" s="172">
        <v>145</v>
      </c>
      <c r="D313" s="172">
        <v>90</v>
      </c>
      <c r="E313" s="172" t="s">
        <v>1031</v>
      </c>
      <c r="F313" s="172">
        <v>12</v>
      </c>
      <c r="G313" s="172">
        <v>8</v>
      </c>
      <c r="H313" s="172" t="s">
        <v>289</v>
      </c>
      <c r="I313" s="172" t="s">
        <v>289</v>
      </c>
      <c r="J313" s="172">
        <v>4</v>
      </c>
      <c r="K313" s="172">
        <v>8</v>
      </c>
      <c r="L313" s="151" t="s">
        <v>931</v>
      </c>
      <c r="M313" s="141">
        <v>2.2593103448275861E-2</v>
      </c>
    </row>
    <row r="314" spans="1:13" x14ac:dyDescent="0.3">
      <c r="A314" s="172" t="s">
        <v>996</v>
      </c>
      <c r="B314" s="172" t="s">
        <v>307</v>
      </c>
      <c r="C314" s="172">
        <v>145</v>
      </c>
      <c r="D314" s="172">
        <v>90</v>
      </c>
      <c r="E314" s="172" t="s">
        <v>1026</v>
      </c>
      <c r="F314" s="172">
        <v>14</v>
      </c>
      <c r="G314" s="172">
        <v>8</v>
      </c>
      <c r="H314" s="172" t="s">
        <v>290</v>
      </c>
      <c r="I314" s="172" t="s">
        <v>290</v>
      </c>
      <c r="J314" s="172">
        <v>3</v>
      </c>
      <c r="K314" s="172">
        <v>6</v>
      </c>
      <c r="L314" s="151" t="s">
        <v>931</v>
      </c>
      <c r="M314" s="141">
        <v>1.5601532567049808E-2</v>
      </c>
    </row>
    <row r="315" spans="1:13" x14ac:dyDescent="0.3">
      <c r="A315" s="172" t="s">
        <v>997</v>
      </c>
      <c r="B315" s="172" t="s">
        <v>307</v>
      </c>
      <c r="C315" s="172">
        <v>145</v>
      </c>
      <c r="D315" s="172">
        <v>90</v>
      </c>
      <c r="E315" s="172" t="s">
        <v>1025</v>
      </c>
      <c r="F315" s="172">
        <v>9</v>
      </c>
      <c r="G315" s="172">
        <v>6</v>
      </c>
      <c r="H315" s="172" t="s">
        <v>290</v>
      </c>
      <c r="I315" s="172" t="s">
        <v>290</v>
      </c>
      <c r="J315" s="172">
        <v>2</v>
      </c>
      <c r="K315" s="172">
        <v>5</v>
      </c>
      <c r="L315" s="152" t="s">
        <v>448</v>
      </c>
      <c r="M315" s="141">
        <v>1.0140996168582377E-2</v>
      </c>
    </row>
    <row r="316" spans="1:13" x14ac:dyDescent="0.3">
      <c r="A316" s="172" t="s">
        <v>998</v>
      </c>
      <c r="B316" s="172" t="s">
        <v>307</v>
      </c>
      <c r="C316" s="172">
        <v>145</v>
      </c>
      <c r="D316" s="172">
        <v>90</v>
      </c>
      <c r="E316" s="172" t="s">
        <v>1025</v>
      </c>
      <c r="F316" s="172">
        <v>9</v>
      </c>
      <c r="G316" s="172">
        <v>6</v>
      </c>
      <c r="H316" s="172" t="s">
        <v>290</v>
      </c>
      <c r="I316" s="172" t="s">
        <v>290</v>
      </c>
      <c r="J316" s="172">
        <v>2</v>
      </c>
      <c r="K316" s="172">
        <v>5</v>
      </c>
      <c r="L316" s="152" t="s">
        <v>448</v>
      </c>
      <c r="M316" s="141">
        <v>1.0140996168582377E-2</v>
      </c>
    </row>
    <row r="317" spans="1:13" x14ac:dyDescent="0.3">
      <c r="A317" s="172" t="s">
        <v>999</v>
      </c>
      <c r="B317" s="172" t="s">
        <v>307</v>
      </c>
      <c r="C317" s="173">
        <v>145</v>
      </c>
      <c r="D317" s="173">
        <v>90</v>
      </c>
      <c r="E317" s="172" t="s">
        <v>1025</v>
      </c>
      <c r="F317" s="172">
        <v>9</v>
      </c>
      <c r="G317" s="172">
        <v>6</v>
      </c>
      <c r="H317" s="172" t="s">
        <v>290</v>
      </c>
      <c r="I317" s="172" t="s">
        <v>290</v>
      </c>
      <c r="J317" s="172">
        <v>2</v>
      </c>
      <c r="K317" s="172">
        <v>5</v>
      </c>
      <c r="L317" s="152" t="s">
        <v>448</v>
      </c>
      <c r="M317" s="141">
        <v>1.0140996168582377E-2</v>
      </c>
    </row>
    <row r="318" spans="1:13" x14ac:dyDescent="0.3">
      <c r="A318" s="172" t="s">
        <v>226</v>
      </c>
      <c r="B318" s="172" t="s">
        <v>995</v>
      </c>
      <c r="C318" s="172">
        <v>70</v>
      </c>
      <c r="D318" s="172">
        <v>70</v>
      </c>
      <c r="E318" s="172" t="s">
        <v>1012</v>
      </c>
      <c r="F318" s="172">
        <v>6</v>
      </c>
      <c r="G318" s="172">
        <v>6</v>
      </c>
      <c r="H318" s="172" t="s">
        <v>289</v>
      </c>
      <c r="I318" s="172" t="s">
        <v>290</v>
      </c>
      <c r="J318" s="172">
        <v>3</v>
      </c>
      <c r="K318" s="172">
        <v>3</v>
      </c>
      <c r="L318" s="153" t="s">
        <v>448</v>
      </c>
      <c r="M318" s="141">
        <v>2.0775510204081631E-2</v>
      </c>
    </row>
    <row r="319" spans="1:13" x14ac:dyDescent="0.3">
      <c r="A319" s="172" t="s">
        <v>227</v>
      </c>
      <c r="B319" s="172" t="s">
        <v>995</v>
      </c>
      <c r="C319" s="172">
        <v>70</v>
      </c>
      <c r="D319" s="172">
        <v>70</v>
      </c>
      <c r="E319" s="172" t="s">
        <v>1012</v>
      </c>
      <c r="F319" s="172">
        <v>6</v>
      </c>
      <c r="G319" s="172">
        <v>6</v>
      </c>
      <c r="H319" s="172" t="s">
        <v>289</v>
      </c>
      <c r="I319" s="172" t="s">
        <v>289</v>
      </c>
      <c r="J319" s="172">
        <v>3</v>
      </c>
      <c r="K319" s="172">
        <v>3</v>
      </c>
      <c r="L319" s="152" t="s">
        <v>448</v>
      </c>
      <c r="M319" s="141">
        <v>2.0775510204081631E-2</v>
      </c>
    </row>
    <row r="320" spans="1:13" x14ac:dyDescent="0.3">
      <c r="A320" s="172" t="s">
        <v>996</v>
      </c>
      <c r="B320" s="172" t="s">
        <v>995</v>
      </c>
      <c r="C320" s="172">
        <v>70</v>
      </c>
      <c r="D320" s="172">
        <v>70</v>
      </c>
      <c r="E320" s="172" t="s">
        <v>1012</v>
      </c>
      <c r="F320" s="172">
        <v>6</v>
      </c>
      <c r="G320" s="172">
        <v>6</v>
      </c>
      <c r="H320" s="172" t="s">
        <v>290</v>
      </c>
      <c r="I320" s="172" t="s">
        <v>290</v>
      </c>
      <c r="J320" s="172">
        <v>4</v>
      </c>
      <c r="K320" s="172">
        <v>4</v>
      </c>
      <c r="L320" s="152" t="s">
        <v>448</v>
      </c>
      <c r="M320" s="141">
        <v>2.0775510204081631E-2</v>
      </c>
    </row>
    <row r="321" spans="1:13" x14ac:dyDescent="0.3">
      <c r="A321" s="172" t="s">
        <v>291</v>
      </c>
      <c r="B321" s="172" t="s">
        <v>308</v>
      </c>
      <c r="C321" s="172">
        <v>105</v>
      </c>
      <c r="D321" s="172">
        <v>80</v>
      </c>
      <c r="E321" s="172" t="s">
        <v>1013</v>
      </c>
      <c r="F321" s="172">
        <v>7</v>
      </c>
      <c r="G321" s="172">
        <v>6</v>
      </c>
      <c r="H321" s="172" t="s">
        <v>289</v>
      </c>
      <c r="I321" s="172" t="s">
        <v>290</v>
      </c>
      <c r="J321" s="172">
        <v>3</v>
      </c>
      <c r="K321" s="172">
        <v>4</v>
      </c>
      <c r="L321" s="154" t="s">
        <v>1062</v>
      </c>
      <c r="M321" s="141">
        <v>1.3330952380952379E-2</v>
      </c>
    </row>
    <row r="322" spans="1:13" ht="78" x14ac:dyDescent="0.3">
      <c r="A322" s="172" t="s">
        <v>982</v>
      </c>
      <c r="B322" s="172" t="s">
        <v>308</v>
      </c>
      <c r="C322" s="172">
        <v>105</v>
      </c>
      <c r="D322" s="172">
        <v>80</v>
      </c>
      <c r="E322" s="172" t="s">
        <v>1013</v>
      </c>
      <c r="F322" s="172">
        <v>7</v>
      </c>
      <c r="G322" s="172">
        <v>6</v>
      </c>
      <c r="H322" s="172" t="s">
        <v>289</v>
      </c>
      <c r="I322" s="172" t="s">
        <v>290</v>
      </c>
      <c r="J322" s="172">
        <v>2</v>
      </c>
      <c r="K322" s="172">
        <v>3</v>
      </c>
      <c r="L322" s="151" t="s">
        <v>1060</v>
      </c>
      <c r="M322" s="141">
        <v>1.3330952380952379E-2</v>
      </c>
    </row>
    <row r="323" spans="1:13" x14ac:dyDescent="0.3">
      <c r="A323" s="172" t="s">
        <v>983</v>
      </c>
      <c r="B323" s="172" t="s">
        <v>308</v>
      </c>
      <c r="C323" s="172">
        <v>105</v>
      </c>
      <c r="D323" s="172">
        <v>80</v>
      </c>
      <c r="E323" s="172" t="s">
        <v>1013</v>
      </c>
      <c r="F323" s="172">
        <v>7</v>
      </c>
      <c r="G323" s="172">
        <v>6</v>
      </c>
      <c r="H323" s="172" t="s">
        <v>289</v>
      </c>
      <c r="I323" s="172" t="s">
        <v>290</v>
      </c>
      <c r="J323" s="172">
        <v>2</v>
      </c>
      <c r="K323" s="172">
        <v>3</v>
      </c>
      <c r="L323" s="151" t="s">
        <v>1062</v>
      </c>
      <c r="M323" s="141">
        <v>1.3330952380952379E-2</v>
      </c>
    </row>
    <row r="324" spans="1:13" x14ac:dyDescent="0.3">
      <c r="A324" s="172" t="s">
        <v>984</v>
      </c>
      <c r="B324" s="172" t="s">
        <v>308</v>
      </c>
      <c r="C324" s="172">
        <v>105</v>
      </c>
      <c r="D324" s="172">
        <v>80</v>
      </c>
      <c r="E324" s="172" t="s">
        <v>1013</v>
      </c>
      <c r="F324" s="172">
        <v>7</v>
      </c>
      <c r="G324" s="172">
        <v>6</v>
      </c>
      <c r="H324" s="172" t="s">
        <v>289</v>
      </c>
      <c r="I324" s="172" t="s">
        <v>290</v>
      </c>
      <c r="J324" s="172">
        <v>2</v>
      </c>
      <c r="K324" s="172">
        <v>3</v>
      </c>
      <c r="L324" s="151" t="s">
        <v>1062</v>
      </c>
      <c r="M324" s="141">
        <v>1.3330952380952379E-2</v>
      </c>
    </row>
    <row r="325" spans="1:13" x14ac:dyDescent="0.3">
      <c r="A325" s="172" t="s">
        <v>985</v>
      </c>
      <c r="B325" s="172" t="s">
        <v>308</v>
      </c>
      <c r="C325" s="172">
        <v>105</v>
      </c>
      <c r="D325" s="172">
        <v>80</v>
      </c>
      <c r="E325" s="172" t="s">
        <v>1013</v>
      </c>
      <c r="F325" s="172">
        <v>7</v>
      </c>
      <c r="G325" s="172">
        <v>6</v>
      </c>
      <c r="H325" s="172" t="s">
        <v>289</v>
      </c>
      <c r="I325" s="172" t="s">
        <v>292</v>
      </c>
      <c r="J325" s="172">
        <v>2</v>
      </c>
      <c r="K325" s="172">
        <v>3</v>
      </c>
      <c r="L325" s="151" t="s">
        <v>1062</v>
      </c>
      <c r="M325" s="141">
        <v>1.3330952380952379E-2</v>
      </c>
    </row>
    <row r="326" spans="1:13" x14ac:dyDescent="0.3">
      <c r="A326" s="172" t="s">
        <v>986</v>
      </c>
      <c r="B326" s="172" t="s">
        <v>308</v>
      </c>
      <c r="C326" s="172">
        <v>105</v>
      </c>
      <c r="D326" s="172">
        <v>80</v>
      </c>
      <c r="E326" s="172" t="s">
        <v>1013</v>
      </c>
      <c r="F326" s="172">
        <v>7</v>
      </c>
      <c r="G326" s="172">
        <v>6</v>
      </c>
      <c r="H326" s="172" t="s">
        <v>289</v>
      </c>
      <c r="I326" s="172" t="s">
        <v>290</v>
      </c>
      <c r="J326" s="172">
        <v>2</v>
      </c>
      <c r="K326" s="172">
        <v>3</v>
      </c>
      <c r="L326" s="153" t="s">
        <v>448</v>
      </c>
      <c r="M326" s="141">
        <v>1.3330952380952379E-2</v>
      </c>
    </row>
    <row r="327" spans="1:13" x14ac:dyDescent="0.3">
      <c r="A327" s="172" t="s">
        <v>987</v>
      </c>
      <c r="B327" s="172" t="s">
        <v>308</v>
      </c>
      <c r="C327" s="172">
        <v>105</v>
      </c>
      <c r="D327" s="172">
        <v>80</v>
      </c>
      <c r="E327" s="172" t="s">
        <v>1013</v>
      </c>
      <c r="F327" s="172">
        <v>7</v>
      </c>
      <c r="G327" s="172">
        <v>6</v>
      </c>
      <c r="H327" s="172" t="s">
        <v>289</v>
      </c>
      <c r="I327" s="172" t="s">
        <v>290</v>
      </c>
      <c r="J327" s="172">
        <v>2</v>
      </c>
      <c r="K327" s="172">
        <v>3</v>
      </c>
      <c r="L327" s="153" t="s">
        <v>448</v>
      </c>
      <c r="M327" s="141">
        <v>1.3330952380952379E-2</v>
      </c>
    </row>
    <row r="328" spans="1:13" x14ac:dyDescent="0.3">
      <c r="A328" s="172" t="s">
        <v>988</v>
      </c>
      <c r="B328" s="172" t="s">
        <v>308</v>
      </c>
      <c r="C328" s="172">
        <v>105</v>
      </c>
      <c r="D328" s="172">
        <v>80</v>
      </c>
      <c r="E328" s="172" t="s">
        <v>1013</v>
      </c>
      <c r="F328" s="172">
        <v>7</v>
      </c>
      <c r="G328" s="172">
        <v>6</v>
      </c>
      <c r="H328" s="172" t="s">
        <v>289</v>
      </c>
      <c r="I328" s="172" t="s">
        <v>290</v>
      </c>
      <c r="J328" s="172">
        <v>2</v>
      </c>
      <c r="K328" s="172">
        <v>3</v>
      </c>
      <c r="L328" s="153" t="s">
        <v>448</v>
      </c>
      <c r="M328" s="141">
        <v>1.3330952380952379E-2</v>
      </c>
    </row>
    <row r="329" spans="1:13" x14ac:dyDescent="0.3">
      <c r="A329" s="172" t="s">
        <v>989</v>
      </c>
      <c r="B329" s="172" t="s">
        <v>308</v>
      </c>
      <c r="C329" s="172">
        <v>105</v>
      </c>
      <c r="D329" s="172">
        <v>80</v>
      </c>
      <c r="E329" s="172" t="s">
        <v>1013</v>
      </c>
      <c r="F329" s="172">
        <v>7</v>
      </c>
      <c r="G329" s="172">
        <v>6</v>
      </c>
      <c r="H329" s="172" t="s">
        <v>289</v>
      </c>
      <c r="I329" s="172" t="s">
        <v>290</v>
      </c>
      <c r="J329" s="172">
        <v>2</v>
      </c>
      <c r="K329" s="172">
        <v>3</v>
      </c>
      <c r="L329" s="153" t="s">
        <v>448</v>
      </c>
      <c r="M329" s="141">
        <v>1.3330952380952379E-2</v>
      </c>
    </row>
    <row r="330" spans="1:13" x14ac:dyDescent="0.3">
      <c r="A330" s="172" t="s">
        <v>990</v>
      </c>
      <c r="B330" s="172" t="s">
        <v>308</v>
      </c>
      <c r="C330" s="172">
        <v>105</v>
      </c>
      <c r="D330" s="172">
        <v>80</v>
      </c>
      <c r="E330" s="172" t="s">
        <v>1014</v>
      </c>
      <c r="F330" s="172">
        <v>10</v>
      </c>
      <c r="G330" s="172">
        <v>7</v>
      </c>
      <c r="H330" s="172" t="s">
        <v>289</v>
      </c>
      <c r="I330" s="172" t="s">
        <v>290</v>
      </c>
      <c r="J330" s="172">
        <v>3</v>
      </c>
      <c r="K330" s="172">
        <v>4</v>
      </c>
      <c r="L330" s="153" t="s">
        <v>448</v>
      </c>
      <c r="M330" s="141">
        <v>1.8178571428571426E-2</v>
      </c>
    </row>
    <row r="331" spans="1:13" x14ac:dyDescent="0.3">
      <c r="A331" s="172" t="s">
        <v>991</v>
      </c>
      <c r="B331" s="172" t="s">
        <v>308</v>
      </c>
      <c r="C331" s="172">
        <v>105</v>
      </c>
      <c r="D331" s="172">
        <v>80</v>
      </c>
      <c r="E331" s="172" t="s">
        <v>1014</v>
      </c>
      <c r="F331" s="172">
        <v>10</v>
      </c>
      <c r="G331" s="172">
        <v>7</v>
      </c>
      <c r="H331" s="172" t="s">
        <v>289</v>
      </c>
      <c r="I331" s="172" t="s">
        <v>290</v>
      </c>
      <c r="J331" s="172">
        <v>3</v>
      </c>
      <c r="K331" s="172">
        <v>4</v>
      </c>
      <c r="L331" s="153" t="s">
        <v>448</v>
      </c>
      <c r="M331" s="141">
        <v>1.8178571428571426E-2</v>
      </c>
    </row>
    <row r="332" spans="1:13" x14ac:dyDescent="0.3">
      <c r="A332" s="172" t="s">
        <v>992</v>
      </c>
      <c r="B332" s="172" t="s">
        <v>308</v>
      </c>
      <c r="C332" s="172">
        <v>105</v>
      </c>
      <c r="D332" s="172">
        <v>80</v>
      </c>
      <c r="E332" s="172" t="s">
        <v>1014</v>
      </c>
      <c r="F332" s="172">
        <v>10</v>
      </c>
      <c r="G332" s="172">
        <v>7</v>
      </c>
      <c r="H332" s="172" t="s">
        <v>289</v>
      </c>
      <c r="I332" s="172" t="s">
        <v>290</v>
      </c>
      <c r="J332" s="172">
        <v>3</v>
      </c>
      <c r="K332" s="172">
        <v>4</v>
      </c>
      <c r="L332" s="153" t="s">
        <v>448</v>
      </c>
      <c r="M332" s="141">
        <v>1.8178571428571426E-2</v>
      </c>
    </row>
    <row r="333" spans="1:13" x14ac:dyDescent="0.3">
      <c r="A333" s="172" t="s">
        <v>993</v>
      </c>
      <c r="B333" s="172" t="s">
        <v>308</v>
      </c>
      <c r="C333" s="172">
        <v>105</v>
      </c>
      <c r="D333" s="172">
        <v>80</v>
      </c>
      <c r="E333" s="172" t="s">
        <v>1014</v>
      </c>
      <c r="F333" s="172">
        <v>10</v>
      </c>
      <c r="G333" s="172">
        <v>7</v>
      </c>
      <c r="H333" s="172" t="s">
        <v>289</v>
      </c>
      <c r="I333" s="172" t="s">
        <v>290</v>
      </c>
      <c r="J333" s="172">
        <v>3</v>
      </c>
      <c r="K333" s="172">
        <v>4</v>
      </c>
      <c r="L333" s="153" t="s">
        <v>448</v>
      </c>
      <c r="M333" s="141">
        <v>1.8178571428571426E-2</v>
      </c>
    </row>
    <row r="334" spans="1:13" x14ac:dyDescent="0.3">
      <c r="A334" s="172" t="s">
        <v>994</v>
      </c>
      <c r="B334" s="172" t="s">
        <v>308</v>
      </c>
      <c r="C334" s="172">
        <v>105</v>
      </c>
      <c r="D334" s="172">
        <v>95</v>
      </c>
      <c r="E334" s="172" t="s">
        <v>1014</v>
      </c>
      <c r="F334" s="172">
        <v>9</v>
      </c>
      <c r="G334" s="172">
        <v>8</v>
      </c>
      <c r="H334" s="172" t="s">
        <v>289</v>
      </c>
      <c r="I334" s="172" t="s">
        <v>290</v>
      </c>
      <c r="J334" s="172">
        <v>4</v>
      </c>
      <c r="K334" s="172">
        <v>4</v>
      </c>
      <c r="L334" s="152" t="s">
        <v>448</v>
      </c>
      <c r="M334" s="141">
        <v>1.5308270676691728E-2</v>
      </c>
    </row>
    <row r="335" spans="1:13" x14ac:dyDescent="0.3">
      <c r="A335" s="172" t="s">
        <v>225</v>
      </c>
      <c r="B335" s="172" t="s">
        <v>308</v>
      </c>
      <c r="C335" s="172">
        <v>105</v>
      </c>
      <c r="D335" s="172">
        <v>95</v>
      </c>
      <c r="E335" s="172" t="s">
        <v>1014</v>
      </c>
      <c r="F335" s="172">
        <v>9</v>
      </c>
      <c r="G335" s="172">
        <v>8</v>
      </c>
      <c r="H335" s="172" t="s">
        <v>289</v>
      </c>
      <c r="I335" s="172" t="s">
        <v>290</v>
      </c>
      <c r="J335" s="172">
        <v>4</v>
      </c>
      <c r="K335" s="172">
        <v>4</v>
      </c>
      <c r="L335" s="152" t="s">
        <v>448</v>
      </c>
      <c r="M335" s="141">
        <v>1.5308270676691728E-2</v>
      </c>
    </row>
    <row r="336" spans="1:13" x14ac:dyDescent="0.3">
      <c r="A336" s="172" t="s">
        <v>226</v>
      </c>
      <c r="B336" s="172" t="s">
        <v>308</v>
      </c>
      <c r="C336" s="172">
        <v>105</v>
      </c>
      <c r="D336" s="172">
        <v>95</v>
      </c>
      <c r="E336" s="172" t="s">
        <v>1014</v>
      </c>
      <c r="F336" s="172">
        <v>9</v>
      </c>
      <c r="G336" s="172">
        <v>8</v>
      </c>
      <c r="H336" s="172" t="s">
        <v>289</v>
      </c>
      <c r="I336" s="172" t="s">
        <v>290</v>
      </c>
      <c r="J336" s="172">
        <v>5</v>
      </c>
      <c r="K336" s="172">
        <v>5</v>
      </c>
      <c r="L336" s="153" t="s">
        <v>448</v>
      </c>
      <c r="M336" s="141">
        <v>1.5308270676691728E-2</v>
      </c>
    </row>
    <row r="337" spans="1:13" x14ac:dyDescent="0.3">
      <c r="A337" s="172" t="s">
        <v>227</v>
      </c>
      <c r="B337" s="172" t="s">
        <v>308</v>
      </c>
      <c r="C337" s="172">
        <v>105</v>
      </c>
      <c r="D337" s="172">
        <v>95</v>
      </c>
      <c r="E337" s="172" t="s">
        <v>1014</v>
      </c>
      <c r="F337" s="172">
        <v>9</v>
      </c>
      <c r="G337" s="172">
        <v>8</v>
      </c>
      <c r="H337" s="172" t="s">
        <v>289</v>
      </c>
      <c r="I337" s="172" t="s">
        <v>289</v>
      </c>
      <c r="J337" s="172">
        <v>5</v>
      </c>
      <c r="K337" s="172">
        <v>5</v>
      </c>
      <c r="L337" s="151" t="s">
        <v>931</v>
      </c>
      <c r="M337" s="141">
        <v>1.5308270676691728E-2</v>
      </c>
    </row>
    <row r="338" spans="1:13" x14ac:dyDescent="0.3">
      <c r="A338" s="172" t="s">
        <v>996</v>
      </c>
      <c r="B338" s="172" t="s">
        <v>308</v>
      </c>
      <c r="C338" s="172">
        <v>140</v>
      </c>
      <c r="D338" s="172">
        <v>100</v>
      </c>
      <c r="E338" s="172" t="s">
        <v>1015</v>
      </c>
      <c r="F338" s="172">
        <v>9</v>
      </c>
      <c r="G338" s="172">
        <v>7</v>
      </c>
      <c r="H338" s="172" t="s">
        <v>290</v>
      </c>
      <c r="I338" s="172" t="s">
        <v>290</v>
      </c>
      <c r="J338" s="172">
        <v>3</v>
      </c>
      <c r="K338" s="172">
        <v>6</v>
      </c>
      <c r="L338" s="152" t="s">
        <v>448</v>
      </c>
      <c r="M338" s="141">
        <v>1.0179999999999998E-2</v>
      </c>
    </row>
    <row r="339" spans="1:13" x14ac:dyDescent="0.3">
      <c r="A339" s="172" t="s">
        <v>997</v>
      </c>
      <c r="B339" s="172" t="s">
        <v>308</v>
      </c>
      <c r="C339" s="172">
        <v>140</v>
      </c>
      <c r="D339" s="172">
        <v>100</v>
      </c>
      <c r="E339" s="172" t="s">
        <v>1015</v>
      </c>
      <c r="F339" s="172">
        <v>9</v>
      </c>
      <c r="G339" s="172">
        <v>7</v>
      </c>
      <c r="H339" s="172" t="s">
        <v>290</v>
      </c>
      <c r="I339" s="172" t="s">
        <v>290</v>
      </c>
      <c r="J339" s="172">
        <v>3</v>
      </c>
      <c r="K339" s="172">
        <v>4</v>
      </c>
      <c r="L339" s="152" t="s">
        <v>448</v>
      </c>
      <c r="M339" s="141">
        <v>1.0179999999999998E-2</v>
      </c>
    </row>
    <row r="340" spans="1:13" x14ac:dyDescent="0.3">
      <c r="A340" s="172" t="s">
        <v>998</v>
      </c>
      <c r="B340" s="172" t="s">
        <v>308</v>
      </c>
      <c r="C340" s="172">
        <v>140</v>
      </c>
      <c r="D340" s="172">
        <v>100</v>
      </c>
      <c r="E340" s="172" t="s">
        <v>1015</v>
      </c>
      <c r="F340" s="172">
        <v>9</v>
      </c>
      <c r="G340" s="172">
        <v>7</v>
      </c>
      <c r="H340" s="172" t="s">
        <v>290</v>
      </c>
      <c r="I340" s="172" t="s">
        <v>290</v>
      </c>
      <c r="J340" s="172">
        <v>3</v>
      </c>
      <c r="K340" s="172">
        <v>4</v>
      </c>
      <c r="L340" s="152" t="s">
        <v>448</v>
      </c>
      <c r="M340" s="141">
        <v>1.0179999999999998E-2</v>
      </c>
    </row>
    <row r="341" spans="1:13" x14ac:dyDescent="0.3">
      <c r="A341" s="172" t="s">
        <v>999</v>
      </c>
      <c r="B341" s="172" t="s">
        <v>308</v>
      </c>
      <c r="C341" s="172">
        <v>140</v>
      </c>
      <c r="D341" s="172">
        <v>100</v>
      </c>
      <c r="E341" s="172" t="s">
        <v>1015</v>
      </c>
      <c r="F341" s="172">
        <v>9</v>
      </c>
      <c r="G341" s="172">
        <v>7</v>
      </c>
      <c r="H341" s="172" t="s">
        <v>290</v>
      </c>
      <c r="I341" s="172" t="s">
        <v>290</v>
      </c>
      <c r="J341" s="172">
        <v>3</v>
      </c>
      <c r="K341" s="172">
        <v>4</v>
      </c>
      <c r="L341" s="152" t="s">
        <v>448</v>
      </c>
      <c r="M341" s="141">
        <v>1.0179999999999998E-2</v>
      </c>
    </row>
    <row r="342" spans="1:13" x14ac:dyDescent="0.3">
      <c r="A342" s="172" t="s">
        <v>286</v>
      </c>
      <c r="B342" s="172" t="s">
        <v>978</v>
      </c>
      <c r="C342" s="172">
        <v>60</v>
      </c>
      <c r="D342" s="172">
        <v>60</v>
      </c>
      <c r="E342" s="172" t="s">
        <v>1017</v>
      </c>
      <c r="F342" s="172">
        <v>5</v>
      </c>
      <c r="G342" s="172">
        <v>5</v>
      </c>
      <c r="H342" s="172" t="s">
        <v>289</v>
      </c>
      <c r="I342" s="172" t="s">
        <v>290</v>
      </c>
      <c r="J342" s="172">
        <v>1</v>
      </c>
      <c r="K342" s="172">
        <v>1</v>
      </c>
      <c r="L342" s="153" t="s">
        <v>448</v>
      </c>
      <c r="M342" s="141">
        <v>2.2622222222222221E-2</v>
      </c>
    </row>
    <row r="343" spans="1:13" x14ac:dyDescent="0.3">
      <c r="A343" s="172" t="s">
        <v>979</v>
      </c>
      <c r="B343" s="172" t="s">
        <v>978</v>
      </c>
      <c r="C343" s="172">
        <v>60</v>
      </c>
      <c r="D343" s="172">
        <v>60</v>
      </c>
      <c r="E343" s="172" t="s">
        <v>1017</v>
      </c>
      <c r="F343" s="172">
        <v>5</v>
      </c>
      <c r="G343" s="172">
        <v>5</v>
      </c>
      <c r="H343" s="172" t="s">
        <v>289</v>
      </c>
      <c r="I343" s="172" t="s">
        <v>290</v>
      </c>
      <c r="J343" s="172">
        <v>1</v>
      </c>
      <c r="K343" s="172">
        <v>1</v>
      </c>
      <c r="L343" s="153" t="s">
        <v>448</v>
      </c>
      <c r="M343" s="141">
        <v>2.2622222222222221E-2</v>
      </c>
    </row>
    <row r="344" spans="1:13" x14ac:dyDescent="0.3">
      <c r="A344" s="172" t="s">
        <v>980</v>
      </c>
      <c r="B344" s="172" t="s">
        <v>978</v>
      </c>
      <c r="C344" s="173">
        <v>60</v>
      </c>
      <c r="D344" s="173">
        <v>60</v>
      </c>
      <c r="E344" s="172" t="s">
        <v>1017</v>
      </c>
      <c r="F344" s="172">
        <v>5</v>
      </c>
      <c r="G344" s="172">
        <v>5</v>
      </c>
      <c r="H344" s="172" t="s">
        <v>289</v>
      </c>
      <c r="I344" s="172" t="s">
        <v>290</v>
      </c>
      <c r="J344" s="172">
        <v>1</v>
      </c>
      <c r="K344" s="172">
        <v>1</v>
      </c>
      <c r="L344" s="153" t="s">
        <v>448</v>
      </c>
      <c r="M344" s="141">
        <v>2.2622222222222221E-2</v>
      </c>
    </row>
    <row r="345" spans="1:13" x14ac:dyDescent="0.3">
      <c r="A345" s="172" t="s">
        <v>286</v>
      </c>
      <c r="B345" s="172" t="s">
        <v>977</v>
      </c>
      <c r="C345" s="172">
        <v>60</v>
      </c>
      <c r="D345" s="172">
        <v>60</v>
      </c>
      <c r="E345" s="172" t="s">
        <v>1017</v>
      </c>
      <c r="F345" s="172">
        <v>5</v>
      </c>
      <c r="G345" s="172">
        <v>5</v>
      </c>
      <c r="H345" s="172" t="s">
        <v>289</v>
      </c>
      <c r="I345" s="172" t="s">
        <v>290</v>
      </c>
      <c r="J345" s="172">
        <v>1</v>
      </c>
      <c r="K345" s="172">
        <v>1</v>
      </c>
      <c r="L345" s="153" t="s">
        <v>448</v>
      </c>
      <c r="M345" s="141">
        <v>2.2622222222222221E-2</v>
      </c>
    </row>
    <row r="346" spans="1:13" x14ac:dyDescent="0.3">
      <c r="A346" s="172" t="s">
        <v>979</v>
      </c>
      <c r="B346" s="172" t="s">
        <v>977</v>
      </c>
      <c r="C346" s="172">
        <v>60</v>
      </c>
      <c r="D346" s="172">
        <v>60</v>
      </c>
      <c r="E346" s="172" t="s">
        <v>1017</v>
      </c>
      <c r="F346" s="172">
        <v>5</v>
      </c>
      <c r="G346" s="172">
        <v>5</v>
      </c>
      <c r="H346" s="172" t="s">
        <v>289</v>
      </c>
      <c r="I346" s="172" t="s">
        <v>290</v>
      </c>
      <c r="J346" s="172">
        <v>1</v>
      </c>
      <c r="K346" s="172">
        <v>1</v>
      </c>
      <c r="L346" s="153" t="s">
        <v>448</v>
      </c>
      <c r="M346" s="141">
        <v>2.2622222222222221E-2</v>
      </c>
    </row>
    <row r="347" spans="1:13" x14ac:dyDescent="0.3">
      <c r="A347" s="172" t="s">
        <v>980</v>
      </c>
      <c r="B347" s="172" t="s">
        <v>977</v>
      </c>
      <c r="C347" s="172">
        <v>60</v>
      </c>
      <c r="D347" s="172">
        <v>60</v>
      </c>
      <c r="E347" s="172" t="s">
        <v>1017</v>
      </c>
      <c r="F347" s="172">
        <v>5</v>
      </c>
      <c r="G347" s="172">
        <v>5</v>
      </c>
      <c r="H347" s="172" t="s">
        <v>289</v>
      </c>
      <c r="I347" s="172" t="s">
        <v>290</v>
      </c>
      <c r="J347" s="172">
        <v>1</v>
      </c>
      <c r="K347" s="172">
        <v>1</v>
      </c>
      <c r="L347" s="153" t="s">
        <v>448</v>
      </c>
      <c r="M347" s="141">
        <v>2.2622222222222221E-2</v>
      </c>
    </row>
    <row r="348" spans="1:13" x14ac:dyDescent="0.3">
      <c r="A348" s="172" t="s">
        <v>286</v>
      </c>
      <c r="B348" s="172" t="s">
        <v>976</v>
      </c>
      <c r="C348" s="172">
        <v>60</v>
      </c>
      <c r="D348" s="172">
        <v>60</v>
      </c>
      <c r="E348" s="172" t="s">
        <v>1017</v>
      </c>
      <c r="F348" s="172">
        <v>5</v>
      </c>
      <c r="G348" s="172">
        <v>5</v>
      </c>
      <c r="H348" s="172" t="s">
        <v>289</v>
      </c>
      <c r="I348" s="172" t="s">
        <v>290</v>
      </c>
      <c r="J348" s="172">
        <v>1</v>
      </c>
      <c r="K348" s="172">
        <v>1</v>
      </c>
      <c r="L348" s="153" t="s">
        <v>448</v>
      </c>
      <c r="M348" s="141">
        <v>2.2622222222222221E-2</v>
      </c>
    </row>
    <row r="349" spans="1:13" x14ac:dyDescent="0.3">
      <c r="A349" s="172" t="s">
        <v>979</v>
      </c>
      <c r="B349" s="172" t="s">
        <v>976</v>
      </c>
      <c r="C349" s="173">
        <v>60</v>
      </c>
      <c r="D349" s="173">
        <v>60</v>
      </c>
      <c r="E349" s="173" t="s">
        <v>1012</v>
      </c>
      <c r="F349" s="173">
        <v>6</v>
      </c>
      <c r="G349" s="173">
        <v>6</v>
      </c>
      <c r="H349" s="173" t="s">
        <v>289</v>
      </c>
      <c r="I349" s="173" t="s">
        <v>290</v>
      </c>
      <c r="J349" s="173">
        <v>2</v>
      </c>
      <c r="K349" s="173">
        <v>2</v>
      </c>
      <c r="L349" s="153" t="s">
        <v>448</v>
      </c>
      <c r="M349" s="141">
        <v>2.8277777777777777E-2</v>
      </c>
    </row>
    <row r="350" spans="1:13" x14ac:dyDescent="0.3">
      <c r="A350" s="172" t="s">
        <v>980</v>
      </c>
      <c r="B350" s="172" t="s">
        <v>976</v>
      </c>
      <c r="C350" s="173">
        <v>60</v>
      </c>
      <c r="D350" s="173">
        <v>60</v>
      </c>
      <c r="E350" s="173" t="s">
        <v>1017</v>
      </c>
      <c r="F350" s="173">
        <v>5</v>
      </c>
      <c r="G350" s="173">
        <v>5</v>
      </c>
      <c r="H350" s="173" t="s">
        <v>289</v>
      </c>
      <c r="I350" s="173" t="s">
        <v>290</v>
      </c>
      <c r="J350" s="173">
        <v>1</v>
      </c>
      <c r="K350" s="173">
        <v>1</v>
      </c>
      <c r="L350" s="153" t="s">
        <v>448</v>
      </c>
      <c r="M350" s="141">
        <v>2.2622222222222221E-2</v>
      </c>
    </row>
    <row r="351" spans="1:13" x14ac:dyDescent="0.3">
      <c r="A351" s="172" t="s">
        <v>291</v>
      </c>
      <c r="B351" s="172" t="s">
        <v>309</v>
      </c>
      <c r="C351" s="172">
        <v>95</v>
      </c>
      <c r="D351" s="172">
        <v>80</v>
      </c>
      <c r="E351" s="172" t="s">
        <v>1012</v>
      </c>
      <c r="F351" s="172">
        <v>7</v>
      </c>
      <c r="G351" s="172">
        <v>5</v>
      </c>
      <c r="H351" s="172" t="s">
        <v>289</v>
      </c>
      <c r="I351" s="172" t="s">
        <v>292</v>
      </c>
      <c r="J351" s="172">
        <v>3</v>
      </c>
      <c r="K351" s="172">
        <v>4</v>
      </c>
      <c r="L351" s="154" t="s">
        <v>1062</v>
      </c>
      <c r="M351" s="141">
        <v>1.3394736842105263E-2</v>
      </c>
    </row>
    <row r="352" spans="1:13" ht="78" x14ac:dyDescent="0.3">
      <c r="A352" s="172" t="s">
        <v>982</v>
      </c>
      <c r="B352" s="172" t="s">
        <v>309</v>
      </c>
      <c r="C352" s="172">
        <v>95</v>
      </c>
      <c r="D352" s="172">
        <v>80</v>
      </c>
      <c r="E352" s="172" t="s">
        <v>1012</v>
      </c>
      <c r="F352" s="172">
        <v>6</v>
      </c>
      <c r="G352" s="172">
        <v>6</v>
      </c>
      <c r="H352" s="172" t="s">
        <v>289</v>
      </c>
      <c r="I352" s="172" t="s">
        <v>290</v>
      </c>
      <c r="J352" s="172">
        <v>2</v>
      </c>
      <c r="K352" s="172">
        <v>3</v>
      </c>
      <c r="L352" s="151" t="s">
        <v>1060</v>
      </c>
      <c r="M352" s="141">
        <v>1.3394736842105263E-2</v>
      </c>
    </row>
    <row r="353" spans="1:13" x14ac:dyDescent="0.3">
      <c r="A353" s="172" t="s">
        <v>983</v>
      </c>
      <c r="B353" s="172" t="s">
        <v>309</v>
      </c>
      <c r="C353" s="172">
        <v>95</v>
      </c>
      <c r="D353" s="172">
        <v>80</v>
      </c>
      <c r="E353" s="172" t="s">
        <v>1012</v>
      </c>
      <c r="F353" s="172">
        <v>6</v>
      </c>
      <c r="G353" s="172">
        <v>6</v>
      </c>
      <c r="H353" s="172" t="s">
        <v>289</v>
      </c>
      <c r="I353" s="172" t="s">
        <v>290</v>
      </c>
      <c r="J353" s="172">
        <v>2</v>
      </c>
      <c r="K353" s="172">
        <v>3</v>
      </c>
      <c r="L353" s="151" t="s">
        <v>1062</v>
      </c>
      <c r="M353" s="141">
        <v>1.3394736842105263E-2</v>
      </c>
    </row>
    <row r="354" spans="1:13" x14ac:dyDescent="0.3">
      <c r="A354" s="172" t="s">
        <v>984</v>
      </c>
      <c r="B354" s="172" t="s">
        <v>309</v>
      </c>
      <c r="C354" s="173">
        <v>95</v>
      </c>
      <c r="D354" s="173">
        <v>80</v>
      </c>
      <c r="E354" s="172" t="s">
        <v>1012</v>
      </c>
      <c r="F354" s="172">
        <v>6</v>
      </c>
      <c r="G354" s="172">
        <v>6</v>
      </c>
      <c r="H354" s="172" t="s">
        <v>289</v>
      </c>
      <c r="I354" s="172" t="s">
        <v>290</v>
      </c>
      <c r="J354" s="172">
        <v>2</v>
      </c>
      <c r="K354" s="172">
        <v>3</v>
      </c>
      <c r="L354" s="151" t="s">
        <v>1062</v>
      </c>
      <c r="M354" s="141">
        <v>1.3394736842105263E-2</v>
      </c>
    </row>
    <row r="355" spans="1:13" x14ac:dyDescent="0.3">
      <c r="A355" s="172" t="s">
        <v>985</v>
      </c>
      <c r="B355" s="172" t="s">
        <v>309</v>
      </c>
      <c r="C355" s="172">
        <v>95</v>
      </c>
      <c r="D355" s="172">
        <v>80</v>
      </c>
      <c r="E355" s="172" t="s">
        <v>1012</v>
      </c>
      <c r="F355" s="172">
        <v>6</v>
      </c>
      <c r="G355" s="172">
        <v>6</v>
      </c>
      <c r="H355" s="172" t="s">
        <v>289</v>
      </c>
      <c r="I355" s="172" t="s">
        <v>290</v>
      </c>
      <c r="J355" s="172">
        <v>2</v>
      </c>
      <c r="K355" s="172">
        <v>3</v>
      </c>
      <c r="L355" s="151" t="s">
        <v>1062</v>
      </c>
      <c r="M355" s="141">
        <v>1.3394736842105263E-2</v>
      </c>
    </row>
    <row r="356" spans="1:13" x14ac:dyDescent="0.3">
      <c r="A356" s="172" t="s">
        <v>986</v>
      </c>
      <c r="B356" s="172" t="s">
        <v>309</v>
      </c>
      <c r="C356" s="172">
        <v>95</v>
      </c>
      <c r="D356" s="172">
        <v>80</v>
      </c>
      <c r="E356" s="172" t="s">
        <v>1012</v>
      </c>
      <c r="F356" s="172">
        <v>6</v>
      </c>
      <c r="G356" s="172">
        <v>6</v>
      </c>
      <c r="H356" s="172" t="s">
        <v>289</v>
      </c>
      <c r="I356" s="172" t="s">
        <v>290</v>
      </c>
      <c r="J356" s="172">
        <v>2</v>
      </c>
      <c r="K356" s="172">
        <v>3</v>
      </c>
      <c r="L356" s="153" t="s">
        <v>448</v>
      </c>
      <c r="M356" s="141">
        <v>1.3394736842105263E-2</v>
      </c>
    </row>
    <row r="357" spans="1:13" x14ac:dyDescent="0.3">
      <c r="A357" s="172" t="s">
        <v>987</v>
      </c>
      <c r="B357" s="172" t="s">
        <v>309</v>
      </c>
      <c r="C357" s="172">
        <v>95</v>
      </c>
      <c r="D357" s="172">
        <v>80</v>
      </c>
      <c r="E357" s="172" t="s">
        <v>1012</v>
      </c>
      <c r="F357" s="172">
        <v>6</v>
      </c>
      <c r="G357" s="172">
        <v>6</v>
      </c>
      <c r="H357" s="172" t="s">
        <v>289</v>
      </c>
      <c r="I357" s="172" t="s">
        <v>290</v>
      </c>
      <c r="J357" s="172">
        <v>2</v>
      </c>
      <c r="K357" s="172">
        <v>3</v>
      </c>
      <c r="L357" s="153" t="s">
        <v>448</v>
      </c>
      <c r="M357" s="141">
        <v>1.3394736842105263E-2</v>
      </c>
    </row>
    <row r="358" spans="1:13" x14ac:dyDescent="0.3">
      <c r="A358" s="172" t="s">
        <v>988</v>
      </c>
      <c r="B358" s="172" t="s">
        <v>309</v>
      </c>
      <c r="C358" s="173">
        <v>95</v>
      </c>
      <c r="D358" s="173">
        <v>80</v>
      </c>
      <c r="E358" s="172" t="s">
        <v>1012</v>
      </c>
      <c r="F358" s="172">
        <v>6</v>
      </c>
      <c r="G358" s="172">
        <v>6</v>
      </c>
      <c r="H358" s="172" t="s">
        <v>289</v>
      </c>
      <c r="I358" s="172" t="s">
        <v>290</v>
      </c>
      <c r="J358" s="172">
        <v>2</v>
      </c>
      <c r="K358" s="172">
        <v>3</v>
      </c>
      <c r="L358" s="153" t="s">
        <v>448</v>
      </c>
      <c r="M358" s="141">
        <v>1.3394736842105263E-2</v>
      </c>
    </row>
    <row r="359" spans="1:13" x14ac:dyDescent="0.3">
      <c r="A359" s="172" t="s">
        <v>989</v>
      </c>
      <c r="B359" s="172" t="s">
        <v>309</v>
      </c>
      <c r="C359" s="172">
        <v>95</v>
      </c>
      <c r="D359" s="172">
        <v>80</v>
      </c>
      <c r="E359" s="172" t="s">
        <v>1012</v>
      </c>
      <c r="F359" s="172">
        <v>6</v>
      </c>
      <c r="G359" s="172">
        <v>6</v>
      </c>
      <c r="H359" s="172" t="s">
        <v>289</v>
      </c>
      <c r="I359" s="172" t="s">
        <v>290</v>
      </c>
      <c r="J359" s="172">
        <v>2</v>
      </c>
      <c r="K359" s="172">
        <v>3</v>
      </c>
      <c r="L359" s="153" t="s">
        <v>448</v>
      </c>
      <c r="M359" s="141">
        <v>1.3394736842105263E-2</v>
      </c>
    </row>
    <row r="360" spans="1:13" x14ac:dyDescent="0.3">
      <c r="A360" s="172" t="s">
        <v>990</v>
      </c>
      <c r="B360" s="172" t="s">
        <v>309</v>
      </c>
      <c r="C360" s="173">
        <v>95</v>
      </c>
      <c r="D360" s="173">
        <v>80</v>
      </c>
      <c r="E360" s="173" t="s">
        <v>1012</v>
      </c>
      <c r="F360" s="173">
        <v>6</v>
      </c>
      <c r="G360" s="173">
        <v>6</v>
      </c>
      <c r="H360" s="173" t="s">
        <v>289</v>
      </c>
      <c r="I360" s="173" t="s">
        <v>290</v>
      </c>
      <c r="J360" s="173">
        <v>3</v>
      </c>
      <c r="K360" s="173">
        <v>4</v>
      </c>
      <c r="L360" s="153" t="s">
        <v>448</v>
      </c>
      <c r="M360" s="141">
        <v>1.3394736842105263E-2</v>
      </c>
    </row>
    <row r="361" spans="1:13" x14ac:dyDescent="0.3">
      <c r="A361" s="172" t="s">
        <v>991</v>
      </c>
      <c r="B361" s="172" t="s">
        <v>309</v>
      </c>
      <c r="C361" s="173">
        <v>95</v>
      </c>
      <c r="D361" s="173">
        <v>80</v>
      </c>
      <c r="E361" s="172" t="s">
        <v>1012</v>
      </c>
      <c r="F361" s="172">
        <v>6</v>
      </c>
      <c r="G361" s="172">
        <v>6</v>
      </c>
      <c r="H361" s="172" t="s">
        <v>289</v>
      </c>
      <c r="I361" s="172" t="s">
        <v>290</v>
      </c>
      <c r="J361" s="172">
        <v>3</v>
      </c>
      <c r="K361" s="172">
        <v>4</v>
      </c>
      <c r="L361" s="152" t="s">
        <v>448</v>
      </c>
      <c r="M361" s="141">
        <v>1.3394736842105263E-2</v>
      </c>
    </row>
    <row r="362" spans="1:13" x14ac:dyDescent="0.3">
      <c r="A362" s="172" t="s">
        <v>992</v>
      </c>
      <c r="B362" s="172" t="s">
        <v>309</v>
      </c>
      <c r="C362" s="173">
        <v>95</v>
      </c>
      <c r="D362" s="173">
        <v>80</v>
      </c>
      <c r="E362" s="173" t="s">
        <v>1012</v>
      </c>
      <c r="F362" s="173">
        <v>6</v>
      </c>
      <c r="G362" s="173">
        <v>6</v>
      </c>
      <c r="H362" s="173" t="s">
        <v>289</v>
      </c>
      <c r="I362" s="173" t="s">
        <v>290</v>
      </c>
      <c r="J362" s="173">
        <v>3</v>
      </c>
      <c r="K362" s="173">
        <v>4</v>
      </c>
      <c r="L362" s="152" t="s">
        <v>448</v>
      </c>
      <c r="M362" s="141">
        <v>1.3394736842105263E-2</v>
      </c>
    </row>
    <row r="363" spans="1:13" x14ac:dyDescent="0.3">
      <c r="A363" s="172" t="s">
        <v>993</v>
      </c>
      <c r="B363" s="172" t="s">
        <v>309</v>
      </c>
      <c r="C363" s="172">
        <v>95</v>
      </c>
      <c r="D363" s="172">
        <v>80</v>
      </c>
      <c r="E363" s="172" t="s">
        <v>1012</v>
      </c>
      <c r="F363" s="172">
        <v>6</v>
      </c>
      <c r="G363" s="172">
        <v>6</v>
      </c>
      <c r="H363" s="172" t="s">
        <v>289</v>
      </c>
      <c r="I363" s="172" t="s">
        <v>290</v>
      </c>
      <c r="J363" s="172">
        <v>3</v>
      </c>
      <c r="K363" s="172">
        <v>4</v>
      </c>
      <c r="L363" s="152" t="s">
        <v>448</v>
      </c>
      <c r="M363" s="141">
        <v>1.3394736842105263E-2</v>
      </c>
    </row>
    <row r="364" spans="1:13" x14ac:dyDescent="0.3">
      <c r="A364" s="172" t="s">
        <v>994</v>
      </c>
      <c r="B364" s="172" t="s">
        <v>309</v>
      </c>
      <c r="C364" s="172">
        <v>105</v>
      </c>
      <c r="D364" s="172">
        <v>80</v>
      </c>
      <c r="E364" s="172" t="s">
        <v>1013</v>
      </c>
      <c r="F364" s="172">
        <v>7</v>
      </c>
      <c r="G364" s="172">
        <v>6</v>
      </c>
      <c r="H364" s="172" t="s">
        <v>289</v>
      </c>
      <c r="I364" s="172" t="s">
        <v>290</v>
      </c>
      <c r="J364" s="172">
        <v>3</v>
      </c>
      <c r="K364" s="172">
        <v>4</v>
      </c>
      <c r="L364" s="152" t="s">
        <v>448</v>
      </c>
      <c r="M364" s="141">
        <v>1.3330952380952379E-2</v>
      </c>
    </row>
    <row r="365" spans="1:13" x14ac:dyDescent="0.3">
      <c r="A365" s="172" t="s">
        <v>225</v>
      </c>
      <c r="B365" s="172" t="s">
        <v>309</v>
      </c>
      <c r="C365" s="172">
        <v>105</v>
      </c>
      <c r="D365" s="172">
        <v>80</v>
      </c>
      <c r="E365" s="172" t="s">
        <v>1016</v>
      </c>
      <c r="F365" s="172">
        <v>10</v>
      </c>
      <c r="G365" s="172">
        <v>8</v>
      </c>
      <c r="H365" s="172" t="s">
        <v>289</v>
      </c>
      <c r="I365" s="172" t="s">
        <v>290</v>
      </c>
      <c r="J365" s="172">
        <v>3</v>
      </c>
      <c r="K365" s="172">
        <v>4</v>
      </c>
      <c r="L365" s="151" t="s">
        <v>931</v>
      </c>
      <c r="M365" s="141">
        <v>1.9390476190476191E-2</v>
      </c>
    </row>
    <row r="366" spans="1:13" x14ac:dyDescent="0.3">
      <c r="A366" s="172" t="s">
        <v>226</v>
      </c>
      <c r="B366" s="172" t="s">
        <v>309</v>
      </c>
      <c r="C366" s="172">
        <v>105</v>
      </c>
      <c r="D366" s="172">
        <v>80</v>
      </c>
      <c r="E366" s="172" t="s">
        <v>1013</v>
      </c>
      <c r="F366" s="172">
        <v>7</v>
      </c>
      <c r="G366" s="172">
        <v>6</v>
      </c>
      <c r="H366" s="172" t="s">
        <v>289</v>
      </c>
      <c r="I366" s="172" t="s">
        <v>290</v>
      </c>
      <c r="J366" s="172">
        <v>4</v>
      </c>
      <c r="K366" s="172">
        <v>5</v>
      </c>
      <c r="L366" s="153" t="s">
        <v>448</v>
      </c>
      <c r="M366" s="141">
        <v>1.3330952380952379E-2</v>
      </c>
    </row>
    <row r="367" spans="1:13" x14ac:dyDescent="0.3">
      <c r="A367" s="172" t="s">
        <v>227</v>
      </c>
      <c r="B367" s="172" t="s">
        <v>309</v>
      </c>
      <c r="C367" s="172">
        <v>105</v>
      </c>
      <c r="D367" s="172">
        <v>80</v>
      </c>
      <c r="E367" s="172" t="s">
        <v>1013</v>
      </c>
      <c r="F367" s="172">
        <v>7</v>
      </c>
      <c r="G367" s="172">
        <v>6</v>
      </c>
      <c r="H367" s="172" t="s">
        <v>289</v>
      </c>
      <c r="I367" s="172" t="s">
        <v>289</v>
      </c>
      <c r="J367" s="172">
        <v>4</v>
      </c>
      <c r="K367" s="172">
        <v>5</v>
      </c>
      <c r="L367" s="152" t="s">
        <v>448</v>
      </c>
      <c r="M367" s="141">
        <v>1.3330952380952379E-2</v>
      </c>
    </row>
    <row r="368" spans="1:13" x14ac:dyDescent="0.3">
      <c r="A368" s="172" t="s">
        <v>996</v>
      </c>
      <c r="B368" s="172" t="s">
        <v>309</v>
      </c>
      <c r="C368" s="172">
        <v>125</v>
      </c>
      <c r="D368" s="172">
        <v>95</v>
      </c>
      <c r="E368" s="172" t="s">
        <v>1018</v>
      </c>
      <c r="F368" s="172">
        <v>11</v>
      </c>
      <c r="G368" s="172">
        <v>9</v>
      </c>
      <c r="H368" s="172" t="s">
        <v>290</v>
      </c>
      <c r="I368" s="172" t="s">
        <v>290</v>
      </c>
      <c r="J368" s="172">
        <v>3</v>
      </c>
      <c r="K368" s="172">
        <v>4</v>
      </c>
      <c r="L368" s="152" t="s">
        <v>448</v>
      </c>
      <c r="M368" s="141">
        <v>1.5430736842105264E-2</v>
      </c>
    </row>
    <row r="369" spans="1:13" x14ac:dyDescent="0.3">
      <c r="A369" s="172" t="s">
        <v>997</v>
      </c>
      <c r="B369" s="172" t="s">
        <v>309</v>
      </c>
      <c r="C369" s="172">
        <v>125</v>
      </c>
      <c r="D369" s="172">
        <v>95</v>
      </c>
      <c r="E369" s="172" t="s">
        <v>1085</v>
      </c>
      <c r="F369" s="172">
        <v>9</v>
      </c>
      <c r="G369" s="172">
        <v>7</v>
      </c>
      <c r="H369" s="172" t="s">
        <v>290</v>
      </c>
      <c r="I369" s="172" t="s">
        <v>290</v>
      </c>
      <c r="J369" s="172">
        <v>3</v>
      </c>
      <c r="K369" s="172">
        <v>4</v>
      </c>
      <c r="L369" s="152" t="s">
        <v>448</v>
      </c>
      <c r="M369" s="141">
        <v>1.9311157894736843E-2</v>
      </c>
    </row>
    <row r="370" spans="1:13" x14ac:dyDescent="0.3">
      <c r="A370" s="172" t="s">
        <v>998</v>
      </c>
      <c r="B370" s="172" t="s">
        <v>309</v>
      </c>
      <c r="C370" s="172">
        <v>125</v>
      </c>
      <c r="D370" s="172">
        <v>95</v>
      </c>
      <c r="E370" s="172" t="s">
        <v>1031</v>
      </c>
      <c r="F370" s="172">
        <v>11</v>
      </c>
      <c r="G370" s="172">
        <v>9</v>
      </c>
      <c r="H370" s="172" t="s">
        <v>290</v>
      </c>
      <c r="I370" s="172" t="s">
        <v>290</v>
      </c>
      <c r="J370" s="172">
        <v>3</v>
      </c>
      <c r="K370" s="172">
        <v>4</v>
      </c>
      <c r="L370" s="152" t="s">
        <v>448</v>
      </c>
      <c r="M370" s="141">
        <v>2.4828631578947366E-2</v>
      </c>
    </row>
    <row r="371" spans="1:13" x14ac:dyDescent="0.3">
      <c r="A371" s="172" t="s">
        <v>999</v>
      </c>
      <c r="B371" s="172" t="s">
        <v>309</v>
      </c>
      <c r="C371" s="172">
        <v>125</v>
      </c>
      <c r="D371" s="172">
        <v>95</v>
      </c>
      <c r="E371" s="172" t="s">
        <v>1076</v>
      </c>
      <c r="F371" s="172">
        <v>14</v>
      </c>
      <c r="G371" s="172">
        <v>10</v>
      </c>
      <c r="H371" s="172" t="s">
        <v>290</v>
      </c>
      <c r="I371" s="172" t="s">
        <v>290</v>
      </c>
      <c r="J371" s="172">
        <v>4</v>
      </c>
      <c r="K371" s="172">
        <v>6</v>
      </c>
      <c r="L371" s="152" t="s">
        <v>448</v>
      </c>
      <c r="M371" s="141">
        <v>3.034610526315789E-2</v>
      </c>
    </row>
    <row r="372" spans="1:13" x14ac:dyDescent="0.3">
      <c r="A372" s="172" t="s">
        <v>286</v>
      </c>
      <c r="B372" s="172" t="s">
        <v>310</v>
      </c>
      <c r="C372" s="173">
        <v>60</v>
      </c>
      <c r="D372" s="173">
        <v>60</v>
      </c>
      <c r="E372" s="172" t="s">
        <v>1017</v>
      </c>
      <c r="F372" s="172">
        <v>5</v>
      </c>
      <c r="G372" s="172">
        <v>5</v>
      </c>
      <c r="H372" s="172" t="s">
        <v>289</v>
      </c>
      <c r="I372" s="172" t="s">
        <v>290</v>
      </c>
      <c r="J372" s="172">
        <v>1</v>
      </c>
      <c r="K372" s="172">
        <v>1</v>
      </c>
      <c r="L372" s="153" t="s">
        <v>448</v>
      </c>
      <c r="M372" s="141">
        <v>2.2622222222222221E-2</v>
      </c>
    </row>
    <row r="373" spans="1:13" x14ac:dyDescent="0.3">
      <c r="A373" s="172" t="s">
        <v>979</v>
      </c>
      <c r="B373" s="172" t="s">
        <v>310</v>
      </c>
      <c r="C373" s="173">
        <v>60</v>
      </c>
      <c r="D373" s="173">
        <v>60</v>
      </c>
      <c r="E373" s="172" t="s">
        <v>1017</v>
      </c>
      <c r="F373" s="172">
        <v>5</v>
      </c>
      <c r="G373" s="172">
        <v>5</v>
      </c>
      <c r="H373" s="172" t="s">
        <v>289</v>
      </c>
      <c r="I373" s="172" t="s">
        <v>290</v>
      </c>
      <c r="J373" s="172">
        <v>1</v>
      </c>
      <c r="K373" s="172">
        <v>1</v>
      </c>
      <c r="L373" s="153" t="s">
        <v>448</v>
      </c>
      <c r="M373" s="141">
        <v>2.2622222222222221E-2</v>
      </c>
    </row>
    <row r="374" spans="1:13" x14ac:dyDescent="0.3">
      <c r="A374" s="172" t="s">
        <v>980</v>
      </c>
      <c r="B374" s="172" t="s">
        <v>310</v>
      </c>
      <c r="C374" s="173">
        <v>60</v>
      </c>
      <c r="D374" s="173">
        <v>60</v>
      </c>
      <c r="E374" s="172" t="s">
        <v>1012</v>
      </c>
      <c r="F374" s="172">
        <v>6</v>
      </c>
      <c r="G374" s="172">
        <v>6</v>
      </c>
      <c r="H374" s="172" t="s">
        <v>289</v>
      </c>
      <c r="I374" s="172" t="s">
        <v>290</v>
      </c>
      <c r="J374" s="172">
        <v>2</v>
      </c>
      <c r="K374" s="172">
        <v>2</v>
      </c>
      <c r="L374" s="154" t="s">
        <v>931</v>
      </c>
      <c r="M374" s="141">
        <v>2.8277777777777777E-2</v>
      </c>
    </row>
    <row r="375" spans="1:13" x14ac:dyDescent="0.3">
      <c r="A375" s="172" t="s">
        <v>291</v>
      </c>
      <c r="B375" s="172" t="s">
        <v>310</v>
      </c>
      <c r="C375" s="172">
        <v>95</v>
      </c>
      <c r="D375" s="172">
        <v>80</v>
      </c>
      <c r="E375" s="172" t="s">
        <v>1012</v>
      </c>
      <c r="F375" s="172">
        <v>6</v>
      </c>
      <c r="G375" s="172">
        <v>6</v>
      </c>
      <c r="H375" s="172" t="s">
        <v>289</v>
      </c>
      <c r="I375" s="172" t="s">
        <v>290</v>
      </c>
      <c r="J375" s="172">
        <v>3</v>
      </c>
      <c r="K375" s="172">
        <v>4</v>
      </c>
      <c r="L375" s="154" t="s">
        <v>1062</v>
      </c>
      <c r="M375" s="141">
        <v>1.3394736842105263E-2</v>
      </c>
    </row>
    <row r="376" spans="1:13" ht="78" x14ac:dyDescent="0.3">
      <c r="A376" s="172" t="s">
        <v>982</v>
      </c>
      <c r="B376" s="172" t="s">
        <v>310</v>
      </c>
      <c r="C376" s="172">
        <v>95</v>
      </c>
      <c r="D376" s="172">
        <v>80</v>
      </c>
      <c r="E376" s="172" t="s">
        <v>1012</v>
      </c>
      <c r="F376" s="172">
        <v>6</v>
      </c>
      <c r="G376" s="172">
        <v>6</v>
      </c>
      <c r="H376" s="172" t="s">
        <v>289</v>
      </c>
      <c r="I376" s="172" t="s">
        <v>290</v>
      </c>
      <c r="J376" s="172">
        <v>2</v>
      </c>
      <c r="K376" s="172">
        <v>3</v>
      </c>
      <c r="L376" s="151" t="s">
        <v>1060</v>
      </c>
      <c r="M376" s="141">
        <v>1.3394736842105263E-2</v>
      </c>
    </row>
    <row r="377" spans="1:13" x14ac:dyDescent="0.3">
      <c r="A377" s="172" t="s">
        <v>983</v>
      </c>
      <c r="B377" s="172" t="s">
        <v>310</v>
      </c>
      <c r="C377" s="172">
        <v>95</v>
      </c>
      <c r="D377" s="172">
        <v>80</v>
      </c>
      <c r="E377" s="172" t="s">
        <v>1012</v>
      </c>
      <c r="F377" s="172">
        <v>6</v>
      </c>
      <c r="G377" s="172">
        <v>6</v>
      </c>
      <c r="H377" s="172" t="s">
        <v>289</v>
      </c>
      <c r="I377" s="172" t="s">
        <v>290</v>
      </c>
      <c r="J377" s="172">
        <v>2</v>
      </c>
      <c r="K377" s="172">
        <v>3</v>
      </c>
      <c r="L377" s="151" t="s">
        <v>1062</v>
      </c>
      <c r="M377" s="141">
        <v>1.3394736842105263E-2</v>
      </c>
    </row>
    <row r="378" spans="1:13" x14ac:dyDescent="0.3">
      <c r="A378" s="172" t="s">
        <v>984</v>
      </c>
      <c r="B378" s="172" t="s">
        <v>310</v>
      </c>
      <c r="C378" s="173">
        <v>95</v>
      </c>
      <c r="D378" s="173">
        <v>80</v>
      </c>
      <c r="E378" s="172" t="s">
        <v>1012</v>
      </c>
      <c r="F378" s="172">
        <v>6</v>
      </c>
      <c r="G378" s="172">
        <v>6</v>
      </c>
      <c r="H378" s="172" t="s">
        <v>289</v>
      </c>
      <c r="I378" s="172" t="s">
        <v>290</v>
      </c>
      <c r="J378" s="172">
        <v>2</v>
      </c>
      <c r="K378" s="172">
        <v>3</v>
      </c>
      <c r="L378" s="151" t="s">
        <v>1062</v>
      </c>
      <c r="M378" s="141">
        <v>1.3394736842105263E-2</v>
      </c>
    </row>
    <row r="379" spans="1:13" x14ac:dyDescent="0.3">
      <c r="A379" s="172" t="s">
        <v>985</v>
      </c>
      <c r="B379" s="172" t="s">
        <v>310</v>
      </c>
      <c r="C379" s="172">
        <v>95</v>
      </c>
      <c r="D379" s="172">
        <v>80</v>
      </c>
      <c r="E379" s="172" t="s">
        <v>1012</v>
      </c>
      <c r="F379" s="172">
        <v>6</v>
      </c>
      <c r="G379" s="172">
        <v>6</v>
      </c>
      <c r="H379" s="172" t="s">
        <v>289</v>
      </c>
      <c r="I379" s="172" t="s">
        <v>290</v>
      </c>
      <c r="J379" s="172">
        <v>2</v>
      </c>
      <c r="K379" s="172">
        <v>3</v>
      </c>
      <c r="L379" s="151" t="s">
        <v>1062</v>
      </c>
      <c r="M379" s="141">
        <v>1.3394736842105263E-2</v>
      </c>
    </row>
    <row r="380" spans="1:13" x14ac:dyDescent="0.3">
      <c r="A380" s="172" t="s">
        <v>986</v>
      </c>
      <c r="B380" s="172" t="s">
        <v>310</v>
      </c>
      <c r="C380" s="172">
        <v>95</v>
      </c>
      <c r="D380" s="172">
        <v>80</v>
      </c>
      <c r="E380" s="172" t="s">
        <v>1012</v>
      </c>
      <c r="F380" s="172">
        <v>6</v>
      </c>
      <c r="G380" s="172">
        <v>6</v>
      </c>
      <c r="H380" s="172" t="s">
        <v>289</v>
      </c>
      <c r="I380" s="172" t="s">
        <v>290</v>
      </c>
      <c r="J380" s="172">
        <v>2</v>
      </c>
      <c r="K380" s="172">
        <v>3</v>
      </c>
      <c r="L380" s="153" t="s">
        <v>448</v>
      </c>
      <c r="M380" s="141">
        <v>1.3394736842105263E-2</v>
      </c>
    </row>
    <row r="381" spans="1:13" x14ac:dyDescent="0.3">
      <c r="A381" s="172" t="s">
        <v>987</v>
      </c>
      <c r="B381" s="172" t="s">
        <v>310</v>
      </c>
      <c r="C381" s="172">
        <v>95</v>
      </c>
      <c r="D381" s="172">
        <v>80</v>
      </c>
      <c r="E381" s="172" t="s">
        <v>1012</v>
      </c>
      <c r="F381" s="172">
        <v>6</v>
      </c>
      <c r="G381" s="172">
        <v>6</v>
      </c>
      <c r="H381" s="172" t="s">
        <v>289</v>
      </c>
      <c r="I381" s="172" t="s">
        <v>290</v>
      </c>
      <c r="J381" s="172">
        <v>2</v>
      </c>
      <c r="K381" s="172">
        <v>3</v>
      </c>
      <c r="L381" s="153" t="s">
        <v>448</v>
      </c>
      <c r="M381" s="141">
        <v>1.3394736842105263E-2</v>
      </c>
    </row>
    <row r="382" spans="1:13" x14ac:dyDescent="0.3">
      <c r="A382" s="172" t="s">
        <v>988</v>
      </c>
      <c r="B382" s="172" t="s">
        <v>310</v>
      </c>
      <c r="C382" s="172">
        <v>95</v>
      </c>
      <c r="D382" s="172">
        <v>80</v>
      </c>
      <c r="E382" s="172" t="s">
        <v>1012</v>
      </c>
      <c r="F382" s="172">
        <v>6</v>
      </c>
      <c r="G382" s="172">
        <v>6</v>
      </c>
      <c r="H382" s="172" t="s">
        <v>289</v>
      </c>
      <c r="I382" s="172" t="s">
        <v>290</v>
      </c>
      <c r="J382" s="172">
        <v>2</v>
      </c>
      <c r="K382" s="172">
        <v>3</v>
      </c>
      <c r="L382" s="153" t="s">
        <v>448</v>
      </c>
      <c r="M382" s="141">
        <v>1.3394736842105263E-2</v>
      </c>
    </row>
    <row r="383" spans="1:13" x14ac:dyDescent="0.3">
      <c r="A383" s="172" t="s">
        <v>989</v>
      </c>
      <c r="B383" s="172" t="s">
        <v>310</v>
      </c>
      <c r="C383" s="173">
        <v>95</v>
      </c>
      <c r="D383" s="173">
        <v>80</v>
      </c>
      <c r="E383" s="172" t="s">
        <v>1025</v>
      </c>
      <c r="F383" s="172">
        <v>8</v>
      </c>
      <c r="G383" s="172">
        <v>7</v>
      </c>
      <c r="H383" s="172" t="s">
        <v>289</v>
      </c>
      <c r="I383" s="172" t="s">
        <v>290</v>
      </c>
      <c r="J383" s="172">
        <v>2</v>
      </c>
      <c r="K383" s="172">
        <v>3</v>
      </c>
      <c r="L383" s="153" t="s">
        <v>448</v>
      </c>
      <c r="M383" s="141">
        <v>1.7413157894736842E-2</v>
      </c>
    </row>
    <row r="384" spans="1:13" x14ac:dyDescent="0.3">
      <c r="A384" s="172" t="s">
        <v>990</v>
      </c>
      <c r="B384" s="172" t="s">
        <v>310</v>
      </c>
      <c r="C384" s="172">
        <v>95</v>
      </c>
      <c r="D384" s="172">
        <v>80</v>
      </c>
      <c r="E384" s="172" t="s">
        <v>1012</v>
      </c>
      <c r="F384" s="172">
        <v>6</v>
      </c>
      <c r="G384" s="172">
        <v>6</v>
      </c>
      <c r="H384" s="172" t="s">
        <v>289</v>
      </c>
      <c r="I384" s="172" t="s">
        <v>290</v>
      </c>
      <c r="J384" s="172">
        <v>3</v>
      </c>
      <c r="K384" s="172">
        <v>4</v>
      </c>
      <c r="L384" s="153" t="s">
        <v>448</v>
      </c>
      <c r="M384" s="141">
        <v>1.3394736842105263E-2</v>
      </c>
    </row>
    <row r="385" spans="1:13" x14ac:dyDescent="0.3">
      <c r="A385" s="172" t="s">
        <v>991</v>
      </c>
      <c r="B385" s="172" t="s">
        <v>310</v>
      </c>
      <c r="C385" s="172">
        <v>95</v>
      </c>
      <c r="D385" s="172">
        <v>80</v>
      </c>
      <c r="E385" s="172" t="s">
        <v>1012</v>
      </c>
      <c r="F385" s="172">
        <v>6</v>
      </c>
      <c r="G385" s="172">
        <v>6</v>
      </c>
      <c r="H385" s="172" t="s">
        <v>289</v>
      </c>
      <c r="I385" s="172" t="s">
        <v>290</v>
      </c>
      <c r="J385" s="172">
        <v>3</v>
      </c>
      <c r="K385" s="172">
        <v>4</v>
      </c>
      <c r="L385" s="152" t="s">
        <v>448</v>
      </c>
      <c r="M385" s="141">
        <v>1.3394736842105263E-2</v>
      </c>
    </row>
    <row r="386" spans="1:13" x14ac:dyDescent="0.3">
      <c r="A386" s="172" t="s">
        <v>992</v>
      </c>
      <c r="B386" s="172" t="s">
        <v>310</v>
      </c>
      <c r="C386" s="173">
        <v>95</v>
      </c>
      <c r="D386" s="173">
        <v>80</v>
      </c>
      <c r="E386" s="172" t="s">
        <v>1025</v>
      </c>
      <c r="F386" s="172">
        <v>8</v>
      </c>
      <c r="G386" s="172">
        <v>7</v>
      </c>
      <c r="H386" s="172" t="s">
        <v>289</v>
      </c>
      <c r="I386" s="172" t="s">
        <v>290</v>
      </c>
      <c r="J386" s="172">
        <v>3</v>
      </c>
      <c r="K386" s="172">
        <v>4</v>
      </c>
      <c r="L386" s="152" t="s">
        <v>448</v>
      </c>
      <c r="M386" s="141">
        <v>1.7413157894736842E-2</v>
      </c>
    </row>
    <row r="387" spans="1:13" x14ac:dyDescent="0.3">
      <c r="A387" s="172" t="s">
        <v>993</v>
      </c>
      <c r="B387" s="172" t="s">
        <v>310</v>
      </c>
      <c r="C387" s="172">
        <v>95</v>
      </c>
      <c r="D387" s="172">
        <v>80</v>
      </c>
      <c r="E387" s="172" t="s">
        <v>1014</v>
      </c>
      <c r="F387" s="172">
        <v>9</v>
      </c>
      <c r="G387" s="172">
        <v>8</v>
      </c>
      <c r="H387" s="172" t="s">
        <v>289</v>
      </c>
      <c r="I387" s="172" t="s">
        <v>290</v>
      </c>
      <c r="J387" s="172">
        <v>3</v>
      </c>
      <c r="K387" s="172">
        <v>4</v>
      </c>
      <c r="L387" s="153" t="s">
        <v>448</v>
      </c>
      <c r="M387" s="141">
        <v>2.0092105263157894E-2</v>
      </c>
    </row>
    <row r="388" spans="1:13" x14ac:dyDescent="0.3">
      <c r="A388" s="172" t="s">
        <v>994</v>
      </c>
      <c r="B388" s="172" t="s">
        <v>310</v>
      </c>
      <c r="C388" s="172">
        <v>105</v>
      </c>
      <c r="D388" s="172">
        <v>80</v>
      </c>
      <c r="E388" s="172" t="s">
        <v>1019</v>
      </c>
      <c r="F388" s="172">
        <v>10</v>
      </c>
      <c r="G388" s="172">
        <v>7</v>
      </c>
      <c r="H388" s="172" t="s">
        <v>289</v>
      </c>
      <c r="I388" s="172" t="s">
        <v>290</v>
      </c>
      <c r="J388" s="172">
        <v>3</v>
      </c>
      <c r="K388" s="172">
        <v>4</v>
      </c>
      <c r="L388" s="152" t="s">
        <v>448</v>
      </c>
      <c r="M388" s="141">
        <v>2.9249999999999998E-2</v>
      </c>
    </row>
    <row r="389" spans="1:13" x14ac:dyDescent="0.3">
      <c r="A389" s="172" t="s">
        <v>225</v>
      </c>
      <c r="B389" s="172" t="s">
        <v>310</v>
      </c>
      <c r="C389" s="172">
        <v>105</v>
      </c>
      <c r="D389" s="172">
        <v>80</v>
      </c>
      <c r="E389" s="172" t="s">
        <v>1023</v>
      </c>
      <c r="F389" s="172">
        <v>11</v>
      </c>
      <c r="G389" s="172">
        <v>8</v>
      </c>
      <c r="H389" s="172" t="s">
        <v>289</v>
      </c>
      <c r="I389" s="172" t="s">
        <v>290</v>
      </c>
      <c r="J389" s="172">
        <v>3</v>
      </c>
      <c r="K389" s="172">
        <v>4</v>
      </c>
      <c r="L389" s="153" t="s">
        <v>448</v>
      </c>
      <c r="M389" s="141">
        <v>3.3149999999999999E-2</v>
      </c>
    </row>
    <row r="390" spans="1:13" x14ac:dyDescent="0.3">
      <c r="A390" s="172" t="s">
        <v>226</v>
      </c>
      <c r="B390" s="172" t="s">
        <v>310</v>
      </c>
      <c r="C390" s="172">
        <v>105</v>
      </c>
      <c r="D390" s="172">
        <v>80</v>
      </c>
      <c r="E390" s="172" t="s">
        <v>1023</v>
      </c>
      <c r="F390" s="172">
        <v>11</v>
      </c>
      <c r="G390" s="172">
        <v>8</v>
      </c>
      <c r="H390" s="172" t="s">
        <v>289</v>
      </c>
      <c r="I390" s="172" t="s">
        <v>290</v>
      </c>
      <c r="J390" s="172">
        <v>4</v>
      </c>
      <c r="K390" s="172">
        <v>5</v>
      </c>
      <c r="L390" s="153" t="s">
        <v>448</v>
      </c>
      <c r="M390" s="141">
        <v>3.3149999999999999E-2</v>
      </c>
    </row>
    <row r="391" spans="1:13" x14ac:dyDescent="0.3">
      <c r="A391" s="172" t="s">
        <v>227</v>
      </c>
      <c r="B391" s="172" t="s">
        <v>310</v>
      </c>
      <c r="C391" s="172">
        <v>110</v>
      </c>
      <c r="D391" s="172">
        <v>90</v>
      </c>
      <c r="E391" s="172" t="s">
        <v>1023</v>
      </c>
      <c r="F391" s="172">
        <v>11</v>
      </c>
      <c r="G391" s="172">
        <v>8</v>
      </c>
      <c r="H391" s="172" t="s">
        <v>289</v>
      </c>
      <c r="I391" s="172" t="s">
        <v>289</v>
      </c>
      <c r="J391" s="172">
        <v>4</v>
      </c>
      <c r="K391" s="172">
        <v>6</v>
      </c>
      <c r="L391" s="151" t="s">
        <v>931</v>
      </c>
      <c r="M391" s="141">
        <v>2.8127272727272726E-2</v>
      </c>
    </row>
    <row r="392" spans="1:13" x14ac:dyDescent="0.3">
      <c r="A392" s="172" t="s">
        <v>996</v>
      </c>
      <c r="B392" s="172" t="s">
        <v>310</v>
      </c>
      <c r="C392" s="172">
        <v>110</v>
      </c>
      <c r="D392" s="172">
        <v>90</v>
      </c>
      <c r="E392" s="172" t="s">
        <v>1013</v>
      </c>
      <c r="F392" s="172">
        <v>7</v>
      </c>
      <c r="G392" s="172">
        <v>6</v>
      </c>
      <c r="H392" s="172" t="s">
        <v>290</v>
      </c>
      <c r="I392" s="172" t="s">
        <v>290</v>
      </c>
      <c r="J392" s="172">
        <v>4</v>
      </c>
      <c r="K392" s="172">
        <v>5</v>
      </c>
      <c r="L392" s="152" t="s">
        <v>448</v>
      </c>
      <c r="M392" s="141">
        <v>1.131111111111111E-2</v>
      </c>
    </row>
    <row r="393" spans="1:13" x14ac:dyDescent="0.3">
      <c r="A393" s="172" t="s">
        <v>997</v>
      </c>
      <c r="B393" s="172" t="s">
        <v>310</v>
      </c>
      <c r="C393" s="172">
        <v>110</v>
      </c>
      <c r="D393" s="172">
        <v>90</v>
      </c>
      <c r="E393" s="172" t="s">
        <v>1014</v>
      </c>
      <c r="F393" s="172">
        <v>9</v>
      </c>
      <c r="G393" s="172">
        <v>8</v>
      </c>
      <c r="H393" s="172" t="s">
        <v>290</v>
      </c>
      <c r="I393" s="172" t="s">
        <v>290</v>
      </c>
      <c r="J393" s="172">
        <v>3</v>
      </c>
      <c r="K393" s="172">
        <v>4</v>
      </c>
      <c r="L393" s="152" t="s">
        <v>448</v>
      </c>
      <c r="M393" s="141">
        <v>1.5424242424242424E-2</v>
      </c>
    </row>
    <row r="394" spans="1:13" x14ac:dyDescent="0.3">
      <c r="A394" s="172" t="s">
        <v>998</v>
      </c>
      <c r="B394" s="172" t="s">
        <v>310</v>
      </c>
      <c r="C394" s="172">
        <v>110</v>
      </c>
      <c r="D394" s="172">
        <v>90</v>
      </c>
      <c r="E394" s="172" t="s">
        <v>1029</v>
      </c>
      <c r="F394" s="172">
        <v>12</v>
      </c>
      <c r="G394" s="172">
        <v>9</v>
      </c>
      <c r="H394" s="172" t="s">
        <v>290</v>
      </c>
      <c r="I394" s="172" t="s">
        <v>290</v>
      </c>
      <c r="J394" s="172">
        <v>3</v>
      </c>
      <c r="K394" s="172">
        <v>5</v>
      </c>
      <c r="L394" s="152" t="s">
        <v>448</v>
      </c>
      <c r="M394" s="141">
        <v>1.9537373737373735E-2</v>
      </c>
    </row>
    <row r="395" spans="1:13" x14ac:dyDescent="0.3">
      <c r="A395" s="172" t="s">
        <v>999</v>
      </c>
      <c r="B395" s="172" t="s">
        <v>310</v>
      </c>
      <c r="C395" s="172">
        <v>110</v>
      </c>
      <c r="D395" s="172">
        <v>90</v>
      </c>
      <c r="E395" s="172" t="s">
        <v>1086</v>
      </c>
      <c r="F395" s="172">
        <v>13</v>
      </c>
      <c r="G395" s="172">
        <v>11</v>
      </c>
      <c r="H395" s="172" t="s">
        <v>290</v>
      </c>
      <c r="I395" s="172" t="s">
        <v>290</v>
      </c>
      <c r="J395" s="172">
        <v>4</v>
      </c>
      <c r="K395" s="172">
        <v>5</v>
      </c>
      <c r="L395" s="152" t="s">
        <v>448</v>
      </c>
      <c r="M395" s="141">
        <v>2.4678787878787876E-2</v>
      </c>
    </row>
    <row r="396" spans="1:13" x14ac:dyDescent="0.3">
      <c r="A396" s="172" t="s">
        <v>286</v>
      </c>
      <c r="B396" s="172" t="s">
        <v>311</v>
      </c>
      <c r="C396" s="172">
        <v>60</v>
      </c>
      <c r="D396" s="172">
        <v>60</v>
      </c>
      <c r="E396" s="172" t="s">
        <v>1017</v>
      </c>
      <c r="F396" s="172">
        <v>5</v>
      </c>
      <c r="G396" s="172">
        <v>5</v>
      </c>
      <c r="H396" s="172" t="s">
        <v>289</v>
      </c>
      <c r="I396" s="172" t="s">
        <v>290</v>
      </c>
      <c r="J396" s="172">
        <v>1</v>
      </c>
      <c r="K396" s="172">
        <v>1</v>
      </c>
      <c r="L396" s="153" t="s">
        <v>448</v>
      </c>
      <c r="M396" s="141">
        <v>2.2622222222222221E-2</v>
      </c>
    </row>
    <row r="397" spans="1:13" x14ac:dyDescent="0.3">
      <c r="A397" s="172" t="s">
        <v>979</v>
      </c>
      <c r="B397" s="172" t="s">
        <v>311</v>
      </c>
      <c r="C397" s="172">
        <v>60</v>
      </c>
      <c r="D397" s="172">
        <v>60</v>
      </c>
      <c r="E397" s="172" t="s">
        <v>1017</v>
      </c>
      <c r="F397" s="172">
        <v>5</v>
      </c>
      <c r="G397" s="172">
        <v>5</v>
      </c>
      <c r="H397" s="172" t="s">
        <v>289</v>
      </c>
      <c r="I397" s="172" t="s">
        <v>290</v>
      </c>
      <c r="J397" s="172">
        <v>1</v>
      </c>
      <c r="K397" s="172">
        <v>1</v>
      </c>
      <c r="L397" s="153" t="s">
        <v>448</v>
      </c>
      <c r="M397" s="141">
        <v>2.2622222222222221E-2</v>
      </c>
    </row>
    <row r="398" spans="1:13" ht="31.2" x14ac:dyDescent="0.3">
      <c r="A398" s="172" t="s">
        <v>980</v>
      </c>
      <c r="B398" s="172" t="s">
        <v>311</v>
      </c>
      <c r="C398" s="173">
        <v>60</v>
      </c>
      <c r="D398" s="173">
        <v>60</v>
      </c>
      <c r="E398" s="172" t="s">
        <v>1015</v>
      </c>
      <c r="F398" s="172">
        <v>8</v>
      </c>
      <c r="G398" s="172">
        <v>8</v>
      </c>
      <c r="H398" s="172" t="s">
        <v>289</v>
      </c>
      <c r="I398" s="172" t="s">
        <v>290</v>
      </c>
      <c r="J398" s="172">
        <v>3</v>
      </c>
      <c r="K398" s="172">
        <v>3</v>
      </c>
      <c r="L398" s="151" t="s">
        <v>932</v>
      </c>
      <c r="M398" s="141">
        <v>3.9588888888888882E-2</v>
      </c>
    </row>
    <row r="399" spans="1:13" x14ac:dyDescent="0.3">
      <c r="A399" s="172" t="s">
        <v>291</v>
      </c>
      <c r="B399" s="172" t="s">
        <v>311</v>
      </c>
      <c r="C399" s="172">
        <v>105</v>
      </c>
      <c r="D399" s="172">
        <v>80</v>
      </c>
      <c r="E399" s="172" t="s">
        <v>1013</v>
      </c>
      <c r="F399" s="172">
        <v>7</v>
      </c>
      <c r="G399" s="172">
        <v>6</v>
      </c>
      <c r="H399" s="172" t="s">
        <v>289</v>
      </c>
      <c r="I399" s="172" t="s">
        <v>290</v>
      </c>
      <c r="J399" s="172">
        <v>3</v>
      </c>
      <c r="K399" s="172">
        <v>4</v>
      </c>
      <c r="L399" s="154" t="s">
        <v>1062</v>
      </c>
      <c r="M399" s="141">
        <v>1.3330952380952379E-2</v>
      </c>
    </row>
    <row r="400" spans="1:13" ht="78" x14ac:dyDescent="0.3">
      <c r="A400" s="172" t="s">
        <v>982</v>
      </c>
      <c r="B400" s="172" t="s">
        <v>311</v>
      </c>
      <c r="C400" s="172">
        <v>105</v>
      </c>
      <c r="D400" s="172">
        <v>80</v>
      </c>
      <c r="E400" s="172" t="s">
        <v>1013</v>
      </c>
      <c r="F400" s="172">
        <v>7</v>
      </c>
      <c r="G400" s="172">
        <v>6</v>
      </c>
      <c r="H400" s="172" t="s">
        <v>289</v>
      </c>
      <c r="I400" s="172" t="s">
        <v>292</v>
      </c>
      <c r="J400" s="172">
        <v>2</v>
      </c>
      <c r="K400" s="172">
        <v>3</v>
      </c>
      <c r="L400" s="151" t="s">
        <v>1060</v>
      </c>
      <c r="M400" s="141">
        <v>1.3330952380952379E-2</v>
      </c>
    </row>
    <row r="401" spans="1:13" x14ac:dyDescent="0.3">
      <c r="A401" s="172" t="s">
        <v>983</v>
      </c>
      <c r="B401" s="172" t="s">
        <v>311</v>
      </c>
      <c r="C401" s="172">
        <v>105</v>
      </c>
      <c r="D401" s="172">
        <v>80</v>
      </c>
      <c r="E401" s="172" t="s">
        <v>1013</v>
      </c>
      <c r="F401" s="172">
        <v>7</v>
      </c>
      <c r="G401" s="172">
        <v>6</v>
      </c>
      <c r="H401" s="172" t="s">
        <v>289</v>
      </c>
      <c r="I401" s="172" t="s">
        <v>290</v>
      </c>
      <c r="J401" s="172">
        <v>2</v>
      </c>
      <c r="K401" s="172">
        <v>3</v>
      </c>
      <c r="L401" s="151" t="s">
        <v>1062</v>
      </c>
      <c r="M401" s="141">
        <v>1.3330952380952379E-2</v>
      </c>
    </row>
    <row r="402" spans="1:13" x14ac:dyDescent="0.3">
      <c r="A402" s="172" t="s">
        <v>984</v>
      </c>
      <c r="B402" s="172" t="s">
        <v>311</v>
      </c>
      <c r="C402" s="172">
        <v>105</v>
      </c>
      <c r="D402" s="172">
        <v>80</v>
      </c>
      <c r="E402" s="172" t="s">
        <v>1013</v>
      </c>
      <c r="F402" s="172">
        <v>7</v>
      </c>
      <c r="G402" s="172">
        <v>6</v>
      </c>
      <c r="H402" s="172" t="s">
        <v>289</v>
      </c>
      <c r="I402" s="172" t="s">
        <v>290</v>
      </c>
      <c r="J402" s="172">
        <v>2</v>
      </c>
      <c r="K402" s="172">
        <v>3</v>
      </c>
      <c r="L402" s="151" t="s">
        <v>1062</v>
      </c>
      <c r="M402" s="141">
        <v>1.3330952380952379E-2</v>
      </c>
    </row>
    <row r="403" spans="1:13" x14ac:dyDescent="0.3">
      <c r="A403" s="172" t="s">
        <v>985</v>
      </c>
      <c r="B403" s="172" t="s">
        <v>311</v>
      </c>
      <c r="C403" s="172">
        <v>105</v>
      </c>
      <c r="D403" s="172">
        <v>80</v>
      </c>
      <c r="E403" s="172" t="s">
        <v>1013</v>
      </c>
      <c r="F403" s="172">
        <v>7</v>
      </c>
      <c r="G403" s="172">
        <v>6</v>
      </c>
      <c r="H403" s="172" t="s">
        <v>289</v>
      </c>
      <c r="I403" s="172" t="s">
        <v>290</v>
      </c>
      <c r="J403" s="172">
        <v>2</v>
      </c>
      <c r="K403" s="172">
        <v>3</v>
      </c>
      <c r="L403" s="151" t="s">
        <v>1062</v>
      </c>
      <c r="M403" s="141">
        <v>1.3330952380952379E-2</v>
      </c>
    </row>
    <row r="404" spans="1:13" x14ac:dyDescent="0.3">
      <c r="A404" s="172" t="s">
        <v>986</v>
      </c>
      <c r="B404" s="172" t="s">
        <v>311</v>
      </c>
      <c r="C404" s="173">
        <v>105</v>
      </c>
      <c r="D404" s="173">
        <v>80</v>
      </c>
      <c r="E404" s="172" t="s">
        <v>1013</v>
      </c>
      <c r="F404" s="172">
        <v>7</v>
      </c>
      <c r="G404" s="172">
        <v>6</v>
      </c>
      <c r="H404" s="172" t="s">
        <v>289</v>
      </c>
      <c r="I404" s="172" t="s">
        <v>290</v>
      </c>
      <c r="J404" s="172">
        <v>2</v>
      </c>
      <c r="K404" s="172">
        <v>3</v>
      </c>
      <c r="L404" s="153" t="s">
        <v>448</v>
      </c>
      <c r="M404" s="141">
        <v>1.3330952380952379E-2</v>
      </c>
    </row>
    <row r="405" spans="1:13" x14ac:dyDescent="0.3">
      <c r="A405" s="172" t="s">
        <v>987</v>
      </c>
      <c r="B405" s="172" t="s">
        <v>311</v>
      </c>
      <c r="C405" s="173">
        <v>105</v>
      </c>
      <c r="D405" s="173">
        <v>80</v>
      </c>
      <c r="E405" s="172" t="s">
        <v>1013</v>
      </c>
      <c r="F405" s="172">
        <v>7</v>
      </c>
      <c r="G405" s="172">
        <v>6</v>
      </c>
      <c r="H405" s="172" t="s">
        <v>289</v>
      </c>
      <c r="I405" s="172" t="s">
        <v>290</v>
      </c>
      <c r="J405" s="172">
        <v>2</v>
      </c>
      <c r="K405" s="172">
        <v>3</v>
      </c>
      <c r="L405" s="153" t="s">
        <v>448</v>
      </c>
      <c r="M405" s="141">
        <v>1.3330952380952379E-2</v>
      </c>
    </row>
    <row r="406" spans="1:13" x14ac:dyDescent="0.3">
      <c r="A406" s="172" t="s">
        <v>988</v>
      </c>
      <c r="B406" s="172" t="s">
        <v>311</v>
      </c>
      <c r="C406" s="172">
        <v>105</v>
      </c>
      <c r="D406" s="172">
        <v>80</v>
      </c>
      <c r="E406" s="172" t="s">
        <v>1016</v>
      </c>
      <c r="F406" s="172">
        <v>10</v>
      </c>
      <c r="G406" s="172">
        <v>8</v>
      </c>
      <c r="H406" s="172" t="s">
        <v>289</v>
      </c>
      <c r="I406" s="172" t="s">
        <v>290</v>
      </c>
      <c r="J406" s="172">
        <v>3</v>
      </c>
      <c r="K406" s="172">
        <v>4</v>
      </c>
      <c r="L406" s="153" t="s">
        <v>448</v>
      </c>
      <c r="M406" s="141">
        <v>1.9390476190476191E-2</v>
      </c>
    </row>
    <row r="407" spans="1:13" x14ac:dyDescent="0.3">
      <c r="A407" s="172" t="s">
        <v>989</v>
      </c>
      <c r="B407" s="172" t="s">
        <v>311</v>
      </c>
      <c r="C407" s="172">
        <v>105</v>
      </c>
      <c r="D407" s="172">
        <v>80</v>
      </c>
      <c r="E407" s="172" t="s">
        <v>1019</v>
      </c>
      <c r="F407" s="172">
        <v>10</v>
      </c>
      <c r="G407" s="172">
        <v>7</v>
      </c>
      <c r="H407" s="172" t="s">
        <v>289</v>
      </c>
      <c r="I407" s="172" t="s">
        <v>290</v>
      </c>
      <c r="J407" s="172">
        <v>2</v>
      </c>
      <c r="K407" s="172">
        <v>4</v>
      </c>
      <c r="L407" s="153" t="s">
        <v>448</v>
      </c>
      <c r="M407" s="141">
        <v>2.9249999999999998E-2</v>
      </c>
    </row>
    <row r="408" spans="1:13" x14ac:dyDescent="0.3">
      <c r="A408" s="172" t="s">
        <v>990</v>
      </c>
      <c r="B408" s="172" t="s">
        <v>311</v>
      </c>
      <c r="C408" s="173">
        <v>105</v>
      </c>
      <c r="D408" s="173">
        <v>80</v>
      </c>
      <c r="E408" s="173" t="s">
        <v>1019</v>
      </c>
      <c r="F408" s="173">
        <v>10</v>
      </c>
      <c r="G408" s="173">
        <v>7</v>
      </c>
      <c r="H408" s="173" t="s">
        <v>289</v>
      </c>
      <c r="I408" s="173" t="s">
        <v>290</v>
      </c>
      <c r="J408" s="173">
        <v>3</v>
      </c>
      <c r="K408" s="173">
        <v>4</v>
      </c>
      <c r="L408" s="153" t="s">
        <v>448</v>
      </c>
      <c r="M408" s="141">
        <v>2.9249999999999998E-2</v>
      </c>
    </row>
    <row r="409" spans="1:13" x14ac:dyDescent="0.3">
      <c r="A409" s="172" t="s">
        <v>991</v>
      </c>
      <c r="B409" s="172" t="s">
        <v>311</v>
      </c>
      <c r="C409" s="173">
        <v>105</v>
      </c>
      <c r="D409" s="173">
        <v>80</v>
      </c>
      <c r="E409" s="172" t="s">
        <v>1019</v>
      </c>
      <c r="F409" s="172">
        <v>10</v>
      </c>
      <c r="G409" s="172">
        <v>7</v>
      </c>
      <c r="H409" s="172" t="s">
        <v>289</v>
      </c>
      <c r="I409" s="172" t="s">
        <v>290</v>
      </c>
      <c r="J409" s="172">
        <v>3</v>
      </c>
      <c r="K409" s="172">
        <v>4</v>
      </c>
      <c r="L409" s="153" t="s">
        <v>448</v>
      </c>
      <c r="M409" s="141">
        <v>2.9249999999999998E-2</v>
      </c>
    </row>
    <row r="410" spans="1:13" x14ac:dyDescent="0.3">
      <c r="A410" s="172" t="s">
        <v>992</v>
      </c>
      <c r="B410" s="172" t="s">
        <v>311</v>
      </c>
      <c r="C410" s="172">
        <v>105</v>
      </c>
      <c r="D410" s="172">
        <v>80</v>
      </c>
      <c r="E410" s="172" t="s">
        <v>1031</v>
      </c>
      <c r="F410" s="172">
        <v>12</v>
      </c>
      <c r="G410" s="172">
        <v>8</v>
      </c>
      <c r="H410" s="172" t="s">
        <v>289</v>
      </c>
      <c r="I410" s="172" t="s">
        <v>290</v>
      </c>
      <c r="J410" s="172">
        <v>3</v>
      </c>
      <c r="K410" s="172">
        <v>5</v>
      </c>
      <c r="L410" s="153" t="s">
        <v>448</v>
      </c>
      <c r="M410" s="141">
        <v>3.5099999999999999E-2</v>
      </c>
    </row>
    <row r="411" spans="1:13" x14ac:dyDescent="0.3">
      <c r="A411" s="172" t="s">
        <v>993</v>
      </c>
      <c r="B411" s="172" t="s">
        <v>311</v>
      </c>
      <c r="C411" s="172">
        <v>105</v>
      </c>
      <c r="D411" s="172">
        <v>80</v>
      </c>
      <c r="E411" s="172" t="s">
        <v>1031</v>
      </c>
      <c r="F411" s="172">
        <v>12</v>
      </c>
      <c r="G411" s="172">
        <v>8</v>
      </c>
      <c r="H411" s="172" t="s">
        <v>289</v>
      </c>
      <c r="I411" s="172" t="s">
        <v>290</v>
      </c>
      <c r="J411" s="172">
        <v>3</v>
      </c>
      <c r="K411" s="172">
        <v>5</v>
      </c>
      <c r="L411" s="153" t="s">
        <v>448</v>
      </c>
      <c r="M411" s="141">
        <v>3.5099999999999999E-2</v>
      </c>
    </row>
    <row r="412" spans="1:13" x14ac:dyDescent="0.3">
      <c r="A412" s="172" t="s">
        <v>994</v>
      </c>
      <c r="B412" s="172" t="s">
        <v>311</v>
      </c>
      <c r="C412" s="172">
        <v>110</v>
      </c>
      <c r="D412" s="172">
        <v>100</v>
      </c>
      <c r="E412" s="172" t="s">
        <v>1031</v>
      </c>
      <c r="F412" s="172">
        <v>10</v>
      </c>
      <c r="G412" s="172">
        <v>10</v>
      </c>
      <c r="H412" s="172" t="s">
        <v>289</v>
      </c>
      <c r="I412" s="172" t="s">
        <v>290</v>
      </c>
      <c r="J412" s="172">
        <v>4</v>
      </c>
      <c r="K412" s="172">
        <v>4</v>
      </c>
      <c r="L412" s="153" t="s">
        <v>448</v>
      </c>
      <c r="M412" s="141">
        <v>2.6803636363636363E-2</v>
      </c>
    </row>
    <row r="413" spans="1:13" x14ac:dyDescent="0.3">
      <c r="A413" s="172" t="s">
        <v>225</v>
      </c>
      <c r="B413" s="172" t="s">
        <v>311</v>
      </c>
      <c r="C413" s="172">
        <v>110</v>
      </c>
      <c r="D413" s="172">
        <v>100</v>
      </c>
      <c r="E413" s="172" t="s">
        <v>1031</v>
      </c>
      <c r="F413" s="172">
        <v>10</v>
      </c>
      <c r="G413" s="172">
        <v>10</v>
      </c>
      <c r="H413" s="172" t="s">
        <v>289</v>
      </c>
      <c r="I413" s="172" t="s">
        <v>290</v>
      </c>
      <c r="J413" s="172">
        <v>4</v>
      </c>
      <c r="K413" s="172">
        <v>4</v>
      </c>
      <c r="L413" s="153" t="s">
        <v>448</v>
      </c>
      <c r="M413" s="141">
        <v>2.6803636363636363E-2</v>
      </c>
    </row>
    <row r="414" spans="1:13" x14ac:dyDescent="0.3">
      <c r="A414" s="172" t="s">
        <v>226</v>
      </c>
      <c r="B414" s="172" t="s">
        <v>311</v>
      </c>
      <c r="C414" s="172">
        <v>110</v>
      </c>
      <c r="D414" s="172">
        <v>100</v>
      </c>
      <c r="E414" s="172" t="s">
        <v>1020</v>
      </c>
      <c r="F414" s="172">
        <v>12</v>
      </c>
      <c r="G414" s="172">
        <v>9</v>
      </c>
      <c r="H414" s="172" t="s">
        <v>289</v>
      </c>
      <c r="I414" s="172" t="s">
        <v>290</v>
      </c>
      <c r="J414" s="172">
        <v>5</v>
      </c>
      <c r="K414" s="172">
        <v>6</v>
      </c>
      <c r="L414" s="153" t="s">
        <v>448</v>
      </c>
      <c r="M414" s="141">
        <v>2.8292727272727271E-2</v>
      </c>
    </row>
    <row r="415" spans="1:13" x14ac:dyDescent="0.3">
      <c r="A415" s="172" t="s">
        <v>227</v>
      </c>
      <c r="B415" s="172" t="s">
        <v>311</v>
      </c>
      <c r="C415" s="172">
        <v>110</v>
      </c>
      <c r="D415" s="172">
        <v>100</v>
      </c>
      <c r="E415" s="172" t="s">
        <v>1020</v>
      </c>
      <c r="F415" s="172">
        <v>12</v>
      </c>
      <c r="G415" s="172">
        <v>9</v>
      </c>
      <c r="H415" s="172" t="s">
        <v>289</v>
      </c>
      <c r="I415" s="172" t="s">
        <v>289</v>
      </c>
      <c r="J415" s="172">
        <v>5</v>
      </c>
      <c r="K415" s="172">
        <v>6</v>
      </c>
      <c r="L415" s="151" t="s">
        <v>931</v>
      </c>
      <c r="M415" s="141">
        <v>2.8292727272727271E-2</v>
      </c>
    </row>
    <row r="416" spans="1:13" x14ac:dyDescent="0.3">
      <c r="A416" s="172" t="s">
        <v>996</v>
      </c>
      <c r="B416" s="172" t="s">
        <v>311</v>
      </c>
      <c r="C416" s="172">
        <v>140</v>
      </c>
      <c r="D416" s="172">
        <v>100</v>
      </c>
      <c r="E416" s="172" t="s">
        <v>1029</v>
      </c>
      <c r="F416" s="172">
        <v>12</v>
      </c>
      <c r="G416" s="172">
        <v>9</v>
      </c>
      <c r="H416" s="172" t="s">
        <v>290</v>
      </c>
      <c r="I416" s="172" t="s">
        <v>290</v>
      </c>
      <c r="J416" s="172">
        <v>3</v>
      </c>
      <c r="K416" s="172">
        <v>6</v>
      </c>
      <c r="L416" s="152" t="s">
        <v>448</v>
      </c>
      <c r="M416" s="141">
        <v>1.3815714285714285E-2</v>
      </c>
    </row>
    <row r="417" spans="1:13" x14ac:dyDescent="0.3">
      <c r="A417" s="172" t="s">
        <v>997</v>
      </c>
      <c r="B417" s="172" t="s">
        <v>311</v>
      </c>
      <c r="C417" s="172">
        <v>140</v>
      </c>
      <c r="D417" s="172">
        <v>100</v>
      </c>
      <c r="E417" s="172" t="s">
        <v>1078</v>
      </c>
      <c r="F417" s="172">
        <v>15</v>
      </c>
      <c r="G417" s="172">
        <v>11</v>
      </c>
      <c r="H417" s="172" t="s">
        <v>290</v>
      </c>
      <c r="I417" s="172" t="s">
        <v>290</v>
      </c>
      <c r="J417" s="172">
        <v>4</v>
      </c>
      <c r="K417" s="172">
        <v>6</v>
      </c>
      <c r="L417" s="151" t="s">
        <v>1088</v>
      </c>
      <c r="M417" s="141">
        <v>3.0419999999999999E-2</v>
      </c>
    </row>
    <row r="418" spans="1:13" x14ac:dyDescent="0.3">
      <c r="A418" s="172" t="s">
        <v>998</v>
      </c>
      <c r="B418" s="172" t="s">
        <v>311</v>
      </c>
      <c r="C418" s="172">
        <v>140</v>
      </c>
      <c r="D418" s="172">
        <v>100</v>
      </c>
      <c r="E418" s="172" t="s">
        <v>1087</v>
      </c>
      <c r="F418" s="172">
        <v>16</v>
      </c>
      <c r="G418" s="172">
        <v>11</v>
      </c>
      <c r="H418" s="172" t="s">
        <v>290</v>
      </c>
      <c r="I418" s="172" t="s">
        <v>290</v>
      </c>
      <c r="J418" s="172">
        <v>4</v>
      </c>
      <c r="K418" s="172">
        <v>7</v>
      </c>
      <c r="L418" s="152" t="s">
        <v>448</v>
      </c>
      <c r="M418" s="141">
        <v>3.159E-2</v>
      </c>
    </row>
    <row r="419" spans="1:13" x14ac:dyDescent="0.3">
      <c r="A419" s="172" t="s">
        <v>999</v>
      </c>
      <c r="B419" s="172" t="s">
        <v>311</v>
      </c>
      <c r="C419" s="172">
        <v>140</v>
      </c>
      <c r="D419" s="172">
        <v>100</v>
      </c>
      <c r="E419" s="172" t="s">
        <v>1079</v>
      </c>
      <c r="F419" s="172">
        <v>16</v>
      </c>
      <c r="G419" s="172">
        <v>11</v>
      </c>
      <c r="H419" s="172" t="s">
        <v>290</v>
      </c>
      <c r="I419" s="172" t="s">
        <v>290</v>
      </c>
      <c r="J419" s="172">
        <v>4</v>
      </c>
      <c r="K419" s="172">
        <v>7</v>
      </c>
      <c r="L419" s="152" t="s">
        <v>448</v>
      </c>
      <c r="M419" s="141">
        <v>3.5099999999999999E-2</v>
      </c>
    </row>
    <row r="420" spans="1:13" x14ac:dyDescent="0.3">
      <c r="A420" s="172" t="s">
        <v>291</v>
      </c>
      <c r="B420" s="172" t="s">
        <v>312</v>
      </c>
      <c r="C420" s="172">
        <v>105</v>
      </c>
      <c r="D420" s="172">
        <v>80</v>
      </c>
      <c r="E420" s="172" t="s">
        <v>1013</v>
      </c>
      <c r="F420" s="172">
        <v>7</v>
      </c>
      <c r="G420" s="172">
        <v>6</v>
      </c>
      <c r="H420" s="172" t="s">
        <v>289</v>
      </c>
      <c r="I420" s="172" t="s">
        <v>292</v>
      </c>
      <c r="J420" s="172">
        <v>3</v>
      </c>
      <c r="K420" s="172">
        <v>4</v>
      </c>
      <c r="L420" s="154" t="s">
        <v>1062</v>
      </c>
      <c r="M420" s="141">
        <v>1.3330952380952379E-2</v>
      </c>
    </row>
    <row r="421" spans="1:13" ht="78" x14ac:dyDescent="0.3">
      <c r="A421" s="172" t="s">
        <v>982</v>
      </c>
      <c r="B421" s="172" t="s">
        <v>312</v>
      </c>
      <c r="C421" s="172">
        <v>105</v>
      </c>
      <c r="D421" s="172">
        <v>80</v>
      </c>
      <c r="E421" s="172" t="s">
        <v>1013</v>
      </c>
      <c r="F421" s="172">
        <v>7</v>
      </c>
      <c r="G421" s="172">
        <v>6</v>
      </c>
      <c r="H421" s="172" t="s">
        <v>289</v>
      </c>
      <c r="I421" s="172" t="s">
        <v>290</v>
      </c>
      <c r="J421" s="172">
        <v>2</v>
      </c>
      <c r="K421" s="172">
        <v>3</v>
      </c>
      <c r="L421" s="151" t="s">
        <v>1060</v>
      </c>
      <c r="M421" s="141">
        <v>1.3330952380952379E-2</v>
      </c>
    </row>
    <row r="422" spans="1:13" x14ac:dyDescent="0.3">
      <c r="A422" s="172" t="s">
        <v>983</v>
      </c>
      <c r="B422" s="172" t="s">
        <v>312</v>
      </c>
      <c r="C422" s="172">
        <v>105</v>
      </c>
      <c r="D422" s="172">
        <v>80</v>
      </c>
      <c r="E422" s="172" t="s">
        <v>1013</v>
      </c>
      <c r="F422" s="172">
        <v>7</v>
      </c>
      <c r="G422" s="172">
        <v>6</v>
      </c>
      <c r="H422" s="172" t="s">
        <v>289</v>
      </c>
      <c r="I422" s="172" t="s">
        <v>290</v>
      </c>
      <c r="J422" s="172">
        <v>2</v>
      </c>
      <c r="K422" s="172">
        <v>3</v>
      </c>
      <c r="L422" s="151" t="s">
        <v>1062</v>
      </c>
      <c r="M422" s="141">
        <v>1.3330952380952379E-2</v>
      </c>
    </row>
    <row r="423" spans="1:13" x14ac:dyDescent="0.3">
      <c r="A423" s="172" t="s">
        <v>984</v>
      </c>
      <c r="B423" s="172" t="s">
        <v>312</v>
      </c>
      <c r="C423" s="172">
        <v>105</v>
      </c>
      <c r="D423" s="172">
        <v>80</v>
      </c>
      <c r="E423" s="172" t="s">
        <v>1013</v>
      </c>
      <c r="F423" s="172">
        <v>7</v>
      </c>
      <c r="G423" s="172">
        <v>6</v>
      </c>
      <c r="H423" s="172" t="s">
        <v>289</v>
      </c>
      <c r="I423" s="172" t="s">
        <v>290</v>
      </c>
      <c r="J423" s="172">
        <v>2</v>
      </c>
      <c r="K423" s="172">
        <v>3</v>
      </c>
      <c r="L423" s="151" t="s">
        <v>1062</v>
      </c>
      <c r="M423" s="141">
        <v>1.3330952380952379E-2</v>
      </c>
    </row>
    <row r="424" spans="1:13" x14ac:dyDescent="0.3">
      <c r="A424" s="172" t="s">
        <v>985</v>
      </c>
      <c r="B424" s="172" t="s">
        <v>312</v>
      </c>
      <c r="C424" s="172">
        <v>105</v>
      </c>
      <c r="D424" s="172">
        <v>80</v>
      </c>
      <c r="E424" s="172" t="s">
        <v>1013</v>
      </c>
      <c r="F424" s="172">
        <v>7</v>
      </c>
      <c r="G424" s="172">
        <v>6</v>
      </c>
      <c r="H424" s="172" t="s">
        <v>289</v>
      </c>
      <c r="I424" s="172" t="s">
        <v>290</v>
      </c>
      <c r="J424" s="172">
        <v>2</v>
      </c>
      <c r="K424" s="172">
        <v>3</v>
      </c>
      <c r="L424" s="151" t="s">
        <v>1062</v>
      </c>
      <c r="M424" s="141">
        <v>1.3330952380952379E-2</v>
      </c>
    </row>
    <row r="425" spans="1:13" x14ac:dyDescent="0.3">
      <c r="A425" s="172" t="s">
        <v>986</v>
      </c>
      <c r="B425" s="172" t="s">
        <v>312</v>
      </c>
      <c r="C425" s="173">
        <v>105</v>
      </c>
      <c r="D425" s="173">
        <v>80</v>
      </c>
      <c r="E425" s="173" t="s">
        <v>1013</v>
      </c>
      <c r="F425" s="173">
        <v>7</v>
      </c>
      <c r="G425" s="173">
        <v>6</v>
      </c>
      <c r="H425" s="173" t="s">
        <v>289</v>
      </c>
      <c r="I425" s="173" t="s">
        <v>290</v>
      </c>
      <c r="J425" s="173">
        <v>2</v>
      </c>
      <c r="K425" s="173">
        <v>3</v>
      </c>
      <c r="L425" s="153" t="s">
        <v>448</v>
      </c>
      <c r="M425" s="141">
        <v>1.3330952380952379E-2</v>
      </c>
    </row>
    <row r="426" spans="1:13" x14ac:dyDescent="0.3">
      <c r="A426" s="172" t="s">
        <v>987</v>
      </c>
      <c r="B426" s="172" t="s">
        <v>312</v>
      </c>
      <c r="C426" s="172">
        <v>105</v>
      </c>
      <c r="D426" s="172">
        <v>80</v>
      </c>
      <c r="E426" s="172" t="s">
        <v>1013</v>
      </c>
      <c r="F426" s="172">
        <v>7</v>
      </c>
      <c r="G426" s="172">
        <v>6</v>
      </c>
      <c r="H426" s="172" t="s">
        <v>289</v>
      </c>
      <c r="I426" s="172" t="s">
        <v>290</v>
      </c>
      <c r="J426" s="172">
        <v>2</v>
      </c>
      <c r="K426" s="172">
        <v>3</v>
      </c>
      <c r="L426" s="153" t="s">
        <v>448</v>
      </c>
      <c r="M426" s="141">
        <v>1.3330952380952379E-2</v>
      </c>
    </row>
    <row r="427" spans="1:13" x14ac:dyDescent="0.3">
      <c r="A427" s="172" t="s">
        <v>988</v>
      </c>
      <c r="B427" s="172" t="s">
        <v>312</v>
      </c>
      <c r="C427" s="172">
        <v>105</v>
      </c>
      <c r="D427" s="172">
        <v>80</v>
      </c>
      <c r="E427" s="172" t="s">
        <v>1013</v>
      </c>
      <c r="F427" s="172">
        <v>7</v>
      </c>
      <c r="G427" s="172">
        <v>6</v>
      </c>
      <c r="H427" s="172" t="s">
        <v>289</v>
      </c>
      <c r="I427" s="172" t="s">
        <v>290</v>
      </c>
      <c r="J427" s="172">
        <v>2</v>
      </c>
      <c r="K427" s="172">
        <v>3</v>
      </c>
      <c r="L427" s="153" t="s">
        <v>448</v>
      </c>
      <c r="M427" s="141">
        <v>1.3330952380952379E-2</v>
      </c>
    </row>
    <row r="428" spans="1:13" x14ac:dyDescent="0.3">
      <c r="A428" s="172" t="s">
        <v>989</v>
      </c>
      <c r="B428" s="172" t="s">
        <v>312</v>
      </c>
      <c r="C428" s="172">
        <v>105</v>
      </c>
      <c r="D428" s="172">
        <v>80</v>
      </c>
      <c r="E428" s="172" t="s">
        <v>1013</v>
      </c>
      <c r="F428" s="172">
        <v>7</v>
      </c>
      <c r="G428" s="172">
        <v>6</v>
      </c>
      <c r="H428" s="172" t="s">
        <v>289</v>
      </c>
      <c r="I428" s="172" t="s">
        <v>290</v>
      </c>
      <c r="J428" s="172">
        <v>2</v>
      </c>
      <c r="K428" s="172">
        <v>3</v>
      </c>
      <c r="L428" s="153" t="s">
        <v>448</v>
      </c>
      <c r="M428" s="141">
        <v>1.3330952380952379E-2</v>
      </c>
    </row>
    <row r="429" spans="1:13" x14ac:dyDescent="0.3">
      <c r="A429" s="172" t="s">
        <v>990</v>
      </c>
      <c r="B429" s="172" t="s">
        <v>312</v>
      </c>
      <c r="C429" s="172">
        <v>105</v>
      </c>
      <c r="D429" s="172">
        <v>80</v>
      </c>
      <c r="E429" s="172" t="s">
        <v>1013</v>
      </c>
      <c r="F429" s="172">
        <v>7</v>
      </c>
      <c r="G429" s="172">
        <v>6</v>
      </c>
      <c r="H429" s="172" t="s">
        <v>289</v>
      </c>
      <c r="I429" s="172" t="s">
        <v>290</v>
      </c>
      <c r="J429" s="172">
        <v>3</v>
      </c>
      <c r="K429" s="172">
        <v>4</v>
      </c>
      <c r="L429" s="153" t="s">
        <v>448</v>
      </c>
      <c r="M429" s="141">
        <v>1.3330952380952379E-2</v>
      </c>
    </row>
    <row r="430" spans="1:13" x14ac:dyDescent="0.3">
      <c r="A430" s="172" t="s">
        <v>991</v>
      </c>
      <c r="B430" s="172" t="s">
        <v>312</v>
      </c>
      <c r="C430" s="172">
        <v>105</v>
      </c>
      <c r="D430" s="172">
        <v>80</v>
      </c>
      <c r="E430" s="172" t="s">
        <v>1013</v>
      </c>
      <c r="F430" s="172">
        <v>7</v>
      </c>
      <c r="G430" s="172">
        <v>6</v>
      </c>
      <c r="H430" s="172" t="s">
        <v>289</v>
      </c>
      <c r="I430" s="172" t="s">
        <v>290</v>
      </c>
      <c r="J430" s="172">
        <v>3</v>
      </c>
      <c r="K430" s="172">
        <v>4</v>
      </c>
      <c r="L430" s="152" t="s">
        <v>448</v>
      </c>
      <c r="M430" s="141">
        <v>1.3330952380952379E-2</v>
      </c>
    </row>
    <row r="431" spans="1:13" x14ac:dyDescent="0.3">
      <c r="A431" s="172" t="s">
        <v>992</v>
      </c>
      <c r="B431" s="172" t="s">
        <v>312</v>
      </c>
      <c r="C431" s="172">
        <v>105</v>
      </c>
      <c r="D431" s="172">
        <v>80</v>
      </c>
      <c r="E431" s="172" t="s">
        <v>1013</v>
      </c>
      <c r="F431" s="172">
        <v>7</v>
      </c>
      <c r="G431" s="172">
        <v>6</v>
      </c>
      <c r="H431" s="172" t="s">
        <v>289</v>
      </c>
      <c r="I431" s="172" t="s">
        <v>290</v>
      </c>
      <c r="J431" s="172">
        <v>3</v>
      </c>
      <c r="K431" s="172">
        <v>4</v>
      </c>
      <c r="L431" s="152" t="s">
        <v>448</v>
      </c>
      <c r="M431" s="141">
        <v>1.3330952380952379E-2</v>
      </c>
    </row>
    <row r="432" spans="1:13" x14ac:dyDescent="0.3">
      <c r="A432" s="172" t="s">
        <v>993</v>
      </c>
      <c r="B432" s="172" t="s">
        <v>312</v>
      </c>
      <c r="C432" s="172">
        <v>105</v>
      </c>
      <c r="D432" s="172">
        <v>80</v>
      </c>
      <c r="E432" s="172" t="s">
        <v>1013</v>
      </c>
      <c r="F432" s="172">
        <v>7</v>
      </c>
      <c r="G432" s="172">
        <v>6</v>
      </c>
      <c r="H432" s="172" t="s">
        <v>289</v>
      </c>
      <c r="I432" s="172" t="s">
        <v>290</v>
      </c>
      <c r="J432" s="172">
        <v>3</v>
      </c>
      <c r="K432" s="172">
        <v>4</v>
      </c>
      <c r="L432" s="152" t="s">
        <v>448</v>
      </c>
      <c r="M432" s="141">
        <v>1.3330952380952379E-2</v>
      </c>
    </row>
    <row r="433" spans="1:13" x14ac:dyDescent="0.3">
      <c r="A433" s="172" t="s">
        <v>994</v>
      </c>
      <c r="B433" s="172" t="s">
        <v>312</v>
      </c>
      <c r="C433" s="172">
        <v>105</v>
      </c>
      <c r="D433" s="172">
        <v>95</v>
      </c>
      <c r="E433" s="172" t="s">
        <v>1013</v>
      </c>
      <c r="F433" s="172">
        <v>7</v>
      </c>
      <c r="G433" s="172">
        <v>6</v>
      </c>
      <c r="H433" s="172" t="s">
        <v>289</v>
      </c>
      <c r="I433" s="172" t="s">
        <v>290</v>
      </c>
      <c r="J433" s="172">
        <v>4</v>
      </c>
      <c r="K433" s="172">
        <v>4</v>
      </c>
      <c r="L433" s="152" t="s">
        <v>448</v>
      </c>
      <c r="M433" s="141">
        <v>1.1226065162907268E-2</v>
      </c>
    </row>
    <row r="434" spans="1:13" x14ac:dyDescent="0.3">
      <c r="A434" s="172" t="s">
        <v>225</v>
      </c>
      <c r="B434" s="172" t="s">
        <v>312</v>
      </c>
      <c r="C434" s="172">
        <v>105</v>
      </c>
      <c r="D434" s="172">
        <v>95</v>
      </c>
      <c r="E434" s="172" t="s">
        <v>1013</v>
      </c>
      <c r="F434" s="172">
        <v>7</v>
      </c>
      <c r="G434" s="172">
        <v>6</v>
      </c>
      <c r="H434" s="172" t="s">
        <v>289</v>
      </c>
      <c r="I434" s="172" t="s">
        <v>290</v>
      </c>
      <c r="J434" s="172">
        <v>4</v>
      </c>
      <c r="K434" s="172">
        <v>4</v>
      </c>
      <c r="L434" s="152" t="s">
        <v>448</v>
      </c>
      <c r="M434" s="141">
        <v>1.1226065162907268E-2</v>
      </c>
    </row>
    <row r="435" spans="1:13" x14ac:dyDescent="0.3">
      <c r="A435" s="172" t="s">
        <v>226</v>
      </c>
      <c r="B435" s="172" t="s">
        <v>312</v>
      </c>
      <c r="C435" s="172">
        <v>105</v>
      </c>
      <c r="D435" s="172">
        <v>95</v>
      </c>
      <c r="E435" s="172" t="s">
        <v>1013</v>
      </c>
      <c r="F435" s="172">
        <v>7</v>
      </c>
      <c r="G435" s="172">
        <v>6</v>
      </c>
      <c r="H435" s="172" t="s">
        <v>289</v>
      </c>
      <c r="I435" s="172" t="s">
        <v>290</v>
      </c>
      <c r="J435" s="172">
        <v>4</v>
      </c>
      <c r="K435" s="172">
        <v>5</v>
      </c>
      <c r="L435" s="153" t="s">
        <v>448</v>
      </c>
      <c r="M435" s="141">
        <v>1.1226065162907268E-2</v>
      </c>
    </row>
    <row r="436" spans="1:13" ht="31.2" x14ac:dyDescent="0.3">
      <c r="A436" s="172" t="s">
        <v>227</v>
      </c>
      <c r="B436" s="172" t="s">
        <v>312</v>
      </c>
      <c r="C436" s="172">
        <v>105</v>
      </c>
      <c r="D436" s="172">
        <v>95</v>
      </c>
      <c r="E436" s="172" t="s">
        <v>1013</v>
      </c>
      <c r="F436" s="172">
        <v>7</v>
      </c>
      <c r="G436" s="172">
        <v>6</v>
      </c>
      <c r="H436" s="172" t="s">
        <v>289</v>
      </c>
      <c r="I436" s="172" t="s">
        <v>289</v>
      </c>
      <c r="J436" s="172">
        <v>4</v>
      </c>
      <c r="K436" s="172">
        <v>5</v>
      </c>
      <c r="L436" s="151" t="s">
        <v>1063</v>
      </c>
      <c r="M436" s="141">
        <v>1.1226065162907268E-2</v>
      </c>
    </row>
    <row r="437" spans="1:13" x14ac:dyDescent="0.3">
      <c r="A437" s="172" t="s">
        <v>996</v>
      </c>
      <c r="B437" s="172" t="s">
        <v>312</v>
      </c>
      <c r="C437" s="172">
        <v>140</v>
      </c>
      <c r="D437" s="172">
        <v>100</v>
      </c>
      <c r="E437" s="172" t="s">
        <v>1015</v>
      </c>
      <c r="F437" s="172">
        <v>9</v>
      </c>
      <c r="G437" s="172">
        <v>7</v>
      </c>
      <c r="H437" s="172" t="s">
        <v>290</v>
      </c>
      <c r="I437" s="172" t="s">
        <v>290</v>
      </c>
      <c r="J437" s="172">
        <v>3</v>
      </c>
      <c r="K437" s="172">
        <v>6</v>
      </c>
      <c r="L437" s="152" t="s">
        <v>448</v>
      </c>
      <c r="M437" s="141">
        <v>1.0179999999999998E-2</v>
      </c>
    </row>
    <row r="438" spans="1:13" x14ac:dyDescent="0.3">
      <c r="A438" s="172" t="s">
        <v>997</v>
      </c>
      <c r="B438" s="172" t="s">
        <v>312</v>
      </c>
      <c r="C438" s="172">
        <v>140</v>
      </c>
      <c r="D438" s="172">
        <v>100</v>
      </c>
      <c r="E438" s="172" t="s">
        <v>1015</v>
      </c>
      <c r="F438" s="172">
        <v>9</v>
      </c>
      <c r="G438" s="172">
        <v>7</v>
      </c>
      <c r="H438" s="172" t="s">
        <v>290</v>
      </c>
      <c r="I438" s="172" t="s">
        <v>290</v>
      </c>
      <c r="J438" s="172">
        <v>3</v>
      </c>
      <c r="K438" s="172">
        <v>4</v>
      </c>
      <c r="L438" s="152" t="s">
        <v>448</v>
      </c>
      <c r="M438" s="141">
        <v>1.0179999999999998E-2</v>
      </c>
    </row>
    <row r="439" spans="1:13" x14ac:dyDescent="0.3">
      <c r="A439" s="172" t="s">
        <v>998</v>
      </c>
      <c r="B439" s="172" t="s">
        <v>312</v>
      </c>
      <c r="C439" s="172">
        <v>140</v>
      </c>
      <c r="D439" s="172">
        <v>100</v>
      </c>
      <c r="E439" s="172" t="s">
        <v>1015</v>
      </c>
      <c r="F439" s="172">
        <v>9</v>
      </c>
      <c r="G439" s="172">
        <v>7</v>
      </c>
      <c r="H439" s="172" t="s">
        <v>290</v>
      </c>
      <c r="I439" s="172" t="s">
        <v>290</v>
      </c>
      <c r="J439" s="172">
        <v>3</v>
      </c>
      <c r="K439" s="172">
        <v>4</v>
      </c>
      <c r="L439" s="152" t="s">
        <v>448</v>
      </c>
      <c r="M439" s="141">
        <v>1.0179999999999998E-2</v>
      </c>
    </row>
    <row r="440" spans="1:13" x14ac:dyDescent="0.3">
      <c r="A440" s="172" t="s">
        <v>999</v>
      </c>
      <c r="B440" s="172" t="s">
        <v>312</v>
      </c>
      <c r="C440" s="172">
        <v>140</v>
      </c>
      <c r="D440" s="172">
        <v>100</v>
      </c>
      <c r="E440" s="172" t="s">
        <v>1014</v>
      </c>
      <c r="F440" s="172">
        <v>10</v>
      </c>
      <c r="G440" s="172">
        <v>7</v>
      </c>
      <c r="H440" s="172" t="s">
        <v>290</v>
      </c>
      <c r="I440" s="172" t="s">
        <v>290</v>
      </c>
      <c r="J440" s="172">
        <v>3</v>
      </c>
      <c r="K440" s="172">
        <v>4</v>
      </c>
      <c r="L440" s="152" t="s">
        <v>448</v>
      </c>
      <c r="M440" s="141">
        <v>1.0907142857142857E-2</v>
      </c>
    </row>
  </sheetData>
  <sortState ref="A3:K440">
    <sortCondition ref="B3"/>
  </sortState>
  <mergeCells count="1">
    <mergeCell ref="L1:L2"/>
  </mergeCells>
  <phoneticPr fontId="1" type="noConversion"/>
  <conditionalFormatting sqref="M1:M1048576">
    <cfRule type="colorScale" priority="1">
      <colorScale>
        <cfvo type="min"/>
        <cfvo type="max"/>
        <color rgb="FFFCFCFF"/>
        <color rgb="FF63BE7B"/>
      </colorScale>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3">
    <tabColor rgb="FF0070C0"/>
  </sheetPr>
  <dimension ref="A1:P1050"/>
  <sheetViews>
    <sheetView workbookViewId="0"/>
  </sheetViews>
  <sheetFormatPr defaultColWidth="9" defaultRowHeight="15.6" x14ac:dyDescent="0.3"/>
  <cols>
    <col min="1" max="15" width="9" style="172" customWidth="1"/>
    <col min="16" max="16" width="50.77734375" style="13" customWidth="1"/>
    <col min="17" max="16384" width="9" style="5"/>
  </cols>
  <sheetData>
    <row r="1" spans="1:16" x14ac:dyDescent="0.3">
      <c r="A1" s="172" t="s">
        <v>449</v>
      </c>
      <c r="B1" s="172" t="s">
        <v>450</v>
      </c>
      <c r="C1" s="172" t="s">
        <v>451</v>
      </c>
      <c r="D1" s="172" t="s">
        <v>452</v>
      </c>
      <c r="E1" s="172" t="s">
        <v>453</v>
      </c>
      <c r="F1" s="172" t="s">
        <v>453</v>
      </c>
      <c r="I1" s="172" t="s">
        <v>454</v>
      </c>
      <c r="J1" s="172" t="s">
        <v>455</v>
      </c>
      <c r="M1" s="172" t="s">
        <v>456</v>
      </c>
      <c r="N1" s="172" t="s">
        <v>457</v>
      </c>
      <c r="O1" s="172" t="s">
        <v>293</v>
      </c>
      <c r="P1" s="159" t="s">
        <v>282</v>
      </c>
    </row>
    <row r="2" spans="1:16" ht="16.2" thickBot="1" x14ac:dyDescent="0.35">
      <c r="F2" s="172" t="s">
        <v>372</v>
      </c>
      <c r="G2" s="172" t="s">
        <v>369</v>
      </c>
      <c r="H2" s="172" t="s">
        <v>375</v>
      </c>
      <c r="J2" s="172" t="s">
        <v>460</v>
      </c>
      <c r="K2" s="172" t="s">
        <v>369</v>
      </c>
      <c r="L2" s="172" t="s">
        <v>375</v>
      </c>
      <c r="P2" s="160"/>
    </row>
    <row r="3" spans="1:16" ht="16.2" thickTop="1" x14ac:dyDescent="0.3">
      <c r="A3" s="172" t="s">
        <v>286</v>
      </c>
      <c r="B3" s="172" t="s">
        <v>295</v>
      </c>
      <c r="C3" s="172">
        <v>40</v>
      </c>
      <c r="D3" s="172">
        <v>60</v>
      </c>
      <c r="E3" s="172" t="s">
        <v>458</v>
      </c>
      <c r="F3" s="172" t="s">
        <v>296</v>
      </c>
      <c r="G3" s="172" t="s">
        <v>296</v>
      </c>
      <c r="H3" s="172" t="s">
        <v>296</v>
      </c>
      <c r="I3" s="172" t="s">
        <v>287</v>
      </c>
      <c r="J3" s="172" t="s">
        <v>288</v>
      </c>
      <c r="K3" s="172" t="s">
        <v>288</v>
      </c>
      <c r="L3" s="172" t="s">
        <v>288</v>
      </c>
      <c r="M3" s="172">
        <v>840</v>
      </c>
      <c r="N3" s="172">
        <v>50</v>
      </c>
      <c r="P3" s="164" t="s">
        <v>448</v>
      </c>
    </row>
    <row r="4" spans="1:16" x14ac:dyDescent="0.3">
      <c r="E4" s="172" t="s">
        <v>459</v>
      </c>
      <c r="F4" s="172">
        <v>0</v>
      </c>
      <c r="G4" s="172">
        <v>0</v>
      </c>
      <c r="H4" s="172">
        <v>0</v>
      </c>
      <c r="P4" s="162"/>
    </row>
    <row r="5" spans="1:16" x14ac:dyDescent="0.3">
      <c r="E5" s="172" t="s">
        <v>458</v>
      </c>
      <c r="F5" s="172" t="s">
        <v>296</v>
      </c>
      <c r="G5" s="172" t="s">
        <v>297</v>
      </c>
      <c r="H5" s="172" t="s">
        <v>296</v>
      </c>
      <c r="P5" s="162"/>
    </row>
    <row r="6" spans="1:16" x14ac:dyDescent="0.3">
      <c r="E6" s="172" t="s">
        <v>459</v>
      </c>
      <c r="F6" s="172" t="s">
        <v>297</v>
      </c>
      <c r="G6" s="172" t="s">
        <v>297</v>
      </c>
      <c r="H6" s="172" t="s">
        <v>297</v>
      </c>
      <c r="P6" s="163"/>
    </row>
    <row r="7" spans="1:16" x14ac:dyDescent="0.3">
      <c r="P7" s="161"/>
    </row>
    <row r="8" spans="1:16" x14ac:dyDescent="0.3">
      <c r="P8" s="162"/>
    </row>
    <row r="9" spans="1:16" x14ac:dyDescent="0.3">
      <c r="P9" s="162"/>
    </row>
    <row r="10" spans="1:16" x14ac:dyDescent="0.3">
      <c r="P10" s="163"/>
    </row>
    <row r="11" spans="1:16" x14ac:dyDescent="0.3">
      <c r="P11" s="161"/>
    </row>
    <row r="12" spans="1:16" x14ac:dyDescent="0.3">
      <c r="P12" s="162"/>
    </row>
    <row r="13" spans="1:16" x14ac:dyDescent="0.3">
      <c r="P13" s="162"/>
    </row>
    <row r="14" spans="1:16" x14ac:dyDescent="0.3">
      <c r="P14" s="163"/>
    </row>
    <row r="15" spans="1:16" x14ac:dyDescent="0.3">
      <c r="P15" s="161"/>
    </row>
    <row r="16" spans="1:16" x14ac:dyDescent="0.3">
      <c r="P16" s="162"/>
    </row>
    <row r="17" spans="16:16" x14ac:dyDescent="0.3">
      <c r="P17" s="162"/>
    </row>
    <row r="18" spans="16:16" x14ac:dyDescent="0.3">
      <c r="P18" s="163"/>
    </row>
    <row r="19" spans="16:16" x14ac:dyDescent="0.3">
      <c r="P19" s="161"/>
    </row>
    <row r="20" spans="16:16" x14ac:dyDescent="0.3">
      <c r="P20" s="162"/>
    </row>
    <row r="21" spans="16:16" x14ac:dyDescent="0.3">
      <c r="P21" s="162"/>
    </row>
    <row r="22" spans="16:16" x14ac:dyDescent="0.3">
      <c r="P22" s="163"/>
    </row>
    <row r="23" spans="16:16" x14ac:dyDescent="0.3">
      <c r="P23" s="161"/>
    </row>
    <row r="24" spans="16:16" x14ac:dyDescent="0.3">
      <c r="P24" s="162"/>
    </row>
    <row r="25" spans="16:16" x14ac:dyDescent="0.3">
      <c r="P25" s="162"/>
    </row>
    <row r="26" spans="16:16" x14ac:dyDescent="0.3">
      <c r="P26" s="163"/>
    </row>
    <row r="27" spans="16:16" x14ac:dyDescent="0.3">
      <c r="P27" s="161"/>
    </row>
    <row r="28" spans="16:16" x14ac:dyDescent="0.3">
      <c r="P28" s="162"/>
    </row>
    <row r="29" spans="16:16" x14ac:dyDescent="0.3">
      <c r="P29" s="162"/>
    </row>
    <row r="30" spans="16:16" x14ac:dyDescent="0.3">
      <c r="P30" s="163"/>
    </row>
    <row r="31" spans="16:16" x14ac:dyDescent="0.3">
      <c r="P31" s="161"/>
    </row>
    <row r="32" spans="16:16" x14ac:dyDescent="0.3">
      <c r="P32" s="162"/>
    </row>
    <row r="33" spans="16:16" x14ac:dyDescent="0.3">
      <c r="P33" s="162"/>
    </row>
    <row r="34" spans="16:16" x14ac:dyDescent="0.3">
      <c r="P34" s="163"/>
    </row>
    <row r="35" spans="16:16" x14ac:dyDescent="0.3">
      <c r="P35" s="161"/>
    </row>
    <row r="36" spans="16:16" x14ac:dyDescent="0.3">
      <c r="P36" s="162"/>
    </row>
    <row r="37" spans="16:16" x14ac:dyDescent="0.3">
      <c r="P37" s="162"/>
    </row>
    <row r="38" spans="16:16" x14ac:dyDescent="0.3">
      <c r="P38" s="163"/>
    </row>
    <row r="39" spans="16:16" x14ac:dyDescent="0.3">
      <c r="P39" s="161"/>
    </row>
    <row r="40" spans="16:16" x14ac:dyDescent="0.3">
      <c r="P40" s="162"/>
    </row>
    <row r="41" spans="16:16" x14ac:dyDescent="0.3">
      <c r="P41" s="162"/>
    </row>
    <row r="42" spans="16:16" x14ac:dyDescent="0.3">
      <c r="P42" s="163"/>
    </row>
    <row r="43" spans="16:16" x14ac:dyDescent="0.3">
      <c r="P43" s="161"/>
    </row>
    <row r="44" spans="16:16" x14ac:dyDescent="0.3">
      <c r="P44" s="162"/>
    </row>
    <row r="45" spans="16:16" x14ac:dyDescent="0.3">
      <c r="P45" s="162"/>
    </row>
    <row r="46" spans="16:16" x14ac:dyDescent="0.3">
      <c r="P46" s="163"/>
    </row>
    <row r="47" spans="16:16" x14ac:dyDescent="0.3">
      <c r="P47" s="161"/>
    </row>
    <row r="48" spans="16:16" x14ac:dyDescent="0.3">
      <c r="P48" s="162"/>
    </row>
    <row r="49" spans="16:16" x14ac:dyDescent="0.3">
      <c r="P49" s="162"/>
    </row>
    <row r="50" spans="16:16" x14ac:dyDescent="0.3">
      <c r="P50" s="163"/>
    </row>
    <row r="51" spans="16:16" x14ac:dyDescent="0.3">
      <c r="P51" s="161"/>
    </row>
    <row r="52" spans="16:16" x14ac:dyDescent="0.3">
      <c r="P52" s="162"/>
    </row>
    <row r="53" spans="16:16" x14ac:dyDescent="0.3">
      <c r="P53" s="162"/>
    </row>
    <row r="54" spans="16:16" x14ac:dyDescent="0.3">
      <c r="P54" s="163"/>
    </row>
    <row r="55" spans="16:16" x14ac:dyDescent="0.3">
      <c r="P55" s="161"/>
    </row>
    <row r="56" spans="16:16" x14ac:dyDescent="0.3">
      <c r="P56" s="162"/>
    </row>
    <row r="57" spans="16:16" x14ac:dyDescent="0.3">
      <c r="P57" s="162"/>
    </row>
    <row r="58" spans="16:16" x14ac:dyDescent="0.3">
      <c r="P58" s="163"/>
    </row>
    <row r="59" spans="16:16" x14ac:dyDescent="0.3">
      <c r="P59" s="161"/>
    </row>
    <row r="60" spans="16:16" x14ac:dyDescent="0.3">
      <c r="P60" s="162"/>
    </row>
    <row r="61" spans="16:16" x14ac:dyDescent="0.3">
      <c r="P61" s="162"/>
    </row>
    <row r="62" spans="16:16" x14ac:dyDescent="0.3">
      <c r="P62" s="163"/>
    </row>
    <row r="63" spans="16:16" x14ac:dyDescent="0.3">
      <c r="P63" s="161"/>
    </row>
    <row r="64" spans="16:16" x14ac:dyDescent="0.3">
      <c r="P64" s="162"/>
    </row>
    <row r="65" spans="16:16" x14ac:dyDescent="0.3">
      <c r="P65" s="162"/>
    </row>
    <row r="66" spans="16:16" x14ac:dyDescent="0.3">
      <c r="P66" s="163"/>
    </row>
    <row r="67" spans="16:16" x14ac:dyDescent="0.3">
      <c r="P67" s="161"/>
    </row>
    <row r="68" spans="16:16" x14ac:dyDescent="0.3">
      <c r="P68" s="162"/>
    </row>
    <row r="69" spans="16:16" x14ac:dyDescent="0.3">
      <c r="P69" s="162"/>
    </row>
    <row r="70" spans="16:16" x14ac:dyDescent="0.3">
      <c r="P70" s="163"/>
    </row>
    <row r="71" spans="16:16" x14ac:dyDescent="0.3">
      <c r="P71" s="161"/>
    </row>
    <row r="72" spans="16:16" x14ac:dyDescent="0.3">
      <c r="P72" s="162"/>
    </row>
    <row r="73" spans="16:16" x14ac:dyDescent="0.3">
      <c r="P73" s="162"/>
    </row>
    <row r="74" spans="16:16" x14ac:dyDescent="0.3">
      <c r="P74" s="163"/>
    </row>
    <row r="75" spans="16:16" x14ac:dyDescent="0.3">
      <c r="P75" s="161"/>
    </row>
    <row r="76" spans="16:16" x14ac:dyDescent="0.3">
      <c r="P76" s="162"/>
    </row>
    <row r="77" spans="16:16" x14ac:dyDescent="0.3">
      <c r="P77" s="162"/>
    </row>
    <row r="78" spans="16:16" x14ac:dyDescent="0.3">
      <c r="P78" s="163"/>
    </row>
    <row r="79" spans="16:16" x14ac:dyDescent="0.3">
      <c r="P79" s="161"/>
    </row>
    <row r="80" spans="16:16" x14ac:dyDescent="0.3">
      <c r="P80" s="162"/>
    </row>
    <row r="81" spans="16:16" x14ac:dyDescent="0.3">
      <c r="P81" s="162"/>
    </row>
    <row r="82" spans="16:16" x14ac:dyDescent="0.3">
      <c r="P82" s="163"/>
    </row>
    <row r="83" spans="16:16" x14ac:dyDescent="0.3">
      <c r="P83" s="161"/>
    </row>
    <row r="84" spans="16:16" x14ac:dyDescent="0.3">
      <c r="P84" s="162"/>
    </row>
    <row r="85" spans="16:16" x14ac:dyDescent="0.3">
      <c r="P85" s="162"/>
    </row>
    <row r="86" spans="16:16" x14ac:dyDescent="0.3">
      <c r="P86" s="163"/>
    </row>
    <row r="87" spans="16:16" x14ac:dyDescent="0.3">
      <c r="P87" s="165"/>
    </row>
    <row r="88" spans="16:16" x14ac:dyDescent="0.3">
      <c r="P88" s="166"/>
    </row>
    <row r="89" spans="16:16" x14ac:dyDescent="0.3">
      <c r="P89" s="166"/>
    </row>
    <row r="90" spans="16:16" x14ac:dyDescent="0.3">
      <c r="P90" s="167"/>
    </row>
    <row r="91" spans="16:16" x14ac:dyDescent="0.3">
      <c r="P91" s="161"/>
    </row>
    <row r="92" spans="16:16" x14ac:dyDescent="0.3">
      <c r="P92" s="162"/>
    </row>
    <row r="93" spans="16:16" x14ac:dyDescent="0.3">
      <c r="P93" s="162"/>
    </row>
    <row r="94" spans="16:16" x14ac:dyDescent="0.3">
      <c r="P94" s="163"/>
    </row>
    <row r="95" spans="16:16" x14ac:dyDescent="0.3">
      <c r="P95" s="165"/>
    </row>
    <row r="96" spans="16:16" x14ac:dyDescent="0.3">
      <c r="P96" s="166"/>
    </row>
    <row r="97" spans="16:16" x14ac:dyDescent="0.3">
      <c r="P97" s="166"/>
    </row>
    <row r="98" spans="16:16" x14ac:dyDescent="0.3">
      <c r="P98" s="167"/>
    </row>
    <row r="99" spans="16:16" x14ac:dyDescent="0.3">
      <c r="P99" s="161"/>
    </row>
    <row r="100" spans="16:16" x14ac:dyDescent="0.3">
      <c r="P100" s="162"/>
    </row>
    <row r="101" spans="16:16" x14ac:dyDescent="0.3">
      <c r="P101" s="162"/>
    </row>
    <row r="102" spans="16:16" x14ac:dyDescent="0.3">
      <c r="P102" s="163"/>
    </row>
    <row r="103" spans="16:16" x14ac:dyDescent="0.3">
      <c r="P103" s="161"/>
    </row>
    <row r="104" spans="16:16" x14ac:dyDescent="0.3">
      <c r="P104" s="162"/>
    </row>
    <row r="105" spans="16:16" x14ac:dyDescent="0.3">
      <c r="P105" s="162"/>
    </row>
    <row r="106" spans="16:16" x14ac:dyDescent="0.3">
      <c r="P106" s="163"/>
    </row>
    <row r="107" spans="16:16" x14ac:dyDescent="0.3">
      <c r="P107" s="165"/>
    </row>
    <row r="108" spans="16:16" x14ac:dyDescent="0.3">
      <c r="P108" s="166"/>
    </row>
    <row r="109" spans="16:16" x14ac:dyDescent="0.3">
      <c r="P109" s="166"/>
    </row>
    <row r="110" spans="16:16" x14ac:dyDescent="0.3">
      <c r="P110" s="167"/>
    </row>
    <row r="111" spans="16:16" x14ac:dyDescent="0.3">
      <c r="P111" s="161"/>
    </row>
    <row r="112" spans="16:16" x14ac:dyDescent="0.3">
      <c r="P112" s="162"/>
    </row>
    <row r="113" spans="16:16" x14ac:dyDescent="0.3">
      <c r="P113" s="162"/>
    </row>
    <row r="114" spans="16:16" x14ac:dyDescent="0.3">
      <c r="P114" s="163"/>
    </row>
    <row r="115" spans="16:16" x14ac:dyDescent="0.3">
      <c r="P115" s="165"/>
    </row>
    <row r="116" spans="16:16" x14ac:dyDescent="0.3">
      <c r="P116" s="166"/>
    </row>
    <row r="117" spans="16:16" x14ac:dyDescent="0.3">
      <c r="P117" s="166"/>
    </row>
    <row r="118" spans="16:16" x14ac:dyDescent="0.3">
      <c r="P118" s="167"/>
    </row>
    <row r="119" spans="16:16" x14ac:dyDescent="0.3">
      <c r="P119" s="161"/>
    </row>
    <row r="120" spans="16:16" x14ac:dyDescent="0.3">
      <c r="P120" s="162"/>
    </row>
    <row r="121" spans="16:16" x14ac:dyDescent="0.3">
      <c r="P121" s="162"/>
    </row>
    <row r="122" spans="16:16" x14ac:dyDescent="0.3">
      <c r="P122" s="163"/>
    </row>
    <row r="123" spans="16:16" x14ac:dyDescent="0.3">
      <c r="P123" s="161"/>
    </row>
    <row r="124" spans="16:16" x14ac:dyDescent="0.3">
      <c r="P124" s="162"/>
    </row>
    <row r="125" spans="16:16" x14ac:dyDescent="0.3">
      <c r="P125" s="162"/>
    </row>
    <row r="126" spans="16:16" x14ac:dyDescent="0.3">
      <c r="P126" s="163"/>
    </row>
    <row r="127" spans="16:16" x14ac:dyDescent="0.3">
      <c r="P127" s="161"/>
    </row>
    <row r="128" spans="16:16" x14ac:dyDescent="0.3">
      <c r="P128" s="162"/>
    </row>
    <row r="129" spans="16:16" x14ac:dyDescent="0.3">
      <c r="P129" s="162"/>
    </row>
    <row r="130" spans="16:16" x14ac:dyDescent="0.3">
      <c r="P130" s="163"/>
    </row>
    <row r="131" spans="16:16" x14ac:dyDescent="0.3">
      <c r="P131" s="161"/>
    </row>
    <row r="132" spans="16:16" x14ac:dyDescent="0.3">
      <c r="P132" s="162"/>
    </row>
    <row r="133" spans="16:16" x14ac:dyDescent="0.3">
      <c r="P133" s="162"/>
    </row>
    <row r="134" spans="16:16" x14ac:dyDescent="0.3">
      <c r="P134" s="163"/>
    </row>
    <row r="135" spans="16:16" x14ac:dyDescent="0.3">
      <c r="P135" s="161"/>
    </row>
    <row r="136" spans="16:16" x14ac:dyDescent="0.3">
      <c r="P136" s="162"/>
    </row>
    <row r="137" spans="16:16" x14ac:dyDescent="0.3">
      <c r="P137" s="162"/>
    </row>
    <row r="138" spans="16:16" x14ac:dyDescent="0.3">
      <c r="P138" s="163"/>
    </row>
    <row r="139" spans="16:16" x14ac:dyDescent="0.3">
      <c r="P139" s="161"/>
    </row>
    <row r="140" spans="16:16" x14ac:dyDescent="0.3">
      <c r="P140" s="162"/>
    </row>
    <row r="141" spans="16:16" x14ac:dyDescent="0.3">
      <c r="P141" s="162"/>
    </row>
    <row r="142" spans="16:16" x14ac:dyDescent="0.3">
      <c r="P142" s="163"/>
    </row>
    <row r="143" spans="16:16" x14ac:dyDescent="0.3">
      <c r="P143" s="161"/>
    </row>
    <row r="144" spans="16:16" x14ac:dyDescent="0.3">
      <c r="P144" s="162"/>
    </row>
    <row r="145" spans="16:16" x14ac:dyDescent="0.3">
      <c r="P145" s="162"/>
    </row>
    <row r="146" spans="16:16" x14ac:dyDescent="0.3">
      <c r="P146" s="163"/>
    </row>
    <row r="147" spans="16:16" x14ac:dyDescent="0.3">
      <c r="P147" s="161"/>
    </row>
    <row r="148" spans="16:16" x14ac:dyDescent="0.3">
      <c r="P148" s="162"/>
    </row>
    <row r="149" spans="16:16" x14ac:dyDescent="0.3">
      <c r="P149" s="162"/>
    </row>
    <row r="150" spans="16:16" x14ac:dyDescent="0.3">
      <c r="P150" s="163"/>
    </row>
    <row r="151" spans="16:16" x14ac:dyDescent="0.3">
      <c r="P151" s="161"/>
    </row>
    <row r="152" spans="16:16" x14ac:dyDescent="0.3">
      <c r="P152" s="162"/>
    </row>
    <row r="153" spans="16:16" x14ac:dyDescent="0.3">
      <c r="P153" s="162"/>
    </row>
    <row r="154" spans="16:16" x14ac:dyDescent="0.3">
      <c r="P154" s="163"/>
    </row>
    <row r="155" spans="16:16" x14ac:dyDescent="0.3">
      <c r="P155" s="161"/>
    </row>
    <row r="156" spans="16:16" x14ac:dyDescent="0.3">
      <c r="P156" s="162"/>
    </row>
    <row r="157" spans="16:16" x14ac:dyDescent="0.3">
      <c r="P157" s="162"/>
    </row>
    <row r="158" spans="16:16" x14ac:dyDescent="0.3">
      <c r="P158" s="163"/>
    </row>
    <row r="159" spans="16:16" x14ac:dyDescent="0.3">
      <c r="P159" s="161"/>
    </row>
    <row r="160" spans="16:16" x14ac:dyDescent="0.3">
      <c r="P160" s="162"/>
    </row>
    <row r="161" spans="16:16" x14ac:dyDescent="0.3">
      <c r="P161" s="162"/>
    </row>
    <row r="162" spans="16:16" x14ac:dyDescent="0.3">
      <c r="P162" s="163"/>
    </row>
    <row r="163" spans="16:16" x14ac:dyDescent="0.3">
      <c r="P163" s="161"/>
    </row>
    <row r="164" spans="16:16" x14ac:dyDescent="0.3">
      <c r="P164" s="162"/>
    </row>
    <row r="165" spans="16:16" x14ac:dyDescent="0.3">
      <c r="P165" s="162"/>
    </row>
    <row r="166" spans="16:16" x14ac:dyDescent="0.3">
      <c r="P166" s="163"/>
    </row>
    <row r="167" spans="16:16" x14ac:dyDescent="0.3">
      <c r="P167" s="161"/>
    </row>
    <row r="168" spans="16:16" x14ac:dyDescent="0.3">
      <c r="P168" s="162"/>
    </row>
    <row r="169" spans="16:16" x14ac:dyDescent="0.3">
      <c r="P169" s="162"/>
    </row>
    <row r="170" spans="16:16" x14ac:dyDescent="0.3">
      <c r="P170" s="163"/>
    </row>
    <row r="171" spans="16:16" x14ac:dyDescent="0.3">
      <c r="P171" s="161"/>
    </row>
    <row r="172" spans="16:16" x14ac:dyDescent="0.3">
      <c r="P172" s="162"/>
    </row>
    <row r="173" spans="16:16" x14ac:dyDescent="0.3">
      <c r="P173" s="162"/>
    </row>
    <row r="174" spans="16:16" x14ac:dyDescent="0.3">
      <c r="P174" s="163"/>
    </row>
    <row r="175" spans="16:16" x14ac:dyDescent="0.3">
      <c r="P175" s="161"/>
    </row>
    <row r="176" spans="16:16" x14ac:dyDescent="0.3">
      <c r="P176" s="162"/>
    </row>
    <row r="177" spans="16:16" x14ac:dyDescent="0.3">
      <c r="P177" s="162"/>
    </row>
    <row r="178" spans="16:16" x14ac:dyDescent="0.3">
      <c r="P178" s="163"/>
    </row>
    <row r="179" spans="16:16" x14ac:dyDescent="0.3">
      <c r="P179" s="161"/>
    </row>
    <row r="180" spans="16:16" x14ac:dyDescent="0.3">
      <c r="P180" s="162"/>
    </row>
    <row r="181" spans="16:16" x14ac:dyDescent="0.3">
      <c r="P181" s="162"/>
    </row>
    <row r="182" spans="16:16" x14ac:dyDescent="0.3">
      <c r="P182" s="163"/>
    </row>
    <row r="183" spans="16:16" x14ac:dyDescent="0.3">
      <c r="P183" s="161"/>
    </row>
    <row r="184" spans="16:16" x14ac:dyDescent="0.3">
      <c r="P184" s="162"/>
    </row>
    <row r="185" spans="16:16" x14ac:dyDescent="0.3">
      <c r="P185" s="162"/>
    </row>
    <row r="186" spans="16:16" x14ac:dyDescent="0.3">
      <c r="P186" s="163"/>
    </row>
    <row r="187" spans="16:16" x14ac:dyDescent="0.3">
      <c r="P187" s="161"/>
    </row>
    <row r="188" spans="16:16" x14ac:dyDescent="0.3">
      <c r="P188" s="162"/>
    </row>
    <row r="189" spans="16:16" x14ac:dyDescent="0.3">
      <c r="P189" s="162"/>
    </row>
    <row r="190" spans="16:16" x14ac:dyDescent="0.3">
      <c r="P190" s="163"/>
    </row>
    <row r="191" spans="16:16" x14ac:dyDescent="0.3">
      <c r="P191" s="161"/>
    </row>
    <row r="192" spans="16:16" x14ac:dyDescent="0.3">
      <c r="P192" s="162"/>
    </row>
    <row r="193" spans="16:16" x14ac:dyDescent="0.3">
      <c r="P193" s="162"/>
    </row>
    <row r="194" spans="16:16" x14ac:dyDescent="0.3">
      <c r="P194" s="163"/>
    </row>
    <row r="195" spans="16:16" x14ac:dyDescent="0.3">
      <c r="P195" s="161"/>
    </row>
    <row r="196" spans="16:16" x14ac:dyDescent="0.3">
      <c r="P196" s="162"/>
    </row>
    <row r="197" spans="16:16" x14ac:dyDescent="0.3">
      <c r="P197" s="162"/>
    </row>
    <row r="198" spans="16:16" x14ac:dyDescent="0.3">
      <c r="P198" s="163"/>
    </row>
    <row r="199" spans="16:16" x14ac:dyDescent="0.3">
      <c r="P199" s="161"/>
    </row>
    <row r="200" spans="16:16" x14ac:dyDescent="0.3">
      <c r="P200" s="162"/>
    </row>
    <row r="201" spans="16:16" x14ac:dyDescent="0.3">
      <c r="P201" s="162"/>
    </row>
    <row r="202" spans="16:16" x14ac:dyDescent="0.3">
      <c r="P202" s="163"/>
    </row>
    <row r="203" spans="16:16" x14ac:dyDescent="0.3">
      <c r="P203" s="161"/>
    </row>
    <row r="204" spans="16:16" x14ac:dyDescent="0.3">
      <c r="P204" s="162"/>
    </row>
    <row r="205" spans="16:16" x14ac:dyDescent="0.3">
      <c r="P205" s="162"/>
    </row>
    <row r="206" spans="16:16" x14ac:dyDescent="0.3">
      <c r="P206" s="163"/>
    </row>
    <row r="207" spans="16:16" x14ac:dyDescent="0.3">
      <c r="P207" s="161"/>
    </row>
    <row r="208" spans="16:16" x14ac:dyDescent="0.3">
      <c r="P208" s="162"/>
    </row>
    <row r="209" spans="16:16" x14ac:dyDescent="0.3">
      <c r="P209" s="162"/>
    </row>
    <row r="210" spans="16:16" x14ac:dyDescent="0.3">
      <c r="P210" s="163"/>
    </row>
    <row r="211" spans="16:16" x14ac:dyDescent="0.3">
      <c r="P211" s="161"/>
    </row>
    <row r="212" spans="16:16" x14ac:dyDescent="0.3">
      <c r="P212" s="162"/>
    </row>
    <row r="213" spans="16:16" x14ac:dyDescent="0.3">
      <c r="P213" s="162"/>
    </row>
    <row r="214" spans="16:16" x14ac:dyDescent="0.3">
      <c r="P214" s="163"/>
    </row>
    <row r="215" spans="16:16" x14ac:dyDescent="0.3">
      <c r="P215" s="161"/>
    </row>
    <row r="216" spans="16:16" x14ac:dyDescent="0.3">
      <c r="P216" s="162"/>
    </row>
    <row r="217" spans="16:16" x14ac:dyDescent="0.3">
      <c r="P217" s="162"/>
    </row>
    <row r="218" spans="16:16" x14ac:dyDescent="0.3">
      <c r="P218" s="163"/>
    </row>
    <row r="219" spans="16:16" x14ac:dyDescent="0.3">
      <c r="P219" s="161"/>
    </row>
    <row r="220" spans="16:16" x14ac:dyDescent="0.3">
      <c r="P220" s="162"/>
    </row>
    <row r="221" spans="16:16" x14ac:dyDescent="0.3">
      <c r="P221" s="162"/>
    </row>
    <row r="222" spans="16:16" x14ac:dyDescent="0.3">
      <c r="P222" s="163"/>
    </row>
    <row r="223" spans="16:16" x14ac:dyDescent="0.3">
      <c r="P223" s="161"/>
    </row>
    <row r="224" spans="16:16" x14ac:dyDescent="0.3">
      <c r="P224" s="162"/>
    </row>
    <row r="225" spans="16:16" x14ac:dyDescent="0.3">
      <c r="P225" s="162"/>
    </row>
    <row r="226" spans="16:16" x14ac:dyDescent="0.3">
      <c r="P226" s="163"/>
    </row>
    <row r="227" spans="16:16" x14ac:dyDescent="0.3">
      <c r="P227" s="161"/>
    </row>
    <row r="228" spans="16:16" x14ac:dyDescent="0.3">
      <c r="P228" s="162"/>
    </row>
    <row r="229" spans="16:16" x14ac:dyDescent="0.3">
      <c r="P229" s="162"/>
    </row>
    <row r="230" spans="16:16" x14ac:dyDescent="0.3">
      <c r="P230" s="163"/>
    </row>
    <row r="231" spans="16:16" x14ac:dyDescent="0.3">
      <c r="P231" s="161"/>
    </row>
    <row r="232" spans="16:16" x14ac:dyDescent="0.3">
      <c r="P232" s="162"/>
    </row>
    <row r="233" spans="16:16" x14ac:dyDescent="0.3">
      <c r="P233" s="162"/>
    </row>
    <row r="234" spans="16:16" x14ac:dyDescent="0.3">
      <c r="P234" s="163"/>
    </row>
    <row r="235" spans="16:16" x14ac:dyDescent="0.3">
      <c r="P235" s="161"/>
    </row>
    <row r="236" spans="16:16" x14ac:dyDescent="0.3">
      <c r="P236" s="162"/>
    </row>
    <row r="237" spans="16:16" x14ac:dyDescent="0.3">
      <c r="P237" s="162"/>
    </row>
    <row r="238" spans="16:16" x14ac:dyDescent="0.3">
      <c r="P238" s="163"/>
    </row>
    <row r="239" spans="16:16" x14ac:dyDescent="0.3">
      <c r="P239" s="161"/>
    </row>
    <row r="240" spans="16:16" x14ac:dyDescent="0.3">
      <c r="P240" s="162"/>
    </row>
    <row r="241" spans="16:16" x14ac:dyDescent="0.3">
      <c r="P241" s="162"/>
    </row>
    <row r="242" spans="16:16" x14ac:dyDescent="0.3">
      <c r="P242" s="163"/>
    </row>
    <row r="243" spans="16:16" x14ac:dyDescent="0.3">
      <c r="P243" s="161"/>
    </row>
    <row r="244" spans="16:16" x14ac:dyDescent="0.3">
      <c r="P244" s="162"/>
    </row>
    <row r="245" spans="16:16" x14ac:dyDescent="0.3">
      <c r="P245" s="162"/>
    </row>
    <row r="246" spans="16:16" x14ac:dyDescent="0.3">
      <c r="P246" s="163"/>
    </row>
    <row r="247" spans="16:16" x14ac:dyDescent="0.3">
      <c r="P247" s="161"/>
    </row>
    <row r="248" spans="16:16" x14ac:dyDescent="0.3">
      <c r="P248" s="162"/>
    </row>
    <row r="249" spans="16:16" x14ac:dyDescent="0.3">
      <c r="P249" s="162"/>
    </row>
    <row r="250" spans="16:16" x14ac:dyDescent="0.3">
      <c r="P250" s="163"/>
    </row>
    <row r="251" spans="16:16" x14ac:dyDescent="0.3">
      <c r="P251" s="165"/>
    </row>
    <row r="252" spans="16:16" x14ac:dyDescent="0.3">
      <c r="P252" s="166"/>
    </row>
    <row r="253" spans="16:16" x14ac:dyDescent="0.3">
      <c r="P253" s="166"/>
    </row>
    <row r="254" spans="16:16" x14ac:dyDescent="0.3">
      <c r="P254" s="167"/>
    </row>
    <row r="255" spans="16:16" x14ac:dyDescent="0.3">
      <c r="P255" s="165"/>
    </row>
    <row r="256" spans="16:16" x14ac:dyDescent="0.3">
      <c r="P256" s="166"/>
    </row>
    <row r="257" spans="16:16" x14ac:dyDescent="0.3">
      <c r="P257" s="166"/>
    </row>
    <row r="258" spans="16:16" x14ac:dyDescent="0.3">
      <c r="P258" s="167"/>
    </row>
    <row r="259" spans="16:16" x14ac:dyDescent="0.3">
      <c r="P259" s="161"/>
    </row>
    <row r="260" spans="16:16" x14ac:dyDescent="0.3">
      <c r="P260" s="162"/>
    </row>
    <row r="261" spans="16:16" x14ac:dyDescent="0.3">
      <c r="P261" s="162"/>
    </row>
    <row r="262" spans="16:16" x14ac:dyDescent="0.3">
      <c r="P262" s="163"/>
    </row>
    <row r="263" spans="16:16" x14ac:dyDescent="0.3">
      <c r="P263" s="161"/>
    </row>
    <row r="264" spans="16:16" x14ac:dyDescent="0.3">
      <c r="P264" s="162"/>
    </row>
    <row r="265" spans="16:16" x14ac:dyDescent="0.3">
      <c r="P265" s="162"/>
    </row>
    <row r="266" spans="16:16" x14ac:dyDescent="0.3">
      <c r="P266" s="163"/>
    </row>
    <row r="267" spans="16:16" x14ac:dyDescent="0.3">
      <c r="P267" s="161"/>
    </row>
    <row r="268" spans="16:16" x14ac:dyDescent="0.3">
      <c r="P268" s="162"/>
    </row>
    <row r="269" spans="16:16" x14ac:dyDescent="0.3">
      <c r="P269" s="162"/>
    </row>
    <row r="270" spans="16:16" x14ac:dyDescent="0.3">
      <c r="P270" s="163"/>
    </row>
    <row r="271" spans="16:16" x14ac:dyDescent="0.3">
      <c r="P271" s="161"/>
    </row>
    <row r="272" spans="16:16" x14ac:dyDescent="0.3">
      <c r="P272" s="162"/>
    </row>
    <row r="273" spans="16:16" x14ac:dyDescent="0.3">
      <c r="P273" s="162"/>
    </row>
    <row r="274" spans="16:16" x14ac:dyDescent="0.3">
      <c r="P274" s="163"/>
    </row>
    <row r="275" spans="16:16" x14ac:dyDescent="0.3">
      <c r="P275" s="161"/>
    </row>
    <row r="276" spans="16:16" x14ac:dyDescent="0.3">
      <c r="P276" s="162"/>
    </row>
    <row r="277" spans="16:16" x14ac:dyDescent="0.3">
      <c r="P277" s="162"/>
    </row>
    <row r="278" spans="16:16" x14ac:dyDescent="0.3">
      <c r="P278" s="163"/>
    </row>
    <row r="279" spans="16:16" x14ac:dyDescent="0.3">
      <c r="P279" s="161"/>
    </row>
    <row r="280" spans="16:16" x14ac:dyDescent="0.3">
      <c r="P280" s="162"/>
    </row>
    <row r="281" spans="16:16" x14ac:dyDescent="0.3">
      <c r="P281" s="162"/>
    </row>
    <row r="282" spans="16:16" x14ac:dyDescent="0.3">
      <c r="P282" s="163"/>
    </row>
    <row r="283" spans="16:16" x14ac:dyDescent="0.3">
      <c r="P283" s="161"/>
    </row>
    <row r="284" spans="16:16" x14ac:dyDescent="0.3">
      <c r="P284" s="162"/>
    </row>
    <row r="285" spans="16:16" x14ac:dyDescent="0.3">
      <c r="P285" s="162"/>
    </row>
    <row r="286" spans="16:16" x14ac:dyDescent="0.3">
      <c r="P286" s="163"/>
    </row>
    <row r="287" spans="16:16" x14ac:dyDescent="0.3">
      <c r="P287" s="161"/>
    </row>
    <row r="288" spans="16:16" x14ac:dyDescent="0.3">
      <c r="P288" s="162"/>
    </row>
    <row r="289" spans="16:16" x14ac:dyDescent="0.3">
      <c r="P289" s="162"/>
    </row>
    <row r="290" spans="16:16" x14ac:dyDescent="0.3">
      <c r="P290" s="163"/>
    </row>
    <row r="291" spans="16:16" x14ac:dyDescent="0.3">
      <c r="P291" s="161"/>
    </row>
    <row r="292" spans="16:16" x14ac:dyDescent="0.3">
      <c r="P292" s="162"/>
    </row>
    <row r="293" spans="16:16" x14ac:dyDescent="0.3">
      <c r="P293" s="162"/>
    </row>
    <row r="294" spans="16:16" x14ac:dyDescent="0.3">
      <c r="P294" s="163"/>
    </row>
    <row r="295" spans="16:16" x14ac:dyDescent="0.3">
      <c r="P295" s="161"/>
    </row>
    <row r="296" spans="16:16" x14ac:dyDescent="0.3">
      <c r="P296" s="162"/>
    </row>
    <row r="297" spans="16:16" x14ac:dyDescent="0.3">
      <c r="P297" s="162"/>
    </row>
    <row r="298" spans="16:16" x14ac:dyDescent="0.3">
      <c r="P298" s="163"/>
    </row>
    <row r="299" spans="16:16" x14ac:dyDescent="0.3">
      <c r="P299" s="161"/>
    </row>
    <row r="300" spans="16:16" x14ac:dyDescent="0.3">
      <c r="P300" s="162"/>
    </row>
    <row r="301" spans="16:16" x14ac:dyDescent="0.3">
      <c r="P301" s="162"/>
    </row>
    <row r="302" spans="16:16" x14ac:dyDescent="0.3">
      <c r="P302" s="163"/>
    </row>
    <row r="303" spans="16:16" x14ac:dyDescent="0.3">
      <c r="P303" s="161"/>
    </row>
    <row r="304" spans="16:16" x14ac:dyDescent="0.3">
      <c r="P304" s="162"/>
    </row>
    <row r="305" spans="16:16" x14ac:dyDescent="0.3">
      <c r="P305" s="162"/>
    </row>
    <row r="306" spans="16:16" x14ac:dyDescent="0.3">
      <c r="P306" s="163"/>
    </row>
    <row r="307" spans="16:16" x14ac:dyDescent="0.3">
      <c r="P307" s="161"/>
    </row>
    <row r="308" spans="16:16" x14ac:dyDescent="0.3">
      <c r="P308" s="162"/>
    </row>
    <row r="309" spans="16:16" x14ac:dyDescent="0.3">
      <c r="P309" s="162"/>
    </row>
    <row r="310" spans="16:16" x14ac:dyDescent="0.3">
      <c r="P310" s="163"/>
    </row>
    <row r="311" spans="16:16" x14ac:dyDescent="0.3">
      <c r="P311" s="161"/>
    </row>
    <row r="312" spans="16:16" x14ac:dyDescent="0.3">
      <c r="P312" s="162"/>
    </row>
    <row r="313" spans="16:16" x14ac:dyDescent="0.3">
      <c r="P313" s="162"/>
    </row>
    <row r="314" spans="16:16" x14ac:dyDescent="0.3">
      <c r="P314" s="163"/>
    </row>
    <row r="315" spans="16:16" x14ac:dyDescent="0.3">
      <c r="P315" s="161"/>
    </row>
    <row r="316" spans="16:16" x14ac:dyDescent="0.3">
      <c r="P316" s="162"/>
    </row>
    <row r="317" spans="16:16" x14ac:dyDescent="0.3">
      <c r="P317" s="162"/>
    </row>
    <row r="318" spans="16:16" x14ac:dyDescent="0.3">
      <c r="P318" s="163"/>
    </row>
    <row r="319" spans="16:16" x14ac:dyDescent="0.3">
      <c r="P319" s="161"/>
    </row>
    <row r="320" spans="16:16" x14ac:dyDescent="0.3">
      <c r="P320" s="162"/>
    </row>
    <row r="321" spans="16:16" x14ac:dyDescent="0.3">
      <c r="P321" s="162"/>
    </row>
    <row r="322" spans="16:16" x14ac:dyDescent="0.3">
      <c r="P322" s="163"/>
    </row>
    <row r="323" spans="16:16" x14ac:dyDescent="0.3">
      <c r="P323" s="161"/>
    </row>
    <row r="324" spans="16:16" x14ac:dyDescent="0.3">
      <c r="P324" s="162"/>
    </row>
    <row r="325" spans="16:16" x14ac:dyDescent="0.3">
      <c r="P325" s="162"/>
    </row>
    <row r="326" spans="16:16" x14ac:dyDescent="0.3">
      <c r="P326" s="163"/>
    </row>
    <row r="327" spans="16:16" x14ac:dyDescent="0.3">
      <c r="P327" s="161"/>
    </row>
    <row r="328" spans="16:16" x14ac:dyDescent="0.3">
      <c r="P328" s="162"/>
    </row>
    <row r="329" spans="16:16" x14ac:dyDescent="0.3">
      <c r="P329" s="162"/>
    </row>
    <row r="330" spans="16:16" x14ac:dyDescent="0.3">
      <c r="P330" s="163"/>
    </row>
    <row r="331" spans="16:16" x14ac:dyDescent="0.3">
      <c r="P331" s="161"/>
    </row>
    <row r="332" spans="16:16" x14ac:dyDescent="0.3">
      <c r="P332" s="162"/>
    </row>
    <row r="333" spans="16:16" x14ac:dyDescent="0.3">
      <c r="P333" s="162"/>
    </row>
    <row r="334" spans="16:16" x14ac:dyDescent="0.3">
      <c r="P334" s="163"/>
    </row>
    <row r="335" spans="16:16" x14ac:dyDescent="0.3">
      <c r="P335" s="161"/>
    </row>
    <row r="336" spans="16:16" x14ac:dyDescent="0.3">
      <c r="P336" s="162"/>
    </row>
    <row r="337" spans="16:16" x14ac:dyDescent="0.3">
      <c r="P337" s="162"/>
    </row>
    <row r="338" spans="16:16" x14ac:dyDescent="0.3">
      <c r="P338" s="163"/>
    </row>
    <row r="339" spans="16:16" x14ac:dyDescent="0.3">
      <c r="P339" s="161"/>
    </row>
    <row r="340" spans="16:16" x14ac:dyDescent="0.3">
      <c r="P340" s="162"/>
    </row>
    <row r="341" spans="16:16" x14ac:dyDescent="0.3">
      <c r="P341" s="162"/>
    </row>
    <row r="342" spans="16:16" x14ac:dyDescent="0.3">
      <c r="P342" s="163"/>
    </row>
    <row r="343" spans="16:16" x14ac:dyDescent="0.3">
      <c r="P343" s="161"/>
    </row>
    <row r="344" spans="16:16" x14ac:dyDescent="0.3">
      <c r="P344" s="162"/>
    </row>
    <row r="345" spans="16:16" x14ac:dyDescent="0.3">
      <c r="P345" s="162"/>
    </row>
    <row r="346" spans="16:16" x14ac:dyDescent="0.3">
      <c r="P346" s="163"/>
    </row>
    <row r="347" spans="16:16" x14ac:dyDescent="0.3">
      <c r="P347" s="161"/>
    </row>
    <row r="348" spans="16:16" x14ac:dyDescent="0.3">
      <c r="P348" s="162"/>
    </row>
    <row r="349" spans="16:16" x14ac:dyDescent="0.3">
      <c r="P349" s="162"/>
    </row>
    <row r="350" spans="16:16" x14ac:dyDescent="0.3">
      <c r="P350" s="163"/>
    </row>
    <row r="351" spans="16:16" x14ac:dyDescent="0.3">
      <c r="P351" s="161"/>
    </row>
    <row r="352" spans="16:16" x14ac:dyDescent="0.3">
      <c r="P352" s="162"/>
    </row>
    <row r="353" spans="16:16" x14ac:dyDescent="0.3">
      <c r="P353" s="162"/>
    </row>
    <row r="354" spans="16:16" x14ac:dyDescent="0.3">
      <c r="P354" s="163"/>
    </row>
    <row r="355" spans="16:16" x14ac:dyDescent="0.3">
      <c r="P355" s="161"/>
    </row>
    <row r="356" spans="16:16" x14ac:dyDescent="0.3">
      <c r="P356" s="162"/>
    </row>
    <row r="357" spans="16:16" x14ac:dyDescent="0.3">
      <c r="P357" s="162"/>
    </row>
    <row r="358" spans="16:16" x14ac:dyDescent="0.3">
      <c r="P358" s="163"/>
    </row>
    <row r="359" spans="16:16" x14ac:dyDescent="0.3">
      <c r="P359" s="161"/>
    </row>
    <row r="360" spans="16:16" x14ac:dyDescent="0.3">
      <c r="P360" s="162"/>
    </row>
    <row r="361" spans="16:16" x14ac:dyDescent="0.3">
      <c r="P361" s="162"/>
    </row>
    <row r="362" spans="16:16" x14ac:dyDescent="0.3">
      <c r="P362" s="163"/>
    </row>
    <row r="363" spans="16:16" x14ac:dyDescent="0.3">
      <c r="P363" s="161"/>
    </row>
    <row r="364" spans="16:16" x14ac:dyDescent="0.3">
      <c r="P364" s="162"/>
    </row>
    <row r="365" spans="16:16" x14ac:dyDescent="0.3">
      <c r="P365" s="162"/>
    </row>
    <row r="366" spans="16:16" x14ac:dyDescent="0.3">
      <c r="P366" s="163"/>
    </row>
    <row r="367" spans="16:16" x14ac:dyDescent="0.3">
      <c r="P367" s="161"/>
    </row>
    <row r="368" spans="16:16" x14ac:dyDescent="0.3">
      <c r="P368" s="162"/>
    </row>
    <row r="369" spans="16:16" x14ac:dyDescent="0.3">
      <c r="P369" s="162"/>
    </row>
    <row r="370" spans="16:16" x14ac:dyDescent="0.3">
      <c r="P370" s="163"/>
    </row>
    <row r="371" spans="16:16" x14ac:dyDescent="0.3">
      <c r="P371" s="161"/>
    </row>
    <row r="372" spans="16:16" x14ac:dyDescent="0.3">
      <c r="P372" s="162"/>
    </row>
    <row r="373" spans="16:16" x14ac:dyDescent="0.3">
      <c r="P373" s="162"/>
    </row>
    <row r="374" spans="16:16" x14ac:dyDescent="0.3">
      <c r="P374" s="163"/>
    </row>
    <row r="375" spans="16:16" x14ac:dyDescent="0.3">
      <c r="P375" s="161"/>
    </row>
    <row r="376" spans="16:16" x14ac:dyDescent="0.3">
      <c r="P376" s="162"/>
    </row>
    <row r="377" spans="16:16" x14ac:dyDescent="0.3">
      <c r="P377" s="162"/>
    </row>
    <row r="378" spans="16:16" x14ac:dyDescent="0.3">
      <c r="P378" s="163"/>
    </row>
    <row r="379" spans="16:16" x14ac:dyDescent="0.3">
      <c r="P379" s="161"/>
    </row>
    <row r="380" spans="16:16" x14ac:dyDescent="0.3">
      <c r="P380" s="162"/>
    </row>
    <row r="381" spans="16:16" x14ac:dyDescent="0.3">
      <c r="P381" s="162"/>
    </row>
    <row r="382" spans="16:16" x14ac:dyDescent="0.3">
      <c r="P382" s="163"/>
    </row>
    <row r="383" spans="16:16" x14ac:dyDescent="0.3">
      <c r="P383" s="161"/>
    </row>
    <row r="384" spans="16:16" x14ac:dyDescent="0.3">
      <c r="P384" s="162"/>
    </row>
    <row r="385" spans="16:16" x14ac:dyDescent="0.3">
      <c r="P385" s="162"/>
    </row>
    <row r="386" spans="16:16" x14ac:dyDescent="0.3">
      <c r="P386" s="163"/>
    </row>
    <row r="387" spans="16:16" x14ac:dyDescent="0.3">
      <c r="P387" s="161"/>
    </row>
    <row r="388" spans="16:16" x14ac:dyDescent="0.3">
      <c r="P388" s="162"/>
    </row>
    <row r="389" spans="16:16" x14ac:dyDescent="0.3">
      <c r="P389" s="162"/>
    </row>
    <row r="390" spans="16:16" x14ac:dyDescent="0.3">
      <c r="P390" s="163"/>
    </row>
    <row r="391" spans="16:16" x14ac:dyDescent="0.3">
      <c r="P391" s="161"/>
    </row>
    <row r="392" spans="16:16" x14ac:dyDescent="0.3">
      <c r="P392" s="162"/>
    </row>
    <row r="393" spans="16:16" x14ac:dyDescent="0.3">
      <c r="P393" s="162"/>
    </row>
    <row r="394" spans="16:16" x14ac:dyDescent="0.3">
      <c r="P394" s="163"/>
    </row>
    <row r="395" spans="16:16" x14ac:dyDescent="0.3">
      <c r="P395" s="161"/>
    </row>
    <row r="396" spans="16:16" x14ac:dyDescent="0.3">
      <c r="P396" s="162"/>
    </row>
    <row r="397" spans="16:16" x14ac:dyDescent="0.3">
      <c r="P397" s="162"/>
    </row>
    <row r="398" spans="16:16" x14ac:dyDescent="0.3">
      <c r="P398" s="163"/>
    </row>
    <row r="399" spans="16:16" x14ac:dyDescent="0.3">
      <c r="P399" s="161"/>
    </row>
    <row r="400" spans="16:16" x14ac:dyDescent="0.3">
      <c r="P400" s="162"/>
    </row>
    <row r="401" spans="16:16" x14ac:dyDescent="0.3">
      <c r="P401" s="162"/>
    </row>
    <row r="402" spans="16:16" x14ac:dyDescent="0.3">
      <c r="P402" s="163"/>
    </row>
    <row r="403" spans="16:16" x14ac:dyDescent="0.3">
      <c r="P403" s="161"/>
    </row>
    <row r="404" spans="16:16" x14ac:dyDescent="0.3">
      <c r="P404" s="162"/>
    </row>
    <row r="405" spans="16:16" x14ac:dyDescent="0.3">
      <c r="P405" s="162"/>
    </row>
    <row r="406" spans="16:16" x14ac:dyDescent="0.3">
      <c r="P406" s="163"/>
    </row>
    <row r="407" spans="16:16" x14ac:dyDescent="0.3">
      <c r="P407" s="161"/>
    </row>
    <row r="408" spans="16:16" x14ac:dyDescent="0.3">
      <c r="P408" s="162"/>
    </row>
    <row r="409" spans="16:16" x14ac:dyDescent="0.3">
      <c r="P409" s="162"/>
    </row>
    <row r="410" spans="16:16" x14ac:dyDescent="0.3">
      <c r="P410" s="163"/>
    </row>
    <row r="411" spans="16:16" x14ac:dyDescent="0.3">
      <c r="P411" s="161"/>
    </row>
    <row r="412" spans="16:16" x14ac:dyDescent="0.3">
      <c r="P412" s="162"/>
    </row>
    <row r="413" spans="16:16" x14ac:dyDescent="0.3">
      <c r="P413" s="162"/>
    </row>
    <row r="414" spans="16:16" x14ac:dyDescent="0.3">
      <c r="P414" s="163"/>
    </row>
    <row r="415" spans="16:16" x14ac:dyDescent="0.3">
      <c r="P415" s="161"/>
    </row>
    <row r="416" spans="16:16" x14ac:dyDescent="0.3">
      <c r="P416" s="162"/>
    </row>
    <row r="417" spans="16:16" x14ac:dyDescent="0.3">
      <c r="P417" s="162"/>
    </row>
    <row r="418" spans="16:16" x14ac:dyDescent="0.3">
      <c r="P418" s="163"/>
    </row>
    <row r="419" spans="16:16" x14ac:dyDescent="0.3">
      <c r="P419" s="161"/>
    </row>
    <row r="420" spans="16:16" x14ac:dyDescent="0.3">
      <c r="P420" s="162"/>
    </row>
    <row r="421" spans="16:16" x14ac:dyDescent="0.3">
      <c r="P421" s="162"/>
    </row>
    <row r="422" spans="16:16" x14ac:dyDescent="0.3">
      <c r="P422" s="163"/>
    </row>
    <row r="423" spans="16:16" x14ac:dyDescent="0.3">
      <c r="P423" s="161"/>
    </row>
    <row r="424" spans="16:16" x14ac:dyDescent="0.3">
      <c r="P424" s="162"/>
    </row>
    <row r="425" spans="16:16" x14ac:dyDescent="0.3">
      <c r="P425" s="162"/>
    </row>
    <row r="426" spans="16:16" x14ac:dyDescent="0.3">
      <c r="P426" s="163"/>
    </row>
    <row r="427" spans="16:16" x14ac:dyDescent="0.3">
      <c r="P427" s="161"/>
    </row>
    <row r="428" spans="16:16" x14ac:dyDescent="0.3">
      <c r="P428" s="162"/>
    </row>
    <row r="429" spans="16:16" x14ac:dyDescent="0.3">
      <c r="P429" s="162"/>
    </row>
    <row r="430" spans="16:16" x14ac:dyDescent="0.3">
      <c r="P430" s="163"/>
    </row>
    <row r="431" spans="16:16" x14ac:dyDescent="0.3">
      <c r="P431" s="161"/>
    </row>
    <row r="432" spans="16:16" x14ac:dyDescent="0.3">
      <c r="P432" s="162"/>
    </row>
    <row r="433" spans="16:16" x14ac:dyDescent="0.3">
      <c r="P433" s="162"/>
    </row>
    <row r="434" spans="16:16" x14ac:dyDescent="0.3">
      <c r="P434" s="163"/>
    </row>
    <row r="435" spans="16:16" x14ac:dyDescent="0.3">
      <c r="P435" s="161"/>
    </row>
    <row r="436" spans="16:16" x14ac:dyDescent="0.3">
      <c r="P436" s="162"/>
    </row>
    <row r="437" spans="16:16" x14ac:dyDescent="0.3">
      <c r="P437" s="162"/>
    </row>
    <row r="438" spans="16:16" x14ac:dyDescent="0.3">
      <c r="P438" s="163"/>
    </row>
    <row r="439" spans="16:16" x14ac:dyDescent="0.3">
      <c r="P439" s="161"/>
    </row>
    <row r="440" spans="16:16" x14ac:dyDescent="0.3">
      <c r="P440" s="162"/>
    </row>
    <row r="441" spans="16:16" x14ac:dyDescent="0.3">
      <c r="P441" s="162"/>
    </row>
    <row r="442" spans="16:16" x14ac:dyDescent="0.3">
      <c r="P442" s="163"/>
    </row>
    <row r="443" spans="16:16" x14ac:dyDescent="0.3">
      <c r="P443" s="161"/>
    </row>
    <row r="444" spans="16:16" x14ac:dyDescent="0.3">
      <c r="P444" s="162"/>
    </row>
    <row r="445" spans="16:16" x14ac:dyDescent="0.3">
      <c r="P445" s="162"/>
    </row>
    <row r="446" spans="16:16" x14ac:dyDescent="0.3">
      <c r="P446" s="163"/>
    </row>
    <row r="447" spans="16:16" x14ac:dyDescent="0.3">
      <c r="P447" s="161"/>
    </row>
    <row r="448" spans="16:16" x14ac:dyDescent="0.3">
      <c r="P448" s="162"/>
    </row>
    <row r="449" spans="16:16" x14ac:dyDescent="0.3">
      <c r="P449" s="162"/>
    </row>
    <row r="450" spans="16:16" x14ac:dyDescent="0.3">
      <c r="P450" s="163"/>
    </row>
    <row r="451" spans="16:16" x14ac:dyDescent="0.3">
      <c r="P451" s="161"/>
    </row>
    <row r="452" spans="16:16" x14ac:dyDescent="0.3">
      <c r="P452" s="162"/>
    </row>
    <row r="453" spans="16:16" x14ac:dyDescent="0.3">
      <c r="P453" s="162"/>
    </row>
    <row r="454" spans="16:16" x14ac:dyDescent="0.3">
      <c r="P454" s="163"/>
    </row>
    <row r="455" spans="16:16" x14ac:dyDescent="0.3">
      <c r="P455" s="161"/>
    </row>
    <row r="456" spans="16:16" x14ac:dyDescent="0.3">
      <c r="P456" s="162"/>
    </row>
    <row r="457" spans="16:16" x14ac:dyDescent="0.3">
      <c r="P457" s="162"/>
    </row>
    <row r="458" spans="16:16" x14ac:dyDescent="0.3">
      <c r="P458" s="163"/>
    </row>
    <row r="459" spans="16:16" x14ac:dyDescent="0.3">
      <c r="P459" s="161"/>
    </row>
    <row r="460" spans="16:16" x14ac:dyDescent="0.3">
      <c r="P460" s="162"/>
    </row>
    <row r="461" spans="16:16" x14ac:dyDescent="0.3">
      <c r="P461" s="162"/>
    </row>
    <row r="462" spans="16:16" x14ac:dyDescent="0.3">
      <c r="P462" s="163"/>
    </row>
    <row r="463" spans="16:16" x14ac:dyDescent="0.3">
      <c r="P463" s="161"/>
    </row>
    <row r="464" spans="16:16" x14ac:dyDescent="0.3">
      <c r="P464" s="162"/>
    </row>
    <row r="465" spans="16:16" x14ac:dyDescent="0.3">
      <c r="P465" s="162"/>
    </row>
    <row r="466" spans="16:16" x14ac:dyDescent="0.3">
      <c r="P466" s="163"/>
    </row>
    <row r="467" spans="16:16" x14ac:dyDescent="0.3">
      <c r="P467" s="161"/>
    </row>
    <row r="468" spans="16:16" x14ac:dyDescent="0.3">
      <c r="P468" s="162"/>
    </row>
    <row r="469" spans="16:16" x14ac:dyDescent="0.3">
      <c r="P469" s="162"/>
    </row>
    <row r="470" spans="16:16" x14ac:dyDescent="0.3">
      <c r="P470" s="163"/>
    </row>
    <row r="471" spans="16:16" x14ac:dyDescent="0.3">
      <c r="P471" s="161"/>
    </row>
    <row r="472" spans="16:16" x14ac:dyDescent="0.3">
      <c r="P472" s="162"/>
    </row>
    <row r="473" spans="16:16" x14ac:dyDescent="0.3">
      <c r="P473" s="162"/>
    </row>
    <row r="474" spans="16:16" x14ac:dyDescent="0.3">
      <c r="P474" s="163"/>
    </row>
    <row r="475" spans="16:16" x14ac:dyDescent="0.3">
      <c r="P475" s="161"/>
    </row>
    <row r="476" spans="16:16" x14ac:dyDescent="0.3">
      <c r="P476" s="162"/>
    </row>
    <row r="477" spans="16:16" x14ac:dyDescent="0.3">
      <c r="P477" s="162"/>
    </row>
    <row r="478" spans="16:16" x14ac:dyDescent="0.3">
      <c r="P478" s="163"/>
    </row>
    <row r="479" spans="16:16" x14ac:dyDescent="0.3">
      <c r="P479" s="161"/>
    </row>
    <row r="480" spans="16:16" x14ac:dyDescent="0.3">
      <c r="P480" s="162"/>
    </row>
    <row r="481" spans="16:16" x14ac:dyDescent="0.3">
      <c r="P481" s="162"/>
    </row>
    <row r="482" spans="16:16" x14ac:dyDescent="0.3">
      <c r="P482" s="163"/>
    </row>
    <row r="483" spans="16:16" x14ac:dyDescent="0.3">
      <c r="P483" s="161"/>
    </row>
    <row r="484" spans="16:16" x14ac:dyDescent="0.3">
      <c r="P484" s="162"/>
    </row>
    <row r="485" spans="16:16" x14ac:dyDescent="0.3">
      <c r="P485" s="162"/>
    </row>
    <row r="486" spans="16:16" x14ac:dyDescent="0.3">
      <c r="P486" s="163"/>
    </row>
    <row r="487" spans="16:16" x14ac:dyDescent="0.3">
      <c r="P487" s="165"/>
    </row>
    <row r="488" spans="16:16" x14ac:dyDescent="0.3">
      <c r="P488" s="166"/>
    </row>
    <row r="489" spans="16:16" x14ac:dyDescent="0.3">
      <c r="P489" s="166"/>
    </row>
    <row r="490" spans="16:16" x14ac:dyDescent="0.3">
      <c r="P490" s="167"/>
    </row>
    <row r="491" spans="16:16" x14ac:dyDescent="0.3">
      <c r="P491" s="161"/>
    </row>
    <row r="492" spans="16:16" x14ac:dyDescent="0.3">
      <c r="P492" s="162"/>
    </row>
    <row r="493" spans="16:16" x14ac:dyDescent="0.3">
      <c r="P493" s="162"/>
    </row>
    <row r="494" spans="16:16" x14ac:dyDescent="0.3">
      <c r="P494" s="163"/>
    </row>
    <row r="495" spans="16:16" x14ac:dyDescent="0.3">
      <c r="P495" s="161"/>
    </row>
    <row r="496" spans="16:16" x14ac:dyDescent="0.3">
      <c r="P496" s="162"/>
    </row>
    <row r="497" spans="16:16" x14ac:dyDescent="0.3">
      <c r="P497" s="162"/>
    </row>
    <row r="498" spans="16:16" x14ac:dyDescent="0.3">
      <c r="P498" s="163"/>
    </row>
    <row r="499" spans="16:16" x14ac:dyDescent="0.3">
      <c r="P499" s="161"/>
    </row>
    <row r="500" spans="16:16" x14ac:dyDescent="0.3">
      <c r="P500" s="162"/>
    </row>
    <row r="501" spans="16:16" x14ac:dyDescent="0.3">
      <c r="P501" s="162"/>
    </row>
    <row r="502" spans="16:16" x14ac:dyDescent="0.3">
      <c r="P502" s="163"/>
    </row>
    <row r="503" spans="16:16" x14ac:dyDescent="0.3">
      <c r="P503" s="161"/>
    </row>
    <row r="504" spans="16:16" x14ac:dyDescent="0.3">
      <c r="P504" s="162"/>
    </row>
    <row r="505" spans="16:16" x14ac:dyDescent="0.3">
      <c r="P505" s="162"/>
    </row>
    <row r="506" spans="16:16" x14ac:dyDescent="0.3">
      <c r="P506" s="163"/>
    </row>
    <row r="507" spans="16:16" x14ac:dyDescent="0.3">
      <c r="P507" s="161"/>
    </row>
    <row r="508" spans="16:16" x14ac:dyDescent="0.3">
      <c r="P508" s="162"/>
    </row>
    <row r="509" spans="16:16" x14ac:dyDescent="0.3">
      <c r="P509" s="162"/>
    </row>
    <row r="510" spans="16:16" x14ac:dyDescent="0.3">
      <c r="P510" s="163"/>
    </row>
    <row r="511" spans="16:16" x14ac:dyDescent="0.3">
      <c r="P511" s="161"/>
    </row>
    <row r="512" spans="16:16" x14ac:dyDescent="0.3">
      <c r="P512" s="162"/>
    </row>
    <row r="513" spans="16:16" x14ac:dyDescent="0.3">
      <c r="P513" s="162"/>
    </row>
    <row r="514" spans="16:16" x14ac:dyDescent="0.3">
      <c r="P514" s="163"/>
    </row>
    <row r="515" spans="16:16" x14ac:dyDescent="0.3">
      <c r="P515" s="161"/>
    </row>
    <row r="516" spans="16:16" x14ac:dyDescent="0.3">
      <c r="P516" s="162"/>
    </row>
    <row r="517" spans="16:16" x14ac:dyDescent="0.3">
      <c r="P517" s="162"/>
    </row>
    <row r="518" spans="16:16" x14ac:dyDescent="0.3">
      <c r="P518" s="163"/>
    </row>
    <row r="519" spans="16:16" x14ac:dyDescent="0.3">
      <c r="P519" s="165"/>
    </row>
    <row r="520" spans="16:16" x14ac:dyDescent="0.3">
      <c r="P520" s="166"/>
    </row>
    <row r="521" spans="16:16" x14ac:dyDescent="0.3">
      <c r="P521" s="166"/>
    </row>
    <row r="522" spans="16:16" x14ac:dyDescent="0.3">
      <c r="P522" s="167"/>
    </row>
    <row r="523" spans="16:16" x14ac:dyDescent="0.3">
      <c r="P523" s="161"/>
    </row>
    <row r="524" spans="16:16" x14ac:dyDescent="0.3">
      <c r="P524" s="162"/>
    </row>
    <row r="525" spans="16:16" x14ac:dyDescent="0.3">
      <c r="P525" s="162"/>
    </row>
    <row r="526" spans="16:16" x14ac:dyDescent="0.3">
      <c r="P526" s="163"/>
    </row>
    <row r="527" spans="16:16" x14ac:dyDescent="0.3">
      <c r="P527" s="161"/>
    </row>
    <row r="528" spans="16:16" x14ac:dyDescent="0.3">
      <c r="P528" s="162"/>
    </row>
    <row r="529" spans="16:16" x14ac:dyDescent="0.3">
      <c r="P529" s="162"/>
    </row>
    <row r="530" spans="16:16" x14ac:dyDescent="0.3">
      <c r="P530" s="163"/>
    </row>
    <row r="531" spans="16:16" x14ac:dyDescent="0.3">
      <c r="P531" s="161"/>
    </row>
    <row r="532" spans="16:16" x14ac:dyDescent="0.3">
      <c r="P532" s="162"/>
    </row>
    <row r="533" spans="16:16" x14ac:dyDescent="0.3">
      <c r="P533" s="162"/>
    </row>
    <row r="534" spans="16:16" x14ac:dyDescent="0.3">
      <c r="P534" s="163"/>
    </row>
    <row r="535" spans="16:16" x14ac:dyDescent="0.3">
      <c r="P535" s="161"/>
    </row>
    <row r="536" spans="16:16" x14ac:dyDescent="0.3">
      <c r="P536" s="162"/>
    </row>
    <row r="537" spans="16:16" x14ac:dyDescent="0.3">
      <c r="P537" s="162"/>
    </row>
    <row r="538" spans="16:16" x14ac:dyDescent="0.3">
      <c r="P538" s="163"/>
    </row>
    <row r="539" spans="16:16" x14ac:dyDescent="0.3">
      <c r="P539" s="161"/>
    </row>
    <row r="540" spans="16:16" x14ac:dyDescent="0.3">
      <c r="P540" s="162"/>
    </row>
    <row r="541" spans="16:16" x14ac:dyDescent="0.3">
      <c r="P541" s="162"/>
    </row>
    <row r="542" spans="16:16" x14ac:dyDescent="0.3">
      <c r="P542" s="163"/>
    </row>
    <row r="543" spans="16:16" x14ac:dyDescent="0.3">
      <c r="P543" s="161"/>
    </row>
    <row r="544" spans="16:16" x14ac:dyDescent="0.3">
      <c r="P544" s="162"/>
    </row>
    <row r="545" spans="16:16" x14ac:dyDescent="0.3">
      <c r="P545" s="162"/>
    </row>
    <row r="546" spans="16:16" x14ac:dyDescent="0.3">
      <c r="P546" s="163"/>
    </row>
    <row r="547" spans="16:16" x14ac:dyDescent="0.3">
      <c r="P547" s="161"/>
    </row>
    <row r="548" spans="16:16" x14ac:dyDescent="0.3">
      <c r="P548" s="162"/>
    </row>
    <row r="549" spans="16:16" x14ac:dyDescent="0.3">
      <c r="P549" s="162"/>
    </row>
    <row r="550" spans="16:16" x14ac:dyDescent="0.3">
      <c r="P550" s="163"/>
    </row>
    <row r="551" spans="16:16" x14ac:dyDescent="0.3">
      <c r="P551" s="161"/>
    </row>
    <row r="552" spans="16:16" x14ac:dyDescent="0.3">
      <c r="P552" s="162"/>
    </row>
    <row r="553" spans="16:16" x14ac:dyDescent="0.3">
      <c r="P553" s="162"/>
    </row>
    <row r="554" spans="16:16" x14ac:dyDescent="0.3">
      <c r="P554" s="163"/>
    </row>
    <row r="555" spans="16:16" x14ac:dyDescent="0.3">
      <c r="P555" s="165"/>
    </row>
    <row r="556" spans="16:16" x14ac:dyDescent="0.3">
      <c r="P556" s="166"/>
    </row>
    <row r="557" spans="16:16" x14ac:dyDescent="0.3">
      <c r="P557" s="166"/>
    </row>
    <row r="558" spans="16:16" x14ac:dyDescent="0.3">
      <c r="P558" s="167"/>
    </row>
    <row r="559" spans="16:16" x14ac:dyDescent="0.3">
      <c r="P559" s="161"/>
    </row>
    <row r="560" spans="16:16" x14ac:dyDescent="0.3">
      <c r="P560" s="162"/>
    </row>
    <row r="561" spans="16:16" x14ac:dyDescent="0.3">
      <c r="P561" s="162"/>
    </row>
    <row r="562" spans="16:16" x14ac:dyDescent="0.3">
      <c r="P562" s="163"/>
    </row>
    <row r="563" spans="16:16" x14ac:dyDescent="0.3">
      <c r="P563" s="161"/>
    </row>
    <row r="564" spans="16:16" x14ac:dyDescent="0.3">
      <c r="P564" s="162"/>
    </row>
    <row r="565" spans="16:16" x14ac:dyDescent="0.3">
      <c r="P565" s="162"/>
    </row>
    <row r="566" spans="16:16" x14ac:dyDescent="0.3">
      <c r="P566" s="163"/>
    </row>
    <row r="567" spans="16:16" x14ac:dyDescent="0.3">
      <c r="P567" s="161"/>
    </row>
    <row r="568" spans="16:16" x14ac:dyDescent="0.3">
      <c r="P568" s="162"/>
    </row>
    <row r="569" spans="16:16" x14ac:dyDescent="0.3">
      <c r="P569" s="162"/>
    </row>
    <row r="570" spans="16:16" x14ac:dyDescent="0.3">
      <c r="P570" s="163"/>
    </row>
    <row r="571" spans="16:16" x14ac:dyDescent="0.3">
      <c r="P571" s="161"/>
    </row>
    <row r="572" spans="16:16" x14ac:dyDescent="0.3">
      <c r="P572" s="162"/>
    </row>
    <row r="573" spans="16:16" x14ac:dyDescent="0.3">
      <c r="P573" s="162"/>
    </row>
    <row r="574" spans="16:16" x14ac:dyDescent="0.3">
      <c r="P574" s="163"/>
    </row>
    <row r="575" spans="16:16" x14ac:dyDescent="0.3">
      <c r="P575" s="161"/>
    </row>
    <row r="576" spans="16:16" x14ac:dyDescent="0.3">
      <c r="P576" s="162"/>
    </row>
    <row r="577" spans="16:16" x14ac:dyDescent="0.3">
      <c r="P577" s="162"/>
    </row>
    <row r="578" spans="16:16" x14ac:dyDescent="0.3">
      <c r="P578" s="163"/>
    </row>
    <row r="579" spans="16:16" x14ac:dyDescent="0.3">
      <c r="P579" s="161"/>
    </row>
    <row r="580" spans="16:16" x14ac:dyDescent="0.3">
      <c r="P580" s="162"/>
    </row>
    <row r="581" spans="16:16" x14ac:dyDescent="0.3">
      <c r="P581" s="162"/>
    </row>
    <row r="582" spans="16:16" x14ac:dyDescent="0.3">
      <c r="P582" s="163"/>
    </row>
    <row r="583" spans="16:16" x14ac:dyDescent="0.3">
      <c r="P583" s="161"/>
    </row>
    <row r="584" spans="16:16" x14ac:dyDescent="0.3">
      <c r="P584" s="162"/>
    </row>
    <row r="585" spans="16:16" x14ac:dyDescent="0.3">
      <c r="P585" s="162"/>
    </row>
    <row r="586" spans="16:16" x14ac:dyDescent="0.3">
      <c r="P586" s="163"/>
    </row>
    <row r="587" spans="16:16" x14ac:dyDescent="0.3">
      <c r="P587" s="161"/>
    </row>
    <row r="588" spans="16:16" x14ac:dyDescent="0.3">
      <c r="P588" s="162"/>
    </row>
    <row r="589" spans="16:16" x14ac:dyDescent="0.3">
      <c r="P589" s="162"/>
    </row>
    <row r="590" spans="16:16" x14ac:dyDescent="0.3">
      <c r="P590" s="163"/>
    </row>
    <row r="591" spans="16:16" x14ac:dyDescent="0.3">
      <c r="P591" s="161"/>
    </row>
    <row r="592" spans="16:16" x14ac:dyDescent="0.3">
      <c r="P592" s="162"/>
    </row>
    <row r="593" spans="16:16" x14ac:dyDescent="0.3">
      <c r="P593" s="162"/>
    </row>
    <row r="594" spans="16:16" x14ac:dyDescent="0.3">
      <c r="P594" s="163"/>
    </row>
    <row r="595" spans="16:16" x14ac:dyDescent="0.3">
      <c r="P595" s="161"/>
    </row>
    <row r="596" spans="16:16" x14ac:dyDescent="0.3">
      <c r="P596" s="162"/>
    </row>
    <row r="597" spans="16:16" x14ac:dyDescent="0.3">
      <c r="P597" s="162"/>
    </row>
    <row r="598" spans="16:16" x14ac:dyDescent="0.3">
      <c r="P598" s="163"/>
    </row>
    <row r="599" spans="16:16" x14ac:dyDescent="0.3">
      <c r="P599" s="161"/>
    </row>
    <row r="600" spans="16:16" x14ac:dyDescent="0.3">
      <c r="P600" s="162"/>
    </row>
    <row r="601" spans="16:16" x14ac:dyDescent="0.3">
      <c r="P601" s="162"/>
    </row>
    <row r="602" spans="16:16" x14ac:dyDescent="0.3">
      <c r="P602" s="163"/>
    </row>
    <row r="603" spans="16:16" x14ac:dyDescent="0.3">
      <c r="P603" s="161"/>
    </row>
    <row r="604" spans="16:16" x14ac:dyDescent="0.3">
      <c r="P604" s="162"/>
    </row>
    <row r="605" spans="16:16" x14ac:dyDescent="0.3">
      <c r="P605" s="162"/>
    </row>
    <row r="606" spans="16:16" x14ac:dyDescent="0.3">
      <c r="P606" s="163"/>
    </row>
    <row r="607" spans="16:16" x14ac:dyDescent="0.3">
      <c r="P607" s="161"/>
    </row>
    <row r="608" spans="16:16" x14ac:dyDescent="0.3">
      <c r="P608" s="162"/>
    </row>
    <row r="609" spans="16:16" x14ac:dyDescent="0.3">
      <c r="P609" s="162"/>
    </row>
    <row r="610" spans="16:16" x14ac:dyDescent="0.3">
      <c r="P610" s="163"/>
    </row>
    <row r="611" spans="16:16" x14ac:dyDescent="0.3">
      <c r="P611" s="161"/>
    </row>
    <row r="612" spans="16:16" x14ac:dyDescent="0.3">
      <c r="P612" s="162"/>
    </row>
    <row r="613" spans="16:16" x14ac:dyDescent="0.3">
      <c r="P613" s="162"/>
    </row>
    <row r="614" spans="16:16" x14ac:dyDescent="0.3">
      <c r="P614" s="163"/>
    </row>
    <row r="615" spans="16:16" x14ac:dyDescent="0.3">
      <c r="P615" s="161"/>
    </row>
    <row r="616" spans="16:16" x14ac:dyDescent="0.3">
      <c r="P616" s="162"/>
    </row>
    <row r="617" spans="16:16" x14ac:dyDescent="0.3">
      <c r="P617" s="162"/>
    </row>
    <row r="618" spans="16:16" x14ac:dyDescent="0.3">
      <c r="P618" s="163"/>
    </row>
    <row r="619" spans="16:16" x14ac:dyDescent="0.3">
      <c r="P619" s="161"/>
    </row>
    <row r="620" spans="16:16" x14ac:dyDescent="0.3">
      <c r="P620" s="162"/>
    </row>
    <row r="621" spans="16:16" x14ac:dyDescent="0.3">
      <c r="P621" s="162"/>
    </row>
    <row r="622" spans="16:16" x14ac:dyDescent="0.3">
      <c r="P622" s="163"/>
    </row>
    <row r="623" spans="16:16" x14ac:dyDescent="0.3">
      <c r="P623" s="161"/>
    </row>
    <row r="624" spans="16:16" x14ac:dyDescent="0.3">
      <c r="P624" s="162"/>
    </row>
    <row r="625" spans="16:16" x14ac:dyDescent="0.3">
      <c r="P625" s="162"/>
    </row>
    <row r="626" spans="16:16" x14ac:dyDescent="0.3">
      <c r="P626" s="163"/>
    </row>
    <row r="627" spans="16:16" x14ac:dyDescent="0.3">
      <c r="P627" s="161"/>
    </row>
    <row r="628" spans="16:16" x14ac:dyDescent="0.3">
      <c r="P628" s="162"/>
    </row>
    <row r="629" spans="16:16" x14ac:dyDescent="0.3">
      <c r="P629" s="162"/>
    </row>
    <row r="630" spans="16:16" x14ac:dyDescent="0.3">
      <c r="P630" s="163"/>
    </row>
    <row r="631" spans="16:16" x14ac:dyDescent="0.3">
      <c r="P631" s="161"/>
    </row>
    <row r="632" spans="16:16" x14ac:dyDescent="0.3">
      <c r="P632" s="162"/>
    </row>
    <row r="633" spans="16:16" x14ac:dyDescent="0.3">
      <c r="P633" s="162"/>
    </row>
    <row r="634" spans="16:16" x14ac:dyDescent="0.3">
      <c r="P634" s="163"/>
    </row>
    <row r="635" spans="16:16" x14ac:dyDescent="0.3">
      <c r="P635" s="161"/>
    </row>
    <row r="636" spans="16:16" x14ac:dyDescent="0.3">
      <c r="P636" s="162"/>
    </row>
    <row r="637" spans="16:16" x14ac:dyDescent="0.3">
      <c r="P637" s="162"/>
    </row>
    <row r="638" spans="16:16" x14ac:dyDescent="0.3">
      <c r="P638" s="163"/>
    </row>
    <row r="639" spans="16:16" x14ac:dyDescent="0.3">
      <c r="P639" s="161"/>
    </row>
    <row r="640" spans="16:16" x14ac:dyDescent="0.3">
      <c r="P640" s="162"/>
    </row>
    <row r="641" spans="16:16" x14ac:dyDescent="0.3">
      <c r="P641" s="162"/>
    </row>
    <row r="642" spans="16:16" x14ac:dyDescent="0.3">
      <c r="P642" s="163"/>
    </row>
    <row r="643" spans="16:16" x14ac:dyDescent="0.3">
      <c r="P643" s="161"/>
    </row>
    <row r="644" spans="16:16" x14ac:dyDescent="0.3">
      <c r="P644" s="162"/>
    </row>
    <row r="645" spans="16:16" x14ac:dyDescent="0.3">
      <c r="P645" s="162"/>
    </row>
    <row r="646" spans="16:16" x14ac:dyDescent="0.3">
      <c r="P646" s="163"/>
    </row>
    <row r="647" spans="16:16" x14ac:dyDescent="0.3">
      <c r="P647" s="161"/>
    </row>
    <row r="648" spans="16:16" x14ac:dyDescent="0.3">
      <c r="P648" s="162"/>
    </row>
    <row r="649" spans="16:16" x14ac:dyDescent="0.3">
      <c r="P649" s="162"/>
    </row>
    <row r="650" spans="16:16" x14ac:dyDescent="0.3">
      <c r="P650" s="163"/>
    </row>
    <row r="651" spans="16:16" x14ac:dyDescent="0.3">
      <c r="P651" s="161"/>
    </row>
    <row r="652" spans="16:16" x14ac:dyDescent="0.3">
      <c r="P652" s="162"/>
    </row>
    <row r="653" spans="16:16" x14ac:dyDescent="0.3">
      <c r="P653" s="162"/>
    </row>
    <row r="654" spans="16:16" x14ac:dyDescent="0.3">
      <c r="P654" s="163"/>
    </row>
    <row r="655" spans="16:16" x14ac:dyDescent="0.3">
      <c r="P655" s="161"/>
    </row>
    <row r="656" spans="16:16" x14ac:dyDescent="0.3">
      <c r="P656" s="162"/>
    </row>
    <row r="657" spans="16:16" x14ac:dyDescent="0.3">
      <c r="P657" s="162"/>
    </row>
    <row r="658" spans="16:16" x14ac:dyDescent="0.3">
      <c r="P658" s="163"/>
    </row>
    <row r="659" spans="16:16" x14ac:dyDescent="0.3">
      <c r="P659" s="161"/>
    </row>
    <row r="660" spans="16:16" x14ac:dyDescent="0.3">
      <c r="P660" s="162"/>
    </row>
    <row r="661" spans="16:16" x14ac:dyDescent="0.3">
      <c r="P661" s="162"/>
    </row>
    <row r="662" spans="16:16" x14ac:dyDescent="0.3">
      <c r="P662" s="163"/>
    </row>
    <row r="663" spans="16:16" x14ac:dyDescent="0.3">
      <c r="P663" s="161"/>
    </row>
    <row r="664" spans="16:16" x14ac:dyDescent="0.3">
      <c r="P664" s="162"/>
    </row>
    <row r="665" spans="16:16" x14ac:dyDescent="0.3">
      <c r="P665" s="162"/>
    </row>
    <row r="666" spans="16:16" x14ac:dyDescent="0.3">
      <c r="P666" s="163"/>
    </row>
    <row r="667" spans="16:16" x14ac:dyDescent="0.3">
      <c r="P667" s="161"/>
    </row>
    <row r="668" spans="16:16" x14ac:dyDescent="0.3">
      <c r="P668" s="162"/>
    </row>
    <row r="669" spans="16:16" x14ac:dyDescent="0.3">
      <c r="P669" s="162"/>
    </row>
    <row r="670" spans="16:16" x14ac:dyDescent="0.3">
      <c r="P670" s="163"/>
    </row>
    <row r="671" spans="16:16" x14ac:dyDescent="0.3">
      <c r="P671" s="161"/>
    </row>
    <row r="672" spans="16:16" x14ac:dyDescent="0.3">
      <c r="P672" s="162"/>
    </row>
    <row r="673" spans="16:16" x14ac:dyDescent="0.3">
      <c r="P673" s="162"/>
    </row>
    <row r="674" spans="16:16" x14ac:dyDescent="0.3">
      <c r="P674" s="163"/>
    </row>
    <row r="675" spans="16:16" x14ac:dyDescent="0.3">
      <c r="P675" s="161"/>
    </row>
    <row r="676" spans="16:16" x14ac:dyDescent="0.3">
      <c r="P676" s="162"/>
    </row>
    <row r="677" spans="16:16" x14ac:dyDescent="0.3">
      <c r="P677" s="162"/>
    </row>
    <row r="678" spans="16:16" x14ac:dyDescent="0.3">
      <c r="P678" s="163"/>
    </row>
    <row r="679" spans="16:16" x14ac:dyDescent="0.3">
      <c r="P679" s="161"/>
    </row>
    <row r="680" spans="16:16" x14ac:dyDescent="0.3">
      <c r="P680" s="162"/>
    </row>
    <row r="681" spans="16:16" x14ac:dyDescent="0.3">
      <c r="P681" s="162"/>
    </row>
    <row r="682" spans="16:16" x14ac:dyDescent="0.3">
      <c r="P682" s="163"/>
    </row>
    <row r="683" spans="16:16" x14ac:dyDescent="0.3">
      <c r="P683" s="161"/>
    </row>
    <row r="684" spans="16:16" x14ac:dyDescent="0.3">
      <c r="P684" s="162"/>
    </row>
    <row r="685" spans="16:16" x14ac:dyDescent="0.3">
      <c r="P685" s="162"/>
    </row>
    <row r="686" spans="16:16" x14ac:dyDescent="0.3">
      <c r="P686" s="163"/>
    </row>
    <row r="687" spans="16:16" x14ac:dyDescent="0.3">
      <c r="P687" s="161"/>
    </row>
    <row r="688" spans="16:16" x14ac:dyDescent="0.3">
      <c r="P688" s="162"/>
    </row>
    <row r="689" spans="16:16" x14ac:dyDescent="0.3">
      <c r="P689" s="162"/>
    </row>
    <row r="690" spans="16:16" x14ac:dyDescent="0.3">
      <c r="P690" s="163"/>
    </row>
    <row r="691" spans="16:16" x14ac:dyDescent="0.3">
      <c r="P691" s="161"/>
    </row>
    <row r="692" spans="16:16" x14ac:dyDescent="0.3">
      <c r="P692" s="162"/>
    </row>
    <row r="693" spans="16:16" x14ac:dyDescent="0.3">
      <c r="P693" s="162"/>
    </row>
    <row r="694" spans="16:16" x14ac:dyDescent="0.3">
      <c r="P694" s="163"/>
    </row>
    <row r="695" spans="16:16" x14ac:dyDescent="0.3">
      <c r="P695" s="161"/>
    </row>
    <row r="696" spans="16:16" x14ac:dyDescent="0.3">
      <c r="P696" s="162"/>
    </row>
    <row r="697" spans="16:16" x14ac:dyDescent="0.3">
      <c r="P697" s="162"/>
    </row>
    <row r="698" spans="16:16" x14ac:dyDescent="0.3">
      <c r="P698" s="163"/>
    </row>
    <row r="699" spans="16:16" x14ac:dyDescent="0.3">
      <c r="P699" s="161"/>
    </row>
    <row r="700" spans="16:16" x14ac:dyDescent="0.3">
      <c r="P700" s="162"/>
    </row>
    <row r="701" spans="16:16" x14ac:dyDescent="0.3">
      <c r="P701" s="162"/>
    </row>
    <row r="702" spans="16:16" x14ac:dyDescent="0.3">
      <c r="P702" s="163"/>
    </row>
    <row r="703" spans="16:16" x14ac:dyDescent="0.3">
      <c r="P703" s="161"/>
    </row>
    <row r="704" spans="16:16" x14ac:dyDescent="0.3">
      <c r="P704" s="162"/>
    </row>
    <row r="705" spans="16:16" x14ac:dyDescent="0.3">
      <c r="P705" s="162"/>
    </row>
    <row r="706" spans="16:16" x14ac:dyDescent="0.3">
      <c r="P706" s="163"/>
    </row>
    <row r="707" spans="16:16" x14ac:dyDescent="0.3">
      <c r="P707" s="165"/>
    </row>
    <row r="708" spans="16:16" x14ac:dyDescent="0.3">
      <c r="P708" s="166"/>
    </row>
    <row r="709" spans="16:16" x14ac:dyDescent="0.3">
      <c r="P709" s="166"/>
    </row>
    <row r="710" spans="16:16" x14ac:dyDescent="0.3">
      <c r="P710" s="167"/>
    </row>
    <row r="711" spans="16:16" x14ac:dyDescent="0.3">
      <c r="P711" s="161"/>
    </row>
    <row r="712" spans="16:16" x14ac:dyDescent="0.3">
      <c r="P712" s="162"/>
    </row>
    <row r="713" spans="16:16" x14ac:dyDescent="0.3">
      <c r="P713" s="162"/>
    </row>
    <row r="714" spans="16:16" x14ac:dyDescent="0.3">
      <c r="P714" s="163"/>
    </row>
    <row r="715" spans="16:16" x14ac:dyDescent="0.3">
      <c r="P715" s="161"/>
    </row>
    <row r="716" spans="16:16" x14ac:dyDescent="0.3">
      <c r="P716" s="162"/>
    </row>
    <row r="717" spans="16:16" x14ac:dyDescent="0.3">
      <c r="P717" s="162"/>
    </row>
    <row r="718" spans="16:16" x14ac:dyDescent="0.3">
      <c r="P718" s="163"/>
    </row>
    <row r="719" spans="16:16" x14ac:dyDescent="0.3">
      <c r="P719" s="161"/>
    </row>
    <row r="720" spans="16:16" x14ac:dyDescent="0.3">
      <c r="P720" s="162"/>
    </row>
    <row r="721" spans="16:16" x14ac:dyDescent="0.3">
      <c r="P721" s="162"/>
    </row>
    <row r="722" spans="16:16" x14ac:dyDescent="0.3">
      <c r="P722" s="163"/>
    </row>
    <row r="723" spans="16:16" x14ac:dyDescent="0.3">
      <c r="P723" s="161"/>
    </row>
    <row r="724" spans="16:16" x14ac:dyDescent="0.3">
      <c r="P724" s="162"/>
    </row>
    <row r="725" spans="16:16" x14ac:dyDescent="0.3">
      <c r="P725" s="162"/>
    </row>
    <row r="726" spans="16:16" x14ac:dyDescent="0.3">
      <c r="P726" s="163"/>
    </row>
    <row r="727" spans="16:16" x14ac:dyDescent="0.3">
      <c r="P727" s="161"/>
    </row>
    <row r="728" spans="16:16" x14ac:dyDescent="0.3">
      <c r="P728" s="162"/>
    </row>
    <row r="729" spans="16:16" x14ac:dyDescent="0.3">
      <c r="P729" s="162"/>
    </row>
    <row r="730" spans="16:16" x14ac:dyDescent="0.3">
      <c r="P730" s="163"/>
    </row>
    <row r="731" spans="16:16" x14ac:dyDescent="0.3">
      <c r="P731" s="161"/>
    </row>
    <row r="732" spans="16:16" x14ac:dyDescent="0.3">
      <c r="P732" s="162"/>
    </row>
    <row r="733" spans="16:16" x14ac:dyDescent="0.3">
      <c r="P733" s="162"/>
    </row>
    <row r="734" spans="16:16" x14ac:dyDescent="0.3">
      <c r="P734" s="163"/>
    </row>
    <row r="735" spans="16:16" x14ac:dyDescent="0.3">
      <c r="P735" s="161"/>
    </row>
    <row r="736" spans="16:16" x14ac:dyDescent="0.3">
      <c r="P736" s="162"/>
    </row>
    <row r="737" spans="16:16" x14ac:dyDescent="0.3">
      <c r="P737" s="162"/>
    </row>
    <row r="738" spans="16:16" x14ac:dyDescent="0.3">
      <c r="P738" s="163"/>
    </row>
    <row r="739" spans="16:16" x14ac:dyDescent="0.3">
      <c r="P739" s="161"/>
    </row>
    <row r="740" spans="16:16" x14ac:dyDescent="0.3">
      <c r="P740" s="162"/>
    </row>
    <row r="741" spans="16:16" x14ac:dyDescent="0.3">
      <c r="P741" s="162"/>
    </row>
    <row r="742" spans="16:16" x14ac:dyDescent="0.3">
      <c r="P742" s="163"/>
    </row>
    <row r="743" spans="16:16" x14ac:dyDescent="0.3">
      <c r="P743" s="161"/>
    </row>
    <row r="744" spans="16:16" x14ac:dyDescent="0.3">
      <c r="P744" s="162"/>
    </row>
    <row r="745" spans="16:16" x14ac:dyDescent="0.3">
      <c r="P745" s="162"/>
    </row>
    <row r="746" spans="16:16" x14ac:dyDescent="0.3">
      <c r="P746" s="163"/>
    </row>
    <row r="747" spans="16:16" x14ac:dyDescent="0.3">
      <c r="P747" s="161"/>
    </row>
    <row r="748" spans="16:16" x14ac:dyDescent="0.3">
      <c r="P748" s="162"/>
    </row>
    <row r="749" spans="16:16" x14ac:dyDescent="0.3">
      <c r="P749" s="162"/>
    </row>
    <row r="750" spans="16:16" x14ac:dyDescent="0.3">
      <c r="P750" s="163"/>
    </row>
    <row r="751" spans="16:16" x14ac:dyDescent="0.3">
      <c r="P751" s="161"/>
    </row>
    <row r="752" spans="16:16" x14ac:dyDescent="0.3">
      <c r="P752" s="162"/>
    </row>
    <row r="753" spans="16:16" x14ac:dyDescent="0.3">
      <c r="P753" s="162"/>
    </row>
    <row r="754" spans="16:16" x14ac:dyDescent="0.3">
      <c r="P754" s="163"/>
    </row>
    <row r="755" spans="16:16" x14ac:dyDescent="0.3">
      <c r="P755" s="161"/>
    </row>
    <row r="756" spans="16:16" x14ac:dyDescent="0.3">
      <c r="P756" s="162"/>
    </row>
    <row r="757" spans="16:16" x14ac:dyDescent="0.3">
      <c r="P757" s="162"/>
    </row>
    <row r="758" spans="16:16" x14ac:dyDescent="0.3">
      <c r="P758" s="163"/>
    </row>
    <row r="759" spans="16:16" x14ac:dyDescent="0.3">
      <c r="P759" s="161"/>
    </row>
    <row r="760" spans="16:16" x14ac:dyDescent="0.3">
      <c r="P760" s="162"/>
    </row>
    <row r="761" spans="16:16" x14ac:dyDescent="0.3">
      <c r="P761" s="162"/>
    </row>
    <row r="762" spans="16:16" x14ac:dyDescent="0.3">
      <c r="P762" s="163"/>
    </row>
    <row r="763" spans="16:16" x14ac:dyDescent="0.3">
      <c r="P763" s="161"/>
    </row>
    <row r="764" spans="16:16" x14ac:dyDescent="0.3">
      <c r="P764" s="162"/>
    </row>
    <row r="765" spans="16:16" x14ac:dyDescent="0.3">
      <c r="P765" s="162"/>
    </row>
    <row r="766" spans="16:16" x14ac:dyDescent="0.3">
      <c r="P766" s="163"/>
    </row>
    <row r="767" spans="16:16" x14ac:dyDescent="0.3">
      <c r="P767" s="161"/>
    </row>
    <row r="768" spans="16:16" x14ac:dyDescent="0.3">
      <c r="P768" s="162"/>
    </row>
    <row r="769" spans="16:16" x14ac:dyDescent="0.3">
      <c r="P769" s="162"/>
    </row>
    <row r="770" spans="16:16" x14ac:dyDescent="0.3">
      <c r="P770" s="163"/>
    </row>
    <row r="771" spans="16:16" x14ac:dyDescent="0.3">
      <c r="P771" s="161"/>
    </row>
    <row r="772" spans="16:16" x14ac:dyDescent="0.3">
      <c r="P772" s="162"/>
    </row>
    <row r="773" spans="16:16" x14ac:dyDescent="0.3">
      <c r="P773" s="162"/>
    </row>
    <row r="774" spans="16:16" x14ac:dyDescent="0.3">
      <c r="P774" s="163"/>
    </row>
    <row r="775" spans="16:16" x14ac:dyDescent="0.3">
      <c r="P775" s="161"/>
    </row>
    <row r="776" spans="16:16" x14ac:dyDescent="0.3">
      <c r="P776" s="162"/>
    </row>
    <row r="777" spans="16:16" x14ac:dyDescent="0.3">
      <c r="P777" s="162"/>
    </row>
    <row r="778" spans="16:16" x14ac:dyDescent="0.3">
      <c r="P778" s="163"/>
    </row>
    <row r="779" spans="16:16" x14ac:dyDescent="0.3">
      <c r="P779" s="161"/>
    </row>
    <row r="780" spans="16:16" x14ac:dyDescent="0.3">
      <c r="P780" s="162"/>
    </row>
    <row r="781" spans="16:16" x14ac:dyDescent="0.3">
      <c r="P781" s="162"/>
    </row>
    <row r="782" spans="16:16" x14ac:dyDescent="0.3">
      <c r="P782" s="163"/>
    </row>
    <row r="783" spans="16:16" x14ac:dyDescent="0.3">
      <c r="P783" s="161"/>
    </row>
    <row r="784" spans="16:16" x14ac:dyDescent="0.3">
      <c r="P784" s="162"/>
    </row>
    <row r="785" spans="16:16" x14ac:dyDescent="0.3">
      <c r="P785" s="162"/>
    </row>
    <row r="786" spans="16:16" x14ac:dyDescent="0.3">
      <c r="P786" s="163"/>
    </row>
    <row r="787" spans="16:16" x14ac:dyDescent="0.3">
      <c r="P787" s="161"/>
    </row>
    <row r="788" spans="16:16" x14ac:dyDescent="0.3">
      <c r="P788" s="162"/>
    </row>
    <row r="789" spans="16:16" x14ac:dyDescent="0.3">
      <c r="P789" s="162"/>
    </row>
    <row r="790" spans="16:16" x14ac:dyDescent="0.3">
      <c r="P790" s="163"/>
    </row>
    <row r="791" spans="16:16" x14ac:dyDescent="0.3">
      <c r="P791" s="161"/>
    </row>
    <row r="792" spans="16:16" x14ac:dyDescent="0.3">
      <c r="P792" s="162"/>
    </row>
    <row r="793" spans="16:16" x14ac:dyDescent="0.3">
      <c r="P793" s="162"/>
    </row>
    <row r="794" spans="16:16" x14ac:dyDescent="0.3">
      <c r="P794" s="163"/>
    </row>
    <row r="795" spans="16:16" x14ac:dyDescent="0.3">
      <c r="P795" s="161"/>
    </row>
    <row r="796" spans="16:16" x14ac:dyDescent="0.3">
      <c r="P796" s="162"/>
    </row>
    <row r="797" spans="16:16" x14ac:dyDescent="0.3">
      <c r="P797" s="162"/>
    </row>
    <row r="798" spans="16:16" x14ac:dyDescent="0.3">
      <c r="P798" s="163"/>
    </row>
    <row r="799" spans="16:16" x14ac:dyDescent="0.3">
      <c r="P799" s="161"/>
    </row>
    <row r="800" spans="16:16" x14ac:dyDescent="0.3">
      <c r="P800" s="162"/>
    </row>
    <row r="801" spans="16:16" x14ac:dyDescent="0.3">
      <c r="P801" s="162"/>
    </row>
    <row r="802" spans="16:16" x14ac:dyDescent="0.3">
      <c r="P802" s="163"/>
    </row>
    <row r="803" spans="16:16" x14ac:dyDescent="0.3">
      <c r="P803" s="161"/>
    </row>
    <row r="804" spans="16:16" x14ac:dyDescent="0.3">
      <c r="P804" s="162"/>
    </row>
    <row r="805" spans="16:16" x14ac:dyDescent="0.3">
      <c r="P805" s="162"/>
    </row>
    <row r="806" spans="16:16" x14ac:dyDescent="0.3">
      <c r="P806" s="163"/>
    </row>
    <row r="807" spans="16:16" x14ac:dyDescent="0.3">
      <c r="P807" s="161"/>
    </row>
    <row r="808" spans="16:16" x14ac:dyDescent="0.3">
      <c r="P808" s="162"/>
    </row>
    <row r="809" spans="16:16" x14ac:dyDescent="0.3">
      <c r="P809" s="162"/>
    </row>
    <row r="810" spans="16:16" x14ac:dyDescent="0.3">
      <c r="P810" s="163"/>
    </row>
    <row r="811" spans="16:16" x14ac:dyDescent="0.3">
      <c r="P811" s="161"/>
    </row>
    <row r="812" spans="16:16" x14ac:dyDescent="0.3">
      <c r="P812" s="162"/>
    </row>
    <row r="813" spans="16:16" x14ac:dyDescent="0.3">
      <c r="P813" s="162"/>
    </row>
    <row r="814" spans="16:16" x14ac:dyDescent="0.3">
      <c r="P814" s="163"/>
    </row>
    <row r="815" spans="16:16" x14ac:dyDescent="0.3">
      <c r="P815" s="161"/>
    </row>
    <row r="816" spans="16:16" x14ac:dyDescent="0.3">
      <c r="P816" s="162"/>
    </row>
    <row r="817" spans="16:16" x14ac:dyDescent="0.3">
      <c r="P817" s="162"/>
    </row>
    <row r="818" spans="16:16" x14ac:dyDescent="0.3">
      <c r="P818" s="163"/>
    </row>
    <row r="819" spans="16:16" x14ac:dyDescent="0.3">
      <c r="P819" s="161"/>
    </row>
    <row r="820" spans="16:16" x14ac:dyDescent="0.3">
      <c r="P820" s="162"/>
    </row>
    <row r="821" spans="16:16" x14ac:dyDescent="0.3">
      <c r="P821" s="162"/>
    </row>
    <row r="822" spans="16:16" x14ac:dyDescent="0.3">
      <c r="P822" s="163"/>
    </row>
    <row r="823" spans="16:16" x14ac:dyDescent="0.3">
      <c r="P823" s="161"/>
    </row>
    <row r="824" spans="16:16" x14ac:dyDescent="0.3">
      <c r="P824" s="162"/>
    </row>
    <row r="825" spans="16:16" x14ac:dyDescent="0.3">
      <c r="P825" s="162"/>
    </row>
    <row r="826" spans="16:16" x14ac:dyDescent="0.3">
      <c r="P826" s="163"/>
    </row>
    <row r="827" spans="16:16" x14ac:dyDescent="0.3">
      <c r="P827" s="161"/>
    </row>
    <row r="828" spans="16:16" x14ac:dyDescent="0.3">
      <c r="P828" s="162"/>
    </row>
    <row r="829" spans="16:16" x14ac:dyDescent="0.3">
      <c r="P829" s="162"/>
    </row>
    <row r="830" spans="16:16" x14ac:dyDescent="0.3">
      <c r="P830" s="163"/>
    </row>
    <row r="831" spans="16:16" x14ac:dyDescent="0.3">
      <c r="P831" s="161"/>
    </row>
    <row r="832" spans="16:16" x14ac:dyDescent="0.3">
      <c r="P832" s="162"/>
    </row>
    <row r="833" spans="16:16" x14ac:dyDescent="0.3">
      <c r="P833" s="162"/>
    </row>
    <row r="834" spans="16:16" x14ac:dyDescent="0.3">
      <c r="P834" s="163"/>
    </row>
    <row r="835" spans="16:16" x14ac:dyDescent="0.3">
      <c r="P835" s="161"/>
    </row>
    <row r="836" spans="16:16" x14ac:dyDescent="0.3">
      <c r="P836" s="162"/>
    </row>
    <row r="837" spans="16:16" x14ac:dyDescent="0.3">
      <c r="P837" s="162"/>
    </row>
    <row r="838" spans="16:16" x14ac:dyDescent="0.3">
      <c r="P838" s="163"/>
    </row>
    <row r="839" spans="16:16" x14ac:dyDescent="0.3">
      <c r="P839" s="161"/>
    </row>
    <row r="840" spans="16:16" x14ac:dyDescent="0.3">
      <c r="P840" s="162"/>
    </row>
    <row r="841" spans="16:16" x14ac:dyDescent="0.3">
      <c r="P841" s="162"/>
    </row>
    <row r="842" spans="16:16" x14ac:dyDescent="0.3">
      <c r="P842" s="163"/>
    </row>
    <row r="843" spans="16:16" x14ac:dyDescent="0.3">
      <c r="P843" s="161"/>
    </row>
    <row r="844" spans="16:16" x14ac:dyDescent="0.3">
      <c r="P844" s="162"/>
    </row>
    <row r="845" spans="16:16" x14ac:dyDescent="0.3">
      <c r="P845" s="162"/>
    </row>
    <row r="846" spans="16:16" x14ac:dyDescent="0.3">
      <c r="P846" s="163"/>
    </row>
    <row r="847" spans="16:16" x14ac:dyDescent="0.3">
      <c r="P847" s="161"/>
    </row>
    <row r="848" spans="16:16" x14ac:dyDescent="0.3">
      <c r="P848" s="162"/>
    </row>
    <row r="849" spans="16:16" x14ac:dyDescent="0.3">
      <c r="P849" s="162"/>
    </row>
    <row r="850" spans="16:16" x14ac:dyDescent="0.3">
      <c r="P850" s="163"/>
    </row>
    <row r="851" spans="16:16" x14ac:dyDescent="0.3">
      <c r="P851" s="161"/>
    </row>
    <row r="852" spans="16:16" x14ac:dyDescent="0.3">
      <c r="P852" s="162"/>
    </row>
    <row r="853" spans="16:16" x14ac:dyDescent="0.3">
      <c r="P853" s="162"/>
    </row>
    <row r="854" spans="16:16" x14ac:dyDescent="0.3">
      <c r="P854" s="163"/>
    </row>
    <row r="855" spans="16:16" x14ac:dyDescent="0.3">
      <c r="P855" s="161"/>
    </row>
    <row r="856" spans="16:16" x14ac:dyDescent="0.3">
      <c r="P856" s="162"/>
    </row>
    <row r="857" spans="16:16" x14ac:dyDescent="0.3">
      <c r="P857" s="162"/>
    </row>
    <row r="858" spans="16:16" x14ac:dyDescent="0.3">
      <c r="P858" s="163"/>
    </row>
    <row r="859" spans="16:16" x14ac:dyDescent="0.3">
      <c r="P859" s="161"/>
    </row>
    <row r="860" spans="16:16" x14ac:dyDescent="0.3">
      <c r="P860" s="162"/>
    </row>
    <row r="861" spans="16:16" x14ac:dyDescent="0.3">
      <c r="P861" s="162"/>
    </row>
    <row r="862" spans="16:16" x14ac:dyDescent="0.3">
      <c r="P862" s="163"/>
    </row>
    <row r="863" spans="16:16" x14ac:dyDescent="0.3">
      <c r="P863" s="161"/>
    </row>
    <row r="864" spans="16:16" x14ac:dyDescent="0.3">
      <c r="P864" s="162"/>
    </row>
    <row r="865" spans="16:16" x14ac:dyDescent="0.3">
      <c r="P865" s="162"/>
    </row>
    <row r="866" spans="16:16" x14ac:dyDescent="0.3">
      <c r="P866" s="163"/>
    </row>
    <row r="867" spans="16:16" x14ac:dyDescent="0.3">
      <c r="P867" s="161"/>
    </row>
    <row r="868" spans="16:16" x14ac:dyDescent="0.3">
      <c r="P868" s="162"/>
    </row>
    <row r="869" spans="16:16" x14ac:dyDescent="0.3">
      <c r="P869" s="162"/>
    </row>
    <row r="870" spans="16:16" x14ac:dyDescent="0.3">
      <c r="P870" s="163"/>
    </row>
    <row r="871" spans="16:16" x14ac:dyDescent="0.3">
      <c r="P871" s="161"/>
    </row>
    <row r="872" spans="16:16" x14ac:dyDescent="0.3">
      <c r="P872" s="162"/>
    </row>
    <row r="873" spans="16:16" x14ac:dyDescent="0.3">
      <c r="P873" s="162"/>
    </row>
    <row r="874" spans="16:16" x14ac:dyDescent="0.3">
      <c r="P874" s="163"/>
    </row>
    <row r="875" spans="16:16" x14ac:dyDescent="0.3">
      <c r="P875" s="161"/>
    </row>
    <row r="876" spans="16:16" x14ac:dyDescent="0.3">
      <c r="P876" s="162"/>
    </row>
    <row r="877" spans="16:16" x14ac:dyDescent="0.3">
      <c r="P877" s="162"/>
    </row>
    <row r="878" spans="16:16" x14ac:dyDescent="0.3">
      <c r="P878" s="163"/>
    </row>
    <row r="879" spans="16:16" x14ac:dyDescent="0.3">
      <c r="P879" s="161"/>
    </row>
    <row r="880" spans="16:16" x14ac:dyDescent="0.3">
      <c r="P880" s="162"/>
    </row>
    <row r="881" spans="16:16" x14ac:dyDescent="0.3">
      <c r="P881" s="162"/>
    </row>
    <row r="882" spans="16:16" x14ac:dyDescent="0.3">
      <c r="P882" s="163"/>
    </row>
    <row r="883" spans="16:16" x14ac:dyDescent="0.3">
      <c r="P883" s="161"/>
    </row>
    <row r="884" spans="16:16" x14ac:dyDescent="0.3">
      <c r="P884" s="162"/>
    </row>
    <row r="885" spans="16:16" x14ac:dyDescent="0.3">
      <c r="P885" s="162"/>
    </row>
    <row r="886" spans="16:16" x14ac:dyDescent="0.3">
      <c r="P886" s="163"/>
    </row>
    <row r="887" spans="16:16" x14ac:dyDescent="0.3">
      <c r="P887" s="161"/>
    </row>
    <row r="888" spans="16:16" x14ac:dyDescent="0.3">
      <c r="P888" s="162"/>
    </row>
    <row r="889" spans="16:16" x14ac:dyDescent="0.3">
      <c r="P889" s="162"/>
    </row>
    <row r="890" spans="16:16" x14ac:dyDescent="0.3">
      <c r="P890" s="163"/>
    </row>
    <row r="891" spans="16:16" x14ac:dyDescent="0.3">
      <c r="P891" s="161"/>
    </row>
    <row r="892" spans="16:16" x14ac:dyDescent="0.3">
      <c r="P892" s="162"/>
    </row>
    <row r="893" spans="16:16" x14ac:dyDescent="0.3">
      <c r="P893" s="162"/>
    </row>
    <row r="894" spans="16:16" x14ac:dyDescent="0.3">
      <c r="P894" s="163"/>
    </row>
    <row r="895" spans="16:16" x14ac:dyDescent="0.3">
      <c r="P895" s="161"/>
    </row>
    <row r="896" spans="16:16" x14ac:dyDescent="0.3">
      <c r="P896" s="162"/>
    </row>
    <row r="897" spans="16:16" x14ac:dyDescent="0.3">
      <c r="P897" s="162"/>
    </row>
    <row r="898" spans="16:16" x14ac:dyDescent="0.3">
      <c r="P898" s="163"/>
    </row>
    <row r="899" spans="16:16" x14ac:dyDescent="0.3">
      <c r="P899" s="161"/>
    </row>
    <row r="900" spans="16:16" x14ac:dyDescent="0.3">
      <c r="P900" s="162"/>
    </row>
    <row r="901" spans="16:16" x14ac:dyDescent="0.3">
      <c r="P901" s="162"/>
    </row>
    <row r="902" spans="16:16" x14ac:dyDescent="0.3">
      <c r="P902" s="163"/>
    </row>
    <row r="903" spans="16:16" x14ac:dyDescent="0.3">
      <c r="P903" s="161"/>
    </row>
    <row r="904" spans="16:16" x14ac:dyDescent="0.3">
      <c r="P904" s="162"/>
    </row>
    <row r="905" spans="16:16" x14ac:dyDescent="0.3">
      <c r="P905" s="162"/>
    </row>
    <row r="906" spans="16:16" x14ac:dyDescent="0.3">
      <c r="P906" s="163"/>
    </row>
    <row r="907" spans="16:16" x14ac:dyDescent="0.3">
      <c r="P907" s="161"/>
    </row>
    <row r="908" spans="16:16" x14ac:dyDescent="0.3">
      <c r="P908" s="162"/>
    </row>
    <row r="909" spans="16:16" x14ac:dyDescent="0.3">
      <c r="P909" s="162"/>
    </row>
    <row r="910" spans="16:16" x14ac:dyDescent="0.3">
      <c r="P910" s="163"/>
    </row>
    <row r="911" spans="16:16" x14ac:dyDescent="0.3">
      <c r="P911" s="161"/>
    </row>
    <row r="912" spans="16:16" x14ac:dyDescent="0.3">
      <c r="P912" s="162"/>
    </row>
    <row r="913" spans="16:16" x14ac:dyDescent="0.3">
      <c r="P913" s="162"/>
    </row>
    <row r="914" spans="16:16" x14ac:dyDescent="0.3">
      <c r="P914" s="163"/>
    </row>
    <row r="915" spans="16:16" x14ac:dyDescent="0.3">
      <c r="P915" s="161"/>
    </row>
    <row r="916" spans="16:16" x14ac:dyDescent="0.3">
      <c r="P916" s="162"/>
    </row>
    <row r="917" spans="16:16" x14ac:dyDescent="0.3">
      <c r="P917" s="162"/>
    </row>
    <row r="918" spans="16:16" x14ac:dyDescent="0.3">
      <c r="P918" s="163"/>
    </row>
    <row r="919" spans="16:16" x14ac:dyDescent="0.3">
      <c r="P919" s="161"/>
    </row>
    <row r="920" spans="16:16" x14ac:dyDescent="0.3">
      <c r="P920" s="162"/>
    </row>
    <row r="921" spans="16:16" x14ac:dyDescent="0.3">
      <c r="P921" s="162"/>
    </row>
    <row r="922" spans="16:16" x14ac:dyDescent="0.3">
      <c r="P922" s="163"/>
    </row>
    <row r="923" spans="16:16" x14ac:dyDescent="0.3">
      <c r="P923" s="161"/>
    </row>
    <row r="924" spans="16:16" x14ac:dyDescent="0.3">
      <c r="P924" s="162"/>
    </row>
    <row r="925" spans="16:16" x14ac:dyDescent="0.3">
      <c r="P925" s="162"/>
    </row>
    <row r="926" spans="16:16" x14ac:dyDescent="0.3">
      <c r="P926" s="163"/>
    </row>
    <row r="927" spans="16:16" x14ac:dyDescent="0.3">
      <c r="P927" s="161"/>
    </row>
    <row r="928" spans="16:16" x14ac:dyDescent="0.3">
      <c r="P928" s="162"/>
    </row>
    <row r="929" spans="16:16" x14ac:dyDescent="0.3">
      <c r="P929" s="162"/>
    </row>
    <row r="930" spans="16:16" x14ac:dyDescent="0.3">
      <c r="P930" s="163"/>
    </row>
    <row r="931" spans="16:16" x14ac:dyDescent="0.3">
      <c r="P931" s="161"/>
    </row>
    <row r="932" spans="16:16" x14ac:dyDescent="0.3">
      <c r="P932" s="162"/>
    </row>
    <row r="933" spans="16:16" x14ac:dyDescent="0.3">
      <c r="P933" s="162"/>
    </row>
    <row r="934" spans="16:16" x14ac:dyDescent="0.3">
      <c r="P934" s="163"/>
    </row>
    <row r="935" spans="16:16" x14ac:dyDescent="0.3">
      <c r="P935" s="161"/>
    </row>
    <row r="936" spans="16:16" x14ac:dyDescent="0.3">
      <c r="P936" s="162"/>
    </row>
    <row r="937" spans="16:16" x14ac:dyDescent="0.3">
      <c r="P937" s="162"/>
    </row>
    <row r="938" spans="16:16" x14ac:dyDescent="0.3">
      <c r="P938" s="163"/>
    </row>
    <row r="939" spans="16:16" x14ac:dyDescent="0.3">
      <c r="P939" s="161"/>
    </row>
    <row r="940" spans="16:16" x14ac:dyDescent="0.3">
      <c r="P940" s="162"/>
    </row>
    <row r="941" spans="16:16" x14ac:dyDescent="0.3">
      <c r="P941" s="162"/>
    </row>
    <row r="942" spans="16:16" x14ac:dyDescent="0.3">
      <c r="P942" s="163"/>
    </row>
    <row r="943" spans="16:16" x14ac:dyDescent="0.3">
      <c r="P943" s="161"/>
    </row>
    <row r="944" spans="16:16" x14ac:dyDescent="0.3">
      <c r="P944" s="162"/>
    </row>
    <row r="945" spans="16:16" x14ac:dyDescent="0.3">
      <c r="P945" s="162"/>
    </row>
    <row r="946" spans="16:16" x14ac:dyDescent="0.3">
      <c r="P946" s="163"/>
    </row>
    <row r="947" spans="16:16" x14ac:dyDescent="0.3">
      <c r="P947" s="161"/>
    </row>
    <row r="948" spans="16:16" x14ac:dyDescent="0.3">
      <c r="P948" s="162"/>
    </row>
    <row r="949" spans="16:16" x14ac:dyDescent="0.3">
      <c r="P949" s="162"/>
    </row>
    <row r="950" spans="16:16" x14ac:dyDescent="0.3">
      <c r="P950" s="163"/>
    </row>
    <row r="951" spans="16:16" x14ac:dyDescent="0.3">
      <c r="P951" s="161"/>
    </row>
    <row r="952" spans="16:16" x14ac:dyDescent="0.3">
      <c r="P952" s="162"/>
    </row>
    <row r="953" spans="16:16" x14ac:dyDescent="0.3">
      <c r="P953" s="162"/>
    </row>
    <row r="954" spans="16:16" x14ac:dyDescent="0.3">
      <c r="P954" s="163"/>
    </row>
    <row r="955" spans="16:16" x14ac:dyDescent="0.3">
      <c r="P955" s="161"/>
    </row>
    <row r="956" spans="16:16" x14ac:dyDescent="0.3">
      <c r="P956" s="162"/>
    </row>
    <row r="957" spans="16:16" x14ac:dyDescent="0.3">
      <c r="P957" s="162"/>
    </row>
    <row r="958" spans="16:16" x14ac:dyDescent="0.3">
      <c r="P958" s="163"/>
    </row>
    <row r="959" spans="16:16" x14ac:dyDescent="0.3">
      <c r="P959" s="161"/>
    </row>
    <row r="960" spans="16:16" x14ac:dyDescent="0.3">
      <c r="P960" s="162"/>
    </row>
    <row r="961" spans="16:16" x14ac:dyDescent="0.3">
      <c r="P961" s="162"/>
    </row>
    <row r="962" spans="16:16" x14ac:dyDescent="0.3">
      <c r="P962" s="163"/>
    </row>
    <row r="963" spans="16:16" x14ac:dyDescent="0.3">
      <c r="P963" s="161"/>
    </row>
    <row r="964" spans="16:16" x14ac:dyDescent="0.3">
      <c r="P964" s="162"/>
    </row>
    <row r="965" spans="16:16" x14ac:dyDescent="0.3">
      <c r="P965" s="162"/>
    </row>
    <row r="966" spans="16:16" x14ac:dyDescent="0.3">
      <c r="P966" s="163"/>
    </row>
    <row r="967" spans="16:16" x14ac:dyDescent="0.3">
      <c r="P967" s="161"/>
    </row>
    <row r="968" spans="16:16" x14ac:dyDescent="0.3">
      <c r="P968" s="162"/>
    </row>
    <row r="969" spans="16:16" x14ac:dyDescent="0.3">
      <c r="P969" s="162"/>
    </row>
    <row r="970" spans="16:16" x14ac:dyDescent="0.3">
      <c r="P970" s="163"/>
    </row>
    <row r="971" spans="16:16" x14ac:dyDescent="0.3">
      <c r="P971" s="161"/>
    </row>
    <row r="972" spans="16:16" x14ac:dyDescent="0.3">
      <c r="P972" s="162"/>
    </row>
    <row r="973" spans="16:16" x14ac:dyDescent="0.3">
      <c r="P973" s="162"/>
    </row>
    <row r="974" spans="16:16" x14ac:dyDescent="0.3">
      <c r="P974" s="163"/>
    </row>
    <row r="975" spans="16:16" x14ac:dyDescent="0.3">
      <c r="P975" s="161"/>
    </row>
    <row r="976" spans="16:16" x14ac:dyDescent="0.3">
      <c r="P976" s="162"/>
    </row>
    <row r="977" spans="16:16" x14ac:dyDescent="0.3">
      <c r="P977" s="162"/>
    </row>
    <row r="978" spans="16:16" x14ac:dyDescent="0.3">
      <c r="P978" s="163"/>
    </row>
    <row r="979" spans="16:16" x14ac:dyDescent="0.3">
      <c r="P979" s="161"/>
    </row>
    <row r="980" spans="16:16" x14ac:dyDescent="0.3">
      <c r="P980" s="162"/>
    </row>
    <row r="981" spans="16:16" x14ac:dyDescent="0.3">
      <c r="P981" s="162"/>
    </row>
    <row r="982" spans="16:16" x14ac:dyDescent="0.3">
      <c r="P982" s="163"/>
    </row>
    <row r="983" spans="16:16" x14ac:dyDescent="0.3">
      <c r="P983" s="161"/>
    </row>
    <row r="984" spans="16:16" x14ac:dyDescent="0.3">
      <c r="P984" s="162"/>
    </row>
    <row r="985" spans="16:16" x14ac:dyDescent="0.3">
      <c r="P985" s="162"/>
    </row>
    <row r="986" spans="16:16" x14ac:dyDescent="0.3">
      <c r="P986" s="163"/>
    </row>
    <row r="987" spans="16:16" x14ac:dyDescent="0.3">
      <c r="P987" s="161"/>
    </row>
    <row r="988" spans="16:16" x14ac:dyDescent="0.3">
      <c r="P988" s="162"/>
    </row>
    <row r="989" spans="16:16" x14ac:dyDescent="0.3">
      <c r="P989" s="162"/>
    </row>
    <row r="990" spans="16:16" x14ac:dyDescent="0.3">
      <c r="P990" s="163"/>
    </row>
    <row r="991" spans="16:16" x14ac:dyDescent="0.3">
      <c r="P991" s="161"/>
    </row>
    <row r="992" spans="16:16" x14ac:dyDescent="0.3">
      <c r="P992" s="162"/>
    </row>
    <row r="993" spans="16:16" x14ac:dyDescent="0.3">
      <c r="P993" s="162"/>
    </row>
    <row r="994" spans="16:16" x14ac:dyDescent="0.3">
      <c r="P994" s="163"/>
    </row>
    <row r="995" spans="16:16" x14ac:dyDescent="0.3">
      <c r="P995" s="165"/>
    </row>
    <row r="996" spans="16:16" x14ac:dyDescent="0.3">
      <c r="P996" s="166"/>
    </row>
    <row r="997" spans="16:16" x14ac:dyDescent="0.3">
      <c r="P997" s="166"/>
    </row>
    <row r="998" spans="16:16" x14ac:dyDescent="0.3">
      <c r="P998" s="167"/>
    </row>
    <row r="999" spans="16:16" x14ac:dyDescent="0.3">
      <c r="P999" s="161"/>
    </row>
    <row r="1000" spans="16:16" x14ac:dyDescent="0.3">
      <c r="P1000" s="162"/>
    </row>
    <row r="1001" spans="16:16" x14ac:dyDescent="0.3">
      <c r="P1001" s="162"/>
    </row>
    <row r="1002" spans="16:16" x14ac:dyDescent="0.3">
      <c r="P1002" s="163"/>
    </row>
    <row r="1003" spans="16:16" x14ac:dyDescent="0.3">
      <c r="P1003" s="165"/>
    </row>
    <row r="1004" spans="16:16" x14ac:dyDescent="0.3">
      <c r="P1004" s="166"/>
    </row>
    <row r="1005" spans="16:16" x14ac:dyDescent="0.3">
      <c r="P1005" s="166"/>
    </row>
    <row r="1006" spans="16:16" x14ac:dyDescent="0.3">
      <c r="P1006" s="167"/>
    </row>
    <row r="1007" spans="16:16" x14ac:dyDescent="0.3">
      <c r="P1007" s="165"/>
    </row>
    <row r="1008" spans="16:16" x14ac:dyDescent="0.3">
      <c r="P1008" s="166"/>
    </row>
    <row r="1009" spans="16:16" x14ac:dyDescent="0.3">
      <c r="P1009" s="166"/>
    </row>
    <row r="1010" spans="16:16" x14ac:dyDescent="0.3">
      <c r="P1010" s="167"/>
    </row>
    <row r="1011" spans="16:16" x14ac:dyDescent="0.3">
      <c r="P1011" s="165"/>
    </row>
    <row r="1012" spans="16:16" x14ac:dyDescent="0.3">
      <c r="P1012" s="166"/>
    </row>
    <row r="1013" spans="16:16" x14ac:dyDescent="0.3">
      <c r="P1013" s="166"/>
    </row>
    <row r="1014" spans="16:16" x14ac:dyDescent="0.3">
      <c r="P1014" s="167"/>
    </row>
    <row r="1015" spans="16:16" x14ac:dyDescent="0.3">
      <c r="P1015" s="165"/>
    </row>
    <row r="1016" spans="16:16" x14ac:dyDescent="0.3">
      <c r="P1016" s="166"/>
    </row>
    <row r="1017" spans="16:16" x14ac:dyDescent="0.3">
      <c r="P1017" s="166"/>
    </row>
    <row r="1018" spans="16:16" x14ac:dyDescent="0.3">
      <c r="P1018" s="167"/>
    </row>
    <row r="1019" spans="16:16" x14ac:dyDescent="0.3">
      <c r="P1019" s="165"/>
    </row>
    <row r="1020" spans="16:16" x14ac:dyDescent="0.3">
      <c r="P1020" s="166"/>
    </row>
    <row r="1021" spans="16:16" x14ac:dyDescent="0.3">
      <c r="P1021" s="166"/>
    </row>
    <row r="1022" spans="16:16" x14ac:dyDescent="0.3">
      <c r="P1022" s="167"/>
    </row>
    <row r="1023" spans="16:16" x14ac:dyDescent="0.3">
      <c r="P1023" s="165"/>
    </row>
    <row r="1024" spans="16:16" x14ac:dyDescent="0.3">
      <c r="P1024" s="166"/>
    </row>
    <row r="1025" spans="16:16" x14ac:dyDescent="0.3">
      <c r="P1025" s="166"/>
    </row>
    <row r="1026" spans="16:16" x14ac:dyDescent="0.3">
      <c r="P1026" s="167"/>
    </row>
    <row r="1027" spans="16:16" x14ac:dyDescent="0.3">
      <c r="P1027" s="165"/>
    </row>
    <row r="1028" spans="16:16" x14ac:dyDescent="0.3">
      <c r="P1028" s="166"/>
    </row>
    <row r="1029" spans="16:16" x14ac:dyDescent="0.3">
      <c r="P1029" s="166"/>
    </row>
    <row r="1030" spans="16:16" x14ac:dyDescent="0.3">
      <c r="P1030" s="167"/>
    </row>
    <row r="1031" spans="16:16" x14ac:dyDescent="0.3">
      <c r="P1031" s="165"/>
    </row>
    <row r="1032" spans="16:16" x14ac:dyDescent="0.3">
      <c r="P1032" s="166"/>
    </row>
    <row r="1033" spans="16:16" x14ac:dyDescent="0.3">
      <c r="P1033" s="166"/>
    </row>
    <row r="1034" spans="16:16" x14ac:dyDescent="0.3">
      <c r="P1034" s="167"/>
    </row>
    <row r="1035" spans="16:16" x14ac:dyDescent="0.3">
      <c r="P1035" s="165"/>
    </row>
    <row r="1036" spans="16:16" x14ac:dyDescent="0.3">
      <c r="P1036" s="166"/>
    </row>
    <row r="1037" spans="16:16" x14ac:dyDescent="0.3">
      <c r="P1037" s="166"/>
    </row>
    <row r="1038" spans="16:16" x14ac:dyDescent="0.3">
      <c r="P1038" s="167"/>
    </row>
    <row r="1039" spans="16:16" x14ac:dyDescent="0.3">
      <c r="P1039" s="165"/>
    </row>
    <row r="1040" spans="16:16" x14ac:dyDescent="0.3">
      <c r="P1040" s="166"/>
    </row>
    <row r="1041" spans="16:16" x14ac:dyDescent="0.3">
      <c r="P1041" s="166"/>
    </row>
    <row r="1042" spans="16:16" x14ac:dyDescent="0.3">
      <c r="P1042" s="167"/>
    </row>
    <row r="1043" spans="16:16" x14ac:dyDescent="0.3">
      <c r="P1043" s="165"/>
    </row>
    <row r="1044" spans="16:16" x14ac:dyDescent="0.3">
      <c r="P1044" s="166"/>
    </row>
    <row r="1045" spans="16:16" x14ac:dyDescent="0.3">
      <c r="P1045" s="166"/>
    </row>
    <row r="1046" spans="16:16" x14ac:dyDescent="0.3">
      <c r="P1046" s="167"/>
    </row>
    <row r="1047" spans="16:16" x14ac:dyDescent="0.3">
      <c r="P1047" s="165"/>
    </row>
    <row r="1048" spans="16:16" x14ac:dyDescent="0.3">
      <c r="P1048" s="166"/>
    </row>
    <row r="1049" spans="16:16" x14ac:dyDescent="0.3">
      <c r="P1049" s="166"/>
    </row>
    <row r="1050" spans="16:16" x14ac:dyDescent="0.3">
      <c r="P1050" s="167"/>
    </row>
  </sheetData>
  <mergeCells count="263">
    <mergeCell ref="P1031:P1034"/>
    <mergeCell ref="P1035:P1038"/>
    <mergeCell ref="P1039:P1042"/>
    <mergeCell ref="P1043:P1046"/>
    <mergeCell ref="P1047:P1050"/>
    <mergeCell ref="P1007:P1010"/>
    <mergeCell ref="P1011:P1014"/>
    <mergeCell ref="P1015:P1018"/>
    <mergeCell ref="P1019:P1022"/>
    <mergeCell ref="P1023:P1026"/>
    <mergeCell ref="P1027:P1030"/>
    <mergeCell ref="P983:P986"/>
    <mergeCell ref="P987:P990"/>
    <mergeCell ref="P991:P994"/>
    <mergeCell ref="P995:P998"/>
    <mergeCell ref="P999:P1002"/>
    <mergeCell ref="P1003:P1006"/>
    <mergeCell ref="P959:P962"/>
    <mergeCell ref="P963:P966"/>
    <mergeCell ref="P967:P970"/>
    <mergeCell ref="P971:P974"/>
    <mergeCell ref="P975:P978"/>
    <mergeCell ref="P979:P982"/>
    <mergeCell ref="P935:P938"/>
    <mergeCell ref="P939:P942"/>
    <mergeCell ref="P943:P946"/>
    <mergeCell ref="P947:P950"/>
    <mergeCell ref="P951:P954"/>
    <mergeCell ref="P955:P958"/>
    <mergeCell ref="P911:P914"/>
    <mergeCell ref="P915:P918"/>
    <mergeCell ref="P919:P922"/>
    <mergeCell ref="P923:P926"/>
    <mergeCell ref="P927:P930"/>
    <mergeCell ref="P931:P934"/>
    <mergeCell ref="P887:P890"/>
    <mergeCell ref="P891:P894"/>
    <mergeCell ref="P895:P898"/>
    <mergeCell ref="P899:P902"/>
    <mergeCell ref="P903:P906"/>
    <mergeCell ref="P907:P910"/>
    <mergeCell ref="P863:P866"/>
    <mergeCell ref="P867:P870"/>
    <mergeCell ref="P871:P874"/>
    <mergeCell ref="P875:P878"/>
    <mergeCell ref="P879:P882"/>
    <mergeCell ref="P883:P886"/>
    <mergeCell ref="P839:P842"/>
    <mergeCell ref="P843:P846"/>
    <mergeCell ref="P847:P850"/>
    <mergeCell ref="P851:P854"/>
    <mergeCell ref="P855:P858"/>
    <mergeCell ref="P859:P862"/>
    <mergeCell ref="P815:P818"/>
    <mergeCell ref="P819:P822"/>
    <mergeCell ref="P823:P826"/>
    <mergeCell ref="P827:P830"/>
    <mergeCell ref="P831:P834"/>
    <mergeCell ref="P835:P838"/>
    <mergeCell ref="P791:P794"/>
    <mergeCell ref="P795:P798"/>
    <mergeCell ref="P799:P802"/>
    <mergeCell ref="P803:P806"/>
    <mergeCell ref="P807:P810"/>
    <mergeCell ref="P811:P814"/>
    <mergeCell ref="P767:P770"/>
    <mergeCell ref="P771:P774"/>
    <mergeCell ref="P775:P778"/>
    <mergeCell ref="P779:P782"/>
    <mergeCell ref="P783:P786"/>
    <mergeCell ref="P787:P790"/>
    <mergeCell ref="P743:P746"/>
    <mergeCell ref="P747:P750"/>
    <mergeCell ref="P751:P754"/>
    <mergeCell ref="P755:P758"/>
    <mergeCell ref="P759:P762"/>
    <mergeCell ref="P763:P766"/>
    <mergeCell ref="P719:P722"/>
    <mergeCell ref="P723:P726"/>
    <mergeCell ref="P727:P730"/>
    <mergeCell ref="P731:P734"/>
    <mergeCell ref="P735:P738"/>
    <mergeCell ref="P739:P742"/>
    <mergeCell ref="P695:P698"/>
    <mergeCell ref="P699:P702"/>
    <mergeCell ref="P703:P706"/>
    <mergeCell ref="P707:P710"/>
    <mergeCell ref="P711:P714"/>
    <mergeCell ref="P715:P718"/>
    <mergeCell ref="P671:P674"/>
    <mergeCell ref="P675:P678"/>
    <mergeCell ref="P679:P682"/>
    <mergeCell ref="P683:P686"/>
    <mergeCell ref="P687:P690"/>
    <mergeCell ref="P691:P694"/>
    <mergeCell ref="P647:P650"/>
    <mergeCell ref="P651:P654"/>
    <mergeCell ref="P655:P658"/>
    <mergeCell ref="P659:P662"/>
    <mergeCell ref="P663:P666"/>
    <mergeCell ref="P667:P670"/>
    <mergeCell ref="P623:P626"/>
    <mergeCell ref="P627:P630"/>
    <mergeCell ref="P631:P634"/>
    <mergeCell ref="P635:P638"/>
    <mergeCell ref="P639:P642"/>
    <mergeCell ref="P643:P646"/>
    <mergeCell ref="P599:P602"/>
    <mergeCell ref="P603:P606"/>
    <mergeCell ref="P607:P610"/>
    <mergeCell ref="P611:P614"/>
    <mergeCell ref="P615:P618"/>
    <mergeCell ref="P619:P622"/>
    <mergeCell ref="P575:P578"/>
    <mergeCell ref="P579:P582"/>
    <mergeCell ref="P583:P586"/>
    <mergeCell ref="P587:P590"/>
    <mergeCell ref="P591:P594"/>
    <mergeCell ref="P595:P598"/>
    <mergeCell ref="P551:P554"/>
    <mergeCell ref="P555:P558"/>
    <mergeCell ref="P559:P562"/>
    <mergeCell ref="P563:P566"/>
    <mergeCell ref="P567:P570"/>
    <mergeCell ref="P571:P574"/>
    <mergeCell ref="P527:P530"/>
    <mergeCell ref="P531:P534"/>
    <mergeCell ref="P535:P538"/>
    <mergeCell ref="P539:P542"/>
    <mergeCell ref="P543:P546"/>
    <mergeCell ref="P547:P550"/>
    <mergeCell ref="P503:P506"/>
    <mergeCell ref="P507:P510"/>
    <mergeCell ref="P511:P514"/>
    <mergeCell ref="P515:P518"/>
    <mergeCell ref="P519:P522"/>
    <mergeCell ref="P523:P526"/>
    <mergeCell ref="P479:P482"/>
    <mergeCell ref="P483:P486"/>
    <mergeCell ref="P487:P490"/>
    <mergeCell ref="P491:P494"/>
    <mergeCell ref="P495:P498"/>
    <mergeCell ref="P499:P502"/>
    <mergeCell ref="P455:P458"/>
    <mergeCell ref="P459:P462"/>
    <mergeCell ref="P463:P466"/>
    <mergeCell ref="P467:P470"/>
    <mergeCell ref="P471:P474"/>
    <mergeCell ref="P475:P478"/>
    <mergeCell ref="P431:P434"/>
    <mergeCell ref="P435:P438"/>
    <mergeCell ref="P439:P442"/>
    <mergeCell ref="P443:P446"/>
    <mergeCell ref="P447:P450"/>
    <mergeCell ref="P451:P454"/>
    <mergeCell ref="P407:P410"/>
    <mergeCell ref="P411:P414"/>
    <mergeCell ref="P415:P418"/>
    <mergeCell ref="P419:P422"/>
    <mergeCell ref="P423:P426"/>
    <mergeCell ref="P427:P430"/>
    <mergeCell ref="P383:P386"/>
    <mergeCell ref="P387:P390"/>
    <mergeCell ref="P391:P394"/>
    <mergeCell ref="P395:P398"/>
    <mergeCell ref="P399:P402"/>
    <mergeCell ref="P403:P406"/>
    <mergeCell ref="P359:P362"/>
    <mergeCell ref="P363:P366"/>
    <mergeCell ref="P367:P370"/>
    <mergeCell ref="P371:P374"/>
    <mergeCell ref="P375:P378"/>
    <mergeCell ref="P379:P382"/>
    <mergeCell ref="P335:P338"/>
    <mergeCell ref="P339:P342"/>
    <mergeCell ref="P343:P346"/>
    <mergeCell ref="P347:P350"/>
    <mergeCell ref="P351:P354"/>
    <mergeCell ref="P355:P358"/>
    <mergeCell ref="P311:P314"/>
    <mergeCell ref="P315:P318"/>
    <mergeCell ref="P319:P322"/>
    <mergeCell ref="P323:P326"/>
    <mergeCell ref="P327:P330"/>
    <mergeCell ref="P331:P334"/>
    <mergeCell ref="P287:P290"/>
    <mergeCell ref="P291:P294"/>
    <mergeCell ref="P295:P298"/>
    <mergeCell ref="P299:P302"/>
    <mergeCell ref="P303:P306"/>
    <mergeCell ref="P307:P310"/>
    <mergeCell ref="P263:P266"/>
    <mergeCell ref="P267:P270"/>
    <mergeCell ref="P271:P274"/>
    <mergeCell ref="P275:P278"/>
    <mergeCell ref="P279:P282"/>
    <mergeCell ref="P283:P286"/>
    <mergeCell ref="P239:P242"/>
    <mergeCell ref="P243:P246"/>
    <mergeCell ref="P247:P250"/>
    <mergeCell ref="P251:P254"/>
    <mergeCell ref="P255:P258"/>
    <mergeCell ref="P259:P262"/>
    <mergeCell ref="P215:P218"/>
    <mergeCell ref="P219:P222"/>
    <mergeCell ref="P223:P226"/>
    <mergeCell ref="P227:P230"/>
    <mergeCell ref="P231:P234"/>
    <mergeCell ref="P235:P238"/>
    <mergeCell ref="P191:P194"/>
    <mergeCell ref="P195:P198"/>
    <mergeCell ref="P199:P202"/>
    <mergeCell ref="P203:P206"/>
    <mergeCell ref="P207:P210"/>
    <mergeCell ref="P211:P214"/>
    <mergeCell ref="P167:P170"/>
    <mergeCell ref="P171:P174"/>
    <mergeCell ref="P175:P178"/>
    <mergeCell ref="P179:P182"/>
    <mergeCell ref="P183:P186"/>
    <mergeCell ref="P187:P190"/>
    <mergeCell ref="P143:P146"/>
    <mergeCell ref="P147:P150"/>
    <mergeCell ref="P151:P154"/>
    <mergeCell ref="P155:P158"/>
    <mergeCell ref="P159:P162"/>
    <mergeCell ref="P163:P166"/>
    <mergeCell ref="P119:P122"/>
    <mergeCell ref="P123:P126"/>
    <mergeCell ref="P127:P130"/>
    <mergeCell ref="P131:P134"/>
    <mergeCell ref="P135:P138"/>
    <mergeCell ref="P139:P142"/>
    <mergeCell ref="P95:P98"/>
    <mergeCell ref="P99:P102"/>
    <mergeCell ref="P103:P106"/>
    <mergeCell ref="P107:P110"/>
    <mergeCell ref="P111:P114"/>
    <mergeCell ref="P115:P118"/>
    <mergeCell ref="P71:P74"/>
    <mergeCell ref="P75:P78"/>
    <mergeCell ref="P79:P82"/>
    <mergeCell ref="P83:P86"/>
    <mergeCell ref="P87:P90"/>
    <mergeCell ref="P91:P94"/>
    <mergeCell ref="P47:P50"/>
    <mergeCell ref="P51:P54"/>
    <mergeCell ref="P55:P58"/>
    <mergeCell ref="P59:P62"/>
    <mergeCell ref="P63:P66"/>
    <mergeCell ref="P67:P70"/>
    <mergeCell ref="P23:P26"/>
    <mergeCell ref="P27:P30"/>
    <mergeCell ref="P31:P34"/>
    <mergeCell ref="P35:P38"/>
    <mergeCell ref="P39:P42"/>
    <mergeCell ref="P43:P46"/>
    <mergeCell ref="P1:P2"/>
    <mergeCell ref="P3:P6"/>
    <mergeCell ref="P7:P10"/>
    <mergeCell ref="P11:P14"/>
    <mergeCell ref="P15:P18"/>
    <mergeCell ref="P19:P22"/>
  </mergeCells>
  <phoneticPr fontId="1" type="noConversion"/>
  <hyperlinks>
    <hyperlink ref="J3" r:id="rId1" xr:uid="{A73B18E1-E466-44D8-9616-8CB68B3C55D5}"/>
    <hyperlink ref="K3" r:id="rId2" display="#3@20" xr:uid="{23B5C1DC-40D8-4DD0-813F-CFA8650D3168}"/>
    <hyperlink ref="L3" r:id="rId3" xr:uid="{D5D2D608-A9D5-4F66-822B-4EC9046BCDDB}"/>
  </hyperlinks>
  <pageMargins left="0.7" right="0.7" top="0.75" bottom="0.75" header="0.3" footer="0.3"/>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8">
    <tabColor rgb="FF0070C0"/>
  </sheetPr>
  <dimension ref="A1:P1050"/>
  <sheetViews>
    <sheetView workbookViewId="0"/>
  </sheetViews>
  <sheetFormatPr defaultColWidth="9" defaultRowHeight="15.6" x14ac:dyDescent="0.3"/>
  <cols>
    <col min="1" max="15" width="9" style="172" customWidth="1"/>
    <col min="16" max="16" width="50.77734375" style="13" customWidth="1"/>
    <col min="17" max="34" width="9" style="5"/>
    <col min="35" max="35" width="13.44140625" style="5" bestFit="1" customWidth="1"/>
    <col min="36" max="16384" width="9" style="5"/>
  </cols>
  <sheetData>
    <row r="1" spans="1:16" x14ac:dyDescent="0.3">
      <c r="A1" s="172" t="s">
        <v>449</v>
      </c>
      <c r="B1" s="172" t="s">
        <v>450</v>
      </c>
      <c r="C1" s="172" t="s">
        <v>451</v>
      </c>
      <c r="D1" s="172" t="s">
        <v>452</v>
      </c>
      <c r="E1" s="172" t="s">
        <v>453</v>
      </c>
      <c r="F1" s="172" t="s">
        <v>453</v>
      </c>
      <c r="I1" s="172" t="s">
        <v>454</v>
      </c>
      <c r="J1" s="172" t="s">
        <v>455</v>
      </c>
      <c r="M1" s="172" t="s">
        <v>456</v>
      </c>
      <c r="N1" s="172" t="s">
        <v>457</v>
      </c>
      <c r="O1" s="172" t="s">
        <v>293</v>
      </c>
      <c r="P1" s="159" t="s">
        <v>282</v>
      </c>
    </row>
    <row r="2" spans="1:16" ht="16.2" thickBot="1" x14ac:dyDescent="0.35">
      <c r="F2" s="172" t="s">
        <v>372</v>
      </c>
      <c r="G2" s="172" t="s">
        <v>369</v>
      </c>
      <c r="H2" s="172" t="s">
        <v>375</v>
      </c>
      <c r="J2" s="172" t="s">
        <v>460</v>
      </c>
      <c r="K2" s="172" t="s">
        <v>369</v>
      </c>
      <c r="L2" s="172" t="s">
        <v>375</v>
      </c>
      <c r="P2" s="160"/>
    </row>
    <row r="3" spans="1:16" ht="16.2" thickTop="1" x14ac:dyDescent="0.3">
      <c r="A3" s="172" t="s">
        <v>286</v>
      </c>
      <c r="B3" s="172" t="s">
        <v>295</v>
      </c>
      <c r="C3" s="172">
        <v>40</v>
      </c>
      <c r="D3" s="172">
        <v>60</v>
      </c>
      <c r="E3" s="172" t="s">
        <v>458</v>
      </c>
      <c r="F3" s="172" t="s">
        <v>296</v>
      </c>
      <c r="G3" s="172" t="s">
        <v>296</v>
      </c>
      <c r="H3" s="172" t="s">
        <v>296</v>
      </c>
      <c r="I3" s="172" t="s">
        <v>287</v>
      </c>
      <c r="J3" s="172" t="s">
        <v>288</v>
      </c>
      <c r="K3" s="172" t="s">
        <v>288</v>
      </c>
      <c r="L3" s="172" t="s">
        <v>288</v>
      </c>
      <c r="M3" s="172">
        <v>840</v>
      </c>
      <c r="N3" s="172">
        <v>50</v>
      </c>
      <c r="P3" s="164" t="s">
        <v>448</v>
      </c>
    </row>
    <row r="4" spans="1:16" x14ac:dyDescent="0.3">
      <c r="E4" s="172" t="s">
        <v>459</v>
      </c>
      <c r="F4" s="172">
        <v>0</v>
      </c>
      <c r="G4" s="172">
        <v>0</v>
      </c>
      <c r="H4" s="172">
        <v>0</v>
      </c>
      <c r="P4" s="162"/>
    </row>
    <row r="5" spans="1:16" x14ac:dyDescent="0.3">
      <c r="E5" s="172" t="s">
        <v>458</v>
      </c>
      <c r="F5" s="172" t="s">
        <v>296</v>
      </c>
      <c r="G5" s="172" t="s">
        <v>297</v>
      </c>
      <c r="H5" s="172" t="s">
        <v>296</v>
      </c>
      <c r="P5" s="162"/>
    </row>
    <row r="6" spans="1:16" x14ac:dyDescent="0.3">
      <c r="E6" s="172" t="s">
        <v>459</v>
      </c>
      <c r="F6" s="172" t="s">
        <v>297</v>
      </c>
      <c r="G6" s="172" t="s">
        <v>297</v>
      </c>
      <c r="H6" s="172" t="s">
        <v>297</v>
      </c>
      <c r="P6" s="163"/>
    </row>
    <row r="7" spans="1:16" x14ac:dyDescent="0.3">
      <c r="P7" s="161"/>
    </row>
    <row r="8" spans="1:16" x14ac:dyDescent="0.3">
      <c r="P8" s="162"/>
    </row>
    <row r="9" spans="1:16" x14ac:dyDescent="0.3">
      <c r="P9" s="162"/>
    </row>
    <row r="10" spans="1:16" x14ac:dyDescent="0.3">
      <c r="P10" s="163"/>
    </row>
    <row r="11" spans="1:16" x14ac:dyDescent="0.3">
      <c r="P11" s="161"/>
    </row>
    <row r="12" spans="1:16" x14ac:dyDescent="0.3">
      <c r="P12" s="162"/>
    </row>
    <row r="13" spans="1:16" x14ac:dyDescent="0.3">
      <c r="P13" s="162"/>
    </row>
    <row r="14" spans="1:16" x14ac:dyDescent="0.3">
      <c r="P14" s="163"/>
    </row>
    <row r="15" spans="1:16" x14ac:dyDescent="0.3">
      <c r="P15" s="161"/>
    </row>
    <row r="16" spans="1:16" x14ac:dyDescent="0.3">
      <c r="P16" s="162"/>
    </row>
    <row r="17" spans="16:16" x14ac:dyDescent="0.3">
      <c r="P17" s="162"/>
    </row>
    <row r="18" spans="16:16" x14ac:dyDescent="0.3">
      <c r="P18" s="163"/>
    </row>
    <row r="19" spans="16:16" x14ac:dyDescent="0.3">
      <c r="P19" s="161"/>
    </row>
    <row r="20" spans="16:16" x14ac:dyDescent="0.3">
      <c r="P20" s="162"/>
    </row>
    <row r="21" spans="16:16" x14ac:dyDescent="0.3">
      <c r="P21" s="162"/>
    </row>
    <row r="22" spans="16:16" x14ac:dyDescent="0.3">
      <c r="P22" s="163"/>
    </row>
    <row r="23" spans="16:16" x14ac:dyDescent="0.3">
      <c r="P23" s="161"/>
    </row>
    <row r="24" spans="16:16" x14ac:dyDescent="0.3">
      <c r="P24" s="162"/>
    </row>
    <row r="25" spans="16:16" x14ac:dyDescent="0.3">
      <c r="P25" s="162"/>
    </row>
    <row r="26" spans="16:16" x14ac:dyDescent="0.3">
      <c r="P26" s="163"/>
    </row>
    <row r="27" spans="16:16" x14ac:dyDescent="0.3">
      <c r="P27" s="161"/>
    </row>
    <row r="28" spans="16:16" x14ac:dyDescent="0.3">
      <c r="P28" s="162"/>
    </row>
    <row r="29" spans="16:16" x14ac:dyDescent="0.3">
      <c r="P29" s="162"/>
    </row>
    <row r="30" spans="16:16" x14ac:dyDescent="0.3">
      <c r="P30" s="163"/>
    </row>
    <row r="31" spans="16:16" x14ac:dyDescent="0.3">
      <c r="P31" s="161"/>
    </row>
    <row r="32" spans="16:16" x14ac:dyDescent="0.3">
      <c r="P32" s="162"/>
    </row>
    <row r="33" spans="16:16" x14ac:dyDescent="0.3">
      <c r="P33" s="162"/>
    </row>
    <row r="34" spans="16:16" x14ac:dyDescent="0.3">
      <c r="P34" s="163"/>
    </row>
    <row r="35" spans="16:16" x14ac:dyDescent="0.3">
      <c r="P35" s="161"/>
    </row>
    <row r="36" spans="16:16" x14ac:dyDescent="0.3">
      <c r="P36" s="162"/>
    </row>
    <row r="37" spans="16:16" x14ac:dyDescent="0.3">
      <c r="P37" s="162"/>
    </row>
    <row r="38" spans="16:16" x14ac:dyDescent="0.3">
      <c r="P38" s="163"/>
    </row>
    <row r="39" spans="16:16" x14ac:dyDescent="0.3">
      <c r="P39" s="161"/>
    </row>
    <row r="40" spans="16:16" x14ac:dyDescent="0.3">
      <c r="P40" s="162"/>
    </row>
    <row r="41" spans="16:16" x14ac:dyDescent="0.3">
      <c r="P41" s="162"/>
    </row>
    <row r="42" spans="16:16" x14ac:dyDescent="0.3">
      <c r="P42" s="163"/>
    </row>
    <row r="43" spans="16:16" x14ac:dyDescent="0.3">
      <c r="P43" s="161"/>
    </row>
    <row r="44" spans="16:16" x14ac:dyDescent="0.3">
      <c r="P44" s="162"/>
    </row>
    <row r="45" spans="16:16" x14ac:dyDescent="0.3">
      <c r="P45" s="162"/>
    </row>
    <row r="46" spans="16:16" x14ac:dyDescent="0.3">
      <c r="P46" s="163"/>
    </row>
    <row r="47" spans="16:16" x14ac:dyDescent="0.3">
      <c r="P47" s="161"/>
    </row>
    <row r="48" spans="16:16" x14ac:dyDescent="0.3">
      <c r="P48" s="162"/>
    </row>
    <row r="49" spans="16:16" x14ac:dyDescent="0.3">
      <c r="P49" s="162"/>
    </row>
    <row r="50" spans="16:16" x14ac:dyDescent="0.3">
      <c r="P50" s="163"/>
    </row>
    <row r="51" spans="16:16" x14ac:dyDescent="0.3">
      <c r="P51" s="161"/>
    </row>
    <row r="52" spans="16:16" x14ac:dyDescent="0.3">
      <c r="P52" s="162"/>
    </row>
    <row r="53" spans="16:16" x14ac:dyDescent="0.3">
      <c r="P53" s="162"/>
    </row>
    <row r="54" spans="16:16" x14ac:dyDescent="0.3">
      <c r="P54" s="163"/>
    </row>
    <row r="55" spans="16:16" x14ac:dyDescent="0.3">
      <c r="P55" s="161"/>
    </row>
    <row r="56" spans="16:16" x14ac:dyDescent="0.3">
      <c r="P56" s="162"/>
    </row>
    <row r="57" spans="16:16" x14ac:dyDescent="0.3">
      <c r="P57" s="162"/>
    </row>
    <row r="58" spans="16:16" x14ac:dyDescent="0.3">
      <c r="P58" s="163"/>
    </row>
    <row r="59" spans="16:16" x14ac:dyDescent="0.3">
      <c r="P59" s="161"/>
    </row>
    <row r="60" spans="16:16" x14ac:dyDescent="0.3">
      <c r="P60" s="162"/>
    </row>
    <row r="61" spans="16:16" x14ac:dyDescent="0.3">
      <c r="P61" s="162"/>
    </row>
    <row r="62" spans="16:16" x14ac:dyDescent="0.3">
      <c r="P62" s="163"/>
    </row>
    <row r="63" spans="16:16" x14ac:dyDescent="0.3">
      <c r="P63" s="161"/>
    </row>
    <row r="64" spans="16:16" x14ac:dyDescent="0.3">
      <c r="P64" s="162"/>
    </row>
    <row r="65" spans="16:16" x14ac:dyDescent="0.3">
      <c r="P65" s="162"/>
    </row>
    <row r="66" spans="16:16" x14ac:dyDescent="0.3">
      <c r="P66" s="163"/>
    </row>
    <row r="67" spans="16:16" x14ac:dyDescent="0.3">
      <c r="P67" s="161"/>
    </row>
    <row r="68" spans="16:16" x14ac:dyDescent="0.3">
      <c r="P68" s="162"/>
    </row>
    <row r="69" spans="16:16" x14ac:dyDescent="0.3">
      <c r="P69" s="162"/>
    </row>
    <row r="70" spans="16:16" x14ac:dyDescent="0.3">
      <c r="P70" s="163"/>
    </row>
    <row r="71" spans="16:16" x14ac:dyDescent="0.3">
      <c r="P71" s="161"/>
    </row>
    <row r="72" spans="16:16" x14ac:dyDescent="0.3">
      <c r="P72" s="162"/>
    </row>
    <row r="73" spans="16:16" x14ac:dyDescent="0.3">
      <c r="P73" s="162"/>
    </row>
    <row r="74" spans="16:16" x14ac:dyDescent="0.3">
      <c r="P74" s="163"/>
    </row>
    <row r="75" spans="16:16" x14ac:dyDescent="0.3">
      <c r="P75" s="161"/>
    </row>
    <row r="76" spans="16:16" x14ac:dyDescent="0.3">
      <c r="P76" s="162"/>
    </row>
    <row r="77" spans="16:16" x14ac:dyDescent="0.3">
      <c r="P77" s="162"/>
    </row>
    <row r="78" spans="16:16" x14ac:dyDescent="0.3">
      <c r="P78" s="163"/>
    </row>
    <row r="79" spans="16:16" x14ac:dyDescent="0.3">
      <c r="P79" s="161"/>
    </row>
    <row r="80" spans="16:16" x14ac:dyDescent="0.3">
      <c r="P80" s="162"/>
    </row>
    <row r="81" spans="16:16" x14ac:dyDescent="0.3">
      <c r="P81" s="162"/>
    </row>
    <row r="82" spans="16:16" x14ac:dyDescent="0.3">
      <c r="P82" s="163"/>
    </row>
    <row r="83" spans="16:16" x14ac:dyDescent="0.3">
      <c r="P83" s="161"/>
    </row>
    <row r="84" spans="16:16" x14ac:dyDescent="0.3">
      <c r="P84" s="162"/>
    </row>
    <row r="85" spans="16:16" x14ac:dyDescent="0.3">
      <c r="P85" s="162"/>
    </row>
    <row r="86" spans="16:16" x14ac:dyDescent="0.3">
      <c r="P86" s="163"/>
    </row>
    <row r="87" spans="16:16" x14ac:dyDescent="0.3">
      <c r="P87" s="165"/>
    </row>
    <row r="88" spans="16:16" x14ac:dyDescent="0.3">
      <c r="P88" s="166"/>
    </row>
    <row r="89" spans="16:16" x14ac:dyDescent="0.3">
      <c r="P89" s="166"/>
    </row>
    <row r="90" spans="16:16" x14ac:dyDescent="0.3">
      <c r="P90" s="167"/>
    </row>
    <row r="91" spans="16:16" x14ac:dyDescent="0.3">
      <c r="P91" s="161"/>
    </row>
    <row r="92" spans="16:16" x14ac:dyDescent="0.3">
      <c r="P92" s="162"/>
    </row>
    <row r="93" spans="16:16" x14ac:dyDescent="0.3">
      <c r="P93" s="162"/>
    </row>
    <row r="94" spans="16:16" x14ac:dyDescent="0.3">
      <c r="P94" s="163"/>
    </row>
    <row r="95" spans="16:16" x14ac:dyDescent="0.3">
      <c r="P95" s="165"/>
    </row>
    <row r="96" spans="16:16" x14ac:dyDescent="0.3">
      <c r="P96" s="166"/>
    </row>
    <row r="97" spans="16:16" x14ac:dyDescent="0.3">
      <c r="P97" s="166"/>
    </row>
    <row r="98" spans="16:16" x14ac:dyDescent="0.3">
      <c r="P98" s="167"/>
    </row>
    <row r="99" spans="16:16" x14ac:dyDescent="0.3">
      <c r="P99" s="161"/>
    </row>
    <row r="100" spans="16:16" x14ac:dyDescent="0.3">
      <c r="P100" s="162"/>
    </row>
    <row r="101" spans="16:16" x14ac:dyDescent="0.3">
      <c r="P101" s="162"/>
    </row>
    <row r="102" spans="16:16" x14ac:dyDescent="0.3">
      <c r="P102" s="163"/>
    </row>
    <row r="103" spans="16:16" x14ac:dyDescent="0.3">
      <c r="P103" s="161"/>
    </row>
    <row r="104" spans="16:16" x14ac:dyDescent="0.3">
      <c r="P104" s="162"/>
    </row>
    <row r="105" spans="16:16" x14ac:dyDescent="0.3">
      <c r="P105" s="162"/>
    </row>
    <row r="106" spans="16:16" x14ac:dyDescent="0.3">
      <c r="P106" s="163"/>
    </row>
    <row r="107" spans="16:16" x14ac:dyDescent="0.3">
      <c r="P107" s="165"/>
    </row>
    <row r="108" spans="16:16" x14ac:dyDescent="0.3">
      <c r="P108" s="166"/>
    </row>
    <row r="109" spans="16:16" x14ac:dyDescent="0.3">
      <c r="P109" s="166"/>
    </row>
    <row r="110" spans="16:16" x14ac:dyDescent="0.3">
      <c r="P110" s="167"/>
    </row>
    <row r="111" spans="16:16" x14ac:dyDescent="0.3">
      <c r="P111" s="161"/>
    </row>
    <row r="112" spans="16:16" x14ac:dyDescent="0.3">
      <c r="P112" s="162"/>
    </row>
    <row r="113" spans="16:16" x14ac:dyDescent="0.3">
      <c r="P113" s="162"/>
    </row>
    <row r="114" spans="16:16" x14ac:dyDescent="0.3">
      <c r="P114" s="163"/>
    </row>
    <row r="115" spans="16:16" x14ac:dyDescent="0.3">
      <c r="P115" s="165"/>
    </row>
    <row r="116" spans="16:16" x14ac:dyDescent="0.3">
      <c r="P116" s="166"/>
    </row>
    <row r="117" spans="16:16" x14ac:dyDescent="0.3">
      <c r="P117" s="166"/>
    </row>
    <row r="118" spans="16:16" x14ac:dyDescent="0.3">
      <c r="P118" s="167"/>
    </row>
    <row r="119" spans="16:16" x14ac:dyDescent="0.3">
      <c r="P119" s="161"/>
    </row>
    <row r="120" spans="16:16" x14ac:dyDescent="0.3">
      <c r="P120" s="162"/>
    </row>
    <row r="121" spans="16:16" x14ac:dyDescent="0.3">
      <c r="P121" s="162"/>
    </row>
    <row r="122" spans="16:16" x14ac:dyDescent="0.3">
      <c r="P122" s="163"/>
    </row>
    <row r="123" spans="16:16" x14ac:dyDescent="0.3">
      <c r="P123" s="161"/>
    </row>
    <row r="124" spans="16:16" x14ac:dyDescent="0.3">
      <c r="P124" s="162"/>
    </row>
    <row r="125" spans="16:16" x14ac:dyDescent="0.3">
      <c r="P125" s="162"/>
    </row>
    <row r="126" spans="16:16" x14ac:dyDescent="0.3">
      <c r="P126" s="163"/>
    </row>
    <row r="127" spans="16:16" x14ac:dyDescent="0.3">
      <c r="P127" s="161"/>
    </row>
    <row r="128" spans="16:16" x14ac:dyDescent="0.3">
      <c r="P128" s="162"/>
    </row>
    <row r="129" spans="16:16" x14ac:dyDescent="0.3">
      <c r="P129" s="162"/>
    </row>
    <row r="130" spans="16:16" x14ac:dyDescent="0.3">
      <c r="P130" s="163"/>
    </row>
    <row r="131" spans="16:16" x14ac:dyDescent="0.3">
      <c r="P131" s="161"/>
    </row>
    <row r="132" spans="16:16" x14ac:dyDescent="0.3">
      <c r="P132" s="162"/>
    </row>
    <row r="133" spans="16:16" x14ac:dyDescent="0.3">
      <c r="P133" s="162"/>
    </row>
    <row r="134" spans="16:16" x14ac:dyDescent="0.3">
      <c r="P134" s="163"/>
    </row>
    <row r="135" spans="16:16" x14ac:dyDescent="0.3">
      <c r="P135" s="161"/>
    </row>
    <row r="136" spans="16:16" x14ac:dyDescent="0.3">
      <c r="P136" s="162"/>
    </row>
    <row r="137" spans="16:16" x14ac:dyDescent="0.3">
      <c r="P137" s="162"/>
    </row>
    <row r="138" spans="16:16" x14ac:dyDescent="0.3">
      <c r="P138" s="163"/>
    </row>
    <row r="139" spans="16:16" x14ac:dyDescent="0.3">
      <c r="P139" s="161"/>
    </row>
    <row r="140" spans="16:16" x14ac:dyDescent="0.3">
      <c r="P140" s="162"/>
    </row>
    <row r="141" spans="16:16" x14ac:dyDescent="0.3">
      <c r="P141" s="162"/>
    </row>
    <row r="142" spans="16:16" x14ac:dyDescent="0.3">
      <c r="P142" s="163"/>
    </row>
    <row r="143" spans="16:16" x14ac:dyDescent="0.3">
      <c r="P143" s="161"/>
    </row>
    <row r="144" spans="16:16" x14ac:dyDescent="0.3">
      <c r="P144" s="162"/>
    </row>
    <row r="145" spans="16:16" x14ac:dyDescent="0.3">
      <c r="P145" s="162"/>
    </row>
    <row r="146" spans="16:16" x14ac:dyDescent="0.3">
      <c r="P146" s="163"/>
    </row>
    <row r="147" spans="16:16" x14ac:dyDescent="0.3">
      <c r="P147" s="161"/>
    </row>
    <row r="148" spans="16:16" x14ac:dyDescent="0.3">
      <c r="P148" s="162"/>
    </row>
    <row r="149" spans="16:16" x14ac:dyDescent="0.3">
      <c r="P149" s="162"/>
    </row>
    <row r="150" spans="16:16" x14ac:dyDescent="0.3">
      <c r="P150" s="163"/>
    </row>
    <row r="151" spans="16:16" x14ac:dyDescent="0.3">
      <c r="P151" s="161"/>
    </row>
    <row r="152" spans="16:16" x14ac:dyDescent="0.3">
      <c r="P152" s="162"/>
    </row>
    <row r="153" spans="16:16" x14ac:dyDescent="0.3">
      <c r="P153" s="162"/>
    </row>
    <row r="154" spans="16:16" x14ac:dyDescent="0.3">
      <c r="P154" s="163"/>
    </row>
    <row r="155" spans="16:16" x14ac:dyDescent="0.3">
      <c r="P155" s="161"/>
    </row>
    <row r="156" spans="16:16" x14ac:dyDescent="0.3">
      <c r="P156" s="162"/>
    </row>
    <row r="157" spans="16:16" x14ac:dyDescent="0.3">
      <c r="P157" s="162"/>
    </row>
    <row r="158" spans="16:16" x14ac:dyDescent="0.3">
      <c r="P158" s="163"/>
    </row>
    <row r="159" spans="16:16" x14ac:dyDescent="0.3">
      <c r="P159" s="161"/>
    </row>
    <row r="160" spans="16:16" x14ac:dyDescent="0.3">
      <c r="P160" s="162"/>
    </row>
    <row r="161" spans="16:16" x14ac:dyDescent="0.3">
      <c r="P161" s="162"/>
    </row>
    <row r="162" spans="16:16" x14ac:dyDescent="0.3">
      <c r="P162" s="163"/>
    </row>
    <row r="163" spans="16:16" x14ac:dyDescent="0.3">
      <c r="P163" s="161"/>
    </row>
    <row r="164" spans="16:16" x14ac:dyDescent="0.3">
      <c r="P164" s="162"/>
    </row>
    <row r="165" spans="16:16" x14ac:dyDescent="0.3">
      <c r="P165" s="162"/>
    </row>
    <row r="166" spans="16:16" x14ac:dyDescent="0.3">
      <c r="P166" s="163"/>
    </row>
    <row r="167" spans="16:16" x14ac:dyDescent="0.3">
      <c r="P167" s="161"/>
    </row>
    <row r="168" spans="16:16" x14ac:dyDescent="0.3">
      <c r="P168" s="162"/>
    </row>
    <row r="169" spans="16:16" x14ac:dyDescent="0.3">
      <c r="P169" s="162"/>
    </row>
    <row r="170" spans="16:16" x14ac:dyDescent="0.3">
      <c r="P170" s="163"/>
    </row>
    <row r="171" spans="16:16" x14ac:dyDescent="0.3">
      <c r="P171" s="161"/>
    </row>
    <row r="172" spans="16:16" x14ac:dyDescent="0.3">
      <c r="P172" s="162"/>
    </row>
    <row r="173" spans="16:16" x14ac:dyDescent="0.3">
      <c r="P173" s="162"/>
    </row>
    <row r="174" spans="16:16" x14ac:dyDescent="0.3">
      <c r="P174" s="163"/>
    </row>
    <row r="175" spans="16:16" x14ac:dyDescent="0.3">
      <c r="P175" s="161"/>
    </row>
    <row r="176" spans="16:16" x14ac:dyDescent="0.3">
      <c r="P176" s="162"/>
    </row>
    <row r="177" spans="16:16" x14ac:dyDescent="0.3">
      <c r="P177" s="162"/>
    </row>
    <row r="178" spans="16:16" x14ac:dyDescent="0.3">
      <c r="P178" s="163"/>
    </row>
    <row r="179" spans="16:16" x14ac:dyDescent="0.3">
      <c r="P179" s="161"/>
    </row>
    <row r="180" spans="16:16" x14ac:dyDescent="0.3">
      <c r="P180" s="162"/>
    </row>
    <row r="181" spans="16:16" x14ac:dyDescent="0.3">
      <c r="P181" s="162"/>
    </row>
    <row r="182" spans="16:16" x14ac:dyDescent="0.3">
      <c r="P182" s="163"/>
    </row>
    <row r="183" spans="16:16" x14ac:dyDescent="0.3">
      <c r="P183" s="161"/>
    </row>
    <row r="184" spans="16:16" x14ac:dyDescent="0.3">
      <c r="P184" s="162"/>
    </row>
    <row r="185" spans="16:16" x14ac:dyDescent="0.3">
      <c r="P185" s="162"/>
    </row>
    <row r="186" spans="16:16" x14ac:dyDescent="0.3">
      <c r="P186" s="163"/>
    </row>
    <row r="187" spans="16:16" x14ac:dyDescent="0.3">
      <c r="P187" s="161"/>
    </row>
    <row r="188" spans="16:16" x14ac:dyDescent="0.3">
      <c r="P188" s="162"/>
    </row>
    <row r="189" spans="16:16" x14ac:dyDescent="0.3">
      <c r="P189" s="162"/>
    </row>
    <row r="190" spans="16:16" x14ac:dyDescent="0.3">
      <c r="P190" s="163"/>
    </row>
    <row r="191" spans="16:16" x14ac:dyDescent="0.3">
      <c r="P191" s="161"/>
    </row>
    <row r="192" spans="16:16" x14ac:dyDescent="0.3">
      <c r="P192" s="162"/>
    </row>
    <row r="193" spans="16:16" x14ac:dyDescent="0.3">
      <c r="P193" s="162"/>
    </row>
    <row r="194" spans="16:16" x14ac:dyDescent="0.3">
      <c r="P194" s="163"/>
    </row>
    <row r="195" spans="16:16" x14ac:dyDescent="0.3">
      <c r="P195" s="161"/>
    </row>
    <row r="196" spans="16:16" x14ac:dyDescent="0.3">
      <c r="P196" s="162"/>
    </row>
    <row r="197" spans="16:16" x14ac:dyDescent="0.3">
      <c r="P197" s="162"/>
    </row>
    <row r="198" spans="16:16" x14ac:dyDescent="0.3">
      <c r="P198" s="163"/>
    </row>
    <row r="199" spans="16:16" x14ac:dyDescent="0.3">
      <c r="P199" s="161"/>
    </row>
    <row r="200" spans="16:16" x14ac:dyDescent="0.3">
      <c r="P200" s="162"/>
    </row>
    <row r="201" spans="16:16" x14ac:dyDescent="0.3">
      <c r="P201" s="162"/>
    </row>
    <row r="202" spans="16:16" x14ac:dyDescent="0.3">
      <c r="P202" s="163"/>
    </row>
    <row r="203" spans="16:16" x14ac:dyDescent="0.3">
      <c r="P203" s="161"/>
    </row>
    <row r="204" spans="16:16" x14ac:dyDescent="0.3">
      <c r="P204" s="162"/>
    </row>
    <row r="205" spans="16:16" x14ac:dyDescent="0.3">
      <c r="P205" s="162"/>
    </row>
    <row r="206" spans="16:16" x14ac:dyDescent="0.3">
      <c r="P206" s="163"/>
    </row>
    <row r="207" spans="16:16" x14ac:dyDescent="0.3">
      <c r="P207" s="161"/>
    </row>
    <row r="208" spans="16:16" x14ac:dyDescent="0.3">
      <c r="P208" s="162"/>
    </row>
    <row r="209" spans="16:16" x14ac:dyDescent="0.3">
      <c r="P209" s="162"/>
    </row>
    <row r="210" spans="16:16" x14ac:dyDescent="0.3">
      <c r="P210" s="163"/>
    </row>
    <row r="211" spans="16:16" x14ac:dyDescent="0.3">
      <c r="P211" s="161"/>
    </row>
    <row r="212" spans="16:16" x14ac:dyDescent="0.3">
      <c r="P212" s="162"/>
    </row>
    <row r="213" spans="16:16" x14ac:dyDescent="0.3">
      <c r="P213" s="162"/>
    </row>
    <row r="214" spans="16:16" x14ac:dyDescent="0.3">
      <c r="P214" s="163"/>
    </row>
    <row r="215" spans="16:16" x14ac:dyDescent="0.3">
      <c r="P215" s="161"/>
    </row>
    <row r="216" spans="16:16" x14ac:dyDescent="0.3">
      <c r="P216" s="162"/>
    </row>
    <row r="217" spans="16:16" x14ac:dyDescent="0.3">
      <c r="P217" s="162"/>
    </row>
    <row r="218" spans="16:16" x14ac:dyDescent="0.3">
      <c r="P218" s="163"/>
    </row>
    <row r="219" spans="16:16" x14ac:dyDescent="0.3">
      <c r="P219" s="161"/>
    </row>
    <row r="220" spans="16:16" x14ac:dyDescent="0.3">
      <c r="P220" s="162"/>
    </row>
    <row r="221" spans="16:16" x14ac:dyDescent="0.3">
      <c r="P221" s="162"/>
    </row>
    <row r="222" spans="16:16" x14ac:dyDescent="0.3">
      <c r="P222" s="163"/>
    </row>
    <row r="223" spans="16:16" x14ac:dyDescent="0.3">
      <c r="P223" s="161"/>
    </row>
    <row r="224" spans="16:16" x14ac:dyDescent="0.3">
      <c r="P224" s="162"/>
    </row>
    <row r="225" spans="16:16" x14ac:dyDescent="0.3">
      <c r="P225" s="162"/>
    </row>
    <row r="226" spans="16:16" x14ac:dyDescent="0.3">
      <c r="P226" s="163"/>
    </row>
    <row r="227" spans="16:16" x14ac:dyDescent="0.3">
      <c r="P227" s="161"/>
    </row>
    <row r="228" spans="16:16" x14ac:dyDescent="0.3">
      <c r="P228" s="162"/>
    </row>
    <row r="229" spans="16:16" x14ac:dyDescent="0.3">
      <c r="P229" s="162"/>
    </row>
    <row r="230" spans="16:16" x14ac:dyDescent="0.3">
      <c r="P230" s="163"/>
    </row>
    <row r="231" spans="16:16" x14ac:dyDescent="0.3">
      <c r="P231" s="161"/>
    </row>
    <row r="232" spans="16:16" x14ac:dyDescent="0.3">
      <c r="P232" s="162"/>
    </row>
    <row r="233" spans="16:16" x14ac:dyDescent="0.3">
      <c r="P233" s="162"/>
    </row>
    <row r="234" spans="16:16" x14ac:dyDescent="0.3">
      <c r="P234" s="163"/>
    </row>
    <row r="235" spans="16:16" x14ac:dyDescent="0.3">
      <c r="P235" s="161"/>
    </row>
    <row r="236" spans="16:16" x14ac:dyDescent="0.3">
      <c r="P236" s="162"/>
    </row>
    <row r="237" spans="16:16" x14ac:dyDescent="0.3">
      <c r="P237" s="162"/>
    </row>
    <row r="238" spans="16:16" x14ac:dyDescent="0.3">
      <c r="P238" s="163"/>
    </row>
    <row r="239" spans="16:16" x14ac:dyDescent="0.3">
      <c r="P239" s="161"/>
    </row>
    <row r="240" spans="16:16" x14ac:dyDescent="0.3">
      <c r="P240" s="162"/>
    </row>
    <row r="241" spans="16:16" x14ac:dyDescent="0.3">
      <c r="P241" s="162"/>
    </row>
    <row r="242" spans="16:16" x14ac:dyDescent="0.3">
      <c r="P242" s="163"/>
    </row>
    <row r="243" spans="16:16" x14ac:dyDescent="0.3">
      <c r="P243" s="161"/>
    </row>
    <row r="244" spans="16:16" x14ac:dyDescent="0.3">
      <c r="P244" s="162"/>
    </row>
    <row r="245" spans="16:16" x14ac:dyDescent="0.3">
      <c r="P245" s="162"/>
    </row>
    <row r="246" spans="16:16" x14ac:dyDescent="0.3">
      <c r="P246" s="163"/>
    </row>
    <row r="247" spans="16:16" x14ac:dyDescent="0.3">
      <c r="P247" s="161"/>
    </row>
    <row r="248" spans="16:16" x14ac:dyDescent="0.3">
      <c r="P248" s="162"/>
    </row>
    <row r="249" spans="16:16" x14ac:dyDescent="0.3">
      <c r="P249" s="162"/>
    </row>
    <row r="250" spans="16:16" x14ac:dyDescent="0.3">
      <c r="P250" s="163"/>
    </row>
    <row r="251" spans="16:16" x14ac:dyDescent="0.3">
      <c r="P251" s="165"/>
    </row>
    <row r="252" spans="16:16" x14ac:dyDescent="0.3">
      <c r="P252" s="166"/>
    </row>
    <row r="253" spans="16:16" x14ac:dyDescent="0.3">
      <c r="P253" s="166"/>
    </row>
    <row r="254" spans="16:16" x14ac:dyDescent="0.3">
      <c r="P254" s="167"/>
    </row>
    <row r="255" spans="16:16" x14ac:dyDescent="0.3">
      <c r="P255" s="165"/>
    </row>
    <row r="256" spans="16:16" x14ac:dyDescent="0.3">
      <c r="P256" s="166"/>
    </row>
    <row r="257" spans="16:16" x14ac:dyDescent="0.3">
      <c r="P257" s="166"/>
    </row>
    <row r="258" spans="16:16" x14ac:dyDescent="0.3">
      <c r="P258" s="167"/>
    </row>
    <row r="259" spans="16:16" x14ac:dyDescent="0.3">
      <c r="P259" s="161"/>
    </row>
    <row r="260" spans="16:16" x14ac:dyDescent="0.3">
      <c r="P260" s="162"/>
    </row>
    <row r="261" spans="16:16" x14ac:dyDescent="0.3">
      <c r="P261" s="162"/>
    </row>
    <row r="262" spans="16:16" x14ac:dyDescent="0.3">
      <c r="P262" s="163"/>
    </row>
    <row r="263" spans="16:16" x14ac:dyDescent="0.3">
      <c r="P263" s="161"/>
    </row>
    <row r="264" spans="16:16" x14ac:dyDescent="0.3">
      <c r="P264" s="162"/>
    </row>
    <row r="265" spans="16:16" x14ac:dyDescent="0.3">
      <c r="P265" s="162"/>
    </row>
    <row r="266" spans="16:16" x14ac:dyDescent="0.3">
      <c r="P266" s="163"/>
    </row>
    <row r="267" spans="16:16" x14ac:dyDescent="0.3">
      <c r="P267" s="161"/>
    </row>
    <row r="268" spans="16:16" x14ac:dyDescent="0.3">
      <c r="P268" s="162"/>
    </row>
    <row r="269" spans="16:16" x14ac:dyDescent="0.3">
      <c r="P269" s="162"/>
    </row>
    <row r="270" spans="16:16" x14ac:dyDescent="0.3">
      <c r="P270" s="163"/>
    </row>
    <row r="271" spans="16:16" x14ac:dyDescent="0.3">
      <c r="P271" s="161"/>
    </row>
    <row r="272" spans="16:16" x14ac:dyDescent="0.3">
      <c r="P272" s="162"/>
    </row>
    <row r="273" spans="16:16" x14ac:dyDescent="0.3">
      <c r="P273" s="162"/>
    </row>
    <row r="274" spans="16:16" x14ac:dyDescent="0.3">
      <c r="P274" s="163"/>
    </row>
    <row r="275" spans="16:16" x14ac:dyDescent="0.3">
      <c r="P275" s="161"/>
    </row>
    <row r="276" spans="16:16" x14ac:dyDescent="0.3">
      <c r="P276" s="162"/>
    </row>
    <row r="277" spans="16:16" x14ac:dyDescent="0.3">
      <c r="P277" s="162"/>
    </row>
    <row r="278" spans="16:16" x14ac:dyDescent="0.3">
      <c r="P278" s="163"/>
    </row>
    <row r="279" spans="16:16" x14ac:dyDescent="0.3">
      <c r="P279" s="161"/>
    </row>
    <row r="280" spans="16:16" x14ac:dyDescent="0.3">
      <c r="P280" s="162"/>
    </row>
    <row r="281" spans="16:16" x14ac:dyDescent="0.3">
      <c r="P281" s="162"/>
    </row>
    <row r="282" spans="16:16" x14ac:dyDescent="0.3">
      <c r="P282" s="163"/>
    </row>
    <row r="283" spans="16:16" x14ac:dyDescent="0.3">
      <c r="P283" s="161"/>
    </row>
    <row r="284" spans="16:16" x14ac:dyDescent="0.3">
      <c r="P284" s="162"/>
    </row>
    <row r="285" spans="16:16" x14ac:dyDescent="0.3">
      <c r="P285" s="162"/>
    </row>
    <row r="286" spans="16:16" x14ac:dyDescent="0.3">
      <c r="P286" s="163"/>
    </row>
    <row r="287" spans="16:16" x14ac:dyDescent="0.3">
      <c r="P287" s="161"/>
    </row>
    <row r="288" spans="16:16" x14ac:dyDescent="0.3">
      <c r="P288" s="162"/>
    </row>
    <row r="289" spans="16:16" x14ac:dyDescent="0.3">
      <c r="P289" s="162"/>
    </row>
    <row r="290" spans="16:16" x14ac:dyDescent="0.3">
      <c r="P290" s="163"/>
    </row>
    <row r="291" spans="16:16" x14ac:dyDescent="0.3">
      <c r="P291" s="161"/>
    </row>
    <row r="292" spans="16:16" x14ac:dyDescent="0.3">
      <c r="P292" s="162"/>
    </row>
    <row r="293" spans="16:16" x14ac:dyDescent="0.3">
      <c r="P293" s="162"/>
    </row>
    <row r="294" spans="16:16" x14ac:dyDescent="0.3">
      <c r="P294" s="163"/>
    </row>
    <row r="295" spans="16:16" x14ac:dyDescent="0.3">
      <c r="P295" s="161"/>
    </row>
    <row r="296" spans="16:16" x14ac:dyDescent="0.3">
      <c r="P296" s="162"/>
    </row>
    <row r="297" spans="16:16" x14ac:dyDescent="0.3">
      <c r="P297" s="162"/>
    </row>
    <row r="298" spans="16:16" x14ac:dyDescent="0.3">
      <c r="P298" s="163"/>
    </row>
    <row r="299" spans="16:16" x14ac:dyDescent="0.3">
      <c r="P299" s="161"/>
    </row>
    <row r="300" spans="16:16" x14ac:dyDescent="0.3">
      <c r="P300" s="162"/>
    </row>
    <row r="301" spans="16:16" x14ac:dyDescent="0.3">
      <c r="P301" s="162"/>
    </row>
    <row r="302" spans="16:16" x14ac:dyDescent="0.3">
      <c r="P302" s="163"/>
    </row>
    <row r="303" spans="16:16" x14ac:dyDescent="0.3">
      <c r="P303" s="161"/>
    </row>
    <row r="304" spans="16:16" x14ac:dyDescent="0.3">
      <c r="P304" s="162"/>
    </row>
    <row r="305" spans="16:16" x14ac:dyDescent="0.3">
      <c r="P305" s="162"/>
    </row>
    <row r="306" spans="16:16" x14ac:dyDescent="0.3">
      <c r="P306" s="163"/>
    </row>
    <row r="307" spans="16:16" x14ac:dyDescent="0.3">
      <c r="P307" s="161"/>
    </row>
    <row r="308" spans="16:16" x14ac:dyDescent="0.3">
      <c r="P308" s="162"/>
    </row>
    <row r="309" spans="16:16" x14ac:dyDescent="0.3">
      <c r="P309" s="162"/>
    </row>
    <row r="310" spans="16:16" x14ac:dyDescent="0.3">
      <c r="P310" s="163"/>
    </row>
    <row r="311" spans="16:16" x14ac:dyDescent="0.3">
      <c r="P311" s="161"/>
    </row>
    <row r="312" spans="16:16" x14ac:dyDescent="0.3">
      <c r="P312" s="162"/>
    </row>
    <row r="313" spans="16:16" x14ac:dyDescent="0.3">
      <c r="P313" s="162"/>
    </row>
    <row r="314" spans="16:16" x14ac:dyDescent="0.3">
      <c r="P314" s="163"/>
    </row>
    <row r="315" spans="16:16" x14ac:dyDescent="0.3">
      <c r="P315" s="161"/>
    </row>
    <row r="316" spans="16:16" x14ac:dyDescent="0.3">
      <c r="P316" s="162"/>
    </row>
    <row r="317" spans="16:16" x14ac:dyDescent="0.3">
      <c r="P317" s="162"/>
    </row>
    <row r="318" spans="16:16" x14ac:dyDescent="0.3">
      <c r="P318" s="163"/>
    </row>
    <row r="319" spans="16:16" x14ac:dyDescent="0.3">
      <c r="P319" s="161"/>
    </row>
    <row r="320" spans="16:16" x14ac:dyDescent="0.3">
      <c r="P320" s="162"/>
    </row>
    <row r="321" spans="16:16" x14ac:dyDescent="0.3">
      <c r="P321" s="162"/>
    </row>
    <row r="322" spans="16:16" x14ac:dyDescent="0.3">
      <c r="P322" s="163"/>
    </row>
    <row r="323" spans="16:16" x14ac:dyDescent="0.3">
      <c r="P323" s="161"/>
    </row>
    <row r="324" spans="16:16" x14ac:dyDescent="0.3">
      <c r="P324" s="162"/>
    </row>
    <row r="325" spans="16:16" x14ac:dyDescent="0.3">
      <c r="P325" s="162"/>
    </row>
    <row r="326" spans="16:16" x14ac:dyDescent="0.3">
      <c r="P326" s="163"/>
    </row>
    <row r="327" spans="16:16" x14ac:dyDescent="0.3">
      <c r="P327" s="161"/>
    </row>
    <row r="328" spans="16:16" x14ac:dyDescent="0.3">
      <c r="P328" s="162"/>
    </row>
    <row r="329" spans="16:16" x14ac:dyDescent="0.3">
      <c r="P329" s="162"/>
    </row>
    <row r="330" spans="16:16" x14ac:dyDescent="0.3">
      <c r="P330" s="163"/>
    </row>
    <row r="331" spans="16:16" x14ac:dyDescent="0.3">
      <c r="P331" s="161"/>
    </row>
    <row r="332" spans="16:16" x14ac:dyDescent="0.3">
      <c r="P332" s="162"/>
    </row>
    <row r="333" spans="16:16" x14ac:dyDescent="0.3">
      <c r="P333" s="162"/>
    </row>
    <row r="334" spans="16:16" x14ac:dyDescent="0.3">
      <c r="P334" s="163"/>
    </row>
    <row r="335" spans="16:16" x14ac:dyDescent="0.3">
      <c r="P335" s="161"/>
    </row>
    <row r="336" spans="16:16" x14ac:dyDescent="0.3">
      <c r="P336" s="162"/>
    </row>
    <row r="337" spans="16:16" x14ac:dyDescent="0.3">
      <c r="P337" s="162"/>
    </row>
    <row r="338" spans="16:16" x14ac:dyDescent="0.3">
      <c r="P338" s="163"/>
    </row>
    <row r="339" spans="16:16" x14ac:dyDescent="0.3">
      <c r="P339" s="161"/>
    </row>
    <row r="340" spans="16:16" x14ac:dyDescent="0.3">
      <c r="P340" s="162"/>
    </row>
    <row r="341" spans="16:16" x14ac:dyDescent="0.3">
      <c r="P341" s="162"/>
    </row>
    <row r="342" spans="16:16" x14ac:dyDescent="0.3">
      <c r="P342" s="163"/>
    </row>
    <row r="343" spans="16:16" x14ac:dyDescent="0.3">
      <c r="P343" s="161"/>
    </row>
    <row r="344" spans="16:16" x14ac:dyDescent="0.3">
      <c r="P344" s="162"/>
    </row>
    <row r="345" spans="16:16" x14ac:dyDescent="0.3">
      <c r="P345" s="162"/>
    </row>
    <row r="346" spans="16:16" x14ac:dyDescent="0.3">
      <c r="P346" s="163"/>
    </row>
    <row r="347" spans="16:16" x14ac:dyDescent="0.3">
      <c r="P347" s="161"/>
    </row>
    <row r="348" spans="16:16" x14ac:dyDescent="0.3">
      <c r="P348" s="162"/>
    </row>
    <row r="349" spans="16:16" x14ac:dyDescent="0.3">
      <c r="P349" s="162"/>
    </row>
    <row r="350" spans="16:16" x14ac:dyDescent="0.3">
      <c r="P350" s="163"/>
    </row>
    <row r="351" spans="16:16" x14ac:dyDescent="0.3">
      <c r="P351" s="161"/>
    </row>
    <row r="352" spans="16:16" x14ac:dyDescent="0.3">
      <c r="P352" s="162"/>
    </row>
    <row r="353" spans="16:16" x14ac:dyDescent="0.3">
      <c r="P353" s="162"/>
    </row>
    <row r="354" spans="16:16" x14ac:dyDescent="0.3">
      <c r="P354" s="163"/>
    </row>
    <row r="355" spans="16:16" x14ac:dyDescent="0.3">
      <c r="P355" s="161"/>
    </row>
    <row r="356" spans="16:16" x14ac:dyDescent="0.3">
      <c r="P356" s="162"/>
    </row>
    <row r="357" spans="16:16" x14ac:dyDescent="0.3">
      <c r="P357" s="162"/>
    </row>
    <row r="358" spans="16:16" x14ac:dyDescent="0.3">
      <c r="P358" s="163"/>
    </row>
    <row r="359" spans="16:16" x14ac:dyDescent="0.3">
      <c r="P359" s="161"/>
    </row>
    <row r="360" spans="16:16" x14ac:dyDescent="0.3">
      <c r="P360" s="162"/>
    </row>
    <row r="361" spans="16:16" x14ac:dyDescent="0.3">
      <c r="P361" s="162"/>
    </row>
    <row r="362" spans="16:16" x14ac:dyDescent="0.3">
      <c r="P362" s="163"/>
    </row>
    <row r="363" spans="16:16" x14ac:dyDescent="0.3">
      <c r="P363" s="161"/>
    </row>
    <row r="364" spans="16:16" x14ac:dyDescent="0.3">
      <c r="P364" s="162"/>
    </row>
    <row r="365" spans="16:16" x14ac:dyDescent="0.3">
      <c r="P365" s="162"/>
    </row>
    <row r="366" spans="16:16" x14ac:dyDescent="0.3">
      <c r="P366" s="163"/>
    </row>
    <row r="367" spans="16:16" x14ac:dyDescent="0.3">
      <c r="P367" s="161"/>
    </row>
    <row r="368" spans="16:16" x14ac:dyDescent="0.3">
      <c r="P368" s="162"/>
    </row>
    <row r="369" spans="16:16" x14ac:dyDescent="0.3">
      <c r="P369" s="162"/>
    </row>
    <row r="370" spans="16:16" x14ac:dyDescent="0.3">
      <c r="P370" s="163"/>
    </row>
    <row r="371" spans="16:16" x14ac:dyDescent="0.3">
      <c r="P371" s="161"/>
    </row>
    <row r="372" spans="16:16" x14ac:dyDescent="0.3">
      <c r="P372" s="162"/>
    </row>
    <row r="373" spans="16:16" x14ac:dyDescent="0.3">
      <c r="P373" s="162"/>
    </row>
    <row r="374" spans="16:16" x14ac:dyDescent="0.3">
      <c r="P374" s="163"/>
    </row>
    <row r="375" spans="16:16" x14ac:dyDescent="0.3">
      <c r="P375" s="161"/>
    </row>
    <row r="376" spans="16:16" x14ac:dyDescent="0.3">
      <c r="P376" s="162"/>
    </row>
    <row r="377" spans="16:16" x14ac:dyDescent="0.3">
      <c r="P377" s="162"/>
    </row>
    <row r="378" spans="16:16" x14ac:dyDescent="0.3">
      <c r="P378" s="163"/>
    </row>
    <row r="379" spans="16:16" x14ac:dyDescent="0.3">
      <c r="P379" s="161"/>
    </row>
    <row r="380" spans="16:16" x14ac:dyDescent="0.3">
      <c r="P380" s="162"/>
    </row>
    <row r="381" spans="16:16" x14ac:dyDescent="0.3">
      <c r="P381" s="162"/>
    </row>
    <row r="382" spans="16:16" x14ac:dyDescent="0.3">
      <c r="P382" s="163"/>
    </row>
    <row r="383" spans="16:16" x14ac:dyDescent="0.3">
      <c r="P383" s="161"/>
    </row>
    <row r="384" spans="16:16" x14ac:dyDescent="0.3">
      <c r="P384" s="162"/>
    </row>
    <row r="385" spans="16:16" x14ac:dyDescent="0.3">
      <c r="P385" s="162"/>
    </row>
    <row r="386" spans="16:16" x14ac:dyDescent="0.3">
      <c r="P386" s="163"/>
    </row>
    <row r="387" spans="16:16" x14ac:dyDescent="0.3">
      <c r="P387" s="161"/>
    </row>
    <row r="388" spans="16:16" x14ac:dyDescent="0.3">
      <c r="P388" s="162"/>
    </row>
    <row r="389" spans="16:16" x14ac:dyDescent="0.3">
      <c r="P389" s="162"/>
    </row>
    <row r="390" spans="16:16" x14ac:dyDescent="0.3">
      <c r="P390" s="163"/>
    </row>
    <row r="391" spans="16:16" x14ac:dyDescent="0.3">
      <c r="P391" s="161"/>
    </row>
    <row r="392" spans="16:16" x14ac:dyDescent="0.3">
      <c r="P392" s="162"/>
    </row>
    <row r="393" spans="16:16" x14ac:dyDescent="0.3">
      <c r="P393" s="162"/>
    </row>
    <row r="394" spans="16:16" x14ac:dyDescent="0.3">
      <c r="P394" s="163"/>
    </row>
    <row r="395" spans="16:16" x14ac:dyDescent="0.3">
      <c r="P395" s="161"/>
    </row>
    <row r="396" spans="16:16" x14ac:dyDescent="0.3">
      <c r="P396" s="162"/>
    </row>
    <row r="397" spans="16:16" x14ac:dyDescent="0.3">
      <c r="P397" s="162"/>
    </row>
    <row r="398" spans="16:16" x14ac:dyDescent="0.3">
      <c r="P398" s="163"/>
    </row>
    <row r="399" spans="16:16" x14ac:dyDescent="0.3">
      <c r="P399" s="161"/>
    </row>
    <row r="400" spans="16:16" x14ac:dyDescent="0.3">
      <c r="P400" s="162"/>
    </row>
    <row r="401" spans="16:16" x14ac:dyDescent="0.3">
      <c r="P401" s="162"/>
    </row>
    <row r="402" spans="16:16" x14ac:dyDescent="0.3">
      <c r="P402" s="163"/>
    </row>
    <row r="403" spans="16:16" x14ac:dyDescent="0.3">
      <c r="P403" s="161"/>
    </row>
    <row r="404" spans="16:16" x14ac:dyDescent="0.3">
      <c r="P404" s="162"/>
    </row>
    <row r="405" spans="16:16" x14ac:dyDescent="0.3">
      <c r="P405" s="162"/>
    </row>
    <row r="406" spans="16:16" x14ac:dyDescent="0.3">
      <c r="P406" s="163"/>
    </row>
    <row r="407" spans="16:16" x14ac:dyDescent="0.3">
      <c r="P407" s="161"/>
    </row>
    <row r="408" spans="16:16" x14ac:dyDescent="0.3">
      <c r="P408" s="162"/>
    </row>
    <row r="409" spans="16:16" x14ac:dyDescent="0.3">
      <c r="P409" s="162"/>
    </row>
    <row r="410" spans="16:16" x14ac:dyDescent="0.3">
      <c r="P410" s="163"/>
    </row>
    <row r="411" spans="16:16" x14ac:dyDescent="0.3">
      <c r="P411" s="161"/>
    </row>
    <row r="412" spans="16:16" x14ac:dyDescent="0.3">
      <c r="P412" s="162"/>
    </row>
    <row r="413" spans="16:16" x14ac:dyDescent="0.3">
      <c r="P413" s="162"/>
    </row>
    <row r="414" spans="16:16" x14ac:dyDescent="0.3">
      <c r="P414" s="163"/>
    </row>
    <row r="415" spans="16:16" x14ac:dyDescent="0.3">
      <c r="P415" s="161"/>
    </row>
    <row r="416" spans="16:16" x14ac:dyDescent="0.3">
      <c r="P416" s="162"/>
    </row>
    <row r="417" spans="16:16" x14ac:dyDescent="0.3">
      <c r="P417" s="162"/>
    </row>
    <row r="418" spans="16:16" x14ac:dyDescent="0.3">
      <c r="P418" s="163"/>
    </row>
    <row r="419" spans="16:16" x14ac:dyDescent="0.3">
      <c r="P419" s="161"/>
    </row>
    <row r="420" spans="16:16" x14ac:dyDescent="0.3">
      <c r="P420" s="162"/>
    </row>
    <row r="421" spans="16:16" x14ac:dyDescent="0.3">
      <c r="P421" s="162"/>
    </row>
    <row r="422" spans="16:16" x14ac:dyDescent="0.3">
      <c r="P422" s="163"/>
    </row>
    <row r="423" spans="16:16" x14ac:dyDescent="0.3">
      <c r="P423" s="161"/>
    </row>
    <row r="424" spans="16:16" x14ac:dyDescent="0.3">
      <c r="P424" s="162"/>
    </row>
    <row r="425" spans="16:16" x14ac:dyDescent="0.3">
      <c r="P425" s="162"/>
    </row>
    <row r="426" spans="16:16" x14ac:dyDescent="0.3">
      <c r="P426" s="163"/>
    </row>
    <row r="427" spans="16:16" x14ac:dyDescent="0.3">
      <c r="P427" s="161"/>
    </row>
    <row r="428" spans="16:16" x14ac:dyDescent="0.3">
      <c r="P428" s="162"/>
    </row>
    <row r="429" spans="16:16" x14ac:dyDescent="0.3">
      <c r="P429" s="162"/>
    </row>
    <row r="430" spans="16:16" x14ac:dyDescent="0.3">
      <c r="P430" s="163"/>
    </row>
    <row r="431" spans="16:16" x14ac:dyDescent="0.3">
      <c r="P431" s="161"/>
    </row>
    <row r="432" spans="16:16" x14ac:dyDescent="0.3">
      <c r="P432" s="162"/>
    </row>
    <row r="433" spans="16:16" x14ac:dyDescent="0.3">
      <c r="P433" s="162"/>
    </row>
    <row r="434" spans="16:16" x14ac:dyDescent="0.3">
      <c r="P434" s="163"/>
    </row>
    <row r="435" spans="16:16" x14ac:dyDescent="0.3">
      <c r="P435" s="161"/>
    </row>
    <row r="436" spans="16:16" x14ac:dyDescent="0.3">
      <c r="P436" s="162"/>
    </row>
    <row r="437" spans="16:16" x14ac:dyDescent="0.3">
      <c r="P437" s="162"/>
    </row>
    <row r="438" spans="16:16" x14ac:dyDescent="0.3">
      <c r="P438" s="163"/>
    </row>
    <row r="439" spans="16:16" x14ac:dyDescent="0.3">
      <c r="P439" s="161"/>
    </row>
    <row r="440" spans="16:16" x14ac:dyDescent="0.3">
      <c r="P440" s="162"/>
    </row>
    <row r="441" spans="16:16" x14ac:dyDescent="0.3">
      <c r="P441" s="162"/>
    </row>
    <row r="442" spans="16:16" x14ac:dyDescent="0.3">
      <c r="P442" s="163"/>
    </row>
    <row r="443" spans="16:16" x14ac:dyDescent="0.3">
      <c r="P443" s="161"/>
    </row>
    <row r="444" spans="16:16" x14ac:dyDescent="0.3">
      <c r="P444" s="162"/>
    </row>
    <row r="445" spans="16:16" x14ac:dyDescent="0.3">
      <c r="P445" s="162"/>
    </row>
    <row r="446" spans="16:16" x14ac:dyDescent="0.3">
      <c r="P446" s="163"/>
    </row>
    <row r="447" spans="16:16" x14ac:dyDescent="0.3">
      <c r="P447" s="161"/>
    </row>
    <row r="448" spans="16:16" x14ac:dyDescent="0.3">
      <c r="P448" s="162"/>
    </row>
    <row r="449" spans="16:16" x14ac:dyDescent="0.3">
      <c r="P449" s="162"/>
    </row>
    <row r="450" spans="16:16" x14ac:dyDescent="0.3">
      <c r="P450" s="163"/>
    </row>
    <row r="451" spans="16:16" x14ac:dyDescent="0.3">
      <c r="P451" s="161"/>
    </row>
    <row r="452" spans="16:16" x14ac:dyDescent="0.3">
      <c r="P452" s="162"/>
    </row>
    <row r="453" spans="16:16" x14ac:dyDescent="0.3">
      <c r="P453" s="162"/>
    </row>
    <row r="454" spans="16:16" x14ac:dyDescent="0.3">
      <c r="P454" s="163"/>
    </row>
    <row r="455" spans="16:16" x14ac:dyDescent="0.3">
      <c r="P455" s="161"/>
    </row>
    <row r="456" spans="16:16" x14ac:dyDescent="0.3">
      <c r="P456" s="162"/>
    </row>
    <row r="457" spans="16:16" x14ac:dyDescent="0.3">
      <c r="P457" s="162"/>
    </row>
    <row r="458" spans="16:16" x14ac:dyDescent="0.3">
      <c r="P458" s="163"/>
    </row>
    <row r="459" spans="16:16" x14ac:dyDescent="0.3">
      <c r="P459" s="161"/>
    </row>
    <row r="460" spans="16:16" x14ac:dyDescent="0.3">
      <c r="P460" s="162"/>
    </row>
    <row r="461" spans="16:16" x14ac:dyDescent="0.3">
      <c r="P461" s="162"/>
    </row>
    <row r="462" spans="16:16" x14ac:dyDescent="0.3">
      <c r="P462" s="163"/>
    </row>
    <row r="463" spans="16:16" x14ac:dyDescent="0.3">
      <c r="P463" s="161"/>
    </row>
    <row r="464" spans="16:16" x14ac:dyDescent="0.3">
      <c r="P464" s="162"/>
    </row>
    <row r="465" spans="16:16" x14ac:dyDescent="0.3">
      <c r="P465" s="162"/>
    </row>
    <row r="466" spans="16:16" x14ac:dyDescent="0.3">
      <c r="P466" s="163"/>
    </row>
    <row r="467" spans="16:16" x14ac:dyDescent="0.3">
      <c r="P467" s="161"/>
    </row>
    <row r="468" spans="16:16" x14ac:dyDescent="0.3">
      <c r="P468" s="162"/>
    </row>
    <row r="469" spans="16:16" x14ac:dyDescent="0.3">
      <c r="P469" s="162"/>
    </row>
    <row r="470" spans="16:16" x14ac:dyDescent="0.3">
      <c r="P470" s="163"/>
    </row>
    <row r="471" spans="16:16" x14ac:dyDescent="0.3">
      <c r="P471" s="161"/>
    </row>
    <row r="472" spans="16:16" x14ac:dyDescent="0.3">
      <c r="P472" s="162"/>
    </row>
    <row r="473" spans="16:16" x14ac:dyDescent="0.3">
      <c r="P473" s="162"/>
    </row>
    <row r="474" spans="16:16" x14ac:dyDescent="0.3">
      <c r="P474" s="163"/>
    </row>
    <row r="475" spans="16:16" x14ac:dyDescent="0.3">
      <c r="P475" s="161"/>
    </row>
    <row r="476" spans="16:16" x14ac:dyDescent="0.3">
      <c r="P476" s="162"/>
    </row>
    <row r="477" spans="16:16" x14ac:dyDescent="0.3">
      <c r="P477" s="162"/>
    </row>
    <row r="478" spans="16:16" x14ac:dyDescent="0.3">
      <c r="P478" s="163"/>
    </row>
    <row r="479" spans="16:16" x14ac:dyDescent="0.3">
      <c r="P479" s="161"/>
    </row>
    <row r="480" spans="16:16" x14ac:dyDescent="0.3">
      <c r="P480" s="162"/>
    </row>
    <row r="481" spans="16:16" x14ac:dyDescent="0.3">
      <c r="P481" s="162"/>
    </row>
    <row r="482" spans="16:16" x14ac:dyDescent="0.3">
      <c r="P482" s="163"/>
    </row>
    <row r="483" spans="16:16" x14ac:dyDescent="0.3">
      <c r="P483" s="161"/>
    </row>
    <row r="484" spans="16:16" x14ac:dyDescent="0.3">
      <c r="P484" s="162"/>
    </row>
    <row r="485" spans="16:16" x14ac:dyDescent="0.3">
      <c r="P485" s="162"/>
    </row>
    <row r="486" spans="16:16" x14ac:dyDescent="0.3">
      <c r="P486" s="163"/>
    </row>
    <row r="487" spans="16:16" x14ac:dyDescent="0.3">
      <c r="P487" s="165"/>
    </row>
    <row r="488" spans="16:16" x14ac:dyDescent="0.3">
      <c r="P488" s="166"/>
    </row>
    <row r="489" spans="16:16" x14ac:dyDescent="0.3">
      <c r="P489" s="166"/>
    </row>
    <row r="490" spans="16:16" x14ac:dyDescent="0.3">
      <c r="P490" s="167"/>
    </row>
    <row r="491" spans="16:16" x14ac:dyDescent="0.3">
      <c r="P491" s="161"/>
    </row>
    <row r="492" spans="16:16" x14ac:dyDescent="0.3">
      <c r="P492" s="162"/>
    </row>
    <row r="493" spans="16:16" x14ac:dyDescent="0.3">
      <c r="P493" s="162"/>
    </row>
    <row r="494" spans="16:16" x14ac:dyDescent="0.3">
      <c r="P494" s="163"/>
    </row>
    <row r="495" spans="16:16" x14ac:dyDescent="0.3">
      <c r="P495" s="161"/>
    </row>
    <row r="496" spans="16:16" x14ac:dyDescent="0.3">
      <c r="P496" s="162"/>
    </row>
    <row r="497" spans="16:16" x14ac:dyDescent="0.3">
      <c r="P497" s="162"/>
    </row>
    <row r="498" spans="16:16" x14ac:dyDescent="0.3">
      <c r="P498" s="163"/>
    </row>
    <row r="499" spans="16:16" x14ac:dyDescent="0.3">
      <c r="P499" s="161"/>
    </row>
    <row r="500" spans="16:16" x14ac:dyDescent="0.3">
      <c r="P500" s="162"/>
    </row>
    <row r="501" spans="16:16" x14ac:dyDescent="0.3">
      <c r="P501" s="162"/>
    </row>
    <row r="502" spans="16:16" x14ac:dyDescent="0.3">
      <c r="P502" s="163"/>
    </row>
    <row r="503" spans="16:16" x14ac:dyDescent="0.3">
      <c r="P503" s="161"/>
    </row>
    <row r="504" spans="16:16" x14ac:dyDescent="0.3">
      <c r="P504" s="162"/>
    </row>
    <row r="505" spans="16:16" x14ac:dyDescent="0.3">
      <c r="P505" s="162"/>
    </row>
    <row r="506" spans="16:16" x14ac:dyDescent="0.3">
      <c r="P506" s="163"/>
    </row>
    <row r="507" spans="16:16" x14ac:dyDescent="0.3">
      <c r="P507" s="161"/>
    </row>
    <row r="508" spans="16:16" x14ac:dyDescent="0.3">
      <c r="P508" s="162"/>
    </row>
    <row r="509" spans="16:16" x14ac:dyDescent="0.3">
      <c r="P509" s="162"/>
    </row>
    <row r="510" spans="16:16" x14ac:dyDescent="0.3">
      <c r="P510" s="163"/>
    </row>
    <row r="511" spans="16:16" x14ac:dyDescent="0.3">
      <c r="P511" s="161"/>
    </row>
    <row r="512" spans="16:16" x14ac:dyDescent="0.3">
      <c r="P512" s="162"/>
    </row>
    <row r="513" spans="16:16" x14ac:dyDescent="0.3">
      <c r="P513" s="162"/>
    </row>
    <row r="514" spans="16:16" x14ac:dyDescent="0.3">
      <c r="P514" s="163"/>
    </row>
    <row r="515" spans="16:16" x14ac:dyDescent="0.3">
      <c r="P515" s="161"/>
    </row>
    <row r="516" spans="16:16" x14ac:dyDescent="0.3">
      <c r="P516" s="162"/>
    </row>
    <row r="517" spans="16:16" x14ac:dyDescent="0.3">
      <c r="P517" s="162"/>
    </row>
    <row r="518" spans="16:16" x14ac:dyDescent="0.3">
      <c r="P518" s="163"/>
    </row>
    <row r="519" spans="16:16" x14ac:dyDescent="0.3">
      <c r="P519" s="165"/>
    </row>
    <row r="520" spans="16:16" x14ac:dyDescent="0.3">
      <c r="P520" s="166"/>
    </row>
    <row r="521" spans="16:16" x14ac:dyDescent="0.3">
      <c r="P521" s="166"/>
    </row>
    <row r="522" spans="16:16" x14ac:dyDescent="0.3">
      <c r="P522" s="167"/>
    </row>
    <row r="523" spans="16:16" x14ac:dyDescent="0.3">
      <c r="P523" s="161"/>
    </row>
    <row r="524" spans="16:16" x14ac:dyDescent="0.3">
      <c r="P524" s="162"/>
    </row>
    <row r="525" spans="16:16" x14ac:dyDescent="0.3">
      <c r="P525" s="162"/>
    </row>
    <row r="526" spans="16:16" x14ac:dyDescent="0.3">
      <c r="P526" s="163"/>
    </row>
    <row r="527" spans="16:16" x14ac:dyDescent="0.3">
      <c r="P527" s="161"/>
    </row>
    <row r="528" spans="16:16" x14ac:dyDescent="0.3">
      <c r="P528" s="162"/>
    </row>
    <row r="529" spans="16:16" x14ac:dyDescent="0.3">
      <c r="P529" s="162"/>
    </row>
    <row r="530" spans="16:16" x14ac:dyDescent="0.3">
      <c r="P530" s="163"/>
    </row>
    <row r="531" spans="16:16" x14ac:dyDescent="0.3">
      <c r="P531" s="161"/>
    </row>
    <row r="532" spans="16:16" x14ac:dyDescent="0.3">
      <c r="P532" s="162"/>
    </row>
    <row r="533" spans="16:16" x14ac:dyDescent="0.3">
      <c r="P533" s="162"/>
    </row>
    <row r="534" spans="16:16" x14ac:dyDescent="0.3">
      <c r="P534" s="163"/>
    </row>
    <row r="535" spans="16:16" x14ac:dyDescent="0.3">
      <c r="P535" s="161"/>
    </row>
    <row r="536" spans="16:16" x14ac:dyDescent="0.3">
      <c r="P536" s="162"/>
    </row>
    <row r="537" spans="16:16" x14ac:dyDescent="0.3">
      <c r="P537" s="162"/>
    </row>
    <row r="538" spans="16:16" x14ac:dyDescent="0.3">
      <c r="P538" s="163"/>
    </row>
    <row r="539" spans="16:16" x14ac:dyDescent="0.3">
      <c r="P539" s="161"/>
    </row>
    <row r="540" spans="16:16" x14ac:dyDescent="0.3">
      <c r="P540" s="162"/>
    </row>
    <row r="541" spans="16:16" x14ac:dyDescent="0.3">
      <c r="P541" s="162"/>
    </row>
    <row r="542" spans="16:16" x14ac:dyDescent="0.3">
      <c r="P542" s="163"/>
    </row>
    <row r="543" spans="16:16" x14ac:dyDescent="0.3">
      <c r="P543" s="161"/>
    </row>
    <row r="544" spans="16:16" x14ac:dyDescent="0.3">
      <c r="P544" s="162"/>
    </row>
    <row r="545" spans="16:16" x14ac:dyDescent="0.3">
      <c r="P545" s="162"/>
    </row>
    <row r="546" spans="16:16" x14ac:dyDescent="0.3">
      <c r="P546" s="163"/>
    </row>
    <row r="547" spans="16:16" x14ac:dyDescent="0.3">
      <c r="P547" s="161"/>
    </row>
    <row r="548" spans="16:16" x14ac:dyDescent="0.3">
      <c r="P548" s="162"/>
    </row>
    <row r="549" spans="16:16" x14ac:dyDescent="0.3">
      <c r="P549" s="162"/>
    </row>
    <row r="550" spans="16:16" x14ac:dyDescent="0.3">
      <c r="P550" s="163"/>
    </row>
    <row r="551" spans="16:16" x14ac:dyDescent="0.3">
      <c r="P551" s="161"/>
    </row>
    <row r="552" spans="16:16" x14ac:dyDescent="0.3">
      <c r="P552" s="162"/>
    </row>
    <row r="553" spans="16:16" x14ac:dyDescent="0.3">
      <c r="P553" s="162"/>
    </row>
    <row r="554" spans="16:16" x14ac:dyDescent="0.3">
      <c r="P554" s="163"/>
    </row>
    <row r="555" spans="16:16" x14ac:dyDescent="0.3">
      <c r="P555" s="165"/>
    </row>
    <row r="556" spans="16:16" x14ac:dyDescent="0.3">
      <c r="P556" s="166"/>
    </row>
    <row r="557" spans="16:16" x14ac:dyDescent="0.3">
      <c r="P557" s="166"/>
    </row>
    <row r="558" spans="16:16" x14ac:dyDescent="0.3">
      <c r="P558" s="167"/>
    </row>
    <row r="559" spans="16:16" x14ac:dyDescent="0.3">
      <c r="P559" s="161"/>
    </row>
    <row r="560" spans="16:16" x14ac:dyDescent="0.3">
      <c r="P560" s="162"/>
    </row>
    <row r="561" spans="16:16" x14ac:dyDescent="0.3">
      <c r="P561" s="162"/>
    </row>
    <row r="562" spans="16:16" x14ac:dyDescent="0.3">
      <c r="P562" s="163"/>
    </row>
    <row r="563" spans="16:16" x14ac:dyDescent="0.3">
      <c r="P563" s="161"/>
    </row>
    <row r="564" spans="16:16" x14ac:dyDescent="0.3">
      <c r="P564" s="162"/>
    </row>
    <row r="565" spans="16:16" x14ac:dyDescent="0.3">
      <c r="P565" s="162"/>
    </row>
    <row r="566" spans="16:16" x14ac:dyDescent="0.3">
      <c r="P566" s="163"/>
    </row>
    <row r="567" spans="16:16" x14ac:dyDescent="0.3">
      <c r="P567" s="161"/>
    </row>
    <row r="568" spans="16:16" x14ac:dyDescent="0.3">
      <c r="P568" s="162"/>
    </row>
    <row r="569" spans="16:16" x14ac:dyDescent="0.3">
      <c r="P569" s="162"/>
    </row>
    <row r="570" spans="16:16" x14ac:dyDescent="0.3">
      <c r="P570" s="163"/>
    </row>
    <row r="571" spans="16:16" x14ac:dyDescent="0.3">
      <c r="P571" s="161"/>
    </row>
    <row r="572" spans="16:16" x14ac:dyDescent="0.3">
      <c r="P572" s="162"/>
    </row>
    <row r="573" spans="16:16" x14ac:dyDescent="0.3">
      <c r="P573" s="162"/>
    </row>
    <row r="574" spans="16:16" x14ac:dyDescent="0.3">
      <c r="P574" s="163"/>
    </row>
    <row r="575" spans="16:16" x14ac:dyDescent="0.3">
      <c r="P575" s="161"/>
    </row>
    <row r="576" spans="16:16" x14ac:dyDescent="0.3">
      <c r="P576" s="162"/>
    </row>
    <row r="577" spans="16:16" x14ac:dyDescent="0.3">
      <c r="P577" s="162"/>
    </row>
    <row r="578" spans="16:16" x14ac:dyDescent="0.3">
      <c r="P578" s="163"/>
    </row>
    <row r="579" spans="16:16" x14ac:dyDescent="0.3">
      <c r="P579" s="161"/>
    </row>
    <row r="580" spans="16:16" x14ac:dyDescent="0.3">
      <c r="P580" s="162"/>
    </row>
    <row r="581" spans="16:16" x14ac:dyDescent="0.3">
      <c r="P581" s="162"/>
    </row>
    <row r="582" spans="16:16" x14ac:dyDescent="0.3">
      <c r="P582" s="163"/>
    </row>
    <row r="583" spans="16:16" x14ac:dyDescent="0.3">
      <c r="P583" s="161"/>
    </row>
    <row r="584" spans="16:16" x14ac:dyDescent="0.3">
      <c r="P584" s="162"/>
    </row>
    <row r="585" spans="16:16" x14ac:dyDescent="0.3">
      <c r="P585" s="162"/>
    </row>
    <row r="586" spans="16:16" x14ac:dyDescent="0.3">
      <c r="P586" s="163"/>
    </row>
    <row r="587" spans="16:16" x14ac:dyDescent="0.3">
      <c r="P587" s="161"/>
    </row>
    <row r="588" spans="16:16" x14ac:dyDescent="0.3">
      <c r="P588" s="162"/>
    </row>
    <row r="589" spans="16:16" x14ac:dyDescent="0.3">
      <c r="P589" s="162"/>
    </row>
    <row r="590" spans="16:16" x14ac:dyDescent="0.3">
      <c r="P590" s="163"/>
    </row>
    <row r="591" spans="16:16" x14ac:dyDescent="0.3">
      <c r="P591" s="161"/>
    </row>
    <row r="592" spans="16:16" x14ac:dyDescent="0.3">
      <c r="P592" s="162"/>
    </row>
    <row r="593" spans="16:16" x14ac:dyDescent="0.3">
      <c r="P593" s="162"/>
    </row>
    <row r="594" spans="16:16" x14ac:dyDescent="0.3">
      <c r="P594" s="163"/>
    </row>
    <row r="595" spans="16:16" x14ac:dyDescent="0.3">
      <c r="P595" s="161"/>
    </row>
    <row r="596" spans="16:16" x14ac:dyDescent="0.3">
      <c r="P596" s="162"/>
    </row>
    <row r="597" spans="16:16" x14ac:dyDescent="0.3">
      <c r="P597" s="162"/>
    </row>
    <row r="598" spans="16:16" x14ac:dyDescent="0.3">
      <c r="P598" s="163"/>
    </row>
    <row r="599" spans="16:16" x14ac:dyDescent="0.3">
      <c r="P599" s="161"/>
    </row>
    <row r="600" spans="16:16" x14ac:dyDescent="0.3">
      <c r="P600" s="162"/>
    </row>
    <row r="601" spans="16:16" x14ac:dyDescent="0.3">
      <c r="P601" s="162"/>
    </row>
    <row r="602" spans="16:16" x14ac:dyDescent="0.3">
      <c r="P602" s="163"/>
    </row>
    <row r="603" spans="16:16" x14ac:dyDescent="0.3">
      <c r="P603" s="161"/>
    </row>
    <row r="604" spans="16:16" x14ac:dyDescent="0.3">
      <c r="P604" s="162"/>
    </row>
    <row r="605" spans="16:16" x14ac:dyDescent="0.3">
      <c r="P605" s="162"/>
    </row>
    <row r="606" spans="16:16" x14ac:dyDescent="0.3">
      <c r="P606" s="163"/>
    </row>
    <row r="607" spans="16:16" x14ac:dyDescent="0.3">
      <c r="P607" s="161"/>
    </row>
    <row r="608" spans="16:16" x14ac:dyDescent="0.3">
      <c r="P608" s="162"/>
    </row>
    <row r="609" spans="16:16" x14ac:dyDescent="0.3">
      <c r="P609" s="162"/>
    </row>
    <row r="610" spans="16:16" x14ac:dyDescent="0.3">
      <c r="P610" s="163"/>
    </row>
    <row r="611" spans="16:16" x14ac:dyDescent="0.3">
      <c r="P611" s="161"/>
    </row>
    <row r="612" spans="16:16" x14ac:dyDescent="0.3">
      <c r="P612" s="162"/>
    </row>
    <row r="613" spans="16:16" x14ac:dyDescent="0.3">
      <c r="P613" s="162"/>
    </row>
    <row r="614" spans="16:16" x14ac:dyDescent="0.3">
      <c r="P614" s="163"/>
    </row>
    <row r="615" spans="16:16" x14ac:dyDescent="0.3">
      <c r="P615" s="161"/>
    </row>
    <row r="616" spans="16:16" x14ac:dyDescent="0.3">
      <c r="P616" s="162"/>
    </row>
    <row r="617" spans="16:16" x14ac:dyDescent="0.3">
      <c r="P617" s="162"/>
    </row>
    <row r="618" spans="16:16" x14ac:dyDescent="0.3">
      <c r="P618" s="163"/>
    </row>
    <row r="619" spans="16:16" x14ac:dyDescent="0.3">
      <c r="P619" s="161"/>
    </row>
    <row r="620" spans="16:16" x14ac:dyDescent="0.3">
      <c r="P620" s="162"/>
    </row>
    <row r="621" spans="16:16" x14ac:dyDescent="0.3">
      <c r="P621" s="162"/>
    </row>
    <row r="622" spans="16:16" x14ac:dyDescent="0.3">
      <c r="P622" s="163"/>
    </row>
    <row r="623" spans="16:16" x14ac:dyDescent="0.3">
      <c r="P623" s="161"/>
    </row>
    <row r="624" spans="16:16" x14ac:dyDescent="0.3">
      <c r="P624" s="162"/>
    </row>
    <row r="625" spans="16:16" x14ac:dyDescent="0.3">
      <c r="P625" s="162"/>
    </row>
    <row r="626" spans="16:16" x14ac:dyDescent="0.3">
      <c r="P626" s="163"/>
    </row>
    <row r="627" spans="16:16" x14ac:dyDescent="0.3">
      <c r="P627" s="161"/>
    </row>
    <row r="628" spans="16:16" x14ac:dyDescent="0.3">
      <c r="P628" s="162"/>
    </row>
    <row r="629" spans="16:16" x14ac:dyDescent="0.3">
      <c r="P629" s="162"/>
    </row>
    <row r="630" spans="16:16" x14ac:dyDescent="0.3">
      <c r="P630" s="163"/>
    </row>
    <row r="631" spans="16:16" x14ac:dyDescent="0.3">
      <c r="P631" s="161"/>
    </row>
    <row r="632" spans="16:16" x14ac:dyDescent="0.3">
      <c r="P632" s="162"/>
    </row>
    <row r="633" spans="16:16" x14ac:dyDescent="0.3">
      <c r="P633" s="162"/>
    </row>
    <row r="634" spans="16:16" x14ac:dyDescent="0.3">
      <c r="P634" s="163"/>
    </row>
    <row r="635" spans="16:16" x14ac:dyDescent="0.3">
      <c r="P635" s="161"/>
    </row>
    <row r="636" spans="16:16" x14ac:dyDescent="0.3">
      <c r="P636" s="162"/>
    </row>
    <row r="637" spans="16:16" x14ac:dyDescent="0.3">
      <c r="P637" s="162"/>
    </row>
    <row r="638" spans="16:16" x14ac:dyDescent="0.3">
      <c r="P638" s="163"/>
    </row>
    <row r="639" spans="16:16" x14ac:dyDescent="0.3">
      <c r="P639" s="161"/>
    </row>
    <row r="640" spans="16:16" x14ac:dyDescent="0.3">
      <c r="P640" s="162"/>
    </row>
    <row r="641" spans="16:16" x14ac:dyDescent="0.3">
      <c r="P641" s="162"/>
    </row>
    <row r="642" spans="16:16" x14ac:dyDescent="0.3">
      <c r="P642" s="163"/>
    </row>
    <row r="643" spans="16:16" x14ac:dyDescent="0.3">
      <c r="P643" s="161"/>
    </row>
    <row r="644" spans="16:16" x14ac:dyDescent="0.3">
      <c r="P644" s="162"/>
    </row>
    <row r="645" spans="16:16" x14ac:dyDescent="0.3">
      <c r="P645" s="162"/>
    </row>
    <row r="646" spans="16:16" x14ac:dyDescent="0.3">
      <c r="P646" s="163"/>
    </row>
    <row r="647" spans="16:16" x14ac:dyDescent="0.3">
      <c r="P647" s="161"/>
    </row>
    <row r="648" spans="16:16" x14ac:dyDescent="0.3">
      <c r="P648" s="162"/>
    </row>
    <row r="649" spans="16:16" x14ac:dyDescent="0.3">
      <c r="P649" s="162"/>
    </row>
    <row r="650" spans="16:16" x14ac:dyDescent="0.3">
      <c r="P650" s="163"/>
    </row>
    <row r="651" spans="16:16" x14ac:dyDescent="0.3">
      <c r="P651" s="161"/>
    </row>
    <row r="652" spans="16:16" x14ac:dyDescent="0.3">
      <c r="P652" s="162"/>
    </row>
    <row r="653" spans="16:16" x14ac:dyDescent="0.3">
      <c r="P653" s="162"/>
    </row>
    <row r="654" spans="16:16" x14ac:dyDescent="0.3">
      <c r="P654" s="163"/>
    </row>
    <row r="655" spans="16:16" x14ac:dyDescent="0.3">
      <c r="P655" s="161"/>
    </row>
    <row r="656" spans="16:16" x14ac:dyDescent="0.3">
      <c r="P656" s="162"/>
    </row>
    <row r="657" spans="16:16" x14ac:dyDescent="0.3">
      <c r="P657" s="162"/>
    </row>
    <row r="658" spans="16:16" x14ac:dyDescent="0.3">
      <c r="P658" s="163"/>
    </row>
    <row r="659" spans="16:16" x14ac:dyDescent="0.3">
      <c r="P659" s="161"/>
    </row>
    <row r="660" spans="16:16" x14ac:dyDescent="0.3">
      <c r="P660" s="162"/>
    </row>
    <row r="661" spans="16:16" x14ac:dyDescent="0.3">
      <c r="P661" s="162"/>
    </row>
    <row r="662" spans="16:16" x14ac:dyDescent="0.3">
      <c r="P662" s="163"/>
    </row>
    <row r="663" spans="16:16" x14ac:dyDescent="0.3">
      <c r="P663" s="161"/>
    </row>
    <row r="664" spans="16:16" x14ac:dyDescent="0.3">
      <c r="P664" s="162"/>
    </row>
    <row r="665" spans="16:16" x14ac:dyDescent="0.3">
      <c r="P665" s="162"/>
    </row>
    <row r="666" spans="16:16" x14ac:dyDescent="0.3">
      <c r="P666" s="163"/>
    </row>
    <row r="667" spans="16:16" x14ac:dyDescent="0.3">
      <c r="P667" s="161"/>
    </row>
    <row r="668" spans="16:16" x14ac:dyDescent="0.3">
      <c r="P668" s="162"/>
    </row>
    <row r="669" spans="16:16" x14ac:dyDescent="0.3">
      <c r="P669" s="162"/>
    </row>
    <row r="670" spans="16:16" x14ac:dyDescent="0.3">
      <c r="P670" s="163"/>
    </row>
    <row r="671" spans="16:16" x14ac:dyDescent="0.3">
      <c r="P671" s="161"/>
    </row>
    <row r="672" spans="16:16" x14ac:dyDescent="0.3">
      <c r="P672" s="162"/>
    </row>
    <row r="673" spans="16:16" x14ac:dyDescent="0.3">
      <c r="P673" s="162"/>
    </row>
    <row r="674" spans="16:16" x14ac:dyDescent="0.3">
      <c r="P674" s="163"/>
    </row>
    <row r="675" spans="16:16" x14ac:dyDescent="0.3">
      <c r="P675" s="161"/>
    </row>
    <row r="676" spans="16:16" x14ac:dyDescent="0.3">
      <c r="P676" s="162"/>
    </row>
    <row r="677" spans="16:16" x14ac:dyDescent="0.3">
      <c r="P677" s="162"/>
    </row>
    <row r="678" spans="16:16" x14ac:dyDescent="0.3">
      <c r="P678" s="163"/>
    </row>
    <row r="679" spans="16:16" x14ac:dyDescent="0.3">
      <c r="P679" s="161"/>
    </row>
    <row r="680" spans="16:16" x14ac:dyDescent="0.3">
      <c r="P680" s="162"/>
    </row>
    <row r="681" spans="16:16" x14ac:dyDescent="0.3">
      <c r="P681" s="162"/>
    </row>
    <row r="682" spans="16:16" x14ac:dyDescent="0.3">
      <c r="P682" s="163"/>
    </row>
    <row r="683" spans="16:16" x14ac:dyDescent="0.3">
      <c r="P683" s="161"/>
    </row>
    <row r="684" spans="16:16" x14ac:dyDescent="0.3">
      <c r="P684" s="162"/>
    </row>
    <row r="685" spans="16:16" x14ac:dyDescent="0.3">
      <c r="P685" s="162"/>
    </row>
    <row r="686" spans="16:16" x14ac:dyDescent="0.3">
      <c r="P686" s="163"/>
    </row>
    <row r="687" spans="16:16" x14ac:dyDescent="0.3">
      <c r="P687" s="161"/>
    </row>
    <row r="688" spans="16:16" x14ac:dyDescent="0.3">
      <c r="P688" s="162"/>
    </row>
    <row r="689" spans="16:16" x14ac:dyDescent="0.3">
      <c r="P689" s="162"/>
    </row>
    <row r="690" spans="16:16" x14ac:dyDescent="0.3">
      <c r="P690" s="163"/>
    </row>
    <row r="691" spans="16:16" x14ac:dyDescent="0.3">
      <c r="P691" s="161"/>
    </row>
    <row r="692" spans="16:16" x14ac:dyDescent="0.3">
      <c r="P692" s="162"/>
    </row>
    <row r="693" spans="16:16" x14ac:dyDescent="0.3">
      <c r="P693" s="162"/>
    </row>
    <row r="694" spans="16:16" x14ac:dyDescent="0.3">
      <c r="P694" s="163"/>
    </row>
    <row r="695" spans="16:16" x14ac:dyDescent="0.3">
      <c r="P695" s="161"/>
    </row>
    <row r="696" spans="16:16" x14ac:dyDescent="0.3">
      <c r="P696" s="162"/>
    </row>
    <row r="697" spans="16:16" x14ac:dyDescent="0.3">
      <c r="P697" s="162"/>
    </row>
    <row r="698" spans="16:16" x14ac:dyDescent="0.3">
      <c r="P698" s="163"/>
    </row>
    <row r="699" spans="16:16" x14ac:dyDescent="0.3">
      <c r="P699" s="161"/>
    </row>
    <row r="700" spans="16:16" x14ac:dyDescent="0.3">
      <c r="P700" s="162"/>
    </row>
    <row r="701" spans="16:16" x14ac:dyDescent="0.3">
      <c r="P701" s="162"/>
    </row>
    <row r="702" spans="16:16" x14ac:dyDescent="0.3">
      <c r="P702" s="163"/>
    </row>
    <row r="703" spans="16:16" x14ac:dyDescent="0.3">
      <c r="P703" s="161"/>
    </row>
    <row r="704" spans="16:16" x14ac:dyDescent="0.3">
      <c r="P704" s="162"/>
    </row>
    <row r="705" spans="16:16" x14ac:dyDescent="0.3">
      <c r="P705" s="162"/>
    </row>
    <row r="706" spans="16:16" x14ac:dyDescent="0.3">
      <c r="P706" s="163"/>
    </row>
    <row r="707" spans="16:16" x14ac:dyDescent="0.3">
      <c r="P707" s="165"/>
    </row>
    <row r="708" spans="16:16" x14ac:dyDescent="0.3">
      <c r="P708" s="166"/>
    </row>
    <row r="709" spans="16:16" x14ac:dyDescent="0.3">
      <c r="P709" s="166"/>
    </row>
    <row r="710" spans="16:16" x14ac:dyDescent="0.3">
      <c r="P710" s="167"/>
    </row>
    <row r="711" spans="16:16" x14ac:dyDescent="0.3">
      <c r="P711" s="161"/>
    </row>
    <row r="712" spans="16:16" x14ac:dyDescent="0.3">
      <c r="P712" s="162"/>
    </row>
    <row r="713" spans="16:16" x14ac:dyDescent="0.3">
      <c r="P713" s="162"/>
    </row>
    <row r="714" spans="16:16" x14ac:dyDescent="0.3">
      <c r="P714" s="163"/>
    </row>
    <row r="715" spans="16:16" x14ac:dyDescent="0.3">
      <c r="P715" s="161"/>
    </row>
    <row r="716" spans="16:16" x14ac:dyDescent="0.3">
      <c r="P716" s="162"/>
    </row>
    <row r="717" spans="16:16" x14ac:dyDescent="0.3">
      <c r="P717" s="162"/>
    </row>
    <row r="718" spans="16:16" x14ac:dyDescent="0.3">
      <c r="P718" s="163"/>
    </row>
    <row r="719" spans="16:16" x14ac:dyDescent="0.3">
      <c r="P719" s="161"/>
    </row>
    <row r="720" spans="16:16" x14ac:dyDescent="0.3">
      <c r="P720" s="162"/>
    </row>
    <row r="721" spans="16:16" x14ac:dyDescent="0.3">
      <c r="P721" s="162"/>
    </row>
    <row r="722" spans="16:16" x14ac:dyDescent="0.3">
      <c r="P722" s="163"/>
    </row>
    <row r="723" spans="16:16" x14ac:dyDescent="0.3">
      <c r="P723" s="161"/>
    </row>
    <row r="724" spans="16:16" x14ac:dyDescent="0.3">
      <c r="P724" s="162"/>
    </row>
    <row r="725" spans="16:16" x14ac:dyDescent="0.3">
      <c r="P725" s="162"/>
    </row>
    <row r="726" spans="16:16" x14ac:dyDescent="0.3">
      <c r="P726" s="163"/>
    </row>
    <row r="727" spans="16:16" x14ac:dyDescent="0.3">
      <c r="P727" s="161"/>
    </row>
    <row r="728" spans="16:16" x14ac:dyDescent="0.3">
      <c r="P728" s="162"/>
    </row>
    <row r="729" spans="16:16" x14ac:dyDescent="0.3">
      <c r="P729" s="162"/>
    </row>
    <row r="730" spans="16:16" x14ac:dyDescent="0.3">
      <c r="P730" s="163"/>
    </row>
    <row r="731" spans="16:16" x14ac:dyDescent="0.3">
      <c r="P731" s="161"/>
    </row>
    <row r="732" spans="16:16" x14ac:dyDescent="0.3">
      <c r="P732" s="162"/>
    </row>
    <row r="733" spans="16:16" x14ac:dyDescent="0.3">
      <c r="P733" s="162"/>
    </row>
    <row r="734" spans="16:16" x14ac:dyDescent="0.3">
      <c r="P734" s="163"/>
    </row>
    <row r="735" spans="16:16" x14ac:dyDescent="0.3">
      <c r="P735" s="161"/>
    </row>
    <row r="736" spans="16:16" x14ac:dyDescent="0.3">
      <c r="P736" s="162"/>
    </row>
    <row r="737" spans="16:16" x14ac:dyDescent="0.3">
      <c r="P737" s="162"/>
    </row>
    <row r="738" spans="16:16" x14ac:dyDescent="0.3">
      <c r="P738" s="163"/>
    </row>
    <row r="739" spans="16:16" x14ac:dyDescent="0.3">
      <c r="P739" s="161"/>
    </row>
    <row r="740" spans="16:16" x14ac:dyDescent="0.3">
      <c r="P740" s="162"/>
    </row>
    <row r="741" spans="16:16" x14ac:dyDescent="0.3">
      <c r="P741" s="162"/>
    </row>
    <row r="742" spans="16:16" x14ac:dyDescent="0.3">
      <c r="P742" s="163"/>
    </row>
    <row r="743" spans="16:16" x14ac:dyDescent="0.3">
      <c r="P743" s="161"/>
    </row>
    <row r="744" spans="16:16" x14ac:dyDescent="0.3">
      <c r="P744" s="162"/>
    </row>
    <row r="745" spans="16:16" x14ac:dyDescent="0.3">
      <c r="P745" s="162"/>
    </row>
    <row r="746" spans="16:16" x14ac:dyDescent="0.3">
      <c r="P746" s="163"/>
    </row>
    <row r="747" spans="16:16" x14ac:dyDescent="0.3">
      <c r="P747" s="161"/>
    </row>
    <row r="748" spans="16:16" x14ac:dyDescent="0.3">
      <c r="P748" s="162"/>
    </row>
    <row r="749" spans="16:16" x14ac:dyDescent="0.3">
      <c r="P749" s="162"/>
    </row>
    <row r="750" spans="16:16" x14ac:dyDescent="0.3">
      <c r="P750" s="163"/>
    </row>
    <row r="751" spans="16:16" x14ac:dyDescent="0.3">
      <c r="P751" s="161"/>
    </row>
    <row r="752" spans="16:16" x14ac:dyDescent="0.3">
      <c r="P752" s="162"/>
    </row>
    <row r="753" spans="16:16" x14ac:dyDescent="0.3">
      <c r="P753" s="162"/>
    </row>
    <row r="754" spans="16:16" x14ac:dyDescent="0.3">
      <c r="P754" s="163"/>
    </row>
    <row r="755" spans="16:16" x14ac:dyDescent="0.3">
      <c r="P755" s="161"/>
    </row>
    <row r="756" spans="16:16" x14ac:dyDescent="0.3">
      <c r="P756" s="162"/>
    </row>
    <row r="757" spans="16:16" x14ac:dyDescent="0.3">
      <c r="P757" s="162"/>
    </row>
    <row r="758" spans="16:16" x14ac:dyDescent="0.3">
      <c r="P758" s="163"/>
    </row>
    <row r="759" spans="16:16" x14ac:dyDescent="0.3">
      <c r="P759" s="161"/>
    </row>
    <row r="760" spans="16:16" x14ac:dyDescent="0.3">
      <c r="P760" s="162"/>
    </row>
    <row r="761" spans="16:16" x14ac:dyDescent="0.3">
      <c r="P761" s="162"/>
    </row>
    <row r="762" spans="16:16" x14ac:dyDescent="0.3">
      <c r="P762" s="163"/>
    </row>
    <row r="763" spans="16:16" x14ac:dyDescent="0.3">
      <c r="P763" s="161"/>
    </row>
    <row r="764" spans="16:16" x14ac:dyDescent="0.3">
      <c r="P764" s="162"/>
    </row>
    <row r="765" spans="16:16" x14ac:dyDescent="0.3">
      <c r="P765" s="162"/>
    </row>
    <row r="766" spans="16:16" x14ac:dyDescent="0.3">
      <c r="P766" s="163"/>
    </row>
    <row r="767" spans="16:16" x14ac:dyDescent="0.3">
      <c r="P767" s="161"/>
    </row>
    <row r="768" spans="16:16" x14ac:dyDescent="0.3">
      <c r="P768" s="162"/>
    </row>
    <row r="769" spans="16:16" x14ac:dyDescent="0.3">
      <c r="P769" s="162"/>
    </row>
    <row r="770" spans="16:16" x14ac:dyDescent="0.3">
      <c r="P770" s="163"/>
    </row>
    <row r="771" spans="16:16" x14ac:dyDescent="0.3">
      <c r="P771" s="161"/>
    </row>
    <row r="772" spans="16:16" x14ac:dyDescent="0.3">
      <c r="P772" s="162"/>
    </row>
    <row r="773" spans="16:16" x14ac:dyDescent="0.3">
      <c r="P773" s="162"/>
    </row>
    <row r="774" spans="16:16" x14ac:dyDescent="0.3">
      <c r="P774" s="163"/>
    </row>
    <row r="775" spans="16:16" x14ac:dyDescent="0.3">
      <c r="P775" s="161"/>
    </row>
    <row r="776" spans="16:16" x14ac:dyDescent="0.3">
      <c r="P776" s="162"/>
    </row>
    <row r="777" spans="16:16" x14ac:dyDescent="0.3">
      <c r="P777" s="162"/>
    </row>
    <row r="778" spans="16:16" x14ac:dyDescent="0.3">
      <c r="P778" s="163"/>
    </row>
    <row r="779" spans="16:16" x14ac:dyDescent="0.3">
      <c r="P779" s="161"/>
    </row>
    <row r="780" spans="16:16" x14ac:dyDescent="0.3">
      <c r="P780" s="162"/>
    </row>
    <row r="781" spans="16:16" x14ac:dyDescent="0.3">
      <c r="P781" s="162"/>
    </row>
    <row r="782" spans="16:16" x14ac:dyDescent="0.3">
      <c r="P782" s="163"/>
    </row>
    <row r="783" spans="16:16" x14ac:dyDescent="0.3">
      <c r="P783" s="161"/>
    </row>
    <row r="784" spans="16:16" x14ac:dyDescent="0.3">
      <c r="P784" s="162"/>
    </row>
    <row r="785" spans="16:16" x14ac:dyDescent="0.3">
      <c r="P785" s="162"/>
    </row>
    <row r="786" spans="16:16" x14ac:dyDescent="0.3">
      <c r="P786" s="163"/>
    </row>
    <row r="787" spans="16:16" x14ac:dyDescent="0.3">
      <c r="P787" s="161"/>
    </row>
    <row r="788" spans="16:16" x14ac:dyDescent="0.3">
      <c r="P788" s="162"/>
    </row>
    <row r="789" spans="16:16" x14ac:dyDescent="0.3">
      <c r="P789" s="162"/>
    </row>
    <row r="790" spans="16:16" x14ac:dyDescent="0.3">
      <c r="P790" s="163"/>
    </row>
    <row r="791" spans="16:16" x14ac:dyDescent="0.3">
      <c r="P791" s="161"/>
    </row>
    <row r="792" spans="16:16" x14ac:dyDescent="0.3">
      <c r="P792" s="162"/>
    </row>
    <row r="793" spans="16:16" x14ac:dyDescent="0.3">
      <c r="P793" s="162"/>
    </row>
    <row r="794" spans="16:16" x14ac:dyDescent="0.3">
      <c r="P794" s="163"/>
    </row>
    <row r="795" spans="16:16" x14ac:dyDescent="0.3">
      <c r="P795" s="161"/>
    </row>
    <row r="796" spans="16:16" x14ac:dyDescent="0.3">
      <c r="P796" s="162"/>
    </row>
    <row r="797" spans="16:16" x14ac:dyDescent="0.3">
      <c r="P797" s="162"/>
    </row>
    <row r="798" spans="16:16" x14ac:dyDescent="0.3">
      <c r="P798" s="163"/>
    </row>
    <row r="799" spans="16:16" x14ac:dyDescent="0.3">
      <c r="P799" s="161"/>
    </row>
    <row r="800" spans="16:16" x14ac:dyDescent="0.3">
      <c r="P800" s="162"/>
    </row>
    <row r="801" spans="16:16" x14ac:dyDescent="0.3">
      <c r="P801" s="162"/>
    </row>
    <row r="802" spans="16:16" x14ac:dyDescent="0.3">
      <c r="P802" s="163"/>
    </row>
    <row r="803" spans="16:16" x14ac:dyDescent="0.3">
      <c r="P803" s="161"/>
    </row>
    <row r="804" spans="16:16" x14ac:dyDescent="0.3">
      <c r="P804" s="162"/>
    </row>
    <row r="805" spans="16:16" x14ac:dyDescent="0.3">
      <c r="P805" s="162"/>
    </row>
    <row r="806" spans="16:16" x14ac:dyDescent="0.3">
      <c r="P806" s="163"/>
    </row>
    <row r="807" spans="16:16" x14ac:dyDescent="0.3">
      <c r="P807" s="161"/>
    </row>
    <row r="808" spans="16:16" x14ac:dyDescent="0.3">
      <c r="P808" s="162"/>
    </row>
    <row r="809" spans="16:16" x14ac:dyDescent="0.3">
      <c r="P809" s="162"/>
    </row>
    <row r="810" spans="16:16" x14ac:dyDescent="0.3">
      <c r="P810" s="163"/>
    </row>
    <row r="811" spans="16:16" x14ac:dyDescent="0.3">
      <c r="P811" s="161"/>
    </row>
    <row r="812" spans="16:16" x14ac:dyDescent="0.3">
      <c r="P812" s="162"/>
    </row>
    <row r="813" spans="16:16" x14ac:dyDescent="0.3">
      <c r="P813" s="162"/>
    </row>
    <row r="814" spans="16:16" x14ac:dyDescent="0.3">
      <c r="P814" s="163"/>
    </row>
    <row r="815" spans="16:16" x14ac:dyDescent="0.3">
      <c r="P815" s="161"/>
    </row>
    <row r="816" spans="16:16" x14ac:dyDescent="0.3">
      <c r="P816" s="162"/>
    </row>
    <row r="817" spans="16:16" x14ac:dyDescent="0.3">
      <c r="P817" s="162"/>
    </row>
    <row r="818" spans="16:16" x14ac:dyDescent="0.3">
      <c r="P818" s="163"/>
    </row>
    <row r="819" spans="16:16" x14ac:dyDescent="0.3">
      <c r="P819" s="161"/>
    </row>
    <row r="820" spans="16:16" x14ac:dyDescent="0.3">
      <c r="P820" s="162"/>
    </row>
    <row r="821" spans="16:16" x14ac:dyDescent="0.3">
      <c r="P821" s="162"/>
    </row>
    <row r="822" spans="16:16" x14ac:dyDescent="0.3">
      <c r="P822" s="163"/>
    </row>
    <row r="823" spans="16:16" x14ac:dyDescent="0.3">
      <c r="P823" s="161"/>
    </row>
    <row r="824" spans="16:16" x14ac:dyDescent="0.3">
      <c r="P824" s="162"/>
    </row>
    <row r="825" spans="16:16" x14ac:dyDescent="0.3">
      <c r="P825" s="162"/>
    </row>
    <row r="826" spans="16:16" x14ac:dyDescent="0.3">
      <c r="P826" s="163"/>
    </row>
    <row r="827" spans="16:16" x14ac:dyDescent="0.3">
      <c r="P827" s="161"/>
    </row>
    <row r="828" spans="16:16" x14ac:dyDescent="0.3">
      <c r="P828" s="162"/>
    </row>
    <row r="829" spans="16:16" x14ac:dyDescent="0.3">
      <c r="P829" s="162"/>
    </row>
    <row r="830" spans="16:16" x14ac:dyDescent="0.3">
      <c r="P830" s="163"/>
    </row>
    <row r="831" spans="16:16" x14ac:dyDescent="0.3">
      <c r="P831" s="161"/>
    </row>
    <row r="832" spans="16:16" x14ac:dyDescent="0.3">
      <c r="P832" s="162"/>
    </row>
    <row r="833" spans="16:16" x14ac:dyDescent="0.3">
      <c r="P833" s="162"/>
    </row>
    <row r="834" spans="16:16" x14ac:dyDescent="0.3">
      <c r="P834" s="163"/>
    </row>
    <row r="835" spans="16:16" x14ac:dyDescent="0.3">
      <c r="P835" s="161"/>
    </row>
    <row r="836" spans="16:16" x14ac:dyDescent="0.3">
      <c r="P836" s="162"/>
    </row>
    <row r="837" spans="16:16" x14ac:dyDescent="0.3">
      <c r="P837" s="162"/>
    </row>
    <row r="838" spans="16:16" x14ac:dyDescent="0.3">
      <c r="P838" s="163"/>
    </row>
    <row r="839" spans="16:16" x14ac:dyDescent="0.3">
      <c r="P839" s="161"/>
    </row>
    <row r="840" spans="16:16" x14ac:dyDescent="0.3">
      <c r="P840" s="162"/>
    </row>
    <row r="841" spans="16:16" x14ac:dyDescent="0.3">
      <c r="P841" s="162"/>
    </row>
    <row r="842" spans="16:16" x14ac:dyDescent="0.3">
      <c r="P842" s="163"/>
    </row>
    <row r="843" spans="16:16" x14ac:dyDescent="0.3">
      <c r="P843" s="161"/>
    </row>
    <row r="844" spans="16:16" x14ac:dyDescent="0.3">
      <c r="P844" s="162"/>
    </row>
    <row r="845" spans="16:16" x14ac:dyDescent="0.3">
      <c r="P845" s="162"/>
    </row>
    <row r="846" spans="16:16" x14ac:dyDescent="0.3">
      <c r="P846" s="163"/>
    </row>
    <row r="847" spans="16:16" x14ac:dyDescent="0.3">
      <c r="P847" s="161"/>
    </row>
    <row r="848" spans="16:16" x14ac:dyDescent="0.3">
      <c r="P848" s="162"/>
    </row>
    <row r="849" spans="16:16" x14ac:dyDescent="0.3">
      <c r="P849" s="162"/>
    </row>
    <row r="850" spans="16:16" x14ac:dyDescent="0.3">
      <c r="P850" s="163"/>
    </row>
    <row r="851" spans="16:16" x14ac:dyDescent="0.3">
      <c r="P851" s="161"/>
    </row>
    <row r="852" spans="16:16" x14ac:dyDescent="0.3">
      <c r="P852" s="162"/>
    </row>
    <row r="853" spans="16:16" x14ac:dyDescent="0.3">
      <c r="P853" s="162"/>
    </row>
    <row r="854" spans="16:16" x14ac:dyDescent="0.3">
      <c r="P854" s="163"/>
    </row>
    <row r="855" spans="16:16" x14ac:dyDescent="0.3">
      <c r="P855" s="161"/>
    </row>
    <row r="856" spans="16:16" x14ac:dyDescent="0.3">
      <c r="P856" s="162"/>
    </row>
    <row r="857" spans="16:16" x14ac:dyDescent="0.3">
      <c r="P857" s="162"/>
    </row>
    <row r="858" spans="16:16" x14ac:dyDescent="0.3">
      <c r="P858" s="163"/>
    </row>
    <row r="859" spans="16:16" x14ac:dyDescent="0.3">
      <c r="P859" s="161"/>
    </row>
    <row r="860" spans="16:16" x14ac:dyDescent="0.3">
      <c r="P860" s="162"/>
    </row>
    <row r="861" spans="16:16" x14ac:dyDescent="0.3">
      <c r="P861" s="162"/>
    </row>
    <row r="862" spans="16:16" x14ac:dyDescent="0.3">
      <c r="P862" s="163"/>
    </row>
    <row r="863" spans="16:16" x14ac:dyDescent="0.3">
      <c r="P863" s="161"/>
    </row>
    <row r="864" spans="16:16" x14ac:dyDescent="0.3">
      <c r="P864" s="162"/>
    </row>
    <row r="865" spans="16:16" x14ac:dyDescent="0.3">
      <c r="P865" s="162"/>
    </row>
    <row r="866" spans="16:16" x14ac:dyDescent="0.3">
      <c r="P866" s="163"/>
    </row>
    <row r="867" spans="16:16" x14ac:dyDescent="0.3">
      <c r="P867" s="161"/>
    </row>
    <row r="868" spans="16:16" x14ac:dyDescent="0.3">
      <c r="P868" s="162"/>
    </row>
    <row r="869" spans="16:16" x14ac:dyDescent="0.3">
      <c r="P869" s="162"/>
    </row>
    <row r="870" spans="16:16" x14ac:dyDescent="0.3">
      <c r="P870" s="163"/>
    </row>
    <row r="871" spans="16:16" x14ac:dyDescent="0.3">
      <c r="P871" s="161"/>
    </row>
    <row r="872" spans="16:16" x14ac:dyDescent="0.3">
      <c r="P872" s="162"/>
    </row>
    <row r="873" spans="16:16" x14ac:dyDescent="0.3">
      <c r="P873" s="162"/>
    </row>
    <row r="874" spans="16:16" x14ac:dyDescent="0.3">
      <c r="P874" s="163"/>
    </row>
    <row r="875" spans="16:16" x14ac:dyDescent="0.3">
      <c r="P875" s="161"/>
    </row>
    <row r="876" spans="16:16" x14ac:dyDescent="0.3">
      <c r="P876" s="162"/>
    </row>
    <row r="877" spans="16:16" x14ac:dyDescent="0.3">
      <c r="P877" s="162"/>
    </row>
    <row r="878" spans="16:16" x14ac:dyDescent="0.3">
      <c r="P878" s="163"/>
    </row>
    <row r="879" spans="16:16" x14ac:dyDescent="0.3">
      <c r="P879" s="161"/>
    </row>
    <row r="880" spans="16:16" x14ac:dyDescent="0.3">
      <c r="P880" s="162"/>
    </row>
    <row r="881" spans="16:16" x14ac:dyDescent="0.3">
      <c r="P881" s="162"/>
    </row>
    <row r="882" spans="16:16" x14ac:dyDescent="0.3">
      <c r="P882" s="163"/>
    </row>
    <row r="883" spans="16:16" x14ac:dyDescent="0.3">
      <c r="P883" s="161"/>
    </row>
    <row r="884" spans="16:16" x14ac:dyDescent="0.3">
      <c r="P884" s="162"/>
    </row>
    <row r="885" spans="16:16" x14ac:dyDescent="0.3">
      <c r="P885" s="162"/>
    </row>
    <row r="886" spans="16:16" x14ac:dyDescent="0.3">
      <c r="P886" s="163"/>
    </row>
    <row r="887" spans="16:16" x14ac:dyDescent="0.3">
      <c r="P887" s="161"/>
    </row>
    <row r="888" spans="16:16" x14ac:dyDescent="0.3">
      <c r="P888" s="162"/>
    </row>
    <row r="889" spans="16:16" x14ac:dyDescent="0.3">
      <c r="P889" s="162"/>
    </row>
    <row r="890" spans="16:16" x14ac:dyDescent="0.3">
      <c r="P890" s="163"/>
    </row>
    <row r="891" spans="16:16" x14ac:dyDescent="0.3">
      <c r="P891" s="161"/>
    </row>
    <row r="892" spans="16:16" x14ac:dyDescent="0.3">
      <c r="P892" s="162"/>
    </row>
    <row r="893" spans="16:16" x14ac:dyDescent="0.3">
      <c r="P893" s="162"/>
    </row>
    <row r="894" spans="16:16" x14ac:dyDescent="0.3">
      <c r="P894" s="163"/>
    </row>
    <row r="895" spans="16:16" x14ac:dyDescent="0.3">
      <c r="P895" s="161"/>
    </row>
    <row r="896" spans="16:16" x14ac:dyDescent="0.3">
      <c r="P896" s="162"/>
    </row>
    <row r="897" spans="16:16" x14ac:dyDescent="0.3">
      <c r="P897" s="162"/>
    </row>
    <row r="898" spans="16:16" x14ac:dyDescent="0.3">
      <c r="P898" s="163"/>
    </row>
    <row r="899" spans="16:16" x14ac:dyDescent="0.3">
      <c r="P899" s="161"/>
    </row>
    <row r="900" spans="16:16" x14ac:dyDescent="0.3">
      <c r="P900" s="162"/>
    </row>
    <row r="901" spans="16:16" x14ac:dyDescent="0.3">
      <c r="P901" s="162"/>
    </row>
    <row r="902" spans="16:16" x14ac:dyDescent="0.3">
      <c r="P902" s="163"/>
    </row>
    <row r="903" spans="16:16" x14ac:dyDescent="0.3">
      <c r="P903" s="161"/>
    </row>
    <row r="904" spans="16:16" x14ac:dyDescent="0.3">
      <c r="P904" s="162"/>
    </row>
    <row r="905" spans="16:16" x14ac:dyDescent="0.3">
      <c r="P905" s="162"/>
    </row>
    <row r="906" spans="16:16" x14ac:dyDescent="0.3">
      <c r="P906" s="163"/>
    </row>
    <row r="907" spans="16:16" x14ac:dyDescent="0.3">
      <c r="P907" s="161"/>
    </row>
    <row r="908" spans="16:16" x14ac:dyDescent="0.3">
      <c r="P908" s="162"/>
    </row>
    <row r="909" spans="16:16" x14ac:dyDescent="0.3">
      <c r="P909" s="162"/>
    </row>
    <row r="910" spans="16:16" x14ac:dyDescent="0.3">
      <c r="P910" s="163"/>
    </row>
    <row r="911" spans="16:16" x14ac:dyDescent="0.3">
      <c r="P911" s="161"/>
    </row>
    <row r="912" spans="16:16" x14ac:dyDescent="0.3">
      <c r="P912" s="162"/>
    </row>
    <row r="913" spans="16:16" x14ac:dyDescent="0.3">
      <c r="P913" s="162"/>
    </row>
    <row r="914" spans="16:16" x14ac:dyDescent="0.3">
      <c r="P914" s="163"/>
    </row>
    <row r="915" spans="16:16" x14ac:dyDescent="0.3">
      <c r="P915" s="161"/>
    </row>
    <row r="916" spans="16:16" x14ac:dyDescent="0.3">
      <c r="P916" s="162"/>
    </row>
    <row r="917" spans="16:16" x14ac:dyDescent="0.3">
      <c r="P917" s="162"/>
    </row>
    <row r="918" spans="16:16" x14ac:dyDescent="0.3">
      <c r="P918" s="163"/>
    </row>
    <row r="919" spans="16:16" x14ac:dyDescent="0.3">
      <c r="P919" s="161"/>
    </row>
    <row r="920" spans="16:16" x14ac:dyDescent="0.3">
      <c r="P920" s="162"/>
    </row>
    <row r="921" spans="16:16" x14ac:dyDescent="0.3">
      <c r="P921" s="162"/>
    </row>
    <row r="922" spans="16:16" x14ac:dyDescent="0.3">
      <c r="P922" s="163"/>
    </row>
    <row r="923" spans="16:16" x14ac:dyDescent="0.3">
      <c r="P923" s="161"/>
    </row>
    <row r="924" spans="16:16" x14ac:dyDescent="0.3">
      <c r="P924" s="162"/>
    </row>
    <row r="925" spans="16:16" x14ac:dyDescent="0.3">
      <c r="P925" s="162"/>
    </row>
    <row r="926" spans="16:16" x14ac:dyDescent="0.3">
      <c r="P926" s="163"/>
    </row>
    <row r="927" spans="16:16" x14ac:dyDescent="0.3">
      <c r="P927" s="161"/>
    </row>
    <row r="928" spans="16:16" x14ac:dyDescent="0.3">
      <c r="P928" s="162"/>
    </row>
    <row r="929" spans="16:16" x14ac:dyDescent="0.3">
      <c r="P929" s="162"/>
    </row>
    <row r="930" spans="16:16" x14ac:dyDescent="0.3">
      <c r="P930" s="163"/>
    </row>
    <row r="931" spans="16:16" x14ac:dyDescent="0.3">
      <c r="P931" s="161"/>
    </row>
    <row r="932" spans="16:16" x14ac:dyDescent="0.3">
      <c r="P932" s="162"/>
    </row>
    <row r="933" spans="16:16" x14ac:dyDescent="0.3">
      <c r="P933" s="162"/>
    </row>
    <row r="934" spans="16:16" x14ac:dyDescent="0.3">
      <c r="P934" s="163"/>
    </row>
    <row r="935" spans="16:16" x14ac:dyDescent="0.3">
      <c r="P935" s="161"/>
    </row>
    <row r="936" spans="16:16" x14ac:dyDescent="0.3">
      <c r="P936" s="162"/>
    </row>
    <row r="937" spans="16:16" x14ac:dyDescent="0.3">
      <c r="P937" s="162"/>
    </row>
    <row r="938" spans="16:16" x14ac:dyDescent="0.3">
      <c r="P938" s="163"/>
    </row>
    <row r="939" spans="16:16" x14ac:dyDescent="0.3">
      <c r="P939" s="161"/>
    </row>
    <row r="940" spans="16:16" x14ac:dyDescent="0.3">
      <c r="P940" s="162"/>
    </row>
    <row r="941" spans="16:16" x14ac:dyDescent="0.3">
      <c r="P941" s="162"/>
    </row>
    <row r="942" spans="16:16" x14ac:dyDescent="0.3">
      <c r="P942" s="163"/>
    </row>
    <row r="943" spans="16:16" x14ac:dyDescent="0.3">
      <c r="P943" s="161"/>
    </row>
    <row r="944" spans="16:16" x14ac:dyDescent="0.3">
      <c r="P944" s="162"/>
    </row>
    <row r="945" spans="16:16" x14ac:dyDescent="0.3">
      <c r="P945" s="162"/>
    </row>
    <row r="946" spans="16:16" x14ac:dyDescent="0.3">
      <c r="P946" s="163"/>
    </row>
    <row r="947" spans="16:16" x14ac:dyDescent="0.3">
      <c r="P947" s="161"/>
    </row>
    <row r="948" spans="16:16" x14ac:dyDescent="0.3">
      <c r="P948" s="162"/>
    </row>
    <row r="949" spans="16:16" x14ac:dyDescent="0.3">
      <c r="P949" s="162"/>
    </row>
    <row r="950" spans="16:16" x14ac:dyDescent="0.3">
      <c r="P950" s="163"/>
    </row>
    <row r="951" spans="16:16" x14ac:dyDescent="0.3">
      <c r="P951" s="161"/>
    </row>
    <row r="952" spans="16:16" x14ac:dyDescent="0.3">
      <c r="P952" s="162"/>
    </row>
    <row r="953" spans="16:16" x14ac:dyDescent="0.3">
      <c r="P953" s="162"/>
    </row>
    <row r="954" spans="16:16" x14ac:dyDescent="0.3">
      <c r="P954" s="163"/>
    </row>
    <row r="955" spans="16:16" x14ac:dyDescent="0.3">
      <c r="P955" s="161"/>
    </row>
    <row r="956" spans="16:16" x14ac:dyDescent="0.3">
      <c r="P956" s="162"/>
    </row>
    <row r="957" spans="16:16" x14ac:dyDescent="0.3">
      <c r="P957" s="162"/>
    </row>
    <row r="958" spans="16:16" x14ac:dyDescent="0.3">
      <c r="P958" s="163"/>
    </row>
    <row r="959" spans="16:16" x14ac:dyDescent="0.3">
      <c r="P959" s="161"/>
    </row>
    <row r="960" spans="16:16" x14ac:dyDescent="0.3">
      <c r="P960" s="162"/>
    </row>
    <row r="961" spans="16:16" x14ac:dyDescent="0.3">
      <c r="P961" s="162"/>
    </row>
    <row r="962" spans="16:16" x14ac:dyDescent="0.3">
      <c r="P962" s="163"/>
    </row>
    <row r="963" spans="16:16" x14ac:dyDescent="0.3">
      <c r="P963" s="161"/>
    </row>
    <row r="964" spans="16:16" x14ac:dyDescent="0.3">
      <c r="P964" s="162"/>
    </row>
    <row r="965" spans="16:16" x14ac:dyDescent="0.3">
      <c r="P965" s="162"/>
    </row>
    <row r="966" spans="16:16" x14ac:dyDescent="0.3">
      <c r="P966" s="163"/>
    </row>
    <row r="967" spans="16:16" x14ac:dyDescent="0.3">
      <c r="P967" s="161"/>
    </row>
    <row r="968" spans="16:16" x14ac:dyDescent="0.3">
      <c r="P968" s="162"/>
    </row>
    <row r="969" spans="16:16" x14ac:dyDescent="0.3">
      <c r="P969" s="162"/>
    </row>
    <row r="970" spans="16:16" x14ac:dyDescent="0.3">
      <c r="P970" s="163"/>
    </row>
    <row r="971" spans="16:16" x14ac:dyDescent="0.3">
      <c r="P971" s="161"/>
    </row>
    <row r="972" spans="16:16" x14ac:dyDescent="0.3">
      <c r="P972" s="162"/>
    </row>
    <row r="973" spans="16:16" x14ac:dyDescent="0.3">
      <c r="P973" s="162"/>
    </row>
    <row r="974" spans="16:16" x14ac:dyDescent="0.3">
      <c r="P974" s="163"/>
    </row>
    <row r="975" spans="16:16" x14ac:dyDescent="0.3">
      <c r="P975" s="161"/>
    </row>
    <row r="976" spans="16:16" x14ac:dyDescent="0.3">
      <c r="P976" s="162"/>
    </row>
    <row r="977" spans="16:16" x14ac:dyDescent="0.3">
      <c r="P977" s="162"/>
    </row>
    <row r="978" spans="16:16" x14ac:dyDescent="0.3">
      <c r="P978" s="163"/>
    </row>
    <row r="979" spans="16:16" x14ac:dyDescent="0.3">
      <c r="P979" s="161"/>
    </row>
    <row r="980" spans="16:16" x14ac:dyDescent="0.3">
      <c r="P980" s="162"/>
    </row>
    <row r="981" spans="16:16" x14ac:dyDescent="0.3">
      <c r="P981" s="162"/>
    </row>
    <row r="982" spans="16:16" x14ac:dyDescent="0.3">
      <c r="P982" s="163"/>
    </row>
    <row r="983" spans="16:16" x14ac:dyDescent="0.3">
      <c r="P983" s="161"/>
    </row>
    <row r="984" spans="16:16" x14ac:dyDescent="0.3">
      <c r="P984" s="162"/>
    </row>
    <row r="985" spans="16:16" x14ac:dyDescent="0.3">
      <c r="P985" s="162"/>
    </row>
    <row r="986" spans="16:16" x14ac:dyDescent="0.3">
      <c r="P986" s="163"/>
    </row>
    <row r="987" spans="16:16" x14ac:dyDescent="0.3">
      <c r="P987" s="161"/>
    </row>
    <row r="988" spans="16:16" x14ac:dyDescent="0.3">
      <c r="P988" s="162"/>
    </row>
    <row r="989" spans="16:16" x14ac:dyDescent="0.3">
      <c r="P989" s="162"/>
    </row>
    <row r="990" spans="16:16" x14ac:dyDescent="0.3">
      <c r="P990" s="163"/>
    </row>
    <row r="991" spans="16:16" x14ac:dyDescent="0.3">
      <c r="P991" s="161"/>
    </row>
    <row r="992" spans="16:16" x14ac:dyDescent="0.3">
      <c r="P992" s="162"/>
    </row>
    <row r="993" spans="16:16" x14ac:dyDescent="0.3">
      <c r="P993" s="162"/>
    </row>
    <row r="994" spans="16:16" x14ac:dyDescent="0.3">
      <c r="P994" s="163"/>
    </row>
    <row r="995" spans="16:16" x14ac:dyDescent="0.3">
      <c r="P995" s="165"/>
    </row>
    <row r="996" spans="16:16" x14ac:dyDescent="0.3">
      <c r="P996" s="166"/>
    </row>
    <row r="997" spans="16:16" x14ac:dyDescent="0.3">
      <c r="P997" s="166"/>
    </row>
    <row r="998" spans="16:16" x14ac:dyDescent="0.3">
      <c r="P998" s="167"/>
    </row>
    <row r="999" spans="16:16" x14ac:dyDescent="0.3">
      <c r="P999" s="161"/>
    </row>
    <row r="1000" spans="16:16" x14ac:dyDescent="0.3">
      <c r="P1000" s="162"/>
    </row>
    <row r="1001" spans="16:16" x14ac:dyDescent="0.3">
      <c r="P1001" s="162"/>
    </row>
    <row r="1002" spans="16:16" x14ac:dyDescent="0.3">
      <c r="P1002" s="163"/>
    </row>
    <row r="1003" spans="16:16" x14ac:dyDescent="0.3">
      <c r="P1003" s="165"/>
    </row>
    <row r="1004" spans="16:16" x14ac:dyDescent="0.3">
      <c r="P1004" s="166"/>
    </row>
    <row r="1005" spans="16:16" x14ac:dyDescent="0.3">
      <c r="P1005" s="166"/>
    </row>
    <row r="1006" spans="16:16" x14ac:dyDescent="0.3">
      <c r="P1006" s="167"/>
    </row>
    <row r="1007" spans="16:16" x14ac:dyDescent="0.3">
      <c r="P1007" s="165"/>
    </row>
    <row r="1008" spans="16:16" x14ac:dyDescent="0.3">
      <c r="P1008" s="166"/>
    </row>
    <row r="1009" spans="16:16" x14ac:dyDescent="0.3">
      <c r="P1009" s="166"/>
    </row>
    <row r="1010" spans="16:16" x14ac:dyDescent="0.3">
      <c r="P1010" s="167"/>
    </row>
    <row r="1011" spans="16:16" x14ac:dyDescent="0.3">
      <c r="P1011" s="165"/>
    </row>
    <row r="1012" spans="16:16" x14ac:dyDescent="0.3">
      <c r="P1012" s="166"/>
    </row>
    <row r="1013" spans="16:16" x14ac:dyDescent="0.3">
      <c r="P1013" s="166"/>
    </row>
    <row r="1014" spans="16:16" x14ac:dyDescent="0.3">
      <c r="P1014" s="167"/>
    </row>
    <row r="1015" spans="16:16" x14ac:dyDescent="0.3">
      <c r="P1015" s="165"/>
    </row>
    <row r="1016" spans="16:16" x14ac:dyDescent="0.3">
      <c r="P1016" s="166"/>
    </row>
    <row r="1017" spans="16:16" x14ac:dyDescent="0.3">
      <c r="P1017" s="166"/>
    </row>
    <row r="1018" spans="16:16" x14ac:dyDescent="0.3">
      <c r="P1018" s="167"/>
    </row>
    <row r="1019" spans="16:16" x14ac:dyDescent="0.3">
      <c r="P1019" s="165"/>
    </row>
    <row r="1020" spans="16:16" x14ac:dyDescent="0.3">
      <c r="P1020" s="166"/>
    </row>
    <row r="1021" spans="16:16" x14ac:dyDescent="0.3">
      <c r="P1021" s="166"/>
    </row>
    <row r="1022" spans="16:16" x14ac:dyDescent="0.3">
      <c r="P1022" s="167"/>
    </row>
    <row r="1023" spans="16:16" x14ac:dyDescent="0.3">
      <c r="P1023" s="165"/>
    </row>
    <row r="1024" spans="16:16" x14ac:dyDescent="0.3">
      <c r="P1024" s="166"/>
    </row>
    <row r="1025" spans="16:16" x14ac:dyDescent="0.3">
      <c r="P1025" s="166"/>
    </row>
    <row r="1026" spans="16:16" x14ac:dyDescent="0.3">
      <c r="P1026" s="167"/>
    </row>
    <row r="1027" spans="16:16" x14ac:dyDescent="0.3">
      <c r="P1027" s="165"/>
    </row>
    <row r="1028" spans="16:16" x14ac:dyDescent="0.3">
      <c r="P1028" s="166"/>
    </row>
    <row r="1029" spans="16:16" x14ac:dyDescent="0.3">
      <c r="P1029" s="166"/>
    </row>
    <row r="1030" spans="16:16" x14ac:dyDescent="0.3">
      <c r="P1030" s="167"/>
    </row>
    <row r="1031" spans="16:16" x14ac:dyDescent="0.3">
      <c r="P1031" s="165"/>
    </row>
    <row r="1032" spans="16:16" x14ac:dyDescent="0.3">
      <c r="P1032" s="166"/>
    </row>
    <row r="1033" spans="16:16" x14ac:dyDescent="0.3">
      <c r="P1033" s="166"/>
    </row>
    <row r="1034" spans="16:16" x14ac:dyDescent="0.3">
      <c r="P1034" s="167"/>
    </row>
    <row r="1035" spans="16:16" x14ac:dyDescent="0.3">
      <c r="P1035" s="165"/>
    </row>
    <row r="1036" spans="16:16" x14ac:dyDescent="0.3">
      <c r="P1036" s="166"/>
    </row>
    <row r="1037" spans="16:16" x14ac:dyDescent="0.3">
      <c r="P1037" s="166"/>
    </row>
    <row r="1038" spans="16:16" x14ac:dyDescent="0.3">
      <c r="P1038" s="167"/>
    </row>
    <row r="1039" spans="16:16" x14ac:dyDescent="0.3">
      <c r="P1039" s="165"/>
    </row>
    <row r="1040" spans="16:16" x14ac:dyDescent="0.3">
      <c r="P1040" s="166"/>
    </row>
    <row r="1041" spans="16:16" x14ac:dyDescent="0.3">
      <c r="P1041" s="166"/>
    </row>
    <row r="1042" spans="16:16" x14ac:dyDescent="0.3">
      <c r="P1042" s="167"/>
    </row>
    <row r="1043" spans="16:16" x14ac:dyDescent="0.3">
      <c r="P1043" s="165"/>
    </row>
    <row r="1044" spans="16:16" x14ac:dyDescent="0.3">
      <c r="P1044" s="166"/>
    </row>
    <row r="1045" spans="16:16" x14ac:dyDescent="0.3">
      <c r="P1045" s="166"/>
    </row>
    <row r="1046" spans="16:16" x14ac:dyDescent="0.3">
      <c r="P1046" s="167"/>
    </row>
    <row r="1047" spans="16:16" x14ac:dyDescent="0.3">
      <c r="P1047" s="165"/>
    </row>
    <row r="1048" spans="16:16" x14ac:dyDescent="0.3">
      <c r="P1048" s="166"/>
    </row>
    <row r="1049" spans="16:16" x14ac:dyDescent="0.3">
      <c r="P1049" s="166"/>
    </row>
    <row r="1050" spans="16:16" x14ac:dyDescent="0.3">
      <c r="P1050" s="167"/>
    </row>
  </sheetData>
  <mergeCells count="263">
    <mergeCell ref="P87:P90"/>
    <mergeCell ref="P75:P78"/>
    <mergeCell ref="P79:P82"/>
    <mergeCell ref="P99:P102"/>
    <mergeCell ref="P103:P106"/>
    <mergeCell ref="P91:P94"/>
    <mergeCell ref="P95:P98"/>
    <mergeCell ref="P51:P54"/>
    <mergeCell ref="P55:P58"/>
    <mergeCell ref="P43:P46"/>
    <mergeCell ref="P47:P50"/>
    <mergeCell ref="P67:P70"/>
    <mergeCell ref="P71:P74"/>
    <mergeCell ref="P59:P62"/>
    <mergeCell ref="P63:P66"/>
    <mergeCell ref="P83:P86"/>
    <mergeCell ref="P35:P38"/>
    <mergeCell ref="P39:P42"/>
    <mergeCell ref="P1:P2"/>
    <mergeCell ref="P3:P6"/>
    <mergeCell ref="P7:P10"/>
    <mergeCell ref="P11:P14"/>
    <mergeCell ref="P15:P18"/>
    <mergeCell ref="P19:P22"/>
    <mergeCell ref="P23:P26"/>
    <mergeCell ref="P27:P30"/>
    <mergeCell ref="P31:P34"/>
    <mergeCell ref="P107:P110"/>
    <mergeCell ref="P111:P114"/>
    <mergeCell ref="P115:P118"/>
    <mergeCell ref="P119:P122"/>
    <mergeCell ref="P123:P126"/>
    <mergeCell ref="P127:P130"/>
    <mergeCell ref="P131:P134"/>
    <mergeCell ref="P135:P138"/>
    <mergeCell ref="P139:P142"/>
    <mergeCell ref="P143:P146"/>
    <mergeCell ref="P147:P150"/>
    <mergeCell ref="P151:P154"/>
    <mergeCell ref="P155:P158"/>
    <mergeCell ref="P159:P162"/>
    <mergeCell ref="P163:P166"/>
    <mergeCell ref="P167:P170"/>
    <mergeCell ref="P171:P174"/>
    <mergeCell ref="P175:P178"/>
    <mergeCell ref="P179:P182"/>
    <mergeCell ref="P183:P186"/>
    <mergeCell ref="P187:P190"/>
    <mergeCell ref="P191:P194"/>
    <mergeCell ref="P195:P198"/>
    <mergeCell ref="P199:P202"/>
    <mergeCell ref="P203:P206"/>
    <mergeCell ref="P207:P210"/>
    <mergeCell ref="P211:P214"/>
    <mergeCell ref="P215:P218"/>
    <mergeCell ref="P219:P222"/>
    <mergeCell ref="P223:P226"/>
    <mergeCell ref="P227:P230"/>
    <mergeCell ref="P231:P234"/>
    <mergeCell ref="P235:P238"/>
    <mergeCell ref="P239:P242"/>
    <mergeCell ref="P243:P246"/>
    <mergeCell ref="P247:P250"/>
    <mergeCell ref="P251:P254"/>
    <mergeCell ref="P255:P258"/>
    <mergeCell ref="P259:P262"/>
    <mergeCell ref="P263:P266"/>
    <mergeCell ref="P267:P270"/>
    <mergeCell ref="P271:P274"/>
    <mergeCell ref="P275:P278"/>
    <mergeCell ref="P279:P282"/>
    <mergeCell ref="P283:P286"/>
    <mergeCell ref="P287:P290"/>
    <mergeCell ref="P291:P294"/>
    <mergeCell ref="P295:P298"/>
    <mergeCell ref="P299:P302"/>
    <mergeCell ref="P303:P306"/>
    <mergeCell ref="P307:P310"/>
    <mergeCell ref="P311:P314"/>
    <mergeCell ref="P315:P318"/>
    <mergeCell ref="P319:P322"/>
    <mergeCell ref="P323:P326"/>
    <mergeCell ref="P327:P330"/>
    <mergeCell ref="P331:P334"/>
    <mergeCell ref="P335:P338"/>
    <mergeCell ref="P339:P342"/>
    <mergeCell ref="P343:P346"/>
    <mergeCell ref="P347:P350"/>
    <mergeCell ref="P351:P354"/>
    <mergeCell ref="P355:P358"/>
    <mergeCell ref="P359:P362"/>
    <mergeCell ref="P363:P366"/>
    <mergeCell ref="P367:P370"/>
    <mergeCell ref="P371:P374"/>
    <mergeCell ref="P375:P378"/>
    <mergeCell ref="P379:P382"/>
    <mergeCell ref="P383:P386"/>
    <mergeCell ref="P387:P390"/>
    <mergeCell ref="P391:P394"/>
    <mergeCell ref="P395:P398"/>
    <mergeCell ref="P399:P402"/>
    <mergeCell ref="P403:P406"/>
    <mergeCell ref="P407:P410"/>
    <mergeCell ref="P411:P414"/>
    <mergeCell ref="P415:P418"/>
    <mergeCell ref="P419:P422"/>
    <mergeCell ref="P423:P426"/>
    <mergeCell ref="P427:P430"/>
    <mergeCell ref="P431:P434"/>
    <mergeCell ref="P435:P438"/>
    <mergeCell ref="P439:P442"/>
    <mergeCell ref="P443:P446"/>
    <mergeCell ref="P447:P450"/>
    <mergeCell ref="P451:P454"/>
    <mergeCell ref="P455:P458"/>
    <mergeCell ref="P459:P462"/>
    <mergeCell ref="P463:P466"/>
    <mergeCell ref="P467:P470"/>
    <mergeCell ref="P471:P474"/>
    <mergeCell ref="P475:P478"/>
    <mergeCell ref="P479:P482"/>
    <mergeCell ref="P483:P486"/>
    <mergeCell ref="P487:P490"/>
    <mergeCell ref="P491:P494"/>
    <mergeCell ref="P495:P498"/>
    <mergeCell ref="P499:P502"/>
    <mergeCell ref="P503:P506"/>
    <mergeCell ref="P507:P510"/>
    <mergeCell ref="P511:P514"/>
    <mergeCell ref="P515:P518"/>
    <mergeCell ref="P519:P522"/>
    <mergeCell ref="P523:P526"/>
    <mergeCell ref="P527:P530"/>
    <mergeCell ref="P531:P534"/>
    <mergeCell ref="P535:P538"/>
    <mergeCell ref="P539:P542"/>
    <mergeCell ref="P543:P546"/>
    <mergeCell ref="P547:P550"/>
    <mergeCell ref="P551:P554"/>
    <mergeCell ref="P555:P558"/>
    <mergeCell ref="P559:P562"/>
    <mergeCell ref="P563:P566"/>
    <mergeCell ref="P567:P570"/>
    <mergeCell ref="P571:P574"/>
    <mergeCell ref="P575:P578"/>
    <mergeCell ref="P579:P582"/>
    <mergeCell ref="P583:P586"/>
    <mergeCell ref="P587:P590"/>
    <mergeCell ref="P591:P594"/>
    <mergeCell ref="P595:P598"/>
    <mergeCell ref="P599:P602"/>
    <mergeCell ref="P603:P606"/>
    <mergeCell ref="P607:P610"/>
    <mergeCell ref="P611:P614"/>
    <mergeCell ref="P615:P618"/>
    <mergeCell ref="P619:P622"/>
    <mergeCell ref="P623:P626"/>
    <mergeCell ref="P627:P630"/>
    <mergeCell ref="P631:P634"/>
    <mergeCell ref="P635:P638"/>
    <mergeCell ref="P639:P642"/>
    <mergeCell ref="P643:P646"/>
    <mergeCell ref="P647:P650"/>
    <mergeCell ref="P651:P654"/>
    <mergeCell ref="P655:P658"/>
    <mergeCell ref="P659:P662"/>
    <mergeCell ref="P663:P666"/>
    <mergeCell ref="P667:P670"/>
    <mergeCell ref="P671:P674"/>
    <mergeCell ref="P675:P678"/>
    <mergeCell ref="P679:P682"/>
    <mergeCell ref="P683:P686"/>
    <mergeCell ref="P687:P690"/>
    <mergeCell ref="P691:P694"/>
    <mergeCell ref="P695:P698"/>
    <mergeCell ref="P699:P702"/>
    <mergeCell ref="P703:P706"/>
    <mergeCell ref="P707:P710"/>
    <mergeCell ref="P711:P714"/>
    <mergeCell ref="P715:P718"/>
    <mergeCell ref="P719:P722"/>
    <mergeCell ref="P723:P726"/>
    <mergeCell ref="P727:P730"/>
    <mergeCell ref="P731:P734"/>
    <mergeCell ref="P735:P738"/>
    <mergeCell ref="P739:P742"/>
    <mergeCell ref="P743:P746"/>
    <mergeCell ref="P747:P750"/>
    <mergeCell ref="P751:P754"/>
    <mergeCell ref="P755:P758"/>
    <mergeCell ref="P759:P762"/>
    <mergeCell ref="P763:P766"/>
    <mergeCell ref="P767:P770"/>
    <mergeCell ref="P771:P774"/>
    <mergeCell ref="P775:P778"/>
    <mergeCell ref="P779:P782"/>
    <mergeCell ref="P783:P786"/>
    <mergeCell ref="P787:P790"/>
    <mergeCell ref="P791:P794"/>
    <mergeCell ref="P795:P798"/>
    <mergeCell ref="P799:P802"/>
    <mergeCell ref="P803:P806"/>
    <mergeCell ref="P807:P810"/>
    <mergeCell ref="P811:P814"/>
    <mergeCell ref="P815:P818"/>
    <mergeCell ref="P819:P822"/>
    <mergeCell ref="P823:P826"/>
    <mergeCell ref="P827:P830"/>
    <mergeCell ref="P831:P834"/>
    <mergeCell ref="P835:P838"/>
    <mergeCell ref="P839:P842"/>
    <mergeCell ref="P843:P846"/>
    <mergeCell ref="P847:P850"/>
    <mergeCell ref="P851:P854"/>
    <mergeCell ref="P855:P858"/>
    <mergeCell ref="P859:P862"/>
    <mergeCell ref="P863:P866"/>
    <mergeCell ref="P867:P870"/>
    <mergeCell ref="P871:P874"/>
    <mergeCell ref="P875:P878"/>
    <mergeCell ref="P879:P882"/>
    <mergeCell ref="P883:P886"/>
    <mergeCell ref="P887:P890"/>
    <mergeCell ref="P891:P894"/>
    <mergeCell ref="P895:P898"/>
    <mergeCell ref="P899:P902"/>
    <mergeCell ref="P903:P906"/>
    <mergeCell ref="P907:P910"/>
    <mergeCell ref="P911:P914"/>
    <mergeCell ref="P915:P918"/>
    <mergeCell ref="P919:P922"/>
    <mergeCell ref="P923:P926"/>
    <mergeCell ref="P927:P930"/>
    <mergeCell ref="P931:P934"/>
    <mergeCell ref="P935:P938"/>
    <mergeCell ref="P939:P942"/>
    <mergeCell ref="P943:P946"/>
    <mergeCell ref="P947:P950"/>
    <mergeCell ref="P951:P954"/>
    <mergeCell ref="P955:P958"/>
    <mergeCell ref="P959:P962"/>
    <mergeCell ref="P963:P966"/>
    <mergeCell ref="P967:P970"/>
    <mergeCell ref="P971:P974"/>
    <mergeCell ref="P975:P978"/>
    <mergeCell ref="P979:P982"/>
    <mergeCell ref="P983:P986"/>
    <mergeCell ref="P987:P990"/>
    <mergeCell ref="P991:P994"/>
    <mergeCell ref="P995:P998"/>
    <mergeCell ref="P999:P1002"/>
    <mergeCell ref="P1003:P1006"/>
    <mergeCell ref="P1007:P1010"/>
    <mergeCell ref="P1011:P1014"/>
    <mergeCell ref="P1015:P1018"/>
    <mergeCell ref="P1019:P1022"/>
    <mergeCell ref="P1023:P1026"/>
    <mergeCell ref="P1027:P1030"/>
    <mergeCell ref="P1031:P1034"/>
    <mergeCell ref="P1035:P1038"/>
    <mergeCell ref="P1039:P1042"/>
    <mergeCell ref="P1043:P1046"/>
    <mergeCell ref="P1047:P1050"/>
  </mergeCells>
  <phoneticPr fontId="1" type="noConversion"/>
  <hyperlinks>
    <hyperlink ref="J3" r:id="rId1" xr:uid="{8693CF0A-5673-421F-94E2-DE673FBF4C12}"/>
    <hyperlink ref="K3" r:id="rId2" display="#3@20" xr:uid="{A46475C0-9D04-4638-B0CF-32AF4808F450}"/>
    <hyperlink ref="L3" r:id="rId3" xr:uid="{BBD3ADB3-590F-46EF-8E69-A1A711DD669B}"/>
  </hyperlinks>
  <pageMargins left="0.7" right="0.7" top="0.75" bottom="0.75" header="0.3" footer="0.3"/>
  <legacyDrawing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5">
    <tabColor rgb="FF0070C0"/>
  </sheetPr>
  <dimension ref="A1:P1050"/>
  <sheetViews>
    <sheetView workbookViewId="0"/>
  </sheetViews>
  <sheetFormatPr defaultColWidth="9" defaultRowHeight="15.6" x14ac:dyDescent="0.3"/>
  <cols>
    <col min="1" max="15" width="9" style="172" customWidth="1"/>
    <col min="16" max="16" width="50.77734375" style="13" customWidth="1"/>
    <col min="17" max="16384" width="9" style="5"/>
  </cols>
  <sheetData>
    <row r="1" spans="1:16" x14ac:dyDescent="0.3">
      <c r="A1" s="172" t="s">
        <v>449</v>
      </c>
      <c r="B1" s="172" t="s">
        <v>450</v>
      </c>
      <c r="C1" s="172" t="s">
        <v>451</v>
      </c>
      <c r="D1" s="172" t="s">
        <v>452</v>
      </c>
      <c r="E1" s="172" t="s">
        <v>453</v>
      </c>
      <c r="F1" s="172" t="s">
        <v>453</v>
      </c>
      <c r="I1" s="172" t="s">
        <v>454</v>
      </c>
      <c r="J1" s="172" t="s">
        <v>455</v>
      </c>
      <c r="M1" s="172" t="s">
        <v>456</v>
      </c>
      <c r="N1" s="172" t="s">
        <v>457</v>
      </c>
      <c r="O1" s="172" t="s">
        <v>293</v>
      </c>
      <c r="P1" s="159" t="s">
        <v>282</v>
      </c>
    </row>
    <row r="2" spans="1:16" ht="16.2" thickBot="1" x14ac:dyDescent="0.35">
      <c r="F2" s="172" t="s">
        <v>372</v>
      </c>
      <c r="G2" s="172" t="s">
        <v>369</v>
      </c>
      <c r="H2" s="172" t="s">
        <v>375</v>
      </c>
      <c r="J2" s="172" t="s">
        <v>460</v>
      </c>
      <c r="K2" s="172" t="s">
        <v>369</v>
      </c>
      <c r="L2" s="172" t="s">
        <v>375</v>
      </c>
      <c r="P2" s="160"/>
    </row>
    <row r="3" spans="1:16" ht="16.2" customHeight="1" thickTop="1" x14ac:dyDescent="0.3">
      <c r="A3" s="172" t="s">
        <v>286</v>
      </c>
      <c r="B3" s="172" t="s">
        <v>295</v>
      </c>
      <c r="C3" s="172">
        <v>40</v>
      </c>
      <c r="D3" s="172">
        <v>60</v>
      </c>
      <c r="E3" s="172" t="s">
        <v>458</v>
      </c>
      <c r="F3" s="172" t="s">
        <v>296</v>
      </c>
      <c r="G3" s="172" t="s">
        <v>296</v>
      </c>
      <c r="H3" s="172" t="s">
        <v>296</v>
      </c>
      <c r="I3" s="172" t="s">
        <v>287</v>
      </c>
      <c r="J3" s="172" t="s">
        <v>288</v>
      </c>
      <c r="K3" s="172" t="s">
        <v>288</v>
      </c>
      <c r="L3" s="172" t="s">
        <v>288</v>
      </c>
      <c r="M3" s="172">
        <v>840</v>
      </c>
      <c r="N3" s="172">
        <v>50</v>
      </c>
      <c r="P3" s="168" t="s">
        <v>1073</v>
      </c>
    </row>
    <row r="4" spans="1:16" x14ac:dyDescent="0.3">
      <c r="E4" s="172" t="s">
        <v>459</v>
      </c>
      <c r="F4" s="172">
        <v>0</v>
      </c>
      <c r="G4" s="172">
        <v>0</v>
      </c>
      <c r="H4" s="172">
        <v>0</v>
      </c>
      <c r="P4" s="166"/>
    </row>
    <row r="5" spans="1:16" x14ac:dyDescent="0.3">
      <c r="E5" s="172" t="s">
        <v>458</v>
      </c>
      <c r="F5" s="172" t="s">
        <v>296</v>
      </c>
      <c r="G5" s="172" t="s">
        <v>297</v>
      </c>
      <c r="H5" s="172" t="s">
        <v>296</v>
      </c>
      <c r="P5" s="166"/>
    </row>
    <row r="6" spans="1:16" x14ac:dyDescent="0.3">
      <c r="E6" s="172" t="s">
        <v>459</v>
      </c>
      <c r="F6" s="172" t="s">
        <v>297</v>
      </c>
      <c r="G6" s="172" t="s">
        <v>297</v>
      </c>
      <c r="H6" s="172" t="s">
        <v>297</v>
      </c>
      <c r="P6" s="167"/>
    </row>
    <row r="7" spans="1:16" x14ac:dyDescent="0.3">
      <c r="P7" s="161"/>
    </row>
    <row r="8" spans="1:16" x14ac:dyDescent="0.3">
      <c r="P8" s="162"/>
    </row>
    <row r="9" spans="1:16" x14ac:dyDescent="0.3">
      <c r="P9" s="162"/>
    </row>
    <row r="10" spans="1:16" x14ac:dyDescent="0.3">
      <c r="P10" s="163"/>
    </row>
    <row r="11" spans="1:16" x14ac:dyDescent="0.3">
      <c r="P11" s="161"/>
    </row>
    <row r="12" spans="1:16" x14ac:dyDescent="0.3">
      <c r="P12" s="162"/>
    </row>
    <row r="13" spans="1:16" x14ac:dyDescent="0.3">
      <c r="P13" s="162"/>
    </row>
    <row r="14" spans="1:16" x14ac:dyDescent="0.3">
      <c r="P14" s="163"/>
    </row>
    <row r="15" spans="1:16" x14ac:dyDescent="0.3">
      <c r="P15" s="161"/>
    </row>
    <row r="16" spans="1:16" x14ac:dyDescent="0.3">
      <c r="P16" s="162"/>
    </row>
    <row r="17" spans="16:16" x14ac:dyDescent="0.3">
      <c r="P17" s="162"/>
    </row>
    <row r="18" spans="16:16" x14ac:dyDescent="0.3">
      <c r="P18" s="163"/>
    </row>
    <row r="19" spans="16:16" x14ac:dyDescent="0.3">
      <c r="P19" s="161"/>
    </row>
    <row r="20" spans="16:16" x14ac:dyDescent="0.3">
      <c r="P20" s="162"/>
    </row>
    <row r="21" spans="16:16" x14ac:dyDescent="0.3">
      <c r="P21" s="162"/>
    </row>
    <row r="22" spans="16:16" x14ac:dyDescent="0.3">
      <c r="P22" s="163"/>
    </row>
    <row r="23" spans="16:16" x14ac:dyDescent="0.3">
      <c r="P23" s="161"/>
    </row>
    <row r="24" spans="16:16" x14ac:dyDescent="0.3">
      <c r="P24" s="162"/>
    </row>
    <row r="25" spans="16:16" x14ac:dyDescent="0.3">
      <c r="P25" s="162"/>
    </row>
    <row r="26" spans="16:16" x14ac:dyDescent="0.3">
      <c r="P26" s="163"/>
    </row>
    <row r="27" spans="16:16" x14ac:dyDescent="0.3">
      <c r="P27" s="161"/>
    </row>
    <row r="28" spans="16:16" x14ac:dyDescent="0.3">
      <c r="P28" s="162"/>
    </row>
    <row r="29" spans="16:16" x14ac:dyDescent="0.3">
      <c r="P29" s="162"/>
    </row>
    <row r="30" spans="16:16" x14ac:dyDescent="0.3">
      <c r="P30" s="163"/>
    </row>
    <row r="31" spans="16:16" x14ac:dyDescent="0.3">
      <c r="P31" s="161"/>
    </row>
    <row r="32" spans="16:16" x14ac:dyDescent="0.3">
      <c r="P32" s="162"/>
    </row>
    <row r="33" spans="16:16" x14ac:dyDescent="0.3">
      <c r="P33" s="162"/>
    </row>
    <row r="34" spans="16:16" x14ac:dyDescent="0.3">
      <c r="P34" s="163"/>
    </row>
    <row r="35" spans="16:16" x14ac:dyDescent="0.3">
      <c r="P35" s="161"/>
    </row>
    <row r="36" spans="16:16" x14ac:dyDescent="0.3">
      <c r="P36" s="162"/>
    </row>
    <row r="37" spans="16:16" x14ac:dyDescent="0.3">
      <c r="P37" s="162"/>
    </row>
    <row r="38" spans="16:16" x14ac:dyDescent="0.3">
      <c r="P38" s="163"/>
    </row>
    <row r="39" spans="16:16" x14ac:dyDescent="0.3">
      <c r="P39" s="161"/>
    </row>
    <row r="40" spans="16:16" x14ac:dyDescent="0.3">
      <c r="P40" s="162"/>
    </row>
    <row r="41" spans="16:16" x14ac:dyDescent="0.3">
      <c r="P41" s="162"/>
    </row>
    <row r="42" spans="16:16" x14ac:dyDescent="0.3">
      <c r="P42" s="163"/>
    </row>
    <row r="43" spans="16:16" x14ac:dyDescent="0.3">
      <c r="P43" s="161"/>
    </row>
    <row r="44" spans="16:16" x14ac:dyDescent="0.3">
      <c r="P44" s="162"/>
    </row>
    <row r="45" spans="16:16" x14ac:dyDescent="0.3">
      <c r="P45" s="162"/>
    </row>
    <row r="46" spans="16:16" x14ac:dyDescent="0.3">
      <c r="P46" s="163"/>
    </row>
    <row r="47" spans="16:16" x14ac:dyDescent="0.3">
      <c r="P47" s="161"/>
    </row>
    <row r="48" spans="16:16" x14ac:dyDescent="0.3">
      <c r="P48" s="162"/>
    </row>
    <row r="49" spans="16:16" x14ac:dyDescent="0.3">
      <c r="P49" s="162"/>
    </row>
    <row r="50" spans="16:16" x14ac:dyDescent="0.3">
      <c r="P50" s="163"/>
    </row>
    <row r="51" spans="16:16" x14ac:dyDescent="0.3">
      <c r="P51" s="161"/>
    </row>
    <row r="52" spans="16:16" x14ac:dyDescent="0.3">
      <c r="P52" s="162"/>
    </row>
    <row r="53" spans="16:16" x14ac:dyDescent="0.3">
      <c r="P53" s="162"/>
    </row>
    <row r="54" spans="16:16" x14ac:dyDescent="0.3">
      <c r="P54" s="163"/>
    </row>
    <row r="55" spans="16:16" x14ac:dyDescent="0.3">
      <c r="P55" s="161"/>
    </row>
    <row r="56" spans="16:16" x14ac:dyDescent="0.3">
      <c r="P56" s="162"/>
    </row>
    <row r="57" spans="16:16" x14ac:dyDescent="0.3">
      <c r="P57" s="162"/>
    </row>
    <row r="58" spans="16:16" x14ac:dyDescent="0.3">
      <c r="P58" s="163"/>
    </row>
    <row r="59" spans="16:16" x14ac:dyDescent="0.3">
      <c r="P59" s="161"/>
    </row>
    <row r="60" spans="16:16" x14ac:dyDescent="0.3">
      <c r="P60" s="162"/>
    </row>
    <row r="61" spans="16:16" x14ac:dyDescent="0.3">
      <c r="P61" s="162"/>
    </row>
    <row r="62" spans="16:16" x14ac:dyDescent="0.3">
      <c r="P62" s="163"/>
    </row>
    <row r="63" spans="16:16" x14ac:dyDescent="0.3">
      <c r="P63" s="161"/>
    </row>
    <row r="64" spans="16:16" x14ac:dyDescent="0.3">
      <c r="P64" s="162"/>
    </row>
    <row r="65" spans="16:16" x14ac:dyDescent="0.3">
      <c r="P65" s="162"/>
    </row>
    <row r="66" spans="16:16" x14ac:dyDescent="0.3">
      <c r="P66" s="163"/>
    </row>
    <row r="67" spans="16:16" x14ac:dyDescent="0.3">
      <c r="P67" s="161"/>
    </row>
    <row r="68" spans="16:16" x14ac:dyDescent="0.3">
      <c r="P68" s="162"/>
    </row>
    <row r="69" spans="16:16" x14ac:dyDescent="0.3">
      <c r="P69" s="162"/>
    </row>
    <row r="70" spans="16:16" x14ac:dyDescent="0.3">
      <c r="P70" s="163"/>
    </row>
    <row r="71" spans="16:16" x14ac:dyDescent="0.3">
      <c r="P71" s="161"/>
    </row>
    <row r="72" spans="16:16" x14ac:dyDescent="0.3">
      <c r="P72" s="162"/>
    </row>
    <row r="73" spans="16:16" x14ac:dyDescent="0.3">
      <c r="P73" s="162"/>
    </row>
    <row r="74" spans="16:16" x14ac:dyDescent="0.3">
      <c r="P74" s="163"/>
    </row>
    <row r="75" spans="16:16" x14ac:dyDescent="0.3">
      <c r="P75" s="161"/>
    </row>
    <row r="76" spans="16:16" x14ac:dyDescent="0.3">
      <c r="P76" s="162"/>
    </row>
    <row r="77" spans="16:16" x14ac:dyDescent="0.3">
      <c r="P77" s="162"/>
    </row>
    <row r="78" spans="16:16" x14ac:dyDescent="0.3">
      <c r="P78" s="163"/>
    </row>
    <row r="79" spans="16:16" x14ac:dyDescent="0.3">
      <c r="P79" s="161"/>
    </row>
    <row r="80" spans="16:16" x14ac:dyDescent="0.3">
      <c r="P80" s="162"/>
    </row>
    <row r="81" spans="16:16" x14ac:dyDescent="0.3">
      <c r="P81" s="162"/>
    </row>
    <row r="82" spans="16:16" x14ac:dyDescent="0.3">
      <c r="P82" s="163"/>
    </row>
    <row r="83" spans="16:16" x14ac:dyDescent="0.3">
      <c r="P83" s="161"/>
    </row>
    <row r="84" spans="16:16" x14ac:dyDescent="0.3">
      <c r="P84" s="162"/>
    </row>
    <row r="85" spans="16:16" x14ac:dyDescent="0.3">
      <c r="P85" s="162"/>
    </row>
    <row r="86" spans="16:16" x14ac:dyDescent="0.3">
      <c r="P86" s="163"/>
    </row>
    <row r="87" spans="16:16" x14ac:dyDescent="0.3">
      <c r="P87" s="165"/>
    </row>
    <row r="88" spans="16:16" x14ac:dyDescent="0.3">
      <c r="P88" s="166"/>
    </row>
    <row r="89" spans="16:16" x14ac:dyDescent="0.3">
      <c r="P89" s="166"/>
    </row>
    <row r="90" spans="16:16" x14ac:dyDescent="0.3">
      <c r="P90" s="167"/>
    </row>
    <row r="91" spans="16:16" x14ac:dyDescent="0.3">
      <c r="P91" s="161"/>
    </row>
    <row r="92" spans="16:16" x14ac:dyDescent="0.3">
      <c r="P92" s="162"/>
    </row>
    <row r="93" spans="16:16" x14ac:dyDescent="0.3">
      <c r="P93" s="162"/>
    </row>
    <row r="94" spans="16:16" x14ac:dyDescent="0.3">
      <c r="P94" s="163"/>
    </row>
    <row r="95" spans="16:16" x14ac:dyDescent="0.3">
      <c r="P95" s="165"/>
    </row>
    <row r="96" spans="16:16" x14ac:dyDescent="0.3">
      <c r="P96" s="166"/>
    </row>
    <row r="97" spans="16:16" x14ac:dyDescent="0.3">
      <c r="P97" s="166"/>
    </row>
    <row r="98" spans="16:16" x14ac:dyDescent="0.3">
      <c r="P98" s="167"/>
    </row>
    <row r="99" spans="16:16" x14ac:dyDescent="0.3">
      <c r="P99" s="161"/>
    </row>
    <row r="100" spans="16:16" x14ac:dyDescent="0.3">
      <c r="P100" s="162"/>
    </row>
    <row r="101" spans="16:16" x14ac:dyDescent="0.3">
      <c r="P101" s="162"/>
    </row>
    <row r="102" spans="16:16" x14ac:dyDescent="0.3">
      <c r="P102" s="163"/>
    </row>
    <row r="103" spans="16:16" x14ac:dyDescent="0.3">
      <c r="P103" s="161"/>
    </row>
    <row r="104" spans="16:16" x14ac:dyDescent="0.3">
      <c r="P104" s="162"/>
    </row>
    <row r="105" spans="16:16" x14ac:dyDescent="0.3">
      <c r="P105" s="162"/>
    </row>
    <row r="106" spans="16:16" x14ac:dyDescent="0.3">
      <c r="P106" s="163"/>
    </row>
    <row r="107" spans="16:16" x14ac:dyDescent="0.3">
      <c r="P107" s="165"/>
    </row>
    <row r="108" spans="16:16" x14ac:dyDescent="0.3">
      <c r="P108" s="166"/>
    </row>
    <row r="109" spans="16:16" x14ac:dyDescent="0.3">
      <c r="P109" s="166"/>
    </row>
    <row r="110" spans="16:16" x14ac:dyDescent="0.3">
      <c r="P110" s="167"/>
    </row>
    <row r="111" spans="16:16" x14ac:dyDescent="0.3">
      <c r="P111" s="161"/>
    </row>
    <row r="112" spans="16:16" x14ac:dyDescent="0.3">
      <c r="P112" s="162"/>
    </row>
    <row r="113" spans="16:16" x14ac:dyDescent="0.3">
      <c r="P113" s="162"/>
    </row>
    <row r="114" spans="16:16" x14ac:dyDescent="0.3">
      <c r="P114" s="163"/>
    </row>
    <row r="115" spans="16:16" x14ac:dyDescent="0.3">
      <c r="P115" s="165"/>
    </row>
    <row r="116" spans="16:16" x14ac:dyDescent="0.3">
      <c r="P116" s="166"/>
    </row>
    <row r="117" spans="16:16" x14ac:dyDescent="0.3">
      <c r="P117" s="166"/>
    </row>
    <row r="118" spans="16:16" x14ac:dyDescent="0.3">
      <c r="P118" s="167"/>
    </row>
    <row r="119" spans="16:16" x14ac:dyDescent="0.3">
      <c r="P119" s="161"/>
    </row>
    <row r="120" spans="16:16" x14ac:dyDescent="0.3">
      <c r="P120" s="162"/>
    </row>
    <row r="121" spans="16:16" x14ac:dyDescent="0.3">
      <c r="P121" s="162"/>
    </row>
    <row r="122" spans="16:16" x14ac:dyDescent="0.3">
      <c r="P122" s="163"/>
    </row>
    <row r="123" spans="16:16" x14ac:dyDescent="0.3">
      <c r="P123" s="161"/>
    </row>
    <row r="124" spans="16:16" x14ac:dyDescent="0.3">
      <c r="P124" s="162"/>
    </row>
    <row r="125" spans="16:16" x14ac:dyDescent="0.3">
      <c r="P125" s="162"/>
    </row>
    <row r="126" spans="16:16" x14ac:dyDescent="0.3">
      <c r="P126" s="163"/>
    </row>
    <row r="127" spans="16:16" x14ac:dyDescent="0.3">
      <c r="P127" s="161"/>
    </row>
    <row r="128" spans="16:16" x14ac:dyDescent="0.3">
      <c r="P128" s="162"/>
    </row>
    <row r="129" spans="16:16" x14ac:dyDescent="0.3">
      <c r="P129" s="162"/>
    </row>
    <row r="130" spans="16:16" x14ac:dyDescent="0.3">
      <c r="P130" s="163"/>
    </row>
    <row r="131" spans="16:16" x14ac:dyDescent="0.3">
      <c r="P131" s="161"/>
    </row>
    <row r="132" spans="16:16" x14ac:dyDescent="0.3">
      <c r="P132" s="162"/>
    </row>
    <row r="133" spans="16:16" x14ac:dyDescent="0.3">
      <c r="P133" s="162"/>
    </row>
    <row r="134" spans="16:16" x14ac:dyDescent="0.3">
      <c r="P134" s="163"/>
    </row>
    <row r="135" spans="16:16" x14ac:dyDescent="0.3">
      <c r="P135" s="161"/>
    </row>
    <row r="136" spans="16:16" x14ac:dyDescent="0.3">
      <c r="P136" s="162"/>
    </row>
    <row r="137" spans="16:16" x14ac:dyDescent="0.3">
      <c r="P137" s="162"/>
    </row>
    <row r="138" spans="16:16" x14ac:dyDescent="0.3">
      <c r="P138" s="163"/>
    </row>
    <row r="139" spans="16:16" x14ac:dyDescent="0.3">
      <c r="P139" s="161"/>
    </row>
    <row r="140" spans="16:16" x14ac:dyDescent="0.3">
      <c r="P140" s="162"/>
    </row>
    <row r="141" spans="16:16" x14ac:dyDescent="0.3">
      <c r="P141" s="162"/>
    </row>
    <row r="142" spans="16:16" x14ac:dyDescent="0.3">
      <c r="P142" s="163"/>
    </row>
    <row r="143" spans="16:16" x14ac:dyDescent="0.3">
      <c r="P143" s="161"/>
    </row>
    <row r="144" spans="16:16" x14ac:dyDescent="0.3">
      <c r="P144" s="162"/>
    </row>
    <row r="145" spans="16:16" x14ac:dyDescent="0.3">
      <c r="P145" s="162"/>
    </row>
    <row r="146" spans="16:16" x14ac:dyDescent="0.3">
      <c r="P146" s="163"/>
    </row>
    <row r="147" spans="16:16" x14ac:dyDescent="0.3">
      <c r="P147" s="161"/>
    </row>
    <row r="148" spans="16:16" x14ac:dyDescent="0.3">
      <c r="P148" s="162"/>
    </row>
    <row r="149" spans="16:16" x14ac:dyDescent="0.3">
      <c r="P149" s="162"/>
    </row>
    <row r="150" spans="16:16" x14ac:dyDescent="0.3">
      <c r="P150" s="163"/>
    </row>
    <row r="151" spans="16:16" x14ac:dyDescent="0.3">
      <c r="P151" s="161"/>
    </row>
    <row r="152" spans="16:16" x14ac:dyDescent="0.3">
      <c r="P152" s="162"/>
    </row>
    <row r="153" spans="16:16" x14ac:dyDescent="0.3">
      <c r="P153" s="162"/>
    </row>
    <row r="154" spans="16:16" x14ac:dyDescent="0.3">
      <c r="P154" s="163"/>
    </row>
    <row r="155" spans="16:16" x14ac:dyDescent="0.3">
      <c r="P155" s="161"/>
    </row>
    <row r="156" spans="16:16" x14ac:dyDescent="0.3">
      <c r="P156" s="162"/>
    </row>
    <row r="157" spans="16:16" x14ac:dyDescent="0.3">
      <c r="P157" s="162"/>
    </row>
    <row r="158" spans="16:16" x14ac:dyDescent="0.3">
      <c r="P158" s="163"/>
    </row>
    <row r="159" spans="16:16" x14ac:dyDescent="0.3">
      <c r="P159" s="161"/>
    </row>
    <row r="160" spans="16:16" x14ac:dyDescent="0.3">
      <c r="P160" s="162"/>
    </row>
    <row r="161" spans="16:16" x14ac:dyDescent="0.3">
      <c r="P161" s="162"/>
    </row>
    <row r="162" spans="16:16" x14ac:dyDescent="0.3">
      <c r="P162" s="163"/>
    </row>
    <row r="163" spans="16:16" x14ac:dyDescent="0.3">
      <c r="P163" s="161"/>
    </row>
    <row r="164" spans="16:16" x14ac:dyDescent="0.3">
      <c r="P164" s="162"/>
    </row>
    <row r="165" spans="16:16" x14ac:dyDescent="0.3">
      <c r="P165" s="162"/>
    </row>
    <row r="166" spans="16:16" x14ac:dyDescent="0.3">
      <c r="P166" s="163"/>
    </row>
    <row r="167" spans="16:16" x14ac:dyDescent="0.3">
      <c r="P167" s="161"/>
    </row>
    <row r="168" spans="16:16" x14ac:dyDescent="0.3">
      <c r="P168" s="162"/>
    </row>
    <row r="169" spans="16:16" x14ac:dyDescent="0.3">
      <c r="P169" s="162"/>
    </row>
    <row r="170" spans="16:16" x14ac:dyDescent="0.3">
      <c r="P170" s="163"/>
    </row>
    <row r="171" spans="16:16" x14ac:dyDescent="0.3">
      <c r="P171" s="161"/>
    </row>
    <row r="172" spans="16:16" x14ac:dyDescent="0.3">
      <c r="P172" s="162"/>
    </row>
    <row r="173" spans="16:16" x14ac:dyDescent="0.3">
      <c r="P173" s="162"/>
    </row>
    <row r="174" spans="16:16" x14ac:dyDescent="0.3">
      <c r="P174" s="163"/>
    </row>
    <row r="175" spans="16:16" x14ac:dyDescent="0.3">
      <c r="P175" s="161"/>
    </row>
    <row r="176" spans="16:16" x14ac:dyDescent="0.3">
      <c r="P176" s="162"/>
    </row>
    <row r="177" spans="16:16" x14ac:dyDescent="0.3">
      <c r="P177" s="162"/>
    </row>
    <row r="178" spans="16:16" x14ac:dyDescent="0.3">
      <c r="P178" s="163"/>
    </row>
    <row r="179" spans="16:16" x14ac:dyDescent="0.3">
      <c r="P179" s="161"/>
    </row>
    <row r="180" spans="16:16" x14ac:dyDescent="0.3">
      <c r="P180" s="162"/>
    </row>
    <row r="181" spans="16:16" x14ac:dyDescent="0.3">
      <c r="P181" s="162"/>
    </row>
    <row r="182" spans="16:16" x14ac:dyDescent="0.3">
      <c r="P182" s="163"/>
    </row>
    <row r="183" spans="16:16" x14ac:dyDescent="0.3">
      <c r="P183" s="161"/>
    </row>
    <row r="184" spans="16:16" x14ac:dyDescent="0.3">
      <c r="P184" s="162"/>
    </row>
    <row r="185" spans="16:16" x14ac:dyDescent="0.3">
      <c r="P185" s="162"/>
    </row>
    <row r="186" spans="16:16" x14ac:dyDescent="0.3">
      <c r="P186" s="163"/>
    </row>
    <row r="187" spans="16:16" x14ac:dyDescent="0.3">
      <c r="P187" s="161"/>
    </row>
    <row r="188" spans="16:16" x14ac:dyDescent="0.3">
      <c r="P188" s="162"/>
    </row>
    <row r="189" spans="16:16" x14ac:dyDescent="0.3">
      <c r="P189" s="162"/>
    </row>
    <row r="190" spans="16:16" x14ac:dyDescent="0.3">
      <c r="P190" s="163"/>
    </row>
    <row r="191" spans="16:16" x14ac:dyDescent="0.3">
      <c r="P191" s="161"/>
    </row>
    <row r="192" spans="16:16" x14ac:dyDescent="0.3">
      <c r="P192" s="162"/>
    </row>
    <row r="193" spans="16:16" x14ac:dyDescent="0.3">
      <c r="P193" s="162"/>
    </row>
    <row r="194" spans="16:16" x14ac:dyDescent="0.3">
      <c r="P194" s="163"/>
    </row>
    <row r="195" spans="16:16" x14ac:dyDescent="0.3">
      <c r="P195" s="161"/>
    </row>
    <row r="196" spans="16:16" x14ac:dyDescent="0.3">
      <c r="P196" s="162"/>
    </row>
    <row r="197" spans="16:16" x14ac:dyDescent="0.3">
      <c r="P197" s="162"/>
    </row>
    <row r="198" spans="16:16" x14ac:dyDescent="0.3">
      <c r="P198" s="163"/>
    </row>
    <row r="199" spans="16:16" x14ac:dyDescent="0.3">
      <c r="P199" s="161"/>
    </row>
    <row r="200" spans="16:16" x14ac:dyDescent="0.3">
      <c r="P200" s="162"/>
    </row>
    <row r="201" spans="16:16" x14ac:dyDescent="0.3">
      <c r="P201" s="162"/>
    </row>
    <row r="202" spans="16:16" x14ac:dyDescent="0.3">
      <c r="P202" s="163"/>
    </row>
    <row r="203" spans="16:16" x14ac:dyDescent="0.3">
      <c r="P203" s="161"/>
    </row>
    <row r="204" spans="16:16" x14ac:dyDescent="0.3">
      <c r="P204" s="162"/>
    </row>
    <row r="205" spans="16:16" x14ac:dyDescent="0.3">
      <c r="P205" s="162"/>
    </row>
    <row r="206" spans="16:16" x14ac:dyDescent="0.3">
      <c r="P206" s="163"/>
    </row>
    <row r="207" spans="16:16" x14ac:dyDescent="0.3">
      <c r="P207" s="161"/>
    </row>
    <row r="208" spans="16:16" x14ac:dyDescent="0.3">
      <c r="P208" s="162"/>
    </row>
    <row r="209" spans="16:16" x14ac:dyDescent="0.3">
      <c r="P209" s="162"/>
    </row>
    <row r="210" spans="16:16" x14ac:dyDescent="0.3">
      <c r="P210" s="163"/>
    </row>
    <row r="211" spans="16:16" x14ac:dyDescent="0.3">
      <c r="P211" s="161"/>
    </row>
    <row r="212" spans="16:16" x14ac:dyDescent="0.3">
      <c r="P212" s="162"/>
    </row>
    <row r="213" spans="16:16" x14ac:dyDescent="0.3">
      <c r="P213" s="162"/>
    </row>
    <row r="214" spans="16:16" x14ac:dyDescent="0.3">
      <c r="P214" s="163"/>
    </row>
    <row r="215" spans="16:16" x14ac:dyDescent="0.3">
      <c r="P215" s="161"/>
    </row>
    <row r="216" spans="16:16" x14ac:dyDescent="0.3">
      <c r="P216" s="162"/>
    </row>
    <row r="217" spans="16:16" x14ac:dyDescent="0.3">
      <c r="P217" s="162"/>
    </row>
    <row r="218" spans="16:16" x14ac:dyDescent="0.3">
      <c r="P218" s="163"/>
    </row>
    <row r="219" spans="16:16" x14ac:dyDescent="0.3">
      <c r="P219" s="161"/>
    </row>
    <row r="220" spans="16:16" x14ac:dyDescent="0.3">
      <c r="P220" s="162"/>
    </row>
    <row r="221" spans="16:16" x14ac:dyDescent="0.3">
      <c r="P221" s="162"/>
    </row>
    <row r="222" spans="16:16" x14ac:dyDescent="0.3">
      <c r="P222" s="163"/>
    </row>
    <row r="223" spans="16:16" x14ac:dyDescent="0.3">
      <c r="P223" s="161"/>
    </row>
    <row r="224" spans="16:16" x14ac:dyDescent="0.3">
      <c r="P224" s="162"/>
    </row>
    <row r="225" spans="16:16" x14ac:dyDescent="0.3">
      <c r="P225" s="162"/>
    </row>
    <row r="226" spans="16:16" x14ac:dyDescent="0.3">
      <c r="P226" s="163"/>
    </row>
    <row r="227" spans="16:16" x14ac:dyDescent="0.3">
      <c r="P227" s="161"/>
    </row>
    <row r="228" spans="16:16" x14ac:dyDescent="0.3">
      <c r="P228" s="162"/>
    </row>
    <row r="229" spans="16:16" x14ac:dyDescent="0.3">
      <c r="P229" s="162"/>
    </row>
    <row r="230" spans="16:16" x14ac:dyDescent="0.3">
      <c r="P230" s="163"/>
    </row>
    <row r="231" spans="16:16" x14ac:dyDescent="0.3">
      <c r="P231" s="161"/>
    </row>
    <row r="232" spans="16:16" x14ac:dyDescent="0.3">
      <c r="P232" s="162"/>
    </row>
    <row r="233" spans="16:16" x14ac:dyDescent="0.3">
      <c r="P233" s="162"/>
    </row>
    <row r="234" spans="16:16" x14ac:dyDescent="0.3">
      <c r="P234" s="163"/>
    </row>
    <row r="235" spans="16:16" x14ac:dyDescent="0.3">
      <c r="P235" s="161"/>
    </row>
    <row r="236" spans="16:16" x14ac:dyDescent="0.3">
      <c r="P236" s="162"/>
    </row>
    <row r="237" spans="16:16" x14ac:dyDescent="0.3">
      <c r="P237" s="162"/>
    </row>
    <row r="238" spans="16:16" x14ac:dyDescent="0.3">
      <c r="P238" s="163"/>
    </row>
    <row r="239" spans="16:16" x14ac:dyDescent="0.3">
      <c r="P239" s="161"/>
    </row>
    <row r="240" spans="16:16" x14ac:dyDescent="0.3">
      <c r="P240" s="162"/>
    </row>
    <row r="241" spans="16:16" x14ac:dyDescent="0.3">
      <c r="P241" s="162"/>
    </row>
    <row r="242" spans="16:16" x14ac:dyDescent="0.3">
      <c r="P242" s="163"/>
    </row>
    <row r="243" spans="16:16" x14ac:dyDescent="0.3">
      <c r="P243" s="161"/>
    </row>
    <row r="244" spans="16:16" x14ac:dyDescent="0.3">
      <c r="P244" s="162"/>
    </row>
    <row r="245" spans="16:16" x14ac:dyDescent="0.3">
      <c r="P245" s="162"/>
    </row>
    <row r="246" spans="16:16" x14ac:dyDescent="0.3">
      <c r="P246" s="163"/>
    </row>
    <row r="247" spans="16:16" x14ac:dyDescent="0.3">
      <c r="P247" s="161"/>
    </row>
    <row r="248" spans="16:16" x14ac:dyDescent="0.3">
      <c r="P248" s="162"/>
    </row>
    <row r="249" spans="16:16" x14ac:dyDescent="0.3">
      <c r="P249" s="162"/>
    </row>
    <row r="250" spans="16:16" x14ac:dyDescent="0.3">
      <c r="P250" s="163"/>
    </row>
    <row r="251" spans="16:16" x14ac:dyDescent="0.3">
      <c r="P251" s="165"/>
    </row>
    <row r="252" spans="16:16" x14ac:dyDescent="0.3">
      <c r="P252" s="166"/>
    </row>
    <row r="253" spans="16:16" x14ac:dyDescent="0.3">
      <c r="P253" s="166"/>
    </row>
    <row r="254" spans="16:16" x14ac:dyDescent="0.3">
      <c r="P254" s="167"/>
    </row>
    <row r="255" spans="16:16" x14ac:dyDescent="0.3">
      <c r="P255" s="165"/>
    </row>
    <row r="256" spans="16:16" x14ac:dyDescent="0.3">
      <c r="P256" s="166"/>
    </row>
    <row r="257" spans="16:16" x14ac:dyDescent="0.3">
      <c r="P257" s="166"/>
    </row>
    <row r="258" spans="16:16" x14ac:dyDescent="0.3">
      <c r="P258" s="167"/>
    </row>
    <row r="259" spans="16:16" x14ac:dyDescent="0.3">
      <c r="P259" s="161"/>
    </row>
    <row r="260" spans="16:16" x14ac:dyDescent="0.3">
      <c r="P260" s="162"/>
    </row>
    <row r="261" spans="16:16" x14ac:dyDescent="0.3">
      <c r="P261" s="162"/>
    </row>
    <row r="262" spans="16:16" x14ac:dyDescent="0.3">
      <c r="P262" s="163"/>
    </row>
    <row r="263" spans="16:16" x14ac:dyDescent="0.3">
      <c r="P263" s="161"/>
    </row>
    <row r="264" spans="16:16" x14ac:dyDescent="0.3">
      <c r="P264" s="162"/>
    </row>
    <row r="265" spans="16:16" x14ac:dyDescent="0.3">
      <c r="P265" s="162"/>
    </row>
    <row r="266" spans="16:16" x14ac:dyDescent="0.3">
      <c r="P266" s="163"/>
    </row>
    <row r="267" spans="16:16" x14ac:dyDescent="0.3">
      <c r="P267" s="161"/>
    </row>
    <row r="268" spans="16:16" x14ac:dyDescent="0.3">
      <c r="P268" s="162"/>
    </row>
    <row r="269" spans="16:16" x14ac:dyDescent="0.3">
      <c r="P269" s="162"/>
    </row>
    <row r="270" spans="16:16" x14ac:dyDescent="0.3">
      <c r="P270" s="163"/>
    </row>
    <row r="271" spans="16:16" x14ac:dyDescent="0.3">
      <c r="P271" s="161"/>
    </row>
    <row r="272" spans="16:16" x14ac:dyDescent="0.3">
      <c r="P272" s="162"/>
    </row>
    <row r="273" spans="16:16" x14ac:dyDescent="0.3">
      <c r="P273" s="162"/>
    </row>
    <row r="274" spans="16:16" x14ac:dyDescent="0.3">
      <c r="P274" s="163"/>
    </row>
    <row r="275" spans="16:16" x14ac:dyDescent="0.3">
      <c r="P275" s="161"/>
    </row>
    <row r="276" spans="16:16" x14ac:dyDescent="0.3">
      <c r="P276" s="162"/>
    </row>
    <row r="277" spans="16:16" x14ac:dyDescent="0.3">
      <c r="P277" s="162"/>
    </row>
    <row r="278" spans="16:16" x14ac:dyDescent="0.3">
      <c r="P278" s="163"/>
    </row>
    <row r="279" spans="16:16" x14ac:dyDescent="0.3">
      <c r="P279" s="161"/>
    </row>
    <row r="280" spans="16:16" x14ac:dyDescent="0.3">
      <c r="P280" s="162"/>
    </row>
    <row r="281" spans="16:16" x14ac:dyDescent="0.3">
      <c r="P281" s="162"/>
    </row>
    <row r="282" spans="16:16" x14ac:dyDescent="0.3">
      <c r="P282" s="163"/>
    </row>
    <row r="283" spans="16:16" x14ac:dyDescent="0.3">
      <c r="P283" s="161"/>
    </row>
    <row r="284" spans="16:16" x14ac:dyDescent="0.3">
      <c r="P284" s="162"/>
    </row>
    <row r="285" spans="16:16" x14ac:dyDescent="0.3">
      <c r="P285" s="162"/>
    </row>
    <row r="286" spans="16:16" x14ac:dyDescent="0.3">
      <c r="P286" s="163"/>
    </row>
    <row r="287" spans="16:16" x14ac:dyDescent="0.3">
      <c r="P287" s="161"/>
    </row>
    <row r="288" spans="16:16" x14ac:dyDescent="0.3">
      <c r="P288" s="162"/>
    </row>
    <row r="289" spans="16:16" x14ac:dyDescent="0.3">
      <c r="P289" s="162"/>
    </row>
    <row r="290" spans="16:16" x14ac:dyDescent="0.3">
      <c r="P290" s="163"/>
    </row>
    <row r="291" spans="16:16" x14ac:dyDescent="0.3">
      <c r="P291" s="161"/>
    </row>
    <row r="292" spans="16:16" x14ac:dyDescent="0.3">
      <c r="P292" s="162"/>
    </row>
    <row r="293" spans="16:16" x14ac:dyDescent="0.3">
      <c r="P293" s="162"/>
    </row>
    <row r="294" spans="16:16" x14ac:dyDescent="0.3">
      <c r="P294" s="163"/>
    </row>
    <row r="295" spans="16:16" x14ac:dyDescent="0.3">
      <c r="P295" s="161"/>
    </row>
    <row r="296" spans="16:16" x14ac:dyDescent="0.3">
      <c r="P296" s="162"/>
    </row>
    <row r="297" spans="16:16" x14ac:dyDescent="0.3">
      <c r="P297" s="162"/>
    </row>
    <row r="298" spans="16:16" x14ac:dyDescent="0.3">
      <c r="P298" s="163"/>
    </row>
    <row r="299" spans="16:16" x14ac:dyDescent="0.3">
      <c r="P299" s="161"/>
    </row>
    <row r="300" spans="16:16" x14ac:dyDescent="0.3">
      <c r="P300" s="162"/>
    </row>
    <row r="301" spans="16:16" x14ac:dyDescent="0.3">
      <c r="P301" s="162"/>
    </row>
    <row r="302" spans="16:16" x14ac:dyDescent="0.3">
      <c r="P302" s="163"/>
    </row>
    <row r="303" spans="16:16" x14ac:dyDescent="0.3">
      <c r="P303" s="161"/>
    </row>
    <row r="304" spans="16:16" x14ac:dyDescent="0.3">
      <c r="P304" s="162"/>
    </row>
    <row r="305" spans="16:16" x14ac:dyDescent="0.3">
      <c r="P305" s="162"/>
    </row>
    <row r="306" spans="16:16" x14ac:dyDescent="0.3">
      <c r="P306" s="163"/>
    </row>
    <row r="307" spans="16:16" x14ac:dyDescent="0.3">
      <c r="P307" s="161"/>
    </row>
    <row r="308" spans="16:16" x14ac:dyDescent="0.3">
      <c r="P308" s="162"/>
    </row>
    <row r="309" spans="16:16" x14ac:dyDescent="0.3">
      <c r="P309" s="162"/>
    </row>
    <row r="310" spans="16:16" x14ac:dyDescent="0.3">
      <c r="P310" s="163"/>
    </row>
    <row r="311" spans="16:16" x14ac:dyDescent="0.3">
      <c r="P311" s="161"/>
    </row>
    <row r="312" spans="16:16" x14ac:dyDescent="0.3">
      <c r="P312" s="162"/>
    </row>
    <row r="313" spans="16:16" x14ac:dyDescent="0.3">
      <c r="P313" s="162"/>
    </row>
    <row r="314" spans="16:16" x14ac:dyDescent="0.3">
      <c r="P314" s="163"/>
    </row>
    <row r="315" spans="16:16" x14ac:dyDescent="0.3">
      <c r="P315" s="161"/>
    </row>
    <row r="316" spans="16:16" x14ac:dyDescent="0.3">
      <c r="P316" s="162"/>
    </row>
    <row r="317" spans="16:16" x14ac:dyDescent="0.3">
      <c r="P317" s="162"/>
    </row>
    <row r="318" spans="16:16" x14ac:dyDescent="0.3">
      <c r="P318" s="163"/>
    </row>
    <row r="319" spans="16:16" x14ac:dyDescent="0.3">
      <c r="P319" s="161"/>
    </row>
    <row r="320" spans="16:16" x14ac:dyDescent="0.3">
      <c r="P320" s="162"/>
    </row>
    <row r="321" spans="16:16" x14ac:dyDescent="0.3">
      <c r="P321" s="162"/>
    </row>
    <row r="322" spans="16:16" x14ac:dyDescent="0.3">
      <c r="P322" s="163"/>
    </row>
    <row r="323" spans="16:16" x14ac:dyDescent="0.3">
      <c r="P323" s="161"/>
    </row>
    <row r="324" spans="16:16" x14ac:dyDescent="0.3">
      <c r="P324" s="162"/>
    </row>
    <row r="325" spans="16:16" x14ac:dyDescent="0.3">
      <c r="P325" s="162"/>
    </row>
    <row r="326" spans="16:16" x14ac:dyDescent="0.3">
      <c r="P326" s="163"/>
    </row>
    <row r="327" spans="16:16" x14ac:dyDescent="0.3">
      <c r="P327" s="161"/>
    </row>
    <row r="328" spans="16:16" x14ac:dyDescent="0.3">
      <c r="P328" s="162"/>
    </row>
    <row r="329" spans="16:16" x14ac:dyDescent="0.3">
      <c r="P329" s="162"/>
    </row>
    <row r="330" spans="16:16" x14ac:dyDescent="0.3">
      <c r="P330" s="163"/>
    </row>
    <row r="331" spans="16:16" x14ac:dyDescent="0.3">
      <c r="P331" s="161"/>
    </row>
    <row r="332" spans="16:16" x14ac:dyDescent="0.3">
      <c r="P332" s="162"/>
    </row>
    <row r="333" spans="16:16" x14ac:dyDescent="0.3">
      <c r="P333" s="162"/>
    </row>
    <row r="334" spans="16:16" x14ac:dyDescent="0.3">
      <c r="P334" s="163"/>
    </row>
    <row r="335" spans="16:16" x14ac:dyDescent="0.3">
      <c r="P335" s="161"/>
    </row>
    <row r="336" spans="16:16" x14ac:dyDescent="0.3">
      <c r="P336" s="162"/>
    </row>
    <row r="337" spans="16:16" x14ac:dyDescent="0.3">
      <c r="P337" s="162"/>
    </row>
    <row r="338" spans="16:16" x14ac:dyDescent="0.3">
      <c r="P338" s="163"/>
    </row>
    <row r="339" spans="16:16" x14ac:dyDescent="0.3">
      <c r="P339" s="161"/>
    </row>
    <row r="340" spans="16:16" x14ac:dyDescent="0.3">
      <c r="P340" s="162"/>
    </row>
    <row r="341" spans="16:16" x14ac:dyDescent="0.3">
      <c r="P341" s="162"/>
    </row>
    <row r="342" spans="16:16" x14ac:dyDescent="0.3">
      <c r="P342" s="163"/>
    </row>
    <row r="343" spans="16:16" x14ac:dyDescent="0.3">
      <c r="P343" s="161"/>
    </row>
    <row r="344" spans="16:16" x14ac:dyDescent="0.3">
      <c r="P344" s="162"/>
    </row>
    <row r="345" spans="16:16" x14ac:dyDescent="0.3">
      <c r="P345" s="162"/>
    </row>
    <row r="346" spans="16:16" x14ac:dyDescent="0.3">
      <c r="P346" s="163"/>
    </row>
    <row r="347" spans="16:16" x14ac:dyDescent="0.3">
      <c r="P347" s="161"/>
    </row>
    <row r="348" spans="16:16" x14ac:dyDescent="0.3">
      <c r="P348" s="162"/>
    </row>
    <row r="349" spans="16:16" x14ac:dyDescent="0.3">
      <c r="P349" s="162"/>
    </row>
    <row r="350" spans="16:16" x14ac:dyDescent="0.3">
      <c r="P350" s="163"/>
    </row>
    <row r="351" spans="16:16" x14ac:dyDescent="0.3">
      <c r="P351" s="161"/>
    </row>
    <row r="352" spans="16:16" x14ac:dyDescent="0.3">
      <c r="P352" s="162"/>
    </row>
    <row r="353" spans="16:16" x14ac:dyDescent="0.3">
      <c r="P353" s="162"/>
    </row>
    <row r="354" spans="16:16" x14ac:dyDescent="0.3">
      <c r="P354" s="163"/>
    </row>
    <row r="355" spans="16:16" x14ac:dyDescent="0.3">
      <c r="P355" s="161"/>
    </row>
    <row r="356" spans="16:16" x14ac:dyDescent="0.3">
      <c r="P356" s="162"/>
    </row>
    <row r="357" spans="16:16" x14ac:dyDescent="0.3">
      <c r="P357" s="162"/>
    </row>
    <row r="358" spans="16:16" x14ac:dyDescent="0.3">
      <c r="P358" s="163"/>
    </row>
    <row r="359" spans="16:16" x14ac:dyDescent="0.3">
      <c r="P359" s="161"/>
    </row>
    <row r="360" spans="16:16" x14ac:dyDescent="0.3">
      <c r="P360" s="162"/>
    </row>
    <row r="361" spans="16:16" x14ac:dyDescent="0.3">
      <c r="P361" s="162"/>
    </row>
    <row r="362" spans="16:16" x14ac:dyDescent="0.3">
      <c r="P362" s="163"/>
    </row>
    <row r="363" spans="16:16" x14ac:dyDescent="0.3">
      <c r="P363" s="161"/>
    </row>
    <row r="364" spans="16:16" x14ac:dyDescent="0.3">
      <c r="P364" s="162"/>
    </row>
    <row r="365" spans="16:16" x14ac:dyDescent="0.3">
      <c r="P365" s="162"/>
    </row>
    <row r="366" spans="16:16" x14ac:dyDescent="0.3">
      <c r="P366" s="163"/>
    </row>
    <row r="367" spans="16:16" x14ac:dyDescent="0.3">
      <c r="P367" s="161"/>
    </row>
    <row r="368" spans="16:16" x14ac:dyDescent="0.3">
      <c r="P368" s="162"/>
    </row>
    <row r="369" spans="16:16" x14ac:dyDescent="0.3">
      <c r="P369" s="162"/>
    </row>
    <row r="370" spans="16:16" x14ac:dyDescent="0.3">
      <c r="P370" s="163"/>
    </row>
    <row r="371" spans="16:16" x14ac:dyDescent="0.3">
      <c r="P371" s="161"/>
    </row>
    <row r="372" spans="16:16" x14ac:dyDescent="0.3">
      <c r="P372" s="162"/>
    </row>
    <row r="373" spans="16:16" x14ac:dyDescent="0.3">
      <c r="P373" s="162"/>
    </row>
    <row r="374" spans="16:16" x14ac:dyDescent="0.3">
      <c r="P374" s="163"/>
    </row>
    <row r="375" spans="16:16" x14ac:dyDescent="0.3">
      <c r="P375" s="161"/>
    </row>
    <row r="376" spans="16:16" x14ac:dyDescent="0.3">
      <c r="P376" s="162"/>
    </row>
    <row r="377" spans="16:16" x14ac:dyDescent="0.3">
      <c r="P377" s="162"/>
    </row>
    <row r="378" spans="16:16" x14ac:dyDescent="0.3">
      <c r="P378" s="163"/>
    </row>
    <row r="379" spans="16:16" x14ac:dyDescent="0.3">
      <c r="P379" s="161"/>
    </row>
    <row r="380" spans="16:16" x14ac:dyDescent="0.3">
      <c r="P380" s="162"/>
    </row>
    <row r="381" spans="16:16" x14ac:dyDescent="0.3">
      <c r="P381" s="162"/>
    </row>
    <row r="382" spans="16:16" x14ac:dyDescent="0.3">
      <c r="P382" s="163"/>
    </row>
    <row r="383" spans="16:16" x14ac:dyDescent="0.3">
      <c r="P383" s="161"/>
    </row>
    <row r="384" spans="16:16" x14ac:dyDescent="0.3">
      <c r="P384" s="162"/>
    </row>
    <row r="385" spans="16:16" x14ac:dyDescent="0.3">
      <c r="P385" s="162"/>
    </row>
    <row r="386" spans="16:16" x14ac:dyDescent="0.3">
      <c r="P386" s="163"/>
    </row>
    <row r="387" spans="16:16" x14ac:dyDescent="0.3">
      <c r="P387" s="161"/>
    </row>
    <row r="388" spans="16:16" x14ac:dyDescent="0.3">
      <c r="P388" s="162"/>
    </row>
    <row r="389" spans="16:16" x14ac:dyDescent="0.3">
      <c r="P389" s="162"/>
    </row>
    <row r="390" spans="16:16" x14ac:dyDescent="0.3">
      <c r="P390" s="163"/>
    </row>
    <row r="391" spans="16:16" x14ac:dyDescent="0.3">
      <c r="P391" s="161"/>
    </row>
    <row r="392" spans="16:16" x14ac:dyDescent="0.3">
      <c r="P392" s="162"/>
    </row>
    <row r="393" spans="16:16" x14ac:dyDescent="0.3">
      <c r="P393" s="162"/>
    </row>
    <row r="394" spans="16:16" x14ac:dyDescent="0.3">
      <c r="P394" s="163"/>
    </row>
    <row r="395" spans="16:16" x14ac:dyDescent="0.3">
      <c r="P395" s="161"/>
    </row>
    <row r="396" spans="16:16" x14ac:dyDescent="0.3">
      <c r="P396" s="162"/>
    </row>
    <row r="397" spans="16:16" x14ac:dyDescent="0.3">
      <c r="P397" s="162"/>
    </row>
    <row r="398" spans="16:16" x14ac:dyDescent="0.3">
      <c r="P398" s="163"/>
    </row>
    <row r="399" spans="16:16" x14ac:dyDescent="0.3">
      <c r="P399" s="161"/>
    </row>
    <row r="400" spans="16:16" x14ac:dyDescent="0.3">
      <c r="P400" s="162"/>
    </row>
    <row r="401" spans="16:16" x14ac:dyDescent="0.3">
      <c r="P401" s="162"/>
    </row>
    <row r="402" spans="16:16" x14ac:dyDescent="0.3">
      <c r="P402" s="163"/>
    </row>
    <row r="403" spans="16:16" x14ac:dyDescent="0.3">
      <c r="P403" s="161"/>
    </row>
    <row r="404" spans="16:16" x14ac:dyDescent="0.3">
      <c r="P404" s="162"/>
    </row>
    <row r="405" spans="16:16" x14ac:dyDescent="0.3">
      <c r="P405" s="162"/>
    </row>
    <row r="406" spans="16:16" x14ac:dyDescent="0.3">
      <c r="P406" s="163"/>
    </row>
    <row r="407" spans="16:16" x14ac:dyDescent="0.3">
      <c r="P407" s="161"/>
    </row>
    <row r="408" spans="16:16" x14ac:dyDescent="0.3">
      <c r="P408" s="162"/>
    </row>
    <row r="409" spans="16:16" x14ac:dyDescent="0.3">
      <c r="P409" s="162"/>
    </row>
    <row r="410" spans="16:16" x14ac:dyDescent="0.3">
      <c r="P410" s="163"/>
    </row>
    <row r="411" spans="16:16" x14ac:dyDescent="0.3">
      <c r="P411" s="161"/>
    </row>
    <row r="412" spans="16:16" x14ac:dyDescent="0.3">
      <c r="P412" s="162"/>
    </row>
    <row r="413" spans="16:16" x14ac:dyDescent="0.3">
      <c r="P413" s="162"/>
    </row>
    <row r="414" spans="16:16" x14ac:dyDescent="0.3">
      <c r="P414" s="163"/>
    </row>
    <row r="415" spans="16:16" x14ac:dyDescent="0.3">
      <c r="P415" s="161"/>
    </row>
    <row r="416" spans="16:16" x14ac:dyDescent="0.3">
      <c r="P416" s="162"/>
    </row>
    <row r="417" spans="16:16" x14ac:dyDescent="0.3">
      <c r="P417" s="162"/>
    </row>
    <row r="418" spans="16:16" x14ac:dyDescent="0.3">
      <c r="P418" s="163"/>
    </row>
    <row r="419" spans="16:16" x14ac:dyDescent="0.3">
      <c r="P419" s="161"/>
    </row>
    <row r="420" spans="16:16" x14ac:dyDescent="0.3">
      <c r="P420" s="162"/>
    </row>
    <row r="421" spans="16:16" x14ac:dyDescent="0.3">
      <c r="P421" s="162"/>
    </row>
    <row r="422" spans="16:16" x14ac:dyDescent="0.3">
      <c r="P422" s="163"/>
    </row>
    <row r="423" spans="16:16" x14ac:dyDescent="0.3">
      <c r="P423" s="161"/>
    </row>
    <row r="424" spans="16:16" x14ac:dyDescent="0.3">
      <c r="P424" s="162"/>
    </row>
    <row r="425" spans="16:16" x14ac:dyDescent="0.3">
      <c r="P425" s="162"/>
    </row>
    <row r="426" spans="16:16" x14ac:dyDescent="0.3">
      <c r="P426" s="163"/>
    </row>
    <row r="427" spans="16:16" x14ac:dyDescent="0.3">
      <c r="P427" s="161"/>
    </row>
    <row r="428" spans="16:16" x14ac:dyDescent="0.3">
      <c r="P428" s="162"/>
    </row>
    <row r="429" spans="16:16" x14ac:dyDescent="0.3">
      <c r="P429" s="162"/>
    </row>
    <row r="430" spans="16:16" x14ac:dyDescent="0.3">
      <c r="P430" s="163"/>
    </row>
    <row r="431" spans="16:16" x14ac:dyDescent="0.3">
      <c r="P431" s="161"/>
    </row>
    <row r="432" spans="16:16" x14ac:dyDescent="0.3">
      <c r="P432" s="162"/>
    </row>
    <row r="433" spans="16:16" x14ac:dyDescent="0.3">
      <c r="P433" s="162"/>
    </row>
    <row r="434" spans="16:16" x14ac:dyDescent="0.3">
      <c r="P434" s="163"/>
    </row>
    <row r="435" spans="16:16" x14ac:dyDescent="0.3">
      <c r="P435" s="161"/>
    </row>
    <row r="436" spans="16:16" x14ac:dyDescent="0.3">
      <c r="P436" s="162"/>
    </row>
    <row r="437" spans="16:16" x14ac:dyDescent="0.3">
      <c r="P437" s="162"/>
    </row>
    <row r="438" spans="16:16" x14ac:dyDescent="0.3">
      <c r="P438" s="163"/>
    </row>
    <row r="439" spans="16:16" x14ac:dyDescent="0.3">
      <c r="P439" s="161"/>
    </row>
    <row r="440" spans="16:16" x14ac:dyDescent="0.3">
      <c r="P440" s="162"/>
    </row>
    <row r="441" spans="16:16" x14ac:dyDescent="0.3">
      <c r="P441" s="162"/>
    </row>
    <row r="442" spans="16:16" x14ac:dyDescent="0.3">
      <c r="P442" s="163"/>
    </row>
    <row r="443" spans="16:16" x14ac:dyDescent="0.3">
      <c r="P443" s="161"/>
    </row>
    <row r="444" spans="16:16" x14ac:dyDescent="0.3">
      <c r="P444" s="162"/>
    </row>
    <row r="445" spans="16:16" x14ac:dyDescent="0.3">
      <c r="P445" s="162"/>
    </row>
    <row r="446" spans="16:16" x14ac:dyDescent="0.3">
      <c r="P446" s="163"/>
    </row>
    <row r="447" spans="16:16" x14ac:dyDescent="0.3">
      <c r="P447" s="161"/>
    </row>
    <row r="448" spans="16:16" x14ac:dyDescent="0.3">
      <c r="P448" s="162"/>
    </row>
    <row r="449" spans="16:16" x14ac:dyDescent="0.3">
      <c r="P449" s="162"/>
    </row>
    <row r="450" spans="16:16" x14ac:dyDescent="0.3">
      <c r="P450" s="163"/>
    </row>
    <row r="451" spans="16:16" x14ac:dyDescent="0.3">
      <c r="P451" s="161"/>
    </row>
    <row r="452" spans="16:16" x14ac:dyDescent="0.3">
      <c r="P452" s="162"/>
    </row>
    <row r="453" spans="16:16" x14ac:dyDescent="0.3">
      <c r="P453" s="162"/>
    </row>
    <row r="454" spans="16:16" x14ac:dyDescent="0.3">
      <c r="P454" s="163"/>
    </row>
    <row r="455" spans="16:16" x14ac:dyDescent="0.3">
      <c r="P455" s="161"/>
    </row>
    <row r="456" spans="16:16" x14ac:dyDescent="0.3">
      <c r="P456" s="162"/>
    </row>
    <row r="457" spans="16:16" x14ac:dyDescent="0.3">
      <c r="P457" s="162"/>
    </row>
    <row r="458" spans="16:16" x14ac:dyDescent="0.3">
      <c r="P458" s="163"/>
    </row>
    <row r="459" spans="16:16" x14ac:dyDescent="0.3">
      <c r="P459" s="161"/>
    </row>
    <row r="460" spans="16:16" x14ac:dyDescent="0.3">
      <c r="P460" s="162"/>
    </row>
    <row r="461" spans="16:16" x14ac:dyDescent="0.3">
      <c r="P461" s="162"/>
    </row>
    <row r="462" spans="16:16" x14ac:dyDescent="0.3">
      <c r="P462" s="163"/>
    </row>
    <row r="463" spans="16:16" x14ac:dyDescent="0.3">
      <c r="P463" s="161"/>
    </row>
    <row r="464" spans="16:16" x14ac:dyDescent="0.3">
      <c r="P464" s="162"/>
    </row>
    <row r="465" spans="16:16" x14ac:dyDescent="0.3">
      <c r="P465" s="162"/>
    </row>
    <row r="466" spans="16:16" x14ac:dyDescent="0.3">
      <c r="P466" s="163"/>
    </row>
    <row r="467" spans="16:16" x14ac:dyDescent="0.3">
      <c r="P467" s="161"/>
    </row>
    <row r="468" spans="16:16" x14ac:dyDescent="0.3">
      <c r="P468" s="162"/>
    </row>
    <row r="469" spans="16:16" x14ac:dyDescent="0.3">
      <c r="P469" s="162"/>
    </row>
    <row r="470" spans="16:16" x14ac:dyDescent="0.3">
      <c r="P470" s="163"/>
    </row>
    <row r="471" spans="16:16" x14ac:dyDescent="0.3">
      <c r="P471" s="161"/>
    </row>
    <row r="472" spans="16:16" x14ac:dyDescent="0.3">
      <c r="P472" s="162"/>
    </row>
    <row r="473" spans="16:16" x14ac:dyDescent="0.3">
      <c r="P473" s="162"/>
    </row>
    <row r="474" spans="16:16" x14ac:dyDescent="0.3">
      <c r="P474" s="163"/>
    </row>
    <row r="475" spans="16:16" x14ac:dyDescent="0.3">
      <c r="P475" s="161"/>
    </row>
    <row r="476" spans="16:16" x14ac:dyDescent="0.3">
      <c r="P476" s="162"/>
    </row>
    <row r="477" spans="16:16" x14ac:dyDescent="0.3">
      <c r="P477" s="162"/>
    </row>
    <row r="478" spans="16:16" x14ac:dyDescent="0.3">
      <c r="P478" s="163"/>
    </row>
    <row r="479" spans="16:16" x14ac:dyDescent="0.3">
      <c r="P479" s="161"/>
    </row>
    <row r="480" spans="16:16" x14ac:dyDescent="0.3">
      <c r="P480" s="162"/>
    </row>
    <row r="481" spans="16:16" x14ac:dyDescent="0.3">
      <c r="P481" s="162"/>
    </row>
    <row r="482" spans="16:16" x14ac:dyDescent="0.3">
      <c r="P482" s="163"/>
    </row>
    <row r="483" spans="16:16" x14ac:dyDescent="0.3">
      <c r="P483" s="161"/>
    </row>
    <row r="484" spans="16:16" x14ac:dyDescent="0.3">
      <c r="P484" s="162"/>
    </row>
    <row r="485" spans="16:16" x14ac:dyDescent="0.3">
      <c r="P485" s="162"/>
    </row>
    <row r="486" spans="16:16" x14ac:dyDescent="0.3">
      <c r="P486" s="163"/>
    </row>
    <row r="487" spans="16:16" x14ac:dyDescent="0.3">
      <c r="P487" s="165"/>
    </row>
    <row r="488" spans="16:16" x14ac:dyDescent="0.3">
      <c r="P488" s="166"/>
    </row>
    <row r="489" spans="16:16" x14ac:dyDescent="0.3">
      <c r="P489" s="166"/>
    </row>
    <row r="490" spans="16:16" x14ac:dyDescent="0.3">
      <c r="P490" s="167"/>
    </row>
    <row r="491" spans="16:16" x14ac:dyDescent="0.3">
      <c r="P491" s="161"/>
    </row>
    <row r="492" spans="16:16" x14ac:dyDescent="0.3">
      <c r="P492" s="162"/>
    </row>
    <row r="493" spans="16:16" x14ac:dyDescent="0.3">
      <c r="P493" s="162"/>
    </row>
    <row r="494" spans="16:16" x14ac:dyDescent="0.3">
      <c r="P494" s="163"/>
    </row>
    <row r="495" spans="16:16" x14ac:dyDescent="0.3">
      <c r="P495" s="161"/>
    </row>
    <row r="496" spans="16:16" x14ac:dyDescent="0.3">
      <c r="P496" s="162"/>
    </row>
    <row r="497" spans="16:16" x14ac:dyDescent="0.3">
      <c r="P497" s="162"/>
    </row>
    <row r="498" spans="16:16" x14ac:dyDescent="0.3">
      <c r="P498" s="163"/>
    </row>
    <row r="499" spans="16:16" x14ac:dyDescent="0.3">
      <c r="P499" s="161"/>
    </row>
    <row r="500" spans="16:16" x14ac:dyDescent="0.3">
      <c r="P500" s="162"/>
    </row>
    <row r="501" spans="16:16" x14ac:dyDescent="0.3">
      <c r="P501" s="162"/>
    </row>
    <row r="502" spans="16:16" x14ac:dyDescent="0.3">
      <c r="P502" s="163"/>
    </row>
    <row r="503" spans="16:16" x14ac:dyDescent="0.3">
      <c r="P503" s="161"/>
    </row>
    <row r="504" spans="16:16" x14ac:dyDescent="0.3">
      <c r="P504" s="162"/>
    </row>
    <row r="505" spans="16:16" x14ac:dyDescent="0.3">
      <c r="P505" s="162"/>
    </row>
    <row r="506" spans="16:16" x14ac:dyDescent="0.3">
      <c r="P506" s="163"/>
    </row>
    <row r="507" spans="16:16" x14ac:dyDescent="0.3">
      <c r="P507" s="161"/>
    </row>
    <row r="508" spans="16:16" x14ac:dyDescent="0.3">
      <c r="P508" s="162"/>
    </row>
    <row r="509" spans="16:16" x14ac:dyDescent="0.3">
      <c r="P509" s="162"/>
    </row>
    <row r="510" spans="16:16" x14ac:dyDescent="0.3">
      <c r="P510" s="163"/>
    </row>
    <row r="511" spans="16:16" x14ac:dyDescent="0.3">
      <c r="P511" s="161"/>
    </row>
    <row r="512" spans="16:16" x14ac:dyDescent="0.3">
      <c r="P512" s="162"/>
    </row>
    <row r="513" spans="16:16" x14ac:dyDescent="0.3">
      <c r="P513" s="162"/>
    </row>
    <row r="514" spans="16:16" x14ac:dyDescent="0.3">
      <c r="P514" s="163"/>
    </row>
    <row r="515" spans="16:16" x14ac:dyDescent="0.3">
      <c r="P515" s="161"/>
    </row>
    <row r="516" spans="16:16" x14ac:dyDescent="0.3">
      <c r="P516" s="162"/>
    </row>
    <row r="517" spans="16:16" x14ac:dyDescent="0.3">
      <c r="P517" s="162"/>
    </row>
    <row r="518" spans="16:16" x14ac:dyDescent="0.3">
      <c r="P518" s="163"/>
    </row>
    <row r="519" spans="16:16" x14ac:dyDescent="0.3">
      <c r="P519" s="165"/>
    </row>
    <row r="520" spans="16:16" x14ac:dyDescent="0.3">
      <c r="P520" s="166"/>
    </row>
    <row r="521" spans="16:16" x14ac:dyDescent="0.3">
      <c r="P521" s="166"/>
    </row>
    <row r="522" spans="16:16" x14ac:dyDescent="0.3">
      <c r="P522" s="167"/>
    </row>
    <row r="523" spans="16:16" x14ac:dyDescent="0.3">
      <c r="P523" s="161"/>
    </row>
    <row r="524" spans="16:16" x14ac:dyDescent="0.3">
      <c r="P524" s="162"/>
    </row>
    <row r="525" spans="16:16" x14ac:dyDescent="0.3">
      <c r="P525" s="162"/>
    </row>
    <row r="526" spans="16:16" x14ac:dyDescent="0.3">
      <c r="P526" s="163"/>
    </row>
    <row r="527" spans="16:16" x14ac:dyDescent="0.3">
      <c r="P527" s="161"/>
    </row>
    <row r="528" spans="16:16" x14ac:dyDescent="0.3">
      <c r="P528" s="162"/>
    </row>
    <row r="529" spans="16:16" x14ac:dyDescent="0.3">
      <c r="P529" s="162"/>
    </row>
    <row r="530" spans="16:16" x14ac:dyDescent="0.3">
      <c r="P530" s="163"/>
    </row>
    <row r="531" spans="16:16" x14ac:dyDescent="0.3">
      <c r="P531" s="161"/>
    </row>
    <row r="532" spans="16:16" x14ac:dyDescent="0.3">
      <c r="P532" s="162"/>
    </row>
    <row r="533" spans="16:16" x14ac:dyDescent="0.3">
      <c r="P533" s="162"/>
    </row>
    <row r="534" spans="16:16" x14ac:dyDescent="0.3">
      <c r="P534" s="163"/>
    </row>
    <row r="535" spans="16:16" x14ac:dyDescent="0.3">
      <c r="P535" s="161"/>
    </row>
    <row r="536" spans="16:16" x14ac:dyDescent="0.3">
      <c r="P536" s="162"/>
    </row>
    <row r="537" spans="16:16" x14ac:dyDescent="0.3">
      <c r="P537" s="162"/>
    </row>
    <row r="538" spans="16:16" x14ac:dyDescent="0.3">
      <c r="P538" s="163"/>
    </row>
    <row r="539" spans="16:16" x14ac:dyDescent="0.3">
      <c r="P539" s="161"/>
    </row>
    <row r="540" spans="16:16" x14ac:dyDescent="0.3">
      <c r="P540" s="162"/>
    </row>
    <row r="541" spans="16:16" x14ac:dyDescent="0.3">
      <c r="P541" s="162"/>
    </row>
    <row r="542" spans="16:16" x14ac:dyDescent="0.3">
      <c r="P542" s="163"/>
    </row>
    <row r="543" spans="16:16" x14ac:dyDescent="0.3">
      <c r="P543" s="161"/>
    </row>
    <row r="544" spans="16:16" x14ac:dyDescent="0.3">
      <c r="P544" s="162"/>
    </row>
    <row r="545" spans="16:16" x14ac:dyDescent="0.3">
      <c r="P545" s="162"/>
    </row>
    <row r="546" spans="16:16" x14ac:dyDescent="0.3">
      <c r="P546" s="163"/>
    </row>
    <row r="547" spans="16:16" x14ac:dyDescent="0.3">
      <c r="P547" s="161"/>
    </row>
    <row r="548" spans="16:16" x14ac:dyDescent="0.3">
      <c r="P548" s="162"/>
    </row>
    <row r="549" spans="16:16" x14ac:dyDescent="0.3">
      <c r="P549" s="162"/>
    </row>
    <row r="550" spans="16:16" x14ac:dyDescent="0.3">
      <c r="P550" s="163"/>
    </row>
    <row r="551" spans="16:16" x14ac:dyDescent="0.3">
      <c r="P551" s="161"/>
    </row>
    <row r="552" spans="16:16" x14ac:dyDescent="0.3">
      <c r="P552" s="162"/>
    </row>
    <row r="553" spans="16:16" x14ac:dyDescent="0.3">
      <c r="P553" s="162"/>
    </row>
    <row r="554" spans="16:16" x14ac:dyDescent="0.3">
      <c r="P554" s="163"/>
    </row>
    <row r="555" spans="16:16" x14ac:dyDescent="0.3">
      <c r="P555" s="165"/>
    </row>
    <row r="556" spans="16:16" x14ac:dyDescent="0.3">
      <c r="P556" s="166"/>
    </row>
    <row r="557" spans="16:16" x14ac:dyDescent="0.3">
      <c r="P557" s="166"/>
    </row>
    <row r="558" spans="16:16" x14ac:dyDescent="0.3">
      <c r="P558" s="167"/>
    </row>
    <row r="559" spans="16:16" x14ac:dyDescent="0.3">
      <c r="P559" s="161"/>
    </row>
    <row r="560" spans="16:16" x14ac:dyDescent="0.3">
      <c r="P560" s="162"/>
    </row>
    <row r="561" spans="16:16" x14ac:dyDescent="0.3">
      <c r="P561" s="162"/>
    </row>
    <row r="562" spans="16:16" x14ac:dyDescent="0.3">
      <c r="P562" s="163"/>
    </row>
    <row r="563" spans="16:16" x14ac:dyDescent="0.3">
      <c r="P563" s="161"/>
    </row>
    <row r="564" spans="16:16" x14ac:dyDescent="0.3">
      <c r="P564" s="162"/>
    </row>
    <row r="565" spans="16:16" x14ac:dyDescent="0.3">
      <c r="P565" s="162"/>
    </row>
    <row r="566" spans="16:16" x14ac:dyDescent="0.3">
      <c r="P566" s="163"/>
    </row>
    <row r="567" spans="16:16" x14ac:dyDescent="0.3">
      <c r="P567" s="161"/>
    </row>
    <row r="568" spans="16:16" x14ac:dyDescent="0.3">
      <c r="P568" s="162"/>
    </row>
    <row r="569" spans="16:16" x14ac:dyDescent="0.3">
      <c r="P569" s="162"/>
    </row>
    <row r="570" spans="16:16" x14ac:dyDescent="0.3">
      <c r="P570" s="163"/>
    </row>
    <row r="571" spans="16:16" x14ac:dyDescent="0.3">
      <c r="P571" s="161"/>
    </row>
    <row r="572" spans="16:16" x14ac:dyDescent="0.3">
      <c r="P572" s="162"/>
    </row>
    <row r="573" spans="16:16" x14ac:dyDescent="0.3">
      <c r="P573" s="162"/>
    </row>
    <row r="574" spans="16:16" x14ac:dyDescent="0.3">
      <c r="P574" s="163"/>
    </row>
    <row r="575" spans="16:16" x14ac:dyDescent="0.3">
      <c r="P575" s="161"/>
    </row>
    <row r="576" spans="16:16" x14ac:dyDescent="0.3">
      <c r="P576" s="162"/>
    </row>
    <row r="577" spans="16:16" x14ac:dyDescent="0.3">
      <c r="P577" s="162"/>
    </row>
    <row r="578" spans="16:16" x14ac:dyDescent="0.3">
      <c r="P578" s="163"/>
    </row>
    <row r="579" spans="16:16" x14ac:dyDescent="0.3">
      <c r="P579" s="161"/>
    </row>
    <row r="580" spans="16:16" x14ac:dyDescent="0.3">
      <c r="P580" s="162"/>
    </row>
    <row r="581" spans="16:16" x14ac:dyDescent="0.3">
      <c r="P581" s="162"/>
    </row>
    <row r="582" spans="16:16" x14ac:dyDescent="0.3">
      <c r="P582" s="163"/>
    </row>
    <row r="583" spans="16:16" x14ac:dyDescent="0.3">
      <c r="P583" s="161"/>
    </row>
    <row r="584" spans="16:16" x14ac:dyDescent="0.3">
      <c r="P584" s="162"/>
    </row>
    <row r="585" spans="16:16" x14ac:dyDescent="0.3">
      <c r="P585" s="162"/>
    </row>
    <row r="586" spans="16:16" x14ac:dyDescent="0.3">
      <c r="P586" s="163"/>
    </row>
    <row r="587" spans="16:16" x14ac:dyDescent="0.3">
      <c r="P587" s="161"/>
    </row>
    <row r="588" spans="16:16" x14ac:dyDescent="0.3">
      <c r="P588" s="162"/>
    </row>
    <row r="589" spans="16:16" x14ac:dyDescent="0.3">
      <c r="P589" s="162"/>
    </row>
    <row r="590" spans="16:16" x14ac:dyDescent="0.3">
      <c r="P590" s="163"/>
    </row>
    <row r="591" spans="16:16" x14ac:dyDescent="0.3">
      <c r="P591" s="161"/>
    </row>
    <row r="592" spans="16:16" x14ac:dyDescent="0.3">
      <c r="P592" s="162"/>
    </row>
    <row r="593" spans="16:16" x14ac:dyDescent="0.3">
      <c r="P593" s="162"/>
    </row>
    <row r="594" spans="16:16" x14ac:dyDescent="0.3">
      <c r="P594" s="163"/>
    </row>
    <row r="595" spans="16:16" x14ac:dyDescent="0.3">
      <c r="P595" s="161"/>
    </row>
    <row r="596" spans="16:16" x14ac:dyDescent="0.3">
      <c r="P596" s="162"/>
    </row>
    <row r="597" spans="16:16" x14ac:dyDescent="0.3">
      <c r="P597" s="162"/>
    </row>
    <row r="598" spans="16:16" x14ac:dyDescent="0.3">
      <c r="P598" s="163"/>
    </row>
    <row r="599" spans="16:16" x14ac:dyDescent="0.3">
      <c r="P599" s="161"/>
    </row>
    <row r="600" spans="16:16" x14ac:dyDescent="0.3">
      <c r="P600" s="162"/>
    </row>
    <row r="601" spans="16:16" x14ac:dyDescent="0.3">
      <c r="P601" s="162"/>
    </row>
    <row r="602" spans="16:16" x14ac:dyDescent="0.3">
      <c r="P602" s="163"/>
    </row>
    <row r="603" spans="16:16" x14ac:dyDescent="0.3">
      <c r="P603" s="161"/>
    </row>
    <row r="604" spans="16:16" x14ac:dyDescent="0.3">
      <c r="P604" s="162"/>
    </row>
    <row r="605" spans="16:16" x14ac:dyDescent="0.3">
      <c r="P605" s="162"/>
    </row>
    <row r="606" spans="16:16" x14ac:dyDescent="0.3">
      <c r="P606" s="163"/>
    </row>
    <row r="607" spans="16:16" x14ac:dyDescent="0.3">
      <c r="P607" s="161"/>
    </row>
    <row r="608" spans="16:16" x14ac:dyDescent="0.3">
      <c r="P608" s="162"/>
    </row>
    <row r="609" spans="16:16" x14ac:dyDescent="0.3">
      <c r="P609" s="162"/>
    </row>
    <row r="610" spans="16:16" x14ac:dyDescent="0.3">
      <c r="P610" s="163"/>
    </row>
    <row r="611" spans="16:16" x14ac:dyDescent="0.3">
      <c r="P611" s="161"/>
    </row>
    <row r="612" spans="16:16" x14ac:dyDescent="0.3">
      <c r="P612" s="162"/>
    </row>
    <row r="613" spans="16:16" x14ac:dyDescent="0.3">
      <c r="P613" s="162"/>
    </row>
    <row r="614" spans="16:16" x14ac:dyDescent="0.3">
      <c r="P614" s="163"/>
    </row>
    <row r="615" spans="16:16" x14ac:dyDescent="0.3">
      <c r="P615" s="161"/>
    </row>
    <row r="616" spans="16:16" x14ac:dyDescent="0.3">
      <c r="P616" s="162"/>
    </row>
    <row r="617" spans="16:16" x14ac:dyDescent="0.3">
      <c r="P617" s="162"/>
    </row>
    <row r="618" spans="16:16" x14ac:dyDescent="0.3">
      <c r="P618" s="163"/>
    </row>
    <row r="619" spans="16:16" x14ac:dyDescent="0.3">
      <c r="P619" s="161"/>
    </row>
    <row r="620" spans="16:16" x14ac:dyDescent="0.3">
      <c r="P620" s="162"/>
    </row>
    <row r="621" spans="16:16" x14ac:dyDescent="0.3">
      <c r="P621" s="162"/>
    </row>
    <row r="622" spans="16:16" x14ac:dyDescent="0.3">
      <c r="P622" s="163"/>
    </row>
    <row r="623" spans="16:16" x14ac:dyDescent="0.3">
      <c r="P623" s="161"/>
    </row>
    <row r="624" spans="16:16" x14ac:dyDescent="0.3">
      <c r="P624" s="162"/>
    </row>
    <row r="625" spans="16:16" x14ac:dyDescent="0.3">
      <c r="P625" s="162"/>
    </row>
    <row r="626" spans="16:16" x14ac:dyDescent="0.3">
      <c r="P626" s="163"/>
    </row>
    <row r="627" spans="16:16" x14ac:dyDescent="0.3">
      <c r="P627" s="161"/>
    </row>
    <row r="628" spans="16:16" x14ac:dyDescent="0.3">
      <c r="P628" s="162"/>
    </row>
    <row r="629" spans="16:16" x14ac:dyDescent="0.3">
      <c r="P629" s="162"/>
    </row>
    <row r="630" spans="16:16" x14ac:dyDescent="0.3">
      <c r="P630" s="163"/>
    </row>
    <row r="631" spans="16:16" x14ac:dyDescent="0.3">
      <c r="P631" s="161"/>
    </row>
    <row r="632" spans="16:16" x14ac:dyDescent="0.3">
      <c r="P632" s="162"/>
    </row>
    <row r="633" spans="16:16" x14ac:dyDescent="0.3">
      <c r="P633" s="162"/>
    </row>
    <row r="634" spans="16:16" x14ac:dyDescent="0.3">
      <c r="P634" s="163"/>
    </row>
    <row r="635" spans="16:16" x14ac:dyDescent="0.3">
      <c r="P635" s="161"/>
    </row>
    <row r="636" spans="16:16" x14ac:dyDescent="0.3">
      <c r="P636" s="162"/>
    </row>
    <row r="637" spans="16:16" x14ac:dyDescent="0.3">
      <c r="P637" s="162"/>
    </row>
    <row r="638" spans="16:16" x14ac:dyDescent="0.3">
      <c r="P638" s="163"/>
    </row>
    <row r="639" spans="16:16" x14ac:dyDescent="0.3">
      <c r="P639" s="161"/>
    </row>
    <row r="640" spans="16:16" x14ac:dyDescent="0.3">
      <c r="P640" s="162"/>
    </row>
    <row r="641" spans="16:16" x14ac:dyDescent="0.3">
      <c r="P641" s="162"/>
    </row>
    <row r="642" spans="16:16" x14ac:dyDescent="0.3">
      <c r="P642" s="163"/>
    </row>
    <row r="643" spans="16:16" x14ac:dyDescent="0.3">
      <c r="P643" s="161"/>
    </row>
    <row r="644" spans="16:16" x14ac:dyDescent="0.3">
      <c r="P644" s="162"/>
    </row>
    <row r="645" spans="16:16" x14ac:dyDescent="0.3">
      <c r="P645" s="162"/>
    </row>
    <row r="646" spans="16:16" x14ac:dyDescent="0.3">
      <c r="P646" s="163"/>
    </row>
    <row r="647" spans="16:16" x14ac:dyDescent="0.3">
      <c r="P647" s="161"/>
    </row>
    <row r="648" spans="16:16" x14ac:dyDescent="0.3">
      <c r="P648" s="162"/>
    </row>
    <row r="649" spans="16:16" x14ac:dyDescent="0.3">
      <c r="P649" s="162"/>
    </row>
    <row r="650" spans="16:16" x14ac:dyDescent="0.3">
      <c r="P650" s="163"/>
    </row>
    <row r="651" spans="16:16" x14ac:dyDescent="0.3">
      <c r="P651" s="161"/>
    </row>
    <row r="652" spans="16:16" x14ac:dyDescent="0.3">
      <c r="P652" s="162"/>
    </row>
    <row r="653" spans="16:16" x14ac:dyDescent="0.3">
      <c r="P653" s="162"/>
    </row>
    <row r="654" spans="16:16" x14ac:dyDescent="0.3">
      <c r="P654" s="163"/>
    </row>
    <row r="655" spans="16:16" x14ac:dyDescent="0.3">
      <c r="P655" s="161"/>
    </row>
    <row r="656" spans="16:16" x14ac:dyDescent="0.3">
      <c r="P656" s="162"/>
    </row>
    <row r="657" spans="16:16" x14ac:dyDescent="0.3">
      <c r="P657" s="162"/>
    </row>
    <row r="658" spans="16:16" x14ac:dyDescent="0.3">
      <c r="P658" s="163"/>
    </row>
    <row r="659" spans="16:16" x14ac:dyDescent="0.3">
      <c r="P659" s="161"/>
    </row>
    <row r="660" spans="16:16" x14ac:dyDescent="0.3">
      <c r="P660" s="162"/>
    </row>
    <row r="661" spans="16:16" x14ac:dyDescent="0.3">
      <c r="P661" s="162"/>
    </row>
    <row r="662" spans="16:16" x14ac:dyDescent="0.3">
      <c r="P662" s="163"/>
    </row>
    <row r="663" spans="16:16" x14ac:dyDescent="0.3">
      <c r="P663" s="161"/>
    </row>
    <row r="664" spans="16:16" x14ac:dyDescent="0.3">
      <c r="P664" s="162"/>
    </row>
    <row r="665" spans="16:16" x14ac:dyDescent="0.3">
      <c r="P665" s="162"/>
    </row>
    <row r="666" spans="16:16" x14ac:dyDescent="0.3">
      <c r="P666" s="163"/>
    </row>
    <row r="667" spans="16:16" x14ac:dyDescent="0.3">
      <c r="P667" s="161"/>
    </row>
    <row r="668" spans="16:16" x14ac:dyDescent="0.3">
      <c r="P668" s="162"/>
    </row>
    <row r="669" spans="16:16" x14ac:dyDescent="0.3">
      <c r="P669" s="162"/>
    </row>
    <row r="670" spans="16:16" x14ac:dyDescent="0.3">
      <c r="P670" s="163"/>
    </row>
    <row r="671" spans="16:16" x14ac:dyDescent="0.3">
      <c r="P671" s="161"/>
    </row>
    <row r="672" spans="16:16" x14ac:dyDescent="0.3">
      <c r="P672" s="162"/>
    </row>
    <row r="673" spans="16:16" x14ac:dyDescent="0.3">
      <c r="P673" s="162"/>
    </row>
    <row r="674" spans="16:16" x14ac:dyDescent="0.3">
      <c r="P674" s="163"/>
    </row>
    <row r="675" spans="16:16" x14ac:dyDescent="0.3">
      <c r="P675" s="161"/>
    </row>
    <row r="676" spans="16:16" x14ac:dyDescent="0.3">
      <c r="P676" s="162"/>
    </row>
    <row r="677" spans="16:16" x14ac:dyDescent="0.3">
      <c r="P677" s="162"/>
    </row>
    <row r="678" spans="16:16" x14ac:dyDescent="0.3">
      <c r="P678" s="163"/>
    </row>
    <row r="679" spans="16:16" x14ac:dyDescent="0.3">
      <c r="P679" s="161"/>
    </row>
    <row r="680" spans="16:16" x14ac:dyDescent="0.3">
      <c r="P680" s="162"/>
    </row>
    <row r="681" spans="16:16" x14ac:dyDescent="0.3">
      <c r="P681" s="162"/>
    </row>
    <row r="682" spans="16:16" x14ac:dyDescent="0.3">
      <c r="P682" s="163"/>
    </row>
    <row r="683" spans="16:16" x14ac:dyDescent="0.3">
      <c r="P683" s="161"/>
    </row>
    <row r="684" spans="16:16" x14ac:dyDescent="0.3">
      <c r="P684" s="162"/>
    </row>
    <row r="685" spans="16:16" x14ac:dyDescent="0.3">
      <c r="P685" s="162"/>
    </row>
    <row r="686" spans="16:16" x14ac:dyDescent="0.3">
      <c r="P686" s="163"/>
    </row>
    <row r="687" spans="16:16" x14ac:dyDescent="0.3">
      <c r="P687" s="161"/>
    </row>
    <row r="688" spans="16:16" x14ac:dyDescent="0.3">
      <c r="P688" s="162"/>
    </row>
    <row r="689" spans="16:16" x14ac:dyDescent="0.3">
      <c r="P689" s="162"/>
    </row>
    <row r="690" spans="16:16" x14ac:dyDescent="0.3">
      <c r="P690" s="163"/>
    </row>
    <row r="691" spans="16:16" x14ac:dyDescent="0.3">
      <c r="P691" s="161"/>
    </row>
    <row r="692" spans="16:16" x14ac:dyDescent="0.3">
      <c r="P692" s="162"/>
    </row>
    <row r="693" spans="16:16" x14ac:dyDescent="0.3">
      <c r="P693" s="162"/>
    </row>
    <row r="694" spans="16:16" x14ac:dyDescent="0.3">
      <c r="P694" s="163"/>
    </row>
    <row r="695" spans="16:16" x14ac:dyDescent="0.3">
      <c r="P695" s="161"/>
    </row>
    <row r="696" spans="16:16" x14ac:dyDescent="0.3">
      <c r="P696" s="162"/>
    </row>
    <row r="697" spans="16:16" x14ac:dyDescent="0.3">
      <c r="P697" s="162"/>
    </row>
    <row r="698" spans="16:16" x14ac:dyDescent="0.3">
      <c r="P698" s="163"/>
    </row>
    <row r="699" spans="16:16" x14ac:dyDescent="0.3">
      <c r="P699" s="161"/>
    </row>
    <row r="700" spans="16:16" x14ac:dyDescent="0.3">
      <c r="P700" s="162"/>
    </row>
    <row r="701" spans="16:16" x14ac:dyDescent="0.3">
      <c r="P701" s="162"/>
    </row>
    <row r="702" spans="16:16" x14ac:dyDescent="0.3">
      <c r="P702" s="163"/>
    </row>
    <row r="703" spans="16:16" x14ac:dyDescent="0.3">
      <c r="P703" s="161"/>
    </row>
    <row r="704" spans="16:16" x14ac:dyDescent="0.3">
      <c r="P704" s="162"/>
    </row>
    <row r="705" spans="16:16" x14ac:dyDescent="0.3">
      <c r="P705" s="162"/>
    </row>
    <row r="706" spans="16:16" x14ac:dyDescent="0.3">
      <c r="P706" s="163"/>
    </row>
    <row r="707" spans="16:16" x14ac:dyDescent="0.3">
      <c r="P707" s="165"/>
    </row>
    <row r="708" spans="16:16" x14ac:dyDescent="0.3">
      <c r="P708" s="166"/>
    </row>
    <row r="709" spans="16:16" x14ac:dyDescent="0.3">
      <c r="P709" s="166"/>
    </row>
    <row r="710" spans="16:16" x14ac:dyDescent="0.3">
      <c r="P710" s="167"/>
    </row>
    <row r="711" spans="16:16" x14ac:dyDescent="0.3">
      <c r="P711" s="161"/>
    </row>
    <row r="712" spans="16:16" x14ac:dyDescent="0.3">
      <c r="P712" s="162"/>
    </row>
    <row r="713" spans="16:16" x14ac:dyDescent="0.3">
      <c r="P713" s="162"/>
    </row>
    <row r="714" spans="16:16" x14ac:dyDescent="0.3">
      <c r="P714" s="163"/>
    </row>
    <row r="715" spans="16:16" x14ac:dyDescent="0.3">
      <c r="P715" s="161"/>
    </row>
    <row r="716" spans="16:16" x14ac:dyDescent="0.3">
      <c r="P716" s="162"/>
    </row>
    <row r="717" spans="16:16" x14ac:dyDescent="0.3">
      <c r="P717" s="162"/>
    </row>
    <row r="718" spans="16:16" x14ac:dyDescent="0.3">
      <c r="P718" s="163"/>
    </row>
    <row r="719" spans="16:16" x14ac:dyDescent="0.3">
      <c r="P719" s="161"/>
    </row>
    <row r="720" spans="16:16" x14ac:dyDescent="0.3">
      <c r="P720" s="162"/>
    </row>
    <row r="721" spans="16:16" x14ac:dyDescent="0.3">
      <c r="P721" s="162"/>
    </row>
    <row r="722" spans="16:16" x14ac:dyDescent="0.3">
      <c r="P722" s="163"/>
    </row>
    <row r="723" spans="16:16" x14ac:dyDescent="0.3">
      <c r="P723" s="161"/>
    </row>
    <row r="724" spans="16:16" x14ac:dyDescent="0.3">
      <c r="P724" s="162"/>
    </row>
    <row r="725" spans="16:16" x14ac:dyDescent="0.3">
      <c r="P725" s="162"/>
    </row>
    <row r="726" spans="16:16" x14ac:dyDescent="0.3">
      <c r="P726" s="163"/>
    </row>
    <row r="727" spans="16:16" x14ac:dyDescent="0.3">
      <c r="P727" s="161"/>
    </row>
    <row r="728" spans="16:16" x14ac:dyDescent="0.3">
      <c r="P728" s="162"/>
    </row>
    <row r="729" spans="16:16" x14ac:dyDescent="0.3">
      <c r="P729" s="162"/>
    </row>
    <row r="730" spans="16:16" x14ac:dyDescent="0.3">
      <c r="P730" s="163"/>
    </row>
    <row r="731" spans="16:16" x14ac:dyDescent="0.3">
      <c r="P731" s="161"/>
    </row>
    <row r="732" spans="16:16" x14ac:dyDescent="0.3">
      <c r="P732" s="162"/>
    </row>
    <row r="733" spans="16:16" x14ac:dyDescent="0.3">
      <c r="P733" s="162"/>
    </row>
    <row r="734" spans="16:16" x14ac:dyDescent="0.3">
      <c r="P734" s="163"/>
    </row>
    <row r="735" spans="16:16" x14ac:dyDescent="0.3">
      <c r="P735" s="161"/>
    </row>
    <row r="736" spans="16:16" x14ac:dyDescent="0.3">
      <c r="P736" s="162"/>
    </row>
    <row r="737" spans="16:16" x14ac:dyDescent="0.3">
      <c r="P737" s="162"/>
    </row>
    <row r="738" spans="16:16" x14ac:dyDescent="0.3">
      <c r="P738" s="163"/>
    </row>
    <row r="739" spans="16:16" x14ac:dyDescent="0.3">
      <c r="P739" s="161"/>
    </row>
    <row r="740" spans="16:16" x14ac:dyDescent="0.3">
      <c r="P740" s="162"/>
    </row>
    <row r="741" spans="16:16" x14ac:dyDescent="0.3">
      <c r="P741" s="162"/>
    </row>
    <row r="742" spans="16:16" x14ac:dyDescent="0.3">
      <c r="P742" s="163"/>
    </row>
    <row r="743" spans="16:16" x14ac:dyDescent="0.3">
      <c r="P743" s="161"/>
    </row>
    <row r="744" spans="16:16" x14ac:dyDescent="0.3">
      <c r="P744" s="162"/>
    </row>
    <row r="745" spans="16:16" x14ac:dyDescent="0.3">
      <c r="P745" s="162"/>
    </row>
    <row r="746" spans="16:16" x14ac:dyDescent="0.3">
      <c r="P746" s="163"/>
    </row>
    <row r="747" spans="16:16" x14ac:dyDescent="0.3">
      <c r="P747" s="161"/>
    </row>
    <row r="748" spans="16:16" x14ac:dyDescent="0.3">
      <c r="P748" s="162"/>
    </row>
    <row r="749" spans="16:16" x14ac:dyDescent="0.3">
      <c r="P749" s="162"/>
    </row>
    <row r="750" spans="16:16" x14ac:dyDescent="0.3">
      <c r="P750" s="163"/>
    </row>
    <row r="751" spans="16:16" x14ac:dyDescent="0.3">
      <c r="P751" s="161"/>
    </row>
    <row r="752" spans="16:16" x14ac:dyDescent="0.3">
      <c r="P752" s="162"/>
    </row>
    <row r="753" spans="16:16" x14ac:dyDescent="0.3">
      <c r="P753" s="162"/>
    </row>
    <row r="754" spans="16:16" x14ac:dyDescent="0.3">
      <c r="P754" s="163"/>
    </row>
    <row r="755" spans="16:16" x14ac:dyDescent="0.3">
      <c r="P755" s="161"/>
    </row>
    <row r="756" spans="16:16" x14ac:dyDescent="0.3">
      <c r="P756" s="162"/>
    </row>
    <row r="757" spans="16:16" x14ac:dyDescent="0.3">
      <c r="P757" s="162"/>
    </row>
    <row r="758" spans="16:16" x14ac:dyDescent="0.3">
      <c r="P758" s="163"/>
    </row>
    <row r="759" spans="16:16" x14ac:dyDescent="0.3">
      <c r="P759" s="161"/>
    </row>
    <row r="760" spans="16:16" x14ac:dyDescent="0.3">
      <c r="P760" s="162"/>
    </row>
    <row r="761" spans="16:16" x14ac:dyDescent="0.3">
      <c r="P761" s="162"/>
    </row>
    <row r="762" spans="16:16" x14ac:dyDescent="0.3">
      <c r="P762" s="163"/>
    </row>
    <row r="763" spans="16:16" x14ac:dyDescent="0.3">
      <c r="P763" s="161"/>
    </row>
    <row r="764" spans="16:16" x14ac:dyDescent="0.3">
      <c r="P764" s="162"/>
    </row>
    <row r="765" spans="16:16" x14ac:dyDescent="0.3">
      <c r="P765" s="162"/>
    </row>
    <row r="766" spans="16:16" x14ac:dyDescent="0.3">
      <c r="P766" s="163"/>
    </row>
    <row r="767" spans="16:16" x14ac:dyDescent="0.3">
      <c r="P767" s="161"/>
    </row>
    <row r="768" spans="16:16" x14ac:dyDescent="0.3">
      <c r="P768" s="162"/>
    </row>
    <row r="769" spans="16:16" x14ac:dyDescent="0.3">
      <c r="P769" s="162"/>
    </row>
    <row r="770" spans="16:16" x14ac:dyDescent="0.3">
      <c r="P770" s="163"/>
    </row>
    <row r="771" spans="16:16" x14ac:dyDescent="0.3">
      <c r="P771" s="161"/>
    </row>
    <row r="772" spans="16:16" x14ac:dyDescent="0.3">
      <c r="P772" s="162"/>
    </row>
    <row r="773" spans="16:16" x14ac:dyDescent="0.3">
      <c r="P773" s="162"/>
    </row>
    <row r="774" spans="16:16" x14ac:dyDescent="0.3">
      <c r="P774" s="163"/>
    </row>
    <row r="775" spans="16:16" x14ac:dyDescent="0.3">
      <c r="P775" s="161"/>
    </row>
    <row r="776" spans="16:16" x14ac:dyDescent="0.3">
      <c r="P776" s="162"/>
    </row>
    <row r="777" spans="16:16" x14ac:dyDescent="0.3">
      <c r="P777" s="162"/>
    </row>
    <row r="778" spans="16:16" x14ac:dyDescent="0.3">
      <c r="P778" s="163"/>
    </row>
    <row r="779" spans="16:16" x14ac:dyDescent="0.3">
      <c r="P779" s="161"/>
    </row>
    <row r="780" spans="16:16" x14ac:dyDescent="0.3">
      <c r="P780" s="162"/>
    </row>
    <row r="781" spans="16:16" x14ac:dyDescent="0.3">
      <c r="P781" s="162"/>
    </row>
    <row r="782" spans="16:16" x14ac:dyDescent="0.3">
      <c r="P782" s="163"/>
    </row>
    <row r="783" spans="16:16" x14ac:dyDescent="0.3">
      <c r="P783" s="161"/>
    </row>
    <row r="784" spans="16:16" x14ac:dyDescent="0.3">
      <c r="P784" s="162"/>
    </row>
    <row r="785" spans="16:16" x14ac:dyDescent="0.3">
      <c r="P785" s="162"/>
    </row>
    <row r="786" spans="16:16" x14ac:dyDescent="0.3">
      <c r="P786" s="163"/>
    </row>
    <row r="787" spans="16:16" x14ac:dyDescent="0.3">
      <c r="P787" s="161"/>
    </row>
    <row r="788" spans="16:16" x14ac:dyDescent="0.3">
      <c r="P788" s="162"/>
    </row>
    <row r="789" spans="16:16" x14ac:dyDescent="0.3">
      <c r="P789" s="162"/>
    </row>
    <row r="790" spans="16:16" x14ac:dyDescent="0.3">
      <c r="P790" s="163"/>
    </row>
    <row r="791" spans="16:16" x14ac:dyDescent="0.3">
      <c r="P791" s="161"/>
    </row>
    <row r="792" spans="16:16" x14ac:dyDescent="0.3">
      <c r="P792" s="162"/>
    </row>
    <row r="793" spans="16:16" x14ac:dyDescent="0.3">
      <c r="P793" s="162"/>
    </row>
    <row r="794" spans="16:16" x14ac:dyDescent="0.3">
      <c r="P794" s="163"/>
    </row>
    <row r="795" spans="16:16" x14ac:dyDescent="0.3">
      <c r="P795" s="161"/>
    </row>
    <row r="796" spans="16:16" x14ac:dyDescent="0.3">
      <c r="P796" s="162"/>
    </row>
    <row r="797" spans="16:16" x14ac:dyDescent="0.3">
      <c r="P797" s="162"/>
    </row>
    <row r="798" spans="16:16" x14ac:dyDescent="0.3">
      <c r="P798" s="163"/>
    </row>
    <row r="799" spans="16:16" x14ac:dyDescent="0.3">
      <c r="P799" s="161"/>
    </row>
    <row r="800" spans="16:16" x14ac:dyDescent="0.3">
      <c r="P800" s="162"/>
    </row>
    <row r="801" spans="16:16" x14ac:dyDescent="0.3">
      <c r="P801" s="162"/>
    </row>
    <row r="802" spans="16:16" x14ac:dyDescent="0.3">
      <c r="P802" s="163"/>
    </row>
    <row r="803" spans="16:16" x14ac:dyDescent="0.3">
      <c r="P803" s="161"/>
    </row>
    <row r="804" spans="16:16" x14ac:dyDescent="0.3">
      <c r="P804" s="162"/>
    </row>
    <row r="805" spans="16:16" x14ac:dyDescent="0.3">
      <c r="P805" s="162"/>
    </row>
    <row r="806" spans="16:16" x14ac:dyDescent="0.3">
      <c r="P806" s="163"/>
    </row>
    <row r="807" spans="16:16" x14ac:dyDescent="0.3">
      <c r="P807" s="161"/>
    </row>
    <row r="808" spans="16:16" x14ac:dyDescent="0.3">
      <c r="P808" s="162"/>
    </row>
    <row r="809" spans="16:16" x14ac:dyDescent="0.3">
      <c r="P809" s="162"/>
    </row>
    <row r="810" spans="16:16" x14ac:dyDescent="0.3">
      <c r="P810" s="163"/>
    </row>
    <row r="811" spans="16:16" x14ac:dyDescent="0.3">
      <c r="P811" s="161"/>
    </row>
    <row r="812" spans="16:16" x14ac:dyDescent="0.3">
      <c r="P812" s="162"/>
    </row>
    <row r="813" spans="16:16" x14ac:dyDescent="0.3">
      <c r="P813" s="162"/>
    </row>
    <row r="814" spans="16:16" x14ac:dyDescent="0.3">
      <c r="P814" s="163"/>
    </row>
    <row r="815" spans="16:16" x14ac:dyDescent="0.3">
      <c r="P815" s="161"/>
    </row>
    <row r="816" spans="16:16" x14ac:dyDescent="0.3">
      <c r="P816" s="162"/>
    </row>
    <row r="817" spans="16:16" x14ac:dyDescent="0.3">
      <c r="P817" s="162"/>
    </row>
    <row r="818" spans="16:16" x14ac:dyDescent="0.3">
      <c r="P818" s="163"/>
    </row>
    <row r="819" spans="16:16" x14ac:dyDescent="0.3">
      <c r="P819" s="161"/>
    </row>
    <row r="820" spans="16:16" x14ac:dyDescent="0.3">
      <c r="P820" s="162"/>
    </row>
    <row r="821" spans="16:16" x14ac:dyDescent="0.3">
      <c r="P821" s="162"/>
    </row>
    <row r="822" spans="16:16" x14ac:dyDescent="0.3">
      <c r="P822" s="163"/>
    </row>
    <row r="823" spans="16:16" x14ac:dyDescent="0.3">
      <c r="P823" s="161"/>
    </row>
    <row r="824" spans="16:16" x14ac:dyDescent="0.3">
      <c r="P824" s="162"/>
    </row>
    <row r="825" spans="16:16" x14ac:dyDescent="0.3">
      <c r="P825" s="162"/>
    </row>
    <row r="826" spans="16:16" x14ac:dyDescent="0.3">
      <c r="P826" s="163"/>
    </row>
    <row r="827" spans="16:16" x14ac:dyDescent="0.3">
      <c r="P827" s="161"/>
    </row>
    <row r="828" spans="16:16" x14ac:dyDescent="0.3">
      <c r="P828" s="162"/>
    </row>
    <row r="829" spans="16:16" x14ac:dyDescent="0.3">
      <c r="P829" s="162"/>
    </row>
    <row r="830" spans="16:16" x14ac:dyDescent="0.3">
      <c r="P830" s="163"/>
    </row>
    <row r="831" spans="16:16" x14ac:dyDescent="0.3">
      <c r="P831" s="161"/>
    </row>
    <row r="832" spans="16:16" x14ac:dyDescent="0.3">
      <c r="P832" s="162"/>
    </row>
    <row r="833" spans="16:16" x14ac:dyDescent="0.3">
      <c r="P833" s="162"/>
    </row>
    <row r="834" spans="16:16" x14ac:dyDescent="0.3">
      <c r="P834" s="163"/>
    </row>
    <row r="835" spans="16:16" x14ac:dyDescent="0.3">
      <c r="P835" s="161"/>
    </row>
    <row r="836" spans="16:16" x14ac:dyDescent="0.3">
      <c r="P836" s="162"/>
    </row>
    <row r="837" spans="16:16" x14ac:dyDescent="0.3">
      <c r="P837" s="162"/>
    </row>
    <row r="838" spans="16:16" x14ac:dyDescent="0.3">
      <c r="P838" s="163"/>
    </row>
    <row r="839" spans="16:16" x14ac:dyDescent="0.3">
      <c r="P839" s="161"/>
    </row>
    <row r="840" spans="16:16" x14ac:dyDescent="0.3">
      <c r="P840" s="162"/>
    </row>
    <row r="841" spans="16:16" x14ac:dyDescent="0.3">
      <c r="P841" s="162"/>
    </row>
    <row r="842" spans="16:16" x14ac:dyDescent="0.3">
      <c r="P842" s="163"/>
    </row>
    <row r="843" spans="16:16" x14ac:dyDescent="0.3">
      <c r="P843" s="161"/>
    </row>
    <row r="844" spans="16:16" x14ac:dyDescent="0.3">
      <c r="P844" s="162"/>
    </row>
    <row r="845" spans="16:16" x14ac:dyDescent="0.3">
      <c r="P845" s="162"/>
    </row>
    <row r="846" spans="16:16" x14ac:dyDescent="0.3">
      <c r="P846" s="163"/>
    </row>
    <row r="847" spans="16:16" x14ac:dyDescent="0.3">
      <c r="P847" s="161"/>
    </row>
    <row r="848" spans="16:16" x14ac:dyDescent="0.3">
      <c r="P848" s="162"/>
    </row>
    <row r="849" spans="16:16" x14ac:dyDescent="0.3">
      <c r="P849" s="162"/>
    </row>
    <row r="850" spans="16:16" x14ac:dyDescent="0.3">
      <c r="P850" s="163"/>
    </row>
    <row r="851" spans="16:16" x14ac:dyDescent="0.3">
      <c r="P851" s="161"/>
    </row>
    <row r="852" spans="16:16" x14ac:dyDescent="0.3">
      <c r="P852" s="162"/>
    </row>
    <row r="853" spans="16:16" x14ac:dyDescent="0.3">
      <c r="P853" s="162"/>
    </row>
    <row r="854" spans="16:16" x14ac:dyDescent="0.3">
      <c r="P854" s="163"/>
    </row>
    <row r="855" spans="16:16" x14ac:dyDescent="0.3">
      <c r="P855" s="161"/>
    </row>
    <row r="856" spans="16:16" x14ac:dyDescent="0.3">
      <c r="P856" s="162"/>
    </row>
    <row r="857" spans="16:16" x14ac:dyDescent="0.3">
      <c r="P857" s="162"/>
    </row>
    <row r="858" spans="16:16" x14ac:dyDescent="0.3">
      <c r="P858" s="163"/>
    </row>
    <row r="859" spans="16:16" x14ac:dyDescent="0.3">
      <c r="P859" s="161"/>
    </row>
    <row r="860" spans="16:16" x14ac:dyDescent="0.3">
      <c r="P860" s="162"/>
    </row>
    <row r="861" spans="16:16" x14ac:dyDescent="0.3">
      <c r="P861" s="162"/>
    </row>
    <row r="862" spans="16:16" x14ac:dyDescent="0.3">
      <c r="P862" s="163"/>
    </row>
    <row r="863" spans="16:16" x14ac:dyDescent="0.3">
      <c r="P863" s="161"/>
    </row>
    <row r="864" spans="16:16" x14ac:dyDescent="0.3">
      <c r="P864" s="162"/>
    </row>
    <row r="865" spans="16:16" x14ac:dyDescent="0.3">
      <c r="P865" s="162"/>
    </row>
    <row r="866" spans="16:16" x14ac:dyDescent="0.3">
      <c r="P866" s="163"/>
    </row>
    <row r="867" spans="16:16" x14ac:dyDescent="0.3">
      <c r="P867" s="161"/>
    </row>
    <row r="868" spans="16:16" x14ac:dyDescent="0.3">
      <c r="P868" s="162"/>
    </row>
    <row r="869" spans="16:16" x14ac:dyDescent="0.3">
      <c r="P869" s="162"/>
    </row>
    <row r="870" spans="16:16" x14ac:dyDescent="0.3">
      <c r="P870" s="163"/>
    </row>
    <row r="871" spans="16:16" x14ac:dyDescent="0.3">
      <c r="P871" s="161"/>
    </row>
    <row r="872" spans="16:16" x14ac:dyDescent="0.3">
      <c r="P872" s="162"/>
    </row>
    <row r="873" spans="16:16" x14ac:dyDescent="0.3">
      <c r="P873" s="162"/>
    </row>
    <row r="874" spans="16:16" x14ac:dyDescent="0.3">
      <c r="P874" s="163"/>
    </row>
    <row r="875" spans="16:16" x14ac:dyDescent="0.3">
      <c r="P875" s="161"/>
    </row>
    <row r="876" spans="16:16" x14ac:dyDescent="0.3">
      <c r="P876" s="162"/>
    </row>
    <row r="877" spans="16:16" x14ac:dyDescent="0.3">
      <c r="P877" s="162"/>
    </row>
    <row r="878" spans="16:16" x14ac:dyDescent="0.3">
      <c r="P878" s="163"/>
    </row>
    <row r="879" spans="16:16" x14ac:dyDescent="0.3">
      <c r="P879" s="161"/>
    </row>
    <row r="880" spans="16:16" x14ac:dyDescent="0.3">
      <c r="P880" s="162"/>
    </row>
    <row r="881" spans="16:16" x14ac:dyDescent="0.3">
      <c r="P881" s="162"/>
    </row>
    <row r="882" spans="16:16" x14ac:dyDescent="0.3">
      <c r="P882" s="163"/>
    </row>
    <row r="883" spans="16:16" x14ac:dyDescent="0.3">
      <c r="P883" s="161"/>
    </row>
    <row r="884" spans="16:16" x14ac:dyDescent="0.3">
      <c r="P884" s="162"/>
    </row>
    <row r="885" spans="16:16" x14ac:dyDescent="0.3">
      <c r="P885" s="162"/>
    </row>
    <row r="886" spans="16:16" x14ac:dyDescent="0.3">
      <c r="P886" s="163"/>
    </row>
    <row r="887" spans="16:16" x14ac:dyDescent="0.3">
      <c r="P887" s="161"/>
    </row>
    <row r="888" spans="16:16" x14ac:dyDescent="0.3">
      <c r="P888" s="162"/>
    </row>
    <row r="889" spans="16:16" x14ac:dyDescent="0.3">
      <c r="P889" s="162"/>
    </row>
    <row r="890" spans="16:16" x14ac:dyDescent="0.3">
      <c r="P890" s="163"/>
    </row>
    <row r="891" spans="16:16" x14ac:dyDescent="0.3">
      <c r="P891" s="161"/>
    </row>
    <row r="892" spans="16:16" x14ac:dyDescent="0.3">
      <c r="P892" s="162"/>
    </row>
    <row r="893" spans="16:16" x14ac:dyDescent="0.3">
      <c r="P893" s="162"/>
    </row>
    <row r="894" spans="16:16" x14ac:dyDescent="0.3">
      <c r="P894" s="163"/>
    </row>
    <row r="895" spans="16:16" x14ac:dyDescent="0.3">
      <c r="P895" s="161"/>
    </row>
    <row r="896" spans="16:16" x14ac:dyDescent="0.3">
      <c r="P896" s="162"/>
    </row>
    <row r="897" spans="16:16" x14ac:dyDescent="0.3">
      <c r="P897" s="162"/>
    </row>
    <row r="898" spans="16:16" x14ac:dyDescent="0.3">
      <c r="P898" s="163"/>
    </row>
    <row r="899" spans="16:16" x14ac:dyDescent="0.3">
      <c r="P899" s="161"/>
    </row>
    <row r="900" spans="16:16" x14ac:dyDescent="0.3">
      <c r="P900" s="162"/>
    </row>
    <row r="901" spans="16:16" x14ac:dyDescent="0.3">
      <c r="P901" s="162"/>
    </row>
    <row r="902" spans="16:16" x14ac:dyDescent="0.3">
      <c r="P902" s="163"/>
    </row>
    <row r="903" spans="16:16" x14ac:dyDescent="0.3">
      <c r="P903" s="161"/>
    </row>
    <row r="904" spans="16:16" x14ac:dyDescent="0.3">
      <c r="P904" s="162"/>
    </row>
    <row r="905" spans="16:16" x14ac:dyDescent="0.3">
      <c r="P905" s="162"/>
    </row>
    <row r="906" spans="16:16" x14ac:dyDescent="0.3">
      <c r="P906" s="163"/>
    </row>
    <row r="907" spans="16:16" x14ac:dyDescent="0.3">
      <c r="P907" s="161"/>
    </row>
    <row r="908" spans="16:16" x14ac:dyDescent="0.3">
      <c r="P908" s="162"/>
    </row>
    <row r="909" spans="16:16" x14ac:dyDescent="0.3">
      <c r="P909" s="162"/>
    </row>
    <row r="910" spans="16:16" x14ac:dyDescent="0.3">
      <c r="P910" s="163"/>
    </row>
    <row r="911" spans="16:16" x14ac:dyDescent="0.3">
      <c r="P911" s="161"/>
    </row>
    <row r="912" spans="16:16" x14ac:dyDescent="0.3">
      <c r="P912" s="162"/>
    </row>
    <row r="913" spans="16:16" x14ac:dyDescent="0.3">
      <c r="P913" s="162"/>
    </row>
    <row r="914" spans="16:16" x14ac:dyDescent="0.3">
      <c r="P914" s="163"/>
    </row>
    <row r="915" spans="16:16" x14ac:dyDescent="0.3">
      <c r="P915" s="161"/>
    </row>
    <row r="916" spans="16:16" x14ac:dyDescent="0.3">
      <c r="P916" s="162"/>
    </row>
    <row r="917" spans="16:16" x14ac:dyDescent="0.3">
      <c r="P917" s="162"/>
    </row>
    <row r="918" spans="16:16" x14ac:dyDescent="0.3">
      <c r="P918" s="163"/>
    </row>
    <row r="919" spans="16:16" x14ac:dyDescent="0.3">
      <c r="P919" s="161"/>
    </row>
    <row r="920" spans="16:16" x14ac:dyDescent="0.3">
      <c r="P920" s="162"/>
    </row>
    <row r="921" spans="16:16" x14ac:dyDescent="0.3">
      <c r="P921" s="162"/>
    </row>
    <row r="922" spans="16:16" x14ac:dyDescent="0.3">
      <c r="P922" s="163"/>
    </row>
    <row r="923" spans="16:16" x14ac:dyDescent="0.3">
      <c r="P923" s="161"/>
    </row>
    <row r="924" spans="16:16" x14ac:dyDescent="0.3">
      <c r="P924" s="162"/>
    </row>
    <row r="925" spans="16:16" x14ac:dyDescent="0.3">
      <c r="P925" s="162"/>
    </row>
    <row r="926" spans="16:16" x14ac:dyDescent="0.3">
      <c r="P926" s="163"/>
    </row>
    <row r="927" spans="16:16" x14ac:dyDescent="0.3">
      <c r="P927" s="161"/>
    </row>
    <row r="928" spans="16:16" x14ac:dyDescent="0.3">
      <c r="P928" s="162"/>
    </row>
    <row r="929" spans="16:16" x14ac:dyDescent="0.3">
      <c r="P929" s="162"/>
    </row>
    <row r="930" spans="16:16" x14ac:dyDescent="0.3">
      <c r="P930" s="163"/>
    </row>
    <row r="931" spans="16:16" x14ac:dyDescent="0.3">
      <c r="P931" s="161"/>
    </row>
    <row r="932" spans="16:16" x14ac:dyDescent="0.3">
      <c r="P932" s="162"/>
    </row>
    <row r="933" spans="16:16" x14ac:dyDescent="0.3">
      <c r="P933" s="162"/>
    </row>
    <row r="934" spans="16:16" x14ac:dyDescent="0.3">
      <c r="P934" s="163"/>
    </row>
    <row r="935" spans="16:16" x14ac:dyDescent="0.3">
      <c r="P935" s="161"/>
    </row>
    <row r="936" spans="16:16" x14ac:dyDescent="0.3">
      <c r="P936" s="162"/>
    </row>
    <row r="937" spans="16:16" x14ac:dyDescent="0.3">
      <c r="P937" s="162"/>
    </row>
    <row r="938" spans="16:16" x14ac:dyDescent="0.3">
      <c r="P938" s="163"/>
    </row>
    <row r="939" spans="16:16" x14ac:dyDescent="0.3">
      <c r="P939" s="161"/>
    </row>
    <row r="940" spans="16:16" x14ac:dyDescent="0.3">
      <c r="P940" s="162"/>
    </row>
    <row r="941" spans="16:16" x14ac:dyDescent="0.3">
      <c r="P941" s="162"/>
    </row>
    <row r="942" spans="16:16" x14ac:dyDescent="0.3">
      <c r="P942" s="163"/>
    </row>
    <row r="943" spans="16:16" x14ac:dyDescent="0.3">
      <c r="P943" s="161"/>
    </row>
    <row r="944" spans="16:16" x14ac:dyDescent="0.3">
      <c r="P944" s="162"/>
    </row>
    <row r="945" spans="16:16" x14ac:dyDescent="0.3">
      <c r="P945" s="162"/>
    </row>
    <row r="946" spans="16:16" x14ac:dyDescent="0.3">
      <c r="P946" s="163"/>
    </row>
    <row r="947" spans="16:16" x14ac:dyDescent="0.3">
      <c r="P947" s="161"/>
    </row>
    <row r="948" spans="16:16" x14ac:dyDescent="0.3">
      <c r="P948" s="162"/>
    </row>
    <row r="949" spans="16:16" x14ac:dyDescent="0.3">
      <c r="P949" s="162"/>
    </row>
    <row r="950" spans="16:16" x14ac:dyDescent="0.3">
      <c r="P950" s="163"/>
    </row>
    <row r="951" spans="16:16" x14ac:dyDescent="0.3">
      <c r="P951" s="161"/>
    </row>
    <row r="952" spans="16:16" x14ac:dyDescent="0.3">
      <c r="P952" s="162"/>
    </row>
    <row r="953" spans="16:16" x14ac:dyDescent="0.3">
      <c r="P953" s="162"/>
    </row>
    <row r="954" spans="16:16" x14ac:dyDescent="0.3">
      <c r="P954" s="163"/>
    </row>
    <row r="955" spans="16:16" x14ac:dyDescent="0.3">
      <c r="P955" s="161"/>
    </row>
    <row r="956" spans="16:16" x14ac:dyDescent="0.3">
      <c r="P956" s="162"/>
    </row>
    <row r="957" spans="16:16" x14ac:dyDescent="0.3">
      <c r="P957" s="162"/>
    </row>
    <row r="958" spans="16:16" x14ac:dyDescent="0.3">
      <c r="P958" s="163"/>
    </row>
    <row r="959" spans="16:16" x14ac:dyDescent="0.3">
      <c r="P959" s="161"/>
    </row>
    <row r="960" spans="16:16" x14ac:dyDescent="0.3">
      <c r="P960" s="162"/>
    </row>
    <row r="961" spans="16:16" x14ac:dyDescent="0.3">
      <c r="P961" s="162"/>
    </row>
    <row r="962" spans="16:16" x14ac:dyDescent="0.3">
      <c r="P962" s="163"/>
    </row>
    <row r="963" spans="16:16" x14ac:dyDescent="0.3">
      <c r="P963" s="161"/>
    </row>
    <row r="964" spans="16:16" x14ac:dyDescent="0.3">
      <c r="P964" s="162"/>
    </row>
    <row r="965" spans="16:16" x14ac:dyDescent="0.3">
      <c r="P965" s="162"/>
    </row>
    <row r="966" spans="16:16" x14ac:dyDescent="0.3">
      <c r="P966" s="163"/>
    </row>
    <row r="967" spans="16:16" x14ac:dyDescent="0.3">
      <c r="P967" s="161"/>
    </row>
    <row r="968" spans="16:16" x14ac:dyDescent="0.3">
      <c r="P968" s="162"/>
    </row>
    <row r="969" spans="16:16" x14ac:dyDescent="0.3">
      <c r="P969" s="162"/>
    </row>
    <row r="970" spans="16:16" x14ac:dyDescent="0.3">
      <c r="P970" s="163"/>
    </row>
    <row r="971" spans="16:16" x14ac:dyDescent="0.3">
      <c r="P971" s="161"/>
    </row>
    <row r="972" spans="16:16" x14ac:dyDescent="0.3">
      <c r="P972" s="162"/>
    </row>
    <row r="973" spans="16:16" x14ac:dyDescent="0.3">
      <c r="P973" s="162"/>
    </row>
    <row r="974" spans="16:16" x14ac:dyDescent="0.3">
      <c r="P974" s="163"/>
    </row>
    <row r="975" spans="16:16" x14ac:dyDescent="0.3">
      <c r="P975" s="161"/>
    </row>
    <row r="976" spans="16:16" x14ac:dyDescent="0.3">
      <c r="P976" s="162"/>
    </row>
    <row r="977" spans="16:16" x14ac:dyDescent="0.3">
      <c r="P977" s="162"/>
    </row>
    <row r="978" spans="16:16" x14ac:dyDescent="0.3">
      <c r="P978" s="163"/>
    </row>
    <row r="979" spans="16:16" x14ac:dyDescent="0.3">
      <c r="P979" s="161"/>
    </row>
    <row r="980" spans="16:16" x14ac:dyDescent="0.3">
      <c r="P980" s="162"/>
    </row>
    <row r="981" spans="16:16" x14ac:dyDescent="0.3">
      <c r="P981" s="162"/>
    </row>
    <row r="982" spans="16:16" x14ac:dyDescent="0.3">
      <c r="P982" s="163"/>
    </row>
    <row r="983" spans="16:16" x14ac:dyDescent="0.3">
      <c r="P983" s="161"/>
    </row>
    <row r="984" spans="16:16" x14ac:dyDescent="0.3">
      <c r="P984" s="162"/>
    </row>
    <row r="985" spans="16:16" x14ac:dyDescent="0.3">
      <c r="P985" s="162"/>
    </row>
    <row r="986" spans="16:16" x14ac:dyDescent="0.3">
      <c r="P986" s="163"/>
    </row>
    <row r="987" spans="16:16" x14ac:dyDescent="0.3">
      <c r="P987" s="161"/>
    </row>
    <row r="988" spans="16:16" x14ac:dyDescent="0.3">
      <c r="P988" s="162"/>
    </row>
    <row r="989" spans="16:16" x14ac:dyDescent="0.3">
      <c r="P989" s="162"/>
    </row>
    <row r="990" spans="16:16" x14ac:dyDescent="0.3">
      <c r="P990" s="163"/>
    </row>
    <row r="991" spans="16:16" x14ac:dyDescent="0.3">
      <c r="P991" s="161"/>
    </row>
    <row r="992" spans="16:16" x14ac:dyDescent="0.3">
      <c r="P992" s="162"/>
    </row>
    <row r="993" spans="16:16" x14ac:dyDescent="0.3">
      <c r="P993" s="162"/>
    </row>
    <row r="994" spans="16:16" x14ac:dyDescent="0.3">
      <c r="P994" s="163"/>
    </row>
    <row r="995" spans="16:16" x14ac:dyDescent="0.3">
      <c r="P995" s="165"/>
    </row>
    <row r="996" spans="16:16" x14ac:dyDescent="0.3">
      <c r="P996" s="166"/>
    </row>
    <row r="997" spans="16:16" x14ac:dyDescent="0.3">
      <c r="P997" s="166"/>
    </row>
    <row r="998" spans="16:16" x14ac:dyDescent="0.3">
      <c r="P998" s="167"/>
    </row>
    <row r="999" spans="16:16" x14ac:dyDescent="0.3">
      <c r="P999" s="161"/>
    </row>
    <row r="1000" spans="16:16" x14ac:dyDescent="0.3">
      <c r="P1000" s="162"/>
    </row>
    <row r="1001" spans="16:16" x14ac:dyDescent="0.3">
      <c r="P1001" s="162"/>
    </row>
    <row r="1002" spans="16:16" x14ac:dyDescent="0.3">
      <c r="P1002" s="163"/>
    </row>
    <row r="1003" spans="16:16" x14ac:dyDescent="0.3">
      <c r="P1003" s="165"/>
    </row>
    <row r="1004" spans="16:16" x14ac:dyDescent="0.3">
      <c r="P1004" s="166"/>
    </row>
    <row r="1005" spans="16:16" x14ac:dyDescent="0.3">
      <c r="P1005" s="166"/>
    </row>
    <row r="1006" spans="16:16" x14ac:dyDescent="0.3">
      <c r="P1006" s="167"/>
    </row>
    <row r="1007" spans="16:16" x14ac:dyDescent="0.3">
      <c r="P1007" s="165"/>
    </row>
    <row r="1008" spans="16:16" x14ac:dyDescent="0.3">
      <c r="P1008" s="166"/>
    </row>
    <row r="1009" spans="16:16" x14ac:dyDescent="0.3">
      <c r="P1009" s="166"/>
    </row>
    <row r="1010" spans="16:16" x14ac:dyDescent="0.3">
      <c r="P1010" s="167"/>
    </row>
    <row r="1011" spans="16:16" x14ac:dyDescent="0.3">
      <c r="P1011" s="165"/>
    </row>
    <row r="1012" spans="16:16" x14ac:dyDescent="0.3">
      <c r="P1012" s="166"/>
    </row>
    <row r="1013" spans="16:16" x14ac:dyDescent="0.3">
      <c r="P1013" s="166"/>
    </row>
    <row r="1014" spans="16:16" x14ac:dyDescent="0.3">
      <c r="P1014" s="167"/>
    </row>
    <row r="1015" spans="16:16" x14ac:dyDescent="0.3">
      <c r="P1015" s="165"/>
    </row>
    <row r="1016" spans="16:16" x14ac:dyDescent="0.3">
      <c r="P1016" s="166"/>
    </row>
    <row r="1017" spans="16:16" x14ac:dyDescent="0.3">
      <c r="P1017" s="166"/>
    </row>
    <row r="1018" spans="16:16" x14ac:dyDescent="0.3">
      <c r="P1018" s="167"/>
    </row>
    <row r="1019" spans="16:16" x14ac:dyDescent="0.3">
      <c r="P1019" s="165"/>
    </row>
    <row r="1020" spans="16:16" x14ac:dyDescent="0.3">
      <c r="P1020" s="166"/>
    </row>
    <row r="1021" spans="16:16" x14ac:dyDescent="0.3">
      <c r="P1021" s="166"/>
    </row>
    <row r="1022" spans="16:16" x14ac:dyDescent="0.3">
      <c r="P1022" s="167"/>
    </row>
    <row r="1023" spans="16:16" x14ac:dyDescent="0.3">
      <c r="P1023" s="165"/>
    </row>
    <row r="1024" spans="16:16" x14ac:dyDescent="0.3">
      <c r="P1024" s="166"/>
    </row>
    <row r="1025" spans="16:16" x14ac:dyDescent="0.3">
      <c r="P1025" s="166"/>
    </row>
    <row r="1026" spans="16:16" x14ac:dyDescent="0.3">
      <c r="P1026" s="167"/>
    </row>
    <row r="1027" spans="16:16" x14ac:dyDescent="0.3">
      <c r="P1027" s="165"/>
    </row>
    <row r="1028" spans="16:16" x14ac:dyDescent="0.3">
      <c r="P1028" s="166"/>
    </row>
    <row r="1029" spans="16:16" x14ac:dyDescent="0.3">
      <c r="P1029" s="166"/>
    </row>
    <row r="1030" spans="16:16" x14ac:dyDescent="0.3">
      <c r="P1030" s="167"/>
    </row>
    <row r="1031" spans="16:16" x14ac:dyDescent="0.3">
      <c r="P1031" s="165"/>
    </row>
    <row r="1032" spans="16:16" x14ac:dyDescent="0.3">
      <c r="P1032" s="166"/>
    </row>
    <row r="1033" spans="16:16" x14ac:dyDescent="0.3">
      <c r="P1033" s="166"/>
    </row>
    <row r="1034" spans="16:16" x14ac:dyDescent="0.3">
      <c r="P1034" s="167"/>
    </row>
    <row r="1035" spans="16:16" x14ac:dyDescent="0.3">
      <c r="P1035" s="165"/>
    </row>
    <row r="1036" spans="16:16" x14ac:dyDescent="0.3">
      <c r="P1036" s="166"/>
    </row>
    <row r="1037" spans="16:16" x14ac:dyDescent="0.3">
      <c r="P1037" s="166"/>
    </row>
    <row r="1038" spans="16:16" x14ac:dyDescent="0.3">
      <c r="P1038" s="167"/>
    </row>
    <row r="1039" spans="16:16" x14ac:dyDescent="0.3">
      <c r="P1039" s="165"/>
    </row>
    <row r="1040" spans="16:16" x14ac:dyDescent="0.3">
      <c r="P1040" s="166"/>
    </row>
    <row r="1041" spans="16:16" x14ac:dyDescent="0.3">
      <c r="P1041" s="166"/>
    </row>
    <row r="1042" spans="16:16" x14ac:dyDescent="0.3">
      <c r="P1042" s="167"/>
    </row>
    <row r="1043" spans="16:16" x14ac:dyDescent="0.3">
      <c r="P1043" s="165"/>
    </row>
    <row r="1044" spans="16:16" x14ac:dyDescent="0.3">
      <c r="P1044" s="166"/>
    </row>
    <row r="1045" spans="16:16" x14ac:dyDescent="0.3">
      <c r="P1045" s="166"/>
    </row>
    <row r="1046" spans="16:16" x14ac:dyDescent="0.3">
      <c r="P1046" s="167"/>
    </row>
    <row r="1047" spans="16:16" x14ac:dyDescent="0.3">
      <c r="P1047" s="165"/>
    </row>
    <row r="1048" spans="16:16" x14ac:dyDescent="0.3">
      <c r="P1048" s="166"/>
    </row>
    <row r="1049" spans="16:16" x14ac:dyDescent="0.3">
      <c r="P1049" s="166"/>
    </row>
    <row r="1050" spans="16:16" x14ac:dyDescent="0.3">
      <c r="P1050" s="167"/>
    </row>
  </sheetData>
  <mergeCells count="263">
    <mergeCell ref="P1:P2"/>
    <mergeCell ref="P3:P6"/>
    <mergeCell ref="P7:P10"/>
    <mergeCell ref="P11:P14"/>
    <mergeCell ref="P15:P18"/>
    <mergeCell ref="P19:P22"/>
    <mergeCell ref="P23:P26"/>
    <mergeCell ref="P27:P30"/>
    <mergeCell ref="P31:P34"/>
    <mergeCell ref="P35:P38"/>
    <mergeCell ref="P39:P42"/>
    <mergeCell ref="P43:P46"/>
    <mergeCell ref="P47:P50"/>
    <mergeCell ref="P51:P54"/>
    <mergeCell ref="P55:P58"/>
    <mergeCell ref="P59:P62"/>
    <mergeCell ref="P63:P66"/>
    <mergeCell ref="P67:P70"/>
    <mergeCell ref="P71:P74"/>
    <mergeCell ref="P75:P78"/>
    <mergeCell ref="P99:P102"/>
    <mergeCell ref="P103:P106"/>
    <mergeCell ref="P79:P82"/>
    <mergeCell ref="P147:P150"/>
    <mergeCell ref="P151:P154"/>
    <mergeCell ref="P155:P158"/>
    <mergeCell ref="P159:P162"/>
    <mergeCell ref="P83:P86"/>
    <mergeCell ref="P87:P90"/>
    <mergeCell ref="P91:P94"/>
    <mergeCell ref="P95:P98"/>
    <mergeCell ref="P107:P110"/>
    <mergeCell ref="P111:P114"/>
    <mergeCell ref="P115:P118"/>
    <mergeCell ref="P119:P122"/>
    <mergeCell ref="P123:P126"/>
    <mergeCell ref="P163:P166"/>
    <mergeCell ref="P127:P130"/>
    <mergeCell ref="P131:P134"/>
    <mergeCell ref="P135:P138"/>
    <mergeCell ref="P139:P142"/>
    <mergeCell ref="P143:P146"/>
    <mergeCell ref="P187:P190"/>
    <mergeCell ref="P191:P194"/>
    <mergeCell ref="P195:P198"/>
    <mergeCell ref="P199:P202"/>
    <mergeCell ref="P203:P206"/>
    <mergeCell ref="P167:P170"/>
    <mergeCell ref="P171:P174"/>
    <mergeCell ref="P175:P178"/>
    <mergeCell ref="P179:P182"/>
    <mergeCell ref="P183:P186"/>
    <mergeCell ref="P227:P230"/>
    <mergeCell ref="P231:P234"/>
    <mergeCell ref="P235:P238"/>
    <mergeCell ref="P239:P242"/>
    <mergeCell ref="P243:P246"/>
    <mergeCell ref="P207:P210"/>
    <mergeCell ref="P211:P214"/>
    <mergeCell ref="P215:P218"/>
    <mergeCell ref="P219:P222"/>
    <mergeCell ref="P223:P226"/>
    <mergeCell ref="P267:P270"/>
    <mergeCell ref="P271:P274"/>
    <mergeCell ref="P275:P278"/>
    <mergeCell ref="P279:P282"/>
    <mergeCell ref="P283:P286"/>
    <mergeCell ref="P247:P250"/>
    <mergeCell ref="P251:P254"/>
    <mergeCell ref="P255:P258"/>
    <mergeCell ref="P259:P262"/>
    <mergeCell ref="P263:P266"/>
    <mergeCell ref="P307:P310"/>
    <mergeCell ref="P311:P314"/>
    <mergeCell ref="P315:P318"/>
    <mergeCell ref="P319:P322"/>
    <mergeCell ref="P323:P326"/>
    <mergeCell ref="P287:P290"/>
    <mergeCell ref="P291:P294"/>
    <mergeCell ref="P295:P298"/>
    <mergeCell ref="P299:P302"/>
    <mergeCell ref="P303:P306"/>
    <mergeCell ref="P347:P350"/>
    <mergeCell ref="P351:P354"/>
    <mergeCell ref="P355:P358"/>
    <mergeCell ref="P359:P362"/>
    <mergeCell ref="P363:P366"/>
    <mergeCell ref="P327:P330"/>
    <mergeCell ref="P331:P334"/>
    <mergeCell ref="P335:P338"/>
    <mergeCell ref="P339:P342"/>
    <mergeCell ref="P343:P346"/>
    <mergeCell ref="P387:P390"/>
    <mergeCell ref="P391:P394"/>
    <mergeCell ref="P395:P398"/>
    <mergeCell ref="P399:P402"/>
    <mergeCell ref="P403:P406"/>
    <mergeCell ref="P367:P370"/>
    <mergeCell ref="P371:P374"/>
    <mergeCell ref="P375:P378"/>
    <mergeCell ref="P379:P382"/>
    <mergeCell ref="P383:P386"/>
    <mergeCell ref="P427:P430"/>
    <mergeCell ref="P431:P434"/>
    <mergeCell ref="P435:P438"/>
    <mergeCell ref="P439:P442"/>
    <mergeCell ref="P443:P446"/>
    <mergeCell ref="P407:P410"/>
    <mergeCell ref="P411:P414"/>
    <mergeCell ref="P415:P418"/>
    <mergeCell ref="P419:P422"/>
    <mergeCell ref="P423:P426"/>
    <mergeCell ref="P467:P470"/>
    <mergeCell ref="P471:P474"/>
    <mergeCell ref="P475:P478"/>
    <mergeCell ref="P479:P482"/>
    <mergeCell ref="P483:P486"/>
    <mergeCell ref="P447:P450"/>
    <mergeCell ref="P451:P454"/>
    <mergeCell ref="P455:P458"/>
    <mergeCell ref="P459:P462"/>
    <mergeCell ref="P463:P466"/>
    <mergeCell ref="P507:P510"/>
    <mergeCell ref="P511:P514"/>
    <mergeCell ref="P515:P518"/>
    <mergeCell ref="P519:P522"/>
    <mergeCell ref="P523:P526"/>
    <mergeCell ref="P487:P490"/>
    <mergeCell ref="P491:P494"/>
    <mergeCell ref="P495:P498"/>
    <mergeCell ref="P499:P502"/>
    <mergeCell ref="P503:P506"/>
    <mergeCell ref="P547:P550"/>
    <mergeCell ref="P551:P554"/>
    <mergeCell ref="P555:P558"/>
    <mergeCell ref="P559:P562"/>
    <mergeCell ref="P563:P566"/>
    <mergeCell ref="P527:P530"/>
    <mergeCell ref="P531:P534"/>
    <mergeCell ref="P535:P538"/>
    <mergeCell ref="P539:P542"/>
    <mergeCell ref="P543:P546"/>
    <mergeCell ref="P587:P590"/>
    <mergeCell ref="P591:P594"/>
    <mergeCell ref="P595:P598"/>
    <mergeCell ref="P599:P602"/>
    <mergeCell ref="P603:P606"/>
    <mergeCell ref="P567:P570"/>
    <mergeCell ref="P571:P574"/>
    <mergeCell ref="P575:P578"/>
    <mergeCell ref="P579:P582"/>
    <mergeCell ref="P583:P586"/>
    <mergeCell ref="P627:P630"/>
    <mergeCell ref="P631:P634"/>
    <mergeCell ref="P635:P638"/>
    <mergeCell ref="P639:P642"/>
    <mergeCell ref="P643:P646"/>
    <mergeCell ref="P607:P610"/>
    <mergeCell ref="P611:P614"/>
    <mergeCell ref="P615:P618"/>
    <mergeCell ref="P619:P622"/>
    <mergeCell ref="P623:P626"/>
    <mergeCell ref="P667:P670"/>
    <mergeCell ref="P671:P674"/>
    <mergeCell ref="P675:P678"/>
    <mergeCell ref="P679:P682"/>
    <mergeCell ref="P683:P686"/>
    <mergeCell ref="P647:P650"/>
    <mergeCell ref="P651:P654"/>
    <mergeCell ref="P655:P658"/>
    <mergeCell ref="P659:P662"/>
    <mergeCell ref="P663:P666"/>
    <mergeCell ref="P707:P710"/>
    <mergeCell ref="P711:P714"/>
    <mergeCell ref="P715:P718"/>
    <mergeCell ref="P719:P722"/>
    <mergeCell ref="P723:P726"/>
    <mergeCell ref="P687:P690"/>
    <mergeCell ref="P691:P694"/>
    <mergeCell ref="P695:P698"/>
    <mergeCell ref="P699:P702"/>
    <mergeCell ref="P703:P706"/>
    <mergeCell ref="P747:P750"/>
    <mergeCell ref="P751:P754"/>
    <mergeCell ref="P755:P758"/>
    <mergeCell ref="P759:P762"/>
    <mergeCell ref="P763:P766"/>
    <mergeCell ref="P727:P730"/>
    <mergeCell ref="P731:P734"/>
    <mergeCell ref="P735:P738"/>
    <mergeCell ref="P739:P742"/>
    <mergeCell ref="P743:P746"/>
    <mergeCell ref="P787:P790"/>
    <mergeCell ref="P791:P794"/>
    <mergeCell ref="P795:P798"/>
    <mergeCell ref="P799:P802"/>
    <mergeCell ref="P803:P806"/>
    <mergeCell ref="P767:P770"/>
    <mergeCell ref="P771:P774"/>
    <mergeCell ref="P775:P778"/>
    <mergeCell ref="P779:P782"/>
    <mergeCell ref="P783:P786"/>
    <mergeCell ref="P827:P830"/>
    <mergeCell ref="P831:P834"/>
    <mergeCell ref="P835:P838"/>
    <mergeCell ref="P839:P842"/>
    <mergeCell ref="P843:P846"/>
    <mergeCell ref="P807:P810"/>
    <mergeCell ref="P811:P814"/>
    <mergeCell ref="P815:P818"/>
    <mergeCell ref="P819:P822"/>
    <mergeCell ref="P823:P826"/>
    <mergeCell ref="P867:P870"/>
    <mergeCell ref="P871:P874"/>
    <mergeCell ref="P875:P878"/>
    <mergeCell ref="P879:P882"/>
    <mergeCell ref="P883:P886"/>
    <mergeCell ref="P847:P850"/>
    <mergeCell ref="P851:P854"/>
    <mergeCell ref="P855:P858"/>
    <mergeCell ref="P859:P862"/>
    <mergeCell ref="P863:P866"/>
    <mergeCell ref="P907:P910"/>
    <mergeCell ref="P911:P914"/>
    <mergeCell ref="P915:P918"/>
    <mergeCell ref="P919:P922"/>
    <mergeCell ref="P923:P926"/>
    <mergeCell ref="P887:P890"/>
    <mergeCell ref="P891:P894"/>
    <mergeCell ref="P895:P898"/>
    <mergeCell ref="P899:P902"/>
    <mergeCell ref="P903:P906"/>
    <mergeCell ref="P947:P950"/>
    <mergeCell ref="P951:P954"/>
    <mergeCell ref="P955:P958"/>
    <mergeCell ref="P959:P962"/>
    <mergeCell ref="P963:P966"/>
    <mergeCell ref="P927:P930"/>
    <mergeCell ref="P931:P934"/>
    <mergeCell ref="P935:P938"/>
    <mergeCell ref="P939:P942"/>
    <mergeCell ref="P943:P946"/>
    <mergeCell ref="P987:P990"/>
    <mergeCell ref="P991:P994"/>
    <mergeCell ref="P995:P998"/>
    <mergeCell ref="P999:P1002"/>
    <mergeCell ref="P1003:P1006"/>
    <mergeCell ref="P967:P970"/>
    <mergeCell ref="P971:P974"/>
    <mergeCell ref="P975:P978"/>
    <mergeCell ref="P979:P982"/>
    <mergeCell ref="P983:P986"/>
    <mergeCell ref="P1047:P1050"/>
    <mergeCell ref="P1027:P1030"/>
    <mergeCell ref="P1031:P1034"/>
    <mergeCell ref="P1035:P1038"/>
    <mergeCell ref="P1039:P1042"/>
    <mergeCell ref="P1043:P1046"/>
    <mergeCell ref="P1007:P1010"/>
    <mergeCell ref="P1011:P1014"/>
    <mergeCell ref="P1015:P1018"/>
    <mergeCell ref="P1019:P1022"/>
    <mergeCell ref="P1023:P1026"/>
  </mergeCells>
  <phoneticPr fontId="1" type="noConversion"/>
  <hyperlinks>
    <hyperlink ref="J3" r:id="rId1" xr:uid="{83513797-84D1-4455-9DE9-44A68A053974}"/>
    <hyperlink ref="K3" r:id="rId2" display="#3@20" xr:uid="{DF6C82D9-3B7C-4AEB-AAE1-C57895445A3E}"/>
    <hyperlink ref="L3" r:id="rId3" xr:uid="{E3CD23C3-B2F4-439B-9852-705852CDE3F6}"/>
  </hyperlinks>
  <pageMargins left="0.7" right="0.7" top="0.75" bottom="0.75" header="0.3" footer="0.3"/>
  <legacy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4">
    <tabColor rgb="FF0070C0"/>
  </sheetPr>
  <dimension ref="A1:E440"/>
  <sheetViews>
    <sheetView workbookViewId="0">
      <selection activeCell="I7" sqref="I7"/>
    </sheetView>
  </sheetViews>
  <sheetFormatPr defaultColWidth="9" defaultRowHeight="15.6" x14ac:dyDescent="0.3"/>
  <cols>
    <col min="1" max="4" width="9" style="4"/>
    <col min="5" max="5" width="9" style="14"/>
    <col min="6" max="16384" width="9" style="6"/>
  </cols>
  <sheetData>
    <row r="1" spans="1:5" x14ac:dyDescent="0.3">
      <c r="A1" s="4" t="s">
        <v>933</v>
      </c>
      <c r="B1" s="4" t="s">
        <v>1089</v>
      </c>
      <c r="C1" s="4" t="s">
        <v>1090</v>
      </c>
      <c r="D1" s="4" t="s">
        <v>1091</v>
      </c>
    </row>
    <row r="2" spans="1:5" x14ac:dyDescent="0.3">
      <c r="C2" s="4" t="s">
        <v>934</v>
      </c>
      <c r="D2" s="4" t="s">
        <v>934</v>
      </c>
    </row>
    <row r="3" spans="1:5" x14ac:dyDescent="0.3">
      <c r="A3" s="4" t="s">
        <v>294</v>
      </c>
      <c r="B3" s="4" t="s">
        <v>935</v>
      </c>
      <c r="C3" s="4">
        <v>90</v>
      </c>
      <c r="D3" s="4">
        <v>90</v>
      </c>
      <c r="E3" s="14">
        <v>1.2567901234567901E-2</v>
      </c>
    </row>
    <row r="4" spans="1:5" x14ac:dyDescent="0.3">
      <c r="A4" s="4" t="s">
        <v>1002</v>
      </c>
      <c r="B4" s="4" t="s">
        <v>935</v>
      </c>
      <c r="C4" s="4">
        <v>90</v>
      </c>
      <c r="D4" s="4">
        <v>90</v>
      </c>
      <c r="E4" s="14">
        <v>1.2567901234567901E-2</v>
      </c>
    </row>
    <row r="5" spans="1:5" x14ac:dyDescent="0.3">
      <c r="A5" s="4" t="s">
        <v>1003</v>
      </c>
      <c r="B5" s="4" t="s">
        <v>935</v>
      </c>
      <c r="C5" s="4">
        <v>90</v>
      </c>
      <c r="D5" s="4">
        <v>90</v>
      </c>
      <c r="E5" s="14">
        <v>1.2567901234567901E-2</v>
      </c>
    </row>
    <row r="6" spans="1:5" x14ac:dyDescent="0.3">
      <c r="A6" s="4" t="s">
        <v>1032</v>
      </c>
      <c r="B6" s="4" t="s">
        <v>935</v>
      </c>
      <c r="C6" s="4">
        <v>90</v>
      </c>
      <c r="D6" s="4">
        <v>90</v>
      </c>
      <c r="E6" s="14">
        <v>1.2567901234567901E-2</v>
      </c>
    </row>
    <row r="7" spans="1:5" x14ac:dyDescent="0.3">
      <c r="A7" s="4" t="s">
        <v>1033</v>
      </c>
      <c r="B7" s="4" t="s">
        <v>935</v>
      </c>
      <c r="C7" s="4">
        <v>90</v>
      </c>
      <c r="D7" s="4">
        <v>90</v>
      </c>
      <c r="E7" s="14">
        <v>1.2567901234567901E-2</v>
      </c>
    </row>
    <row r="8" spans="1:5" x14ac:dyDescent="0.3">
      <c r="A8" s="4" t="s">
        <v>1034</v>
      </c>
      <c r="B8" s="4" t="s">
        <v>935</v>
      </c>
      <c r="C8" s="4">
        <v>90</v>
      </c>
      <c r="D8" s="4">
        <v>90</v>
      </c>
      <c r="E8" s="14">
        <v>1.2567901234567901E-2</v>
      </c>
    </row>
    <row r="9" spans="1:5" x14ac:dyDescent="0.3">
      <c r="A9" s="4" t="s">
        <v>1035</v>
      </c>
      <c r="B9" s="4" t="s">
        <v>935</v>
      </c>
      <c r="C9" s="4">
        <v>90</v>
      </c>
      <c r="D9" s="4">
        <v>90</v>
      </c>
      <c r="E9" s="14">
        <v>1.2567901234567901E-2</v>
      </c>
    </row>
    <row r="10" spans="1:5" x14ac:dyDescent="0.3">
      <c r="A10" s="4" t="s">
        <v>1036</v>
      </c>
      <c r="B10" s="4" t="s">
        <v>935</v>
      </c>
      <c r="C10" s="4">
        <v>90</v>
      </c>
      <c r="D10" s="4">
        <v>90</v>
      </c>
      <c r="E10" s="14">
        <v>1.2567901234567901E-2</v>
      </c>
    </row>
    <row r="11" spans="1:5" x14ac:dyDescent="0.3">
      <c r="A11" s="4" t="s">
        <v>1037</v>
      </c>
      <c r="B11" s="4" t="s">
        <v>935</v>
      </c>
      <c r="C11" s="4">
        <v>90</v>
      </c>
      <c r="D11" s="4">
        <v>90</v>
      </c>
      <c r="E11" s="14">
        <v>1.2567901234567901E-2</v>
      </c>
    </row>
    <row r="12" spans="1:5" x14ac:dyDescent="0.3">
      <c r="A12" s="4" t="s">
        <v>1038</v>
      </c>
      <c r="B12" s="4" t="s">
        <v>935</v>
      </c>
      <c r="C12" s="4">
        <v>90</v>
      </c>
      <c r="D12" s="4">
        <v>90</v>
      </c>
      <c r="E12" s="14">
        <v>1.2567901234567901E-2</v>
      </c>
    </row>
    <row r="13" spans="1:5" x14ac:dyDescent="0.3">
      <c r="A13" s="4" t="s">
        <v>1039</v>
      </c>
      <c r="B13" s="4" t="s">
        <v>935</v>
      </c>
      <c r="C13" s="4">
        <v>90</v>
      </c>
      <c r="D13" s="4">
        <v>90</v>
      </c>
      <c r="E13" s="14">
        <v>1.2567901234567901E-2</v>
      </c>
    </row>
    <row r="14" spans="1:5" x14ac:dyDescent="0.3">
      <c r="A14" s="4" t="s">
        <v>1040</v>
      </c>
      <c r="B14" s="4" t="s">
        <v>935</v>
      </c>
      <c r="C14" s="4">
        <v>90</v>
      </c>
      <c r="D14" s="4">
        <v>90</v>
      </c>
      <c r="E14" s="14">
        <v>1.2567901234567901E-2</v>
      </c>
    </row>
    <row r="15" spans="1:5" x14ac:dyDescent="0.3">
      <c r="A15" s="4" t="s">
        <v>1041</v>
      </c>
      <c r="B15" s="4" t="s">
        <v>935</v>
      </c>
      <c r="C15" s="4">
        <v>90</v>
      </c>
      <c r="D15" s="4">
        <v>90</v>
      </c>
      <c r="E15" s="14">
        <v>1.2567901234567901E-2</v>
      </c>
    </row>
    <row r="16" spans="1:5" x14ac:dyDescent="0.3">
      <c r="A16" s="4" t="s">
        <v>1042</v>
      </c>
      <c r="B16" s="4" t="s">
        <v>935</v>
      </c>
      <c r="C16" s="4">
        <v>90</v>
      </c>
      <c r="D16" s="4">
        <v>110</v>
      </c>
      <c r="E16" s="14">
        <v>1.131111111111111E-2</v>
      </c>
    </row>
    <row r="17" spans="1:5" x14ac:dyDescent="0.3">
      <c r="A17" s="4" t="s">
        <v>936</v>
      </c>
      <c r="B17" s="4" t="s">
        <v>935</v>
      </c>
      <c r="C17" s="4">
        <v>90</v>
      </c>
      <c r="D17" s="4">
        <v>110</v>
      </c>
      <c r="E17" s="14">
        <v>1.131111111111111E-2</v>
      </c>
    </row>
    <row r="18" spans="1:5" x14ac:dyDescent="0.3">
      <c r="A18" s="4" t="s">
        <v>937</v>
      </c>
      <c r="B18" s="4" t="s">
        <v>935</v>
      </c>
      <c r="C18" s="4">
        <v>90</v>
      </c>
      <c r="D18" s="4">
        <v>110</v>
      </c>
      <c r="E18" s="14">
        <v>1.131111111111111E-2</v>
      </c>
    </row>
    <row r="19" spans="1:5" x14ac:dyDescent="0.3">
      <c r="A19" s="4" t="s">
        <v>938</v>
      </c>
      <c r="B19" s="4" t="s">
        <v>935</v>
      </c>
      <c r="C19" s="4">
        <v>90</v>
      </c>
      <c r="D19" s="4">
        <v>110</v>
      </c>
      <c r="E19" s="14">
        <v>1.131111111111111E-2</v>
      </c>
    </row>
    <row r="20" spans="1:5" x14ac:dyDescent="0.3">
      <c r="A20" s="4" t="s">
        <v>0</v>
      </c>
      <c r="B20" s="4" t="s">
        <v>935</v>
      </c>
      <c r="C20" s="4">
        <v>100</v>
      </c>
      <c r="D20" s="4">
        <v>140</v>
      </c>
      <c r="E20" s="14">
        <v>1.0907142857142857E-2</v>
      </c>
    </row>
    <row r="21" spans="1:5" x14ac:dyDescent="0.3">
      <c r="A21" s="4" t="s">
        <v>228</v>
      </c>
      <c r="B21" s="4" t="s">
        <v>935</v>
      </c>
      <c r="C21" s="4">
        <v>100</v>
      </c>
      <c r="D21" s="4">
        <v>140</v>
      </c>
      <c r="E21" s="14">
        <v>1.0179999999999998E-2</v>
      </c>
    </row>
    <row r="22" spans="1:5" x14ac:dyDescent="0.3">
      <c r="A22" s="4" t="s">
        <v>1043</v>
      </c>
      <c r="B22" s="4" t="s">
        <v>935</v>
      </c>
      <c r="C22" s="4">
        <v>100</v>
      </c>
      <c r="D22" s="4">
        <v>140</v>
      </c>
      <c r="E22" s="14">
        <v>1.0179999999999998E-2</v>
      </c>
    </row>
    <row r="23" spans="1:5" x14ac:dyDescent="0.3">
      <c r="A23" s="4" t="s">
        <v>1044</v>
      </c>
      <c r="B23" s="4" t="s">
        <v>935</v>
      </c>
      <c r="C23" s="4">
        <v>100</v>
      </c>
      <c r="D23" s="4">
        <v>140</v>
      </c>
      <c r="E23" s="14">
        <v>1.1634285714285713E-2</v>
      </c>
    </row>
    <row r="24" spans="1:5" x14ac:dyDescent="0.3">
      <c r="A24" s="4" t="s">
        <v>281</v>
      </c>
      <c r="B24" s="4" t="s">
        <v>939</v>
      </c>
      <c r="C24" s="4">
        <v>60</v>
      </c>
      <c r="D24" s="4">
        <v>60</v>
      </c>
      <c r="E24" s="14">
        <v>2.2622222222222221E-2</v>
      </c>
    </row>
    <row r="25" spans="1:5" x14ac:dyDescent="0.3">
      <c r="A25" s="4" t="s">
        <v>1000</v>
      </c>
      <c r="B25" s="4" t="s">
        <v>939</v>
      </c>
      <c r="C25" s="4">
        <v>60</v>
      </c>
      <c r="D25" s="4">
        <v>60</v>
      </c>
      <c r="E25" s="14">
        <v>2.2622222222222221E-2</v>
      </c>
    </row>
    <row r="26" spans="1:5" x14ac:dyDescent="0.3">
      <c r="A26" s="4" t="s">
        <v>1001</v>
      </c>
      <c r="B26" s="4" t="s">
        <v>939</v>
      </c>
      <c r="C26" s="4">
        <v>60</v>
      </c>
      <c r="D26" s="4">
        <v>60</v>
      </c>
      <c r="E26" s="14">
        <v>3.9588888888888882E-2</v>
      </c>
    </row>
    <row r="27" spans="1:5" x14ac:dyDescent="0.3">
      <c r="A27" s="4" t="s">
        <v>294</v>
      </c>
      <c r="B27" s="4" t="s">
        <v>939</v>
      </c>
      <c r="C27" s="4">
        <v>95</v>
      </c>
      <c r="D27" s="4">
        <v>80</v>
      </c>
      <c r="E27" s="14">
        <v>1.3394736842105263E-2</v>
      </c>
    </row>
    <row r="28" spans="1:5" x14ac:dyDescent="0.3">
      <c r="A28" s="4" t="s">
        <v>1002</v>
      </c>
      <c r="B28" s="4" t="s">
        <v>939</v>
      </c>
      <c r="C28" s="4">
        <v>95</v>
      </c>
      <c r="D28" s="4">
        <v>80</v>
      </c>
      <c r="E28" s="14">
        <v>1.3394736842105263E-2</v>
      </c>
    </row>
    <row r="29" spans="1:5" x14ac:dyDescent="0.3">
      <c r="A29" s="4" t="s">
        <v>1003</v>
      </c>
      <c r="B29" s="4" t="s">
        <v>939</v>
      </c>
      <c r="C29" s="4">
        <v>95</v>
      </c>
      <c r="D29" s="4">
        <v>80</v>
      </c>
      <c r="E29" s="14">
        <v>1.3394736842105263E-2</v>
      </c>
    </row>
    <row r="30" spans="1:5" x14ac:dyDescent="0.3">
      <c r="A30" s="4" t="s">
        <v>1032</v>
      </c>
      <c r="B30" s="4" t="s">
        <v>939</v>
      </c>
      <c r="C30" s="4">
        <v>95</v>
      </c>
      <c r="D30" s="4">
        <v>80</v>
      </c>
      <c r="E30" s="14">
        <v>1.3394736842105263E-2</v>
      </c>
    </row>
    <row r="31" spans="1:5" x14ac:dyDescent="0.3">
      <c r="A31" s="4" t="s">
        <v>1033</v>
      </c>
      <c r="B31" s="4" t="s">
        <v>939</v>
      </c>
      <c r="C31" s="4">
        <v>95</v>
      </c>
      <c r="D31" s="4">
        <v>80</v>
      </c>
      <c r="E31" s="14">
        <v>1.3394736842105263E-2</v>
      </c>
    </row>
    <row r="32" spans="1:5" x14ac:dyDescent="0.3">
      <c r="A32" s="4" t="s">
        <v>1034</v>
      </c>
      <c r="B32" s="4" t="s">
        <v>939</v>
      </c>
      <c r="C32" s="4">
        <v>95</v>
      </c>
      <c r="D32" s="4">
        <v>80</v>
      </c>
      <c r="E32" s="14">
        <v>1.3394736842105263E-2</v>
      </c>
    </row>
    <row r="33" spans="1:5" x14ac:dyDescent="0.3">
      <c r="A33" s="4" t="s">
        <v>1035</v>
      </c>
      <c r="B33" s="4" t="s">
        <v>939</v>
      </c>
      <c r="C33" s="4">
        <v>95</v>
      </c>
      <c r="D33" s="4">
        <v>80</v>
      </c>
      <c r="E33" s="14">
        <v>1.3394736842105263E-2</v>
      </c>
    </row>
    <row r="34" spans="1:5" x14ac:dyDescent="0.3">
      <c r="A34" s="4" t="s">
        <v>1036</v>
      </c>
      <c r="B34" s="4" t="s">
        <v>939</v>
      </c>
      <c r="C34" s="4">
        <v>95</v>
      </c>
      <c r="D34" s="4">
        <v>80</v>
      </c>
      <c r="E34" s="14">
        <v>1.3394736842105263E-2</v>
      </c>
    </row>
    <row r="35" spans="1:5" x14ac:dyDescent="0.3">
      <c r="A35" s="4" t="s">
        <v>1037</v>
      </c>
      <c r="B35" s="4" t="s">
        <v>939</v>
      </c>
      <c r="C35" s="4">
        <v>95</v>
      </c>
      <c r="D35" s="4">
        <v>80</v>
      </c>
      <c r="E35" s="14">
        <v>1.3394736842105263E-2</v>
      </c>
    </row>
    <row r="36" spans="1:5" x14ac:dyDescent="0.3">
      <c r="A36" s="4" t="s">
        <v>1038</v>
      </c>
      <c r="B36" s="4" t="s">
        <v>939</v>
      </c>
      <c r="C36" s="4">
        <v>95</v>
      </c>
      <c r="D36" s="4">
        <v>80</v>
      </c>
      <c r="E36" s="14">
        <v>1.3394736842105263E-2</v>
      </c>
    </row>
    <row r="37" spans="1:5" x14ac:dyDescent="0.3">
      <c r="A37" s="4" t="s">
        <v>1039</v>
      </c>
      <c r="B37" s="4" t="s">
        <v>939</v>
      </c>
      <c r="C37" s="4">
        <v>95</v>
      </c>
      <c r="D37" s="4">
        <v>80</v>
      </c>
      <c r="E37" s="14">
        <v>1.3394736842105263E-2</v>
      </c>
    </row>
    <row r="38" spans="1:5" x14ac:dyDescent="0.3">
      <c r="A38" s="4" t="s">
        <v>1040</v>
      </c>
      <c r="B38" s="4" t="s">
        <v>939</v>
      </c>
      <c r="C38" s="4">
        <v>95</v>
      </c>
      <c r="D38" s="4">
        <v>80</v>
      </c>
      <c r="E38" s="14">
        <v>1.3394736842105263E-2</v>
      </c>
    </row>
    <row r="39" spans="1:5" x14ac:dyDescent="0.3">
      <c r="A39" s="4" t="s">
        <v>1041</v>
      </c>
      <c r="B39" s="4" t="s">
        <v>939</v>
      </c>
      <c r="C39" s="4">
        <v>95</v>
      </c>
      <c r="D39" s="4">
        <v>80</v>
      </c>
      <c r="E39" s="14">
        <v>1.3394736842105263E-2</v>
      </c>
    </row>
    <row r="40" spans="1:5" x14ac:dyDescent="0.3">
      <c r="A40" s="4" t="s">
        <v>1042</v>
      </c>
      <c r="B40" s="4" t="s">
        <v>939</v>
      </c>
      <c r="C40" s="4">
        <v>105</v>
      </c>
      <c r="D40" s="4">
        <v>80</v>
      </c>
      <c r="E40" s="14">
        <v>1.3330952380952379E-2</v>
      </c>
    </row>
    <row r="41" spans="1:5" x14ac:dyDescent="0.3">
      <c r="A41" s="4" t="s">
        <v>936</v>
      </c>
      <c r="B41" s="4" t="s">
        <v>939</v>
      </c>
      <c r="C41" s="4">
        <v>105</v>
      </c>
      <c r="D41" s="4">
        <v>80</v>
      </c>
      <c r="E41" s="14">
        <v>2.1814285714285717E-2</v>
      </c>
    </row>
    <row r="42" spans="1:5" x14ac:dyDescent="0.3">
      <c r="A42" s="4" t="s">
        <v>937</v>
      </c>
      <c r="B42" s="4" t="s">
        <v>939</v>
      </c>
      <c r="C42" s="4">
        <v>105</v>
      </c>
      <c r="D42" s="4">
        <v>80</v>
      </c>
      <c r="E42" s="14">
        <v>1.3330952380952379E-2</v>
      </c>
    </row>
    <row r="43" spans="1:5" x14ac:dyDescent="0.3">
      <c r="A43" s="4" t="s">
        <v>938</v>
      </c>
      <c r="B43" s="4" t="s">
        <v>939</v>
      </c>
      <c r="C43" s="4">
        <v>105</v>
      </c>
      <c r="D43" s="4">
        <v>80</v>
      </c>
      <c r="E43" s="14">
        <v>1.3330952380952379E-2</v>
      </c>
    </row>
    <row r="44" spans="1:5" x14ac:dyDescent="0.3">
      <c r="A44" s="4" t="s">
        <v>0</v>
      </c>
      <c r="B44" s="4" t="s">
        <v>939</v>
      </c>
      <c r="C44" s="4">
        <v>125</v>
      </c>
      <c r="D44" s="4">
        <v>95</v>
      </c>
      <c r="E44" s="14">
        <v>1.5430736842105264E-2</v>
      </c>
    </row>
    <row r="45" spans="1:5" x14ac:dyDescent="0.3">
      <c r="A45" s="4" t="s">
        <v>228</v>
      </c>
      <c r="B45" s="4" t="s">
        <v>939</v>
      </c>
      <c r="C45" s="4">
        <v>125</v>
      </c>
      <c r="D45" s="4">
        <v>95</v>
      </c>
      <c r="E45" s="14">
        <v>2.0690526315789472E-2</v>
      </c>
    </row>
    <row r="46" spans="1:5" x14ac:dyDescent="0.3">
      <c r="A46" s="4" t="s">
        <v>1043</v>
      </c>
      <c r="B46" s="4" t="s">
        <v>939</v>
      </c>
      <c r="C46" s="4">
        <v>125</v>
      </c>
      <c r="D46" s="4">
        <v>95</v>
      </c>
      <c r="E46" s="14">
        <v>2.6207999999999999E-2</v>
      </c>
    </row>
    <row r="47" spans="1:5" x14ac:dyDescent="0.3">
      <c r="A47" s="4" t="s">
        <v>1044</v>
      </c>
      <c r="B47" s="4" t="s">
        <v>939</v>
      </c>
      <c r="C47" s="4">
        <v>125</v>
      </c>
      <c r="D47" s="4">
        <v>95</v>
      </c>
      <c r="E47" s="14">
        <v>3.034610526315789E-2</v>
      </c>
    </row>
    <row r="48" spans="1:5" x14ac:dyDescent="0.3">
      <c r="A48" s="4" t="s">
        <v>281</v>
      </c>
      <c r="B48" s="4" t="s">
        <v>940</v>
      </c>
      <c r="C48" s="4">
        <v>80</v>
      </c>
      <c r="D48" s="4">
        <v>95</v>
      </c>
      <c r="E48" s="14">
        <v>1.3394736842105263E-2</v>
      </c>
    </row>
    <row r="49" spans="1:5" x14ac:dyDescent="0.3">
      <c r="A49" s="4" t="s">
        <v>1000</v>
      </c>
      <c r="B49" s="4" t="s">
        <v>940</v>
      </c>
      <c r="C49" s="4">
        <v>80</v>
      </c>
      <c r="D49" s="4">
        <v>95</v>
      </c>
      <c r="E49" s="14">
        <v>1.3394736842105263E-2</v>
      </c>
    </row>
    <row r="50" spans="1:5" x14ac:dyDescent="0.3">
      <c r="A50" s="4" t="s">
        <v>1001</v>
      </c>
      <c r="B50" s="4" t="s">
        <v>940</v>
      </c>
      <c r="C50" s="4">
        <v>80</v>
      </c>
      <c r="D50" s="4">
        <v>95</v>
      </c>
      <c r="E50" s="14">
        <v>1.4734210526315789E-2</v>
      </c>
    </row>
    <row r="51" spans="1:5" x14ac:dyDescent="0.3">
      <c r="A51" s="4" t="s">
        <v>294</v>
      </c>
      <c r="B51" s="4" t="s">
        <v>940</v>
      </c>
      <c r="C51" s="4">
        <v>80</v>
      </c>
      <c r="D51" s="4">
        <v>95</v>
      </c>
      <c r="E51" s="14">
        <v>1.3394736842105263E-2</v>
      </c>
    </row>
    <row r="52" spans="1:5" x14ac:dyDescent="0.3">
      <c r="A52" s="4" t="s">
        <v>1002</v>
      </c>
      <c r="B52" s="4" t="s">
        <v>940</v>
      </c>
      <c r="C52" s="4">
        <v>80</v>
      </c>
      <c r="D52" s="4">
        <v>95</v>
      </c>
      <c r="E52" s="14">
        <v>1.3394736842105263E-2</v>
      </c>
    </row>
    <row r="53" spans="1:5" x14ac:dyDescent="0.3">
      <c r="A53" s="4" t="s">
        <v>1003</v>
      </c>
      <c r="B53" s="4" t="s">
        <v>940</v>
      </c>
      <c r="C53" s="4">
        <v>80</v>
      </c>
      <c r="D53" s="4">
        <v>95</v>
      </c>
      <c r="E53" s="14">
        <v>1.3394736842105263E-2</v>
      </c>
    </row>
    <row r="54" spans="1:5" x14ac:dyDescent="0.3">
      <c r="A54" s="4" t="s">
        <v>1032</v>
      </c>
      <c r="B54" s="4" t="s">
        <v>940</v>
      </c>
      <c r="C54" s="4">
        <v>80</v>
      </c>
      <c r="D54" s="4">
        <v>95</v>
      </c>
      <c r="E54" s="14">
        <v>1.3394736842105263E-2</v>
      </c>
    </row>
    <row r="55" spans="1:5" x14ac:dyDescent="0.3">
      <c r="A55" s="4" t="s">
        <v>1033</v>
      </c>
      <c r="B55" s="4" t="s">
        <v>940</v>
      </c>
      <c r="C55" s="4">
        <v>80</v>
      </c>
      <c r="D55" s="4">
        <v>95</v>
      </c>
      <c r="E55" s="14">
        <v>1.3394736842105263E-2</v>
      </c>
    </row>
    <row r="56" spans="1:5" x14ac:dyDescent="0.3">
      <c r="A56" s="4" t="s">
        <v>1034</v>
      </c>
      <c r="B56" s="4" t="s">
        <v>940</v>
      </c>
      <c r="C56" s="4">
        <v>80</v>
      </c>
      <c r="D56" s="4">
        <v>95</v>
      </c>
      <c r="E56" s="14">
        <v>1.3394736842105263E-2</v>
      </c>
    </row>
    <row r="57" spans="1:5" x14ac:dyDescent="0.3">
      <c r="A57" s="4" t="s">
        <v>1035</v>
      </c>
      <c r="B57" s="4" t="s">
        <v>940</v>
      </c>
      <c r="C57" s="4">
        <v>80</v>
      </c>
      <c r="D57" s="4">
        <v>95</v>
      </c>
      <c r="E57" s="14">
        <v>1.3394736842105263E-2</v>
      </c>
    </row>
    <row r="58" spans="1:5" x14ac:dyDescent="0.3">
      <c r="A58" s="4" t="s">
        <v>1036</v>
      </c>
      <c r="B58" s="4" t="s">
        <v>940</v>
      </c>
      <c r="C58" s="4">
        <v>80</v>
      </c>
      <c r="D58" s="4">
        <v>95</v>
      </c>
      <c r="E58" s="14">
        <v>1.3394736842105263E-2</v>
      </c>
    </row>
    <row r="59" spans="1:5" x14ac:dyDescent="0.3">
      <c r="A59" s="4" t="s">
        <v>1037</v>
      </c>
      <c r="B59" s="4" t="s">
        <v>940</v>
      </c>
      <c r="C59" s="4">
        <v>80</v>
      </c>
      <c r="D59" s="4">
        <v>95</v>
      </c>
      <c r="E59" s="14">
        <v>1.3394736842105263E-2</v>
      </c>
    </row>
    <row r="60" spans="1:5" x14ac:dyDescent="0.3">
      <c r="A60" s="4" t="s">
        <v>1038</v>
      </c>
      <c r="B60" s="4" t="s">
        <v>940</v>
      </c>
      <c r="C60" s="4">
        <v>80</v>
      </c>
      <c r="D60" s="4">
        <v>95</v>
      </c>
      <c r="E60" s="14">
        <v>1.3394736842105263E-2</v>
      </c>
    </row>
    <row r="61" spans="1:5" x14ac:dyDescent="0.3">
      <c r="A61" s="4" t="s">
        <v>1039</v>
      </c>
      <c r="B61" s="4" t="s">
        <v>940</v>
      </c>
      <c r="C61" s="4">
        <v>80</v>
      </c>
      <c r="D61" s="4">
        <v>95</v>
      </c>
      <c r="E61" s="14">
        <v>1.3394736842105263E-2</v>
      </c>
    </row>
    <row r="62" spans="1:5" x14ac:dyDescent="0.3">
      <c r="A62" s="4" t="s">
        <v>1040</v>
      </c>
      <c r="B62" s="4" t="s">
        <v>940</v>
      </c>
      <c r="C62" s="4">
        <v>80</v>
      </c>
      <c r="D62" s="4">
        <v>95</v>
      </c>
      <c r="E62" s="14">
        <v>1.3394736842105263E-2</v>
      </c>
    </row>
    <row r="63" spans="1:5" x14ac:dyDescent="0.3">
      <c r="A63" s="4" t="s">
        <v>1041</v>
      </c>
      <c r="B63" s="4" t="s">
        <v>940</v>
      </c>
      <c r="C63" s="4">
        <v>80</v>
      </c>
      <c r="D63" s="4">
        <v>95</v>
      </c>
      <c r="E63" s="14">
        <v>2.143157894736842E-2</v>
      </c>
    </row>
    <row r="64" spans="1:5" x14ac:dyDescent="0.3">
      <c r="A64" s="4" t="s">
        <v>1042</v>
      </c>
      <c r="B64" s="4" t="s">
        <v>940</v>
      </c>
      <c r="C64" s="4">
        <v>80</v>
      </c>
      <c r="D64" s="4">
        <v>105</v>
      </c>
      <c r="E64" s="14">
        <v>2.7873809523809523E-2</v>
      </c>
    </row>
    <row r="65" spans="1:5" x14ac:dyDescent="0.3">
      <c r="A65" s="4" t="s">
        <v>936</v>
      </c>
      <c r="B65" s="4" t="s">
        <v>940</v>
      </c>
      <c r="C65" s="4">
        <v>80</v>
      </c>
      <c r="D65" s="4">
        <v>105</v>
      </c>
      <c r="E65" s="14">
        <v>2.7873809523809523E-2</v>
      </c>
    </row>
    <row r="66" spans="1:5" x14ac:dyDescent="0.3">
      <c r="A66" s="4" t="s">
        <v>937</v>
      </c>
      <c r="B66" s="4" t="s">
        <v>940</v>
      </c>
      <c r="C66" s="4">
        <v>80</v>
      </c>
      <c r="D66" s="4">
        <v>105</v>
      </c>
      <c r="E66" s="14">
        <v>2.7873809523809523E-2</v>
      </c>
    </row>
    <row r="67" spans="1:5" x14ac:dyDescent="0.3">
      <c r="A67" s="4" t="s">
        <v>938</v>
      </c>
      <c r="B67" s="4" t="s">
        <v>940</v>
      </c>
      <c r="C67" s="4">
        <v>90</v>
      </c>
      <c r="D67" s="4">
        <v>110</v>
      </c>
      <c r="E67" s="14">
        <v>2.365050505050505E-2</v>
      </c>
    </row>
    <row r="68" spans="1:5" x14ac:dyDescent="0.3">
      <c r="A68" s="4" t="s">
        <v>0</v>
      </c>
      <c r="B68" s="4" t="s">
        <v>940</v>
      </c>
      <c r="C68" s="4">
        <v>90</v>
      </c>
      <c r="D68" s="4">
        <v>110</v>
      </c>
      <c r="E68" s="14">
        <v>1.131111111111111E-2</v>
      </c>
    </row>
    <row r="69" spans="1:5" x14ac:dyDescent="0.3">
      <c r="A69" s="4" t="s">
        <v>228</v>
      </c>
      <c r="B69" s="4" t="s">
        <v>940</v>
      </c>
      <c r="C69" s="4">
        <v>90</v>
      </c>
      <c r="D69" s="4">
        <v>110</v>
      </c>
      <c r="E69" s="14">
        <v>1.6452525252525253E-2</v>
      </c>
    </row>
    <row r="70" spans="1:5" x14ac:dyDescent="0.3">
      <c r="A70" s="4" t="s">
        <v>1043</v>
      </c>
      <c r="B70" s="4" t="s">
        <v>940</v>
      </c>
      <c r="C70" s="4">
        <v>90</v>
      </c>
      <c r="D70" s="4">
        <v>110</v>
      </c>
      <c r="E70" s="14">
        <v>2.1509090909090908E-2</v>
      </c>
    </row>
    <row r="71" spans="1:5" x14ac:dyDescent="0.3">
      <c r="A71" s="4" t="s">
        <v>1044</v>
      </c>
      <c r="B71" s="4" t="s">
        <v>940</v>
      </c>
      <c r="C71" s="4">
        <v>90</v>
      </c>
      <c r="D71" s="4">
        <v>110</v>
      </c>
      <c r="E71" s="14">
        <v>2.6472727272727273E-2</v>
      </c>
    </row>
    <row r="72" spans="1:5" x14ac:dyDescent="0.3">
      <c r="A72" s="4" t="s">
        <v>281</v>
      </c>
      <c r="B72" s="4" t="s">
        <v>941</v>
      </c>
      <c r="C72" s="4">
        <v>60</v>
      </c>
      <c r="D72" s="4">
        <v>60</v>
      </c>
      <c r="E72" s="14">
        <v>2.2622222222222221E-2</v>
      </c>
    </row>
    <row r="73" spans="1:5" x14ac:dyDescent="0.3">
      <c r="A73" s="4" t="s">
        <v>1000</v>
      </c>
      <c r="B73" s="4" t="s">
        <v>941</v>
      </c>
      <c r="C73" s="4">
        <v>60</v>
      </c>
      <c r="D73" s="4">
        <v>60</v>
      </c>
      <c r="E73" s="14">
        <v>2.2622222222222221E-2</v>
      </c>
    </row>
    <row r="74" spans="1:5" x14ac:dyDescent="0.3">
      <c r="A74" s="4" t="s">
        <v>1001</v>
      </c>
      <c r="B74" s="4" t="s">
        <v>941</v>
      </c>
      <c r="C74" s="4">
        <v>60</v>
      </c>
      <c r="D74" s="4">
        <v>60</v>
      </c>
      <c r="E74" s="14">
        <v>4.5244444444444441E-2</v>
      </c>
    </row>
    <row r="75" spans="1:5" x14ac:dyDescent="0.3">
      <c r="A75" s="4" t="s">
        <v>294</v>
      </c>
      <c r="B75" s="4" t="s">
        <v>941</v>
      </c>
      <c r="C75" s="4">
        <v>105</v>
      </c>
      <c r="D75" s="4">
        <v>80</v>
      </c>
      <c r="E75" s="14">
        <v>1.3330952380952379E-2</v>
      </c>
    </row>
    <row r="76" spans="1:5" x14ac:dyDescent="0.3">
      <c r="A76" s="4" t="s">
        <v>1002</v>
      </c>
      <c r="B76" s="4" t="s">
        <v>941</v>
      </c>
      <c r="C76" s="4">
        <v>105</v>
      </c>
      <c r="D76" s="4">
        <v>80</v>
      </c>
      <c r="E76" s="14">
        <v>1.3330952380952379E-2</v>
      </c>
    </row>
    <row r="77" spans="1:5" x14ac:dyDescent="0.3">
      <c r="A77" s="4" t="s">
        <v>1003</v>
      </c>
      <c r="B77" s="4" t="s">
        <v>941</v>
      </c>
      <c r="C77" s="4">
        <v>105</v>
      </c>
      <c r="D77" s="4">
        <v>80</v>
      </c>
      <c r="E77" s="14">
        <v>1.3330952380952379E-2</v>
      </c>
    </row>
    <row r="78" spans="1:5" x14ac:dyDescent="0.3">
      <c r="A78" s="4" t="s">
        <v>1032</v>
      </c>
      <c r="B78" s="4" t="s">
        <v>941</v>
      </c>
      <c r="C78" s="4">
        <v>105</v>
      </c>
      <c r="D78" s="4">
        <v>80</v>
      </c>
      <c r="E78" s="14">
        <v>1.3330952380952379E-2</v>
      </c>
    </row>
    <row r="79" spans="1:5" x14ac:dyDescent="0.3">
      <c r="A79" s="4" t="s">
        <v>1033</v>
      </c>
      <c r="B79" s="4" t="s">
        <v>941</v>
      </c>
      <c r="C79" s="4">
        <v>105</v>
      </c>
      <c r="D79" s="4">
        <v>80</v>
      </c>
      <c r="E79" s="14">
        <v>1.3330952380952379E-2</v>
      </c>
    </row>
    <row r="80" spans="1:5" x14ac:dyDescent="0.3">
      <c r="A80" s="4" t="s">
        <v>1034</v>
      </c>
      <c r="B80" s="4" t="s">
        <v>941</v>
      </c>
      <c r="C80" s="4">
        <v>105</v>
      </c>
      <c r="D80" s="4">
        <v>80</v>
      </c>
      <c r="E80" s="14">
        <v>1.3330952380952379E-2</v>
      </c>
    </row>
    <row r="81" spans="1:5" x14ac:dyDescent="0.3">
      <c r="A81" s="4" t="s">
        <v>1035</v>
      </c>
      <c r="B81" s="4" t="s">
        <v>941</v>
      </c>
      <c r="C81" s="4">
        <v>105</v>
      </c>
      <c r="D81" s="4">
        <v>80</v>
      </c>
      <c r="E81" s="14">
        <v>1.3330952380952379E-2</v>
      </c>
    </row>
    <row r="82" spans="1:5" x14ac:dyDescent="0.3">
      <c r="A82" s="4" t="s">
        <v>1036</v>
      </c>
      <c r="B82" s="4" t="s">
        <v>941</v>
      </c>
      <c r="C82" s="4">
        <v>105</v>
      </c>
      <c r="D82" s="4">
        <v>80</v>
      </c>
      <c r="E82" s="14">
        <v>1.9390476190476191E-2</v>
      </c>
    </row>
    <row r="83" spans="1:5" x14ac:dyDescent="0.3">
      <c r="A83" s="4" t="s">
        <v>1037</v>
      </c>
      <c r="B83" s="4" t="s">
        <v>941</v>
      </c>
      <c r="C83" s="4">
        <v>105</v>
      </c>
      <c r="D83" s="4">
        <v>80</v>
      </c>
      <c r="E83" s="14">
        <v>3.1199999999999999E-2</v>
      </c>
    </row>
    <row r="84" spans="1:5" x14ac:dyDescent="0.3">
      <c r="A84" s="4" t="s">
        <v>1038</v>
      </c>
      <c r="B84" s="4" t="s">
        <v>941</v>
      </c>
      <c r="C84" s="4">
        <v>105</v>
      </c>
      <c r="D84" s="4">
        <v>80</v>
      </c>
      <c r="E84" s="14">
        <v>3.1199999999999999E-2</v>
      </c>
    </row>
    <row r="85" spans="1:5" x14ac:dyDescent="0.3">
      <c r="A85" s="4" t="s">
        <v>1039</v>
      </c>
      <c r="B85" s="4" t="s">
        <v>941</v>
      </c>
      <c r="C85" s="4">
        <v>105</v>
      </c>
      <c r="D85" s="4">
        <v>80</v>
      </c>
      <c r="E85" s="14">
        <v>3.1199999999999999E-2</v>
      </c>
    </row>
    <row r="86" spans="1:5" x14ac:dyDescent="0.3">
      <c r="A86" s="4" t="s">
        <v>1040</v>
      </c>
      <c r="B86" s="4" t="s">
        <v>941</v>
      </c>
      <c r="C86" s="4">
        <v>105</v>
      </c>
      <c r="D86" s="4">
        <v>80</v>
      </c>
      <c r="E86" s="14">
        <v>3.1199999999999999E-2</v>
      </c>
    </row>
    <row r="87" spans="1:5" x14ac:dyDescent="0.3">
      <c r="A87" s="4" t="s">
        <v>1041</v>
      </c>
      <c r="B87" s="4" t="s">
        <v>941</v>
      </c>
      <c r="C87" s="4">
        <v>115</v>
      </c>
      <c r="D87" s="4">
        <v>80</v>
      </c>
      <c r="E87" s="14">
        <v>2.8486956521739128E-2</v>
      </c>
    </row>
    <row r="88" spans="1:5" x14ac:dyDescent="0.3">
      <c r="A88" s="4" t="s">
        <v>1042</v>
      </c>
      <c r="B88" s="4" t="s">
        <v>941</v>
      </c>
      <c r="C88" s="4">
        <v>115</v>
      </c>
      <c r="D88" s="4">
        <v>80</v>
      </c>
      <c r="E88" s="14">
        <v>3.0267391304347822E-2</v>
      </c>
    </row>
    <row r="89" spans="1:5" x14ac:dyDescent="0.3">
      <c r="A89" s="4" t="s">
        <v>936</v>
      </c>
      <c r="B89" s="4" t="s">
        <v>941</v>
      </c>
      <c r="C89" s="4">
        <v>115</v>
      </c>
      <c r="D89" s="4">
        <v>90</v>
      </c>
      <c r="E89" s="14">
        <v>3.1652173913043473E-2</v>
      </c>
    </row>
    <row r="90" spans="1:5" x14ac:dyDescent="0.3">
      <c r="A90" s="4" t="s">
        <v>937</v>
      </c>
      <c r="B90" s="4" t="s">
        <v>941</v>
      </c>
      <c r="C90" s="4">
        <v>115</v>
      </c>
      <c r="D90" s="4">
        <v>90</v>
      </c>
      <c r="E90" s="14">
        <v>3.1652173913043473E-2</v>
      </c>
    </row>
    <row r="91" spans="1:5" x14ac:dyDescent="0.3">
      <c r="A91" s="4" t="s">
        <v>938</v>
      </c>
      <c r="B91" s="4" t="s">
        <v>941</v>
      </c>
      <c r="C91" s="4">
        <v>115</v>
      </c>
      <c r="D91" s="4">
        <v>90</v>
      </c>
      <c r="E91" s="14">
        <v>3.1652173913043473E-2</v>
      </c>
    </row>
    <row r="92" spans="1:5" x14ac:dyDescent="0.3">
      <c r="A92" s="4" t="s">
        <v>0</v>
      </c>
      <c r="B92" s="4" t="s">
        <v>941</v>
      </c>
      <c r="C92" s="4">
        <v>160</v>
      </c>
      <c r="D92" s="4">
        <v>100</v>
      </c>
      <c r="E92" s="14">
        <v>1.018E-2</v>
      </c>
    </row>
    <row r="93" spans="1:5" x14ac:dyDescent="0.3">
      <c r="A93" s="4" t="s">
        <v>228</v>
      </c>
      <c r="B93" s="4" t="s">
        <v>941</v>
      </c>
      <c r="C93" s="4">
        <v>160</v>
      </c>
      <c r="D93" s="4">
        <v>100</v>
      </c>
      <c r="E93" s="14">
        <v>2.6617499999999999E-2</v>
      </c>
    </row>
    <row r="94" spans="1:5" x14ac:dyDescent="0.3">
      <c r="A94" s="4" t="s">
        <v>1043</v>
      </c>
      <c r="B94" s="4" t="s">
        <v>941</v>
      </c>
      <c r="C94" s="4">
        <v>160</v>
      </c>
      <c r="D94" s="4">
        <v>100</v>
      </c>
      <c r="E94" s="14">
        <v>3.07125E-2</v>
      </c>
    </row>
    <row r="95" spans="1:5" x14ac:dyDescent="0.3">
      <c r="A95" s="4" t="s">
        <v>1044</v>
      </c>
      <c r="B95" s="4" t="s">
        <v>941</v>
      </c>
      <c r="C95" s="4">
        <v>160</v>
      </c>
      <c r="D95" s="4">
        <v>100</v>
      </c>
      <c r="E95" s="14">
        <v>3.7878749999999996E-2</v>
      </c>
    </row>
    <row r="96" spans="1:5" x14ac:dyDescent="0.3">
      <c r="A96" s="4" t="s">
        <v>294</v>
      </c>
      <c r="B96" s="4" t="s">
        <v>1045</v>
      </c>
      <c r="C96" s="4">
        <v>90</v>
      </c>
      <c r="D96" s="4">
        <v>90</v>
      </c>
      <c r="E96" s="14">
        <v>1.2567901234567901E-2</v>
      </c>
    </row>
    <row r="97" spans="1:5" x14ac:dyDescent="0.3">
      <c r="A97" s="4" t="s">
        <v>1002</v>
      </c>
      <c r="B97" s="4" t="s">
        <v>1045</v>
      </c>
      <c r="C97" s="4">
        <v>90</v>
      </c>
      <c r="D97" s="4">
        <v>90</v>
      </c>
      <c r="E97" s="14">
        <v>1.2567901234567901E-2</v>
      </c>
    </row>
    <row r="98" spans="1:5" x14ac:dyDescent="0.3">
      <c r="A98" s="4" t="s">
        <v>1003</v>
      </c>
      <c r="B98" s="4" t="s">
        <v>1045</v>
      </c>
      <c r="C98" s="4">
        <v>90</v>
      </c>
      <c r="D98" s="4">
        <v>90</v>
      </c>
      <c r="E98" s="14">
        <v>1.2567901234567901E-2</v>
      </c>
    </row>
    <row r="99" spans="1:5" x14ac:dyDescent="0.3">
      <c r="A99" s="4" t="s">
        <v>1032</v>
      </c>
      <c r="B99" s="4" t="s">
        <v>1045</v>
      </c>
      <c r="C99" s="4">
        <v>90</v>
      </c>
      <c r="D99" s="4">
        <v>90</v>
      </c>
      <c r="E99" s="14">
        <v>1.2567901234567901E-2</v>
      </c>
    </row>
    <row r="100" spans="1:5" x14ac:dyDescent="0.3">
      <c r="A100" s="4" t="s">
        <v>1033</v>
      </c>
      <c r="B100" s="4" t="s">
        <v>1045</v>
      </c>
      <c r="C100" s="4">
        <v>90</v>
      </c>
      <c r="D100" s="4">
        <v>90</v>
      </c>
      <c r="E100" s="14">
        <v>1.2567901234567901E-2</v>
      </c>
    </row>
    <row r="101" spans="1:5" x14ac:dyDescent="0.3">
      <c r="A101" s="4" t="s">
        <v>1034</v>
      </c>
      <c r="B101" s="4" t="s">
        <v>1045</v>
      </c>
      <c r="C101" s="4">
        <v>90</v>
      </c>
      <c r="D101" s="4">
        <v>90</v>
      </c>
      <c r="E101" s="14">
        <v>1.2567901234567901E-2</v>
      </c>
    </row>
    <row r="102" spans="1:5" x14ac:dyDescent="0.3">
      <c r="A102" s="4" t="s">
        <v>1035</v>
      </c>
      <c r="B102" s="4" t="s">
        <v>1045</v>
      </c>
      <c r="C102" s="4">
        <v>90</v>
      </c>
      <c r="D102" s="4">
        <v>90</v>
      </c>
      <c r="E102" s="14">
        <v>1.2567901234567901E-2</v>
      </c>
    </row>
    <row r="103" spans="1:5" x14ac:dyDescent="0.3">
      <c r="A103" s="4" t="s">
        <v>1036</v>
      </c>
      <c r="B103" s="4" t="s">
        <v>1045</v>
      </c>
      <c r="C103" s="4">
        <v>90</v>
      </c>
      <c r="D103" s="4">
        <v>90</v>
      </c>
      <c r="E103" s="14">
        <v>1.2567901234567901E-2</v>
      </c>
    </row>
    <row r="104" spans="1:5" x14ac:dyDescent="0.3">
      <c r="A104" s="4" t="s">
        <v>1037</v>
      </c>
      <c r="B104" s="4" t="s">
        <v>1045</v>
      </c>
      <c r="C104" s="4">
        <v>90</v>
      </c>
      <c r="D104" s="4">
        <v>90</v>
      </c>
      <c r="E104" s="14">
        <v>1.2567901234567901E-2</v>
      </c>
    </row>
    <row r="105" spans="1:5" x14ac:dyDescent="0.3">
      <c r="A105" s="4" t="s">
        <v>1038</v>
      </c>
      <c r="B105" s="4" t="s">
        <v>1045</v>
      </c>
      <c r="C105" s="4">
        <v>90</v>
      </c>
      <c r="D105" s="4">
        <v>90</v>
      </c>
      <c r="E105" s="14">
        <v>1.2567901234567901E-2</v>
      </c>
    </row>
    <row r="106" spans="1:5" x14ac:dyDescent="0.3">
      <c r="A106" s="4" t="s">
        <v>1039</v>
      </c>
      <c r="B106" s="4" t="s">
        <v>1045</v>
      </c>
      <c r="C106" s="4">
        <v>90</v>
      </c>
      <c r="D106" s="4">
        <v>90</v>
      </c>
      <c r="E106" s="14">
        <v>1.2567901234567901E-2</v>
      </c>
    </row>
    <row r="107" spans="1:5" x14ac:dyDescent="0.3">
      <c r="A107" s="4" t="s">
        <v>1040</v>
      </c>
      <c r="B107" s="4" t="s">
        <v>1045</v>
      </c>
      <c r="C107" s="4">
        <v>90</v>
      </c>
      <c r="D107" s="4">
        <v>90</v>
      </c>
      <c r="E107" s="14">
        <v>1.2567901234567901E-2</v>
      </c>
    </row>
    <row r="108" spans="1:5" x14ac:dyDescent="0.3">
      <c r="A108" s="4" t="s">
        <v>1041</v>
      </c>
      <c r="B108" s="4" t="s">
        <v>1045</v>
      </c>
      <c r="C108" s="4">
        <v>90</v>
      </c>
      <c r="D108" s="4">
        <v>90</v>
      </c>
      <c r="E108" s="14">
        <v>1.2567901234567901E-2</v>
      </c>
    </row>
    <row r="109" spans="1:5" x14ac:dyDescent="0.3">
      <c r="A109" s="4" t="s">
        <v>1042</v>
      </c>
      <c r="B109" s="4" t="s">
        <v>1045</v>
      </c>
      <c r="C109" s="4">
        <v>90</v>
      </c>
      <c r="D109" s="4">
        <v>110</v>
      </c>
      <c r="E109" s="14">
        <v>1.131111111111111E-2</v>
      </c>
    </row>
    <row r="110" spans="1:5" x14ac:dyDescent="0.3">
      <c r="A110" s="4" t="s">
        <v>936</v>
      </c>
      <c r="B110" s="4" t="s">
        <v>1045</v>
      </c>
      <c r="C110" s="4">
        <v>90</v>
      </c>
      <c r="D110" s="4">
        <v>110</v>
      </c>
      <c r="E110" s="14">
        <v>1.131111111111111E-2</v>
      </c>
    </row>
    <row r="111" spans="1:5" x14ac:dyDescent="0.3">
      <c r="A111" s="4" t="s">
        <v>937</v>
      </c>
      <c r="B111" s="4" t="s">
        <v>1045</v>
      </c>
      <c r="C111" s="4">
        <v>90</v>
      </c>
      <c r="D111" s="4">
        <v>110</v>
      </c>
      <c r="E111" s="14">
        <v>1.131111111111111E-2</v>
      </c>
    </row>
    <row r="112" spans="1:5" x14ac:dyDescent="0.3">
      <c r="A112" s="4" t="s">
        <v>938</v>
      </c>
      <c r="B112" s="4" t="s">
        <v>1045</v>
      </c>
      <c r="C112" s="4">
        <v>90</v>
      </c>
      <c r="D112" s="4">
        <v>110</v>
      </c>
      <c r="E112" s="14">
        <v>1.131111111111111E-2</v>
      </c>
    </row>
    <row r="113" spans="1:5" x14ac:dyDescent="0.3">
      <c r="A113" s="4" t="s">
        <v>0</v>
      </c>
      <c r="B113" s="4" t="s">
        <v>1045</v>
      </c>
      <c r="C113" s="4">
        <v>90</v>
      </c>
      <c r="D113" s="4">
        <v>130</v>
      </c>
      <c r="E113" s="14">
        <v>1.1311111111111112E-2</v>
      </c>
    </row>
    <row r="114" spans="1:5" x14ac:dyDescent="0.3">
      <c r="A114" s="4" t="s">
        <v>228</v>
      </c>
      <c r="B114" s="4" t="s">
        <v>1045</v>
      </c>
      <c r="C114" s="4">
        <v>90</v>
      </c>
      <c r="D114" s="4">
        <v>130</v>
      </c>
      <c r="E114" s="14">
        <v>1.8200000000000001E-2</v>
      </c>
    </row>
    <row r="115" spans="1:5" x14ac:dyDescent="0.3">
      <c r="A115" s="4" t="s">
        <v>1043</v>
      </c>
      <c r="B115" s="4" t="s">
        <v>1045</v>
      </c>
      <c r="C115" s="4">
        <v>90</v>
      </c>
      <c r="D115" s="4">
        <v>130</v>
      </c>
      <c r="E115" s="14">
        <v>2.3799999999999998E-2</v>
      </c>
    </row>
    <row r="116" spans="1:5" x14ac:dyDescent="0.3">
      <c r="A116" s="4" t="s">
        <v>1044</v>
      </c>
      <c r="B116" s="4" t="s">
        <v>1045</v>
      </c>
      <c r="C116" s="4">
        <v>90</v>
      </c>
      <c r="D116" s="4">
        <v>130</v>
      </c>
      <c r="E116" s="14">
        <v>2.7999999999999997E-2</v>
      </c>
    </row>
    <row r="117" spans="1:5" x14ac:dyDescent="0.3">
      <c r="A117" s="4" t="s">
        <v>294</v>
      </c>
      <c r="B117" s="4" t="s">
        <v>942</v>
      </c>
      <c r="C117" s="4">
        <v>90</v>
      </c>
      <c r="D117" s="4">
        <v>90</v>
      </c>
      <c r="E117" s="14">
        <v>2.5135802469135802E-2</v>
      </c>
    </row>
    <row r="118" spans="1:5" x14ac:dyDescent="0.3">
      <c r="A118" s="4" t="s">
        <v>1002</v>
      </c>
      <c r="B118" s="4" t="s">
        <v>942</v>
      </c>
      <c r="C118" s="4">
        <v>90</v>
      </c>
      <c r="D118" s="4">
        <v>90</v>
      </c>
      <c r="E118" s="14">
        <v>1.2567901234567901E-2</v>
      </c>
    </row>
    <row r="119" spans="1:5" x14ac:dyDescent="0.3">
      <c r="A119" s="4" t="s">
        <v>1003</v>
      </c>
      <c r="B119" s="4" t="s">
        <v>942</v>
      </c>
      <c r="C119" s="4">
        <v>90</v>
      </c>
      <c r="D119" s="4">
        <v>90</v>
      </c>
      <c r="E119" s="14">
        <v>1.2567901234567901E-2</v>
      </c>
    </row>
    <row r="120" spans="1:5" x14ac:dyDescent="0.3">
      <c r="A120" s="4" t="s">
        <v>1032</v>
      </c>
      <c r="B120" s="4" t="s">
        <v>942</v>
      </c>
      <c r="C120" s="4">
        <v>90</v>
      </c>
      <c r="D120" s="4">
        <v>90</v>
      </c>
      <c r="E120" s="14">
        <v>1.2567901234567901E-2</v>
      </c>
    </row>
    <row r="121" spans="1:5" x14ac:dyDescent="0.3">
      <c r="A121" s="4" t="s">
        <v>1033</v>
      </c>
      <c r="B121" s="4" t="s">
        <v>942</v>
      </c>
      <c r="C121" s="4">
        <v>90</v>
      </c>
      <c r="D121" s="4">
        <v>90</v>
      </c>
      <c r="E121" s="14">
        <v>1.2567901234567901E-2</v>
      </c>
    </row>
    <row r="122" spans="1:5" x14ac:dyDescent="0.3">
      <c r="A122" s="4" t="s">
        <v>1034</v>
      </c>
      <c r="B122" s="4" t="s">
        <v>942</v>
      </c>
      <c r="C122" s="4">
        <v>90</v>
      </c>
      <c r="D122" s="4">
        <v>90</v>
      </c>
      <c r="E122" s="14">
        <v>1.2567901234567901E-2</v>
      </c>
    </row>
    <row r="123" spans="1:5" x14ac:dyDescent="0.3">
      <c r="A123" s="4" t="s">
        <v>1035</v>
      </c>
      <c r="B123" s="4" t="s">
        <v>942</v>
      </c>
      <c r="C123" s="4">
        <v>90</v>
      </c>
      <c r="D123" s="4">
        <v>90</v>
      </c>
      <c r="E123" s="14">
        <v>1.2567901234567901E-2</v>
      </c>
    </row>
    <row r="124" spans="1:5" x14ac:dyDescent="0.3">
      <c r="A124" s="4" t="s">
        <v>1036</v>
      </c>
      <c r="B124" s="4" t="s">
        <v>942</v>
      </c>
      <c r="C124" s="4">
        <v>90</v>
      </c>
      <c r="D124" s="4">
        <v>90</v>
      </c>
      <c r="E124" s="14">
        <v>1.2567901234567901E-2</v>
      </c>
    </row>
    <row r="125" spans="1:5" x14ac:dyDescent="0.3">
      <c r="A125" s="4" t="s">
        <v>1037</v>
      </c>
      <c r="B125" s="4" t="s">
        <v>942</v>
      </c>
      <c r="C125" s="4">
        <v>90</v>
      </c>
      <c r="D125" s="4">
        <v>90</v>
      </c>
      <c r="E125" s="14">
        <v>1.7595061728395058E-2</v>
      </c>
    </row>
    <row r="126" spans="1:5" x14ac:dyDescent="0.3">
      <c r="A126" s="4" t="s">
        <v>1038</v>
      </c>
      <c r="B126" s="4" t="s">
        <v>942</v>
      </c>
      <c r="C126" s="4">
        <v>90</v>
      </c>
      <c r="D126" s="4">
        <v>90</v>
      </c>
      <c r="E126" s="14">
        <v>1.7595061728395058E-2</v>
      </c>
    </row>
    <row r="127" spans="1:5" x14ac:dyDescent="0.3">
      <c r="A127" s="4" t="s">
        <v>1039</v>
      </c>
      <c r="B127" s="4" t="s">
        <v>942</v>
      </c>
      <c r="C127" s="4">
        <v>90</v>
      </c>
      <c r="D127" s="4">
        <v>90</v>
      </c>
      <c r="E127" s="14">
        <v>1.7595061728395058E-2</v>
      </c>
    </row>
    <row r="128" spans="1:5" x14ac:dyDescent="0.3">
      <c r="A128" s="4" t="s">
        <v>1040</v>
      </c>
      <c r="B128" s="4" t="s">
        <v>942</v>
      </c>
      <c r="C128" s="4">
        <v>90</v>
      </c>
      <c r="D128" s="4">
        <v>90</v>
      </c>
      <c r="E128" s="14">
        <v>1.7595061728395058E-2</v>
      </c>
    </row>
    <row r="129" spans="1:5" x14ac:dyDescent="0.3">
      <c r="A129" s="4" t="s">
        <v>1041</v>
      </c>
      <c r="B129" s="4" t="s">
        <v>942</v>
      </c>
      <c r="C129" s="4">
        <v>90</v>
      </c>
      <c r="D129" s="4">
        <v>90</v>
      </c>
      <c r="E129" s="14">
        <v>1.7595061728395058E-2</v>
      </c>
    </row>
    <row r="130" spans="1:5" x14ac:dyDescent="0.3">
      <c r="A130" s="4" t="s">
        <v>1042</v>
      </c>
      <c r="B130" s="4" t="s">
        <v>942</v>
      </c>
      <c r="C130" s="4">
        <v>90</v>
      </c>
      <c r="D130" s="4">
        <v>110</v>
      </c>
      <c r="E130" s="14">
        <v>1.6452525252525253E-2</v>
      </c>
    </row>
    <row r="131" spans="1:5" x14ac:dyDescent="0.3">
      <c r="A131" s="4" t="s">
        <v>936</v>
      </c>
      <c r="B131" s="4" t="s">
        <v>942</v>
      </c>
      <c r="C131" s="4">
        <v>90</v>
      </c>
      <c r="D131" s="4">
        <v>110</v>
      </c>
      <c r="E131" s="14">
        <v>1.6452525252525253E-2</v>
      </c>
    </row>
    <row r="132" spans="1:5" x14ac:dyDescent="0.3">
      <c r="A132" s="4" t="s">
        <v>937</v>
      </c>
      <c r="B132" s="4" t="s">
        <v>942</v>
      </c>
      <c r="C132" s="4">
        <v>90</v>
      </c>
      <c r="D132" s="4">
        <v>110</v>
      </c>
      <c r="E132" s="14">
        <v>1.6452525252525253E-2</v>
      </c>
    </row>
    <row r="133" spans="1:5" x14ac:dyDescent="0.3">
      <c r="A133" s="4" t="s">
        <v>938</v>
      </c>
      <c r="B133" s="4" t="s">
        <v>942</v>
      </c>
      <c r="C133" s="4">
        <v>100</v>
      </c>
      <c r="D133" s="4">
        <v>110</v>
      </c>
      <c r="E133" s="14">
        <v>1.4807272727272726E-2</v>
      </c>
    </row>
    <row r="134" spans="1:5" x14ac:dyDescent="0.3">
      <c r="A134" s="4" t="s">
        <v>0</v>
      </c>
      <c r="B134" s="4" t="s">
        <v>942</v>
      </c>
      <c r="C134" s="4">
        <v>100</v>
      </c>
      <c r="D134" s="4">
        <v>140</v>
      </c>
      <c r="E134" s="14">
        <v>1.0179999999999998E-2</v>
      </c>
    </row>
    <row r="135" spans="1:5" x14ac:dyDescent="0.3">
      <c r="A135" s="4" t="s">
        <v>228</v>
      </c>
      <c r="B135" s="4" t="s">
        <v>942</v>
      </c>
      <c r="C135" s="4">
        <v>100</v>
      </c>
      <c r="D135" s="4">
        <v>140</v>
      </c>
      <c r="E135" s="14">
        <v>1.8720000000000001E-2</v>
      </c>
    </row>
    <row r="136" spans="1:5" x14ac:dyDescent="0.3">
      <c r="A136" s="4" t="s">
        <v>1043</v>
      </c>
      <c r="B136" s="4" t="s">
        <v>942</v>
      </c>
      <c r="C136" s="4">
        <v>100</v>
      </c>
      <c r="D136" s="4">
        <v>140</v>
      </c>
      <c r="E136" s="14">
        <v>2.2229999999999996E-2</v>
      </c>
    </row>
    <row r="137" spans="1:5" x14ac:dyDescent="0.3">
      <c r="A137" s="4" t="s">
        <v>1044</v>
      </c>
      <c r="B137" s="4" t="s">
        <v>942</v>
      </c>
      <c r="C137" s="4">
        <v>100</v>
      </c>
      <c r="D137" s="4">
        <v>140</v>
      </c>
      <c r="E137" s="14">
        <v>2.6909999999999996E-2</v>
      </c>
    </row>
    <row r="138" spans="1:5" x14ac:dyDescent="0.3">
      <c r="A138" s="4" t="s">
        <v>294</v>
      </c>
      <c r="B138" s="4" t="s">
        <v>943</v>
      </c>
      <c r="C138" s="4">
        <v>90</v>
      </c>
      <c r="D138" s="4">
        <v>90</v>
      </c>
      <c r="E138" s="14">
        <v>3.7703703703703698E-2</v>
      </c>
    </row>
    <row r="139" spans="1:5" x14ac:dyDescent="0.3">
      <c r="A139" s="4" t="s">
        <v>1002</v>
      </c>
      <c r="B139" s="4" t="s">
        <v>943</v>
      </c>
      <c r="C139" s="4">
        <v>90</v>
      </c>
      <c r="D139" s="4">
        <v>90</v>
      </c>
      <c r="E139" s="14">
        <v>1.2567901234567901E-2</v>
      </c>
    </row>
    <row r="140" spans="1:5" x14ac:dyDescent="0.3">
      <c r="A140" s="4" t="s">
        <v>1003</v>
      </c>
      <c r="B140" s="4" t="s">
        <v>943</v>
      </c>
      <c r="C140" s="4">
        <v>90</v>
      </c>
      <c r="D140" s="4">
        <v>90</v>
      </c>
      <c r="E140" s="14">
        <v>1.2567901234567901E-2</v>
      </c>
    </row>
    <row r="141" spans="1:5" x14ac:dyDescent="0.3">
      <c r="A141" s="4" t="s">
        <v>1032</v>
      </c>
      <c r="B141" s="4" t="s">
        <v>943</v>
      </c>
      <c r="C141" s="4">
        <v>90</v>
      </c>
      <c r="D141" s="4">
        <v>90</v>
      </c>
      <c r="E141" s="14">
        <v>1.2567901234567901E-2</v>
      </c>
    </row>
    <row r="142" spans="1:5" x14ac:dyDescent="0.3">
      <c r="A142" s="4" t="s">
        <v>1033</v>
      </c>
      <c r="B142" s="4" t="s">
        <v>943</v>
      </c>
      <c r="C142" s="4">
        <v>90</v>
      </c>
      <c r="D142" s="4">
        <v>90</v>
      </c>
      <c r="E142" s="14">
        <v>1.2567901234567901E-2</v>
      </c>
    </row>
    <row r="143" spans="1:5" x14ac:dyDescent="0.3">
      <c r="A143" s="4" t="s">
        <v>1034</v>
      </c>
      <c r="B143" s="4" t="s">
        <v>943</v>
      </c>
      <c r="C143" s="4">
        <v>90</v>
      </c>
      <c r="D143" s="4">
        <v>90</v>
      </c>
      <c r="E143" s="14">
        <v>1.2567901234567901E-2</v>
      </c>
    </row>
    <row r="144" spans="1:5" x14ac:dyDescent="0.3">
      <c r="A144" s="4" t="s">
        <v>1035</v>
      </c>
      <c r="B144" s="4" t="s">
        <v>943</v>
      </c>
      <c r="C144" s="4">
        <v>90</v>
      </c>
      <c r="D144" s="4">
        <v>90</v>
      </c>
      <c r="E144" s="14">
        <v>1.2567901234567901E-2</v>
      </c>
    </row>
    <row r="145" spans="1:5" x14ac:dyDescent="0.3">
      <c r="A145" s="4" t="s">
        <v>1036</v>
      </c>
      <c r="B145" s="4" t="s">
        <v>943</v>
      </c>
      <c r="C145" s="4">
        <v>90</v>
      </c>
      <c r="D145" s="4">
        <v>90</v>
      </c>
      <c r="E145" s="14">
        <v>1.2567901234567901E-2</v>
      </c>
    </row>
    <row r="146" spans="1:5" x14ac:dyDescent="0.3">
      <c r="A146" s="4" t="s">
        <v>1037</v>
      </c>
      <c r="B146" s="4" t="s">
        <v>943</v>
      </c>
      <c r="C146" s="4">
        <v>90</v>
      </c>
      <c r="D146" s="4">
        <v>90</v>
      </c>
      <c r="E146" s="14">
        <v>1.2567901234567901E-2</v>
      </c>
    </row>
    <row r="147" spans="1:5" x14ac:dyDescent="0.3">
      <c r="A147" s="4" t="s">
        <v>1038</v>
      </c>
      <c r="B147" s="4" t="s">
        <v>943</v>
      </c>
      <c r="C147" s="4">
        <v>90</v>
      </c>
      <c r="D147" s="4">
        <v>90</v>
      </c>
      <c r="E147" s="14">
        <v>1.2567901234567901E-2</v>
      </c>
    </row>
    <row r="148" spans="1:5" x14ac:dyDescent="0.3">
      <c r="A148" s="4" t="s">
        <v>1039</v>
      </c>
      <c r="B148" s="4" t="s">
        <v>943</v>
      </c>
      <c r="C148" s="4">
        <v>90</v>
      </c>
      <c r="D148" s="4">
        <v>90</v>
      </c>
      <c r="E148" s="14">
        <v>1.2567901234567901E-2</v>
      </c>
    </row>
    <row r="149" spans="1:5" x14ac:dyDescent="0.3">
      <c r="A149" s="4" t="s">
        <v>1040</v>
      </c>
      <c r="B149" s="4" t="s">
        <v>943</v>
      </c>
      <c r="C149" s="4">
        <v>90</v>
      </c>
      <c r="D149" s="4">
        <v>90</v>
      </c>
      <c r="E149" s="14">
        <v>1.7595061728395058E-2</v>
      </c>
    </row>
    <row r="150" spans="1:5" x14ac:dyDescent="0.3">
      <c r="A150" s="4" t="s">
        <v>1041</v>
      </c>
      <c r="B150" s="4" t="s">
        <v>943</v>
      </c>
      <c r="C150" s="4">
        <v>90</v>
      </c>
      <c r="D150" s="4">
        <v>90</v>
      </c>
      <c r="E150" s="14">
        <v>1.7595061728395058E-2</v>
      </c>
    </row>
    <row r="151" spans="1:5" x14ac:dyDescent="0.3">
      <c r="A151" s="4" t="s">
        <v>1042</v>
      </c>
      <c r="B151" s="4" t="s">
        <v>943</v>
      </c>
      <c r="C151" s="4">
        <v>90</v>
      </c>
      <c r="D151" s="4">
        <v>110</v>
      </c>
      <c r="E151" s="14">
        <v>1.5424242424242424E-2</v>
      </c>
    </row>
    <row r="152" spans="1:5" x14ac:dyDescent="0.3">
      <c r="A152" s="4" t="s">
        <v>936</v>
      </c>
      <c r="B152" s="4" t="s">
        <v>943</v>
      </c>
      <c r="C152" s="4">
        <v>90</v>
      </c>
      <c r="D152" s="4">
        <v>110</v>
      </c>
      <c r="E152" s="14">
        <v>1.5424242424242424E-2</v>
      </c>
    </row>
    <row r="153" spans="1:5" x14ac:dyDescent="0.3">
      <c r="A153" s="4" t="s">
        <v>937</v>
      </c>
      <c r="B153" s="4" t="s">
        <v>943</v>
      </c>
      <c r="C153" s="4">
        <v>90</v>
      </c>
      <c r="D153" s="4">
        <v>110</v>
      </c>
      <c r="E153" s="14">
        <v>1.5424242424242424E-2</v>
      </c>
    </row>
    <row r="154" spans="1:5" x14ac:dyDescent="0.3">
      <c r="A154" s="4" t="s">
        <v>938</v>
      </c>
      <c r="B154" s="4" t="s">
        <v>943</v>
      </c>
      <c r="C154" s="4">
        <v>100</v>
      </c>
      <c r="D154" s="4">
        <v>110</v>
      </c>
      <c r="E154" s="14">
        <v>1.3881818181818181E-2</v>
      </c>
    </row>
    <row r="155" spans="1:5" x14ac:dyDescent="0.3">
      <c r="A155" s="4" t="s">
        <v>0</v>
      </c>
      <c r="B155" s="4" t="s">
        <v>943</v>
      </c>
      <c r="C155" s="4">
        <v>100</v>
      </c>
      <c r="D155" s="4">
        <v>140</v>
      </c>
      <c r="E155" s="14">
        <v>1.0907142857142857E-2</v>
      </c>
    </row>
    <row r="156" spans="1:5" x14ac:dyDescent="0.3">
      <c r="A156" s="4" t="s">
        <v>228</v>
      </c>
      <c r="B156" s="4" t="s">
        <v>943</v>
      </c>
      <c r="C156" s="4">
        <v>100</v>
      </c>
      <c r="D156" s="4">
        <v>140</v>
      </c>
      <c r="E156" s="14">
        <v>1.0179999999999998E-2</v>
      </c>
    </row>
    <row r="157" spans="1:5" x14ac:dyDescent="0.3">
      <c r="A157" s="4" t="s">
        <v>1043</v>
      </c>
      <c r="B157" s="4" t="s">
        <v>943</v>
      </c>
      <c r="C157" s="4">
        <v>100</v>
      </c>
      <c r="D157" s="4">
        <v>140</v>
      </c>
      <c r="E157" s="14">
        <v>1.0179999999999998E-2</v>
      </c>
    </row>
    <row r="158" spans="1:5" x14ac:dyDescent="0.3">
      <c r="A158" s="4" t="s">
        <v>1044</v>
      </c>
      <c r="B158" s="4" t="s">
        <v>943</v>
      </c>
      <c r="C158" s="4">
        <v>100</v>
      </c>
      <c r="D158" s="4">
        <v>140</v>
      </c>
      <c r="E158" s="14">
        <v>1.4542857142857142E-2</v>
      </c>
    </row>
    <row r="159" spans="1:5" x14ac:dyDescent="0.3">
      <c r="A159" s="4" t="s">
        <v>294</v>
      </c>
      <c r="B159" s="4" t="s">
        <v>944</v>
      </c>
      <c r="C159" s="4">
        <v>90</v>
      </c>
      <c r="D159" s="4">
        <v>90</v>
      </c>
      <c r="E159" s="14">
        <v>3.2676543209876542E-2</v>
      </c>
    </row>
    <row r="160" spans="1:5" x14ac:dyDescent="0.3">
      <c r="A160" s="4" t="s">
        <v>1002</v>
      </c>
      <c r="B160" s="4" t="s">
        <v>944</v>
      </c>
      <c r="C160" s="4">
        <v>90</v>
      </c>
      <c r="D160" s="4">
        <v>90</v>
      </c>
      <c r="E160" s="14">
        <v>1.2567901234567901E-2</v>
      </c>
    </row>
    <row r="161" spans="1:5" x14ac:dyDescent="0.3">
      <c r="A161" s="4" t="s">
        <v>1003</v>
      </c>
      <c r="B161" s="4" t="s">
        <v>944</v>
      </c>
      <c r="C161" s="4">
        <v>90</v>
      </c>
      <c r="D161" s="4">
        <v>90</v>
      </c>
      <c r="E161" s="14">
        <v>1.2567901234567901E-2</v>
      </c>
    </row>
    <row r="162" spans="1:5" x14ac:dyDescent="0.3">
      <c r="A162" s="4" t="s">
        <v>1032</v>
      </c>
      <c r="B162" s="4" t="s">
        <v>944</v>
      </c>
      <c r="C162" s="4">
        <v>90</v>
      </c>
      <c r="D162" s="4">
        <v>90</v>
      </c>
      <c r="E162" s="14">
        <v>1.2567901234567901E-2</v>
      </c>
    </row>
    <row r="163" spans="1:5" x14ac:dyDescent="0.3">
      <c r="A163" s="4" t="s">
        <v>1033</v>
      </c>
      <c r="B163" s="4" t="s">
        <v>944</v>
      </c>
      <c r="C163" s="4">
        <v>90</v>
      </c>
      <c r="D163" s="4">
        <v>90</v>
      </c>
      <c r="E163" s="14">
        <v>1.2567901234567901E-2</v>
      </c>
    </row>
    <row r="164" spans="1:5" x14ac:dyDescent="0.3">
      <c r="A164" s="4" t="s">
        <v>1034</v>
      </c>
      <c r="B164" s="4" t="s">
        <v>944</v>
      </c>
      <c r="C164" s="4">
        <v>90</v>
      </c>
      <c r="D164" s="4">
        <v>90</v>
      </c>
      <c r="E164" s="14">
        <v>1.2567901234567901E-2</v>
      </c>
    </row>
    <row r="165" spans="1:5" x14ac:dyDescent="0.3">
      <c r="A165" s="4" t="s">
        <v>1035</v>
      </c>
      <c r="B165" s="4" t="s">
        <v>944</v>
      </c>
      <c r="C165" s="4">
        <v>90</v>
      </c>
      <c r="D165" s="4">
        <v>90</v>
      </c>
      <c r="E165" s="14">
        <v>1.2567901234567901E-2</v>
      </c>
    </row>
    <row r="166" spans="1:5" x14ac:dyDescent="0.3">
      <c r="A166" s="4" t="s">
        <v>1036</v>
      </c>
      <c r="B166" s="4" t="s">
        <v>944</v>
      </c>
      <c r="C166" s="4">
        <v>90</v>
      </c>
      <c r="D166" s="4">
        <v>90</v>
      </c>
      <c r="E166" s="14">
        <v>1.2567901234567901E-2</v>
      </c>
    </row>
    <row r="167" spans="1:5" x14ac:dyDescent="0.3">
      <c r="A167" s="4" t="s">
        <v>1037</v>
      </c>
      <c r="B167" s="4" t="s">
        <v>944</v>
      </c>
      <c r="C167" s="4">
        <v>90</v>
      </c>
      <c r="D167" s="4">
        <v>90</v>
      </c>
      <c r="E167" s="14">
        <v>1.2567901234567901E-2</v>
      </c>
    </row>
    <row r="168" spans="1:5" x14ac:dyDescent="0.3">
      <c r="A168" s="4" t="s">
        <v>1038</v>
      </c>
      <c r="B168" s="4" t="s">
        <v>944</v>
      </c>
      <c r="C168" s="4">
        <v>90</v>
      </c>
      <c r="D168" s="4">
        <v>90</v>
      </c>
      <c r="E168" s="14">
        <v>1.2567901234567901E-2</v>
      </c>
    </row>
    <row r="169" spans="1:5" x14ac:dyDescent="0.3">
      <c r="A169" s="4" t="s">
        <v>1039</v>
      </c>
      <c r="B169" s="4" t="s">
        <v>944</v>
      </c>
      <c r="C169" s="4">
        <v>90</v>
      </c>
      <c r="D169" s="4">
        <v>90</v>
      </c>
      <c r="E169" s="14">
        <v>1.2567901234567901E-2</v>
      </c>
    </row>
    <row r="170" spans="1:5" x14ac:dyDescent="0.3">
      <c r="A170" s="4" t="s">
        <v>1040</v>
      </c>
      <c r="B170" s="4" t="s">
        <v>944</v>
      </c>
      <c r="C170" s="4">
        <v>90</v>
      </c>
      <c r="D170" s="4">
        <v>90</v>
      </c>
      <c r="E170" s="14">
        <v>2.0108641975308643E-2</v>
      </c>
    </row>
    <row r="171" spans="1:5" x14ac:dyDescent="0.3">
      <c r="A171" s="4" t="s">
        <v>1041</v>
      </c>
      <c r="B171" s="4" t="s">
        <v>944</v>
      </c>
      <c r="C171" s="4">
        <v>90</v>
      </c>
      <c r="D171" s="4">
        <v>90</v>
      </c>
      <c r="E171" s="14">
        <v>3.2355555555555554E-2</v>
      </c>
    </row>
    <row r="172" spans="1:5" x14ac:dyDescent="0.3">
      <c r="A172" s="4" t="s">
        <v>1042</v>
      </c>
      <c r="B172" s="4" t="s">
        <v>944</v>
      </c>
      <c r="C172" s="4">
        <v>90</v>
      </c>
      <c r="D172" s="4">
        <v>130</v>
      </c>
      <c r="E172" s="14">
        <v>2.24E-2</v>
      </c>
    </row>
    <row r="173" spans="1:5" x14ac:dyDescent="0.3">
      <c r="A173" s="4" t="s">
        <v>936</v>
      </c>
      <c r="B173" s="4" t="s">
        <v>944</v>
      </c>
      <c r="C173" s="4">
        <v>90</v>
      </c>
      <c r="D173" s="4">
        <v>130</v>
      </c>
      <c r="E173" s="14">
        <v>2.24E-2</v>
      </c>
    </row>
    <row r="174" spans="1:5" x14ac:dyDescent="0.3">
      <c r="A174" s="4" t="s">
        <v>937</v>
      </c>
      <c r="B174" s="4" t="s">
        <v>944</v>
      </c>
      <c r="C174" s="4">
        <v>90</v>
      </c>
      <c r="D174" s="4">
        <v>130</v>
      </c>
      <c r="E174" s="14">
        <v>2.24E-2</v>
      </c>
    </row>
    <row r="175" spans="1:5" x14ac:dyDescent="0.3">
      <c r="A175" s="4" t="s">
        <v>938</v>
      </c>
      <c r="B175" s="4" t="s">
        <v>944</v>
      </c>
      <c r="C175" s="4">
        <v>100</v>
      </c>
      <c r="D175" s="4">
        <v>130</v>
      </c>
      <c r="E175" s="14">
        <v>2.0159999999999997E-2</v>
      </c>
    </row>
    <row r="176" spans="1:5" x14ac:dyDescent="0.3">
      <c r="A176" s="4" t="s">
        <v>0</v>
      </c>
      <c r="B176" s="4" t="s">
        <v>944</v>
      </c>
      <c r="C176" s="4">
        <v>100</v>
      </c>
      <c r="D176" s="4">
        <v>140</v>
      </c>
      <c r="E176" s="14">
        <v>1.4542857142857142E-2</v>
      </c>
    </row>
    <row r="177" spans="1:5" x14ac:dyDescent="0.3">
      <c r="A177" s="4" t="s">
        <v>228</v>
      </c>
      <c r="B177" s="4" t="s">
        <v>944</v>
      </c>
      <c r="C177" s="4">
        <v>100</v>
      </c>
      <c r="D177" s="4">
        <v>140</v>
      </c>
      <c r="E177" s="14">
        <v>1.9889999999999998E-2</v>
      </c>
    </row>
    <row r="178" spans="1:5" x14ac:dyDescent="0.3">
      <c r="A178" s="4" t="s">
        <v>1043</v>
      </c>
      <c r="B178" s="4" t="s">
        <v>944</v>
      </c>
      <c r="C178" s="4">
        <v>100</v>
      </c>
      <c r="D178" s="4">
        <v>140</v>
      </c>
      <c r="E178" s="14">
        <v>2.2229999999999996E-2</v>
      </c>
    </row>
    <row r="179" spans="1:5" x14ac:dyDescent="0.3">
      <c r="A179" s="4" t="s">
        <v>1044</v>
      </c>
      <c r="B179" s="4" t="s">
        <v>944</v>
      </c>
      <c r="C179" s="4">
        <v>100</v>
      </c>
      <c r="D179" s="4">
        <v>140</v>
      </c>
      <c r="E179" s="14">
        <v>2.5739999999999996E-2</v>
      </c>
    </row>
    <row r="180" spans="1:5" x14ac:dyDescent="0.3">
      <c r="A180" s="4" t="s">
        <v>294</v>
      </c>
      <c r="B180" s="4" t="s">
        <v>945</v>
      </c>
      <c r="C180" s="4">
        <v>90</v>
      </c>
      <c r="D180" s="4">
        <v>90</v>
      </c>
      <c r="E180" s="14">
        <v>1.2567901234567901E-2</v>
      </c>
    </row>
    <row r="181" spans="1:5" x14ac:dyDescent="0.3">
      <c r="A181" s="4" t="s">
        <v>1002</v>
      </c>
      <c r="B181" s="4" t="s">
        <v>945</v>
      </c>
      <c r="C181" s="4">
        <v>90</v>
      </c>
      <c r="D181" s="4">
        <v>90</v>
      </c>
      <c r="E181" s="14">
        <v>1.2567901234567901E-2</v>
      </c>
    </row>
    <row r="182" spans="1:5" x14ac:dyDescent="0.3">
      <c r="A182" s="4" t="s">
        <v>1003</v>
      </c>
      <c r="B182" s="4" t="s">
        <v>945</v>
      </c>
      <c r="C182" s="4">
        <v>90</v>
      </c>
      <c r="D182" s="4">
        <v>90</v>
      </c>
      <c r="E182" s="14">
        <v>1.2567901234567901E-2</v>
      </c>
    </row>
    <row r="183" spans="1:5" x14ac:dyDescent="0.3">
      <c r="A183" s="4" t="s">
        <v>1032</v>
      </c>
      <c r="B183" s="4" t="s">
        <v>945</v>
      </c>
      <c r="C183" s="4">
        <v>90</v>
      </c>
      <c r="D183" s="4">
        <v>90</v>
      </c>
      <c r="E183" s="14">
        <v>1.2567901234567901E-2</v>
      </c>
    </row>
    <row r="184" spans="1:5" x14ac:dyDescent="0.3">
      <c r="A184" s="4" t="s">
        <v>1033</v>
      </c>
      <c r="B184" s="4" t="s">
        <v>945</v>
      </c>
      <c r="C184" s="4">
        <v>90</v>
      </c>
      <c r="D184" s="4">
        <v>90</v>
      </c>
      <c r="E184" s="14">
        <v>1.2567901234567901E-2</v>
      </c>
    </row>
    <row r="185" spans="1:5" x14ac:dyDescent="0.3">
      <c r="A185" s="4" t="s">
        <v>1034</v>
      </c>
      <c r="B185" s="4" t="s">
        <v>945</v>
      </c>
      <c r="C185" s="4">
        <v>90</v>
      </c>
      <c r="D185" s="4">
        <v>90</v>
      </c>
      <c r="E185" s="14">
        <v>1.2567901234567901E-2</v>
      </c>
    </row>
    <row r="186" spans="1:5" x14ac:dyDescent="0.3">
      <c r="A186" s="4" t="s">
        <v>1035</v>
      </c>
      <c r="B186" s="4" t="s">
        <v>945</v>
      </c>
      <c r="C186" s="4">
        <v>90</v>
      </c>
      <c r="D186" s="4">
        <v>90</v>
      </c>
      <c r="E186" s="14">
        <v>1.2567901234567901E-2</v>
      </c>
    </row>
    <row r="187" spans="1:5" x14ac:dyDescent="0.3">
      <c r="A187" s="4" t="s">
        <v>1036</v>
      </c>
      <c r="B187" s="4" t="s">
        <v>945</v>
      </c>
      <c r="C187" s="4">
        <v>90</v>
      </c>
      <c r="D187" s="4">
        <v>90</v>
      </c>
      <c r="E187" s="14">
        <v>1.2567901234567901E-2</v>
      </c>
    </row>
    <row r="188" spans="1:5" x14ac:dyDescent="0.3">
      <c r="A188" s="4" t="s">
        <v>1037</v>
      </c>
      <c r="B188" s="4" t="s">
        <v>945</v>
      </c>
      <c r="C188" s="4">
        <v>90</v>
      </c>
      <c r="D188" s="4">
        <v>90</v>
      </c>
      <c r="E188" s="14">
        <v>1.2567901234567901E-2</v>
      </c>
    </row>
    <row r="189" spans="1:5" x14ac:dyDescent="0.3">
      <c r="A189" s="4" t="s">
        <v>1038</v>
      </c>
      <c r="B189" s="4" t="s">
        <v>945</v>
      </c>
      <c r="C189" s="4">
        <v>90</v>
      </c>
      <c r="D189" s="4">
        <v>90</v>
      </c>
      <c r="E189" s="14">
        <v>2.0108641975308643E-2</v>
      </c>
    </row>
    <row r="190" spans="1:5" x14ac:dyDescent="0.3">
      <c r="A190" s="4" t="s">
        <v>1039</v>
      </c>
      <c r="B190" s="4" t="s">
        <v>945</v>
      </c>
      <c r="C190" s="4">
        <v>90</v>
      </c>
      <c r="D190" s="4">
        <v>90</v>
      </c>
      <c r="E190" s="14">
        <v>1.7595061728395058E-2</v>
      </c>
    </row>
    <row r="191" spans="1:5" x14ac:dyDescent="0.3">
      <c r="A191" s="4" t="s">
        <v>1040</v>
      </c>
      <c r="B191" s="4" t="s">
        <v>945</v>
      </c>
      <c r="C191" s="4">
        <v>90</v>
      </c>
      <c r="D191" s="4">
        <v>90</v>
      </c>
      <c r="E191" s="14">
        <v>1.7595061728395058E-2</v>
      </c>
    </row>
    <row r="192" spans="1:5" x14ac:dyDescent="0.3">
      <c r="A192" s="4" t="s">
        <v>1041</v>
      </c>
      <c r="B192" s="4" t="s">
        <v>945</v>
      </c>
      <c r="C192" s="4">
        <v>90</v>
      </c>
      <c r="D192" s="4">
        <v>90</v>
      </c>
      <c r="E192" s="14">
        <v>1.7595061728395058E-2</v>
      </c>
    </row>
    <row r="193" spans="1:5" x14ac:dyDescent="0.3">
      <c r="A193" s="4" t="s">
        <v>1042</v>
      </c>
      <c r="B193" s="4" t="s">
        <v>945</v>
      </c>
      <c r="C193" s="4">
        <v>90</v>
      </c>
      <c r="D193" s="4">
        <v>110</v>
      </c>
      <c r="E193" s="14">
        <v>1.5424242424242424E-2</v>
      </c>
    </row>
    <row r="194" spans="1:5" x14ac:dyDescent="0.3">
      <c r="A194" s="4" t="s">
        <v>936</v>
      </c>
      <c r="B194" s="4" t="s">
        <v>945</v>
      </c>
      <c r="C194" s="4">
        <v>90</v>
      </c>
      <c r="D194" s="4">
        <v>110</v>
      </c>
      <c r="E194" s="14">
        <v>2.4818181818181816E-2</v>
      </c>
    </row>
    <row r="195" spans="1:5" x14ac:dyDescent="0.3">
      <c r="A195" s="4" t="s">
        <v>937</v>
      </c>
      <c r="B195" s="4" t="s">
        <v>945</v>
      </c>
      <c r="C195" s="4">
        <v>90</v>
      </c>
      <c r="D195" s="4">
        <v>110</v>
      </c>
      <c r="E195" s="14">
        <v>2.4818181818181816E-2</v>
      </c>
    </row>
    <row r="196" spans="1:5" x14ac:dyDescent="0.3">
      <c r="A196" s="4" t="s">
        <v>938</v>
      </c>
      <c r="B196" s="4" t="s">
        <v>945</v>
      </c>
      <c r="C196" s="4">
        <v>100</v>
      </c>
      <c r="D196" s="4">
        <v>110</v>
      </c>
      <c r="E196" s="14">
        <v>2.2336363636363637E-2</v>
      </c>
    </row>
    <row r="197" spans="1:5" x14ac:dyDescent="0.3">
      <c r="A197" s="4" t="s">
        <v>0</v>
      </c>
      <c r="B197" s="4" t="s">
        <v>945</v>
      </c>
      <c r="C197" s="4">
        <v>100</v>
      </c>
      <c r="D197" s="4">
        <v>140</v>
      </c>
      <c r="E197" s="14">
        <v>1.3088571428571429E-2</v>
      </c>
    </row>
    <row r="198" spans="1:5" x14ac:dyDescent="0.3">
      <c r="A198" s="4" t="s">
        <v>228</v>
      </c>
      <c r="B198" s="4" t="s">
        <v>945</v>
      </c>
      <c r="C198" s="4">
        <v>100</v>
      </c>
      <c r="D198" s="4">
        <v>140</v>
      </c>
      <c r="E198" s="14">
        <v>1.0179999999999998E-2</v>
      </c>
    </row>
    <row r="199" spans="1:5" x14ac:dyDescent="0.3">
      <c r="A199" s="4" t="s">
        <v>1043</v>
      </c>
      <c r="B199" s="4" t="s">
        <v>945</v>
      </c>
      <c r="C199" s="4">
        <v>100</v>
      </c>
      <c r="D199" s="4">
        <v>140</v>
      </c>
      <c r="E199" s="14">
        <v>1.3815714285714285E-2</v>
      </c>
    </row>
    <row r="200" spans="1:5" x14ac:dyDescent="0.3">
      <c r="A200" s="4" t="s">
        <v>1044</v>
      </c>
      <c r="B200" s="4" t="s">
        <v>945</v>
      </c>
      <c r="C200" s="4">
        <v>100</v>
      </c>
      <c r="D200" s="4">
        <v>140</v>
      </c>
      <c r="E200" s="14">
        <v>1.755E-2</v>
      </c>
    </row>
    <row r="201" spans="1:5" x14ac:dyDescent="0.3">
      <c r="A201" s="4" t="s">
        <v>936</v>
      </c>
      <c r="B201" s="4" t="s">
        <v>946</v>
      </c>
      <c r="C201" s="4">
        <v>60</v>
      </c>
      <c r="D201" s="4">
        <v>90</v>
      </c>
      <c r="E201" s="14">
        <v>2.0737037037037036E-2</v>
      </c>
    </row>
    <row r="202" spans="1:5" x14ac:dyDescent="0.3">
      <c r="A202" s="4" t="s">
        <v>937</v>
      </c>
      <c r="B202" s="4" t="s">
        <v>946</v>
      </c>
      <c r="C202" s="4">
        <v>60</v>
      </c>
      <c r="D202" s="4">
        <v>90</v>
      </c>
      <c r="E202" s="14">
        <v>1.508148148148148E-2</v>
      </c>
    </row>
    <row r="203" spans="1:5" x14ac:dyDescent="0.3">
      <c r="A203" s="4" t="s">
        <v>938</v>
      </c>
      <c r="B203" s="4" t="s">
        <v>946</v>
      </c>
      <c r="C203" s="4">
        <v>60</v>
      </c>
      <c r="D203" s="4">
        <v>90</v>
      </c>
      <c r="E203" s="14">
        <v>1.508148148148148E-2</v>
      </c>
    </row>
    <row r="204" spans="1:5" x14ac:dyDescent="0.3">
      <c r="A204" s="4" t="s">
        <v>0</v>
      </c>
      <c r="B204" s="4" t="s">
        <v>946</v>
      </c>
      <c r="C204" s="4">
        <v>60</v>
      </c>
      <c r="D204" s="4">
        <v>90</v>
      </c>
      <c r="E204" s="14">
        <v>2.0737037037037036E-2</v>
      </c>
    </row>
    <row r="205" spans="1:5" x14ac:dyDescent="0.3">
      <c r="A205" s="4" t="s">
        <v>228</v>
      </c>
      <c r="B205" s="4" t="s">
        <v>946</v>
      </c>
      <c r="C205" s="4">
        <v>60</v>
      </c>
      <c r="D205" s="4">
        <v>90</v>
      </c>
      <c r="E205" s="14">
        <v>1.6966666666666668E-2</v>
      </c>
    </row>
    <row r="206" spans="1:5" x14ac:dyDescent="0.3">
      <c r="A206" s="4" t="s">
        <v>1043</v>
      </c>
      <c r="B206" s="4" t="s">
        <v>946</v>
      </c>
      <c r="C206" s="4">
        <v>60</v>
      </c>
      <c r="D206" s="4">
        <v>90</v>
      </c>
      <c r="E206" s="14">
        <v>1.6966666666666668E-2</v>
      </c>
    </row>
    <row r="207" spans="1:5" x14ac:dyDescent="0.3">
      <c r="A207" s="4" t="s">
        <v>1044</v>
      </c>
      <c r="B207" s="4" t="s">
        <v>946</v>
      </c>
      <c r="C207" s="4">
        <v>60</v>
      </c>
      <c r="D207" s="4">
        <v>90</v>
      </c>
      <c r="E207" s="14">
        <v>1.6966666666666668E-2</v>
      </c>
    </row>
    <row r="208" spans="1:5" x14ac:dyDescent="0.3">
      <c r="A208" s="4" t="s">
        <v>936</v>
      </c>
      <c r="B208" s="4" t="s">
        <v>947</v>
      </c>
      <c r="C208" s="4">
        <v>60</v>
      </c>
      <c r="D208" s="4">
        <v>90</v>
      </c>
      <c r="E208" s="14">
        <v>3.0162962962962961E-2</v>
      </c>
    </row>
    <row r="209" spans="1:5" x14ac:dyDescent="0.3">
      <c r="A209" s="4" t="s">
        <v>937</v>
      </c>
      <c r="B209" s="4" t="s">
        <v>947</v>
      </c>
      <c r="C209" s="4">
        <v>60</v>
      </c>
      <c r="D209" s="4">
        <v>90</v>
      </c>
      <c r="E209" s="14">
        <v>1.8851851851851852E-2</v>
      </c>
    </row>
    <row r="210" spans="1:5" x14ac:dyDescent="0.3">
      <c r="A210" s="4" t="s">
        <v>938</v>
      </c>
      <c r="B210" s="4" t="s">
        <v>947</v>
      </c>
      <c r="C210" s="4">
        <v>60</v>
      </c>
      <c r="D210" s="4">
        <v>90</v>
      </c>
      <c r="E210" s="14">
        <v>2.4507407407407408E-2</v>
      </c>
    </row>
    <row r="211" spans="1:5" x14ac:dyDescent="0.3">
      <c r="A211" s="4" t="s">
        <v>0</v>
      </c>
      <c r="B211" s="4" t="s">
        <v>947</v>
      </c>
      <c r="C211" s="4">
        <v>60</v>
      </c>
      <c r="D211" s="4">
        <v>90</v>
      </c>
      <c r="E211" s="14">
        <v>2.0737037037037036E-2</v>
      </c>
    </row>
    <row r="212" spans="1:5" x14ac:dyDescent="0.3">
      <c r="A212" s="4" t="s">
        <v>228</v>
      </c>
      <c r="B212" s="4" t="s">
        <v>947</v>
      </c>
      <c r="C212" s="4">
        <v>60</v>
      </c>
      <c r="D212" s="4">
        <v>90</v>
      </c>
      <c r="E212" s="14">
        <v>1.6966666666666668E-2</v>
      </c>
    </row>
    <row r="213" spans="1:5" x14ac:dyDescent="0.3">
      <c r="A213" s="4" t="s">
        <v>1043</v>
      </c>
      <c r="B213" s="4" t="s">
        <v>947</v>
      </c>
      <c r="C213" s="4">
        <v>60</v>
      </c>
      <c r="D213" s="4">
        <v>90</v>
      </c>
      <c r="E213" s="14">
        <v>1.6966666666666668E-2</v>
      </c>
    </row>
    <row r="214" spans="1:5" x14ac:dyDescent="0.3">
      <c r="A214" s="4" t="s">
        <v>1044</v>
      </c>
      <c r="B214" s="4" t="s">
        <v>947</v>
      </c>
      <c r="C214" s="4">
        <v>60</v>
      </c>
      <c r="D214" s="4">
        <v>90</v>
      </c>
      <c r="E214" s="14">
        <v>1.6966666666666668E-2</v>
      </c>
    </row>
    <row r="215" spans="1:5" x14ac:dyDescent="0.3">
      <c r="A215" s="4" t="s">
        <v>936</v>
      </c>
      <c r="B215" s="4" t="s">
        <v>948</v>
      </c>
      <c r="C215" s="4">
        <v>60</v>
      </c>
      <c r="D215" s="4">
        <v>90</v>
      </c>
      <c r="E215" s="14">
        <v>3.0162962962962961E-2</v>
      </c>
    </row>
    <row r="216" spans="1:5" x14ac:dyDescent="0.3">
      <c r="A216" s="4" t="s">
        <v>937</v>
      </c>
      <c r="B216" s="4" t="s">
        <v>948</v>
      </c>
      <c r="C216" s="4">
        <v>60</v>
      </c>
      <c r="D216" s="4">
        <v>90</v>
      </c>
      <c r="E216" s="14">
        <v>1.8851851851851852E-2</v>
      </c>
    </row>
    <row r="217" spans="1:5" x14ac:dyDescent="0.3">
      <c r="A217" s="4" t="s">
        <v>938</v>
      </c>
      <c r="B217" s="4" t="s">
        <v>948</v>
      </c>
      <c r="C217" s="4">
        <v>60</v>
      </c>
      <c r="D217" s="4">
        <v>90</v>
      </c>
      <c r="E217" s="14">
        <v>1.8851851851851852E-2</v>
      </c>
    </row>
    <row r="218" spans="1:5" x14ac:dyDescent="0.3">
      <c r="A218" s="4" t="s">
        <v>0</v>
      </c>
      <c r="B218" s="4" t="s">
        <v>948</v>
      </c>
      <c r="C218" s="4">
        <v>60</v>
      </c>
      <c r="D218" s="4">
        <v>90</v>
      </c>
      <c r="E218" s="14">
        <v>2.0737037037037036E-2</v>
      </c>
    </row>
    <row r="219" spans="1:5" x14ac:dyDescent="0.3">
      <c r="A219" s="4" t="s">
        <v>228</v>
      </c>
      <c r="B219" s="4" t="s">
        <v>948</v>
      </c>
      <c r="C219" s="4">
        <v>60</v>
      </c>
      <c r="D219" s="4">
        <v>90</v>
      </c>
      <c r="E219" s="14">
        <v>1.6966666666666668E-2</v>
      </c>
    </row>
    <row r="220" spans="1:5" x14ac:dyDescent="0.3">
      <c r="A220" s="4" t="s">
        <v>1043</v>
      </c>
      <c r="B220" s="4" t="s">
        <v>948</v>
      </c>
      <c r="C220" s="4">
        <v>60</v>
      </c>
      <c r="D220" s="4">
        <v>90</v>
      </c>
      <c r="E220" s="14">
        <v>1.6966666666666668E-2</v>
      </c>
    </row>
    <row r="221" spans="1:5" x14ac:dyDescent="0.3">
      <c r="A221" s="4" t="s">
        <v>1044</v>
      </c>
      <c r="B221" s="4" t="s">
        <v>948</v>
      </c>
      <c r="C221" s="4">
        <v>60</v>
      </c>
      <c r="D221" s="4">
        <v>90</v>
      </c>
      <c r="E221" s="14">
        <v>1.6966666666666668E-2</v>
      </c>
    </row>
    <row r="222" spans="1:5" x14ac:dyDescent="0.3">
      <c r="A222" s="4" t="s">
        <v>0</v>
      </c>
      <c r="B222" s="4" t="s">
        <v>1092</v>
      </c>
      <c r="C222" s="4">
        <v>80</v>
      </c>
      <c r="D222" s="4">
        <v>100</v>
      </c>
      <c r="E222" s="14">
        <v>1.39975E-2</v>
      </c>
    </row>
    <row r="223" spans="1:5" x14ac:dyDescent="0.3">
      <c r="A223" s="4" t="s">
        <v>228</v>
      </c>
      <c r="B223" s="4" t="s">
        <v>1092</v>
      </c>
      <c r="C223" s="4">
        <v>80</v>
      </c>
      <c r="D223" s="4">
        <v>100</v>
      </c>
      <c r="E223" s="14">
        <v>1.1452500000000001E-2</v>
      </c>
    </row>
    <row r="224" spans="1:5" x14ac:dyDescent="0.3">
      <c r="A224" s="4" t="s">
        <v>1043</v>
      </c>
      <c r="B224" s="4" t="s">
        <v>1092</v>
      </c>
      <c r="C224" s="4">
        <v>80</v>
      </c>
      <c r="D224" s="4">
        <v>100</v>
      </c>
      <c r="E224" s="14">
        <v>1.1452500000000001E-2</v>
      </c>
    </row>
    <row r="225" spans="1:5" x14ac:dyDescent="0.3">
      <c r="A225" s="4" t="s">
        <v>1044</v>
      </c>
      <c r="B225" s="4" t="s">
        <v>1092</v>
      </c>
      <c r="C225" s="4">
        <v>80</v>
      </c>
      <c r="D225" s="4">
        <v>100</v>
      </c>
      <c r="E225" s="14">
        <v>1.1452500000000001E-2</v>
      </c>
    </row>
    <row r="226" spans="1:5" x14ac:dyDescent="0.3">
      <c r="A226" s="4" t="s">
        <v>937</v>
      </c>
      <c r="B226" s="4" t="s">
        <v>949</v>
      </c>
      <c r="C226" s="4">
        <v>70</v>
      </c>
      <c r="D226" s="4">
        <v>145</v>
      </c>
      <c r="E226" s="14">
        <v>1.3038423645320197E-2</v>
      </c>
    </row>
    <row r="227" spans="1:5" x14ac:dyDescent="0.3">
      <c r="A227" s="4" t="s">
        <v>938</v>
      </c>
      <c r="B227" s="4" t="s">
        <v>949</v>
      </c>
      <c r="C227" s="4">
        <v>70</v>
      </c>
      <c r="D227" s="4">
        <v>145</v>
      </c>
      <c r="E227" s="14">
        <v>1.3038423645320197E-2</v>
      </c>
    </row>
    <row r="228" spans="1:5" x14ac:dyDescent="0.3">
      <c r="A228" s="4" t="s">
        <v>936</v>
      </c>
      <c r="B228" s="4" t="s">
        <v>950</v>
      </c>
      <c r="C228" s="4">
        <v>60</v>
      </c>
      <c r="D228" s="4">
        <v>90</v>
      </c>
      <c r="E228" s="14">
        <v>1.508148148148148E-2</v>
      </c>
    </row>
    <row r="229" spans="1:5" x14ac:dyDescent="0.3">
      <c r="A229" s="4" t="s">
        <v>937</v>
      </c>
      <c r="B229" s="4" t="s">
        <v>950</v>
      </c>
      <c r="C229" s="4">
        <v>60</v>
      </c>
      <c r="D229" s="4">
        <v>90</v>
      </c>
      <c r="E229" s="14">
        <v>1.508148148148148E-2</v>
      </c>
    </row>
    <row r="230" spans="1:5" x14ac:dyDescent="0.3">
      <c r="A230" s="4" t="s">
        <v>938</v>
      </c>
      <c r="B230" s="4" t="s">
        <v>950</v>
      </c>
      <c r="C230" s="4">
        <v>60</v>
      </c>
      <c r="D230" s="4">
        <v>90</v>
      </c>
      <c r="E230" s="14">
        <v>1.508148148148148E-2</v>
      </c>
    </row>
    <row r="231" spans="1:5" x14ac:dyDescent="0.3">
      <c r="A231" s="4" t="s">
        <v>0</v>
      </c>
      <c r="B231" s="4" t="s">
        <v>950</v>
      </c>
      <c r="C231" s="4">
        <v>60</v>
      </c>
      <c r="D231" s="4">
        <v>90</v>
      </c>
      <c r="E231" s="14">
        <v>2.0737037037037036E-2</v>
      </c>
    </row>
    <row r="232" spans="1:5" x14ac:dyDescent="0.3">
      <c r="A232" s="4" t="s">
        <v>228</v>
      </c>
      <c r="B232" s="4" t="s">
        <v>950</v>
      </c>
      <c r="C232" s="4">
        <v>60</v>
      </c>
      <c r="D232" s="4">
        <v>90</v>
      </c>
      <c r="E232" s="14">
        <v>1.6966666666666668E-2</v>
      </c>
    </row>
    <row r="233" spans="1:5" x14ac:dyDescent="0.3">
      <c r="A233" s="4" t="s">
        <v>1043</v>
      </c>
      <c r="B233" s="4" t="s">
        <v>950</v>
      </c>
      <c r="C233" s="4">
        <v>60</v>
      </c>
      <c r="D233" s="4">
        <v>90</v>
      </c>
      <c r="E233" s="14">
        <v>1.6966666666666668E-2</v>
      </c>
    </row>
    <row r="234" spans="1:5" x14ac:dyDescent="0.3">
      <c r="A234" s="4" t="s">
        <v>1044</v>
      </c>
      <c r="B234" s="4" t="s">
        <v>950</v>
      </c>
      <c r="C234" s="4">
        <v>60</v>
      </c>
      <c r="D234" s="4">
        <v>90</v>
      </c>
      <c r="E234" s="14">
        <v>1.6966666666666668E-2</v>
      </c>
    </row>
    <row r="235" spans="1:5" x14ac:dyDescent="0.3">
      <c r="A235" s="4" t="s">
        <v>937</v>
      </c>
      <c r="B235" s="4" t="s">
        <v>951</v>
      </c>
      <c r="C235" s="4">
        <v>70</v>
      </c>
      <c r="D235" s="4">
        <v>70</v>
      </c>
      <c r="E235" s="14">
        <v>2.0775510204081631E-2</v>
      </c>
    </row>
    <row r="236" spans="1:5" x14ac:dyDescent="0.3">
      <c r="A236" s="4" t="s">
        <v>938</v>
      </c>
      <c r="B236" s="4" t="s">
        <v>951</v>
      </c>
      <c r="C236" s="4">
        <v>70</v>
      </c>
      <c r="D236" s="4">
        <v>70</v>
      </c>
      <c r="E236" s="14">
        <v>2.0775510204081631E-2</v>
      </c>
    </row>
    <row r="237" spans="1:5" x14ac:dyDescent="0.3">
      <c r="A237" s="4" t="s">
        <v>936</v>
      </c>
      <c r="B237" s="4" t="s">
        <v>952</v>
      </c>
      <c r="C237" s="4">
        <v>60</v>
      </c>
      <c r="D237" s="4">
        <v>90</v>
      </c>
      <c r="E237" s="14">
        <v>3.0162962962962961E-2</v>
      </c>
    </row>
    <row r="238" spans="1:5" x14ac:dyDescent="0.3">
      <c r="A238" s="4" t="s">
        <v>937</v>
      </c>
      <c r="B238" s="4" t="s">
        <v>952</v>
      </c>
      <c r="C238" s="4">
        <v>60</v>
      </c>
      <c r="D238" s="4">
        <v>90</v>
      </c>
      <c r="E238" s="14">
        <v>2.0737037037037036E-2</v>
      </c>
    </row>
    <row r="239" spans="1:5" x14ac:dyDescent="0.3">
      <c r="A239" s="4" t="s">
        <v>938</v>
      </c>
      <c r="B239" s="4" t="s">
        <v>952</v>
      </c>
      <c r="C239" s="4">
        <v>60</v>
      </c>
      <c r="D239" s="4">
        <v>90</v>
      </c>
      <c r="E239" s="14">
        <v>2.4507407407407408E-2</v>
      </c>
    </row>
    <row r="240" spans="1:5" x14ac:dyDescent="0.3">
      <c r="A240" s="4" t="s">
        <v>0</v>
      </c>
      <c r="B240" s="4" t="s">
        <v>952</v>
      </c>
      <c r="C240" s="4">
        <v>60</v>
      </c>
      <c r="D240" s="4">
        <v>90</v>
      </c>
      <c r="E240" s="14">
        <v>2.0737037037037036E-2</v>
      </c>
    </row>
    <row r="241" spans="1:5" x14ac:dyDescent="0.3">
      <c r="A241" s="4" t="s">
        <v>228</v>
      </c>
      <c r="B241" s="4" t="s">
        <v>952</v>
      </c>
      <c r="C241" s="4">
        <v>60</v>
      </c>
      <c r="D241" s="4">
        <v>90</v>
      </c>
      <c r="E241" s="14">
        <v>1.6966666666666668E-2</v>
      </c>
    </row>
    <row r="242" spans="1:5" x14ac:dyDescent="0.3">
      <c r="A242" s="4" t="s">
        <v>1043</v>
      </c>
      <c r="B242" s="4" t="s">
        <v>952</v>
      </c>
      <c r="C242" s="4">
        <v>60</v>
      </c>
      <c r="D242" s="4">
        <v>90</v>
      </c>
      <c r="E242" s="14">
        <v>1.6966666666666668E-2</v>
      </c>
    </row>
    <row r="243" spans="1:5" x14ac:dyDescent="0.3">
      <c r="A243" s="4" t="s">
        <v>1044</v>
      </c>
      <c r="B243" s="4" t="s">
        <v>952</v>
      </c>
      <c r="C243" s="4">
        <v>60</v>
      </c>
      <c r="D243" s="4">
        <v>90</v>
      </c>
      <c r="E243" s="14">
        <v>1.6966666666666668E-2</v>
      </c>
    </row>
    <row r="244" spans="1:5" x14ac:dyDescent="0.3">
      <c r="A244" s="4" t="s">
        <v>936</v>
      </c>
      <c r="B244" s="4" t="s">
        <v>953</v>
      </c>
      <c r="C244" s="4">
        <v>90</v>
      </c>
      <c r="D244" s="4">
        <v>60</v>
      </c>
      <c r="E244" s="14">
        <v>3.3933333333333336E-2</v>
      </c>
    </row>
    <row r="245" spans="1:5" x14ac:dyDescent="0.3">
      <c r="A245" s="4" t="s">
        <v>937</v>
      </c>
      <c r="B245" s="4" t="s">
        <v>953</v>
      </c>
      <c r="C245" s="4">
        <v>90</v>
      </c>
      <c r="D245" s="4">
        <v>60</v>
      </c>
      <c r="E245" s="14">
        <v>2.0737037037037036E-2</v>
      </c>
    </row>
    <row r="246" spans="1:5" x14ac:dyDescent="0.3">
      <c r="A246" s="4" t="s">
        <v>938</v>
      </c>
      <c r="B246" s="4" t="s">
        <v>953</v>
      </c>
      <c r="C246" s="4">
        <v>90</v>
      </c>
      <c r="D246" s="4">
        <v>60</v>
      </c>
      <c r="E246" s="14">
        <v>2.4507407407407408E-2</v>
      </c>
    </row>
    <row r="247" spans="1:5" x14ac:dyDescent="0.3">
      <c r="A247" s="4" t="s">
        <v>0</v>
      </c>
      <c r="B247" s="4" t="s">
        <v>953</v>
      </c>
      <c r="C247" s="4">
        <v>90</v>
      </c>
      <c r="D247" s="4">
        <v>60</v>
      </c>
      <c r="E247" s="14">
        <v>2.0737037037037036E-2</v>
      </c>
    </row>
    <row r="248" spans="1:5" x14ac:dyDescent="0.3">
      <c r="A248" s="4" t="s">
        <v>228</v>
      </c>
      <c r="B248" s="4" t="s">
        <v>953</v>
      </c>
      <c r="C248" s="4">
        <v>90</v>
      </c>
      <c r="D248" s="4">
        <v>60</v>
      </c>
      <c r="E248" s="14">
        <v>1.6966666666666668E-2</v>
      </c>
    </row>
    <row r="249" spans="1:5" x14ac:dyDescent="0.3">
      <c r="A249" s="4" t="s">
        <v>1043</v>
      </c>
      <c r="B249" s="4" t="s">
        <v>953</v>
      </c>
      <c r="C249" s="4">
        <v>90</v>
      </c>
      <c r="D249" s="4">
        <v>60</v>
      </c>
      <c r="E249" s="14">
        <v>1.6966666666666668E-2</v>
      </c>
    </row>
    <row r="250" spans="1:5" x14ac:dyDescent="0.3">
      <c r="A250" s="4" t="s">
        <v>1044</v>
      </c>
      <c r="B250" s="4" t="s">
        <v>953</v>
      </c>
      <c r="C250" s="4">
        <v>90</v>
      </c>
      <c r="D250" s="4">
        <v>60</v>
      </c>
      <c r="E250" s="14">
        <v>1.6966666666666668E-2</v>
      </c>
    </row>
    <row r="251" spans="1:5" x14ac:dyDescent="0.3">
      <c r="A251" s="4" t="s">
        <v>294</v>
      </c>
      <c r="B251" s="4" t="s">
        <v>954</v>
      </c>
      <c r="C251" s="4">
        <v>90</v>
      </c>
      <c r="D251" s="4">
        <v>90</v>
      </c>
      <c r="E251" s="14">
        <v>1.2567901234567901E-2</v>
      </c>
    </row>
    <row r="252" spans="1:5" x14ac:dyDescent="0.3">
      <c r="A252" s="4" t="s">
        <v>1002</v>
      </c>
      <c r="B252" s="4" t="s">
        <v>954</v>
      </c>
      <c r="C252" s="4">
        <v>90</v>
      </c>
      <c r="D252" s="4">
        <v>90</v>
      </c>
      <c r="E252" s="14">
        <v>1.2567901234567901E-2</v>
      </c>
    </row>
    <row r="253" spans="1:5" x14ac:dyDescent="0.3">
      <c r="A253" s="4" t="s">
        <v>1003</v>
      </c>
      <c r="B253" s="4" t="s">
        <v>954</v>
      </c>
      <c r="C253" s="4">
        <v>90</v>
      </c>
      <c r="D253" s="4">
        <v>90</v>
      </c>
      <c r="E253" s="14">
        <v>1.2567901234567901E-2</v>
      </c>
    </row>
    <row r="254" spans="1:5" x14ac:dyDescent="0.3">
      <c r="A254" s="4" t="s">
        <v>1032</v>
      </c>
      <c r="B254" s="4" t="s">
        <v>954</v>
      </c>
      <c r="C254" s="4">
        <v>90</v>
      </c>
      <c r="D254" s="4">
        <v>90</v>
      </c>
      <c r="E254" s="14">
        <v>1.2567901234567901E-2</v>
      </c>
    </row>
    <row r="255" spans="1:5" x14ac:dyDescent="0.3">
      <c r="A255" s="4" t="s">
        <v>1033</v>
      </c>
      <c r="B255" s="4" t="s">
        <v>954</v>
      </c>
      <c r="C255" s="4">
        <v>90</v>
      </c>
      <c r="D255" s="4">
        <v>90</v>
      </c>
      <c r="E255" s="14">
        <v>1.2567901234567901E-2</v>
      </c>
    </row>
    <row r="256" spans="1:5" x14ac:dyDescent="0.3">
      <c r="A256" s="4" t="s">
        <v>1034</v>
      </c>
      <c r="B256" s="4" t="s">
        <v>954</v>
      </c>
      <c r="C256" s="4">
        <v>90</v>
      </c>
      <c r="D256" s="4">
        <v>90</v>
      </c>
      <c r="E256" s="14">
        <v>1.2567901234567901E-2</v>
      </c>
    </row>
    <row r="257" spans="1:5" x14ac:dyDescent="0.3">
      <c r="A257" s="4" t="s">
        <v>1035</v>
      </c>
      <c r="B257" s="4" t="s">
        <v>954</v>
      </c>
      <c r="C257" s="4">
        <v>90</v>
      </c>
      <c r="D257" s="4">
        <v>90</v>
      </c>
      <c r="E257" s="14">
        <v>1.2567901234567901E-2</v>
      </c>
    </row>
    <row r="258" spans="1:5" x14ac:dyDescent="0.3">
      <c r="A258" s="4" t="s">
        <v>1036</v>
      </c>
      <c r="B258" s="4" t="s">
        <v>954</v>
      </c>
      <c r="C258" s="4">
        <v>90</v>
      </c>
      <c r="D258" s="4">
        <v>90</v>
      </c>
      <c r="E258" s="14">
        <v>1.2567901234567901E-2</v>
      </c>
    </row>
    <row r="259" spans="1:5" x14ac:dyDescent="0.3">
      <c r="A259" s="4" t="s">
        <v>1037</v>
      </c>
      <c r="B259" s="4" t="s">
        <v>954</v>
      </c>
      <c r="C259" s="4">
        <v>90</v>
      </c>
      <c r="D259" s="4">
        <v>90</v>
      </c>
      <c r="E259" s="14">
        <v>1.2567901234567901E-2</v>
      </c>
    </row>
    <row r="260" spans="1:5" x14ac:dyDescent="0.3">
      <c r="A260" s="4" t="s">
        <v>1038</v>
      </c>
      <c r="B260" s="4" t="s">
        <v>954</v>
      </c>
      <c r="C260" s="4">
        <v>90</v>
      </c>
      <c r="D260" s="4">
        <v>90</v>
      </c>
      <c r="E260" s="14">
        <v>1.7595061728395058E-2</v>
      </c>
    </row>
    <row r="261" spans="1:5" x14ac:dyDescent="0.3">
      <c r="A261" s="4" t="s">
        <v>1039</v>
      </c>
      <c r="B261" s="4" t="s">
        <v>954</v>
      </c>
      <c r="C261" s="4">
        <v>90</v>
      </c>
      <c r="D261" s="4">
        <v>90</v>
      </c>
      <c r="E261" s="14">
        <v>1.7595061728395058E-2</v>
      </c>
    </row>
    <row r="262" spans="1:5" x14ac:dyDescent="0.3">
      <c r="A262" s="4" t="s">
        <v>1040</v>
      </c>
      <c r="B262" s="4" t="s">
        <v>954</v>
      </c>
      <c r="C262" s="4">
        <v>90</v>
      </c>
      <c r="D262" s="4">
        <v>90</v>
      </c>
      <c r="E262" s="14">
        <v>1.7595061728395058E-2</v>
      </c>
    </row>
    <row r="263" spans="1:5" x14ac:dyDescent="0.3">
      <c r="A263" s="4" t="s">
        <v>1041</v>
      </c>
      <c r="B263" s="4" t="s">
        <v>954</v>
      </c>
      <c r="C263" s="4">
        <v>90</v>
      </c>
      <c r="D263" s="4">
        <v>90</v>
      </c>
      <c r="E263" s="14">
        <v>1.7595061728395058E-2</v>
      </c>
    </row>
    <row r="264" spans="1:5" x14ac:dyDescent="0.3">
      <c r="A264" s="4" t="s">
        <v>1042</v>
      </c>
      <c r="B264" s="4" t="s">
        <v>954</v>
      </c>
      <c r="C264" s="4">
        <v>90</v>
      </c>
      <c r="D264" s="4">
        <v>110</v>
      </c>
      <c r="E264" s="14">
        <v>1.5424242424242424E-2</v>
      </c>
    </row>
    <row r="265" spans="1:5" x14ac:dyDescent="0.3">
      <c r="A265" s="4" t="s">
        <v>936</v>
      </c>
      <c r="B265" s="4" t="s">
        <v>954</v>
      </c>
      <c r="C265" s="4">
        <v>90</v>
      </c>
      <c r="D265" s="4">
        <v>110</v>
      </c>
      <c r="E265" s="14">
        <v>2.4818181818181816E-2</v>
      </c>
    </row>
    <row r="266" spans="1:5" x14ac:dyDescent="0.3">
      <c r="A266" s="4" t="s">
        <v>937</v>
      </c>
      <c r="B266" s="4" t="s">
        <v>954</v>
      </c>
      <c r="C266" s="4">
        <v>90</v>
      </c>
      <c r="D266" s="4">
        <v>110</v>
      </c>
      <c r="E266" s="14">
        <v>2.4818181818181816E-2</v>
      </c>
    </row>
    <row r="267" spans="1:5" x14ac:dyDescent="0.3">
      <c r="A267" s="4" t="s">
        <v>938</v>
      </c>
      <c r="B267" s="4" t="s">
        <v>954</v>
      </c>
      <c r="C267" s="4">
        <v>90</v>
      </c>
      <c r="D267" s="4">
        <v>130</v>
      </c>
      <c r="E267" s="14">
        <v>3.3599999999999998E-2</v>
      </c>
    </row>
    <row r="268" spans="1:5" x14ac:dyDescent="0.3">
      <c r="A268" s="4" t="s">
        <v>0</v>
      </c>
      <c r="B268" s="4" t="s">
        <v>954</v>
      </c>
      <c r="C268" s="4">
        <v>90</v>
      </c>
      <c r="D268" s="4">
        <v>130</v>
      </c>
      <c r="E268" s="14">
        <v>1.044102564102564E-2</v>
      </c>
    </row>
    <row r="269" spans="1:5" x14ac:dyDescent="0.3">
      <c r="A269" s="4" t="s">
        <v>228</v>
      </c>
      <c r="B269" s="4" t="s">
        <v>954</v>
      </c>
      <c r="C269" s="4">
        <v>90</v>
      </c>
      <c r="D269" s="4">
        <v>130</v>
      </c>
      <c r="E269" s="14">
        <v>1.044102564102564E-2</v>
      </c>
    </row>
    <row r="270" spans="1:5" x14ac:dyDescent="0.3">
      <c r="A270" s="4" t="s">
        <v>1043</v>
      </c>
      <c r="B270" s="4" t="s">
        <v>954</v>
      </c>
      <c r="C270" s="4">
        <v>90</v>
      </c>
      <c r="D270" s="4">
        <v>130</v>
      </c>
      <c r="E270" s="14">
        <v>1.044102564102564E-2</v>
      </c>
    </row>
    <row r="271" spans="1:5" x14ac:dyDescent="0.3">
      <c r="A271" s="4" t="s">
        <v>1044</v>
      </c>
      <c r="B271" s="4" t="s">
        <v>954</v>
      </c>
      <c r="C271" s="4">
        <v>90</v>
      </c>
      <c r="D271" s="4">
        <v>130</v>
      </c>
      <c r="E271" s="14">
        <v>1.044102564102564E-2</v>
      </c>
    </row>
    <row r="272" spans="1:5" x14ac:dyDescent="0.3">
      <c r="A272" s="4" t="s">
        <v>936</v>
      </c>
      <c r="B272" s="4" t="s">
        <v>955</v>
      </c>
      <c r="C272" s="4">
        <v>90</v>
      </c>
      <c r="D272" s="4">
        <v>60</v>
      </c>
      <c r="E272" s="14">
        <v>3.3933333333333336E-2</v>
      </c>
    </row>
    <row r="273" spans="1:5" x14ac:dyDescent="0.3">
      <c r="A273" s="4" t="s">
        <v>937</v>
      </c>
      <c r="B273" s="4" t="s">
        <v>955</v>
      </c>
      <c r="C273" s="4">
        <v>90</v>
      </c>
      <c r="D273" s="4">
        <v>60</v>
      </c>
      <c r="E273" s="14">
        <v>2.4507407407407408E-2</v>
      </c>
    </row>
    <row r="274" spans="1:5" x14ac:dyDescent="0.3">
      <c r="A274" s="4" t="s">
        <v>938</v>
      </c>
      <c r="B274" s="4" t="s">
        <v>955</v>
      </c>
      <c r="C274" s="4">
        <v>90</v>
      </c>
      <c r="D274" s="4">
        <v>60</v>
      </c>
      <c r="E274" s="14">
        <v>2.0737037037037036E-2</v>
      </c>
    </row>
    <row r="275" spans="1:5" x14ac:dyDescent="0.3">
      <c r="A275" s="4" t="s">
        <v>0</v>
      </c>
      <c r="B275" s="4" t="s">
        <v>955</v>
      </c>
      <c r="C275" s="4">
        <v>90</v>
      </c>
      <c r="D275" s="4">
        <v>60</v>
      </c>
      <c r="E275" s="14">
        <v>2.0737037037037036E-2</v>
      </c>
    </row>
    <row r="276" spans="1:5" x14ac:dyDescent="0.3">
      <c r="A276" s="4" t="s">
        <v>228</v>
      </c>
      <c r="B276" s="4" t="s">
        <v>955</v>
      </c>
      <c r="C276" s="4">
        <v>90</v>
      </c>
      <c r="D276" s="4">
        <v>60</v>
      </c>
      <c r="E276" s="14">
        <v>1.6966666666666668E-2</v>
      </c>
    </row>
    <row r="277" spans="1:5" x14ac:dyDescent="0.3">
      <c r="A277" s="4" t="s">
        <v>1043</v>
      </c>
      <c r="B277" s="4" t="s">
        <v>955</v>
      </c>
      <c r="C277" s="4">
        <v>90</v>
      </c>
      <c r="D277" s="4">
        <v>60</v>
      </c>
      <c r="E277" s="14">
        <v>1.6966666666666668E-2</v>
      </c>
    </row>
    <row r="278" spans="1:5" x14ac:dyDescent="0.3">
      <c r="A278" s="4" t="s">
        <v>1044</v>
      </c>
      <c r="B278" s="4" t="s">
        <v>955</v>
      </c>
      <c r="C278" s="4">
        <v>90</v>
      </c>
      <c r="D278" s="4">
        <v>60</v>
      </c>
      <c r="E278" s="14">
        <v>1.6966666666666668E-2</v>
      </c>
    </row>
    <row r="279" spans="1:5" x14ac:dyDescent="0.3">
      <c r="A279" s="4" t="s">
        <v>936</v>
      </c>
      <c r="B279" s="4" t="s">
        <v>956</v>
      </c>
      <c r="C279" s="4">
        <v>90</v>
      </c>
      <c r="D279" s="4">
        <v>60</v>
      </c>
      <c r="E279" s="14">
        <v>3.5818518518518513E-2</v>
      </c>
    </row>
    <row r="280" spans="1:5" x14ac:dyDescent="0.3">
      <c r="A280" s="4" t="s">
        <v>937</v>
      </c>
      <c r="B280" s="4" t="s">
        <v>956</v>
      </c>
      <c r="C280" s="4">
        <v>90</v>
      </c>
      <c r="D280" s="4">
        <v>60</v>
      </c>
      <c r="E280" s="14">
        <v>2.4507407407407408E-2</v>
      </c>
    </row>
    <row r="281" spans="1:5" x14ac:dyDescent="0.3">
      <c r="A281" s="4" t="s">
        <v>938</v>
      </c>
      <c r="B281" s="4" t="s">
        <v>956</v>
      </c>
      <c r="C281" s="4">
        <v>90</v>
      </c>
      <c r="D281" s="4">
        <v>60</v>
      </c>
      <c r="E281" s="14">
        <v>2.4507407407407408E-2</v>
      </c>
    </row>
    <row r="282" spans="1:5" x14ac:dyDescent="0.3">
      <c r="A282" s="4" t="s">
        <v>0</v>
      </c>
      <c r="B282" s="4" t="s">
        <v>956</v>
      </c>
      <c r="C282" s="4">
        <v>90</v>
      </c>
      <c r="D282" s="4">
        <v>60</v>
      </c>
      <c r="E282" s="14">
        <v>2.0737037037037036E-2</v>
      </c>
    </row>
    <row r="283" spans="1:5" x14ac:dyDescent="0.3">
      <c r="A283" s="4" t="s">
        <v>228</v>
      </c>
      <c r="B283" s="4" t="s">
        <v>956</v>
      </c>
      <c r="C283" s="4">
        <v>90</v>
      </c>
      <c r="D283" s="4">
        <v>60</v>
      </c>
      <c r="E283" s="14">
        <v>1.6966666666666668E-2</v>
      </c>
    </row>
    <row r="284" spans="1:5" x14ac:dyDescent="0.3">
      <c r="A284" s="4" t="s">
        <v>1043</v>
      </c>
      <c r="B284" s="4" t="s">
        <v>956</v>
      </c>
      <c r="C284" s="4">
        <v>90</v>
      </c>
      <c r="D284" s="4">
        <v>60</v>
      </c>
      <c r="E284" s="14">
        <v>1.6966666666666668E-2</v>
      </c>
    </row>
    <row r="285" spans="1:5" x14ac:dyDescent="0.3">
      <c r="A285" s="4" t="s">
        <v>1044</v>
      </c>
      <c r="B285" s="4" t="s">
        <v>956</v>
      </c>
      <c r="C285" s="4">
        <v>90</v>
      </c>
      <c r="D285" s="4">
        <v>60</v>
      </c>
      <c r="E285" s="14">
        <v>1.6966666666666668E-2</v>
      </c>
    </row>
    <row r="286" spans="1:5" x14ac:dyDescent="0.3">
      <c r="A286" s="4" t="s">
        <v>936</v>
      </c>
      <c r="B286" s="4" t="s">
        <v>957</v>
      </c>
      <c r="C286" s="4">
        <v>90</v>
      </c>
      <c r="D286" s="4">
        <v>60</v>
      </c>
      <c r="E286" s="14">
        <v>2.4507407407407408E-2</v>
      </c>
    </row>
    <row r="287" spans="1:5" x14ac:dyDescent="0.3">
      <c r="A287" s="4" t="s">
        <v>937</v>
      </c>
      <c r="B287" s="4" t="s">
        <v>957</v>
      </c>
      <c r="C287" s="4">
        <v>90</v>
      </c>
      <c r="D287" s="4">
        <v>60</v>
      </c>
      <c r="E287" s="14">
        <v>1.8851851851851852E-2</v>
      </c>
    </row>
    <row r="288" spans="1:5" x14ac:dyDescent="0.3">
      <c r="A288" s="4" t="s">
        <v>938</v>
      </c>
      <c r="B288" s="4" t="s">
        <v>957</v>
      </c>
      <c r="C288" s="4">
        <v>90</v>
      </c>
      <c r="D288" s="4">
        <v>60</v>
      </c>
      <c r="E288" s="14">
        <v>3.0162962962962961E-2</v>
      </c>
    </row>
    <row r="289" spans="1:5" x14ac:dyDescent="0.3">
      <c r="A289" s="4" t="s">
        <v>0</v>
      </c>
      <c r="B289" s="4" t="s">
        <v>957</v>
      </c>
      <c r="C289" s="4">
        <v>90</v>
      </c>
      <c r="D289" s="4">
        <v>60</v>
      </c>
      <c r="E289" s="14">
        <v>2.0737037037037036E-2</v>
      </c>
    </row>
    <row r="290" spans="1:5" x14ac:dyDescent="0.3">
      <c r="A290" s="4" t="s">
        <v>228</v>
      </c>
      <c r="B290" s="4" t="s">
        <v>957</v>
      </c>
      <c r="C290" s="4">
        <v>90</v>
      </c>
      <c r="D290" s="4">
        <v>60</v>
      </c>
      <c r="E290" s="14">
        <v>1.6966666666666668E-2</v>
      </c>
    </row>
    <row r="291" spans="1:5" x14ac:dyDescent="0.3">
      <c r="A291" s="4" t="s">
        <v>1043</v>
      </c>
      <c r="B291" s="4" t="s">
        <v>957</v>
      </c>
      <c r="C291" s="4">
        <v>90</v>
      </c>
      <c r="D291" s="4">
        <v>60</v>
      </c>
      <c r="E291" s="14">
        <v>1.6966666666666668E-2</v>
      </c>
    </row>
    <row r="292" spans="1:5" x14ac:dyDescent="0.3">
      <c r="A292" s="4" t="s">
        <v>1044</v>
      </c>
      <c r="B292" s="4" t="s">
        <v>957</v>
      </c>
      <c r="C292" s="4">
        <v>90</v>
      </c>
      <c r="D292" s="4">
        <v>60</v>
      </c>
      <c r="E292" s="14">
        <v>1.6966666666666668E-2</v>
      </c>
    </row>
    <row r="293" spans="1:5" x14ac:dyDescent="0.3">
      <c r="A293" s="4" t="s">
        <v>0</v>
      </c>
      <c r="B293" s="4" t="s">
        <v>1093</v>
      </c>
      <c r="C293" s="4">
        <v>60</v>
      </c>
      <c r="D293" s="4">
        <v>50</v>
      </c>
      <c r="E293" s="14">
        <v>3.0540000000000001E-2</v>
      </c>
    </row>
    <row r="294" spans="1:5" x14ac:dyDescent="0.3">
      <c r="A294" s="4" t="s">
        <v>228</v>
      </c>
      <c r="B294" s="4" t="s">
        <v>1093</v>
      </c>
      <c r="C294" s="4">
        <v>60</v>
      </c>
      <c r="D294" s="4">
        <v>50</v>
      </c>
      <c r="E294" s="14">
        <v>2.3753333333333331E-2</v>
      </c>
    </row>
    <row r="295" spans="1:5" x14ac:dyDescent="0.3">
      <c r="A295" s="4" t="s">
        <v>1043</v>
      </c>
      <c r="B295" s="4" t="s">
        <v>1093</v>
      </c>
      <c r="C295" s="4">
        <v>60</v>
      </c>
      <c r="D295" s="4">
        <v>50</v>
      </c>
      <c r="E295" s="14">
        <v>2.3753333333333331E-2</v>
      </c>
    </row>
    <row r="296" spans="1:5" x14ac:dyDescent="0.3">
      <c r="A296" s="4" t="s">
        <v>1044</v>
      </c>
      <c r="B296" s="4" t="s">
        <v>1093</v>
      </c>
      <c r="C296" s="4">
        <v>60</v>
      </c>
      <c r="D296" s="4">
        <v>50</v>
      </c>
      <c r="E296" s="14">
        <v>3.7326666666666661E-2</v>
      </c>
    </row>
    <row r="297" spans="1:5" x14ac:dyDescent="0.3">
      <c r="A297" s="4" t="s">
        <v>294</v>
      </c>
      <c r="B297" s="4" t="s">
        <v>958</v>
      </c>
      <c r="C297" s="4">
        <v>90</v>
      </c>
      <c r="D297" s="4">
        <v>90</v>
      </c>
      <c r="E297" s="14">
        <v>1.2567901234567901E-2</v>
      </c>
    </row>
    <row r="298" spans="1:5" x14ac:dyDescent="0.3">
      <c r="A298" s="4" t="s">
        <v>1002</v>
      </c>
      <c r="B298" s="4" t="s">
        <v>958</v>
      </c>
      <c r="C298" s="4">
        <v>90</v>
      </c>
      <c r="D298" s="4">
        <v>90</v>
      </c>
      <c r="E298" s="14">
        <v>1.2567901234567901E-2</v>
      </c>
    </row>
    <row r="299" spans="1:5" x14ac:dyDescent="0.3">
      <c r="A299" s="4" t="s">
        <v>1003</v>
      </c>
      <c r="B299" s="4" t="s">
        <v>958</v>
      </c>
      <c r="C299" s="4">
        <v>90</v>
      </c>
      <c r="D299" s="4">
        <v>90</v>
      </c>
      <c r="E299" s="14">
        <v>1.2567901234567901E-2</v>
      </c>
    </row>
    <row r="300" spans="1:5" x14ac:dyDescent="0.3">
      <c r="A300" s="4" t="s">
        <v>1032</v>
      </c>
      <c r="B300" s="4" t="s">
        <v>958</v>
      </c>
      <c r="C300" s="4">
        <v>90</v>
      </c>
      <c r="D300" s="4">
        <v>90</v>
      </c>
      <c r="E300" s="14">
        <v>1.2567901234567901E-2</v>
      </c>
    </row>
    <row r="301" spans="1:5" x14ac:dyDescent="0.3">
      <c r="A301" s="4" t="s">
        <v>1033</v>
      </c>
      <c r="B301" s="4" t="s">
        <v>958</v>
      </c>
      <c r="C301" s="4">
        <v>90</v>
      </c>
      <c r="D301" s="4">
        <v>90</v>
      </c>
      <c r="E301" s="14">
        <v>1.2567901234567901E-2</v>
      </c>
    </row>
    <row r="302" spans="1:5" x14ac:dyDescent="0.3">
      <c r="A302" s="4" t="s">
        <v>1034</v>
      </c>
      <c r="B302" s="4" t="s">
        <v>958</v>
      </c>
      <c r="C302" s="4">
        <v>90</v>
      </c>
      <c r="D302" s="4">
        <v>90</v>
      </c>
      <c r="E302" s="14">
        <v>1.2567901234567901E-2</v>
      </c>
    </row>
    <row r="303" spans="1:5" x14ac:dyDescent="0.3">
      <c r="A303" s="4" t="s">
        <v>1035</v>
      </c>
      <c r="B303" s="4" t="s">
        <v>958</v>
      </c>
      <c r="C303" s="4">
        <v>90</v>
      </c>
      <c r="D303" s="4">
        <v>90</v>
      </c>
      <c r="E303" s="14">
        <v>1.2567901234567901E-2</v>
      </c>
    </row>
    <row r="304" spans="1:5" x14ac:dyDescent="0.3">
      <c r="A304" s="4" t="s">
        <v>1036</v>
      </c>
      <c r="B304" s="4" t="s">
        <v>958</v>
      </c>
      <c r="C304" s="4">
        <v>90</v>
      </c>
      <c r="D304" s="4">
        <v>90</v>
      </c>
      <c r="E304" s="14">
        <v>1.2567901234567901E-2</v>
      </c>
    </row>
    <row r="305" spans="1:5" x14ac:dyDescent="0.3">
      <c r="A305" s="4" t="s">
        <v>1037</v>
      </c>
      <c r="B305" s="4" t="s">
        <v>958</v>
      </c>
      <c r="C305" s="4">
        <v>90</v>
      </c>
      <c r="D305" s="4">
        <v>90</v>
      </c>
      <c r="E305" s="14">
        <v>1.2567901234567901E-2</v>
      </c>
    </row>
    <row r="306" spans="1:5" x14ac:dyDescent="0.3">
      <c r="A306" s="4" t="s">
        <v>1038</v>
      </c>
      <c r="B306" s="4" t="s">
        <v>958</v>
      </c>
      <c r="C306" s="4">
        <v>90</v>
      </c>
      <c r="D306" s="4">
        <v>90</v>
      </c>
      <c r="E306" s="14">
        <v>1.2567901234567901E-2</v>
      </c>
    </row>
    <row r="307" spans="1:5" x14ac:dyDescent="0.3">
      <c r="A307" s="4" t="s">
        <v>1039</v>
      </c>
      <c r="B307" s="4" t="s">
        <v>958</v>
      </c>
      <c r="C307" s="4">
        <v>90</v>
      </c>
      <c r="D307" s="4">
        <v>90</v>
      </c>
      <c r="E307" s="14">
        <v>1.2567901234567901E-2</v>
      </c>
    </row>
    <row r="308" spans="1:5" x14ac:dyDescent="0.3">
      <c r="A308" s="4" t="s">
        <v>1040</v>
      </c>
      <c r="B308" s="4" t="s">
        <v>958</v>
      </c>
      <c r="C308" s="4">
        <v>90</v>
      </c>
      <c r="D308" s="4">
        <v>90</v>
      </c>
      <c r="E308" s="14">
        <v>1.2567901234567901E-2</v>
      </c>
    </row>
    <row r="309" spans="1:5" x14ac:dyDescent="0.3">
      <c r="A309" s="4" t="s">
        <v>1041</v>
      </c>
      <c r="B309" s="4" t="s">
        <v>958</v>
      </c>
      <c r="C309" s="4">
        <v>90</v>
      </c>
      <c r="D309" s="4">
        <v>90</v>
      </c>
      <c r="E309" s="14">
        <v>2.0108641975308643E-2</v>
      </c>
    </row>
    <row r="310" spans="1:5" x14ac:dyDescent="0.3">
      <c r="A310" s="4" t="s">
        <v>1042</v>
      </c>
      <c r="B310" s="4" t="s">
        <v>958</v>
      </c>
      <c r="C310" s="4">
        <v>130</v>
      </c>
      <c r="D310" s="4">
        <v>90</v>
      </c>
      <c r="E310" s="14">
        <v>1.3921367521367521E-2</v>
      </c>
    </row>
    <row r="311" spans="1:5" x14ac:dyDescent="0.3">
      <c r="A311" s="4" t="s">
        <v>936</v>
      </c>
      <c r="B311" s="4" t="s">
        <v>958</v>
      </c>
      <c r="C311" s="4">
        <v>130</v>
      </c>
      <c r="D311" s="4">
        <v>90</v>
      </c>
      <c r="E311" s="14">
        <v>1.3921367521367521E-2</v>
      </c>
    </row>
    <row r="312" spans="1:5" x14ac:dyDescent="0.3">
      <c r="A312" s="4" t="s">
        <v>937</v>
      </c>
      <c r="B312" s="4" t="s">
        <v>958</v>
      </c>
      <c r="C312" s="4">
        <v>130</v>
      </c>
      <c r="D312" s="4">
        <v>90</v>
      </c>
      <c r="E312" s="14">
        <v>2.24E-2</v>
      </c>
    </row>
    <row r="313" spans="1:5" x14ac:dyDescent="0.3">
      <c r="A313" s="4" t="s">
        <v>938</v>
      </c>
      <c r="B313" s="4" t="s">
        <v>958</v>
      </c>
      <c r="C313" s="4">
        <v>145</v>
      </c>
      <c r="D313" s="4">
        <v>90</v>
      </c>
      <c r="E313" s="14">
        <v>2.2593103448275861E-2</v>
      </c>
    </row>
    <row r="314" spans="1:5" x14ac:dyDescent="0.3">
      <c r="A314" s="4" t="s">
        <v>0</v>
      </c>
      <c r="B314" s="4" t="s">
        <v>958</v>
      </c>
      <c r="C314" s="4">
        <v>145</v>
      </c>
      <c r="D314" s="4">
        <v>90</v>
      </c>
      <c r="E314" s="14">
        <v>1.5601532567049808E-2</v>
      </c>
    </row>
    <row r="315" spans="1:5" x14ac:dyDescent="0.3">
      <c r="A315" s="4" t="s">
        <v>228</v>
      </c>
      <c r="B315" s="4" t="s">
        <v>958</v>
      </c>
      <c r="C315" s="4">
        <v>145</v>
      </c>
      <c r="D315" s="4">
        <v>90</v>
      </c>
      <c r="E315" s="14">
        <v>1.0140996168582377E-2</v>
      </c>
    </row>
    <row r="316" spans="1:5" x14ac:dyDescent="0.3">
      <c r="A316" s="4" t="s">
        <v>1043</v>
      </c>
      <c r="B316" s="4" t="s">
        <v>958</v>
      </c>
      <c r="C316" s="4">
        <v>145</v>
      </c>
      <c r="D316" s="4">
        <v>90</v>
      </c>
      <c r="E316" s="14">
        <v>1.0140996168582377E-2</v>
      </c>
    </row>
    <row r="317" spans="1:5" x14ac:dyDescent="0.3">
      <c r="A317" s="4" t="s">
        <v>1044</v>
      </c>
      <c r="B317" s="4" t="s">
        <v>958</v>
      </c>
      <c r="C317" s="4">
        <v>145</v>
      </c>
      <c r="D317" s="4">
        <v>90</v>
      </c>
      <c r="E317" s="14">
        <v>1.0140996168582377E-2</v>
      </c>
    </row>
    <row r="318" spans="1:5" x14ac:dyDescent="0.3">
      <c r="A318" s="4" t="s">
        <v>937</v>
      </c>
      <c r="B318" s="4" t="s">
        <v>1046</v>
      </c>
      <c r="C318" s="4">
        <v>70</v>
      </c>
      <c r="D318" s="4">
        <v>70</v>
      </c>
      <c r="E318" s="14">
        <v>2.0775510204081631E-2</v>
      </c>
    </row>
    <row r="319" spans="1:5" x14ac:dyDescent="0.3">
      <c r="A319" s="4" t="s">
        <v>938</v>
      </c>
      <c r="B319" s="4" t="s">
        <v>1046</v>
      </c>
      <c r="C319" s="4">
        <v>70</v>
      </c>
      <c r="D319" s="4">
        <v>70</v>
      </c>
      <c r="E319" s="14">
        <v>2.0775510204081631E-2</v>
      </c>
    </row>
    <row r="320" spans="1:5" x14ac:dyDescent="0.3">
      <c r="A320" s="4" t="s">
        <v>0</v>
      </c>
      <c r="B320" s="4" t="s">
        <v>1046</v>
      </c>
      <c r="C320" s="4">
        <v>70</v>
      </c>
      <c r="D320" s="4">
        <v>70</v>
      </c>
      <c r="E320" s="14">
        <v>2.0775510204081631E-2</v>
      </c>
    </row>
    <row r="321" spans="1:5" x14ac:dyDescent="0.3">
      <c r="A321" s="4" t="s">
        <v>294</v>
      </c>
      <c r="B321" s="4" t="s">
        <v>959</v>
      </c>
      <c r="C321" s="4">
        <v>105</v>
      </c>
      <c r="D321" s="4">
        <v>80</v>
      </c>
      <c r="E321" s="14">
        <v>1.3330952380952379E-2</v>
      </c>
    </row>
    <row r="322" spans="1:5" x14ac:dyDescent="0.3">
      <c r="A322" s="4" t="s">
        <v>1002</v>
      </c>
      <c r="B322" s="4" t="s">
        <v>959</v>
      </c>
      <c r="C322" s="4">
        <v>105</v>
      </c>
      <c r="D322" s="4">
        <v>80</v>
      </c>
      <c r="E322" s="14">
        <v>1.3330952380952379E-2</v>
      </c>
    </row>
    <row r="323" spans="1:5" x14ac:dyDescent="0.3">
      <c r="A323" s="4" t="s">
        <v>1003</v>
      </c>
      <c r="B323" s="4" t="s">
        <v>959</v>
      </c>
      <c r="C323" s="4">
        <v>105</v>
      </c>
      <c r="D323" s="4">
        <v>80</v>
      </c>
      <c r="E323" s="14">
        <v>1.3330952380952379E-2</v>
      </c>
    </row>
    <row r="324" spans="1:5" x14ac:dyDescent="0.3">
      <c r="A324" s="4" t="s">
        <v>1032</v>
      </c>
      <c r="B324" s="4" t="s">
        <v>959</v>
      </c>
      <c r="C324" s="4">
        <v>105</v>
      </c>
      <c r="D324" s="4">
        <v>80</v>
      </c>
      <c r="E324" s="14">
        <v>1.3330952380952379E-2</v>
      </c>
    </row>
    <row r="325" spans="1:5" x14ac:dyDescent="0.3">
      <c r="A325" s="4" t="s">
        <v>1033</v>
      </c>
      <c r="B325" s="4" t="s">
        <v>959</v>
      </c>
      <c r="C325" s="4">
        <v>105</v>
      </c>
      <c r="D325" s="4">
        <v>80</v>
      </c>
      <c r="E325" s="14">
        <v>1.3330952380952379E-2</v>
      </c>
    </row>
    <row r="326" spans="1:5" x14ac:dyDescent="0.3">
      <c r="A326" s="4" t="s">
        <v>1034</v>
      </c>
      <c r="B326" s="4" t="s">
        <v>959</v>
      </c>
      <c r="C326" s="4">
        <v>105</v>
      </c>
      <c r="D326" s="4">
        <v>80</v>
      </c>
      <c r="E326" s="14">
        <v>1.3330952380952379E-2</v>
      </c>
    </row>
    <row r="327" spans="1:5" x14ac:dyDescent="0.3">
      <c r="A327" s="4" t="s">
        <v>1035</v>
      </c>
      <c r="B327" s="4" t="s">
        <v>959</v>
      </c>
      <c r="C327" s="4">
        <v>105</v>
      </c>
      <c r="D327" s="4">
        <v>80</v>
      </c>
      <c r="E327" s="14">
        <v>1.3330952380952379E-2</v>
      </c>
    </row>
    <row r="328" spans="1:5" x14ac:dyDescent="0.3">
      <c r="A328" s="4" t="s">
        <v>1036</v>
      </c>
      <c r="B328" s="4" t="s">
        <v>959</v>
      </c>
      <c r="C328" s="4">
        <v>105</v>
      </c>
      <c r="D328" s="4">
        <v>80</v>
      </c>
      <c r="E328" s="14">
        <v>1.3330952380952379E-2</v>
      </c>
    </row>
    <row r="329" spans="1:5" x14ac:dyDescent="0.3">
      <c r="A329" s="4" t="s">
        <v>1037</v>
      </c>
      <c r="B329" s="4" t="s">
        <v>959</v>
      </c>
      <c r="C329" s="4">
        <v>105</v>
      </c>
      <c r="D329" s="4">
        <v>80</v>
      </c>
      <c r="E329" s="14">
        <v>1.3330952380952379E-2</v>
      </c>
    </row>
    <row r="330" spans="1:5" x14ac:dyDescent="0.3">
      <c r="A330" s="4" t="s">
        <v>1038</v>
      </c>
      <c r="B330" s="4" t="s">
        <v>959</v>
      </c>
      <c r="C330" s="4">
        <v>105</v>
      </c>
      <c r="D330" s="4">
        <v>80</v>
      </c>
      <c r="E330" s="14">
        <v>1.8178571428571426E-2</v>
      </c>
    </row>
    <row r="331" spans="1:5" x14ac:dyDescent="0.3">
      <c r="A331" s="4" t="s">
        <v>1039</v>
      </c>
      <c r="B331" s="4" t="s">
        <v>959</v>
      </c>
      <c r="C331" s="4">
        <v>105</v>
      </c>
      <c r="D331" s="4">
        <v>80</v>
      </c>
      <c r="E331" s="14">
        <v>1.8178571428571426E-2</v>
      </c>
    </row>
    <row r="332" spans="1:5" x14ac:dyDescent="0.3">
      <c r="A332" s="4" t="s">
        <v>1040</v>
      </c>
      <c r="B332" s="4" t="s">
        <v>959</v>
      </c>
      <c r="C332" s="4">
        <v>105</v>
      </c>
      <c r="D332" s="4">
        <v>80</v>
      </c>
      <c r="E332" s="14">
        <v>1.8178571428571426E-2</v>
      </c>
    </row>
    <row r="333" spans="1:5" x14ac:dyDescent="0.3">
      <c r="A333" s="4" t="s">
        <v>1041</v>
      </c>
      <c r="B333" s="4" t="s">
        <v>959</v>
      </c>
      <c r="C333" s="4">
        <v>105</v>
      </c>
      <c r="D333" s="4">
        <v>80</v>
      </c>
      <c r="E333" s="14">
        <v>1.8178571428571426E-2</v>
      </c>
    </row>
    <row r="334" spans="1:5" x14ac:dyDescent="0.3">
      <c r="A334" s="4" t="s">
        <v>1042</v>
      </c>
      <c r="B334" s="4" t="s">
        <v>959</v>
      </c>
      <c r="C334" s="4">
        <v>105</v>
      </c>
      <c r="D334" s="4">
        <v>95</v>
      </c>
      <c r="E334" s="14">
        <v>1.5308270676691728E-2</v>
      </c>
    </row>
    <row r="335" spans="1:5" x14ac:dyDescent="0.3">
      <c r="A335" s="4" t="s">
        <v>936</v>
      </c>
      <c r="B335" s="4" t="s">
        <v>959</v>
      </c>
      <c r="C335" s="4">
        <v>105</v>
      </c>
      <c r="D335" s="4">
        <v>95</v>
      </c>
      <c r="E335" s="14">
        <v>1.5308270676691728E-2</v>
      </c>
    </row>
    <row r="336" spans="1:5" x14ac:dyDescent="0.3">
      <c r="A336" s="4" t="s">
        <v>937</v>
      </c>
      <c r="B336" s="4" t="s">
        <v>959</v>
      </c>
      <c r="C336" s="4">
        <v>105</v>
      </c>
      <c r="D336" s="4">
        <v>95</v>
      </c>
      <c r="E336" s="14">
        <v>1.5308270676691728E-2</v>
      </c>
    </row>
    <row r="337" spans="1:5" x14ac:dyDescent="0.3">
      <c r="A337" s="4" t="s">
        <v>938</v>
      </c>
      <c r="B337" s="4" t="s">
        <v>959</v>
      </c>
      <c r="C337" s="4">
        <v>105</v>
      </c>
      <c r="D337" s="4">
        <v>95</v>
      </c>
      <c r="E337" s="14">
        <v>1.5308270676691728E-2</v>
      </c>
    </row>
    <row r="338" spans="1:5" x14ac:dyDescent="0.3">
      <c r="A338" s="4" t="s">
        <v>0</v>
      </c>
      <c r="B338" s="4" t="s">
        <v>959</v>
      </c>
      <c r="C338" s="4">
        <v>140</v>
      </c>
      <c r="D338" s="4">
        <v>100</v>
      </c>
      <c r="E338" s="14">
        <v>1.0179999999999998E-2</v>
      </c>
    </row>
    <row r="339" spans="1:5" x14ac:dyDescent="0.3">
      <c r="A339" s="4" t="s">
        <v>228</v>
      </c>
      <c r="B339" s="4" t="s">
        <v>959</v>
      </c>
      <c r="C339" s="4">
        <v>140</v>
      </c>
      <c r="D339" s="4">
        <v>100</v>
      </c>
      <c r="E339" s="14">
        <v>1.0179999999999998E-2</v>
      </c>
    </row>
    <row r="340" spans="1:5" x14ac:dyDescent="0.3">
      <c r="A340" s="4" t="s">
        <v>1043</v>
      </c>
      <c r="B340" s="4" t="s">
        <v>959</v>
      </c>
      <c r="C340" s="4">
        <v>140</v>
      </c>
      <c r="D340" s="4">
        <v>100</v>
      </c>
      <c r="E340" s="14">
        <v>1.0179999999999998E-2</v>
      </c>
    </row>
    <row r="341" spans="1:5" x14ac:dyDescent="0.3">
      <c r="A341" s="4" t="s">
        <v>1044</v>
      </c>
      <c r="B341" s="4" t="s">
        <v>959</v>
      </c>
      <c r="C341" s="4">
        <v>140</v>
      </c>
      <c r="D341" s="4">
        <v>100</v>
      </c>
      <c r="E341" s="14">
        <v>1.0179999999999998E-2</v>
      </c>
    </row>
    <row r="342" spans="1:5" x14ac:dyDescent="0.3">
      <c r="A342" s="4" t="s">
        <v>281</v>
      </c>
      <c r="B342" s="4" t="s">
        <v>1047</v>
      </c>
      <c r="C342" s="4">
        <v>60</v>
      </c>
      <c r="D342" s="4">
        <v>60</v>
      </c>
      <c r="E342" s="14">
        <v>2.2622222222222221E-2</v>
      </c>
    </row>
    <row r="343" spans="1:5" x14ac:dyDescent="0.3">
      <c r="A343" s="4" t="s">
        <v>1000</v>
      </c>
      <c r="B343" s="4" t="s">
        <v>1047</v>
      </c>
      <c r="C343" s="4">
        <v>60</v>
      </c>
      <c r="D343" s="4">
        <v>60</v>
      </c>
      <c r="E343" s="14">
        <v>2.2622222222222221E-2</v>
      </c>
    </row>
    <row r="344" spans="1:5" x14ac:dyDescent="0.3">
      <c r="A344" s="4" t="s">
        <v>1001</v>
      </c>
      <c r="B344" s="4" t="s">
        <v>1047</v>
      </c>
      <c r="C344" s="4">
        <v>60</v>
      </c>
      <c r="D344" s="4">
        <v>60</v>
      </c>
      <c r="E344" s="14">
        <v>2.2622222222222221E-2</v>
      </c>
    </row>
    <row r="345" spans="1:5" x14ac:dyDescent="0.3">
      <c r="A345" s="4" t="s">
        <v>281</v>
      </c>
      <c r="B345" s="4" t="s">
        <v>1048</v>
      </c>
      <c r="C345" s="4">
        <v>60</v>
      </c>
      <c r="D345" s="4">
        <v>60</v>
      </c>
      <c r="E345" s="14">
        <v>2.2622222222222221E-2</v>
      </c>
    </row>
    <row r="346" spans="1:5" x14ac:dyDescent="0.3">
      <c r="A346" s="4" t="s">
        <v>1000</v>
      </c>
      <c r="B346" s="4" t="s">
        <v>1048</v>
      </c>
      <c r="C346" s="4">
        <v>60</v>
      </c>
      <c r="D346" s="4">
        <v>60</v>
      </c>
      <c r="E346" s="14">
        <v>2.2622222222222221E-2</v>
      </c>
    </row>
    <row r="347" spans="1:5" x14ac:dyDescent="0.3">
      <c r="A347" s="4" t="s">
        <v>1001</v>
      </c>
      <c r="B347" s="4" t="s">
        <v>1048</v>
      </c>
      <c r="C347" s="4">
        <v>60</v>
      </c>
      <c r="D347" s="4">
        <v>60</v>
      </c>
      <c r="E347" s="14">
        <v>2.2622222222222221E-2</v>
      </c>
    </row>
    <row r="348" spans="1:5" x14ac:dyDescent="0.3">
      <c r="A348" s="4" t="s">
        <v>281</v>
      </c>
      <c r="B348" s="4" t="s">
        <v>1049</v>
      </c>
      <c r="C348" s="4">
        <v>60</v>
      </c>
      <c r="D348" s="4">
        <v>60</v>
      </c>
      <c r="E348" s="14">
        <v>2.2622222222222221E-2</v>
      </c>
    </row>
    <row r="349" spans="1:5" x14ac:dyDescent="0.3">
      <c r="A349" s="4" t="s">
        <v>1000</v>
      </c>
      <c r="B349" s="4" t="s">
        <v>1049</v>
      </c>
      <c r="C349" s="4">
        <v>60</v>
      </c>
      <c r="D349" s="4">
        <v>60</v>
      </c>
      <c r="E349" s="14">
        <v>2.8277777777777777E-2</v>
      </c>
    </row>
    <row r="350" spans="1:5" x14ac:dyDescent="0.3">
      <c r="A350" s="4" t="s">
        <v>1001</v>
      </c>
      <c r="B350" s="4" t="s">
        <v>1049</v>
      </c>
      <c r="C350" s="4">
        <v>60</v>
      </c>
      <c r="D350" s="4">
        <v>60</v>
      </c>
      <c r="E350" s="14">
        <v>2.2622222222222221E-2</v>
      </c>
    </row>
    <row r="351" spans="1:5" x14ac:dyDescent="0.3">
      <c r="A351" s="4" t="s">
        <v>294</v>
      </c>
      <c r="B351" s="4" t="s">
        <v>960</v>
      </c>
      <c r="C351" s="4">
        <v>95</v>
      </c>
      <c r="D351" s="4">
        <v>80</v>
      </c>
      <c r="E351" s="14">
        <v>1.3394736842105263E-2</v>
      </c>
    </row>
    <row r="352" spans="1:5" x14ac:dyDescent="0.3">
      <c r="A352" s="4" t="s">
        <v>1002</v>
      </c>
      <c r="B352" s="4" t="s">
        <v>960</v>
      </c>
      <c r="C352" s="4">
        <v>95</v>
      </c>
      <c r="D352" s="4">
        <v>80</v>
      </c>
      <c r="E352" s="14">
        <v>1.3394736842105263E-2</v>
      </c>
    </row>
    <row r="353" spans="1:5" x14ac:dyDescent="0.3">
      <c r="A353" s="4" t="s">
        <v>1003</v>
      </c>
      <c r="B353" s="4" t="s">
        <v>960</v>
      </c>
      <c r="C353" s="4">
        <v>95</v>
      </c>
      <c r="D353" s="4">
        <v>80</v>
      </c>
      <c r="E353" s="14">
        <v>1.3394736842105263E-2</v>
      </c>
    </row>
    <row r="354" spans="1:5" x14ac:dyDescent="0.3">
      <c r="A354" s="4" t="s">
        <v>1032</v>
      </c>
      <c r="B354" s="4" t="s">
        <v>960</v>
      </c>
      <c r="C354" s="4">
        <v>95</v>
      </c>
      <c r="D354" s="4">
        <v>80</v>
      </c>
      <c r="E354" s="14">
        <v>1.3394736842105263E-2</v>
      </c>
    </row>
    <row r="355" spans="1:5" x14ac:dyDescent="0.3">
      <c r="A355" s="4" t="s">
        <v>1033</v>
      </c>
      <c r="B355" s="4" t="s">
        <v>960</v>
      </c>
      <c r="C355" s="4">
        <v>95</v>
      </c>
      <c r="D355" s="4">
        <v>80</v>
      </c>
      <c r="E355" s="14">
        <v>1.3394736842105263E-2</v>
      </c>
    </row>
    <row r="356" spans="1:5" x14ac:dyDescent="0.3">
      <c r="A356" s="4" t="s">
        <v>1034</v>
      </c>
      <c r="B356" s="4" t="s">
        <v>960</v>
      </c>
      <c r="C356" s="4">
        <v>95</v>
      </c>
      <c r="D356" s="4">
        <v>80</v>
      </c>
      <c r="E356" s="14">
        <v>1.3394736842105263E-2</v>
      </c>
    </row>
    <row r="357" spans="1:5" x14ac:dyDescent="0.3">
      <c r="A357" s="4" t="s">
        <v>1035</v>
      </c>
      <c r="B357" s="4" t="s">
        <v>960</v>
      </c>
      <c r="C357" s="4">
        <v>95</v>
      </c>
      <c r="D357" s="4">
        <v>80</v>
      </c>
      <c r="E357" s="14">
        <v>1.3394736842105263E-2</v>
      </c>
    </row>
    <row r="358" spans="1:5" x14ac:dyDescent="0.3">
      <c r="A358" s="4" t="s">
        <v>1036</v>
      </c>
      <c r="B358" s="4" t="s">
        <v>960</v>
      </c>
      <c r="C358" s="4">
        <v>95</v>
      </c>
      <c r="D358" s="4">
        <v>80</v>
      </c>
      <c r="E358" s="14">
        <v>1.3394736842105263E-2</v>
      </c>
    </row>
    <row r="359" spans="1:5" x14ac:dyDescent="0.3">
      <c r="A359" s="4" t="s">
        <v>1037</v>
      </c>
      <c r="B359" s="4" t="s">
        <v>960</v>
      </c>
      <c r="C359" s="4">
        <v>95</v>
      </c>
      <c r="D359" s="4">
        <v>80</v>
      </c>
      <c r="E359" s="14">
        <v>1.3394736842105263E-2</v>
      </c>
    </row>
    <row r="360" spans="1:5" x14ac:dyDescent="0.3">
      <c r="A360" s="4" t="s">
        <v>1038</v>
      </c>
      <c r="B360" s="4" t="s">
        <v>960</v>
      </c>
      <c r="C360" s="4">
        <v>95</v>
      </c>
      <c r="D360" s="4">
        <v>80</v>
      </c>
      <c r="E360" s="14">
        <v>1.3394736842105263E-2</v>
      </c>
    </row>
    <row r="361" spans="1:5" x14ac:dyDescent="0.3">
      <c r="A361" s="4" t="s">
        <v>1039</v>
      </c>
      <c r="B361" s="4" t="s">
        <v>960</v>
      </c>
      <c r="C361" s="4">
        <v>95</v>
      </c>
      <c r="D361" s="4">
        <v>80</v>
      </c>
      <c r="E361" s="14">
        <v>1.3394736842105263E-2</v>
      </c>
    </row>
    <row r="362" spans="1:5" x14ac:dyDescent="0.3">
      <c r="A362" s="4" t="s">
        <v>1040</v>
      </c>
      <c r="B362" s="4" t="s">
        <v>960</v>
      </c>
      <c r="C362" s="4">
        <v>95</v>
      </c>
      <c r="D362" s="4">
        <v>80</v>
      </c>
      <c r="E362" s="14">
        <v>1.3394736842105263E-2</v>
      </c>
    </row>
    <row r="363" spans="1:5" x14ac:dyDescent="0.3">
      <c r="A363" s="4" t="s">
        <v>1041</v>
      </c>
      <c r="B363" s="4" t="s">
        <v>960</v>
      </c>
      <c r="C363" s="4">
        <v>95</v>
      </c>
      <c r="D363" s="4">
        <v>80</v>
      </c>
      <c r="E363" s="14">
        <v>1.3394736842105263E-2</v>
      </c>
    </row>
    <row r="364" spans="1:5" x14ac:dyDescent="0.3">
      <c r="A364" s="4" t="s">
        <v>1042</v>
      </c>
      <c r="B364" s="4" t="s">
        <v>960</v>
      </c>
      <c r="C364" s="4">
        <v>105</v>
      </c>
      <c r="D364" s="4">
        <v>80</v>
      </c>
      <c r="E364" s="14">
        <v>1.3330952380952379E-2</v>
      </c>
    </row>
    <row r="365" spans="1:5" x14ac:dyDescent="0.3">
      <c r="A365" s="4" t="s">
        <v>936</v>
      </c>
      <c r="B365" s="4" t="s">
        <v>960</v>
      </c>
      <c r="C365" s="4">
        <v>105</v>
      </c>
      <c r="D365" s="4">
        <v>80</v>
      </c>
      <c r="E365" s="14">
        <v>1.9390476190476191E-2</v>
      </c>
    </row>
    <row r="366" spans="1:5" x14ac:dyDescent="0.3">
      <c r="A366" s="4" t="s">
        <v>937</v>
      </c>
      <c r="B366" s="4" t="s">
        <v>960</v>
      </c>
      <c r="C366" s="4">
        <v>105</v>
      </c>
      <c r="D366" s="4">
        <v>80</v>
      </c>
      <c r="E366" s="14">
        <v>1.3330952380952379E-2</v>
      </c>
    </row>
    <row r="367" spans="1:5" x14ac:dyDescent="0.3">
      <c r="A367" s="4" t="s">
        <v>938</v>
      </c>
      <c r="B367" s="4" t="s">
        <v>960</v>
      </c>
      <c r="C367" s="4">
        <v>105</v>
      </c>
      <c r="D367" s="4">
        <v>80</v>
      </c>
      <c r="E367" s="14">
        <v>1.3330952380952379E-2</v>
      </c>
    </row>
    <row r="368" spans="1:5" x14ac:dyDescent="0.3">
      <c r="A368" s="4" t="s">
        <v>0</v>
      </c>
      <c r="B368" s="4" t="s">
        <v>960</v>
      </c>
      <c r="C368" s="4">
        <v>125</v>
      </c>
      <c r="D368" s="4">
        <v>95</v>
      </c>
      <c r="E368" s="14">
        <v>1.5430736842105264E-2</v>
      </c>
    </row>
    <row r="369" spans="1:5" x14ac:dyDescent="0.3">
      <c r="A369" s="4" t="s">
        <v>228</v>
      </c>
      <c r="B369" s="4" t="s">
        <v>960</v>
      </c>
      <c r="C369" s="4">
        <v>125</v>
      </c>
      <c r="D369" s="4">
        <v>95</v>
      </c>
      <c r="E369" s="14">
        <v>1.9311157894736843E-2</v>
      </c>
    </row>
    <row r="370" spans="1:5" x14ac:dyDescent="0.3">
      <c r="A370" s="4" t="s">
        <v>1043</v>
      </c>
      <c r="B370" s="4" t="s">
        <v>960</v>
      </c>
      <c r="C370" s="4">
        <v>125</v>
      </c>
      <c r="D370" s="4">
        <v>95</v>
      </c>
      <c r="E370" s="14">
        <v>2.4828631578947366E-2</v>
      </c>
    </row>
    <row r="371" spans="1:5" x14ac:dyDescent="0.3">
      <c r="A371" s="4" t="s">
        <v>1044</v>
      </c>
      <c r="B371" s="4" t="s">
        <v>960</v>
      </c>
      <c r="C371" s="4">
        <v>125</v>
      </c>
      <c r="D371" s="4">
        <v>95</v>
      </c>
      <c r="E371" s="14">
        <v>3.034610526315789E-2</v>
      </c>
    </row>
    <row r="372" spans="1:5" x14ac:dyDescent="0.3">
      <c r="A372" s="4" t="s">
        <v>281</v>
      </c>
      <c r="B372" s="4" t="s">
        <v>961</v>
      </c>
      <c r="C372" s="4">
        <v>60</v>
      </c>
      <c r="D372" s="4">
        <v>60</v>
      </c>
      <c r="E372" s="14">
        <v>2.2622222222222221E-2</v>
      </c>
    </row>
    <row r="373" spans="1:5" x14ac:dyDescent="0.3">
      <c r="A373" s="4" t="s">
        <v>1000</v>
      </c>
      <c r="B373" s="4" t="s">
        <v>961</v>
      </c>
      <c r="C373" s="4">
        <v>60</v>
      </c>
      <c r="D373" s="4">
        <v>60</v>
      </c>
      <c r="E373" s="14">
        <v>2.2622222222222221E-2</v>
      </c>
    </row>
    <row r="374" spans="1:5" x14ac:dyDescent="0.3">
      <c r="A374" s="4" t="s">
        <v>1001</v>
      </c>
      <c r="B374" s="4" t="s">
        <v>961</v>
      </c>
      <c r="C374" s="4">
        <v>60</v>
      </c>
      <c r="D374" s="4">
        <v>60</v>
      </c>
      <c r="E374" s="14">
        <v>2.8277777777777777E-2</v>
      </c>
    </row>
    <row r="375" spans="1:5" x14ac:dyDescent="0.3">
      <c r="A375" s="4" t="s">
        <v>294</v>
      </c>
      <c r="B375" s="4" t="s">
        <v>961</v>
      </c>
      <c r="C375" s="4">
        <v>95</v>
      </c>
      <c r="D375" s="4">
        <v>80</v>
      </c>
      <c r="E375" s="14">
        <v>1.3394736842105263E-2</v>
      </c>
    </row>
    <row r="376" spans="1:5" x14ac:dyDescent="0.3">
      <c r="A376" s="4" t="s">
        <v>1002</v>
      </c>
      <c r="B376" s="4" t="s">
        <v>961</v>
      </c>
      <c r="C376" s="4">
        <v>95</v>
      </c>
      <c r="D376" s="4">
        <v>80</v>
      </c>
      <c r="E376" s="14">
        <v>1.3394736842105263E-2</v>
      </c>
    </row>
    <row r="377" spans="1:5" x14ac:dyDescent="0.3">
      <c r="A377" s="4" t="s">
        <v>1003</v>
      </c>
      <c r="B377" s="4" t="s">
        <v>961</v>
      </c>
      <c r="C377" s="4">
        <v>95</v>
      </c>
      <c r="D377" s="4">
        <v>80</v>
      </c>
      <c r="E377" s="14">
        <v>1.3394736842105263E-2</v>
      </c>
    </row>
    <row r="378" spans="1:5" x14ac:dyDescent="0.3">
      <c r="A378" s="4" t="s">
        <v>1032</v>
      </c>
      <c r="B378" s="4" t="s">
        <v>961</v>
      </c>
      <c r="C378" s="4">
        <v>95</v>
      </c>
      <c r="D378" s="4">
        <v>80</v>
      </c>
      <c r="E378" s="14">
        <v>1.3394736842105263E-2</v>
      </c>
    </row>
    <row r="379" spans="1:5" x14ac:dyDescent="0.3">
      <c r="A379" s="4" t="s">
        <v>1033</v>
      </c>
      <c r="B379" s="4" t="s">
        <v>961</v>
      </c>
      <c r="C379" s="4">
        <v>95</v>
      </c>
      <c r="D379" s="4">
        <v>80</v>
      </c>
      <c r="E379" s="14">
        <v>1.3394736842105263E-2</v>
      </c>
    </row>
    <row r="380" spans="1:5" x14ac:dyDescent="0.3">
      <c r="A380" s="4" t="s">
        <v>1034</v>
      </c>
      <c r="B380" s="4" t="s">
        <v>961</v>
      </c>
      <c r="C380" s="4">
        <v>95</v>
      </c>
      <c r="D380" s="4">
        <v>80</v>
      </c>
      <c r="E380" s="14">
        <v>1.3394736842105263E-2</v>
      </c>
    </row>
    <row r="381" spans="1:5" x14ac:dyDescent="0.3">
      <c r="A381" s="4" t="s">
        <v>1035</v>
      </c>
      <c r="B381" s="4" t="s">
        <v>961</v>
      </c>
      <c r="C381" s="4">
        <v>95</v>
      </c>
      <c r="D381" s="4">
        <v>80</v>
      </c>
      <c r="E381" s="14">
        <v>1.3394736842105263E-2</v>
      </c>
    </row>
    <row r="382" spans="1:5" x14ac:dyDescent="0.3">
      <c r="A382" s="4" t="s">
        <v>1036</v>
      </c>
      <c r="B382" s="4" t="s">
        <v>961</v>
      </c>
      <c r="C382" s="4">
        <v>95</v>
      </c>
      <c r="D382" s="4">
        <v>80</v>
      </c>
      <c r="E382" s="14">
        <v>1.3394736842105263E-2</v>
      </c>
    </row>
    <row r="383" spans="1:5" x14ac:dyDescent="0.3">
      <c r="A383" s="4" t="s">
        <v>1037</v>
      </c>
      <c r="B383" s="4" t="s">
        <v>961</v>
      </c>
      <c r="C383" s="4">
        <v>95</v>
      </c>
      <c r="D383" s="4">
        <v>80</v>
      </c>
      <c r="E383" s="14">
        <v>1.7413157894736842E-2</v>
      </c>
    </row>
    <row r="384" spans="1:5" x14ac:dyDescent="0.3">
      <c r="A384" s="4" t="s">
        <v>1038</v>
      </c>
      <c r="B384" s="4" t="s">
        <v>961</v>
      </c>
      <c r="C384" s="4">
        <v>95</v>
      </c>
      <c r="D384" s="4">
        <v>80</v>
      </c>
      <c r="E384" s="14">
        <v>1.3394736842105263E-2</v>
      </c>
    </row>
    <row r="385" spans="1:5" x14ac:dyDescent="0.3">
      <c r="A385" s="4" t="s">
        <v>1039</v>
      </c>
      <c r="B385" s="4" t="s">
        <v>961</v>
      </c>
      <c r="C385" s="4">
        <v>95</v>
      </c>
      <c r="D385" s="4">
        <v>80</v>
      </c>
      <c r="E385" s="14">
        <v>1.3394736842105263E-2</v>
      </c>
    </row>
    <row r="386" spans="1:5" x14ac:dyDescent="0.3">
      <c r="A386" s="4" t="s">
        <v>1040</v>
      </c>
      <c r="B386" s="4" t="s">
        <v>961</v>
      </c>
      <c r="C386" s="4">
        <v>95</v>
      </c>
      <c r="D386" s="4">
        <v>80</v>
      </c>
      <c r="E386" s="14">
        <v>1.7413157894736842E-2</v>
      </c>
    </row>
    <row r="387" spans="1:5" x14ac:dyDescent="0.3">
      <c r="A387" s="4" t="s">
        <v>1041</v>
      </c>
      <c r="B387" s="4" t="s">
        <v>961</v>
      </c>
      <c r="C387" s="4">
        <v>95</v>
      </c>
      <c r="D387" s="4">
        <v>80</v>
      </c>
      <c r="E387" s="14">
        <v>2.0092105263157894E-2</v>
      </c>
    </row>
    <row r="388" spans="1:5" x14ac:dyDescent="0.3">
      <c r="A388" s="4" t="s">
        <v>1042</v>
      </c>
      <c r="B388" s="4" t="s">
        <v>961</v>
      </c>
      <c r="C388" s="4">
        <v>105</v>
      </c>
      <c r="D388" s="4">
        <v>80</v>
      </c>
      <c r="E388" s="14">
        <v>2.9249999999999998E-2</v>
      </c>
    </row>
    <row r="389" spans="1:5" x14ac:dyDescent="0.3">
      <c r="A389" s="4" t="s">
        <v>936</v>
      </c>
      <c r="B389" s="4" t="s">
        <v>961</v>
      </c>
      <c r="C389" s="4">
        <v>105</v>
      </c>
      <c r="D389" s="4">
        <v>80</v>
      </c>
      <c r="E389" s="14">
        <v>3.3149999999999999E-2</v>
      </c>
    </row>
    <row r="390" spans="1:5" x14ac:dyDescent="0.3">
      <c r="A390" s="4" t="s">
        <v>937</v>
      </c>
      <c r="B390" s="4" t="s">
        <v>961</v>
      </c>
      <c r="C390" s="4">
        <v>105</v>
      </c>
      <c r="D390" s="4">
        <v>80</v>
      </c>
      <c r="E390" s="14">
        <v>3.3149999999999999E-2</v>
      </c>
    </row>
    <row r="391" spans="1:5" x14ac:dyDescent="0.3">
      <c r="A391" s="4" t="s">
        <v>938</v>
      </c>
      <c r="B391" s="4" t="s">
        <v>961</v>
      </c>
      <c r="C391" s="4">
        <v>110</v>
      </c>
      <c r="D391" s="4">
        <v>90</v>
      </c>
      <c r="E391" s="14">
        <v>2.8127272727272726E-2</v>
      </c>
    </row>
    <row r="392" spans="1:5" x14ac:dyDescent="0.3">
      <c r="A392" s="4" t="s">
        <v>0</v>
      </c>
      <c r="B392" s="4" t="s">
        <v>961</v>
      </c>
      <c r="C392" s="4">
        <v>110</v>
      </c>
      <c r="D392" s="4">
        <v>90</v>
      </c>
      <c r="E392" s="14">
        <v>1.131111111111111E-2</v>
      </c>
    </row>
    <row r="393" spans="1:5" x14ac:dyDescent="0.3">
      <c r="A393" s="4" t="s">
        <v>228</v>
      </c>
      <c r="B393" s="4" t="s">
        <v>961</v>
      </c>
      <c r="C393" s="4">
        <v>110</v>
      </c>
      <c r="D393" s="4">
        <v>90</v>
      </c>
      <c r="E393" s="14">
        <v>1.5424242424242424E-2</v>
      </c>
    </row>
    <row r="394" spans="1:5" x14ac:dyDescent="0.3">
      <c r="A394" s="4" t="s">
        <v>1043</v>
      </c>
      <c r="B394" s="4" t="s">
        <v>961</v>
      </c>
      <c r="C394" s="4">
        <v>110</v>
      </c>
      <c r="D394" s="4">
        <v>90</v>
      </c>
      <c r="E394" s="14">
        <v>1.9537373737373735E-2</v>
      </c>
    </row>
    <row r="395" spans="1:5" x14ac:dyDescent="0.3">
      <c r="A395" s="4" t="s">
        <v>1044</v>
      </c>
      <c r="B395" s="4" t="s">
        <v>961</v>
      </c>
      <c r="C395" s="4">
        <v>110</v>
      </c>
      <c r="D395" s="4">
        <v>90</v>
      </c>
      <c r="E395" s="14">
        <v>2.4678787878787876E-2</v>
      </c>
    </row>
    <row r="396" spans="1:5" x14ac:dyDescent="0.3">
      <c r="A396" s="4" t="s">
        <v>281</v>
      </c>
      <c r="B396" s="4" t="s">
        <v>962</v>
      </c>
      <c r="C396" s="4">
        <v>60</v>
      </c>
      <c r="D396" s="4">
        <v>60</v>
      </c>
      <c r="E396" s="14">
        <v>2.2622222222222221E-2</v>
      </c>
    </row>
    <row r="397" spans="1:5" x14ac:dyDescent="0.3">
      <c r="A397" s="4" t="s">
        <v>1000</v>
      </c>
      <c r="B397" s="4" t="s">
        <v>962</v>
      </c>
      <c r="C397" s="4">
        <v>60</v>
      </c>
      <c r="D397" s="4">
        <v>60</v>
      </c>
      <c r="E397" s="14">
        <v>2.2622222222222221E-2</v>
      </c>
    </row>
    <row r="398" spans="1:5" x14ac:dyDescent="0.3">
      <c r="A398" s="4" t="s">
        <v>1001</v>
      </c>
      <c r="B398" s="4" t="s">
        <v>962</v>
      </c>
      <c r="C398" s="4">
        <v>60</v>
      </c>
      <c r="D398" s="4">
        <v>60</v>
      </c>
      <c r="E398" s="14">
        <v>3.9588888888888882E-2</v>
      </c>
    </row>
    <row r="399" spans="1:5" x14ac:dyDescent="0.3">
      <c r="A399" s="4" t="s">
        <v>294</v>
      </c>
      <c r="B399" s="4" t="s">
        <v>962</v>
      </c>
      <c r="C399" s="4">
        <v>105</v>
      </c>
      <c r="D399" s="4">
        <v>80</v>
      </c>
      <c r="E399" s="14">
        <v>1.3330952380952379E-2</v>
      </c>
    </row>
    <row r="400" spans="1:5" x14ac:dyDescent="0.3">
      <c r="A400" s="4" t="s">
        <v>1002</v>
      </c>
      <c r="B400" s="4" t="s">
        <v>962</v>
      </c>
      <c r="C400" s="4">
        <v>105</v>
      </c>
      <c r="D400" s="4">
        <v>80</v>
      </c>
      <c r="E400" s="14">
        <v>1.3330952380952379E-2</v>
      </c>
    </row>
    <row r="401" spans="1:5" x14ac:dyDescent="0.3">
      <c r="A401" s="4" t="s">
        <v>1003</v>
      </c>
      <c r="B401" s="4" t="s">
        <v>962</v>
      </c>
      <c r="C401" s="4">
        <v>105</v>
      </c>
      <c r="D401" s="4">
        <v>80</v>
      </c>
      <c r="E401" s="14">
        <v>1.3330952380952379E-2</v>
      </c>
    </row>
    <row r="402" spans="1:5" x14ac:dyDescent="0.3">
      <c r="A402" s="4" t="s">
        <v>1032</v>
      </c>
      <c r="B402" s="4" t="s">
        <v>962</v>
      </c>
      <c r="C402" s="4">
        <v>105</v>
      </c>
      <c r="D402" s="4">
        <v>80</v>
      </c>
      <c r="E402" s="14">
        <v>1.3330952380952379E-2</v>
      </c>
    </row>
    <row r="403" spans="1:5" x14ac:dyDescent="0.3">
      <c r="A403" s="4" t="s">
        <v>1033</v>
      </c>
      <c r="B403" s="4" t="s">
        <v>962</v>
      </c>
      <c r="C403" s="4">
        <v>105</v>
      </c>
      <c r="D403" s="4">
        <v>80</v>
      </c>
      <c r="E403" s="14">
        <v>1.3330952380952379E-2</v>
      </c>
    </row>
    <row r="404" spans="1:5" x14ac:dyDescent="0.3">
      <c r="A404" s="4" t="s">
        <v>1034</v>
      </c>
      <c r="B404" s="4" t="s">
        <v>962</v>
      </c>
      <c r="C404" s="4">
        <v>105</v>
      </c>
      <c r="D404" s="4">
        <v>80</v>
      </c>
      <c r="E404" s="14">
        <v>1.3330952380952379E-2</v>
      </c>
    </row>
    <row r="405" spans="1:5" x14ac:dyDescent="0.3">
      <c r="A405" s="4" t="s">
        <v>1035</v>
      </c>
      <c r="B405" s="4" t="s">
        <v>962</v>
      </c>
      <c r="C405" s="4">
        <v>105</v>
      </c>
      <c r="D405" s="4">
        <v>80</v>
      </c>
      <c r="E405" s="14">
        <v>1.3330952380952379E-2</v>
      </c>
    </row>
    <row r="406" spans="1:5" x14ac:dyDescent="0.3">
      <c r="A406" s="4" t="s">
        <v>1036</v>
      </c>
      <c r="B406" s="4" t="s">
        <v>962</v>
      </c>
      <c r="C406" s="4">
        <v>105</v>
      </c>
      <c r="D406" s="4">
        <v>80</v>
      </c>
      <c r="E406" s="14">
        <v>1.9390476190476191E-2</v>
      </c>
    </row>
    <row r="407" spans="1:5" x14ac:dyDescent="0.3">
      <c r="A407" s="4" t="s">
        <v>1037</v>
      </c>
      <c r="B407" s="4" t="s">
        <v>962</v>
      </c>
      <c r="C407" s="4">
        <v>105</v>
      </c>
      <c r="D407" s="4">
        <v>80</v>
      </c>
      <c r="E407" s="14">
        <v>2.9249999999999998E-2</v>
      </c>
    </row>
    <row r="408" spans="1:5" x14ac:dyDescent="0.3">
      <c r="A408" s="4" t="s">
        <v>1038</v>
      </c>
      <c r="B408" s="4" t="s">
        <v>962</v>
      </c>
      <c r="C408" s="4">
        <v>105</v>
      </c>
      <c r="D408" s="4">
        <v>80</v>
      </c>
      <c r="E408" s="14">
        <v>2.9249999999999998E-2</v>
      </c>
    </row>
    <row r="409" spans="1:5" x14ac:dyDescent="0.3">
      <c r="A409" s="4" t="s">
        <v>1039</v>
      </c>
      <c r="B409" s="4" t="s">
        <v>962</v>
      </c>
      <c r="C409" s="4">
        <v>105</v>
      </c>
      <c r="D409" s="4">
        <v>80</v>
      </c>
      <c r="E409" s="14">
        <v>2.9249999999999998E-2</v>
      </c>
    </row>
    <row r="410" spans="1:5" x14ac:dyDescent="0.3">
      <c r="A410" s="4" t="s">
        <v>1040</v>
      </c>
      <c r="B410" s="4" t="s">
        <v>962</v>
      </c>
      <c r="C410" s="4">
        <v>105</v>
      </c>
      <c r="D410" s="4">
        <v>80</v>
      </c>
      <c r="E410" s="14">
        <v>3.5099999999999999E-2</v>
      </c>
    </row>
    <row r="411" spans="1:5" x14ac:dyDescent="0.3">
      <c r="A411" s="4" t="s">
        <v>1041</v>
      </c>
      <c r="B411" s="4" t="s">
        <v>962</v>
      </c>
      <c r="C411" s="4">
        <v>105</v>
      </c>
      <c r="D411" s="4">
        <v>80</v>
      </c>
      <c r="E411" s="14">
        <v>3.5099999999999999E-2</v>
      </c>
    </row>
    <row r="412" spans="1:5" x14ac:dyDescent="0.3">
      <c r="A412" s="4" t="s">
        <v>1042</v>
      </c>
      <c r="B412" s="4" t="s">
        <v>962</v>
      </c>
      <c r="C412" s="4">
        <v>110</v>
      </c>
      <c r="D412" s="4">
        <v>100</v>
      </c>
      <c r="E412" s="14">
        <v>2.6803636363636363E-2</v>
      </c>
    </row>
    <row r="413" spans="1:5" x14ac:dyDescent="0.3">
      <c r="A413" s="4" t="s">
        <v>936</v>
      </c>
      <c r="B413" s="4" t="s">
        <v>962</v>
      </c>
      <c r="C413" s="4">
        <v>110</v>
      </c>
      <c r="D413" s="4">
        <v>100</v>
      </c>
      <c r="E413" s="14">
        <v>2.6803636363636363E-2</v>
      </c>
    </row>
    <row r="414" spans="1:5" x14ac:dyDescent="0.3">
      <c r="A414" s="4" t="s">
        <v>937</v>
      </c>
      <c r="B414" s="4" t="s">
        <v>962</v>
      </c>
      <c r="C414" s="4">
        <v>110</v>
      </c>
      <c r="D414" s="4">
        <v>100</v>
      </c>
      <c r="E414" s="14">
        <v>2.8292727272727271E-2</v>
      </c>
    </row>
    <row r="415" spans="1:5" x14ac:dyDescent="0.3">
      <c r="A415" s="4" t="s">
        <v>938</v>
      </c>
      <c r="B415" s="4" t="s">
        <v>962</v>
      </c>
      <c r="C415" s="4">
        <v>110</v>
      </c>
      <c r="D415" s="4">
        <v>100</v>
      </c>
      <c r="E415" s="14">
        <v>2.8292727272727271E-2</v>
      </c>
    </row>
    <row r="416" spans="1:5" x14ac:dyDescent="0.3">
      <c r="A416" s="4" t="s">
        <v>0</v>
      </c>
      <c r="B416" s="4" t="s">
        <v>962</v>
      </c>
      <c r="C416" s="4">
        <v>140</v>
      </c>
      <c r="D416" s="4">
        <v>100</v>
      </c>
      <c r="E416" s="14">
        <v>1.3815714285714285E-2</v>
      </c>
    </row>
    <row r="417" spans="1:5" x14ac:dyDescent="0.3">
      <c r="A417" s="4" t="s">
        <v>228</v>
      </c>
      <c r="B417" s="4" t="s">
        <v>962</v>
      </c>
      <c r="C417" s="4">
        <v>140</v>
      </c>
      <c r="D417" s="4">
        <v>100</v>
      </c>
      <c r="E417" s="14">
        <v>3.0419999999999999E-2</v>
      </c>
    </row>
    <row r="418" spans="1:5" x14ac:dyDescent="0.3">
      <c r="A418" s="4" t="s">
        <v>1043</v>
      </c>
      <c r="B418" s="4" t="s">
        <v>962</v>
      </c>
      <c r="C418" s="4">
        <v>140</v>
      </c>
      <c r="D418" s="4">
        <v>100</v>
      </c>
      <c r="E418" s="14">
        <v>3.159E-2</v>
      </c>
    </row>
    <row r="419" spans="1:5" x14ac:dyDescent="0.3">
      <c r="A419" s="4" t="s">
        <v>1044</v>
      </c>
      <c r="B419" s="4" t="s">
        <v>962</v>
      </c>
      <c r="C419" s="4">
        <v>140</v>
      </c>
      <c r="D419" s="4">
        <v>100</v>
      </c>
      <c r="E419" s="14">
        <v>3.5099999999999999E-2</v>
      </c>
    </row>
    <row r="420" spans="1:5" x14ac:dyDescent="0.3">
      <c r="A420" s="4" t="s">
        <v>294</v>
      </c>
      <c r="B420" s="4" t="s">
        <v>963</v>
      </c>
      <c r="C420" s="4">
        <v>105</v>
      </c>
      <c r="D420" s="4">
        <v>80</v>
      </c>
      <c r="E420" s="14">
        <v>1.3330952380952379E-2</v>
      </c>
    </row>
    <row r="421" spans="1:5" x14ac:dyDescent="0.3">
      <c r="A421" s="4" t="s">
        <v>1002</v>
      </c>
      <c r="B421" s="4" t="s">
        <v>963</v>
      </c>
      <c r="C421" s="4">
        <v>105</v>
      </c>
      <c r="D421" s="4">
        <v>80</v>
      </c>
      <c r="E421" s="14">
        <v>1.3330952380952379E-2</v>
      </c>
    </row>
    <row r="422" spans="1:5" x14ac:dyDescent="0.3">
      <c r="A422" s="4" t="s">
        <v>1003</v>
      </c>
      <c r="B422" s="4" t="s">
        <v>963</v>
      </c>
      <c r="C422" s="4">
        <v>105</v>
      </c>
      <c r="D422" s="4">
        <v>80</v>
      </c>
      <c r="E422" s="14">
        <v>1.3330952380952379E-2</v>
      </c>
    </row>
    <row r="423" spans="1:5" x14ac:dyDescent="0.3">
      <c r="A423" s="4" t="s">
        <v>1032</v>
      </c>
      <c r="B423" s="4" t="s">
        <v>963</v>
      </c>
      <c r="C423" s="4">
        <v>105</v>
      </c>
      <c r="D423" s="4">
        <v>80</v>
      </c>
      <c r="E423" s="14">
        <v>1.3330952380952379E-2</v>
      </c>
    </row>
    <row r="424" spans="1:5" x14ac:dyDescent="0.3">
      <c r="A424" s="4" t="s">
        <v>1033</v>
      </c>
      <c r="B424" s="4" t="s">
        <v>963</v>
      </c>
      <c r="C424" s="4">
        <v>105</v>
      </c>
      <c r="D424" s="4">
        <v>80</v>
      </c>
      <c r="E424" s="14">
        <v>1.3330952380952379E-2</v>
      </c>
    </row>
    <row r="425" spans="1:5" x14ac:dyDescent="0.3">
      <c r="A425" s="4" t="s">
        <v>1034</v>
      </c>
      <c r="B425" s="4" t="s">
        <v>963</v>
      </c>
      <c r="C425" s="4">
        <v>105</v>
      </c>
      <c r="D425" s="4">
        <v>80</v>
      </c>
      <c r="E425" s="14">
        <v>1.3330952380952379E-2</v>
      </c>
    </row>
    <row r="426" spans="1:5" x14ac:dyDescent="0.3">
      <c r="A426" s="4" t="s">
        <v>1035</v>
      </c>
      <c r="B426" s="4" t="s">
        <v>963</v>
      </c>
      <c r="C426" s="4">
        <v>105</v>
      </c>
      <c r="D426" s="4">
        <v>80</v>
      </c>
      <c r="E426" s="14">
        <v>1.3330952380952379E-2</v>
      </c>
    </row>
    <row r="427" spans="1:5" x14ac:dyDescent="0.3">
      <c r="A427" s="4" t="s">
        <v>1036</v>
      </c>
      <c r="B427" s="4" t="s">
        <v>963</v>
      </c>
      <c r="C427" s="4">
        <v>105</v>
      </c>
      <c r="D427" s="4">
        <v>80</v>
      </c>
      <c r="E427" s="14">
        <v>1.3330952380952379E-2</v>
      </c>
    </row>
    <row r="428" spans="1:5" x14ac:dyDescent="0.3">
      <c r="A428" s="4" t="s">
        <v>1037</v>
      </c>
      <c r="B428" s="4" t="s">
        <v>963</v>
      </c>
      <c r="C428" s="4">
        <v>105</v>
      </c>
      <c r="D428" s="4">
        <v>80</v>
      </c>
      <c r="E428" s="14">
        <v>1.3330952380952379E-2</v>
      </c>
    </row>
    <row r="429" spans="1:5" x14ac:dyDescent="0.3">
      <c r="A429" s="4" t="s">
        <v>1038</v>
      </c>
      <c r="B429" s="4" t="s">
        <v>963</v>
      </c>
      <c r="C429" s="4">
        <v>105</v>
      </c>
      <c r="D429" s="4">
        <v>80</v>
      </c>
      <c r="E429" s="14">
        <v>1.3330952380952379E-2</v>
      </c>
    </row>
    <row r="430" spans="1:5" x14ac:dyDescent="0.3">
      <c r="A430" s="4" t="s">
        <v>1039</v>
      </c>
      <c r="B430" s="4" t="s">
        <v>963</v>
      </c>
      <c r="C430" s="4">
        <v>105</v>
      </c>
      <c r="D430" s="4">
        <v>80</v>
      </c>
      <c r="E430" s="14">
        <v>1.3330952380952379E-2</v>
      </c>
    </row>
    <row r="431" spans="1:5" x14ac:dyDescent="0.3">
      <c r="A431" s="4" t="s">
        <v>1040</v>
      </c>
      <c r="B431" s="4" t="s">
        <v>963</v>
      </c>
      <c r="C431" s="4">
        <v>105</v>
      </c>
      <c r="D431" s="4">
        <v>80</v>
      </c>
      <c r="E431" s="14">
        <v>1.3330952380952379E-2</v>
      </c>
    </row>
    <row r="432" spans="1:5" x14ac:dyDescent="0.3">
      <c r="A432" s="4" t="s">
        <v>1041</v>
      </c>
      <c r="B432" s="4" t="s">
        <v>963</v>
      </c>
      <c r="C432" s="4">
        <v>105</v>
      </c>
      <c r="D432" s="4">
        <v>80</v>
      </c>
      <c r="E432" s="14">
        <v>1.3330952380952379E-2</v>
      </c>
    </row>
    <row r="433" spans="1:5" x14ac:dyDescent="0.3">
      <c r="A433" s="4" t="s">
        <v>1042</v>
      </c>
      <c r="B433" s="4" t="s">
        <v>963</v>
      </c>
      <c r="C433" s="4">
        <v>105</v>
      </c>
      <c r="D433" s="4">
        <v>95</v>
      </c>
      <c r="E433" s="14">
        <v>1.1226065162907268E-2</v>
      </c>
    </row>
    <row r="434" spans="1:5" x14ac:dyDescent="0.3">
      <c r="A434" s="4" t="s">
        <v>936</v>
      </c>
      <c r="B434" s="4" t="s">
        <v>963</v>
      </c>
      <c r="C434" s="4">
        <v>105</v>
      </c>
      <c r="D434" s="4">
        <v>95</v>
      </c>
      <c r="E434" s="14">
        <v>1.1226065162907268E-2</v>
      </c>
    </row>
    <row r="435" spans="1:5" x14ac:dyDescent="0.3">
      <c r="A435" s="4" t="s">
        <v>937</v>
      </c>
      <c r="B435" s="4" t="s">
        <v>963</v>
      </c>
      <c r="C435" s="4">
        <v>105</v>
      </c>
      <c r="D435" s="4">
        <v>95</v>
      </c>
      <c r="E435" s="14">
        <v>1.1226065162907268E-2</v>
      </c>
    </row>
    <row r="436" spans="1:5" x14ac:dyDescent="0.3">
      <c r="A436" s="4" t="s">
        <v>938</v>
      </c>
      <c r="B436" s="4" t="s">
        <v>963</v>
      </c>
      <c r="C436" s="4">
        <v>105</v>
      </c>
      <c r="D436" s="4">
        <v>95</v>
      </c>
      <c r="E436" s="14">
        <v>1.1226065162907268E-2</v>
      </c>
    </row>
    <row r="437" spans="1:5" x14ac:dyDescent="0.3">
      <c r="A437" s="4" t="s">
        <v>0</v>
      </c>
      <c r="B437" s="4" t="s">
        <v>963</v>
      </c>
      <c r="C437" s="4">
        <v>140</v>
      </c>
      <c r="D437" s="4">
        <v>100</v>
      </c>
      <c r="E437" s="14">
        <v>1.0179999999999998E-2</v>
      </c>
    </row>
    <row r="438" spans="1:5" x14ac:dyDescent="0.3">
      <c r="A438" s="4" t="s">
        <v>228</v>
      </c>
      <c r="B438" s="4" t="s">
        <v>963</v>
      </c>
      <c r="C438" s="4">
        <v>140</v>
      </c>
      <c r="D438" s="4">
        <v>100</v>
      </c>
      <c r="E438" s="14">
        <v>1.0179999999999998E-2</v>
      </c>
    </row>
    <row r="439" spans="1:5" x14ac:dyDescent="0.3">
      <c r="A439" s="4" t="s">
        <v>1043</v>
      </c>
      <c r="B439" s="4" t="s">
        <v>963</v>
      </c>
      <c r="C439" s="4">
        <v>140</v>
      </c>
      <c r="D439" s="4">
        <v>100</v>
      </c>
      <c r="E439" s="14">
        <v>1.0179999999999998E-2</v>
      </c>
    </row>
    <row r="440" spans="1:5" x14ac:dyDescent="0.3">
      <c r="A440" s="4" t="s">
        <v>1044</v>
      </c>
      <c r="B440" s="4" t="s">
        <v>963</v>
      </c>
      <c r="C440" s="4">
        <v>140</v>
      </c>
      <c r="D440" s="4">
        <v>100</v>
      </c>
      <c r="E440" s="14">
        <v>1.0907142857142857E-2</v>
      </c>
    </row>
  </sheetData>
  <phoneticPr fontId="1" type="noConversion"/>
  <conditionalFormatting sqref="E1:E1048576">
    <cfRule type="colorScale" priority="1">
      <colorScale>
        <cfvo type="min"/>
        <cfvo type="max"/>
        <color rgb="FFFCFCFF"/>
        <color rgb="FF63BE7B"/>
      </colorScale>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工作表7">
    <tabColor rgb="FF0070C0"/>
  </sheetPr>
  <dimension ref="A1:L14"/>
  <sheetViews>
    <sheetView workbookViewId="0">
      <selection activeCell="K19" sqref="K19"/>
    </sheetView>
  </sheetViews>
  <sheetFormatPr defaultColWidth="9" defaultRowHeight="15.6" x14ac:dyDescent="0.3"/>
  <cols>
    <col min="1" max="1" width="9" style="5"/>
    <col min="2" max="4" width="9" style="5" customWidth="1"/>
    <col min="5" max="5" width="9" style="5"/>
    <col min="6" max="7" width="9" style="5" customWidth="1"/>
    <col min="8" max="8" width="9" style="5"/>
    <col min="9" max="10" width="9" style="5" customWidth="1"/>
    <col min="11" max="11" width="9" style="5"/>
    <col min="12" max="12" width="9" style="5" customWidth="1"/>
    <col min="13" max="16384" width="9" style="5"/>
  </cols>
  <sheetData>
    <row r="1" spans="1:12" x14ac:dyDescent="0.3">
      <c r="A1" s="4" t="s">
        <v>461</v>
      </c>
      <c r="B1" s="169" t="s">
        <v>912</v>
      </c>
      <c r="C1" s="171"/>
      <c r="D1" s="169" t="s">
        <v>910</v>
      </c>
      <c r="E1" s="170"/>
      <c r="F1" s="171"/>
      <c r="G1" s="169" t="s">
        <v>463</v>
      </c>
      <c r="H1" s="170"/>
      <c r="I1" s="171"/>
      <c r="J1" s="169" t="s">
        <v>909</v>
      </c>
      <c r="K1" s="170"/>
      <c r="L1" s="171"/>
    </row>
    <row r="2" spans="1:12" x14ac:dyDescent="0.3">
      <c r="A2" s="4"/>
      <c r="B2" s="4" t="s">
        <v>913</v>
      </c>
      <c r="C2" s="4" t="s">
        <v>914</v>
      </c>
      <c r="D2" s="4" t="s">
        <v>447</v>
      </c>
      <c r="E2" s="4" t="s">
        <v>464</v>
      </c>
      <c r="F2" s="4" t="s">
        <v>462</v>
      </c>
      <c r="G2" s="4" t="s">
        <v>911</v>
      </c>
      <c r="H2" s="4" t="s">
        <v>915</v>
      </c>
      <c r="I2" s="4" t="s">
        <v>916</v>
      </c>
      <c r="J2" s="4" t="s">
        <v>447</v>
      </c>
      <c r="K2" s="4" t="s">
        <v>917</v>
      </c>
      <c r="L2" s="4" t="s">
        <v>462</v>
      </c>
    </row>
    <row r="3" spans="1:12" x14ac:dyDescent="0.3">
      <c r="A3" s="4" t="s">
        <v>229</v>
      </c>
      <c r="B3" s="14"/>
      <c r="C3" s="14"/>
      <c r="D3" s="14"/>
      <c r="E3" s="14"/>
      <c r="F3" s="14">
        <v>1</v>
      </c>
      <c r="G3" s="14"/>
      <c r="H3" s="14"/>
      <c r="I3" s="14">
        <v>1</v>
      </c>
      <c r="J3" s="14"/>
      <c r="K3" s="14"/>
      <c r="L3" s="14">
        <v>1</v>
      </c>
    </row>
    <row r="4" spans="1:12" x14ac:dyDescent="0.3">
      <c r="A4" s="4" t="s">
        <v>232</v>
      </c>
      <c r="B4" s="14"/>
      <c r="C4" s="14">
        <v>1</v>
      </c>
      <c r="D4" s="14"/>
      <c r="E4" s="14"/>
      <c r="F4" s="14"/>
      <c r="G4" s="14"/>
      <c r="H4" s="14"/>
      <c r="I4" s="14"/>
      <c r="J4" s="14"/>
      <c r="K4" s="14"/>
      <c r="L4" s="14"/>
    </row>
    <row r="5" spans="1:12" x14ac:dyDescent="0.3">
      <c r="A5" s="4" t="s">
        <v>235</v>
      </c>
      <c r="B5" s="14"/>
      <c r="C5" s="14"/>
      <c r="D5" s="14"/>
      <c r="E5" s="14"/>
      <c r="F5" s="14"/>
      <c r="G5" s="14"/>
      <c r="H5" s="14"/>
      <c r="I5" s="14"/>
      <c r="J5" s="14"/>
      <c r="K5" s="14"/>
      <c r="L5" s="14"/>
    </row>
    <row r="6" spans="1:12" x14ac:dyDescent="0.3">
      <c r="A6" s="4" t="s">
        <v>238</v>
      </c>
      <c r="B6" s="14"/>
      <c r="C6" s="14"/>
      <c r="D6" s="14">
        <v>1</v>
      </c>
      <c r="E6" s="14"/>
      <c r="F6" s="14"/>
      <c r="G6" s="14">
        <v>1</v>
      </c>
      <c r="H6" s="14"/>
      <c r="I6" s="14"/>
      <c r="J6" s="14">
        <v>1</v>
      </c>
      <c r="K6" s="14"/>
      <c r="L6" s="14"/>
    </row>
    <row r="7" spans="1:12" x14ac:dyDescent="0.3">
      <c r="A7" s="4" t="s">
        <v>241</v>
      </c>
      <c r="B7" s="14"/>
      <c r="C7" s="14"/>
      <c r="D7" s="14"/>
      <c r="E7" s="14"/>
      <c r="F7" s="14"/>
      <c r="G7" s="14"/>
      <c r="H7" s="14"/>
      <c r="I7" s="14"/>
      <c r="J7" s="14"/>
      <c r="K7" s="14"/>
      <c r="L7" s="14"/>
    </row>
    <row r="8" spans="1:12" x14ac:dyDescent="0.3">
      <c r="A8" s="4" t="s">
        <v>244</v>
      </c>
      <c r="B8" s="14">
        <v>0.86529680365296802</v>
      </c>
      <c r="C8" s="14"/>
      <c r="D8" s="14"/>
      <c r="E8" s="14"/>
      <c r="F8" s="14"/>
      <c r="G8" s="14"/>
      <c r="H8" s="14"/>
      <c r="I8" s="14"/>
      <c r="J8" s="14"/>
      <c r="K8" s="14"/>
      <c r="L8" s="14"/>
    </row>
    <row r="9" spans="1:12" x14ac:dyDescent="0.3">
      <c r="A9" s="4" t="s">
        <v>247</v>
      </c>
      <c r="B9" s="14"/>
      <c r="C9" s="14"/>
      <c r="D9" s="14"/>
      <c r="E9" s="14"/>
      <c r="F9" s="14"/>
      <c r="G9" s="14"/>
      <c r="H9" s="14"/>
      <c r="I9" s="14"/>
      <c r="J9" s="14"/>
      <c r="K9" s="14"/>
      <c r="L9" s="14"/>
    </row>
    <row r="10" spans="1:12" x14ac:dyDescent="0.3">
      <c r="A10" s="4" t="s">
        <v>230</v>
      </c>
      <c r="B10" s="14">
        <v>0.13470319634703196</v>
      </c>
      <c r="C10" s="14"/>
      <c r="D10" s="14"/>
      <c r="E10" s="14"/>
      <c r="F10" s="14"/>
      <c r="G10" s="14"/>
      <c r="H10" s="14"/>
      <c r="I10" s="14"/>
      <c r="J10" s="14"/>
      <c r="K10" s="14"/>
      <c r="L10" s="14"/>
    </row>
    <row r="11" spans="1:12" x14ac:dyDescent="0.3">
      <c r="A11" s="4" t="s">
        <v>250</v>
      </c>
      <c r="B11" s="14"/>
      <c r="C11" s="14"/>
      <c r="D11" s="14"/>
      <c r="E11" s="14"/>
      <c r="F11" s="14"/>
      <c r="G11" s="14"/>
      <c r="H11" s="14"/>
      <c r="I11" s="14"/>
      <c r="J11" s="14"/>
      <c r="K11" s="14"/>
      <c r="L11" s="14"/>
    </row>
    <row r="12" spans="1:12" x14ac:dyDescent="0.3">
      <c r="A12" s="4" t="s">
        <v>252</v>
      </c>
      <c r="B12" s="14"/>
      <c r="C12" s="14"/>
      <c r="D12" s="14"/>
      <c r="E12" s="14"/>
      <c r="F12" s="14"/>
      <c r="G12" s="14"/>
      <c r="H12" s="14"/>
      <c r="I12" s="14"/>
      <c r="J12" s="14"/>
      <c r="K12" s="14"/>
      <c r="L12" s="14"/>
    </row>
    <row r="13" spans="1:12" x14ac:dyDescent="0.3">
      <c r="A13" s="4" t="s">
        <v>254</v>
      </c>
      <c r="B13" s="14"/>
      <c r="C13" s="14"/>
      <c r="D13" s="14"/>
      <c r="E13" s="14"/>
      <c r="F13" s="14"/>
      <c r="G13" s="14"/>
      <c r="H13" s="14"/>
      <c r="I13" s="14"/>
      <c r="J13" s="14"/>
      <c r="K13" s="14"/>
      <c r="L13" s="14"/>
    </row>
    <row r="14" spans="1:12" x14ac:dyDescent="0.3">
      <c r="A14" s="4" t="s">
        <v>256</v>
      </c>
      <c r="B14" s="14"/>
      <c r="C14" s="14"/>
      <c r="D14" s="14"/>
      <c r="E14" s="14"/>
      <c r="F14" s="14"/>
      <c r="G14" s="14"/>
      <c r="H14" s="14"/>
      <c r="I14" s="14"/>
      <c r="J14" s="14"/>
      <c r="K14" s="14"/>
      <c r="L14" s="14"/>
    </row>
  </sheetData>
  <mergeCells count="4">
    <mergeCell ref="D1:F1"/>
    <mergeCell ref="B1:C1"/>
    <mergeCell ref="G1:I1"/>
    <mergeCell ref="J1:L1"/>
  </mergeCells>
  <phoneticPr fontId="1" type="noConversion"/>
  <conditionalFormatting sqref="B3:B32">
    <cfRule type="colorScale" priority="82">
      <colorScale>
        <cfvo type="min"/>
        <cfvo type="percentile" val="50"/>
        <cfvo type="max"/>
        <color rgb="FFF8696B"/>
        <color rgb="FFFCFCFF"/>
        <color rgb="FF5A8AC6"/>
      </colorScale>
    </cfRule>
  </conditionalFormatting>
  <conditionalFormatting sqref="B3:B37">
    <cfRule type="colorScale" priority="81">
      <colorScale>
        <cfvo type="min"/>
        <cfvo type="max"/>
        <color rgb="FFFCFCFF"/>
        <color rgb="FF63BE7B"/>
      </colorScale>
    </cfRule>
  </conditionalFormatting>
  <conditionalFormatting sqref="B1:B1048576">
    <cfRule type="colorScale" priority="51">
      <colorScale>
        <cfvo type="min"/>
        <cfvo type="percentile" val="50"/>
        <cfvo type="max"/>
        <color rgb="FFF8696B"/>
        <color rgb="FFFCFCFF"/>
        <color rgb="FF5A8AC6"/>
      </colorScale>
    </cfRule>
    <cfRule type="colorScale" priority="80">
      <colorScale>
        <cfvo type="min"/>
        <cfvo type="max"/>
        <color rgb="FFFCFCFF"/>
        <color rgb="FF63BE7B"/>
      </colorScale>
    </cfRule>
  </conditionalFormatting>
  <conditionalFormatting sqref="B3:B14">
    <cfRule type="colorScale" priority="52">
      <colorScale>
        <cfvo type="min"/>
        <cfvo type="percentile" val="50"/>
        <cfvo type="max"/>
        <color rgb="FFF8696B"/>
        <color rgb="FFFCFCFF"/>
        <color rgb="FF5A8AC6"/>
      </colorScale>
    </cfRule>
  </conditionalFormatting>
  <conditionalFormatting sqref="C3:C32">
    <cfRule type="colorScale" priority="50">
      <colorScale>
        <cfvo type="min"/>
        <cfvo type="percentile" val="50"/>
        <cfvo type="max"/>
        <color rgb="FFF8696B"/>
        <color rgb="FFFCFCFF"/>
        <color rgb="FF5A8AC6"/>
      </colorScale>
    </cfRule>
  </conditionalFormatting>
  <conditionalFormatting sqref="C3:C37">
    <cfRule type="colorScale" priority="49">
      <colorScale>
        <cfvo type="min"/>
        <cfvo type="max"/>
        <color rgb="FFFCFCFF"/>
        <color rgb="FF63BE7B"/>
      </colorScale>
    </cfRule>
  </conditionalFormatting>
  <conditionalFormatting sqref="C2:C1048576">
    <cfRule type="colorScale" priority="46">
      <colorScale>
        <cfvo type="min"/>
        <cfvo type="percentile" val="50"/>
        <cfvo type="max"/>
        <color rgb="FFF8696B"/>
        <color rgb="FFFCFCFF"/>
        <color rgb="FF5A8AC6"/>
      </colorScale>
    </cfRule>
    <cfRule type="colorScale" priority="48">
      <colorScale>
        <cfvo type="min"/>
        <cfvo type="max"/>
        <color rgb="FFFCFCFF"/>
        <color rgb="FF63BE7B"/>
      </colorScale>
    </cfRule>
  </conditionalFormatting>
  <conditionalFormatting sqref="C3:C14">
    <cfRule type="colorScale" priority="47">
      <colorScale>
        <cfvo type="min"/>
        <cfvo type="percentile" val="50"/>
        <cfvo type="max"/>
        <color rgb="FFF8696B"/>
        <color rgb="FFFCFCFF"/>
        <color rgb="FF5A8AC6"/>
      </colorScale>
    </cfRule>
  </conditionalFormatting>
  <conditionalFormatting sqref="D3:D32">
    <cfRule type="colorScale" priority="45">
      <colorScale>
        <cfvo type="min"/>
        <cfvo type="percentile" val="50"/>
        <cfvo type="max"/>
        <color rgb="FFF8696B"/>
        <color rgb="FFFCFCFF"/>
        <color rgb="FF5A8AC6"/>
      </colorScale>
    </cfRule>
  </conditionalFormatting>
  <conditionalFormatting sqref="D3:D37">
    <cfRule type="colorScale" priority="44">
      <colorScale>
        <cfvo type="min"/>
        <cfvo type="max"/>
        <color rgb="FFFCFCFF"/>
        <color rgb="FF63BE7B"/>
      </colorScale>
    </cfRule>
  </conditionalFormatting>
  <conditionalFormatting sqref="D1:D1048576">
    <cfRule type="colorScale" priority="41">
      <colorScale>
        <cfvo type="min"/>
        <cfvo type="percentile" val="50"/>
        <cfvo type="max"/>
        <color rgb="FFF8696B"/>
        <color rgb="FFFCFCFF"/>
        <color rgb="FF5A8AC6"/>
      </colorScale>
    </cfRule>
    <cfRule type="colorScale" priority="43">
      <colorScale>
        <cfvo type="min"/>
        <cfvo type="max"/>
        <color rgb="FFFCFCFF"/>
        <color rgb="FF63BE7B"/>
      </colorScale>
    </cfRule>
  </conditionalFormatting>
  <conditionalFormatting sqref="D3:D14">
    <cfRule type="colorScale" priority="42">
      <colorScale>
        <cfvo type="min"/>
        <cfvo type="percentile" val="50"/>
        <cfvo type="max"/>
        <color rgb="FFF8696B"/>
        <color rgb="FFFCFCFF"/>
        <color rgb="FF5A8AC6"/>
      </colorScale>
    </cfRule>
  </conditionalFormatting>
  <conditionalFormatting sqref="E3:E32">
    <cfRule type="colorScale" priority="40">
      <colorScale>
        <cfvo type="min"/>
        <cfvo type="percentile" val="50"/>
        <cfvo type="max"/>
        <color rgb="FFF8696B"/>
        <color rgb="FFFCFCFF"/>
        <color rgb="FF5A8AC6"/>
      </colorScale>
    </cfRule>
  </conditionalFormatting>
  <conditionalFormatting sqref="E3:E37">
    <cfRule type="colorScale" priority="39">
      <colorScale>
        <cfvo type="min"/>
        <cfvo type="max"/>
        <color rgb="FFFCFCFF"/>
        <color rgb="FF63BE7B"/>
      </colorScale>
    </cfRule>
  </conditionalFormatting>
  <conditionalFormatting sqref="E2:E1048576">
    <cfRule type="colorScale" priority="36">
      <colorScale>
        <cfvo type="min"/>
        <cfvo type="percentile" val="50"/>
        <cfvo type="max"/>
        <color rgb="FFF8696B"/>
        <color rgb="FFFCFCFF"/>
        <color rgb="FF5A8AC6"/>
      </colorScale>
    </cfRule>
    <cfRule type="colorScale" priority="38">
      <colorScale>
        <cfvo type="min"/>
        <cfvo type="max"/>
        <color rgb="FFFCFCFF"/>
        <color rgb="FF63BE7B"/>
      </colorScale>
    </cfRule>
  </conditionalFormatting>
  <conditionalFormatting sqref="E3:E14">
    <cfRule type="colorScale" priority="37">
      <colorScale>
        <cfvo type="min"/>
        <cfvo type="percentile" val="50"/>
        <cfvo type="max"/>
        <color rgb="FFF8696B"/>
        <color rgb="FFFCFCFF"/>
        <color rgb="FF5A8AC6"/>
      </colorScale>
    </cfRule>
  </conditionalFormatting>
  <conditionalFormatting sqref="F3:F32">
    <cfRule type="colorScale" priority="35">
      <colorScale>
        <cfvo type="min"/>
        <cfvo type="percentile" val="50"/>
        <cfvo type="max"/>
        <color rgb="FFF8696B"/>
        <color rgb="FFFCFCFF"/>
        <color rgb="FF5A8AC6"/>
      </colorScale>
    </cfRule>
  </conditionalFormatting>
  <conditionalFormatting sqref="F3:F37">
    <cfRule type="colorScale" priority="34">
      <colorScale>
        <cfvo type="min"/>
        <cfvo type="max"/>
        <color rgb="FFFCFCFF"/>
        <color rgb="FF63BE7B"/>
      </colorScale>
    </cfRule>
  </conditionalFormatting>
  <conditionalFormatting sqref="F2:F1048576">
    <cfRule type="colorScale" priority="31">
      <colorScale>
        <cfvo type="min"/>
        <cfvo type="percentile" val="50"/>
        <cfvo type="max"/>
        <color rgb="FFF8696B"/>
        <color rgb="FFFCFCFF"/>
        <color rgb="FF5A8AC6"/>
      </colorScale>
    </cfRule>
    <cfRule type="colorScale" priority="33">
      <colorScale>
        <cfvo type="min"/>
        <cfvo type="max"/>
        <color rgb="FFFCFCFF"/>
        <color rgb="FF63BE7B"/>
      </colorScale>
    </cfRule>
  </conditionalFormatting>
  <conditionalFormatting sqref="F3:F14">
    <cfRule type="colorScale" priority="32">
      <colorScale>
        <cfvo type="min"/>
        <cfvo type="percentile" val="50"/>
        <cfvo type="max"/>
        <color rgb="FFF8696B"/>
        <color rgb="FFFCFCFF"/>
        <color rgb="FF5A8AC6"/>
      </colorScale>
    </cfRule>
  </conditionalFormatting>
  <conditionalFormatting sqref="G3:G32">
    <cfRule type="colorScale" priority="30">
      <colorScale>
        <cfvo type="min"/>
        <cfvo type="percentile" val="50"/>
        <cfvo type="max"/>
        <color rgb="FFF8696B"/>
        <color rgb="FFFCFCFF"/>
        <color rgb="FF5A8AC6"/>
      </colorScale>
    </cfRule>
  </conditionalFormatting>
  <conditionalFormatting sqref="G3:G37">
    <cfRule type="colorScale" priority="29">
      <colorScale>
        <cfvo type="min"/>
        <cfvo type="max"/>
        <color rgb="FFFCFCFF"/>
        <color rgb="FF63BE7B"/>
      </colorScale>
    </cfRule>
  </conditionalFormatting>
  <conditionalFormatting sqref="G1:G1048576">
    <cfRule type="colorScale" priority="26">
      <colorScale>
        <cfvo type="min"/>
        <cfvo type="percentile" val="50"/>
        <cfvo type="max"/>
        <color rgb="FFF8696B"/>
        <color rgb="FFFCFCFF"/>
        <color rgb="FF5A8AC6"/>
      </colorScale>
    </cfRule>
    <cfRule type="colorScale" priority="28">
      <colorScale>
        <cfvo type="min"/>
        <cfvo type="max"/>
        <color rgb="FFFCFCFF"/>
        <color rgb="FF63BE7B"/>
      </colorScale>
    </cfRule>
  </conditionalFormatting>
  <conditionalFormatting sqref="G3:G14">
    <cfRule type="colorScale" priority="27">
      <colorScale>
        <cfvo type="min"/>
        <cfvo type="percentile" val="50"/>
        <cfvo type="max"/>
        <color rgb="FFF8696B"/>
        <color rgb="FFFCFCFF"/>
        <color rgb="FF5A8AC6"/>
      </colorScale>
    </cfRule>
  </conditionalFormatting>
  <conditionalFormatting sqref="H3:H32">
    <cfRule type="colorScale" priority="25">
      <colorScale>
        <cfvo type="min"/>
        <cfvo type="percentile" val="50"/>
        <cfvo type="max"/>
        <color rgb="FFF8696B"/>
        <color rgb="FFFCFCFF"/>
        <color rgb="FF5A8AC6"/>
      </colorScale>
    </cfRule>
  </conditionalFormatting>
  <conditionalFormatting sqref="H3:H37">
    <cfRule type="colorScale" priority="24">
      <colorScale>
        <cfvo type="min"/>
        <cfvo type="max"/>
        <color rgb="FFFCFCFF"/>
        <color rgb="FF63BE7B"/>
      </colorScale>
    </cfRule>
  </conditionalFormatting>
  <conditionalFormatting sqref="H2:H1048576">
    <cfRule type="colorScale" priority="21">
      <colorScale>
        <cfvo type="min"/>
        <cfvo type="percentile" val="50"/>
        <cfvo type="max"/>
        <color rgb="FFF8696B"/>
        <color rgb="FFFCFCFF"/>
        <color rgb="FF5A8AC6"/>
      </colorScale>
    </cfRule>
    <cfRule type="colorScale" priority="23">
      <colorScale>
        <cfvo type="min"/>
        <cfvo type="max"/>
        <color rgb="FFFCFCFF"/>
        <color rgb="FF63BE7B"/>
      </colorScale>
    </cfRule>
  </conditionalFormatting>
  <conditionalFormatting sqref="H3:H14">
    <cfRule type="colorScale" priority="22">
      <colorScale>
        <cfvo type="min"/>
        <cfvo type="percentile" val="50"/>
        <cfvo type="max"/>
        <color rgb="FFF8696B"/>
        <color rgb="FFFCFCFF"/>
        <color rgb="FF5A8AC6"/>
      </colorScale>
    </cfRule>
  </conditionalFormatting>
  <conditionalFormatting sqref="I3:I32">
    <cfRule type="colorScale" priority="20">
      <colorScale>
        <cfvo type="min"/>
        <cfvo type="percentile" val="50"/>
        <cfvo type="max"/>
        <color rgb="FFF8696B"/>
        <color rgb="FFFCFCFF"/>
        <color rgb="FF5A8AC6"/>
      </colorScale>
    </cfRule>
  </conditionalFormatting>
  <conditionalFormatting sqref="I3:I37">
    <cfRule type="colorScale" priority="19">
      <colorScale>
        <cfvo type="min"/>
        <cfvo type="max"/>
        <color rgb="FFFCFCFF"/>
        <color rgb="FF63BE7B"/>
      </colorScale>
    </cfRule>
  </conditionalFormatting>
  <conditionalFormatting sqref="I2:I1048576">
    <cfRule type="colorScale" priority="16">
      <colorScale>
        <cfvo type="min"/>
        <cfvo type="percentile" val="50"/>
        <cfvo type="max"/>
        <color rgb="FFF8696B"/>
        <color rgb="FFFCFCFF"/>
        <color rgb="FF5A8AC6"/>
      </colorScale>
    </cfRule>
    <cfRule type="colorScale" priority="18">
      <colorScale>
        <cfvo type="min"/>
        <cfvo type="max"/>
        <color rgb="FFFCFCFF"/>
        <color rgb="FF63BE7B"/>
      </colorScale>
    </cfRule>
  </conditionalFormatting>
  <conditionalFormatting sqref="I3:I14">
    <cfRule type="colorScale" priority="17">
      <colorScale>
        <cfvo type="min"/>
        <cfvo type="percentile" val="50"/>
        <cfvo type="max"/>
        <color rgb="FFF8696B"/>
        <color rgb="FFFCFCFF"/>
        <color rgb="FF5A8AC6"/>
      </colorScale>
    </cfRule>
  </conditionalFormatting>
  <conditionalFormatting sqref="J3:J32">
    <cfRule type="colorScale" priority="15">
      <colorScale>
        <cfvo type="min"/>
        <cfvo type="percentile" val="50"/>
        <cfvo type="max"/>
        <color rgb="FFF8696B"/>
        <color rgb="FFFCFCFF"/>
        <color rgb="FF5A8AC6"/>
      </colorScale>
    </cfRule>
  </conditionalFormatting>
  <conditionalFormatting sqref="J3:J37">
    <cfRule type="colorScale" priority="14">
      <colorScale>
        <cfvo type="min"/>
        <cfvo type="max"/>
        <color rgb="FFFCFCFF"/>
        <color rgb="FF63BE7B"/>
      </colorScale>
    </cfRule>
  </conditionalFormatting>
  <conditionalFormatting sqref="J1:J1048576">
    <cfRule type="colorScale" priority="11">
      <colorScale>
        <cfvo type="min"/>
        <cfvo type="percentile" val="50"/>
        <cfvo type="max"/>
        <color rgb="FFF8696B"/>
        <color rgb="FFFCFCFF"/>
        <color rgb="FF5A8AC6"/>
      </colorScale>
    </cfRule>
    <cfRule type="colorScale" priority="13">
      <colorScale>
        <cfvo type="min"/>
        <cfvo type="max"/>
        <color rgb="FFFCFCFF"/>
        <color rgb="FF63BE7B"/>
      </colorScale>
    </cfRule>
  </conditionalFormatting>
  <conditionalFormatting sqref="J3:J14">
    <cfRule type="colorScale" priority="12">
      <colorScale>
        <cfvo type="min"/>
        <cfvo type="percentile" val="50"/>
        <cfvo type="max"/>
        <color rgb="FFF8696B"/>
        <color rgb="FFFCFCFF"/>
        <color rgb="FF5A8AC6"/>
      </colorScale>
    </cfRule>
  </conditionalFormatting>
  <conditionalFormatting sqref="K3:K32">
    <cfRule type="colorScale" priority="10">
      <colorScale>
        <cfvo type="min"/>
        <cfvo type="percentile" val="50"/>
        <cfvo type="max"/>
        <color rgb="FFF8696B"/>
        <color rgb="FFFCFCFF"/>
        <color rgb="FF5A8AC6"/>
      </colorScale>
    </cfRule>
  </conditionalFormatting>
  <conditionalFormatting sqref="K3:K37">
    <cfRule type="colorScale" priority="9">
      <colorScale>
        <cfvo type="min"/>
        <cfvo type="max"/>
        <color rgb="FFFCFCFF"/>
        <color rgb="FF63BE7B"/>
      </colorScale>
    </cfRule>
  </conditionalFormatting>
  <conditionalFormatting sqref="K2:K1048576">
    <cfRule type="colorScale" priority="6">
      <colorScale>
        <cfvo type="min"/>
        <cfvo type="percentile" val="50"/>
        <cfvo type="max"/>
        <color rgb="FFF8696B"/>
        <color rgb="FFFCFCFF"/>
        <color rgb="FF5A8AC6"/>
      </colorScale>
    </cfRule>
    <cfRule type="colorScale" priority="8">
      <colorScale>
        <cfvo type="min"/>
        <cfvo type="max"/>
        <color rgb="FFFCFCFF"/>
        <color rgb="FF63BE7B"/>
      </colorScale>
    </cfRule>
  </conditionalFormatting>
  <conditionalFormatting sqref="K3:K14">
    <cfRule type="colorScale" priority="7">
      <colorScale>
        <cfvo type="min"/>
        <cfvo type="percentile" val="50"/>
        <cfvo type="max"/>
        <color rgb="FFF8696B"/>
        <color rgb="FFFCFCFF"/>
        <color rgb="FF5A8AC6"/>
      </colorScale>
    </cfRule>
  </conditionalFormatting>
  <conditionalFormatting sqref="L3:L32">
    <cfRule type="colorScale" priority="5">
      <colorScale>
        <cfvo type="min"/>
        <cfvo type="percentile" val="50"/>
        <cfvo type="max"/>
        <color rgb="FFF8696B"/>
        <color rgb="FFFCFCFF"/>
        <color rgb="FF5A8AC6"/>
      </colorScale>
    </cfRule>
  </conditionalFormatting>
  <conditionalFormatting sqref="L3:L37">
    <cfRule type="colorScale" priority="4">
      <colorScale>
        <cfvo type="min"/>
        <cfvo type="max"/>
        <color rgb="FFFCFCFF"/>
        <color rgb="FF63BE7B"/>
      </colorScale>
    </cfRule>
  </conditionalFormatting>
  <conditionalFormatting sqref="L2:L1048576">
    <cfRule type="colorScale" priority="1">
      <colorScale>
        <cfvo type="min"/>
        <cfvo type="percentile" val="50"/>
        <cfvo type="max"/>
        <color rgb="FFF8696B"/>
        <color rgb="FFFCFCFF"/>
        <color rgb="FF5A8AC6"/>
      </colorScale>
    </cfRule>
    <cfRule type="colorScale" priority="3">
      <colorScale>
        <cfvo type="min"/>
        <cfvo type="max"/>
        <color rgb="FFFCFCFF"/>
        <color rgb="FF63BE7B"/>
      </colorScale>
    </cfRule>
  </conditionalFormatting>
  <conditionalFormatting sqref="L3:L14">
    <cfRule type="colorScale" priority="2">
      <colorScale>
        <cfvo type="min"/>
        <cfvo type="percentile" val="50"/>
        <cfvo type="max"/>
        <color rgb="FFF8696B"/>
        <color rgb="FFFCFCFF"/>
        <color rgb="FF5A8AC6"/>
      </colorScale>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工作表11">
    <tabColor rgb="FF00B050"/>
  </sheetPr>
  <dimension ref="B2:C190"/>
  <sheetViews>
    <sheetView showGridLines="0" workbookViewId="0">
      <selection activeCell="G11" sqref="G11"/>
    </sheetView>
  </sheetViews>
  <sheetFormatPr defaultColWidth="9" defaultRowHeight="15.6" x14ac:dyDescent="0.3"/>
  <cols>
    <col min="1" max="1" width="9" style="144"/>
    <col min="2" max="2" width="13.6640625" style="144" customWidth="1"/>
    <col min="3" max="16384" width="9" style="144"/>
  </cols>
  <sheetData>
    <row r="2" spans="2:3" x14ac:dyDescent="0.3">
      <c r="B2" s="144" t="s">
        <v>920</v>
      </c>
      <c r="C2" s="145" t="s">
        <v>919</v>
      </c>
    </row>
    <row r="3" spans="2:3" x14ac:dyDescent="0.3">
      <c r="B3" s="144" t="s">
        <v>921</v>
      </c>
      <c r="C3" s="148">
        <v>1.4</v>
      </c>
    </row>
    <row r="4" spans="2:3" x14ac:dyDescent="0.3">
      <c r="B4" s="144" t="s">
        <v>922</v>
      </c>
      <c r="C4" s="148">
        <v>1.3</v>
      </c>
    </row>
    <row r="6" spans="2:3" x14ac:dyDescent="0.3">
      <c r="B6" s="146" t="s">
        <v>918</v>
      </c>
    </row>
    <row r="7" spans="2:3" s="149" customFormat="1" x14ac:dyDescent="0.3"/>
    <row r="8" spans="2:3" x14ac:dyDescent="0.3">
      <c r="B8" s="144" t="str">
        <f>"Welcome to the version "&amp;C3&amp;" release of "&amp;C2&amp;". There are a number of significant updates in this version that we hope you will like, some of the key highlights include:"</f>
        <v>Welcome to the version 1.4 release of RC Scan. There are a number of significant updates in this version that we hope you will like, some of the key highlights include:</v>
      </c>
    </row>
    <row r="10" spans="2:3" x14ac:dyDescent="0.3">
      <c r="B10" s="150">
        <v>1</v>
      </c>
      <c r="C10" s="144" t="s">
        <v>1072</v>
      </c>
    </row>
    <row r="11" spans="2:3" ht="16.2" x14ac:dyDescent="0.3">
      <c r="B11" s="150">
        <v>2</v>
      </c>
      <c r="C11" s="174" t="s">
        <v>1094</v>
      </c>
    </row>
    <row r="12" spans="2:3" ht="16.2" x14ac:dyDescent="0.3">
      <c r="B12" s="150">
        <v>3</v>
      </c>
      <c r="C12" s="174" t="s">
        <v>1095</v>
      </c>
    </row>
    <row r="13" spans="2:3" ht="16.2" x14ac:dyDescent="0.3">
      <c r="B13" s="150">
        <v>4</v>
      </c>
      <c r="C13" s="174" t="s">
        <v>1096</v>
      </c>
    </row>
    <row r="14" spans="2:3" x14ac:dyDescent="0.3">
      <c r="B14" s="150"/>
    </row>
    <row r="15" spans="2:3" s="147" customFormat="1" x14ac:dyDescent="0.3"/>
    <row r="16" spans="2:3" x14ac:dyDescent="0.3">
      <c r="B16" s="144" t="str">
        <f>"The release notes are arranged in the following sections related to "&amp;$C$2&amp;" focus areas. Here are some further updates:"</f>
        <v>The release notes are arranged in the following sections related to RC Scan focus areas. Here are some further updates:</v>
      </c>
    </row>
    <row r="18" spans="2:3" s="147" customFormat="1" x14ac:dyDescent="0.3"/>
    <row r="19" spans="2:3" x14ac:dyDescent="0.3">
      <c r="B19" s="144" t="s">
        <v>1071</v>
      </c>
    </row>
    <row r="21" spans="2:3" x14ac:dyDescent="0.3">
      <c r="B21" s="150">
        <v>1</v>
      </c>
      <c r="C21" s="144" t="s">
        <v>1066</v>
      </c>
    </row>
    <row r="22" spans="2:3" x14ac:dyDescent="0.3">
      <c r="B22" s="150">
        <v>2</v>
      </c>
      <c r="C22" s="144" t="s">
        <v>1067</v>
      </c>
    </row>
    <row r="23" spans="2:3" x14ac:dyDescent="0.3">
      <c r="B23" s="150"/>
    </row>
    <row r="25" spans="2:3" s="147" customFormat="1" x14ac:dyDescent="0.3"/>
    <row r="26" spans="2:3" x14ac:dyDescent="0.3">
      <c r="B26" s="144" t="s">
        <v>1004</v>
      </c>
    </row>
    <row r="28" spans="2:3" x14ac:dyDescent="0.3">
      <c r="B28" s="144" t="s">
        <v>1064</v>
      </c>
    </row>
    <row r="33" spans="2:2" s="147" customFormat="1" x14ac:dyDescent="0.3"/>
    <row r="34" spans="2:2" s="149" customFormat="1" x14ac:dyDescent="0.3">
      <c r="B34" s="149" t="s">
        <v>975</v>
      </c>
    </row>
    <row r="35" spans="2:2" s="149" customFormat="1" x14ac:dyDescent="0.3"/>
    <row r="36" spans="2:2" s="149" customFormat="1" x14ac:dyDescent="0.3">
      <c r="B36" s="144" t="s">
        <v>974</v>
      </c>
    </row>
    <row r="37" spans="2:2" s="147" customFormat="1" x14ac:dyDescent="0.3"/>
    <row r="38" spans="2:2" x14ac:dyDescent="0.3">
      <c r="B38" s="149" t="s">
        <v>973</v>
      </c>
    </row>
    <row r="40" spans="2:2" x14ac:dyDescent="0.3">
      <c r="B40" s="144" t="s">
        <v>965</v>
      </c>
    </row>
    <row r="41" spans="2:2" x14ac:dyDescent="0.3">
      <c r="B41" s="144" t="s">
        <v>966</v>
      </c>
    </row>
    <row r="43" spans="2:2" s="147" customFormat="1" x14ac:dyDescent="0.3"/>
    <row r="44" spans="2:2" s="149" customFormat="1" x14ac:dyDescent="0.3">
      <c r="B44" s="149" t="s">
        <v>972</v>
      </c>
    </row>
    <row r="45" spans="2:2" s="149" customFormat="1" x14ac:dyDescent="0.3"/>
    <row r="46" spans="2:2" x14ac:dyDescent="0.3">
      <c r="B46" s="144" t="s">
        <v>1065</v>
      </c>
    </row>
    <row r="57" spans="2:2" x14ac:dyDescent="0.3">
      <c r="B57" s="144" t="s">
        <v>967</v>
      </c>
    </row>
    <row r="78" spans="2:2" x14ac:dyDescent="0.3">
      <c r="B78" s="144" t="s">
        <v>968</v>
      </c>
    </row>
    <row r="79" spans="2:2" x14ac:dyDescent="0.3">
      <c r="B79" s="144" t="s">
        <v>969</v>
      </c>
    </row>
    <row r="123" spans="2:2" x14ac:dyDescent="0.3">
      <c r="B123" s="144" t="s">
        <v>970</v>
      </c>
    </row>
    <row r="190" spans="2:2" x14ac:dyDescent="0.3">
      <c r="B190" s="144" t="s">
        <v>971</v>
      </c>
    </row>
  </sheetData>
  <phoneticPr fontId="1" type="noConversion"/>
  <hyperlinks>
    <hyperlink ref="B6" r:id="rId1" xr:uid="{00000000-0004-0000-0800-000000000000}"/>
  </hyperlinks>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工作表10"/>
  <dimension ref="A1:J13"/>
  <sheetViews>
    <sheetView workbookViewId="0">
      <selection activeCell="B9" sqref="B9"/>
    </sheetView>
  </sheetViews>
  <sheetFormatPr defaultColWidth="9" defaultRowHeight="15.6" x14ac:dyDescent="0.3"/>
  <cols>
    <col min="1" max="1" width="9.77734375" style="1" bestFit="1" customWidth="1"/>
    <col min="2" max="2" width="15.77734375" style="3" bestFit="1" customWidth="1"/>
    <col min="3" max="3" width="14.109375" style="3" bestFit="1" customWidth="1"/>
    <col min="4" max="4" width="15.33203125" style="3" bestFit="1" customWidth="1"/>
    <col min="5" max="5" width="12.6640625" style="3" bestFit="1" customWidth="1"/>
    <col min="6" max="6" width="13.88671875" style="3" bestFit="1" customWidth="1"/>
    <col min="7" max="7" width="13.88671875" style="1" bestFit="1" customWidth="1"/>
    <col min="8" max="8" width="14.6640625" style="3" bestFit="1" customWidth="1"/>
    <col min="9" max="9" width="16.88671875" style="3" bestFit="1" customWidth="1"/>
    <col min="10" max="10" width="19.77734375" style="1" bestFit="1" customWidth="1"/>
    <col min="11" max="16384" width="9" style="3"/>
  </cols>
  <sheetData>
    <row r="1" spans="1:10" x14ac:dyDescent="0.3">
      <c r="A1" s="1" t="s">
        <v>273</v>
      </c>
      <c r="B1" s="2" t="s">
        <v>274</v>
      </c>
      <c r="C1" s="3" t="s">
        <v>275</v>
      </c>
      <c r="D1" s="3" t="s">
        <v>276</v>
      </c>
      <c r="E1" s="3" t="s">
        <v>277</v>
      </c>
      <c r="F1" s="3" t="s">
        <v>278</v>
      </c>
      <c r="G1" s="1" t="s">
        <v>465</v>
      </c>
      <c r="H1" s="3" t="s">
        <v>279</v>
      </c>
      <c r="I1" s="3" t="s">
        <v>280</v>
      </c>
      <c r="J1" s="1" t="s">
        <v>466</v>
      </c>
    </row>
    <row r="2" spans="1:10" x14ac:dyDescent="0.3">
      <c r="A2" s="1" t="s">
        <v>229</v>
      </c>
      <c r="B2" s="3" t="s">
        <v>230</v>
      </c>
      <c r="C2" s="3">
        <v>0.376</v>
      </c>
      <c r="D2" s="3">
        <v>0.56100000000000005</v>
      </c>
      <c r="E2" s="3" t="s">
        <v>231</v>
      </c>
      <c r="F2" s="3">
        <v>9.5250000000000004</v>
      </c>
      <c r="G2" s="1">
        <f>F2/10</f>
        <v>0.95250000000000001</v>
      </c>
      <c r="H2" s="3">
        <v>0.11</v>
      </c>
      <c r="I2" s="3">
        <v>71</v>
      </c>
      <c r="J2" s="1">
        <f>I2/100</f>
        <v>0.71</v>
      </c>
    </row>
    <row r="3" spans="1:10" x14ac:dyDescent="0.3">
      <c r="A3" s="1" t="s">
        <v>232</v>
      </c>
      <c r="B3" s="3" t="s">
        <v>233</v>
      </c>
      <c r="C3" s="3">
        <v>0.66800000000000004</v>
      </c>
      <c r="D3" s="3">
        <v>0.996</v>
      </c>
      <c r="E3" s="3" t="s">
        <v>234</v>
      </c>
      <c r="F3" s="3">
        <v>12.7</v>
      </c>
      <c r="G3" s="1">
        <f t="shared" ref="G3:G13" si="0">F3/10</f>
        <v>1.27</v>
      </c>
      <c r="H3" s="3">
        <v>0.2</v>
      </c>
      <c r="I3" s="3">
        <v>127</v>
      </c>
      <c r="J3" s="1">
        <f t="shared" ref="J3:J13" si="1">I3/100</f>
        <v>1.27</v>
      </c>
    </row>
    <row r="4" spans="1:10" x14ac:dyDescent="0.3">
      <c r="A4" s="1" t="s">
        <v>235</v>
      </c>
      <c r="B4" s="3" t="s">
        <v>236</v>
      </c>
      <c r="C4" s="3">
        <v>1.0429999999999999</v>
      </c>
      <c r="D4" s="3">
        <v>1.556</v>
      </c>
      <c r="E4" s="3" t="s">
        <v>237</v>
      </c>
      <c r="F4" s="3">
        <v>15.875</v>
      </c>
      <c r="G4" s="1">
        <f t="shared" si="0"/>
        <v>1.5874999999999999</v>
      </c>
      <c r="H4" s="3">
        <v>0.31</v>
      </c>
      <c r="I4" s="3">
        <v>200</v>
      </c>
      <c r="J4" s="1">
        <f t="shared" si="1"/>
        <v>2</v>
      </c>
    </row>
    <row r="5" spans="1:10" x14ac:dyDescent="0.3">
      <c r="A5" s="1" t="s">
        <v>238</v>
      </c>
      <c r="B5" s="3" t="s">
        <v>239</v>
      </c>
      <c r="C5" s="3">
        <v>1.502</v>
      </c>
      <c r="D5" s="3">
        <v>2.2400000000000002</v>
      </c>
      <c r="E5" s="3" t="s">
        <v>240</v>
      </c>
      <c r="F5" s="3">
        <v>19.05</v>
      </c>
      <c r="G5" s="1">
        <f t="shared" si="0"/>
        <v>1.905</v>
      </c>
      <c r="H5" s="3">
        <v>0.44</v>
      </c>
      <c r="I5" s="3">
        <v>284</v>
      </c>
      <c r="J5" s="1">
        <f t="shared" si="1"/>
        <v>2.84</v>
      </c>
    </row>
    <row r="6" spans="1:10" x14ac:dyDescent="0.3">
      <c r="A6" s="1" t="s">
        <v>241</v>
      </c>
      <c r="B6" s="3" t="s">
        <v>242</v>
      </c>
      <c r="C6" s="3">
        <v>2.044</v>
      </c>
      <c r="D6" s="3">
        <v>3.0489999999999999</v>
      </c>
      <c r="E6" s="3" t="s">
        <v>243</v>
      </c>
      <c r="F6" s="3">
        <v>22.225000000000001</v>
      </c>
      <c r="G6" s="1">
        <f t="shared" si="0"/>
        <v>2.2225000000000001</v>
      </c>
      <c r="H6" s="3">
        <v>0.6</v>
      </c>
      <c r="I6" s="3">
        <v>387</v>
      </c>
      <c r="J6" s="1">
        <f t="shared" si="1"/>
        <v>3.87</v>
      </c>
    </row>
    <row r="7" spans="1:10" x14ac:dyDescent="0.3">
      <c r="A7" s="1" t="s">
        <v>244</v>
      </c>
      <c r="B7" s="3" t="s">
        <v>245</v>
      </c>
      <c r="C7" s="3">
        <v>2.67</v>
      </c>
      <c r="D7" s="3">
        <v>3.9820000000000002</v>
      </c>
      <c r="E7" s="3" t="s">
        <v>246</v>
      </c>
      <c r="F7" s="3">
        <v>25.4</v>
      </c>
      <c r="G7" s="1">
        <f t="shared" si="0"/>
        <v>2.54</v>
      </c>
      <c r="H7" s="3">
        <v>0.79</v>
      </c>
      <c r="I7" s="3">
        <v>509</v>
      </c>
      <c r="J7" s="1">
        <f t="shared" si="1"/>
        <v>5.09</v>
      </c>
    </row>
    <row r="8" spans="1:10" x14ac:dyDescent="0.3">
      <c r="A8" s="1" t="s">
        <v>247</v>
      </c>
      <c r="B8" s="3" t="s">
        <v>248</v>
      </c>
      <c r="C8" s="3">
        <v>3.4</v>
      </c>
      <c r="D8" s="3">
        <v>5.0709999999999997</v>
      </c>
      <c r="E8" s="3">
        <v>1.1279999999999999</v>
      </c>
      <c r="F8" s="3">
        <v>28.65</v>
      </c>
      <c r="G8" s="1">
        <f t="shared" si="0"/>
        <v>2.8649999999999998</v>
      </c>
      <c r="H8" s="3">
        <v>1</v>
      </c>
      <c r="I8" s="3">
        <v>645</v>
      </c>
      <c r="J8" s="1">
        <f t="shared" si="1"/>
        <v>6.45</v>
      </c>
    </row>
    <row r="9" spans="1:10" x14ac:dyDescent="0.3">
      <c r="A9" s="1" t="s">
        <v>230</v>
      </c>
      <c r="B9" s="3" t="s">
        <v>249</v>
      </c>
      <c r="C9" s="3">
        <v>4.3029999999999999</v>
      </c>
      <c r="D9" s="3">
        <v>6.4180000000000001</v>
      </c>
      <c r="E9" s="3">
        <v>1.27</v>
      </c>
      <c r="F9" s="3">
        <v>32.26</v>
      </c>
      <c r="G9" s="1">
        <f t="shared" si="0"/>
        <v>3.226</v>
      </c>
      <c r="H9" s="3">
        <v>1.27</v>
      </c>
      <c r="I9" s="3">
        <v>819</v>
      </c>
      <c r="J9" s="1">
        <f t="shared" si="1"/>
        <v>8.19</v>
      </c>
    </row>
    <row r="10" spans="1:10" x14ac:dyDescent="0.3">
      <c r="A10" s="1" t="s">
        <v>250</v>
      </c>
      <c r="B10" s="3" t="s">
        <v>251</v>
      </c>
      <c r="C10" s="3">
        <v>5.3129999999999997</v>
      </c>
      <c r="D10" s="3">
        <v>7.9240000000000004</v>
      </c>
      <c r="E10" s="3">
        <v>1.41</v>
      </c>
      <c r="F10" s="3">
        <v>35.81</v>
      </c>
      <c r="G10" s="1">
        <f t="shared" si="0"/>
        <v>3.5810000000000004</v>
      </c>
      <c r="H10" s="3">
        <v>1.56</v>
      </c>
      <c r="I10" s="3">
        <v>1006</v>
      </c>
      <c r="J10" s="1">
        <f t="shared" si="1"/>
        <v>10.06</v>
      </c>
    </row>
    <row r="11" spans="1:10" x14ac:dyDescent="0.3">
      <c r="A11" s="1" t="s">
        <v>252</v>
      </c>
      <c r="B11" s="3" t="s">
        <v>253</v>
      </c>
      <c r="C11" s="3">
        <v>6.4240000000000004</v>
      </c>
      <c r="D11" s="3">
        <v>9.6189999999999998</v>
      </c>
      <c r="E11" s="3">
        <v>1.5</v>
      </c>
      <c r="F11" s="3">
        <v>38.1</v>
      </c>
      <c r="G11" s="1">
        <f t="shared" si="0"/>
        <v>3.81</v>
      </c>
      <c r="H11" s="3">
        <v>1.76</v>
      </c>
      <c r="I11" s="3">
        <v>1140</v>
      </c>
      <c r="J11" s="1">
        <f t="shared" si="1"/>
        <v>11.4</v>
      </c>
    </row>
    <row r="12" spans="1:10" x14ac:dyDescent="0.3">
      <c r="A12" s="1" t="s">
        <v>254</v>
      </c>
      <c r="B12" s="3" t="s">
        <v>255</v>
      </c>
      <c r="C12" s="3">
        <v>7.65</v>
      </c>
      <c r="D12" s="3">
        <v>11.41</v>
      </c>
      <c r="E12" s="3">
        <v>1.6930000000000001</v>
      </c>
      <c r="F12" s="3">
        <v>43</v>
      </c>
      <c r="G12" s="1">
        <f t="shared" si="0"/>
        <v>4.3</v>
      </c>
      <c r="H12" s="3">
        <v>2.25</v>
      </c>
      <c r="I12" s="3">
        <v>1452</v>
      </c>
      <c r="J12" s="1">
        <f t="shared" si="1"/>
        <v>14.52</v>
      </c>
    </row>
    <row r="13" spans="1:10" x14ac:dyDescent="0.3">
      <c r="A13" s="1" t="s">
        <v>256</v>
      </c>
      <c r="B13" s="3" t="s">
        <v>257</v>
      </c>
      <c r="C13" s="3">
        <v>13.6</v>
      </c>
      <c r="D13" s="3">
        <v>20.283999999999999</v>
      </c>
      <c r="E13" s="3">
        <v>2.2570000000000001</v>
      </c>
      <c r="F13" s="3">
        <v>57.33</v>
      </c>
      <c r="G13" s="1">
        <f t="shared" si="0"/>
        <v>5.7329999999999997</v>
      </c>
      <c r="H13" s="3">
        <v>4</v>
      </c>
      <c r="I13" s="3">
        <v>2581</v>
      </c>
      <c r="J13" s="1">
        <f t="shared" si="1"/>
        <v>25.81</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工作表6"/>
  <dimension ref="A2:T261"/>
  <sheetViews>
    <sheetView topLeftCell="A246" zoomScaleNormal="100" workbookViewId="0">
      <selection activeCell="F12" sqref="F12"/>
    </sheetView>
  </sheetViews>
  <sheetFormatPr defaultColWidth="9" defaultRowHeight="18" x14ac:dyDescent="0.3"/>
  <cols>
    <col min="1" max="1" width="9" style="6"/>
    <col min="2" max="2" width="12.21875" style="94" customWidth="1"/>
    <col min="3" max="3" width="6.88671875" style="5" customWidth="1"/>
    <col min="4" max="4" width="10.77734375" style="26" customWidth="1"/>
    <col min="5" max="5" width="11.6640625" style="27" customWidth="1"/>
    <col min="6" max="6" width="11.6640625" style="28" customWidth="1"/>
    <col min="7" max="7" width="20.6640625" style="29" customWidth="1"/>
    <col min="8" max="8" width="12.6640625" style="5" customWidth="1"/>
    <col min="9" max="9" width="15.21875" style="5" customWidth="1"/>
    <col min="10" max="10" width="11.6640625" style="5" customWidth="1"/>
    <col min="11" max="11" width="24.77734375" style="30" customWidth="1"/>
    <col min="12" max="12" width="40.109375" style="97" customWidth="1"/>
    <col min="13" max="13" width="40.44140625" style="98" customWidth="1"/>
    <col min="14" max="14" width="9" style="6"/>
    <col min="15" max="15" width="17.33203125" style="6" customWidth="1"/>
    <col min="16" max="16384" width="9" style="6"/>
  </cols>
  <sheetData>
    <row r="2" spans="1:17" ht="15.6" x14ac:dyDescent="0.3">
      <c r="A2" s="6" t="s">
        <v>1</v>
      </c>
      <c r="B2" s="96" t="s">
        <v>2</v>
      </c>
    </row>
    <row r="3" spans="1:17" ht="21" x14ac:dyDescent="0.3">
      <c r="C3" s="99">
        <f>SUM(D4:F4)</f>
        <v>182</v>
      </c>
      <c r="D3" s="34"/>
      <c r="E3" s="35"/>
      <c r="F3" s="36"/>
    </row>
    <row r="4" spans="1:17" ht="21.6" thickBot="1" x14ac:dyDescent="0.35">
      <c r="C4" s="99"/>
      <c r="D4" s="34">
        <f>SUM(D6:D281)</f>
        <v>79</v>
      </c>
      <c r="E4" s="35">
        <f>SUM(E6:E281)</f>
        <v>61</v>
      </c>
      <c r="F4" s="36">
        <f>SUM(F6:F281)</f>
        <v>42</v>
      </c>
    </row>
    <row r="5" spans="1:17" x14ac:dyDescent="0.3">
      <c r="B5" s="37" t="s">
        <v>191</v>
      </c>
      <c r="C5" s="38" t="s">
        <v>192</v>
      </c>
      <c r="D5" s="39" t="s">
        <v>76</v>
      </c>
      <c r="E5" s="40" t="s">
        <v>77</v>
      </c>
      <c r="F5" s="41" t="s">
        <v>78</v>
      </c>
      <c r="G5" s="42" t="s">
        <v>75</v>
      </c>
      <c r="H5" s="38" t="s">
        <v>5</v>
      </c>
      <c r="I5" s="38" t="s">
        <v>5</v>
      </c>
      <c r="J5" s="38" t="s">
        <v>5</v>
      </c>
      <c r="K5" s="44" t="s">
        <v>3</v>
      </c>
      <c r="L5" s="100" t="s">
        <v>7</v>
      </c>
      <c r="M5" s="101" t="s">
        <v>209</v>
      </c>
    </row>
    <row r="6" spans="1:17" ht="18.600000000000001" thickBot="1" x14ac:dyDescent="0.35">
      <c r="B6" s="47" t="s">
        <v>467</v>
      </c>
      <c r="C6" s="48" t="s">
        <v>208</v>
      </c>
      <c r="D6" s="49" t="s">
        <v>432</v>
      </c>
      <c r="E6" s="50" t="s">
        <v>346</v>
      </c>
      <c r="F6" s="51" t="s">
        <v>384</v>
      </c>
      <c r="G6" s="52"/>
      <c r="H6" s="102"/>
      <c r="I6" s="102"/>
      <c r="J6" s="102"/>
      <c r="K6" s="54"/>
      <c r="L6" s="103"/>
      <c r="M6" s="104"/>
    </row>
    <row r="7" spans="1:17" x14ac:dyDescent="0.3">
      <c r="B7" s="57"/>
      <c r="C7" s="58"/>
      <c r="D7" s="59"/>
      <c r="E7" s="60"/>
      <c r="F7" s="61"/>
      <c r="G7" s="62"/>
      <c r="H7" s="105"/>
      <c r="I7" s="105"/>
      <c r="J7" s="105"/>
      <c r="K7" s="64"/>
      <c r="L7" s="65"/>
      <c r="M7" s="106"/>
    </row>
    <row r="8" spans="1:17" x14ac:dyDescent="0.3">
      <c r="B8" s="57"/>
      <c r="C8" s="67"/>
      <c r="D8" s="68"/>
      <c r="E8" s="69"/>
      <c r="F8" s="70"/>
      <c r="G8" s="71"/>
      <c r="H8" s="4"/>
      <c r="I8" s="4"/>
      <c r="J8" s="4"/>
      <c r="K8" s="80"/>
      <c r="L8" s="107"/>
      <c r="M8" s="108"/>
    </row>
    <row r="9" spans="1:17" x14ac:dyDescent="0.3">
      <c r="B9" s="57"/>
      <c r="C9" s="67"/>
      <c r="D9" s="68"/>
      <c r="E9" s="69"/>
      <c r="F9" s="70"/>
      <c r="G9" s="109"/>
      <c r="H9" s="110"/>
      <c r="I9" s="110"/>
      <c r="J9" s="110"/>
      <c r="K9" s="74"/>
      <c r="L9" s="111"/>
      <c r="M9" s="112"/>
    </row>
    <row r="10" spans="1:17" x14ac:dyDescent="0.3">
      <c r="B10" s="57"/>
      <c r="C10" s="58" t="s">
        <v>8</v>
      </c>
      <c r="D10" s="59">
        <v>1</v>
      </c>
      <c r="E10" s="60"/>
      <c r="F10" s="61"/>
      <c r="G10" s="109" t="s">
        <v>79</v>
      </c>
      <c r="H10" s="110" t="s">
        <v>468</v>
      </c>
      <c r="I10" s="110" t="s">
        <v>469</v>
      </c>
      <c r="J10" s="110" t="s">
        <v>284</v>
      </c>
      <c r="K10" s="74" t="s">
        <v>388</v>
      </c>
      <c r="L10" s="111" t="s">
        <v>470</v>
      </c>
      <c r="M10" s="112" t="str">
        <f t="shared" ref="M10:M25" si="0">CONCATENATE(O10,P10,Q10)</f>
        <v>請確認是否符合 短梁側筋 規定</v>
      </c>
      <c r="O10" s="6" t="s">
        <v>471</v>
      </c>
      <c r="P10" s="6" t="str">
        <f t="shared" ref="P10:P24" si="1">I10</f>
        <v>短梁側筋</v>
      </c>
      <c r="Q10" s="6" t="s">
        <v>472</v>
      </c>
    </row>
    <row r="11" spans="1:17" x14ac:dyDescent="0.3">
      <c r="B11" s="57"/>
      <c r="C11" s="58" t="s">
        <v>9</v>
      </c>
      <c r="D11" s="59"/>
      <c r="E11" s="60"/>
      <c r="F11" s="61"/>
      <c r="G11" s="109" t="s">
        <v>79</v>
      </c>
      <c r="H11" s="110" t="s">
        <v>468</v>
      </c>
      <c r="I11" s="110"/>
      <c r="J11" s="110"/>
      <c r="K11" s="74"/>
      <c r="L11" s="111"/>
      <c r="M11" s="112"/>
    </row>
    <row r="12" spans="1:17" x14ac:dyDescent="0.3">
      <c r="B12" s="57"/>
      <c r="C12" s="58" t="s">
        <v>10</v>
      </c>
      <c r="D12" s="59"/>
      <c r="E12" s="60"/>
      <c r="F12" s="61"/>
      <c r="G12" s="109"/>
      <c r="H12" s="110" t="s">
        <v>468</v>
      </c>
      <c r="I12" s="110"/>
      <c r="J12" s="113"/>
      <c r="K12" s="74"/>
      <c r="L12" s="111"/>
      <c r="M12" s="112"/>
    </row>
    <row r="13" spans="1:17" x14ac:dyDescent="0.3">
      <c r="B13" s="57"/>
      <c r="C13" s="58" t="s">
        <v>11</v>
      </c>
      <c r="D13" s="59">
        <v>1</v>
      </c>
      <c r="E13" s="60"/>
      <c r="F13" s="61"/>
      <c r="G13" s="109" t="s">
        <v>79</v>
      </c>
      <c r="H13" s="110" t="s">
        <v>468</v>
      </c>
      <c r="I13" s="110" t="s">
        <v>473</v>
      </c>
      <c r="J13" s="110" t="s">
        <v>285</v>
      </c>
      <c r="K13" s="74" t="s">
        <v>388</v>
      </c>
      <c r="L13" s="111" t="s">
        <v>474</v>
      </c>
      <c r="M13" s="112" t="str">
        <f t="shared" si="0"/>
        <v>請確認是否符合 短梁箍筋 規定</v>
      </c>
      <c r="O13" s="6" t="s">
        <v>475</v>
      </c>
      <c r="P13" s="6" t="str">
        <f t="shared" si="1"/>
        <v>短梁箍筋</v>
      </c>
      <c r="Q13" s="6" t="s">
        <v>476</v>
      </c>
    </row>
    <row r="14" spans="1:17" x14ac:dyDescent="0.3">
      <c r="B14" s="57"/>
      <c r="C14" s="67" t="s">
        <v>12</v>
      </c>
      <c r="D14" s="68"/>
      <c r="E14" s="69"/>
      <c r="F14" s="70"/>
      <c r="G14" s="109" t="s">
        <v>79</v>
      </c>
      <c r="H14" s="110" t="s">
        <v>468</v>
      </c>
      <c r="I14" s="110"/>
      <c r="J14" s="110"/>
      <c r="K14" s="74"/>
      <c r="L14" s="111"/>
      <c r="M14" s="112"/>
    </row>
    <row r="15" spans="1:17" x14ac:dyDescent="0.3">
      <c r="B15" s="57"/>
      <c r="C15" s="58" t="s">
        <v>13</v>
      </c>
      <c r="D15" s="59">
        <v>1</v>
      </c>
      <c r="E15" s="60"/>
      <c r="F15" s="61"/>
      <c r="G15" s="109" t="s">
        <v>79</v>
      </c>
      <c r="H15" s="110" t="s">
        <v>477</v>
      </c>
      <c r="I15" s="110" t="s">
        <v>478</v>
      </c>
      <c r="J15" s="110"/>
      <c r="K15" s="74" t="s">
        <v>479</v>
      </c>
      <c r="L15" s="111" t="s">
        <v>480</v>
      </c>
      <c r="M15" s="112" t="str">
        <f t="shared" si="0"/>
        <v>請確認是否符合 上層筋 規定</v>
      </c>
      <c r="O15" s="6" t="s">
        <v>475</v>
      </c>
      <c r="P15" s="6" t="str">
        <f t="shared" si="1"/>
        <v>上層筋</v>
      </c>
      <c r="Q15" s="6" t="s">
        <v>481</v>
      </c>
    </row>
    <row r="16" spans="1:17" x14ac:dyDescent="0.3">
      <c r="B16" s="57"/>
      <c r="C16" s="67" t="s">
        <v>14</v>
      </c>
      <c r="D16" s="68"/>
      <c r="E16" s="69">
        <v>1</v>
      </c>
      <c r="F16" s="70">
        <v>1</v>
      </c>
      <c r="G16" s="109" t="s">
        <v>79</v>
      </c>
      <c r="H16" s="110" t="s">
        <v>468</v>
      </c>
      <c r="I16" s="110" t="s">
        <v>482</v>
      </c>
      <c r="J16" s="110"/>
      <c r="K16" s="74" t="s">
        <v>483</v>
      </c>
      <c r="L16" s="111" t="s">
        <v>484</v>
      </c>
      <c r="M16" s="112" t="str">
        <f t="shared" si="0"/>
        <v>請確認是否符合 上層筋 規定</v>
      </c>
      <c r="O16" s="6" t="s">
        <v>475</v>
      </c>
      <c r="P16" s="6" t="str">
        <f t="shared" si="1"/>
        <v>上層筋</v>
      </c>
      <c r="Q16" s="6" t="s">
        <v>472</v>
      </c>
    </row>
    <row r="17" spans="2:17" x14ac:dyDescent="0.3">
      <c r="B17" s="57"/>
      <c r="C17" s="67" t="s">
        <v>15</v>
      </c>
      <c r="D17" s="68">
        <v>1</v>
      </c>
      <c r="E17" s="69"/>
      <c r="F17" s="70"/>
      <c r="G17" s="109" t="s">
        <v>79</v>
      </c>
      <c r="H17" s="110"/>
      <c r="I17" s="110"/>
      <c r="J17" s="110"/>
      <c r="K17" s="74"/>
      <c r="L17" s="111"/>
      <c r="M17" s="112"/>
      <c r="O17" s="6" t="s">
        <v>475</v>
      </c>
      <c r="P17" s="6">
        <f t="shared" si="1"/>
        <v>0</v>
      </c>
      <c r="Q17" s="6" t="s">
        <v>472</v>
      </c>
    </row>
    <row r="18" spans="2:17" x14ac:dyDescent="0.3">
      <c r="B18" s="57"/>
      <c r="C18" s="67" t="s">
        <v>16</v>
      </c>
      <c r="D18" s="68"/>
      <c r="E18" s="69"/>
      <c r="F18" s="70"/>
      <c r="G18" s="109"/>
      <c r="H18" s="110" t="s">
        <v>477</v>
      </c>
      <c r="I18" s="110"/>
      <c r="J18" s="110"/>
      <c r="K18" s="74"/>
      <c r="L18" s="111"/>
      <c r="M18" s="112"/>
    </row>
    <row r="19" spans="2:17" x14ac:dyDescent="0.3">
      <c r="B19" s="57"/>
      <c r="C19" s="58" t="s">
        <v>17</v>
      </c>
      <c r="D19" s="59">
        <v>1</v>
      </c>
      <c r="E19" s="60"/>
      <c r="F19" s="61"/>
      <c r="G19" s="109" t="s">
        <v>79</v>
      </c>
      <c r="H19" s="110" t="s">
        <v>485</v>
      </c>
      <c r="I19" s="110" t="s">
        <v>486</v>
      </c>
      <c r="J19" s="110"/>
      <c r="K19" s="74" t="s">
        <v>479</v>
      </c>
      <c r="L19" s="111" t="s">
        <v>487</v>
      </c>
      <c r="M19" s="112" t="str">
        <f t="shared" si="0"/>
        <v>請確認是否符合 下層筋 規定</v>
      </c>
      <c r="O19" s="6" t="s">
        <v>475</v>
      </c>
      <c r="P19" s="6" t="str">
        <f t="shared" si="1"/>
        <v>下層筋</v>
      </c>
      <c r="Q19" s="6" t="s">
        <v>488</v>
      </c>
    </row>
    <row r="20" spans="2:17" x14ac:dyDescent="0.3">
      <c r="B20" s="57"/>
      <c r="C20" s="67" t="s">
        <v>18</v>
      </c>
      <c r="D20" s="68"/>
      <c r="E20" s="69">
        <v>1</v>
      </c>
      <c r="F20" s="70">
        <v>1</v>
      </c>
      <c r="G20" s="109" t="s">
        <v>79</v>
      </c>
      <c r="H20" s="110" t="s">
        <v>468</v>
      </c>
      <c r="I20" s="110" t="s">
        <v>489</v>
      </c>
      <c r="J20" s="110"/>
      <c r="K20" s="74" t="s">
        <v>490</v>
      </c>
      <c r="L20" s="111" t="s">
        <v>484</v>
      </c>
      <c r="M20" s="112" t="str">
        <f t="shared" si="0"/>
        <v>請確認是否符合 下層筋 規定</v>
      </c>
      <c r="O20" s="6" t="s">
        <v>491</v>
      </c>
      <c r="P20" s="6" t="str">
        <f t="shared" si="1"/>
        <v>下層筋</v>
      </c>
      <c r="Q20" s="6" t="s">
        <v>472</v>
      </c>
    </row>
    <row r="21" spans="2:17" x14ac:dyDescent="0.3">
      <c r="B21" s="57"/>
      <c r="C21" s="67" t="s">
        <v>112</v>
      </c>
      <c r="D21" s="68">
        <v>1</v>
      </c>
      <c r="E21" s="69"/>
      <c r="F21" s="70"/>
      <c r="G21" s="109" t="s">
        <v>79</v>
      </c>
      <c r="H21" s="110" t="s">
        <v>468</v>
      </c>
      <c r="I21" s="110" t="s">
        <v>486</v>
      </c>
      <c r="J21" s="110"/>
      <c r="K21" s="74" t="s">
        <v>492</v>
      </c>
      <c r="L21" s="111" t="s">
        <v>493</v>
      </c>
      <c r="M21" s="112" t="str">
        <f t="shared" si="0"/>
        <v>請確認是否符合 下層筋 規定</v>
      </c>
      <c r="O21" s="6" t="s">
        <v>491</v>
      </c>
      <c r="P21" s="6" t="str">
        <f t="shared" si="1"/>
        <v>下層筋</v>
      </c>
      <c r="Q21" s="6" t="s">
        <v>481</v>
      </c>
    </row>
    <row r="22" spans="2:17" x14ac:dyDescent="0.3">
      <c r="B22" s="57"/>
      <c r="C22" s="67" t="s">
        <v>113</v>
      </c>
      <c r="D22" s="68"/>
      <c r="E22" s="69"/>
      <c r="F22" s="70"/>
      <c r="G22" s="109" t="s">
        <v>79</v>
      </c>
      <c r="H22" s="110" t="s">
        <v>468</v>
      </c>
      <c r="I22" s="110"/>
      <c r="J22" s="110"/>
      <c r="K22" s="74"/>
      <c r="L22" s="111"/>
      <c r="M22" s="112" t="str">
        <f t="shared" si="0"/>
        <v/>
      </c>
    </row>
    <row r="23" spans="2:17" x14ac:dyDescent="0.3">
      <c r="B23" s="57"/>
      <c r="C23" s="67" t="s">
        <v>114</v>
      </c>
      <c r="D23" s="68">
        <v>1</v>
      </c>
      <c r="E23" s="69"/>
      <c r="F23" s="70"/>
      <c r="G23" s="109" t="s">
        <v>79</v>
      </c>
      <c r="H23" s="110" t="s">
        <v>494</v>
      </c>
      <c r="I23" s="110" t="s">
        <v>393</v>
      </c>
      <c r="J23" s="110"/>
      <c r="K23" s="74" t="s">
        <v>355</v>
      </c>
      <c r="L23" s="111" t="s">
        <v>495</v>
      </c>
      <c r="M23" s="112" t="str">
        <f t="shared" si="0"/>
        <v>請確認是否符合 箍筋 規定</v>
      </c>
      <c r="O23" s="6" t="s">
        <v>475</v>
      </c>
      <c r="P23" s="6" t="str">
        <f t="shared" si="1"/>
        <v>箍筋</v>
      </c>
      <c r="Q23" s="6" t="s">
        <v>481</v>
      </c>
    </row>
    <row r="24" spans="2:17" x14ac:dyDescent="0.3">
      <c r="B24" s="57"/>
      <c r="C24" s="58" t="s">
        <v>115</v>
      </c>
      <c r="D24" s="59">
        <v>1</v>
      </c>
      <c r="E24" s="60"/>
      <c r="F24" s="61"/>
      <c r="G24" s="109" t="s">
        <v>79</v>
      </c>
      <c r="H24" s="110" t="s">
        <v>468</v>
      </c>
      <c r="I24" s="110" t="s">
        <v>393</v>
      </c>
      <c r="J24" s="110"/>
      <c r="K24" s="74" t="s">
        <v>496</v>
      </c>
      <c r="L24" s="111" t="s">
        <v>497</v>
      </c>
      <c r="M24" s="112" t="str">
        <f t="shared" si="0"/>
        <v>請確認是否符合 箍筋 規定</v>
      </c>
      <c r="O24" s="6" t="s">
        <v>475</v>
      </c>
      <c r="P24" s="6" t="str">
        <f t="shared" si="1"/>
        <v>箍筋</v>
      </c>
      <c r="Q24" s="6" t="s">
        <v>498</v>
      </c>
    </row>
    <row r="25" spans="2:17" ht="18.600000000000001" customHeight="1" x14ac:dyDescent="0.3">
      <c r="B25" s="57"/>
      <c r="C25" s="67" t="s">
        <v>116</v>
      </c>
      <c r="D25" s="68"/>
      <c r="E25" s="69"/>
      <c r="F25" s="70"/>
      <c r="G25" s="109" t="s">
        <v>79</v>
      </c>
      <c r="H25" s="110"/>
      <c r="I25" s="110"/>
      <c r="J25" s="110"/>
      <c r="K25" s="74"/>
      <c r="L25" s="111"/>
      <c r="M25" s="112" t="str">
        <f t="shared" si="0"/>
        <v/>
      </c>
    </row>
    <row r="26" spans="2:17" x14ac:dyDescent="0.3">
      <c r="B26" s="57"/>
      <c r="C26" s="67" t="s">
        <v>117</v>
      </c>
      <c r="D26" s="68"/>
      <c r="E26" s="69"/>
      <c r="F26" s="70"/>
      <c r="G26" s="109" t="s">
        <v>79</v>
      </c>
      <c r="H26" s="110"/>
      <c r="I26" s="110"/>
      <c r="J26" s="110"/>
      <c r="K26" s="74"/>
      <c r="L26" s="111"/>
      <c r="M26" s="114"/>
    </row>
    <row r="27" spans="2:17" x14ac:dyDescent="0.3">
      <c r="B27" s="57"/>
      <c r="C27" s="67" t="s">
        <v>118</v>
      </c>
      <c r="D27" s="115"/>
      <c r="E27" s="69">
        <v>1</v>
      </c>
      <c r="F27" s="116"/>
      <c r="G27" s="109" t="s">
        <v>79</v>
      </c>
      <c r="H27" s="117" t="s">
        <v>499</v>
      </c>
      <c r="I27" s="110" t="s">
        <v>500</v>
      </c>
      <c r="J27" s="110"/>
      <c r="K27" s="74" t="s">
        <v>501</v>
      </c>
      <c r="L27" s="111" t="s">
        <v>502</v>
      </c>
      <c r="M27" s="114" t="s">
        <v>503</v>
      </c>
    </row>
    <row r="28" spans="2:17" x14ac:dyDescent="0.3">
      <c r="B28" s="57"/>
      <c r="C28" s="67" t="s">
        <v>119</v>
      </c>
      <c r="D28" s="115"/>
      <c r="E28" s="69">
        <v>1</v>
      </c>
      <c r="F28" s="116"/>
      <c r="G28" s="109" t="s">
        <v>79</v>
      </c>
      <c r="H28" s="117" t="s">
        <v>504</v>
      </c>
      <c r="I28" s="110" t="s">
        <v>393</v>
      </c>
      <c r="J28" s="110"/>
      <c r="K28" s="74" t="s">
        <v>505</v>
      </c>
      <c r="L28" s="111" t="s">
        <v>502</v>
      </c>
      <c r="M28" s="114" t="s">
        <v>502</v>
      </c>
    </row>
    <row r="29" spans="2:17" x14ac:dyDescent="0.3">
      <c r="B29" s="57"/>
      <c r="C29" s="67" t="s">
        <v>120</v>
      </c>
      <c r="D29" s="68"/>
      <c r="E29" s="69"/>
      <c r="F29" s="70"/>
      <c r="G29" s="109" t="s">
        <v>79</v>
      </c>
      <c r="H29" s="110"/>
      <c r="I29" s="110"/>
      <c r="J29" s="110"/>
      <c r="K29" s="74"/>
      <c r="L29" s="111"/>
      <c r="M29" s="114"/>
    </row>
    <row r="30" spans="2:17" x14ac:dyDescent="0.3">
      <c r="B30" s="57"/>
      <c r="C30" s="58" t="s">
        <v>121</v>
      </c>
      <c r="D30" s="59"/>
      <c r="E30" s="60">
        <v>1</v>
      </c>
      <c r="F30" s="61"/>
      <c r="G30" s="109" t="s">
        <v>79</v>
      </c>
      <c r="H30" s="110"/>
      <c r="I30" s="110"/>
      <c r="J30" s="110"/>
      <c r="K30" s="74"/>
      <c r="L30" s="111"/>
      <c r="M30" s="114"/>
    </row>
    <row r="31" spans="2:17" x14ac:dyDescent="0.3">
      <c r="B31" s="57"/>
      <c r="C31" s="58" t="s">
        <v>122</v>
      </c>
      <c r="D31" s="59">
        <v>1</v>
      </c>
      <c r="E31" s="60"/>
      <c r="F31" s="61"/>
      <c r="G31" s="109" t="s">
        <v>79</v>
      </c>
      <c r="H31" s="110" t="s">
        <v>506</v>
      </c>
      <c r="I31" s="110" t="s">
        <v>507</v>
      </c>
      <c r="J31" s="110"/>
      <c r="K31" s="74" t="s">
        <v>508</v>
      </c>
      <c r="L31" s="111" t="s">
        <v>470</v>
      </c>
      <c r="M31" s="114" t="s">
        <v>470</v>
      </c>
    </row>
    <row r="32" spans="2:17" x14ac:dyDescent="0.3">
      <c r="B32" s="57"/>
      <c r="C32" s="67" t="s">
        <v>123</v>
      </c>
      <c r="D32" s="68"/>
      <c r="E32" s="69"/>
      <c r="F32" s="70"/>
      <c r="G32" s="109"/>
      <c r="H32" s="110" t="s">
        <v>506</v>
      </c>
      <c r="I32" s="110"/>
      <c r="J32" s="110"/>
      <c r="K32" s="74"/>
      <c r="L32" s="111"/>
      <c r="M32" s="114"/>
    </row>
    <row r="33" spans="2:13" x14ac:dyDescent="0.3">
      <c r="B33" s="57"/>
      <c r="C33" s="67" t="s">
        <v>124</v>
      </c>
      <c r="D33" s="68"/>
      <c r="E33" s="69">
        <v>1</v>
      </c>
      <c r="F33" s="70">
        <v>1</v>
      </c>
      <c r="G33" s="71" t="s">
        <v>79</v>
      </c>
      <c r="H33" s="4" t="s">
        <v>509</v>
      </c>
      <c r="I33" s="4" t="s">
        <v>510</v>
      </c>
      <c r="J33" s="4"/>
      <c r="K33" s="80" t="s">
        <v>511</v>
      </c>
      <c r="L33" s="107" t="s">
        <v>220</v>
      </c>
      <c r="M33" s="108" t="s">
        <v>512</v>
      </c>
    </row>
    <row r="34" spans="2:13" x14ac:dyDescent="0.3">
      <c r="B34" s="57"/>
      <c r="C34" s="67" t="s">
        <v>125</v>
      </c>
      <c r="D34" s="68">
        <v>1</v>
      </c>
      <c r="E34" s="69"/>
      <c r="F34" s="70"/>
      <c r="G34" s="71" t="s">
        <v>79</v>
      </c>
      <c r="H34" s="4" t="s">
        <v>509</v>
      </c>
      <c r="I34" s="4" t="s">
        <v>513</v>
      </c>
      <c r="J34" s="4"/>
      <c r="K34" s="80" t="s">
        <v>514</v>
      </c>
      <c r="L34" s="107" t="s">
        <v>515</v>
      </c>
      <c r="M34" s="108" t="s">
        <v>516</v>
      </c>
    </row>
    <row r="35" spans="2:13" x14ac:dyDescent="0.3">
      <c r="B35" s="57"/>
      <c r="C35" s="67" t="s">
        <v>172</v>
      </c>
      <c r="D35" s="68"/>
      <c r="E35" s="69"/>
      <c r="F35" s="70"/>
      <c r="G35" s="71"/>
      <c r="H35" s="4" t="s">
        <v>509</v>
      </c>
      <c r="I35" s="4"/>
      <c r="J35" s="4"/>
      <c r="K35" s="80"/>
      <c r="L35" s="107"/>
      <c r="M35" s="108"/>
    </row>
    <row r="36" spans="2:13" x14ac:dyDescent="0.3">
      <c r="B36" s="57"/>
      <c r="C36" s="67" t="s">
        <v>173</v>
      </c>
      <c r="D36" s="68">
        <v>1</v>
      </c>
      <c r="E36" s="69"/>
      <c r="F36" s="70"/>
      <c r="G36" s="71" t="s">
        <v>79</v>
      </c>
      <c r="H36" s="105" t="s">
        <v>517</v>
      </c>
      <c r="I36" s="105" t="s">
        <v>518</v>
      </c>
      <c r="J36" s="105"/>
      <c r="K36" s="64" t="s">
        <v>519</v>
      </c>
      <c r="L36" s="118" t="s">
        <v>520</v>
      </c>
      <c r="M36" s="108" t="s">
        <v>521</v>
      </c>
    </row>
    <row r="37" spans="2:13" x14ac:dyDescent="0.3">
      <c r="B37" s="57"/>
      <c r="C37" s="67" t="s">
        <v>174</v>
      </c>
      <c r="D37" s="68">
        <v>1</v>
      </c>
      <c r="E37" s="69"/>
      <c r="F37" s="70"/>
      <c r="G37" s="71" t="s">
        <v>79</v>
      </c>
      <c r="H37" s="105" t="s">
        <v>522</v>
      </c>
      <c r="I37" s="105" t="s">
        <v>518</v>
      </c>
      <c r="J37" s="105"/>
      <c r="K37" s="64" t="s">
        <v>523</v>
      </c>
      <c r="L37" s="118" t="s">
        <v>524</v>
      </c>
      <c r="M37" s="108" t="s">
        <v>516</v>
      </c>
    </row>
    <row r="38" spans="2:13" x14ac:dyDescent="0.3">
      <c r="B38" s="57"/>
      <c r="C38" s="67" t="s">
        <v>175</v>
      </c>
      <c r="D38" s="68"/>
      <c r="E38" s="69"/>
      <c r="F38" s="70"/>
      <c r="G38" s="71"/>
      <c r="H38" s="4" t="s">
        <v>509</v>
      </c>
      <c r="I38" s="4"/>
      <c r="J38" s="4"/>
      <c r="K38" s="80"/>
      <c r="L38" s="107"/>
      <c r="M38" s="108"/>
    </row>
    <row r="39" spans="2:13" x14ac:dyDescent="0.3">
      <c r="B39" s="57"/>
      <c r="C39" s="67" t="s">
        <v>176</v>
      </c>
      <c r="D39" s="68">
        <v>1</v>
      </c>
      <c r="E39" s="69"/>
      <c r="F39" s="70"/>
      <c r="G39" s="71" t="s">
        <v>79</v>
      </c>
      <c r="H39" s="4" t="s">
        <v>509</v>
      </c>
      <c r="I39" s="4" t="s">
        <v>462</v>
      </c>
      <c r="J39" s="4"/>
      <c r="K39" s="80" t="s">
        <v>511</v>
      </c>
      <c r="L39" s="107" t="s">
        <v>512</v>
      </c>
      <c r="M39" s="108" t="s">
        <v>512</v>
      </c>
    </row>
    <row r="40" spans="2:13" x14ac:dyDescent="0.3">
      <c r="B40" s="57"/>
      <c r="C40" s="67" t="s">
        <v>177</v>
      </c>
      <c r="D40" s="68">
        <v>1</v>
      </c>
      <c r="E40" s="69"/>
      <c r="F40" s="70"/>
      <c r="G40" s="71" t="s">
        <v>79</v>
      </c>
      <c r="H40" s="4" t="s">
        <v>509</v>
      </c>
      <c r="I40" s="4" t="s">
        <v>462</v>
      </c>
      <c r="J40" s="4"/>
      <c r="K40" s="80" t="s">
        <v>514</v>
      </c>
      <c r="L40" s="107" t="s">
        <v>525</v>
      </c>
      <c r="M40" s="108" t="s">
        <v>525</v>
      </c>
    </row>
    <row r="41" spans="2:13" x14ac:dyDescent="0.3">
      <c r="B41" s="57"/>
      <c r="C41" s="67" t="s">
        <v>178</v>
      </c>
      <c r="D41" s="68"/>
      <c r="E41" s="69"/>
      <c r="F41" s="70"/>
      <c r="G41" s="71"/>
      <c r="H41" s="4" t="s">
        <v>526</v>
      </c>
      <c r="I41" s="4"/>
      <c r="J41" s="4"/>
      <c r="K41" s="80"/>
      <c r="L41" s="107"/>
      <c r="M41" s="108"/>
    </row>
    <row r="42" spans="2:13" x14ac:dyDescent="0.3">
      <c r="B42" s="57"/>
      <c r="C42" s="67" t="s">
        <v>179</v>
      </c>
      <c r="D42" s="68">
        <v>1</v>
      </c>
      <c r="E42" s="69"/>
      <c r="F42" s="70"/>
      <c r="G42" s="71" t="s">
        <v>79</v>
      </c>
      <c r="H42" s="4" t="s">
        <v>509</v>
      </c>
      <c r="I42" s="4" t="s">
        <v>527</v>
      </c>
      <c r="J42" s="4"/>
      <c r="K42" s="80" t="s">
        <v>511</v>
      </c>
      <c r="L42" s="107" t="s">
        <v>528</v>
      </c>
      <c r="M42" s="108" t="s">
        <v>529</v>
      </c>
    </row>
    <row r="43" spans="2:13" x14ac:dyDescent="0.3">
      <c r="B43" s="57"/>
      <c r="C43" s="67" t="s">
        <v>180</v>
      </c>
      <c r="D43" s="68"/>
      <c r="E43" s="69">
        <v>1</v>
      </c>
      <c r="F43" s="70">
        <v>1</v>
      </c>
      <c r="G43" s="71" t="s">
        <v>79</v>
      </c>
      <c r="H43" s="4" t="s">
        <v>509</v>
      </c>
      <c r="I43" s="4" t="s">
        <v>530</v>
      </c>
      <c r="J43" s="4"/>
      <c r="K43" s="80" t="s">
        <v>531</v>
      </c>
      <c r="L43" s="107" t="s">
        <v>532</v>
      </c>
      <c r="M43" s="108" t="s">
        <v>533</v>
      </c>
    </row>
    <row r="44" spans="2:13" x14ac:dyDescent="0.3">
      <c r="B44" s="57"/>
      <c r="C44" s="67" t="s">
        <v>181</v>
      </c>
      <c r="D44" s="68">
        <v>1</v>
      </c>
      <c r="E44" s="69"/>
      <c r="F44" s="70"/>
      <c r="G44" s="71" t="s">
        <v>79</v>
      </c>
      <c r="H44" s="105" t="s">
        <v>522</v>
      </c>
      <c r="I44" s="105" t="s">
        <v>534</v>
      </c>
      <c r="J44" s="105"/>
      <c r="K44" s="64" t="s">
        <v>535</v>
      </c>
      <c r="L44" s="118" t="s">
        <v>536</v>
      </c>
      <c r="M44" s="108" t="s">
        <v>537</v>
      </c>
    </row>
    <row r="45" spans="2:13" x14ac:dyDescent="0.3">
      <c r="B45" s="57"/>
      <c r="C45" s="67" t="s">
        <v>182</v>
      </c>
      <c r="D45" s="68"/>
      <c r="E45" s="69"/>
      <c r="F45" s="70"/>
      <c r="G45" s="71"/>
      <c r="H45" s="4" t="s">
        <v>509</v>
      </c>
      <c r="I45" s="4"/>
      <c r="J45" s="4"/>
      <c r="K45" s="80"/>
      <c r="L45" s="107"/>
      <c r="M45" s="108"/>
    </row>
    <row r="46" spans="2:13" x14ac:dyDescent="0.3">
      <c r="B46" s="57"/>
      <c r="C46" s="67" t="s">
        <v>183</v>
      </c>
      <c r="D46" s="68">
        <v>1</v>
      </c>
      <c r="E46" s="69"/>
      <c r="F46" s="70"/>
      <c r="G46" s="71" t="s">
        <v>79</v>
      </c>
      <c r="H46" s="4" t="s">
        <v>538</v>
      </c>
      <c r="I46" s="4" t="s">
        <v>539</v>
      </c>
      <c r="J46" s="4"/>
      <c r="K46" s="80" t="s">
        <v>511</v>
      </c>
      <c r="L46" s="107" t="s">
        <v>540</v>
      </c>
      <c r="M46" s="108" t="s">
        <v>540</v>
      </c>
    </row>
    <row r="47" spans="2:13" x14ac:dyDescent="0.3">
      <c r="B47" s="57"/>
      <c r="C47" s="67" t="s">
        <v>184</v>
      </c>
      <c r="D47" s="68"/>
      <c r="E47" s="69">
        <v>1</v>
      </c>
      <c r="F47" s="70">
        <v>1</v>
      </c>
      <c r="G47" s="71" t="s">
        <v>79</v>
      </c>
      <c r="H47" s="4" t="s">
        <v>541</v>
      </c>
      <c r="I47" s="4" t="s">
        <v>542</v>
      </c>
      <c r="J47" s="4"/>
      <c r="K47" s="80" t="s">
        <v>514</v>
      </c>
      <c r="L47" s="107" t="s">
        <v>533</v>
      </c>
      <c r="M47" s="108" t="s">
        <v>543</v>
      </c>
    </row>
    <row r="48" spans="2:13" x14ac:dyDescent="0.3">
      <c r="B48" s="57"/>
      <c r="C48" s="67" t="s">
        <v>185</v>
      </c>
      <c r="D48" s="68">
        <v>1</v>
      </c>
      <c r="E48" s="69"/>
      <c r="F48" s="70"/>
      <c r="G48" s="71" t="s">
        <v>79</v>
      </c>
      <c r="H48" s="4" t="s">
        <v>509</v>
      </c>
      <c r="I48" s="4" t="s">
        <v>539</v>
      </c>
      <c r="J48" s="4"/>
      <c r="K48" s="80" t="s">
        <v>544</v>
      </c>
      <c r="L48" s="107" t="s">
        <v>545</v>
      </c>
      <c r="M48" s="108" t="s">
        <v>546</v>
      </c>
    </row>
    <row r="49" spans="2:19" x14ac:dyDescent="0.3">
      <c r="B49" s="57"/>
      <c r="C49" s="67" t="s">
        <v>186</v>
      </c>
      <c r="D49" s="68"/>
      <c r="E49" s="69"/>
      <c r="F49" s="70"/>
      <c r="G49" s="71"/>
      <c r="H49" s="4"/>
      <c r="I49" s="4"/>
      <c r="J49" s="4"/>
      <c r="K49" s="80"/>
      <c r="L49" s="107"/>
      <c r="M49" s="108"/>
    </row>
    <row r="50" spans="2:19" ht="18.600000000000001" customHeight="1" x14ac:dyDescent="0.3">
      <c r="B50" s="57"/>
      <c r="C50" s="67" t="s">
        <v>187</v>
      </c>
      <c r="D50" s="68"/>
      <c r="E50" s="69"/>
      <c r="F50" s="70"/>
      <c r="G50" s="71"/>
      <c r="H50" s="4"/>
      <c r="I50" s="4"/>
      <c r="J50" s="4"/>
      <c r="K50" s="80"/>
      <c r="L50" s="107"/>
      <c r="M50" s="108"/>
    </row>
    <row r="51" spans="2:19" x14ac:dyDescent="0.3">
      <c r="B51" s="57"/>
      <c r="C51" s="67" t="s">
        <v>188</v>
      </c>
      <c r="D51" s="68"/>
      <c r="E51" s="69"/>
      <c r="F51" s="70"/>
      <c r="G51" s="71"/>
      <c r="H51" s="4"/>
      <c r="I51" s="4"/>
      <c r="J51" s="4"/>
      <c r="K51" s="80"/>
      <c r="L51" s="107"/>
      <c r="M51" s="108"/>
    </row>
    <row r="52" spans="2:19" ht="18.600000000000001" thickBot="1" x14ac:dyDescent="0.35">
      <c r="B52" s="57"/>
      <c r="C52" s="4"/>
      <c r="D52" s="68"/>
      <c r="E52" s="69"/>
      <c r="F52" s="70"/>
      <c r="G52" s="79"/>
      <c r="H52" s="4"/>
      <c r="I52" s="4"/>
      <c r="J52" s="4"/>
      <c r="K52" s="80"/>
      <c r="L52" s="75"/>
      <c r="M52" s="119"/>
    </row>
    <row r="53" spans="2:19" x14ac:dyDescent="0.3">
      <c r="B53" s="37" t="s">
        <v>191</v>
      </c>
      <c r="C53" s="38" t="s">
        <v>192</v>
      </c>
      <c r="D53" s="39" t="s">
        <v>76</v>
      </c>
      <c r="E53" s="40" t="s">
        <v>77</v>
      </c>
      <c r="F53" s="41" t="s">
        <v>78</v>
      </c>
      <c r="G53" s="42" t="s">
        <v>75</v>
      </c>
      <c r="H53" s="38" t="s">
        <v>5</v>
      </c>
      <c r="I53" s="38" t="s">
        <v>5</v>
      </c>
      <c r="J53" s="38" t="s">
        <v>5</v>
      </c>
      <c r="K53" s="44" t="s">
        <v>3</v>
      </c>
      <c r="L53" s="100" t="s">
        <v>7</v>
      </c>
      <c r="M53" s="101" t="s">
        <v>209</v>
      </c>
    </row>
    <row r="54" spans="2:19" ht="18.600000000000001" thickBot="1" x14ac:dyDescent="0.35">
      <c r="B54" s="47" t="s">
        <v>547</v>
      </c>
      <c r="C54" s="48" t="s">
        <v>207</v>
      </c>
      <c r="D54" s="49" t="s">
        <v>548</v>
      </c>
      <c r="E54" s="50" t="s">
        <v>346</v>
      </c>
      <c r="F54" s="51" t="s">
        <v>384</v>
      </c>
      <c r="G54" s="52"/>
      <c r="H54" s="102"/>
      <c r="I54" s="102"/>
      <c r="J54" s="102"/>
      <c r="K54" s="54"/>
      <c r="L54" s="103"/>
      <c r="M54" s="104"/>
    </row>
    <row r="55" spans="2:19" x14ac:dyDescent="0.3">
      <c r="B55" s="57"/>
      <c r="C55" s="67" t="s">
        <v>19</v>
      </c>
      <c r="D55" s="68"/>
      <c r="E55" s="69"/>
      <c r="F55" s="70"/>
      <c r="G55" s="79"/>
      <c r="H55" s="4"/>
      <c r="I55" s="4"/>
      <c r="J55" s="4"/>
      <c r="K55" s="80"/>
      <c r="L55" s="120"/>
      <c r="M55" s="121"/>
    </row>
    <row r="56" spans="2:19" x14ac:dyDescent="0.3">
      <c r="B56" s="57"/>
      <c r="C56" s="58" t="s">
        <v>258</v>
      </c>
      <c r="D56" s="59">
        <v>1</v>
      </c>
      <c r="E56" s="60"/>
      <c r="F56" s="61"/>
      <c r="G56" s="122" t="s">
        <v>549</v>
      </c>
      <c r="H56" s="105"/>
      <c r="I56" s="105"/>
      <c r="J56" s="105"/>
      <c r="K56" s="64" t="s">
        <v>86</v>
      </c>
      <c r="L56" s="123"/>
      <c r="M56" s="124" t="s">
        <v>550</v>
      </c>
    </row>
    <row r="57" spans="2:19" x14ac:dyDescent="0.3">
      <c r="B57" s="57"/>
      <c r="C57" s="58" t="s">
        <v>20</v>
      </c>
      <c r="D57" s="59">
        <v>1</v>
      </c>
      <c r="E57" s="60"/>
      <c r="F57" s="61"/>
      <c r="G57" s="122" t="s">
        <v>551</v>
      </c>
      <c r="H57" s="105"/>
      <c r="I57" s="105"/>
      <c r="J57" s="105"/>
      <c r="K57" s="64" t="s">
        <v>552</v>
      </c>
      <c r="L57" s="123"/>
      <c r="M57" s="124"/>
    </row>
    <row r="58" spans="2:19" x14ac:dyDescent="0.3">
      <c r="B58" s="57"/>
      <c r="C58" s="67" t="s">
        <v>21</v>
      </c>
      <c r="D58" s="68">
        <v>1</v>
      </c>
      <c r="E58" s="69"/>
      <c r="F58" s="70"/>
      <c r="G58" s="79"/>
      <c r="H58" s="4"/>
      <c r="I58" s="4"/>
      <c r="J58" s="4"/>
      <c r="K58" s="80"/>
      <c r="L58" s="120"/>
      <c r="M58" s="121"/>
    </row>
    <row r="59" spans="2:19" x14ac:dyDescent="0.3">
      <c r="B59" s="57"/>
      <c r="C59" s="67" t="s">
        <v>22</v>
      </c>
      <c r="D59" s="68">
        <v>1</v>
      </c>
      <c r="E59" s="69"/>
      <c r="F59" s="70"/>
      <c r="G59" s="79" t="s">
        <v>190</v>
      </c>
      <c r="H59" s="4" t="s">
        <v>356</v>
      </c>
      <c r="I59" s="4" t="s">
        <v>372</v>
      </c>
      <c r="J59" s="4" t="s">
        <v>357</v>
      </c>
      <c r="K59" s="80" t="s">
        <v>511</v>
      </c>
      <c r="L59" s="125" t="s">
        <v>553</v>
      </c>
      <c r="M59" s="126" t="str">
        <f>CONCATENATE(O59,P59,Q59,R59,S59)</f>
        <v>請確認是否符合 左端上層筋下限 規定</v>
      </c>
      <c r="N59" s="6" t="str">
        <f>C59</f>
        <v>0205</v>
      </c>
      <c r="O59" s="6" t="s">
        <v>475</v>
      </c>
      <c r="P59" s="6" t="str">
        <f t="shared" ref="P59:Q62" si="2">I59</f>
        <v>左端</v>
      </c>
      <c r="Q59" s="6" t="str">
        <f t="shared" si="2"/>
        <v>上層筋</v>
      </c>
      <c r="R59" s="6" t="s">
        <v>554</v>
      </c>
      <c r="S59" s="6" t="s">
        <v>472</v>
      </c>
    </row>
    <row r="60" spans="2:19" x14ac:dyDescent="0.3">
      <c r="B60" s="57"/>
      <c r="C60" s="67" t="s">
        <v>23</v>
      </c>
      <c r="D60" s="68"/>
      <c r="E60" s="69"/>
      <c r="F60" s="70">
        <v>1</v>
      </c>
      <c r="G60" s="79" t="s">
        <v>190</v>
      </c>
      <c r="H60" s="4" t="s">
        <v>356</v>
      </c>
      <c r="I60" s="4" t="s">
        <v>372</v>
      </c>
      <c r="J60" s="4" t="s">
        <v>357</v>
      </c>
      <c r="K60" s="80" t="s">
        <v>555</v>
      </c>
      <c r="L60" s="125" t="s">
        <v>556</v>
      </c>
      <c r="M60" s="126" t="str">
        <f>CONCATENATE(O60,P60,Q60,R60,S60)</f>
        <v>請確認是否符合 左端上層筋上限 規定</v>
      </c>
      <c r="N60" s="6" t="str">
        <f t="shared" ref="N60:N107" si="3">C60</f>
        <v>0206</v>
      </c>
      <c r="O60" s="6" t="s">
        <v>475</v>
      </c>
      <c r="P60" s="6" t="str">
        <f t="shared" si="2"/>
        <v>左端</v>
      </c>
      <c r="Q60" s="6" t="str">
        <f t="shared" si="2"/>
        <v>上層筋</v>
      </c>
      <c r="R60" s="6" t="s">
        <v>557</v>
      </c>
      <c r="S60" s="6" t="s">
        <v>472</v>
      </c>
    </row>
    <row r="61" spans="2:19" x14ac:dyDescent="0.3">
      <c r="B61" s="57"/>
      <c r="C61" s="67" t="s">
        <v>24</v>
      </c>
      <c r="D61" s="68">
        <v>1</v>
      </c>
      <c r="E61" s="69"/>
      <c r="F61" s="70"/>
      <c r="G61" s="79" t="s">
        <v>190</v>
      </c>
      <c r="H61" s="4" t="s">
        <v>356</v>
      </c>
      <c r="I61" s="4" t="s">
        <v>375</v>
      </c>
      <c r="J61" s="4" t="s">
        <v>357</v>
      </c>
      <c r="K61" s="80" t="s">
        <v>511</v>
      </c>
      <c r="L61" s="125" t="s">
        <v>553</v>
      </c>
      <c r="M61" s="126" t="str">
        <f>CONCATENATE(O61,P61,Q61,R61,S61)</f>
        <v>請確認是否符合 右端上層筋下限 規定</v>
      </c>
      <c r="N61" s="6" t="str">
        <f t="shared" si="3"/>
        <v>0207</v>
      </c>
      <c r="O61" s="6" t="s">
        <v>471</v>
      </c>
      <c r="P61" s="6" t="str">
        <f t="shared" si="2"/>
        <v>右端</v>
      </c>
      <c r="Q61" s="6" t="str">
        <f t="shared" si="2"/>
        <v>上層筋</v>
      </c>
      <c r="R61" s="6" t="s">
        <v>427</v>
      </c>
      <c r="S61" s="6" t="s">
        <v>472</v>
      </c>
    </row>
    <row r="62" spans="2:19" x14ac:dyDescent="0.3">
      <c r="B62" s="57"/>
      <c r="C62" s="67" t="s">
        <v>25</v>
      </c>
      <c r="D62" s="68"/>
      <c r="E62" s="69"/>
      <c r="F62" s="70">
        <v>1</v>
      </c>
      <c r="G62" s="79" t="s">
        <v>190</v>
      </c>
      <c r="H62" s="4" t="s">
        <v>356</v>
      </c>
      <c r="I62" s="4" t="s">
        <v>375</v>
      </c>
      <c r="J62" s="4" t="s">
        <v>357</v>
      </c>
      <c r="K62" s="80" t="s">
        <v>558</v>
      </c>
      <c r="L62" s="125" t="s">
        <v>559</v>
      </c>
      <c r="M62" s="126" t="str">
        <f>CONCATENATE(O62,P62,Q62,R62,S62)</f>
        <v>請確認是否符合 右端上層筋上限 規定</v>
      </c>
      <c r="N62" s="6" t="str">
        <f t="shared" si="3"/>
        <v>0208</v>
      </c>
      <c r="O62" s="6" t="s">
        <v>475</v>
      </c>
      <c r="P62" s="6" t="str">
        <f t="shared" si="2"/>
        <v>右端</v>
      </c>
      <c r="Q62" s="6" t="str">
        <f t="shared" si="2"/>
        <v>上層筋</v>
      </c>
      <c r="R62" s="6" t="s">
        <v>394</v>
      </c>
      <c r="S62" s="6" t="s">
        <v>472</v>
      </c>
    </row>
    <row r="63" spans="2:19" x14ac:dyDescent="0.3">
      <c r="B63" s="57"/>
      <c r="C63" s="67" t="s">
        <v>26</v>
      </c>
      <c r="D63" s="68"/>
      <c r="E63" s="69"/>
      <c r="F63" s="70"/>
      <c r="G63" s="79" t="s">
        <v>190</v>
      </c>
      <c r="H63" s="4"/>
      <c r="I63" s="4"/>
      <c r="J63" s="4"/>
      <c r="K63" s="80"/>
      <c r="L63" s="125"/>
      <c r="M63" s="126"/>
      <c r="N63" s="6" t="str">
        <f t="shared" si="3"/>
        <v>0209</v>
      </c>
    </row>
    <row r="64" spans="2:19" x14ac:dyDescent="0.3">
      <c r="B64" s="57"/>
      <c r="C64" s="67" t="s">
        <v>27</v>
      </c>
      <c r="D64" s="68">
        <v>1</v>
      </c>
      <c r="E64" s="69"/>
      <c r="F64" s="70"/>
      <c r="G64" s="79" t="s">
        <v>190</v>
      </c>
      <c r="H64" s="4" t="s">
        <v>356</v>
      </c>
      <c r="I64" s="4" t="s">
        <v>372</v>
      </c>
      <c r="J64" s="4" t="s">
        <v>361</v>
      </c>
      <c r="K64" s="80" t="s">
        <v>511</v>
      </c>
      <c r="L64" s="125" t="s">
        <v>553</v>
      </c>
      <c r="M64" s="126" t="str">
        <f>CONCATENATE(O64,P64,Q64,R64,S64)</f>
        <v>請確認是否符合 左端下層筋下限 規定</v>
      </c>
      <c r="N64" s="6" t="str">
        <f t="shared" si="3"/>
        <v>0210</v>
      </c>
      <c r="O64" s="6" t="s">
        <v>475</v>
      </c>
      <c r="P64" s="6" t="str">
        <f t="shared" ref="P64:Q67" si="4">I64</f>
        <v>左端</v>
      </c>
      <c r="Q64" s="6" t="str">
        <f t="shared" si="4"/>
        <v>下層筋</v>
      </c>
      <c r="R64" s="6" t="s">
        <v>427</v>
      </c>
      <c r="S64" s="6" t="s">
        <v>472</v>
      </c>
    </row>
    <row r="65" spans="2:19" x14ac:dyDescent="0.3">
      <c r="B65" s="57"/>
      <c r="C65" s="67" t="s">
        <v>28</v>
      </c>
      <c r="D65" s="68"/>
      <c r="E65" s="69"/>
      <c r="F65" s="70">
        <v>1</v>
      </c>
      <c r="G65" s="79" t="s">
        <v>190</v>
      </c>
      <c r="H65" s="4" t="s">
        <v>356</v>
      </c>
      <c r="I65" s="4" t="s">
        <v>372</v>
      </c>
      <c r="J65" s="4" t="s">
        <v>361</v>
      </c>
      <c r="K65" s="80" t="s">
        <v>531</v>
      </c>
      <c r="L65" s="125" t="s">
        <v>560</v>
      </c>
      <c r="M65" s="126" t="str">
        <f>CONCATENATE(O65,P65,Q65,R65,S65)</f>
        <v>請確認是否符合 左端下層筋上限 規定</v>
      </c>
      <c r="N65" s="6" t="str">
        <f t="shared" si="3"/>
        <v>0211</v>
      </c>
      <c r="O65" s="6" t="s">
        <v>561</v>
      </c>
      <c r="P65" s="6" t="str">
        <f t="shared" si="4"/>
        <v>左端</v>
      </c>
      <c r="Q65" s="6" t="str">
        <f t="shared" si="4"/>
        <v>下層筋</v>
      </c>
      <c r="R65" s="6" t="s">
        <v>562</v>
      </c>
      <c r="S65" s="6" t="s">
        <v>472</v>
      </c>
    </row>
    <row r="66" spans="2:19" x14ac:dyDescent="0.3">
      <c r="B66" s="57"/>
      <c r="C66" s="67" t="s">
        <v>29</v>
      </c>
      <c r="D66" s="68">
        <v>1</v>
      </c>
      <c r="E66" s="69"/>
      <c r="F66" s="70"/>
      <c r="G66" s="79" t="s">
        <v>190</v>
      </c>
      <c r="H66" s="4" t="s">
        <v>356</v>
      </c>
      <c r="I66" s="4" t="s">
        <v>375</v>
      </c>
      <c r="J66" s="4" t="s">
        <v>361</v>
      </c>
      <c r="K66" s="80" t="s">
        <v>563</v>
      </c>
      <c r="L66" s="125" t="s">
        <v>564</v>
      </c>
      <c r="M66" s="126" t="str">
        <f>CONCATENATE(O66,P66,Q66,R66,S66)</f>
        <v>請確認是否符合 右端下層筋下限 規定</v>
      </c>
      <c r="N66" s="6" t="str">
        <f t="shared" si="3"/>
        <v>0212</v>
      </c>
      <c r="O66" s="6" t="s">
        <v>561</v>
      </c>
      <c r="P66" s="6" t="str">
        <f t="shared" si="4"/>
        <v>右端</v>
      </c>
      <c r="Q66" s="6" t="str">
        <f t="shared" si="4"/>
        <v>下層筋</v>
      </c>
      <c r="R66" s="6" t="s">
        <v>565</v>
      </c>
      <c r="S66" s="6" t="s">
        <v>472</v>
      </c>
    </row>
    <row r="67" spans="2:19" x14ac:dyDescent="0.3">
      <c r="B67" s="57"/>
      <c r="C67" s="67" t="s">
        <v>30</v>
      </c>
      <c r="D67" s="68"/>
      <c r="E67" s="69"/>
      <c r="F67" s="70">
        <v>1</v>
      </c>
      <c r="G67" s="79" t="s">
        <v>190</v>
      </c>
      <c r="H67" s="4" t="s">
        <v>356</v>
      </c>
      <c r="I67" s="4" t="s">
        <v>375</v>
      </c>
      <c r="J67" s="4" t="s">
        <v>361</v>
      </c>
      <c r="K67" s="80" t="s">
        <v>566</v>
      </c>
      <c r="L67" s="125" t="s">
        <v>567</v>
      </c>
      <c r="M67" s="126" t="str">
        <f>CONCATENATE(O67,P67,Q67,R67,S67)</f>
        <v>請確認是否符合 右端下層筋上限 規定</v>
      </c>
      <c r="N67" s="6" t="str">
        <f t="shared" si="3"/>
        <v>0213</v>
      </c>
      <c r="O67" s="6" t="s">
        <v>568</v>
      </c>
      <c r="P67" s="6" t="str">
        <f t="shared" si="4"/>
        <v>右端</v>
      </c>
      <c r="Q67" s="6" t="str">
        <f t="shared" si="4"/>
        <v>下層筋</v>
      </c>
      <c r="R67" s="6" t="s">
        <v>557</v>
      </c>
      <c r="S67" s="6" t="s">
        <v>569</v>
      </c>
    </row>
    <row r="68" spans="2:19" x14ac:dyDescent="0.3">
      <c r="B68" s="57"/>
      <c r="C68" s="67" t="s">
        <v>31</v>
      </c>
      <c r="D68" s="68"/>
      <c r="E68" s="69"/>
      <c r="F68" s="70"/>
      <c r="G68" s="79" t="s">
        <v>190</v>
      </c>
      <c r="H68" s="4"/>
      <c r="I68" s="4"/>
      <c r="J68" s="4"/>
      <c r="K68" s="80"/>
      <c r="L68" s="125"/>
      <c r="M68" s="126"/>
      <c r="N68" s="6" t="str">
        <f t="shared" si="3"/>
        <v>0214</v>
      </c>
    </row>
    <row r="69" spans="2:19" x14ac:dyDescent="0.3">
      <c r="B69" s="57"/>
      <c r="C69" s="67" t="s">
        <v>32</v>
      </c>
      <c r="D69" s="68">
        <v>1</v>
      </c>
      <c r="E69" s="69"/>
      <c r="F69" s="70"/>
      <c r="G69" s="79" t="s">
        <v>190</v>
      </c>
      <c r="H69" s="4" t="s">
        <v>356</v>
      </c>
      <c r="I69" s="4" t="s">
        <v>369</v>
      </c>
      <c r="J69" s="4" t="s">
        <v>357</v>
      </c>
      <c r="K69" s="80" t="s">
        <v>563</v>
      </c>
      <c r="L69" s="125" t="s">
        <v>570</v>
      </c>
      <c r="M69" s="126" t="str">
        <f>CONCATENATE(O69,P69,Q69,R69,S69)</f>
        <v>請確認是否符合 中央上層筋下限 規定</v>
      </c>
      <c r="N69" s="6" t="str">
        <f t="shared" si="3"/>
        <v>0215</v>
      </c>
      <c r="O69" s="6" t="s">
        <v>561</v>
      </c>
      <c r="P69" s="6" t="str">
        <f t="shared" ref="P69:Q72" si="5">I69</f>
        <v>中央</v>
      </c>
      <c r="Q69" s="6" t="str">
        <f t="shared" si="5"/>
        <v>上層筋</v>
      </c>
      <c r="R69" s="6" t="s">
        <v>571</v>
      </c>
      <c r="S69" s="6" t="s">
        <v>572</v>
      </c>
    </row>
    <row r="70" spans="2:19" x14ac:dyDescent="0.3">
      <c r="B70" s="57"/>
      <c r="C70" s="67" t="s">
        <v>80</v>
      </c>
      <c r="D70" s="68"/>
      <c r="E70" s="69">
        <v>1</v>
      </c>
      <c r="F70" s="70"/>
      <c r="G70" s="79" t="s">
        <v>190</v>
      </c>
      <c r="H70" s="4" t="s">
        <v>356</v>
      </c>
      <c r="I70" s="4" t="s">
        <v>369</v>
      </c>
      <c r="J70" s="4" t="s">
        <v>357</v>
      </c>
      <c r="K70" s="80" t="s">
        <v>573</v>
      </c>
      <c r="L70" s="125" t="s">
        <v>574</v>
      </c>
      <c r="M70" s="126" t="str">
        <f>CONCATENATE(O70,P70,Q70,R70,S70)</f>
        <v>請確認是否符合 中央上層筋相對鋼筋量 規定</v>
      </c>
      <c r="N70" s="6" t="str">
        <f t="shared" si="3"/>
        <v>0216</v>
      </c>
      <c r="O70" s="6" t="s">
        <v>575</v>
      </c>
      <c r="P70" s="6" t="str">
        <f t="shared" si="5"/>
        <v>中央</v>
      </c>
      <c r="Q70" s="6" t="str">
        <f t="shared" si="5"/>
        <v>上層筋</v>
      </c>
      <c r="R70" s="6" t="str">
        <f>K70</f>
        <v>相對鋼筋量</v>
      </c>
      <c r="S70" s="6" t="s">
        <v>476</v>
      </c>
    </row>
    <row r="71" spans="2:19" x14ac:dyDescent="0.3">
      <c r="B71" s="57"/>
      <c r="C71" s="67" t="s">
        <v>81</v>
      </c>
      <c r="D71" s="68"/>
      <c r="E71" s="69"/>
      <c r="F71" s="70"/>
      <c r="G71" s="79" t="s">
        <v>189</v>
      </c>
      <c r="H71" s="4" t="s">
        <v>356</v>
      </c>
      <c r="I71" s="4" t="s">
        <v>369</v>
      </c>
      <c r="J71" s="4" t="s">
        <v>361</v>
      </c>
      <c r="K71" s="80" t="s">
        <v>576</v>
      </c>
      <c r="L71" s="125" t="s">
        <v>577</v>
      </c>
      <c r="M71" s="126" t="s">
        <v>578</v>
      </c>
    </row>
    <row r="72" spans="2:19" x14ac:dyDescent="0.3">
      <c r="B72" s="57"/>
      <c r="C72" s="67" t="s">
        <v>81</v>
      </c>
      <c r="D72" s="68">
        <v>1</v>
      </c>
      <c r="E72" s="69"/>
      <c r="F72" s="70">
        <v>1</v>
      </c>
      <c r="G72" s="79" t="s">
        <v>190</v>
      </c>
      <c r="H72" s="4" t="s">
        <v>356</v>
      </c>
      <c r="I72" s="4" t="s">
        <v>369</v>
      </c>
      <c r="J72" s="4" t="s">
        <v>361</v>
      </c>
      <c r="K72" s="80" t="s">
        <v>514</v>
      </c>
      <c r="L72" s="125" t="s">
        <v>567</v>
      </c>
      <c r="M72" s="126" t="str">
        <f>CONCATENATE(O72,P72,Q72,R72,S72)</f>
        <v>請確認是否符合 中央下層筋上限 規定</v>
      </c>
      <c r="N72" s="6" t="str">
        <f t="shared" si="3"/>
        <v>0217</v>
      </c>
      <c r="O72" s="6" t="s">
        <v>575</v>
      </c>
      <c r="P72" s="6" t="str">
        <f t="shared" si="5"/>
        <v>中央</v>
      </c>
      <c r="Q72" s="6" t="str">
        <f t="shared" si="5"/>
        <v>下層筋</v>
      </c>
      <c r="R72" s="6" t="s">
        <v>579</v>
      </c>
      <c r="S72" s="6" t="s">
        <v>472</v>
      </c>
    </row>
    <row r="73" spans="2:19" x14ac:dyDescent="0.3">
      <c r="B73" s="57"/>
      <c r="C73" s="67" t="s">
        <v>82</v>
      </c>
      <c r="D73" s="68"/>
      <c r="E73" s="69"/>
      <c r="F73" s="70"/>
      <c r="G73" s="79"/>
      <c r="H73" s="4"/>
      <c r="I73" s="4"/>
      <c r="J73" s="4"/>
      <c r="K73" s="80"/>
      <c r="L73" s="125"/>
      <c r="M73" s="126"/>
      <c r="N73" s="6" t="str">
        <f t="shared" si="3"/>
        <v>0218</v>
      </c>
    </row>
    <row r="74" spans="2:19" x14ac:dyDescent="0.3">
      <c r="B74" s="57"/>
      <c r="C74" s="58" t="s">
        <v>83</v>
      </c>
      <c r="D74" s="59">
        <v>1</v>
      </c>
      <c r="E74" s="60"/>
      <c r="F74" s="61"/>
      <c r="G74" s="122" t="s">
        <v>580</v>
      </c>
      <c r="H74" s="105" t="s">
        <v>581</v>
      </c>
      <c r="I74" s="105" t="s">
        <v>582</v>
      </c>
      <c r="J74" s="105" t="s">
        <v>583</v>
      </c>
      <c r="K74" s="64" t="s">
        <v>584</v>
      </c>
      <c r="L74" s="127" t="s">
        <v>585</v>
      </c>
      <c r="M74" s="128" t="str">
        <f>CONCATENATE(O74,P74,Q74,R74,S74)</f>
        <v>請確認是否符合 左端上層筋下限 規定</v>
      </c>
      <c r="N74" s="6" t="str">
        <f t="shared" si="3"/>
        <v>0219</v>
      </c>
      <c r="O74" s="6" t="s">
        <v>475</v>
      </c>
      <c r="P74" s="6" t="str">
        <f t="shared" ref="P74:Q77" si="6">I74</f>
        <v>左端</v>
      </c>
      <c r="Q74" s="6" t="str">
        <f t="shared" si="6"/>
        <v>上層筋</v>
      </c>
      <c r="R74" s="6" t="s">
        <v>586</v>
      </c>
      <c r="S74" s="6" t="s">
        <v>472</v>
      </c>
    </row>
    <row r="75" spans="2:19" x14ac:dyDescent="0.3">
      <c r="B75" s="57"/>
      <c r="C75" s="58" t="s">
        <v>102</v>
      </c>
      <c r="D75" s="59"/>
      <c r="E75" s="60"/>
      <c r="F75" s="61">
        <v>1</v>
      </c>
      <c r="G75" s="122" t="s">
        <v>587</v>
      </c>
      <c r="H75" s="105" t="s">
        <v>581</v>
      </c>
      <c r="I75" s="105" t="s">
        <v>582</v>
      </c>
      <c r="J75" s="105" t="s">
        <v>583</v>
      </c>
      <c r="K75" s="64" t="s">
        <v>588</v>
      </c>
      <c r="L75" s="127" t="s">
        <v>589</v>
      </c>
      <c r="M75" s="128" t="str">
        <f>CONCATENATE(O75,P75,Q75,R75,S75)</f>
        <v>請確認是否符合 左端上層筋上限 規定</v>
      </c>
      <c r="N75" s="6" t="str">
        <f t="shared" si="3"/>
        <v>0220</v>
      </c>
      <c r="O75" s="6" t="s">
        <v>475</v>
      </c>
      <c r="P75" s="6" t="str">
        <f t="shared" si="6"/>
        <v>左端</v>
      </c>
      <c r="Q75" s="6" t="str">
        <f t="shared" si="6"/>
        <v>上層筋</v>
      </c>
      <c r="R75" s="6" t="s">
        <v>394</v>
      </c>
      <c r="S75" s="6" t="s">
        <v>472</v>
      </c>
    </row>
    <row r="76" spans="2:19" x14ac:dyDescent="0.3">
      <c r="B76" s="57"/>
      <c r="C76" s="58" t="s">
        <v>103</v>
      </c>
      <c r="D76" s="59">
        <v>1</v>
      </c>
      <c r="E76" s="60"/>
      <c r="F76" s="61"/>
      <c r="G76" s="122" t="s">
        <v>587</v>
      </c>
      <c r="H76" s="105" t="s">
        <v>581</v>
      </c>
      <c r="I76" s="105" t="s">
        <v>590</v>
      </c>
      <c r="J76" s="105" t="s">
        <v>583</v>
      </c>
      <c r="K76" s="64" t="s">
        <v>591</v>
      </c>
      <c r="L76" s="127" t="s">
        <v>592</v>
      </c>
      <c r="M76" s="128" t="str">
        <f>CONCATENATE(O76,P76,Q76,R76,S76)</f>
        <v>請確認是否符合 右端上層筋下限 規定</v>
      </c>
      <c r="N76" s="6" t="str">
        <f t="shared" si="3"/>
        <v>0221</v>
      </c>
      <c r="O76" s="6" t="s">
        <v>575</v>
      </c>
      <c r="P76" s="6" t="str">
        <f t="shared" si="6"/>
        <v>右端</v>
      </c>
      <c r="Q76" s="6" t="str">
        <f t="shared" si="6"/>
        <v>上層筋</v>
      </c>
      <c r="R76" s="6" t="s">
        <v>586</v>
      </c>
      <c r="S76" s="6" t="s">
        <v>593</v>
      </c>
    </row>
    <row r="77" spans="2:19" x14ac:dyDescent="0.3">
      <c r="B77" s="57"/>
      <c r="C77" s="58" t="s">
        <v>104</v>
      </c>
      <c r="D77" s="59"/>
      <c r="E77" s="60"/>
      <c r="F77" s="61">
        <v>1</v>
      </c>
      <c r="G77" s="122" t="s">
        <v>594</v>
      </c>
      <c r="H77" s="105" t="s">
        <v>581</v>
      </c>
      <c r="I77" s="105" t="s">
        <v>590</v>
      </c>
      <c r="J77" s="105" t="s">
        <v>583</v>
      </c>
      <c r="K77" s="64" t="s">
        <v>595</v>
      </c>
      <c r="L77" s="127" t="s">
        <v>596</v>
      </c>
      <c r="M77" s="128" t="str">
        <f>CONCATENATE(O77,P77,Q77,R77,S77)</f>
        <v>請確認是否符合 右端上層筋上限 規定</v>
      </c>
      <c r="N77" s="6" t="str">
        <f t="shared" si="3"/>
        <v>0222</v>
      </c>
      <c r="O77" s="6" t="s">
        <v>475</v>
      </c>
      <c r="P77" s="6" t="str">
        <f t="shared" si="6"/>
        <v>右端</v>
      </c>
      <c r="Q77" s="6" t="str">
        <f t="shared" si="6"/>
        <v>上層筋</v>
      </c>
      <c r="R77" s="6" t="s">
        <v>597</v>
      </c>
      <c r="S77" s="6" t="s">
        <v>598</v>
      </c>
    </row>
    <row r="78" spans="2:19" x14ac:dyDescent="0.3">
      <c r="B78" s="57"/>
      <c r="C78" s="58" t="s">
        <v>105</v>
      </c>
      <c r="D78" s="59"/>
      <c r="E78" s="60"/>
      <c r="F78" s="61"/>
      <c r="G78" s="122" t="s">
        <v>594</v>
      </c>
      <c r="H78" s="105"/>
      <c r="I78" s="105"/>
      <c r="J78" s="105"/>
      <c r="K78" s="64"/>
      <c r="L78" s="127"/>
      <c r="M78" s="128"/>
      <c r="N78" s="6" t="str">
        <f t="shared" si="3"/>
        <v>0223</v>
      </c>
    </row>
    <row r="79" spans="2:19" x14ac:dyDescent="0.3">
      <c r="B79" s="57"/>
      <c r="C79" s="58" t="s">
        <v>106</v>
      </c>
      <c r="D79" s="59">
        <v>1</v>
      </c>
      <c r="E79" s="60"/>
      <c r="F79" s="61"/>
      <c r="G79" s="122" t="s">
        <v>599</v>
      </c>
      <c r="H79" s="105" t="s">
        <v>581</v>
      </c>
      <c r="I79" s="105" t="s">
        <v>582</v>
      </c>
      <c r="J79" s="105" t="s">
        <v>600</v>
      </c>
      <c r="K79" s="64" t="s">
        <v>519</v>
      </c>
      <c r="L79" s="127" t="s">
        <v>585</v>
      </c>
      <c r="M79" s="128" t="str">
        <f>CONCATENATE(O79,P79,Q79,R79,S79)</f>
        <v>請確認是否符合 左端下層筋下限 規定</v>
      </c>
      <c r="N79" s="6" t="str">
        <f t="shared" si="3"/>
        <v>0224</v>
      </c>
      <c r="O79" s="6" t="s">
        <v>561</v>
      </c>
      <c r="P79" s="6" t="str">
        <f t="shared" ref="P79:Q82" si="7">I79</f>
        <v>左端</v>
      </c>
      <c r="Q79" s="6" t="str">
        <f t="shared" si="7"/>
        <v>下層筋</v>
      </c>
      <c r="R79" s="6" t="s">
        <v>571</v>
      </c>
      <c r="S79" s="6" t="s">
        <v>472</v>
      </c>
    </row>
    <row r="80" spans="2:19" x14ac:dyDescent="0.3">
      <c r="B80" s="57"/>
      <c r="C80" s="58" t="s">
        <v>107</v>
      </c>
      <c r="D80" s="59"/>
      <c r="E80" s="60"/>
      <c r="F80" s="61">
        <v>1</v>
      </c>
      <c r="G80" s="122" t="s">
        <v>594</v>
      </c>
      <c r="H80" s="105" t="s">
        <v>581</v>
      </c>
      <c r="I80" s="105" t="s">
        <v>582</v>
      </c>
      <c r="J80" s="105" t="s">
        <v>600</v>
      </c>
      <c r="K80" s="64" t="s">
        <v>588</v>
      </c>
      <c r="L80" s="127" t="s">
        <v>601</v>
      </c>
      <c r="M80" s="128" t="str">
        <f>CONCATENATE(O80,P80,Q80,R80,S80)</f>
        <v>請確認是否符合 左端下層筋上限 規定</v>
      </c>
      <c r="N80" s="6" t="str">
        <f t="shared" si="3"/>
        <v>0225</v>
      </c>
      <c r="O80" s="6" t="s">
        <v>561</v>
      </c>
      <c r="P80" s="6" t="str">
        <f t="shared" si="7"/>
        <v>左端</v>
      </c>
      <c r="Q80" s="6" t="str">
        <f t="shared" si="7"/>
        <v>下層筋</v>
      </c>
      <c r="R80" s="6" t="s">
        <v>579</v>
      </c>
      <c r="S80" s="6" t="s">
        <v>572</v>
      </c>
    </row>
    <row r="81" spans="2:19" x14ac:dyDescent="0.3">
      <c r="B81" s="57"/>
      <c r="C81" s="58" t="s">
        <v>108</v>
      </c>
      <c r="D81" s="59">
        <v>1</v>
      </c>
      <c r="E81" s="60"/>
      <c r="F81" s="61"/>
      <c r="G81" s="122" t="s">
        <v>580</v>
      </c>
      <c r="H81" s="105" t="s">
        <v>581</v>
      </c>
      <c r="I81" s="105" t="s">
        <v>590</v>
      </c>
      <c r="J81" s="105" t="s">
        <v>600</v>
      </c>
      <c r="K81" s="64" t="s">
        <v>591</v>
      </c>
      <c r="L81" s="127" t="s">
        <v>585</v>
      </c>
      <c r="M81" s="128" t="str">
        <f>CONCATENATE(O81,P81,Q81,R81,S81)</f>
        <v>請確認是否符合 右端下層筋下限 規定</v>
      </c>
      <c r="N81" s="6" t="str">
        <f t="shared" si="3"/>
        <v>0226</v>
      </c>
      <c r="O81" s="6" t="s">
        <v>561</v>
      </c>
      <c r="P81" s="6" t="str">
        <f t="shared" si="7"/>
        <v>右端</v>
      </c>
      <c r="Q81" s="6" t="str">
        <f t="shared" si="7"/>
        <v>下層筋</v>
      </c>
      <c r="R81" s="6" t="s">
        <v>586</v>
      </c>
      <c r="S81" s="6" t="s">
        <v>572</v>
      </c>
    </row>
    <row r="82" spans="2:19" x14ac:dyDescent="0.3">
      <c r="B82" s="57"/>
      <c r="C82" s="58" t="s">
        <v>109</v>
      </c>
      <c r="D82" s="59"/>
      <c r="E82" s="60"/>
      <c r="F82" s="61">
        <v>1</v>
      </c>
      <c r="G82" s="122" t="s">
        <v>587</v>
      </c>
      <c r="H82" s="105" t="s">
        <v>581</v>
      </c>
      <c r="I82" s="105" t="s">
        <v>590</v>
      </c>
      <c r="J82" s="105" t="s">
        <v>600</v>
      </c>
      <c r="K82" s="64" t="s">
        <v>595</v>
      </c>
      <c r="L82" s="127" t="s">
        <v>601</v>
      </c>
      <c r="M82" s="128" t="str">
        <f>CONCATENATE(O82,P82,Q82,R82,S82)</f>
        <v>請確認是否符合 右端下層筋上限 規定</v>
      </c>
      <c r="N82" s="6" t="str">
        <f t="shared" si="3"/>
        <v>0227</v>
      </c>
      <c r="O82" s="6" t="s">
        <v>602</v>
      </c>
      <c r="P82" s="6" t="str">
        <f t="shared" si="7"/>
        <v>右端</v>
      </c>
      <c r="Q82" s="6" t="str">
        <f t="shared" si="7"/>
        <v>下層筋</v>
      </c>
      <c r="R82" s="6" t="s">
        <v>394</v>
      </c>
      <c r="S82" s="6" t="s">
        <v>572</v>
      </c>
    </row>
    <row r="83" spans="2:19" x14ac:dyDescent="0.3">
      <c r="B83" s="57"/>
      <c r="C83" s="58" t="s">
        <v>259</v>
      </c>
      <c r="D83" s="59"/>
      <c r="E83" s="60"/>
      <c r="F83" s="61"/>
      <c r="G83" s="122" t="s">
        <v>594</v>
      </c>
      <c r="H83" s="105"/>
      <c r="I83" s="105"/>
      <c r="J83" s="105"/>
      <c r="K83" s="64"/>
      <c r="L83" s="127"/>
      <c r="M83" s="128"/>
      <c r="N83" s="6" t="str">
        <f t="shared" si="3"/>
        <v>0228</v>
      </c>
    </row>
    <row r="84" spans="2:19" x14ac:dyDescent="0.3">
      <c r="B84" s="57"/>
      <c r="C84" s="58" t="s">
        <v>260</v>
      </c>
      <c r="D84" s="59">
        <v>1</v>
      </c>
      <c r="E84" s="60"/>
      <c r="F84" s="61"/>
      <c r="G84" s="122" t="s">
        <v>587</v>
      </c>
      <c r="H84" s="105" t="s">
        <v>581</v>
      </c>
      <c r="I84" s="105" t="s">
        <v>603</v>
      </c>
      <c r="J84" s="105" t="s">
        <v>583</v>
      </c>
      <c r="K84" s="64" t="s">
        <v>604</v>
      </c>
      <c r="L84" s="127" t="s">
        <v>605</v>
      </c>
      <c r="M84" s="128" t="str">
        <f>CONCATENATE(O84,P84,Q84,R84,S84)</f>
        <v>請確認是否符合 中央上層筋下限 規定</v>
      </c>
      <c r="N84" s="6" t="str">
        <f t="shared" si="3"/>
        <v>0229</v>
      </c>
      <c r="O84" s="6" t="s">
        <v>475</v>
      </c>
      <c r="P84" s="6" t="str">
        <f>I84</f>
        <v>中央</v>
      </c>
      <c r="Q84" s="6" t="str">
        <f t="shared" ref="Q84:R86" si="8">J84</f>
        <v>上層筋</v>
      </c>
      <c r="R84" s="6" t="s">
        <v>427</v>
      </c>
      <c r="S84" s="6" t="s">
        <v>593</v>
      </c>
    </row>
    <row r="85" spans="2:19" x14ac:dyDescent="0.3">
      <c r="B85" s="57"/>
      <c r="C85" s="58" t="s">
        <v>261</v>
      </c>
      <c r="D85" s="59">
        <v>1</v>
      </c>
      <c r="E85" s="60"/>
      <c r="F85" s="61">
        <v>1</v>
      </c>
      <c r="G85" s="122" t="s">
        <v>594</v>
      </c>
      <c r="H85" s="105" t="s">
        <v>581</v>
      </c>
      <c r="I85" s="105" t="s">
        <v>603</v>
      </c>
      <c r="J85" s="105" t="s">
        <v>583</v>
      </c>
      <c r="K85" s="64" t="s">
        <v>606</v>
      </c>
      <c r="L85" s="127" t="s">
        <v>607</v>
      </c>
      <c r="M85" s="128" t="str">
        <f>CONCATENATE(O85,P85,Q85,R85,S85)</f>
        <v>請確認是否符合 中央上層筋相對鋼筋量 規定</v>
      </c>
      <c r="N85" s="6" t="str">
        <f t="shared" si="3"/>
        <v>0230</v>
      </c>
      <c r="O85" s="6" t="s">
        <v>561</v>
      </c>
      <c r="P85" s="6" t="str">
        <f>I85</f>
        <v>中央</v>
      </c>
      <c r="Q85" s="6" t="str">
        <f t="shared" si="8"/>
        <v>上層筋</v>
      </c>
      <c r="R85" s="6" t="str">
        <f t="shared" si="8"/>
        <v>相對鋼筋量</v>
      </c>
      <c r="S85" s="6" t="s">
        <v>593</v>
      </c>
    </row>
    <row r="86" spans="2:19" x14ac:dyDescent="0.3">
      <c r="B86" s="57"/>
      <c r="C86" s="58" t="s">
        <v>262</v>
      </c>
      <c r="D86" s="59">
        <v>1</v>
      </c>
      <c r="E86" s="60"/>
      <c r="F86" s="61">
        <v>1</v>
      </c>
      <c r="G86" s="122" t="s">
        <v>594</v>
      </c>
      <c r="H86" s="105" t="s">
        <v>581</v>
      </c>
      <c r="I86" s="105" t="s">
        <v>603</v>
      </c>
      <c r="J86" s="105" t="s">
        <v>600</v>
      </c>
      <c r="K86" s="64" t="s">
        <v>588</v>
      </c>
      <c r="L86" s="127" t="s">
        <v>608</v>
      </c>
      <c r="M86" s="128" t="str">
        <f>CONCATENATE(O86,P86,Q86,R86,S86)</f>
        <v>請確認是否符合 中央下層筋上限 規定</v>
      </c>
      <c r="N86" s="6" t="str">
        <f t="shared" si="3"/>
        <v>0231</v>
      </c>
      <c r="O86" s="6" t="s">
        <v>561</v>
      </c>
      <c r="P86" s="6" t="str">
        <f>I86</f>
        <v>中央</v>
      </c>
      <c r="Q86" s="6" t="str">
        <f t="shared" si="8"/>
        <v>下層筋</v>
      </c>
      <c r="R86" s="6" t="s">
        <v>579</v>
      </c>
      <c r="S86" s="6" t="s">
        <v>593</v>
      </c>
    </row>
    <row r="87" spans="2:19" x14ac:dyDescent="0.3">
      <c r="B87" s="57"/>
      <c r="C87" s="67" t="s">
        <v>263</v>
      </c>
      <c r="D87" s="68"/>
      <c r="E87" s="69"/>
      <c r="F87" s="70"/>
      <c r="G87" s="79"/>
      <c r="H87" s="4"/>
      <c r="I87" s="4"/>
      <c r="J87" s="4"/>
      <c r="K87" s="80"/>
      <c r="L87" s="125"/>
      <c r="M87" s="126"/>
      <c r="N87" s="6" t="str">
        <f t="shared" si="3"/>
        <v>0232</v>
      </c>
    </row>
    <row r="88" spans="2:19" x14ac:dyDescent="0.3">
      <c r="B88" s="57"/>
      <c r="C88" s="67" t="s">
        <v>264</v>
      </c>
      <c r="D88" s="68"/>
      <c r="E88" s="69"/>
      <c r="F88" s="70"/>
      <c r="G88" s="79"/>
      <c r="H88" s="4"/>
      <c r="I88" s="4"/>
      <c r="J88" s="4"/>
      <c r="K88" s="80"/>
      <c r="L88" s="120"/>
      <c r="M88" s="121"/>
      <c r="N88" s="6" t="str">
        <f t="shared" si="3"/>
        <v>0233</v>
      </c>
    </row>
    <row r="89" spans="2:19" x14ac:dyDescent="0.3">
      <c r="B89" s="57"/>
      <c r="C89" s="67" t="s">
        <v>265</v>
      </c>
      <c r="D89" s="68">
        <v>1</v>
      </c>
      <c r="E89" s="69"/>
      <c r="F89" s="70"/>
      <c r="G89" s="79" t="s">
        <v>189</v>
      </c>
      <c r="H89" s="4"/>
      <c r="I89" s="4" t="s">
        <v>396</v>
      </c>
      <c r="J89" s="4"/>
      <c r="K89" s="80" t="s">
        <v>609</v>
      </c>
      <c r="L89" s="125" t="s">
        <v>610</v>
      </c>
      <c r="M89" s="126" t="str">
        <f>CONCATENATE(O89,P89,Q89,R89)</f>
        <v>請確認是否符合 單排支數下限 規定</v>
      </c>
      <c r="N89" s="6" t="str">
        <f t="shared" si="3"/>
        <v>0234</v>
      </c>
      <c r="O89" s="6" t="s">
        <v>475</v>
      </c>
      <c r="P89" s="6" t="str">
        <f>I89</f>
        <v>單排支數</v>
      </c>
      <c r="Q89" s="6" t="s">
        <v>565</v>
      </c>
      <c r="R89" s="6" t="s">
        <v>593</v>
      </c>
    </row>
    <row r="90" spans="2:19" x14ac:dyDescent="0.3">
      <c r="B90" s="57"/>
      <c r="C90" s="67" t="s">
        <v>266</v>
      </c>
      <c r="D90" s="68"/>
      <c r="E90" s="69">
        <v>1</v>
      </c>
      <c r="F90" s="70">
        <v>1</v>
      </c>
      <c r="G90" s="79" t="s">
        <v>189</v>
      </c>
      <c r="H90" s="4"/>
      <c r="I90" s="4" t="s">
        <v>396</v>
      </c>
      <c r="J90" s="4"/>
      <c r="K90" s="80" t="s">
        <v>611</v>
      </c>
      <c r="L90" s="125" t="s">
        <v>612</v>
      </c>
      <c r="M90" s="126" t="str">
        <f>CONCATENATE(O90,P90,Q90,R90)</f>
        <v>請確認是否符合 單排支數上限 規定</v>
      </c>
      <c r="N90" s="6" t="str">
        <f t="shared" si="3"/>
        <v>0235</v>
      </c>
      <c r="O90" s="6" t="s">
        <v>575</v>
      </c>
      <c r="P90" s="6" t="str">
        <f>I90</f>
        <v>單排支數</v>
      </c>
      <c r="Q90" s="6" t="s">
        <v>597</v>
      </c>
      <c r="R90" s="6" t="s">
        <v>476</v>
      </c>
    </row>
    <row r="91" spans="2:19" x14ac:dyDescent="0.3">
      <c r="B91" s="57"/>
      <c r="C91" s="67" t="s">
        <v>267</v>
      </c>
      <c r="D91" s="68">
        <v>1</v>
      </c>
      <c r="E91" s="69"/>
      <c r="F91" s="70"/>
      <c r="G91" s="79" t="s">
        <v>189</v>
      </c>
      <c r="H91" s="4"/>
      <c r="I91" s="4"/>
      <c r="J91" s="4"/>
      <c r="K91" s="80"/>
      <c r="L91" s="120"/>
      <c r="M91" s="121"/>
      <c r="N91" s="6" t="str">
        <f t="shared" si="3"/>
        <v>0236</v>
      </c>
    </row>
    <row r="92" spans="2:19" x14ac:dyDescent="0.3">
      <c r="B92" s="57"/>
      <c r="C92" s="67" t="s">
        <v>268</v>
      </c>
      <c r="D92" s="68">
        <v>1</v>
      </c>
      <c r="E92" s="69">
        <v>1</v>
      </c>
      <c r="F92" s="70">
        <v>1</v>
      </c>
      <c r="G92" s="79" t="s">
        <v>189</v>
      </c>
      <c r="H92" s="4"/>
      <c r="I92" s="4" t="s">
        <v>613</v>
      </c>
      <c r="J92" s="4"/>
      <c r="K92" s="80" t="s">
        <v>614</v>
      </c>
      <c r="L92" s="120" t="s">
        <v>615</v>
      </c>
      <c r="M92" s="126" t="str">
        <f>CONCATENATE(O92,P92,Q92,R92)</f>
        <v>請確認是否符合 箍筋間距下限 規定</v>
      </c>
      <c r="N92" s="6" t="str">
        <f t="shared" si="3"/>
        <v>0237</v>
      </c>
      <c r="O92" s="6" t="s">
        <v>475</v>
      </c>
      <c r="P92" s="6" t="str">
        <f>I92</f>
        <v>箍筋間距</v>
      </c>
      <c r="Q92" s="6" t="s">
        <v>616</v>
      </c>
      <c r="R92" s="6" t="s">
        <v>593</v>
      </c>
    </row>
    <row r="93" spans="2:19" x14ac:dyDescent="0.3">
      <c r="B93" s="57"/>
      <c r="C93" s="67" t="s">
        <v>269</v>
      </c>
      <c r="D93" s="68">
        <v>1</v>
      </c>
      <c r="E93" s="69">
        <v>1</v>
      </c>
      <c r="F93" s="70"/>
      <c r="G93" s="79" t="s">
        <v>189</v>
      </c>
      <c r="H93" s="4"/>
      <c r="I93" s="4" t="s">
        <v>613</v>
      </c>
      <c r="J93" s="4"/>
      <c r="K93" s="80" t="s">
        <v>617</v>
      </c>
      <c r="L93" s="120" t="s">
        <v>618</v>
      </c>
      <c r="M93" s="126" t="str">
        <f>CONCATENATE(O93,P93,Q93,R93)</f>
        <v>請確認是否符合 箍筋間距上限 規定</v>
      </c>
      <c r="N93" s="6" t="str">
        <f t="shared" si="3"/>
        <v>0238</v>
      </c>
      <c r="O93" s="6" t="s">
        <v>575</v>
      </c>
      <c r="P93" s="6" t="str">
        <f>I93</f>
        <v>箍筋間距</v>
      </c>
      <c r="Q93" s="6" t="s">
        <v>597</v>
      </c>
      <c r="R93" s="6" t="s">
        <v>593</v>
      </c>
    </row>
    <row r="94" spans="2:19" x14ac:dyDescent="0.3">
      <c r="B94" s="57"/>
      <c r="C94" s="67" t="s">
        <v>270</v>
      </c>
      <c r="D94" s="68">
        <v>1</v>
      </c>
      <c r="E94" s="69"/>
      <c r="F94" s="70"/>
      <c r="G94" s="79" t="s">
        <v>189</v>
      </c>
      <c r="H94" s="4"/>
      <c r="I94" s="4"/>
      <c r="J94" s="4"/>
      <c r="K94" s="80"/>
      <c r="L94" s="120"/>
      <c r="M94" s="121"/>
      <c r="N94" s="6" t="str">
        <f t="shared" si="3"/>
        <v>0239</v>
      </c>
    </row>
    <row r="95" spans="2:19" x14ac:dyDescent="0.3">
      <c r="B95" s="57"/>
      <c r="C95" s="67" t="s">
        <v>271</v>
      </c>
      <c r="D95" s="68">
        <v>1</v>
      </c>
      <c r="E95" s="69"/>
      <c r="F95" s="70"/>
      <c r="G95" s="79" t="s">
        <v>189</v>
      </c>
      <c r="H95" s="4"/>
      <c r="I95" s="4" t="s">
        <v>619</v>
      </c>
      <c r="J95" s="4"/>
      <c r="K95" s="80" t="s">
        <v>511</v>
      </c>
      <c r="L95" s="120" t="s">
        <v>87</v>
      </c>
      <c r="M95" s="126" t="str">
        <f>CONCATENATE(O95,P95,Q95,R95)</f>
        <v>請確認是否符合 剪力鋼筋量下限 規定</v>
      </c>
      <c r="N95" s="6" t="str">
        <f t="shared" si="3"/>
        <v>0240</v>
      </c>
      <c r="O95" s="6" t="s">
        <v>575</v>
      </c>
      <c r="P95" s="6" t="str">
        <f>I95</f>
        <v>剪力鋼筋量</v>
      </c>
      <c r="Q95" s="6" t="s">
        <v>565</v>
      </c>
      <c r="R95" s="6" t="s">
        <v>472</v>
      </c>
    </row>
    <row r="96" spans="2:19" x14ac:dyDescent="0.3">
      <c r="B96" s="57"/>
      <c r="C96" s="67" t="s">
        <v>272</v>
      </c>
      <c r="D96" s="68">
        <v>1</v>
      </c>
      <c r="E96" s="69">
        <v>1</v>
      </c>
      <c r="F96" s="70">
        <v>1</v>
      </c>
      <c r="G96" s="79" t="s">
        <v>189</v>
      </c>
      <c r="H96" s="4"/>
      <c r="I96" s="4" t="s">
        <v>619</v>
      </c>
      <c r="J96" s="4"/>
      <c r="K96" s="80" t="s">
        <v>617</v>
      </c>
      <c r="L96" s="120" t="s">
        <v>84</v>
      </c>
      <c r="M96" s="126" t="str">
        <f>CONCATENATE(O96,P96,Q96,R96)</f>
        <v>請確認是否符合 剪力鋼筋量上限 規定</v>
      </c>
      <c r="N96" s="6" t="str">
        <f t="shared" si="3"/>
        <v>0241</v>
      </c>
      <c r="O96" s="6" t="s">
        <v>475</v>
      </c>
      <c r="P96" s="6" t="str">
        <f>I96</f>
        <v>剪力鋼筋量</v>
      </c>
      <c r="Q96" s="6" t="s">
        <v>579</v>
      </c>
      <c r="R96" s="6" t="s">
        <v>472</v>
      </c>
    </row>
    <row r="97" spans="2:19" ht="18.600000000000001" thickBot="1" x14ac:dyDescent="0.35">
      <c r="B97" s="57"/>
      <c r="C97" s="67"/>
      <c r="D97" s="68"/>
      <c r="E97" s="69"/>
      <c r="F97" s="70"/>
      <c r="G97" s="79"/>
      <c r="H97" s="4"/>
      <c r="I97" s="4"/>
      <c r="J97" s="4"/>
      <c r="K97" s="80"/>
      <c r="L97" s="120"/>
      <c r="M97" s="121"/>
      <c r="N97" s="6">
        <f t="shared" si="3"/>
        <v>0</v>
      </c>
    </row>
    <row r="98" spans="2:19" x14ac:dyDescent="0.3">
      <c r="B98" s="37" t="s">
        <v>191</v>
      </c>
      <c r="C98" s="38" t="s">
        <v>192</v>
      </c>
      <c r="D98" s="39" t="s">
        <v>76</v>
      </c>
      <c r="E98" s="40" t="s">
        <v>77</v>
      </c>
      <c r="F98" s="41" t="s">
        <v>78</v>
      </c>
      <c r="G98" s="42" t="s">
        <v>75</v>
      </c>
      <c r="H98" s="38" t="s">
        <v>5</v>
      </c>
      <c r="I98" s="38" t="s">
        <v>5</v>
      </c>
      <c r="J98" s="38" t="s">
        <v>5</v>
      </c>
      <c r="K98" s="44" t="s">
        <v>3</v>
      </c>
      <c r="L98" s="100" t="s">
        <v>7</v>
      </c>
      <c r="M98" s="101" t="s">
        <v>209</v>
      </c>
      <c r="N98" s="6" t="str">
        <f t="shared" si="3"/>
        <v>#</v>
      </c>
    </row>
    <row r="99" spans="2:19" ht="18.600000000000001" thickBot="1" x14ac:dyDescent="0.35">
      <c r="B99" s="47" t="s">
        <v>620</v>
      </c>
      <c r="C99" s="48" t="s">
        <v>206</v>
      </c>
      <c r="D99" s="49" t="s">
        <v>621</v>
      </c>
      <c r="E99" s="50" t="s">
        <v>346</v>
      </c>
      <c r="F99" s="51" t="s">
        <v>622</v>
      </c>
      <c r="G99" s="52"/>
      <c r="H99" s="102"/>
      <c r="I99" s="102"/>
      <c r="J99" s="102"/>
      <c r="K99" s="54"/>
      <c r="L99" s="103"/>
      <c r="M99" s="104"/>
      <c r="N99" s="6" t="str">
        <f t="shared" si="3"/>
        <v>0300</v>
      </c>
    </row>
    <row r="100" spans="2:19" x14ac:dyDescent="0.3">
      <c r="B100" s="57"/>
      <c r="C100" s="67"/>
      <c r="D100" s="68"/>
      <c r="E100" s="69"/>
      <c r="F100" s="70"/>
      <c r="G100" s="79"/>
      <c r="H100" s="4"/>
      <c r="I100" s="4"/>
      <c r="J100" s="4"/>
      <c r="K100" s="80"/>
      <c r="L100" s="75"/>
      <c r="M100" s="119"/>
      <c r="N100" s="6">
        <f t="shared" si="3"/>
        <v>0</v>
      </c>
    </row>
    <row r="101" spans="2:19" x14ac:dyDescent="0.3">
      <c r="B101" s="57"/>
      <c r="C101" s="58"/>
      <c r="D101" s="59"/>
      <c r="E101" s="60"/>
      <c r="F101" s="61"/>
      <c r="G101" s="122"/>
      <c r="H101" s="105"/>
      <c r="I101" s="105"/>
      <c r="J101" s="105"/>
      <c r="K101" s="64"/>
      <c r="L101" s="118"/>
      <c r="M101" s="128"/>
      <c r="N101" s="6">
        <f t="shared" si="3"/>
        <v>0</v>
      </c>
      <c r="O101" s="6" t="s">
        <v>561</v>
      </c>
      <c r="P101" s="6">
        <f>I101</f>
        <v>0</v>
      </c>
      <c r="Q101" s="6" t="s">
        <v>616</v>
      </c>
      <c r="R101" s="6" t="s">
        <v>472</v>
      </c>
    </row>
    <row r="102" spans="2:19" x14ac:dyDescent="0.3">
      <c r="B102" s="57"/>
      <c r="C102" s="58" t="s">
        <v>33</v>
      </c>
      <c r="D102" s="59">
        <v>1</v>
      </c>
      <c r="E102" s="60"/>
      <c r="F102" s="61">
        <v>1</v>
      </c>
      <c r="G102" s="122" t="s">
        <v>623</v>
      </c>
      <c r="H102" s="105"/>
      <c r="I102" s="105" t="s">
        <v>581</v>
      </c>
      <c r="J102" s="105"/>
      <c r="K102" s="64" t="s">
        <v>624</v>
      </c>
      <c r="L102" s="118" t="s">
        <v>625</v>
      </c>
      <c r="M102" s="128" t="str">
        <f>CONCATENATE(O102,P102,Q102,R102)</f>
        <v>請確認是否符合 主筋比上限 規定</v>
      </c>
      <c r="N102" s="6" t="str">
        <f t="shared" si="3"/>
        <v>0303</v>
      </c>
      <c r="O102" s="6" t="s">
        <v>626</v>
      </c>
      <c r="P102" s="6" t="str">
        <f>I102</f>
        <v>主筋比</v>
      </c>
      <c r="Q102" s="6" t="s">
        <v>597</v>
      </c>
      <c r="R102" s="6" t="s">
        <v>472</v>
      </c>
    </row>
    <row r="103" spans="2:19" x14ac:dyDescent="0.3">
      <c r="B103" s="57"/>
      <c r="C103" s="67"/>
      <c r="D103" s="68"/>
      <c r="E103" s="69"/>
      <c r="F103" s="70"/>
      <c r="G103" s="79"/>
      <c r="H103" s="4"/>
      <c r="I103" s="4"/>
      <c r="J103" s="4"/>
      <c r="K103" s="80"/>
      <c r="L103" s="107"/>
      <c r="M103" s="108"/>
      <c r="N103" s="6">
        <f t="shared" si="3"/>
        <v>0</v>
      </c>
    </row>
    <row r="104" spans="2:19" x14ac:dyDescent="0.3">
      <c r="B104" s="57"/>
      <c r="C104" s="67" t="s">
        <v>34</v>
      </c>
      <c r="D104" s="68">
        <v>1</v>
      </c>
      <c r="E104" s="69">
        <v>1</v>
      </c>
      <c r="F104" s="70"/>
      <c r="G104" s="79" t="s">
        <v>627</v>
      </c>
      <c r="H104" s="4"/>
      <c r="I104" s="4" t="s">
        <v>628</v>
      </c>
      <c r="J104" s="4"/>
      <c r="K104" s="80" t="s">
        <v>609</v>
      </c>
      <c r="L104" s="125" t="s">
        <v>629</v>
      </c>
      <c r="M104" s="126" t="s">
        <v>630</v>
      </c>
      <c r="N104" s="6" t="str">
        <f t="shared" si="3"/>
        <v>0305</v>
      </c>
    </row>
    <row r="105" spans="2:19" x14ac:dyDescent="0.3">
      <c r="B105" s="57"/>
      <c r="C105" s="67" t="s">
        <v>35</v>
      </c>
      <c r="D105" s="68">
        <v>1</v>
      </c>
      <c r="E105" s="69">
        <v>1</v>
      </c>
      <c r="F105" s="70"/>
      <c r="G105" s="79" t="s">
        <v>631</v>
      </c>
      <c r="H105" s="4"/>
      <c r="I105" s="4" t="s">
        <v>632</v>
      </c>
      <c r="J105" s="4"/>
      <c r="K105" s="80" t="s">
        <v>633</v>
      </c>
      <c r="L105" s="125" t="s">
        <v>612</v>
      </c>
      <c r="M105" s="126" t="s">
        <v>634</v>
      </c>
      <c r="N105" s="6" t="str">
        <f t="shared" si="3"/>
        <v>0306</v>
      </c>
    </row>
    <row r="106" spans="2:19" x14ac:dyDescent="0.3">
      <c r="B106" s="57"/>
      <c r="C106" s="67"/>
      <c r="D106" s="68"/>
      <c r="E106" s="69"/>
      <c r="F106" s="70"/>
      <c r="G106" s="79"/>
      <c r="H106" s="4"/>
      <c r="I106" s="4"/>
      <c r="J106" s="4"/>
      <c r="K106" s="80"/>
      <c r="L106" s="120"/>
      <c r="M106" s="121"/>
      <c r="N106" s="6">
        <f t="shared" si="3"/>
        <v>0</v>
      </c>
    </row>
    <row r="107" spans="2:19" x14ac:dyDescent="0.3">
      <c r="B107" s="57"/>
      <c r="C107" s="67" t="s">
        <v>36</v>
      </c>
      <c r="D107" s="68">
        <v>1</v>
      </c>
      <c r="E107" s="69"/>
      <c r="F107" s="70"/>
      <c r="G107" s="79" t="s">
        <v>635</v>
      </c>
      <c r="H107" s="4"/>
      <c r="I107" s="4"/>
      <c r="J107" s="4"/>
      <c r="K107" s="80" t="s">
        <v>636</v>
      </c>
      <c r="L107" s="120" t="s">
        <v>637</v>
      </c>
      <c r="M107" s="121" t="s">
        <v>638</v>
      </c>
      <c r="N107" s="6" t="str">
        <f t="shared" si="3"/>
        <v>0308</v>
      </c>
    </row>
    <row r="108" spans="2:19" x14ac:dyDescent="0.3">
      <c r="B108" s="57"/>
      <c r="C108" s="67"/>
      <c r="D108" s="68"/>
      <c r="E108" s="69"/>
      <c r="F108" s="70"/>
      <c r="G108" s="79"/>
      <c r="H108" s="4"/>
      <c r="I108" s="4"/>
      <c r="J108" s="4"/>
      <c r="K108" s="80"/>
      <c r="L108" s="120"/>
      <c r="M108" s="121"/>
    </row>
    <row r="109" spans="2:19" x14ac:dyDescent="0.3">
      <c r="B109" s="57"/>
      <c r="C109" s="67" t="s">
        <v>22</v>
      </c>
      <c r="D109" s="68">
        <v>1</v>
      </c>
      <c r="E109" s="69"/>
      <c r="F109" s="70"/>
      <c r="G109" s="79" t="s">
        <v>283</v>
      </c>
      <c r="H109" s="4" t="s">
        <v>356</v>
      </c>
      <c r="I109" s="4" t="s">
        <v>372</v>
      </c>
      <c r="J109" s="4" t="s">
        <v>357</v>
      </c>
      <c r="K109" s="80" t="s">
        <v>576</v>
      </c>
      <c r="L109" s="120" t="s">
        <v>577</v>
      </c>
      <c r="M109" s="121" t="s">
        <v>639</v>
      </c>
    </row>
    <row r="110" spans="2:19" x14ac:dyDescent="0.3">
      <c r="B110" s="57"/>
      <c r="C110" s="67"/>
      <c r="D110" s="68"/>
      <c r="E110" s="69"/>
      <c r="F110" s="70"/>
      <c r="G110" s="79"/>
      <c r="H110" s="4"/>
      <c r="I110" s="4"/>
      <c r="J110" s="4"/>
      <c r="K110" s="80"/>
      <c r="L110" s="125"/>
      <c r="M110" s="126"/>
      <c r="N110" s="6">
        <f t="shared" ref="N110:N122" si="9">C110</f>
        <v>0</v>
      </c>
      <c r="O110" s="6" t="s">
        <v>575</v>
      </c>
      <c r="P110" s="6">
        <f t="shared" ref="P110:Q113" si="10">I110</f>
        <v>0</v>
      </c>
      <c r="Q110" s="6">
        <f t="shared" si="10"/>
        <v>0</v>
      </c>
      <c r="R110" s="6" t="s">
        <v>565</v>
      </c>
      <c r="S110" s="6" t="s">
        <v>472</v>
      </c>
    </row>
    <row r="111" spans="2:19" x14ac:dyDescent="0.3">
      <c r="B111" s="57"/>
      <c r="C111" s="67" t="s">
        <v>24</v>
      </c>
      <c r="D111" s="68">
        <v>1</v>
      </c>
      <c r="E111" s="69"/>
      <c r="F111" s="70"/>
      <c r="G111" s="79" t="s">
        <v>283</v>
      </c>
      <c r="H111" s="4" t="s">
        <v>356</v>
      </c>
      <c r="I111" s="4" t="s">
        <v>375</v>
      </c>
      <c r="J111" s="4" t="s">
        <v>357</v>
      </c>
      <c r="K111" s="80" t="s">
        <v>576</v>
      </c>
      <c r="L111" s="125" t="s">
        <v>577</v>
      </c>
      <c r="M111" s="126" t="s">
        <v>640</v>
      </c>
      <c r="N111" s="6" t="str">
        <f t="shared" si="9"/>
        <v>0207</v>
      </c>
      <c r="O111" s="6" t="s">
        <v>561</v>
      </c>
      <c r="P111" s="6" t="str">
        <f t="shared" si="10"/>
        <v>右端</v>
      </c>
      <c r="Q111" s="6" t="str">
        <f t="shared" si="10"/>
        <v>上層筋</v>
      </c>
      <c r="R111" s="6" t="s">
        <v>562</v>
      </c>
      <c r="S111" s="6" t="s">
        <v>472</v>
      </c>
    </row>
    <row r="112" spans="2:19" x14ac:dyDescent="0.3">
      <c r="B112" s="57"/>
      <c r="C112" s="67"/>
      <c r="D112" s="68"/>
      <c r="E112" s="69"/>
      <c r="F112" s="70"/>
      <c r="G112" s="79"/>
      <c r="H112" s="4"/>
      <c r="I112" s="4"/>
      <c r="J112" s="4"/>
      <c r="K112" s="80"/>
      <c r="L112" s="125"/>
      <c r="M112" s="126"/>
      <c r="N112" s="6">
        <f t="shared" si="9"/>
        <v>0</v>
      </c>
      <c r="O112" s="6" t="s">
        <v>575</v>
      </c>
      <c r="P112" s="6">
        <f t="shared" si="10"/>
        <v>0</v>
      </c>
      <c r="Q112" s="6">
        <f t="shared" si="10"/>
        <v>0</v>
      </c>
      <c r="R112" s="6" t="s">
        <v>427</v>
      </c>
      <c r="S112" s="6" t="s">
        <v>593</v>
      </c>
    </row>
    <row r="113" spans="2:19" x14ac:dyDescent="0.3">
      <c r="B113" s="57"/>
      <c r="C113" s="67" t="s">
        <v>26</v>
      </c>
      <c r="D113" s="68"/>
      <c r="E113" s="69"/>
      <c r="F113" s="70"/>
      <c r="G113" s="79" t="s">
        <v>283</v>
      </c>
      <c r="H113" s="4"/>
      <c r="I113" s="4"/>
      <c r="J113" s="4"/>
      <c r="K113" s="80"/>
      <c r="L113" s="125"/>
      <c r="M113" s="126"/>
      <c r="N113" s="6" t="str">
        <f t="shared" si="9"/>
        <v>0209</v>
      </c>
      <c r="O113" s="6" t="s">
        <v>475</v>
      </c>
      <c r="P113" s="6">
        <f t="shared" si="10"/>
        <v>0</v>
      </c>
      <c r="Q113" s="6">
        <f t="shared" si="10"/>
        <v>0</v>
      </c>
      <c r="R113" s="6" t="s">
        <v>597</v>
      </c>
      <c r="S113" s="6" t="s">
        <v>481</v>
      </c>
    </row>
    <row r="114" spans="2:19" x14ac:dyDescent="0.3">
      <c r="B114" s="57"/>
      <c r="C114" s="67" t="s">
        <v>27</v>
      </c>
      <c r="D114" s="68">
        <v>1</v>
      </c>
      <c r="E114" s="69"/>
      <c r="F114" s="70"/>
      <c r="G114" s="79" t="s">
        <v>283</v>
      </c>
      <c r="H114" s="4" t="s">
        <v>356</v>
      </c>
      <c r="I114" s="4" t="s">
        <v>372</v>
      </c>
      <c r="J114" s="4" t="s">
        <v>361</v>
      </c>
      <c r="K114" s="80" t="s">
        <v>576</v>
      </c>
      <c r="L114" s="125" t="s">
        <v>577</v>
      </c>
      <c r="M114" s="126" t="s">
        <v>641</v>
      </c>
      <c r="N114" s="6" t="str">
        <f t="shared" si="9"/>
        <v>0210</v>
      </c>
    </row>
    <row r="115" spans="2:19" x14ac:dyDescent="0.3">
      <c r="B115" s="57"/>
      <c r="C115" s="67"/>
      <c r="D115" s="68"/>
      <c r="E115" s="69"/>
      <c r="F115" s="70"/>
      <c r="G115" s="79"/>
      <c r="H115" s="4"/>
      <c r="I115" s="4"/>
      <c r="J115" s="4"/>
      <c r="K115" s="80"/>
      <c r="L115" s="125"/>
      <c r="M115" s="126"/>
      <c r="N115" s="6">
        <f t="shared" si="9"/>
        <v>0</v>
      </c>
      <c r="O115" s="6" t="s">
        <v>475</v>
      </c>
      <c r="P115" s="6">
        <f t="shared" ref="P115:Q118" si="11">I115</f>
        <v>0</v>
      </c>
      <c r="Q115" s="6">
        <f t="shared" si="11"/>
        <v>0</v>
      </c>
      <c r="R115" s="6" t="s">
        <v>427</v>
      </c>
      <c r="S115" s="6" t="s">
        <v>472</v>
      </c>
    </row>
    <row r="116" spans="2:19" x14ac:dyDescent="0.3">
      <c r="B116" s="57"/>
      <c r="C116" s="67" t="s">
        <v>29</v>
      </c>
      <c r="D116" s="68">
        <v>1</v>
      </c>
      <c r="E116" s="69"/>
      <c r="F116" s="70"/>
      <c r="G116" s="79" t="s">
        <v>283</v>
      </c>
      <c r="H116" s="4" t="s">
        <v>356</v>
      </c>
      <c r="I116" s="4" t="s">
        <v>375</v>
      </c>
      <c r="J116" s="4" t="s">
        <v>361</v>
      </c>
      <c r="K116" s="80" t="s">
        <v>576</v>
      </c>
      <c r="L116" s="125" t="s">
        <v>577</v>
      </c>
      <c r="M116" s="126" t="s">
        <v>642</v>
      </c>
      <c r="N116" s="6" t="str">
        <f t="shared" si="9"/>
        <v>0212</v>
      </c>
      <c r="O116" s="6" t="s">
        <v>561</v>
      </c>
      <c r="P116" s="6" t="str">
        <f t="shared" si="11"/>
        <v>右端</v>
      </c>
      <c r="Q116" s="6" t="str">
        <f t="shared" si="11"/>
        <v>下層筋</v>
      </c>
      <c r="R116" s="6" t="s">
        <v>394</v>
      </c>
      <c r="S116" s="6" t="s">
        <v>643</v>
      </c>
    </row>
    <row r="117" spans="2:19" x14ac:dyDescent="0.3">
      <c r="B117" s="57"/>
      <c r="C117" s="67"/>
      <c r="D117" s="68"/>
      <c r="E117" s="69"/>
      <c r="F117" s="70"/>
      <c r="G117" s="79"/>
      <c r="H117" s="4"/>
      <c r="I117" s="4"/>
      <c r="J117" s="4"/>
      <c r="K117" s="80"/>
      <c r="L117" s="125"/>
      <c r="M117" s="126"/>
      <c r="N117" s="6">
        <f t="shared" si="9"/>
        <v>0</v>
      </c>
      <c r="O117" s="6" t="s">
        <v>644</v>
      </c>
      <c r="P117" s="6">
        <f t="shared" si="11"/>
        <v>0</v>
      </c>
      <c r="Q117" s="6">
        <f t="shared" si="11"/>
        <v>0</v>
      </c>
      <c r="R117" s="6" t="s">
        <v>427</v>
      </c>
      <c r="S117" s="6" t="s">
        <v>572</v>
      </c>
    </row>
    <row r="118" spans="2:19" x14ac:dyDescent="0.3">
      <c r="B118" s="57"/>
      <c r="C118" s="67" t="s">
        <v>31</v>
      </c>
      <c r="D118" s="68"/>
      <c r="E118" s="69"/>
      <c r="F118" s="70"/>
      <c r="G118" s="79" t="s">
        <v>283</v>
      </c>
      <c r="H118" s="4"/>
      <c r="I118" s="4"/>
      <c r="J118" s="4"/>
      <c r="K118" s="80"/>
      <c r="L118" s="125"/>
      <c r="M118" s="126"/>
      <c r="N118" s="6" t="str">
        <f t="shared" si="9"/>
        <v>0214</v>
      </c>
      <c r="O118" s="6" t="s">
        <v>475</v>
      </c>
      <c r="P118" s="6">
        <f t="shared" si="11"/>
        <v>0</v>
      </c>
      <c r="Q118" s="6">
        <f t="shared" si="11"/>
        <v>0</v>
      </c>
      <c r="R118" s="6" t="s">
        <v>597</v>
      </c>
      <c r="S118" s="6" t="s">
        <v>645</v>
      </c>
    </row>
    <row r="119" spans="2:19" x14ac:dyDescent="0.3">
      <c r="B119" s="57"/>
      <c r="C119" s="67" t="s">
        <v>32</v>
      </c>
      <c r="D119" s="68">
        <v>1</v>
      </c>
      <c r="E119" s="69"/>
      <c r="F119" s="70"/>
      <c r="G119" s="79" t="s">
        <v>283</v>
      </c>
      <c r="H119" s="4" t="s">
        <v>356</v>
      </c>
      <c r="I119" s="4" t="s">
        <v>369</v>
      </c>
      <c r="J119" s="4" t="s">
        <v>357</v>
      </c>
      <c r="K119" s="80" t="s">
        <v>576</v>
      </c>
      <c r="L119" s="125" t="s">
        <v>577</v>
      </c>
      <c r="M119" s="126" t="s">
        <v>578</v>
      </c>
      <c r="N119" s="6" t="str">
        <f t="shared" si="9"/>
        <v>0215</v>
      </c>
    </row>
    <row r="120" spans="2:19" x14ac:dyDescent="0.3">
      <c r="B120" s="57"/>
      <c r="C120" s="67"/>
      <c r="D120" s="68"/>
      <c r="E120" s="69"/>
      <c r="F120" s="70"/>
      <c r="G120" s="79"/>
      <c r="H120" s="4"/>
      <c r="I120" s="4"/>
      <c r="J120" s="4"/>
      <c r="K120" s="80"/>
      <c r="L120" s="125"/>
      <c r="M120" s="126"/>
      <c r="N120" s="6">
        <f t="shared" si="9"/>
        <v>0</v>
      </c>
      <c r="O120" s="6" t="s">
        <v>561</v>
      </c>
      <c r="P120" s="6">
        <f>I120</f>
        <v>0</v>
      </c>
      <c r="Q120" s="6">
        <f t="shared" ref="Q120:R122" si="12">J120</f>
        <v>0</v>
      </c>
      <c r="R120" s="6" t="s">
        <v>565</v>
      </c>
      <c r="S120" s="6" t="s">
        <v>472</v>
      </c>
    </row>
    <row r="121" spans="2:19" x14ac:dyDescent="0.3">
      <c r="B121" s="57"/>
      <c r="C121" s="67" t="s">
        <v>81</v>
      </c>
      <c r="D121" s="68"/>
      <c r="E121" s="69"/>
      <c r="F121" s="70"/>
      <c r="G121" s="79" t="s">
        <v>283</v>
      </c>
      <c r="H121" s="4" t="s">
        <v>356</v>
      </c>
      <c r="I121" s="4" t="s">
        <v>369</v>
      </c>
      <c r="J121" s="4" t="s">
        <v>361</v>
      </c>
      <c r="K121" s="80" t="s">
        <v>576</v>
      </c>
      <c r="L121" s="125" t="s">
        <v>577</v>
      </c>
      <c r="M121" s="126" t="s">
        <v>578</v>
      </c>
      <c r="N121" s="6" t="str">
        <f t="shared" si="9"/>
        <v>0217</v>
      </c>
      <c r="O121" s="6" t="s">
        <v>475</v>
      </c>
      <c r="P121" s="6" t="str">
        <f>I121</f>
        <v>中央</v>
      </c>
      <c r="Q121" s="6" t="str">
        <f t="shared" si="12"/>
        <v>下層筋</v>
      </c>
      <c r="R121" s="6" t="str">
        <f t="shared" si="12"/>
        <v>最小</v>
      </c>
      <c r="S121" s="6" t="s">
        <v>593</v>
      </c>
    </row>
    <row r="122" spans="2:19" x14ac:dyDescent="0.3">
      <c r="B122" s="57"/>
      <c r="C122" s="67"/>
      <c r="D122" s="68"/>
      <c r="E122" s="69"/>
      <c r="F122" s="70"/>
      <c r="G122" s="79"/>
      <c r="H122" s="4"/>
      <c r="I122" s="4"/>
      <c r="J122" s="4"/>
      <c r="K122" s="80"/>
      <c r="L122" s="125"/>
      <c r="M122" s="126"/>
      <c r="N122" s="6">
        <f t="shared" si="9"/>
        <v>0</v>
      </c>
      <c r="O122" s="6" t="s">
        <v>475</v>
      </c>
      <c r="P122" s="6">
        <f>I122</f>
        <v>0</v>
      </c>
      <c r="Q122" s="6">
        <f t="shared" si="12"/>
        <v>0</v>
      </c>
      <c r="R122" s="6" t="s">
        <v>394</v>
      </c>
      <c r="S122" s="6" t="s">
        <v>472</v>
      </c>
    </row>
    <row r="123" spans="2:19" ht="18.600000000000001" thickBot="1" x14ac:dyDescent="0.35">
      <c r="B123" s="57"/>
      <c r="C123" s="4"/>
      <c r="D123" s="68"/>
      <c r="E123" s="69"/>
      <c r="F123" s="70"/>
      <c r="G123" s="79"/>
      <c r="H123" s="4"/>
      <c r="I123" s="4"/>
      <c r="J123" s="4"/>
      <c r="K123" s="80"/>
      <c r="L123" s="120"/>
      <c r="M123" s="121"/>
    </row>
    <row r="124" spans="2:19" x14ac:dyDescent="0.3">
      <c r="B124" s="37" t="s">
        <v>191</v>
      </c>
      <c r="C124" s="38" t="s">
        <v>192</v>
      </c>
      <c r="D124" s="39" t="s">
        <v>76</v>
      </c>
      <c r="E124" s="40" t="s">
        <v>77</v>
      </c>
      <c r="F124" s="41" t="s">
        <v>78</v>
      </c>
      <c r="G124" s="42" t="s">
        <v>75</v>
      </c>
      <c r="H124" s="38" t="s">
        <v>5</v>
      </c>
      <c r="I124" s="38" t="s">
        <v>5</v>
      </c>
      <c r="J124" s="38" t="s">
        <v>5</v>
      </c>
      <c r="K124" s="44" t="s">
        <v>3</v>
      </c>
      <c r="L124" s="100" t="s">
        <v>7</v>
      </c>
      <c r="M124" s="101" t="s">
        <v>209</v>
      </c>
    </row>
    <row r="125" spans="2:19" ht="18.600000000000001" thickBot="1" x14ac:dyDescent="0.35">
      <c r="B125" s="47" t="s">
        <v>646</v>
      </c>
      <c r="C125" s="48" t="s">
        <v>205</v>
      </c>
      <c r="D125" s="49" t="s">
        <v>432</v>
      </c>
      <c r="E125" s="50" t="s">
        <v>422</v>
      </c>
      <c r="F125" s="51" t="s">
        <v>384</v>
      </c>
      <c r="G125" s="52"/>
      <c r="H125" s="102"/>
      <c r="I125" s="102"/>
      <c r="J125" s="102"/>
      <c r="K125" s="54"/>
      <c r="L125" s="103"/>
      <c r="M125" s="104"/>
    </row>
    <row r="126" spans="2:19" x14ac:dyDescent="0.3">
      <c r="B126" s="57"/>
      <c r="C126" s="67" t="s">
        <v>37</v>
      </c>
      <c r="D126" s="68"/>
      <c r="E126" s="69">
        <v>1</v>
      </c>
      <c r="F126" s="70"/>
      <c r="G126" s="79" t="s">
        <v>647</v>
      </c>
      <c r="H126" s="4"/>
      <c r="I126" s="4" t="s">
        <v>426</v>
      </c>
      <c r="J126" s="4"/>
      <c r="K126" s="80" t="s">
        <v>511</v>
      </c>
      <c r="L126" s="120" t="s">
        <v>648</v>
      </c>
      <c r="M126" s="126" t="str">
        <f>CONCATENATE(O126,P126,Q126,R126)</f>
        <v>請確認是否符合 鋼筋比下限 規定</v>
      </c>
      <c r="O126" s="6" t="s">
        <v>561</v>
      </c>
      <c r="P126" s="6" t="str">
        <f>I126</f>
        <v>鋼筋比</v>
      </c>
      <c r="Q126" s="6" t="s">
        <v>649</v>
      </c>
      <c r="R126" s="6" t="s">
        <v>572</v>
      </c>
    </row>
    <row r="127" spans="2:19" x14ac:dyDescent="0.3">
      <c r="B127" s="57"/>
      <c r="C127" s="67" t="s">
        <v>38</v>
      </c>
      <c r="D127" s="68">
        <v>1</v>
      </c>
      <c r="E127" s="69">
        <v>1</v>
      </c>
      <c r="F127" s="70">
        <v>1</v>
      </c>
      <c r="G127" s="79" t="s">
        <v>650</v>
      </c>
      <c r="H127" s="4"/>
      <c r="I127" s="4" t="s">
        <v>651</v>
      </c>
      <c r="J127" s="4"/>
      <c r="K127" s="80" t="s">
        <v>617</v>
      </c>
      <c r="L127" s="120" t="s">
        <v>652</v>
      </c>
      <c r="M127" s="126" t="str">
        <f>CONCATENATE(O127,P127,Q127,R127)</f>
        <v>請確認是否符合 鋼筋比上限 規定</v>
      </c>
      <c r="O127" s="6" t="s">
        <v>653</v>
      </c>
      <c r="P127" s="6" t="str">
        <f>I127</f>
        <v>鋼筋比</v>
      </c>
      <c r="Q127" s="6" t="s">
        <v>557</v>
      </c>
      <c r="R127" s="6" t="s">
        <v>593</v>
      </c>
    </row>
    <row r="128" spans="2:19" x14ac:dyDescent="0.3">
      <c r="B128" s="57"/>
      <c r="C128" s="67" t="s">
        <v>39</v>
      </c>
      <c r="D128" s="68"/>
      <c r="E128" s="69"/>
      <c r="F128" s="70"/>
      <c r="G128" s="79"/>
      <c r="H128" s="4"/>
      <c r="I128" s="4"/>
      <c r="J128" s="4"/>
      <c r="K128" s="80"/>
      <c r="L128" s="120"/>
      <c r="M128" s="121"/>
    </row>
    <row r="129" spans="2:18" x14ac:dyDescent="0.3">
      <c r="B129" s="57"/>
      <c r="C129" s="67" t="s">
        <v>40</v>
      </c>
      <c r="D129" s="68"/>
      <c r="E129" s="69">
        <v>1</v>
      </c>
      <c r="F129" s="70"/>
      <c r="G129" s="79" t="s">
        <v>654</v>
      </c>
      <c r="H129" s="4"/>
      <c r="I129" s="4" t="s">
        <v>651</v>
      </c>
      <c r="J129" s="4"/>
      <c r="K129" s="80" t="s">
        <v>655</v>
      </c>
      <c r="L129" s="120" t="s">
        <v>656</v>
      </c>
      <c r="M129" s="126" t="str">
        <f>CONCATENATE(O129,P129)</f>
        <v>請確認 尺寸是否過大</v>
      </c>
      <c r="O129" s="6" t="s">
        <v>657</v>
      </c>
      <c r="P129" s="6" t="str">
        <f>K129</f>
        <v>尺寸是否過大</v>
      </c>
    </row>
    <row r="130" spans="2:18" x14ac:dyDescent="0.3">
      <c r="B130" s="57"/>
      <c r="C130" s="67" t="s">
        <v>40</v>
      </c>
      <c r="D130" s="68"/>
      <c r="E130" s="69">
        <v>1</v>
      </c>
      <c r="F130" s="70"/>
      <c r="G130" s="79" t="s">
        <v>654</v>
      </c>
      <c r="H130" s="4"/>
      <c r="I130" s="4" t="s">
        <v>658</v>
      </c>
      <c r="J130" s="4"/>
      <c r="K130" s="80" t="s">
        <v>511</v>
      </c>
      <c r="L130" s="120" t="s">
        <v>648</v>
      </c>
      <c r="M130" s="126" t="str">
        <f>CONCATENATE(O130,P130,Q130,R130)</f>
        <v>請確認是否符合 鋼筋比下限 規定</v>
      </c>
      <c r="O130" s="6" t="s">
        <v>575</v>
      </c>
      <c r="P130" s="6" t="str">
        <f>I130</f>
        <v>鋼筋比</v>
      </c>
      <c r="Q130" s="6" t="s">
        <v>565</v>
      </c>
      <c r="R130" s="6" t="s">
        <v>572</v>
      </c>
    </row>
    <row r="131" spans="2:18" x14ac:dyDescent="0.3">
      <c r="B131" s="57"/>
      <c r="C131" s="67" t="s">
        <v>41</v>
      </c>
      <c r="D131" s="68">
        <v>1</v>
      </c>
      <c r="E131" s="69">
        <v>1</v>
      </c>
      <c r="F131" s="70">
        <v>1</v>
      </c>
      <c r="G131" s="79" t="s">
        <v>659</v>
      </c>
      <c r="H131" s="4"/>
      <c r="I131" s="4" t="s">
        <v>426</v>
      </c>
      <c r="J131" s="4"/>
      <c r="K131" s="80" t="s">
        <v>611</v>
      </c>
      <c r="L131" s="120" t="s">
        <v>660</v>
      </c>
      <c r="M131" s="126" t="str">
        <f>CONCATENATE(O131,P131,Q131,R131)</f>
        <v>請確認是否符合 鋼筋比上限 規定</v>
      </c>
      <c r="O131" s="6" t="s">
        <v>475</v>
      </c>
      <c r="P131" s="6" t="str">
        <f>I131</f>
        <v>鋼筋比</v>
      </c>
      <c r="Q131" s="6" t="s">
        <v>394</v>
      </c>
      <c r="R131" s="6" t="s">
        <v>472</v>
      </c>
    </row>
    <row r="132" spans="2:18" x14ac:dyDescent="0.3">
      <c r="B132" s="57"/>
      <c r="C132" s="67" t="s">
        <v>42</v>
      </c>
      <c r="D132" s="68"/>
      <c r="E132" s="69"/>
      <c r="F132" s="70"/>
      <c r="G132" s="79"/>
      <c r="H132" s="4"/>
      <c r="I132" s="4"/>
      <c r="J132" s="4"/>
      <c r="K132" s="80"/>
      <c r="L132" s="120"/>
      <c r="M132" s="126"/>
    </row>
    <row r="133" spans="2:18" x14ac:dyDescent="0.3">
      <c r="B133" s="57"/>
      <c r="C133" s="67" t="s">
        <v>43</v>
      </c>
      <c r="D133" s="68"/>
      <c r="E133" s="69">
        <v>1</v>
      </c>
      <c r="F133" s="70"/>
      <c r="G133" s="79" t="s">
        <v>661</v>
      </c>
      <c r="H133" s="4"/>
      <c r="I133" s="4" t="s">
        <v>662</v>
      </c>
      <c r="J133" s="4"/>
      <c r="K133" s="80" t="s">
        <v>655</v>
      </c>
      <c r="L133" s="120" t="s">
        <v>663</v>
      </c>
      <c r="M133" s="126" t="str">
        <f>CONCATENATE(O133,P133)</f>
        <v>請確認 尺寸是否過大</v>
      </c>
      <c r="O133" s="6" t="s">
        <v>657</v>
      </c>
      <c r="P133" s="6" t="str">
        <f>K133</f>
        <v>尺寸是否過大</v>
      </c>
    </row>
    <row r="134" spans="2:18" x14ac:dyDescent="0.3">
      <c r="B134" s="57"/>
      <c r="C134" s="67" t="s">
        <v>43</v>
      </c>
      <c r="D134" s="68">
        <v>1</v>
      </c>
      <c r="E134" s="69"/>
      <c r="F134" s="70"/>
      <c r="G134" s="79" t="s">
        <v>664</v>
      </c>
      <c r="H134" s="4"/>
      <c r="I134" s="4" t="s">
        <v>651</v>
      </c>
      <c r="J134" s="4"/>
      <c r="K134" s="80" t="s">
        <v>665</v>
      </c>
      <c r="L134" s="120" t="s">
        <v>666</v>
      </c>
      <c r="M134" s="126" t="str">
        <f>CONCATENATE(O134,P134,Q134,R134)</f>
        <v>請確認是否符合 鋼筋比下限 規定</v>
      </c>
      <c r="O134" s="6" t="s">
        <v>475</v>
      </c>
      <c r="P134" s="6" t="str">
        <f>I134</f>
        <v>鋼筋比</v>
      </c>
      <c r="Q134" s="6" t="s">
        <v>427</v>
      </c>
      <c r="R134" s="6" t="s">
        <v>593</v>
      </c>
    </row>
    <row r="135" spans="2:18" x14ac:dyDescent="0.3">
      <c r="B135" s="57"/>
      <c r="C135" s="67" t="s">
        <v>44</v>
      </c>
      <c r="D135" s="68"/>
      <c r="E135" s="69">
        <v>1</v>
      </c>
      <c r="F135" s="70"/>
      <c r="G135" s="79" t="s">
        <v>667</v>
      </c>
      <c r="H135" s="4"/>
      <c r="I135" s="4" t="s">
        <v>426</v>
      </c>
      <c r="J135" s="4"/>
      <c r="K135" s="80" t="s">
        <v>514</v>
      </c>
      <c r="L135" s="120" t="s">
        <v>668</v>
      </c>
      <c r="M135" s="126" t="str">
        <f>CONCATENATE(O135,P135,Q135,R135)</f>
        <v>請確認是否符合 鋼筋比上限 規定</v>
      </c>
      <c r="O135" s="6" t="s">
        <v>561</v>
      </c>
      <c r="P135" s="6" t="str">
        <f>I135</f>
        <v>鋼筋比</v>
      </c>
      <c r="Q135" s="6" t="s">
        <v>579</v>
      </c>
      <c r="R135" s="6" t="s">
        <v>593</v>
      </c>
    </row>
    <row r="136" spans="2:18" x14ac:dyDescent="0.3">
      <c r="B136" s="57"/>
      <c r="C136" s="67" t="s">
        <v>45</v>
      </c>
      <c r="D136" s="68"/>
      <c r="E136" s="69"/>
      <c r="F136" s="70"/>
      <c r="G136" s="79"/>
      <c r="H136" s="4"/>
      <c r="I136" s="4"/>
      <c r="J136" s="4"/>
      <c r="K136" s="80"/>
      <c r="L136" s="120"/>
      <c r="M136" s="121"/>
    </row>
    <row r="137" spans="2:18" x14ac:dyDescent="0.3">
      <c r="B137" s="57"/>
      <c r="C137" s="67" t="s">
        <v>46</v>
      </c>
      <c r="D137" s="68">
        <v>1</v>
      </c>
      <c r="E137" s="69">
        <v>1</v>
      </c>
      <c r="F137" s="70"/>
      <c r="G137" s="79" t="s">
        <v>669</v>
      </c>
      <c r="H137" s="4"/>
      <c r="I137" s="4" t="s">
        <v>426</v>
      </c>
      <c r="J137" s="4"/>
      <c r="K137" s="80" t="s">
        <v>424</v>
      </c>
      <c r="L137" s="120" t="s">
        <v>425</v>
      </c>
      <c r="M137" s="126" t="str">
        <f>CONCATENATE(O137,P137)</f>
        <v>請確認 上層柱主筋量漸縮是否過大</v>
      </c>
      <c r="O137" s="6" t="s">
        <v>657</v>
      </c>
      <c r="P137" s="6" t="s">
        <v>670</v>
      </c>
    </row>
    <row r="138" spans="2:18" x14ac:dyDescent="0.3">
      <c r="B138" s="57"/>
      <c r="C138" s="67" t="s">
        <v>47</v>
      </c>
      <c r="D138" s="68">
        <v>1</v>
      </c>
      <c r="E138" s="69">
        <v>1</v>
      </c>
      <c r="F138" s="70"/>
      <c r="G138" s="79" t="s">
        <v>671</v>
      </c>
      <c r="H138" s="4"/>
      <c r="I138" s="4" t="s">
        <v>426</v>
      </c>
      <c r="J138" s="4"/>
      <c r="K138" s="80" t="s">
        <v>672</v>
      </c>
      <c r="L138" s="120" t="s">
        <v>673</v>
      </c>
      <c r="M138" s="126" t="str">
        <f>CONCATENATE(O138,P138)</f>
        <v>請確認 本層柱主筋量漸縮是否過大</v>
      </c>
      <c r="O138" s="6" t="s">
        <v>674</v>
      </c>
      <c r="P138" s="6" t="s">
        <v>675</v>
      </c>
    </row>
    <row r="139" spans="2:18" x14ac:dyDescent="0.3">
      <c r="B139" s="57"/>
      <c r="C139" s="67" t="s">
        <v>48</v>
      </c>
      <c r="D139" s="68"/>
      <c r="E139" s="69">
        <v>1</v>
      </c>
      <c r="F139" s="70"/>
      <c r="G139" s="79" t="s">
        <v>676</v>
      </c>
      <c r="H139" s="4"/>
      <c r="I139" s="4" t="s">
        <v>426</v>
      </c>
      <c r="J139" s="4"/>
      <c r="K139" s="80" t="s">
        <v>677</v>
      </c>
      <c r="L139" s="120" t="s">
        <v>678</v>
      </c>
      <c r="M139" s="126" t="str">
        <f>CONCATENATE(O139,P139)</f>
        <v>請確認 下層柱主筋量是否配置過多</v>
      </c>
      <c r="O139" s="6" t="s">
        <v>679</v>
      </c>
      <c r="P139" s="6" t="s">
        <v>680</v>
      </c>
    </row>
    <row r="140" spans="2:18" x14ac:dyDescent="0.3">
      <c r="B140" s="57"/>
      <c r="C140" s="67" t="s">
        <v>49</v>
      </c>
      <c r="D140" s="68"/>
      <c r="E140" s="69"/>
      <c r="F140" s="70"/>
      <c r="G140" s="79"/>
      <c r="H140" s="4"/>
      <c r="I140" s="4"/>
      <c r="J140" s="4"/>
      <c r="K140" s="80"/>
      <c r="L140" s="120"/>
      <c r="M140" s="121"/>
    </row>
    <row r="141" spans="2:18" x14ac:dyDescent="0.3">
      <c r="B141" s="57"/>
      <c r="C141" s="67" t="s">
        <v>50</v>
      </c>
      <c r="D141" s="68">
        <v>1</v>
      </c>
      <c r="E141" s="69">
        <v>1</v>
      </c>
      <c r="F141" s="70"/>
      <c r="G141" s="79" t="s">
        <v>681</v>
      </c>
      <c r="H141" s="4"/>
      <c r="I141" s="4" t="s">
        <v>682</v>
      </c>
      <c r="J141" s="4"/>
      <c r="K141" s="80" t="s">
        <v>683</v>
      </c>
      <c r="L141" s="120"/>
      <c r="M141" s="126" t="str">
        <f>CONCATENATE(O141,P141,Q141,R141)</f>
        <v>請確認是否符合 圍束段柱箍筋間距 規定</v>
      </c>
      <c r="O141" s="6" t="s">
        <v>475</v>
      </c>
      <c r="P141" s="6" t="str">
        <f>K141</f>
        <v>圍束段</v>
      </c>
      <c r="Q141" s="6" t="s">
        <v>684</v>
      </c>
      <c r="R141" s="6" t="s">
        <v>472</v>
      </c>
    </row>
    <row r="142" spans="2:18" x14ac:dyDescent="0.3">
      <c r="B142" s="57"/>
      <c r="C142" s="67" t="s">
        <v>51</v>
      </c>
      <c r="D142" s="68">
        <v>1</v>
      </c>
      <c r="E142" s="69">
        <v>1</v>
      </c>
      <c r="F142" s="70"/>
      <c r="G142" s="79" t="s">
        <v>669</v>
      </c>
      <c r="H142" s="4"/>
      <c r="I142" s="4" t="s">
        <v>685</v>
      </c>
      <c r="J142" s="4"/>
      <c r="K142" s="80" t="s">
        <v>686</v>
      </c>
      <c r="L142" s="120"/>
      <c r="M142" s="126" t="str">
        <f>CONCATENATE(O142,P142,Q142,R142)</f>
        <v>請確認是否符合 非圍束段柱箍筋間距 規定</v>
      </c>
      <c r="O142" s="6" t="s">
        <v>561</v>
      </c>
      <c r="P142" s="6" t="str">
        <f>K142</f>
        <v>非圍束段</v>
      </c>
      <c r="Q142" s="6" t="s">
        <v>687</v>
      </c>
      <c r="R142" s="6" t="s">
        <v>472</v>
      </c>
    </row>
    <row r="143" spans="2:18" x14ac:dyDescent="0.3">
      <c r="B143" s="57"/>
      <c r="C143" s="67" t="s">
        <v>52</v>
      </c>
      <c r="D143" s="68">
        <v>1</v>
      </c>
      <c r="E143" s="69">
        <v>1</v>
      </c>
      <c r="F143" s="70"/>
      <c r="G143" s="79" t="s">
        <v>688</v>
      </c>
      <c r="H143" s="4"/>
      <c r="I143" s="4" t="s">
        <v>682</v>
      </c>
      <c r="J143" s="4"/>
      <c r="K143" s="80" t="s">
        <v>0</v>
      </c>
      <c r="L143" s="120" t="s">
        <v>689</v>
      </c>
      <c r="M143" s="126" t="str">
        <f>CONCATENATE(O143,P143,Q143,R143)</f>
        <v>請確認是否符合 1F柱箍筋間距 規定</v>
      </c>
      <c r="O143" s="6" t="s">
        <v>575</v>
      </c>
      <c r="P143" s="6" t="str">
        <f>K143</f>
        <v>1F</v>
      </c>
      <c r="Q143" s="6" t="s">
        <v>684</v>
      </c>
      <c r="R143" s="6" t="s">
        <v>472</v>
      </c>
    </row>
    <row r="144" spans="2:18" x14ac:dyDescent="0.3">
      <c r="B144" s="57"/>
      <c r="C144" s="67" t="s">
        <v>53</v>
      </c>
      <c r="D144" s="68"/>
      <c r="E144" s="69"/>
      <c r="F144" s="70"/>
      <c r="G144" s="79"/>
      <c r="H144" s="4"/>
      <c r="I144" s="4"/>
      <c r="J144" s="4"/>
      <c r="K144" s="80"/>
      <c r="L144" s="120"/>
      <c r="M144" s="121"/>
    </row>
    <row r="145" spans="2:18" x14ac:dyDescent="0.3">
      <c r="B145" s="57"/>
      <c r="C145" s="67" t="s">
        <v>110</v>
      </c>
      <c r="D145" s="68">
        <v>1</v>
      </c>
      <c r="E145" s="69"/>
      <c r="F145" s="70"/>
      <c r="G145" s="79" t="s">
        <v>681</v>
      </c>
      <c r="H145" s="4"/>
      <c r="I145" s="4" t="s">
        <v>690</v>
      </c>
      <c r="J145" s="4"/>
      <c r="K145" s="80" t="s">
        <v>691</v>
      </c>
      <c r="L145" s="120" t="s">
        <v>692</v>
      </c>
      <c r="M145" s="126" t="str">
        <f>CONCATENATE(O145,P145,Q145,R145)</f>
        <v>請確認是否符合 繫筋隔根勾 規定</v>
      </c>
      <c r="O145" s="6" t="s">
        <v>561</v>
      </c>
      <c r="P145" s="6" t="str">
        <f>I145</f>
        <v>繫筋</v>
      </c>
      <c r="Q145" s="6" t="str">
        <f>K145</f>
        <v>隔根勾</v>
      </c>
      <c r="R145" s="6" t="s">
        <v>572</v>
      </c>
    </row>
    <row r="146" spans="2:18" x14ac:dyDescent="0.3">
      <c r="B146" s="57"/>
      <c r="C146" s="67" t="s">
        <v>111</v>
      </c>
      <c r="D146" s="68"/>
      <c r="E146" s="69"/>
      <c r="F146" s="70"/>
      <c r="G146" s="79"/>
      <c r="H146" s="4"/>
      <c r="I146" s="4"/>
      <c r="J146" s="4"/>
      <c r="K146" s="80"/>
      <c r="L146" s="120"/>
      <c r="M146" s="121"/>
    </row>
    <row r="147" spans="2:18" x14ac:dyDescent="0.3">
      <c r="B147" s="57"/>
      <c r="C147" s="67" t="s">
        <v>221</v>
      </c>
      <c r="D147" s="68">
        <v>1</v>
      </c>
      <c r="E147" s="69"/>
      <c r="F147" s="70">
        <v>1</v>
      </c>
      <c r="G147" s="79" t="s">
        <v>693</v>
      </c>
      <c r="H147" s="4"/>
      <c r="I147" s="4"/>
      <c r="J147" s="4"/>
      <c r="K147" s="80"/>
      <c r="L147" s="120"/>
      <c r="M147" s="121"/>
    </row>
    <row r="148" spans="2:18" x14ac:dyDescent="0.3">
      <c r="B148" s="57"/>
      <c r="C148" s="4"/>
      <c r="D148" s="68"/>
      <c r="E148" s="69"/>
      <c r="F148" s="70"/>
      <c r="G148" s="79"/>
      <c r="H148" s="4"/>
      <c r="I148" s="4"/>
      <c r="J148" s="4"/>
      <c r="K148" s="80"/>
      <c r="L148" s="120"/>
      <c r="M148" s="121"/>
    </row>
    <row r="149" spans="2:18" ht="18.600000000000001" thickBot="1" x14ac:dyDescent="0.35">
      <c r="B149" s="57"/>
      <c r="C149" s="4"/>
      <c r="D149" s="68"/>
      <c r="E149" s="69"/>
      <c r="F149" s="70"/>
      <c r="G149" s="79"/>
      <c r="H149" s="4"/>
      <c r="I149" s="4"/>
      <c r="J149" s="4"/>
      <c r="K149" s="80"/>
      <c r="L149" s="120"/>
      <c r="M149" s="121"/>
    </row>
    <row r="150" spans="2:18" x14ac:dyDescent="0.3">
      <c r="B150" s="37" t="s">
        <v>6</v>
      </c>
      <c r="C150" s="38" t="s">
        <v>4</v>
      </c>
      <c r="D150" s="39" t="s">
        <v>76</v>
      </c>
      <c r="E150" s="40" t="s">
        <v>77</v>
      </c>
      <c r="F150" s="41" t="s">
        <v>78</v>
      </c>
      <c r="G150" s="42" t="s">
        <v>75</v>
      </c>
      <c r="H150" s="38" t="s">
        <v>5</v>
      </c>
      <c r="I150" s="38" t="s">
        <v>5</v>
      </c>
      <c r="J150" s="38" t="s">
        <v>5</v>
      </c>
      <c r="K150" s="44" t="s">
        <v>3</v>
      </c>
      <c r="L150" s="100" t="s">
        <v>7</v>
      </c>
      <c r="M150" s="101" t="s">
        <v>209</v>
      </c>
    </row>
    <row r="151" spans="2:18" ht="18.600000000000001" thickBot="1" x14ac:dyDescent="0.35">
      <c r="B151" s="47" t="s">
        <v>430</v>
      </c>
      <c r="C151" s="48" t="s">
        <v>219</v>
      </c>
      <c r="D151" s="49" t="s">
        <v>432</v>
      </c>
      <c r="E151" s="50" t="s">
        <v>433</v>
      </c>
      <c r="F151" s="51" t="s">
        <v>384</v>
      </c>
      <c r="G151" s="52"/>
      <c r="H151" s="102"/>
      <c r="I151" s="102"/>
      <c r="J151" s="102"/>
      <c r="K151" s="54"/>
      <c r="L151" s="103"/>
      <c r="M151" s="104"/>
    </row>
    <row r="152" spans="2:18" x14ac:dyDescent="0.3">
      <c r="B152" s="57"/>
      <c r="C152" s="67" t="s">
        <v>54</v>
      </c>
      <c r="D152" s="68"/>
      <c r="E152" s="69"/>
      <c r="F152" s="70"/>
      <c r="G152" s="79"/>
      <c r="H152" s="4"/>
      <c r="I152" s="4"/>
      <c r="J152" s="4"/>
      <c r="K152" s="80"/>
      <c r="L152" s="120"/>
      <c r="M152" s="121"/>
    </row>
    <row r="153" spans="2:18" x14ac:dyDescent="0.3">
      <c r="B153" s="57"/>
      <c r="C153" s="67" t="s">
        <v>55</v>
      </c>
      <c r="D153" s="68">
        <v>1</v>
      </c>
      <c r="E153" s="69">
        <v>1</v>
      </c>
      <c r="F153" s="70"/>
      <c r="G153" s="79" t="s">
        <v>669</v>
      </c>
      <c r="H153" s="4"/>
      <c r="I153" s="4" t="s">
        <v>662</v>
      </c>
      <c r="J153" s="4"/>
      <c r="K153" s="80" t="s">
        <v>614</v>
      </c>
      <c r="L153" s="120" t="s">
        <v>694</v>
      </c>
      <c r="M153" s="126" t="str">
        <f>CONCATENATE(O153,P153,Q153,R153)</f>
        <v>請確認是否符合 鋼筋比下限 規定</v>
      </c>
      <c r="O153" s="6" t="s">
        <v>561</v>
      </c>
      <c r="P153" s="6" t="str">
        <f>I153</f>
        <v>鋼筋比</v>
      </c>
      <c r="Q153" s="6" t="s">
        <v>649</v>
      </c>
      <c r="R153" s="6" t="s">
        <v>593</v>
      </c>
    </row>
    <row r="154" spans="2:18" x14ac:dyDescent="0.3">
      <c r="B154" s="57"/>
      <c r="C154" s="67" t="s">
        <v>56</v>
      </c>
      <c r="D154" s="68"/>
      <c r="E154" s="69">
        <v>1</v>
      </c>
      <c r="F154" s="70">
        <v>1</v>
      </c>
      <c r="G154" s="79" t="s">
        <v>669</v>
      </c>
      <c r="H154" s="4"/>
      <c r="I154" s="4" t="s">
        <v>426</v>
      </c>
      <c r="J154" s="4"/>
      <c r="K154" s="80" t="s">
        <v>514</v>
      </c>
      <c r="L154" s="120" t="s">
        <v>695</v>
      </c>
      <c r="M154" s="126" t="str">
        <f>CONCATENATE(O154,P154,Q154,R154)</f>
        <v>請確認是否符合 鋼筋比上限 規定</v>
      </c>
      <c r="O154" s="6" t="s">
        <v>575</v>
      </c>
      <c r="P154" s="6" t="str">
        <f>I154</f>
        <v>鋼筋比</v>
      </c>
      <c r="Q154" s="6" t="s">
        <v>696</v>
      </c>
      <c r="R154" s="6" t="s">
        <v>572</v>
      </c>
    </row>
    <row r="155" spans="2:18" x14ac:dyDescent="0.3">
      <c r="B155" s="57"/>
      <c r="C155" s="67" t="s">
        <v>57</v>
      </c>
      <c r="D155" s="68"/>
      <c r="E155" s="69"/>
      <c r="F155" s="70"/>
      <c r="G155" s="79"/>
      <c r="H155" s="4"/>
      <c r="I155" s="4"/>
      <c r="J155" s="4"/>
      <c r="K155" s="80"/>
      <c r="L155" s="120"/>
      <c r="M155" s="121"/>
    </row>
    <row r="156" spans="2:18" x14ac:dyDescent="0.3">
      <c r="B156" s="57"/>
      <c r="C156" s="67" t="s">
        <v>58</v>
      </c>
      <c r="D156" s="68">
        <v>1</v>
      </c>
      <c r="E156" s="69">
        <v>1</v>
      </c>
      <c r="F156" s="70"/>
      <c r="G156" s="79" t="s">
        <v>697</v>
      </c>
      <c r="H156" s="4"/>
      <c r="I156" s="4" t="s">
        <v>698</v>
      </c>
      <c r="J156" s="4"/>
      <c r="K156" s="80" t="s">
        <v>614</v>
      </c>
      <c r="L156" s="120" t="s">
        <v>699</v>
      </c>
      <c r="M156" s="126" t="str">
        <f>CONCATENATE(O156,P156,Q156,R156)</f>
        <v>請確認是否符合 鋼筋比下限 規定</v>
      </c>
      <c r="O156" s="6" t="s">
        <v>602</v>
      </c>
      <c r="P156" s="6" t="str">
        <f>I156</f>
        <v>鋼筋比</v>
      </c>
      <c r="Q156" s="6" t="s">
        <v>565</v>
      </c>
      <c r="R156" s="6" t="s">
        <v>472</v>
      </c>
    </row>
    <row r="157" spans="2:18" x14ac:dyDescent="0.3">
      <c r="B157" s="57"/>
      <c r="C157" s="67" t="s">
        <v>59</v>
      </c>
      <c r="D157" s="68"/>
      <c r="E157" s="69">
        <v>1</v>
      </c>
      <c r="F157" s="70">
        <v>1</v>
      </c>
      <c r="G157" s="79" t="s">
        <v>697</v>
      </c>
      <c r="H157" s="4"/>
      <c r="I157" s="4" t="s">
        <v>651</v>
      </c>
      <c r="J157" s="4"/>
      <c r="K157" s="80" t="s">
        <v>611</v>
      </c>
      <c r="L157" s="120" t="s">
        <v>700</v>
      </c>
      <c r="M157" s="126" t="str">
        <f>CONCATENATE(O157,P157,Q157,R157)</f>
        <v>請確認是否符合 鋼筋比上限 規定</v>
      </c>
      <c r="O157" s="6" t="s">
        <v>575</v>
      </c>
      <c r="P157" s="6" t="str">
        <f>I157</f>
        <v>鋼筋比</v>
      </c>
      <c r="Q157" s="6" t="s">
        <v>597</v>
      </c>
      <c r="R157" s="6" t="s">
        <v>593</v>
      </c>
    </row>
    <row r="158" spans="2:18" x14ac:dyDescent="0.3">
      <c r="B158" s="57"/>
      <c r="C158" s="67" t="s">
        <v>60</v>
      </c>
      <c r="D158" s="68"/>
      <c r="E158" s="69"/>
      <c r="F158" s="70"/>
      <c r="G158" s="79"/>
      <c r="H158" s="4"/>
      <c r="I158" s="4"/>
      <c r="J158" s="4"/>
      <c r="K158" s="80"/>
      <c r="L158" s="120"/>
      <c r="M158" s="121"/>
    </row>
    <row r="159" spans="2:18" x14ac:dyDescent="0.3">
      <c r="B159" s="57"/>
      <c r="C159" s="67" t="s">
        <v>61</v>
      </c>
      <c r="D159" s="68">
        <v>1</v>
      </c>
      <c r="E159" s="69">
        <v>1</v>
      </c>
      <c r="F159" s="70"/>
      <c r="G159" s="79" t="s">
        <v>669</v>
      </c>
      <c r="H159" s="4"/>
      <c r="I159" s="4" t="s">
        <v>701</v>
      </c>
      <c r="J159" s="4"/>
      <c r="K159" s="80"/>
      <c r="L159" s="120"/>
      <c r="M159" s="121"/>
    </row>
    <row r="160" spans="2:18" x14ac:dyDescent="0.3">
      <c r="B160" s="57"/>
      <c r="C160" s="67" t="s">
        <v>62</v>
      </c>
      <c r="D160" s="68"/>
      <c r="E160" s="69"/>
      <c r="F160" s="70"/>
      <c r="G160" s="79"/>
      <c r="H160" s="4"/>
      <c r="I160" s="4"/>
      <c r="J160" s="4"/>
      <c r="K160" s="80"/>
      <c r="L160" s="120"/>
      <c r="M160" s="121"/>
    </row>
    <row r="161" spans="2:18" x14ac:dyDescent="0.3">
      <c r="B161" s="57"/>
      <c r="C161" s="67" t="s">
        <v>63</v>
      </c>
      <c r="D161" s="68">
        <v>1</v>
      </c>
      <c r="E161" s="69">
        <v>1</v>
      </c>
      <c r="F161" s="70"/>
      <c r="G161" s="79" t="s">
        <v>702</v>
      </c>
      <c r="H161" s="4"/>
      <c r="I161" s="4" t="s">
        <v>703</v>
      </c>
      <c r="J161" s="4"/>
      <c r="K161" s="80"/>
      <c r="L161" s="120"/>
      <c r="M161" s="121"/>
    </row>
    <row r="162" spans="2:18" x14ac:dyDescent="0.3">
      <c r="B162" s="57"/>
      <c r="C162" s="67" t="s">
        <v>64</v>
      </c>
      <c r="D162" s="68"/>
      <c r="E162" s="69"/>
      <c r="F162" s="70"/>
      <c r="G162" s="79"/>
      <c r="H162" s="4"/>
      <c r="I162" s="4"/>
      <c r="J162" s="4"/>
      <c r="K162" s="80"/>
      <c r="L162" s="120"/>
      <c r="M162" s="121"/>
    </row>
    <row r="163" spans="2:18" ht="18.600000000000001" thickBot="1" x14ac:dyDescent="0.35">
      <c r="B163" s="83"/>
      <c r="C163" s="84"/>
      <c r="D163" s="85"/>
      <c r="E163" s="86"/>
      <c r="F163" s="87"/>
      <c r="G163" s="88"/>
      <c r="H163" s="84"/>
      <c r="I163" s="84"/>
      <c r="J163" s="84"/>
      <c r="K163" s="90"/>
      <c r="L163" s="129"/>
      <c r="M163" s="130"/>
    </row>
    <row r="164" spans="2:18" x14ac:dyDescent="0.3">
      <c r="B164" s="37" t="s">
        <v>6</v>
      </c>
      <c r="C164" s="38" t="s">
        <v>4</v>
      </c>
      <c r="D164" s="39" t="s">
        <v>76</v>
      </c>
      <c r="E164" s="40" t="s">
        <v>77</v>
      </c>
      <c r="F164" s="41" t="s">
        <v>78</v>
      </c>
      <c r="G164" s="42" t="s">
        <v>75</v>
      </c>
      <c r="H164" s="38" t="s">
        <v>5</v>
      </c>
      <c r="I164" s="38" t="s">
        <v>5</v>
      </c>
      <c r="J164" s="38" t="s">
        <v>5</v>
      </c>
      <c r="K164" s="44" t="s">
        <v>3</v>
      </c>
      <c r="L164" s="100" t="s">
        <v>7</v>
      </c>
      <c r="M164" s="101" t="s">
        <v>209</v>
      </c>
    </row>
    <row r="165" spans="2:18" ht="18.600000000000001" thickBot="1" x14ac:dyDescent="0.35">
      <c r="B165" s="47" t="s">
        <v>704</v>
      </c>
      <c r="C165" s="48" t="s">
        <v>65</v>
      </c>
      <c r="D165" s="49" t="s">
        <v>705</v>
      </c>
      <c r="E165" s="50" t="s">
        <v>433</v>
      </c>
      <c r="F165" s="51" t="s">
        <v>434</v>
      </c>
      <c r="G165" s="52"/>
      <c r="H165" s="102"/>
      <c r="I165" s="102"/>
      <c r="J165" s="102"/>
      <c r="K165" s="54"/>
      <c r="L165" s="103"/>
      <c r="M165" s="104"/>
    </row>
    <row r="166" spans="2:18" ht="17.25" customHeight="1" x14ac:dyDescent="0.3">
      <c r="B166" s="131"/>
      <c r="C166" s="132" t="s">
        <v>66</v>
      </c>
      <c r="D166" s="133"/>
      <c r="E166" s="134">
        <v>1</v>
      </c>
      <c r="F166" s="135"/>
      <c r="G166" s="136" t="s">
        <v>706</v>
      </c>
      <c r="H166" s="137"/>
      <c r="I166" s="137" t="s">
        <v>707</v>
      </c>
      <c r="J166" s="137"/>
      <c r="K166" s="138" t="s">
        <v>708</v>
      </c>
      <c r="L166" s="139" t="s">
        <v>709</v>
      </c>
      <c r="M166" s="126" t="str">
        <f>CONCATENATE(O166,P166,Q166,R166)</f>
        <v>請確認是否符合 間距下限 規定</v>
      </c>
      <c r="O166" s="6" t="s">
        <v>653</v>
      </c>
      <c r="P166" s="6" t="str">
        <f>I166</f>
        <v>間距</v>
      </c>
      <c r="Q166" s="6" t="s">
        <v>427</v>
      </c>
      <c r="R166" s="6" t="s">
        <v>593</v>
      </c>
    </row>
    <row r="167" spans="2:18" ht="17.25" customHeight="1" x14ac:dyDescent="0.3">
      <c r="B167" s="57"/>
      <c r="C167" s="67" t="s">
        <v>67</v>
      </c>
      <c r="D167" s="68">
        <v>1</v>
      </c>
      <c r="E167" s="69"/>
      <c r="F167" s="70"/>
      <c r="G167" s="79" t="s">
        <v>706</v>
      </c>
      <c r="H167" s="4"/>
      <c r="I167" s="4" t="s">
        <v>710</v>
      </c>
      <c r="J167" s="4"/>
      <c r="K167" s="80" t="s">
        <v>611</v>
      </c>
      <c r="L167" s="120" t="s">
        <v>711</v>
      </c>
      <c r="M167" s="126" t="str">
        <f>CONCATENATE(O167,P167,Q167,R167)</f>
        <v>請確認是否符合 間距上限 規定</v>
      </c>
      <c r="O167" s="6" t="s">
        <v>561</v>
      </c>
      <c r="P167" s="6" t="str">
        <f>I167</f>
        <v>間距</v>
      </c>
      <c r="Q167" s="6" t="s">
        <v>394</v>
      </c>
      <c r="R167" s="6" t="s">
        <v>472</v>
      </c>
    </row>
    <row r="168" spans="2:18" ht="17.25" customHeight="1" x14ac:dyDescent="0.3">
      <c r="B168" s="57"/>
      <c r="C168" s="67" t="s">
        <v>68</v>
      </c>
      <c r="D168" s="68"/>
      <c r="E168" s="69">
        <v>1</v>
      </c>
      <c r="F168" s="70"/>
      <c r="G168" s="79" t="s">
        <v>712</v>
      </c>
      <c r="H168" s="4"/>
      <c r="I168" s="4" t="s">
        <v>713</v>
      </c>
      <c r="J168" s="4"/>
      <c r="K168" s="80" t="s">
        <v>714</v>
      </c>
      <c r="L168" s="120" t="s">
        <v>715</v>
      </c>
      <c r="M168" s="126" t="str">
        <f>CONCATENATE(O168,P168,Q168)</f>
        <v>請確認 上層筋是否有斷筋</v>
      </c>
      <c r="O168" s="6" t="s">
        <v>679</v>
      </c>
      <c r="P168" s="6" t="str">
        <f>I168</f>
        <v>上層筋</v>
      </c>
      <c r="Q168" s="6" t="str">
        <f>K168</f>
        <v>是否有斷筋</v>
      </c>
    </row>
    <row r="169" spans="2:18" ht="17.25" customHeight="1" x14ac:dyDescent="0.3">
      <c r="B169" s="57"/>
      <c r="C169" s="67" t="s">
        <v>69</v>
      </c>
      <c r="D169" s="68"/>
      <c r="E169" s="69">
        <v>1</v>
      </c>
      <c r="F169" s="70"/>
      <c r="G169" s="79" t="s">
        <v>716</v>
      </c>
      <c r="H169" s="4"/>
      <c r="I169" s="4" t="s">
        <v>542</v>
      </c>
      <c r="J169" s="4"/>
      <c r="K169" s="80" t="s">
        <v>717</v>
      </c>
      <c r="L169" s="120" t="s">
        <v>718</v>
      </c>
      <c r="M169" s="126" t="str">
        <f>CONCATENATE(O169,P169,Q169)</f>
        <v>請確認 下層筋是否有斷筋</v>
      </c>
      <c r="O169" s="6" t="s">
        <v>679</v>
      </c>
      <c r="P169" s="6" t="str">
        <f>I169</f>
        <v>下層筋</v>
      </c>
      <c r="Q169" s="6" t="str">
        <f>K169</f>
        <v>是否有斷筋</v>
      </c>
    </row>
    <row r="170" spans="2:18" ht="17.25" customHeight="1" x14ac:dyDescent="0.3">
      <c r="B170" s="57"/>
      <c r="C170" s="67" t="s">
        <v>70</v>
      </c>
      <c r="D170" s="68"/>
      <c r="E170" s="69"/>
      <c r="F170" s="70"/>
      <c r="G170" s="79"/>
      <c r="H170" s="4"/>
      <c r="I170" s="4"/>
      <c r="J170" s="4"/>
      <c r="K170" s="80"/>
      <c r="L170" s="120"/>
      <c r="M170" s="121"/>
    </row>
    <row r="171" spans="2:18" ht="17.25" customHeight="1" x14ac:dyDescent="0.3">
      <c r="B171" s="57"/>
      <c r="C171" s="67" t="s">
        <v>71</v>
      </c>
      <c r="D171" s="68"/>
      <c r="E171" s="69"/>
      <c r="F171" s="70"/>
      <c r="G171" s="79" t="s">
        <v>654</v>
      </c>
      <c r="H171" s="4"/>
      <c r="I171" s="4" t="s">
        <v>719</v>
      </c>
      <c r="J171" s="4"/>
      <c r="K171" s="80" t="s">
        <v>609</v>
      </c>
      <c r="L171" s="120" t="s">
        <v>720</v>
      </c>
      <c r="M171" s="126" t="str">
        <f>CONCATENATE(O171,P171,Q171,R171)</f>
        <v>請確認 最小號數 規定</v>
      </c>
      <c r="O171" s="6" t="s">
        <v>679</v>
      </c>
      <c r="P171" s="6" t="str">
        <f>K171</f>
        <v>最小</v>
      </c>
      <c r="Q171" s="6" t="str">
        <f>I171</f>
        <v>號數</v>
      </c>
      <c r="R171" s="6" t="s">
        <v>472</v>
      </c>
    </row>
    <row r="172" spans="2:18" ht="17.25" customHeight="1" x14ac:dyDescent="0.3">
      <c r="B172" s="57"/>
      <c r="C172" s="67" t="s">
        <v>71</v>
      </c>
      <c r="D172" s="68"/>
      <c r="E172" s="69"/>
      <c r="F172" s="70"/>
      <c r="G172" s="79" t="s">
        <v>659</v>
      </c>
      <c r="H172" s="4"/>
      <c r="I172" s="4" t="s">
        <v>719</v>
      </c>
      <c r="J172" s="4"/>
      <c r="K172" s="80" t="s">
        <v>611</v>
      </c>
      <c r="L172" s="120" t="s">
        <v>721</v>
      </c>
      <c r="M172" s="126" t="str">
        <f>CONCATENATE(O172,P172,Q172,R172)</f>
        <v>請確認 最大號數 規定</v>
      </c>
      <c r="O172" s="6" t="s">
        <v>657</v>
      </c>
      <c r="P172" s="6" t="str">
        <f>K172</f>
        <v>最大</v>
      </c>
      <c r="Q172" s="6" t="str">
        <f>I172</f>
        <v>號數</v>
      </c>
      <c r="R172" s="6" t="s">
        <v>572</v>
      </c>
    </row>
    <row r="173" spans="2:18" ht="17.25" customHeight="1" x14ac:dyDescent="0.3">
      <c r="B173" s="57"/>
      <c r="C173" s="67" t="s">
        <v>72</v>
      </c>
      <c r="D173" s="68"/>
      <c r="E173" s="69">
        <v>1</v>
      </c>
      <c r="F173" s="70"/>
      <c r="G173" s="79" t="s">
        <v>654</v>
      </c>
      <c r="H173" s="4"/>
      <c r="I173" s="4" t="s">
        <v>707</v>
      </c>
      <c r="J173" s="4"/>
      <c r="K173" s="80" t="s">
        <v>511</v>
      </c>
      <c r="L173" s="120" t="s">
        <v>722</v>
      </c>
      <c r="M173" s="126" t="str">
        <f>CONCATENATE(O173,P173,Q173,R173)</f>
        <v>請確認是否符合 間距下限 規定</v>
      </c>
      <c r="O173" s="6" t="s">
        <v>575</v>
      </c>
      <c r="P173" s="6" t="str">
        <f>I173</f>
        <v>間距</v>
      </c>
      <c r="Q173" s="6" t="s">
        <v>427</v>
      </c>
      <c r="R173" s="6" t="s">
        <v>593</v>
      </c>
    </row>
    <row r="174" spans="2:18" ht="17.25" customHeight="1" x14ac:dyDescent="0.3">
      <c r="B174" s="57"/>
      <c r="C174" s="67" t="s">
        <v>73</v>
      </c>
      <c r="D174" s="68">
        <v>1</v>
      </c>
      <c r="E174" s="69"/>
      <c r="F174" s="70"/>
      <c r="G174" s="79" t="s">
        <v>723</v>
      </c>
      <c r="H174" s="4"/>
      <c r="I174" s="4" t="s">
        <v>707</v>
      </c>
      <c r="J174" s="4"/>
      <c r="K174" s="80" t="s">
        <v>724</v>
      </c>
      <c r="L174" s="120" t="s">
        <v>725</v>
      </c>
      <c r="M174" s="126" t="str">
        <f>CONCATENATE(O174,P174,Q174,R174)</f>
        <v>請確認是否符合 間距上限 規定</v>
      </c>
      <c r="O174" s="6" t="s">
        <v>475</v>
      </c>
      <c r="P174" s="6" t="str">
        <f>I174</f>
        <v>間距</v>
      </c>
      <c r="Q174" s="6" t="s">
        <v>394</v>
      </c>
      <c r="R174" s="6" t="s">
        <v>572</v>
      </c>
    </row>
    <row r="175" spans="2:18" ht="17.25" customHeight="1" x14ac:dyDescent="0.3">
      <c r="B175" s="57"/>
      <c r="C175" s="67" t="s">
        <v>74</v>
      </c>
      <c r="D175" s="68"/>
      <c r="E175" s="69">
        <v>1</v>
      </c>
      <c r="F175" s="70"/>
      <c r="G175" s="79" t="s">
        <v>659</v>
      </c>
      <c r="H175" s="4"/>
      <c r="I175" s="4" t="s">
        <v>726</v>
      </c>
      <c r="J175" s="4"/>
      <c r="K175" s="80" t="s">
        <v>727</v>
      </c>
      <c r="L175" s="120" t="s">
        <v>728</v>
      </c>
      <c r="M175" s="126" t="str">
        <f>CONCATENATE(O175,P175,Q175)</f>
        <v>請確認 上層筋是否有斷筋</v>
      </c>
      <c r="O175" s="6" t="s">
        <v>657</v>
      </c>
      <c r="P175" s="6" t="str">
        <f>I175</f>
        <v>上層筋</v>
      </c>
      <c r="Q175" s="6" t="str">
        <f>K175</f>
        <v>是否有斷筋</v>
      </c>
    </row>
    <row r="176" spans="2:18" ht="17.25" customHeight="1" x14ac:dyDescent="0.3">
      <c r="B176" s="57"/>
      <c r="C176" s="67" t="s">
        <v>72</v>
      </c>
      <c r="D176" s="68"/>
      <c r="E176" s="69">
        <v>1</v>
      </c>
      <c r="F176" s="70"/>
      <c r="G176" s="79" t="s">
        <v>654</v>
      </c>
      <c r="H176" s="4"/>
      <c r="I176" s="4" t="s">
        <v>542</v>
      </c>
      <c r="J176" s="4"/>
      <c r="K176" s="80" t="s">
        <v>714</v>
      </c>
      <c r="L176" s="120" t="s">
        <v>729</v>
      </c>
      <c r="M176" s="126" t="str">
        <f>CONCATENATE(O176,P176,Q176)</f>
        <v>請確認 下層筋是否有斷筋</v>
      </c>
      <c r="O176" s="6" t="s">
        <v>679</v>
      </c>
      <c r="P176" s="6" t="str">
        <f>I176</f>
        <v>下層筋</v>
      </c>
      <c r="Q176" s="6" t="str">
        <f>K176</f>
        <v>是否有斷筋</v>
      </c>
    </row>
    <row r="177" spans="2:18" ht="17.25" customHeight="1" thickBot="1" x14ac:dyDescent="0.35">
      <c r="B177" s="57"/>
      <c r="C177" s="4"/>
      <c r="D177" s="68"/>
      <c r="E177" s="69"/>
      <c r="F177" s="70"/>
      <c r="G177" s="79"/>
      <c r="H177" s="4"/>
      <c r="I177" s="4"/>
      <c r="J177" s="4"/>
      <c r="K177" s="80"/>
      <c r="L177" s="120"/>
      <c r="M177" s="121"/>
    </row>
    <row r="178" spans="2:18" x14ac:dyDescent="0.3">
      <c r="B178" s="37" t="s">
        <v>191</v>
      </c>
      <c r="C178" s="38" t="s">
        <v>192</v>
      </c>
      <c r="D178" s="39" t="s">
        <v>76</v>
      </c>
      <c r="E178" s="40" t="s">
        <v>77</v>
      </c>
      <c r="F178" s="41" t="s">
        <v>78</v>
      </c>
      <c r="G178" s="42" t="s">
        <v>75</v>
      </c>
      <c r="H178" s="38" t="s">
        <v>5</v>
      </c>
      <c r="I178" s="38" t="s">
        <v>5</v>
      </c>
      <c r="J178" s="38" t="s">
        <v>5</v>
      </c>
      <c r="K178" s="44" t="s">
        <v>3</v>
      </c>
      <c r="L178" s="100" t="s">
        <v>7</v>
      </c>
      <c r="M178" s="101" t="s">
        <v>209</v>
      </c>
    </row>
    <row r="179" spans="2:18" ht="18.600000000000001" thickBot="1" x14ac:dyDescent="0.35">
      <c r="B179" s="47" t="s">
        <v>730</v>
      </c>
      <c r="C179" s="48" t="s">
        <v>200</v>
      </c>
      <c r="D179" s="49" t="s">
        <v>383</v>
      </c>
      <c r="E179" s="50" t="s">
        <v>433</v>
      </c>
      <c r="F179" s="51" t="s">
        <v>434</v>
      </c>
      <c r="G179" s="52"/>
      <c r="H179" s="102"/>
      <c r="I179" s="102"/>
      <c r="J179" s="102"/>
      <c r="K179" s="54"/>
      <c r="L179" s="103"/>
      <c r="M179" s="104"/>
    </row>
    <row r="180" spans="2:18" x14ac:dyDescent="0.3">
      <c r="B180" s="57"/>
      <c r="C180" s="67" t="s">
        <v>85</v>
      </c>
      <c r="D180" s="68"/>
      <c r="E180" s="69"/>
      <c r="F180" s="70">
        <v>1</v>
      </c>
      <c r="G180" s="79" t="s">
        <v>731</v>
      </c>
      <c r="H180" s="4"/>
      <c r="I180" s="4" t="s">
        <v>707</v>
      </c>
      <c r="J180" s="4"/>
      <c r="K180" s="80" t="s">
        <v>614</v>
      </c>
      <c r="L180" s="107" t="s">
        <v>732</v>
      </c>
      <c r="M180" s="126" t="str">
        <f>CONCATENATE(O180,P180,Q180,R180)</f>
        <v>請確認是否符合 間距下限 規定</v>
      </c>
      <c r="O180" s="6" t="s">
        <v>475</v>
      </c>
      <c r="P180" s="6" t="str">
        <f>I180</f>
        <v>間距</v>
      </c>
      <c r="Q180" s="6" t="s">
        <v>565</v>
      </c>
      <c r="R180" s="6" t="s">
        <v>593</v>
      </c>
    </row>
    <row r="181" spans="2:18" x14ac:dyDescent="0.3">
      <c r="B181" s="57"/>
      <c r="C181" s="67" t="s">
        <v>88</v>
      </c>
      <c r="D181" s="68">
        <v>1</v>
      </c>
      <c r="E181" s="69"/>
      <c r="F181" s="70"/>
      <c r="G181" s="79" t="s">
        <v>726</v>
      </c>
      <c r="H181" s="4"/>
      <c r="I181" s="4" t="s">
        <v>733</v>
      </c>
      <c r="J181" s="4"/>
      <c r="K181" s="80" t="s">
        <v>611</v>
      </c>
      <c r="L181" s="107" t="s">
        <v>734</v>
      </c>
      <c r="M181" s="126" t="str">
        <f>CONCATENATE(O181,P181,Q181,R181)</f>
        <v>請確認是否符合 間距上限 規定</v>
      </c>
      <c r="O181" s="6" t="s">
        <v>575</v>
      </c>
      <c r="P181" s="6" t="str">
        <f>I181</f>
        <v>間距</v>
      </c>
      <c r="Q181" s="6" t="s">
        <v>394</v>
      </c>
      <c r="R181" s="6" t="s">
        <v>572</v>
      </c>
    </row>
    <row r="182" spans="2:18" x14ac:dyDescent="0.3">
      <c r="B182" s="57"/>
      <c r="C182" s="67" t="s">
        <v>89</v>
      </c>
      <c r="D182" s="68"/>
      <c r="E182" s="69"/>
      <c r="F182" s="70">
        <v>1</v>
      </c>
      <c r="G182" s="122" t="s">
        <v>735</v>
      </c>
      <c r="H182" s="4"/>
      <c r="I182" s="4" t="s">
        <v>707</v>
      </c>
      <c r="J182" s="4"/>
      <c r="K182" s="80" t="s">
        <v>614</v>
      </c>
      <c r="L182" s="107" t="s">
        <v>732</v>
      </c>
      <c r="M182" s="126" t="str">
        <f>CONCATENATE(O182,P182,Q182,R182)</f>
        <v>請確認是否符合 間距下限 規定</v>
      </c>
      <c r="O182" s="6" t="s">
        <v>561</v>
      </c>
      <c r="P182" s="6" t="str">
        <f>I182</f>
        <v>間距</v>
      </c>
      <c r="Q182" s="6" t="s">
        <v>427</v>
      </c>
      <c r="R182" s="6" t="s">
        <v>472</v>
      </c>
    </row>
    <row r="183" spans="2:18" x14ac:dyDescent="0.3">
      <c r="B183" s="57"/>
      <c r="C183" s="67" t="s">
        <v>90</v>
      </c>
      <c r="D183" s="68">
        <v>1</v>
      </c>
      <c r="E183" s="69"/>
      <c r="F183" s="70"/>
      <c r="G183" s="122" t="s">
        <v>736</v>
      </c>
      <c r="H183" s="4"/>
      <c r="I183" s="4" t="s">
        <v>733</v>
      </c>
      <c r="J183" s="4"/>
      <c r="K183" s="80" t="s">
        <v>514</v>
      </c>
      <c r="L183" s="107" t="s">
        <v>737</v>
      </c>
      <c r="M183" s="126" t="str">
        <f>CONCATENATE(O183,P183,Q183,R183)</f>
        <v>請確認是否符合 間距上限 規定</v>
      </c>
      <c r="O183" s="6" t="s">
        <v>575</v>
      </c>
      <c r="P183" s="6" t="str">
        <f>I183</f>
        <v>間距</v>
      </c>
      <c r="Q183" s="6" t="s">
        <v>394</v>
      </c>
      <c r="R183" s="6" t="s">
        <v>472</v>
      </c>
    </row>
    <row r="184" spans="2:18" x14ac:dyDescent="0.3">
      <c r="B184" s="57"/>
      <c r="C184" s="67" t="s">
        <v>91</v>
      </c>
      <c r="D184" s="68"/>
      <c r="E184" s="69">
        <v>1</v>
      </c>
      <c r="F184" s="70"/>
      <c r="G184" s="79" t="s">
        <v>726</v>
      </c>
      <c r="H184" s="4"/>
      <c r="I184" s="4" t="s">
        <v>738</v>
      </c>
      <c r="J184" s="4"/>
      <c r="K184" s="80" t="s">
        <v>739</v>
      </c>
      <c r="L184" s="107" t="s">
        <v>740</v>
      </c>
      <c r="M184" s="126" t="str">
        <f>CONCATENATE(O184,P184,Q184)</f>
        <v>請確認 上層筋是否有斷筋</v>
      </c>
      <c r="O184" s="6" t="s">
        <v>674</v>
      </c>
      <c r="P184" s="6" t="s">
        <v>357</v>
      </c>
      <c r="Q184" s="6" t="s">
        <v>741</v>
      </c>
    </row>
    <row r="185" spans="2:18" x14ac:dyDescent="0.3">
      <c r="B185" s="57"/>
      <c r="C185" s="67" t="s">
        <v>90</v>
      </c>
      <c r="D185" s="68"/>
      <c r="E185" s="69">
        <v>1</v>
      </c>
      <c r="F185" s="70"/>
      <c r="G185" s="122" t="s">
        <v>742</v>
      </c>
      <c r="H185" s="4"/>
      <c r="I185" s="4" t="s">
        <v>743</v>
      </c>
      <c r="J185" s="4"/>
      <c r="K185" s="80" t="s">
        <v>744</v>
      </c>
      <c r="L185" s="120" t="s">
        <v>745</v>
      </c>
      <c r="M185" s="126" t="str">
        <f>CONCATENATE(O185,P185,Q185)</f>
        <v>請確認 下層筋是否有斷筋</v>
      </c>
      <c r="O185" s="6" t="s">
        <v>657</v>
      </c>
      <c r="P185" s="6" t="s">
        <v>361</v>
      </c>
      <c r="Q185" s="6" t="s">
        <v>741</v>
      </c>
    </row>
    <row r="186" spans="2:18" ht="18.600000000000001" thickBot="1" x14ac:dyDescent="0.35">
      <c r="B186" s="57"/>
      <c r="C186" s="4"/>
      <c r="D186" s="68"/>
      <c r="E186" s="69"/>
      <c r="F186" s="70"/>
      <c r="G186" s="79"/>
      <c r="H186" s="4"/>
      <c r="I186" s="4"/>
      <c r="J186" s="4"/>
      <c r="K186" s="80"/>
      <c r="L186" s="120"/>
      <c r="M186" s="121"/>
    </row>
    <row r="187" spans="2:18" x14ac:dyDescent="0.3">
      <c r="B187" s="37" t="s">
        <v>191</v>
      </c>
      <c r="C187" s="38" t="s">
        <v>192</v>
      </c>
      <c r="D187" s="39" t="s">
        <v>76</v>
      </c>
      <c r="E187" s="40" t="s">
        <v>77</v>
      </c>
      <c r="F187" s="41" t="s">
        <v>78</v>
      </c>
      <c r="G187" s="42" t="s">
        <v>75</v>
      </c>
      <c r="H187" s="38" t="s">
        <v>5</v>
      </c>
      <c r="I187" s="38" t="s">
        <v>5</v>
      </c>
      <c r="J187" s="38" t="s">
        <v>5</v>
      </c>
      <c r="K187" s="44" t="s">
        <v>3</v>
      </c>
      <c r="L187" s="100" t="s">
        <v>7</v>
      </c>
      <c r="M187" s="101" t="s">
        <v>209</v>
      </c>
    </row>
    <row r="188" spans="2:18" ht="18.600000000000001" thickBot="1" x14ac:dyDescent="0.35">
      <c r="B188" s="47" t="s">
        <v>746</v>
      </c>
      <c r="C188" s="48" t="s">
        <v>201</v>
      </c>
      <c r="D188" s="49" t="s">
        <v>439</v>
      </c>
      <c r="E188" s="50" t="s">
        <v>433</v>
      </c>
      <c r="F188" s="51" t="s">
        <v>434</v>
      </c>
      <c r="G188" s="52"/>
      <c r="H188" s="102"/>
      <c r="I188" s="102"/>
      <c r="J188" s="102"/>
      <c r="K188" s="54"/>
      <c r="L188" s="103"/>
      <c r="M188" s="104"/>
    </row>
    <row r="189" spans="2:18" x14ac:dyDescent="0.3">
      <c r="B189" s="57"/>
      <c r="C189" s="67" t="s">
        <v>92</v>
      </c>
      <c r="D189" s="68"/>
      <c r="E189" s="69"/>
      <c r="F189" s="70">
        <v>1</v>
      </c>
      <c r="G189" s="79" t="s">
        <v>731</v>
      </c>
      <c r="H189" s="4"/>
      <c r="I189" s="4" t="s">
        <v>710</v>
      </c>
      <c r="J189" s="4"/>
      <c r="K189" s="80" t="s">
        <v>614</v>
      </c>
      <c r="L189" s="107" t="s">
        <v>747</v>
      </c>
      <c r="M189" s="126" t="str">
        <f>CONCATENATE(O189,P189,Q189,R189)</f>
        <v>請確認是否符合 間距下限 規定</v>
      </c>
      <c r="O189" s="6" t="s">
        <v>653</v>
      </c>
      <c r="P189" s="6" t="str">
        <f>I189</f>
        <v>間距</v>
      </c>
      <c r="Q189" s="6" t="s">
        <v>565</v>
      </c>
      <c r="R189" s="6" t="s">
        <v>572</v>
      </c>
    </row>
    <row r="190" spans="2:18" x14ac:dyDescent="0.3">
      <c r="B190" s="57"/>
      <c r="C190" s="67" t="s">
        <v>93</v>
      </c>
      <c r="D190" s="68">
        <v>1</v>
      </c>
      <c r="E190" s="69"/>
      <c r="F190" s="70"/>
      <c r="G190" s="79" t="s">
        <v>726</v>
      </c>
      <c r="H190" s="4"/>
      <c r="I190" s="4" t="s">
        <v>748</v>
      </c>
      <c r="J190" s="4"/>
      <c r="K190" s="80" t="s">
        <v>611</v>
      </c>
      <c r="L190" s="107" t="s">
        <v>749</v>
      </c>
      <c r="M190" s="126" t="str">
        <f>CONCATENATE(O190,P190,Q190,R190)</f>
        <v>請確認是否符合 間距上限 規定</v>
      </c>
      <c r="O190" s="6" t="s">
        <v>475</v>
      </c>
      <c r="P190" s="6" t="str">
        <f>I190</f>
        <v>間距</v>
      </c>
      <c r="Q190" s="6" t="s">
        <v>597</v>
      </c>
      <c r="R190" s="6" t="s">
        <v>472</v>
      </c>
    </row>
    <row r="191" spans="2:18" x14ac:dyDescent="0.3">
      <c r="B191" s="57"/>
      <c r="C191" s="67" t="s">
        <v>94</v>
      </c>
      <c r="D191" s="68"/>
      <c r="E191" s="69"/>
      <c r="F191" s="70"/>
      <c r="G191" s="79"/>
      <c r="H191" s="4"/>
      <c r="I191" s="4"/>
      <c r="J191" s="4"/>
      <c r="K191" s="80"/>
      <c r="L191" s="107"/>
      <c r="M191" s="108"/>
    </row>
    <row r="192" spans="2:18" x14ac:dyDescent="0.3">
      <c r="B192" s="57"/>
      <c r="C192" s="67" t="s">
        <v>95</v>
      </c>
      <c r="D192" s="68"/>
      <c r="E192" s="69"/>
      <c r="F192" s="70">
        <v>1</v>
      </c>
      <c r="G192" s="122" t="s">
        <v>750</v>
      </c>
      <c r="H192" s="4"/>
      <c r="I192" s="4" t="s">
        <v>733</v>
      </c>
      <c r="J192" s="4"/>
      <c r="K192" s="80" t="s">
        <v>665</v>
      </c>
      <c r="L192" s="107" t="s">
        <v>732</v>
      </c>
      <c r="M192" s="126" t="str">
        <f>CONCATENATE(O192,P192,Q192,R192)</f>
        <v>請確認是否符合 間距下限 規定</v>
      </c>
      <c r="O192" s="6" t="s">
        <v>561</v>
      </c>
      <c r="P192" s="6" t="str">
        <f>I192</f>
        <v>間距</v>
      </c>
      <c r="Q192" s="6" t="s">
        <v>427</v>
      </c>
      <c r="R192" s="6" t="s">
        <v>472</v>
      </c>
    </row>
    <row r="193" spans="2:19" x14ac:dyDescent="0.3">
      <c r="B193" s="57"/>
      <c r="C193" s="67" t="s">
        <v>96</v>
      </c>
      <c r="D193" s="68">
        <v>1</v>
      </c>
      <c r="E193" s="69"/>
      <c r="F193" s="70"/>
      <c r="G193" s="122" t="s">
        <v>751</v>
      </c>
      <c r="H193" s="4"/>
      <c r="I193" s="4" t="s">
        <v>710</v>
      </c>
      <c r="J193" s="4"/>
      <c r="K193" s="80" t="s">
        <v>724</v>
      </c>
      <c r="L193" s="107" t="s">
        <v>749</v>
      </c>
      <c r="M193" s="126" t="str">
        <f>CONCATENATE(O193,P193,Q193,R193)</f>
        <v>請確認是否符合 間距上限 規定</v>
      </c>
      <c r="O193" s="6" t="s">
        <v>561</v>
      </c>
      <c r="P193" s="6" t="str">
        <f>I193</f>
        <v>間距</v>
      </c>
      <c r="Q193" s="6" t="s">
        <v>597</v>
      </c>
      <c r="R193" s="6" t="s">
        <v>572</v>
      </c>
    </row>
    <row r="194" spans="2:19" x14ac:dyDescent="0.3">
      <c r="B194" s="57"/>
      <c r="C194" s="67" t="s">
        <v>97</v>
      </c>
      <c r="D194" s="68"/>
      <c r="E194" s="69"/>
      <c r="F194" s="70"/>
      <c r="G194" s="122"/>
      <c r="H194" s="4"/>
      <c r="I194" s="4"/>
      <c r="J194" s="4"/>
      <c r="K194" s="80"/>
      <c r="L194" s="107"/>
      <c r="M194" s="108"/>
    </row>
    <row r="195" spans="2:19" x14ac:dyDescent="0.3">
      <c r="B195" s="57"/>
      <c r="C195" s="67" t="s">
        <v>98</v>
      </c>
      <c r="D195" s="68"/>
      <c r="E195" s="69"/>
      <c r="F195" s="70">
        <v>1</v>
      </c>
      <c r="G195" s="122" t="s">
        <v>742</v>
      </c>
      <c r="H195" s="4"/>
      <c r="I195" s="4" t="s">
        <v>738</v>
      </c>
      <c r="J195" s="4"/>
      <c r="K195" s="80" t="s">
        <v>752</v>
      </c>
      <c r="L195" s="107" t="s">
        <v>753</v>
      </c>
      <c r="M195" s="126" t="str">
        <f>CONCATENATE(O195,P195,Q195)</f>
        <v>請確認 上層筋是否有斷筋</v>
      </c>
      <c r="O195" s="6" t="s">
        <v>657</v>
      </c>
      <c r="P195" s="6" t="s">
        <v>357</v>
      </c>
      <c r="Q195" s="6" t="s">
        <v>741</v>
      </c>
    </row>
    <row r="196" spans="2:19" x14ac:dyDescent="0.3">
      <c r="B196" s="57"/>
      <c r="C196" s="67" t="s">
        <v>99</v>
      </c>
      <c r="D196" s="68"/>
      <c r="E196" s="69"/>
      <c r="F196" s="70"/>
      <c r="G196" s="122"/>
      <c r="H196" s="4"/>
      <c r="I196" s="4"/>
      <c r="J196" s="4"/>
      <c r="K196" s="80"/>
      <c r="L196" s="107"/>
      <c r="M196" s="108"/>
    </row>
    <row r="197" spans="2:19" x14ac:dyDescent="0.3">
      <c r="B197" s="57"/>
      <c r="C197" s="67" t="s">
        <v>100</v>
      </c>
      <c r="D197" s="68"/>
      <c r="E197" s="69">
        <v>1</v>
      </c>
      <c r="F197" s="70">
        <v>1</v>
      </c>
      <c r="G197" s="79" t="s">
        <v>726</v>
      </c>
      <c r="H197" s="4"/>
      <c r="I197" s="4" t="s">
        <v>754</v>
      </c>
      <c r="J197" s="4"/>
      <c r="K197" s="80" t="s">
        <v>755</v>
      </c>
      <c r="L197" s="107" t="s">
        <v>756</v>
      </c>
      <c r="M197" s="108"/>
    </row>
    <row r="198" spans="2:19" x14ac:dyDescent="0.3">
      <c r="B198" s="57"/>
      <c r="C198" s="67" t="s">
        <v>101</v>
      </c>
      <c r="D198" s="68"/>
      <c r="E198" s="69"/>
      <c r="F198" s="70"/>
      <c r="G198" s="79"/>
      <c r="H198" s="4"/>
      <c r="I198" s="4"/>
      <c r="J198" s="4"/>
      <c r="K198" s="80"/>
      <c r="L198" s="107"/>
      <c r="M198" s="108"/>
    </row>
    <row r="199" spans="2:19" ht="18.600000000000001" thickBot="1" x14ac:dyDescent="0.35">
      <c r="B199" s="57"/>
      <c r="C199" s="4"/>
      <c r="D199" s="68"/>
      <c r="E199" s="69"/>
      <c r="F199" s="70"/>
      <c r="G199" s="79"/>
      <c r="H199" s="4"/>
      <c r="I199" s="4"/>
      <c r="J199" s="4"/>
      <c r="K199" s="80"/>
      <c r="L199" s="120"/>
      <c r="M199" s="121"/>
    </row>
    <row r="200" spans="2:19" x14ac:dyDescent="0.3">
      <c r="B200" s="37" t="s">
        <v>191</v>
      </c>
      <c r="C200" s="38" t="s">
        <v>192</v>
      </c>
      <c r="D200" s="39" t="s">
        <v>437</v>
      </c>
      <c r="E200" s="40" t="s">
        <v>436</v>
      </c>
      <c r="F200" s="41" t="s">
        <v>438</v>
      </c>
      <c r="G200" s="42" t="s">
        <v>75</v>
      </c>
      <c r="H200" s="38" t="s">
        <v>5</v>
      </c>
      <c r="I200" s="38" t="s">
        <v>5</v>
      </c>
      <c r="J200" s="38" t="s">
        <v>5</v>
      </c>
      <c r="K200" s="44" t="s">
        <v>3</v>
      </c>
      <c r="L200" s="100" t="s">
        <v>7</v>
      </c>
      <c r="M200" s="101" t="s">
        <v>209</v>
      </c>
    </row>
    <row r="201" spans="2:19" ht="18.600000000000001" thickBot="1" x14ac:dyDescent="0.35">
      <c r="B201" s="47" t="s">
        <v>757</v>
      </c>
      <c r="C201" s="48" t="s">
        <v>202</v>
      </c>
      <c r="D201" s="49" t="s">
        <v>383</v>
      </c>
      <c r="E201" s="50" t="s">
        <v>422</v>
      </c>
      <c r="F201" s="51" t="s">
        <v>434</v>
      </c>
      <c r="G201" s="52"/>
      <c r="H201" s="102"/>
      <c r="I201" s="102"/>
      <c r="J201" s="102"/>
      <c r="K201" s="54"/>
      <c r="L201" s="103"/>
      <c r="M201" s="104"/>
    </row>
    <row r="202" spans="2:19" x14ac:dyDescent="0.3">
      <c r="B202" s="57"/>
      <c r="C202" s="67" t="s">
        <v>126</v>
      </c>
      <c r="D202" s="68">
        <v>1</v>
      </c>
      <c r="E202" s="69"/>
      <c r="F202" s="70"/>
      <c r="G202" s="79" t="s">
        <v>758</v>
      </c>
      <c r="H202" s="4" t="s">
        <v>759</v>
      </c>
      <c r="I202" s="4" t="s">
        <v>760</v>
      </c>
      <c r="J202" s="4" t="s">
        <v>761</v>
      </c>
      <c r="K202" s="80" t="s">
        <v>511</v>
      </c>
      <c r="L202" s="107" t="s">
        <v>762</v>
      </c>
      <c r="M202" s="126" t="str">
        <f>CONCATENATE(O202,P202,Q202,R202,S202)</f>
        <v>請確認是否符合 水平筋間距下限 規定</v>
      </c>
      <c r="O202" s="6" t="s">
        <v>561</v>
      </c>
      <c r="P202" s="6" t="str">
        <f>I202</f>
        <v>水平筋</v>
      </c>
      <c r="Q202" s="6" t="s">
        <v>733</v>
      </c>
      <c r="R202" s="6" t="s">
        <v>565</v>
      </c>
      <c r="S202" s="6" t="s">
        <v>763</v>
      </c>
    </row>
    <row r="203" spans="2:19" x14ac:dyDescent="0.3">
      <c r="B203" s="57"/>
      <c r="C203" s="67" t="s">
        <v>127</v>
      </c>
      <c r="D203" s="68">
        <v>1</v>
      </c>
      <c r="E203" s="69"/>
      <c r="F203" s="70"/>
      <c r="G203" s="79" t="s">
        <v>764</v>
      </c>
      <c r="H203" s="105" t="s">
        <v>765</v>
      </c>
      <c r="I203" s="4" t="s">
        <v>766</v>
      </c>
      <c r="J203" s="4" t="s">
        <v>767</v>
      </c>
      <c r="K203" s="80" t="s">
        <v>614</v>
      </c>
      <c r="L203" s="107" t="s">
        <v>768</v>
      </c>
      <c r="M203" s="126" t="str">
        <f>CONCATENATE(O203,P203,Q203,R203,S203)</f>
        <v>請確認是否符合 水平筋間距下限 規定</v>
      </c>
      <c r="O203" s="6" t="s">
        <v>769</v>
      </c>
      <c r="P203" s="6" t="str">
        <f>I203</f>
        <v>水平筋</v>
      </c>
      <c r="Q203" s="6" t="s">
        <v>707</v>
      </c>
      <c r="R203" s="6" t="s">
        <v>770</v>
      </c>
      <c r="S203" s="6" t="s">
        <v>472</v>
      </c>
    </row>
    <row r="204" spans="2:19" x14ac:dyDescent="0.3">
      <c r="B204" s="57"/>
      <c r="C204" s="67" t="s">
        <v>128</v>
      </c>
      <c r="D204" s="68"/>
      <c r="E204" s="69">
        <v>1</v>
      </c>
      <c r="F204" s="70">
        <v>1</v>
      </c>
      <c r="G204" s="79" t="s">
        <v>764</v>
      </c>
      <c r="H204" s="4" t="s">
        <v>771</v>
      </c>
      <c r="I204" s="4" t="s">
        <v>760</v>
      </c>
      <c r="J204" s="4" t="s">
        <v>767</v>
      </c>
      <c r="K204" s="80" t="s">
        <v>514</v>
      </c>
      <c r="L204" s="120" t="s">
        <v>84</v>
      </c>
      <c r="M204" s="126" t="str">
        <f>CONCATENATE(O204,P204,Q204,R204,S204)</f>
        <v>請確認是否符合 水平筋間距上限 規定</v>
      </c>
      <c r="O204" s="6" t="s">
        <v>561</v>
      </c>
      <c r="P204" s="6" t="str">
        <f>I204</f>
        <v>水平筋</v>
      </c>
      <c r="Q204" s="6" t="s">
        <v>707</v>
      </c>
      <c r="R204" s="6" t="s">
        <v>772</v>
      </c>
      <c r="S204" s="6" t="s">
        <v>472</v>
      </c>
    </row>
    <row r="205" spans="2:19" x14ac:dyDescent="0.3">
      <c r="B205" s="57"/>
      <c r="C205" s="67" t="s">
        <v>129</v>
      </c>
      <c r="D205" s="68"/>
      <c r="E205" s="69">
        <v>1</v>
      </c>
      <c r="F205" s="70">
        <v>1</v>
      </c>
      <c r="G205" s="79" t="s">
        <v>773</v>
      </c>
      <c r="H205" s="105" t="s">
        <v>765</v>
      </c>
      <c r="I205" s="4" t="s">
        <v>774</v>
      </c>
      <c r="J205" s="4" t="s">
        <v>775</v>
      </c>
      <c r="K205" s="80" t="s">
        <v>514</v>
      </c>
      <c r="L205" s="120" t="s">
        <v>84</v>
      </c>
      <c r="M205" s="126" t="str">
        <f>CONCATENATE(O205,P205,Q205,R205,S205)</f>
        <v>請確認是否符合 水平筋間距上限 規定</v>
      </c>
      <c r="O205" s="6" t="s">
        <v>475</v>
      </c>
      <c r="P205" s="6" t="str">
        <f>I205</f>
        <v>水平筋</v>
      </c>
      <c r="Q205" s="6" t="s">
        <v>733</v>
      </c>
      <c r="R205" s="6" t="s">
        <v>597</v>
      </c>
      <c r="S205" s="6" t="s">
        <v>472</v>
      </c>
    </row>
    <row r="206" spans="2:19" x14ac:dyDescent="0.3">
      <c r="B206" s="57"/>
      <c r="C206" s="67" t="s">
        <v>130</v>
      </c>
      <c r="D206" s="68"/>
      <c r="E206" s="69">
        <v>1</v>
      </c>
      <c r="F206" s="70"/>
      <c r="G206" s="79" t="s">
        <v>776</v>
      </c>
      <c r="H206" s="4" t="s">
        <v>759</v>
      </c>
      <c r="I206" s="4" t="s">
        <v>777</v>
      </c>
      <c r="J206" s="4" t="s">
        <v>778</v>
      </c>
      <c r="K206" s="80" t="s">
        <v>714</v>
      </c>
      <c r="L206" s="120" t="s">
        <v>779</v>
      </c>
      <c r="M206" s="126" t="str">
        <f>CONCATENATE(O206,P206,Q206,R206)</f>
        <v>請確認 外側垂直筋是否有斷筋</v>
      </c>
      <c r="O206" s="6" t="s">
        <v>780</v>
      </c>
      <c r="P206" s="6" t="str">
        <f>H206</f>
        <v>外側</v>
      </c>
      <c r="Q206" s="6" t="str">
        <f>I206</f>
        <v>垂直筋</v>
      </c>
      <c r="R206" s="6" t="s">
        <v>741</v>
      </c>
    </row>
    <row r="207" spans="2:19" x14ac:dyDescent="0.3">
      <c r="B207" s="57"/>
      <c r="C207" s="67" t="s">
        <v>131</v>
      </c>
      <c r="D207" s="68"/>
      <c r="E207" s="69">
        <v>1</v>
      </c>
      <c r="F207" s="70"/>
      <c r="G207" s="79" t="s">
        <v>764</v>
      </c>
      <c r="H207" s="105" t="s">
        <v>781</v>
      </c>
      <c r="I207" s="4" t="s">
        <v>777</v>
      </c>
      <c r="J207" s="4" t="s">
        <v>775</v>
      </c>
      <c r="K207" s="80" t="s">
        <v>727</v>
      </c>
      <c r="L207" s="120" t="s">
        <v>782</v>
      </c>
      <c r="M207" s="126" t="str">
        <f>CONCATENATE(O207,P207,Q207,R207)</f>
        <v>請確認 內側垂直筋是否有斷筋</v>
      </c>
      <c r="O207" s="6" t="s">
        <v>783</v>
      </c>
      <c r="P207" s="6" t="str">
        <f>H207</f>
        <v>內側</v>
      </c>
      <c r="Q207" s="6" t="str">
        <f>I207</f>
        <v>垂直筋</v>
      </c>
      <c r="R207" s="6" t="s">
        <v>741</v>
      </c>
    </row>
    <row r="208" spans="2:19" ht="18.600000000000001" thickBot="1" x14ac:dyDescent="0.35">
      <c r="B208" s="57"/>
      <c r="C208" s="4"/>
      <c r="D208" s="68"/>
      <c r="E208" s="69"/>
      <c r="F208" s="70"/>
      <c r="G208" s="79"/>
      <c r="H208" s="4"/>
      <c r="I208" s="4"/>
      <c r="J208" s="4"/>
      <c r="K208" s="80"/>
      <c r="L208" s="120"/>
      <c r="M208" s="121"/>
    </row>
    <row r="209" spans="2:19" x14ac:dyDescent="0.3">
      <c r="B209" s="37" t="s">
        <v>191</v>
      </c>
      <c r="C209" s="38" t="s">
        <v>192</v>
      </c>
      <c r="D209" s="39" t="s">
        <v>437</v>
      </c>
      <c r="E209" s="40" t="s">
        <v>437</v>
      </c>
      <c r="F209" s="41" t="s">
        <v>436</v>
      </c>
      <c r="G209" s="42" t="s">
        <v>75</v>
      </c>
      <c r="H209" s="38" t="s">
        <v>5</v>
      </c>
      <c r="I209" s="38" t="s">
        <v>5</v>
      </c>
      <c r="J209" s="38" t="s">
        <v>5</v>
      </c>
      <c r="K209" s="44" t="s">
        <v>3</v>
      </c>
      <c r="L209" s="100" t="s">
        <v>7</v>
      </c>
      <c r="M209" s="101" t="s">
        <v>209</v>
      </c>
    </row>
    <row r="210" spans="2:19" ht="18.600000000000001" thickBot="1" x14ac:dyDescent="0.35">
      <c r="B210" s="47" t="s">
        <v>784</v>
      </c>
      <c r="C210" s="48" t="s">
        <v>203</v>
      </c>
      <c r="D210" s="49" t="s">
        <v>383</v>
      </c>
      <c r="E210" s="50" t="s">
        <v>346</v>
      </c>
      <c r="F210" s="51" t="s">
        <v>434</v>
      </c>
      <c r="G210" s="52"/>
      <c r="H210" s="102"/>
      <c r="I210" s="102"/>
      <c r="J210" s="102"/>
      <c r="K210" s="54"/>
      <c r="L210" s="103"/>
      <c r="M210" s="104"/>
    </row>
    <row r="211" spans="2:19" x14ac:dyDescent="0.3">
      <c r="B211" s="57"/>
      <c r="C211" s="67" t="s">
        <v>137</v>
      </c>
      <c r="D211" s="68">
        <v>1</v>
      </c>
      <c r="E211" s="69"/>
      <c r="F211" s="70"/>
      <c r="G211" s="79" t="s">
        <v>785</v>
      </c>
      <c r="H211" s="4"/>
      <c r="I211" s="4" t="s">
        <v>766</v>
      </c>
      <c r="J211" s="4" t="s">
        <v>786</v>
      </c>
      <c r="K211" s="80" t="s">
        <v>609</v>
      </c>
      <c r="L211" s="107" t="s">
        <v>787</v>
      </c>
      <c r="M211" s="126" t="str">
        <f>CONCATENATE(O211,P211,Q211,R211,S211)</f>
        <v>請確認是否符合 水平筋間距下限 規定</v>
      </c>
      <c r="O211" s="6" t="s">
        <v>788</v>
      </c>
      <c r="P211" s="6" t="str">
        <f>I211</f>
        <v>水平筋</v>
      </c>
      <c r="Q211" s="6" t="s">
        <v>707</v>
      </c>
      <c r="R211" s="6" t="s">
        <v>427</v>
      </c>
      <c r="S211" s="6" t="s">
        <v>789</v>
      </c>
    </row>
    <row r="212" spans="2:19" x14ac:dyDescent="0.3">
      <c r="B212" s="57"/>
      <c r="C212" s="67" t="s">
        <v>138</v>
      </c>
      <c r="D212" s="68"/>
      <c r="E212" s="69">
        <v>1</v>
      </c>
      <c r="F212" s="70">
        <v>1</v>
      </c>
      <c r="G212" s="79" t="s">
        <v>790</v>
      </c>
      <c r="H212" s="4"/>
      <c r="I212" s="4" t="s">
        <v>791</v>
      </c>
      <c r="J212" s="4" t="s">
        <v>778</v>
      </c>
      <c r="K212" s="80" t="s">
        <v>617</v>
      </c>
      <c r="L212" s="120" t="s">
        <v>84</v>
      </c>
      <c r="M212" s="126" t="str">
        <f>CONCATENATE(O212,P212,Q212,R212,S212)</f>
        <v>請確認是否符合 水平筋間距下限 規定</v>
      </c>
      <c r="O212" s="6" t="s">
        <v>561</v>
      </c>
      <c r="P212" s="6" t="str">
        <f>I212</f>
        <v>水平筋</v>
      </c>
      <c r="Q212" s="6" t="s">
        <v>792</v>
      </c>
      <c r="R212" s="6" t="s">
        <v>427</v>
      </c>
      <c r="S212" s="6" t="s">
        <v>593</v>
      </c>
    </row>
    <row r="213" spans="2:19" x14ac:dyDescent="0.3">
      <c r="B213" s="57"/>
      <c r="C213" s="67" t="s">
        <v>132</v>
      </c>
      <c r="D213" s="68">
        <v>1</v>
      </c>
      <c r="E213" s="69"/>
      <c r="F213" s="70"/>
      <c r="G213" s="79" t="s">
        <v>774</v>
      </c>
      <c r="H213" s="4"/>
      <c r="I213" s="4" t="s">
        <v>777</v>
      </c>
      <c r="J213" s="4" t="s">
        <v>778</v>
      </c>
      <c r="K213" s="80" t="s">
        <v>511</v>
      </c>
      <c r="L213" s="107" t="s">
        <v>793</v>
      </c>
      <c r="M213" s="126" t="str">
        <f>CONCATENATE(O213,P213,Q213,R213,S213)</f>
        <v>請確認是否符合 垂直筋間距下限 規定</v>
      </c>
      <c r="O213" s="6" t="s">
        <v>653</v>
      </c>
      <c r="P213" s="6" t="str">
        <f>I213</f>
        <v>垂直筋</v>
      </c>
      <c r="Q213" s="6" t="s">
        <v>707</v>
      </c>
      <c r="R213" s="6" t="s">
        <v>565</v>
      </c>
      <c r="S213" s="6" t="s">
        <v>472</v>
      </c>
    </row>
    <row r="214" spans="2:19" x14ac:dyDescent="0.3">
      <c r="B214" s="57"/>
      <c r="C214" s="67" t="s">
        <v>133</v>
      </c>
      <c r="D214" s="68"/>
      <c r="E214" s="69">
        <v>1</v>
      </c>
      <c r="F214" s="70">
        <v>1</v>
      </c>
      <c r="G214" s="79" t="s">
        <v>777</v>
      </c>
      <c r="H214" s="4"/>
      <c r="I214" s="4" t="s">
        <v>777</v>
      </c>
      <c r="J214" s="4" t="s">
        <v>794</v>
      </c>
      <c r="K214" s="80" t="s">
        <v>617</v>
      </c>
      <c r="L214" s="120" t="s">
        <v>84</v>
      </c>
      <c r="M214" s="126" t="str">
        <f>CONCATENATE(O214,P214,Q214,R214,S214)</f>
        <v>請確認是否符合 垂直筋間距下限 規定</v>
      </c>
      <c r="O214" s="6" t="s">
        <v>653</v>
      </c>
      <c r="P214" s="6" t="str">
        <f>I214</f>
        <v>垂直筋</v>
      </c>
      <c r="Q214" s="6" t="s">
        <v>710</v>
      </c>
      <c r="R214" s="6" t="s">
        <v>770</v>
      </c>
      <c r="S214" s="6" t="s">
        <v>472</v>
      </c>
    </row>
    <row r="215" spans="2:19" x14ac:dyDescent="0.3">
      <c r="B215" s="57"/>
      <c r="C215" s="67" t="s">
        <v>134</v>
      </c>
      <c r="D215" s="68"/>
      <c r="E215" s="69"/>
      <c r="F215" s="70"/>
      <c r="G215" s="79"/>
      <c r="H215" s="4"/>
      <c r="I215" s="4"/>
      <c r="J215" s="4"/>
      <c r="K215" s="80"/>
      <c r="L215" s="120"/>
      <c r="M215" s="121"/>
    </row>
    <row r="216" spans="2:19" x14ac:dyDescent="0.3">
      <c r="B216" s="57"/>
      <c r="C216" s="67" t="s">
        <v>135</v>
      </c>
      <c r="D216" s="68">
        <v>1</v>
      </c>
      <c r="E216" s="69"/>
      <c r="F216" s="70"/>
      <c r="G216" s="79" t="s">
        <v>795</v>
      </c>
      <c r="H216" s="4" t="s">
        <v>796</v>
      </c>
      <c r="I216" s="4"/>
      <c r="J216" s="4"/>
      <c r="K216" s="80" t="s">
        <v>665</v>
      </c>
      <c r="L216" s="107" t="s">
        <v>797</v>
      </c>
      <c r="M216" s="126" t="str">
        <f>CONCATENATE(O216,P216,Q216,R216,S216)</f>
        <v>請確認 拐頭主筋量下限 規定</v>
      </c>
      <c r="O216" s="6" t="s">
        <v>780</v>
      </c>
      <c r="P216" s="6" t="str">
        <f>G216</f>
        <v>拐頭</v>
      </c>
      <c r="Q216" s="6" t="str">
        <f>H216</f>
        <v>主筋量</v>
      </c>
      <c r="R216" s="6" t="s">
        <v>586</v>
      </c>
      <c r="S216" s="6" t="s">
        <v>763</v>
      </c>
    </row>
    <row r="217" spans="2:19" x14ac:dyDescent="0.3">
      <c r="B217" s="57"/>
      <c r="C217" s="67" t="s">
        <v>146</v>
      </c>
      <c r="D217" s="68"/>
      <c r="E217" s="69">
        <v>1</v>
      </c>
      <c r="F217" s="70">
        <v>1</v>
      </c>
      <c r="G217" s="79" t="s">
        <v>795</v>
      </c>
      <c r="H217" s="4" t="s">
        <v>798</v>
      </c>
      <c r="I217" s="4"/>
      <c r="J217" s="4"/>
      <c r="K217" s="80" t="s">
        <v>611</v>
      </c>
      <c r="L217" s="107" t="s">
        <v>799</v>
      </c>
      <c r="M217" s="126" t="str">
        <f>CONCATENATE(O217,P217,Q217,R217,S217)</f>
        <v>請確認 拐頭主筋量上限 規定</v>
      </c>
      <c r="O217" s="6" t="s">
        <v>679</v>
      </c>
      <c r="P217" s="6" t="str">
        <f>G217</f>
        <v>拐頭</v>
      </c>
      <c r="Q217" s="6" t="str">
        <f>H217</f>
        <v>主筋量</v>
      </c>
      <c r="R217" s="6" t="s">
        <v>597</v>
      </c>
      <c r="S217" s="6" t="s">
        <v>593</v>
      </c>
    </row>
    <row r="218" spans="2:19" x14ac:dyDescent="0.3">
      <c r="B218" s="57"/>
      <c r="C218" s="67" t="s">
        <v>147</v>
      </c>
      <c r="D218" s="68"/>
      <c r="E218" s="69"/>
      <c r="F218" s="70"/>
      <c r="G218" s="79"/>
      <c r="H218" s="4"/>
      <c r="I218" s="4"/>
      <c r="J218" s="4"/>
      <c r="K218" s="80"/>
      <c r="L218" s="120"/>
      <c r="M218" s="121"/>
    </row>
    <row r="219" spans="2:19" x14ac:dyDescent="0.3">
      <c r="B219" s="57"/>
      <c r="C219" s="67" t="s">
        <v>148</v>
      </c>
      <c r="D219" s="68"/>
      <c r="E219" s="69"/>
      <c r="F219" s="70"/>
      <c r="G219" s="79"/>
      <c r="H219" s="4"/>
      <c r="I219" s="4"/>
      <c r="J219" s="4"/>
      <c r="K219" s="80"/>
      <c r="L219" s="120"/>
      <c r="M219" s="121"/>
    </row>
    <row r="220" spans="2:19" x14ac:dyDescent="0.3">
      <c r="B220" s="57"/>
      <c r="C220" s="67" t="s">
        <v>149</v>
      </c>
      <c r="D220" s="68"/>
      <c r="E220" s="69"/>
      <c r="F220" s="70"/>
      <c r="G220" s="79"/>
      <c r="H220" s="4"/>
      <c r="I220" s="4"/>
      <c r="J220" s="4"/>
      <c r="K220" s="80"/>
      <c r="L220" s="120"/>
      <c r="M220" s="121"/>
    </row>
    <row r="221" spans="2:19" ht="18.600000000000001" thickBot="1" x14ac:dyDescent="0.35">
      <c r="B221" s="57"/>
      <c r="C221" s="67"/>
      <c r="D221" s="68"/>
      <c r="E221" s="69"/>
      <c r="F221" s="70"/>
      <c r="G221" s="79"/>
      <c r="H221" s="4"/>
      <c r="I221" s="4"/>
      <c r="J221" s="4"/>
      <c r="K221" s="80"/>
      <c r="L221" s="120"/>
      <c r="M221" s="121"/>
    </row>
    <row r="222" spans="2:19" x14ac:dyDescent="0.3">
      <c r="B222" s="37" t="s">
        <v>191</v>
      </c>
      <c r="C222" s="38" t="s">
        <v>192</v>
      </c>
      <c r="D222" s="39" t="s">
        <v>436</v>
      </c>
      <c r="E222" s="40" t="s">
        <v>437</v>
      </c>
      <c r="F222" s="41" t="s">
        <v>437</v>
      </c>
      <c r="G222" s="42" t="s">
        <v>75</v>
      </c>
      <c r="H222" s="38" t="s">
        <v>5</v>
      </c>
      <c r="I222" s="38" t="s">
        <v>5</v>
      </c>
      <c r="J222" s="38" t="s">
        <v>5</v>
      </c>
      <c r="K222" s="44" t="s">
        <v>3</v>
      </c>
      <c r="L222" s="100" t="s">
        <v>7</v>
      </c>
      <c r="M222" s="101" t="s">
        <v>209</v>
      </c>
    </row>
    <row r="223" spans="2:19" ht="18.600000000000001" thickBot="1" x14ac:dyDescent="0.35">
      <c r="B223" s="47" t="s">
        <v>800</v>
      </c>
      <c r="C223" s="48" t="s">
        <v>204</v>
      </c>
      <c r="D223" s="49" t="s">
        <v>432</v>
      </c>
      <c r="E223" s="50" t="s">
        <v>433</v>
      </c>
      <c r="F223" s="51" t="s">
        <v>423</v>
      </c>
      <c r="G223" s="52"/>
      <c r="H223" s="102"/>
      <c r="I223" s="102"/>
      <c r="J223" s="102"/>
      <c r="K223" s="54"/>
      <c r="L223" s="103"/>
      <c r="M223" s="104"/>
    </row>
    <row r="224" spans="2:19" x14ac:dyDescent="0.3">
      <c r="B224" s="57"/>
      <c r="C224" s="67" t="s">
        <v>136</v>
      </c>
      <c r="D224" s="68">
        <v>1</v>
      </c>
      <c r="E224" s="69"/>
      <c r="F224" s="70"/>
      <c r="G224" s="79" t="s">
        <v>801</v>
      </c>
      <c r="H224" s="4"/>
      <c r="I224" s="4"/>
      <c r="J224" s="4"/>
      <c r="K224" s="80" t="s">
        <v>802</v>
      </c>
      <c r="L224" s="120" t="s">
        <v>803</v>
      </c>
      <c r="M224" s="126" t="str">
        <f>CONCATENATE(O224,P224,Q224,R224)</f>
        <v>請確認 厚度與開挖深度比例 規定</v>
      </c>
      <c r="O224" s="6" t="s">
        <v>657</v>
      </c>
      <c r="P224" s="6" t="str">
        <f>G224</f>
        <v>厚度</v>
      </c>
      <c r="Q224" s="6" t="str">
        <f>K224</f>
        <v>與開挖深度比例</v>
      </c>
      <c r="R224" s="6" t="s">
        <v>593</v>
      </c>
    </row>
    <row r="225" spans="2:20" x14ac:dyDescent="0.3">
      <c r="B225" s="57"/>
      <c r="C225" s="67" t="s">
        <v>139</v>
      </c>
      <c r="D225" s="68"/>
      <c r="E225" s="69"/>
      <c r="F225" s="70"/>
      <c r="G225" s="79"/>
      <c r="H225" s="4"/>
      <c r="I225" s="4"/>
      <c r="J225" s="4"/>
      <c r="K225" s="80"/>
      <c r="L225" s="120"/>
      <c r="M225" s="121"/>
    </row>
    <row r="226" spans="2:20" x14ac:dyDescent="0.3">
      <c r="B226" s="57"/>
      <c r="C226" s="67" t="s">
        <v>140</v>
      </c>
      <c r="D226" s="68">
        <v>1</v>
      </c>
      <c r="E226" s="69"/>
      <c r="F226" s="70"/>
      <c r="G226" s="79" t="s">
        <v>777</v>
      </c>
      <c r="H226" s="4" t="s">
        <v>759</v>
      </c>
      <c r="I226" s="4"/>
      <c r="J226" s="4"/>
      <c r="K226" s="80" t="s">
        <v>614</v>
      </c>
      <c r="L226" s="107" t="s">
        <v>804</v>
      </c>
      <c r="M226" s="126" t="str">
        <f>CONCATENATE(O226,P226,Q226,R226,S226,T226)</f>
        <v>請確認是否符合 外側垂直筋鋼筋量下限 規定</v>
      </c>
      <c r="O226" s="6" t="s">
        <v>475</v>
      </c>
      <c r="P226" s="6" t="str">
        <f>H226</f>
        <v>外側</v>
      </c>
      <c r="Q226" s="6" t="str">
        <f>G226</f>
        <v>垂直筋</v>
      </c>
      <c r="R226" s="6" t="s">
        <v>778</v>
      </c>
      <c r="S226" s="6" t="s">
        <v>565</v>
      </c>
      <c r="T226" s="6" t="s">
        <v>481</v>
      </c>
    </row>
    <row r="227" spans="2:20" x14ac:dyDescent="0.3">
      <c r="B227" s="57"/>
      <c r="C227" s="67" t="s">
        <v>141</v>
      </c>
      <c r="D227" s="68"/>
      <c r="E227" s="69">
        <v>1</v>
      </c>
      <c r="F227" s="70">
        <v>1</v>
      </c>
      <c r="G227" s="79" t="s">
        <v>777</v>
      </c>
      <c r="H227" s="4" t="s">
        <v>771</v>
      </c>
      <c r="I227" s="4"/>
      <c r="J227" s="4"/>
      <c r="K227" s="80" t="s">
        <v>617</v>
      </c>
      <c r="L227" s="107" t="s">
        <v>805</v>
      </c>
      <c r="M227" s="126" t="str">
        <f>CONCATENATE(O227,P227,Q227,R227,S227,T227)</f>
        <v>請確認是否符合 外側垂直筋鋼筋量上限 規定</v>
      </c>
      <c r="O227" s="6" t="s">
        <v>475</v>
      </c>
      <c r="P227" s="6" t="str">
        <f>H227</f>
        <v>外側</v>
      </c>
      <c r="Q227" s="6" t="str">
        <f>G227</f>
        <v>垂直筋</v>
      </c>
      <c r="R227" s="6" t="s">
        <v>778</v>
      </c>
      <c r="S227" s="6" t="s">
        <v>562</v>
      </c>
      <c r="T227" s="6" t="s">
        <v>572</v>
      </c>
    </row>
    <row r="228" spans="2:20" x14ac:dyDescent="0.3">
      <c r="B228" s="57"/>
      <c r="C228" s="67" t="s">
        <v>142</v>
      </c>
      <c r="D228" s="68"/>
      <c r="E228" s="69">
        <v>1</v>
      </c>
      <c r="F228" s="70"/>
      <c r="G228" s="79" t="s">
        <v>790</v>
      </c>
      <c r="H228" s="4" t="s">
        <v>759</v>
      </c>
      <c r="I228" s="4"/>
      <c r="J228" s="4"/>
      <c r="K228" s="80" t="s">
        <v>717</v>
      </c>
      <c r="L228" s="120" t="s">
        <v>779</v>
      </c>
      <c r="M228" s="126" t="str">
        <f>CONCATENATE(O228,P228,Q228,R228)</f>
        <v>請確認 外側垂直筋是否有斷筋</v>
      </c>
      <c r="O228" s="6" t="s">
        <v>679</v>
      </c>
      <c r="P228" s="6" t="str">
        <f>H228</f>
        <v>外側</v>
      </c>
      <c r="Q228" s="6" t="str">
        <f>G228</f>
        <v>垂直筋</v>
      </c>
      <c r="R228" s="6" t="s">
        <v>741</v>
      </c>
    </row>
    <row r="229" spans="2:20" x14ac:dyDescent="0.3">
      <c r="B229" s="57"/>
      <c r="C229" s="67" t="s">
        <v>143</v>
      </c>
      <c r="D229" s="68"/>
      <c r="E229" s="69"/>
      <c r="F229" s="70"/>
      <c r="G229" s="79"/>
      <c r="H229" s="4"/>
      <c r="I229" s="4"/>
      <c r="J229" s="4"/>
      <c r="K229" s="80"/>
      <c r="L229" s="120"/>
      <c r="M229" s="121"/>
    </row>
    <row r="230" spans="2:20" x14ac:dyDescent="0.3">
      <c r="B230" s="57"/>
      <c r="C230" s="67" t="s">
        <v>144</v>
      </c>
      <c r="D230" s="68">
        <v>1</v>
      </c>
      <c r="E230" s="69"/>
      <c r="F230" s="70"/>
      <c r="G230" s="79" t="s">
        <v>790</v>
      </c>
      <c r="H230" s="105" t="s">
        <v>765</v>
      </c>
      <c r="I230" s="4"/>
      <c r="J230" s="4"/>
      <c r="K230" s="80" t="s">
        <v>511</v>
      </c>
      <c r="L230" s="107" t="s">
        <v>768</v>
      </c>
      <c r="M230" s="126" t="str">
        <f>CONCATENATE(O230,P230,Q230,R230,S230,T230)</f>
        <v>請確認是否符合 內側垂直筋鋼筋量下限 規定</v>
      </c>
      <c r="O230" s="6" t="s">
        <v>561</v>
      </c>
      <c r="P230" s="6" t="str">
        <f>H230</f>
        <v>內側</v>
      </c>
      <c r="Q230" s="6" t="str">
        <f>G230</f>
        <v>垂直筋</v>
      </c>
      <c r="R230" s="6" t="s">
        <v>775</v>
      </c>
      <c r="S230" s="6" t="s">
        <v>427</v>
      </c>
      <c r="T230" s="6" t="s">
        <v>789</v>
      </c>
    </row>
    <row r="231" spans="2:20" x14ac:dyDescent="0.3">
      <c r="B231" s="57"/>
      <c r="C231" s="67" t="s">
        <v>145</v>
      </c>
      <c r="D231" s="68"/>
      <c r="E231" s="69">
        <v>1</v>
      </c>
      <c r="F231" s="70">
        <v>1</v>
      </c>
      <c r="G231" s="79" t="s">
        <v>806</v>
      </c>
      <c r="H231" s="105" t="s">
        <v>807</v>
      </c>
      <c r="I231" s="4"/>
      <c r="J231" s="4"/>
      <c r="K231" s="80" t="s">
        <v>808</v>
      </c>
      <c r="L231" s="107" t="s">
        <v>762</v>
      </c>
      <c r="M231" s="126" t="str">
        <f>CONCATENATE(O231,P231,Q231,R231,S231,T231)</f>
        <v>請確認是否符合 內側垂直筋鋼筋量上限 規定</v>
      </c>
      <c r="O231" s="6" t="s">
        <v>475</v>
      </c>
      <c r="P231" s="6" t="str">
        <f>H231</f>
        <v>內側</v>
      </c>
      <c r="Q231" s="6" t="str">
        <f>G231</f>
        <v>垂直筋</v>
      </c>
      <c r="R231" s="6" t="s">
        <v>775</v>
      </c>
      <c r="S231" s="6" t="s">
        <v>597</v>
      </c>
      <c r="T231" s="6" t="s">
        <v>472</v>
      </c>
    </row>
    <row r="232" spans="2:20" x14ac:dyDescent="0.3">
      <c r="B232" s="57"/>
      <c r="C232" s="67" t="s">
        <v>150</v>
      </c>
      <c r="D232" s="68"/>
      <c r="E232" s="69">
        <v>1</v>
      </c>
      <c r="F232" s="70"/>
      <c r="G232" s="79" t="s">
        <v>809</v>
      </c>
      <c r="H232" s="105" t="s">
        <v>781</v>
      </c>
      <c r="I232" s="4"/>
      <c r="J232" s="4"/>
      <c r="K232" s="80" t="s">
        <v>727</v>
      </c>
      <c r="L232" s="120" t="s">
        <v>782</v>
      </c>
      <c r="M232" s="126" t="str">
        <f>CONCATENATE(O232,P232,Q232,R232)</f>
        <v>請確認 內側垂直筋是否有斷筋</v>
      </c>
      <c r="O232" s="6" t="s">
        <v>674</v>
      </c>
      <c r="P232" s="6" t="str">
        <f>H232</f>
        <v>內側</v>
      </c>
      <c r="Q232" s="6" t="str">
        <f>G232</f>
        <v>垂直筋</v>
      </c>
      <c r="R232" s="6" t="s">
        <v>741</v>
      </c>
    </row>
    <row r="233" spans="2:20" x14ac:dyDescent="0.3">
      <c r="B233" s="57"/>
      <c r="C233" s="67" t="s">
        <v>151</v>
      </c>
      <c r="D233" s="68"/>
      <c r="E233" s="69"/>
      <c r="F233" s="70"/>
      <c r="G233" s="79"/>
      <c r="H233" s="4"/>
      <c r="I233" s="4"/>
      <c r="J233" s="4"/>
      <c r="K233" s="80"/>
      <c r="L233" s="120"/>
      <c r="M233" s="121"/>
    </row>
    <row r="234" spans="2:20" ht="21" customHeight="1" x14ac:dyDescent="0.3">
      <c r="B234" s="57"/>
      <c r="C234" s="67" t="s">
        <v>152</v>
      </c>
      <c r="D234" s="68"/>
      <c r="E234" s="69"/>
      <c r="F234" s="70">
        <v>1</v>
      </c>
      <c r="G234" s="79" t="s">
        <v>810</v>
      </c>
      <c r="H234" s="4"/>
      <c r="I234" s="4"/>
      <c r="J234" s="4"/>
      <c r="K234" s="80" t="s">
        <v>811</v>
      </c>
      <c r="L234" s="120"/>
      <c r="M234" s="126" t="str">
        <f>CONCATENATE(O234,P234,Q234)</f>
        <v>請確認 水平剪力筋間距是否垂直筋間距相符</v>
      </c>
      <c r="O234" s="6" t="s">
        <v>657</v>
      </c>
      <c r="P234" s="6" t="str">
        <f>G234</f>
        <v>水平剪力筋</v>
      </c>
      <c r="Q234" s="6" t="str">
        <f>K234</f>
        <v>間距是否垂直筋間距相符</v>
      </c>
    </row>
    <row r="235" spans="2:20" x14ac:dyDescent="0.3">
      <c r="B235" s="57"/>
      <c r="C235" s="67" t="s">
        <v>153</v>
      </c>
      <c r="D235" s="68"/>
      <c r="E235" s="69">
        <v>1</v>
      </c>
      <c r="F235" s="70"/>
      <c r="G235" s="79" t="s">
        <v>810</v>
      </c>
      <c r="H235" s="4"/>
      <c r="I235" s="4"/>
      <c r="J235" s="4"/>
      <c r="K235" s="80" t="s">
        <v>812</v>
      </c>
      <c r="L235" s="120" t="s">
        <v>813</v>
      </c>
      <c r="M235" s="126" t="str">
        <f>CONCATENATE(O235,P235,Q235)</f>
        <v>請確認 水平剪力筋是否有斷筋</v>
      </c>
      <c r="O235" s="6" t="s">
        <v>657</v>
      </c>
      <c r="P235" s="6" t="str">
        <f>G235</f>
        <v>水平剪力筋</v>
      </c>
      <c r="Q235" s="6" t="s">
        <v>741</v>
      </c>
    </row>
    <row r="236" spans="2:20" x14ac:dyDescent="0.3">
      <c r="B236" s="57"/>
      <c r="C236" s="67" t="s">
        <v>154</v>
      </c>
      <c r="D236" s="68"/>
      <c r="E236" s="69"/>
      <c r="F236" s="70">
        <v>1</v>
      </c>
      <c r="G236" s="79" t="s">
        <v>814</v>
      </c>
      <c r="H236" s="4"/>
      <c r="I236" s="4"/>
      <c r="J236" s="4"/>
      <c r="K236" s="80" t="s">
        <v>811</v>
      </c>
      <c r="L236" s="120"/>
      <c r="M236" s="126" t="str">
        <f>CONCATENATE(O236,P236,Q236)</f>
        <v>請確認 垂直剪力筋間距是否垂直筋間距相符</v>
      </c>
      <c r="O236" s="6" t="s">
        <v>674</v>
      </c>
      <c r="P236" s="6" t="str">
        <f>G236</f>
        <v>垂直剪力筋</v>
      </c>
      <c r="Q236" s="6" t="str">
        <f>K236</f>
        <v>間距是否垂直筋間距相符</v>
      </c>
    </row>
    <row r="237" spans="2:20" x14ac:dyDescent="0.3">
      <c r="B237" s="57"/>
      <c r="C237" s="67" t="s">
        <v>155</v>
      </c>
      <c r="D237" s="68"/>
      <c r="E237" s="69">
        <v>1</v>
      </c>
      <c r="F237" s="70"/>
      <c r="G237" s="79" t="s">
        <v>815</v>
      </c>
      <c r="H237" s="4"/>
      <c r="I237" s="4"/>
      <c r="J237" s="4"/>
      <c r="K237" s="80" t="s">
        <v>714</v>
      </c>
      <c r="L237" s="120" t="s">
        <v>782</v>
      </c>
      <c r="M237" s="126" t="str">
        <f>CONCATENATE(O237,P237,Q237)</f>
        <v>請確認 垂直剪力筋是否有斷筋</v>
      </c>
      <c r="O237" s="6" t="s">
        <v>780</v>
      </c>
      <c r="P237" s="6" t="str">
        <f>G237</f>
        <v>垂直剪力筋</v>
      </c>
      <c r="Q237" s="6" t="s">
        <v>741</v>
      </c>
    </row>
    <row r="238" spans="2:20" ht="18.600000000000001" thickBot="1" x14ac:dyDescent="0.35">
      <c r="B238" s="83"/>
      <c r="C238" s="93"/>
      <c r="D238" s="85"/>
      <c r="E238" s="86"/>
      <c r="F238" s="87"/>
      <c r="G238" s="88"/>
      <c r="H238" s="84"/>
      <c r="I238" s="84"/>
      <c r="J238" s="84"/>
      <c r="K238" s="90"/>
      <c r="L238" s="129"/>
      <c r="M238" s="130"/>
    </row>
    <row r="239" spans="2:20" x14ac:dyDescent="0.3">
      <c r="B239" s="37" t="s">
        <v>6</v>
      </c>
      <c r="C239" s="38" t="s">
        <v>4</v>
      </c>
      <c r="D239" s="39" t="s">
        <v>816</v>
      </c>
      <c r="E239" s="40" t="s">
        <v>436</v>
      </c>
      <c r="F239" s="41" t="s">
        <v>438</v>
      </c>
      <c r="G239" s="42" t="s">
        <v>75</v>
      </c>
      <c r="H239" s="38" t="s">
        <v>5</v>
      </c>
      <c r="I239" s="38" t="s">
        <v>5</v>
      </c>
      <c r="J239" s="38" t="s">
        <v>5</v>
      </c>
      <c r="K239" s="44" t="s">
        <v>3</v>
      </c>
      <c r="L239" s="45" t="s">
        <v>7</v>
      </c>
      <c r="M239" s="101" t="s">
        <v>209</v>
      </c>
    </row>
    <row r="240" spans="2:20" ht="18.600000000000001" thickBot="1" x14ac:dyDescent="0.35">
      <c r="B240" s="47" t="s">
        <v>817</v>
      </c>
      <c r="C240" s="48" t="s">
        <v>156</v>
      </c>
      <c r="D240" s="49" t="s">
        <v>439</v>
      </c>
      <c r="E240" s="50" t="s">
        <v>346</v>
      </c>
      <c r="F240" s="51" t="s">
        <v>818</v>
      </c>
      <c r="G240" s="52"/>
      <c r="H240" s="102"/>
      <c r="I240" s="102"/>
      <c r="J240" s="102"/>
      <c r="K240" s="54"/>
      <c r="L240" s="55"/>
      <c r="M240" s="104"/>
    </row>
    <row r="241" spans="2:17" x14ac:dyDescent="0.3">
      <c r="B241" s="131"/>
      <c r="C241" s="132" t="s">
        <v>157</v>
      </c>
      <c r="D241" s="133">
        <v>1</v>
      </c>
      <c r="E241" s="134">
        <v>1</v>
      </c>
      <c r="F241" s="135"/>
      <c r="G241" s="136" t="s">
        <v>819</v>
      </c>
      <c r="H241" s="137"/>
      <c r="I241" s="137"/>
      <c r="J241" s="137"/>
      <c r="K241" s="138" t="s">
        <v>820</v>
      </c>
      <c r="L241" s="120" t="s">
        <v>821</v>
      </c>
      <c r="M241" s="140" t="s">
        <v>822</v>
      </c>
    </row>
    <row r="242" spans="2:17" x14ac:dyDescent="0.3">
      <c r="B242" s="57"/>
      <c r="C242" s="67" t="s">
        <v>158</v>
      </c>
      <c r="D242" s="68"/>
      <c r="E242" s="69"/>
      <c r="F242" s="70"/>
      <c r="G242" s="79"/>
      <c r="H242" s="4"/>
      <c r="I242" s="4"/>
      <c r="J242" s="4"/>
      <c r="K242" s="80"/>
      <c r="L242" s="120"/>
      <c r="M242" s="121"/>
    </row>
    <row r="243" spans="2:17" x14ac:dyDescent="0.3">
      <c r="B243" s="57"/>
      <c r="C243" s="67" t="s">
        <v>159</v>
      </c>
      <c r="D243" s="68"/>
      <c r="E243" s="69"/>
      <c r="F243" s="70">
        <v>1</v>
      </c>
      <c r="G243" s="79" t="s">
        <v>823</v>
      </c>
      <c r="H243" s="4"/>
      <c r="I243" s="4"/>
      <c r="J243" s="4"/>
      <c r="K243" s="80" t="s">
        <v>811</v>
      </c>
      <c r="L243" s="120"/>
      <c r="M243" s="126" t="str">
        <f>CONCATENATE(O243,P243,Q243)</f>
        <v>請確認 水平剪力筋間距是否垂直筋間距相符</v>
      </c>
      <c r="O243" s="6" t="s">
        <v>657</v>
      </c>
      <c r="P243" s="6" t="str">
        <f>G243</f>
        <v>水平剪力筋</v>
      </c>
      <c r="Q243" s="6" t="str">
        <f>K243</f>
        <v>間距是否垂直筋間距相符</v>
      </c>
    </row>
    <row r="244" spans="2:17" x14ac:dyDescent="0.3">
      <c r="B244" s="57"/>
      <c r="C244" s="67" t="s">
        <v>160</v>
      </c>
      <c r="D244" s="68"/>
      <c r="E244" s="69">
        <v>1</v>
      </c>
      <c r="F244" s="70"/>
      <c r="G244" s="79" t="s">
        <v>824</v>
      </c>
      <c r="H244" s="4"/>
      <c r="I244" s="4"/>
      <c r="J244" s="4"/>
      <c r="K244" s="80" t="s">
        <v>714</v>
      </c>
      <c r="L244" s="120" t="s">
        <v>782</v>
      </c>
      <c r="M244" s="126" t="str">
        <f>CONCATENATE(O244,P244,Q244)</f>
        <v>請確認 水平剪力筋是否有斷筋</v>
      </c>
      <c r="O244" s="6" t="s">
        <v>679</v>
      </c>
      <c r="P244" s="6" t="str">
        <f>G244</f>
        <v>水平剪力筋</v>
      </c>
      <c r="Q244" s="6" t="s">
        <v>741</v>
      </c>
    </row>
    <row r="245" spans="2:17" ht="21" customHeight="1" x14ac:dyDescent="0.3">
      <c r="B245" s="57"/>
      <c r="C245" s="67" t="s">
        <v>161</v>
      </c>
      <c r="D245" s="68"/>
      <c r="E245" s="69"/>
      <c r="F245" s="70">
        <v>1</v>
      </c>
      <c r="G245" s="79" t="s">
        <v>825</v>
      </c>
      <c r="H245" s="4"/>
      <c r="I245" s="4"/>
      <c r="J245" s="4"/>
      <c r="K245" s="80" t="s">
        <v>826</v>
      </c>
      <c r="L245" s="120"/>
      <c r="M245" s="126" t="str">
        <f>CONCATENATE(O245,P245,Q245)</f>
        <v>請確認 垂直剪力筋間距是否垂直筋間距相符</v>
      </c>
      <c r="O245" s="6" t="s">
        <v>674</v>
      </c>
      <c r="P245" s="6" t="str">
        <f>G245</f>
        <v>垂直剪力筋</v>
      </c>
      <c r="Q245" s="6" t="str">
        <f>K245</f>
        <v>間距是否垂直筋間距相符</v>
      </c>
    </row>
    <row r="246" spans="2:17" x14ac:dyDescent="0.3">
      <c r="B246" s="57"/>
      <c r="C246" s="67" t="s">
        <v>162</v>
      </c>
      <c r="D246" s="68"/>
      <c r="E246" s="69">
        <v>1</v>
      </c>
      <c r="F246" s="70"/>
      <c r="G246" s="79" t="s">
        <v>815</v>
      </c>
      <c r="H246" s="4"/>
      <c r="I246" s="4"/>
      <c r="J246" s="4"/>
      <c r="K246" s="80" t="s">
        <v>827</v>
      </c>
      <c r="L246" s="120" t="s">
        <v>813</v>
      </c>
      <c r="M246" s="126" t="str">
        <f>CONCATENATE(O246,P246,Q246)</f>
        <v>請確認 垂直剪力筋是否有斷筋</v>
      </c>
      <c r="O246" s="6" t="s">
        <v>657</v>
      </c>
      <c r="P246" s="6" t="str">
        <f>G246</f>
        <v>垂直剪力筋</v>
      </c>
      <c r="Q246" s="6" t="s">
        <v>741</v>
      </c>
    </row>
    <row r="247" spans="2:17" x14ac:dyDescent="0.3">
      <c r="B247" s="57"/>
      <c r="C247" s="67" t="s">
        <v>163</v>
      </c>
      <c r="D247" s="68"/>
      <c r="E247" s="69"/>
      <c r="F247" s="70"/>
      <c r="G247" s="79"/>
      <c r="H247" s="4"/>
      <c r="I247" s="4"/>
      <c r="J247" s="4"/>
      <c r="K247" s="80"/>
      <c r="L247" s="120"/>
      <c r="M247" s="121"/>
    </row>
    <row r="248" spans="2:17" x14ac:dyDescent="0.3">
      <c r="B248" s="57"/>
      <c r="C248" s="67" t="s">
        <v>164</v>
      </c>
      <c r="D248" s="68"/>
      <c r="E248" s="69"/>
      <c r="F248" s="70"/>
      <c r="G248" s="79"/>
      <c r="H248" s="4"/>
      <c r="I248" s="4"/>
      <c r="J248" s="4"/>
      <c r="K248" s="80"/>
      <c r="L248" s="120"/>
      <c r="M248" s="121"/>
    </row>
    <row r="249" spans="2:17" ht="15.6" customHeight="1" thickBot="1" x14ac:dyDescent="0.35">
      <c r="B249" s="83"/>
      <c r="C249" s="84"/>
      <c r="D249" s="85"/>
      <c r="E249" s="86"/>
      <c r="F249" s="87"/>
      <c r="G249" s="88"/>
      <c r="H249" s="84"/>
      <c r="I249" s="84"/>
      <c r="J249" s="84"/>
      <c r="K249" s="90"/>
      <c r="L249" s="129"/>
      <c r="M249" s="130"/>
    </row>
    <row r="250" spans="2:17" x14ac:dyDescent="0.3">
      <c r="B250" s="37" t="s">
        <v>6</v>
      </c>
      <c r="C250" s="38" t="s">
        <v>4</v>
      </c>
      <c r="D250" s="39" t="s">
        <v>438</v>
      </c>
      <c r="E250" s="40" t="s">
        <v>438</v>
      </c>
      <c r="F250" s="41" t="s">
        <v>828</v>
      </c>
      <c r="G250" s="42" t="s">
        <v>75</v>
      </c>
      <c r="H250" s="38" t="s">
        <v>5</v>
      </c>
      <c r="I250" s="38" t="s">
        <v>5</v>
      </c>
      <c r="J250" s="38" t="s">
        <v>5</v>
      </c>
      <c r="K250" s="44" t="s">
        <v>3</v>
      </c>
      <c r="L250" s="45" t="s">
        <v>7</v>
      </c>
      <c r="M250" s="101" t="s">
        <v>209</v>
      </c>
    </row>
    <row r="251" spans="2:17" ht="18.600000000000001" thickBot="1" x14ac:dyDescent="0.35">
      <c r="B251" s="47" t="s">
        <v>440</v>
      </c>
      <c r="C251" s="48" t="s">
        <v>171</v>
      </c>
      <c r="D251" s="49" t="s">
        <v>432</v>
      </c>
      <c r="E251" s="50" t="s">
        <v>829</v>
      </c>
      <c r="F251" s="51" t="s">
        <v>830</v>
      </c>
      <c r="G251" s="52"/>
      <c r="H251" s="102"/>
      <c r="I251" s="102"/>
      <c r="J251" s="102"/>
      <c r="K251" s="54"/>
      <c r="L251" s="55"/>
      <c r="M251" s="104"/>
    </row>
    <row r="252" spans="2:17" x14ac:dyDescent="0.3">
      <c r="B252" s="131"/>
      <c r="C252" s="132" t="s">
        <v>165</v>
      </c>
      <c r="D252" s="133"/>
      <c r="E252" s="134"/>
      <c r="F252" s="135"/>
      <c r="G252" s="136"/>
      <c r="H252" s="137"/>
      <c r="I252" s="137"/>
      <c r="J252" s="137"/>
      <c r="K252" s="138"/>
      <c r="L252" s="139"/>
      <c r="M252" s="140"/>
    </row>
    <row r="253" spans="2:17" x14ac:dyDescent="0.3">
      <c r="B253" s="57"/>
      <c r="C253" s="67" t="s">
        <v>166</v>
      </c>
      <c r="D253" s="68"/>
      <c r="E253" s="69">
        <v>1</v>
      </c>
      <c r="F253" s="70"/>
      <c r="G253" s="79" t="s">
        <v>790</v>
      </c>
      <c r="H253" s="4"/>
      <c r="I253" s="4"/>
      <c r="J253" s="4"/>
      <c r="K253" s="80" t="s">
        <v>717</v>
      </c>
      <c r="L253" s="120"/>
      <c r="M253" s="126" t="str">
        <f>CONCATENATE(O253,P253,Q253)</f>
        <v>請確認 垂直筋是否有斷筋</v>
      </c>
      <c r="O253" s="6" t="s">
        <v>780</v>
      </c>
      <c r="P253" s="6" t="str">
        <f>G253</f>
        <v>垂直筋</v>
      </c>
      <c r="Q253" s="6" t="s">
        <v>741</v>
      </c>
    </row>
    <row r="254" spans="2:17" x14ac:dyDescent="0.3">
      <c r="B254" s="57"/>
      <c r="C254" s="67" t="s">
        <v>167</v>
      </c>
      <c r="D254" s="68"/>
      <c r="E254" s="69"/>
      <c r="F254" s="70"/>
      <c r="G254" s="79"/>
      <c r="H254" s="4"/>
      <c r="I254" s="4"/>
      <c r="J254" s="4"/>
      <c r="K254" s="80"/>
      <c r="L254" s="120"/>
      <c r="M254" s="121"/>
    </row>
    <row r="255" spans="2:17" x14ac:dyDescent="0.3">
      <c r="B255" s="57"/>
      <c r="C255" s="67" t="s">
        <v>168</v>
      </c>
      <c r="D255" s="68"/>
      <c r="E255" s="69">
        <v>1</v>
      </c>
      <c r="F255" s="70"/>
      <c r="G255" s="79" t="s">
        <v>831</v>
      </c>
      <c r="H255" s="4"/>
      <c r="I255" s="4"/>
      <c r="J255" s="4"/>
      <c r="K255" s="80" t="s">
        <v>717</v>
      </c>
      <c r="L255" s="120"/>
      <c r="M255" s="126"/>
    </row>
    <row r="256" spans="2:17" x14ac:dyDescent="0.3">
      <c r="B256" s="57"/>
      <c r="C256" s="67" t="s">
        <v>169</v>
      </c>
      <c r="D256" s="68"/>
      <c r="E256" s="69"/>
      <c r="F256" s="70"/>
      <c r="G256" s="79"/>
      <c r="H256" s="4"/>
      <c r="I256" s="4"/>
      <c r="J256" s="4"/>
      <c r="K256" s="80"/>
      <c r="L256" s="120"/>
      <c r="M256" s="121"/>
    </row>
    <row r="257" spans="2:13" x14ac:dyDescent="0.3">
      <c r="B257" s="57"/>
      <c r="C257" s="67" t="s">
        <v>170</v>
      </c>
      <c r="D257" s="68"/>
      <c r="E257" s="69"/>
      <c r="F257" s="70"/>
      <c r="G257" s="79"/>
      <c r="H257" s="4"/>
      <c r="I257" s="4"/>
      <c r="J257" s="4"/>
      <c r="K257" s="80"/>
      <c r="L257" s="120"/>
      <c r="M257" s="121"/>
    </row>
    <row r="258" spans="2:13" x14ac:dyDescent="0.3">
      <c r="B258" s="57"/>
      <c r="C258" s="4"/>
      <c r="D258" s="68"/>
      <c r="E258" s="69"/>
      <c r="F258" s="70"/>
      <c r="G258" s="79"/>
      <c r="H258" s="4"/>
      <c r="I258" s="4"/>
      <c r="J258" s="4"/>
      <c r="K258" s="80"/>
      <c r="L258" s="120"/>
      <c r="M258" s="121"/>
    </row>
    <row r="259" spans="2:13" x14ac:dyDescent="0.3">
      <c r="B259" s="57"/>
      <c r="C259" s="4"/>
      <c r="D259" s="68"/>
      <c r="E259" s="69"/>
      <c r="F259" s="70"/>
      <c r="G259" s="79"/>
      <c r="H259" s="4"/>
      <c r="I259" s="4"/>
      <c r="J259" s="4"/>
      <c r="K259" s="80"/>
      <c r="L259" s="120"/>
      <c r="M259" s="121"/>
    </row>
    <row r="260" spans="2:13" x14ac:dyDescent="0.3">
      <c r="B260" s="57"/>
      <c r="C260" s="4"/>
      <c r="D260" s="68"/>
      <c r="E260" s="69"/>
      <c r="F260" s="70"/>
      <c r="G260" s="79"/>
      <c r="H260" s="4"/>
      <c r="I260" s="4"/>
      <c r="J260" s="4"/>
      <c r="K260" s="80"/>
      <c r="L260" s="120"/>
      <c r="M260" s="121"/>
    </row>
    <row r="261" spans="2:13" x14ac:dyDescent="0.3">
      <c r="B261" s="57"/>
      <c r="C261" s="4"/>
      <c r="D261" s="68"/>
      <c r="E261" s="69"/>
      <c r="F261" s="70"/>
      <c r="G261" s="79"/>
      <c r="H261" s="4"/>
      <c r="I261" s="4"/>
      <c r="J261" s="4"/>
      <c r="K261" s="80"/>
      <c r="L261" s="120"/>
      <c r="M261" s="121"/>
    </row>
  </sheetData>
  <phoneticPr fontId="1" type="noConversion"/>
  <pageMargins left="0.35" right="0.36" top="0.62" bottom="0.48" header="0.31496062992125984" footer="0.31496062992125984"/>
  <pageSetup paperSize="9" scale="70" orientation="landscape" r:id="rId1"/>
  <headerFooter>
    <oddFooter>第 &amp;P 頁，共 &amp;N 頁</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11</vt:i4>
      </vt:variant>
    </vt:vector>
  </HeadingPairs>
  <TitlesOfParts>
    <vt:vector size="11" baseType="lpstr">
      <vt:lpstr>Rule</vt:lpstr>
      <vt:lpstr>General Information</vt:lpstr>
      <vt:lpstr>柱配筋</vt:lpstr>
      <vt:lpstr>大梁配筋</vt:lpstr>
      <vt:lpstr>小梁配筋</vt:lpstr>
      <vt:lpstr>地梁配筋</vt:lpstr>
      <vt:lpstr>柱鋼筋比</vt:lpstr>
      <vt:lpstr>鋼筋號數比</vt:lpstr>
      <vt:lpstr>版本資訊</vt:lpstr>
      <vt:lpstr>Rebar Size</vt:lpstr>
      <vt:lpstr>Rule - old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elementspublic</cp:lastModifiedBy>
  <cp:lastPrinted>2017-05-16T02:06:44Z</cp:lastPrinted>
  <dcterms:created xsi:type="dcterms:W3CDTF">2017-05-14T12:57:37Z</dcterms:created>
  <dcterms:modified xsi:type="dcterms:W3CDTF">2018-01-30T07:43:39Z</dcterms:modified>
</cp:coreProperties>
</file>