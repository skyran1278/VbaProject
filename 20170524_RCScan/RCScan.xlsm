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029" codeName="{22E68647-3C60-695B-3CA0-4895CD717B8A}"/>
  <workbookPr codeName="ThisWorkbook" defaultThemeVersion="124226"/>
  <mc:AlternateContent xmlns:mc="http://schemas.openxmlformats.org/markup-compatibility/2006">
    <mc:Choice Requires="x15">
      <x15ac:absPath xmlns:x15ac="http://schemas.microsoft.com/office/spreadsheetml/2010/11/ac" url="D:\GitHub\VbaProject\20170524_RCScan\"/>
    </mc:Choice>
  </mc:AlternateContent>
  <xr:revisionPtr revIDLastSave="0" documentId="13_ncr:1_{A4E9D01B-0598-44CE-98B6-4EA54B23F035}" xr6:coauthVersionLast="40" xr6:coauthVersionMax="40" xr10:uidLastSave="{00000000-0000-0000-0000-000000000000}"/>
  <bookViews>
    <workbookView xWindow="360" yWindow="135" windowWidth="18840" windowHeight="11190" activeTab="7" xr2:uid="{00000000-000D-0000-FFFF-FFFF00000000}"/>
  </bookViews>
  <sheets>
    <sheet name="General Information" sheetId="6" r:id="rId1"/>
    <sheet name="工作表124" sheetId="151" r:id="rId2"/>
    <sheet name="工作表123" sheetId="150" r:id="rId3"/>
    <sheet name="工作表122" sheetId="149" r:id="rId4"/>
    <sheet name="工作表121" sheetId="148" r:id="rId5"/>
    <sheet name="柱" sheetId="9" r:id="rId6"/>
    <sheet name="大梁" sheetId="16" r:id="rId7"/>
    <sheet name="小梁" sheetId="8" r:id="rId8"/>
    <sheet name="地梁" sheetId="11" r:id="rId9"/>
    <sheet name="Rule" sheetId="1" r:id="rId10"/>
    <sheet name="Release Notes" sheetId="19" r:id="rId11"/>
    <sheet name="Error" sheetId="27" r:id="rId12"/>
    <sheet name="柱鋼筋比" sheetId="13" r:id="rId13"/>
    <sheet name="鋼筋號數比" sheetId="14" r:id="rId14"/>
    <sheet name="Rebar Size" sheetId="10" r:id="rId15"/>
    <sheet name="Rule - old" sheetId="15" r:id="rId16"/>
  </sheets>
  <calcPr calcId="191029" refMode="R1C1" concurrentCalc="0"/>
  <fileRecoveryPr autoRecover="0"/>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S90" i="11" l="1"/>
  <c r="S89" i="11"/>
  <c r="S88" i="11"/>
  <c r="S87" i="11"/>
  <c r="S86" i="11"/>
  <c r="S85" i="11"/>
  <c r="S84" i="11"/>
  <c r="S83" i="11"/>
  <c r="S82" i="11"/>
  <c r="S81" i="11"/>
  <c r="S80" i="11"/>
  <c r="S79" i="11"/>
  <c r="S78" i="11"/>
  <c r="S77" i="11"/>
  <c r="S76" i="11"/>
  <c r="S75" i="11"/>
  <c r="S74" i="11"/>
  <c r="S73" i="11"/>
  <c r="S72" i="11"/>
  <c r="S71" i="11"/>
  <c r="S70" i="11"/>
  <c r="S69" i="11"/>
  <c r="S68" i="11"/>
  <c r="S67" i="11"/>
  <c r="S66" i="11"/>
  <c r="S65" i="11"/>
  <c r="S64" i="11"/>
  <c r="S63" i="11"/>
  <c r="S62" i="11"/>
  <c r="S61" i="11"/>
  <c r="S60" i="11"/>
  <c r="S59" i="11"/>
  <c r="S58" i="11"/>
  <c r="S57" i="11"/>
  <c r="S56" i="11"/>
  <c r="S55" i="11"/>
  <c r="S54" i="11"/>
  <c r="S53" i="11"/>
  <c r="S52" i="11"/>
  <c r="S51" i="11"/>
  <c r="S50" i="11"/>
  <c r="S49" i="11"/>
  <c r="S48" i="11"/>
  <c r="S47" i="11"/>
  <c r="S46" i="11"/>
  <c r="S45" i="11"/>
  <c r="S44" i="11"/>
  <c r="S43" i="11"/>
  <c r="S42" i="11"/>
  <c r="S41" i="11"/>
  <c r="S40" i="11"/>
  <c r="S39" i="11"/>
  <c r="S38" i="11"/>
  <c r="S37" i="11"/>
  <c r="S36" i="11"/>
  <c r="S35" i="11"/>
  <c r="S34" i="11"/>
  <c r="S33" i="11"/>
  <c r="S32" i="11"/>
  <c r="S31" i="11"/>
  <c r="S30" i="11"/>
  <c r="S29" i="11"/>
  <c r="S28" i="11"/>
  <c r="S27" i="11"/>
  <c r="S26" i="11"/>
  <c r="S25" i="11"/>
  <c r="S24" i="11"/>
  <c r="S23" i="11"/>
  <c r="S22" i="11"/>
  <c r="S21" i="11"/>
  <c r="S20" i="11"/>
  <c r="S19" i="11"/>
  <c r="S18" i="11"/>
  <c r="S17" i="11"/>
  <c r="S16" i="11"/>
  <c r="S15" i="11"/>
  <c r="S14" i="11"/>
  <c r="S13" i="11"/>
  <c r="S12" i="11"/>
  <c r="S11" i="11"/>
  <c r="S10" i="11"/>
  <c r="S9" i="11"/>
  <c r="S8" i="11"/>
  <c r="S7" i="11"/>
  <c r="S6" i="11"/>
  <c r="S5" i="11"/>
  <c r="S4" i="11"/>
  <c r="S3" i="11"/>
  <c r="R1" i="11"/>
  <c r="S90" i="16"/>
  <c r="S89" i="16"/>
  <c r="S88" i="16"/>
  <c r="S87" i="16"/>
  <c r="S86" i="16"/>
  <c r="S85" i="16"/>
  <c r="S84" i="16"/>
  <c r="S83" i="16"/>
  <c r="S82" i="16"/>
  <c r="S81" i="16"/>
  <c r="S80" i="16"/>
  <c r="S79" i="16"/>
  <c r="S78" i="16"/>
  <c r="S77" i="16"/>
  <c r="S76" i="16"/>
  <c r="S75" i="16"/>
  <c r="S74" i="16"/>
  <c r="S73" i="16"/>
  <c r="S72" i="16"/>
  <c r="S71" i="16"/>
  <c r="S70" i="16"/>
  <c r="S69" i="16"/>
  <c r="S68" i="16"/>
  <c r="S67" i="16"/>
  <c r="S66" i="16"/>
  <c r="S65" i="16"/>
  <c r="S64" i="16"/>
  <c r="S63" i="16"/>
  <c r="S62" i="16"/>
  <c r="S61" i="16"/>
  <c r="S60" i="16"/>
  <c r="S59" i="16"/>
  <c r="S58" i="16"/>
  <c r="S57" i="16"/>
  <c r="S56" i="16"/>
  <c r="S55" i="16"/>
  <c r="S54" i="16"/>
  <c r="S53" i="16"/>
  <c r="S52" i="16"/>
  <c r="S51" i="16"/>
  <c r="S50" i="16"/>
  <c r="S49" i="16"/>
  <c r="S48" i="16"/>
  <c r="S47" i="16"/>
  <c r="S46" i="16"/>
  <c r="S45" i="16"/>
  <c r="S44" i="16"/>
  <c r="S43" i="16"/>
  <c r="S42" i="16"/>
  <c r="S41" i="16"/>
  <c r="S40" i="16"/>
  <c r="S39" i="16"/>
  <c r="S38" i="16"/>
  <c r="S37" i="16"/>
  <c r="S36" i="16"/>
  <c r="S35" i="16"/>
  <c r="S34" i="16"/>
  <c r="S33" i="16"/>
  <c r="S32" i="16"/>
  <c r="S31" i="16"/>
  <c r="S30" i="16"/>
  <c r="S29" i="16"/>
  <c r="S28" i="16"/>
  <c r="S27" i="16"/>
  <c r="S26" i="16"/>
  <c r="S25" i="16"/>
  <c r="S24" i="16"/>
  <c r="S23" i="16"/>
  <c r="S22" i="16"/>
  <c r="S21" i="16"/>
  <c r="S20" i="16"/>
  <c r="S19" i="16"/>
  <c r="S18" i="16"/>
  <c r="S17" i="16"/>
  <c r="S16" i="16"/>
  <c r="S15" i="16"/>
  <c r="S14" i="16"/>
  <c r="S13" i="16"/>
  <c r="S12" i="16"/>
  <c r="S11" i="16"/>
  <c r="S10" i="16"/>
  <c r="S9" i="16"/>
  <c r="S8" i="16"/>
  <c r="S7" i="16"/>
  <c r="S6" i="16"/>
  <c r="S5" i="16"/>
  <c r="S4" i="16"/>
  <c r="S3" i="16"/>
  <c r="R1" i="16"/>
  <c r="P253" i="15"/>
  <c r="M253" i="15"/>
  <c r="P246" i="15"/>
  <c r="M246" i="15"/>
  <c r="Q245" i="15"/>
  <c r="P245" i="15"/>
  <c r="M245" i="15"/>
  <c r="P244" i="15"/>
  <c r="M244" i="15"/>
  <c r="Q243" i="15"/>
  <c r="P243" i="15"/>
  <c r="M243" i="15"/>
  <c r="P237" i="15"/>
  <c r="M237" i="15"/>
  <c r="Q236" i="15"/>
  <c r="P236" i="15"/>
  <c r="P235" i="15"/>
  <c r="M235" i="15"/>
  <c r="Q234" i="15"/>
  <c r="P234" i="15"/>
  <c r="M234" i="15"/>
  <c r="Q232" i="15"/>
  <c r="P232" i="15"/>
  <c r="Q231" i="15"/>
  <c r="P231" i="15"/>
  <c r="M231" i="15"/>
  <c r="Q230" i="15"/>
  <c r="P230" i="15"/>
  <c r="Q228" i="15"/>
  <c r="P228" i="15"/>
  <c r="M228" i="15"/>
  <c r="Q227" i="15"/>
  <c r="P227" i="15"/>
  <c r="M227" i="15"/>
  <c r="Q226" i="15"/>
  <c r="P226" i="15"/>
  <c r="Q224" i="15"/>
  <c r="P224" i="15"/>
  <c r="M224" i="15"/>
  <c r="Q217" i="15"/>
  <c r="P217" i="15"/>
  <c r="M217" i="15"/>
  <c r="Q216" i="15"/>
  <c r="P216" i="15"/>
  <c r="P214" i="15"/>
  <c r="M214" i="15"/>
  <c r="P213" i="15"/>
  <c r="M213" i="15"/>
  <c r="P212" i="15"/>
  <c r="M212" i="15"/>
  <c r="P211" i="15"/>
  <c r="M211" i="15"/>
  <c r="Q207" i="15"/>
  <c r="P207" i="15"/>
  <c r="Q206" i="15"/>
  <c r="P206" i="15"/>
  <c r="P205" i="15"/>
  <c r="M205" i="15"/>
  <c r="P204" i="15"/>
  <c r="M204" i="15"/>
  <c r="P203" i="15"/>
  <c r="M203" i="15"/>
  <c r="P202" i="15"/>
  <c r="M202" i="15"/>
  <c r="M195" i="15"/>
  <c r="P193" i="15"/>
  <c r="M193" i="15"/>
  <c r="P192" i="15"/>
  <c r="M192" i="15"/>
  <c r="P190" i="15"/>
  <c r="M190" i="15"/>
  <c r="P189" i="15"/>
  <c r="M189" i="15"/>
  <c r="M185" i="15"/>
  <c r="M184" i="15"/>
  <c r="P183" i="15"/>
  <c r="M183" i="15"/>
  <c r="P182" i="15"/>
  <c r="M182" i="15"/>
  <c r="P181" i="15"/>
  <c r="M181" i="15"/>
  <c r="P180" i="15"/>
  <c r="M180" i="15"/>
  <c r="Q176" i="15"/>
  <c r="P176" i="15"/>
  <c r="M176" i="15"/>
  <c r="Q175" i="15"/>
  <c r="P175" i="15"/>
  <c r="P174" i="15"/>
  <c r="M174" i="15"/>
  <c r="P173" i="15"/>
  <c r="M173" i="15"/>
  <c r="Q172" i="15"/>
  <c r="P172" i="15"/>
  <c r="M172" i="15"/>
  <c r="Q171" i="15"/>
  <c r="P171" i="15"/>
  <c r="M171" i="15"/>
  <c r="Q169" i="15"/>
  <c r="P169" i="15"/>
  <c r="Q168" i="15"/>
  <c r="P168" i="15"/>
  <c r="M168" i="15"/>
  <c r="P167" i="15"/>
  <c r="M167" i="15"/>
  <c r="P166" i="15"/>
  <c r="M166" i="15"/>
  <c r="P157" i="15"/>
  <c r="M157" i="15"/>
  <c r="P156" i="15"/>
  <c r="M156" i="15"/>
  <c r="P154" i="15"/>
  <c r="M154" i="15"/>
  <c r="P153" i="15"/>
  <c r="M153" i="15"/>
  <c r="Q145" i="15"/>
  <c r="P145" i="15"/>
  <c r="P143" i="15"/>
  <c r="M143" i="15"/>
  <c r="P142" i="15"/>
  <c r="M142" i="15"/>
  <c r="P141" i="15"/>
  <c r="M141" i="15"/>
  <c r="M139" i="15"/>
  <c r="M138" i="15"/>
  <c r="M137" i="15"/>
  <c r="P135" i="15"/>
  <c r="M135" i="15"/>
  <c r="P134" i="15"/>
  <c r="M134" i="15"/>
  <c r="P133" i="15"/>
  <c r="M133" i="15"/>
  <c r="P131" i="15"/>
  <c r="M131" i="15"/>
  <c r="P130" i="15"/>
  <c r="M130" i="15"/>
  <c r="P129" i="15"/>
  <c r="M129" i="15"/>
  <c r="P127" i="15"/>
  <c r="M127" i="15"/>
  <c r="P126" i="15"/>
  <c r="M126" i="15"/>
  <c r="Q122" i="15"/>
  <c r="P122" i="15"/>
  <c r="N122" i="15"/>
  <c r="R121" i="15"/>
  <c r="Q121" i="15"/>
  <c r="P121" i="15"/>
  <c r="N121" i="15"/>
  <c r="Q120" i="15"/>
  <c r="P120" i="15"/>
  <c r="N120" i="15"/>
  <c r="N119" i="15"/>
  <c r="Q118" i="15"/>
  <c r="P118" i="15"/>
  <c r="N118" i="15"/>
  <c r="Q117" i="15"/>
  <c r="P117" i="15"/>
  <c r="N117" i="15"/>
  <c r="Q116" i="15"/>
  <c r="P116" i="15"/>
  <c r="N116" i="15"/>
  <c r="Q115" i="15"/>
  <c r="P115" i="15"/>
  <c r="N115" i="15"/>
  <c r="N114" i="15"/>
  <c r="Q113" i="15"/>
  <c r="P113" i="15"/>
  <c r="N113" i="15"/>
  <c r="Q112" i="15"/>
  <c r="P112" i="15"/>
  <c r="N112" i="15"/>
  <c r="Q111" i="15"/>
  <c r="P111" i="15"/>
  <c r="N111" i="15"/>
  <c r="Q110" i="15"/>
  <c r="P110" i="15"/>
  <c r="N110" i="15"/>
  <c r="N107" i="15"/>
  <c r="N106" i="15"/>
  <c r="N105" i="15"/>
  <c r="N104" i="15"/>
  <c r="N103" i="15"/>
  <c r="P102" i="15"/>
  <c r="M102" i="15"/>
  <c r="N102" i="15"/>
  <c r="P101" i="15"/>
  <c r="N101" i="15"/>
  <c r="N100" i="15"/>
  <c r="N99" i="15"/>
  <c r="N98" i="15"/>
  <c r="N97" i="15"/>
  <c r="P96" i="15"/>
  <c r="M96" i="15"/>
  <c r="N96" i="15"/>
  <c r="P95" i="15"/>
  <c r="M95" i="15"/>
  <c r="N95" i="15"/>
  <c r="N94" i="15"/>
  <c r="P93" i="15"/>
  <c r="M93" i="15"/>
  <c r="N93" i="15"/>
  <c r="P92" i="15"/>
  <c r="N92" i="15"/>
  <c r="M92" i="15"/>
  <c r="N91" i="15"/>
  <c r="P90" i="15"/>
  <c r="N90" i="15"/>
  <c r="M90" i="15"/>
  <c r="P89" i="15"/>
  <c r="N89" i="15"/>
  <c r="M89" i="15"/>
  <c r="N88" i="15"/>
  <c r="N87" i="15"/>
  <c r="Q86" i="15"/>
  <c r="P86" i="15"/>
  <c r="M86" i="15"/>
  <c r="N86" i="15"/>
  <c r="R85" i="15"/>
  <c r="Q85" i="15"/>
  <c r="P85" i="15"/>
  <c r="M85" i="15"/>
  <c r="N85" i="15"/>
  <c r="Q84" i="15"/>
  <c r="P84" i="15"/>
  <c r="N84" i="15"/>
  <c r="N83" i="15"/>
  <c r="Q82" i="15"/>
  <c r="P82" i="15"/>
  <c r="M82" i="15"/>
  <c r="N82" i="15"/>
  <c r="Q81" i="15"/>
  <c r="P81" i="15"/>
  <c r="M81" i="15"/>
  <c r="N81" i="15"/>
  <c r="Q80" i="15"/>
  <c r="P80" i="15"/>
  <c r="N80" i="15"/>
  <c r="Q79" i="15"/>
  <c r="P79" i="15"/>
  <c r="N79" i="15"/>
  <c r="N78" i="15"/>
  <c r="Q77" i="15"/>
  <c r="P77" i="15"/>
  <c r="M77" i="15"/>
  <c r="N77" i="15"/>
  <c r="Q76" i="15"/>
  <c r="P76" i="15"/>
  <c r="M76" i="15"/>
  <c r="N76" i="15"/>
  <c r="Q75" i="15"/>
  <c r="P75" i="15"/>
  <c r="M75" i="15"/>
  <c r="N75" i="15"/>
  <c r="Q74" i="15"/>
  <c r="P74" i="15"/>
  <c r="M74" i="15"/>
  <c r="N74" i="15"/>
  <c r="N73" i="15"/>
  <c r="Q72" i="15"/>
  <c r="P72" i="15"/>
  <c r="M72" i="15"/>
  <c r="N72" i="15"/>
  <c r="R70" i="15"/>
  <c r="Q70" i="15"/>
  <c r="P70" i="15"/>
  <c r="M70" i="15"/>
  <c r="N70" i="15"/>
  <c r="Q69" i="15"/>
  <c r="P69" i="15"/>
  <c r="M69" i="15"/>
  <c r="N69" i="15"/>
  <c r="N68" i="15"/>
  <c r="Q67" i="15"/>
  <c r="P67" i="15"/>
  <c r="N67" i="15"/>
  <c r="Q66" i="15"/>
  <c r="P66" i="15"/>
  <c r="N66" i="15"/>
  <c r="Q65" i="15"/>
  <c r="P65" i="15"/>
  <c r="M65" i="15"/>
  <c r="N65" i="15"/>
  <c r="Q64" i="15"/>
  <c r="P64" i="15"/>
  <c r="N64" i="15"/>
  <c r="N63" i="15"/>
  <c r="Q62" i="15"/>
  <c r="P62" i="15"/>
  <c r="M62" i="15"/>
  <c r="N62" i="15"/>
  <c r="Q61" i="15"/>
  <c r="P61" i="15"/>
  <c r="M61" i="15"/>
  <c r="N61" i="15"/>
  <c r="Q60" i="15"/>
  <c r="P60" i="15"/>
  <c r="M60" i="15"/>
  <c r="N60" i="15"/>
  <c r="Q59" i="15"/>
  <c r="P59" i="15"/>
  <c r="M59" i="15"/>
  <c r="N59" i="15"/>
  <c r="M25" i="15"/>
  <c r="P24" i="15"/>
  <c r="M24" i="15"/>
  <c r="P23" i="15"/>
  <c r="M23" i="15"/>
  <c r="M22" i="15"/>
  <c r="P21" i="15"/>
  <c r="M21" i="15"/>
  <c r="P20" i="15"/>
  <c r="M20" i="15"/>
  <c r="P19" i="15"/>
  <c r="M19" i="15"/>
  <c r="P17" i="15"/>
  <c r="P16" i="15"/>
  <c r="M16" i="15"/>
  <c r="P15" i="15"/>
  <c r="M15" i="15"/>
  <c r="P13" i="15"/>
  <c r="M13" i="15"/>
  <c r="P10" i="15"/>
  <c r="M10" i="15"/>
  <c r="F4" i="15"/>
  <c r="E4" i="15"/>
  <c r="D4" i="15"/>
  <c r="C3" i="15"/>
  <c r="M64" i="15"/>
  <c r="M80" i="15"/>
  <c r="M145" i="15"/>
  <c r="M169" i="15"/>
  <c r="M175" i="15"/>
  <c r="M230" i="15"/>
  <c r="M232" i="15"/>
  <c r="M67" i="15"/>
  <c r="M79" i="15"/>
  <c r="M84" i="15"/>
  <c r="M207" i="15"/>
  <c r="M66" i="15"/>
  <c r="M206" i="15"/>
  <c r="M216" i="15"/>
  <c r="M226" i="15"/>
  <c r="M236" i="15"/>
  <c r="J13" i="10"/>
  <c r="G13" i="10"/>
  <c r="J12" i="10"/>
  <c r="G12" i="10"/>
  <c r="J11" i="10"/>
  <c r="G11" i="10"/>
  <c r="J10" i="10"/>
  <c r="G10" i="10"/>
  <c r="J9" i="10"/>
  <c r="G9" i="10"/>
  <c r="J8" i="10"/>
  <c r="G8" i="10"/>
  <c r="J7" i="10"/>
  <c r="G7" i="10"/>
  <c r="J6" i="10"/>
  <c r="G6" i="10"/>
  <c r="J5" i="10"/>
  <c r="G5" i="10"/>
  <c r="J4" i="10"/>
  <c r="G4" i="10"/>
  <c r="J3" i="10"/>
  <c r="G3" i="10"/>
  <c r="J2" i="10"/>
  <c r="G2" i="10"/>
  <c r="B1" i="6"/>
  <c r="F4" i="1"/>
  <c r="E4" i="1"/>
  <c r="D4" i="1"/>
  <c r="C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00000000-0006-0000-0200-00000100000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00000000-0006-0000-0300-00000100000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00000000-0006-0000-0400-00000100000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sharedStrings.xml><?xml version="1.0" encoding="utf-8"?>
<sst xmlns="http://schemas.openxmlformats.org/spreadsheetml/2006/main" count="15774" uniqueCount="1378">
  <si>
    <t>1F</t>
    <phoneticPr fontId="1" type="noConversion"/>
  </si>
  <si>
    <t>update</t>
    <phoneticPr fontId="1" type="noConversion"/>
  </si>
  <si>
    <t>2017.5.14</t>
    <phoneticPr fontId="1" type="noConversion"/>
  </si>
  <si>
    <t>Criteria</t>
    <phoneticPr fontId="1" type="noConversion"/>
  </si>
  <si>
    <t>#</t>
    <phoneticPr fontId="1" type="noConversion"/>
  </si>
  <si>
    <t>Item</t>
    <phoneticPr fontId="1" type="noConversion"/>
  </si>
  <si>
    <t>Type</t>
    <phoneticPr fontId="1" type="noConversion"/>
  </si>
  <si>
    <t>PassCriteriaFormula</t>
    <phoneticPr fontId="1" type="noConversion"/>
  </si>
  <si>
    <t>0104</t>
  </si>
  <si>
    <t>0105</t>
  </si>
  <si>
    <t>0106</t>
  </si>
  <si>
    <t>0107</t>
  </si>
  <si>
    <t>0108</t>
  </si>
  <si>
    <t>0109</t>
  </si>
  <si>
    <t>0110</t>
  </si>
  <si>
    <t>0111</t>
  </si>
  <si>
    <t>0112</t>
  </si>
  <si>
    <t>0113</t>
  </si>
  <si>
    <t>0114</t>
  </si>
  <si>
    <t>0201</t>
    <phoneticPr fontId="1" type="noConversion"/>
  </si>
  <si>
    <t>0203</t>
  </si>
  <si>
    <t>0204</t>
  </si>
  <si>
    <t>0205</t>
  </si>
  <si>
    <t>0206</t>
  </si>
  <si>
    <t>0207</t>
  </si>
  <si>
    <t>0208</t>
  </si>
  <si>
    <t>0209</t>
  </si>
  <si>
    <t>0210</t>
  </si>
  <si>
    <t>0211</t>
  </si>
  <si>
    <t>0212</t>
  </si>
  <si>
    <t>0213</t>
  </si>
  <si>
    <t>0214</t>
  </si>
  <si>
    <t>0215</t>
  </si>
  <si>
    <t>0303</t>
  </si>
  <si>
    <t>0305</t>
  </si>
  <si>
    <t>0306</t>
  </si>
  <si>
    <t>0308</t>
  </si>
  <si>
    <t>0402</t>
    <phoneticPr fontId="1" type="noConversion"/>
  </si>
  <si>
    <t>0403</t>
    <phoneticPr fontId="1" type="noConversion"/>
  </si>
  <si>
    <t>0404</t>
  </si>
  <si>
    <t>0405</t>
  </si>
  <si>
    <t>0406</t>
  </si>
  <si>
    <t>0407</t>
  </si>
  <si>
    <t>0408</t>
  </si>
  <si>
    <t>0409</t>
  </si>
  <si>
    <t>0410</t>
  </si>
  <si>
    <t>0411</t>
  </si>
  <si>
    <t>0412</t>
  </si>
  <si>
    <t>0413</t>
  </si>
  <si>
    <t>0414</t>
  </si>
  <si>
    <t>0415</t>
  </si>
  <si>
    <t>0416</t>
  </si>
  <si>
    <t>0417</t>
  </si>
  <si>
    <t>0418</t>
  </si>
  <si>
    <t>0501</t>
    <phoneticPr fontId="1" type="noConversion"/>
  </si>
  <si>
    <t>0502</t>
    <phoneticPr fontId="1" type="noConversion"/>
  </si>
  <si>
    <t>0503</t>
  </si>
  <si>
    <t>0504</t>
  </si>
  <si>
    <t>0505</t>
  </si>
  <si>
    <t>0506</t>
  </si>
  <si>
    <t>0507</t>
  </si>
  <si>
    <t>0508</t>
  </si>
  <si>
    <t>0509</t>
  </si>
  <si>
    <t>0510</t>
  </si>
  <si>
    <t>0511</t>
  </si>
  <si>
    <t>0600</t>
    <phoneticPr fontId="1" type="noConversion"/>
  </si>
  <si>
    <t>0601</t>
    <phoneticPr fontId="1" type="noConversion"/>
  </si>
  <si>
    <t>0602</t>
    <phoneticPr fontId="1" type="noConversion"/>
  </si>
  <si>
    <t>0603</t>
  </si>
  <si>
    <t>0604</t>
  </si>
  <si>
    <t>0605</t>
  </si>
  <si>
    <t>0606</t>
  </si>
  <si>
    <t>0607</t>
  </si>
  <si>
    <t>0608</t>
  </si>
  <si>
    <t>0609</t>
  </si>
  <si>
    <t>Location</t>
    <phoneticPr fontId="1" type="noConversion"/>
  </si>
  <si>
    <t>Index1</t>
    <phoneticPr fontId="1" type="noConversion"/>
  </si>
  <si>
    <t>Index2</t>
    <phoneticPr fontId="1" type="noConversion"/>
  </si>
  <si>
    <t>Index3</t>
    <phoneticPr fontId="1" type="noConversion"/>
  </si>
  <si>
    <t>---</t>
    <phoneticPr fontId="1" type="noConversion"/>
  </si>
  <si>
    <t>0216</t>
  </si>
  <si>
    <t>0217</t>
  </si>
  <si>
    <t>0218</t>
  </si>
  <si>
    <t>0219</t>
  </si>
  <si>
    <t>Vs &lt;=4Vc *120%</t>
    <phoneticPr fontId="1" type="noConversion"/>
  </si>
  <si>
    <t>0702</t>
    <phoneticPr fontId="1" type="noConversion"/>
  </si>
  <si>
    <t>L/D&lt;=4</t>
    <phoneticPr fontId="1" type="noConversion"/>
  </si>
  <si>
    <t>3.52/fy</t>
    <phoneticPr fontId="1" type="noConversion"/>
  </si>
  <si>
    <t>0703</t>
    <phoneticPr fontId="1" type="noConversion"/>
  </si>
  <si>
    <t>0704</t>
  </si>
  <si>
    <t>0705</t>
  </si>
  <si>
    <t>0706</t>
  </si>
  <si>
    <t>0802</t>
    <phoneticPr fontId="1" type="noConversion"/>
  </si>
  <si>
    <t>0803</t>
    <phoneticPr fontId="1" type="noConversion"/>
  </si>
  <si>
    <t>0804</t>
  </si>
  <si>
    <t>0805</t>
  </si>
  <si>
    <t>0806</t>
  </si>
  <si>
    <t>0807</t>
  </si>
  <si>
    <t>0808</t>
  </si>
  <si>
    <t>0809</t>
  </si>
  <si>
    <t>0810</t>
  </si>
  <si>
    <t>0811</t>
  </si>
  <si>
    <t>0220</t>
  </si>
  <si>
    <t>0221</t>
  </si>
  <si>
    <t>0222</t>
  </si>
  <si>
    <t>0223</t>
  </si>
  <si>
    <t>0224</t>
  </si>
  <si>
    <t>0225</t>
  </si>
  <si>
    <t>0226</t>
  </si>
  <si>
    <t>0227</t>
  </si>
  <si>
    <t>0419</t>
  </si>
  <si>
    <t>0420</t>
  </si>
  <si>
    <t>0115</t>
  </si>
  <si>
    <t>0116</t>
  </si>
  <si>
    <t>0117</t>
  </si>
  <si>
    <t>0118</t>
  </si>
  <si>
    <t>0119</t>
  </si>
  <si>
    <t>0120</t>
  </si>
  <si>
    <t>0121</t>
  </si>
  <si>
    <t>0122</t>
  </si>
  <si>
    <t>0123</t>
  </si>
  <si>
    <t>0124</t>
  </si>
  <si>
    <t>0125</t>
  </si>
  <si>
    <t>0126</t>
  </si>
  <si>
    <t>0127</t>
  </si>
  <si>
    <t>0128</t>
  </si>
  <si>
    <t>0902</t>
    <phoneticPr fontId="1" type="noConversion"/>
  </si>
  <si>
    <t>0903</t>
  </si>
  <si>
    <t>0904</t>
  </si>
  <si>
    <t>0905</t>
  </si>
  <si>
    <t>0906</t>
  </si>
  <si>
    <t>0907</t>
  </si>
  <si>
    <t>1003</t>
  </si>
  <si>
    <t>1004</t>
  </si>
  <si>
    <t>1005</t>
  </si>
  <si>
    <t>1006</t>
  </si>
  <si>
    <t>1101</t>
    <phoneticPr fontId="1" type="noConversion"/>
  </si>
  <si>
    <t>1001</t>
    <phoneticPr fontId="1" type="noConversion"/>
  </si>
  <si>
    <t>1002</t>
    <phoneticPr fontId="1" type="noConversion"/>
  </si>
  <si>
    <t>1102</t>
    <phoneticPr fontId="1" type="noConversion"/>
  </si>
  <si>
    <t>1103</t>
  </si>
  <si>
    <t>1104</t>
  </si>
  <si>
    <t>1105</t>
  </si>
  <si>
    <t>1106</t>
  </si>
  <si>
    <t>1107</t>
  </si>
  <si>
    <t>1108</t>
  </si>
  <si>
    <t>1007</t>
  </si>
  <si>
    <t>1008</t>
  </si>
  <si>
    <t>1009</t>
  </si>
  <si>
    <t>1010</t>
  </si>
  <si>
    <t>1109</t>
  </si>
  <si>
    <t>1110</t>
  </si>
  <si>
    <t>1111</t>
  </si>
  <si>
    <t>1112</t>
  </si>
  <si>
    <t>1113</t>
  </si>
  <si>
    <t>1114</t>
  </si>
  <si>
    <t>1200</t>
    <phoneticPr fontId="1" type="noConversion"/>
  </si>
  <si>
    <t>1201</t>
    <phoneticPr fontId="1" type="noConversion"/>
  </si>
  <si>
    <t>1202</t>
    <phoneticPr fontId="1" type="noConversion"/>
  </si>
  <si>
    <t>1203</t>
  </si>
  <si>
    <t>1204</t>
  </si>
  <si>
    <t>1205</t>
  </si>
  <si>
    <t>1206</t>
  </si>
  <si>
    <t>1207</t>
  </si>
  <si>
    <t>1208</t>
  </si>
  <si>
    <t>1301</t>
    <phoneticPr fontId="1" type="noConversion"/>
  </si>
  <si>
    <t>1302</t>
  </si>
  <si>
    <t>1303</t>
  </si>
  <si>
    <t>1304</t>
  </si>
  <si>
    <t>1305</t>
  </si>
  <si>
    <t>1306</t>
  </si>
  <si>
    <t>1300</t>
    <phoneticPr fontId="1" type="noConversion"/>
  </si>
  <si>
    <t>0129</t>
  </si>
  <si>
    <t>0130</t>
  </si>
  <si>
    <t>0131</t>
  </si>
  <si>
    <t>0132</t>
  </si>
  <si>
    <t>0133</t>
  </si>
  <si>
    <t>0134</t>
  </si>
  <si>
    <t>0135</t>
  </si>
  <si>
    <t>0136</t>
  </si>
  <si>
    <t>0137</t>
  </si>
  <si>
    <t>0138</t>
  </si>
  <si>
    <t>0139</t>
  </si>
  <si>
    <t>0140</t>
  </si>
  <si>
    <t>0141</t>
  </si>
  <si>
    <t>0142</t>
  </si>
  <si>
    <t>0143</t>
  </si>
  <si>
    <t>0144</t>
  </si>
  <si>
    <t>0145</t>
  </si>
  <si>
    <t>ALL</t>
    <phoneticPr fontId="1" type="noConversion"/>
  </si>
  <si>
    <t>ALL</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</si>
  <si>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</si>
  <si>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</si>
  <si>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</si>
  <si>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</si>
  <si>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</si>
  <si>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</si>
  <si>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</si>
  <si>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</si>
  <si>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</si>
  <si>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0701</t>
    <phoneticPr fontId="1" type="noConversion"/>
  </si>
  <si>
    <t>0801</t>
    <phoneticPr fontId="1" type="noConversion"/>
  </si>
  <si>
    <t>0900</t>
    <phoneticPr fontId="1" type="noConversion"/>
  </si>
  <si>
    <t>1000</t>
    <phoneticPr fontId="1" type="noConversion"/>
  </si>
  <si>
    <t>1100</t>
    <phoneticPr fontId="1" type="noConversion"/>
  </si>
  <si>
    <t>0401</t>
    <phoneticPr fontId="1" type="noConversion"/>
  </si>
  <si>
    <t>0300</t>
    <phoneticPr fontId="1" type="noConversion"/>
  </si>
  <si>
    <t>0200</t>
    <phoneticPr fontId="1" type="noConversion"/>
  </si>
  <si>
    <t>0100</t>
    <phoneticPr fontId="1" type="noConversion"/>
  </si>
  <si>
    <t>NG Message</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</si>
  <si>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</si>
  <si>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</si>
  <si>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</si>
  <si>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</si>
  <si>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</si>
  <si>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</si>
  <si>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</si>
  <si>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</si>
  <si>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</si>
  <si>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0500</t>
    <phoneticPr fontId="1" type="noConversion"/>
  </si>
  <si>
    <t xml:space="preserve">   </t>
    <phoneticPr fontId="1" type="noConversion"/>
  </si>
  <si>
    <t>0421</t>
  </si>
  <si>
    <t>UPDATE</t>
    <phoneticPr fontId="1" type="noConversion"/>
  </si>
  <si>
    <t>PROJECT</t>
    <phoneticPr fontId="1" type="noConversion"/>
  </si>
  <si>
    <t>SUBJECT</t>
    <phoneticPr fontId="1" type="noConversion"/>
  </si>
  <si>
    <t>4F</t>
  </si>
  <si>
    <t>3F</t>
  </si>
  <si>
    <t>2F</t>
  </si>
  <si>
    <t>B1</t>
    <phoneticPr fontId="1" type="noConversion"/>
  </si>
  <si>
    <t>#3</t>
  </si>
  <si>
    <t>#10</t>
  </si>
  <si>
    <t>0.375 = 3/8</t>
  </si>
  <si>
    <t>#4</t>
  </si>
  <si>
    <t>#13</t>
  </si>
  <si>
    <t>0.500 = 4/8</t>
  </si>
  <si>
    <t>#5</t>
  </si>
  <si>
    <t>#16</t>
  </si>
  <si>
    <t>0.625 = 5/8</t>
  </si>
  <si>
    <t>#6</t>
  </si>
  <si>
    <t>#19</t>
  </si>
  <si>
    <t>0.750 = 6/8</t>
  </si>
  <si>
    <t>#7</t>
  </si>
  <si>
    <t>#22</t>
  </si>
  <si>
    <t>0.875 = 7/8</t>
  </si>
  <si>
    <t>#8</t>
  </si>
  <si>
    <t>#25</t>
  </si>
  <si>
    <t>1.000 = 8/8</t>
  </si>
  <si>
    <t>#9</t>
  </si>
  <si>
    <t>#29</t>
  </si>
  <si>
    <t>#32</t>
  </si>
  <si>
    <t>#11</t>
  </si>
  <si>
    <t>#36</t>
  </si>
  <si>
    <t>#12</t>
  </si>
  <si>
    <t>#40</t>
  </si>
  <si>
    <t>#14</t>
  </si>
  <si>
    <t>#43</t>
  </si>
  <si>
    <t>#18</t>
  </si>
  <si>
    <t>#57</t>
  </si>
  <si>
    <t>0202</t>
  </si>
  <si>
    <t>0228</t>
  </si>
  <si>
    <t>0229</t>
  </si>
  <si>
    <t>0230</t>
  </si>
  <si>
    <t>0231</t>
  </si>
  <si>
    <t>0232</t>
  </si>
  <si>
    <t>0233</t>
  </si>
  <si>
    <t>0234</t>
  </si>
  <si>
    <t>0235</t>
  </si>
  <si>
    <t>0236</t>
  </si>
  <si>
    <t>0237</t>
  </si>
  <si>
    <t>0238</t>
  </si>
  <si>
    <t>0239</t>
  </si>
  <si>
    <t>0240</t>
  </si>
  <si>
    <t>0241</t>
  </si>
  <si>
    <r>
      <rPr>
        <sz val="12"/>
        <color rgb="FF9C5700"/>
        <rFont val="微軟正黑體"/>
        <family val="2"/>
        <charset val="136"/>
      </rPr>
      <t>鋼筋尺寸</t>
    </r>
  </si>
  <si>
    <r>
      <t>"Soft"</t>
    </r>
    <r>
      <rPr>
        <sz val="12"/>
        <color theme="1"/>
        <rFont val="微軟正黑體"/>
        <family val="2"/>
        <charset val="136"/>
      </rPr>
      <t>鋼筋尺寸</t>
    </r>
  </si>
  <si>
    <r>
      <rPr>
        <sz val="12"/>
        <color theme="1"/>
        <rFont val="微軟正黑體"/>
        <family val="2"/>
        <charset val="136"/>
      </rPr>
      <t>重量（</t>
    </r>
    <r>
      <rPr>
        <sz val="12"/>
        <color theme="1"/>
        <rFont val="Calibri"/>
        <family val="2"/>
      </rPr>
      <t>lb/ft</t>
    </r>
    <r>
      <rPr>
        <sz val="12"/>
        <color theme="1"/>
        <rFont val="微軟正黑體"/>
        <family val="2"/>
        <charset val="136"/>
      </rPr>
      <t>）</t>
    </r>
  </si>
  <si>
    <r>
      <rPr>
        <sz val="12"/>
        <color theme="1"/>
        <rFont val="微軟正黑體"/>
        <family val="2"/>
        <charset val="136"/>
      </rPr>
      <t>重量（</t>
    </r>
    <r>
      <rPr>
        <sz val="12"/>
        <color theme="1"/>
        <rFont val="Calibri"/>
        <family val="2"/>
      </rPr>
      <t>kg/m</t>
    </r>
    <r>
      <rPr>
        <sz val="12"/>
        <color theme="1"/>
        <rFont val="微軟正黑體"/>
        <family val="2"/>
        <charset val="136"/>
      </rPr>
      <t>）</t>
    </r>
  </si>
  <si>
    <r>
      <rPr>
        <sz val="12"/>
        <color theme="1"/>
        <rFont val="微軟正黑體"/>
        <family val="2"/>
        <charset val="136"/>
      </rPr>
      <t>直徑（</t>
    </r>
    <r>
      <rPr>
        <sz val="12"/>
        <color theme="1"/>
        <rFont val="Calibri"/>
        <family val="2"/>
      </rPr>
      <t>in</t>
    </r>
    <r>
      <rPr>
        <sz val="12"/>
        <color theme="1"/>
        <rFont val="微軟正黑體"/>
        <family val="2"/>
        <charset val="136"/>
      </rPr>
      <t>）</t>
    </r>
  </si>
  <si>
    <r>
      <rPr>
        <sz val="12"/>
        <color theme="1"/>
        <rFont val="微軟正黑體"/>
        <family val="2"/>
        <charset val="136"/>
      </rPr>
      <t>直徑（</t>
    </r>
    <r>
      <rPr>
        <sz val="12"/>
        <color theme="1"/>
        <rFont val="Calibri"/>
        <family val="2"/>
      </rPr>
      <t>mm</t>
    </r>
    <r>
      <rPr>
        <sz val="12"/>
        <color theme="1"/>
        <rFont val="微軟正黑體"/>
        <family val="2"/>
        <charset val="136"/>
      </rPr>
      <t>）</t>
    </r>
  </si>
  <si>
    <r>
      <rPr>
        <sz val="12"/>
        <color theme="1"/>
        <rFont val="微軟正黑體"/>
        <family val="2"/>
        <charset val="136"/>
      </rPr>
      <t>截面積（</t>
    </r>
    <r>
      <rPr>
        <sz val="12"/>
        <color theme="1"/>
        <rFont val="Calibri"/>
        <family val="2"/>
      </rPr>
      <t>in²</t>
    </r>
    <r>
      <rPr>
        <sz val="12"/>
        <color theme="1"/>
        <rFont val="微軟正黑體"/>
        <family val="2"/>
        <charset val="136"/>
      </rPr>
      <t>）</t>
    </r>
  </si>
  <si>
    <r>
      <rPr>
        <sz val="12"/>
        <color theme="1"/>
        <rFont val="微軟正黑體"/>
        <family val="2"/>
        <charset val="136"/>
      </rPr>
      <t>截面積（</t>
    </r>
    <r>
      <rPr>
        <sz val="12"/>
        <color theme="1"/>
        <rFont val="Calibri"/>
        <family val="2"/>
      </rPr>
      <t>mm²</t>
    </r>
    <r>
      <rPr>
        <sz val="12"/>
        <color theme="1"/>
        <rFont val="微軟正黑體"/>
        <family val="2"/>
        <charset val="136"/>
      </rPr>
      <t>）</t>
    </r>
  </si>
  <si>
    <t>Warning Message</t>
  </si>
  <si>
    <t>ALL</t>
  </si>
  <si>
    <t>4.9.4</t>
    <phoneticPr fontId="1" type="noConversion"/>
  </si>
  <si>
    <t>4.9.3</t>
    <phoneticPr fontId="1" type="noConversion"/>
  </si>
  <si>
    <t>-</t>
  </si>
  <si>
    <t>#3@15</t>
  </si>
  <si>
    <t>#4@10</t>
  </si>
  <si>
    <t>#4@15</t>
  </si>
  <si>
    <t>RF</t>
  </si>
  <si>
    <t>#4@12</t>
  </si>
  <si>
    <t>Note</t>
  </si>
  <si>
    <t>RF</t>
    <phoneticPr fontId="1" type="noConversion"/>
  </si>
  <si>
    <t>3-#6</t>
  </si>
  <si>
    <t>6-#6</t>
  </si>
  <si>
    <t>C11</t>
  </si>
  <si>
    <t>C12</t>
  </si>
  <si>
    <t>C28</t>
  </si>
  <si>
    <t>C15</t>
  </si>
  <si>
    <t>C1</t>
  </si>
  <si>
    <t>C2</t>
  </si>
  <si>
    <t>C3</t>
  </si>
  <si>
    <t>C4</t>
  </si>
  <si>
    <t>C5</t>
  </si>
  <si>
    <t>C6</t>
  </si>
  <si>
    <t>C7</t>
  </si>
  <si>
    <t>C8</t>
  </si>
  <si>
    <t>C9</t>
  </si>
  <si>
    <t>C10</t>
  </si>
  <si>
    <t>C14</t>
  </si>
  <si>
    <t>C16</t>
  </si>
  <si>
    <t>C21</t>
  </si>
  <si>
    <t>C22</t>
  </si>
  <si>
    <t>C23</t>
  </si>
  <si>
    <t>C25</t>
  </si>
  <si>
    <t>C26</t>
  </si>
  <si>
    <t>C27</t>
  </si>
  <si>
    <t>Story</t>
  </si>
  <si>
    <t>cm</t>
  </si>
  <si>
    <t>0102</t>
  </si>
  <si>
    <t>0103</t>
  </si>
  <si>
    <t>0101</t>
    <phoneticPr fontId="1" type="noConversion"/>
  </si>
  <si>
    <t>---</t>
    <phoneticPr fontId="1" type="noConversion"/>
  </si>
  <si>
    <t>0400</t>
    <phoneticPr fontId="1" type="noConversion"/>
  </si>
  <si>
    <t>0700</t>
    <phoneticPr fontId="1" type="noConversion"/>
  </si>
  <si>
    <t>0800</t>
    <phoneticPr fontId="1" type="noConversion"/>
  </si>
  <si>
    <t>0301</t>
    <phoneticPr fontId="1" type="noConversion"/>
  </si>
  <si>
    <t>0302</t>
  </si>
  <si>
    <t>0304</t>
  </si>
  <si>
    <t>0307</t>
  </si>
  <si>
    <t>0309</t>
  </si>
  <si>
    <t>0310</t>
  </si>
  <si>
    <t>0311</t>
  </si>
  <si>
    <t>0312</t>
  </si>
  <si>
    <t>0201</t>
    <phoneticPr fontId="1" type="noConversion"/>
  </si>
  <si>
    <t>0401</t>
    <phoneticPr fontId="1" type="noConversion"/>
  </si>
  <si>
    <t>0402</t>
  </si>
  <si>
    <t>0403</t>
  </si>
  <si>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</si>
  <si>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</si>
  <si>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</si>
  <si>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深梁</t>
    </r>
  </si>
  <si>
    <r>
      <rPr>
        <sz val="12"/>
        <rFont val="微軟正黑體"/>
        <family val="2"/>
        <charset val="136"/>
      </rPr>
      <t>箍筋</t>
    </r>
    <phoneticPr fontId="1" type="noConversion"/>
  </si>
  <si>
    <r>
      <rPr>
        <sz val="12"/>
        <rFont val="微軟正黑體"/>
        <family val="2"/>
        <charset val="136"/>
      </rPr>
      <t>下限</t>
    </r>
    <phoneticPr fontId="1" type="noConversion"/>
  </si>
  <si>
    <r>
      <rPr>
        <sz val="12"/>
        <rFont val="微軟正黑體"/>
        <family val="2"/>
        <charset val="136"/>
      </rPr>
      <t>側筋</t>
    </r>
    <phoneticPr fontId="1" type="noConversion"/>
  </si>
  <si>
    <r>
      <rPr>
        <sz val="12"/>
        <rFont val="微軟正黑體"/>
        <family val="2"/>
        <charset val="136"/>
      </rPr>
      <t>上限</t>
    </r>
    <phoneticPr fontId="1" type="noConversion"/>
  </si>
  <si>
    <r>
      <rPr>
        <sz val="12"/>
        <color theme="1"/>
        <rFont val="微軟正黑體"/>
        <family val="2"/>
        <charset val="136"/>
      </rPr>
      <t>主筋比</t>
    </r>
  </si>
  <si>
    <r>
      <rPr>
        <sz val="12"/>
        <color theme="1"/>
        <rFont val="微軟正黑體"/>
        <family val="2"/>
        <charset val="136"/>
      </rPr>
      <t>上層筋</t>
    </r>
  </si>
  <si>
    <r>
      <rPr>
        <sz val="12"/>
        <rFont val="微軟正黑體"/>
        <family val="2"/>
        <charset val="136"/>
      </rPr>
      <t>下限</t>
    </r>
  </si>
  <si>
    <r>
      <rPr>
        <sz val="12"/>
        <rFont val="微軟正黑體"/>
        <family val="2"/>
        <charset val="136"/>
      </rPr>
      <t>最少鋼筋比大於</t>
    </r>
    <r>
      <rPr>
        <sz val="12"/>
        <rFont val="Calibri"/>
        <family val="2"/>
      </rPr>
      <t xml:space="preserve"> 0.3 %</t>
    </r>
  </si>
  <si>
    <r>
      <rPr>
        <sz val="12"/>
        <color theme="1"/>
        <rFont val="微軟正黑體"/>
        <family val="2"/>
        <charset val="136"/>
      </rPr>
      <t>下層筋</t>
    </r>
  </si>
  <si>
    <r>
      <rPr>
        <sz val="12"/>
        <rFont val="微軟正黑體"/>
        <family val="2"/>
        <charset val="136"/>
      </rPr>
      <t>鋼筋間距</t>
    </r>
    <r>
      <rPr>
        <sz val="12"/>
        <rFont val="Calibri"/>
        <family val="2"/>
      </rPr>
      <t xml:space="preserve"> 25 cm </t>
    </r>
    <r>
      <rPr>
        <sz val="12"/>
        <rFont val="微軟正黑體"/>
        <family val="2"/>
        <charset val="136"/>
      </rPr>
      <t>以下</t>
    </r>
  </si>
  <si>
    <r>
      <rPr>
        <sz val="12"/>
        <rFont val="微軟正黑體"/>
        <family val="2"/>
        <charset val="136"/>
      </rPr>
      <t>鋼筋比在</t>
    </r>
    <r>
      <rPr>
        <sz val="12"/>
        <rFont val="Calibri"/>
        <family val="2"/>
      </rPr>
      <t xml:space="preserve"> 2% </t>
    </r>
    <r>
      <rPr>
        <sz val="12"/>
        <rFont val="微軟正黑體"/>
        <family val="2"/>
        <charset val="136"/>
      </rPr>
      <t>以下</t>
    </r>
  </si>
  <si>
    <r>
      <rPr>
        <sz val="12"/>
        <color theme="1"/>
        <rFont val="微軟正黑體"/>
        <family val="2"/>
        <charset val="136"/>
      </rPr>
      <t>中央</t>
    </r>
  </si>
  <si>
    <r>
      <rPr>
        <sz val="12"/>
        <color theme="1"/>
        <rFont val="微軟正黑體"/>
        <family val="2"/>
        <charset val="136"/>
      </rPr>
      <t>左端</t>
    </r>
  </si>
  <si>
    <r>
      <rPr>
        <sz val="12"/>
        <rFont val="微軟正黑體"/>
        <family val="2"/>
        <charset val="136"/>
      </rPr>
      <t>如果鋼筋支數大於</t>
    </r>
    <r>
      <rPr>
        <sz val="12"/>
        <rFont val="Calibri"/>
        <family val="2"/>
      </rPr>
      <t>3</t>
    </r>
    <r>
      <rPr>
        <sz val="12"/>
        <rFont val="微軟正黑體"/>
        <family val="2"/>
        <charset val="136"/>
      </rPr>
      <t>支，端部上層鋼筋量需小於中央鋼筋量的</t>
    </r>
    <r>
      <rPr>
        <sz val="12"/>
        <rFont val="Calibri"/>
        <family val="2"/>
      </rPr>
      <t xml:space="preserve"> 70%</t>
    </r>
    <r>
      <rPr>
        <sz val="12"/>
        <rFont val="微軟正黑體"/>
        <family val="2"/>
        <charset val="136"/>
      </rPr>
      <t>。</t>
    </r>
  </si>
  <si>
    <r>
      <rPr>
        <sz val="12"/>
        <color theme="1"/>
        <rFont val="微軟正黑體"/>
        <family val="2"/>
        <charset val="136"/>
      </rPr>
      <t>右端</t>
    </r>
  </si>
  <si>
    <r>
      <rPr>
        <sz val="12"/>
        <rFont val="微軟正黑體"/>
        <family val="2"/>
        <charset val="136"/>
      </rPr>
      <t>箍筋間距</t>
    </r>
    <phoneticPr fontId="1" type="noConversion"/>
  </si>
  <si>
    <r>
      <rPr>
        <sz val="12"/>
        <rFont val="微軟正黑體"/>
        <family val="2"/>
        <charset val="136"/>
      </rPr>
      <t>箍筋間距</t>
    </r>
    <r>
      <rPr>
        <sz val="12"/>
        <rFont val="Calibri"/>
        <family val="2"/>
      </rPr>
      <t xml:space="preserve"> 10cm </t>
    </r>
    <r>
      <rPr>
        <sz val="12"/>
        <rFont val="微軟正黑體"/>
        <family val="2"/>
        <charset val="136"/>
      </rPr>
      <t>以上</t>
    </r>
  </si>
  <si>
    <r>
      <rPr>
        <sz val="12"/>
        <rFont val="微軟正黑體"/>
        <family val="2"/>
        <charset val="136"/>
      </rPr>
      <t>箍筋間距</t>
    </r>
    <r>
      <rPr>
        <sz val="12"/>
        <rFont val="Calibri"/>
        <family val="2"/>
      </rPr>
      <t xml:space="preserve"> 30cm </t>
    </r>
    <r>
      <rPr>
        <sz val="12"/>
        <rFont val="微軟正黑體"/>
        <family val="2"/>
        <charset val="136"/>
      </rPr>
      <t>以下</t>
    </r>
  </si>
  <si>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</si>
  <si>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</si>
  <si>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</si>
  <si>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受撓構材之最少鋼筋量</t>
    </r>
  </si>
  <si>
    <r>
      <rPr>
        <sz val="12"/>
        <color theme="1"/>
        <rFont val="微軟正黑體"/>
        <family val="2"/>
        <charset val="136"/>
      </rPr>
      <t>【</t>
    </r>
    <r>
      <rPr>
        <sz val="12"/>
        <color theme="1"/>
        <rFont val="Calibri"/>
        <family val="2"/>
      </rPr>
      <t>0201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</si>
  <si>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</si>
  <si>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</si>
  <si>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</si>
  <si>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</si>
  <si>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如梁與柵版之總深度</t>
    </r>
    <r>
      <rPr>
        <sz val="12"/>
        <color theme="1"/>
        <rFont val="Calibri"/>
        <family val="2"/>
      </rPr>
      <t xml:space="preserve"> h </t>
    </r>
    <r>
      <rPr>
        <sz val="12"/>
        <color theme="1"/>
        <rFont val="微軟正黑體"/>
        <family val="2"/>
        <charset val="136"/>
      </rPr>
      <t>超過</t>
    </r>
    <r>
      <rPr>
        <sz val="12"/>
        <color theme="1"/>
        <rFont val="Calibri"/>
        <family val="2"/>
      </rPr>
      <t xml:space="preserve"> 90 cm </t>
    </r>
    <r>
      <rPr>
        <sz val="12"/>
        <color theme="1"/>
        <rFont val="微軟正黑體"/>
        <family val="2"/>
        <charset val="136"/>
      </rPr>
      <t>時，在距最外受拉面</t>
    </r>
    <r>
      <rPr>
        <sz val="12"/>
        <color theme="1"/>
        <rFont val="Calibri"/>
        <family val="2"/>
      </rPr>
      <t xml:space="preserve"> h/2 </t>
    </r>
    <r>
      <rPr>
        <sz val="12"/>
        <color theme="1"/>
        <rFont val="微軟正黑體"/>
        <family val="2"/>
        <charset val="136"/>
      </rPr>
      <t>範圍內之梁腹兩側應加置縱向表層鋼筋，梁腹每側表層鋼筋之間距</t>
    </r>
    <r>
      <rPr>
        <sz val="12"/>
        <color theme="1"/>
        <rFont val="Calibri"/>
        <family val="2"/>
      </rPr>
      <t xml:space="preserve"> s </t>
    </r>
    <r>
      <rPr>
        <sz val="12"/>
        <color theme="1"/>
        <rFont val="微軟正黑體"/>
        <family val="2"/>
        <charset val="136"/>
      </rPr>
      <t>不得大於式</t>
    </r>
    <r>
      <rPr>
        <sz val="12"/>
        <color theme="1"/>
        <rFont val="Calibri"/>
        <family val="2"/>
      </rPr>
      <t>(3-6)</t>
    </r>
    <r>
      <rPr>
        <sz val="12"/>
        <color theme="1"/>
        <rFont val="微軟正黑體"/>
        <family val="2"/>
        <charset val="136"/>
      </rPr>
      <t>之規定，其</t>
    </r>
    <r>
      <rPr>
        <sz val="12"/>
        <color theme="1"/>
        <rFont val="Calibri"/>
        <family val="2"/>
      </rPr>
      <t xml:space="preserve"> cc</t>
    </r>
    <r>
      <rPr>
        <sz val="12"/>
        <color theme="1"/>
        <rFont val="微軟正黑體"/>
        <family val="2"/>
        <charset val="136"/>
      </rPr>
      <t>為表層鋼筋或預力鋼筋至最近側面之淨保護層厚度。此等鋼筋應可併入強度計算，惟鋼筋之應力須按應變一致性之分析求得。</t>
    </r>
  </si>
  <si>
    <r>
      <rPr>
        <sz val="12"/>
        <color theme="1"/>
        <rFont val="微軟正黑體"/>
        <family val="2"/>
        <charset val="136"/>
      </rPr>
      <t>淨跨</t>
    </r>
    <r>
      <rPr>
        <sz val="12"/>
        <color theme="1"/>
        <rFont val="Calibri"/>
        <family val="2"/>
      </rPr>
      <t xml:space="preserve"> ln </t>
    </r>
    <r>
      <rPr>
        <sz val="12"/>
        <color theme="1"/>
        <rFont val="微軟正黑體"/>
        <family val="2"/>
        <charset val="136"/>
      </rPr>
      <t>不大於</t>
    </r>
    <r>
      <rPr>
        <sz val="12"/>
        <color theme="1"/>
        <rFont val="Calibri"/>
        <family val="2"/>
      </rPr>
      <t xml:space="preserve"> 4 </t>
    </r>
    <r>
      <rPr>
        <sz val="12"/>
        <color theme="1"/>
        <rFont val="微軟正黑體"/>
        <family val="2"/>
        <charset val="136"/>
      </rPr>
      <t>倍梁總深</t>
    </r>
  </si>
  <si>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</si>
  <si>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</si>
  <si>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剪力計算強度</t>
    </r>
    <r>
      <rPr>
        <sz val="12"/>
        <color theme="1"/>
        <rFont val="Calibri"/>
        <family val="2"/>
      </rPr>
      <t xml:space="preserve"> Vs </t>
    </r>
    <r>
      <rPr>
        <sz val="12"/>
        <color theme="1"/>
        <rFont val="微軟正黑體"/>
        <family val="2"/>
        <charset val="136"/>
      </rPr>
      <t>不可大於</t>
    </r>
    <r>
      <rPr>
        <sz val="12"/>
        <color theme="1"/>
        <rFont val="Calibri"/>
        <family val="2"/>
      </rPr>
      <t xml:space="preserve"> 2.12 * fc' * bw * d</t>
    </r>
    <r>
      <rPr>
        <sz val="12"/>
        <color theme="1"/>
        <rFont val="微軟正黑體"/>
        <family val="2"/>
        <charset val="136"/>
      </rPr>
      <t>。</t>
    </r>
  </si>
  <si>
    <r>
      <rPr>
        <sz val="12"/>
        <color theme="1"/>
        <rFont val="微軟正黑體"/>
        <family val="2"/>
        <charset val="136"/>
      </rPr>
      <t>單排支數</t>
    </r>
  </si>
  <si>
    <r>
      <rPr>
        <sz val="12"/>
        <color theme="1"/>
        <rFont val="微軟正黑體"/>
        <family val="2"/>
        <charset val="136"/>
      </rPr>
      <t>同層平行鋼筋間之淨距不得小於</t>
    </r>
    <r>
      <rPr>
        <sz val="12"/>
        <color theme="1"/>
        <rFont val="Calibri"/>
        <family val="2"/>
      </rPr>
      <t xml:space="preserve"> 1.0db</t>
    </r>
    <r>
      <rPr>
        <sz val="12"/>
        <color theme="1"/>
        <rFont val="微軟正黑體"/>
        <family val="2"/>
        <charset val="136"/>
      </rPr>
      <t>，或粗粒料標稱最大粒徑</t>
    </r>
    <r>
      <rPr>
        <sz val="12"/>
        <color theme="1"/>
        <rFont val="Calibri"/>
        <family val="2"/>
      </rPr>
      <t xml:space="preserve"> 1.33 </t>
    </r>
    <r>
      <rPr>
        <sz val="12"/>
        <color theme="1"/>
        <rFont val="微軟正黑體"/>
        <family val="2"/>
        <charset val="136"/>
      </rPr>
      <t>倍，亦不得小於</t>
    </r>
    <r>
      <rPr>
        <sz val="12"/>
        <color theme="1"/>
        <rFont val="Calibri"/>
        <family val="2"/>
      </rPr>
      <t xml:space="preserve"> 2.5 cm</t>
    </r>
    <r>
      <rPr>
        <sz val="12"/>
        <color theme="1"/>
        <rFont val="微軟正黑體"/>
        <family val="2"/>
        <charset val="136"/>
      </rPr>
      <t>。</t>
    </r>
  </si>
  <si>
    <r>
      <rPr>
        <sz val="12"/>
        <color theme="1"/>
        <rFont val="微軟正黑體"/>
        <family val="2"/>
        <charset val="136"/>
      </rPr>
      <t>【</t>
    </r>
    <r>
      <rPr>
        <sz val="12"/>
        <color theme="1"/>
        <rFont val="Calibri"/>
        <family val="2"/>
      </rPr>
      <t>0210</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</si>
  <si>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單排支數需大於</t>
    </r>
    <r>
      <rPr>
        <sz val="12"/>
        <color theme="1"/>
        <rFont val="Calibri"/>
        <family val="2"/>
      </rPr>
      <t>1</t>
    </r>
    <r>
      <rPr>
        <sz val="12"/>
        <color theme="1"/>
        <rFont val="微軟正黑體"/>
        <family val="2"/>
        <charset val="136"/>
      </rPr>
      <t>支</t>
    </r>
  </si>
  <si>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</si>
  <si>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拉力鋼筋比不得大於</t>
    </r>
    <r>
      <rPr>
        <sz val="12"/>
        <color theme="1"/>
        <rFont val="Calibri"/>
        <family val="2"/>
      </rPr>
      <t xml:space="preserve"> (fc' + 100) / (4 * fy)</t>
    </r>
    <r>
      <rPr>
        <sz val="12"/>
        <color theme="1"/>
        <rFont val="微軟正黑體"/>
        <family val="2"/>
        <charset val="136"/>
      </rPr>
      <t>，亦不得大於</t>
    </r>
    <r>
      <rPr>
        <sz val="12"/>
        <color theme="1"/>
        <rFont val="Calibri"/>
        <family val="2"/>
      </rPr>
      <t xml:space="preserve"> 0.025</t>
    </r>
    <r>
      <rPr>
        <sz val="12"/>
        <color theme="1"/>
        <rFont val="微軟正黑體"/>
        <family val="2"/>
        <charset val="136"/>
      </rPr>
      <t>。</t>
    </r>
  </si>
  <si>
    <r>
      <rPr>
        <sz val="12"/>
        <color theme="1"/>
        <rFont val="微軟正黑體"/>
        <family val="2"/>
        <charset val="136"/>
      </rPr>
      <t>【</t>
    </r>
    <r>
      <rPr>
        <sz val="12"/>
        <color theme="1"/>
        <rFont val="Calibri"/>
        <family val="2"/>
      </rPr>
      <t>0214</t>
    </r>
    <r>
      <rPr>
        <sz val="12"/>
        <color theme="1"/>
        <rFont val="微軟正黑體"/>
        <family val="2"/>
        <charset val="136"/>
      </rPr>
      <t>】請確認右端上層筋上限，是否符合規範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</si>
  <si>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0216</t>
    </r>
    <r>
      <rPr>
        <sz val="12"/>
        <color theme="1"/>
        <rFont val="微軟正黑體"/>
        <family val="2"/>
        <charset val="136"/>
      </rPr>
      <t>】請確認中央下層筋上限，是否符合規範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</si>
  <si>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撓曲構材在梁柱交接面及其它可能產生塑鉸位置，其壓力鋼筋量不得小於拉力鋼筋量之半。在沿構材長度上任何斷面，不論正彎矩鋼筋量或負彎矩鋼筋量均不得低於兩端柱面處所具最大負彎矩鋼筋量之</t>
    </r>
    <r>
      <rPr>
        <sz val="12"/>
        <color theme="1"/>
        <rFont val="Calibri"/>
        <family val="2"/>
      </rPr>
      <t xml:space="preserve"> 1/4</t>
    </r>
    <r>
      <rPr>
        <sz val="12"/>
        <color theme="1"/>
        <rFont val="微軟正黑體"/>
        <family val="2"/>
        <charset val="136"/>
      </rPr>
      <t>。</t>
    </r>
  </si>
  <si>
    <r>
      <rPr>
        <sz val="12"/>
        <color theme="1"/>
        <rFont val="微軟正黑體"/>
        <family val="2"/>
        <charset val="136"/>
      </rPr>
      <t>【</t>
    </r>
    <r>
      <rPr>
        <sz val="12"/>
        <color theme="1"/>
        <rFont val="Calibri"/>
        <family val="2"/>
      </rPr>
      <t>0218</t>
    </r>
    <r>
      <rPr>
        <sz val="12"/>
        <color theme="1"/>
        <rFont val="微軟正黑體"/>
        <family val="2"/>
        <charset val="136"/>
      </rPr>
      <t>】請確認耐震最小量鋼筋，是否符合規範</t>
    </r>
    <r>
      <rPr>
        <sz val="12"/>
        <color theme="1"/>
        <rFont val="Calibri"/>
        <family val="2"/>
      </rPr>
      <t xml:space="preserve"> 15.4.2.2 </t>
    </r>
    <r>
      <rPr>
        <sz val="12"/>
        <color theme="1"/>
        <rFont val="微軟正黑體"/>
        <family val="2"/>
        <charset val="136"/>
      </rPr>
      <t>規定</t>
    </r>
  </si>
  <si>
    <r>
      <rPr>
        <sz val="12"/>
        <color theme="1"/>
        <rFont val="微軟正黑體"/>
        <family val="2"/>
        <charset val="136"/>
      </rPr>
      <t>【</t>
    </r>
    <r>
      <rPr>
        <sz val="12"/>
        <color theme="1"/>
        <rFont val="Calibri"/>
        <family val="2"/>
      </rPr>
      <t>0219</t>
    </r>
    <r>
      <rPr>
        <sz val="12"/>
        <color theme="1"/>
        <rFont val="微軟正黑體"/>
        <family val="2"/>
        <charset val="136"/>
      </rPr>
      <t>】請確認箍筋間距下限，是否符合</t>
    </r>
    <r>
      <rPr>
        <sz val="12"/>
        <color theme="1"/>
        <rFont val="Calibri"/>
        <family val="2"/>
      </rPr>
      <t xml:space="preserve"> 10cm </t>
    </r>
    <r>
      <rPr>
        <sz val="12"/>
        <color theme="1"/>
        <rFont val="微軟正黑體"/>
        <family val="2"/>
        <charset val="136"/>
      </rPr>
      <t>以上規定</t>
    </r>
  </si>
  <si>
    <r>
      <rPr>
        <sz val="12"/>
        <color theme="1"/>
        <rFont val="微軟正黑體"/>
        <family val="2"/>
        <charset val="136"/>
      </rPr>
      <t>如果鋼筋支數大於</t>
    </r>
    <r>
      <rPr>
        <sz val="12"/>
        <color theme="1"/>
        <rFont val="Calibri"/>
        <family val="2"/>
      </rPr>
      <t>3</t>
    </r>
    <r>
      <rPr>
        <sz val="12"/>
        <color theme="1"/>
        <rFont val="微軟正黑體"/>
        <family val="2"/>
        <charset val="136"/>
      </rPr>
      <t>支，中央上層鋼筋量需小於端部最小鋼筋量的</t>
    </r>
    <r>
      <rPr>
        <sz val="12"/>
        <color theme="1"/>
        <rFont val="Calibri"/>
        <family val="2"/>
      </rPr>
      <t xml:space="preserve"> 70%</t>
    </r>
    <r>
      <rPr>
        <sz val="12"/>
        <color theme="1"/>
        <rFont val="微軟正黑體"/>
        <family val="2"/>
        <charset val="136"/>
      </rPr>
      <t>。</t>
    </r>
  </si>
  <si>
    <r>
      <rPr>
        <sz val="12"/>
        <color theme="1"/>
        <rFont val="微軟正黑體"/>
        <family val="2"/>
        <charset val="136"/>
      </rPr>
      <t>【</t>
    </r>
    <r>
      <rPr>
        <sz val="12"/>
        <color theme="1"/>
        <rFont val="Calibri"/>
        <family val="2"/>
      </rPr>
      <t>0221</t>
    </r>
    <r>
      <rPr>
        <sz val="12"/>
        <color theme="1"/>
        <rFont val="微軟正黑體"/>
        <family val="2"/>
        <charset val="136"/>
      </rPr>
      <t>】請確認中央上層筋相對鋼筋量，是否符合中央上層鋼筋量需小於端部最小鋼筋量的</t>
    </r>
    <r>
      <rPr>
        <sz val="12"/>
        <color theme="1"/>
        <rFont val="Calibri"/>
        <family val="2"/>
      </rPr>
      <t xml:space="preserve"> 70% </t>
    </r>
    <r>
      <rPr>
        <sz val="12"/>
        <color theme="1"/>
        <rFont val="微軟正黑體"/>
        <family val="2"/>
        <charset val="136"/>
      </rPr>
      <t>規定</t>
    </r>
  </si>
  <si>
    <r>
      <rPr>
        <sz val="12"/>
        <color theme="1"/>
        <rFont val="微軟正黑體"/>
        <family val="2"/>
        <charset val="136"/>
      </rPr>
      <t>【</t>
    </r>
    <r>
      <rPr>
        <sz val="12"/>
        <color theme="1"/>
        <rFont val="Calibri"/>
        <family val="2"/>
      </rPr>
      <t>0301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</si>
  <si>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</si>
  <si>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</si>
  <si>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</si>
  <si>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</si>
  <si>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</si>
  <si>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</si>
  <si>
    <r>
      <rPr>
        <sz val="12"/>
        <color theme="1"/>
        <rFont val="微軟正黑體"/>
        <family val="2"/>
        <charset val="136"/>
      </rPr>
      <t>【</t>
    </r>
    <r>
      <rPr>
        <sz val="12"/>
        <color theme="1"/>
        <rFont val="Calibri"/>
        <family val="2"/>
      </rPr>
      <t>0308</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</si>
  <si>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小梁鋼筋比在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</si>
  <si>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0310</t>
    </r>
    <r>
      <rPr>
        <sz val="12"/>
        <color theme="1"/>
        <rFont val="微軟正黑體"/>
        <family val="2"/>
        <charset val="136"/>
      </rPr>
      <t>】請確認上層筋上限，是否在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</si>
  <si>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0311</t>
    </r>
    <r>
      <rPr>
        <sz val="12"/>
        <color theme="1"/>
        <rFont val="微軟正黑體"/>
        <family val="2"/>
        <charset val="136"/>
      </rPr>
      <t>】請確認下層筋上限，是否在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</si>
  <si>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垂直載重</t>
    </r>
  </si>
  <si>
    <r>
      <rPr>
        <sz val="12"/>
        <color theme="1"/>
        <rFont val="微軟正黑體"/>
        <family val="2"/>
        <charset val="136"/>
      </rPr>
      <t>假設帶寬</t>
    </r>
    <r>
      <rPr>
        <sz val="12"/>
        <color theme="1"/>
        <rFont val="Calibri"/>
        <family val="2"/>
      </rPr>
      <t xml:space="preserve"> 3m ,</t>
    </r>
    <r>
      <rPr>
        <sz val="12"/>
        <color theme="1"/>
        <rFont val="微軟正黑體"/>
        <family val="2"/>
        <charset val="136"/>
      </rPr>
      <t>則</t>
    </r>
    <r>
      <rPr>
        <sz val="12"/>
        <color theme="1"/>
        <rFont val="Calibri"/>
        <family val="2"/>
      </rPr>
      <t xml:space="preserve"> 0.6 * 1/8 * wu * L^2 &lt;= As * fy * d</t>
    </r>
  </si>
  <si>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</si>
  <si>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</si>
  <si>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</si>
  <si>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</si>
  <si>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</si>
  <si>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下限</t>
    </r>
    <phoneticPr fontId="1" type="noConversion"/>
  </si>
  <si>
    <r>
      <rPr>
        <sz val="12"/>
        <color theme="1"/>
        <rFont val="微軟正黑體"/>
        <family val="2"/>
        <charset val="136"/>
      </rPr>
      <t>矩形閉合箍筋及繫筋之總斷面積</t>
    </r>
    <r>
      <rPr>
        <sz val="12"/>
        <color theme="1"/>
        <rFont val="Calibri"/>
        <family val="2"/>
      </rPr>
      <t xml:space="preserve"> Ash </t>
    </r>
    <r>
      <rPr>
        <sz val="12"/>
        <color theme="1"/>
        <rFont val="微軟正黑體"/>
        <family val="2"/>
        <charset val="136"/>
      </rPr>
      <t>不得小於式</t>
    </r>
    <r>
      <rPr>
        <sz val="12"/>
        <color theme="1"/>
        <rFont val="Calibri"/>
        <family val="2"/>
      </rPr>
      <t>(15-3)</t>
    </r>
    <r>
      <rPr>
        <sz val="12"/>
        <color theme="1"/>
        <rFont val="微軟正黑體"/>
        <family val="2"/>
        <charset val="136"/>
      </rPr>
      <t>及式</t>
    </r>
    <r>
      <rPr>
        <sz val="12"/>
        <color theme="1"/>
        <rFont val="Calibri"/>
        <family val="2"/>
      </rPr>
      <t>(15-4)</t>
    </r>
    <r>
      <rPr>
        <sz val="12"/>
        <color theme="1"/>
        <rFont val="微軟正黑體"/>
        <family val="2"/>
        <charset val="136"/>
      </rPr>
      <t>之值。</t>
    </r>
  </si>
  <si>
    <r>
      <rPr>
        <sz val="12"/>
        <color theme="1"/>
        <rFont val="微軟正黑體"/>
        <family val="2"/>
        <charset val="136"/>
      </rPr>
      <t>頂樓區鋼筋比不大於</t>
    </r>
    <r>
      <rPr>
        <sz val="12"/>
        <color theme="1"/>
        <rFont val="Calibri"/>
        <family val="2"/>
      </rPr>
      <t xml:space="preserve"> 1.2 %</t>
    </r>
  </si>
  <si>
    <r>
      <rPr>
        <b/>
        <sz val="14"/>
        <color theme="1"/>
        <rFont val="微軟正黑體"/>
        <family val="2"/>
        <charset val="136"/>
      </rPr>
      <t>非高樓柱</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</si>
  <si>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</si>
  <si>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</si>
  <si>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</si>
  <si>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</si>
  <si>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b/>
        <sz val="14"/>
        <color theme="1"/>
        <rFont val="微軟正黑體"/>
        <family val="2"/>
        <charset val="136"/>
      </rPr>
      <t>基腳版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</si>
  <si>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</si>
  <si>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</si>
  <si>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</si>
  <si>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安全性</t>
    </r>
    <phoneticPr fontId="1" type="noConversion"/>
  </si>
  <si>
    <r>
      <rPr>
        <b/>
        <sz val="14"/>
        <color theme="1"/>
        <rFont val="微軟正黑體"/>
        <family val="2"/>
        <charset val="136"/>
      </rPr>
      <t>基樁</t>
    </r>
    <phoneticPr fontId="1" type="noConversion"/>
  </si>
  <si>
    <r>
      <rPr>
        <sz val="12"/>
        <color rgb="FF006100"/>
        <rFont val="微軟正黑體"/>
        <family val="2"/>
        <charset val="136"/>
      </rPr>
      <t>操作流程</t>
    </r>
    <phoneticPr fontId="1" type="noConversion"/>
  </si>
  <si>
    <r>
      <rPr>
        <sz val="12"/>
        <color theme="1"/>
        <rFont val="微軟正黑體"/>
        <family val="2"/>
        <charset val="136"/>
      </rPr>
      <t>貼上</t>
    </r>
    <r>
      <rPr>
        <sz val="12"/>
        <color theme="1"/>
        <rFont val="Calibri"/>
        <family val="2"/>
      </rPr>
      <t xml:space="preserve"> RCAD </t>
    </r>
    <r>
      <rPr>
        <sz val="12"/>
        <color theme="1"/>
        <rFont val="微軟正黑體"/>
        <family val="2"/>
        <charset val="136"/>
      </rPr>
      <t>配筋表格</t>
    </r>
    <phoneticPr fontId="1" type="noConversion"/>
  </si>
  <si>
    <r>
      <rPr>
        <sz val="12"/>
        <color theme="1"/>
        <rFont val="微軟正黑體"/>
        <family val="2"/>
        <charset val="136"/>
      </rPr>
      <t>可於</t>
    </r>
    <r>
      <rPr>
        <sz val="12"/>
        <color theme="1"/>
        <rFont val="Calibri"/>
        <family val="2"/>
      </rPr>
      <t xml:space="preserve"> Rule </t>
    </r>
    <r>
      <rPr>
        <sz val="12"/>
        <color theme="1"/>
        <rFont val="微軟正黑體"/>
        <family val="2"/>
        <charset val="136"/>
      </rPr>
      <t>查閱錯誤資訊</t>
    </r>
    <r>
      <rPr>
        <sz val="12"/>
        <color theme="1"/>
        <rFont val="Calibri"/>
        <family val="2"/>
      </rPr>
      <t xml:space="preserve"> </t>
    </r>
    <phoneticPr fontId="1" type="noConversion"/>
  </si>
  <si>
    <r>
      <rPr>
        <sz val="12"/>
        <color rgb="FF9C0006"/>
        <rFont val="微軟正黑體"/>
        <family val="2"/>
        <charset val="136"/>
      </rPr>
      <t>注意事項</t>
    </r>
    <phoneticPr fontId="1" type="noConversion"/>
  </si>
  <si>
    <r>
      <rPr>
        <sz val="12"/>
        <color theme="1"/>
        <rFont val="微軟正黑體"/>
        <family val="2"/>
        <charset val="136"/>
      </rPr>
      <t>主筋</t>
    </r>
    <phoneticPr fontId="1" type="noConversion"/>
  </si>
  <si>
    <r>
      <rPr>
        <sz val="12"/>
        <color theme="1"/>
        <rFont val="微軟正黑體"/>
        <family val="2"/>
        <charset val="136"/>
      </rPr>
      <t>樓層</t>
    </r>
  </si>
  <si>
    <r>
      <rPr>
        <sz val="12"/>
        <color theme="1"/>
        <rFont val="微軟正黑體"/>
        <family val="2"/>
        <charset val="136"/>
      </rPr>
      <t>編號</t>
    </r>
  </si>
  <si>
    <r>
      <t>RC</t>
    </r>
    <r>
      <rPr>
        <sz val="12"/>
        <color theme="1"/>
        <rFont val="微軟正黑體"/>
        <family val="2"/>
        <charset val="136"/>
      </rPr>
      <t>梁寬</t>
    </r>
  </si>
  <si>
    <r>
      <t>RC</t>
    </r>
    <r>
      <rPr>
        <sz val="12"/>
        <color theme="1"/>
        <rFont val="微軟正黑體"/>
        <family val="2"/>
        <charset val="136"/>
      </rPr>
      <t>梁深</t>
    </r>
  </si>
  <si>
    <r>
      <rPr>
        <sz val="12"/>
        <color theme="1"/>
        <rFont val="微軟正黑體"/>
        <family val="2"/>
        <charset val="136"/>
      </rPr>
      <t>主筋</t>
    </r>
  </si>
  <si>
    <r>
      <rPr>
        <sz val="12"/>
        <color theme="1"/>
        <rFont val="微軟正黑體"/>
        <family val="2"/>
        <charset val="136"/>
      </rPr>
      <t>腰筋</t>
    </r>
  </si>
  <si>
    <r>
      <rPr>
        <sz val="12"/>
        <color theme="1"/>
        <rFont val="微軟正黑體"/>
        <family val="2"/>
        <charset val="136"/>
      </rPr>
      <t>箍筋</t>
    </r>
  </si>
  <si>
    <r>
      <rPr>
        <sz val="12"/>
        <color theme="1"/>
        <rFont val="微軟正黑體"/>
        <family val="2"/>
        <charset val="136"/>
      </rPr>
      <t>梁長</t>
    </r>
  </si>
  <si>
    <r>
      <rPr>
        <sz val="12"/>
        <color theme="1"/>
        <rFont val="微軟正黑體"/>
        <family val="2"/>
        <charset val="136"/>
      </rPr>
      <t>支承寬</t>
    </r>
  </si>
  <si>
    <r>
      <rPr>
        <sz val="12"/>
        <color theme="1"/>
        <rFont val="微軟正黑體"/>
        <family val="2"/>
        <charset val="136"/>
      </rPr>
      <t>上層</t>
    </r>
    <r>
      <rPr>
        <sz val="12"/>
        <color theme="1"/>
        <rFont val="Calibri"/>
        <family val="2"/>
      </rPr>
      <t xml:space="preserve"> </t>
    </r>
    <r>
      <rPr>
        <sz val="12"/>
        <color theme="1"/>
        <rFont val="微軟正黑體"/>
        <family val="2"/>
        <charset val="136"/>
      </rPr>
      <t>第一排</t>
    </r>
  </si>
  <si>
    <r>
      <rPr>
        <sz val="12"/>
        <color theme="1"/>
        <rFont val="微軟正黑體"/>
        <family val="2"/>
        <charset val="136"/>
      </rPr>
      <t>上層</t>
    </r>
    <r>
      <rPr>
        <sz val="12"/>
        <color theme="1"/>
        <rFont val="Calibri"/>
        <family val="2"/>
      </rPr>
      <t xml:space="preserve"> </t>
    </r>
    <r>
      <rPr>
        <sz val="12"/>
        <color theme="1"/>
        <rFont val="微軟正黑體"/>
        <family val="2"/>
        <charset val="136"/>
      </rPr>
      <t>第二排</t>
    </r>
  </si>
  <si>
    <r>
      <rPr>
        <sz val="12"/>
        <color theme="1"/>
        <rFont val="微軟正黑體"/>
        <family val="2"/>
        <charset val="136"/>
      </rPr>
      <t>端部</t>
    </r>
  </si>
  <si>
    <r>
      <rPr>
        <sz val="12"/>
        <color theme="1"/>
        <rFont val="微軟正黑體"/>
        <family val="2"/>
        <charset val="136"/>
      </rPr>
      <t>鋼筋尺寸</t>
    </r>
  </si>
  <si>
    <r>
      <rPr>
        <sz val="12"/>
        <color theme="1"/>
        <rFont val="微軟正黑體"/>
        <family val="2"/>
        <charset val="136"/>
      </rPr>
      <t>箍筋</t>
    </r>
    <phoneticPr fontId="1" type="noConversion"/>
  </si>
  <si>
    <r>
      <rPr>
        <sz val="12"/>
        <color theme="1"/>
        <rFont val="微軟正黑體"/>
        <family val="2"/>
        <charset val="136"/>
      </rPr>
      <t>小梁</t>
    </r>
    <phoneticPr fontId="1" type="noConversion"/>
  </si>
  <si>
    <r>
      <rPr>
        <sz val="12"/>
        <color theme="1"/>
        <rFont val="微軟正黑體"/>
        <family val="2"/>
        <charset val="136"/>
      </rPr>
      <t>腰筋</t>
    </r>
    <phoneticPr fontId="1" type="noConversion"/>
  </si>
  <si>
    <r>
      <rPr>
        <sz val="12"/>
        <color rgb="FF9C5700"/>
        <rFont val="微軟正黑體"/>
        <family val="2"/>
        <charset val="136"/>
      </rPr>
      <t>直徑（</t>
    </r>
    <r>
      <rPr>
        <sz val="12"/>
        <color rgb="FF9C5700"/>
        <rFont val="Calibri"/>
        <family val="2"/>
      </rPr>
      <t>cm</t>
    </r>
    <r>
      <rPr>
        <sz val="12"/>
        <color rgb="FF9C5700"/>
        <rFont val="微軟正黑體"/>
        <family val="2"/>
        <charset val="136"/>
      </rPr>
      <t>）</t>
    </r>
    <phoneticPr fontId="1" type="noConversion"/>
  </si>
  <si>
    <r>
      <rPr>
        <sz val="12"/>
        <color rgb="FF9C5700"/>
        <rFont val="微軟正黑體"/>
        <family val="2"/>
        <charset val="136"/>
      </rPr>
      <t>截面積（</t>
    </r>
    <r>
      <rPr>
        <sz val="12"/>
        <color rgb="FF9C5700"/>
        <rFont val="Calibri"/>
        <family val="2"/>
      </rPr>
      <t>cm²</t>
    </r>
    <r>
      <rPr>
        <sz val="12"/>
        <color rgb="FF9C5700"/>
        <rFont val="微軟正黑體"/>
        <family val="2"/>
        <charset val="136"/>
      </rPr>
      <t>）</t>
    </r>
    <phoneticPr fontId="1" type="noConversion"/>
  </si>
  <si>
    <r>
      <rPr>
        <b/>
        <sz val="14"/>
        <color theme="1"/>
        <rFont val="微軟正黑體"/>
        <family val="2"/>
        <charset val="136"/>
      </rPr>
      <t>地梁</t>
    </r>
    <phoneticPr fontId="1" type="noConversion"/>
  </si>
  <si>
    <r>
      <rPr>
        <sz val="12"/>
        <rFont val="微軟正黑體"/>
        <family val="2"/>
        <charset val="136"/>
      </rPr>
      <t>大地梁</t>
    </r>
    <phoneticPr fontId="1" type="noConversion"/>
  </si>
  <si>
    <r>
      <rPr>
        <sz val="12"/>
        <rFont val="微軟正黑體"/>
        <family val="2"/>
        <charset val="136"/>
      </rPr>
      <t>短梁側筋</t>
    </r>
    <phoneticPr fontId="1" type="noConversion"/>
  </si>
  <si>
    <r>
      <rPr>
        <sz val="12"/>
        <rFont val="微軟正黑體"/>
        <family val="2"/>
        <charset val="136"/>
      </rPr>
      <t>不少於</t>
    </r>
    <r>
      <rPr>
        <sz val="12"/>
        <rFont val="Calibri"/>
        <family val="2"/>
      </rPr>
      <t>0.0015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</si>
  <si>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</si>
  <si>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</si>
  <si>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短梁箍筋</t>
    </r>
    <phoneticPr fontId="1" type="noConversion"/>
  </si>
  <si>
    <r>
      <rPr>
        <sz val="12"/>
        <rFont val="微軟正黑體"/>
        <family val="2"/>
        <charset val="136"/>
      </rPr>
      <t>不少於</t>
    </r>
    <r>
      <rPr>
        <sz val="12"/>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</si>
  <si>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</si>
  <si>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</si>
  <si>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大地梁</t>
    </r>
    <phoneticPr fontId="1" type="noConversion"/>
  </si>
  <si>
    <r>
      <rPr>
        <sz val="12"/>
        <rFont val="微軟正黑體"/>
        <family val="2"/>
        <charset val="136"/>
      </rPr>
      <t>上層筋</t>
    </r>
    <phoneticPr fontId="1" type="noConversion"/>
  </si>
  <si>
    <r>
      <rPr>
        <sz val="12"/>
        <rFont val="微軟正黑體"/>
        <family val="2"/>
        <charset val="136"/>
      </rPr>
      <t>最小</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</si>
  <si>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</si>
  <si>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</si>
  <si>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上層筋</t>
    </r>
    <phoneticPr fontId="1" type="noConversion"/>
  </si>
  <si>
    <r>
      <rPr>
        <sz val="12"/>
        <rFont val="微軟正黑體"/>
        <family val="2"/>
        <charset val="136"/>
      </rPr>
      <t>最大</t>
    </r>
    <phoneticPr fontId="1" type="noConversion"/>
  </si>
  <si>
    <r>
      <rPr>
        <sz val="12"/>
        <rFont val="微軟正黑體"/>
        <family val="2"/>
        <charset val="136"/>
      </rPr>
      <t>不超過</t>
    </r>
    <r>
      <rPr>
        <sz val="12"/>
        <rFont val="Calibri"/>
        <family val="2"/>
      </rPr>
      <t>2%</t>
    </r>
    <phoneticPr fontId="1" type="noConversion"/>
  </si>
  <si>
    <r>
      <rPr>
        <sz val="12"/>
        <rFont val="微軟正黑體"/>
        <family val="2"/>
        <charset val="136"/>
      </rPr>
      <t>大地梁</t>
    </r>
    <phoneticPr fontId="1" type="noConversion"/>
  </si>
  <si>
    <r>
      <rPr>
        <sz val="12"/>
        <rFont val="微軟正黑體"/>
        <family val="2"/>
        <charset val="136"/>
      </rPr>
      <t>下層筋</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</si>
  <si>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</si>
  <si>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</si>
  <si>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下層筋</t>
    </r>
    <phoneticPr fontId="1" type="noConversion"/>
  </si>
  <si>
    <r>
      <rPr>
        <sz val="12"/>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</si>
  <si>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</si>
  <si>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rFont val="微軟正黑體"/>
        <family val="2"/>
        <charset val="136"/>
      </rPr>
      <t>中央部斷筋</t>
    </r>
    <phoneticPr fontId="1" type="noConversion"/>
  </si>
  <si>
    <r>
      <rPr>
        <sz val="12"/>
        <rFont val="微軟正黑體"/>
        <family val="2"/>
        <charset val="136"/>
      </rPr>
      <t>相較於端部</t>
    </r>
    <r>
      <rPr>
        <sz val="12"/>
        <rFont val="Calibri"/>
        <family val="2"/>
      </rPr>
      <t xml:space="preserve"> </t>
    </r>
    <r>
      <rPr>
        <sz val="12"/>
        <rFont val="微軟正黑體"/>
        <family val="2"/>
        <charset val="136"/>
      </rPr>
      <t>少於</t>
    </r>
    <r>
      <rPr>
        <sz val="12"/>
        <rFont val="Calibri"/>
        <family val="2"/>
      </rPr>
      <t xml:space="preserve">80% </t>
    </r>
    <phoneticPr fontId="1" type="noConversion"/>
  </si>
  <si>
    <r>
      <rPr>
        <sz val="12"/>
        <rFont val="微軟正黑體"/>
        <family val="2"/>
        <charset val="136"/>
      </rPr>
      <t>大地梁</t>
    </r>
    <phoneticPr fontId="1" type="noConversion"/>
  </si>
  <si>
    <r>
      <rPr>
        <sz val="12"/>
        <rFont val="微軟正黑體"/>
        <family val="2"/>
        <charset val="136"/>
      </rPr>
      <t>間距不大於</t>
    </r>
    <r>
      <rPr>
        <sz val="12"/>
        <rFont val="Calibri"/>
        <family val="2"/>
      </rPr>
      <t>30CM</t>
    </r>
    <phoneticPr fontId="1" type="noConversion"/>
  </si>
  <si>
    <r>
      <rPr>
        <sz val="12"/>
        <rFont val="微軟正黑體"/>
        <family val="2"/>
        <charset val="136"/>
      </rPr>
      <t>下限</t>
    </r>
    <phoneticPr fontId="1" type="noConversion"/>
  </si>
  <si>
    <r>
      <rPr>
        <sz val="12"/>
        <rFont val="微軟正黑體"/>
        <family val="2"/>
        <charset val="136"/>
      </rPr>
      <t>間距不小於</t>
    </r>
    <r>
      <rPr>
        <sz val="12"/>
        <rFont val="Calibri"/>
        <family val="2"/>
      </rPr>
      <t>10CM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</si>
  <si>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</si>
  <si>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邊梁</t>
    </r>
    <phoneticPr fontId="1" type="noConversion"/>
  </si>
  <si>
    <r>
      <rPr>
        <sz val="12"/>
        <rFont val="微軟正黑體"/>
        <family val="2"/>
        <charset val="136"/>
      </rPr>
      <t>主筋</t>
    </r>
    <phoneticPr fontId="1" type="noConversion"/>
  </si>
  <si>
    <r>
      <rPr>
        <sz val="12"/>
        <rFont val="微軟正黑體"/>
        <family val="2"/>
        <charset val="136"/>
      </rPr>
      <t>號數</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</si>
  <si>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</si>
  <si>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</si>
  <si>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邊梁</t>
    </r>
    <phoneticPr fontId="1" type="noConversion"/>
  </si>
  <si>
    <r>
      <rPr>
        <sz val="12"/>
        <rFont val="微軟正黑體"/>
        <family val="2"/>
        <charset val="136"/>
      </rPr>
      <t>主筋號數</t>
    </r>
    <phoneticPr fontId="1" type="noConversion"/>
  </si>
  <si>
    <r>
      <rPr>
        <sz val="12"/>
        <rFont val="微軟正黑體"/>
        <family val="2"/>
        <charset val="136"/>
      </rPr>
      <t>小地梁</t>
    </r>
    <phoneticPr fontId="1" type="noConversion"/>
  </si>
  <si>
    <r>
      <rPr>
        <sz val="12"/>
        <rFont val="微軟正黑體"/>
        <family val="2"/>
        <charset val="136"/>
      </rPr>
      <t>短梁側筋</t>
    </r>
    <phoneticPr fontId="1" type="noConversion"/>
  </si>
  <si>
    <r>
      <rPr>
        <sz val="12"/>
        <rFont val="微軟正黑體"/>
        <family val="2"/>
        <charset val="136"/>
      </rPr>
      <t>最大</t>
    </r>
    <phoneticPr fontId="1" type="noConversion"/>
  </si>
  <si>
    <r>
      <rPr>
        <sz val="12"/>
        <color theme="1"/>
        <rFont val="微軟正黑體"/>
        <family val="2"/>
        <charset val="136"/>
      </rPr>
      <t>小地梁</t>
    </r>
    <phoneticPr fontId="1" type="noConversion"/>
  </si>
  <si>
    <r>
      <rPr>
        <sz val="12"/>
        <color theme="1"/>
        <rFont val="微軟正黑體"/>
        <family val="2"/>
        <charset val="136"/>
      </rPr>
      <t>短梁箍筋</t>
    </r>
    <phoneticPr fontId="1" type="noConversion"/>
  </si>
  <si>
    <r>
      <rPr>
        <sz val="12"/>
        <color theme="1"/>
        <rFont val="微軟正黑體"/>
        <family val="2"/>
        <charset val="136"/>
      </rPr>
      <t>最小</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</si>
  <si>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</si>
  <si>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短梁箍筋</t>
    </r>
    <phoneticPr fontId="1" type="noConversion"/>
  </si>
  <si>
    <r>
      <rPr>
        <sz val="12"/>
        <color theme="1"/>
        <rFont val="微軟正黑體"/>
        <family val="2"/>
        <charset val="136"/>
      </rPr>
      <t>最大</t>
    </r>
    <phoneticPr fontId="1" type="noConversion"/>
  </si>
  <si>
    <r>
      <rPr>
        <sz val="12"/>
        <color theme="1"/>
        <rFont val="微軟正黑體"/>
        <family val="2"/>
        <charset val="136"/>
      </rPr>
      <t>不少於</t>
    </r>
    <r>
      <rPr>
        <sz val="12"/>
        <color theme="1"/>
        <rFont val="Calibri"/>
        <family val="2"/>
      </rPr>
      <t>0.0015</t>
    </r>
    <phoneticPr fontId="1" type="noConversion"/>
  </si>
  <si>
    <r>
      <rPr>
        <sz val="12"/>
        <color theme="1"/>
        <rFont val="微軟正黑體"/>
        <family val="2"/>
        <charset val="136"/>
      </rPr>
      <t>不少於</t>
    </r>
    <r>
      <rPr>
        <sz val="12"/>
        <color theme="1"/>
        <rFont val="Calibri"/>
        <family val="2"/>
      </rPr>
      <t>0.0015</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</si>
  <si>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</si>
  <si>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側筋</t>
    </r>
    <phoneticPr fontId="1" type="noConversion"/>
  </si>
  <si>
    <r>
      <rPr>
        <sz val="12"/>
        <color rgb="FFFF0000"/>
        <rFont val="微軟正黑體"/>
        <family val="2"/>
        <charset val="136"/>
      </rPr>
      <t>最小</t>
    </r>
    <phoneticPr fontId="1" type="noConversion"/>
  </si>
  <si>
    <r>
      <rPr>
        <sz val="12"/>
        <color rgb="FFFF0000"/>
        <rFont val="微軟正黑體"/>
        <family val="2"/>
        <charset val="136"/>
      </rPr>
      <t>不多於</t>
    </r>
    <r>
      <rPr>
        <sz val="12"/>
        <color rgb="FFFF0000"/>
        <rFont val="Calibri"/>
        <family val="2"/>
      </rPr>
      <t>0.0015*125%</t>
    </r>
    <phoneticPr fontId="1" type="noConversion"/>
  </si>
  <si>
    <r>
      <rPr>
        <sz val="12"/>
        <color theme="1"/>
        <rFont val="微軟正黑體"/>
        <family val="2"/>
        <charset val="136"/>
      </rPr>
      <t>間距不少於規範值下限</t>
    </r>
    <r>
      <rPr>
        <sz val="12"/>
        <color theme="1"/>
        <rFont val="Calibri"/>
        <family val="2"/>
      </rPr>
      <t>70%</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</si>
  <si>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</si>
  <si>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</si>
  <si>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不少於</t>
    </r>
    <r>
      <rPr>
        <sz val="12"/>
        <color rgb="FFFF0000"/>
        <rFont val="Calibri"/>
        <family val="2"/>
      </rPr>
      <t>0.0015</t>
    </r>
    <phoneticPr fontId="1" type="noConversion"/>
  </si>
  <si>
    <r>
      <rPr>
        <sz val="12"/>
        <color theme="1"/>
        <rFont val="微軟正黑體"/>
        <family val="2"/>
        <charset val="136"/>
      </rPr>
      <t>間距不大於</t>
    </r>
    <r>
      <rPr>
        <sz val="12"/>
        <color theme="1"/>
        <rFont val="Calibri"/>
        <family val="2"/>
      </rPr>
      <t>30CM</t>
    </r>
    <phoneticPr fontId="1" type="noConversion"/>
  </si>
  <si>
    <r>
      <rPr>
        <sz val="12"/>
        <color theme="1"/>
        <rFont val="微軟正黑體"/>
        <family val="2"/>
        <charset val="136"/>
      </rPr>
      <t>小地梁</t>
    </r>
    <phoneticPr fontId="1" type="noConversion"/>
  </si>
  <si>
    <r>
      <rPr>
        <sz val="12"/>
        <color theme="1"/>
        <rFont val="微軟正黑體"/>
        <family val="2"/>
        <charset val="136"/>
      </rPr>
      <t>上層筋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</si>
  <si>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</si>
  <si>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</si>
  <si>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上層筋</t>
    </r>
    <phoneticPr fontId="1" type="noConversion"/>
  </si>
  <si>
    <r>
      <rPr>
        <sz val="12"/>
        <color theme="1"/>
        <rFont val="微軟正黑體"/>
        <family val="2"/>
        <charset val="136"/>
      </rPr>
      <t>最大</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</si>
  <si>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</si>
  <si>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不超過</t>
    </r>
    <r>
      <rPr>
        <sz val="12"/>
        <color theme="1"/>
        <rFont val="Calibri"/>
        <family val="2"/>
      </rPr>
      <t>2%</t>
    </r>
    <phoneticPr fontId="1" type="noConversion"/>
  </si>
  <si>
    <r>
      <rPr>
        <sz val="12"/>
        <color rgb="FFFF0000"/>
        <rFont val="微軟正黑體"/>
        <family val="2"/>
        <charset val="136"/>
      </rPr>
      <t>上層筋</t>
    </r>
    <phoneticPr fontId="1" type="noConversion"/>
  </si>
  <si>
    <r>
      <rPr>
        <sz val="12"/>
        <color rgb="FFFF0000"/>
        <rFont val="微軟正黑體"/>
        <family val="2"/>
        <charset val="136"/>
      </rPr>
      <t>端部斷筋</t>
    </r>
    <phoneticPr fontId="1" type="noConversion"/>
  </si>
  <si>
    <r>
      <rPr>
        <sz val="12"/>
        <color rgb="FFFF0000"/>
        <rFont val="微軟正黑體"/>
        <family val="2"/>
        <charset val="136"/>
      </rPr>
      <t>相較於中央</t>
    </r>
    <r>
      <rPr>
        <sz val="12"/>
        <color rgb="FFFF0000"/>
        <rFont val="Calibri"/>
        <family val="2"/>
      </rPr>
      <t xml:space="preserve"> </t>
    </r>
    <r>
      <rPr>
        <sz val="12"/>
        <color rgb="FFFF0000"/>
        <rFont val="微軟正黑體"/>
        <family val="2"/>
        <charset val="136"/>
      </rPr>
      <t>少於</t>
    </r>
    <r>
      <rPr>
        <sz val="12"/>
        <color rgb="FFFF0000"/>
        <rFont val="Calibri"/>
        <family val="2"/>
      </rPr>
      <t>80%</t>
    </r>
    <phoneticPr fontId="1" type="noConversion"/>
  </si>
  <si>
    <r>
      <rPr>
        <sz val="12"/>
        <color theme="1"/>
        <rFont val="微軟正黑體"/>
        <family val="2"/>
        <charset val="136"/>
      </rPr>
      <t>相較於中央</t>
    </r>
    <r>
      <rPr>
        <sz val="12"/>
        <color theme="1"/>
        <rFont val="Calibri"/>
        <family val="2"/>
      </rPr>
      <t xml:space="preserve"> </t>
    </r>
    <r>
      <rPr>
        <sz val="12"/>
        <color theme="1"/>
        <rFont val="微軟正黑體"/>
        <family val="2"/>
        <charset val="136"/>
      </rPr>
      <t>少於</t>
    </r>
    <r>
      <rPr>
        <sz val="12"/>
        <color theme="1"/>
        <rFont val="Calibri"/>
        <family val="2"/>
      </rPr>
      <t>80%</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</si>
  <si>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</si>
  <si>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</si>
  <si>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</si>
  <si>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</si>
  <si>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</si>
  <si>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</si>
  <si>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中央部斷筋</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</si>
  <si>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</si>
  <si>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</si>
  <si>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</si>
  <si>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</si>
  <si>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rgb="FFFF0000"/>
        <rFont val="微軟正黑體"/>
        <family val="2"/>
        <charset val="136"/>
      </rPr>
      <t>短梁</t>
    </r>
    <phoneticPr fontId="1" type="noConversion"/>
  </si>
  <si>
    <r>
      <rPr>
        <sz val="12"/>
        <color rgb="FFFF0000"/>
        <rFont val="微軟正黑體"/>
        <family val="2"/>
        <charset val="136"/>
      </rPr>
      <t>請確認是否為深梁</t>
    </r>
  </si>
  <si>
    <r>
      <rPr>
        <sz val="12"/>
        <color rgb="FFFF0000"/>
        <rFont val="微軟正黑體"/>
        <family val="2"/>
        <charset val="136"/>
      </rPr>
      <t>梁上柱</t>
    </r>
    <phoneticPr fontId="1" type="noConversion"/>
  </si>
  <si>
    <r>
      <rPr>
        <sz val="12"/>
        <color rgb="FFFF0000"/>
        <rFont val="微軟正黑體"/>
        <family val="2"/>
        <charset val="136"/>
      </rPr>
      <t>有或無</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</si>
  <si>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</si>
  <si>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</si>
  <si>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</si>
  <si>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</si>
  <si>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上限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</si>
  <si>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</si>
  <si>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</si>
  <si>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</si>
  <si>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</si>
  <si>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上限</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</si>
  <si>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</si>
  <si>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</si>
  <si>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</si>
  <si>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</si>
  <si>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</si>
  <si>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</si>
  <si>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</si>
  <si>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</si>
  <si>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</si>
  <si>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</si>
  <si>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相對鋼筋量</t>
    </r>
    <phoneticPr fontId="1" type="noConversion"/>
  </si>
  <si>
    <r>
      <rPr>
        <sz val="12"/>
        <color theme="1"/>
        <rFont val="微軟正黑體"/>
        <family val="2"/>
        <charset val="136"/>
      </rPr>
      <t>不多於端部小值</t>
    </r>
    <r>
      <rPr>
        <sz val="12"/>
        <color theme="1"/>
        <rFont val="Calibri"/>
        <family val="2"/>
      </rPr>
      <t>80%</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</si>
  <si>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</si>
  <si>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最小</t>
    </r>
  </si>
  <si>
    <r>
      <rPr>
        <sz val="12"/>
        <color theme="1"/>
        <rFont val="微軟正黑體"/>
        <family val="2"/>
        <charset val="136"/>
      </rPr>
      <t>不低於</t>
    </r>
    <r>
      <rPr>
        <sz val="12"/>
        <color theme="1"/>
        <rFont val="Calibri"/>
        <family val="2"/>
      </rPr>
      <t>14/fy</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</si>
  <si>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中央上層筋下限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</si>
  <si>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上限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</si>
  <si>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</si>
  <si>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主筋比</t>
    </r>
  </si>
  <si>
    <r>
      <rPr>
        <sz val="12"/>
        <color rgb="FFFF0000"/>
        <rFont val="微軟正黑體"/>
        <family val="2"/>
        <charset val="136"/>
      </rPr>
      <t>左端</t>
    </r>
  </si>
  <si>
    <r>
      <rPr>
        <sz val="12"/>
        <color rgb="FFFF0000"/>
        <rFont val="微軟正黑體"/>
        <family val="2"/>
        <charset val="136"/>
      </rPr>
      <t>上層筋</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</si>
  <si>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</si>
  <si>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</si>
  <si>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theme="1"/>
        <rFont val="微軟正黑體"/>
        <family val="2"/>
        <charset val="136"/>
      </rPr>
      <t>下限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</si>
  <si>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</si>
  <si>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</si>
  <si>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</si>
  <si>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rgb="FFFF0000"/>
        <rFont val="微軟正黑體"/>
        <family val="2"/>
        <charset val="136"/>
      </rPr>
      <t>右端</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</si>
  <si>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</si>
  <si>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</si>
  <si>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</si>
  <si>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</si>
  <si>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</si>
  <si>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</si>
  <si>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theme="1"/>
        <rFont val="微軟正黑體"/>
        <family val="2"/>
        <charset val="136"/>
      </rPr>
      <t>上限</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</si>
  <si>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</si>
  <si>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</si>
  <si>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下層筋</t>
    </r>
  </si>
  <si>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</si>
  <si>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</si>
  <si>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rgb="FFFF0000"/>
        <rFont val="微軟正黑體"/>
        <family val="2"/>
        <charset val="136"/>
      </rPr>
      <t>中央</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</si>
  <si>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</si>
  <si>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</si>
  <si>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rgb="FFFF0000"/>
        <rFont val="微軟正黑體"/>
        <family val="2"/>
        <charset val="136"/>
      </rPr>
      <t>相對鋼筋量</t>
    </r>
    <phoneticPr fontId="1" type="noConversion"/>
  </si>
  <si>
    <r>
      <rPr>
        <sz val="12"/>
        <color rgb="FFFF0000"/>
        <rFont val="微軟正黑體"/>
        <family val="2"/>
        <charset val="136"/>
      </rPr>
      <t>不多於端部小值</t>
    </r>
    <r>
      <rPr>
        <sz val="12"/>
        <color rgb="FFFF0000"/>
        <rFont val="Calibri"/>
        <family val="2"/>
      </rPr>
      <t>80%</t>
    </r>
    <phoneticPr fontId="1" type="noConversion"/>
  </si>
  <si>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</si>
  <si>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</si>
  <si>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</si>
  <si>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最大</t>
    </r>
    <phoneticPr fontId="1" type="noConversion"/>
  </si>
  <si>
    <r>
      <rPr>
        <sz val="12"/>
        <color theme="1"/>
        <rFont val="微軟正黑體"/>
        <family val="2"/>
        <charset val="136"/>
      </rPr>
      <t>淨距不少於</t>
    </r>
    <r>
      <rPr>
        <sz val="12"/>
        <color theme="1"/>
        <rFont val="Calibri"/>
        <family val="2"/>
      </rPr>
      <t>1db</t>
    </r>
    <phoneticPr fontId="1" type="noConversion"/>
  </si>
  <si>
    <r>
      <rPr>
        <sz val="12"/>
        <color theme="1"/>
        <rFont val="微軟正黑體"/>
        <family val="2"/>
        <charset val="136"/>
      </rPr>
      <t>箍筋間距</t>
    </r>
  </si>
  <si>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</si>
  <si>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</si>
  <si>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</si>
  <si>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</si>
  <si>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</si>
  <si>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剪力鋼筋量</t>
    </r>
  </si>
  <si>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</si>
  <si>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</si>
  <si>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</si>
  <si>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rgb="FFFF0000"/>
        <rFont val="微軟正黑體"/>
        <family val="2"/>
        <charset val="136"/>
      </rPr>
      <t>主筋比</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</si>
  <si>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</si>
  <si>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 xml:space="preserve"> 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</si>
  <si>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</si>
  <si>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</si>
  <si>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</si>
  <si>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</si>
  <si>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</si>
  <si>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</si>
  <si>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</si>
  <si>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</si>
  <si>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單排支數上限</t>
    </r>
    <r>
      <rPr>
        <sz val="12"/>
        <color theme="1"/>
        <rFont val="Calibri"/>
        <family val="2"/>
      </rPr>
      <t xml:space="preserve"> </t>
    </r>
    <r>
      <rPr>
        <sz val="12"/>
        <color theme="1"/>
        <rFont val="微軟正黑體"/>
        <family val="2"/>
        <charset val="136"/>
      </rPr>
      <t>規定</t>
    </r>
  </si>
  <si>
    <r>
      <rPr>
        <sz val="12"/>
        <color theme="1"/>
        <rFont val="微軟正黑體"/>
        <family val="2"/>
        <charset val="136"/>
      </rPr>
      <t>載重預警</t>
    </r>
    <phoneticPr fontId="1" type="noConversion"/>
  </si>
  <si>
    <r>
      <rPr>
        <sz val="12"/>
        <color theme="1"/>
        <rFont val="微軟正黑體"/>
        <family val="2"/>
        <charset val="136"/>
      </rPr>
      <t>長跨配筋太少</t>
    </r>
    <phoneticPr fontId="1" type="noConversion"/>
  </si>
  <si>
    <r>
      <rPr>
        <sz val="12"/>
        <color theme="1"/>
        <rFont val="微軟正黑體"/>
        <family val="2"/>
        <charset val="136"/>
      </rPr>
      <t>假設帶寬</t>
    </r>
    <r>
      <rPr>
        <sz val="12"/>
        <color theme="1"/>
        <rFont val="Calibri"/>
        <family val="2"/>
      </rPr>
      <t>3M , 1/8wuL^2 &lt;= 10/6*Asfyd</t>
    </r>
    <phoneticPr fontId="1" type="noConversion"/>
  </si>
  <si>
    <r>
      <rPr>
        <sz val="12"/>
        <color theme="1"/>
        <rFont val="微軟正黑體"/>
        <family val="2"/>
        <charset val="136"/>
      </rPr>
      <t>垂直載重配筋可能不足</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</si>
  <si>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</si>
  <si>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</si>
  <si>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左端下層筋下限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</si>
  <si>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右端下層筋下限</t>
    </r>
    <r>
      <rPr>
        <sz val="12"/>
        <color theme="1"/>
        <rFont val="Calibri"/>
        <family val="2"/>
      </rPr>
      <t xml:space="preserve"> </t>
    </r>
    <r>
      <rPr>
        <sz val="12"/>
        <color theme="1"/>
        <rFont val="微軟正黑體"/>
        <family val="2"/>
        <charset val="136"/>
      </rPr>
      <t>規定</t>
    </r>
  </si>
  <si>
    <r>
      <t xml:space="preserve"> </t>
    </r>
    <r>
      <rPr>
        <sz val="12"/>
        <color theme="1"/>
        <rFont val="微軟正黑體"/>
        <family val="2"/>
        <charset val="136"/>
      </rPr>
      <t>規定</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</si>
  <si>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</si>
  <si>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</si>
  <si>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b/>
        <sz val="14"/>
        <color theme="1"/>
        <rFont val="微軟正黑體"/>
        <family val="2"/>
        <charset val="136"/>
      </rPr>
      <t>高樓柱</t>
    </r>
    <phoneticPr fontId="1" type="noConversion"/>
  </si>
  <si>
    <r>
      <rPr>
        <sz val="12"/>
        <color theme="1"/>
        <rFont val="微軟正黑體"/>
        <family val="2"/>
        <charset val="136"/>
      </rPr>
      <t>標準層</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</si>
  <si>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</si>
  <si>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下限</t>
    </r>
    <phoneticPr fontId="1" type="noConversion"/>
  </si>
  <si>
    <r>
      <rPr>
        <sz val="12"/>
        <color theme="1"/>
        <rFont val="微軟正黑體"/>
        <family val="2"/>
        <charset val="136"/>
      </rPr>
      <t>標準層</t>
    </r>
    <phoneticPr fontId="1" type="noConversion"/>
  </si>
  <si>
    <r>
      <rPr>
        <sz val="12"/>
        <color theme="1"/>
        <rFont val="微軟正黑體"/>
        <family val="2"/>
        <charset val="136"/>
      </rPr>
      <t>鋼筋比</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</si>
  <si>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</si>
  <si>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</si>
  <si>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1F</t>
    </r>
    <r>
      <rPr>
        <sz val="12"/>
        <color theme="1"/>
        <rFont val="微軟正黑體"/>
        <family val="2"/>
        <charset val="136"/>
      </rPr>
      <t>層</t>
    </r>
    <phoneticPr fontId="1" type="noConversion"/>
  </si>
  <si>
    <r>
      <rPr>
        <sz val="12"/>
        <color theme="1"/>
        <rFont val="微軟正黑體"/>
        <family val="2"/>
        <charset val="136"/>
      </rPr>
      <t>尺寸是否過大</t>
    </r>
    <phoneticPr fontId="1" type="noConversion"/>
  </si>
  <si>
    <r>
      <rPr>
        <sz val="12"/>
        <color theme="1"/>
        <rFont val="微軟正黑體"/>
        <family val="2"/>
        <charset val="136"/>
      </rPr>
      <t>不低於</t>
    </r>
    <r>
      <rPr>
        <sz val="12"/>
        <color theme="1"/>
        <rFont val="Calibri"/>
        <family val="2"/>
      </rPr>
      <t>2%</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</si>
  <si>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</si>
  <si>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鋼筋比</t>
    </r>
    <phoneticPr fontId="1" type="noConversion"/>
  </si>
  <si>
    <r>
      <t>1F</t>
    </r>
    <r>
      <rPr>
        <sz val="12"/>
        <color theme="1"/>
        <rFont val="微軟正黑體"/>
        <family val="2"/>
        <charset val="136"/>
      </rPr>
      <t>層</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</si>
  <si>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</si>
  <si>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最低</t>
    </r>
    <r>
      <rPr>
        <sz val="12"/>
        <color theme="1"/>
        <rFont val="Calibri"/>
        <family val="2"/>
      </rPr>
      <t>1/3</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</si>
  <si>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</si>
  <si>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1.5%</t>
    </r>
    <phoneticPr fontId="1" type="noConversion"/>
  </si>
  <si>
    <r>
      <rPr>
        <sz val="12"/>
        <color theme="1"/>
        <rFont val="微軟正黑體"/>
        <family val="2"/>
        <charset val="136"/>
      </rPr>
      <t>最低</t>
    </r>
    <r>
      <rPr>
        <sz val="12"/>
        <color theme="1"/>
        <rFont val="Calibri"/>
        <family val="2"/>
      </rPr>
      <t>1/4</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</si>
  <si>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</si>
  <si>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</si>
  <si>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最低</t>
    </r>
    <r>
      <rPr>
        <sz val="12"/>
        <color theme="1"/>
        <rFont val="Calibri"/>
        <family val="2"/>
      </rPr>
      <t>1/5</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</si>
  <si>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</si>
  <si>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各層各柱</t>
    </r>
    <phoneticPr fontId="1" type="noConversion"/>
  </si>
  <si>
    <r>
      <rPr>
        <sz val="12"/>
        <color theme="1"/>
        <rFont val="微軟正黑體"/>
        <family val="2"/>
        <charset val="136"/>
      </rPr>
      <t>上層柱主筋量漸縮是否過大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</si>
  <si>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</si>
  <si>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</si>
  <si>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</si>
  <si>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</si>
  <si>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本層柱主筋量漸縮是否過大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</si>
  <si>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</si>
  <si>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往下是否有變化</t>
    </r>
    <phoneticPr fontId="1" type="noConversion"/>
  </si>
  <si>
    <r>
      <rPr>
        <sz val="12"/>
        <color theme="1"/>
        <rFont val="微軟正黑體"/>
        <family val="2"/>
        <charset val="136"/>
      </rPr>
      <t>不高於</t>
    </r>
    <r>
      <rPr>
        <sz val="12"/>
        <color theme="1"/>
        <rFont val="Calibri"/>
        <family val="2"/>
      </rPr>
      <t>90%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</si>
  <si>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</si>
  <si>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下層柱主筋量是否配置過多</t>
    </r>
    <phoneticPr fontId="1" type="noConversion"/>
  </si>
  <si>
    <r>
      <rPr>
        <sz val="12"/>
        <color theme="1"/>
        <rFont val="微軟正黑體"/>
        <family val="2"/>
        <charset val="136"/>
      </rPr>
      <t>各層各柱</t>
    </r>
    <phoneticPr fontId="1" type="noConversion"/>
  </si>
  <si>
    <r>
      <rPr>
        <sz val="12"/>
        <color theme="1"/>
        <rFont val="微軟正黑體"/>
        <family val="2"/>
        <charset val="136"/>
      </rPr>
      <t>箍筋比</t>
    </r>
    <phoneticPr fontId="1" type="noConversion"/>
  </si>
  <si>
    <r>
      <rPr>
        <sz val="12"/>
        <color theme="1"/>
        <rFont val="微軟正黑體"/>
        <family val="2"/>
        <charset val="136"/>
      </rPr>
      <t>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</si>
  <si>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</si>
  <si>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箍筋比</t>
    </r>
    <phoneticPr fontId="1" type="noConversion"/>
  </si>
  <si>
    <r>
      <rPr>
        <sz val="12"/>
        <color theme="1"/>
        <rFont val="微軟正黑體"/>
        <family val="2"/>
        <charset val="136"/>
      </rPr>
      <t>非圍束段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</si>
  <si>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</si>
  <si>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各層各柱</t>
    </r>
    <phoneticPr fontId="1" type="noConversion"/>
  </si>
  <si>
    <r>
      <rPr>
        <sz val="12"/>
        <color theme="1"/>
        <rFont val="微軟正黑體"/>
        <family val="2"/>
        <charset val="136"/>
      </rPr>
      <t>間距不超過</t>
    </r>
    <r>
      <rPr>
        <sz val="12"/>
        <color theme="1"/>
        <rFont val="Calibri"/>
        <family val="2"/>
      </rPr>
      <t>10CM</t>
    </r>
    <phoneticPr fontId="1" type="noConversion"/>
  </si>
  <si>
    <r>
      <rPr>
        <sz val="12"/>
        <color theme="1"/>
        <rFont val="微軟正黑體"/>
        <family val="2"/>
        <charset val="136"/>
      </rPr>
      <t>繫筋</t>
    </r>
    <phoneticPr fontId="1" type="noConversion"/>
  </si>
  <si>
    <r>
      <rPr>
        <sz val="12"/>
        <color theme="1"/>
        <rFont val="微軟正黑體"/>
        <family val="2"/>
        <charset val="136"/>
      </rPr>
      <t>隔根勾</t>
    </r>
    <phoneticPr fontId="1" type="noConversion"/>
  </si>
  <si>
    <r>
      <rPr>
        <sz val="12"/>
        <color theme="1"/>
        <rFont val="微軟正黑體"/>
        <family val="2"/>
        <charset val="136"/>
      </rPr>
      <t>支數不少於隔根勾所需支數</t>
    </r>
    <phoneticPr fontId="1" type="noConversion"/>
  </si>
  <si>
    <r>
      <rPr>
        <sz val="12"/>
        <color theme="1"/>
        <rFont val="微軟正黑體"/>
        <family val="2"/>
        <charset val="136"/>
      </rPr>
      <t>梁柱接頭施作性</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</si>
  <si>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</si>
  <si>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</si>
  <si>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上限</t>
    </r>
    <phoneticPr fontId="1" type="noConversion"/>
  </si>
  <si>
    <r>
      <rPr>
        <sz val="12"/>
        <color theme="1"/>
        <rFont val="微軟正黑體"/>
        <family val="2"/>
        <charset val="136"/>
      </rPr>
      <t>牆中柱</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</si>
  <si>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</si>
  <si>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</si>
  <si>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</si>
  <si>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箍筋比</t>
    </r>
    <phoneticPr fontId="1" type="noConversion"/>
  </si>
  <si>
    <r>
      <rPr>
        <sz val="12"/>
        <color theme="1"/>
        <rFont val="微軟正黑體"/>
        <family val="2"/>
        <charset val="136"/>
      </rPr>
      <t>牆中柱</t>
    </r>
    <phoneticPr fontId="1" type="noConversion"/>
  </si>
  <si>
    <r>
      <rPr>
        <sz val="12"/>
        <color theme="1"/>
        <rFont val="微軟正黑體"/>
        <family val="2"/>
        <charset val="136"/>
      </rPr>
      <t>箍筋比</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</si>
  <si>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</si>
  <si>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</si>
  <si>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各層</t>
    </r>
    <phoneticPr fontId="1" type="noConversion"/>
  </si>
  <si>
    <r>
      <rPr>
        <sz val="12"/>
        <color theme="1"/>
        <rFont val="微軟正黑體"/>
        <family val="2"/>
        <charset val="136"/>
      </rPr>
      <t>間距</t>
    </r>
    <phoneticPr fontId="1" type="noConversion"/>
  </si>
  <si>
    <r>
      <rPr>
        <sz val="12"/>
        <color theme="1"/>
        <rFont val="微軟正黑體"/>
        <family val="2"/>
        <charset val="136"/>
      </rPr>
      <t>最小</t>
    </r>
    <phoneticPr fontId="1" type="noConversion"/>
  </si>
  <si>
    <r>
      <rPr>
        <sz val="12"/>
        <color theme="1"/>
        <rFont val="微軟正黑體"/>
        <family val="2"/>
        <charset val="136"/>
      </rPr>
      <t>不小於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</si>
  <si>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</si>
  <si>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</si>
  <si>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各層</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</si>
  <si>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</si>
  <si>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</si>
  <si>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</si>
  <si>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各層</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</si>
  <si>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</si>
  <si>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</si>
  <si>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號數</t>
    </r>
    <phoneticPr fontId="1" type="noConversion"/>
  </si>
  <si>
    <r>
      <rPr>
        <sz val="12"/>
        <color theme="1"/>
        <rFont val="微軟正黑體"/>
        <family val="2"/>
        <charset val="136"/>
      </rPr>
      <t>不小於</t>
    </r>
    <r>
      <rPr>
        <sz val="12"/>
        <color theme="1"/>
        <rFont val="Calibri"/>
        <family val="2"/>
      </rPr>
      <t>#4</t>
    </r>
    <phoneticPr fontId="1" type="noConversion"/>
  </si>
  <si>
    <r>
      <rPr>
        <sz val="12"/>
        <color theme="1"/>
        <rFont val="微軟正黑體"/>
        <family val="2"/>
        <charset val="136"/>
      </rPr>
      <t>不大於</t>
    </r>
    <r>
      <rPr>
        <sz val="12"/>
        <color theme="1"/>
        <rFont val="Calibri"/>
        <family val="2"/>
      </rPr>
      <t>#5</t>
    </r>
    <phoneticPr fontId="1" type="noConversion"/>
  </si>
  <si>
    <r>
      <rPr>
        <sz val="12"/>
        <color theme="1"/>
        <rFont val="微軟正黑體"/>
        <family val="2"/>
        <charset val="136"/>
      </rPr>
      <t>不小於</t>
    </r>
    <r>
      <rPr>
        <sz val="12"/>
        <color theme="1"/>
        <rFont val="Calibri"/>
        <family val="2"/>
      </rPr>
      <t>10cm</t>
    </r>
    <phoneticPr fontId="1" type="noConversion"/>
  </si>
  <si>
    <r>
      <t>1F</t>
    </r>
    <r>
      <rPr>
        <sz val="12"/>
        <color theme="1"/>
        <rFont val="微軟正黑體"/>
        <family val="2"/>
        <charset val="136"/>
      </rPr>
      <t>層</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</si>
  <si>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</si>
  <si>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20cm</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</si>
  <si>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</si>
  <si>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</si>
  <si>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</si>
  <si>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</si>
  <si>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b/>
        <sz val="14"/>
        <color theme="1"/>
        <rFont val="微軟正黑體"/>
        <family val="2"/>
        <charset val="136"/>
      </rPr>
      <t>筏基版</t>
    </r>
    <phoneticPr fontId="1" type="noConversion"/>
  </si>
  <si>
    <r>
      <rPr>
        <sz val="12"/>
        <color theme="1"/>
        <rFont val="微軟正黑體"/>
        <family val="2"/>
        <charset val="136"/>
      </rPr>
      <t>上層筋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</si>
  <si>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</si>
  <si>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</si>
  <si>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</si>
  <si>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</si>
  <si>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</si>
  <si>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</si>
  <si>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</si>
  <si>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</si>
  <si>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</si>
  <si>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sz val="12"/>
        <color theme="1"/>
        <rFont val="微軟正黑體"/>
        <family val="2"/>
        <charset val="136"/>
      </rPr>
      <t>是否有斷筋</t>
    </r>
  </si>
  <si>
    <r>
      <rPr>
        <sz val="12"/>
        <color rgb="FFFF0000"/>
        <rFont val="微軟正黑體"/>
        <family val="2"/>
        <charset val="136"/>
      </rPr>
      <t>下層筋</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</si>
  <si>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</si>
  <si>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</si>
  <si>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</si>
  <si>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b/>
        <sz val="14"/>
        <color theme="1"/>
        <rFont val="微軟正黑體"/>
        <family val="2"/>
        <charset val="136"/>
      </rPr>
      <t>基腳版</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</si>
  <si>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</si>
  <si>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</si>
  <si>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</si>
  <si>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</si>
  <si>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</si>
  <si>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有或無</t>
    </r>
    <phoneticPr fontId="1" type="noConversion"/>
  </si>
  <si>
    <r>
      <rPr>
        <sz val="12"/>
        <color theme="1"/>
        <rFont val="微軟正黑體"/>
        <family val="2"/>
        <charset val="136"/>
      </rPr>
      <t>基腳超過</t>
    </r>
    <r>
      <rPr>
        <sz val="12"/>
        <color theme="1"/>
        <rFont val="Calibri"/>
        <family val="2"/>
      </rPr>
      <t xml:space="preserve">3m </t>
    </r>
    <r>
      <rPr>
        <sz val="12"/>
        <color theme="1"/>
        <rFont val="微軟正黑體"/>
        <family val="2"/>
        <charset val="136"/>
      </rPr>
      <t>非單一配筋</t>
    </r>
    <phoneticPr fontId="1" type="noConversion"/>
  </si>
  <si>
    <r>
      <rPr>
        <sz val="12"/>
        <color theme="1"/>
        <rFont val="微軟正黑體"/>
        <family val="2"/>
        <charset val="136"/>
      </rPr>
      <t>相對鋼筋量</t>
    </r>
    <phoneticPr fontId="1" type="noConversion"/>
  </si>
  <si>
    <r>
      <rPr>
        <sz val="12"/>
        <color theme="1"/>
        <rFont val="微軟正黑體"/>
        <family val="2"/>
        <charset val="136"/>
      </rPr>
      <t>相較於下層筋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</si>
  <si>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</si>
  <si>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b/>
        <sz val="14"/>
        <color theme="1"/>
        <rFont val="微軟正黑體"/>
        <family val="2"/>
        <charset val="136"/>
      </rPr>
      <t>地下室外牆</t>
    </r>
    <phoneticPr fontId="1" type="noConversion"/>
  </si>
  <si>
    <r>
      <rPr>
        <sz val="12"/>
        <color theme="1"/>
        <rFont val="微軟正黑體"/>
        <family val="2"/>
        <charset val="136"/>
      </rPr>
      <t>地下室各層</t>
    </r>
    <phoneticPr fontId="1" type="noConversion"/>
  </si>
  <si>
    <r>
      <rPr>
        <sz val="12"/>
        <color theme="1"/>
        <rFont val="微軟正黑體"/>
        <family val="2"/>
        <charset val="136"/>
      </rPr>
      <t>外側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</si>
  <si>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</si>
  <si>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</si>
  <si>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</si>
  <si>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</si>
  <si>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地下室各層</t>
    </r>
    <phoneticPr fontId="1" type="noConversion"/>
  </si>
  <si>
    <r>
      <rPr>
        <sz val="12"/>
        <color rgb="FFFF0000"/>
        <rFont val="微軟正黑體"/>
        <family val="2"/>
        <charset val="136"/>
      </rPr>
      <t>內側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</si>
  <si>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</si>
  <si>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</si>
  <si>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</si>
  <si>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</si>
  <si>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下限</t>
    </r>
    <phoneticPr fontId="1" type="noConversion"/>
  </si>
  <si>
    <r>
      <rPr>
        <sz val="12"/>
        <color theme="1"/>
        <rFont val="微軟正黑體"/>
        <family val="2"/>
        <charset val="136"/>
      </rPr>
      <t>外側</t>
    </r>
    <phoneticPr fontId="1" type="noConversion"/>
  </si>
  <si>
    <r>
      <rPr>
        <sz val="12"/>
        <color theme="1"/>
        <rFont val="微軟正黑體"/>
        <family val="2"/>
        <charset val="136"/>
      </rPr>
      <t>上限</t>
    </r>
    <phoneticPr fontId="1" type="noConversion"/>
  </si>
  <si>
    <r>
      <rPr>
        <sz val="12"/>
        <color theme="1"/>
        <rFont val="微軟正黑體"/>
        <family val="2"/>
        <charset val="136"/>
      </rPr>
      <t>地下室各層</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</si>
  <si>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</si>
  <si>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</si>
  <si>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地下室各層</t>
    </r>
    <phoneticPr fontId="1" type="noConversion"/>
  </si>
  <si>
    <r>
      <rPr>
        <sz val="12"/>
        <color theme="1"/>
        <rFont val="微軟正黑體"/>
        <family val="2"/>
        <charset val="136"/>
      </rPr>
      <t>垂直筋</t>
    </r>
    <phoneticPr fontId="1" type="noConversion"/>
  </si>
  <si>
    <r>
      <rPr>
        <sz val="12"/>
        <color theme="1"/>
        <rFont val="微軟正黑體"/>
        <family val="2"/>
        <charset val="136"/>
      </rPr>
      <t>鋼筋量</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</si>
  <si>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</si>
  <si>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</si>
  <si>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rgb="FFFF0000"/>
        <rFont val="微軟正黑體"/>
        <family val="2"/>
        <charset val="136"/>
      </rPr>
      <t>內側</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</si>
  <si>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</si>
  <si>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</si>
  <si>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b/>
        <sz val="14"/>
        <color theme="1"/>
        <rFont val="微軟正黑體"/>
        <family val="2"/>
        <charset val="136"/>
      </rPr>
      <t>剪力牆</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</si>
  <si>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</si>
  <si>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</si>
  <si>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</si>
  <si>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</si>
  <si>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</si>
  <si>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垂直筋</t>
    </r>
    <phoneticPr fontId="1" type="noConversion"/>
  </si>
  <si>
    <r>
      <rPr>
        <sz val="12"/>
        <color theme="1"/>
        <rFont val="微軟正黑體"/>
        <family val="2"/>
        <charset val="136"/>
      </rPr>
      <t>水平筋</t>
    </r>
    <phoneticPr fontId="1" type="noConversion"/>
  </si>
  <si>
    <r>
      <rPr>
        <sz val="12"/>
        <color theme="1"/>
        <rFont val="微軟正黑體"/>
        <family val="2"/>
        <charset val="136"/>
      </rPr>
      <t>間距</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</si>
  <si>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</si>
  <si>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鋼筋量</t>
    </r>
    <phoneticPr fontId="1" type="noConversion"/>
  </si>
  <si>
    <r>
      <rPr>
        <sz val="12"/>
        <color theme="1"/>
        <rFont val="微軟正黑體"/>
        <family val="2"/>
        <charset val="136"/>
      </rPr>
      <t>拐頭</t>
    </r>
    <phoneticPr fontId="1" type="noConversion"/>
  </si>
  <si>
    <r>
      <rPr>
        <sz val="12"/>
        <color theme="1"/>
        <rFont val="微軟正黑體"/>
        <family val="2"/>
        <charset val="136"/>
      </rPr>
      <t>主筋量</t>
    </r>
    <phoneticPr fontId="1" type="noConversion"/>
  </si>
  <si>
    <r>
      <rPr>
        <sz val="12"/>
        <color theme="1"/>
        <rFont val="微軟正黑體"/>
        <family val="2"/>
        <charset val="136"/>
      </rPr>
      <t>不少於</t>
    </r>
    <r>
      <rPr>
        <sz val="12"/>
        <color theme="1"/>
        <rFont val="Calibri"/>
        <family val="2"/>
      </rPr>
      <t>1%</t>
    </r>
    <phoneticPr fontId="1" type="noConversion"/>
  </si>
  <si>
    <r>
      <rPr>
        <sz val="12"/>
        <color theme="1"/>
        <rFont val="微軟正黑體"/>
        <family val="2"/>
        <charset val="136"/>
      </rPr>
      <t>主筋量</t>
    </r>
    <phoneticPr fontId="1" type="noConversion"/>
  </si>
  <si>
    <r>
      <rPr>
        <sz val="12"/>
        <color theme="1"/>
        <rFont val="微軟正黑體"/>
        <family val="2"/>
        <charset val="136"/>
      </rPr>
      <t>不多於</t>
    </r>
    <r>
      <rPr>
        <sz val="12"/>
        <color theme="1"/>
        <rFont val="Calibri"/>
        <family val="2"/>
      </rPr>
      <t>4%</t>
    </r>
    <phoneticPr fontId="1" type="noConversion"/>
  </si>
  <si>
    <r>
      <rPr>
        <b/>
        <sz val="14"/>
        <color theme="1"/>
        <rFont val="微軟正黑體"/>
        <family val="2"/>
        <charset val="136"/>
      </rPr>
      <t>連續壁</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</si>
  <si>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</si>
  <si>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</si>
  <si>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1/20 </t>
    </r>
    <r>
      <rPr>
        <sz val="12"/>
        <color theme="1"/>
        <rFont val="微軟正黑體"/>
        <family val="2"/>
        <charset val="136"/>
      </rPr>
      <t>深度</t>
    </r>
    <r>
      <rPr>
        <sz val="12"/>
        <color theme="1"/>
        <rFont val="Calibri"/>
        <family val="2"/>
      </rPr>
      <t>-10CM</t>
    </r>
    <phoneticPr fontId="1" type="noConversion"/>
  </si>
  <si>
    <r>
      <rPr>
        <sz val="12"/>
        <color theme="1"/>
        <rFont val="微軟正黑體"/>
        <family val="2"/>
        <charset val="136"/>
      </rPr>
      <t>不少於</t>
    </r>
    <r>
      <rPr>
        <sz val="12"/>
        <color theme="1"/>
        <rFont val="Calibri"/>
        <family val="2"/>
      </rPr>
      <t>0.003</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</si>
  <si>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</si>
  <si>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垂直筋</t>
    </r>
    <phoneticPr fontId="1" type="noConversion"/>
  </si>
  <si>
    <r>
      <rPr>
        <sz val="12"/>
        <color rgb="FFFF0000"/>
        <rFont val="微軟正黑體"/>
        <family val="2"/>
        <charset val="136"/>
      </rPr>
      <t>內側</t>
    </r>
    <phoneticPr fontId="1" type="noConversion"/>
  </si>
  <si>
    <r>
      <rPr>
        <sz val="12"/>
        <color theme="1"/>
        <rFont val="微軟正黑體"/>
        <family val="2"/>
        <charset val="136"/>
      </rPr>
      <t>最大</t>
    </r>
    <phoneticPr fontId="1" type="noConversion"/>
  </si>
  <si>
    <r>
      <rPr>
        <sz val="12"/>
        <color theme="1"/>
        <rFont val="微軟正黑體"/>
        <family val="2"/>
        <charset val="136"/>
      </rPr>
      <t>垂直筋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</si>
  <si>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</si>
  <si>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</si>
  <si>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</si>
  <si>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</si>
  <si>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垂直剪力筋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</si>
  <si>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</si>
  <si>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</si>
  <si>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地中壁</t>
    </r>
    <phoneticPr fontId="1" type="noConversion"/>
  </si>
  <si>
    <r>
      <rPr>
        <sz val="12"/>
        <color theme="1"/>
        <rFont val="微軟正黑體"/>
        <family val="2"/>
        <charset val="136"/>
      </rPr>
      <t>施工性</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</si>
  <si>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</si>
  <si>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</si>
  <si>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50CM </t>
    </r>
    <r>
      <rPr>
        <sz val="12"/>
        <color theme="1"/>
        <rFont val="微軟正黑體"/>
        <family val="2"/>
        <charset val="136"/>
      </rPr>
      <t>不多於</t>
    </r>
    <r>
      <rPr>
        <sz val="12"/>
        <color theme="1"/>
        <rFont val="Calibri"/>
        <family val="2"/>
      </rPr>
      <t>60CM</t>
    </r>
    <phoneticPr fontId="1" type="noConversion"/>
  </si>
  <si>
    <r>
      <rPr>
        <sz val="12"/>
        <color theme="1"/>
        <rFont val="微軟正黑體"/>
        <family val="2"/>
        <charset val="136"/>
      </rPr>
      <t>請確認地中壁厚度是否過小或過大</t>
    </r>
    <phoneticPr fontId="1" type="noConversion"/>
  </si>
  <si>
    <r>
      <rPr>
        <sz val="12"/>
        <color theme="1"/>
        <rFont val="微軟正黑體"/>
        <family val="2"/>
        <charset val="136"/>
      </rPr>
      <t>水平剪力筋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</si>
  <si>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</si>
  <si>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</si>
  <si>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</si>
  <si>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</si>
  <si>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rPr>
        <sz val="12"/>
        <color theme="1"/>
        <rFont val="微軟正黑體"/>
        <family val="2"/>
        <charset val="136"/>
      </rPr>
      <t>指標種類</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</si>
  <si>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</si>
  <si>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</si>
  <si>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剪力筋</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</si>
  <si>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不得大於</t>
    </r>
    <r>
      <rPr>
        <sz val="12"/>
        <rFont val="Calibri"/>
        <family val="2"/>
      </rPr>
      <t xml:space="preserve"> 0.0015 * bw * s2 * 1.5</t>
    </r>
    <r>
      <rPr>
        <sz val="12"/>
        <rFont val="微軟正黑體"/>
        <family val="2"/>
        <charset val="136"/>
      </rPr>
      <t>。</t>
    </r>
    <phoneticPr fontId="1" type="noConversion"/>
  </si>
  <si>
    <r>
      <rPr>
        <sz val="12"/>
        <rFont val="微軟正黑體"/>
        <family val="2"/>
        <charset val="136"/>
      </rPr>
      <t>最少鋼筋比大於</t>
    </r>
    <r>
      <rPr>
        <sz val="12"/>
        <rFont val="Calibri"/>
        <family val="2"/>
      </rPr>
      <t xml:space="preserve"> 0.3 %</t>
    </r>
    <phoneticPr fontId="1" type="noConversion"/>
  </si>
  <si>
    <r>
      <rPr>
        <sz val="12"/>
        <color theme="1"/>
        <rFont val="微軟正黑體"/>
        <family val="2"/>
        <charset val="136"/>
      </rPr>
      <t>主筋間距</t>
    </r>
    <phoneticPr fontId="1" type="noConversion"/>
  </si>
  <si>
    <r>
      <rPr>
        <sz val="12"/>
        <color theme="1"/>
        <rFont val="微軟正黑體"/>
        <family val="2"/>
        <charset val="136"/>
      </rPr>
      <t>【</t>
    </r>
    <r>
      <rPr>
        <sz val="12"/>
        <color theme="1"/>
        <rFont val="Calibri"/>
        <family val="2"/>
      </rPr>
      <t>0202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</si>
  <si>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</si>
  <si>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</si>
  <si>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0207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phoneticPr fontId="1" type="noConversion"/>
  </si>
  <si>
    <r>
      <rPr>
        <sz val="12"/>
        <color theme="1"/>
        <rFont val="微軟正黑體"/>
        <family val="2"/>
        <charset val="136"/>
      </rPr>
      <t>【</t>
    </r>
    <r>
      <rPr>
        <sz val="12"/>
        <color theme="1"/>
        <rFont val="Calibri"/>
        <family val="2"/>
      </rPr>
      <t>0208</t>
    </r>
    <r>
      <rPr>
        <sz val="12"/>
        <color theme="1"/>
        <rFont val="微軟正黑體"/>
        <family val="2"/>
        <charset val="136"/>
      </rPr>
      <t>】請確認是否為深梁</t>
    </r>
    <phoneticPr fontId="1" type="noConversion"/>
  </si>
  <si>
    <r>
      <rPr>
        <sz val="12"/>
        <color theme="1"/>
        <rFont val="微軟正黑體"/>
        <family val="2"/>
        <charset val="136"/>
      </rPr>
      <t>【</t>
    </r>
    <r>
      <rPr>
        <sz val="12"/>
        <color theme="1"/>
        <rFont val="Calibri"/>
        <family val="2"/>
      </rPr>
      <t>0209</t>
    </r>
    <r>
      <rPr>
        <sz val="12"/>
        <color theme="1"/>
        <rFont val="微軟正黑體"/>
        <family val="2"/>
        <charset val="136"/>
      </rPr>
      <t>】請確認剪力鋼筋量上限，是否符合規範</t>
    </r>
    <r>
      <rPr>
        <sz val="12"/>
        <color theme="1"/>
        <rFont val="Calibri"/>
        <family val="2"/>
      </rPr>
      <t xml:space="preserve"> 4.6.7.9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</si>
  <si>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0211</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</si>
  <si>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0212</t>
    </r>
    <r>
      <rPr>
        <sz val="12"/>
        <color theme="1"/>
        <rFont val="微軟正黑體"/>
        <family val="2"/>
        <charset val="136"/>
      </rPr>
      <t>】請確認左端上層筋上限，是否符合規範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</si>
  <si>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0213</t>
    </r>
    <r>
      <rPr>
        <sz val="12"/>
        <color theme="1"/>
        <rFont val="微軟正黑體"/>
        <family val="2"/>
        <charset val="136"/>
      </rPr>
      <t>】請確認中央上層筋上限，是否符合規範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</si>
  <si>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0215</t>
    </r>
    <r>
      <rPr>
        <sz val="12"/>
        <color theme="1"/>
        <rFont val="微軟正黑體"/>
        <family val="2"/>
        <charset val="136"/>
      </rPr>
      <t>】請確認左端下層筋上限，是否符合規範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</si>
  <si>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0217</t>
    </r>
    <r>
      <rPr>
        <sz val="12"/>
        <color theme="1"/>
        <rFont val="微軟正黑體"/>
        <family val="2"/>
        <charset val="136"/>
      </rPr>
      <t>】請確認右端下層筋上限，是否符合規範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</si>
  <si>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0220</t>
    </r>
    <r>
      <rPr>
        <sz val="12"/>
        <color theme="1"/>
        <rFont val="微軟正黑體"/>
        <family val="2"/>
        <charset val="136"/>
      </rPr>
      <t>】請確認箍筋間距上限，是否符合</t>
    </r>
    <r>
      <rPr>
        <sz val="12"/>
        <color theme="1"/>
        <rFont val="Calibri"/>
        <family val="2"/>
      </rPr>
      <t xml:space="preserve"> 30cm </t>
    </r>
    <r>
      <rPr>
        <sz val="12"/>
        <color theme="1"/>
        <rFont val="微軟正黑體"/>
        <family val="2"/>
        <charset val="136"/>
      </rPr>
      <t>以下規定</t>
    </r>
    <phoneticPr fontId="1" type="noConversion"/>
  </si>
  <si>
    <r>
      <rPr>
        <sz val="12"/>
        <color theme="1"/>
        <rFont val="微軟正黑體"/>
        <family val="2"/>
        <charset val="136"/>
      </rPr>
      <t>【</t>
    </r>
    <r>
      <rPr>
        <sz val="12"/>
        <color theme="1"/>
        <rFont val="Calibri"/>
        <family val="2"/>
      </rPr>
      <t>0309</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</si>
  <si>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0312</t>
    </r>
    <r>
      <rPr>
        <sz val="12"/>
        <color theme="1"/>
        <rFont val="微軟正黑體"/>
        <family val="2"/>
        <charset val="136"/>
      </rPr>
      <t>】垂直載重配筋可能不足</t>
    </r>
    <phoneticPr fontId="1" type="noConversion"/>
  </si>
  <si>
    <r>
      <rPr>
        <sz val="12"/>
        <color theme="1"/>
        <rFont val="微軟正黑體"/>
        <family val="2"/>
        <charset val="136"/>
      </rPr>
      <t>頂樓區</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</si>
  <si>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</si>
  <si>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</si>
  <si>
    <r>
      <rPr>
        <sz val="12"/>
        <color theme="1"/>
        <rFont val="微軟正黑體"/>
        <family val="2"/>
        <charset val="136"/>
      </rPr>
      <t>地梁</t>
    </r>
    <phoneticPr fontId="1" type="noConversion"/>
  </si>
  <si>
    <r>
      <rPr>
        <sz val="12"/>
        <color theme="1"/>
        <rFont val="微軟正黑體"/>
        <family val="2"/>
        <charset val="136"/>
      </rPr>
      <t>大梁</t>
    </r>
    <phoneticPr fontId="1" type="noConversion"/>
  </si>
  <si>
    <r>
      <rPr>
        <sz val="12"/>
        <color theme="1"/>
        <rFont val="微軟正黑體"/>
        <family val="2"/>
        <charset val="136"/>
      </rPr>
      <t>主筋</t>
    </r>
    <phoneticPr fontId="1" type="noConversion"/>
  </si>
  <si>
    <r>
      <rPr>
        <sz val="12"/>
        <color theme="1"/>
        <rFont val="微軟正黑體"/>
        <family val="2"/>
        <charset val="136"/>
      </rPr>
      <t>柱</t>
    </r>
    <phoneticPr fontId="1" type="noConversion"/>
  </si>
  <si>
    <r>
      <rPr>
        <sz val="12"/>
        <color theme="1"/>
        <rFont val="微軟正黑體"/>
        <family val="2"/>
        <charset val="136"/>
      </rPr>
      <t>主筋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</si>
  <si>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</si>
  <si>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</si>
  <si>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</si>
  <si>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</si>
  <si>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t>RC Scan</t>
    <phoneticPr fontId="1" type="noConversion"/>
  </si>
  <si>
    <t>Project</t>
    <phoneticPr fontId="1" type="noConversion"/>
  </si>
  <si>
    <t>Current version</t>
    <phoneticPr fontId="1" type="noConversion"/>
  </si>
  <si>
    <r>
      <rPr>
        <sz val="12"/>
        <color theme="1"/>
        <rFont val="微軟正黑體"/>
        <family val="2"/>
        <charset val="136"/>
      </rPr>
      <t>【</t>
    </r>
    <r>
      <rPr>
        <sz val="12"/>
        <color theme="1"/>
        <rFont val="Calibri"/>
        <family val="2"/>
      </rPr>
      <t>0403</t>
    </r>
    <r>
      <rPr>
        <sz val="12"/>
        <color theme="1"/>
        <rFont val="微軟正黑體"/>
        <family val="2"/>
        <charset val="136"/>
      </rPr>
      <t>】請確認</t>
    </r>
    <r>
      <rPr>
        <sz val="12"/>
        <color theme="1"/>
        <rFont val="Calibri"/>
        <family val="2"/>
      </rPr>
      <t>X</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</si>
  <si>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0404</t>
    </r>
    <r>
      <rPr>
        <sz val="12"/>
        <color theme="1"/>
        <rFont val="微軟正黑體"/>
        <family val="2"/>
        <charset val="136"/>
      </rPr>
      <t>】請確認</t>
    </r>
    <r>
      <rPr>
        <sz val="12"/>
        <color theme="1"/>
        <rFont val="Calibri"/>
        <family val="2"/>
      </rPr>
      <t>Y</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</si>
  <si>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0405</t>
    </r>
    <r>
      <rPr>
        <sz val="12"/>
        <color theme="1"/>
        <rFont val="微軟正黑體"/>
        <family val="2"/>
        <charset val="136"/>
      </rPr>
      <t>】請確認高樓區鋼筋比，是否超過</t>
    </r>
    <r>
      <rPr>
        <sz val="12"/>
        <color theme="1"/>
        <rFont val="Calibri"/>
        <family val="2"/>
      </rPr>
      <t xml:space="preserve"> 1.2 %</t>
    </r>
    <phoneticPr fontId="1" type="noConversion"/>
  </si>
  <si>
    <r>
      <rPr>
        <sz val="12"/>
        <color theme="1"/>
        <rFont val="微軟正黑體"/>
        <family val="2"/>
        <charset val="136"/>
      </rPr>
      <t>【</t>
    </r>
    <r>
      <rPr>
        <sz val="12"/>
        <color theme="1"/>
        <rFont val="Calibri"/>
        <family val="2"/>
      </rPr>
      <t>0406</t>
    </r>
    <r>
      <rPr>
        <sz val="12"/>
        <color theme="1"/>
        <rFont val="微軟正黑體"/>
        <family val="2"/>
        <charset val="136"/>
      </rPr>
      <t>】</t>
    </r>
    <r>
      <rPr>
        <sz val="12"/>
        <color theme="1"/>
        <rFont val="Calibri"/>
        <family val="2"/>
      </rPr>
      <t>X</t>
    </r>
    <r>
      <rPr>
        <sz val="12"/>
        <color theme="1"/>
        <rFont val="微軟正黑體"/>
        <family val="2"/>
        <charset val="136"/>
      </rPr>
      <t>向繫筋未符合隔根勾</t>
    </r>
    <phoneticPr fontId="1" type="noConversion"/>
  </si>
  <si>
    <r>
      <rPr>
        <sz val="12"/>
        <color theme="1"/>
        <rFont val="微軟正黑體"/>
        <family val="2"/>
        <charset val="136"/>
      </rPr>
      <t>【</t>
    </r>
    <r>
      <rPr>
        <sz val="12"/>
        <color theme="1"/>
        <rFont val="Calibri"/>
        <family val="2"/>
      </rPr>
      <t>0407</t>
    </r>
    <r>
      <rPr>
        <sz val="12"/>
        <color theme="1"/>
        <rFont val="微軟正黑體"/>
        <family val="2"/>
        <charset val="136"/>
      </rPr>
      <t>】</t>
    </r>
    <r>
      <rPr>
        <sz val="12"/>
        <color theme="1"/>
        <rFont val="Calibri"/>
        <family val="2"/>
      </rPr>
      <t>Y</t>
    </r>
    <r>
      <rPr>
        <sz val="12"/>
        <color theme="1"/>
        <rFont val="微軟正黑體"/>
        <family val="2"/>
        <charset val="136"/>
      </rPr>
      <t>向繫筋未符合隔根勾</t>
    </r>
    <phoneticPr fontId="1" type="noConversion"/>
  </si>
  <si>
    <t>C10</t>
    <phoneticPr fontId="1" type="noConversion"/>
  </si>
  <si>
    <t>C12</t>
    <phoneticPr fontId="1" type="noConversion"/>
  </si>
  <si>
    <t>C15</t>
    <phoneticPr fontId="1" type="noConversion"/>
  </si>
  <si>
    <t>C53</t>
  </si>
  <si>
    <t>C52</t>
  </si>
  <si>
    <t>C51</t>
  </si>
  <si>
    <t>C13</t>
  </si>
  <si>
    <t>11F</t>
  </si>
  <si>
    <t>10F</t>
  </si>
  <si>
    <t>9F</t>
  </si>
  <si>
    <t>8F</t>
  </si>
  <si>
    <t>7F</t>
  </si>
  <si>
    <t>6F</t>
  </si>
  <si>
    <t>5F</t>
  </si>
  <si>
    <t>1F</t>
  </si>
  <si>
    <t>B1</t>
  </si>
  <si>
    <t>B2</t>
  </si>
  <si>
    <t>B3</t>
  </si>
  <si>
    <t>STORY</t>
  </si>
  <si>
    <t>Fy</t>
  </si>
  <si>
    <t>Fyt</t>
  </si>
  <si>
    <t>SDL</t>
  </si>
  <si>
    <t>LL</t>
  </si>
  <si>
    <r>
      <rPr>
        <sz val="12"/>
        <color theme="1"/>
        <rFont val="微軟正黑體"/>
        <family val="2"/>
        <charset val="136"/>
      </rPr>
      <t>柱編號</t>
    </r>
  </si>
  <si>
    <r>
      <t>X</t>
    </r>
    <r>
      <rPr>
        <sz val="12"/>
        <color theme="1"/>
        <rFont val="微軟正黑體"/>
        <family val="2"/>
        <charset val="136"/>
      </rPr>
      <t>向柱寬</t>
    </r>
  </si>
  <si>
    <r>
      <t>Y</t>
    </r>
    <r>
      <rPr>
        <sz val="12"/>
        <color theme="1"/>
        <rFont val="微軟正黑體"/>
        <family val="2"/>
        <charset val="136"/>
      </rPr>
      <t>向柱寬</t>
    </r>
  </si>
  <si>
    <r>
      <rPr>
        <sz val="12"/>
        <color theme="1"/>
        <rFont val="微軟正黑體"/>
        <family val="2"/>
        <charset val="136"/>
      </rPr>
      <t>柱箍筋</t>
    </r>
  </si>
  <si>
    <r>
      <t>X</t>
    </r>
    <r>
      <rPr>
        <sz val="12"/>
        <color theme="1"/>
        <rFont val="微軟正黑體"/>
        <family val="2"/>
        <charset val="136"/>
      </rPr>
      <t>向支數</t>
    </r>
  </si>
  <si>
    <r>
      <t>Y</t>
    </r>
    <r>
      <rPr>
        <sz val="12"/>
        <color theme="1"/>
        <rFont val="微軟正黑體"/>
        <family val="2"/>
        <charset val="136"/>
      </rPr>
      <t>向支數</t>
    </r>
  </si>
  <si>
    <r>
      <rPr>
        <sz val="12"/>
        <color theme="1"/>
        <rFont val="微軟正黑體"/>
        <family val="2"/>
        <charset val="136"/>
      </rPr>
      <t>圍束區</t>
    </r>
  </si>
  <si>
    <r>
      <rPr>
        <sz val="12"/>
        <color theme="1"/>
        <rFont val="微軟正黑體"/>
        <family val="2"/>
        <charset val="136"/>
      </rPr>
      <t>非圍束區</t>
    </r>
  </si>
  <si>
    <r>
      <t>X</t>
    </r>
    <r>
      <rPr>
        <sz val="12"/>
        <color theme="1"/>
        <rFont val="微軟正黑體"/>
        <family val="2"/>
        <charset val="136"/>
      </rPr>
      <t>向繫筋</t>
    </r>
  </si>
  <si>
    <r>
      <t>Y</t>
    </r>
    <r>
      <rPr>
        <sz val="12"/>
        <color theme="1"/>
        <rFont val="微軟正黑體"/>
        <family val="2"/>
        <charset val="136"/>
      </rPr>
      <t>向繫筋</t>
    </r>
  </si>
  <si>
    <r>
      <rPr>
        <sz val="12"/>
        <color theme="1"/>
        <rFont val="微軟正黑體"/>
        <family val="2"/>
        <charset val="136"/>
      </rPr>
      <t>樓層由高到低按照順序排列</t>
    </r>
    <phoneticPr fontId="1" type="noConversion"/>
  </si>
  <si>
    <r>
      <rPr>
        <sz val="12"/>
        <color rgb="FF9C5700"/>
        <rFont val="微軟正黑體"/>
        <family val="2"/>
        <charset val="136"/>
      </rPr>
      <t>梁版</t>
    </r>
    <r>
      <rPr>
        <sz val="12"/>
        <color rgb="FF9C5700"/>
        <rFont val="Calibri"/>
        <family val="2"/>
      </rPr>
      <t xml:space="preserve"> fc'</t>
    </r>
  </si>
  <si>
    <r>
      <rPr>
        <sz val="12"/>
        <color rgb="FF9C5700"/>
        <rFont val="微軟正黑體"/>
        <family val="2"/>
        <charset val="136"/>
      </rPr>
      <t>柱牆</t>
    </r>
    <r>
      <rPr>
        <sz val="12"/>
        <color rgb="FF9C5700"/>
        <rFont val="Calibri"/>
        <family val="2"/>
      </rPr>
      <t xml:space="preserve"> fc'</t>
    </r>
  </si>
  <si>
    <r>
      <rPr>
        <sz val="12"/>
        <color theme="1"/>
        <rFont val="微軟正黑體"/>
        <family val="2"/>
        <charset val="136"/>
      </rPr>
      <t>修正耐震部分不必檢討地下層</t>
    </r>
    <phoneticPr fontId="1" type="noConversion"/>
  </si>
  <si>
    <t>C24</t>
  </si>
  <si>
    <r>
      <rPr>
        <sz val="12"/>
        <color theme="1"/>
        <rFont val="微軟正黑體"/>
        <family val="2"/>
        <charset val="136"/>
      </rPr>
      <t>優化速度</t>
    </r>
    <phoneticPr fontId="1" type="noConversion"/>
  </si>
  <si>
    <r>
      <rPr>
        <sz val="12"/>
        <color theme="1"/>
        <rFont val="微軟正黑體"/>
        <family val="2"/>
        <charset val="136"/>
      </rPr>
      <t>調整格式</t>
    </r>
    <phoneticPr fontId="1" type="noConversion"/>
  </si>
  <si>
    <r>
      <rPr>
        <sz val="12"/>
        <color theme="1"/>
        <rFont val="微軟正黑體"/>
        <family val="2"/>
        <charset val="136"/>
      </rPr>
      <t>調整輸出表格</t>
    </r>
    <phoneticPr fontId="1" type="noConversion"/>
  </si>
  <si>
    <t>C83</t>
  </si>
  <si>
    <t>C85</t>
  </si>
  <si>
    <t>C87</t>
  </si>
  <si>
    <t>C81</t>
  </si>
  <si>
    <t>C88</t>
  </si>
  <si>
    <t>C86</t>
  </si>
  <si>
    <t>C84</t>
  </si>
  <si>
    <t>C82</t>
  </si>
  <si>
    <t>R3</t>
  </si>
  <si>
    <t>R2</t>
  </si>
  <si>
    <t>R1</t>
  </si>
  <si>
    <t>C18</t>
  </si>
  <si>
    <t>C17</t>
  </si>
  <si>
    <t>C19</t>
  </si>
  <si>
    <t>#4@9</t>
  </si>
  <si>
    <t>C20</t>
  </si>
  <si>
    <t>3-#8</t>
  </si>
  <si>
    <t>1#4EF</t>
  </si>
  <si>
    <t>2#4@15</t>
  </si>
  <si>
    <t>4-#8</t>
  </si>
  <si>
    <t>5-#8</t>
  </si>
  <si>
    <t>6-#8</t>
  </si>
  <si>
    <t>2-#8</t>
  </si>
  <si>
    <t>4#4EF</t>
  </si>
  <si>
    <t>8-#8</t>
  </si>
  <si>
    <t>7-#8</t>
  </si>
  <si>
    <t>14-#8</t>
  </si>
  <si>
    <t>7-#7</t>
  </si>
  <si>
    <t>#3@20</t>
  </si>
  <si>
    <t>#3@25</t>
  </si>
  <si>
    <t>2-#7</t>
  </si>
  <si>
    <t>5-#7</t>
  </si>
  <si>
    <t>4-#7</t>
  </si>
  <si>
    <t>2#3@15</t>
  </si>
  <si>
    <t>C54</t>
  </si>
  <si>
    <t>C55</t>
  </si>
  <si>
    <t>C56</t>
  </si>
  <si>
    <t>C57</t>
  </si>
  <si>
    <t>C58</t>
  </si>
  <si>
    <t>C59</t>
  </si>
  <si>
    <t>C60</t>
  </si>
  <si>
    <t>C61</t>
  </si>
  <si>
    <t>C62</t>
  </si>
  <si>
    <t>C63</t>
  </si>
  <si>
    <t>C64</t>
  </si>
  <si>
    <t>C65</t>
  </si>
  <si>
    <t>C66</t>
  </si>
  <si>
    <t>C67</t>
  </si>
  <si>
    <t>C68</t>
  </si>
  <si>
    <t>C69</t>
  </si>
  <si>
    <t>C70</t>
  </si>
  <si>
    <t>6#4EF</t>
  </si>
  <si>
    <t>2#4@12</t>
  </si>
  <si>
    <t>10-#8</t>
  </si>
  <si>
    <t>1-#8</t>
  </si>
  <si>
    <t>R1</t>
    <phoneticPr fontId="1" type="noConversion"/>
  </si>
  <si>
    <t>R2</t>
    <phoneticPr fontId="1" type="noConversion"/>
  </si>
  <si>
    <t>R3</t>
    <phoneticPr fontId="1" type="noConversion"/>
  </si>
  <si>
    <t>b7</t>
  </si>
  <si>
    <t>2-#6</t>
  </si>
  <si>
    <t>8-#6</t>
  </si>
  <si>
    <t>b1-6</t>
  </si>
  <si>
    <t>4-#6</t>
  </si>
  <si>
    <t>b1-5</t>
  </si>
  <si>
    <t>b1-4</t>
  </si>
  <si>
    <t>b1-3</t>
  </si>
  <si>
    <t>b1-2</t>
  </si>
  <si>
    <t>b1-1</t>
  </si>
  <si>
    <t>b2-6</t>
  </si>
  <si>
    <t>5-#6</t>
  </si>
  <si>
    <t>b2-5</t>
  </si>
  <si>
    <t>b2-4</t>
  </si>
  <si>
    <t>b2-3</t>
  </si>
  <si>
    <t>b2-2</t>
  </si>
  <si>
    <t>b2-1</t>
  </si>
  <si>
    <t>b3</t>
  </si>
  <si>
    <t>b9-1</t>
  </si>
  <si>
    <t>b9-2</t>
  </si>
  <si>
    <t>b8</t>
  </si>
  <si>
    <t>b4</t>
  </si>
  <si>
    <t>b5</t>
  </si>
  <si>
    <t>b6</t>
  </si>
  <si>
    <t>7-#6</t>
  </si>
  <si>
    <t>b11-1</t>
  </si>
  <si>
    <t>b11-2</t>
  </si>
  <si>
    <t>b11-3</t>
  </si>
  <si>
    <t>b11-4</t>
  </si>
  <si>
    <t>b11-5</t>
  </si>
  <si>
    <t>b11-6</t>
  </si>
  <si>
    <t>b12-1</t>
  </si>
  <si>
    <t>b13</t>
  </si>
  <si>
    <t>b14</t>
  </si>
  <si>
    <t>b15-1</t>
  </si>
  <si>
    <t>b15-2</t>
  </si>
  <si>
    <t>#3@10</t>
  </si>
  <si>
    <t>b16</t>
  </si>
  <si>
    <t>b17-1</t>
  </si>
  <si>
    <t>b17-2</t>
  </si>
  <si>
    <t>b17-3</t>
  </si>
  <si>
    <t>b17-4</t>
  </si>
  <si>
    <t>b21</t>
  </si>
  <si>
    <t>b6-1</t>
  </si>
  <si>
    <t>b6-2</t>
  </si>
  <si>
    <t>b6-3</t>
  </si>
  <si>
    <t>b6-4</t>
  </si>
  <si>
    <t>b6-5</t>
  </si>
  <si>
    <t>b12-2</t>
  </si>
  <si>
    <t>b12-3</t>
  </si>
  <si>
    <t>b12-4</t>
  </si>
  <si>
    <t>b12-5</t>
  </si>
  <si>
    <t>b12-6</t>
  </si>
  <si>
    <t>b12-7</t>
  </si>
  <si>
    <t>b3-1</t>
  </si>
  <si>
    <t>b17</t>
  </si>
  <si>
    <t>b13-1</t>
  </si>
  <si>
    <t>b13-2</t>
  </si>
  <si>
    <t>b15-3</t>
  </si>
  <si>
    <t>b3-2</t>
  </si>
  <si>
    <t>b16-1</t>
  </si>
  <si>
    <t>b16-2</t>
  </si>
  <si>
    <t>b16-3</t>
  </si>
  <si>
    <t>b16-4</t>
  </si>
  <si>
    <t>b16-5</t>
  </si>
  <si>
    <t>b16-6</t>
  </si>
  <si>
    <r>
      <rPr>
        <sz val="12"/>
        <color theme="1"/>
        <rFont val="微軟正黑體"/>
        <family val="2"/>
        <charset val="136"/>
      </rPr>
      <t>輸入</t>
    </r>
    <r>
      <rPr>
        <sz val="12"/>
        <color theme="1"/>
        <rFont val="Calibri"/>
        <family val="2"/>
      </rPr>
      <t xml:space="preserve"> 1F </t>
    </r>
    <r>
      <rPr>
        <sz val="12"/>
        <color theme="1"/>
        <rFont val="微軟正黑體"/>
        <family val="2"/>
        <charset val="136"/>
      </rPr>
      <t>與</t>
    </r>
    <r>
      <rPr>
        <sz val="12"/>
        <color theme="1"/>
        <rFont val="Calibri"/>
        <family val="2"/>
      </rPr>
      <t xml:space="preserve"> RF</t>
    </r>
    <r>
      <rPr>
        <sz val="12"/>
        <color theme="1"/>
        <rFont val="微軟正黑體"/>
        <family val="2"/>
        <charset val="136"/>
      </rPr>
      <t>，以判斷非耐震層與頂樓區</t>
    </r>
    <phoneticPr fontId="1" type="noConversion"/>
  </si>
  <si>
    <t>6#4EF</t>
    <phoneticPr fontId="1" type="noConversion"/>
  </si>
  <si>
    <r>
      <rPr>
        <sz val="12"/>
        <color theme="1"/>
        <rFont val="微軟正黑體"/>
        <family val="2"/>
        <charset val="136"/>
      </rPr>
      <t>下一版準備增加的功能：驗證資料的正確性</t>
    </r>
    <phoneticPr fontId="1" type="noConversion"/>
  </si>
  <si>
    <r>
      <rPr>
        <sz val="12"/>
        <color theme="1"/>
        <rFont val="微軟正黑體"/>
        <family val="2"/>
        <charset val="136"/>
      </rPr>
      <t>下一版準備增加的功能：增加版厚</t>
    </r>
    <phoneticPr fontId="1" type="noConversion"/>
  </si>
  <si>
    <r>
      <rPr>
        <sz val="12"/>
        <color theme="1"/>
        <rFont val="微軟正黑體"/>
        <family val="2"/>
        <charset val="136"/>
      </rPr>
      <t>下一版準備增加的功能：修正文字</t>
    </r>
    <phoneticPr fontId="1" type="noConversion"/>
  </si>
  <si>
    <r>
      <rPr>
        <sz val="12"/>
        <color theme="1"/>
        <rFont val="微軟正黑體"/>
        <family val="2"/>
        <charset val="136"/>
      </rPr>
      <t>調整</t>
    </r>
    <r>
      <rPr>
        <sz val="12"/>
        <color theme="1"/>
        <rFont val="Calibri"/>
        <family val="2"/>
      </rPr>
      <t xml:space="preserve"> 1F </t>
    </r>
    <r>
      <rPr>
        <sz val="12"/>
        <color theme="1"/>
        <rFont val="微軟正黑體"/>
        <family val="2"/>
        <charset val="136"/>
      </rPr>
      <t>與頂樓判斷方式，造成向下不相容的狀況，所以更新大版本號。</t>
    </r>
    <phoneticPr fontId="1" type="noConversion"/>
  </si>
  <si>
    <t>2.0.0</t>
    <phoneticPr fontId="1" type="noConversion"/>
  </si>
  <si>
    <t xml:space="preserve"> </t>
  </si>
  <si>
    <r>
      <rPr>
        <sz val="12"/>
        <color theme="1"/>
        <rFont val="微軟正黑體"/>
        <family val="2"/>
        <charset val="136"/>
      </rPr>
      <t>新增密碼保護</t>
    </r>
    <phoneticPr fontId="1" type="noConversion"/>
  </si>
  <si>
    <r>
      <t xml:space="preserve">Mac </t>
    </r>
    <r>
      <rPr>
        <sz val="12"/>
        <color theme="1"/>
        <rFont val="微軟正黑體"/>
        <family val="2"/>
        <charset val="136"/>
      </rPr>
      <t>版本容易出現無法預期的錯誤，不推薦在</t>
    </r>
    <r>
      <rPr>
        <sz val="12"/>
        <color theme="1"/>
        <rFont val="Calibri"/>
        <family val="2"/>
      </rPr>
      <t xml:space="preserve"> Mac </t>
    </r>
    <r>
      <rPr>
        <sz val="12"/>
        <color theme="1"/>
        <rFont val="微軟正黑體"/>
        <family val="2"/>
        <charset val="136"/>
      </rPr>
      <t>執行</t>
    </r>
    <r>
      <rPr>
        <sz val="12"/>
        <color theme="1"/>
        <rFont val="Calibri"/>
        <family val="2"/>
      </rPr>
      <t/>
    </r>
    <phoneticPr fontId="1" type="noConversion"/>
  </si>
  <si>
    <r>
      <rPr>
        <sz val="12"/>
        <color theme="1"/>
        <rFont val="微軟正黑體"/>
        <family val="2"/>
        <charset val="136"/>
      </rPr>
      <t>自動檢查更新版本與</t>
    </r>
    <r>
      <rPr>
        <sz val="12"/>
        <color theme="1"/>
        <rFont val="Calibri"/>
        <family val="2"/>
      </rPr>
      <t xml:space="preserve"> Mac </t>
    </r>
    <r>
      <rPr>
        <sz val="12"/>
        <color theme="1"/>
        <rFont val="微軟正黑體"/>
        <family val="2"/>
        <charset val="136"/>
      </rPr>
      <t>相容</t>
    </r>
    <phoneticPr fontId="1" type="noConversion"/>
  </si>
  <si>
    <r>
      <rPr>
        <sz val="12"/>
        <color theme="1"/>
        <rFont val="微軟正黑體"/>
        <family val="2"/>
        <charset val="136"/>
      </rPr>
      <t>修正柱繫筋</t>
    </r>
    <r>
      <rPr>
        <sz val="12"/>
        <color theme="1"/>
        <rFont val="Calibri"/>
        <family val="2"/>
      </rPr>
      <t xml:space="preserve"> X Y </t>
    </r>
    <r>
      <rPr>
        <sz val="12"/>
        <color theme="1"/>
        <rFont val="微軟正黑體"/>
        <family val="2"/>
        <charset val="136"/>
      </rPr>
      <t>向相反</t>
    </r>
    <phoneticPr fontId="1" type="noConversion"/>
  </si>
  <si>
    <r>
      <t xml:space="preserve">X Y </t>
    </r>
    <r>
      <rPr>
        <sz val="12"/>
        <color theme="1"/>
        <rFont val="微軟正黑體"/>
        <family val="2"/>
        <charset val="136"/>
      </rPr>
      <t>雙向分開檢討</t>
    </r>
    <phoneticPr fontId="1" type="noConversion"/>
  </si>
  <si>
    <r>
      <rPr>
        <sz val="12"/>
        <color theme="1"/>
        <rFont val="微軟正黑體"/>
        <family val="2"/>
        <charset val="136"/>
      </rPr>
      <t>小於</t>
    </r>
    <r>
      <rPr>
        <sz val="12"/>
        <color theme="1"/>
        <rFont val="Calibri"/>
        <family val="2"/>
      </rPr>
      <t xml:space="preserve"> 400 cm </t>
    </r>
    <r>
      <rPr>
        <sz val="12"/>
        <color theme="1"/>
        <rFont val="微軟正黑體"/>
        <family val="2"/>
        <charset val="136"/>
      </rPr>
      <t>梁不檢討相對鋼筋量</t>
    </r>
    <phoneticPr fontId="1" type="noConversion"/>
  </si>
  <si>
    <r>
      <rPr>
        <sz val="12"/>
        <color theme="1"/>
        <rFont val="微軟正黑體"/>
        <family val="2"/>
        <charset val="136"/>
      </rPr>
      <t>修正高樓區樓層錯誤問題</t>
    </r>
    <phoneticPr fontId="1" type="noConversion"/>
  </si>
  <si>
    <r>
      <rPr>
        <sz val="12"/>
        <color theme="1"/>
        <rFont val="微軟正黑體"/>
        <family val="2"/>
        <charset val="136"/>
      </rPr>
      <t>優化效能，刪除不需要的名稱與連線</t>
    </r>
    <phoneticPr fontId="1" type="noConversion"/>
  </si>
  <si>
    <r>
      <rPr>
        <sz val="12"/>
        <color theme="1"/>
        <rFont val="微軟正黑體"/>
        <family val="2"/>
        <charset val="136"/>
      </rPr>
      <t>為避免使用到未修正的錯誤檔案，導致錯誤的結果，從此版本後新增自動檢查版本功能</t>
    </r>
    <phoneticPr fontId="1" type="noConversion"/>
  </si>
  <si>
    <r>
      <rPr>
        <sz val="12"/>
        <color theme="1"/>
        <rFont val="微軟正黑體"/>
        <family val="2"/>
        <charset val="136"/>
      </rPr>
      <t>修正柱橫向鋼筋規範</t>
    </r>
    <phoneticPr fontId="1" type="noConversion"/>
  </si>
  <si>
    <r>
      <rPr>
        <sz val="12"/>
        <color theme="1"/>
        <rFont val="微軟正黑體"/>
        <family val="2"/>
        <charset val="136"/>
      </rPr>
      <t>修正柱上下層減縮限制</t>
    </r>
    <phoneticPr fontId="1" type="noConversion"/>
  </si>
  <si>
    <t>2.1.0</t>
    <phoneticPr fontId="1" type="noConversion"/>
  </si>
  <si>
    <r>
      <rPr>
        <sz val="12"/>
        <color theme="1"/>
        <rFont val="微軟正黑體"/>
        <family val="2"/>
        <charset val="136"/>
      </rPr>
      <t>柱主筋錯誤提示</t>
    </r>
    <phoneticPr fontId="1" type="noConversion"/>
  </si>
  <si>
    <r>
      <rPr>
        <sz val="12"/>
        <color theme="1"/>
        <rFont val="微軟正黑體"/>
        <family val="2"/>
        <charset val="136"/>
      </rPr>
      <t>分開</t>
    </r>
    <r>
      <rPr>
        <sz val="12"/>
        <color theme="1"/>
        <rFont val="Calibri"/>
        <family val="2"/>
      </rPr>
      <t xml:space="preserve"> Scan</t>
    </r>
    <phoneticPr fontId="1" type="noConversion"/>
  </si>
  <si>
    <t>14-#8</t>
    <phoneticPr fontId="1" type="noConversion"/>
  </si>
  <si>
    <t>14-#10</t>
    <phoneticPr fontId="1" type="noConversion"/>
  </si>
  <si>
    <t>18-#10</t>
    <phoneticPr fontId="1" type="noConversion"/>
  </si>
  <si>
    <t>16-#10</t>
    <phoneticPr fontId="1" type="noConversion"/>
  </si>
  <si>
    <t>24-#8</t>
    <phoneticPr fontId="1" type="noConversion"/>
  </si>
  <si>
    <t>22-#10</t>
    <phoneticPr fontId="1" type="noConversion"/>
  </si>
  <si>
    <t>26-#10</t>
    <phoneticPr fontId="1" type="noConversion"/>
  </si>
  <si>
    <t>36-#10</t>
    <phoneticPr fontId="1" type="noConversion"/>
  </si>
  <si>
    <t>38-#10</t>
    <phoneticPr fontId="1" type="noConversion"/>
  </si>
  <si>
    <t>26-#8</t>
    <phoneticPr fontId="1" type="noConversion"/>
  </si>
  <si>
    <t>30-#10</t>
    <phoneticPr fontId="1" type="noConversion"/>
  </si>
  <si>
    <t>42-#10</t>
    <phoneticPr fontId="1" type="noConversion"/>
  </si>
  <si>
    <t>54-#10</t>
    <phoneticPr fontId="1" type="noConversion"/>
  </si>
  <si>
    <t>58-#10</t>
    <phoneticPr fontId="1" type="noConversion"/>
  </si>
  <si>
    <t>16-#8</t>
    <phoneticPr fontId="1" type="noConversion"/>
  </si>
  <si>
    <t>24-#10</t>
    <phoneticPr fontId="1" type="noConversion"/>
  </si>
  <si>
    <t>32-#10</t>
    <phoneticPr fontId="1" type="noConversion"/>
  </si>
  <si>
    <t>50-#10</t>
    <phoneticPr fontId="1" type="noConversion"/>
  </si>
  <si>
    <t>20-#8</t>
    <phoneticPr fontId="1" type="noConversion"/>
  </si>
  <si>
    <t>20-#10</t>
    <phoneticPr fontId="1" type="noConversion"/>
  </si>
  <si>
    <t>28-#10</t>
    <phoneticPr fontId="1" type="noConversion"/>
  </si>
  <si>
    <t>34-#10</t>
    <phoneticPr fontId="1" type="noConversion"/>
  </si>
  <si>
    <t>44-#10</t>
    <phoneticPr fontId="1" type="noConversion"/>
  </si>
  <si>
    <t>22-#8</t>
    <phoneticPr fontId="1" type="noConversion"/>
  </si>
  <si>
    <t>40-#10</t>
    <phoneticPr fontId="1" type="noConversion"/>
  </si>
  <si>
    <t>48-#10</t>
    <phoneticPr fontId="1" type="noConversion"/>
  </si>
  <si>
    <t>28-#8</t>
    <phoneticPr fontId="1" type="noConversion"/>
  </si>
  <si>
    <t>46-#10</t>
    <phoneticPr fontId="1" type="noConversion"/>
  </si>
  <si>
    <t>18-#8</t>
    <phoneticPr fontId="1" type="noConversion"/>
  </si>
  <si>
    <t>12-#10</t>
    <phoneticPr fontId="1" type="noConversion"/>
  </si>
  <si>
    <t>30-#8</t>
    <phoneticPr fontId="1" type="noConversion"/>
  </si>
  <si>
    <t>52-#10</t>
    <phoneticPr fontId="1" type="noConversion"/>
  </si>
  <si>
    <t>12-#8</t>
    <phoneticPr fontId="1" type="noConversion"/>
  </si>
  <si>
    <t>Story</t>
    <phoneticPr fontId="1" type="noConversion"/>
  </si>
  <si>
    <t>X向柱寬</t>
    <phoneticPr fontId="1" type="noConversion"/>
  </si>
  <si>
    <t>Y向柱寬</t>
    <phoneticPr fontId="1" type="noConversion"/>
  </si>
  <si>
    <t>cm</t>
    <phoneticPr fontId="1" type="noConversion"/>
  </si>
  <si>
    <t>C1</t>
    <phoneticPr fontId="1" type="noConversion"/>
  </si>
  <si>
    <t>11F</t>
    <phoneticPr fontId="1" type="noConversion"/>
  </si>
  <si>
    <t>10F</t>
    <phoneticPr fontId="1" type="noConversion"/>
  </si>
  <si>
    <t>9F</t>
    <phoneticPr fontId="1" type="noConversion"/>
  </si>
  <si>
    <t>8F</t>
    <phoneticPr fontId="1" type="noConversion"/>
  </si>
  <si>
    <t>7F</t>
    <phoneticPr fontId="1" type="noConversion"/>
  </si>
  <si>
    <t>6F</t>
    <phoneticPr fontId="1" type="noConversion"/>
  </si>
  <si>
    <t>5F</t>
    <phoneticPr fontId="1" type="noConversion"/>
  </si>
  <si>
    <t>4F</t>
    <phoneticPr fontId="1" type="noConversion"/>
  </si>
  <si>
    <t>3F</t>
    <phoneticPr fontId="1" type="noConversion"/>
  </si>
  <si>
    <t>2F</t>
    <phoneticPr fontId="1" type="noConversion"/>
  </si>
  <si>
    <t>B2</t>
    <phoneticPr fontId="1" type="noConversion"/>
  </si>
  <si>
    <t>C11</t>
    <phoneticPr fontId="1" type="noConversion"/>
  </si>
  <si>
    <t>C13</t>
    <phoneticPr fontId="1" type="noConversion"/>
  </si>
  <si>
    <t>C14</t>
    <phoneticPr fontId="1" type="noConversion"/>
  </si>
  <si>
    <t>C16</t>
    <phoneticPr fontId="1" type="noConversion"/>
  </si>
  <si>
    <t>C17</t>
    <phoneticPr fontId="1" type="noConversion"/>
  </si>
  <si>
    <t>C18</t>
    <phoneticPr fontId="1" type="noConversion"/>
  </si>
  <si>
    <t>C19</t>
    <phoneticPr fontId="1" type="noConversion"/>
  </si>
  <si>
    <t>C2</t>
    <phoneticPr fontId="1" type="noConversion"/>
  </si>
  <si>
    <t>C20</t>
    <phoneticPr fontId="1" type="noConversion"/>
  </si>
  <si>
    <t>C21</t>
    <phoneticPr fontId="1" type="noConversion"/>
  </si>
  <si>
    <t>C22</t>
    <phoneticPr fontId="1" type="noConversion"/>
  </si>
  <si>
    <t>C23</t>
    <phoneticPr fontId="1" type="noConversion"/>
  </si>
  <si>
    <t>C24</t>
    <phoneticPr fontId="1" type="noConversion"/>
  </si>
  <si>
    <t>C25</t>
    <phoneticPr fontId="1" type="noConversion"/>
  </si>
  <si>
    <t>C26</t>
    <phoneticPr fontId="1" type="noConversion"/>
  </si>
  <si>
    <t>C27</t>
    <phoneticPr fontId="1" type="noConversion"/>
  </si>
  <si>
    <t>C28</t>
    <phoneticPr fontId="1" type="noConversion"/>
  </si>
  <si>
    <t>C3</t>
    <phoneticPr fontId="1" type="noConversion"/>
  </si>
  <si>
    <t>C4</t>
    <phoneticPr fontId="1" type="noConversion"/>
  </si>
  <si>
    <t>C5</t>
    <phoneticPr fontId="1" type="noConversion"/>
  </si>
  <si>
    <t>C51</t>
    <phoneticPr fontId="1" type="noConversion"/>
  </si>
  <si>
    <t>C52</t>
    <phoneticPr fontId="1" type="noConversion"/>
  </si>
  <si>
    <t>C53</t>
    <phoneticPr fontId="1" type="noConversion"/>
  </si>
  <si>
    <t>C54</t>
    <phoneticPr fontId="1" type="noConversion"/>
  </si>
  <si>
    <t>C55</t>
    <phoneticPr fontId="1" type="noConversion"/>
  </si>
  <si>
    <t>C56</t>
    <phoneticPr fontId="1" type="noConversion"/>
  </si>
  <si>
    <t>C57</t>
    <phoneticPr fontId="1" type="noConversion"/>
  </si>
  <si>
    <t>C58</t>
    <phoneticPr fontId="1" type="noConversion"/>
  </si>
  <si>
    <t>C59</t>
    <phoneticPr fontId="1" type="noConversion"/>
  </si>
  <si>
    <t>C6</t>
    <phoneticPr fontId="1" type="noConversion"/>
  </si>
  <si>
    <t>C60</t>
    <phoneticPr fontId="1" type="noConversion"/>
  </si>
  <si>
    <t>C61</t>
    <phoneticPr fontId="1" type="noConversion"/>
  </si>
  <si>
    <t>C62</t>
    <phoneticPr fontId="1" type="noConversion"/>
  </si>
  <si>
    <t>C63</t>
    <phoneticPr fontId="1" type="noConversion"/>
  </si>
  <si>
    <t>C64</t>
    <phoneticPr fontId="1" type="noConversion"/>
  </si>
  <si>
    <t>C65</t>
    <phoneticPr fontId="1" type="noConversion"/>
  </si>
  <si>
    <t>C66</t>
    <phoneticPr fontId="1" type="noConversion"/>
  </si>
  <si>
    <t>C67</t>
    <phoneticPr fontId="1" type="noConversion"/>
  </si>
  <si>
    <t>C68</t>
    <phoneticPr fontId="1" type="noConversion"/>
  </si>
  <si>
    <t>C69</t>
    <phoneticPr fontId="1" type="noConversion"/>
  </si>
  <si>
    <t>C7</t>
    <phoneticPr fontId="1" type="noConversion"/>
  </si>
  <si>
    <t>C70</t>
    <phoneticPr fontId="1" type="noConversion"/>
  </si>
  <si>
    <t>C8</t>
    <phoneticPr fontId="1" type="noConversion"/>
  </si>
  <si>
    <t>C81</t>
    <phoneticPr fontId="1" type="noConversion"/>
  </si>
  <si>
    <t>C82</t>
    <phoneticPr fontId="1" type="noConversion"/>
  </si>
  <si>
    <t>C83</t>
    <phoneticPr fontId="1" type="noConversion"/>
  </si>
  <si>
    <t>C84</t>
    <phoneticPr fontId="1" type="noConversion"/>
  </si>
  <si>
    <t>C85</t>
    <phoneticPr fontId="1" type="noConversion"/>
  </si>
  <si>
    <t>C86</t>
    <phoneticPr fontId="1" type="noConversion"/>
  </si>
  <si>
    <t>C87</t>
    <phoneticPr fontId="1" type="noConversion"/>
  </si>
  <si>
    <t>C88</t>
    <phoneticPr fontId="1" type="noConversion"/>
  </si>
  <si>
    <t>C9</t>
    <phoneticPr fontId="1" type="noConversion"/>
  </si>
  <si>
    <r>
      <rPr>
        <sz val="12"/>
        <color theme="1"/>
        <rFont val="微軟正黑體"/>
        <family val="2"/>
        <charset val="136"/>
      </rPr>
      <t>柱主筋</t>
    </r>
    <phoneticPr fontId="1" type="noConversion"/>
  </si>
  <si>
    <t>柱編號</t>
    <phoneticPr fontId="1" type="noConversion"/>
  </si>
  <si>
    <t>band</t>
    <phoneticPr fontId="1" type="noConversion"/>
  </si>
  <si>
    <r>
      <rPr>
        <sz val="12"/>
        <color theme="1"/>
        <rFont val="微軟正黑體"/>
        <family val="2"/>
        <charset val="136"/>
      </rPr>
      <t>輸入下方頂樓</t>
    </r>
    <r>
      <rPr>
        <sz val="12"/>
        <color theme="1"/>
        <rFont val="Calibri"/>
        <family val="2"/>
      </rPr>
      <t>(</t>
    </r>
    <r>
      <rPr>
        <sz val="12"/>
        <color theme="1"/>
        <rFont val="微軟正黑體"/>
        <family val="2"/>
        <charset val="136"/>
      </rPr>
      <t>不含屋突</t>
    </r>
    <r>
      <rPr>
        <sz val="12"/>
        <color theme="1"/>
        <rFont val="Calibri"/>
        <family val="2"/>
      </rPr>
      <t>)</t>
    </r>
    <r>
      <rPr>
        <sz val="12"/>
        <color theme="1"/>
        <rFont val="微軟正黑體"/>
        <family val="2"/>
        <charset val="136"/>
      </rPr>
      <t>與地面層</t>
    </r>
    <phoneticPr fontId="1" type="noConversion"/>
  </si>
  <si>
    <r>
      <rPr>
        <sz val="12"/>
        <color rgb="FF9C5700"/>
        <rFont val="微軟正黑體"/>
        <family val="2"/>
        <charset val="136"/>
      </rPr>
      <t>頂樓</t>
    </r>
    <phoneticPr fontId="1" type="noConversion"/>
  </si>
  <si>
    <r>
      <rPr>
        <sz val="12"/>
        <color rgb="FF9C5700"/>
        <rFont val="微軟正黑體"/>
        <family val="2"/>
        <charset val="136"/>
      </rPr>
      <t>地面層</t>
    </r>
    <phoneticPr fontId="1" type="noConversion"/>
  </si>
  <si>
    <r>
      <rPr>
        <sz val="12"/>
        <color rgb="FF9C5700"/>
        <rFont val="微軟正黑體"/>
        <family val="2"/>
        <charset val="136"/>
      </rPr>
      <t>版厚</t>
    </r>
  </si>
  <si>
    <r>
      <rPr>
        <sz val="12"/>
        <color rgb="FF9C5700"/>
        <rFont val="微軟正黑體"/>
        <family val="2"/>
        <charset val="136"/>
      </rPr>
      <t>保護層</t>
    </r>
    <phoneticPr fontId="1" type="noConversion"/>
  </si>
  <si>
    <r>
      <rPr>
        <sz val="12"/>
        <color theme="1"/>
        <rFont val="微軟正黑體"/>
        <family val="2"/>
        <charset val="136"/>
      </rPr>
      <t>增加版厚</t>
    </r>
    <phoneticPr fontId="1" type="noConversion"/>
  </si>
  <si>
    <r>
      <rPr>
        <sz val="12"/>
        <color theme="1"/>
        <rFont val="微軟正黑體"/>
        <family val="2"/>
        <charset val="136"/>
      </rPr>
      <t>增加保護層</t>
    </r>
    <phoneticPr fontId="1" type="noConversion"/>
  </si>
  <si>
    <r>
      <rPr>
        <sz val="12"/>
        <color theme="1"/>
        <rFont val="微軟正黑體"/>
        <family val="2"/>
        <charset val="136"/>
      </rPr>
      <t>減少假設，改由使用者輸入</t>
    </r>
    <phoneticPr fontId="1" type="noConversion"/>
  </si>
  <si>
    <r>
      <rPr>
        <sz val="12"/>
        <color theme="1"/>
        <rFont val="微軟正黑體"/>
        <family val="2"/>
        <charset val="136"/>
      </rPr>
      <t>按下</t>
    </r>
    <r>
      <rPr>
        <sz val="12"/>
        <color theme="1"/>
        <rFont val="Calibri"/>
        <family val="2"/>
      </rPr>
      <t xml:space="preserve"> SCAN</t>
    </r>
    <phoneticPr fontId="1" type="noConversion"/>
  </si>
  <si>
    <r>
      <t>SDL LL band</t>
    </r>
    <r>
      <rPr>
        <sz val="12"/>
        <color theme="1"/>
        <rFont val="微軟正黑體"/>
        <family val="2"/>
        <charset val="136"/>
      </rPr>
      <t>，用於載重預警</t>
    </r>
    <phoneticPr fontId="1" type="noConversion"/>
  </si>
  <si>
    <t>3.0.0</t>
    <phoneticPr fontId="1" type="noConversion"/>
  </si>
  <si>
    <r>
      <rPr>
        <sz val="12"/>
        <color theme="1"/>
        <rFont val="微軟正黑體"/>
        <family val="2"/>
        <charset val="136"/>
      </rPr>
      <t>更改操作流程</t>
    </r>
    <phoneticPr fontId="1" type="noConversion"/>
  </si>
  <si>
    <r>
      <rPr>
        <sz val="12"/>
        <color theme="1"/>
        <rFont val="微軟正黑體"/>
        <family val="2"/>
        <charset val="136"/>
      </rPr>
      <t>自動排序</t>
    </r>
    <phoneticPr fontId="1" type="noConversion"/>
  </si>
  <si>
    <r>
      <rPr>
        <sz val="12"/>
        <color theme="1"/>
        <rFont val="微軟正黑體"/>
        <family val="2"/>
        <charset val="136"/>
      </rPr>
      <t>錯誤訊息輸出</t>
    </r>
    <phoneticPr fontId="1" type="noConversion"/>
  </si>
  <si>
    <r>
      <rPr>
        <sz val="12"/>
        <color theme="1"/>
        <rFont val="微軟正黑體"/>
        <family val="2"/>
        <charset val="136"/>
      </rPr>
      <t>暫停鋼筋號數比</t>
    </r>
    <phoneticPr fontId="1" type="noConversion"/>
  </si>
  <si>
    <r>
      <rPr>
        <sz val="12"/>
        <color theme="1"/>
        <rFont val="微軟正黑體"/>
        <family val="2"/>
        <charset val="136"/>
      </rPr>
      <t>重構程式碼</t>
    </r>
    <phoneticPr fontId="1" type="noConversion"/>
  </si>
  <si>
    <r>
      <rPr>
        <sz val="12"/>
        <color theme="1"/>
        <rFont val="微軟正黑體"/>
        <family val="2"/>
        <charset val="136"/>
      </rPr>
      <t>下一版準備增加的功能</t>
    </r>
  </si>
  <si>
    <r>
      <rPr>
        <sz val="12"/>
        <color theme="1"/>
        <rFont val="微軟正黑體"/>
        <family val="2"/>
        <charset val="136"/>
      </rPr>
      <t>注意：目前只有大梁完成，其他皆不可用</t>
    </r>
    <phoneticPr fontId="1" type="noConversion"/>
  </si>
  <si>
    <r>
      <rPr>
        <sz val="12"/>
        <color theme="1"/>
        <rFont val="微軟正黑體"/>
        <family val="2"/>
        <charset val="136"/>
      </rPr>
      <t>重新支援小梁、地梁、柱</t>
    </r>
    <phoneticPr fontId="1" type="noConversion"/>
  </si>
  <si>
    <t>Number</t>
  </si>
  <si>
    <t>Error Message</t>
  </si>
  <si>
    <r>
      <rPr>
        <sz val="12"/>
        <color theme="1"/>
        <rFont val="微軟正黑體"/>
        <family val="2"/>
        <charset val="136"/>
      </rPr>
      <t>輸入左側部分專案資料</t>
    </r>
    <r>
      <rPr>
        <sz val="12"/>
        <color theme="1"/>
        <rFont val="Calibri"/>
        <family val="2"/>
      </rPr>
      <t xml:space="preserve"> ( fc' </t>
    </r>
    <r>
      <rPr>
        <sz val="12"/>
        <color theme="1"/>
        <rFont val="微軟正黑體"/>
        <family val="2"/>
        <charset val="136"/>
      </rPr>
      <t>依</t>
    </r>
    <r>
      <rPr>
        <sz val="12"/>
        <color theme="1"/>
        <rFont val="Calibri"/>
        <family val="2"/>
      </rPr>
      <t xml:space="preserve"> Etabs </t>
    </r>
    <r>
      <rPr>
        <sz val="12"/>
        <color theme="1"/>
        <rFont val="微軟正黑體"/>
        <family val="2"/>
        <charset val="136"/>
      </rPr>
      <t>樓層</t>
    </r>
    <r>
      <rPr>
        <sz val="12"/>
        <color theme="1"/>
        <rFont val="Calibri"/>
        <family val="2"/>
      </rPr>
      <t xml:space="preserve"> )</t>
    </r>
    <r>
      <rPr>
        <sz val="12"/>
        <color theme="1"/>
        <rFont val="微軟正黑體"/>
        <family val="2"/>
        <charset val="136"/>
      </rPr>
      <t>，</t>
    </r>
    <r>
      <rPr>
        <sz val="12"/>
        <color rgb="FFFF0000"/>
        <rFont val="Calibri"/>
        <family val="2"/>
      </rPr>
      <t xml:space="preserve">STORY </t>
    </r>
    <r>
      <rPr>
        <sz val="12"/>
        <color rgb="FFFF0000"/>
        <rFont val="微軟正黑體"/>
        <family val="2"/>
        <charset val="136"/>
      </rPr>
      <t>一定要輸入完整用以排序</t>
    </r>
    <r>
      <rPr>
        <sz val="12"/>
        <color rgb="FFE95849"/>
        <rFont val="微軟正黑體"/>
        <family val="2"/>
        <charset val="136"/>
      </rPr>
      <t>。</t>
    </r>
    <phoneticPr fontId="1" type="noConversion"/>
  </si>
  <si>
    <t>3.1.0</t>
    <phoneticPr fontId="1" type="noConversion"/>
  </si>
  <si>
    <r>
      <rPr>
        <sz val="12"/>
        <color theme="1"/>
        <rFont val="微軟正黑體"/>
        <family val="2"/>
        <charset val="136"/>
      </rPr>
      <t>錯誤提示優化</t>
    </r>
    <phoneticPr fontId="1" type="noConversion"/>
  </si>
  <si>
    <t>鋼筋比</t>
  </si>
  <si>
    <r>
      <rPr>
        <sz val="12"/>
        <color theme="1"/>
        <rFont val="微軟正黑體"/>
        <family val="2"/>
        <charset val="136"/>
      </rPr>
      <t>支援小梁、地梁</t>
    </r>
    <phoneticPr fontId="1" type="noConversion"/>
  </si>
  <si>
    <r>
      <rPr>
        <sz val="12"/>
        <color theme="1"/>
        <rFont val="微軟正黑體"/>
        <family val="2"/>
        <charset val="136"/>
      </rPr>
      <t>支援柱</t>
    </r>
    <phoneticPr fontId="1" type="noConversion"/>
  </si>
  <si>
    <t>3.2.0</t>
    <phoneticPr fontId="1" type="noConversion"/>
  </si>
  <si>
    <r>
      <rPr>
        <sz val="12"/>
        <color theme="1"/>
        <rFont val="微軟正黑體"/>
        <family val="2"/>
        <charset val="136"/>
      </rPr>
      <t>支援更多錯誤訊息</t>
    </r>
    <phoneticPr fontId="1" type="noConversion"/>
  </si>
  <si>
    <r>
      <rPr>
        <sz val="12"/>
        <color theme="1"/>
        <rFont val="微軟正黑體"/>
        <family val="2"/>
        <charset val="136"/>
      </rPr>
      <t>修正錯誤的規範</t>
    </r>
    <phoneticPr fontId="1" type="noConversion"/>
  </si>
  <si>
    <r>
      <rPr>
        <sz val="12"/>
        <color theme="1"/>
        <rFont val="微軟正黑體"/>
        <family val="2"/>
        <charset val="136"/>
      </rPr>
      <t>測試規範的正確性</t>
    </r>
    <phoneticPr fontId="1" type="noConversion"/>
  </si>
  <si>
    <t>梁排序</t>
    <phoneticPr fontId="1" type="noConversion"/>
  </si>
  <si>
    <r>
      <rPr>
        <sz val="12"/>
        <color theme="1"/>
        <rFont val="微軟正黑體"/>
        <family val="2"/>
        <charset val="136"/>
      </rPr>
      <t>垂直剪力鋼筋面積</t>
    </r>
    <r>
      <rPr>
        <sz val="12"/>
        <color theme="1"/>
        <rFont val="Calibri"/>
        <family val="2"/>
      </rPr>
      <t xml:space="preserve"> Av </t>
    </r>
    <r>
      <rPr>
        <sz val="12"/>
        <color theme="1"/>
        <rFont val="微軟正黑體"/>
        <family val="2"/>
        <charset val="136"/>
      </rPr>
      <t>不得小於</t>
    </r>
    <r>
      <rPr>
        <sz val="12"/>
        <color theme="1"/>
        <rFont val="Calibri"/>
        <family val="2"/>
      </rPr>
      <t xml:space="preserve"> 0.0025 * bw * s</t>
    </r>
    <r>
      <rPr>
        <sz val="12"/>
        <color theme="1"/>
        <rFont val="微軟正黑體"/>
        <family val="2"/>
        <charset val="136"/>
      </rPr>
      <t>，</t>
    </r>
    <r>
      <rPr>
        <sz val="12"/>
        <color theme="1"/>
        <rFont val="Calibri"/>
        <family val="2"/>
      </rPr>
      <t xml:space="preserve">s </t>
    </r>
    <r>
      <rPr>
        <sz val="12"/>
        <color theme="1"/>
        <rFont val="微軟正黑體"/>
        <family val="2"/>
        <charset val="136"/>
      </rPr>
      <t>不得大於</t>
    </r>
    <r>
      <rPr>
        <sz val="12"/>
        <color theme="1"/>
        <rFont val="Calibri"/>
        <family val="2"/>
      </rPr>
      <t xml:space="preserve"> d / 5 </t>
    </r>
    <r>
      <rPr>
        <sz val="12"/>
        <color theme="1"/>
        <rFont val="微軟正黑體"/>
        <family val="2"/>
        <charset val="136"/>
      </rPr>
      <t>或</t>
    </r>
    <r>
      <rPr>
        <sz val="12"/>
        <color theme="1"/>
        <rFont val="Calibri"/>
        <family val="2"/>
      </rPr>
      <t xml:space="preserve"> 30 cm</t>
    </r>
    <r>
      <rPr>
        <sz val="12"/>
        <color theme="1"/>
        <rFont val="微軟正黑體"/>
        <family val="2"/>
        <charset val="136"/>
      </rPr>
      <t>。</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</si>
  <si>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不得小於</t>
    </r>
    <r>
      <rPr>
        <sz val="12"/>
        <rFont val="Calibri"/>
        <family val="2"/>
      </rPr>
      <t xml:space="preserve"> 0.0015 * bw * s2</t>
    </r>
    <r>
      <rPr>
        <sz val="12"/>
        <rFont val="微軟正黑體"/>
        <family val="2"/>
        <charset val="136"/>
      </rPr>
      <t>，</t>
    </r>
    <r>
      <rPr>
        <sz val="12"/>
        <rFont val="Calibri"/>
        <family val="2"/>
      </rPr>
      <t xml:space="preserve">s2 </t>
    </r>
    <r>
      <rPr>
        <sz val="12"/>
        <rFont val="微軟正黑體"/>
        <family val="2"/>
        <charset val="136"/>
      </rPr>
      <t>不得大於</t>
    </r>
    <r>
      <rPr>
        <sz val="12"/>
        <rFont val="Calibri"/>
        <family val="2"/>
      </rPr>
      <t xml:space="preserve"> d / 5 </t>
    </r>
    <r>
      <rPr>
        <sz val="12"/>
        <rFont val="微軟正黑體"/>
        <family val="2"/>
        <charset val="136"/>
      </rPr>
      <t>或</t>
    </r>
    <r>
      <rPr>
        <sz val="12"/>
        <rFont val="Calibri"/>
        <family val="2"/>
      </rPr>
      <t xml:space="preserve"> 30 cm</t>
    </r>
    <r>
      <rPr>
        <sz val="12"/>
        <rFont val="微軟正黑體"/>
        <family val="2"/>
        <charset val="136"/>
      </rPr>
      <t>。</t>
    </r>
    <phoneticPr fontId="1" type="noConversion"/>
  </si>
  <si>
    <t>#4@15</t>
    <phoneticPr fontId="1" type="noConversion"/>
  </si>
  <si>
    <t>-</t>
    <phoneticPr fontId="1" type="noConversion"/>
  </si>
  <si>
    <t>1#4EF</t>
    <phoneticPr fontId="1" type="noConversion"/>
  </si>
  <si>
    <t>2#4EF</t>
    <phoneticPr fontId="1" type="noConversion"/>
  </si>
  <si>
    <t>2#4@12</t>
    <phoneticPr fontId="1" type="noConversion"/>
  </si>
  <si>
    <t>4-#8</t>
    <phoneticPr fontId="1" type="noConversion"/>
  </si>
  <si>
    <t>3#4EF</t>
    <phoneticPr fontId="1" type="noConversion"/>
  </si>
  <si>
    <t>1#5EF</t>
    <phoneticPr fontId="1" type="noConversion"/>
  </si>
  <si>
    <t>10#4EF</t>
    <phoneticPr fontId="1" type="noConversion"/>
  </si>
  <si>
    <t>2#4EF</t>
    <phoneticPr fontId="1" type="noConversion"/>
  </si>
  <si>
    <t>4-#8</t>
    <phoneticPr fontId="1" type="noConversion"/>
  </si>
  <si>
    <t>B3</t>
    <phoneticPr fontId="1" type="noConversion"/>
  </si>
  <si>
    <t>2-#8</t>
    <phoneticPr fontId="1" type="noConversion"/>
  </si>
  <si>
    <t>1-#8</t>
    <phoneticPr fontId="1" type="noConversion"/>
  </si>
  <si>
    <r>
      <rPr>
        <sz val="12"/>
        <rFont val="微軟正黑體"/>
        <family val="2"/>
        <charset val="136"/>
      </rPr>
      <t>鋼筋比在</t>
    </r>
    <r>
      <rPr>
        <sz val="12"/>
        <rFont val="Calibri"/>
        <family val="2"/>
      </rPr>
      <t xml:space="preserve"> 2% </t>
    </r>
    <r>
      <rPr>
        <sz val="12"/>
        <rFont val="微軟正黑體"/>
        <family val="2"/>
        <charset val="136"/>
      </rPr>
      <t>以下</t>
    </r>
    <phoneticPr fontId="1" type="noConversion"/>
  </si>
  <si>
    <r>
      <rPr>
        <sz val="12"/>
        <rFont val="微軟正黑體"/>
        <family val="2"/>
        <charset val="136"/>
      </rPr>
      <t>如果鋼筋支數大於</t>
    </r>
    <r>
      <rPr>
        <sz val="12"/>
        <rFont val="Calibri"/>
        <family val="2"/>
      </rPr>
      <t>3</t>
    </r>
    <r>
      <rPr>
        <sz val="12"/>
        <rFont val="微軟正黑體"/>
        <family val="2"/>
        <charset val="136"/>
      </rPr>
      <t>支，中央下層鋼筋量需小於端部最小鋼筋量的</t>
    </r>
    <r>
      <rPr>
        <sz val="12"/>
        <rFont val="Calibri"/>
        <family val="2"/>
      </rPr>
      <t xml:space="preserve"> 70%</t>
    </r>
    <r>
      <rPr>
        <sz val="12"/>
        <rFont val="微軟正黑體"/>
        <family val="2"/>
        <charset val="136"/>
      </rPr>
      <t>。</t>
    </r>
    <phoneticPr fontId="1" type="noConversion"/>
  </si>
  <si>
    <r>
      <rPr>
        <sz val="12"/>
        <rFont val="微軟正黑體"/>
        <family val="2"/>
        <charset val="136"/>
      </rPr>
      <t>箍筋間距</t>
    </r>
    <r>
      <rPr>
        <sz val="12"/>
        <rFont val="Calibri"/>
        <family val="2"/>
      </rPr>
      <t xml:space="preserve"> 10cm </t>
    </r>
    <r>
      <rPr>
        <sz val="12"/>
        <rFont val="微軟正黑體"/>
        <family val="2"/>
        <charset val="136"/>
      </rPr>
      <t>以上</t>
    </r>
    <phoneticPr fontId="1" type="noConversion"/>
  </si>
  <si>
    <t>1#5EF</t>
  </si>
  <si>
    <t>2#4EF</t>
  </si>
  <si>
    <t>3#4EF</t>
  </si>
  <si>
    <t>10#4EF</t>
  </si>
  <si>
    <r>
      <rPr>
        <sz val="12"/>
        <color theme="1"/>
        <rFont val="微軟正黑體"/>
        <family val="2"/>
        <charset val="136"/>
      </rPr>
      <t>全通過</t>
    </r>
  </si>
  <si>
    <r>
      <t xml:space="preserve">(S), (E), (i) - SCAN </t>
    </r>
    <r>
      <rPr>
        <sz val="12"/>
        <color theme="1"/>
        <rFont val="微軟正黑體"/>
        <family val="2"/>
        <charset val="136"/>
      </rPr>
      <t>結果</t>
    </r>
    <r>
      <rPr>
        <sz val="12"/>
        <color theme="1"/>
        <rFont val="Calibri"/>
        <family val="2"/>
      </rPr>
      <t xml:space="preserve"> ok</t>
    </r>
  </si>
  <si>
    <r>
      <rPr>
        <sz val="12"/>
        <color theme="1"/>
        <rFont val="微軟正黑體"/>
        <family val="2"/>
        <charset val="136"/>
      </rPr>
      <t>【</t>
    </r>
    <r>
      <rPr>
        <sz val="12"/>
        <color theme="1"/>
        <rFont val="Calibri"/>
        <family val="2"/>
      </rPr>
      <t>0108</t>
    </r>
    <r>
      <rPr>
        <sz val="12"/>
        <color theme="1"/>
        <rFont val="微軟正黑體"/>
        <family val="2"/>
        <charset val="136"/>
      </rPr>
      <t>】</t>
    </r>
  </si>
  <si>
    <r>
      <rPr>
        <sz val="12"/>
        <color theme="1"/>
        <rFont val="微軟正黑體"/>
        <family val="2"/>
        <charset val="136"/>
      </rPr>
      <t>【</t>
    </r>
    <r>
      <rPr>
        <sz val="12"/>
        <color theme="1"/>
        <rFont val="Calibri"/>
        <family val="2"/>
      </rPr>
      <t>0108</t>
    </r>
    <r>
      <rPr>
        <sz val="12"/>
        <color theme="1"/>
        <rFont val="微軟正黑體"/>
        <family val="2"/>
        <charset val="136"/>
      </rPr>
      <t>】</t>
    </r>
    <phoneticPr fontId="1" type="noConversion"/>
  </si>
  <si>
    <t>4-#8</t>
    <phoneticPr fontId="1" type="noConversion"/>
  </si>
  <si>
    <t>1#3EF</t>
  </si>
  <si>
    <t>1#3EF</t>
    <phoneticPr fontId="1" type="noConversion"/>
  </si>
  <si>
    <t>14-#8</t>
    <phoneticPr fontId="1" type="noConversion"/>
  </si>
  <si>
    <r>
      <rPr>
        <sz val="12"/>
        <color theme="1"/>
        <rFont val="微軟正黑體"/>
        <family val="2"/>
        <charset val="136"/>
      </rPr>
      <t>【</t>
    </r>
    <r>
      <rPr>
        <sz val="12"/>
        <color theme="1"/>
        <rFont val="Calibri"/>
        <family val="2"/>
      </rPr>
      <t>0109</t>
    </r>
    <r>
      <rPr>
        <sz val="12"/>
        <color theme="1"/>
        <rFont val="微軟正黑體"/>
        <family val="2"/>
        <charset val="136"/>
      </rPr>
      <t>】</t>
    </r>
  </si>
  <si>
    <r>
      <rPr>
        <sz val="12"/>
        <color theme="1"/>
        <rFont val="微軟正黑體"/>
        <family val="2"/>
        <charset val="136"/>
      </rPr>
      <t>【</t>
    </r>
    <r>
      <rPr>
        <sz val="12"/>
        <color theme="1"/>
        <rFont val="Calibri"/>
        <family val="2"/>
      </rPr>
      <t>0109</t>
    </r>
    <r>
      <rPr>
        <sz val="12"/>
        <color theme="1"/>
        <rFont val="微軟正黑體"/>
        <family val="2"/>
        <charset val="136"/>
      </rPr>
      <t>】</t>
    </r>
    <phoneticPr fontId="1" type="noConversion"/>
  </si>
  <si>
    <r>
      <rPr>
        <sz val="12"/>
        <color theme="1"/>
        <rFont val="微軟正黑體"/>
        <family val="2"/>
        <charset val="136"/>
      </rPr>
      <t>全通過</t>
    </r>
    <phoneticPr fontId="1" type="noConversion"/>
  </si>
  <si>
    <r>
      <rPr>
        <sz val="12"/>
        <color theme="1"/>
        <rFont val="微軟正黑體"/>
        <family val="2"/>
        <charset val="136"/>
      </rPr>
      <t>【</t>
    </r>
    <r>
      <rPr>
        <sz val="12"/>
        <color theme="1"/>
        <rFont val="Calibri"/>
        <family val="2"/>
      </rPr>
      <t>0110</t>
    </r>
    <r>
      <rPr>
        <sz val="12"/>
        <color theme="1"/>
        <rFont val="微軟正黑體"/>
        <family val="2"/>
        <charset val="136"/>
      </rPr>
      <t>】</t>
    </r>
  </si>
  <si>
    <r>
      <rPr>
        <sz val="12"/>
        <color theme="1"/>
        <rFont val="微軟正黑體"/>
        <family val="2"/>
        <charset val="136"/>
      </rPr>
      <t>【</t>
    </r>
    <r>
      <rPr>
        <sz val="12"/>
        <color theme="1"/>
        <rFont val="Calibri"/>
        <family val="2"/>
      </rPr>
      <t>0110</t>
    </r>
    <r>
      <rPr>
        <sz val="12"/>
        <color theme="1"/>
        <rFont val="微軟正黑體"/>
        <family val="2"/>
        <charset val="136"/>
      </rPr>
      <t>】</t>
    </r>
    <phoneticPr fontId="1" type="noConversion"/>
  </si>
  <si>
    <t>FB01</t>
  </si>
  <si>
    <t/>
  </si>
  <si>
    <t>FB02</t>
  </si>
  <si>
    <t>FB03</t>
  </si>
  <si>
    <t>FB04</t>
  </si>
  <si>
    <t>FB05</t>
  </si>
  <si>
    <t>FB06</t>
  </si>
  <si>
    <t>FB07</t>
  </si>
  <si>
    <t>FB08</t>
  </si>
  <si>
    <t>FB09</t>
  </si>
  <si>
    <t>FB10</t>
  </si>
  <si>
    <t>FB00</t>
  </si>
  <si>
    <t>FB00</t>
    <phoneticPr fontId="1" type="noConversion"/>
  </si>
  <si>
    <r>
      <rPr>
        <sz val="12"/>
        <color theme="1"/>
        <rFont val="微軟正黑體"/>
        <family val="2"/>
        <charset val="136"/>
      </rPr>
      <t>【</t>
    </r>
    <r>
      <rPr>
        <sz val="12"/>
        <color theme="1"/>
        <rFont val="Calibri"/>
        <family val="2"/>
      </rPr>
      <t>0101</t>
    </r>
    <r>
      <rPr>
        <sz val="12"/>
        <color theme="1"/>
        <rFont val="微軟正黑體"/>
        <family val="2"/>
        <charset val="136"/>
      </rPr>
      <t>】</t>
    </r>
  </si>
  <si>
    <r>
      <rPr>
        <sz val="12"/>
        <color theme="1"/>
        <rFont val="微軟正黑體"/>
        <family val="2"/>
        <charset val="136"/>
      </rPr>
      <t>【</t>
    </r>
    <r>
      <rPr>
        <sz val="12"/>
        <color theme="1"/>
        <rFont val="Calibri"/>
        <family val="2"/>
      </rPr>
      <t>0102</t>
    </r>
    <r>
      <rPr>
        <sz val="12"/>
        <color theme="1"/>
        <rFont val="微軟正黑體"/>
        <family val="2"/>
        <charset val="136"/>
      </rPr>
      <t>】</t>
    </r>
    <r>
      <rPr>
        <sz val="12"/>
        <color theme="1"/>
        <rFont val="Calibri"/>
        <family val="2"/>
      </rPr>
      <t xml:space="preserve">0 </t>
    </r>
  </si>
  <si>
    <r>
      <rPr>
        <sz val="12"/>
        <color theme="1"/>
        <rFont val="微軟正黑體"/>
        <family val="2"/>
        <charset val="136"/>
      </rPr>
      <t>【</t>
    </r>
    <r>
      <rPr>
        <sz val="12"/>
        <color theme="1"/>
        <rFont val="Calibri"/>
        <family val="2"/>
      </rPr>
      <t>0102</t>
    </r>
    <r>
      <rPr>
        <sz val="12"/>
        <color theme="1"/>
        <rFont val="微軟正黑體"/>
        <family val="2"/>
        <charset val="136"/>
      </rPr>
      <t>】</t>
    </r>
    <r>
      <rPr>
        <sz val="12"/>
        <color theme="1"/>
        <rFont val="Calibri"/>
        <family val="2"/>
      </rPr>
      <t xml:space="preserve">1 </t>
    </r>
  </si>
  <si>
    <r>
      <rPr>
        <sz val="12"/>
        <color theme="1"/>
        <rFont val="微軟正黑體"/>
        <family val="2"/>
        <charset val="136"/>
      </rPr>
      <t>【</t>
    </r>
    <r>
      <rPr>
        <sz val="12"/>
        <color theme="1"/>
        <rFont val="Calibri"/>
        <family val="2"/>
      </rPr>
      <t>0102</t>
    </r>
    <r>
      <rPr>
        <sz val="12"/>
        <color theme="1"/>
        <rFont val="微軟正黑體"/>
        <family val="2"/>
        <charset val="136"/>
      </rPr>
      <t>】</t>
    </r>
    <r>
      <rPr>
        <sz val="12"/>
        <color theme="1"/>
        <rFont val="Calibri"/>
        <family val="2"/>
      </rPr>
      <t xml:space="preserve">2 </t>
    </r>
  </si>
  <si>
    <r>
      <rPr>
        <sz val="12"/>
        <color theme="1"/>
        <rFont val="微軟正黑體"/>
        <family val="2"/>
        <charset val="136"/>
      </rPr>
      <t>【</t>
    </r>
    <r>
      <rPr>
        <sz val="12"/>
        <color theme="1"/>
        <rFont val="Calibri"/>
        <family val="2"/>
      </rPr>
      <t>0102</t>
    </r>
    <r>
      <rPr>
        <sz val="12"/>
        <color theme="1"/>
        <rFont val="微軟正黑體"/>
        <family val="2"/>
        <charset val="136"/>
      </rPr>
      <t>】</t>
    </r>
    <r>
      <rPr>
        <sz val="12"/>
        <color theme="1"/>
        <rFont val="Calibri"/>
        <family val="2"/>
      </rPr>
      <t xml:space="preserve">&gt;2 </t>
    </r>
  </si>
  <si>
    <r>
      <rPr>
        <sz val="12"/>
        <color theme="1"/>
        <rFont val="微軟正黑體"/>
        <family val="2"/>
        <charset val="136"/>
      </rPr>
      <t>【</t>
    </r>
    <r>
      <rPr>
        <sz val="12"/>
        <color theme="1"/>
        <rFont val="Calibri"/>
        <family val="2"/>
      </rPr>
      <t>0103</t>
    </r>
    <r>
      <rPr>
        <sz val="12"/>
        <color theme="1"/>
        <rFont val="微軟正黑體"/>
        <family val="2"/>
        <charset val="136"/>
      </rPr>
      <t>】</t>
    </r>
    <r>
      <rPr>
        <sz val="12"/>
        <color theme="1"/>
        <rFont val="Calibri"/>
        <family val="2"/>
      </rPr>
      <t xml:space="preserve">1 </t>
    </r>
  </si>
  <si>
    <r>
      <rPr>
        <sz val="12"/>
        <color theme="1"/>
        <rFont val="微軟正黑體"/>
        <family val="2"/>
        <charset val="136"/>
      </rPr>
      <t>【</t>
    </r>
    <r>
      <rPr>
        <sz val="12"/>
        <color theme="1"/>
        <rFont val="Calibri"/>
        <family val="2"/>
      </rPr>
      <t>0103</t>
    </r>
    <r>
      <rPr>
        <sz val="12"/>
        <color theme="1"/>
        <rFont val="微軟正黑體"/>
        <family val="2"/>
        <charset val="136"/>
      </rPr>
      <t>】</t>
    </r>
    <r>
      <rPr>
        <sz val="12"/>
        <color theme="1"/>
        <rFont val="Calibri"/>
        <family val="2"/>
      </rPr>
      <t xml:space="preserve">2 </t>
    </r>
  </si>
  <si>
    <r>
      <rPr>
        <sz val="12"/>
        <color theme="1"/>
        <rFont val="微軟正黑體"/>
        <family val="2"/>
        <charset val="136"/>
      </rPr>
      <t>【</t>
    </r>
    <r>
      <rPr>
        <sz val="12"/>
        <color theme="1"/>
        <rFont val="Calibri"/>
        <family val="2"/>
      </rPr>
      <t>0103</t>
    </r>
    <r>
      <rPr>
        <sz val="12"/>
        <color theme="1"/>
        <rFont val="微軟正黑體"/>
        <family val="2"/>
        <charset val="136"/>
      </rPr>
      <t>】</t>
    </r>
    <r>
      <rPr>
        <sz val="12"/>
        <color theme="1"/>
        <rFont val="Calibri"/>
        <family val="2"/>
      </rPr>
      <t xml:space="preserve">&gt;2 </t>
    </r>
  </si>
  <si>
    <r>
      <rPr>
        <sz val="12"/>
        <color theme="1"/>
        <rFont val="微軟正黑體"/>
        <family val="2"/>
        <charset val="136"/>
      </rPr>
      <t>【</t>
    </r>
    <r>
      <rPr>
        <sz val="12"/>
        <color theme="1"/>
        <rFont val="Calibri"/>
        <family val="2"/>
      </rPr>
      <t>0104</t>
    </r>
    <r>
      <rPr>
        <sz val="12"/>
        <color theme="1"/>
        <rFont val="微軟正黑體"/>
        <family val="2"/>
        <charset val="136"/>
      </rPr>
      <t>】</t>
    </r>
  </si>
  <si>
    <r>
      <rPr>
        <sz val="12"/>
        <color theme="1"/>
        <rFont val="微軟正黑體"/>
        <family val="2"/>
        <charset val="136"/>
      </rPr>
      <t>【</t>
    </r>
    <r>
      <rPr>
        <sz val="12"/>
        <color theme="1"/>
        <rFont val="Calibri"/>
        <family val="2"/>
      </rPr>
      <t>0105</t>
    </r>
    <r>
      <rPr>
        <sz val="12"/>
        <color theme="1"/>
        <rFont val="微軟正黑體"/>
        <family val="2"/>
        <charset val="136"/>
      </rPr>
      <t>】</t>
    </r>
  </si>
  <si>
    <r>
      <rPr>
        <sz val="12"/>
        <color theme="1"/>
        <rFont val="微軟正黑體"/>
        <family val="2"/>
        <charset val="136"/>
      </rPr>
      <t>【</t>
    </r>
    <r>
      <rPr>
        <sz val="12"/>
        <color theme="1"/>
        <rFont val="Calibri"/>
        <family val="2"/>
      </rPr>
      <t>0106</t>
    </r>
    <r>
      <rPr>
        <sz val="12"/>
        <color theme="1"/>
        <rFont val="微軟正黑體"/>
        <family val="2"/>
        <charset val="136"/>
      </rPr>
      <t>】</t>
    </r>
  </si>
  <si>
    <r>
      <rPr>
        <sz val="12"/>
        <color theme="1"/>
        <rFont val="微軟正黑體"/>
        <family val="2"/>
        <charset val="136"/>
      </rPr>
      <t>【</t>
    </r>
    <r>
      <rPr>
        <sz val="12"/>
        <color theme="1"/>
        <rFont val="Calibri"/>
        <family val="2"/>
      </rPr>
      <t>0107</t>
    </r>
    <r>
      <rPr>
        <sz val="12"/>
        <color theme="1"/>
        <rFont val="微軟正黑體"/>
        <family val="2"/>
        <charset val="136"/>
      </rPr>
      <t>】</t>
    </r>
  </si>
  <si>
    <t>6-#8</t>
    <phoneticPr fontId="1" type="noConversion"/>
  </si>
  <si>
    <t>7-#8</t>
    <phoneticPr fontId="1" type="noConversion"/>
  </si>
  <si>
    <t>4#4EF</t>
    <phoneticPr fontId="1" type="noConversion"/>
  </si>
  <si>
    <t>3#4EF</t>
    <phoneticPr fontId="1" type="noConversion"/>
  </si>
  <si>
    <t>FB11</t>
  </si>
  <si>
    <t>FB11</t>
    <phoneticPr fontId="1" type="noConversion"/>
  </si>
  <si>
    <r>
      <rPr>
        <sz val="12"/>
        <color theme="1"/>
        <rFont val="微軟正黑體"/>
        <family val="2"/>
        <charset val="136"/>
      </rPr>
      <t>【</t>
    </r>
    <r>
      <rPr>
        <sz val="12"/>
        <color theme="1"/>
        <rFont val="Calibri"/>
        <family val="2"/>
      </rPr>
      <t>0111</t>
    </r>
    <r>
      <rPr>
        <sz val="12"/>
        <color theme="1"/>
        <rFont val="微軟正黑體"/>
        <family val="2"/>
        <charset val="136"/>
      </rPr>
      <t>】</t>
    </r>
  </si>
  <si>
    <r>
      <rPr>
        <sz val="12"/>
        <color theme="1"/>
        <rFont val="微軟正黑體"/>
        <family val="2"/>
        <charset val="136"/>
      </rPr>
      <t>【</t>
    </r>
    <r>
      <rPr>
        <sz val="12"/>
        <color theme="1"/>
        <rFont val="Calibri"/>
        <family val="2"/>
      </rPr>
      <t>0111</t>
    </r>
    <r>
      <rPr>
        <sz val="12"/>
        <color theme="1"/>
        <rFont val="微軟正黑體"/>
        <family val="2"/>
        <charset val="136"/>
      </rPr>
      <t>】</t>
    </r>
    <phoneticPr fontId="1" type="noConversion"/>
  </si>
  <si>
    <t>2-#8</t>
    <phoneticPr fontId="1" type="noConversion"/>
  </si>
  <si>
    <r>
      <rPr>
        <sz val="12"/>
        <color theme="1"/>
        <rFont val="微軟正黑體"/>
        <family val="2"/>
        <charset val="136"/>
      </rPr>
      <t>【</t>
    </r>
    <r>
      <rPr>
        <sz val="12"/>
        <color theme="1"/>
        <rFont val="Calibri"/>
        <family val="2"/>
      </rPr>
      <t>0110</t>
    </r>
    <r>
      <rPr>
        <sz val="12"/>
        <color theme="1"/>
        <rFont val="微軟正黑體"/>
        <family val="2"/>
        <charset val="136"/>
      </rPr>
      <t>】梁長不符合</t>
    </r>
    <r>
      <rPr>
        <sz val="12"/>
        <color theme="1"/>
        <rFont val="Calibri"/>
        <family val="2"/>
      </rPr>
      <t xml:space="preserve"> </t>
    </r>
    <r>
      <rPr>
        <sz val="12"/>
        <color theme="1"/>
        <rFont val="微軟正黑體"/>
        <family val="2"/>
        <charset val="136"/>
      </rPr>
      <t>通過</t>
    </r>
  </si>
  <si>
    <r>
      <rPr>
        <sz val="12"/>
        <color theme="1"/>
        <rFont val="微軟正黑體"/>
        <family val="2"/>
        <charset val="136"/>
      </rPr>
      <t>【</t>
    </r>
    <r>
      <rPr>
        <sz val="12"/>
        <color theme="1"/>
        <rFont val="Calibri"/>
        <family val="2"/>
      </rPr>
      <t>0110</t>
    </r>
    <r>
      <rPr>
        <sz val="12"/>
        <color theme="1"/>
        <rFont val="微軟正黑體"/>
        <family val="2"/>
        <charset val="136"/>
      </rPr>
      <t>】支數不符合</t>
    </r>
    <r>
      <rPr>
        <sz val="12"/>
        <color theme="1"/>
        <rFont val="Calibri"/>
        <family val="2"/>
      </rPr>
      <t xml:space="preserve"> </t>
    </r>
    <r>
      <rPr>
        <sz val="12"/>
        <color theme="1"/>
        <rFont val="微軟正黑體"/>
        <family val="2"/>
        <charset val="136"/>
      </rPr>
      <t>通過</t>
    </r>
  </si>
  <si>
    <r>
      <rPr>
        <sz val="12"/>
        <color theme="1"/>
        <rFont val="微軟正黑體"/>
        <family val="2"/>
        <charset val="136"/>
      </rPr>
      <t>【</t>
    </r>
    <r>
      <rPr>
        <sz val="12"/>
        <color theme="1"/>
        <rFont val="Calibri"/>
        <family val="2"/>
      </rPr>
      <t>0112</t>
    </r>
    <r>
      <rPr>
        <sz val="12"/>
        <color theme="1"/>
        <rFont val="微軟正黑體"/>
        <family val="2"/>
        <charset val="136"/>
      </rPr>
      <t>】</t>
    </r>
  </si>
  <si>
    <r>
      <rPr>
        <sz val="12"/>
        <color theme="1"/>
        <rFont val="微軟正黑體"/>
        <family val="2"/>
        <charset val="136"/>
      </rPr>
      <t>【</t>
    </r>
    <r>
      <rPr>
        <sz val="12"/>
        <color theme="1"/>
        <rFont val="Calibri"/>
        <family val="2"/>
      </rPr>
      <t>0112</t>
    </r>
    <r>
      <rPr>
        <sz val="12"/>
        <color theme="1"/>
        <rFont val="微軟正黑體"/>
        <family val="2"/>
        <charset val="136"/>
      </rPr>
      <t>】</t>
    </r>
    <phoneticPr fontId="1" type="noConversion"/>
  </si>
  <si>
    <r>
      <rPr>
        <sz val="12"/>
        <color theme="1"/>
        <rFont val="微軟正黑體"/>
        <family val="2"/>
        <charset val="136"/>
      </rPr>
      <t>【</t>
    </r>
    <r>
      <rPr>
        <sz val="12"/>
        <color theme="1"/>
        <rFont val="Calibri"/>
        <family val="2"/>
      </rPr>
      <t>0113</t>
    </r>
    <r>
      <rPr>
        <sz val="12"/>
        <color theme="1"/>
        <rFont val="微軟正黑體"/>
        <family val="2"/>
        <charset val="136"/>
      </rPr>
      <t>】</t>
    </r>
  </si>
  <si>
    <r>
      <rPr>
        <sz val="12"/>
        <color theme="1"/>
        <rFont val="微軟正黑體"/>
        <family val="2"/>
        <charset val="136"/>
      </rPr>
      <t>【</t>
    </r>
    <r>
      <rPr>
        <sz val="12"/>
        <color theme="1"/>
        <rFont val="Calibri"/>
        <family val="2"/>
      </rPr>
      <t>0113</t>
    </r>
    <r>
      <rPr>
        <sz val="12"/>
        <color theme="1"/>
        <rFont val="微軟正黑體"/>
        <family val="2"/>
        <charset val="136"/>
      </rPr>
      <t>】</t>
    </r>
    <phoneticPr fontId="1" type="noConversion"/>
  </si>
  <si>
    <t>FB12</t>
  </si>
  <si>
    <t>FB12</t>
    <phoneticPr fontId="1" type="noConversion"/>
  </si>
  <si>
    <t>FB13</t>
  </si>
  <si>
    <t>FB13</t>
    <phoneticPr fontId="1" type="noConversion"/>
  </si>
  <si>
    <t>2#4@9</t>
  </si>
  <si>
    <t>2#4@9</t>
    <phoneticPr fontId="1" type="noConversion"/>
  </si>
  <si>
    <r>
      <rPr>
        <sz val="12"/>
        <color theme="1"/>
        <rFont val="微軟正黑體"/>
        <family val="2"/>
        <charset val="136"/>
      </rPr>
      <t>【</t>
    </r>
    <r>
      <rPr>
        <sz val="12"/>
        <color theme="1"/>
        <rFont val="Calibri"/>
        <family val="2"/>
      </rPr>
      <t>0110</t>
    </r>
    <r>
      <rPr>
        <sz val="12"/>
        <color theme="1"/>
        <rFont val="微軟正黑體"/>
        <family val="2"/>
        <charset val="136"/>
      </rPr>
      <t>】梁長不符合</t>
    </r>
    <r>
      <rPr>
        <sz val="12"/>
        <color theme="1"/>
        <rFont val="Calibri"/>
        <family val="2"/>
      </rPr>
      <t xml:space="preserve"> </t>
    </r>
    <r>
      <rPr>
        <sz val="12"/>
        <color theme="1"/>
        <rFont val="微軟正黑體"/>
        <family val="2"/>
        <charset val="136"/>
      </rPr>
      <t>通過</t>
    </r>
    <phoneticPr fontId="1" type="noConversion"/>
  </si>
  <si>
    <r>
      <rPr>
        <sz val="12"/>
        <color theme="1"/>
        <rFont val="微軟正黑體"/>
        <family val="2"/>
        <charset val="136"/>
      </rPr>
      <t>【</t>
    </r>
    <r>
      <rPr>
        <sz val="12"/>
        <color theme="1"/>
        <rFont val="Calibri"/>
        <family val="2"/>
      </rPr>
      <t>0110</t>
    </r>
    <r>
      <rPr>
        <sz val="12"/>
        <color theme="1"/>
        <rFont val="微軟正黑體"/>
        <family val="2"/>
        <charset val="136"/>
      </rPr>
      <t>】支數不符合</t>
    </r>
    <r>
      <rPr>
        <sz val="12"/>
        <color theme="1"/>
        <rFont val="Calibri"/>
        <family val="2"/>
      </rPr>
      <t xml:space="preserve"> </t>
    </r>
    <r>
      <rPr>
        <sz val="12"/>
        <color theme="1"/>
        <rFont val="微軟正黑體"/>
        <family val="2"/>
        <charset val="136"/>
      </rPr>
      <t>通過</t>
    </r>
    <phoneticPr fontId="1" type="noConversion"/>
  </si>
  <si>
    <r>
      <rPr>
        <sz val="12"/>
        <color theme="1"/>
        <rFont val="微軟正黑體"/>
        <family val="2"/>
        <charset val="136"/>
      </rPr>
      <t>【</t>
    </r>
    <r>
      <rPr>
        <sz val="12"/>
        <color theme="1"/>
        <rFont val="Calibri"/>
        <family val="2"/>
      </rPr>
      <t>0114</t>
    </r>
    <r>
      <rPr>
        <sz val="12"/>
        <color theme="1"/>
        <rFont val="微軟正黑體"/>
        <family val="2"/>
        <charset val="136"/>
      </rPr>
      <t>】</t>
    </r>
  </si>
  <si>
    <r>
      <rPr>
        <sz val="12"/>
        <color theme="1"/>
        <rFont val="微軟正黑體"/>
        <family val="2"/>
        <charset val="136"/>
      </rPr>
      <t>【</t>
    </r>
    <r>
      <rPr>
        <sz val="12"/>
        <color theme="1"/>
        <rFont val="Calibri"/>
        <family val="2"/>
      </rPr>
      <t>0114</t>
    </r>
    <r>
      <rPr>
        <sz val="12"/>
        <color theme="1"/>
        <rFont val="微軟正黑體"/>
        <family val="2"/>
        <charset val="136"/>
      </rPr>
      <t>】</t>
    </r>
    <phoneticPr fontId="1" type="noConversion"/>
  </si>
  <si>
    <t>2#4@35</t>
  </si>
  <si>
    <t>2#5@35</t>
  </si>
  <si>
    <t>2#5@35</t>
    <phoneticPr fontId="1" type="noConversion"/>
  </si>
  <si>
    <t>FB14</t>
  </si>
  <si>
    <t>FB14</t>
    <phoneticPr fontId="1" type="noConversion"/>
  </si>
  <si>
    <r>
      <rPr>
        <sz val="12"/>
        <color rgb="FF9C0006"/>
        <rFont val="微軟正黑體"/>
        <family val="2"/>
        <charset val="136"/>
      </rPr>
      <t>【</t>
    </r>
    <r>
      <rPr>
        <sz val="12"/>
        <color rgb="FF9C0006"/>
        <rFont val="Calibri"/>
        <family val="2"/>
      </rPr>
      <t>0102</t>
    </r>
    <r>
      <rPr>
        <sz val="12"/>
        <color rgb="FF9C0006"/>
        <rFont val="微軟正黑體"/>
        <family val="2"/>
        <charset val="136"/>
      </rPr>
      <t>】短梁側筋面積不得小於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</si>
  <si>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0103</t>
    </r>
    <r>
      <rPr>
        <sz val="12"/>
        <color rgb="FF9C0006"/>
        <rFont val="微軟正黑體"/>
        <family val="2"/>
        <charset val="136"/>
      </rPr>
      <t>】短梁側筋面積不得大於</t>
    </r>
    <r>
      <rPr>
        <sz val="12"/>
        <color rgb="FF9C0006"/>
        <rFont val="Calibri"/>
        <family val="2"/>
      </rPr>
      <t xml:space="preserve"> 1.5 * 0.0015 * bw * S2_x000D_</t>
    </r>
  </si>
  <si>
    <r>
      <rPr>
        <sz val="12"/>
        <color theme="1"/>
        <rFont val="微軟正黑體"/>
        <family val="2"/>
        <charset val="136"/>
      </rPr>
      <t>【</t>
    </r>
    <r>
      <rPr>
        <sz val="12"/>
        <color theme="1"/>
        <rFont val="Calibri"/>
        <family val="2"/>
      </rPr>
      <t>0101</t>
    </r>
    <r>
      <rPr>
        <sz val="12"/>
        <color theme="1"/>
        <rFont val="微軟正黑體"/>
        <family val="2"/>
        <charset val="136"/>
      </rPr>
      <t>】短梁箍筋面積不得小於</t>
    </r>
    <r>
      <rPr>
        <sz val="12"/>
        <color theme="1"/>
        <rFont val="Calibri"/>
        <family val="2"/>
      </rPr>
      <t xml:space="preserve"> 0.0025 * bw * s</t>
    </r>
    <phoneticPr fontId="1" type="noConversion"/>
  </si>
  <si>
    <r>
      <rPr>
        <sz val="12"/>
        <rFont val="微軟正黑體"/>
        <family val="2"/>
        <charset val="136"/>
      </rPr>
      <t>【</t>
    </r>
    <r>
      <rPr>
        <sz val="12"/>
        <rFont val="Calibri"/>
        <family val="2"/>
      </rPr>
      <t>0103</t>
    </r>
    <r>
      <rPr>
        <sz val="12"/>
        <rFont val="微軟正黑體"/>
        <family val="2"/>
        <charset val="136"/>
      </rPr>
      <t>】短梁側筋面積不得大於</t>
    </r>
    <r>
      <rPr>
        <sz val="12"/>
        <rFont val="Calibri"/>
        <family val="2"/>
      </rPr>
      <t xml:space="preserve"> 1.5 * 0.0015 * bw * S2</t>
    </r>
    <phoneticPr fontId="1" type="noConversion"/>
  </si>
  <si>
    <r>
      <rPr>
        <sz val="12"/>
        <rFont val="微軟正黑體"/>
        <family val="2"/>
        <charset val="136"/>
      </rPr>
      <t>【</t>
    </r>
    <r>
      <rPr>
        <sz val="12"/>
        <rFont val="Calibri"/>
        <family val="2"/>
      </rPr>
      <t>0106</t>
    </r>
    <r>
      <rPr>
        <sz val="12"/>
        <rFont val="微軟正黑體"/>
        <family val="2"/>
        <charset val="136"/>
      </rPr>
      <t>】主筋淨間距不得大於</t>
    </r>
    <r>
      <rPr>
        <sz val="12"/>
        <rFont val="Calibri"/>
        <family val="2"/>
      </rPr>
      <t xml:space="preserve"> 25 cm</t>
    </r>
    <phoneticPr fontId="1" type="noConversion"/>
  </si>
  <si>
    <r>
      <rPr>
        <sz val="12"/>
        <rFont val="微軟正黑體"/>
        <family val="2"/>
        <charset val="136"/>
      </rPr>
      <t>最少兩支</t>
    </r>
  </si>
  <si>
    <r>
      <rPr>
        <sz val="12"/>
        <rFont val="微軟正黑體"/>
        <family val="2"/>
        <charset val="136"/>
      </rPr>
      <t>【</t>
    </r>
    <r>
      <rPr>
        <sz val="12"/>
        <rFont val="Calibri"/>
        <family val="2"/>
      </rPr>
      <t>0107</t>
    </r>
    <r>
      <rPr>
        <sz val="12"/>
        <rFont val="微軟正黑體"/>
        <family val="2"/>
        <charset val="136"/>
      </rPr>
      <t>】主筋單排支數不得小於</t>
    </r>
    <r>
      <rPr>
        <sz val="12"/>
        <rFont val="Calibri"/>
        <family val="2"/>
      </rPr>
      <t xml:space="preserve"> 2 </t>
    </r>
    <r>
      <rPr>
        <sz val="12"/>
        <rFont val="微軟正黑體"/>
        <family val="2"/>
        <charset val="136"/>
      </rPr>
      <t>支</t>
    </r>
    <phoneticPr fontId="1" type="noConversion"/>
  </si>
  <si>
    <r>
      <rPr>
        <sz val="12"/>
        <color theme="1"/>
        <rFont val="微軟正黑體"/>
        <family val="2"/>
        <charset val="136"/>
      </rPr>
      <t>【</t>
    </r>
    <r>
      <rPr>
        <sz val="12"/>
        <color theme="1"/>
        <rFont val="Calibri"/>
        <family val="2"/>
      </rPr>
      <t>0401</t>
    </r>
    <r>
      <rPr>
        <sz val="12"/>
        <color theme="1"/>
        <rFont val="微軟正黑體"/>
        <family val="2"/>
        <charset val="136"/>
      </rPr>
      <t>】請確認上層柱主筋量，漸縮是否過大</t>
    </r>
  </si>
  <si>
    <r>
      <rPr>
        <sz val="12"/>
        <color theme="1"/>
        <rFont val="微軟正黑體"/>
        <family val="2"/>
        <charset val="136"/>
      </rPr>
      <t>【</t>
    </r>
    <r>
      <rPr>
        <sz val="12"/>
        <color theme="1"/>
        <rFont val="Calibri"/>
        <family val="2"/>
      </rPr>
      <t>0402</t>
    </r>
    <r>
      <rPr>
        <sz val="12"/>
        <color theme="1"/>
        <rFont val="微軟正黑體"/>
        <family val="2"/>
        <charset val="136"/>
      </rPr>
      <t>】請確認下層柱主筋量，漸縮是否過大</t>
    </r>
  </si>
  <si>
    <r>
      <rPr>
        <sz val="12"/>
        <color rgb="FF9C0006"/>
        <rFont val="微軟正黑體"/>
        <family val="2"/>
        <charset val="136"/>
      </rPr>
      <t>【</t>
    </r>
    <r>
      <rPr>
        <sz val="12"/>
        <color rgb="FF9C0006"/>
        <rFont val="Calibri"/>
        <family val="2"/>
      </rPr>
      <t>0101</t>
    </r>
    <r>
      <rPr>
        <sz val="12"/>
        <color rgb="FF9C0006"/>
        <rFont val="微軟正黑體"/>
        <family val="2"/>
        <charset val="136"/>
      </rPr>
      <t>】短梁箍筋面積不得小於</t>
    </r>
    <r>
      <rPr>
        <sz val="12"/>
        <color rgb="FF9C0006"/>
        <rFont val="Calibri"/>
        <family val="2"/>
      </rPr>
      <t xml:space="preserve"> 0.0025 * bw * s (2.625cm^2)_x000D_</t>
    </r>
  </si>
  <si>
    <r>
      <rPr>
        <sz val="12"/>
        <color rgb="FF9C0006"/>
        <rFont val="微軟正黑體"/>
        <family val="2"/>
        <charset val="136"/>
      </rPr>
      <t>【</t>
    </r>
    <r>
      <rPr>
        <sz val="12"/>
        <color rgb="FF9C0006"/>
        <rFont val="Calibri"/>
        <family val="2"/>
      </rPr>
      <t>0106</t>
    </r>
    <r>
      <rPr>
        <sz val="12"/>
        <color rgb="FF9C0006"/>
        <rFont val="微軟正黑體"/>
        <family val="2"/>
        <charset val="136"/>
      </rPr>
      <t>】主筋淨間距不得大於</t>
    </r>
    <r>
      <rPr>
        <sz val="12"/>
        <color rgb="FF9C0006"/>
        <rFont val="Calibri"/>
        <family val="2"/>
      </rPr>
      <t xml:space="preserve"> 25 cm (</t>
    </r>
    <r>
      <rPr>
        <sz val="12"/>
        <color rgb="FF9C0006"/>
        <rFont val="微軟正黑體"/>
        <family val="2"/>
        <charset val="136"/>
      </rPr>
      <t>主筋淨間距</t>
    </r>
    <r>
      <rPr>
        <sz val="12"/>
        <color rgb="FF9C0006"/>
        <rFont val="Calibri"/>
        <family val="2"/>
      </rPr>
      <t xml:space="preserve"> = 54.38 cm)_x000D_</t>
    </r>
  </si>
  <si>
    <r>
      <rPr>
        <sz val="12"/>
        <color rgb="FF9C0006"/>
        <rFont val="微軟正黑體"/>
        <family val="2"/>
        <charset val="136"/>
      </rPr>
      <t>【</t>
    </r>
    <r>
      <rPr>
        <sz val="12"/>
        <color rgb="FF9C0006"/>
        <rFont val="Calibri"/>
        <family val="2"/>
      </rPr>
      <t>0107</t>
    </r>
    <r>
      <rPr>
        <sz val="12"/>
        <color rgb="FF9C0006"/>
        <rFont val="微軟正黑體"/>
        <family val="2"/>
        <charset val="136"/>
      </rPr>
      <t>】主筋單排支數不得小於</t>
    </r>
    <r>
      <rPr>
        <sz val="12"/>
        <color rgb="FF9C0006"/>
        <rFont val="Calibri"/>
        <family val="2"/>
      </rPr>
      <t xml:space="preserve"> 2 </t>
    </r>
    <r>
      <rPr>
        <sz val="12"/>
        <color rgb="FF9C0006"/>
        <rFont val="微軟正黑體"/>
        <family val="2"/>
        <charset val="136"/>
      </rPr>
      <t>支_x000D_</t>
    </r>
  </si>
  <si>
    <r>
      <rPr>
        <sz val="12"/>
        <color rgb="FF9C0006"/>
        <rFont val="微軟正黑體"/>
        <family val="2"/>
        <charset val="136"/>
      </rPr>
      <t>【</t>
    </r>
    <r>
      <rPr>
        <sz val="12"/>
        <color rgb="FF9C0006"/>
        <rFont val="Calibri"/>
        <family val="2"/>
      </rPr>
      <t>0104</t>
    </r>
    <r>
      <rPr>
        <sz val="12"/>
        <color rgb="FF9C0006"/>
        <rFont val="微軟正黑體"/>
        <family val="2"/>
        <charset val="136"/>
      </rPr>
      <t>】上層筋鋼筋比不得小於</t>
    </r>
    <r>
      <rPr>
        <sz val="12"/>
        <color rgb="FF9C0006"/>
        <rFont val="Calibri"/>
        <family val="2"/>
      </rPr>
      <t xml:space="preserve"> 0.3% (40.0932cm^2)_x000D_</t>
    </r>
  </si>
  <si>
    <r>
      <rPr>
        <sz val="12"/>
        <color rgb="FF9C0006"/>
        <rFont val="微軟正黑體"/>
        <family val="2"/>
        <charset val="136"/>
      </rPr>
      <t>【</t>
    </r>
    <r>
      <rPr>
        <sz val="12"/>
        <color rgb="FF9C0006"/>
        <rFont val="Calibri"/>
        <family val="2"/>
      </rPr>
      <t>0105</t>
    </r>
    <r>
      <rPr>
        <sz val="12"/>
        <color rgb="FF9C0006"/>
        <rFont val="微軟正黑體"/>
        <family val="2"/>
        <charset val="136"/>
      </rPr>
      <t>】下層筋鋼筋比不得小於</t>
    </r>
    <r>
      <rPr>
        <sz val="12"/>
        <color rgb="FF9C0006"/>
        <rFont val="Calibri"/>
        <family val="2"/>
      </rPr>
      <t xml:space="preserve"> 0.3% (40.0932cm^2)_x000D_</t>
    </r>
  </si>
  <si>
    <r>
      <rPr>
        <sz val="12"/>
        <color rgb="FF9C0006"/>
        <rFont val="微軟正黑體"/>
        <family val="2"/>
        <charset val="136"/>
      </rPr>
      <t>【</t>
    </r>
    <r>
      <rPr>
        <sz val="12"/>
        <color rgb="FF9C0006"/>
        <rFont val="Calibri"/>
        <family val="2"/>
      </rPr>
      <t>0108</t>
    </r>
    <r>
      <rPr>
        <sz val="12"/>
        <color rgb="FF9C0006"/>
        <rFont val="微軟正黑體"/>
        <family val="2"/>
        <charset val="136"/>
      </rPr>
      <t>】上層筋鋼筋比不得大於</t>
    </r>
    <r>
      <rPr>
        <sz val="12"/>
        <color rgb="FF9C0006"/>
        <rFont val="Calibri"/>
        <family val="2"/>
      </rPr>
      <t xml:space="preserve"> 2% (133.104cm^2)_x000D_</t>
    </r>
  </si>
  <si>
    <r>
      <rPr>
        <sz val="12"/>
        <color rgb="FF9C0006"/>
        <rFont val="微軟正黑體"/>
        <family val="2"/>
        <charset val="136"/>
      </rPr>
      <t>【</t>
    </r>
    <r>
      <rPr>
        <sz val="12"/>
        <color rgb="FF9C0006"/>
        <rFont val="Calibri"/>
        <family val="2"/>
      </rPr>
      <t>0109</t>
    </r>
    <r>
      <rPr>
        <sz val="12"/>
        <color rgb="FF9C0006"/>
        <rFont val="微軟正黑體"/>
        <family val="2"/>
        <charset val="136"/>
      </rPr>
      <t>】下層筋鋼筋比不得大於</t>
    </r>
    <r>
      <rPr>
        <sz val="12"/>
        <color rgb="FF9C0006"/>
        <rFont val="Calibri"/>
        <family val="2"/>
      </rPr>
      <t xml:space="preserve"> 2% (133.104cm^2)_x000D_</t>
    </r>
  </si>
  <si>
    <r>
      <rPr>
        <sz val="12"/>
        <rFont val="微軟正黑體"/>
        <family val="2"/>
        <charset val="136"/>
      </rPr>
      <t>【</t>
    </r>
    <r>
      <rPr>
        <sz val="12"/>
        <rFont val="Calibri"/>
        <family val="2"/>
      </rPr>
      <t>0104</t>
    </r>
    <r>
      <rPr>
        <sz val="12"/>
        <rFont val="微軟正黑體"/>
        <family val="2"/>
        <charset val="136"/>
      </rPr>
      <t>】上層筋鋼筋比不得小於</t>
    </r>
    <r>
      <rPr>
        <sz val="12"/>
        <rFont val="Calibri"/>
        <family val="2"/>
      </rPr>
      <t xml:space="preserve"> 0.3%</t>
    </r>
    <phoneticPr fontId="1" type="noConversion"/>
  </si>
  <si>
    <r>
      <rPr>
        <sz val="12"/>
        <rFont val="微軟正黑體"/>
        <family val="2"/>
        <charset val="136"/>
      </rPr>
      <t>【</t>
    </r>
    <r>
      <rPr>
        <sz val="12"/>
        <rFont val="Calibri"/>
        <family val="2"/>
      </rPr>
      <t>0105</t>
    </r>
    <r>
      <rPr>
        <sz val="12"/>
        <rFont val="微軟正黑體"/>
        <family val="2"/>
        <charset val="136"/>
      </rPr>
      <t>】下層筋鋼筋比不得小於</t>
    </r>
    <r>
      <rPr>
        <sz val="12"/>
        <rFont val="Calibri"/>
        <family val="2"/>
      </rPr>
      <t xml:space="preserve"> 0.3%</t>
    </r>
    <phoneticPr fontId="1" type="noConversion"/>
  </si>
  <si>
    <r>
      <rPr>
        <sz val="12"/>
        <color rgb="FF9C0006"/>
        <rFont val="微軟正黑體"/>
        <family val="2"/>
        <charset val="136"/>
      </rPr>
      <t>【</t>
    </r>
    <r>
      <rPr>
        <sz val="12"/>
        <color rgb="FF9C0006"/>
        <rFont val="Calibri"/>
        <family val="2"/>
      </rPr>
      <t>0110</t>
    </r>
    <r>
      <rPr>
        <sz val="12"/>
        <color rgb="FF9C0006"/>
        <rFont val="微軟正黑體"/>
        <family val="2"/>
        <charset val="136"/>
      </rPr>
      <t>】中央下層鋼筋量不得大於端部最小鋼筋量</t>
    </r>
    <r>
      <rPr>
        <sz val="12"/>
        <color rgb="FF9C0006"/>
        <rFont val="Calibri"/>
        <family val="2"/>
      </rPr>
      <t xml:space="preserve"> 70% (49.882 cm^2)_x000D_</t>
    </r>
  </si>
  <si>
    <r>
      <rPr>
        <sz val="12"/>
        <rFont val="微軟正黑體"/>
        <family val="2"/>
        <charset val="136"/>
      </rPr>
      <t>【</t>
    </r>
    <r>
      <rPr>
        <sz val="12"/>
        <rFont val="Calibri"/>
        <family val="2"/>
      </rPr>
      <t>0102</t>
    </r>
    <r>
      <rPr>
        <sz val="12"/>
        <rFont val="微軟正黑體"/>
        <family val="2"/>
        <charset val="136"/>
      </rPr>
      <t>】短梁側筋面積不得小於</t>
    </r>
    <r>
      <rPr>
        <sz val="12"/>
        <rFont val="Calibri"/>
        <family val="2"/>
      </rPr>
      <t xml:space="preserve"> 0.0015 * bw * s2</t>
    </r>
    <phoneticPr fontId="1" type="noConversion"/>
  </si>
  <si>
    <r>
      <rPr>
        <sz val="12"/>
        <rFont val="微軟正黑體"/>
        <family val="2"/>
        <charset val="136"/>
      </rPr>
      <t>【</t>
    </r>
    <r>
      <rPr>
        <sz val="12"/>
        <rFont val="Calibri"/>
        <family val="2"/>
      </rPr>
      <t>0108</t>
    </r>
    <r>
      <rPr>
        <sz val="12"/>
        <rFont val="微軟正黑體"/>
        <family val="2"/>
        <charset val="136"/>
      </rPr>
      <t>】上層筋鋼筋比不得大於</t>
    </r>
    <r>
      <rPr>
        <sz val="12"/>
        <rFont val="Calibri"/>
        <family val="2"/>
      </rPr>
      <t xml:space="preserve"> 2%</t>
    </r>
    <phoneticPr fontId="1" type="noConversion"/>
  </si>
  <si>
    <r>
      <rPr>
        <sz val="12"/>
        <rFont val="微軟正黑體"/>
        <family val="2"/>
        <charset val="136"/>
      </rPr>
      <t>【</t>
    </r>
    <r>
      <rPr>
        <sz val="12"/>
        <rFont val="Calibri"/>
        <family val="2"/>
      </rPr>
      <t>0109</t>
    </r>
    <r>
      <rPr>
        <sz val="12"/>
        <rFont val="微軟正黑體"/>
        <family val="2"/>
        <charset val="136"/>
      </rPr>
      <t>】下層筋鋼筋比不得大於</t>
    </r>
    <r>
      <rPr>
        <sz val="12"/>
        <rFont val="Calibri"/>
        <family val="2"/>
      </rPr>
      <t xml:space="preserve"> 2%</t>
    </r>
    <phoneticPr fontId="1" type="noConversion"/>
  </si>
  <si>
    <r>
      <rPr>
        <sz val="12"/>
        <rFont val="微軟正黑體"/>
        <family val="2"/>
        <charset val="136"/>
      </rPr>
      <t>【</t>
    </r>
    <r>
      <rPr>
        <sz val="12"/>
        <rFont val="Calibri"/>
        <family val="2"/>
      </rPr>
      <t>0110</t>
    </r>
    <r>
      <rPr>
        <sz val="12"/>
        <rFont val="微軟正黑體"/>
        <family val="2"/>
        <charset val="136"/>
      </rPr>
      <t>】中央下層鋼筋量不得大於端部最小鋼筋量</t>
    </r>
    <r>
      <rPr>
        <sz val="12"/>
        <rFont val="Calibri"/>
        <family val="2"/>
      </rPr>
      <t xml:space="preserve"> 70%</t>
    </r>
    <phoneticPr fontId="1" type="noConversion"/>
  </si>
  <si>
    <r>
      <rPr>
        <sz val="12"/>
        <rFont val="微軟正黑體"/>
        <family val="2"/>
        <charset val="136"/>
      </rPr>
      <t>【</t>
    </r>
    <r>
      <rPr>
        <sz val="12"/>
        <rFont val="Calibri"/>
        <family val="2"/>
      </rPr>
      <t>0111</t>
    </r>
    <r>
      <rPr>
        <sz val="12"/>
        <rFont val="微軟正黑體"/>
        <family val="2"/>
        <charset val="136"/>
      </rPr>
      <t>】左端上層鋼筋量不得大於中央鋼筋量的</t>
    </r>
    <r>
      <rPr>
        <sz val="12"/>
        <rFont val="Calibri"/>
        <family val="2"/>
      </rPr>
      <t xml:space="preserve"> 70%</t>
    </r>
    <phoneticPr fontId="1" type="noConversion"/>
  </si>
  <si>
    <r>
      <rPr>
        <sz val="12"/>
        <rFont val="微軟正黑體"/>
        <family val="2"/>
        <charset val="136"/>
      </rPr>
      <t>【</t>
    </r>
    <r>
      <rPr>
        <sz val="12"/>
        <rFont val="Calibri"/>
        <family val="2"/>
      </rPr>
      <t>0112</t>
    </r>
    <r>
      <rPr>
        <sz val="12"/>
        <rFont val="微軟正黑體"/>
        <family val="2"/>
        <charset val="136"/>
      </rPr>
      <t>】右端上層鋼筋量不得大於中央鋼筋量的</t>
    </r>
    <r>
      <rPr>
        <sz val="12"/>
        <rFont val="Calibri"/>
        <family val="2"/>
      </rPr>
      <t xml:space="preserve"> 70%</t>
    </r>
    <phoneticPr fontId="1" type="noConversion"/>
  </si>
  <si>
    <r>
      <rPr>
        <sz val="12"/>
        <rFont val="微軟正黑體"/>
        <family val="2"/>
        <charset val="136"/>
      </rPr>
      <t>【</t>
    </r>
    <r>
      <rPr>
        <sz val="12"/>
        <rFont val="Calibri"/>
        <family val="2"/>
      </rPr>
      <t>0113</t>
    </r>
    <r>
      <rPr>
        <sz val="12"/>
        <rFont val="微軟正黑體"/>
        <family val="2"/>
        <charset val="136"/>
      </rPr>
      <t>】箍筋間距不得小於</t>
    </r>
    <r>
      <rPr>
        <sz val="12"/>
        <rFont val="Calibri"/>
        <family val="2"/>
      </rPr>
      <t xml:space="preserve"> 10cm</t>
    </r>
    <phoneticPr fontId="1" type="noConversion"/>
  </si>
  <si>
    <r>
      <rPr>
        <sz val="12"/>
        <rFont val="微軟正黑體"/>
        <family val="2"/>
        <charset val="136"/>
      </rPr>
      <t>【</t>
    </r>
    <r>
      <rPr>
        <sz val="12"/>
        <rFont val="Calibri"/>
        <family val="2"/>
      </rPr>
      <t>0114</t>
    </r>
    <r>
      <rPr>
        <sz val="12"/>
        <rFont val="微軟正黑體"/>
        <family val="2"/>
        <charset val="136"/>
      </rPr>
      <t>】箍筋間距不得大於</t>
    </r>
    <r>
      <rPr>
        <sz val="12"/>
        <rFont val="Calibri"/>
        <family val="2"/>
      </rPr>
      <t xml:space="preserve"> 30cm</t>
    </r>
    <phoneticPr fontId="1" type="noConversion"/>
  </si>
  <si>
    <r>
      <rPr>
        <sz val="12"/>
        <color rgb="FF9C0006"/>
        <rFont val="微軟正黑體"/>
        <family val="2"/>
        <charset val="136"/>
      </rPr>
      <t>【</t>
    </r>
    <r>
      <rPr>
        <sz val="12"/>
        <color rgb="FF9C0006"/>
        <rFont val="Calibri"/>
        <family val="2"/>
      </rPr>
      <t>0210</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</si>
  <si>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0207</t>
    </r>
    <r>
      <rPr>
        <sz val="12"/>
        <color rgb="FF9C0006"/>
        <rFont val="微軟正黑體"/>
        <family val="2"/>
        <charset val="136"/>
      </rPr>
      <t>】請確認是否符合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3.7.5_x000D_</t>
    </r>
  </si>
  <si>
    <r>
      <rPr>
        <sz val="12"/>
        <color rgb="FF9C0006"/>
        <rFont val="微軟正黑體"/>
        <family val="2"/>
        <charset val="136"/>
      </rPr>
      <t>【</t>
    </r>
    <r>
      <rPr>
        <sz val="12"/>
        <color rgb="FF9C0006"/>
        <rFont val="Calibri"/>
        <family val="2"/>
      </rPr>
      <t>0221</t>
    </r>
    <r>
      <rPr>
        <sz val="12"/>
        <color rgb="FF9C0006"/>
        <rFont val="微軟正黑體"/>
        <family val="2"/>
        <charset val="136"/>
      </rPr>
      <t>】請確認中央上層筋相對鋼筋量，是否符合中央上層鋼筋量需小於端部最小鋼筋量的</t>
    </r>
    <r>
      <rPr>
        <sz val="12"/>
        <color rgb="FF9C0006"/>
        <rFont val="Calibri"/>
        <family val="2"/>
      </rPr>
      <t xml:space="preserve"> 70%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</si>
  <si>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0208</t>
    </r>
    <r>
      <rPr>
        <sz val="12"/>
        <color rgb="FF9C0006"/>
        <rFont val="微軟正黑體"/>
        <family val="2"/>
        <charset val="136"/>
      </rPr>
      <t>】請確認是否為深梁_x000D_</t>
    </r>
  </si>
  <si>
    <t>B2</t>
    <phoneticPr fontId="1" type="noConversion"/>
  </si>
  <si>
    <t>B00</t>
  </si>
  <si>
    <t>B00</t>
    <phoneticPr fontId="1" type="noConversion"/>
  </si>
  <si>
    <t>2-#8</t>
    <phoneticPr fontId="1" type="noConversion"/>
  </si>
  <si>
    <r>
      <rPr>
        <sz val="12"/>
        <color theme="1"/>
        <rFont val="微軟正黑體"/>
        <family val="2"/>
        <charset val="136"/>
      </rPr>
      <t>【</t>
    </r>
    <r>
      <rPr>
        <sz val="12"/>
        <color theme="1"/>
        <rFont val="Calibri"/>
        <family val="2"/>
      </rPr>
      <t>0201</t>
    </r>
    <r>
      <rPr>
        <sz val="12"/>
        <color theme="1"/>
        <rFont val="微軟正黑體"/>
        <family val="2"/>
        <charset val="136"/>
      </rPr>
      <t>】</t>
    </r>
    <r>
      <rPr>
        <sz val="12"/>
        <color theme="1"/>
        <rFont val="Calibri"/>
        <family val="2"/>
      </rPr>
      <t>~</t>
    </r>
    <r>
      <rPr>
        <sz val="12"/>
        <color theme="1"/>
        <rFont val="微軟正黑體"/>
        <family val="2"/>
        <charset val="136"/>
      </rPr>
      <t>【</t>
    </r>
    <r>
      <rPr>
        <sz val="12"/>
        <color theme="1"/>
        <rFont val="Calibri"/>
        <family val="2"/>
      </rPr>
      <t>0206</t>
    </r>
    <r>
      <rPr>
        <sz val="12"/>
        <color theme="1"/>
        <rFont val="微軟正黑體"/>
        <family val="2"/>
        <charset val="136"/>
      </rPr>
      <t>】</t>
    </r>
  </si>
  <si>
    <r>
      <rPr>
        <sz val="12"/>
        <color rgb="FF9C0006"/>
        <rFont val="微軟正黑體"/>
        <family val="2"/>
        <charset val="136"/>
      </rPr>
      <t>【</t>
    </r>
    <r>
      <rPr>
        <sz val="12"/>
        <color rgb="FF9C0006"/>
        <rFont val="Calibri"/>
        <family val="2"/>
      </rPr>
      <t>0206</t>
    </r>
    <r>
      <rPr>
        <sz val="12"/>
        <color rgb="FF9C0006"/>
        <rFont val="微軟正黑體"/>
        <family val="2"/>
        <charset val="136"/>
      </rPr>
      <t>】請確認右端下層筋下限，是否符合規範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0205</t>
    </r>
    <r>
      <rPr>
        <sz val="12"/>
        <color rgb="FF9C0006"/>
        <rFont val="微軟正黑體"/>
        <family val="2"/>
        <charset val="136"/>
      </rPr>
      <t>】請確認中央下層筋下限，是否符合規範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0204</t>
    </r>
    <r>
      <rPr>
        <sz val="12"/>
        <color rgb="FF9C0006"/>
        <rFont val="微軟正黑體"/>
        <family val="2"/>
        <charset val="136"/>
      </rPr>
      <t>】請確認左端下層筋下限，是否符合規範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</si>
  <si>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theme="1"/>
        <rFont val="微軟正黑體"/>
        <family val="2"/>
        <charset val="136"/>
      </rPr>
      <t>【</t>
    </r>
    <r>
      <rPr>
        <sz val="12"/>
        <color theme="1"/>
        <rFont val="Calibri"/>
        <family val="2"/>
      </rPr>
      <t>0201</t>
    </r>
    <r>
      <rPr>
        <sz val="12"/>
        <color theme="1"/>
        <rFont val="微軟正黑體"/>
        <family val="2"/>
        <charset val="136"/>
      </rPr>
      <t>】</t>
    </r>
    <r>
      <rPr>
        <sz val="12"/>
        <color theme="1"/>
        <rFont val="Calibri"/>
        <family val="2"/>
      </rPr>
      <t>~</t>
    </r>
    <r>
      <rPr>
        <sz val="12"/>
        <color theme="1"/>
        <rFont val="微軟正黑體"/>
        <family val="2"/>
        <charset val="136"/>
      </rPr>
      <t>【</t>
    </r>
    <r>
      <rPr>
        <sz val="12"/>
        <color theme="1"/>
        <rFont val="Calibri"/>
        <family val="2"/>
      </rPr>
      <t>0206</t>
    </r>
    <r>
      <rPr>
        <sz val="12"/>
        <color theme="1"/>
        <rFont val="微軟正黑體"/>
        <family val="2"/>
        <charset val="136"/>
      </rPr>
      <t>】</t>
    </r>
    <phoneticPr fontId="1" type="noConversion"/>
  </si>
  <si>
    <r>
      <rPr>
        <sz val="12"/>
        <color theme="1"/>
        <rFont val="微軟正黑體"/>
        <family val="2"/>
        <charset val="136"/>
      </rPr>
      <t>【</t>
    </r>
    <r>
      <rPr>
        <sz val="12"/>
        <color theme="1"/>
        <rFont val="Calibri"/>
        <family val="2"/>
      </rPr>
      <t>0207</t>
    </r>
    <r>
      <rPr>
        <sz val="12"/>
        <color theme="1"/>
        <rFont val="微軟正黑體"/>
        <family val="2"/>
        <charset val="136"/>
      </rPr>
      <t>】</t>
    </r>
    <phoneticPr fontId="1" type="noConversion"/>
  </si>
  <si>
    <t>B01</t>
  </si>
  <si>
    <t>B01</t>
    <phoneticPr fontId="1" type="noConversion"/>
  </si>
  <si>
    <t>B07</t>
  </si>
  <si>
    <t>B07</t>
    <phoneticPr fontId="1" type="noConversion"/>
  </si>
  <si>
    <r>
      <rPr>
        <sz val="12"/>
        <color theme="1"/>
        <rFont val="微軟正黑體"/>
        <family val="2"/>
        <charset val="136"/>
      </rPr>
      <t>【</t>
    </r>
    <r>
      <rPr>
        <sz val="12"/>
        <color theme="1"/>
        <rFont val="Calibri"/>
        <family val="2"/>
      </rPr>
      <t>0207</t>
    </r>
    <r>
      <rPr>
        <sz val="12"/>
        <color theme="1"/>
        <rFont val="微軟正黑體"/>
        <family val="2"/>
        <charset val="136"/>
      </rPr>
      <t>】</t>
    </r>
  </si>
  <si>
    <r>
      <rPr>
        <sz val="12"/>
        <color theme="1"/>
        <rFont val="微軟正黑體"/>
        <family val="2"/>
        <charset val="136"/>
      </rPr>
      <t>【</t>
    </r>
    <r>
      <rPr>
        <sz val="12"/>
        <color theme="1"/>
        <rFont val="Calibri"/>
        <family val="2"/>
      </rPr>
      <t>0208</t>
    </r>
    <r>
      <rPr>
        <sz val="12"/>
        <color theme="1"/>
        <rFont val="微軟正黑體"/>
        <family val="2"/>
        <charset val="136"/>
      </rPr>
      <t>】</t>
    </r>
  </si>
  <si>
    <r>
      <rPr>
        <sz val="12"/>
        <color theme="1"/>
        <rFont val="微軟正黑體"/>
        <family val="2"/>
        <charset val="136"/>
      </rPr>
      <t>【</t>
    </r>
    <r>
      <rPr>
        <sz val="12"/>
        <color theme="1"/>
        <rFont val="Calibri"/>
        <family val="2"/>
      </rPr>
      <t>0208</t>
    </r>
    <r>
      <rPr>
        <sz val="12"/>
        <color theme="1"/>
        <rFont val="微軟正黑體"/>
        <family val="2"/>
        <charset val="136"/>
      </rPr>
      <t>】</t>
    </r>
    <phoneticPr fontId="1" type="noConversion"/>
  </si>
  <si>
    <r>
      <rPr>
        <sz val="12"/>
        <color theme="1"/>
        <rFont val="微軟正黑體"/>
        <family val="2"/>
        <charset val="136"/>
      </rPr>
      <t>【</t>
    </r>
    <r>
      <rPr>
        <sz val="12"/>
        <color theme="1"/>
        <rFont val="Calibri"/>
        <family val="2"/>
      </rPr>
      <t>0210</t>
    </r>
    <r>
      <rPr>
        <sz val="12"/>
        <color theme="1"/>
        <rFont val="微軟正黑體"/>
        <family val="2"/>
        <charset val="136"/>
      </rPr>
      <t>】</t>
    </r>
  </si>
  <si>
    <r>
      <rPr>
        <sz val="12"/>
        <color theme="1"/>
        <rFont val="微軟正黑體"/>
        <family val="2"/>
        <charset val="136"/>
      </rPr>
      <t>【</t>
    </r>
    <r>
      <rPr>
        <sz val="12"/>
        <color theme="1"/>
        <rFont val="Calibri"/>
        <family val="2"/>
      </rPr>
      <t>0210</t>
    </r>
    <r>
      <rPr>
        <sz val="12"/>
        <color theme="1"/>
        <rFont val="微軟正黑體"/>
        <family val="2"/>
        <charset val="136"/>
      </rPr>
      <t>】</t>
    </r>
    <phoneticPr fontId="1" type="noConversion"/>
  </si>
  <si>
    <r>
      <rPr>
        <sz val="12"/>
        <color theme="1"/>
        <rFont val="微軟正黑體"/>
        <family val="2"/>
        <charset val="136"/>
      </rPr>
      <t>【</t>
    </r>
    <r>
      <rPr>
        <sz val="12"/>
        <color theme="1"/>
        <rFont val="Calibri"/>
        <family val="2"/>
      </rPr>
      <t>0209</t>
    </r>
    <r>
      <rPr>
        <sz val="12"/>
        <color theme="1"/>
        <rFont val="微軟正黑體"/>
        <family val="2"/>
        <charset val="136"/>
      </rPr>
      <t>】</t>
    </r>
  </si>
  <si>
    <r>
      <rPr>
        <sz val="12"/>
        <color theme="1"/>
        <rFont val="微軟正黑體"/>
        <family val="2"/>
        <charset val="136"/>
      </rPr>
      <t>【</t>
    </r>
    <r>
      <rPr>
        <sz val="12"/>
        <color theme="1"/>
        <rFont val="Calibri"/>
        <family val="2"/>
      </rPr>
      <t>0209</t>
    </r>
    <r>
      <rPr>
        <sz val="12"/>
        <color theme="1"/>
        <rFont val="微軟正黑體"/>
        <family val="2"/>
        <charset val="136"/>
      </rPr>
      <t>】</t>
    </r>
    <phoneticPr fontId="1" type="noConversion"/>
  </si>
  <si>
    <t>B09</t>
  </si>
  <si>
    <t>B09</t>
    <phoneticPr fontId="1" type="noConversion"/>
  </si>
  <si>
    <t>B08</t>
  </si>
  <si>
    <t>B08</t>
    <phoneticPr fontId="1" type="noConversion"/>
  </si>
  <si>
    <t>2#5@10</t>
  </si>
  <si>
    <t>2#5@10</t>
    <phoneticPr fontId="1" type="noConversion"/>
  </si>
  <si>
    <r>
      <rPr>
        <sz val="12"/>
        <color rgb="FF9C0006"/>
        <rFont val="微軟正黑體"/>
        <family val="2"/>
        <charset val="136"/>
      </rPr>
      <t>【</t>
    </r>
    <r>
      <rPr>
        <sz val="12"/>
        <color rgb="FF9C0006"/>
        <rFont val="Calibri"/>
        <family val="2"/>
      </rPr>
      <t>0209</t>
    </r>
    <r>
      <rPr>
        <sz val="12"/>
        <color rgb="FF9C0006"/>
        <rFont val="微軟正黑體"/>
        <family val="2"/>
        <charset val="136"/>
      </rPr>
      <t>】請確認剪力鋼筋量上限，是否符合規範</t>
    </r>
    <r>
      <rPr>
        <sz val="12"/>
        <color rgb="FF9C0006"/>
        <rFont val="Calibri"/>
        <family val="2"/>
      </rPr>
      <t xml:space="preserve"> 4.6.7.9 </t>
    </r>
    <r>
      <rPr>
        <sz val="12"/>
        <color rgb="FF9C0006"/>
        <rFont val="微軟正黑體"/>
        <family val="2"/>
        <charset val="136"/>
      </rPr>
      <t>規定_x000D_</t>
    </r>
  </si>
  <si>
    <t>B10</t>
  </si>
  <si>
    <t>B10</t>
    <phoneticPr fontId="1" type="noConversion"/>
  </si>
  <si>
    <t>10-#8</t>
    <phoneticPr fontId="1" type="noConversion"/>
  </si>
  <si>
    <t>11-#8</t>
  </si>
  <si>
    <t>11-#8</t>
    <phoneticPr fontId="1" type="noConversion"/>
  </si>
  <si>
    <t>1-#8</t>
    <phoneticPr fontId="1" type="noConversion"/>
  </si>
  <si>
    <r>
      <rPr>
        <sz val="12"/>
        <color rgb="FF9C0006"/>
        <rFont val="微軟正黑體"/>
        <family val="2"/>
        <charset val="136"/>
      </rPr>
      <t>【</t>
    </r>
    <r>
      <rPr>
        <sz val="12"/>
        <color rgb="FF9C0006"/>
        <rFont val="Calibri"/>
        <family val="2"/>
      </rPr>
      <t>0211</t>
    </r>
    <r>
      <rPr>
        <sz val="12"/>
        <color rgb="FF9C0006"/>
        <rFont val="微軟正黑體"/>
        <family val="2"/>
        <charset val="136"/>
      </rPr>
      <t>】請確認是否符合</t>
    </r>
    <r>
      <rPr>
        <sz val="12"/>
        <color rgb="FF9C0006"/>
        <rFont val="Calibri"/>
        <family val="2"/>
      </rPr>
      <t xml:space="preserve"> </t>
    </r>
    <r>
      <rPr>
        <sz val="12"/>
        <color rgb="FF9C0006"/>
        <rFont val="微軟正黑體"/>
        <family val="2"/>
        <charset val="136"/>
      </rPr>
      <t>單排支數下限</t>
    </r>
    <r>
      <rPr>
        <sz val="12"/>
        <color rgb="FF9C0006"/>
        <rFont val="Calibri"/>
        <family val="2"/>
      </rPr>
      <t xml:space="preserve"> </t>
    </r>
    <r>
      <rPr>
        <sz val="12"/>
        <color rgb="FF9C0006"/>
        <rFont val="微軟正黑體"/>
        <family val="2"/>
        <charset val="136"/>
      </rPr>
      <t>規定_x000D_</t>
    </r>
  </si>
  <si>
    <t>B11</t>
  </si>
  <si>
    <t>B11</t>
    <phoneticPr fontId="1" type="noConversion"/>
  </si>
  <si>
    <r>
      <rPr>
        <sz val="12"/>
        <color theme="1"/>
        <rFont val="微軟正黑體"/>
        <family val="2"/>
        <charset val="136"/>
      </rPr>
      <t>【</t>
    </r>
    <r>
      <rPr>
        <sz val="12"/>
        <color theme="1"/>
        <rFont val="Calibri"/>
        <family val="2"/>
      </rPr>
      <t>0211</t>
    </r>
    <r>
      <rPr>
        <sz val="12"/>
        <color theme="1"/>
        <rFont val="微軟正黑體"/>
        <family val="2"/>
        <charset val="136"/>
      </rPr>
      <t>】</t>
    </r>
  </si>
  <si>
    <r>
      <rPr>
        <sz val="12"/>
        <color theme="1"/>
        <rFont val="微軟正黑體"/>
        <family val="2"/>
        <charset val="136"/>
      </rPr>
      <t>【</t>
    </r>
    <r>
      <rPr>
        <sz val="12"/>
        <color theme="1"/>
        <rFont val="Calibri"/>
        <family val="2"/>
      </rPr>
      <t>0211</t>
    </r>
    <r>
      <rPr>
        <sz val="12"/>
        <color theme="1"/>
        <rFont val="微軟正黑體"/>
        <family val="2"/>
        <charset val="136"/>
      </rPr>
      <t>】</t>
    </r>
    <phoneticPr fontId="1" type="noConversion"/>
  </si>
  <si>
    <r>
      <rPr>
        <sz val="12"/>
        <color theme="1"/>
        <rFont val="微軟正黑體"/>
        <family val="2"/>
        <charset val="136"/>
      </rPr>
      <t>【</t>
    </r>
    <r>
      <rPr>
        <sz val="12"/>
        <color theme="1"/>
        <rFont val="Calibri"/>
        <family val="2"/>
      </rPr>
      <t>0212</t>
    </r>
    <r>
      <rPr>
        <sz val="12"/>
        <color theme="1"/>
        <rFont val="微軟正黑體"/>
        <family val="2"/>
        <charset val="136"/>
      </rPr>
      <t>】</t>
    </r>
    <r>
      <rPr>
        <sz val="12"/>
        <color theme="1"/>
        <rFont val="Calibri"/>
        <family val="2"/>
      </rPr>
      <t>~</t>
    </r>
    <r>
      <rPr>
        <sz val="12"/>
        <color theme="1"/>
        <rFont val="微軟正黑體"/>
        <family val="2"/>
        <charset val="136"/>
      </rPr>
      <t>【</t>
    </r>
    <r>
      <rPr>
        <sz val="12"/>
        <color theme="1"/>
        <rFont val="Calibri"/>
        <family val="2"/>
      </rPr>
      <t>0217</t>
    </r>
    <r>
      <rPr>
        <sz val="12"/>
        <color theme="1"/>
        <rFont val="微軟正黑體"/>
        <family val="2"/>
        <charset val="136"/>
      </rPr>
      <t>】</t>
    </r>
  </si>
  <si>
    <r>
      <rPr>
        <sz val="12"/>
        <color theme="1"/>
        <rFont val="微軟正黑體"/>
        <family val="2"/>
        <charset val="136"/>
      </rPr>
      <t>【</t>
    </r>
    <r>
      <rPr>
        <sz val="12"/>
        <color theme="1"/>
        <rFont val="Calibri"/>
        <family val="2"/>
      </rPr>
      <t>0212</t>
    </r>
    <r>
      <rPr>
        <sz val="12"/>
        <color theme="1"/>
        <rFont val="微軟正黑體"/>
        <family val="2"/>
        <charset val="136"/>
      </rPr>
      <t>】</t>
    </r>
    <r>
      <rPr>
        <sz val="12"/>
        <color theme="1"/>
        <rFont val="Calibri"/>
        <family val="2"/>
      </rPr>
      <t>~</t>
    </r>
    <r>
      <rPr>
        <sz val="12"/>
        <color theme="1"/>
        <rFont val="微軟正黑體"/>
        <family val="2"/>
        <charset val="136"/>
      </rPr>
      <t>【</t>
    </r>
    <r>
      <rPr>
        <sz val="12"/>
        <color theme="1"/>
        <rFont val="Calibri"/>
        <family val="2"/>
      </rPr>
      <t>0217</t>
    </r>
    <r>
      <rPr>
        <sz val="12"/>
        <color theme="1"/>
        <rFont val="微軟正黑體"/>
        <family val="2"/>
        <charset val="136"/>
      </rPr>
      <t>】</t>
    </r>
    <phoneticPr fontId="1" type="noConversion"/>
  </si>
  <si>
    <r>
      <rPr>
        <sz val="12"/>
        <color theme="1"/>
        <rFont val="微軟正黑體"/>
        <family val="2"/>
        <charset val="136"/>
      </rPr>
      <t>【</t>
    </r>
    <r>
      <rPr>
        <sz val="12"/>
        <color theme="1"/>
        <rFont val="Calibri"/>
        <family val="2"/>
      </rPr>
      <t>0212</t>
    </r>
    <r>
      <rPr>
        <sz val="12"/>
        <color theme="1"/>
        <rFont val="微軟正黑體"/>
        <family val="2"/>
        <charset val="136"/>
      </rPr>
      <t>】</t>
    </r>
    <r>
      <rPr>
        <sz val="12"/>
        <color theme="1"/>
        <rFont val="Calibri"/>
        <family val="2"/>
      </rPr>
      <t>~</t>
    </r>
    <r>
      <rPr>
        <sz val="12"/>
        <color theme="1"/>
        <rFont val="微軟正黑體"/>
        <family val="2"/>
        <charset val="136"/>
      </rPr>
      <t>【</t>
    </r>
    <r>
      <rPr>
        <sz val="12"/>
        <color theme="1"/>
        <rFont val="Calibri"/>
        <family val="2"/>
      </rPr>
      <t>0217</t>
    </r>
    <r>
      <rPr>
        <sz val="12"/>
        <color theme="1"/>
        <rFont val="微軟正黑體"/>
        <family val="2"/>
        <charset val="136"/>
      </rPr>
      <t>】</t>
    </r>
    <r>
      <rPr>
        <sz val="12"/>
        <color theme="1"/>
        <rFont val="Calibri"/>
        <family val="2"/>
      </rPr>
      <t>&lt;= 1F</t>
    </r>
  </si>
  <si>
    <r>
      <rPr>
        <sz val="12"/>
        <color theme="1"/>
        <rFont val="微軟正黑體"/>
        <family val="2"/>
        <charset val="136"/>
      </rPr>
      <t>【</t>
    </r>
    <r>
      <rPr>
        <sz val="12"/>
        <color theme="1"/>
        <rFont val="Calibri"/>
        <family val="2"/>
      </rPr>
      <t>0212</t>
    </r>
    <r>
      <rPr>
        <sz val="12"/>
        <color theme="1"/>
        <rFont val="微軟正黑體"/>
        <family val="2"/>
        <charset val="136"/>
      </rPr>
      <t>】</t>
    </r>
    <r>
      <rPr>
        <sz val="12"/>
        <color theme="1"/>
        <rFont val="Calibri"/>
        <family val="2"/>
      </rPr>
      <t>~</t>
    </r>
    <r>
      <rPr>
        <sz val="12"/>
        <color theme="1"/>
        <rFont val="微軟正黑體"/>
        <family val="2"/>
        <charset val="136"/>
      </rPr>
      <t>【</t>
    </r>
    <r>
      <rPr>
        <sz val="12"/>
        <color theme="1"/>
        <rFont val="Calibri"/>
        <family val="2"/>
      </rPr>
      <t>0217</t>
    </r>
    <r>
      <rPr>
        <sz val="12"/>
        <color theme="1"/>
        <rFont val="微軟正黑體"/>
        <family val="2"/>
        <charset val="136"/>
      </rPr>
      <t>】</t>
    </r>
    <r>
      <rPr>
        <sz val="12"/>
        <color theme="1"/>
        <rFont val="Calibri"/>
        <family val="2"/>
      </rPr>
      <t>&lt;= 1F</t>
    </r>
    <phoneticPr fontId="1" type="noConversion"/>
  </si>
  <si>
    <t>RF</t>
    <phoneticPr fontId="1" type="noConversion"/>
  </si>
  <si>
    <r>
      <rPr>
        <sz val="12"/>
        <color rgb="FF9C0006"/>
        <rFont val="微軟正黑體"/>
        <family val="2"/>
        <charset val="136"/>
      </rPr>
      <t>【</t>
    </r>
    <r>
      <rPr>
        <sz val="12"/>
        <color rgb="FF9C0006"/>
        <rFont val="Calibri"/>
        <family val="2"/>
      </rPr>
      <t>0221</t>
    </r>
    <r>
      <rPr>
        <sz val="12"/>
        <color rgb="FF9C0006"/>
        <rFont val="微軟正黑體"/>
        <family val="2"/>
        <charset val="136"/>
      </rPr>
      <t>】請確認中央上層筋相對鋼筋量，是否符合中央上層鋼筋量需小於端部最小鋼筋量的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0217</t>
    </r>
    <r>
      <rPr>
        <sz val="12"/>
        <color rgb="FF9C0006"/>
        <rFont val="微軟正黑體"/>
        <family val="2"/>
        <charset val="136"/>
      </rPr>
      <t>】請確認右端下層筋上限，是否符合規範</t>
    </r>
    <r>
      <rPr>
        <sz val="12"/>
        <color rgb="FF9C0006"/>
        <rFont val="Calibri"/>
        <family val="2"/>
      </rPr>
      <t xml:space="preserve"> 15.4.2.1 </t>
    </r>
    <r>
      <rPr>
        <sz val="12"/>
        <color rgb="FF9C0006"/>
        <rFont val="微軟正黑體"/>
        <family val="2"/>
        <charset val="136"/>
      </rPr>
      <t>規定_x000D_
【</t>
    </r>
    <r>
      <rPr>
        <sz val="12"/>
        <color rgb="FF9C0006"/>
        <rFont val="Calibri"/>
        <family val="2"/>
      </rPr>
      <t>0216</t>
    </r>
    <r>
      <rPr>
        <sz val="12"/>
        <color rgb="FF9C0006"/>
        <rFont val="微軟正黑體"/>
        <family val="2"/>
        <charset val="136"/>
      </rPr>
      <t>】請確認中央下層筋上限，是否符合規範</t>
    </r>
    <r>
      <rPr>
        <sz val="12"/>
        <color rgb="FF9C0006"/>
        <rFont val="Calibri"/>
        <family val="2"/>
      </rPr>
      <t xml:space="preserve"> 15.4.2.1 </t>
    </r>
    <r>
      <rPr>
        <sz val="12"/>
        <color rgb="FF9C0006"/>
        <rFont val="微軟正黑體"/>
        <family val="2"/>
        <charset val="136"/>
      </rPr>
      <t>規定_x000D_
【</t>
    </r>
    <r>
      <rPr>
        <sz val="12"/>
        <color rgb="FF9C0006"/>
        <rFont val="Calibri"/>
        <family val="2"/>
      </rPr>
      <t>0215</t>
    </r>
    <r>
      <rPr>
        <sz val="12"/>
        <color rgb="FF9C0006"/>
        <rFont val="微軟正黑體"/>
        <family val="2"/>
        <charset val="136"/>
      </rPr>
      <t>】請確認左端下層筋上限，是否符合規範</t>
    </r>
    <r>
      <rPr>
        <sz val="12"/>
        <color rgb="FF9C0006"/>
        <rFont val="Calibri"/>
        <family val="2"/>
      </rPr>
      <t xml:space="preserve"> 15.4.2.1 </t>
    </r>
    <r>
      <rPr>
        <sz val="12"/>
        <color rgb="FF9C0006"/>
        <rFont val="微軟正黑體"/>
        <family val="2"/>
        <charset val="136"/>
      </rPr>
      <t>規定_x000D_
【</t>
    </r>
    <r>
      <rPr>
        <sz val="12"/>
        <color rgb="FF9C0006"/>
        <rFont val="Calibri"/>
        <family val="2"/>
      </rPr>
      <t>0214</t>
    </r>
    <r>
      <rPr>
        <sz val="12"/>
        <color rgb="FF9C0006"/>
        <rFont val="微軟正黑體"/>
        <family val="2"/>
        <charset val="136"/>
      </rPr>
      <t>】請確認右端上層筋上限，是否符合規範</t>
    </r>
    <r>
      <rPr>
        <sz val="12"/>
        <color rgb="FF9C0006"/>
        <rFont val="Calibri"/>
        <family val="2"/>
      </rPr>
      <t xml:space="preserve"> 15.4.2.1 </t>
    </r>
    <r>
      <rPr>
        <sz val="12"/>
        <color rgb="FF9C0006"/>
        <rFont val="微軟正黑體"/>
        <family val="2"/>
        <charset val="136"/>
      </rPr>
      <t>規定_x000D_
【</t>
    </r>
    <r>
      <rPr>
        <sz val="12"/>
        <color rgb="FF9C0006"/>
        <rFont val="Calibri"/>
        <family val="2"/>
      </rPr>
      <t>0213</t>
    </r>
    <r>
      <rPr>
        <sz val="12"/>
        <color rgb="FF9C0006"/>
        <rFont val="微軟正黑體"/>
        <family val="2"/>
        <charset val="136"/>
      </rPr>
      <t>】請確認中央上層筋上限，是否符合規範</t>
    </r>
    <r>
      <rPr>
        <sz val="12"/>
        <color rgb="FF9C0006"/>
        <rFont val="Calibri"/>
        <family val="2"/>
      </rPr>
      <t xml:space="preserve"> 15.4.2.1 </t>
    </r>
    <r>
      <rPr>
        <sz val="12"/>
        <color rgb="FF9C0006"/>
        <rFont val="微軟正黑體"/>
        <family val="2"/>
        <charset val="136"/>
      </rPr>
      <t>規定_x000D_
【</t>
    </r>
    <r>
      <rPr>
        <sz val="12"/>
        <color rgb="FF9C0006"/>
        <rFont val="Calibri"/>
        <family val="2"/>
      </rPr>
      <t>0212</t>
    </r>
    <r>
      <rPr>
        <sz val="12"/>
        <color rgb="FF9C0006"/>
        <rFont val="微軟正黑體"/>
        <family val="2"/>
        <charset val="136"/>
      </rPr>
      <t>】請確認左端上層筋上限，是否符合規範</t>
    </r>
    <r>
      <rPr>
        <sz val="12"/>
        <color rgb="FF9C0006"/>
        <rFont val="Calibri"/>
        <family val="2"/>
      </rPr>
      <t xml:space="preserve"> 15.4.2.1 </t>
    </r>
    <r>
      <rPr>
        <sz val="12"/>
        <color rgb="FF9C0006"/>
        <rFont val="微軟正黑體"/>
        <family val="2"/>
        <charset val="136"/>
      </rPr>
      <t>規定_x000D_</t>
    </r>
  </si>
  <si>
    <t>B12</t>
  </si>
  <si>
    <t>B12</t>
    <phoneticPr fontId="1" type="noConversion"/>
  </si>
  <si>
    <r>
      <rPr>
        <sz val="12"/>
        <color theme="1"/>
        <rFont val="微軟正黑體"/>
        <family val="2"/>
        <charset val="136"/>
      </rPr>
      <t>【</t>
    </r>
    <r>
      <rPr>
        <sz val="12"/>
        <color theme="1"/>
        <rFont val="Calibri"/>
        <family val="2"/>
      </rPr>
      <t>0218</t>
    </r>
    <r>
      <rPr>
        <sz val="12"/>
        <color theme="1"/>
        <rFont val="微軟正黑體"/>
        <family val="2"/>
        <charset val="136"/>
      </rPr>
      <t>】</t>
    </r>
  </si>
  <si>
    <r>
      <rPr>
        <sz val="12"/>
        <color theme="1"/>
        <rFont val="微軟正黑體"/>
        <family val="2"/>
        <charset val="136"/>
      </rPr>
      <t>【</t>
    </r>
    <r>
      <rPr>
        <sz val="12"/>
        <color theme="1"/>
        <rFont val="Calibri"/>
        <family val="2"/>
      </rPr>
      <t>0218</t>
    </r>
    <r>
      <rPr>
        <sz val="12"/>
        <color theme="1"/>
        <rFont val="微軟正黑體"/>
        <family val="2"/>
        <charset val="136"/>
      </rPr>
      <t>】</t>
    </r>
    <phoneticPr fontId="1" type="noConversion"/>
  </si>
  <si>
    <t>B18</t>
  </si>
  <si>
    <t>B18</t>
    <phoneticPr fontId="1" type="noConversion"/>
  </si>
  <si>
    <t>4-#8</t>
    <phoneticPr fontId="1" type="noConversion"/>
  </si>
  <si>
    <t>7-#8</t>
    <phoneticPr fontId="1" type="noConversion"/>
  </si>
  <si>
    <r>
      <rPr>
        <sz val="12"/>
        <color rgb="FF9C0006"/>
        <rFont val="微軟正黑體"/>
        <family val="2"/>
        <charset val="136"/>
      </rPr>
      <t>【</t>
    </r>
    <r>
      <rPr>
        <sz val="12"/>
        <color rgb="FF9C0006"/>
        <rFont val="Calibri"/>
        <family val="2"/>
      </rPr>
      <t>0218</t>
    </r>
    <r>
      <rPr>
        <sz val="12"/>
        <color rgb="FF9C0006"/>
        <rFont val="微軟正黑體"/>
        <family val="2"/>
        <charset val="136"/>
      </rPr>
      <t>】請確認耐震最小量鋼筋，是否符合規範</t>
    </r>
    <r>
      <rPr>
        <sz val="12"/>
        <color rgb="FF9C0006"/>
        <rFont val="Calibri"/>
        <family val="2"/>
      </rPr>
      <t xml:space="preserve"> 15.4.2.2 </t>
    </r>
    <r>
      <rPr>
        <sz val="12"/>
        <color rgb="FF9C0006"/>
        <rFont val="微軟正黑體"/>
        <family val="2"/>
        <charset val="136"/>
      </rPr>
      <t>規定_x000D_</t>
    </r>
  </si>
  <si>
    <r>
      <rPr>
        <sz val="12"/>
        <color theme="1"/>
        <rFont val="微軟正黑體"/>
        <family val="2"/>
        <charset val="136"/>
      </rPr>
      <t>【</t>
    </r>
    <r>
      <rPr>
        <sz val="12"/>
        <color theme="1"/>
        <rFont val="Calibri"/>
        <family val="2"/>
      </rPr>
      <t>0218</t>
    </r>
    <r>
      <rPr>
        <sz val="12"/>
        <color theme="1"/>
        <rFont val="微軟正黑體"/>
        <family val="2"/>
        <charset val="136"/>
      </rPr>
      <t>】</t>
    </r>
    <r>
      <rPr>
        <sz val="12"/>
        <color theme="1"/>
        <rFont val="Calibri"/>
        <family val="2"/>
      </rPr>
      <t>&lt;= 1F</t>
    </r>
  </si>
  <si>
    <t>2#4@9</t>
    <phoneticPr fontId="1" type="noConversion"/>
  </si>
  <si>
    <r>
      <rPr>
        <sz val="12"/>
        <color theme="1"/>
        <rFont val="微軟正黑體"/>
        <family val="2"/>
        <charset val="136"/>
      </rPr>
      <t>【</t>
    </r>
    <r>
      <rPr>
        <sz val="12"/>
        <color theme="1"/>
        <rFont val="Calibri"/>
        <family val="2"/>
      </rPr>
      <t>0219</t>
    </r>
    <r>
      <rPr>
        <sz val="12"/>
        <color theme="1"/>
        <rFont val="微軟正黑體"/>
        <family val="2"/>
        <charset val="136"/>
      </rPr>
      <t>】</t>
    </r>
  </si>
  <si>
    <r>
      <rPr>
        <sz val="12"/>
        <color theme="1"/>
        <rFont val="微軟正黑體"/>
        <family val="2"/>
        <charset val="136"/>
      </rPr>
      <t>【</t>
    </r>
    <r>
      <rPr>
        <sz val="12"/>
        <color theme="1"/>
        <rFont val="Calibri"/>
        <family val="2"/>
      </rPr>
      <t>0219</t>
    </r>
    <r>
      <rPr>
        <sz val="12"/>
        <color theme="1"/>
        <rFont val="微軟正黑體"/>
        <family val="2"/>
        <charset val="136"/>
      </rPr>
      <t>】</t>
    </r>
    <phoneticPr fontId="1" type="noConversion"/>
  </si>
  <si>
    <r>
      <rPr>
        <sz val="12"/>
        <color rgb="FF9C0006"/>
        <rFont val="微軟正黑體"/>
        <family val="2"/>
        <charset val="136"/>
      </rPr>
      <t>【</t>
    </r>
    <r>
      <rPr>
        <sz val="12"/>
        <color rgb="FF9C0006"/>
        <rFont val="Calibri"/>
        <family val="2"/>
      </rPr>
      <t>0219</t>
    </r>
    <r>
      <rPr>
        <sz val="12"/>
        <color rgb="FF9C0006"/>
        <rFont val="微軟正黑體"/>
        <family val="2"/>
        <charset val="136"/>
      </rPr>
      <t>】請確認箍筋間距下限，是否符合</t>
    </r>
    <r>
      <rPr>
        <sz val="12"/>
        <color rgb="FF9C0006"/>
        <rFont val="Calibri"/>
        <family val="2"/>
      </rPr>
      <t xml:space="preserve"> 10cm </t>
    </r>
    <r>
      <rPr>
        <sz val="12"/>
        <color rgb="FF9C0006"/>
        <rFont val="微軟正黑體"/>
        <family val="2"/>
        <charset val="136"/>
      </rPr>
      <t>以上規定_x000D_</t>
    </r>
  </si>
  <si>
    <r>
      <rPr>
        <sz val="12"/>
        <color theme="1"/>
        <rFont val="微軟正黑體"/>
        <family val="2"/>
        <charset val="136"/>
      </rPr>
      <t>【</t>
    </r>
    <r>
      <rPr>
        <sz val="12"/>
        <color theme="1"/>
        <rFont val="Calibri"/>
        <family val="2"/>
      </rPr>
      <t>0220</t>
    </r>
    <r>
      <rPr>
        <sz val="12"/>
        <color theme="1"/>
        <rFont val="微軟正黑體"/>
        <family val="2"/>
        <charset val="136"/>
      </rPr>
      <t>】</t>
    </r>
  </si>
  <si>
    <r>
      <rPr>
        <sz val="12"/>
        <color theme="1"/>
        <rFont val="微軟正黑體"/>
        <family val="2"/>
        <charset val="136"/>
      </rPr>
      <t>【</t>
    </r>
    <r>
      <rPr>
        <sz val="12"/>
        <color theme="1"/>
        <rFont val="Calibri"/>
        <family val="2"/>
      </rPr>
      <t>0220</t>
    </r>
    <r>
      <rPr>
        <sz val="12"/>
        <color theme="1"/>
        <rFont val="微軟正黑體"/>
        <family val="2"/>
        <charset val="136"/>
      </rPr>
      <t>】</t>
    </r>
    <phoneticPr fontId="1" type="noConversion"/>
  </si>
  <si>
    <t>2#4@35</t>
    <phoneticPr fontId="1" type="noConversion"/>
  </si>
  <si>
    <r>
      <rPr>
        <sz val="12"/>
        <color rgb="FF9C0006"/>
        <rFont val="微軟正黑體"/>
        <family val="2"/>
        <charset val="136"/>
      </rPr>
      <t>【</t>
    </r>
    <r>
      <rPr>
        <sz val="12"/>
        <color rgb="FF9C0006"/>
        <rFont val="Calibri"/>
        <family val="2"/>
      </rPr>
      <t>0220</t>
    </r>
    <r>
      <rPr>
        <sz val="12"/>
        <color rgb="FF9C0006"/>
        <rFont val="微軟正黑體"/>
        <family val="2"/>
        <charset val="136"/>
      </rPr>
      <t>】請確認箍筋間距上限，是否符合</t>
    </r>
    <r>
      <rPr>
        <sz val="12"/>
        <color rgb="FF9C0006"/>
        <rFont val="Calibri"/>
        <family val="2"/>
      </rPr>
      <t xml:space="preserve"> 30cm </t>
    </r>
    <r>
      <rPr>
        <sz val="12"/>
        <color rgb="FF9C0006"/>
        <rFont val="微軟正黑體"/>
        <family val="2"/>
        <charset val="136"/>
      </rPr>
      <t>以下規定_x000D_</t>
    </r>
  </si>
  <si>
    <t>B19</t>
  </si>
  <si>
    <t>B19</t>
    <phoneticPr fontId="1" type="noConversion"/>
  </si>
  <si>
    <t>B20</t>
  </si>
  <si>
    <t>B20</t>
    <phoneticPr fontId="1" type="noConversion"/>
  </si>
  <si>
    <r>
      <rPr>
        <sz val="12"/>
        <color theme="1"/>
        <rFont val="微軟正黑體"/>
        <family val="2"/>
        <charset val="136"/>
      </rPr>
      <t>全通過</t>
    </r>
    <phoneticPr fontId="1" type="noConversion"/>
  </si>
  <si>
    <r>
      <rPr>
        <sz val="12"/>
        <color theme="1"/>
        <rFont val="微軟正黑體"/>
        <family val="2"/>
        <charset val="136"/>
      </rPr>
      <t>【</t>
    </r>
    <r>
      <rPr>
        <sz val="12"/>
        <color theme="1"/>
        <rFont val="Calibri"/>
        <family val="2"/>
      </rPr>
      <t>0218</t>
    </r>
    <r>
      <rPr>
        <sz val="12"/>
        <color theme="1"/>
        <rFont val="微軟正黑體"/>
        <family val="2"/>
        <charset val="136"/>
      </rPr>
      <t>】</t>
    </r>
    <r>
      <rPr>
        <sz val="12"/>
        <color theme="1"/>
        <rFont val="Calibri"/>
        <family val="2"/>
      </rPr>
      <t>&lt;= 1F</t>
    </r>
    <phoneticPr fontId="1" type="noConversion"/>
  </si>
  <si>
    <r>
      <rPr>
        <sz val="12"/>
        <color theme="1"/>
        <rFont val="微軟正黑體"/>
        <family val="2"/>
        <charset val="136"/>
      </rPr>
      <t>【</t>
    </r>
    <r>
      <rPr>
        <sz val="12"/>
        <color theme="1"/>
        <rFont val="Calibri"/>
        <family val="2"/>
      </rPr>
      <t>0221</t>
    </r>
    <r>
      <rPr>
        <sz val="12"/>
        <color theme="1"/>
        <rFont val="微軟正黑體"/>
        <family val="2"/>
        <charset val="136"/>
      </rPr>
      <t>】</t>
    </r>
  </si>
  <si>
    <r>
      <rPr>
        <sz val="12"/>
        <color theme="1"/>
        <rFont val="微軟正黑體"/>
        <family val="2"/>
        <charset val="136"/>
      </rPr>
      <t>【</t>
    </r>
    <r>
      <rPr>
        <sz val="12"/>
        <color theme="1"/>
        <rFont val="Calibri"/>
        <family val="2"/>
      </rPr>
      <t>0221</t>
    </r>
    <r>
      <rPr>
        <sz val="12"/>
        <color theme="1"/>
        <rFont val="微軟正黑體"/>
        <family val="2"/>
        <charset val="136"/>
      </rPr>
      <t>】</t>
    </r>
    <phoneticPr fontId="1" type="noConversion"/>
  </si>
  <si>
    <t>B21</t>
  </si>
  <si>
    <t>B21</t>
    <phoneticPr fontId="1" type="noConversion"/>
  </si>
  <si>
    <r>
      <rPr>
        <sz val="12"/>
        <color rgb="FF9C0006"/>
        <rFont val="微軟正黑體"/>
        <family val="2"/>
        <charset val="136"/>
      </rPr>
      <t>【</t>
    </r>
    <r>
      <rPr>
        <sz val="12"/>
        <color rgb="FF9C0006"/>
        <rFont val="Calibri"/>
        <family val="2"/>
      </rPr>
      <t>0111</t>
    </r>
    <r>
      <rPr>
        <sz val="12"/>
        <color rgb="FF9C0006"/>
        <rFont val="微軟正黑體"/>
        <family val="2"/>
        <charset val="136"/>
      </rPr>
      <t>】左端上層鋼筋量不得大於中央鋼筋量的</t>
    </r>
    <r>
      <rPr>
        <sz val="12"/>
        <color rgb="FF9C0006"/>
        <rFont val="Calibri"/>
        <family val="2"/>
      </rPr>
      <t xml:space="preserve"> 70% (42.756 cm^2)_x000D_</t>
    </r>
  </si>
  <si>
    <r>
      <rPr>
        <sz val="12"/>
        <color rgb="FF9C0006"/>
        <rFont val="微軟正黑體"/>
        <family val="2"/>
        <charset val="136"/>
      </rPr>
      <t>【</t>
    </r>
    <r>
      <rPr>
        <sz val="12"/>
        <color rgb="FF9C0006"/>
        <rFont val="Calibri"/>
        <family val="2"/>
      </rPr>
      <t>0112</t>
    </r>
    <r>
      <rPr>
        <sz val="12"/>
        <color rgb="FF9C0006"/>
        <rFont val="微軟正黑體"/>
        <family val="2"/>
        <charset val="136"/>
      </rPr>
      <t>】右端上層鋼筋量不得大於中央鋼筋量的</t>
    </r>
    <r>
      <rPr>
        <sz val="12"/>
        <color rgb="FF9C0006"/>
        <rFont val="Calibri"/>
        <family val="2"/>
      </rPr>
      <t xml:space="preserve"> 70% (42.756 cm^2)_x000D_</t>
    </r>
  </si>
  <si>
    <r>
      <rPr>
        <sz val="12"/>
        <color rgb="FF9C0006"/>
        <rFont val="微軟正黑體"/>
        <family val="2"/>
        <charset val="136"/>
      </rPr>
      <t>【</t>
    </r>
    <r>
      <rPr>
        <sz val="12"/>
        <color rgb="FF9C0006"/>
        <rFont val="Calibri"/>
        <family val="2"/>
      </rPr>
      <t>0113</t>
    </r>
    <r>
      <rPr>
        <sz val="12"/>
        <color rgb="FF9C0006"/>
        <rFont val="微軟正黑體"/>
        <family val="2"/>
        <charset val="136"/>
      </rPr>
      <t>】箍筋間距不得小於</t>
    </r>
    <r>
      <rPr>
        <sz val="12"/>
        <color rgb="FF9C0006"/>
        <rFont val="Calibri"/>
        <family val="2"/>
      </rPr>
      <t xml:space="preserve"> 10cm_x000D_</t>
    </r>
  </si>
  <si>
    <r>
      <rPr>
        <sz val="12"/>
        <color rgb="FF9C0006"/>
        <rFont val="微軟正黑體"/>
        <family val="2"/>
        <charset val="136"/>
      </rPr>
      <t>【</t>
    </r>
    <r>
      <rPr>
        <sz val="12"/>
        <color rgb="FF9C0006"/>
        <rFont val="Calibri"/>
        <family val="2"/>
      </rPr>
      <t>0114</t>
    </r>
    <r>
      <rPr>
        <sz val="12"/>
        <color rgb="FF9C0006"/>
        <rFont val="微軟正黑體"/>
        <family val="2"/>
        <charset val="136"/>
      </rPr>
      <t>】箍筋間距不得大於</t>
    </r>
    <r>
      <rPr>
        <sz val="12"/>
        <color rgb="FF9C0006"/>
        <rFont val="Calibri"/>
        <family val="2"/>
      </rPr>
      <t xml:space="preserve"> 30cm_x000D_</t>
    </r>
  </si>
  <si>
    <r>
      <rPr>
        <sz val="12"/>
        <color rgb="FF9C0006"/>
        <rFont val="微軟正黑體"/>
        <family val="2"/>
        <charset val="136"/>
      </rPr>
      <t>【</t>
    </r>
    <r>
      <rPr>
        <sz val="12"/>
        <color rgb="FF9C0006"/>
        <rFont val="Calibri"/>
        <family val="2"/>
      </rPr>
      <t>0312</t>
    </r>
    <r>
      <rPr>
        <sz val="12"/>
        <color rgb="FF9C0006"/>
        <rFont val="微軟正黑體"/>
        <family val="2"/>
        <charset val="136"/>
      </rPr>
      <t>】垂直載重配筋可能不足_x000D_
【</t>
    </r>
    <r>
      <rPr>
        <sz val="12"/>
        <color rgb="FF9C0006"/>
        <rFont val="Calibri"/>
        <family val="2"/>
      </rPr>
      <t>0301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</si>
  <si>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0312</t>
    </r>
    <r>
      <rPr>
        <sz val="12"/>
        <color rgb="FF9C0006"/>
        <rFont val="微軟正黑體"/>
        <family val="2"/>
        <charset val="136"/>
      </rPr>
      <t>】垂直載重配筋可能不足_x000D_</t>
    </r>
  </si>
  <si>
    <r>
      <rPr>
        <sz val="12"/>
        <color rgb="FF9C0006"/>
        <rFont val="微軟正黑體"/>
        <family val="2"/>
        <charset val="136"/>
      </rPr>
      <t>【</t>
    </r>
    <r>
      <rPr>
        <sz val="12"/>
        <color rgb="FF9C0006"/>
        <rFont val="Calibri"/>
        <family val="2"/>
      </rPr>
      <t>0312</t>
    </r>
    <r>
      <rPr>
        <sz val="12"/>
        <color rgb="FF9C0006"/>
        <rFont val="微軟正黑體"/>
        <family val="2"/>
        <charset val="136"/>
      </rPr>
      <t>】垂直載重配筋可能不足_x000D_
【</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</si>
  <si>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0312</t>
    </r>
    <r>
      <rPr>
        <sz val="12"/>
        <color rgb="FF9C0006"/>
        <rFont val="微軟正黑體"/>
        <family val="2"/>
        <charset val="136"/>
      </rPr>
      <t>】垂直載重配筋可能不足_x000D_
【</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</si>
  <si>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0312</t>
    </r>
    <r>
      <rPr>
        <sz val="12"/>
        <color rgb="FF9C0006"/>
        <rFont val="微軟正黑體"/>
        <family val="2"/>
        <charset val="136"/>
      </rPr>
      <t>】垂直載重配筋可能不足_x000D_
【</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
【</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</si>
  <si>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0312</t>
    </r>
    <r>
      <rPr>
        <sz val="12"/>
        <color rgb="FF9C0006"/>
        <rFont val="微軟正黑體"/>
        <family val="2"/>
        <charset val="136"/>
      </rPr>
      <t>】垂直載重配筋可能不足_x000D_
【</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
【</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</si>
  <si>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0312</t>
    </r>
    <r>
      <rPr>
        <sz val="12"/>
        <color rgb="FF9C0006"/>
        <rFont val="微軟正黑體"/>
        <family val="2"/>
        <charset val="136"/>
      </rPr>
      <t>】垂直載重配筋可能不足_x000D_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</si>
  <si>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0312</t>
    </r>
    <r>
      <rPr>
        <sz val="12"/>
        <color rgb="FF9C0006"/>
        <rFont val="微軟正黑體"/>
        <family val="2"/>
        <charset val="136"/>
      </rPr>
      <t>】垂直載重配筋可能不足_x000D_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</si>
  <si>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0312</t>
    </r>
    <r>
      <rPr>
        <sz val="12"/>
        <color rgb="FF9C0006"/>
        <rFont val="微軟正黑體"/>
        <family val="2"/>
        <charset val="136"/>
      </rPr>
      <t>】垂直載重配筋可能不足_x000D_
【</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</si>
  <si>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0312</t>
    </r>
    <r>
      <rPr>
        <sz val="12"/>
        <color rgb="FF9C0006"/>
        <rFont val="微軟正黑體"/>
        <family val="2"/>
        <charset val="136"/>
      </rPr>
      <t>】垂直載重配筋可能不足_x000D_
【</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</si>
  <si>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0312</t>
    </r>
    <r>
      <rPr>
        <sz val="12"/>
        <color rgb="FF9C0006"/>
        <rFont val="微軟正黑體"/>
        <family val="2"/>
        <charset val="136"/>
      </rPr>
      <t>】垂直載重配筋可能不足_x000D_
【</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
【</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</si>
  <si>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t>b01</t>
  </si>
  <si>
    <t>b01</t>
    <phoneticPr fontId="1" type="noConversion"/>
  </si>
  <si>
    <t>3-#6</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</si>
</sst>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
  </numFmts>
  <fonts count="30" x14ac:knownFonts="1">
    <font>
      <sz val="12"/>
      <color theme="1"/>
      <name val="新細明體"/>
      <family val="2"/>
      <charset val="136"/>
      <scheme val="minor"/>
    </font>
    <font>
      <sz val="9"/>
      <name val="新細明體"/>
      <family val="2"/>
      <charset val="136"/>
      <scheme val="minor"/>
    </font>
    <font>
      <sz val="12"/>
      <color theme="1"/>
      <name val="微軟正黑體"/>
      <family val="2"/>
      <charset val="136"/>
    </font>
    <font>
      <b/>
      <sz val="14"/>
      <color theme="1"/>
      <name val="微軟正黑體"/>
      <family val="2"/>
      <charset val="136"/>
    </font>
    <font>
      <sz val="12"/>
      <color rgb="FFFF0000"/>
      <name val="微軟正黑體"/>
      <family val="2"/>
      <charset val="136"/>
    </font>
    <font>
      <sz val="12"/>
      <color theme="1"/>
      <name val="新細明體"/>
      <family val="2"/>
      <charset val="136"/>
      <scheme val="minor"/>
    </font>
    <font>
      <sz val="12"/>
      <color rgb="FF9C5700"/>
      <name val="新細明體"/>
      <family val="2"/>
      <charset val="136"/>
      <scheme val="minor"/>
    </font>
    <font>
      <sz val="12"/>
      <color rgb="FF9C5700"/>
      <name val="微軟正黑體"/>
      <family val="2"/>
      <charset val="136"/>
    </font>
    <font>
      <sz val="12"/>
      <color rgb="FF006100"/>
      <name val="新細明體"/>
      <family val="2"/>
      <charset val="136"/>
      <scheme val="minor"/>
    </font>
    <font>
      <sz val="12"/>
      <color rgb="FF9C0006"/>
      <name val="新細明體"/>
      <family val="2"/>
      <charset val="136"/>
      <scheme val="minor"/>
    </font>
    <font>
      <sz val="12"/>
      <color rgb="FF9C5700"/>
      <name val="Calibri"/>
      <family val="2"/>
    </font>
    <font>
      <sz val="12"/>
      <color theme="1"/>
      <name val="Calibri"/>
      <family val="2"/>
    </font>
    <font>
      <sz val="9"/>
      <color indexed="81"/>
      <name val="Tahoma"/>
      <family val="2"/>
    </font>
    <font>
      <b/>
      <sz val="9"/>
      <color indexed="81"/>
      <name val="Tahoma"/>
      <family val="2"/>
    </font>
    <font>
      <sz val="9"/>
      <color indexed="81"/>
      <name val="細明體"/>
      <family val="3"/>
      <charset val="136"/>
    </font>
    <font>
      <sz val="12"/>
      <name val="微軟正黑體"/>
      <family val="2"/>
      <charset val="136"/>
    </font>
    <font>
      <sz val="12"/>
      <color rgb="FF006100"/>
      <name val="Calibri"/>
      <family val="2"/>
    </font>
    <font>
      <sz val="12"/>
      <color rgb="FF9C0006"/>
      <name val="Calibri"/>
      <family val="2"/>
    </font>
    <font>
      <b/>
      <sz val="14"/>
      <color theme="1"/>
      <name val="Calibri"/>
      <family val="2"/>
    </font>
    <font>
      <b/>
      <sz val="16"/>
      <color theme="1"/>
      <name val="Calibri"/>
      <family val="2"/>
    </font>
    <font>
      <sz val="12"/>
      <color rgb="FFFF0000"/>
      <name val="Calibri"/>
      <family val="2"/>
    </font>
    <font>
      <sz val="12"/>
      <name val="Calibri"/>
      <family val="2"/>
    </font>
    <font>
      <sz val="12"/>
      <color rgb="FF006100"/>
      <name val="微軟正黑體"/>
      <family val="2"/>
      <charset val="136"/>
    </font>
    <font>
      <sz val="12"/>
      <color rgb="FF9C0006"/>
      <name val="微軟正黑體"/>
      <family val="2"/>
      <charset val="136"/>
    </font>
    <font>
      <sz val="12"/>
      <color rgb="FF0070C0"/>
      <name val="Calibri"/>
      <family val="2"/>
    </font>
    <font>
      <u/>
      <sz val="12"/>
      <color theme="10"/>
      <name val="新細明體"/>
      <family val="2"/>
      <charset val="136"/>
      <scheme val="minor"/>
    </font>
    <font>
      <u/>
      <sz val="12"/>
      <color theme="10"/>
      <name val="Calibri"/>
      <family val="2"/>
    </font>
    <font>
      <sz val="12"/>
      <color theme="1"/>
      <name val="Times New Roman"/>
      <family val="2"/>
      <charset val="136"/>
    </font>
    <font>
      <sz val="12"/>
      <color rgb="FFE95849"/>
      <name val="微軟正黑體"/>
      <family val="2"/>
      <charset val="136"/>
    </font>
    <font>
      <sz val="12"/>
      <color theme="1"/>
      <name val="Calibri"/>
      <family val="2"/>
      <charset val="136"/>
    </font>
  </fonts>
  <fills count="17">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FFFFCC"/>
        <bgColor indexed="64"/>
      </patternFill>
    </fill>
    <fill>
      <patternFill patternType="solid">
        <fgColor rgb="FFFFFFCC"/>
      </patternFill>
    </fill>
    <fill>
      <patternFill patternType="solid">
        <fgColor theme="4" tint="0.79998168889431442"/>
        <bgColor indexed="64"/>
      </patternFill>
    </fill>
    <fill>
      <patternFill patternType="solid">
        <fgColor theme="0" tint="-0.249977111117893"/>
        <bgColor indexed="64"/>
      </patternFill>
    </fill>
    <fill>
      <patternFill patternType="solid">
        <fgColor rgb="FFFFEB9C"/>
      </patternFill>
    </fill>
    <fill>
      <patternFill patternType="solid">
        <fgColor rgb="FFC6EFCE"/>
      </patternFill>
    </fill>
    <fill>
      <patternFill patternType="solid">
        <fgColor rgb="FFFFC7CE"/>
      </patternFill>
    </fill>
    <fill>
      <patternFill patternType="solid">
        <fgColor theme="0"/>
        <bgColor indexed="64"/>
      </patternFill>
    </fill>
    <fill>
      <patternFill patternType="solid">
        <fgColor theme="0" tint="-0.14999847407452621"/>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top/>
      <bottom style="thin">
        <color indexed="64"/>
      </bottom>
      <diagonal/>
    </border>
    <border>
      <left style="thin">
        <color indexed="64"/>
      </left>
      <right/>
      <top style="thin">
        <color indexed="64"/>
      </top>
      <bottom/>
      <diagonal/>
    </border>
    <border>
      <left style="double">
        <color indexed="64"/>
      </left>
      <right style="thin">
        <color indexed="64"/>
      </right>
      <top style="thin">
        <color indexed="64"/>
      </top>
      <bottom/>
      <diagonal/>
    </border>
    <border>
      <left style="double">
        <color indexed="64"/>
      </left>
      <right style="thin">
        <color indexed="64"/>
      </right>
      <top/>
      <bottom style="thin">
        <color indexed="64"/>
      </bottom>
      <diagonal/>
    </border>
  </borders>
  <cellStyleXfs count="9">
    <xf numFmtId="0" fontId="0" fillId="0" borderId="0">
      <alignment vertical="center"/>
    </xf>
    <xf numFmtId="0" fontId="5" fillId="9" borderId="2" applyNumberFormat="0" applyFont="0" applyAlignment="0" applyProtection="0">
      <alignment vertical="center"/>
    </xf>
    <xf numFmtId="0" fontId="6" fillId="12" borderId="0" applyNumberFormat="0" applyBorder="0" applyAlignment="0" applyProtection="0">
      <alignment vertical="center"/>
    </xf>
    <xf numFmtId="0" fontId="8" fillId="13" borderId="0" applyNumberFormat="0" applyBorder="0" applyAlignment="0" applyProtection="0">
      <alignment vertical="center"/>
    </xf>
    <xf numFmtId="0" fontId="9" fillId="14" borderId="0" applyNumberFormat="0" applyBorder="0" applyAlignment="0" applyProtection="0">
      <alignment vertical="center"/>
    </xf>
    <xf numFmtId="9" fontId="5" fillId="0" borderId="0" applyFont="0" applyFill="0" applyBorder="0" applyAlignment="0" applyProtection="0">
      <alignment vertical="center"/>
    </xf>
    <xf numFmtId="0" fontId="25" fillId="0" borderId="0" applyNumberFormat="0" applyFill="0" applyBorder="0" applyAlignment="0" applyProtection="0">
      <alignment vertical="center"/>
    </xf>
    <xf numFmtId="0" fontId="5" fillId="0" borderId="0">
      <alignment vertical="center"/>
    </xf>
    <xf numFmtId="0" fontId="27" fillId="0" borderId="0">
      <alignment vertical="center"/>
    </xf>
  </cellStyleXfs>
  <cellXfs count="185">
    <xf numFmtId="0" fontId="0" fillId="0" borderId="0" xfId="0">
      <alignment vertical="center"/>
    </xf>
    <xf numFmtId="0" fontId="10" fillId="12" borderId="0" xfId="2" applyFont="1" applyAlignment="1">
      <alignment horizontal="center" vertical="center"/>
    </xf>
    <xf numFmtId="14" fontId="11" fillId="0" borderId="0" xfId="0" applyNumberFormat="1" applyFont="1" applyFill="1" applyAlignment="1">
      <alignment horizontal="center" vertical="center"/>
    </xf>
    <xf numFmtId="0" fontId="11" fillId="0" borderId="0" xfId="0" applyFont="1" applyFill="1" applyAlignment="1">
      <alignment horizontal="center" vertical="center"/>
    </xf>
    <xf numFmtId="0" fontId="11" fillId="0" borderId="1" xfId="0" applyFont="1" applyBorder="1" applyAlignment="1">
      <alignment horizontal="center" vertical="center"/>
    </xf>
    <xf numFmtId="0" fontId="11" fillId="0" borderId="0" xfId="0" applyFont="1" applyAlignment="1">
      <alignment horizontal="center" vertical="center"/>
    </xf>
    <xf numFmtId="0" fontId="11" fillId="0" borderId="0" xfId="0" applyFont="1">
      <alignment vertical="center"/>
    </xf>
    <xf numFmtId="0" fontId="10" fillId="12" borderId="13" xfId="2" applyFont="1" applyBorder="1" applyAlignment="1">
      <alignment horizontal="center" vertical="center"/>
    </xf>
    <xf numFmtId="0" fontId="10" fillId="12" borderId="14" xfId="2" applyFont="1" applyBorder="1" applyAlignment="1">
      <alignment horizontal="center" vertical="center"/>
    </xf>
    <xf numFmtId="0" fontId="10" fillId="12" borderId="15" xfId="2" applyFont="1" applyBorder="1" applyAlignment="1">
      <alignment horizontal="center" vertical="center"/>
    </xf>
    <xf numFmtId="0" fontId="11" fillId="0" borderId="11" xfId="0" applyFont="1" applyFill="1" applyBorder="1" applyAlignment="1">
      <alignment horizontal="center" vertical="center"/>
    </xf>
    <xf numFmtId="0" fontId="11" fillId="0" borderId="0" xfId="0" applyFont="1" applyFill="1" applyBorder="1" applyAlignment="1">
      <alignment horizontal="center" vertical="center"/>
    </xf>
    <xf numFmtId="0" fontId="11" fillId="0" borderId="12" xfId="0" applyFont="1" applyFill="1" applyBorder="1" applyAlignment="1">
      <alignment horizontal="center" vertical="center"/>
    </xf>
    <xf numFmtId="10" fontId="11" fillId="0" borderId="1" xfId="5" applyNumberFormat="1" applyFont="1" applyBorder="1" applyAlignment="1">
      <alignment horizontal="center" vertical="center"/>
    </xf>
    <xf numFmtId="0" fontId="11" fillId="15" borderId="0" xfId="0" applyFont="1" applyFill="1" applyAlignment="1">
      <alignment horizontal="center" vertical="center"/>
    </xf>
    <xf numFmtId="14" fontId="11" fillId="15" borderId="0" xfId="0" applyNumberFormat="1" applyFont="1" applyFill="1" applyAlignment="1">
      <alignment horizontal="center" vertical="center"/>
    </xf>
    <xf numFmtId="0" fontId="11" fillId="15" borderId="11" xfId="0" applyFont="1" applyFill="1" applyBorder="1" applyAlignment="1">
      <alignment horizontal="center" vertical="center"/>
    </xf>
    <xf numFmtId="0" fontId="11" fillId="15" borderId="0" xfId="0" applyFont="1" applyFill="1" applyBorder="1" applyAlignment="1">
      <alignment horizontal="center" vertical="center"/>
    </xf>
    <xf numFmtId="0" fontId="11" fillId="15" borderId="0" xfId="0" applyFont="1" applyFill="1" applyBorder="1" applyAlignment="1">
      <alignment horizontal="left" vertical="center"/>
    </xf>
    <xf numFmtId="0" fontId="11" fillId="15" borderId="20" xfId="0" applyFont="1" applyFill="1" applyBorder="1" applyAlignment="1">
      <alignment horizontal="center" vertical="center"/>
    </xf>
    <xf numFmtId="0" fontId="11" fillId="15" borderId="12" xfId="0" applyFont="1" applyFill="1" applyBorder="1" applyAlignment="1">
      <alignment horizontal="left" vertical="center"/>
    </xf>
    <xf numFmtId="0" fontId="11" fillId="15" borderId="21" xfId="0" applyFont="1" applyFill="1" applyBorder="1" applyAlignment="1">
      <alignment horizontal="left" vertical="center"/>
    </xf>
    <xf numFmtId="0" fontId="11" fillId="15" borderId="0" xfId="0" applyFont="1" applyFill="1">
      <alignment vertical="center"/>
    </xf>
    <xf numFmtId="0" fontId="18" fillId="15" borderId="0" xfId="0" applyFont="1" applyFill="1" applyAlignment="1">
      <alignment horizontal="center" vertical="center"/>
    </xf>
    <xf numFmtId="0" fontId="11" fillId="5" borderId="0" xfId="0" applyFont="1" applyFill="1" applyAlignment="1">
      <alignment horizontal="center" vertical="center"/>
    </xf>
    <xf numFmtId="0" fontId="11" fillId="4" borderId="0" xfId="0" applyFont="1" applyFill="1" applyAlignment="1">
      <alignment horizontal="center" vertical="center"/>
    </xf>
    <xf numFmtId="0" fontId="11" fillId="6" borderId="0" xfId="0" applyFont="1" applyFill="1" applyAlignment="1">
      <alignment horizontal="center" vertical="center"/>
    </xf>
    <xf numFmtId="0" fontId="11" fillId="7" borderId="0" xfId="0" applyFont="1" applyFill="1" applyAlignment="1">
      <alignment horizontal="center" vertical="center"/>
    </xf>
    <xf numFmtId="0" fontId="11" fillId="8" borderId="0" xfId="0" applyFont="1" applyFill="1" applyAlignment="1">
      <alignment horizontal="center" vertical="center"/>
    </xf>
    <xf numFmtId="0" fontId="11" fillId="10" borderId="0" xfId="0" applyFont="1" applyFill="1" applyAlignment="1">
      <alignment horizontal="center" vertical="center"/>
    </xf>
    <xf numFmtId="0" fontId="11" fillId="3" borderId="0" xfId="0" applyFont="1" applyFill="1" applyAlignment="1">
      <alignment horizontal="center" vertical="center"/>
    </xf>
    <xf numFmtId="0" fontId="19" fillId="15" borderId="0" xfId="0" applyFont="1" applyFill="1" applyAlignment="1">
      <alignment horizontal="center" vertical="center"/>
    </xf>
    <xf numFmtId="0" fontId="19" fillId="5" borderId="0" xfId="0" applyFont="1" applyFill="1" applyAlignment="1">
      <alignment horizontal="center" vertical="center"/>
    </xf>
    <xf numFmtId="0" fontId="19" fillId="4" borderId="0" xfId="0" applyFont="1" applyFill="1" applyAlignment="1">
      <alignment horizontal="center" vertical="center"/>
    </xf>
    <xf numFmtId="0" fontId="19" fillId="6" borderId="0" xfId="0" applyFont="1" applyFill="1" applyAlignment="1">
      <alignment horizontal="center" vertical="center"/>
    </xf>
    <xf numFmtId="0" fontId="18" fillId="3" borderId="5" xfId="0" applyFont="1" applyFill="1" applyBorder="1" applyAlignment="1">
      <alignment horizontal="center" vertical="center"/>
    </xf>
    <xf numFmtId="0" fontId="11" fillId="3" borderId="6" xfId="0" applyFont="1" applyFill="1" applyBorder="1" applyAlignment="1">
      <alignment horizontal="center" vertical="center"/>
    </xf>
    <xf numFmtId="0" fontId="11" fillId="5" borderId="6" xfId="0" applyFont="1" applyFill="1" applyBorder="1" applyAlignment="1">
      <alignment horizontal="center" vertical="center"/>
    </xf>
    <xf numFmtId="0" fontId="11" fillId="4" borderId="6" xfId="0" applyFont="1" applyFill="1" applyBorder="1" applyAlignment="1">
      <alignment horizontal="center" vertical="center"/>
    </xf>
    <xf numFmtId="0" fontId="11" fillId="6" borderId="6" xfId="0" applyFont="1" applyFill="1" applyBorder="1" applyAlignment="1">
      <alignment horizontal="center" vertical="center"/>
    </xf>
    <xf numFmtId="0" fontId="11" fillId="7" borderId="6" xfId="0" applyFont="1" applyFill="1" applyBorder="1" applyAlignment="1">
      <alignment horizontal="center" vertical="center"/>
    </xf>
    <xf numFmtId="0" fontId="11" fillId="15" borderId="6" xfId="0" applyFont="1" applyFill="1" applyBorder="1" applyAlignment="1">
      <alignment horizontal="center" vertical="center"/>
    </xf>
    <xf numFmtId="0" fontId="11" fillId="8" borderId="6" xfId="0" applyFont="1" applyFill="1" applyBorder="1" applyAlignment="1">
      <alignment horizontal="center" vertical="center"/>
    </xf>
    <xf numFmtId="0" fontId="11" fillId="10" borderId="6" xfId="0" applyFont="1" applyFill="1" applyBorder="1" applyAlignment="1">
      <alignment horizontal="center" vertical="center"/>
    </xf>
    <xf numFmtId="0" fontId="11" fillId="3" borderId="24" xfId="0" applyFont="1" applyFill="1" applyBorder="1" applyAlignment="1">
      <alignment horizontal="center" vertical="center"/>
    </xf>
    <xf numFmtId="0" fontId="18" fillId="2" borderId="8" xfId="0" applyFont="1" applyFill="1" applyBorder="1" applyAlignment="1">
      <alignment horizontal="center" vertical="center"/>
    </xf>
    <xf numFmtId="0" fontId="11" fillId="2" borderId="9" xfId="0" quotePrefix="1" applyFont="1" applyFill="1" applyBorder="1" applyAlignment="1">
      <alignment horizontal="center" vertical="center"/>
    </xf>
    <xf numFmtId="0" fontId="11" fillId="5" borderId="9" xfId="0" applyFont="1" applyFill="1" applyBorder="1" applyAlignment="1">
      <alignment horizontal="center" vertical="center"/>
    </xf>
    <xf numFmtId="0" fontId="11" fillId="4" borderId="9" xfId="0" applyFont="1" applyFill="1" applyBorder="1" applyAlignment="1">
      <alignment horizontal="center" vertical="center"/>
    </xf>
    <xf numFmtId="0" fontId="11" fillId="6" borderId="9" xfId="0" applyFont="1" applyFill="1" applyBorder="1" applyAlignment="1">
      <alignment horizontal="center" vertical="center"/>
    </xf>
    <xf numFmtId="0" fontId="11" fillId="7" borderId="9" xfId="0" applyFont="1" applyFill="1" applyBorder="1" applyAlignment="1">
      <alignment horizontal="center" vertical="center"/>
    </xf>
    <xf numFmtId="0" fontId="11" fillId="15" borderId="9" xfId="0" applyFont="1" applyFill="1" applyBorder="1" applyAlignment="1">
      <alignment horizontal="center" vertical="center"/>
    </xf>
    <xf numFmtId="0" fontId="11" fillId="8" borderId="9" xfId="0" applyFont="1" applyFill="1" applyBorder="1" applyAlignment="1">
      <alignment horizontal="center" vertical="center"/>
    </xf>
    <xf numFmtId="0" fontId="11" fillId="10" borderId="9" xfId="0" applyFont="1" applyFill="1" applyBorder="1" applyAlignment="1">
      <alignment horizontal="center" vertical="center"/>
    </xf>
    <xf numFmtId="0" fontId="11" fillId="3" borderId="25" xfId="0" applyFont="1" applyFill="1" applyBorder="1" applyAlignment="1">
      <alignment horizontal="center" vertical="center"/>
    </xf>
    <xf numFmtId="0" fontId="18" fillId="0" borderId="1" xfId="0" applyFont="1" applyBorder="1" applyAlignment="1">
      <alignment horizontal="center" vertical="center"/>
    </xf>
    <xf numFmtId="0" fontId="20" fillId="0" borderId="1" xfId="0" quotePrefix="1" applyFont="1" applyBorder="1" applyAlignment="1">
      <alignment horizontal="center" vertical="center"/>
    </xf>
    <xf numFmtId="0" fontId="20" fillId="5" borderId="1" xfId="0" applyFont="1" applyFill="1" applyBorder="1" applyAlignment="1">
      <alignment horizontal="center" vertical="center"/>
    </xf>
    <xf numFmtId="0" fontId="20" fillId="4" borderId="1" xfId="0" applyFont="1" applyFill="1" applyBorder="1" applyAlignment="1">
      <alignment horizontal="center" vertical="center"/>
    </xf>
    <xf numFmtId="0" fontId="20" fillId="6" borderId="1" xfId="0" applyFont="1" applyFill="1" applyBorder="1" applyAlignment="1">
      <alignment horizontal="center" vertical="center"/>
    </xf>
    <xf numFmtId="0" fontId="20" fillId="7" borderId="1" xfId="0" quotePrefix="1" applyFont="1" applyFill="1" applyBorder="1" applyAlignment="1">
      <alignment horizontal="center" vertical="center"/>
    </xf>
    <xf numFmtId="0" fontId="20" fillId="15" borderId="1" xfId="0" applyFont="1" applyFill="1" applyBorder="1" applyAlignment="1">
      <alignment horizontal="center" vertical="center"/>
    </xf>
    <xf numFmtId="0" fontId="20" fillId="8" borderId="1" xfId="0" applyFont="1" applyFill="1" applyBorder="1" applyAlignment="1">
      <alignment horizontal="center" vertical="center"/>
    </xf>
    <xf numFmtId="0" fontId="20" fillId="10" borderId="1" xfId="0" applyFont="1" applyFill="1" applyBorder="1" applyAlignment="1">
      <alignment horizontal="center" vertical="center"/>
    </xf>
    <xf numFmtId="0" fontId="20" fillId="3" borderId="1" xfId="0" applyFont="1" applyFill="1" applyBorder="1" applyAlignment="1">
      <alignment horizontal="center" vertical="center"/>
    </xf>
    <xf numFmtId="0" fontId="11" fillId="0" borderId="1" xfId="0" quotePrefix="1" applyFont="1" applyBorder="1" applyAlignment="1">
      <alignment horizontal="center" vertical="center"/>
    </xf>
    <xf numFmtId="0" fontId="11" fillId="5" borderId="1" xfId="0" applyFont="1" applyFill="1" applyBorder="1" applyAlignment="1">
      <alignment horizontal="center" vertical="center"/>
    </xf>
    <xf numFmtId="0" fontId="11" fillId="4" borderId="1" xfId="0" applyFont="1" applyFill="1" applyBorder="1" applyAlignment="1">
      <alignment horizontal="center" vertical="center"/>
    </xf>
    <xf numFmtId="0" fontId="11" fillId="6" borderId="1" xfId="0" applyFont="1" applyFill="1" applyBorder="1" applyAlignment="1">
      <alignment horizontal="center" vertical="center"/>
    </xf>
    <xf numFmtId="0" fontId="11" fillId="7" borderId="1" xfId="0" quotePrefix="1" applyFont="1" applyFill="1" applyBorder="1" applyAlignment="1">
      <alignment horizontal="center" vertical="center"/>
    </xf>
    <xf numFmtId="0" fontId="11" fillId="15" borderId="1" xfId="0" applyFont="1" applyFill="1" applyBorder="1" applyAlignment="1">
      <alignment horizontal="center" vertical="center"/>
    </xf>
    <xf numFmtId="0" fontId="21" fillId="15" borderId="1" xfId="0" applyFont="1" applyFill="1" applyBorder="1" applyAlignment="1">
      <alignment horizontal="center" vertical="center"/>
    </xf>
    <xf numFmtId="0" fontId="21" fillId="8" borderId="1" xfId="0" applyFont="1" applyFill="1" applyBorder="1" applyAlignment="1">
      <alignment horizontal="center" vertical="center"/>
    </xf>
    <xf numFmtId="0" fontId="11" fillId="10" borderId="1" xfId="0" applyFont="1" applyFill="1" applyBorder="1" applyAlignment="1">
      <alignment horizontal="center" vertical="center"/>
    </xf>
    <xf numFmtId="0" fontId="11" fillId="3" borderId="1" xfId="0" applyFont="1" applyFill="1" applyBorder="1" applyAlignment="1">
      <alignment horizontal="center" vertical="center"/>
    </xf>
    <xf numFmtId="0" fontId="21" fillId="10" borderId="1" xfId="0" applyFont="1" applyFill="1" applyBorder="1" applyAlignment="1">
      <alignment horizontal="center" vertical="center"/>
    </xf>
    <xf numFmtId="0" fontId="21" fillId="3" borderId="4" xfId="0" applyFont="1" applyFill="1" applyBorder="1" applyAlignment="1">
      <alignment horizontal="center" vertical="center"/>
    </xf>
    <xf numFmtId="0" fontId="11" fillId="7" borderId="1" xfId="0" applyFont="1" applyFill="1" applyBorder="1" applyAlignment="1">
      <alignment horizontal="center" vertical="center"/>
    </xf>
    <xf numFmtId="0" fontId="11" fillId="8" borderId="1" xfId="0" applyFont="1" applyFill="1" applyBorder="1" applyAlignment="1">
      <alignment horizontal="center" vertical="center"/>
    </xf>
    <xf numFmtId="0" fontId="11" fillId="3" borderId="18" xfId="0" applyFont="1" applyFill="1" applyBorder="1" applyAlignment="1">
      <alignment horizontal="center" vertical="center"/>
    </xf>
    <xf numFmtId="10" fontId="11" fillId="3" borderId="18" xfId="0" applyNumberFormat="1" applyFont="1" applyFill="1" applyBorder="1" applyAlignment="1">
      <alignment horizontal="center" vertical="center"/>
    </xf>
    <xf numFmtId="0" fontId="18" fillId="0" borderId="3" xfId="0" applyFont="1" applyBorder="1" applyAlignment="1">
      <alignment horizontal="center" vertical="center"/>
    </xf>
    <xf numFmtId="0" fontId="11" fillId="0" borderId="3" xfId="0" applyFont="1" applyBorder="1" applyAlignment="1">
      <alignment horizontal="center" vertical="center"/>
    </xf>
    <xf numFmtId="0" fontId="11" fillId="5" borderId="3" xfId="0" applyFont="1" applyFill="1" applyBorder="1" applyAlignment="1">
      <alignment horizontal="center" vertical="center"/>
    </xf>
    <xf numFmtId="0" fontId="11" fillId="4" borderId="3" xfId="0" applyFont="1" applyFill="1" applyBorder="1" applyAlignment="1">
      <alignment horizontal="center" vertical="center"/>
    </xf>
    <xf numFmtId="0" fontId="11" fillId="6" borderId="3" xfId="0" applyFont="1" applyFill="1" applyBorder="1" applyAlignment="1">
      <alignment horizontal="center" vertical="center"/>
    </xf>
    <xf numFmtId="0" fontId="11" fillId="7" borderId="3" xfId="0" applyFont="1" applyFill="1" applyBorder="1" applyAlignment="1">
      <alignment horizontal="center" vertical="center"/>
    </xf>
    <xf numFmtId="0" fontId="11" fillId="15" borderId="3" xfId="0" applyFont="1" applyFill="1" applyBorder="1" applyAlignment="1">
      <alignment horizontal="center" vertical="center"/>
    </xf>
    <xf numFmtId="0" fontId="11" fillId="8" borderId="3" xfId="0" applyFont="1" applyFill="1" applyBorder="1" applyAlignment="1">
      <alignment horizontal="center" vertical="center"/>
    </xf>
    <xf numFmtId="0" fontId="11" fillId="10" borderId="3" xfId="0" applyFont="1" applyFill="1" applyBorder="1" applyAlignment="1">
      <alignment horizontal="center" vertical="center"/>
    </xf>
    <xf numFmtId="0" fontId="11" fillId="3" borderId="19" xfId="0" applyFont="1" applyFill="1" applyBorder="1" applyAlignment="1">
      <alignment horizontal="center" vertical="center"/>
    </xf>
    <xf numFmtId="0" fontId="11" fillId="0" borderId="3" xfId="0" quotePrefix="1" applyFont="1" applyBorder="1" applyAlignment="1">
      <alignment horizontal="center" vertical="center"/>
    </xf>
    <xf numFmtId="0" fontId="18" fillId="0" borderId="0" xfId="0" applyFont="1" applyAlignment="1">
      <alignment horizontal="center" vertical="center"/>
    </xf>
    <xf numFmtId="0" fontId="11" fillId="10" borderId="12" xfId="0" applyFont="1" applyFill="1" applyBorder="1" applyAlignment="1">
      <alignment horizontal="center" vertical="center"/>
    </xf>
    <xf numFmtId="0" fontId="11" fillId="0" borderId="0" xfId="0" applyFont="1" applyAlignment="1">
      <alignment horizontal="left" vertical="center"/>
    </xf>
    <xf numFmtId="0" fontId="11" fillId="10" borderId="0" xfId="0" applyFont="1" applyFill="1">
      <alignment vertical="center"/>
    </xf>
    <xf numFmtId="0" fontId="11" fillId="11" borderId="0" xfId="0" applyFont="1" applyFill="1">
      <alignment vertical="center"/>
    </xf>
    <xf numFmtId="0" fontId="19" fillId="0" borderId="0" xfId="0" applyFont="1" applyAlignment="1">
      <alignment horizontal="center" vertical="center"/>
    </xf>
    <xf numFmtId="0" fontId="11" fillId="10" borderId="7" xfId="0" applyFont="1" applyFill="1" applyBorder="1" applyAlignment="1">
      <alignment horizontal="center" vertical="center"/>
    </xf>
    <xf numFmtId="0" fontId="11" fillId="11" borderId="7" xfId="0" applyFont="1" applyFill="1" applyBorder="1" applyAlignment="1">
      <alignment horizontal="center" vertical="center"/>
    </xf>
    <xf numFmtId="0" fontId="11" fillId="3" borderId="9" xfId="0" applyFont="1" applyFill="1" applyBorder="1" applyAlignment="1">
      <alignment horizontal="center" vertical="center"/>
    </xf>
    <xf numFmtId="0" fontId="11" fillId="10" borderId="10" xfId="0" applyFont="1" applyFill="1" applyBorder="1" applyAlignment="1">
      <alignment horizontal="center" vertical="center"/>
    </xf>
    <xf numFmtId="0" fontId="11" fillId="11" borderId="10" xfId="0" applyFont="1" applyFill="1" applyBorder="1" applyAlignment="1">
      <alignment horizontal="center" vertical="center"/>
    </xf>
    <xf numFmtId="0" fontId="20" fillId="0" borderId="1" xfId="0" applyFont="1" applyBorder="1" applyAlignment="1">
      <alignment horizontal="center" vertical="center"/>
    </xf>
    <xf numFmtId="0" fontId="20" fillId="11" borderId="1" xfId="0" applyFont="1" applyFill="1" applyBorder="1" applyAlignment="1">
      <alignment horizontal="center" vertical="center"/>
    </xf>
    <xf numFmtId="0" fontId="11" fillId="10" borderId="1" xfId="0" applyFont="1" applyFill="1" applyBorder="1" applyAlignment="1">
      <alignment horizontal="left" vertical="center"/>
    </xf>
    <xf numFmtId="0" fontId="11" fillId="11" borderId="1" xfId="0" applyFont="1" applyFill="1" applyBorder="1" applyAlignment="1">
      <alignment horizontal="left" vertical="center"/>
    </xf>
    <xf numFmtId="0" fontId="21" fillId="7" borderId="1" xfId="0" quotePrefix="1" applyFont="1" applyFill="1" applyBorder="1" applyAlignment="1">
      <alignment horizontal="center" vertical="center"/>
    </xf>
    <xf numFmtId="0" fontId="21" fillId="0" borderId="1" xfId="0" applyFont="1" applyBorder="1" applyAlignment="1">
      <alignment horizontal="center" vertical="center"/>
    </xf>
    <xf numFmtId="0" fontId="21" fillId="10" borderId="1" xfId="0" applyFont="1" applyFill="1" applyBorder="1" applyAlignment="1">
      <alignment horizontal="left" vertical="center"/>
    </xf>
    <xf numFmtId="0" fontId="21" fillId="11" borderId="4" xfId="0" applyFont="1" applyFill="1" applyBorder="1">
      <alignment vertical="center"/>
    </xf>
    <xf numFmtId="0" fontId="21" fillId="0" borderId="0" xfId="0" applyFont="1" applyAlignment="1">
      <alignment horizontal="center" vertical="center"/>
    </xf>
    <xf numFmtId="0" fontId="21" fillId="11" borderId="1" xfId="0" applyFont="1" applyFill="1" applyBorder="1" applyAlignment="1">
      <alignment horizontal="left" vertical="center"/>
    </xf>
    <xf numFmtId="0" fontId="24" fillId="5" borderId="1" xfId="0" applyFont="1" applyFill="1" applyBorder="1" applyAlignment="1">
      <alignment horizontal="center" vertical="center"/>
    </xf>
    <xf numFmtId="0" fontId="24" fillId="6" borderId="1" xfId="0" applyFont="1" applyFill="1" applyBorder="1" applyAlignment="1">
      <alignment horizontal="center" vertical="center"/>
    </xf>
    <xf numFmtId="0" fontId="21" fillId="9" borderId="1" xfId="1" applyFont="1" applyBorder="1" applyAlignment="1">
      <alignment horizontal="center" vertical="center"/>
    </xf>
    <xf numFmtId="0" fontId="20" fillId="10" borderId="1" xfId="0" applyFont="1" applyFill="1" applyBorder="1" applyAlignment="1">
      <alignment horizontal="left" vertical="center"/>
    </xf>
    <xf numFmtId="0" fontId="11" fillId="11" borderId="1" xfId="0" applyFont="1" applyFill="1" applyBorder="1" applyAlignment="1">
      <alignment horizontal="center" vertical="center"/>
    </xf>
    <xf numFmtId="0" fontId="11" fillId="10" borderId="1" xfId="0" applyFont="1" applyFill="1" applyBorder="1">
      <alignment vertical="center"/>
    </xf>
    <xf numFmtId="0" fontId="11" fillId="11" borderId="1" xfId="0" applyFont="1" applyFill="1" applyBorder="1">
      <alignment vertical="center"/>
    </xf>
    <xf numFmtId="0" fontId="20" fillId="7" borderId="1" xfId="0" applyFont="1" applyFill="1" applyBorder="1" applyAlignment="1">
      <alignment horizontal="center" vertical="center"/>
    </xf>
    <xf numFmtId="0" fontId="20" fillId="10" borderId="1" xfId="0" applyFont="1" applyFill="1" applyBorder="1">
      <alignment vertical="center"/>
    </xf>
    <xf numFmtId="0" fontId="20" fillId="11" borderId="1" xfId="0" applyFont="1" applyFill="1" applyBorder="1">
      <alignment vertical="center"/>
    </xf>
    <xf numFmtId="10" fontId="11" fillId="10" borderId="1" xfId="0" applyNumberFormat="1" applyFont="1" applyFill="1" applyBorder="1">
      <alignment vertical="center"/>
    </xf>
    <xf numFmtId="10" fontId="11" fillId="11" borderId="1" xfId="0" applyNumberFormat="1" applyFont="1" applyFill="1" applyBorder="1">
      <alignment vertical="center"/>
    </xf>
    <xf numFmtId="10" fontId="20" fillId="10" borderId="1" xfId="0" applyNumberFormat="1" applyFont="1" applyFill="1" applyBorder="1">
      <alignment vertical="center"/>
    </xf>
    <xf numFmtId="10" fontId="20" fillId="11" borderId="1" xfId="0" applyNumberFormat="1" applyFont="1" applyFill="1" applyBorder="1">
      <alignment vertical="center"/>
    </xf>
    <xf numFmtId="0" fontId="11" fillId="10" borderId="3" xfId="0" applyFont="1" applyFill="1" applyBorder="1">
      <alignment vertical="center"/>
    </xf>
    <xf numFmtId="0" fontId="11" fillId="11" borderId="3" xfId="0" applyFont="1" applyFill="1" applyBorder="1">
      <alignment vertical="center"/>
    </xf>
    <xf numFmtId="0" fontId="18" fillId="0" borderId="4" xfId="0" applyFont="1" applyBorder="1" applyAlignment="1">
      <alignment horizontal="center" vertical="center"/>
    </xf>
    <xf numFmtId="0" fontId="11" fillId="0" borderId="4" xfId="0" quotePrefix="1" applyFont="1" applyBorder="1" applyAlignment="1">
      <alignment horizontal="center" vertical="center"/>
    </xf>
    <xf numFmtId="0" fontId="11" fillId="5"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6" borderId="4" xfId="0" applyFont="1" applyFill="1" applyBorder="1" applyAlignment="1">
      <alignment horizontal="center" vertical="center"/>
    </xf>
    <xf numFmtId="0" fontId="11" fillId="7" borderId="4" xfId="0" applyFont="1" applyFill="1" applyBorder="1" applyAlignment="1">
      <alignment horizontal="center" vertical="center"/>
    </xf>
    <xf numFmtId="0" fontId="11" fillId="0" borderId="4" xfId="0" applyFont="1" applyBorder="1" applyAlignment="1">
      <alignment horizontal="center" vertical="center"/>
    </xf>
    <xf numFmtId="0" fontId="11" fillId="8" borderId="4" xfId="0" applyFont="1" applyFill="1" applyBorder="1" applyAlignment="1">
      <alignment horizontal="center" vertical="center"/>
    </xf>
    <xf numFmtId="0" fontId="11" fillId="10" borderId="4" xfId="0" applyFont="1" applyFill="1" applyBorder="1">
      <alignment vertical="center"/>
    </xf>
    <xf numFmtId="0" fontId="11" fillId="11" borderId="4" xfId="0" applyFont="1" applyFill="1" applyBorder="1">
      <alignment vertical="center"/>
    </xf>
    <xf numFmtId="0" fontId="11" fillId="16" borderId="0" xfId="0" applyFont="1" applyFill="1" applyAlignment="1">
      <alignment horizontal="left" vertical="center"/>
    </xf>
    <xf numFmtId="0" fontId="20" fillId="16" borderId="0" xfId="0" applyFont="1" applyFill="1" applyAlignment="1">
      <alignment horizontal="left" vertical="center"/>
    </xf>
    <xf numFmtId="0" fontId="11" fillId="16" borderId="26" xfId="0" applyFont="1" applyFill="1" applyBorder="1" applyAlignment="1">
      <alignment horizontal="left" vertical="center"/>
    </xf>
    <xf numFmtId="0" fontId="11" fillId="16" borderId="0" xfId="0" applyFont="1" applyFill="1" applyAlignment="1">
      <alignment horizontal="center" vertical="center"/>
    </xf>
    <xf numFmtId="0" fontId="11" fillId="0" borderId="0" xfId="0" applyFont="1" applyBorder="1" applyAlignment="1">
      <alignment horizontal="center" vertical="center"/>
    </xf>
    <xf numFmtId="1" fontId="11" fillId="0" borderId="0" xfId="0" applyNumberFormat="1" applyFont="1" applyBorder="1" applyAlignment="1">
      <alignment horizontal="center" vertical="center"/>
    </xf>
    <xf numFmtId="0" fontId="11" fillId="16" borderId="0" xfId="7" applyFont="1" applyFill="1" applyAlignment="1">
      <alignment horizontal="left" vertical="center"/>
    </xf>
    <xf numFmtId="0" fontId="11" fillId="16" borderId="0" xfId="7" applyFont="1" applyFill="1" applyAlignment="1">
      <alignment horizontal="center" vertical="center"/>
    </xf>
    <xf numFmtId="176" fontId="20" fillId="16" borderId="0" xfId="7" applyNumberFormat="1" applyFont="1" applyFill="1" applyAlignment="1">
      <alignment horizontal="left" vertical="center"/>
    </xf>
    <xf numFmtId="0" fontId="26" fillId="16" borderId="0" xfId="6" applyFont="1" applyFill="1" applyAlignment="1">
      <alignment horizontal="center" vertical="center"/>
    </xf>
    <xf numFmtId="0" fontId="11" fillId="16" borderId="14" xfId="7" applyFont="1" applyFill="1" applyBorder="1" applyAlignment="1">
      <alignment horizontal="center" vertical="center"/>
    </xf>
    <xf numFmtId="0" fontId="11" fillId="16" borderId="14" xfId="7" applyFont="1" applyFill="1" applyBorder="1" applyAlignment="1">
      <alignment horizontal="left" vertical="center"/>
    </xf>
    <xf numFmtId="14" fontId="11" fillId="16" borderId="0" xfId="7" applyNumberFormat="1" applyFont="1" applyFill="1" applyAlignment="1">
      <alignment horizontal="center" vertical="center"/>
    </xf>
    <xf numFmtId="0" fontId="11" fillId="16" borderId="0" xfId="8" applyFont="1" applyFill="1" applyAlignment="1">
      <alignment horizontal="center" vertical="center"/>
    </xf>
    <xf numFmtId="0" fontId="11" fillId="16" borderId="0" xfId="8" applyFont="1" applyFill="1" applyAlignment="1">
      <alignment horizontal="left" vertical="center"/>
    </xf>
    <xf numFmtId="0" fontId="11" fillId="16" borderId="26" xfId="7" applyFont="1" applyFill="1" applyBorder="1" applyAlignment="1">
      <alignment horizontal="center" vertical="center"/>
    </xf>
    <xf numFmtId="0" fontId="11" fillId="16" borderId="26" xfId="7" applyFont="1" applyFill="1" applyBorder="1" applyAlignment="1">
      <alignment horizontal="left" vertical="center"/>
    </xf>
    <xf numFmtId="0" fontId="10" fillId="12" borderId="27" xfId="2" applyFont="1" applyBorder="1" applyAlignment="1">
      <alignment horizontal="center" vertical="center"/>
    </xf>
    <xf numFmtId="0" fontId="10" fillId="12" borderId="20" xfId="2" applyFont="1" applyBorder="1" applyAlignment="1">
      <alignment horizontal="center" vertical="center"/>
    </xf>
    <xf numFmtId="0" fontId="21" fillId="0" borderId="11" xfId="0" applyFont="1" applyFill="1" applyBorder="1" applyAlignment="1">
      <alignment horizontal="center" vertical="center"/>
    </xf>
    <xf numFmtId="0" fontId="21" fillId="0" borderId="0" xfId="0" applyFont="1" applyFill="1" applyBorder="1" applyAlignment="1">
      <alignment horizontal="center" vertical="center"/>
    </xf>
    <xf numFmtId="0" fontId="21" fillId="0" borderId="12" xfId="0" applyFont="1" applyFill="1" applyBorder="1" applyAlignment="1">
      <alignment horizontal="center" vertical="center"/>
    </xf>
    <xf numFmtId="0" fontId="21" fillId="15" borderId="28" xfId="0" applyFont="1" applyFill="1" applyBorder="1" applyAlignment="1">
      <alignment horizontal="center" vertical="center"/>
    </xf>
    <xf numFmtId="0" fontId="21" fillId="15" borderId="29" xfId="0" applyFont="1" applyFill="1" applyBorder="1" applyAlignment="1">
      <alignment horizontal="center" vertical="center"/>
    </xf>
    <xf numFmtId="0" fontId="20" fillId="0" borderId="0" xfId="0" applyFont="1" applyAlignment="1">
      <alignment horizontal="left" vertical="center"/>
    </xf>
    <xf numFmtId="0" fontId="17" fillId="14" borderId="0" xfId="4" applyFont="1" applyAlignment="1">
      <alignment horizontal="center" vertical="center"/>
    </xf>
    <xf numFmtId="0" fontId="2" fillId="16" borderId="0" xfId="7" applyFont="1" applyFill="1" applyAlignment="1">
      <alignment horizontal="left" vertical="center"/>
    </xf>
    <xf numFmtId="0" fontId="20" fillId="0" borderId="0" xfId="0" applyFont="1" applyAlignment="1">
      <alignment horizontal="left" vertical="center" wrapText="1"/>
    </xf>
    <xf numFmtId="0" fontId="11" fillId="0" borderId="0" xfId="0" applyFont="1" applyAlignment="1">
      <alignment horizontal="center" vertical="center"/>
    </xf>
    <xf numFmtId="0" fontId="11" fillId="0" borderId="0" xfId="0" applyFont="1" applyBorder="1" applyAlignment="1">
      <alignment horizontal="left" vertical="center"/>
    </xf>
    <xf numFmtId="0" fontId="16" fillId="13" borderId="22" xfId="3" applyFont="1" applyBorder="1" applyAlignment="1">
      <alignment horizontal="center" vertical="center"/>
    </xf>
    <xf numFmtId="0" fontId="16" fillId="13" borderId="23" xfId="3" applyFont="1" applyBorder="1" applyAlignment="1">
      <alignment horizontal="center" vertical="center"/>
    </xf>
    <xf numFmtId="0" fontId="17" fillId="14" borderId="22" xfId="4" applyFont="1" applyBorder="1" applyAlignment="1">
      <alignment horizontal="center" vertical="center"/>
    </xf>
    <xf numFmtId="0" fontId="17" fillId="14" borderId="23" xfId="4" applyFont="1" applyBorder="1" applyAlignment="1">
      <alignment horizontal="center" vertical="center"/>
    </xf>
    <xf numFmtId="0" fontId="11" fillId="0" borderId="16" xfId="0" applyFont="1" applyBorder="1" applyAlignment="1">
      <alignment horizontal="center" vertical="center"/>
    </xf>
    <xf numFmtId="0" fontId="11" fillId="0" borderId="17" xfId="0" applyFont="1" applyBorder="1" applyAlignment="1">
      <alignment horizontal="center" vertical="center"/>
    </xf>
    <xf numFmtId="0" fontId="11" fillId="0" borderId="18" xfId="0" applyFont="1" applyBorder="1" applyAlignment="1">
      <alignment horizontal="center" vertical="center"/>
    </xf>
    <xf numFmtId="0" fontId="29" fillId="0" borderId="0" xfId="0" applyFont="1" applyBorder="1" applyAlignment="1">
      <alignment horizontal="left" vertical="center"/>
    </xf>
    <xf numFmtId="0" fontId="11" fillId="0" borderId="0" xfId="0" applyFont="1" applyAlignment="1">
      <alignment horizontal="center" vertical="center"/>
    </xf>
    <xf numFmtId="0" fontId="17" fillId="14" borderId="0" xfId="4" applyFont="1" applyAlignment="1">
      <alignment horizontal="center" vertical="center"/>
    </xf>
    <xf numFmtId="0" fontId="17" fillId="14" borderId="0" xfId="4" applyFont="1" applyAlignment="1">
      <alignment horizontal="center" vertical="center" wrapText="1"/>
    </xf>
    <xf numFmtId="0" fontId="26" fillId="0" borderId="0" xfId="6" applyFont="1" applyBorder="1" applyAlignment="1">
      <alignment horizontal="center" vertical="center"/>
    </xf>
    <xf numFmtId="0" fontId="26" fillId="0" borderId="0" xfId="6" applyFont="1" applyAlignment="1">
      <alignment horizontal="center" vertical="center"/>
    </xf>
    <xf numFmtId="0" fontId="11" fillId="0" borderId="0" xfId="0" applyFont="1" applyAlignment="1">
      <alignment horizontal="left" vertical="center"/>
    </xf>
    <xf numFmtId="0" fontId="17" fillId="14" borderId="0" xfId="4" applyFont="1" applyAlignment="1">
      <alignment horizontal="left" vertical="center"/>
    </xf>
    <xf numFmtId="0" fontId="17" fillId="14" borderId="0" xfId="4" applyFont="1" applyAlignment="1">
      <alignment horizontal="left" vertical="center" wrapText="1"/>
    </xf>
  </cellXfs>
  <cellStyles count="9">
    <cellStyle name="一般" xfId="0" builtinId="0"/>
    <cellStyle name="一般 2" xfId="7" xr:uid="{00000000-0005-0000-0000-000001000000}"/>
    <cellStyle name="一般 2 2" xfId="8" xr:uid="{00000000-0005-0000-0000-000002000000}"/>
    <cellStyle name="中等" xfId="2" builtinId="28"/>
    <cellStyle name="備註" xfId="1" builtinId="10"/>
    <cellStyle name="壞" xfId="4" builtinId="27"/>
    <cellStyle name="好" xfId="3" builtinId="26"/>
    <cellStyle name="百分比" xfId="5" builtinId="5"/>
    <cellStyle name="超連結" xfId="6" builtinId="8"/>
  </cellStyles>
  <dxfs count="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3498DB"/>
      <color rgb="FFE95849"/>
      <color rgb="FFE67E22"/>
      <color rgb="FF1ABC9C"/>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15</xdr:col>
      <xdr:colOff>571500</xdr:colOff>
      <xdr:row>19</xdr:row>
      <xdr:rowOff>0</xdr:rowOff>
    </xdr:from>
    <xdr:to>
      <xdr:col>15</xdr:col>
      <xdr:colOff>1943100</xdr:colOff>
      <xdr:row>22</xdr:row>
      <xdr:rowOff>0</xdr:rowOff>
    </xdr:to>
    <xdr:sp macro="[0]!ScanFBNorm" textlink="">
      <xdr:nvSpPr>
        <xdr:cNvPr id="13" name="矩形 12">
          <a:extLst>
            <a:ext uri="{FF2B5EF4-FFF2-40B4-BE49-F238E27FC236}">
              <a16:creationId xmlns:a16="http://schemas.microsoft.com/office/drawing/2014/main" id="{8505A892-593D-4CE3-B5B2-1C10C15E2877}"/>
            </a:ext>
          </a:extLst>
        </xdr:cNvPr>
        <xdr:cNvSpPr/>
      </xdr:nvSpPr>
      <xdr:spPr>
        <a:xfrm>
          <a:off x="10915650" y="3838575"/>
          <a:ext cx="1371600" cy="600075"/>
        </a:xfrm>
        <a:prstGeom prst="rect">
          <a:avLst/>
        </a:prstGeom>
        <a:ln>
          <a:solidFill>
            <a:srgbClr val="E67E22"/>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latin typeface="Segoe UI" panose="020B0502040204020203" pitchFamily="34" charset="0"/>
              <a:ea typeface="微軟正黑體" panose="020B0604030504040204" pitchFamily="34" charset="-120"/>
              <a:cs typeface="Segoe UI" panose="020B0502040204020203" pitchFamily="34" charset="0"/>
            </a:rPr>
            <a:t>地梁</a:t>
          </a:r>
          <a:r>
            <a:rPr lang="zh-TW" altLang="en-US" sz="1400">
              <a:latin typeface="Segoe UI" panose="020B0502040204020203" pitchFamily="34" charset="0"/>
              <a:cs typeface="Segoe UI" panose="020B0502040204020203" pitchFamily="34" charset="0"/>
            </a:rPr>
            <a:t> </a:t>
          </a:r>
          <a:r>
            <a:rPr lang="en-US" altLang="zh-TW" sz="1400">
              <a:latin typeface="Segoe UI" panose="020B0502040204020203" pitchFamily="34" charset="0"/>
              <a:cs typeface="Segoe UI" panose="020B0502040204020203" pitchFamily="34" charset="0"/>
            </a:rPr>
            <a:t>SCAN</a:t>
          </a:r>
          <a:endParaRPr lang="zh-TW" altLang="en-US" sz="1400">
            <a:latin typeface="Segoe UI" panose="020B0502040204020203" pitchFamily="34" charset="0"/>
            <a:cs typeface="Segoe UI" panose="020B0502040204020203" pitchFamily="34" charset="0"/>
          </a:endParaRPr>
        </a:p>
      </xdr:txBody>
    </xdr:sp>
    <xdr:clientData/>
  </xdr:twoCellAnchor>
  <xdr:twoCellAnchor>
    <xdr:from>
      <xdr:col>14</xdr:col>
      <xdr:colOff>0</xdr:colOff>
      <xdr:row>19</xdr:row>
      <xdr:rowOff>0</xdr:rowOff>
    </xdr:from>
    <xdr:to>
      <xdr:col>15</xdr:col>
      <xdr:colOff>571500</xdr:colOff>
      <xdr:row>22</xdr:row>
      <xdr:rowOff>0</xdr:rowOff>
    </xdr:to>
    <xdr:sp macro="[0]!ScanBeamNorm" textlink="">
      <xdr:nvSpPr>
        <xdr:cNvPr id="14" name="矩形 13">
          <a:extLst>
            <a:ext uri="{FF2B5EF4-FFF2-40B4-BE49-F238E27FC236}">
              <a16:creationId xmlns:a16="http://schemas.microsoft.com/office/drawing/2014/main" id="{C4C89934-072A-47E4-B161-FA1B53A9B664}"/>
            </a:ext>
          </a:extLst>
        </xdr:cNvPr>
        <xdr:cNvSpPr/>
      </xdr:nvSpPr>
      <xdr:spPr>
        <a:xfrm>
          <a:off x="9544050" y="3838575"/>
          <a:ext cx="1371600" cy="600075"/>
        </a:xfrm>
        <a:prstGeom prst="rect">
          <a:avLst/>
        </a:prstGeom>
        <a:ln>
          <a:solidFill>
            <a:srgbClr val="E95849"/>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latin typeface="Segoe UI" panose="020B0502040204020203" pitchFamily="34" charset="0"/>
              <a:ea typeface="微軟正黑體" panose="020B0604030504040204" pitchFamily="34" charset="-120"/>
              <a:cs typeface="Segoe UI" panose="020B0502040204020203" pitchFamily="34" charset="0"/>
            </a:rPr>
            <a:t>小梁</a:t>
          </a:r>
          <a:r>
            <a:rPr lang="zh-TW" altLang="en-US" sz="1400">
              <a:latin typeface="Segoe UI" panose="020B0502040204020203" pitchFamily="34" charset="0"/>
              <a:cs typeface="Segoe UI" panose="020B0502040204020203" pitchFamily="34" charset="0"/>
            </a:rPr>
            <a:t> </a:t>
          </a:r>
          <a:r>
            <a:rPr lang="en-US" altLang="zh-TW" sz="1400">
              <a:latin typeface="Segoe UI" panose="020B0502040204020203" pitchFamily="34" charset="0"/>
              <a:cs typeface="Segoe UI" panose="020B0502040204020203" pitchFamily="34" charset="0"/>
            </a:rPr>
            <a:t>SCAN</a:t>
          </a:r>
          <a:endParaRPr lang="zh-TW" altLang="en-US" sz="1400">
            <a:latin typeface="Segoe UI" panose="020B0502040204020203" pitchFamily="34" charset="0"/>
            <a:cs typeface="Segoe UI" panose="020B0502040204020203" pitchFamily="34" charset="0"/>
          </a:endParaRPr>
        </a:p>
      </xdr:txBody>
    </xdr:sp>
    <xdr:clientData/>
  </xdr:twoCellAnchor>
  <xdr:twoCellAnchor>
    <xdr:from>
      <xdr:col>15</xdr:col>
      <xdr:colOff>571500</xdr:colOff>
      <xdr:row>16</xdr:row>
      <xdr:rowOff>0</xdr:rowOff>
    </xdr:from>
    <xdr:to>
      <xdr:col>15</xdr:col>
      <xdr:colOff>1943100</xdr:colOff>
      <xdr:row>19</xdr:row>
      <xdr:rowOff>0</xdr:rowOff>
    </xdr:to>
    <xdr:sp macro="[0]!ScanGirderNorm" textlink="">
      <xdr:nvSpPr>
        <xdr:cNvPr id="15" name="矩形 14">
          <a:extLst>
            <a:ext uri="{FF2B5EF4-FFF2-40B4-BE49-F238E27FC236}">
              <a16:creationId xmlns:a16="http://schemas.microsoft.com/office/drawing/2014/main" id="{61C63185-7377-49A1-81C3-A78F3E199E94}"/>
            </a:ext>
          </a:extLst>
        </xdr:cNvPr>
        <xdr:cNvSpPr/>
      </xdr:nvSpPr>
      <xdr:spPr>
        <a:xfrm>
          <a:off x="10915650" y="3238500"/>
          <a:ext cx="1371600" cy="600075"/>
        </a:xfrm>
        <a:prstGeom prst="rect">
          <a:avLst/>
        </a:prstGeom>
        <a:ln>
          <a:solidFill>
            <a:srgbClr val="3498DB"/>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latin typeface="Segoe UI" panose="020B0502040204020203" pitchFamily="34" charset="0"/>
              <a:ea typeface="微軟正黑體" panose="020B0604030504040204" pitchFamily="34" charset="-120"/>
              <a:cs typeface="Segoe UI" panose="020B0502040204020203" pitchFamily="34" charset="0"/>
            </a:rPr>
            <a:t>大梁</a:t>
          </a:r>
          <a:r>
            <a:rPr lang="zh-TW" altLang="en-US" sz="1400">
              <a:latin typeface="Segoe UI" panose="020B0502040204020203" pitchFamily="34" charset="0"/>
              <a:cs typeface="Segoe UI" panose="020B0502040204020203" pitchFamily="34" charset="0"/>
            </a:rPr>
            <a:t> </a:t>
          </a:r>
          <a:r>
            <a:rPr lang="en-US" altLang="zh-TW" sz="1400">
              <a:latin typeface="Segoe UI" panose="020B0502040204020203" pitchFamily="34" charset="0"/>
              <a:cs typeface="Segoe UI" panose="020B0502040204020203" pitchFamily="34" charset="0"/>
            </a:rPr>
            <a:t>SCAN</a:t>
          </a:r>
          <a:endParaRPr lang="zh-TW" altLang="en-US" sz="1400">
            <a:latin typeface="Segoe UI" panose="020B0502040204020203" pitchFamily="34" charset="0"/>
            <a:cs typeface="Segoe UI" panose="020B0502040204020203" pitchFamily="34" charset="0"/>
          </a:endParaRPr>
        </a:p>
      </xdr:txBody>
    </xdr:sp>
    <xdr:clientData/>
  </xdr:twoCellAnchor>
  <xdr:twoCellAnchor>
    <xdr:from>
      <xdr:col>14</xdr:col>
      <xdr:colOff>0</xdr:colOff>
      <xdr:row>16</xdr:row>
      <xdr:rowOff>0</xdr:rowOff>
    </xdr:from>
    <xdr:to>
      <xdr:col>15</xdr:col>
      <xdr:colOff>571500</xdr:colOff>
      <xdr:row>19</xdr:row>
      <xdr:rowOff>0</xdr:rowOff>
    </xdr:to>
    <xdr:sp macro="[0]!ScanColumnNorm" textlink="">
      <xdr:nvSpPr>
        <xdr:cNvPr id="12" name="矩形 11">
          <a:extLst>
            <a:ext uri="{FF2B5EF4-FFF2-40B4-BE49-F238E27FC236}">
              <a16:creationId xmlns:a16="http://schemas.microsoft.com/office/drawing/2014/main" id="{94320EE2-9EDA-4CDB-A04A-B0F956C80971}"/>
            </a:ext>
          </a:extLst>
        </xdr:cNvPr>
        <xdr:cNvSpPr/>
      </xdr:nvSpPr>
      <xdr:spPr>
        <a:xfrm>
          <a:off x="9544050" y="3238500"/>
          <a:ext cx="1371600" cy="600075"/>
        </a:xfrm>
        <a:prstGeom prst="rect">
          <a:avLst/>
        </a:prstGeom>
        <a:noFill/>
        <a:ln>
          <a:solidFill>
            <a:srgbClr val="1ABC9C"/>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solidFill>
                <a:sysClr val="windowText" lastClr="000000"/>
              </a:solidFill>
              <a:latin typeface="Segoe UI" panose="020B0502040204020203" pitchFamily="34" charset="0"/>
              <a:ea typeface="微軟正黑體" panose="020B0604030504040204" pitchFamily="34" charset="-120"/>
              <a:cs typeface="Segoe UI" panose="020B0502040204020203" pitchFamily="34" charset="0"/>
            </a:rPr>
            <a:t>柱</a:t>
          </a:r>
          <a:r>
            <a:rPr lang="zh-TW" altLang="en-US" sz="1400">
              <a:solidFill>
                <a:sysClr val="windowText" lastClr="000000"/>
              </a:solidFill>
              <a:latin typeface="Segoe UI" panose="020B0502040204020203" pitchFamily="34" charset="0"/>
              <a:cs typeface="Segoe UI" panose="020B0502040204020203" pitchFamily="34" charset="0"/>
            </a:rPr>
            <a:t> </a:t>
          </a:r>
          <a:r>
            <a:rPr lang="en-US" altLang="zh-TW" sz="1400">
              <a:solidFill>
                <a:sysClr val="windowText" lastClr="000000"/>
              </a:solidFill>
              <a:latin typeface="Segoe UI" panose="020B0502040204020203" pitchFamily="34" charset="0"/>
              <a:cs typeface="Segoe UI" panose="020B0502040204020203" pitchFamily="34" charset="0"/>
            </a:rPr>
            <a:t>SCAN</a:t>
          </a:r>
          <a:endParaRPr lang="zh-TW" altLang="en-US" sz="1400">
            <a:solidFill>
              <a:sysClr val="windowText" lastClr="000000"/>
            </a:solidFill>
            <a:latin typeface="Segoe UI" panose="020B0502040204020203" pitchFamily="34" charset="0"/>
            <a:cs typeface="Segoe UI" panose="020B0502040204020203"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4</xdr:col>
      <xdr:colOff>0</xdr:colOff>
      <xdr:row>50</xdr:row>
      <xdr:rowOff>142932</xdr:rowOff>
    </xdr:from>
    <xdr:ext cx="4118040" cy="451428"/>
    <xdr:pic>
      <xdr:nvPicPr>
        <xdr:cNvPr id="2" name="圖片 1">
          <a:extLst>
            <a:ext uri="{FF2B5EF4-FFF2-40B4-BE49-F238E27FC236}">
              <a16:creationId xmlns:a16="http://schemas.microsoft.com/office/drawing/2014/main" id="{313D0DD8-9AC7-4EE5-8FED-7401DB62C37B}"/>
            </a:ext>
          </a:extLst>
        </xdr:cNvPr>
        <xdr:cNvPicPr>
          <a:picLocks noChangeAspect="1"/>
        </xdr:cNvPicPr>
      </xdr:nvPicPr>
      <xdr:blipFill>
        <a:blip xmlns:r="http://schemas.openxmlformats.org/officeDocument/2006/relationships" r:embed="rId1"/>
        <a:stretch>
          <a:fillRect/>
        </a:stretch>
      </xdr:blipFill>
      <xdr:spPr>
        <a:xfrm>
          <a:off x="685800" y="5162607"/>
          <a:ext cx="4118040" cy="451428"/>
        </a:xfrm>
        <a:prstGeom prst="rect">
          <a:avLst/>
        </a:prstGeom>
      </xdr:spPr>
    </xdr:pic>
    <xdr:clientData/>
  </xdr:oneCellAnchor>
  <xdr:twoCellAnchor editAs="oneCell">
    <xdr:from>
      <xdr:col>4</xdr:col>
      <xdr:colOff>0</xdr:colOff>
      <xdr:row>63</xdr:row>
      <xdr:rowOff>0</xdr:rowOff>
    </xdr:from>
    <xdr:to>
      <xdr:col>7</xdr:col>
      <xdr:colOff>285468</xdr:colOff>
      <xdr:row>70</xdr:row>
      <xdr:rowOff>9349</xdr:rowOff>
    </xdr:to>
    <xdr:pic>
      <xdr:nvPicPr>
        <xdr:cNvPr id="3" name="圖片 2">
          <a:extLst>
            <a:ext uri="{FF2B5EF4-FFF2-40B4-BE49-F238E27FC236}">
              <a16:creationId xmlns:a16="http://schemas.microsoft.com/office/drawing/2014/main" id="{3481144B-D378-4C45-B72E-D931A85CBCAD}"/>
            </a:ext>
          </a:extLst>
        </xdr:cNvPr>
        <xdr:cNvPicPr>
          <a:picLocks noChangeAspect="1"/>
        </xdr:cNvPicPr>
      </xdr:nvPicPr>
      <xdr:blipFill>
        <a:blip xmlns:r="http://schemas.openxmlformats.org/officeDocument/2006/relationships" r:embed="rId2"/>
        <a:stretch>
          <a:fillRect/>
        </a:stretch>
      </xdr:blipFill>
      <xdr:spPr>
        <a:xfrm>
          <a:off x="3009900" y="7219950"/>
          <a:ext cx="2257143" cy="1409524"/>
        </a:xfrm>
        <a:prstGeom prst="rect">
          <a:avLst/>
        </a:prstGeom>
      </xdr:spPr>
    </xdr:pic>
    <xdr:clientData/>
  </xdr:twoCellAnchor>
  <xdr:twoCellAnchor editAs="oneCell">
    <xdr:from>
      <xdr:col>4</xdr:col>
      <xdr:colOff>0</xdr:colOff>
      <xdr:row>72</xdr:row>
      <xdr:rowOff>0</xdr:rowOff>
    </xdr:from>
    <xdr:to>
      <xdr:col>14</xdr:col>
      <xdr:colOff>161083</xdr:colOff>
      <xdr:row>88</xdr:row>
      <xdr:rowOff>123409</xdr:rowOff>
    </xdr:to>
    <xdr:pic>
      <xdr:nvPicPr>
        <xdr:cNvPr id="4" name="圖片 3">
          <a:extLst>
            <a:ext uri="{FF2B5EF4-FFF2-40B4-BE49-F238E27FC236}">
              <a16:creationId xmlns:a16="http://schemas.microsoft.com/office/drawing/2014/main" id="{03A450BB-E0B4-4716-B0FC-18554885D7E4}"/>
            </a:ext>
          </a:extLst>
        </xdr:cNvPr>
        <xdr:cNvPicPr>
          <a:picLocks noChangeAspect="1"/>
        </xdr:cNvPicPr>
      </xdr:nvPicPr>
      <xdr:blipFill>
        <a:blip xmlns:r="http://schemas.openxmlformats.org/officeDocument/2006/relationships" r:embed="rId3"/>
        <a:stretch>
          <a:fillRect/>
        </a:stretch>
      </xdr:blipFill>
      <xdr:spPr>
        <a:xfrm>
          <a:off x="3009900" y="9020175"/>
          <a:ext cx="6733333" cy="3323809"/>
        </a:xfrm>
        <a:prstGeom prst="rect">
          <a:avLst/>
        </a:prstGeom>
      </xdr:spPr>
    </xdr:pic>
    <xdr:clientData/>
  </xdr:twoCellAnchor>
  <xdr:twoCellAnchor editAs="oneCell">
    <xdr:from>
      <xdr:col>4</xdr:col>
      <xdr:colOff>0</xdr:colOff>
      <xdr:row>93</xdr:row>
      <xdr:rowOff>0</xdr:rowOff>
    </xdr:from>
    <xdr:to>
      <xdr:col>18</xdr:col>
      <xdr:colOff>551231</xdr:colOff>
      <xdr:row>96</xdr:row>
      <xdr:rowOff>28496</xdr:rowOff>
    </xdr:to>
    <xdr:pic>
      <xdr:nvPicPr>
        <xdr:cNvPr id="5" name="圖片 4">
          <a:extLst>
            <a:ext uri="{FF2B5EF4-FFF2-40B4-BE49-F238E27FC236}">
              <a16:creationId xmlns:a16="http://schemas.microsoft.com/office/drawing/2014/main" id="{8F5AFED3-08E6-468F-8B4F-E94ECDFFCA7A}"/>
            </a:ext>
          </a:extLst>
        </xdr:cNvPr>
        <xdr:cNvPicPr>
          <a:picLocks noChangeAspect="1"/>
        </xdr:cNvPicPr>
      </xdr:nvPicPr>
      <xdr:blipFill>
        <a:blip xmlns:r="http://schemas.openxmlformats.org/officeDocument/2006/relationships" r:embed="rId4"/>
        <a:stretch>
          <a:fillRect/>
        </a:stretch>
      </xdr:blipFill>
      <xdr:spPr>
        <a:xfrm>
          <a:off x="3009900" y="13220700"/>
          <a:ext cx="9752381" cy="628571"/>
        </a:xfrm>
        <a:prstGeom prst="rect">
          <a:avLst/>
        </a:prstGeom>
      </xdr:spPr>
    </xdr:pic>
    <xdr:clientData/>
  </xdr:twoCellAnchor>
  <xdr:twoCellAnchor editAs="oneCell">
    <xdr:from>
      <xdr:col>4</xdr:col>
      <xdr:colOff>0</xdr:colOff>
      <xdr:row>97</xdr:row>
      <xdr:rowOff>0</xdr:rowOff>
    </xdr:from>
    <xdr:to>
      <xdr:col>17</xdr:col>
      <xdr:colOff>37027</xdr:colOff>
      <xdr:row>132</xdr:row>
      <xdr:rowOff>75315</xdr:rowOff>
    </xdr:to>
    <xdr:pic>
      <xdr:nvPicPr>
        <xdr:cNvPr id="6" name="圖片 5">
          <a:extLst>
            <a:ext uri="{FF2B5EF4-FFF2-40B4-BE49-F238E27FC236}">
              <a16:creationId xmlns:a16="http://schemas.microsoft.com/office/drawing/2014/main" id="{2C3F4E01-49CE-46DA-A9E5-165AF0CE63F4}"/>
            </a:ext>
          </a:extLst>
        </xdr:cNvPr>
        <xdr:cNvPicPr>
          <a:picLocks noChangeAspect="1"/>
        </xdr:cNvPicPr>
      </xdr:nvPicPr>
      <xdr:blipFill>
        <a:blip xmlns:r="http://schemas.openxmlformats.org/officeDocument/2006/relationships" r:embed="rId5"/>
        <a:stretch>
          <a:fillRect/>
        </a:stretch>
      </xdr:blipFill>
      <xdr:spPr>
        <a:xfrm>
          <a:off x="3009900" y="14020800"/>
          <a:ext cx="8580952" cy="7076190"/>
        </a:xfrm>
        <a:prstGeom prst="rect">
          <a:avLst/>
        </a:prstGeom>
      </xdr:spPr>
    </xdr:pic>
    <xdr:clientData/>
  </xdr:twoCellAnchor>
  <xdr:twoCellAnchor editAs="oneCell">
    <xdr:from>
      <xdr:col>4</xdr:col>
      <xdr:colOff>0</xdr:colOff>
      <xdr:row>135</xdr:row>
      <xdr:rowOff>0</xdr:rowOff>
    </xdr:from>
    <xdr:to>
      <xdr:col>23</xdr:col>
      <xdr:colOff>65106</xdr:colOff>
      <xdr:row>139</xdr:row>
      <xdr:rowOff>57043</xdr:rowOff>
    </xdr:to>
    <xdr:pic>
      <xdr:nvPicPr>
        <xdr:cNvPr id="7" name="圖片 6">
          <a:extLst>
            <a:ext uri="{FF2B5EF4-FFF2-40B4-BE49-F238E27FC236}">
              <a16:creationId xmlns:a16="http://schemas.microsoft.com/office/drawing/2014/main" id="{F89B3495-C86E-4767-BD8B-FF2E42F2AE20}"/>
            </a:ext>
          </a:extLst>
        </xdr:cNvPr>
        <xdr:cNvPicPr>
          <a:picLocks noChangeAspect="1"/>
        </xdr:cNvPicPr>
      </xdr:nvPicPr>
      <xdr:blipFill>
        <a:blip xmlns:r="http://schemas.openxmlformats.org/officeDocument/2006/relationships" r:embed="rId6"/>
        <a:stretch>
          <a:fillRect/>
        </a:stretch>
      </xdr:blipFill>
      <xdr:spPr>
        <a:xfrm>
          <a:off x="3009900" y="21621750"/>
          <a:ext cx="12552381" cy="857143"/>
        </a:xfrm>
        <a:prstGeom prst="rect">
          <a:avLst/>
        </a:prstGeom>
      </xdr:spPr>
    </xdr:pic>
    <xdr:clientData/>
  </xdr:twoCellAnchor>
  <xdr:twoCellAnchor editAs="oneCell">
    <xdr:from>
      <xdr:col>4</xdr:col>
      <xdr:colOff>0</xdr:colOff>
      <xdr:row>139</xdr:row>
      <xdr:rowOff>0</xdr:rowOff>
    </xdr:from>
    <xdr:to>
      <xdr:col>23</xdr:col>
      <xdr:colOff>46058</xdr:colOff>
      <xdr:row>140</xdr:row>
      <xdr:rowOff>123785</xdr:rowOff>
    </xdr:to>
    <xdr:pic>
      <xdr:nvPicPr>
        <xdr:cNvPr id="8" name="圖片 7">
          <a:extLst>
            <a:ext uri="{FF2B5EF4-FFF2-40B4-BE49-F238E27FC236}">
              <a16:creationId xmlns:a16="http://schemas.microsoft.com/office/drawing/2014/main" id="{15A94593-EC72-4CC3-B620-7262B7EADB96}"/>
            </a:ext>
          </a:extLst>
        </xdr:cNvPr>
        <xdr:cNvPicPr>
          <a:picLocks noChangeAspect="1"/>
        </xdr:cNvPicPr>
      </xdr:nvPicPr>
      <xdr:blipFill>
        <a:blip xmlns:r="http://schemas.openxmlformats.org/officeDocument/2006/relationships" r:embed="rId7"/>
        <a:stretch>
          <a:fillRect/>
        </a:stretch>
      </xdr:blipFill>
      <xdr:spPr>
        <a:xfrm>
          <a:off x="3009900" y="22421850"/>
          <a:ext cx="12533333" cy="323810"/>
        </a:xfrm>
        <a:prstGeom prst="rect">
          <a:avLst/>
        </a:prstGeom>
      </xdr:spPr>
    </xdr:pic>
    <xdr:clientData/>
  </xdr:twoCellAnchor>
  <xdr:twoCellAnchor editAs="oneCell">
    <xdr:from>
      <xdr:col>4</xdr:col>
      <xdr:colOff>0</xdr:colOff>
      <xdr:row>141</xdr:row>
      <xdr:rowOff>0</xdr:rowOff>
    </xdr:from>
    <xdr:to>
      <xdr:col>20</xdr:col>
      <xdr:colOff>227257</xdr:colOff>
      <xdr:row>160</xdr:row>
      <xdr:rowOff>170954</xdr:rowOff>
    </xdr:to>
    <xdr:pic>
      <xdr:nvPicPr>
        <xdr:cNvPr id="9" name="圖片 8">
          <a:extLst>
            <a:ext uri="{FF2B5EF4-FFF2-40B4-BE49-F238E27FC236}">
              <a16:creationId xmlns:a16="http://schemas.microsoft.com/office/drawing/2014/main" id="{97F6F865-9D84-41E6-B9A8-760260647CED}"/>
            </a:ext>
          </a:extLst>
        </xdr:cNvPr>
        <xdr:cNvPicPr>
          <a:picLocks noChangeAspect="1"/>
        </xdr:cNvPicPr>
      </xdr:nvPicPr>
      <xdr:blipFill>
        <a:blip xmlns:r="http://schemas.openxmlformats.org/officeDocument/2006/relationships" r:embed="rId8"/>
        <a:stretch>
          <a:fillRect/>
        </a:stretch>
      </xdr:blipFill>
      <xdr:spPr>
        <a:xfrm>
          <a:off x="3009900" y="22821900"/>
          <a:ext cx="10742857" cy="3971429"/>
        </a:xfrm>
        <a:prstGeom prst="rect">
          <a:avLst/>
        </a:prstGeom>
      </xdr:spPr>
    </xdr:pic>
    <xdr:clientData/>
  </xdr:twoCellAnchor>
  <xdr:twoCellAnchor editAs="oneCell">
    <xdr:from>
      <xdr:col>4</xdr:col>
      <xdr:colOff>0</xdr:colOff>
      <xdr:row>162</xdr:row>
      <xdr:rowOff>0</xdr:rowOff>
    </xdr:from>
    <xdr:to>
      <xdr:col>18</xdr:col>
      <xdr:colOff>541707</xdr:colOff>
      <xdr:row>198</xdr:row>
      <xdr:rowOff>113386</xdr:rowOff>
    </xdr:to>
    <xdr:pic>
      <xdr:nvPicPr>
        <xdr:cNvPr id="10" name="圖片 9">
          <a:extLst>
            <a:ext uri="{FF2B5EF4-FFF2-40B4-BE49-F238E27FC236}">
              <a16:creationId xmlns:a16="http://schemas.microsoft.com/office/drawing/2014/main" id="{D3E61061-4463-4CAB-95BD-6D3ED462AADF}"/>
            </a:ext>
          </a:extLst>
        </xdr:cNvPr>
        <xdr:cNvPicPr>
          <a:picLocks noChangeAspect="1"/>
        </xdr:cNvPicPr>
      </xdr:nvPicPr>
      <xdr:blipFill>
        <a:blip xmlns:r="http://schemas.openxmlformats.org/officeDocument/2006/relationships" r:embed="rId9"/>
        <a:stretch>
          <a:fillRect/>
        </a:stretch>
      </xdr:blipFill>
      <xdr:spPr>
        <a:xfrm>
          <a:off x="3009900" y="27022425"/>
          <a:ext cx="9742857" cy="7314286"/>
        </a:xfrm>
        <a:prstGeom prst="rect">
          <a:avLst/>
        </a:prstGeom>
      </xdr:spPr>
    </xdr:pic>
    <xdr:clientData/>
  </xdr:twoCellAnchor>
  <xdr:twoCellAnchor editAs="oneCell">
    <xdr:from>
      <xdr:col>4</xdr:col>
      <xdr:colOff>0</xdr:colOff>
      <xdr:row>201</xdr:row>
      <xdr:rowOff>0</xdr:rowOff>
    </xdr:from>
    <xdr:to>
      <xdr:col>26</xdr:col>
      <xdr:colOff>74383</xdr:colOff>
      <xdr:row>203</xdr:row>
      <xdr:rowOff>142807</xdr:rowOff>
    </xdr:to>
    <xdr:pic>
      <xdr:nvPicPr>
        <xdr:cNvPr id="11" name="圖片 10">
          <a:extLst>
            <a:ext uri="{FF2B5EF4-FFF2-40B4-BE49-F238E27FC236}">
              <a16:creationId xmlns:a16="http://schemas.microsoft.com/office/drawing/2014/main" id="{F66904C1-260D-46C6-9DAD-C75A1A1B0417}"/>
            </a:ext>
          </a:extLst>
        </xdr:cNvPr>
        <xdr:cNvPicPr>
          <a:picLocks noChangeAspect="1"/>
        </xdr:cNvPicPr>
      </xdr:nvPicPr>
      <xdr:blipFill>
        <a:blip xmlns:r="http://schemas.openxmlformats.org/officeDocument/2006/relationships" r:embed="rId10"/>
        <a:stretch>
          <a:fillRect/>
        </a:stretch>
      </xdr:blipFill>
      <xdr:spPr>
        <a:xfrm>
          <a:off x="3009900" y="34823400"/>
          <a:ext cx="14533333" cy="542857"/>
        </a:xfrm>
        <a:prstGeom prst="rect">
          <a:avLst/>
        </a:prstGeom>
      </xdr:spPr>
    </xdr:pic>
    <xdr:clientData/>
  </xdr:twoCellAnchor>
  <xdr:twoCellAnchor editAs="oneCell">
    <xdr:from>
      <xdr:col>4</xdr:col>
      <xdr:colOff>0</xdr:colOff>
      <xdr:row>204</xdr:row>
      <xdr:rowOff>0</xdr:rowOff>
    </xdr:from>
    <xdr:to>
      <xdr:col>19</xdr:col>
      <xdr:colOff>17815</xdr:colOff>
      <xdr:row>240</xdr:row>
      <xdr:rowOff>84814</xdr:rowOff>
    </xdr:to>
    <xdr:pic>
      <xdr:nvPicPr>
        <xdr:cNvPr id="12" name="圖片 11">
          <a:extLst>
            <a:ext uri="{FF2B5EF4-FFF2-40B4-BE49-F238E27FC236}">
              <a16:creationId xmlns:a16="http://schemas.microsoft.com/office/drawing/2014/main" id="{35C96A90-39B9-48E7-8C9E-606FE9A54D40}"/>
            </a:ext>
          </a:extLst>
        </xdr:cNvPr>
        <xdr:cNvPicPr>
          <a:picLocks noChangeAspect="1"/>
        </xdr:cNvPicPr>
      </xdr:nvPicPr>
      <xdr:blipFill>
        <a:blip xmlns:r="http://schemas.openxmlformats.org/officeDocument/2006/relationships" r:embed="rId11"/>
        <a:stretch>
          <a:fillRect/>
        </a:stretch>
      </xdr:blipFill>
      <xdr:spPr>
        <a:xfrm>
          <a:off x="3009900" y="35423475"/>
          <a:ext cx="9876190" cy="728571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10</xdr:col>
      <xdr:colOff>1771650</xdr:colOff>
      <xdr:row>54</xdr:row>
      <xdr:rowOff>142875</xdr:rowOff>
    </xdr:from>
    <xdr:to>
      <xdr:col>13</xdr:col>
      <xdr:colOff>161925</xdr:colOff>
      <xdr:row>57</xdr:row>
      <xdr:rowOff>47625</xdr:rowOff>
    </xdr:to>
    <xdr:sp macro="" textlink="">
      <xdr:nvSpPr>
        <xdr:cNvPr id="2" name="橢圓 1">
          <a:extLst>
            <a:ext uri="{FF2B5EF4-FFF2-40B4-BE49-F238E27FC236}">
              <a16:creationId xmlns:a16="http://schemas.microsoft.com/office/drawing/2014/main" id="{D4FDF7C9-1743-4E4C-9823-F91BF86F6EF7}"/>
            </a:ext>
          </a:extLst>
        </xdr:cNvPr>
        <xdr:cNvSpPr/>
      </xdr:nvSpPr>
      <xdr:spPr>
        <a:xfrm>
          <a:off x="11087100" y="13020675"/>
          <a:ext cx="6419850" cy="6191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10</xdr:col>
      <xdr:colOff>1495425</xdr:colOff>
      <xdr:row>156</xdr:row>
      <xdr:rowOff>200025</xdr:rowOff>
    </xdr:from>
    <xdr:to>
      <xdr:col>12</xdr:col>
      <xdr:colOff>2971800</xdr:colOff>
      <xdr:row>162</xdr:row>
      <xdr:rowOff>38100</xdr:rowOff>
    </xdr:to>
    <xdr:sp macro="" textlink="">
      <xdr:nvSpPr>
        <xdr:cNvPr id="3" name="橢圓 2">
          <a:extLst>
            <a:ext uri="{FF2B5EF4-FFF2-40B4-BE49-F238E27FC236}">
              <a16:creationId xmlns:a16="http://schemas.microsoft.com/office/drawing/2014/main" id="{2C3C0106-52F9-4832-9E7D-58E9C73D3ADC}"/>
            </a:ext>
          </a:extLst>
        </xdr:cNvPr>
        <xdr:cNvSpPr/>
      </xdr:nvSpPr>
      <xdr:spPr>
        <a:xfrm>
          <a:off x="10810875" y="37423725"/>
          <a:ext cx="6419850" cy="12668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4</xdr:col>
      <xdr:colOff>742949</xdr:colOff>
      <xdr:row>253</xdr:row>
      <xdr:rowOff>104775</xdr:rowOff>
    </xdr:from>
    <xdr:to>
      <xdr:col>13</xdr:col>
      <xdr:colOff>142874</xdr:colOff>
      <xdr:row>255</xdr:row>
      <xdr:rowOff>171450</xdr:rowOff>
    </xdr:to>
    <xdr:sp macro="" textlink="">
      <xdr:nvSpPr>
        <xdr:cNvPr id="4" name="橢圓 3">
          <a:extLst>
            <a:ext uri="{FF2B5EF4-FFF2-40B4-BE49-F238E27FC236}">
              <a16:creationId xmlns:a16="http://schemas.microsoft.com/office/drawing/2014/main" id="{59ECC65B-3634-4568-831A-71146D47432E}"/>
            </a:ext>
          </a:extLst>
        </xdr:cNvPr>
        <xdr:cNvSpPr/>
      </xdr:nvSpPr>
      <xdr:spPr>
        <a:xfrm>
          <a:off x="3705224" y="60340875"/>
          <a:ext cx="13782675"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7</xdr:col>
      <xdr:colOff>381001</xdr:colOff>
      <xdr:row>195</xdr:row>
      <xdr:rowOff>66675</xdr:rowOff>
    </xdr:from>
    <xdr:to>
      <xdr:col>13</xdr:col>
      <xdr:colOff>371476</xdr:colOff>
      <xdr:row>197</xdr:row>
      <xdr:rowOff>133350</xdr:rowOff>
    </xdr:to>
    <xdr:sp macro="" textlink="">
      <xdr:nvSpPr>
        <xdr:cNvPr id="5" name="橢圓 4">
          <a:extLst>
            <a:ext uri="{FF2B5EF4-FFF2-40B4-BE49-F238E27FC236}">
              <a16:creationId xmlns:a16="http://schemas.microsoft.com/office/drawing/2014/main" id="{33D45C3F-0FF4-44B7-A674-B105FE5D7570}"/>
            </a:ext>
          </a:extLst>
        </xdr:cNvPr>
        <xdr:cNvSpPr/>
      </xdr:nvSpPr>
      <xdr:spPr>
        <a:xfrm>
          <a:off x="6686551" y="46396275"/>
          <a:ext cx="11029950"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hyperlink" Target="mailto:2#4@35" TargetMode="External"/><Relationship Id="rId2" Type="http://schemas.openxmlformats.org/officeDocument/2006/relationships/hyperlink" Target="mailto:2#4@9" TargetMode="External"/><Relationship Id="rId1" Type="http://schemas.openxmlformats.org/officeDocument/2006/relationships/hyperlink" Target="mailto:2#5@10"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8.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8" Type="http://schemas.openxmlformats.org/officeDocument/2006/relationships/hyperlink" Target="mailto:2#4@12" TargetMode="External"/><Relationship Id="rId13" Type="http://schemas.openxmlformats.org/officeDocument/2006/relationships/printerSettings" Target="../printerSettings/printerSettings3.bin"/><Relationship Id="rId3" Type="http://schemas.openxmlformats.org/officeDocument/2006/relationships/hyperlink" Target="mailto:2#4@12" TargetMode="External"/><Relationship Id="rId7" Type="http://schemas.openxmlformats.org/officeDocument/2006/relationships/hyperlink" Target="mailto:2#4@12" TargetMode="External"/><Relationship Id="rId12" Type="http://schemas.openxmlformats.org/officeDocument/2006/relationships/hyperlink" Target="mailto:2#5@35" TargetMode="External"/><Relationship Id="rId2" Type="http://schemas.openxmlformats.org/officeDocument/2006/relationships/hyperlink" Target="mailto:2#4@12" TargetMode="External"/><Relationship Id="rId1" Type="http://schemas.openxmlformats.org/officeDocument/2006/relationships/hyperlink" Target="mailto:#4@15" TargetMode="External"/><Relationship Id="rId6" Type="http://schemas.openxmlformats.org/officeDocument/2006/relationships/hyperlink" Target="mailto:2#4@12" TargetMode="External"/><Relationship Id="rId11" Type="http://schemas.openxmlformats.org/officeDocument/2006/relationships/hyperlink" Target="mailto:2#4@12" TargetMode="External"/><Relationship Id="rId5" Type="http://schemas.openxmlformats.org/officeDocument/2006/relationships/hyperlink" Target="mailto:2#4@12" TargetMode="External"/><Relationship Id="rId15" Type="http://schemas.openxmlformats.org/officeDocument/2006/relationships/comments" Target="../comments3.xml"/><Relationship Id="rId10" Type="http://schemas.openxmlformats.org/officeDocument/2006/relationships/hyperlink" Target="mailto:2#4@9" TargetMode="External"/><Relationship Id="rId4" Type="http://schemas.openxmlformats.org/officeDocument/2006/relationships/hyperlink" Target="mailto:2#4@12" TargetMode="External"/><Relationship Id="rId9" Type="http://schemas.openxmlformats.org/officeDocument/2006/relationships/hyperlink" Target="mailto:2#4@12" TargetMode="External"/><Relationship Id="rId14" Type="http://schemas.openxmlformats.org/officeDocument/2006/relationships/vmlDrawing" Target="../drawings/vmlDrawing3.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2">
    <tabColor theme="9" tint="0.39997558519241921"/>
  </sheetPr>
  <dimension ref="A1:R65"/>
  <sheetViews>
    <sheetView workbookViewId="0">
      <selection activeCell="M12" sqref="M12"/>
    </sheetView>
  </sheetViews>
  <sheetFormatPr defaultColWidth="9" defaultRowHeight="15.75" x14ac:dyDescent="0.25"/>
  <cols>
    <col min="1" max="1" width="10.25" style="14" bestFit="1" customWidth="1"/>
    <col min="2" max="2" width="12.875" style="14" bestFit="1" customWidth="1"/>
    <col min="3" max="3" width="11.375" style="14" customWidth="1"/>
    <col min="4" max="4" width="9" style="10"/>
    <col min="5" max="10" width="9.125" style="11" bestFit="1" customWidth="1"/>
    <col min="11" max="12" width="9" style="11"/>
    <col min="13" max="13" width="9" style="12"/>
    <col min="14" max="14" width="9" style="14"/>
    <col min="15" max="15" width="10.5" style="14" bestFit="1" customWidth="1"/>
    <col min="16" max="16" width="76.75" style="14" bestFit="1" customWidth="1"/>
    <col min="17" max="16384" width="9" style="14"/>
  </cols>
  <sheetData>
    <row r="1" spans="1:18" ht="16.5" thickBot="1" x14ac:dyDescent="0.3">
      <c r="A1" s="14" t="s">
        <v>222</v>
      </c>
      <c r="B1" s="15">
        <f ca="1">NOW()</f>
        <v>43444.759614236114</v>
      </c>
      <c r="C1" s="15"/>
      <c r="D1" s="7" t="s">
        <v>862</v>
      </c>
      <c r="E1" s="8" t="s">
        <v>863</v>
      </c>
      <c r="F1" s="8" t="s">
        <v>864</v>
      </c>
      <c r="G1" s="8" t="s">
        <v>878</v>
      </c>
      <c r="H1" s="8" t="s">
        <v>879</v>
      </c>
      <c r="I1" s="8" t="s">
        <v>865</v>
      </c>
      <c r="J1" s="8" t="s">
        <v>866</v>
      </c>
      <c r="K1" s="8" t="s">
        <v>1134</v>
      </c>
      <c r="L1" s="8" t="s">
        <v>1138</v>
      </c>
      <c r="M1" s="9" t="s">
        <v>1139</v>
      </c>
      <c r="O1" s="169" t="s">
        <v>419</v>
      </c>
      <c r="P1" s="170"/>
    </row>
    <row r="2" spans="1:18" ht="16.5" thickTop="1" x14ac:dyDescent="0.25">
      <c r="A2" s="14" t="s">
        <v>223</v>
      </c>
      <c r="D2" s="158" t="s">
        <v>292</v>
      </c>
      <c r="E2" s="159">
        <v>4200</v>
      </c>
      <c r="F2" s="159">
        <v>4200</v>
      </c>
      <c r="G2" s="159">
        <v>245</v>
      </c>
      <c r="H2" s="159">
        <v>245</v>
      </c>
      <c r="I2" s="159">
        <v>0.3</v>
      </c>
      <c r="J2" s="159">
        <v>0.3</v>
      </c>
      <c r="K2" s="159">
        <v>3</v>
      </c>
      <c r="L2" s="159">
        <v>15</v>
      </c>
      <c r="M2" s="160">
        <v>4</v>
      </c>
      <c r="O2" s="16">
        <v>1</v>
      </c>
      <c r="P2" s="20" t="s">
        <v>420</v>
      </c>
    </row>
    <row r="3" spans="1:18" x14ac:dyDescent="0.25">
      <c r="A3" s="14" t="s">
        <v>224</v>
      </c>
      <c r="D3" s="158" t="s">
        <v>942</v>
      </c>
      <c r="E3" s="159">
        <v>4200</v>
      </c>
      <c r="F3" s="159">
        <v>4200</v>
      </c>
      <c r="G3" s="159">
        <v>245</v>
      </c>
      <c r="H3" s="159">
        <v>245</v>
      </c>
      <c r="I3" s="159">
        <v>0.3</v>
      </c>
      <c r="J3" s="159">
        <v>0.3</v>
      </c>
      <c r="K3" s="159">
        <v>3</v>
      </c>
      <c r="L3" s="159">
        <v>15</v>
      </c>
      <c r="M3" s="160">
        <v>4</v>
      </c>
      <c r="O3" s="16">
        <v>2</v>
      </c>
      <c r="P3" s="20" t="s">
        <v>1156</v>
      </c>
    </row>
    <row r="4" spans="1:18" x14ac:dyDescent="0.25">
      <c r="D4" s="158" t="s">
        <v>941</v>
      </c>
      <c r="E4" s="159">
        <v>4200</v>
      </c>
      <c r="F4" s="159">
        <v>4200</v>
      </c>
      <c r="G4" s="159">
        <v>245</v>
      </c>
      <c r="H4" s="159">
        <v>245</v>
      </c>
      <c r="I4" s="159">
        <v>0.3</v>
      </c>
      <c r="J4" s="159">
        <v>0.3</v>
      </c>
      <c r="K4" s="159">
        <v>3</v>
      </c>
      <c r="L4" s="159">
        <v>15</v>
      </c>
      <c r="M4" s="160">
        <v>4</v>
      </c>
      <c r="N4" s="16"/>
      <c r="O4" s="16">
        <v>3</v>
      </c>
      <c r="P4" s="20" t="s">
        <v>1135</v>
      </c>
    </row>
    <row r="5" spans="1:18" x14ac:dyDescent="0.25">
      <c r="D5" s="158" t="s">
        <v>940</v>
      </c>
      <c r="E5" s="159">
        <v>4200</v>
      </c>
      <c r="F5" s="159">
        <v>4200</v>
      </c>
      <c r="G5" s="159">
        <v>280</v>
      </c>
      <c r="H5" s="159">
        <v>245</v>
      </c>
      <c r="I5" s="159">
        <v>0.3</v>
      </c>
      <c r="J5" s="159">
        <v>0.3</v>
      </c>
      <c r="K5" s="159">
        <v>3</v>
      </c>
      <c r="L5" s="159">
        <v>15</v>
      </c>
      <c r="M5" s="160">
        <v>4</v>
      </c>
      <c r="O5" s="16">
        <v>4</v>
      </c>
      <c r="P5" s="20" t="s">
        <v>1143</v>
      </c>
      <c r="Q5" s="17"/>
      <c r="R5" s="17"/>
    </row>
    <row r="6" spans="1:18" x14ac:dyDescent="0.25">
      <c r="D6" s="158" t="s">
        <v>851</v>
      </c>
      <c r="E6" s="159">
        <v>4200</v>
      </c>
      <c r="F6" s="159">
        <v>4200</v>
      </c>
      <c r="G6" s="159">
        <v>245</v>
      </c>
      <c r="H6" s="159">
        <v>245</v>
      </c>
      <c r="I6" s="159">
        <v>0.15</v>
      </c>
      <c r="J6" s="159">
        <v>0.3</v>
      </c>
      <c r="K6" s="159">
        <v>3</v>
      </c>
      <c r="L6" s="159">
        <v>15</v>
      </c>
      <c r="M6" s="160">
        <v>4</v>
      </c>
      <c r="O6" s="19">
        <v>5</v>
      </c>
      <c r="P6" s="21" t="s">
        <v>421</v>
      </c>
    </row>
    <row r="7" spans="1:18" x14ac:dyDescent="0.25">
      <c r="D7" s="158" t="s">
        <v>852</v>
      </c>
      <c r="E7" s="159">
        <v>4200</v>
      </c>
      <c r="F7" s="159">
        <v>4200</v>
      </c>
      <c r="G7" s="159">
        <v>280</v>
      </c>
      <c r="H7" s="159">
        <v>280</v>
      </c>
      <c r="I7" s="159">
        <v>0.15</v>
      </c>
      <c r="J7" s="159">
        <v>0.3</v>
      </c>
      <c r="K7" s="159">
        <v>3</v>
      </c>
      <c r="L7" s="159">
        <v>15</v>
      </c>
      <c r="M7" s="160">
        <v>4</v>
      </c>
      <c r="O7" s="17"/>
      <c r="P7" s="18"/>
    </row>
    <row r="8" spans="1:18" ht="16.5" thickBot="1" x14ac:dyDescent="0.3">
      <c r="D8" s="158" t="s">
        <v>853</v>
      </c>
      <c r="E8" s="159">
        <v>4200</v>
      </c>
      <c r="F8" s="159">
        <v>4200</v>
      </c>
      <c r="G8" s="159">
        <v>280</v>
      </c>
      <c r="H8" s="159">
        <v>280</v>
      </c>
      <c r="I8" s="159">
        <v>0.15</v>
      </c>
      <c r="J8" s="159">
        <v>0.3</v>
      </c>
      <c r="K8" s="159">
        <v>3</v>
      </c>
      <c r="L8" s="159">
        <v>15</v>
      </c>
      <c r="M8" s="160">
        <v>4</v>
      </c>
      <c r="O8" s="171" t="s">
        <v>422</v>
      </c>
      <c r="P8" s="172"/>
    </row>
    <row r="9" spans="1:18" ht="16.5" thickTop="1" x14ac:dyDescent="0.25">
      <c r="D9" s="158" t="s">
        <v>854</v>
      </c>
      <c r="E9" s="159">
        <v>4200</v>
      </c>
      <c r="F9" s="159">
        <v>4200</v>
      </c>
      <c r="G9" s="159">
        <v>280</v>
      </c>
      <c r="H9" s="159">
        <v>280</v>
      </c>
      <c r="I9" s="159">
        <v>0.15</v>
      </c>
      <c r="J9" s="159">
        <v>0.3</v>
      </c>
      <c r="K9" s="159">
        <v>3</v>
      </c>
      <c r="L9" s="159">
        <v>15</v>
      </c>
      <c r="M9" s="160">
        <v>4</v>
      </c>
      <c r="O9" s="16">
        <v>1</v>
      </c>
      <c r="P9" s="20" t="s">
        <v>877</v>
      </c>
    </row>
    <row r="10" spans="1:18" x14ac:dyDescent="0.25">
      <c r="D10" s="158" t="s">
        <v>855</v>
      </c>
      <c r="E10" s="159">
        <v>4200</v>
      </c>
      <c r="F10" s="159">
        <v>4200</v>
      </c>
      <c r="G10" s="159">
        <v>280</v>
      </c>
      <c r="H10" s="159">
        <v>280</v>
      </c>
      <c r="I10" s="159">
        <v>0.15</v>
      </c>
      <c r="J10" s="159">
        <v>0.3</v>
      </c>
      <c r="K10" s="159">
        <v>3</v>
      </c>
      <c r="L10" s="159">
        <v>15</v>
      </c>
      <c r="M10" s="160">
        <v>4</v>
      </c>
      <c r="O10" s="16">
        <v>2</v>
      </c>
      <c r="P10" s="20" t="s">
        <v>1144</v>
      </c>
    </row>
    <row r="11" spans="1:18" x14ac:dyDescent="0.25">
      <c r="D11" s="158" t="s">
        <v>856</v>
      </c>
      <c r="E11" s="159">
        <v>4200</v>
      </c>
      <c r="F11" s="159">
        <v>4200</v>
      </c>
      <c r="G11" s="159">
        <v>280</v>
      </c>
      <c r="H11" s="159">
        <v>280</v>
      </c>
      <c r="I11" s="159">
        <v>0.15</v>
      </c>
      <c r="J11" s="159">
        <v>0.3</v>
      </c>
      <c r="K11" s="159">
        <v>3</v>
      </c>
      <c r="L11" s="159">
        <v>15</v>
      </c>
      <c r="M11" s="160">
        <v>4</v>
      </c>
      <c r="O11" s="19">
        <v>3</v>
      </c>
      <c r="P11" s="21" t="s">
        <v>1009</v>
      </c>
    </row>
    <row r="12" spans="1:18" x14ac:dyDescent="0.25">
      <c r="D12" s="158" t="s">
        <v>857</v>
      </c>
      <c r="E12" s="159">
        <v>4200</v>
      </c>
      <c r="F12" s="159">
        <v>4200</v>
      </c>
      <c r="G12" s="159">
        <v>350</v>
      </c>
      <c r="H12" s="159">
        <v>350</v>
      </c>
      <c r="I12" s="159">
        <v>0.15</v>
      </c>
      <c r="J12" s="159">
        <v>0.3</v>
      </c>
      <c r="K12" s="159">
        <v>3</v>
      </c>
      <c r="L12" s="159">
        <v>15</v>
      </c>
      <c r="M12" s="160">
        <v>4</v>
      </c>
    </row>
    <row r="13" spans="1:18" x14ac:dyDescent="0.25">
      <c r="D13" s="158" t="s">
        <v>225</v>
      </c>
      <c r="E13" s="159">
        <v>4200</v>
      </c>
      <c r="F13" s="159">
        <v>4200</v>
      </c>
      <c r="G13" s="159">
        <v>350</v>
      </c>
      <c r="H13" s="159">
        <v>350</v>
      </c>
      <c r="I13" s="159">
        <v>0.15</v>
      </c>
      <c r="J13" s="159">
        <v>0.3</v>
      </c>
      <c r="K13" s="159">
        <v>3</v>
      </c>
      <c r="L13" s="159">
        <v>15</v>
      </c>
      <c r="M13" s="160">
        <v>4</v>
      </c>
      <c r="O13" s="156" t="s">
        <v>1136</v>
      </c>
      <c r="P13" s="161" t="s">
        <v>940</v>
      </c>
    </row>
    <row r="14" spans="1:18" x14ac:dyDescent="0.25">
      <c r="D14" s="158" t="s">
        <v>226</v>
      </c>
      <c r="E14" s="159">
        <v>4200</v>
      </c>
      <c r="F14" s="159">
        <v>4200</v>
      </c>
      <c r="G14" s="159">
        <v>350</v>
      </c>
      <c r="H14" s="159">
        <v>350</v>
      </c>
      <c r="I14" s="159">
        <v>0.15</v>
      </c>
      <c r="J14" s="159">
        <v>0.3</v>
      </c>
      <c r="K14" s="159">
        <v>3</v>
      </c>
      <c r="L14" s="159">
        <v>15</v>
      </c>
      <c r="M14" s="160">
        <v>4</v>
      </c>
      <c r="O14" s="157" t="s">
        <v>1137</v>
      </c>
      <c r="P14" s="162" t="s">
        <v>0</v>
      </c>
    </row>
    <row r="15" spans="1:18" x14ac:dyDescent="0.25">
      <c r="D15" s="158" t="s">
        <v>227</v>
      </c>
      <c r="E15" s="159">
        <v>4200</v>
      </c>
      <c r="F15" s="159">
        <v>4200</v>
      </c>
      <c r="G15" s="159">
        <v>350</v>
      </c>
      <c r="H15" s="159">
        <v>350</v>
      </c>
      <c r="I15" s="159">
        <v>0.15</v>
      </c>
      <c r="J15" s="159">
        <v>0.3</v>
      </c>
      <c r="K15" s="159">
        <v>3</v>
      </c>
      <c r="L15" s="159">
        <v>15</v>
      </c>
      <c r="M15" s="160">
        <v>4</v>
      </c>
    </row>
    <row r="16" spans="1:18" x14ac:dyDescent="0.25">
      <c r="D16" s="158" t="s">
        <v>858</v>
      </c>
      <c r="E16" s="159">
        <v>4200</v>
      </c>
      <c r="F16" s="159">
        <v>4200</v>
      </c>
      <c r="G16" s="159">
        <v>350</v>
      </c>
      <c r="H16" s="159">
        <v>350</v>
      </c>
      <c r="I16" s="159">
        <v>0.3</v>
      </c>
      <c r="J16" s="159">
        <v>0.5</v>
      </c>
      <c r="K16" s="159">
        <v>3</v>
      </c>
      <c r="L16" s="159">
        <v>15</v>
      </c>
      <c r="M16" s="160">
        <v>4</v>
      </c>
    </row>
    <row r="17" spans="4:13" x14ac:dyDescent="0.25">
      <c r="D17" s="158" t="s">
        <v>859</v>
      </c>
      <c r="E17" s="159">
        <v>4200</v>
      </c>
      <c r="F17" s="159">
        <v>4200</v>
      </c>
      <c r="G17" s="159">
        <v>350</v>
      </c>
      <c r="H17" s="159">
        <v>350</v>
      </c>
      <c r="I17" s="159">
        <v>0.1</v>
      </c>
      <c r="J17" s="159">
        <v>0.5</v>
      </c>
      <c r="K17" s="159">
        <v>3</v>
      </c>
      <c r="L17" s="159">
        <v>15</v>
      </c>
      <c r="M17" s="160">
        <v>4</v>
      </c>
    </row>
    <row r="18" spans="4:13" x14ac:dyDescent="0.25">
      <c r="D18" s="158" t="s">
        <v>860</v>
      </c>
      <c r="E18" s="159">
        <v>4200</v>
      </c>
      <c r="F18" s="159">
        <v>4200</v>
      </c>
      <c r="G18" s="159">
        <v>350</v>
      </c>
      <c r="H18" s="159">
        <v>350</v>
      </c>
      <c r="I18" s="159">
        <v>0.1</v>
      </c>
      <c r="J18" s="159">
        <v>0.5</v>
      </c>
      <c r="K18" s="159">
        <v>3</v>
      </c>
      <c r="L18" s="159">
        <v>15</v>
      </c>
      <c r="M18" s="160">
        <v>4</v>
      </c>
    </row>
    <row r="19" spans="4:13" x14ac:dyDescent="0.25">
      <c r="D19" s="158" t="s">
        <v>861</v>
      </c>
      <c r="E19" s="159">
        <v>4200</v>
      </c>
      <c r="F19" s="159">
        <v>4200</v>
      </c>
      <c r="G19" s="159">
        <v>280</v>
      </c>
      <c r="H19" s="159">
        <v>350</v>
      </c>
      <c r="I19" s="159">
        <v>0.1</v>
      </c>
      <c r="J19" s="159">
        <v>0.5</v>
      </c>
      <c r="K19" s="159">
        <v>3</v>
      </c>
      <c r="L19" s="159">
        <v>15</v>
      </c>
      <c r="M19" s="160">
        <v>4</v>
      </c>
    </row>
    <row r="20" spans="4:13" x14ac:dyDescent="0.25">
      <c r="D20" s="158"/>
      <c r="E20" s="159"/>
      <c r="F20" s="159"/>
      <c r="G20" s="159"/>
      <c r="H20" s="159"/>
      <c r="I20" s="159"/>
      <c r="J20" s="159"/>
      <c r="K20" s="159"/>
      <c r="L20" s="159"/>
      <c r="M20" s="160"/>
    </row>
    <row r="21" spans="4:13" x14ac:dyDescent="0.25">
      <c r="D21" s="158"/>
      <c r="E21" s="159"/>
      <c r="F21" s="159"/>
      <c r="G21" s="159"/>
      <c r="H21" s="159"/>
      <c r="I21" s="159"/>
      <c r="J21" s="159"/>
      <c r="K21" s="159"/>
      <c r="L21" s="159"/>
      <c r="M21" s="160"/>
    </row>
    <row r="22" spans="4:13" x14ac:dyDescent="0.25">
      <c r="D22" s="158"/>
      <c r="E22" s="159"/>
      <c r="F22" s="159"/>
      <c r="G22" s="159"/>
      <c r="H22" s="159"/>
      <c r="I22" s="159"/>
      <c r="J22" s="159"/>
      <c r="K22" s="159"/>
      <c r="L22" s="159"/>
      <c r="M22" s="160"/>
    </row>
    <row r="23" spans="4:13" x14ac:dyDescent="0.25">
      <c r="D23" s="158"/>
      <c r="E23" s="159"/>
      <c r="F23" s="159"/>
      <c r="G23" s="159"/>
      <c r="H23" s="159"/>
      <c r="I23" s="159"/>
      <c r="J23" s="159"/>
      <c r="K23" s="159"/>
      <c r="L23" s="159"/>
      <c r="M23" s="160"/>
    </row>
    <row r="24" spans="4:13" x14ac:dyDescent="0.25">
      <c r="D24" s="158"/>
      <c r="E24" s="159"/>
      <c r="F24" s="159"/>
      <c r="G24" s="159"/>
      <c r="H24" s="159"/>
      <c r="I24" s="159"/>
      <c r="J24" s="159"/>
      <c r="K24" s="159"/>
      <c r="L24" s="159"/>
      <c r="M24" s="160"/>
    </row>
    <row r="25" spans="4:13" x14ac:dyDescent="0.25">
      <c r="D25" s="158"/>
      <c r="E25" s="159"/>
      <c r="F25" s="159"/>
      <c r="G25" s="159"/>
      <c r="H25" s="159"/>
      <c r="I25" s="159"/>
      <c r="J25" s="159"/>
      <c r="K25" s="159"/>
      <c r="L25" s="159"/>
      <c r="M25" s="160"/>
    </row>
    <row r="26" spans="4:13" x14ac:dyDescent="0.25">
      <c r="D26" s="158"/>
      <c r="E26" s="159"/>
      <c r="F26" s="159"/>
      <c r="G26" s="159"/>
      <c r="H26" s="159"/>
      <c r="I26" s="159"/>
      <c r="J26" s="159"/>
      <c r="K26" s="159"/>
      <c r="L26" s="159"/>
      <c r="M26" s="160"/>
    </row>
    <row r="27" spans="4:13" x14ac:dyDescent="0.25">
      <c r="D27" s="158"/>
      <c r="E27" s="159"/>
      <c r="F27" s="159"/>
      <c r="G27" s="159"/>
      <c r="H27" s="159"/>
      <c r="I27" s="159"/>
      <c r="J27" s="159"/>
      <c r="K27" s="159"/>
      <c r="L27" s="159"/>
      <c r="M27" s="160"/>
    </row>
    <row r="28" spans="4:13" x14ac:dyDescent="0.25">
      <c r="D28" s="158"/>
      <c r="E28" s="159"/>
      <c r="F28" s="159"/>
      <c r="G28" s="159"/>
      <c r="H28" s="159"/>
      <c r="I28" s="159"/>
      <c r="J28" s="159"/>
      <c r="K28" s="159"/>
      <c r="L28" s="159"/>
      <c r="M28" s="160"/>
    </row>
    <row r="29" spans="4:13" x14ac:dyDescent="0.25">
      <c r="D29" s="158"/>
      <c r="E29" s="159"/>
      <c r="F29" s="159"/>
      <c r="G29" s="159"/>
      <c r="H29" s="159"/>
      <c r="I29" s="159"/>
      <c r="J29" s="159"/>
      <c r="K29" s="159"/>
      <c r="L29" s="159"/>
      <c r="M29" s="160"/>
    </row>
    <row r="30" spans="4:13" x14ac:dyDescent="0.25">
      <c r="D30" s="158"/>
      <c r="E30" s="159"/>
      <c r="F30" s="159"/>
      <c r="G30" s="159"/>
      <c r="H30" s="159"/>
      <c r="I30" s="159"/>
      <c r="J30" s="159"/>
      <c r="K30" s="159"/>
      <c r="L30" s="159"/>
      <c r="M30" s="160"/>
    </row>
    <row r="31" spans="4:13" x14ac:dyDescent="0.25">
      <c r="D31" s="158"/>
      <c r="E31" s="159"/>
      <c r="F31" s="159"/>
      <c r="G31" s="159"/>
      <c r="H31" s="159"/>
      <c r="I31" s="159"/>
      <c r="J31" s="159"/>
      <c r="K31" s="159"/>
      <c r="L31" s="159"/>
      <c r="M31" s="160"/>
    </row>
    <row r="32" spans="4:13" x14ac:dyDescent="0.25">
      <c r="D32" s="158"/>
      <c r="E32" s="159"/>
      <c r="F32" s="159"/>
      <c r="G32" s="159"/>
      <c r="H32" s="159"/>
      <c r="I32" s="159"/>
      <c r="J32" s="159"/>
      <c r="K32" s="159"/>
      <c r="L32" s="159"/>
      <c r="M32" s="160"/>
    </row>
    <row r="33" spans="4:13" x14ac:dyDescent="0.25">
      <c r="D33" s="158"/>
      <c r="E33" s="159"/>
      <c r="F33" s="159"/>
      <c r="G33" s="159"/>
      <c r="H33" s="159"/>
      <c r="I33" s="159"/>
      <c r="J33" s="159"/>
      <c r="K33" s="159"/>
      <c r="L33" s="159"/>
      <c r="M33" s="160"/>
    </row>
    <row r="34" spans="4:13" x14ac:dyDescent="0.25">
      <c r="D34" s="158"/>
      <c r="E34" s="159"/>
      <c r="F34" s="159"/>
      <c r="G34" s="159"/>
      <c r="H34" s="159"/>
      <c r="I34" s="159"/>
      <c r="J34" s="159"/>
      <c r="K34" s="159"/>
      <c r="L34" s="159"/>
      <c r="M34" s="160"/>
    </row>
    <row r="35" spans="4:13" x14ac:dyDescent="0.25">
      <c r="D35" s="158"/>
      <c r="E35" s="159"/>
      <c r="F35" s="159"/>
      <c r="G35" s="159"/>
      <c r="H35" s="159"/>
      <c r="I35" s="159"/>
      <c r="J35" s="159"/>
      <c r="K35" s="159"/>
      <c r="L35" s="159"/>
      <c r="M35" s="160"/>
    </row>
    <row r="36" spans="4:13" x14ac:dyDescent="0.25">
      <c r="D36" s="158"/>
      <c r="E36" s="159"/>
      <c r="F36" s="159"/>
      <c r="G36" s="159"/>
      <c r="H36" s="159"/>
      <c r="I36" s="159"/>
      <c r="J36" s="159"/>
      <c r="K36" s="159"/>
      <c r="L36" s="159"/>
      <c r="M36" s="160"/>
    </row>
    <row r="37" spans="4:13" x14ac:dyDescent="0.25">
      <c r="D37" s="158"/>
      <c r="E37" s="159"/>
      <c r="F37" s="159"/>
      <c r="G37" s="159"/>
      <c r="H37" s="159"/>
      <c r="I37" s="159"/>
      <c r="J37" s="159"/>
      <c r="K37" s="159"/>
      <c r="L37" s="159"/>
      <c r="M37" s="160"/>
    </row>
    <row r="38" spans="4:13" x14ac:dyDescent="0.25">
      <c r="D38" s="158"/>
      <c r="E38" s="159"/>
      <c r="F38" s="159"/>
      <c r="G38" s="159"/>
      <c r="H38" s="159"/>
      <c r="I38" s="159"/>
      <c r="J38" s="159"/>
      <c r="K38" s="159"/>
      <c r="L38" s="159"/>
      <c r="M38" s="160"/>
    </row>
    <row r="39" spans="4:13" x14ac:dyDescent="0.25">
      <c r="D39" s="158"/>
      <c r="E39" s="159"/>
      <c r="F39" s="159"/>
      <c r="G39" s="159"/>
      <c r="H39" s="159"/>
      <c r="I39" s="159"/>
      <c r="J39" s="159"/>
      <c r="K39" s="159"/>
      <c r="L39" s="159"/>
      <c r="M39" s="160"/>
    </row>
    <row r="40" spans="4:13" x14ac:dyDescent="0.25">
      <c r="D40" s="158"/>
      <c r="E40" s="159"/>
      <c r="F40" s="159"/>
      <c r="G40" s="159"/>
      <c r="H40" s="159"/>
      <c r="I40" s="159"/>
      <c r="J40" s="159"/>
      <c r="K40" s="159"/>
      <c r="L40" s="159"/>
      <c r="M40" s="160"/>
    </row>
    <row r="41" spans="4:13" x14ac:dyDescent="0.25">
      <c r="D41" s="158"/>
      <c r="E41" s="159"/>
      <c r="F41" s="159"/>
      <c r="G41" s="159"/>
      <c r="H41" s="159"/>
      <c r="I41" s="159"/>
      <c r="J41" s="159"/>
      <c r="K41" s="159"/>
      <c r="L41" s="159"/>
      <c r="M41" s="160"/>
    </row>
    <row r="42" spans="4:13" x14ac:dyDescent="0.25">
      <c r="D42" s="158"/>
      <c r="E42" s="159"/>
      <c r="F42" s="159"/>
      <c r="G42" s="159"/>
      <c r="H42" s="159"/>
      <c r="I42" s="159"/>
      <c r="J42" s="159"/>
      <c r="K42" s="159"/>
      <c r="L42" s="159"/>
      <c r="M42" s="160"/>
    </row>
    <row r="43" spans="4:13" x14ac:dyDescent="0.25">
      <c r="D43" s="158"/>
      <c r="E43" s="159"/>
      <c r="F43" s="159"/>
      <c r="G43" s="159"/>
      <c r="H43" s="159"/>
      <c r="I43" s="159"/>
      <c r="J43" s="159"/>
      <c r="K43" s="159"/>
      <c r="L43" s="159"/>
      <c r="M43" s="160"/>
    </row>
    <row r="44" spans="4:13" x14ac:dyDescent="0.25">
      <c r="D44" s="158"/>
      <c r="E44" s="159"/>
      <c r="F44" s="159"/>
      <c r="G44" s="159"/>
      <c r="H44" s="159"/>
      <c r="I44" s="159"/>
      <c r="J44" s="159"/>
      <c r="K44" s="159"/>
      <c r="L44" s="159"/>
      <c r="M44" s="160"/>
    </row>
    <row r="45" spans="4:13" x14ac:dyDescent="0.25">
      <c r="D45" s="158"/>
      <c r="E45" s="159"/>
      <c r="F45" s="159"/>
      <c r="G45" s="159"/>
      <c r="H45" s="159"/>
      <c r="I45" s="159"/>
      <c r="J45" s="159"/>
      <c r="K45" s="159"/>
      <c r="L45" s="159"/>
      <c r="M45" s="160"/>
    </row>
    <row r="46" spans="4:13" x14ac:dyDescent="0.25">
      <c r="D46" s="158"/>
      <c r="E46" s="159"/>
      <c r="F46" s="159"/>
      <c r="G46" s="159"/>
      <c r="H46" s="159"/>
      <c r="I46" s="159"/>
      <c r="J46" s="159"/>
      <c r="K46" s="159"/>
      <c r="L46" s="159"/>
      <c r="M46" s="160"/>
    </row>
    <row r="47" spans="4:13" x14ac:dyDescent="0.25">
      <c r="D47" s="158"/>
      <c r="E47" s="159"/>
      <c r="F47" s="159"/>
      <c r="G47" s="159"/>
      <c r="H47" s="159"/>
      <c r="I47" s="159"/>
      <c r="J47" s="159"/>
      <c r="K47" s="159"/>
      <c r="L47" s="159"/>
      <c r="M47" s="160"/>
    </row>
    <row r="48" spans="4:13" x14ac:dyDescent="0.25">
      <c r="D48" s="158"/>
      <c r="E48" s="159"/>
      <c r="F48" s="159"/>
      <c r="G48" s="159"/>
      <c r="H48" s="159"/>
      <c r="I48" s="159"/>
      <c r="J48" s="159"/>
      <c r="K48" s="159"/>
      <c r="L48" s="159"/>
      <c r="M48" s="160"/>
    </row>
    <row r="49" spans="4:13" x14ac:dyDescent="0.25">
      <c r="D49" s="158"/>
      <c r="E49" s="159"/>
      <c r="F49" s="159"/>
      <c r="G49" s="159"/>
      <c r="H49" s="159"/>
      <c r="I49" s="159"/>
      <c r="J49" s="159"/>
      <c r="K49" s="159"/>
      <c r="L49" s="159"/>
      <c r="M49" s="160"/>
    </row>
    <row r="50" spans="4:13" x14ac:dyDescent="0.25">
      <c r="D50" s="158"/>
      <c r="E50" s="159"/>
      <c r="F50" s="159"/>
      <c r="G50" s="159"/>
      <c r="H50" s="159"/>
      <c r="I50" s="159"/>
      <c r="J50" s="159"/>
      <c r="K50" s="159"/>
      <c r="L50" s="159"/>
      <c r="M50" s="160"/>
    </row>
    <row r="51" spans="4:13" x14ac:dyDescent="0.25">
      <c r="D51" s="158"/>
      <c r="E51" s="159"/>
      <c r="F51" s="159"/>
      <c r="G51" s="159"/>
      <c r="H51" s="159"/>
      <c r="I51" s="159"/>
      <c r="J51" s="159"/>
      <c r="K51" s="159"/>
      <c r="L51" s="159"/>
      <c r="M51" s="160"/>
    </row>
    <row r="52" spans="4:13" x14ac:dyDescent="0.25">
      <c r="D52" s="158"/>
      <c r="E52" s="159"/>
      <c r="F52" s="159"/>
      <c r="G52" s="159"/>
      <c r="H52" s="159"/>
      <c r="I52" s="159"/>
      <c r="J52" s="159"/>
      <c r="K52" s="159"/>
      <c r="L52" s="159"/>
      <c r="M52" s="160"/>
    </row>
    <row r="53" spans="4:13" x14ac:dyDescent="0.25">
      <c r="D53" s="158"/>
      <c r="E53" s="159"/>
      <c r="F53" s="159"/>
      <c r="G53" s="159"/>
      <c r="H53" s="159"/>
      <c r="I53" s="159"/>
      <c r="J53" s="159"/>
      <c r="K53" s="159"/>
      <c r="L53" s="159"/>
      <c r="M53" s="160"/>
    </row>
    <row r="54" spans="4:13" x14ac:dyDescent="0.25">
      <c r="D54" s="158"/>
      <c r="E54" s="159"/>
      <c r="F54" s="159"/>
      <c r="G54" s="159"/>
      <c r="H54" s="159"/>
      <c r="I54" s="159"/>
      <c r="J54" s="159"/>
      <c r="K54" s="159"/>
      <c r="L54" s="159"/>
      <c r="M54" s="160"/>
    </row>
    <row r="55" spans="4:13" x14ac:dyDescent="0.25">
      <c r="D55" s="158"/>
      <c r="E55" s="159"/>
      <c r="F55" s="159"/>
      <c r="G55" s="159"/>
      <c r="H55" s="159"/>
      <c r="I55" s="159"/>
      <c r="J55" s="159"/>
      <c r="K55" s="159"/>
      <c r="L55" s="159"/>
      <c r="M55" s="160"/>
    </row>
    <row r="56" spans="4:13" x14ac:dyDescent="0.25">
      <c r="D56" s="158"/>
      <c r="E56" s="159"/>
      <c r="F56" s="159"/>
      <c r="G56" s="159"/>
      <c r="H56" s="159"/>
      <c r="I56" s="159"/>
      <c r="J56" s="159"/>
      <c r="K56" s="159"/>
      <c r="L56" s="159"/>
      <c r="M56" s="160"/>
    </row>
    <row r="57" spans="4:13" x14ac:dyDescent="0.25">
      <c r="D57" s="158"/>
      <c r="E57" s="159"/>
      <c r="F57" s="159"/>
      <c r="G57" s="159"/>
      <c r="H57" s="159"/>
      <c r="I57" s="159"/>
      <c r="J57" s="159"/>
      <c r="K57" s="159"/>
      <c r="L57" s="159"/>
      <c r="M57" s="160"/>
    </row>
    <row r="58" spans="4:13" x14ac:dyDescent="0.25">
      <c r="D58" s="158"/>
      <c r="E58" s="159"/>
      <c r="F58" s="159"/>
      <c r="G58" s="159"/>
      <c r="H58" s="159"/>
      <c r="I58" s="159"/>
      <c r="J58" s="159"/>
      <c r="K58" s="159"/>
      <c r="L58" s="159"/>
      <c r="M58" s="160"/>
    </row>
    <row r="59" spans="4:13" x14ac:dyDescent="0.25">
      <c r="D59" s="158"/>
      <c r="E59" s="159"/>
      <c r="F59" s="159"/>
      <c r="G59" s="159"/>
      <c r="H59" s="159"/>
      <c r="I59" s="159"/>
      <c r="J59" s="159"/>
      <c r="K59" s="159"/>
      <c r="L59" s="159"/>
      <c r="M59" s="160"/>
    </row>
    <row r="60" spans="4:13" x14ac:dyDescent="0.25">
      <c r="D60" s="158"/>
      <c r="E60" s="159"/>
      <c r="F60" s="159"/>
      <c r="G60" s="159"/>
      <c r="H60" s="159"/>
      <c r="I60" s="159"/>
      <c r="J60" s="159"/>
      <c r="K60" s="159"/>
      <c r="L60" s="159"/>
      <c r="M60" s="160"/>
    </row>
    <row r="61" spans="4:13" x14ac:dyDescent="0.25">
      <c r="D61" s="158"/>
      <c r="E61" s="159"/>
      <c r="F61" s="159"/>
      <c r="G61" s="159"/>
      <c r="H61" s="159"/>
      <c r="I61" s="159"/>
      <c r="J61" s="159"/>
      <c r="K61" s="159"/>
      <c r="L61" s="159"/>
      <c r="M61" s="160"/>
    </row>
    <row r="62" spans="4:13" x14ac:dyDescent="0.25">
      <c r="D62" s="158"/>
      <c r="E62" s="159"/>
      <c r="F62" s="159"/>
      <c r="G62" s="159"/>
      <c r="H62" s="159"/>
      <c r="I62" s="159"/>
      <c r="J62" s="159"/>
      <c r="K62" s="159"/>
      <c r="L62" s="159"/>
      <c r="M62" s="160"/>
    </row>
    <row r="63" spans="4:13" x14ac:dyDescent="0.25">
      <c r="D63" s="158"/>
      <c r="E63" s="159"/>
      <c r="F63" s="159"/>
      <c r="G63" s="159"/>
      <c r="H63" s="159"/>
      <c r="I63" s="159"/>
      <c r="J63" s="159"/>
      <c r="K63" s="159"/>
      <c r="L63" s="159"/>
      <c r="M63" s="160"/>
    </row>
    <row r="64" spans="4:13" x14ac:dyDescent="0.25">
      <c r="D64" s="158"/>
      <c r="E64" s="159"/>
      <c r="F64" s="159"/>
      <c r="G64" s="159"/>
      <c r="H64" s="159"/>
      <c r="I64" s="159"/>
      <c r="J64" s="159"/>
      <c r="K64" s="159"/>
      <c r="L64" s="159"/>
      <c r="M64" s="160"/>
    </row>
    <row r="65" spans="4:13" x14ac:dyDescent="0.25">
      <c r="D65" s="158"/>
      <c r="E65" s="159"/>
      <c r="F65" s="159"/>
      <c r="G65" s="159"/>
      <c r="H65" s="159"/>
      <c r="I65" s="159"/>
      <c r="J65" s="159"/>
      <c r="K65" s="159"/>
      <c r="L65" s="159"/>
      <c r="M65" s="160"/>
    </row>
  </sheetData>
  <dataConsolidate/>
  <mergeCells count="2">
    <mergeCell ref="O1:P1"/>
    <mergeCell ref="O8:P8"/>
  </mergeCells>
  <phoneticPr fontId="1" type="noConversion"/>
  <pageMargins left="0.7" right="0.7" top="0.75" bottom="0.75" header="0.3" footer="0.3"/>
  <pageSetup paperSize="9"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135E64-8E08-4BB9-A1C0-57E828680A6B}">
  <sheetPr codeName="工作表136"/>
  <dimension ref="A1:P634"/>
  <sheetViews>
    <sheetView workbookViewId="0">
      <selection activeCell="P3" sqref="P3:P6"/>
    </sheetView>
  </sheetViews>
  <sheetFormatPr defaultRowHeight="15.75" x14ac:dyDescent="0.25"/>
  <cols>
    <col min="1" max="15" width="9" style="167"/>
    <col min="16" max="16" width="32.125" style="167" bestFit="1" customWidth="1"/>
    <col min="17" max="16384" width="9" style="167"/>
  </cols>
  <sheetData>
    <row r="1" spans="1:16" x14ac:dyDescent="0.25">
      <c r="A1" s="167" t="s">
        <v>424</v>
      </c>
      <c r="B1" s="167" t="s">
        <v>425</v>
      </c>
      <c r="C1" s="167" t="s">
        <v>426</v>
      </c>
      <c r="D1" s="167" t="s">
        <v>427</v>
      </c>
      <c r="E1" s="167" t="s">
        <v>428</v>
      </c>
      <c r="F1" s="167" t="s">
        <v>428</v>
      </c>
      <c r="I1" s="167" t="s">
        <v>429</v>
      </c>
      <c r="J1" s="167" t="s">
        <v>430</v>
      </c>
      <c r="M1" s="167" t="s">
        <v>431</v>
      </c>
      <c r="N1" s="167" t="s">
        <v>432</v>
      </c>
      <c r="O1" s="167" t="s">
        <v>291</v>
      </c>
      <c r="P1" s="167" t="s">
        <v>281</v>
      </c>
    </row>
    <row r="2" spans="1:16" x14ac:dyDescent="0.25">
      <c r="F2" s="167" t="s">
        <v>354</v>
      </c>
      <c r="G2" s="167" t="s">
        <v>353</v>
      </c>
      <c r="H2" s="167" t="s">
        <v>356</v>
      </c>
      <c r="J2" s="167" t="s">
        <v>435</v>
      </c>
      <c r="K2" s="167" t="s">
        <v>353</v>
      </c>
      <c r="L2" s="167" t="s">
        <v>356</v>
      </c>
    </row>
    <row r="3" spans="1:16" x14ac:dyDescent="0.25">
      <c r="A3" s="177" t="s">
        <v>859</v>
      </c>
      <c r="B3" s="177" t="s">
        <v>1375</v>
      </c>
      <c r="C3" s="177">
        <v>40</v>
      </c>
      <c r="D3" s="177">
        <v>65</v>
      </c>
      <c r="E3" s="167" t="s">
        <v>433</v>
      </c>
      <c r="F3" s="167" t="s">
        <v>293</v>
      </c>
      <c r="G3" s="167" t="s">
        <v>293</v>
      </c>
      <c r="H3" s="167" t="s">
        <v>967</v>
      </c>
      <c r="I3" s="177" t="s">
        <v>285</v>
      </c>
      <c r="J3" s="177" t="s">
        <v>914</v>
      </c>
      <c r="K3" s="177" t="s">
        <v>914</v>
      </c>
      <c r="L3" s="177" t="s">
        <v>914</v>
      </c>
      <c r="M3" s="177">
        <v>1260</v>
      </c>
      <c r="N3" s="177">
        <v>50</v>
      </c>
      <c r="O3" s="177"/>
      <c r="P3" s="178" t="s">
        <v>1365</v>
      </c>
    </row>
    <row r="4" spans="1:16" x14ac:dyDescent="0.25">
      <c r="A4" s="177"/>
      <c r="B4" s="177"/>
      <c r="C4" s="177"/>
      <c r="D4" s="177"/>
      <c r="E4" s="167" t="s">
        <v>434</v>
      </c>
      <c r="F4" s="167">
        <v>0</v>
      </c>
      <c r="G4" s="167">
        <v>0</v>
      </c>
      <c r="H4" s="167" t="s">
        <v>293</v>
      </c>
      <c r="I4" s="177"/>
      <c r="J4" s="177"/>
      <c r="K4" s="177"/>
      <c r="L4" s="177"/>
      <c r="M4" s="177"/>
      <c r="N4" s="177"/>
      <c r="O4" s="177"/>
      <c r="P4" s="177"/>
    </row>
    <row r="5" spans="1:16" x14ac:dyDescent="0.25">
      <c r="A5" s="177"/>
      <c r="B5" s="177"/>
      <c r="C5" s="177"/>
      <c r="D5" s="177"/>
      <c r="E5" s="167" t="s">
        <v>433</v>
      </c>
      <c r="F5" s="167">
        <v>0</v>
      </c>
      <c r="G5" s="167">
        <v>0</v>
      </c>
      <c r="H5" s="167">
        <v>0</v>
      </c>
      <c r="I5" s="177"/>
      <c r="J5" s="177"/>
      <c r="K5" s="177"/>
      <c r="L5" s="177"/>
      <c r="M5" s="177"/>
      <c r="N5" s="177"/>
      <c r="O5" s="177"/>
      <c r="P5" s="177"/>
    </row>
    <row r="6" spans="1:16" x14ac:dyDescent="0.25">
      <c r="A6" s="177"/>
      <c r="B6" s="177"/>
      <c r="C6" s="177"/>
      <c r="D6" s="177"/>
      <c r="E6" s="167" t="s">
        <v>434</v>
      </c>
      <c r="F6" s="167" t="s">
        <v>294</v>
      </c>
      <c r="G6" s="167" t="s">
        <v>967</v>
      </c>
      <c r="H6" s="167" t="s">
        <v>967</v>
      </c>
      <c r="I6" s="177"/>
      <c r="J6" s="177"/>
      <c r="K6" s="177"/>
      <c r="L6" s="177"/>
      <c r="M6" s="177"/>
      <c r="N6" s="177"/>
      <c r="O6" s="177"/>
      <c r="P6" s="177"/>
    </row>
    <row r="7" spans="1:16" x14ac:dyDescent="0.25">
      <c r="A7" s="177" t="s">
        <v>859</v>
      </c>
      <c r="B7" s="177" t="s">
        <v>952</v>
      </c>
      <c r="C7" s="177">
        <v>40</v>
      </c>
      <c r="D7" s="177">
        <v>65</v>
      </c>
      <c r="E7" s="167" t="s">
        <v>433</v>
      </c>
      <c r="F7" s="167" t="s">
        <v>944</v>
      </c>
      <c r="G7" s="167" t="s">
        <v>293</v>
      </c>
      <c r="H7" s="167" t="s">
        <v>967</v>
      </c>
      <c r="I7" s="177" t="s">
        <v>285</v>
      </c>
      <c r="J7" s="177" t="s">
        <v>914</v>
      </c>
      <c r="K7" s="177" t="s">
        <v>914</v>
      </c>
      <c r="L7" s="177" t="s">
        <v>914</v>
      </c>
      <c r="M7" s="177">
        <v>1260</v>
      </c>
      <c r="N7" s="177">
        <v>50</v>
      </c>
      <c r="O7" s="177"/>
      <c r="P7" s="179" t="s">
        <v>1364</v>
      </c>
    </row>
    <row r="8" spans="1:16" x14ac:dyDescent="0.25">
      <c r="A8" s="177"/>
      <c r="B8" s="177"/>
      <c r="C8" s="177"/>
      <c r="D8" s="177"/>
      <c r="E8" s="167" t="s">
        <v>434</v>
      </c>
      <c r="F8" s="167">
        <v>0</v>
      </c>
      <c r="G8" s="167">
        <v>0</v>
      </c>
      <c r="H8" s="167" t="s">
        <v>293</v>
      </c>
      <c r="I8" s="177"/>
      <c r="J8" s="177"/>
      <c r="K8" s="177"/>
      <c r="L8" s="177"/>
      <c r="M8" s="177"/>
      <c r="N8" s="177"/>
      <c r="O8" s="177"/>
      <c r="P8" s="177"/>
    </row>
    <row r="9" spans="1:16" x14ac:dyDescent="0.25">
      <c r="A9" s="177"/>
      <c r="B9" s="177"/>
      <c r="C9" s="177"/>
      <c r="D9" s="177"/>
      <c r="E9" s="167" t="s">
        <v>433</v>
      </c>
      <c r="F9" s="167">
        <v>0</v>
      </c>
      <c r="G9" s="167">
        <v>0</v>
      </c>
      <c r="H9" s="167">
        <v>0</v>
      </c>
      <c r="I9" s="177"/>
      <c r="J9" s="177"/>
      <c r="K9" s="177"/>
      <c r="L9" s="177"/>
      <c r="M9" s="177"/>
      <c r="N9" s="177"/>
      <c r="O9" s="177"/>
      <c r="P9" s="177"/>
    </row>
    <row r="10" spans="1:16" x14ac:dyDescent="0.25">
      <c r="A10" s="177"/>
      <c r="B10" s="177"/>
      <c r="C10" s="177"/>
      <c r="D10" s="177"/>
      <c r="E10" s="167" t="s">
        <v>434</v>
      </c>
      <c r="F10" s="167" t="s">
        <v>294</v>
      </c>
      <c r="G10" s="167" t="s">
        <v>967</v>
      </c>
      <c r="H10" s="167" t="s">
        <v>967</v>
      </c>
      <c r="I10" s="177"/>
      <c r="J10" s="177"/>
      <c r="K10" s="177"/>
      <c r="L10" s="177"/>
      <c r="M10" s="177"/>
      <c r="N10" s="177"/>
      <c r="O10" s="177"/>
      <c r="P10" s="177"/>
    </row>
    <row r="11" spans="1:16" x14ac:dyDescent="0.25">
      <c r="A11" s="177" t="s">
        <v>859</v>
      </c>
      <c r="B11" s="177" t="s">
        <v>952</v>
      </c>
      <c r="C11" s="177">
        <v>40</v>
      </c>
      <c r="D11" s="177">
        <v>65</v>
      </c>
      <c r="E11" s="167" t="s">
        <v>433</v>
      </c>
      <c r="F11" s="167" t="s">
        <v>944</v>
      </c>
      <c r="G11" s="167" t="s">
        <v>293</v>
      </c>
      <c r="H11" s="167" t="s">
        <v>967</v>
      </c>
      <c r="I11" s="177" t="s">
        <v>285</v>
      </c>
      <c r="J11" s="177" t="s">
        <v>914</v>
      </c>
      <c r="K11" s="177" t="s">
        <v>914</v>
      </c>
      <c r="L11" s="177" t="s">
        <v>914</v>
      </c>
      <c r="M11" s="177">
        <v>1260</v>
      </c>
      <c r="N11" s="177">
        <v>50</v>
      </c>
      <c r="O11" s="177"/>
      <c r="P11" s="179" t="s">
        <v>1364</v>
      </c>
    </row>
    <row r="12" spans="1:16" x14ac:dyDescent="0.25">
      <c r="A12" s="177"/>
      <c r="B12" s="177"/>
      <c r="C12" s="177"/>
      <c r="D12" s="177"/>
      <c r="E12" s="167" t="s">
        <v>434</v>
      </c>
      <c r="F12" s="167">
        <v>0</v>
      </c>
      <c r="G12" s="167">
        <v>0</v>
      </c>
      <c r="H12" s="167" t="s">
        <v>293</v>
      </c>
      <c r="I12" s="177"/>
      <c r="J12" s="177"/>
      <c r="K12" s="177"/>
      <c r="L12" s="177"/>
      <c r="M12" s="177"/>
      <c r="N12" s="177"/>
      <c r="O12" s="177"/>
      <c r="P12" s="177"/>
    </row>
    <row r="13" spans="1:16" x14ac:dyDescent="0.25">
      <c r="A13" s="177"/>
      <c r="B13" s="177"/>
      <c r="C13" s="177"/>
      <c r="D13" s="177"/>
      <c r="E13" s="167" t="s">
        <v>433</v>
      </c>
      <c r="F13" s="167">
        <v>0</v>
      </c>
      <c r="G13" s="167">
        <v>0</v>
      </c>
      <c r="H13" s="167">
        <v>0</v>
      </c>
      <c r="I13" s="177"/>
      <c r="J13" s="177"/>
      <c r="K13" s="177"/>
      <c r="L13" s="177"/>
      <c r="M13" s="177"/>
      <c r="N13" s="177"/>
      <c r="O13" s="177"/>
      <c r="P13" s="177"/>
    </row>
    <row r="14" spans="1:16" x14ac:dyDescent="0.25">
      <c r="A14" s="177"/>
      <c r="B14" s="177"/>
      <c r="C14" s="177"/>
      <c r="D14" s="177"/>
      <c r="E14" s="167" t="s">
        <v>434</v>
      </c>
      <c r="F14" s="167" t="s">
        <v>294</v>
      </c>
      <c r="G14" s="167" t="s">
        <v>967</v>
      </c>
      <c r="H14" s="167" t="s">
        <v>967</v>
      </c>
      <c r="I14" s="177"/>
      <c r="J14" s="177"/>
      <c r="K14" s="177"/>
      <c r="L14" s="177"/>
      <c r="M14" s="177"/>
      <c r="N14" s="177"/>
      <c r="O14" s="177"/>
      <c r="P14" s="177"/>
    </row>
    <row r="15" spans="1:16" x14ac:dyDescent="0.25">
      <c r="A15" s="177" t="s">
        <v>859</v>
      </c>
      <c r="B15" s="177" t="s">
        <v>952</v>
      </c>
      <c r="C15" s="177">
        <v>40</v>
      </c>
      <c r="D15" s="177">
        <v>65</v>
      </c>
      <c r="E15" s="167" t="s">
        <v>433</v>
      </c>
      <c r="F15" s="167" t="s">
        <v>944</v>
      </c>
      <c r="G15" s="167" t="s">
        <v>293</v>
      </c>
      <c r="H15" s="167" t="s">
        <v>967</v>
      </c>
      <c r="I15" s="177" t="s">
        <v>285</v>
      </c>
      <c r="J15" s="177" t="s">
        <v>914</v>
      </c>
      <c r="K15" s="177" t="s">
        <v>914</v>
      </c>
      <c r="L15" s="177" t="s">
        <v>914</v>
      </c>
      <c r="M15" s="177">
        <v>1260</v>
      </c>
      <c r="N15" s="177">
        <v>50</v>
      </c>
      <c r="O15" s="177"/>
      <c r="P15" s="179" t="s">
        <v>1364</v>
      </c>
    </row>
    <row r="16" spans="1:16" x14ac:dyDescent="0.25">
      <c r="A16" s="177"/>
      <c r="B16" s="177"/>
      <c r="C16" s="177"/>
      <c r="D16" s="177"/>
      <c r="E16" s="167" t="s">
        <v>434</v>
      </c>
      <c r="F16" s="167">
        <v>0</v>
      </c>
      <c r="G16" s="167">
        <v>0</v>
      </c>
      <c r="H16" s="167" t="s">
        <v>293</v>
      </c>
      <c r="I16" s="177"/>
      <c r="J16" s="177"/>
      <c r="K16" s="177"/>
      <c r="L16" s="177"/>
      <c r="M16" s="177"/>
      <c r="N16" s="177"/>
      <c r="O16" s="177"/>
      <c r="P16" s="177"/>
    </row>
    <row r="17" spans="1:16" x14ac:dyDescent="0.25">
      <c r="A17" s="177"/>
      <c r="B17" s="177"/>
      <c r="C17" s="177"/>
      <c r="D17" s="177"/>
      <c r="E17" s="167" t="s">
        <v>433</v>
      </c>
      <c r="F17" s="167">
        <v>0</v>
      </c>
      <c r="G17" s="167">
        <v>0</v>
      </c>
      <c r="H17" s="167">
        <v>0</v>
      </c>
      <c r="I17" s="177"/>
      <c r="J17" s="177"/>
      <c r="K17" s="177"/>
      <c r="L17" s="177"/>
      <c r="M17" s="177"/>
      <c r="N17" s="177"/>
      <c r="O17" s="177"/>
      <c r="P17" s="177"/>
    </row>
    <row r="18" spans="1:16" x14ac:dyDescent="0.25">
      <c r="A18" s="177"/>
      <c r="B18" s="177"/>
      <c r="C18" s="177"/>
      <c r="D18" s="177"/>
      <c r="E18" s="167" t="s">
        <v>434</v>
      </c>
      <c r="F18" s="167" t="s">
        <v>294</v>
      </c>
      <c r="G18" s="167" t="s">
        <v>967</v>
      </c>
      <c r="H18" s="167" t="s">
        <v>967</v>
      </c>
      <c r="I18" s="177"/>
      <c r="J18" s="177"/>
      <c r="K18" s="177"/>
      <c r="L18" s="177"/>
      <c r="M18" s="177"/>
      <c r="N18" s="177"/>
      <c r="O18" s="177"/>
      <c r="P18" s="177"/>
    </row>
    <row r="19" spans="1:16" x14ac:dyDescent="0.25">
      <c r="A19" s="177" t="s">
        <v>859</v>
      </c>
      <c r="B19" s="177" t="s">
        <v>968</v>
      </c>
      <c r="C19" s="177">
        <v>40</v>
      </c>
      <c r="D19" s="177">
        <v>65</v>
      </c>
      <c r="E19" s="167" t="s">
        <v>433</v>
      </c>
      <c r="F19" s="167" t="s">
        <v>944</v>
      </c>
      <c r="G19" s="167" t="s">
        <v>293</v>
      </c>
      <c r="H19" s="167" t="s">
        <v>967</v>
      </c>
      <c r="I19" s="177" t="s">
        <v>902</v>
      </c>
      <c r="J19" s="177" t="s">
        <v>914</v>
      </c>
      <c r="K19" s="177" t="s">
        <v>914</v>
      </c>
      <c r="L19" s="177" t="s">
        <v>914</v>
      </c>
      <c r="M19" s="177">
        <v>830</v>
      </c>
      <c r="N19" s="177">
        <v>50</v>
      </c>
      <c r="O19" s="177"/>
      <c r="P19" s="179" t="s">
        <v>1364</v>
      </c>
    </row>
    <row r="20" spans="1:16" x14ac:dyDescent="0.25">
      <c r="A20" s="177"/>
      <c r="B20" s="177"/>
      <c r="C20" s="177"/>
      <c r="D20" s="177"/>
      <c r="E20" s="167" t="s">
        <v>434</v>
      </c>
      <c r="F20" s="167">
        <v>0</v>
      </c>
      <c r="G20" s="167">
        <v>0</v>
      </c>
      <c r="H20" s="167">
        <v>0</v>
      </c>
      <c r="I20" s="177"/>
      <c r="J20" s="177"/>
      <c r="K20" s="177"/>
      <c r="L20" s="177"/>
      <c r="M20" s="177"/>
      <c r="N20" s="177"/>
      <c r="O20" s="177"/>
      <c r="P20" s="177"/>
    </row>
    <row r="21" spans="1:16" x14ac:dyDescent="0.25">
      <c r="A21" s="177"/>
      <c r="B21" s="177"/>
      <c r="C21" s="177"/>
      <c r="D21" s="177"/>
      <c r="E21" s="167" t="s">
        <v>433</v>
      </c>
      <c r="F21" s="167">
        <v>0</v>
      </c>
      <c r="G21" s="167" t="s">
        <v>944</v>
      </c>
      <c r="H21" s="167">
        <v>0</v>
      </c>
      <c r="I21" s="177"/>
      <c r="J21" s="177"/>
      <c r="K21" s="177"/>
      <c r="L21" s="177"/>
      <c r="M21" s="177"/>
      <c r="N21" s="177"/>
      <c r="O21" s="177"/>
      <c r="P21" s="177"/>
    </row>
    <row r="22" spans="1:16" x14ac:dyDescent="0.25">
      <c r="A22" s="177"/>
      <c r="B22" s="177"/>
      <c r="C22" s="177"/>
      <c r="D22" s="177"/>
      <c r="E22" s="167" t="s">
        <v>434</v>
      </c>
      <c r="F22" s="167" t="s">
        <v>967</v>
      </c>
      <c r="G22" s="167" t="s">
        <v>967</v>
      </c>
      <c r="H22" s="167" t="s">
        <v>954</v>
      </c>
      <c r="I22" s="177"/>
      <c r="J22" s="177"/>
      <c r="K22" s="177"/>
      <c r="L22" s="177"/>
      <c r="M22" s="177"/>
      <c r="N22" s="177"/>
      <c r="O22" s="177"/>
      <c r="P22" s="177"/>
    </row>
    <row r="23" spans="1:16" x14ac:dyDescent="0.25">
      <c r="A23" s="177" t="s">
        <v>859</v>
      </c>
      <c r="B23" s="177" t="s">
        <v>969</v>
      </c>
      <c r="C23" s="177">
        <v>40</v>
      </c>
      <c r="D23" s="177">
        <v>65</v>
      </c>
      <c r="E23" s="167" t="s">
        <v>433</v>
      </c>
      <c r="F23" s="167" t="s">
        <v>967</v>
      </c>
      <c r="G23" s="167" t="s">
        <v>293</v>
      </c>
      <c r="H23" s="167" t="s">
        <v>294</v>
      </c>
      <c r="I23" s="177" t="s">
        <v>902</v>
      </c>
      <c r="J23" s="177" t="s">
        <v>913</v>
      </c>
      <c r="K23" s="177" t="s">
        <v>913</v>
      </c>
      <c r="L23" s="177" t="s">
        <v>913</v>
      </c>
      <c r="M23" s="177">
        <v>830</v>
      </c>
      <c r="N23" s="177">
        <v>50</v>
      </c>
      <c r="O23" s="177"/>
      <c r="P23" s="178" t="s">
        <v>1365</v>
      </c>
    </row>
    <row r="24" spans="1:16" x14ac:dyDescent="0.25">
      <c r="A24" s="177"/>
      <c r="B24" s="177"/>
      <c r="C24" s="177"/>
      <c r="D24" s="177"/>
      <c r="E24" s="167" t="s">
        <v>434</v>
      </c>
      <c r="F24" s="167">
        <v>0</v>
      </c>
      <c r="G24" s="167">
        <v>0</v>
      </c>
      <c r="H24" s="167" t="s">
        <v>944</v>
      </c>
      <c r="I24" s="177"/>
      <c r="J24" s="177"/>
      <c r="K24" s="177"/>
      <c r="L24" s="177"/>
      <c r="M24" s="177"/>
      <c r="N24" s="177"/>
      <c r="O24" s="177"/>
      <c r="P24" s="177"/>
    </row>
    <row r="25" spans="1:16" x14ac:dyDescent="0.25">
      <c r="A25" s="177"/>
      <c r="B25" s="177"/>
      <c r="C25" s="177"/>
      <c r="D25" s="177"/>
      <c r="E25" s="167" t="s">
        <v>433</v>
      </c>
      <c r="F25" s="167">
        <v>0</v>
      </c>
      <c r="G25" s="167">
        <v>0</v>
      </c>
      <c r="H25" s="167">
        <v>0</v>
      </c>
      <c r="I25" s="177"/>
      <c r="J25" s="177"/>
      <c r="K25" s="177"/>
      <c r="L25" s="177"/>
      <c r="M25" s="177"/>
      <c r="N25" s="177"/>
      <c r="O25" s="177"/>
      <c r="P25" s="177"/>
    </row>
    <row r="26" spans="1:16" x14ac:dyDescent="0.25">
      <c r="A26" s="177"/>
      <c r="B26" s="177"/>
      <c r="C26" s="177"/>
      <c r="D26" s="177"/>
      <c r="E26" s="167" t="s">
        <v>434</v>
      </c>
      <c r="F26" s="167" t="s">
        <v>954</v>
      </c>
      <c r="G26" s="167" t="s">
        <v>967</v>
      </c>
      <c r="H26" s="167" t="s">
        <v>947</v>
      </c>
      <c r="I26" s="177"/>
      <c r="J26" s="177"/>
      <c r="K26" s="177"/>
      <c r="L26" s="177"/>
      <c r="M26" s="177"/>
      <c r="N26" s="177"/>
      <c r="O26" s="177"/>
      <c r="P26" s="177"/>
    </row>
    <row r="27" spans="1:16" x14ac:dyDescent="0.25">
      <c r="A27" s="177" t="s">
        <v>859</v>
      </c>
      <c r="B27" s="177" t="s">
        <v>970</v>
      </c>
      <c r="C27" s="177">
        <v>40</v>
      </c>
      <c r="D27" s="177">
        <v>65</v>
      </c>
      <c r="E27" s="167" t="s">
        <v>433</v>
      </c>
      <c r="F27" s="167" t="s">
        <v>294</v>
      </c>
      <c r="G27" s="167" t="s">
        <v>293</v>
      </c>
      <c r="H27" s="167" t="s">
        <v>967</v>
      </c>
      <c r="I27" s="177" t="s">
        <v>902</v>
      </c>
      <c r="J27" s="177" t="s">
        <v>913</v>
      </c>
      <c r="K27" s="177" t="s">
        <v>913</v>
      </c>
      <c r="L27" s="177" t="s">
        <v>913</v>
      </c>
      <c r="M27" s="177">
        <v>830</v>
      </c>
      <c r="N27" s="177">
        <v>50</v>
      </c>
      <c r="O27" s="177"/>
      <c r="P27" s="178" t="s">
        <v>1365</v>
      </c>
    </row>
    <row r="28" spans="1:16" x14ac:dyDescent="0.25">
      <c r="A28" s="177"/>
      <c r="B28" s="177"/>
      <c r="C28" s="177"/>
      <c r="D28" s="177"/>
      <c r="E28" s="167" t="s">
        <v>434</v>
      </c>
      <c r="F28" s="167" t="s">
        <v>944</v>
      </c>
      <c r="G28" s="167">
        <v>0</v>
      </c>
      <c r="H28" s="167">
        <v>0</v>
      </c>
      <c r="I28" s="177"/>
      <c r="J28" s="177"/>
      <c r="K28" s="177"/>
      <c r="L28" s="177"/>
      <c r="M28" s="177"/>
      <c r="N28" s="177"/>
      <c r="O28" s="177"/>
      <c r="P28" s="177"/>
    </row>
    <row r="29" spans="1:16" x14ac:dyDescent="0.25">
      <c r="A29" s="177"/>
      <c r="B29" s="177"/>
      <c r="C29" s="177"/>
      <c r="D29" s="177"/>
      <c r="E29" s="167" t="s">
        <v>433</v>
      </c>
      <c r="F29" s="167">
        <v>0</v>
      </c>
      <c r="G29" s="167">
        <v>0</v>
      </c>
      <c r="H29" s="167">
        <v>0</v>
      </c>
      <c r="I29" s="177"/>
      <c r="J29" s="177"/>
      <c r="K29" s="177"/>
      <c r="L29" s="177"/>
      <c r="M29" s="177"/>
      <c r="N29" s="177"/>
      <c r="O29" s="177"/>
      <c r="P29" s="177"/>
    </row>
    <row r="30" spans="1:16" x14ac:dyDescent="0.25">
      <c r="A30" s="177"/>
      <c r="B30" s="177"/>
      <c r="C30" s="177"/>
      <c r="D30" s="177"/>
      <c r="E30" s="167" t="s">
        <v>434</v>
      </c>
      <c r="F30" s="167" t="s">
        <v>947</v>
      </c>
      <c r="G30" s="167" t="s">
        <v>967</v>
      </c>
      <c r="H30" s="167" t="s">
        <v>947</v>
      </c>
      <c r="I30" s="177"/>
      <c r="J30" s="177"/>
      <c r="K30" s="177"/>
      <c r="L30" s="177"/>
      <c r="M30" s="177"/>
      <c r="N30" s="177"/>
      <c r="O30" s="177"/>
      <c r="P30" s="177"/>
    </row>
    <row r="31" spans="1:16" x14ac:dyDescent="0.25">
      <c r="A31" s="177" t="s">
        <v>859</v>
      </c>
      <c r="B31" s="177" t="s">
        <v>971</v>
      </c>
      <c r="C31" s="177">
        <v>40</v>
      </c>
      <c r="D31" s="177">
        <v>65</v>
      </c>
      <c r="E31" s="167" t="s">
        <v>433</v>
      </c>
      <c r="F31" s="167" t="s">
        <v>967</v>
      </c>
      <c r="G31" s="167" t="s">
        <v>293</v>
      </c>
      <c r="H31" s="167" t="s">
        <v>294</v>
      </c>
      <c r="I31" s="177" t="s">
        <v>902</v>
      </c>
      <c r="J31" s="177" t="s">
        <v>913</v>
      </c>
      <c r="K31" s="177" t="s">
        <v>913</v>
      </c>
      <c r="L31" s="177" t="s">
        <v>913</v>
      </c>
      <c r="M31" s="177">
        <v>830</v>
      </c>
      <c r="N31" s="177">
        <v>50</v>
      </c>
      <c r="O31" s="177"/>
      <c r="P31" s="178" t="s">
        <v>1365</v>
      </c>
    </row>
    <row r="32" spans="1:16" x14ac:dyDescent="0.25">
      <c r="A32" s="177"/>
      <c r="B32" s="177"/>
      <c r="C32" s="177"/>
      <c r="D32" s="177"/>
      <c r="E32" s="167" t="s">
        <v>434</v>
      </c>
      <c r="F32" s="167">
        <v>0</v>
      </c>
      <c r="G32" s="167">
        <v>0</v>
      </c>
      <c r="H32" s="167" t="s">
        <v>944</v>
      </c>
      <c r="I32" s="177"/>
      <c r="J32" s="177"/>
      <c r="K32" s="177"/>
      <c r="L32" s="177"/>
      <c r="M32" s="177"/>
      <c r="N32" s="177"/>
      <c r="O32" s="177"/>
      <c r="P32" s="177"/>
    </row>
    <row r="33" spans="1:16" x14ac:dyDescent="0.25">
      <c r="A33" s="177"/>
      <c r="B33" s="177"/>
      <c r="C33" s="177"/>
      <c r="D33" s="177"/>
      <c r="E33" s="167" t="s">
        <v>433</v>
      </c>
      <c r="F33" s="167">
        <v>0</v>
      </c>
      <c r="G33" s="167">
        <v>0</v>
      </c>
      <c r="H33" s="167">
        <v>0</v>
      </c>
      <c r="I33" s="177"/>
      <c r="J33" s="177"/>
      <c r="K33" s="177"/>
      <c r="L33" s="177"/>
      <c r="M33" s="177"/>
      <c r="N33" s="177"/>
      <c r="O33" s="177"/>
      <c r="P33" s="177"/>
    </row>
    <row r="34" spans="1:16" x14ac:dyDescent="0.25">
      <c r="A34" s="177"/>
      <c r="B34" s="177"/>
      <c r="C34" s="177"/>
      <c r="D34" s="177"/>
      <c r="E34" s="167" t="s">
        <v>434</v>
      </c>
      <c r="F34" s="167" t="s">
        <v>947</v>
      </c>
      <c r="G34" s="167" t="s">
        <v>967</v>
      </c>
      <c r="H34" s="167" t="s">
        <v>947</v>
      </c>
      <c r="I34" s="177"/>
      <c r="J34" s="177"/>
      <c r="K34" s="177"/>
      <c r="L34" s="177"/>
      <c r="M34" s="177"/>
      <c r="N34" s="177"/>
      <c r="O34" s="177"/>
      <c r="P34" s="177"/>
    </row>
    <row r="35" spans="1:16" x14ac:dyDescent="0.25">
      <c r="A35" s="177" t="s">
        <v>859</v>
      </c>
      <c r="B35" s="177" t="s">
        <v>972</v>
      </c>
      <c r="C35" s="177">
        <v>40</v>
      </c>
      <c r="D35" s="177">
        <v>65</v>
      </c>
      <c r="E35" s="167" t="s">
        <v>433</v>
      </c>
      <c r="F35" s="167" t="s">
        <v>294</v>
      </c>
      <c r="G35" s="167" t="s">
        <v>293</v>
      </c>
      <c r="H35" s="167" t="s">
        <v>954</v>
      </c>
      <c r="I35" s="177" t="s">
        <v>902</v>
      </c>
      <c r="J35" s="177" t="s">
        <v>913</v>
      </c>
      <c r="K35" s="177" t="s">
        <v>913</v>
      </c>
      <c r="L35" s="177" t="s">
        <v>913</v>
      </c>
      <c r="M35" s="177">
        <v>830</v>
      </c>
      <c r="N35" s="177">
        <v>50</v>
      </c>
      <c r="O35" s="177"/>
      <c r="P35" s="178" t="s">
        <v>1365</v>
      </c>
    </row>
    <row r="36" spans="1:16" x14ac:dyDescent="0.25">
      <c r="A36" s="177"/>
      <c r="B36" s="177"/>
      <c r="C36" s="177"/>
      <c r="D36" s="177"/>
      <c r="E36" s="167" t="s">
        <v>434</v>
      </c>
      <c r="F36" s="167" t="s">
        <v>944</v>
      </c>
      <c r="G36" s="167">
        <v>0</v>
      </c>
      <c r="H36" s="167">
        <v>0</v>
      </c>
      <c r="I36" s="177"/>
      <c r="J36" s="177"/>
      <c r="K36" s="177"/>
      <c r="L36" s="177"/>
      <c r="M36" s="177"/>
      <c r="N36" s="177"/>
      <c r="O36" s="177"/>
      <c r="P36" s="177"/>
    </row>
    <row r="37" spans="1:16" x14ac:dyDescent="0.25">
      <c r="A37" s="177"/>
      <c r="B37" s="177"/>
      <c r="C37" s="177"/>
      <c r="D37" s="177"/>
      <c r="E37" s="167" t="s">
        <v>433</v>
      </c>
      <c r="F37" s="167">
        <v>0</v>
      </c>
      <c r="G37" s="167">
        <v>0</v>
      </c>
      <c r="H37" s="167">
        <v>0</v>
      </c>
      <c r="I37" s="177"/>
      <c r="J37" s="177"/>
      <c r="K37" s="177"/>
      <c r="L37" s="177"/>
      <c r="M37" s="177"/>
      <c r="N37" s="177"/>
      <c r="O37" s="177"/>
      <c r="P37" s="177"/>
    </row>
    <row r="38" spans="1:16" x14ac:dyDescent="0.25">
      <c r="A38" s="177"/>
      <c r="B38" s="177"/>
      <c r="C38" s="177"/>
      <c r="D38" s="177"/>
      <c r="E38" s="167" t="s">
        <v>434</v>
      </c>
      <c r="F38" s="167" t="s">
        <v>947</v>
      </c>
      <c r="G38" s="167" t="s">
        <v>967</v>
      </c>
      <c r="H38" s="167" t="s">
        <v>954</v>
      </c>
      <c r="I38" s="177"/>
      <c r="J38" s="177"/>
      <c r="K38" s="177"/>
      <c r="L38" s="177"/>
      <c r="M38" s="177"/>
      <c r="N38" s="177"/>
      <c r="O38" s="177"/>
      <c r="P38" s="177"/>
    </row>
    <row r="39" spans="1:16" x14ac:dyDescent="0.25">
      <c r="A39" s="177" t="s">
        <v>859</v>
      </c>
      <c r="B39" s="177" t="s">
        <v>973</v>
      </c>
      <c r="C39" s="177">
        <v>40</v>
      </c>
      <c r="D39" s="177">
        <v>65</v>
      </c>
      <c r="E39" s="167" t="s">
        <v>433</v>
      </c>
      <c r="F39" s="167" t="s">
        <v>917</v>
      </c>
      <c r="G39" s="167" t="s">
        <v>915</v>
      </c>
      <c r="H39" s="167" t="s">
        <v>912</v>
      </c>
      <c r="I39" s="177" t="s">
        <v>902</v>
      </c>
      <c r="J39" s="177" t="s">
        <v>914</v>
      </c>
      <c r="K39" s="177" t="s">
        <v>914</v>
      </c>
      <c r="L39" s="177" t="s">
        <v>914</v>
      </c>
      <c r="M39" s="177">
        <v>830</v>
      </c>
      <c r="N39" s="177">
        <v>50</v>
      </c>
      <c r="O39" s="177"/>
      <c r="P39" s="179" t="s">
        <v>1366</v>
      </c>
    </row>
    <row r="40" spans="1:16" x14ac:dyDescent="0.25">
      <c r="A40" s="177"/>
      <c r="B40" s="177"/>
      <c r="C40" s="177"/>
      <c r="D40" s="177"/>
      <c r="E40" s="167" t="s">
        <v>434</v>
      </c>
      <c r="F40" s="167">
        <v>0</v>
      </c>
      <c r="G40" s="167">
        <v>0</v>
      </c>
      <c r="H40" s="167" t="s">
        <v>916</v>
      </c>
      <c r="I40" s="177"/>
      <c r="J40" s="177"/>
      <c r="K40" s="177"/>
      <c r="L40" s="177"/>
      <c r="M40" s="177"/>
      <c r="N40" s="177"/>
      <c r="O40" s="177"/>
      <c r="P40" s="177"/>
    </row>
    <row r="41" spans="1:16" x14ac:dyDescent="0.25">
      <c r="A41" s="177"/>
      <c r="B41" s="177"/>
      <c r="C41" s="177"/>
      <c r="D41" s="177"/>
      <c r="E41" s="167" t="s">
        <v>433</v>
      </c>
      <c r="F41" s="167">
        <v>0</v>
      </c>
      <c r="G41" s="167" t="s">
        <v>944</v>
      </c>
      <c r="H41" s="167">
        <v>0</v>
      </c>
      <c r="I41" s="177"/>
      <c r="J41" s="177"/>
      <c r="K41" s="177"/>
      <c r="L41" s="177"/>
      <c r="M41" s="177"/>
      <c r="N41" s="177"/>
      <c r="O41" s="177"/>
      <c r="P41" s="177"/>
    </row>
    <row r="42" spans="1:16" x14ac:dyDescent="0.25">
      <c r="A42" s="177"/>
      <c r="B42" s="177"/>
      <c r="C42" s="177"/>
      <c r="D42" s="177"/>
      <c r="E42" s="167" t="s">
        <v>434</v>
      </c>
      <c r="F42" s="167" t="s">
        <v>954</v>
      </c>
      <c r="G42" s="167" t="s">
        <v>967</v>
      </c>
      <c r="H42" s="167" t="s">
        <v>293</v>
      </c>
      <c r="I42" s="177"/>
      <c r="J42" s="177"/>
      <c r="K42" s="177"/>
      <c r="L42" s="177"/>
      <c r="M42" s="177"/>
      <c r="N42" s="177"/>
      <c r="O42" s="177"/>
      <c r="P42" s="177"/>
    </row>
    <row r="43" spans="1:16" x14ac:dyDescent="0.25">
      <c r="A43" s="177" t="s">
        <v>859</v>
      </c>
      <c r="B43" s="177" t="s">
        <v>951</v>
      </c>
      <c r="C43" s="177">
        <v>40</v>
      </c>
      <c r="D43" s="177">
        <v>65</v>
      </c>
      <c r="E43" s="167" t="s">
        <v>433</v>
      </c>
      <c r="F43" s="167" t="s">
        <v>967</v>
      </c>
      <c r="G43" s="167" t="s">
        <v>293</v>
      </c>
      <c r="H43" s="167" t="s">
        <v>967</v>
      </c>
      <c r="I43" s="177" t="s">
        <v>285</v>
      </c>
      <c r="J43" s="177" t="s">
        <v>914</v>
      </c>
      <c r="K43" s="177" t="s">
        <v>914</v>
      </c>
      <c r="L43" s="177" t="s">
        <v>914</v>
      </c>
      <c r="M43" s="177">
        <v>830</v>
      </c>
      <c r="N43" s="177">
        <v>50</v>
      </c>
      <c r="O43" s="177"/>
      <c r="P43" s="178" t="s">
        <v>1365</v>
      </c>
    </row>
    <row r="44" spans="1:16" x14ac:dyDescent="0.25">
      <c r="A44" s="177"/>
      <c r="B44" s="177"/>
      <c r="C44" s="177"/>
      <c r="D44" s="177"/>
      <c r="E44" s="167" t="s">
        <v>434</v>
      </c>
      <c r="F44" s="167" t="s">
        <v>293</v>
      </c>
      <c r="G44" s="167">
        <v>0</v>
      </c>
      <c r="H44" s="167" t="s">
        <v>293</v>
      </c>
      <c r="I44" s="177"/>
      <c r="J44" s="177"/>
      <c r="K44" s="177"/>
      <c r="L44" s="177"/>
      <c r="M44" s="177"/>
      <c r="N44" s="177"/>
      <c r="O44" s="177"/>
      <c r="P44" s="177"/>
    </row>
    <row r="45" spans="1:16" x14ac:dyDescent="0.25">
      <c r="A45" s="177"/>
      <c r="B45" s="177"/>
      <c r="C45" s="177"/>
      <c r="D45" s="177"/>
      <c r="E45" s="167" t="s">
        <v>433</v>
      </c>
      <c r="F45" s="167">
        <v>0</v>
      </c>
      <c r="G45" s="167">
        <v>0</v>
      </c>
      <c r="H45" s="167">
        <v>0</v>
      </c>
      <c r="I45" s="177"/>
      <c r="J45" s="177"/>
      <c r="K45" s="177"/>
      <c r="L45" s="177"/>
      <c r="M45" s="177"/>
      <c r="N45" s="177"/>
      <c r="O45" s="177"/>
      <c r="P45" s="177"/>
    </row>
    <row r="46" spans="1:16" x14ac:dyDescent="0.25">
      <c r="A46" s="177"/>
      <c r="B46" s="177"/>
      <c r="C46" s="177"/>
      <c r="D46" s="177"/>
      <c r="E46" s="167" t="s">
        <v>434</v>
      </c>
      <c r="F46" s="167" t="s">
        <v>967</v>
      </c>
      <c r="G46" s="167" t="s">
        <v>967</v>
      </c>
      <c r="H46" s="167" t="s">
        <v>967</v>
      </c>
      <c r="I46" s="177"/>
      <c r="J46" s="177"/>
      <c r="K46" s="177"/>
      <c r="L46" s="177"/>
      <c r="M46" s="177"/>
      <c r="N46" s="177"/>
      <c r="O46" s="177"/>
      <c r="P46" s="177"/>
    </row>
    <row r="47" spans="1:16" x14ac:dyDescent="0.25">
      <c r="A47" s="177" t="s">
        <v>859</v>
      </c>
      <c r="B47" s="177" t="s">
        <v>951</v>
      </c>
      <c r="C47" s="177">
        <v>40</v>
      </c>
      <c r="D47" s="177">
        <v>65</v>
      </c>
      <c r="E47" s="167" t="s">
        <v>433</v>
      </c>
      <c r="F47" s="167" t="s">
        <v>967</v>
      </c>
      <c r="G47" s="167" t="s">
        <v>293</v>
      </c>
      <c r="H47" s="167" t="s">
        <v>967</v>
      </c>
      <c r="I47" s="177" t="s">
        <v>285</v>
      </c>
      <c r="J47" s="177" t="s">
        <v>914</v>
      </c>
      <c r="K47" s="177" t="s">
        <v>914</v>
      </c>
      <c r="L47" s="177" t="s">
        <v>914</v>
      </c>
      <c r="M47" s="177">
        <v>830</v>
      </c>
      <c r="N47" s="177">
        <v>50</v>
      </c>
      <c r="O47" s="177"/>
      <c r="P47" s="178" t="s">
        <v>1365</v>
      </c>
    </row>
    <row r="48" spans="1:16" x14ac:dyDescent="0.25">
      <c r="A48" s="177"/>
      <c r="B48" s="177"/>
      <c r="C48" s="177"/>
      <c r="D48" s="177"/>
      <c r="E48" s="167" t="s">
        <v>434</v>
      </c>
      <c r="F48" s="167" t="s">
        <v>293</v>
      </c>
      <c r="G48" s="167">
        <v>0</v>
      </c>
      <c r="H48" s="167" t="s">
        <v>293</v>
      </c>
      <c r="I48" s="177"/>
      <c r="J48" s="177"/>
      <c r="K48" s="177"/>
      <c r="L48" s="177"/>
      <c r="M48" s="177"/>
      <c r="N48" s="177"/>
      <c r="O48" s="177"/>
      <c r="P48" s="177"/>
    </row>
    <row r="49" spans="1:16" x14ac:dyDescent="0.25">
      <c r="A49" s="177"/>
      <c r="B49" s="177"/>
      <c r="C49" s="177"/>
      <c r="D49" s="177"/>
      <c r="E49" s="167" t="s">
        <v>433</v>
      </c>
      <c r="F49" s="167">
        <v>0</v>
      </c>
      <c r="G49" s="167">
        <v>0</v>
      </c>
      <c r="H49" s="167">
        <v>0</v>
      </c>
      <c r="I49" s="177"/>
      <c r="J49" s="177"/>
      <c r="K49" s="177"/>
      <c r="L49" s="177"/>
      <c r="M49" s="177"/>
      <c r="N49" s="177"/>
      <c r="O49" s="177"/>
      <c r="P49" s="177"/>
    </row>
    <row r="50" spans="1:16" x14ac:dyDescent="0.25">
      <c r="A50" s="177"/>
      <c r="B50" s="177"/>
      <c r="C50" s="177"/>
      <c r="D50" s="177"/>
      <c r="E50" s="167" t="s">
        <v>434</v>
      </c>
      <c r="F50" s="167" t="s">
        <v>967</v>
      </c>
      <c r="G50" s="167" t="s">
        <v>967</v>
      </c>
      <c r="H50" s="167" t="s">
        <v>967</v>
      </c>
      <c r="I50" s="177"/>
      <c r="J50" s="177"/>
      <c r="K50" s="177"/>
      <c r="L50" s="177"/>
      <c r="M50" s="177"/>
      <c r="N50" s="177"/>
      <c r="O50" s="177"/>
      <c r="P50" s="177"/>
    </row>
    <row r="51" spans="1:16" x14ac:dyDescent="0.25">
      <c r="A51" s="177" t="s">
        <v>859</v>
      </c>
      <c r="B51" s="177" t="s">
        <v>951</v>
      </c>
      <c r="C51" s="177">
        <v>40</v>
      </c>
      <c r="D51" s="177">
        <v>65</v>
      </c>
      <c r="E51" s="167" t="s">
        <v>433</v>
      </c>
      <c r="F51" s="167" t="s">
        <v>967</v>
      </c>
      <c r="G51" s="167" t="s">
        <v>293</v>
      </c>
      <c r="H51" s="167" t="s">
        <v>967</v>
      </c>
      <c r="I51" s="177" t="s">
        <v>285</v>
      </c>
      <c r="J51" s="177" t="s">
        <v>914</v>
      </c>
      <c r="K51" s="177" t="s">
        <v>914</v>
      </c>
      <c r="L51" s="177" t="s">
        <v>914</v>
      </c>
      <c r="M51" s="177">
        <v>1260</v>
      </c>
      <c r="N51" s="177">
        <v>50</v>
      </c>
      <c r="O51" s="177"/>
      <c r="P51" s="178" t="s">
        <v>1365</v>
      </c>
    </row>
    <row r="52" spans="1:16" x14ac:dyDescent="0.25">
      <c r="A52" s="177"/>
      <c r="B52" s="177"/>
      <c r="C52" s="177"/>
      <c r="D52" s="177"/>
      <c r="E52" s="167" t="s">
        <v>434</v>
      </c>
      <c r="F52" s="167" t="s">
        <v>293</v>
      </c>
      <c r="G52" s="167">
        <v>0</v>
      </c>
      <c r="H52" s="167" t="s">
        <v>293</v>
      </c>
      <c r="I52" s="177"/>
      <c r="J52" s="177"/>
      <c r="K52" s="177"/>
      <c r="L52" s="177"/>
      <c r="M52" s="177"/>
      <c r="N52" s="177"/>
      <c r="O52" s="177"/>
      <c r="P52" s="177"/>
    </row>
    <row r="53" spans="1:16" x14ac:dyDescent="0.25">
      <c r="A53" s="177"/>
      <c r="B53" s="177"/>
      <c r="C53" s="177"/>
      <c r="D53" s="177"/>
      <c r="E53" s="167" t="s">
        <v>433</v>
      </c>
      <c r="F53" s="167">
        <v>0</v>
      </c>
      <c r="G53" s="167">
        <v>0</v>
      </c>
      <c r="H53" s="167">
        <v>0</v>
      </c>
      <c r="I53" s="177"/>
      <c r="J53" s="177"/>
      <c r="K53" s="177"/>
      <c r="L53" s="177"/>
      <c r="M53" s="177"/>
      <c r="N53" s="177"/>
      <c r="O53" s="177"/>
      <c r="P53" s="177"/>
    </row>
    <row r="54" spans="1:16" x14ac:dyDescent="0.25">
      <c r="A54" s="177"/>
      <c r="B54" s="177"/>
      <c r="C54" s="177"/>
      <c r="D54" s="177"/>
      <c r="E54" s="167" t="s">
        <v>434</v>
      </c>
      <c r="F54" s="167" t="s">
        <v>967</v>
      </c>
      <c r="G54" s="167" t="s">
        <v>967</v>
      </c>
      <c r="H54" s="167" t="s">
        <v>967</v>
      </c>
      <c r="I54" s="177"/>
      <c r="J54" s="177"/>
      <c r="K54" s="177"/>
      <c r="L54" s="177"/>
      <c r="M54" s="177"/>
      <c r="N54" s="177"/>
      <c r="O54" s="177"/>
      <c r="P54" s="177"/>
    </row>
    <row r="55" spans="1:16" x14ac:dyDescent="0.25">
      <c r="A55" s="177" t="s">
        <v>859</v>
      </c>
      <c r="B55" s="177" t="s">
        <v>951</v>
      </c>
      <c r="C55" s="177">
        <v>40</v>
      </c>
      <c r="D55" s="177">
        <v>65</v>
      </c>
      <c r="E55" s="167" t="s">
        <v>433</v>
      </c>
      <c r="F55" s="167" t="s">
        <v>967</v>
      </c>
      <c r="G55" s="167" t="s">
        <v>293</v>
      </c>
      <c r="H55" s="167" t="s">
        <v>967</v>
      </c>
      <c r="I55" s="177" t="s">
        <v>285</v>
      </c>
      <c r="J55" s="177" t="s">
        <v>914</v>
      </c>
      <c r="K55" s="177" t="s">
        <v>914</v>
      </c>
      <c r="L55" s="177" t="s">
        <v>914</v>
      </c>
      <c r="M55" s="177">
        <v>830</v>
      </c>
      <c r="N55" s="177">
        <v>50</v>
      </c>
      <c r="O55" s="177"/>
      <c r="P55" s="178" t="s">
        <v>1365</v>
      </c>
    </row>
    <row r="56" spans="1:16" x14ac:dyDescent="0.25">
      <c r="A56" s="177"/>
      <c r="B56" s="177"/>
      <c r="C56" s="177"/>
      <c r="D56" s="177"/>
      <c r="E56" s="167" t="s">
        <v>434</v>
      </c>
      <c r="F56" s="167" t="s">
        <v>293</v>
      </c>
      <c r="G56" s="167">
        <v>0</v>
      </c>
      <c r="H56" s="167" t="s">
        <v>293</v>
      </c>
      <c r="I56" s="177"/>
      <c r="J56" s="177"/>
      <c r="K56" s="177"/>
      <c r="L56" s="177"/>
      <c r="M56" s="177"/>
      <c r="N56" s="177"/>
      <c r="O56" s="177"/>
      <c r="P56" s="177"/>
    </row>
    <row r="57" spans="1:16" x14ac:dyDescent="0.25">
      <c r="A57" s="177"/>
      <c r="B57" s="177"/>
      <c r="C57" s="177"/>
      <c r="D57" s="177"/>
      <c r="E57" s="167" t="s">
        <v>433</v>
      </c>
      <c r="F57" s="167">
        <v>0</v>
      </c>
      <c r="G57" s="167">
        <v>0</v>
      </c>
      <c r="H57" s="167">
        <v>0</v>
      </c>
      <c r="I57" s="177"/>
      <c r="J57" s="177"/>
      <c r="K57" s="177"/>
      <c r="L57" s="177"/>
      <c r="M57" s="177"/>
      <c r="N57" s="177"/>
      <c r="O57" s="177"/>
      <c r="P57" s="177"/>
    </row>
    <row r="58" spans="1:16" x14ac:dyDescent="0.25">
      <c r="A58" s="177"/>
      <c r="B58" s="177"/>
      <c r="C58" s="177"/>
      <c r="D58" s="177"/>
      <c r="E58" s="167" t="s">
        <v>434</v>
      </c>
      <c r="F58" s="167" t="s">
        <v>967</v>
      </c>
      <c r="G58" s="167" t="s">
        <v>967</v>
      </c>
      <c r="H58" s="167" t="s">
        <v>967</v>
      </c>
      <c r="I58" s="177"/>
      <c r="J58" s="177"/>
      <c r="K58" s="177"/>
      <c r="L58" s="177"/>
      <c r="M58" s="177"/>
      <c r="N58" s="177"/>
      <c r="O58" s="177"/>
      <c r="P58" s="177"/>
    </row>
    <row r="59" spans="1:16" x14ac:dyDescent="0.25">
      <c r="A59" s="177" t="s">
        <v>859</v>
      </c>
      <c r="B59" s="177" t="s">
        <v>951</v>
      </c>
      <c r="C59" s="177">
        <v>40</v>
      </c>
      <c r="D59" s="177">
        <v>65</v>
      </c>
      <c r="E59" s="167" t="s">
        <v>433</v>
      </c>
      <c r="F59" s="167" t="s">
        <v>967</v>
      </c>
      <c r="G59" s="167" t="s">
        <v>293</v>
      </c>
      <c r="H59" s="167" t="s">
        <v>967</v>
      </c>
      <c r="I59" s="177" t="s">
        <v>285</v>
      </c>
      <c r="J59" s="177" t="s">
        <v>914</v>
      </c>
      <c r="K59" s="177" t="s">
        <v>914</v>
      </c>
      <c r="L59" s="177" t="s">
        <v>914</v>
      </c>
      <c r="M59" s="177">
        <v>1260</v>
      </c>
      <c r="N59" s="177">
        <v>50</v>
      </c>
      <c r="O59" s="177"/>
      <c r="P59" s="178" t="s">
        <v>1365</v>
      </c>
    </row>
    <row r="60" spans="1:16" x14ac:dyDescent="0.25">
      <c r="A60" s="177"/>
      <c r="B60" s="177"/>
      <c r="C60" s="177"/>
      <c r="D60" s="177"/>
      <c r="E60" s="167" t="s">
        <v>434</v>
      </c>
      <c r="F60" s="167" t="s">
        <v>293</v>
      </c>
      <c r="G60" s="167">
        <v>0</v>
      </c>
      <c r="H60" s="167" t="s">
        <v>293</v>
      </c>
      <c r="I60" s="177"/>
      <c r="J60" s="177"/>
      <c r="K60" s="177"/>
      <c r="L60" s="177"/>
      <c r="M60" s="177"/>
      <c r="N60" s="177"/>
      <c r="O60" s="177"/>
      <c r="P60" s="177"/>
    </row>
    <row r="61" spans="1:16" x14ac:dyDescent="0.25">
      <c r="A61" s="177"/>
      <c r="B61" s="177"/>
      <c r="C61" s="177"/>
      <c r="D61" s="177"/>
      <c r="E61" s="167" t="s">
        <v>433</v>
      </c>
      <c r="F61" s="167">
        <v>0</v>
      </c>
      <c r="G61" s="167">
        <v>0</v>
      </c>
      <c r="H61" s="167">
        <v>0</v>
      </c>
      <c r="I61" s="177"/>
      <c r="J61" s="177"/>
      <c r="K61" s="177"/>
      <c r="L61" s="177"/>
      <c r="M61" s="177"/>
      <c r="N61" s="177"/>
      <c r="O61" s="177"/>
      <c r="P61" s="177"/>
    </row>
    <row r="62" spans="1:16" x14ac:dyDescent="0.25">
      <c r="A62" s="177"/>
      <c r="B62" s="177"/>
      <c r="C62" s="177"/>
      <c r="D62" s="177"/>
      <c r="E62" s="167" t="s">
        <v>434</v>
      </c>
      <c r="F62" s="167" t="s">
        <v>967</v>
      </c>
      <c r="G62" s="167" t="s">
        <v>967</v>
      </c>
      <c r="H62" s="167" t="s">
        <v>967</v>
      </c>
      <c r="I62" s="177"/>
      <c r="J62" s="177"/>
      <c r="K62" s="177"/>
      <c r="L62" s="177"/>
      <c r="M62" s="177"/>
      <c r="N62" s="177"/>
      <c r="O62" s="177"/>
      <c r="P62" s="177"/>
    </row>
    <row r="63" spans="1:16" x14ac:dyDescent="0.25">
      <c r="A63" s="177" t="s">
        <v>859</v>
      </c>
      <c r="B63" s="177" t="s">
        <v>951</v>
      </c>
      <c r="C63" s="177">
        <v>40</v>
      </c>
      <c r="D63" s="177">
        <v>65</v>
      </c>
      <c r="E63" s="167" t="s">
        <v>433</v>
      </c>
      <c r="F63" s="167" t="s">
        <v>967</v>
      </c>
      <c r="G63" s="167" t="s">
        <v>293</v>
      </c>
      <c r="H63" s="167" t="s">
        <v>967</v>
      </c>
      <c r="I63" s="177" t="s">
        <v>285</v>
      </c>
      <c r="J63" s="177" t="s">
        <v>914</v>
      </c>
      <c r="K63" s="177" t="s">
        <v>914</v>
      </c>
      <c r="L63" s="177" t="s">
        <v>914</v>
      </c>
      <c r="M63" s="177">
        <v>1260</v>
      </c>
      <c r="N63" s="177">
        <v>50</v>
      </c>
      <c r="O63" s="177"/>
      <c r="P63" s="178" t="s">
        <v>1365</v>
      </c>
    </row>
    <row r="64" spans="1:16" x14ac:dyDescent="0.25">
      <c r="A64" s="177"/>
      <c r="B64" s="177"/>
      <c r="C64" s="177"/>
      <c r="D64" s="177"/>
      <c r="E64" s="167" t="s">
        <v>434</v>
      </c>
      <c r="F64" s="167" t="s">
        <v>293</v>
      </c>
      <c r="G64" s="167">
        <v>0</v>
      </c>
      <c r="H64" s="167" t="s">
        <v>293</v>
      </c>
      <c r="I64" s="177"/>
      <c r="J64" s="177"/>
      <c r="K64" s="177"/>
      <c r="L64" s="177"/>
      <c r="M64" s="177"/>
      <c r="N64" s="177"/>
      <c r="O64" s="177"/>
      <c r="P64" s="177"/>
    </row>
    <row r="65" spans="1:16" x14ac:dyDescent="0.25">
      <c r="A65" s="177"/>
      <c r="B65" s="177"/>
      <c r="C65" s="177"/>
      <c r="D65" s="177"/>
      <c r="E65" s="167" t="s">
        <v>433</v>
      </c>
      <c r="F65" s="167">
        <v>0</v>
      </c>
      <c r="G65" s="167">
        <v>0</v>
      </c>
      <c r="H65" s="167">
        <v>0</v>
      </c>
      <c r="I65" s="177"/>
      <c r="J65" s="177"/>
      <c r="K65" s="177"/>
      <c r="L65" s="177"/>
      <c r="M65" s="177"/>
      <c r="N65" s="177"/>
      <c r="O65" s="177"/>
      <c r="P65" s="177"/>
    </row>
    <row r="66" spans="1:16" x14ac:dyDescent="0.25">
      <c r="A66" s="177"/>
      <c r="B66" s="177"/>
      <c r="C66" s="177"/>
      <c r="D66" s="177"/>
      <c r="E66" s="167" t="s">
        <v>434</v>
      </c>
      <c r="F66" s="167" t="s">
        <v>967</v>
      </c>
      <c r="G66" s="167" t="s">
        <v>967</v>
      </c>
      <c r="H66" s="167" t="s">
        <v>967</v>
      </c>
      <c r="I66" s="177"/>
      <c r="J66" s="177"/>
      <c r="K66" s="177"/>
      <c r="L66" s="177"/>
      <c r="M66" s="177"/>
      <c r="N66" s="177"/>
      <c r="O66" s="177"/>
      <c r="P66" s="177"/>
    </row>
    <row r="67" spans="1:16" x14ac:dyDescent="0.25">
      <c r="A67" s="177" t="s">
        <v>859</v>
      </c>
      <c r="B67" s="177" t="s">
        <v>974</v>
      </c>
      <c r="C67" s="177">
        <v>40</v>
      </c>
      <c r="D67" s="177">
        <v>65</v>
      </c>
      <c r="E67" s="167" t="s">
        <v>433</v>
      </c>
      <c r="F67" s="167" t="s">
        <v>944</v>
      </c>
      <c r="G67" s="167" t="s">
        <v>293</v>
      </c>
      <c r="H67" s="167" t="s">
        <v>954</v>
      </c>
      <c r="I67" s="177" t="s">
        <v>902</v>
      </c>
      <c r="J67" s="177" t="s">
        <v>914</v>
      </c>
      <c r="K67" s="177" t="s">
        <v>914</v>
      </c>
      <c r="L67" s="177" t="s">
        <v>914</v>
      </c>
      <c r="M67" s="177">
        <v>830</v>
      </c>
      <c r="N67" s="177">
        <v>50</v>
      </c>
      <c r="O67" s="177"/>
      <c r="P67" s="179" t="s">
        <v>1364</v>
      </c>
    </row>
    <row r="68" spans="1:16" x14ac:dyDescent="0.25">
      <c r="A68" s="177"/>
      <c r="B68" s="177"/>
      <c r="C68" s="177"/>
      <c r="D68" s="177"/>
      <c r="E68" s="167" t="s">
        <v>434</v>
      </c>
      <c r="F68" s="167">
        <v>0</v>
      </c>
      <c r="G68" s="167">
        <v>0</v>
      </c>
      <c r="H68" s="167">
        <v>0</v>
      </c>
      <c r="I68" s="177"/>
      <c r="J68" s="177"/>
      <c r="K68" s="177"/>
      <c r="L68" s="177"/>
      <c r="M68" s="177"/>
      <c r="N68" s="177"/>
      <c r="O68" s="177"/>
      <c r="P68" s="177"/>
    </row>
    <row r="69" spans="1:16" x14ac:dyDescent="0.25">
      <c r="A69" s="177"/>
      <c r="B69" s="177"/>
      <c r="C69" s="177"/>
      <c r="D69" s="177"/>
      <c r="E69" s="167" t="s">
        <v>433</v>
      </c>
      <c r="F69" s="167">
        <v>0</v>
      </c>
      <c r="G69" s="167">
        <v>0</v>
      </c>
      <c r="H69" s="167">
        <v>0</v>
      </c>
      <c r="I69" s="177"/>
      <c r="J69" s="177"/>
      <c r="K69" s="177"/>
      <c r="L69" s="177"/>
      <c r="M69" s="177"/>
      <c r="N69" s="177"/>
      <c r="O69" s="177"/>
      <c r="P69" s="177"/>
    </row>
    <row r="70" spans="1:16" x14ac:dyDescent="0.25">
      <c r="A70" s="177"/>
      <c r="B70" s="177"/>
      <c r="C70" s="177"/>
      <c r="D70" s="177"/>
      <c r="E70" s="167" t="s">
        <v>434</v>
      </c>
      <c r="F70" s="167" t="s">
        <v>947</v>
      </c>
      <c r="G70" s="167" t="s">
        <v>954</v>
      </c>
      <c r="H70" s="167" t="s">
        <v>293</v>
      </c>
      <c r="I70" s="177"/>
      <c r="J70" s="177"/>
      <c r="K70" s="177"/>
      <c r="L70" s="177"/>
      <c r="M70" s="177"/>
      <c r="N70" s="177"/>
      <c r="O70" s="177"/>
      <c r="P70" s="177"/>
    </row>
    <row r="71" spans="1:16" x14ac:dyDescent="0.25">
      <c r="A71" s="177" t="s">
        <v>859</v>
      </c>
      <c r="B71" s="177" t="s">
        <v>974</v>
      </c>
      <c r="C71" s="177">
        <v>40</v>
      </c>
      <c r="D71" s="177">
        <v>65</v>
      </c>
      <c r="E71" s="167" t="s">
        <v>433</v>
      </c>
      <c r="F71" s="167" t="s">
        <v>944</v>
      </c>
      <c r="G71" s="167" t="s">
        <v>293</v>
      </c>
      <c r="H71" s="167" t="s">
        <v>954</v>
      </c>
      <c r="I71" s="177" t="s">
        <v>902</v>
      </c>
      <c r="J71" s="177" t="s">
        <v>914</v>
      </c>
      <c r="K71" s="177" t="s">
        <v>914</v>
      </c>
      <c r="L71" s="177" t="s">
        <v>914</v>
      </c>
      <c r="M71" s="177">
        <v>830</v>
      </c>
      <c r="N71" s="177">
        <v>50</v>
      </c>
      <c r="O71" s="177"/>
      <c r="P71" s="179" t="s">
        <v>1364</v>
      </c>
    </row>
    <row r="72" spans="1:16" x14ac:dyDescent="0.25">
      <c r="A72" s="177"/>
      <c r="B72" s="177"/>
      <c r="C72" s="177"/>
      <c r="D72" s="177"/>
      <c r="E72" s="167" t="s">
        <v>434</v>
      </c>
      <c r="F72" s="167">
        <v>0</v>
      </c>
      <c r="G72" s="167">
        <v>0</v>
      </c>
      <c r="H72" s="167">
        <v>0</v>
      </c>
      <c r="I72" s="177"/>
      <c r="J72" s="177"/>
      <c r="K72" s="177"/>
      <c r="L72" s="177"/>
      <c r="M72" s="177"/>
      <c r="N72" s="177"/>
      <c r="O72" s="177"/>
      <c r="P72" s="177"/>
    </row>
    <row r="73" spans="1:16" x14ac:dyDescent="0.25">
      <c r="A73" s="177"/>
      <c r="B73" s="177"/>
      <c r="C73" s="177"/>
      <c r="D73" s="177"/>
      <c r="E73" s="167" t="s">
        <v>433</v>
      </c>
      <c r="F73" s="167">
        <v>0</v>
      </c>
      <c r="G73" s="167">
        <v>0</v>
      </c>
      <c r="H73" s="167">
        <v>0</v>
      </c>
      <c r="I73" s="177"/>
      <c r="J73" s="177"/>
      <c r="K73" s="177"/>
      <c r="L73" s="177"/>
      <c r="M73" s="177"/>
      <c r="N73" s="177"/>
      <c r="O73" s="177"/>
      <c r="P73" s="177"/>
    </row>
    <row r="74" spans="1:16" x14ac:dyDescent="0.25">
      <c r="A74" s="177"/>
      <c r="B74" s="177"/>
      <c r="C74" s="177"/>
      <c r="D74" s="177"/>
      <c r="E74" s="167" t="s">
        <v>434</v>
      </c>
      <c r="F74" s="167" t="s">
        <v>947</v>
      </c>
      <c r="G74" s="167" t="s">
        <v>954</v>
      </c>
      <c r="H74" s="167" t="s">
        <v>293</v>
      </c>
      <c r="I74" s="177"/>
      <c r="J74" s="177"/>
      <c r="K74" s="177"/>
      <c r="L74" s="177"/>
      <c r="M74" s="177"/>
      <c r="N74" s="177"/>
      <c r="O74" s="177"/>
      <c r="P74" s="177"/>
    </row>
    <row r="75" spans="1:16" x14ac:dyDescent="0.25">
      <c r="A75" s="177" t="s">
        <v>859</v>
      </c>
      <c r="B75" s="177" t="s">
        <v>991</v>
      </c>
      <c r="C75" s="177">
        <v>40</v>
      </c>
      <c r="D75" s="177">
        <v>65</v>
      </c>
      <c r="E75" s="167" t="s">
        <v>433</v>
      </c>
      <c r="F75" s="167" t="s">
        <v>954</v>
      </c>
      <c r="G75" s="167" t="s">
        <v>293</v>
      </c>
      <c r="H75" s="167" t="s">
        <v>954</v>
      </c>
      <c r="I75" s="177" t="s">
        <v>902</v>
      </c>
      <c r="J75" s="177" t="s">
        <v>914</v>
      </c>
      <c r="K75" s="177" t="s">
        <v>914</v>
      </c>
      <c r="L75" s="177" t="s">
        <v>914</v>
      </c>
      <c r="M75" s="177">
        <v>830</v>
      </c>
      <c r="N75" s="177">
        <v>50</v>
      </c>
      <c r="O75" s="177"/>
      <c r="P75" s="178" t="s">
        <v>1365</v>
      </c>
    </row>
    <row r="76" spans="1:16" x14ac:dyDescent="0.25">
      <c r="A76" s="177"/>
      <c r="B76" s="177"/>
      <c r="C76" s="177"/>
      <c r="D76" s="177"/>
      <c r="E76" s="167" t="s">
        <v>434</v>
      </c>
      <c r="F76" s="167">
        <v>0</v>
      </c>
      <c r="G76" s="167">
        <v>0</v>
      </c>
      <c r="H76" s="167">
        <v>0</v>
      </c>
      <c r="I76" s="177"/>
      <c r="J76" s="177"/>
      <c r="K76" s="177"/>
      <c r="L76" s="177"/>
      <c r="M76" s="177"/>
      <c r="N76" s="177"/>
      <c r="O76" s="177"/>
      <c r="P76" s="177"/>
    </row>
    <row r="77" spans="1:16" x14ac:dyDescent="0.25">
      <c r="A77" s="177"/>
      <c r="B77" s="177"/>
      <c r="C77" s="177"/>
      <c r="D77" s="177"/>
      <c r="E77" s="167" t="s">
        <v>433</v>
      </c>
      <c r="F77" s="167">
        <v>0</v>
      </c>
      <c r="G77" s="167">
        <v>0</v>
      </c>
      <c r="H77" s="167">
        <v>0</v>
      </c>
      <c r="I77" s="177"/>
      <c r="J77" s="177"/>
      <c r="K77" s="177"/>
      <c r="L77" s="177"/>
      <c r="M77" s="177"/>
      <c r="N77" s="177"/>
      <c r="O77" s="177"/>
      <c r="P77" s="177"/>
    </row>
    <row r="78" spans="1:16" x14ac:dyDescent="0.25">
      <c r="A78" s="177"/>
      <c r="B78" s="177"/>
      <c r="C78" s="177"/>
      <c r="D78" s="177"/>
      <c r="E78" s="167" t="s">
        <v>434</v>
      </c>
      <c r="F78" s="167" t="s">
        <v>293</v>
      </c>
      <c r="G78" s="167" t="s">
        <v>947</v>
      </c>
      <c r="H78" s="167" t="s">
        <v>293</v>
      </c>
      <c r="I78" s="177"/>
      <c r="J78" s="177"/>
      <c r="K78" s="177"/>
      <c r="L78" s="177"/>
      <c r="M78" s="177"/>
      <c r="N78" s="177"/>
      <c r="O78" s="177"/>
      <c r="P78" s="177"/>
    </row>
    <row r="79" spans="1:16" x14ac:dyDescent="0.25">
      <c r="A79" s="177" t="s">
        <v>859</v>
      </c>
      <c r="B79" s="177" t="s">
        <v>991</v>
      </c>
      <c r="C79" s="177">
        <v>40</v>
      </c>
      <c r="D79" s="177">
        <v>65</v>
      </c>
      <c r="E79" s="167" t="s">
        <v>433</v>
      </c>
      <c r="F79" s="167" t="s">
        <v>954</v>
      </c>
      <c r="G79" s="167" t="s">
        <v>293</v>
      </c>
      <c r="H79" s="167" t="s">
        <v>954</v>
      </c>
      <c r="I79" s="177" t="s">
        <v>902</v>
      </c>
      <c r="J79" s="177" t="s">
        <v>914</v>
      </c>
      <c r="K79" s="177" t="s">
        <v>914</v>
      </c>
      <c r="L79" s="177" t="s">
        <v>914</v>
      </c>
      <c r="M79" s="177">
        <v>830</v>
      </c>
      <c r="N79" s="177">
        <v>50</v>
      </c>
      <c r="O79" s="177"/>
      <c r="P79" s="178" t="s">
        <v>1365</v>
      </c>
    </row>
    <row r="80" spans="1:16" x14ac:dyDescent="0.25">
      <c r="A80" s="177"/>
      <c r="B80" s="177"/>
      <c r="C80" s="177"/>
      <c r="D80" s="177"/>
      <c r="E80" s="167" t="s">
        <v>434</v>
      </c>
      <c r="F80" s="167">
        <v>0</v>
      </c>
      <c r="G80" s="167">
        <v>0</v>
      </c>
      <c r="H80" s="167">
        <v>0</v>
      </c>
      <c r="I80" s="177"/>
      <c r="J80" s="177"/>
      <c r="K80" s="177"/>
      <c r="L80" s="177"/>
      <c r="M80" s="177"/>
      <c r="N80" s="177"/>
      <c r="O80" s="177"/>
      <c r="P80" s="177"/>
    </row>
    <row r="81" spans="1:16" x14ac:dyDescent="0.25">
      <c r="A81" s="177"/>
      <c r="B81" s="177"/>
      <c r="C81" s="177"/>
      <c r="D81" s="177"/>
      <c r="E81" s="167" t="s">
        <v>433</v>
      </c>
      <c r="F81" s="167">
        <v>0</v>
      </c>
      <c r="G81" s="167">
        <v>0</v>
      </c>
      <c r="H81" s="167">
        <v>0</v>
      </c>
      <c r="I81" s="177"/>
      <c r="J81" s="177"/>
      <c r="K81" s="177"/>
      <c r="L81" s="177"/>
      <c r="M81" s="177"/>
      <c r="N81" s="177"/>
      <c r="O81" s="177"/>
      <c r="P81" s="177"/>
    </row>
    <row r="82" spans="1:16" x14ac:dyDescent="0.25">
      <c r="A82" s="177"/>
      <c r="B82" s="177"/>
      <c r="C82" s="177"/>
      <c r="D82" s="177"/>
      <c r="E82" s="167" t="s">
        <v>434</v>
      </c>
      <c r="F82" s="167" t="s">
        <v>293</v>
      </c>
      <c r="G82" s="167" t="s">
        <v>947</v>
      </c>
      <c r="H82" s="167" t="s">
        <v>293</v>
      </c>
      <c r="I82" s="177"/>
      <c r="J82" s="177"/>
      <c r="K82" s="177"/>
      <c r="L82" s="177"/>
      <c r="M82" s="177"/>
      <c r="N82" s="177"/>
      <c r="O82" s="177"/>
      <c r="P82" s="177"/>
    </row>
    <row r="83" spans="1:16" x14ac:dyDescent="0.25">
      <c r="A83" s="177" t="s">
        <v>859</v>
      </c>
      <c r="B83" s="177" t="s">
        <v>992</v>
      </c>
      <c r="C83" s="177">
        <v>40</v>
      </c>
      <c r="D83" s="177">
        <v>65</v>
      </c>
      <c r="E83" s="167" t="s">
        <v>433</v>
      </c>
      <c r="F83" s="167" t="s">
        <v>954</v>
      </c>
      <c r="G83" s="167" t="s">
        <v>293</v>
      </c>
      <c r="H83" s="167" t="s">
        <v>954</v>
      </c>
      <c r="I83" s="177" t="s">
        <v>902</v>
      </c>
      <c r="J83" s="177" t="s">
        <v>914</v>
      </c>
      <c r="K83" s="177" t="s">
        <v>914</v>
      </c>
      <c r="L83" s="177" t="s">
        <v>914</v>
      </c>
      <c r="M83" s="177">
        <v>830</v>
      </c>
      <c r="N83" s="177">
        <v>50</v>
      </c>
      <c r="O83" s="177"/>
      <c r="P83" s="178" t="s">
        <v>1365</v>
      </c>
    </row>
    <row r="84" spans="1:16" x14ac:dyDescent="0.25">
      <c r="A84" s="177"/>
      <c r="B84" s="177"/>
      <c r="C84" s="177"/>
      <c r="D84" s="177"/>
      <c r="E84" s="167" t="s">
        <v>434</v>
      </c>
      <c r="F84" s="167">
        <v>0</v>
      </c>
      <c r="G84" s="167">
        <v>0</v>
      </c>
      <c r="H84" s="167">
        <v>0</v>
      </c>
      <c r="I84" s="177"/>
      <c r="J84" s="177"/>
      <c r="K84" s="177"/>
      <c r="L84" s="177"/>
      <c r="M84" s="177"/>
      <c r="N84" s="177"/>
      <c r="O84" s="177"/>
      <c r="P84" s="177"/>
    </row>
    <row r="85" spans="1:16" x14ac:dyDescent="0.25">
      <c r="A85" s="177"/>
      <c r="B85" s="177"/>
      <c r="C85" s="177"/>
      <c r="D85" s="177"/>
      <c r="E85" s="167" t="s">
        <v>433</v>
      </c>
      <c r="F85" s="167">
        <v>0</v>
      </c>
      <c r="G85" s="167">
        <v>0</v>
      </c>
      <c r="H85" s="167">
        <v>0</v>
      </c>
      <c r="I85" s="177"/>
      <c r="J85" s="177"/>
      <c r="K85" s="177"/>
      <c r="L85" s="177"/>
      <c r="M85" s="177"/>
      <c r="N85" s="177"/>
      <c r="O85" s="177"/>
      <c r="P85" s="177"/>
    </row>
    <row r="86" spans="1:16" x14ac:dyDescent="0.25">
      <c r="A86" s="177"/>
      <c r="B86" s="177"/>
      <c r="C86" s="177"/>
      <c r="D86" s="177"/>
      <c r="E86" s="167" t="s">
        <v>434</v>
      </c>
      <c r="F86" s="167" t="s">
        <v>293</v>
      </c>
      <c r="G86" s="167" t="s">
        <v>947</v>
      </c>
      <c r="H86" s="167" t="s">
        <v>293</v>
      </c>
      <c r="I86" s="177"/>
      <c r="J86" s="177"/>
      <c r="K86" s="177"/>
      <c r="L86" s="177"/>
      <c r="M86" s="177"/>
      <c r="N86" s="177"/>
      <c r="O86" s="177"/>
      <c r="P86" s="177"/>
    </row>
    <row r="87" spans="1:16" x14ac:dyDescent="0.25">
      <c r="A87" s="177" t="s">
        <v>859</v>
      </c>
      <c r="B87" s="177" t="s">
        <v>992</v>
      </c>
      <c r="C87" s="177">
        <v>40</v>
      </c>
      <c r="D87" s="177">
        <v>65</v>
      </c>
      <c r="E87" s="167" t="s">
        <v>433</v>
      </c>
      <c r="F87" s="167" t="s">
        <v>954</v>
      </c>
      <c r="G87" s="167" t="s">
        <v>293</v>
      </c>
      <c r="H87" s="167" t="s">
        <v>954</v>
      </c>
      <c r="I87" s="177" t="s">
        <v>902</v>
      </c>
      <c r="J87" s="177" t="s">
        <v>914</v>
      </c>
      <c r="K87" s="177" t="s">
        <v>914</v>
      </c>
      <c r="L87" s="177" t="s">
        <v>914</v>
      </c>
      <c r="M87" s="177">
        <v>830</v>
      </c>
      <c r="N87" s="177">
        <v>50</v>
      </c>
      <c r="O87" s="177"/>
      <c r="P87" s="178" t="s">
        <v>1365</v>
      </c>
    </row>
    <row r="88" spans="1:16" x14ac:dyDescent="0.25">
      <c r="A88" s="177"/>
      <c r="B88" s="177"/>
      <c r="C88" s="177"/>
      <c r="D88" s="177"/>
      <c r="E88" s="167" t="s">
        <v>434</v>
      </c>
      <c r="F88" s="167">
        <v>0</v>
      </c>
      <c r="G88" s="167">
        <v>0</v>
      </c>
      <c r="H88" s="167">
        <v>0</v>
      </c>
      <c r="I88" s="177"/>
      <c r="J88" s="177"/>
      <c r="K88" s="177"/>
      <c r="L88" s="177"/>
      <c r="M88" s="177"/>
      <c r="N88" s="177"/>
      <c r="O88" s="177"/>
      <c r="P88" s="177"/>
    </row>
    <row r="89" spans="1:16" x14ac:dyDescent="0.25">
      <c r="A89" s="177"/>
      <c r="B89" s="177"/>
      <c r="C89" s="177"/>
      <c r="D89" s="177"/>
      <c r="E89" s="167" t="s">
        <v>433</v>
      </c>
      <c r="F89" s="167">
        <v>0</v>
      </c>
      <c r="G89" s="167">
        <v>0</v>
      </c>
      <c r="H89" s="167">
        <v>0</v>
      </c>
      <c r="I89" s="177"/>
      <c r="J89" s="177"/>
      <c r="K89" s="177"/>
      <c r="L89" s="177"/>
      <c r="M89" s="177"/>
      <c r="N89" s="177"/>
      <c r="O89" s="177"/>
      <c r="P89" s="177"/>
    </row>
    <row r="90" spans="1:16" x14ac:dyDescent="0.25">
      <c r="A90" s="177"/>
      <c r="B90" s="177"/>
      <c r="C90" s="177"/>
      <c r="D90" s="177"/>
      <c r="E90" s="167" t="s">
        <v>434</v>
      </c>
      <c r="F90" s="167" t="s">
        <v>293</v>
      </c>
      <c r="G90" s="167" t="s">
        <v>947</v>
      </c>
      <c r="H90" s="167" t="s">
        <v>293</v>
      </c>
      <c r="I90" s="177"/>
      <c r="J90" s="177"/>
      <c r="K90" s="177"/>
      <c r="L90" s="177"/>
      <c r="M90" s="177"/>
      <c r="N90" s="177"/>
      <c r="O90" s="177"/>
      <c r="P90" s="177"/>
    </row>
    <row r="91" spans="1:16" x14ac:dyDescent="0.25">
      <c r="A91" s="177" t="s">
        <v>859</v>
      </c>
      <c r="B91" s="177" t="s">
        <v>993</v>
      </c>
      <c r="C91" s="177">
        <v>40</v>
      </c>
      <c r="D91" s="177">
        <v>65</v>
      </c>
      <c r="E91" s="167" t="s">
        <v>433</v>
      </c>
      <c r="F91" s="167" t="s">
        <v>954</v>
      </c>
      <c r="G91" s="167" t="s">
        <v>293</v>
      </c>
      <c r="H91" s="167" t="s">
        <v>954</v>
      </c>
      <c r="I91" s="177" t="s">
        <v>902</v>
      </c>
      <c r="J91" s="177" t="s">
        <v>914</v>
      </c>
      <c r="K91" s="177" t="s">
        <v>914</v>
      </c>
      <c r="L91" s="177" t="s">
        <v>914</v>
      </c>
      <c r="M91" s="177">
        <v>830</v>
      </c>
      <c r="N91" s="177">
        <v>50</v>
      </c>
      <c r="O91" s="177"/>
      <c r="P91" s="178" t="s">
        <v>1365</v>
      </c>
    </row>
    <row r="92" spans="1:16" x14ac:dyDescent="0.25">
      <c r="A92" s="177"/>
      <c r="B92" s="177"/>
      <c r="C92" s="177"/>
      <c r="D92" s="177"/>
      <c r="E92" s="167" t="s">
        <v>434</v>
      </c>
      <c r="F92" s="167">
        <v>0</v>
      </c>
      <c r="G92" s="167">
        <v>0</v>
      </c>
      <c r="H92" s="167">
        <v>0</v>
      </c>
      <c r="I92" s="177"/>
      <c r="J92" s="177"/>
      <c r="K92" s="177"/>
      <c r="L92" s="177"/>
      <c r="M92" s="177"/>
      <c r="N92" s="177"/>
      <c r="O92" s="177"/>
      <c r="P92" s="177"/>
    </row>
    <row r="93" spans="1:16" x14ac:dyDescent="0.25">
      <c r="A93" s="177"/>
      <c r="B93" s="177"/>
      <c r="C93" s="177"/>
      <c r="D93" s="177"/>
      <c r="E93" s="167" t="s">
        <v>433</v>
      </c>
      <c r="F93" s="167">
        <v>0</v>
      </c>
      <c r="G93" s="167">
        <v>0</v>
      </c>
      <c r="H93" s="167">
        <v>0</v>
      </c>
      <c r="I93" s="177"/>
      <c r="J93" s="177"/>
      <c r="K93" s="177"/>
      <c r="L93" s="177"/>
      <c r="M93" s="177"/>
      <c r="N93" s="177"/>
      <c r="O93" s="177"/>
      <c r="P93" s="177"/>
    </row>
    <row r="94" spans="1:16" x14ac:dyDescent="0.25">
      <c r="A94" s="177"/>
      <c r="B94" s="177"/>
      <c r="C94" s="177"/>
      <c r="D94" s="177"/>
      <c r="E94" s="167" t="s">
        <v>434</v>
      </c>
      <c r="F94" s="167" t="s">
        <v>293</v>
      </c>
      <c r="G94" s="167" t="s">
        <v>947</v>
      </c>
      <c r="H94" s="167" t="s">
        <v>293</v>
      </c>
      <c r="I94" s="177"/>
      <c r="J94" s="177"/>
      <c r="K94" s="177"/>
      <c r="L94" s="177"/>
      <c r="M94" s="177"/>
      <c r="N94" s="177"/>
      <c r="O94" s="177"/>
      <c r="P94" s="177"/>
    </row>
    <row r="95" spans="1:16" x14ac:dyDescent="0.25">
      <c r="A95" s="177" t="s">
        <v>859</v>
      </c>
      <c r="B95" s="177" t="s">
        <v>993</v>
      </c>
      <c r="C95" s="177">
        <v>40</v>
      </c>
      <c r="D95" s="177">
        <v>65</v>
      </c>
      <c r="E95" s="167" t="s">
        <v>433</v>
      </c>
      <c r="F95" s="167" t="s">
        <v>954</v>
      </c>
      <c r="G95" s="167" t="s">
        <v>293</v>
      </c>
      <c r="H95" s="167" t="s">
        <v>954</v>
      </c>
      <c r="I95" s="177" t="s">
        <v>902</v>
      </c>
      <c r="J95" s="177" t="s">
        <v>914</v>
      </c>
      <c r="K95" s="177" t="s">
        <v>914</v>
      </c>
      <c r="L95" s="177" t="s">
        <v>914</v>
      </c>
      <c r="M95" s="177">
        <v>830</v>
      </c>
      <c r="N95" s="177">
        <v>50</v>
      </c>
      <c r="O95" s="177"/>
      <c r="P95" s="178" t="s">
        <v>1365</v>
      </c>
    </row>
    <row r="96" spans="1:16" x14ac:dyDescent="0.25">
      <c r="A96" s="177"/>
      <c r="B96" s="177"/>
      <c r="C96" s="177"/>
      <c r="D96" s="177"/>
      <c r="E96" s="167" t="s">
        <v>434</v>
      </c>
      <c r="F96" s="167">
        <v>0</v>
      </c>
      <c r="G96" s="167">
        <v>0</v>
      </c>
      <c r="H96" s="167">
        <v>0</v>
      </c>
      <c r="I96" s="177"/>
      <c r="J96" s="177"/>
      <c r="K96" s="177"/>
      <c r="L96" s="177"/>
      <c r="M96" s="177"/>
      <c r="N96" s="177"/>
      <c r="O96" s="177"/>
      <c r="P96" s="177"/>
    </row>
    <row r="97" spans="1:16" x14ac:dyDescent="0.25">
      <c r="A97" s="177"/>
      <c r="B97" s="177"/>
      <c r="C97" s="177"/>
      <c r="D97" s="177"/>
      <c r="E97" s="167" t="s">
        <v>433</v>
      </c>
      <c r="F97" s="167">
        <v>0</v>
      </c>
      <c r="G97" s="167">
        <v>0</v>
      </c>
      <c r="H97" s="167">
        <v>0</v>
      </c>
      <c r="I97" s="177"/>
      <c r="J97" s="177"/>
      <c r="K97" s="177"/>
      <c r="L97" s="177"/>
      <c r="M97" s="177"/>
      <c r="N97" s="177"/>
      <c r="O97" s="177"/>
      <c r="P97" s="177"/>
    </row>
    <row r="98" spans="1:16" x14ac:dyDescent="0.25">
      <c r="A98" s="177"/>
      <c r="B98" s="177"/>
      <c r="C98" s="177"/>
      <c r="D98" s="177"/>
      <c r="E98" s="167" t="s">
        <v>434</v>
      </c>
      <c r="F98" s="167" t="s">
        <v>293</v>
      </c>
      <c r="G98" s="167" t="s">
        <v>947</v>
      </c>
      <c r="H98" s="167" t="s">
        <v>293</v>
      </c>
      <c r="I98" s="177"/>
      <c r="J98" s="177"/>
      <c r="K98" s="177"/>
      <c r="L98" s="177"/>
      <c r="M98" s="177"/>
      <c r="N98" s="177"/>
      <c r="O98" s="177"/>
      <c r="P98" s="177"/>
    </row>
    <row r="99" spans="1:16" x14ac:dyDescent="0.25">
      <c r="A99" s="177" t="s">
        <v>859</v>
      </c>
      <c r="B99" s="177" t="s">
        <v>994</v>
      </c>
      <c r="C99" s="177">
        <v>40</v>
      </c>
      <c r="D99" s="177">
        <v>65</v>
      </c>
      <c r="E99" s="167" t="s">
        <v>433</v>
      </c>
      <c r="F99" s="167" t="s">
        <v>954</v>
      </c>
      <c r="G99" s="167" t="s">
        <v>293</v>
      </c>
      <c r="H99" s="167" t="s">
        <v>954</v>
      </c>
      <c r="I99" s="177" t="s">
        <v>902</v>
      </c>
      <c r="J99" s="177" t="s">
        <v>914</v>
      </c>
      <c r="K99" s="177" t="s">
        <v>914</v>
      </c>
      <c r="L99" s="177" t="s">
        <v>914</v>
      </c>
      <c r="M99" s="177">
        <v>830</v>
      </c>
      <c r="N99" s="177">
        <v>50</v>
      </c>
      <c r="O99" s="177"/>
      <c r="P99" s="178" t="s">
        <v>1365</v>
      </c>
    </row>
    <row r="100" spans="1:16" x14ac:dyDescent="0.25">
      <c r="A100" s="177"/>
      <c r="B100" s="177"/>
      <c r="C100" s="177"/>
      <c r="D100" s="177"/>
      <c r="E100" s="167" t="s">
        <v>434</v>
      </c>
      <c r="F100" s="167">
        <v>0</v>
      </c>
      <c r="G100" s="167">
        <v>0</v>
      </c>
      <c r="H100" s="167">
        <v>0</v>
      </c>
      <c r="I100" s="177"/>
      <c r="J100" s="177"/>
      <c r="K100" s="177"/>
      <c r="L100" s="177"/>
      <c r="M100" s="177"/>
      <c r="N100" s="177"/>
      <c r="O100" s="177"/>
      <c r="P100" s="177"/>
    </row>
    <row r="101" spans="1:16" x14ac:dyDescent="0.25">
      <c r="A101" s="177"/>
      <c r="B101" s="177"/>
      <c r="C101" s="177"/>
      <c r="D101" s="177"/>
      <c r="E101" s="167" t="s">
        <v>433</v>
      </c>
      <c r="F101" s="167">
        <v>0</v>
      </c>
      <c r="G101" s="167">
        <v>0</v>
      </c>
      <c r="H101" s="167">
        <v>0</v>
      </c>
      <c r="I101" s="177"/>
      <c r="J101" s="177"/>
      <c r="K101" s="177"/>
      <c r="L101" s="177"/>
      <c r="M101" s="177"/>
      <c r="N101" s="177"/>
      <c r="O101" s="177"/>
      <c r="P101" s="177"/>
    </row>
    <row r="102" spans="1:16" x14ac:dyDescent="0.25">
      <c r="A102" s="177"/>
      <c r="B102" s="177"/>
      <c r="C102" s="177"/>
      <c r="D102" s="177"/>
      <c r="E102" s="167" t="s">
        <v>434</v>
      </c>
      <c r="F102" s="167" t="s">
        <v>293</v>
      </c>
      <c r="G102" s="167" t="s">
        <v>947</v>
      </c>
      <c r="H102" s="167" t="s">
        <v>293</v>
      </c>
      <c r="I102" s="177"/>
      <c r="J102" s="177"/>
      <c r="K102" s="177"/>
      <c r="L102" s="177"/>
      <c r="M102" s="177"/>
      <c r="N102" s="177"/>
      <c r="O102" s="177"/>
      <c r="P102" s="177"/>
    </row>
    <row r="103" spans="1:16" x14ac:dyDescent="0.25">
      <c r="A103" s="177" t="s">
        <v>859</v>
      </c>
      <c r="B103" s="177" t="s">
        <v>994</v>
      </c>
      <c r="C103" s="177">
        <v>40</v>
      </c>
      <c r="D103" s="177">
        <v>65</v>
      </c>
      <c r="E103" s="167" t="s">
        <v>433</v>
      </c>
      <c r="F103" s="167" t="s">
        <v>954</v>
      </c>
      <c r="G103" s="167" t="s">
        <v>293</v>
      </c>
      <c r="H103" s="167" t="s">
        <v>954</v>
      </c>
      <c r="I103" s="177" t="s">
        <v>902</v>
      </c>
      <c r="J103" s="177" t="s">
        <v>914</v>
      </c>
      <c r="K103" s="177" t="s">
        <v>914</v>
      </c>
      <c r="L103" s="177" t="s">
        <v>914</v>
      </c>
      <c r="M103" s="177">
        <v>830</v>
      </c>
      <c r="N103" s="177">
        <v>50</v>
      </c>
      <c r="O103" s="177"/>
      <c r="P103" s="178" t="s">
        <v>1365</v>
      </c>
    </row>
    <row r="104" spans="1:16" x14ac:dyDescent="0.25">
      <c r="A104" s="177"/>
      <c r="B104" s="177"/>
      <c r="C104" s="177"/>
      <c r="D104" s="177"/>
      <c r="E104" s="167" t="s">
        <v>434</v>
      </c>
      <c r="F104" s="167">
        <v>0</v>
      </c>
      <c r="G104" s="167">
        <v>0</v>
      </c>
      <c r="H104" s="167">
        <v>0</v>
      </c>
      <c r="I104" s="177"/>
      <c r="J104" s="177"/>
      <c r="K104" s="177"/>
      <c r="L104" s="177"/>
      <c r="M104" s="177"/>
      <c r="N104" s="177"/>
      <c r="O104" s="177"/>
      <c r="P104" s="177"/>
    </row>
    <row r="105" spans="1:16" x14ac:dyDescent="0.25">
      <c r="A105" s="177"/>
      <c r="B105" s="177"/>
      <c r="C105" s="177"/>
      <c r="D105" s="177"/>
      <c r="E105" s="167" t="s">
        <v>433</v>
      </c>
      <c r="F105" s="167">
        <v>0</v>
      </c>
      <c r="G105" s="167">
        <v>0</v>
      </c>
      <c r="H105" s="167">
        <v>0</v>
      </c>
      <c r="I105" s="177"/>
      <c r="J105" s="177"/>
      <c r="K105" s="177"/>
      <c r="L105" s="177"/>
      <c r="M105" s="177"/>
      <c r="N105" s="177"/>
      <c r="O105" s="177"/>
      <c r="P105" s="177"/>
    </row>
    <row r="106" spans="1:16" x14ac:dyDescent="0.25">
      <c r="A106" s="177"/>
      <c r="B106" s="177"/>
      <c r="C106" s="177"/>
      <c r="D106" s="177"/>
      <c r="E106" s="167" t="s">
        <v>434</v>
      </c>
      <c r="F106" s="167" t="s">
        <v>293</v>
      </c>
      <c r="G106" s="167" t="s">
        <v>947</v>
      </c>
      <c r="H106" s="167" t="s">
        <v>293</v>
      </c>
      <c r="I106" s="177"/>
      <c r="J106" s="177"/>
      <c r="K106" s="177"/>
      <c r="L106" s="177"/>
      <c r="M106" s="177"/>
      <c r="N106" s="177"/>
      <c r="O106" s="177"/>
      <c r="P106" s="177"/>
    </row>
    <row r="107" spans="1:16" x14ac:dyDescent="0.25">
      <c r="A107" s="177" t="s">
        <v>859</v>
      </c>
      <c r="B107" s="177" t="s">
        <v>995</v>
      </c>
      <c r="C107" s="177">
        <v>40</v>
      </c>
      <c r="D107" s="177">
        <v>65</v>
      </c>
      <c r="E107" s="167" t="s">
        <v>433</v>
      </c>
      <c r="F107" s="167" t="s">
        <v>954</v>
      </c>
      <c r="G107" s="167" t="s">
        <v>293</v>
      </c>
      <c r="H107" s="167" t="s">
        <v>293</v>
      </c>
      <c r="I107" s="177" t="s">
        <v>902</v>
      </c>
      <c r="J107" s="177" t="s">
        <v>914</v>
      </c>
      <c r="K107" s="177" t="s">
        <v>914</v>
      </c>
      <c r="L107" s="177" t="s">
        <v>914</v>
      </c>
      <c r="M107" s="177">
        <v>830</v>
      </c>
      <c r="N107" s="177">
        <v>50</v>
      </c>
      <c r="O107" s="177"/>
      <c r="P107" s="178" t="s">
        <v>1365</v>
      </c>
    </row>
    <row r="108" spans="1:16" x14ac:dyDescent="0.25">
      <c r="A108" s="177"/>
      <c r="B108" s="177"/>
      <c r="C108" s="177"/>
      <c r="D108" s="177"/>
      <c r="E108" s="167" t="s">
        <v>434</v>
      </c>
      <c r="F108" s="167">
        <v>0</v>
      </c>
      <c r="G108" s="167">
        <v>0</v>
      </c>
      <c r="H108" s="167">
        <v>0</v>
      </c>
      <c r="I108" s="177"/>
      <c r="J108" s="177"/>
      <c r="K108" s="177"/>
      <c r="L108" s="177"/>
      <c r="M108" s="177"/>
      <c r="N108" s="177"/>
      <c r="O108" s="177"/>
      <c r="P108" s="177"/>
    </row>
    <row r="109" spans="1:16" x14ac:dyDescent="0.25">
      <c r="A109" s="177"/>
      <c r="B109" s="177"/>
      <c r="C109" s="177"/>
      <c r="D109" s="177"/>
      <c r="E109" s="167" t="s">
        <v>433</v>
      </c>
      <c r="F109" s="167">
        <v>0</v>
      </c>
      <c r="G109" s="167">
        <v>0</v>
      </c>
      <c r="H109" s="167">
        <v>0</v>
      </c>
      <c r="I109" s="177"/>
      <c r="J109" s="177"/>
      <c r="K109" s="177"/>
      <c r="L109" s="177"/>
      <c r="M109" s="177"/>
      <c r="N109" s="177"/>
      <c r="O109" s="177"/>
      <c r="P109" s="177"/>
    </row>
    <row r="110" spans="1:16" x14ac:dyDescent="0.25">
      <c r="A110" s="177"/>
      <c r="B110" s="177"/>
      <c r="C110" s="177"/>
      <c r="D110" s="177"/>
      <c r="E110" s="167" t="s">
        <v>434</v>
      </c>
      <c r="F110" s="167" t="s">
        <v>293</v>
      </c>
      <c r="G110" s="167" t="s">
        <v>947</v>
      </c>
      <c r="H110" s="167" t="s">
        <v>293</v>
      </c>
      <c r="I110" s="177"/>
      <c r="J110" s="177"/>
      <c r="K110" s="177"/>
      <c r="L110" s="177"/>
      <c r="M110" s="177"/>
      <c r="N110" s="177"/>
      <c r="O110" s="177"/>
      <c r="P110" s="177"/>
    </row>
    <row r="111" spans="1:16" x14ac:dyDescent="0.25">
      <c r="A111" s="177" t="s">
        <v>859</v>
      </c>
      <c r="B111" s="177" t="s">
        <v>995</v>
      </c>
      <c r="C111" s="177">
        <v>40</v>
      </c>
      <c r="D111" s="177">
        <v>65</v>
      </c>
      <c r="E111" s="167" t="s">
        <v>433</v>
      </c>
      <c r="F111" s="167" t="s">
        <v>954</v>
      </c>
      <c r="G111" s="167" t="s">
        <v>293</v>
      </c>
      <c r="H111" s="167" t="s">
        <v>293</v>
      </c>
      <c r="I111" s="177" t="s">
        <v>902</v>
      </c>
      <c r="J111" s="177" t="s">
        <v>914</v>
      </c>
      <c r="K111" s="177" t="s">
        <v>914</v>
      </c>
      <c r="L111" s="177" t="s">
        <v>914</v>
      </c>
      <c r="M111" s="177">
        <v>830</v>
      </c>
      <c r="N111" s="177">
        <v>50</v>
      </c>
      <c r="O111" s="177"/>
      <c r="P111" s="178" t="s">
        <v>1365</v>
      </c>
    </row>
    <row r="112" spans="1:16" x14ac:dyDescent="0.25">
      <c r="A112" s="177"/>
      <c r="B112" s="177"/>
      <c r="C112" s="177"/>
      <c r="D112" s="177"/>
      <c r="E112" s="167" t="s">
        <v>434</v>
      </c>
      <c r="F112" s="167">
        <v>0</v>
      </c>
      <c r="G112" s="167">
        <v>0</v>
      </c>
      <c r="H112" s="167">
        <v>0</v>
      </c>
      <c r="I112" s="177"/>
      <c r="J112" s="177"/>
      <c r="K112" s="177"/>
      <c r="L112" s="177"/>
      <c r="M112" s="177"/>
      <c r="N112" s="177"/>
      <c r="O112" s="177"/>
      <c r="P112" s="177"/>
    </row>
    <row r="113" spans="1:16" x14ac:dyDescent="0.25">
      <c r="A113" s="177"/>
      <c r="B113" s="177"/>
      <c r="C113" s="177"/>
      <c r="D113" s="177"/>
      <c r="E113" s="167" t="s">
        <v>433</v>
      </c>
      <c r="F113" s="167">
        <v>0</v>
      </c>
      <c r="G113" s="167">
        <v>0</v>
      </c>
      <c r="H113" s="167">
        <v>0</v>
      </c>
      <c r="I113" s="177"/>
      <c r="J113" s="177"/>
      <c r="K113" s="177"/>
      <c r="L113" s="177"/>
      <c r="M113" s="177"/>
      <c r="N113" s="177"/>
      <c r="O113" s="177"/>
      <c r="P113" s="177"/>
    </row>
    <row r="114" spans="1:16" x14ac:dyDescent="0.25">
      <c r="A114" s="177"/>
      <c r="B114" s="177"/>
      <c r="C114" s="177"/>
      <c r="D114" s="177"/>
      <c r="E114" s="167" t="s">
        <v>434</v>
      </c>
      <c r="F114" s="167" t="s">
        <v>293</v>
      </c>
      <c r="G114" s="167" t="s">
        <v>947</v>
      </c>
      <c r="H114" s="167" t="s">
        <v>293</v>
      </c>
      <c r="I114" s="177"/>
      <c r="J114" s="177"/>
      <c r="K114" s="177"/>
      <c r="L114" s="177"/>
      <c r="M114" s="177"/>
      <c r="N114" s="177"/>
      <c r="O114" s="177"/>
      <c r="P114" s="177"/>
    </row>
    <row r="115" spans="1:16" x14ac:dyDescent="0.25">
      <c r="A115" s="177" t="s">
        <v>859</v>
      </c>
      <c r="B115" s="177" t="s">
        <v>996</v>
      </c>
      <c r="C115" s="177">
        <v>40</v>
      </c>
      <c r="D115" s="177">
        <v>65</v>
      </c>
      <c r="E115" s="167" t="s">
        <v>433</v>
      </c>
      <c r="F115" s="167" t="s">
        <v>293</v>
      </c>
      <c r="G115" s="167" t="s">
        <v>293</v>
      </c>
      <c r="H115" s="167" t="s">
        <v>944</v>
      </c>
      <c r="I115" s="177" t="s">
        <v>285</v>
      </c>
      <c r="J115" s="177" t="s">
        <v>914</v>
      </c>
      <c r="K115" s="177" t="s">
        <v>914</v>
      </c>
      <c r="L115" s="177" t="s">
        <v>914</v>
      </c>
      <c r="M115" s="177">
        <v>575</v>
      </c>
      <c r="N115" s="177">
        <v>50</v>
      </c>
      <c r="O115" s="177"/>
      <c r="P115" s="179" t="s">
        <v>1367</v>
      </c>
    </row>
    <row r="116" spans="1:16" x14ac:dyDescent="0.25">
      <c r="A116" s="177"/>
      <c r="B116" s="177"/>
      <c r="C116" s="177"/>
      <c r="D116" s="177"/>
      <c r="E116" s="167" t="s">
        <v>434</v>
      </c>
      <c r="F116" s="167">
        <v>0</v>
      </c>
      <c r="G116" s="167">
        <v>0</v>
      </c>
      <c r="H116" s="167">
        <v>0</v>
      </c>
      <c r="I116" s="177"/>
      <c r="J116" s="177"/>
      <c r="K116" s="177"/>
      <c r="L116" s="177"/>
      <c r="M116" s="177"/>
      <c r="N116" s="177"/>
      <c r="O116" s="177"/>
      <c r="P116" s="177"/>
    </row>
    <row r="117" spans="1:16" x14ac:dyDescent="0.25">
      <c r="A117" s="177"/>
      <c r="B117" s="177"/>
      <c r="C117" s="177"/>
      <c r="D117" s="177"/>
      <c r="E117" s="167" t="s">
        <v>433</v>
      </c>
      <c r="F117" s="167">
        <v>0</v>
      </c>
      <c r="G117" s="167">
        <v>0</v>
      </c>
      <c r="H117" s="167">
        <v>0</v>
      </c>
      <c r="I117" s="177"/>
      <c r="J117" s="177"/>
      <c r="K117" s="177"/>
      <c r="L117" s="177"/>
      <c r="M117" s="177"/>
      <c r="N117" s="177"/>
      <c r="O117" s="177"/>
      <c r="P117" s="177"/>
    </row>
    <row r="118" spans="1:16" x14ac:dyDescent="0.25">
      <c r="A118" s="177"/>
      <c r="B118" s="177"/>
      <c r="C118" s="177"/>
      <c r="D118" s="177"/>
      <c r="E118" s="167" t="s">
        <v>434</v>
      </c>
      <c r="F118" s="167" t="s">
        <v>293</v>
      </c>
      <c r="G118" s="167" t="s">
        <v>947</v>
      </c>
      <c r="H118" s="167" t="s">
        <v>293</v>
      </c>
      <c r="I118" s="177"/>
      <c r="J118" s="177"/>
      <c r="K118" s="177"/>
      <c r="L118" s="177"/>
      <c r="M118" s="177"/>
      <c r="N118" s="177"/>
      <c r="O118" s="177"/>
      <c r="P118" s="177"/>
    </row>
    <row r="119" spans="1:16" x14ac:dyDescent="0.25">
      <c r="A119" s="177" t="s">
        <v>859</v>
      </c>
      <c r="B119" s="177" t="s">
        <v>996</v>
      </c>
      <c r="C119" s="177">
        <v>40</v>
      </c>
      <c r="D119" s="177">
        <v>65</v>
      </c>
      <c r="E119" s="167" t="s">
        <v>433</v>
      </c>
      <c r="F119" s="167" t="s">
        <v>293</v>
      </c>
      <c r="G119" s="167" t="s">
        <v>293</v>
      </c>
      <c r="H119" s="167" t="s">
        <v>944</v>
      </c>
      <c r="I119" s="177" t="s">
        <v>285</v>
      </c>
      <c r="J119" s="177" t="s">
        <v>914</v>
      </c>
      <c r="K119" s="177" t="s">
        <v>914</v>
      </c>
      <c r="L119" s="177" t="s">
        <v>914</v>
      </c>
      <c r="M119" s="177">
        <v>575</v>
      </c>
      <c r="N119" s="177">
        <v>50</v>
      </c>
      <c r="O119" s="177"/>
      <c r="P119" s="179" t="s">
        <v>1367</v>
      </c>
    </row>
    <row r="120" spans="1:16" x14ac:dyDescent="0.25">
      <c r="A120" s="177"/>
      <c r="B120" s="177"/>
      <c r="C120" s="177"/>
      <c r="D120" s="177"/>
      <c r="E120" s="167" t="s">
        <v>434</v>
      </c>
      <c r="F120" s="167">
        <v>0</v>
      </c>
      <c r="G120" s="167">
        <v>0</v>
      </c>
      <c r="H120" s="167">
        <v>0</v>
      </c>
      <c r="I120" s="177"/>
      <c r="J120" s="177"/>
      <c r="K120" s="177"/>
      <c r="L120" s="177"/>
      <c r="M120" s="177"/>
      <c r="N120" s="177"/>
      <c r="O120" s="177"/>
      <c r="P120" s="177"/>
    </row>
    <row r="121" spans="1:16" x14ac:dyDescent="0.25">
      <c r="A121" s="177"/>
      <c r="B121" s="177"/>
      <c r="C121" s="177"/>
      <c r="D121" s="177"/>
      <c r="E121" s="167" t="s">
        <v>433</v>
      </c>
      <c r="F121" s="167">
        <v>0</v>
      </c>
      <c r="G121" s="167">
        <v>0</v>
      </c>
      <c r="H121" s="167">
        <v>0</v>
      </c>
      <c r="I121" s="177"/>
      <c r="J121" s="177"/>
      <c r="K121" s="177"/>
      <c r="L121" s="177"/>
      <c r="M121" s="177"/>
      <c r="N121" s="177"/>
      <c r="O121" s="177"/>
      <c r="P121" s="177"/>
    </row>
    <row r="122" spans="1:16" x14ac:dyDescent="0.25">
      <c r="A122" s="177"/>
      <c r="B122" s="177"/>
      <c r="C122" s="177"/>
      <c r="D122" s="177"/>
      <c r="E122" s="167" t="s">
        <v>434</v>
      </c>
      <c r="F122" s="167" t="s">
        <v>293</v>
      </c>
      <c r="G122" s="167" t="s">
        <v>947</v>
      </c>
      <c r="H122" s="167" t="s">
        <v>293</v>
      </c>
      <c r="I122" s="177"/>
      <c r="J122" s="177"/>
      <c r="K122" s="177"/>
      <c r="L122" s="177"/>
      <c r="M122" s="177"/>
      <c r="N122" s="177"/>
      <c r="O122" s="177"/>
      <c r="P122" s="177"/>
    </row>
    <row r="123" spans="1:16" x14ac:dyDescent="0.25">
      <c r="A123" s="177" t="s">
        <v>859</v>
      </c>
      <c r="B123" s="177" t="s">
        <v>950</v>
      </c>
      <c r="C123" s="177">
        <v>40</v>
      </c>
      <c r="D123" s="177">
        <v>65</v>
      </c>
      <c r="E123" s="167" t="s">
        <v>433</v>
      </c>
      <c r="F123" s="167" t="s">
        <v>294</v>
      </c>
      <c r="G123" s="167" t="s">
        <v>293</v>
      </c>
      <c r="H123" s="167" t="s">
        <v>967</v>
      </c>
      <c r="I123" s="177" t="s">
        <v>285</v>
      </c>
      <c r="J123" s="177" t="s">
        <v>914</v>
      </c>
      <c r="K123" s="177" t="s">
        <v>914</v>
      </c>
      <c r="L123" s="177" t="s">
        <v>914</v>
      </c>
      <c r="M123" s="177">
        <v>1070</v>
      </c>
      <c r="N123" s="177">
        <v>50</v>
      </c>
      <c r="O123" s="177"/>
      <c r="P123" s="178" t="s">
        <v>1365</v>
      </c>
    </row>
    <row r="124" spans="1:16" x14ac:dyDescent="0.25">
      <c r="A124" s="177"/>
      <c r="B124" s="177"/>
      <c r="C124" s="177"/>
      <c r="D124" s="177"/>
      <c r="E124" s="167" t="s">
        <v>434</v>
      </c>
      <c r="F124" s="167">
        <v>0</v>
      </c>
      <c r="G124" s="167">
        <v>0</v>
      </c>
      <c r="H124" s="167" t="s">
        <v>944</v>
      </c>
      <c r="I124" s="177"/>
      <c r="J124" s="177"/>
      <c r="K124" s="177"/>
      <c r="L124" s="177"/>
      <c r="M124" s="177"/>
      <c r="N124" s="177"/>
      <c r="O124" s="177"/>
      <c r="P124" s="177"/>
    </row>
    <row r="125" spans="1:16" x14ac:dyDescent="0.25">
      <c r="A125" s="177"/>
      <c r="B125" s="177"/>
      <c r="C125" s="177"/>
      <c r="D125" s="177"/>
      <c r="E125" s="167" t="s">
        <v>433</v>
      </c>
      <c r="F125" s="167">
        <v>0</v>
      </c>
      <c r="G125" s="167">
        <v>0</v>
      </c>
      <c r="H125" s="167">
        <v>0</v>
      </c>
      <c r="I125" s="177"/>
      <c r="J125" s="177"/>
      <c r="K125" s="177"/>
      <c r="L125" s="177"/>
      <c r="M125" s="177"/>
      <c r="N125" s="177"/>
      <c r="O125" s="177"/>
      <c r="P125" s="177"/>
    </row>
    <row r="126" spans="1:16" x14ac:dyDescent="0.25">
      <c r="A126" s="177"/>
      <c r="B126" s="177"/>
      <c r="C126" s="177"/>
      <c r="D126" s="177"/>
      <c r="E126" s="167" t="s">
        <v>434</v>
      </c>
      <c r="F126" s="167" t="s">
        <v>954</v>
      </c>
      <c r="G126" s="167" t="s">
        <v>294</v>
      </c>
      <c r="H126" s="167" t="s">
        <v>954</v>
      </c>
      <c r="I126" s="177"/>
      <c r="J126" s="177"/>
      <c r="K126" s="177"/>
      <c r="L126" s="177"/>
      <c r="M126" s="177"/>
      <c r="N126" s="177"/>
      <c r="O126" s="177"/>
      <c r="P126" s="177"/>
    </row>
    <row r="127" spans="1:16" x14ac:dyDescent="0.25">
      <c r="A127" s="177" t="s">
        <v>859</v>
      </c>
      <c r="B127" s="177" t="s">
        <v>950</v>
      </c>
      <c r="C127" s="177">
        <v>40</v>
      </c>
      <c r="D127" s="177">
        <v>65</v>
      </c>
      <c r="E127" s="167" t="s">
        <v>433</v>
      </c>
      <c r="F127" s="167" t="s">
        <v>294</v>
      </c>
      <c r="G127" s="167" t="s">
        <v>293</v>
      </c>
      <c r="H127" s="167" t="s">
        <v>967</v>
      </c>
      <c r="I127" s="177" t="s">
        <v>285</v>
      </c>
      <c r="J127" s="177" t="s">
        <v>914</v>
      </c>
      <c r="K127" s="177" t="s">
        <v>914</v>
      </c>
      <c r="L127" s="177" t="s">
        <v>914</v>
      </c>
      <c r="M127" s="177">
        <v>1070</v>
      </c>
      <c r="N127" s="177">
        <v>50</v>
      </c>
      <c r="O127" s="177"/>
      <c r="P127" s="178" t="s">
        <v>1365</v>
      </c>
    </row>
    <row r="128" spans="1:16" x14ac:dyDescent="0.25">
      <c r="A128" s="177"/>
      <c r="B128" s="177"/>
      <c r="C128" s="177"/>
      <c r="D128" s="177"/>
      <c r="E128" s="167" t="s">
        <v>434</v>
      </c>
      <c r="F128" s="167">
        <v>0</v>
      </c>
      <c r="G128" s="167">
        <v>0</v>
      </c>
      <c r="H128" s="167" t="s">
        <v>944</v>
      </c>
      <c r="I128" s="177"/>
      <c r="J128" s="177"/>
      <c r="K128" s="177"/>
      <c r="L128" s="177"/>
      <c r="M128" s="177"/>
      <c r="N128" s="177"/>
      <c r="O128" s="177"/>
      <c r="P128" s="177"/>
    </row>
    <row r="129" spans="1:16" x14ac:dyDescent="0.25">
      <c r="A129" s="177"/>
      <c r="B129" s="177"/>
      <c r="C129" s="177"/>
      <c r="D129" s="177"/>
      <c r="E129" s="167" t="s">
        <v>433</v>
      </c>
      <c r="F129" s="167">
        <v>0</v>
      </c>
      <c r="G129" s="167">
        <v>0</v>
      </c>
      <c r="H129" s="167">
        <v>0</v>
      </c>
      <c r="I129" s="177"/>
      <c r="J129" s="177"/>
      <c r="K129" s="177"/>
      <c r="L129" s="177"/>
      <c r="M129" s="177"/>
      <c r="N129" s="177"/>
      <c r="O129" s="177"/>
      <c r="P129" s="177"/>
    </row>
    <row r="130" spans="1:16" x14ac:dyDescent="0.25">
      <c r="A130" s="177"/>
      <c r="B130" s="177"/>
      <c r="C130" s="177"/>
      <c r="D130" s="177"/>
      <c r="E130" s="167" t="s">
        <v>434</v>
      </c>
      <c r="F130" s="167" t="s">
        <v>954</v>
      </c>
      <c r="G130" s="167" t="s">
        <v>294</v>
      </c>
      <c r="H130" s="167" t="s">
        <v>954</v>
      </c>
      <c r="I130" s="177"/>
      <c r="J130" s="177"/>
      <c r="K130" s="177"/>
      <c r="L130" s="177"/>
      <c r="M130" s="177"/>
      <c r="N130" s="177"/>
      <c r="O130" s="177"/>
      <c r="P130" s="177"/>
    </row>
    <row r="131" spans="1:16" x14ac:dyDescent="0.25">
      <c r="A131" s="177" t="s">
        <v>859</v>
      </c>
      <c r="B131" s="177" t="s">
        <v>950</v>
      </c>
      <c r="C131" s="177">
        <v>40</v>
      </c>
      <c r="D131" s="177">
        <v>65</v>
      </c>
      <c r="E131" s="167" t="s">
        <v>433</v>
      </c>
      <c r="F131" s="167" t="s">
        <v>294</v>
      </c>
      <c r="G131" s="167" t="s">
        <v>293</v>
      </c>
      <c r="H131" s="167" t="s">
        <v>967</v>
      </c>
      <c r="I131" s="177" t="s">
        <v>285</v>
      </c>
      <c r="J131" s="177" t="s">
        <v>914</v>
      </c>
      <c r="K131" s="177" t="s">
        <v>914</v>
      </c>
      <c r="L131" s="177" t="s">
        <v>914</v>
      </c>
      <c r="M131" s="177">
        <v>1070</v>
      </c>
      <c r="N131" s="177">
        <v>50</v>
      </c>
      <c r="O131" s="177"/>
      <c r="P131" s="178" t="s">
        <v>1365</v>
      </c>
    </row>
    <row r="132" spans="1:16" x14ac:dyDescent="0.25">
      <c r="A132" s="177"/>
      <c r="B132" s="177"/>
      <c r="C132" s="177"/>
      <c r="D132" s="177"/>
      <c r="E132" s="167" t="s">
        <v>434</v>
      </c>
      <c r="F132" s="167">
        <v>0</v>
      </c>
      <c r="G132" s="167">
        <v>0</v>
      </c>
      <c r="H132" s="167" t="s">
        <v>944</v>
      </c>
      <c r="I132" s="177"/>
      <c r="J132" s="177"/>
      <c r="K132" s="177"/>
      <c r="L132" s="177"/>
      <c r="M132" s="177"/>
      <c r="N132" s="177"/>
      <c r="O132" s="177"/>
      <c r="P132" s="177"/>
    </row>
    <row r="133" spans="1:16" x14ac:dyDescent="0.25">
      <c r="A133" s="177"/>
      <c r="B133" s="177"/>
      <c r="C133" s="177"/>
      <c r="D133" s="177"/>
      <c r="E133" s="167" t="s">
        <v>433</v>
      </c>
      <c r="F133" s="167">
        <v>0</v>
      </c>
      <c r="G133" s="167">
        <v>0</v>
      </c>
      <c r="H133" s="167">
        <v>0</v>
      </c>
      <c r="I133" s="177"/>
      <c r="J133" s="177"/>
      <c r="K133" s="177"/>
      <c r="L133" s="177"/>
      <c r="M133" s="177"/>
      <c r="N133" s="177"/>
      <c r="O133" s="177"/>
      <c r="P133" s="177"/>
    </row>
    <row r="134" spans="1:16" x14ac:dyDescent="0.25">
      <c r="A134" s="177"/>
      <c r="B134" s="177"/>
      <c r="C134" s="177"/>
      <c r="D134" s="177"/>
      <c r="E134" s="167" t="s">
        <v>434</v>
      </c>
      <c r="F134" s="167" t="s">
        <v>954</v>
      </c>
      <c r="G134" s="167" t="s">
        <v>294</v>
      </c>
      <c r="H134" s="167" t="s">
        <v>954</v>
      </c>
      <c r="I134" s="177"/>
      <c r="J134" s="177"/>
      <c r="K134" s="177"/>
      <c r="L134" s="177"/>
      <c r="M134" s="177"/>
      <c r="N134" s="177"/>
      <c r="O134" s="177"/>
      <c r="P134" s="177"/>
    </row>
    <row r="135" spans="1:16" x14ac:dyDescent="0.25">
      <c r="A135" s="177" t="s">
        <v>859</v>
      </c>
      <c r="B135" s="177" t="s">
        <v>999</v>
      </c>
      <c r="C135" s="177">
        <v>40</v>
      </c>
      <c r="D135" s="177">
        <v>65</v>
      </c>
      <c r="E135" s="167" t="s">
        <v>433</v>
      </c>
      <c r="F135" s="167" t="s">
        <v>954</v>
      </c>
      <c r="G135" s="167" t="s">
        <v>293</v>
      </c>
      <c r="H135" s="167" t="s">
        <v>954</v>
      </c>
      <c r="I135" s="177" t="s">
        <v>285</v>
      </c>
      <c r="J135" s="177" t="s">
        <v>914</v>
      </c>
      <c r="K135" s="177" t="s">
        <v>914</v>
      </c>
      <c r="L135" s="177" t="s">
        <v>914</v>
      </c>
      <c r="M135" s="177">
        <v>830</v>
      </c>
      <c r="N135" s="177">
        <v>50</v>
      </c>
      <c r="O135" s="177"/>
      <c r="P135" s="178" t="s">
        <v>1365</v>
      </c>
    </row>
    <row r="136" spans="1:16" x14ac:dyDescent="0.25">
      <c r="A136" s="177"/>
      <c r="B136" s="177"/>
      <c r="C136" s="177"/>
      <c r="D136" s="177"/>
      <c r="E136" s="167" t="s">
        <v>434</v>
      </c>
      <c r="F136" s="167">
        <v>0</v>
      </c>
      <c r="G136" s="167">
        <v>0</v>
      </c>
      <c r="H136" s="167">
        <v>0</v>
      </c>
      <c r="I136" s="177"/>
      <c r="J136" s="177"/>
      <c r="K136" s="177"/>
      <c r="L136" s="177"/>
      <c r="M136" s="177"/>
      <c r="N136" s="177"/>
      <c r="O136" s="177"/>
      <c r="P136" s="177"/>
    </row>
    <row r="137" spans="1:16" x14ac:dyDescent="0.25">
      <c r="A137" s="177"/>
      <c r="B137" s="177"/>
      <c r="C137" s="177"/>
      <c r="D137" s="177"/>
      <c r="E137" s="167" t="s">
        <v>433</v>
      </c>
      <c r="F137" s="167">
        <v>0</v>
      </c>
      <c r="G137" s="167">
        <v>0</v>
      </c>
      <c r="H137" s="167">
        <v>0</v>
      </c>
      <c r="I137" s="177"/>
      <c r="J137" s="177"/>
      <c r="K137" s="177"/>
      <c r="L137" s="177"/>
      <c r="M137" s="177"/>
      <c r="N137" s="177"/>
      <c r="O137" s="177"/>
      <c r="P137" s="177"/>
    </row>
    <row r="138" spans="1:16" x14ac:dyDescent="0.25">
      <c r="A138" s="177"/>
      <c r="B138" s="177"/>
      <c r="C138" s="177"/>
      <c r="D138" s="177"/>
      <c r="E138" s="167" t="s">
        <v>434</v>
      </c>
      <c r="F138" s="167" t="s">
        <v>947</v>
      </c>
      <c r="G138" s="167" t="s">
        <v>947</v>
      </c>
      <c r="H138" s="167" t="s">
        <v>293</v>
      </c>
      <c r="I138" s="177"/>
      <c r="J138" s="177"/>
      <c r="K138" s="177"/>
      <c r="L138" s="177"/>
      <c r="M138" s="177"/>
      <c r="N138" s="177"/>
      <c r="O138" s="177"/>
      <c r="P138" s="177"/>
    </row>
    <row r="139" spans="1:16" x14ac:dyDescent="0.25">
      <c r="A139" s="177" t="s">
        <v>859</v>
      </c>
      <c r="B139" s="177" t="s">
        <v>1000</v>
      </c>
      <c r="C139" s="177">
        <v>40</v>
      </c>
      <c r="D139" s="177">
        <v>65</v>
      </c>
      <c r="E139" s="167" t="s">
        <v>433</v>
      </c>
      <c r="F139" s="167" t="s">
        <v>954</v>
      </c>
      <c r="G139" s="167" t="s">
        <v>293</v>
      </c>
      <c r="H139" s="167" t="s">
        <v>954</v>
      </c>
      <c r="I139" s="177" t="s">
        <v>285</v>
      </c>
      <c r="J139" s="177" t="s">
        <v>914</v>
      </c>
      <c r="K139" s="177" t="s">
        <v>914</v>
      </c>
      <c r="L139" s="177" t="s">
        <v>914</v>
      </c>
      <c r="M139" s="177">
        <v>830</v>
      </c>
      <c r="N139" s="177">
        <v>50</v>
      </c>
      <c r="O139" s="177"/>
      <c r="P139" s="178" t="s">
        <v>1365</v>
      </c>
    </row>
    <row r="140" spans="1:16" x14ac:dyDescent="0.25">
      <c r="A140" s="177"/>
      <c r="B140" s="177"/>
      <c r="C140" s="177"/>
      <c r="D140" s="177"/>
      <c r="E140" s="167" t="s">
        <v>434</v>
      </c>
      <c r="F140" s="167">
        <v>0</v>
      </c>
      <c r="G140" s="167">
        <v>0</v>
      </c>
      <c r="H140" s="167">
        <v>0</v>
      </c>
      <c r="I140" s="177"/>
      <c r="J140" s="177"/>
      <c r="K140" s="177"/>
      <c r="L140" s="177"/>
      <c r="M140" s="177"/>
      <c r="N140" s="177"/>
      <c r="O140" s="177"/>
      <c r="P140" s="177"/>
    </row>
    <row r="141" spans="1:16" x14ac:dyDescent="0.25">
      <c r="A141" s="177"/>
      <c r="B141" s="177"/>
      <c r="C141" s="177"/>
      <c r="D141" s="177"/>
      <c r="E141" s="167" t="s">
        <v>433</v>
      </c>
      <c r="F141" s="167">
        <v>0</v>
      </c>
      <c r="G141" s="167">
        <v>0</v>
      </c>
      <c r="H141" s="167">
        <v>0</v>
      </c>
      <c r="I141" s="177"/>
      <c r="J141" s="177"/>
      <c r="K141" s="177"/>
      <c r="L141" s="177"/>
      <c r="M141" s="177"/>
      <c r="N141" s="177"/>
      <c r="O141" s="177"/>
      <c r="P141" s="177"/>
    </row>
    <row r="142" spans="1:16" x14ac:dyDescent="0.25">
      <c r="A142" s="177"/>
      <c r="B142" s="177"/>
      <c r="C142" s="177"/>
      <c r="D142" s="177"/>
      <c r="E142" s="167" t="s">
        <v>434</v>
      </c>
      <c r="F142" s="167" t="s">
        <v>293</v>
      </c>
      <c r="G142" s="167" t="s">
        <v>947</v>
      </c>
      <c r="H142" s="167" t="s">
        <v>293</v>
      </c>
      <c r="I142" s="177"/>
      <c r="J142" s="177"/>
      <c r="K142" s="177"/>
      <c r="L142" s="177"/>
      <c r="M142" s="177"/>
      <c r="N142" s="177"/>
      <c r="O142" s="177"/>
      <c r="P142" s="177"/>
    </row>
    <row r="143" spans="1:16" x14ac:dyDescent="0.25">
      <c r="A143" s="177" t="s">
        <v>859</v>
      </c>
      <c r="B143" s="177" t="s">
        <v>976</v>
      </c>
      <c r="C143" s="177">
        <v>40</v>
      </c>
      <c r="D143" s="177">
        <v>65</v>
      </c>
      <c r="E143" s="167" t="s">
        <v>433</v>
      </c>
      <c r="F143" s="167" t="s">
        <v>954</v>
      </c>
      <c r="G143" s="167" t="s">
        <v>293</v>
      </c>
      <c r="H143" s="167" t="s">
        <v>954</v>
      </c>
      <c r="I143" s="177" t="s">
        <v>285</v>
      </c>
      <c r="J143" s="177" t="s">
        <v>914</v>
      </c>
      <c r="K143" s="177" t="s">
        <v>914</v>
      </c>
      <c r="L143" s="177" t="s">
        <v>914</v>
      </c>
      <c r="M143" s="177">
        <v>830</v>
      </c>
      <c r="N143" s="177">
        <v>50</v>
      </c>
      <c r="O143" s="177"/>
      <c r="P143" s="178" t="s">
        <v>1365</v>
      </c>
    </row>
    <row r="144" spans="1:16" x14ac:dyDescent="0.25">
      <c r="A144" s="177"/>
      <c r="B144" s="177"/>
      <c r="C144" s="177"/>
      <c r="D144" s="177"/>
      <c r="E144" s="167" t="s">
        <v>434</v>
      </c>
      <c r="F144" s="167">
        <v>0</v>
      </c>
      <c r="G144" s="167">
        <v>0</v>
      </c>
      <c r="H144" s="167">
        <v>0</v>
      </c>
      <c r="I144" s="177"/>
      <c r="J144" s="177"/>
      <c r="K144" s="177"/>
      <c r="L144" s="177"/>
      <c r="M144" s="177"/>
      <c r="N144" s="177"/>
      <c r="O144" s="177"/>
      <c r="P144" s="177"/>
    </row>
    <row r="145" spans="1:16" x14ac:dyDescent="0.25">
      <c r="A145" s="177"/>
      <c r="B145" s="177"/>
      <c r="C145" s="177"/>
      <c r="D145" s="177"/>
      <c r="E145" s="167" t="s">
        <v>433</v>
      </c>
      <c r="F145" s="167">
        <v>0</v>
      </c>
      <c r="G145" s="167">
        <v>0</v>
      </c>
      <c r="H145" s="167">
        <v>0</v>
      </c>
      <c r="I145" s="177"/>
      <c r="J145" s="177"/>
      <c r="K145" s="177"/>
      <c r="L145" s="177"/>
      <c r="M145" s="177"/>
      <c r="N145" s="177"/>
      <c r="O145" s="177"/>
      <c r="P145" s="177"/>
    </row>
    <row r="146" spans="1:16" x14ac:dyDescent="0.25">
      <c r="A146" s="177"/>
      <c r="B146" s="177"/>
      <c r="C146" s="177"/>
      <c r="D146" s="177"/>
      <c r="E146" s="167" t="s">
        <v>434</v>
      </c>
      <c r="F146" s="167" t="s">
        <v>293</v>
      </c>
      <c r="G146" s="167" t="s">
        <v>947</v>
      </c>
      <c r="H146" s="167" t="s">
        <v>293</v>
      </c>
      <c r="I146" s="177"/>
      <c r="J146" s="177"/>
      <c r="K146" s="177"/>
      <c r="L146" s="177"/>
      <c r="M146" s="177"/>
      <c r="N146" s="177"/>
      <c r="O146" s="177"/>
      <c r="P146" s="177"/>
    </row>
    <row r="147" spans="1:16" x14ac:dyDescent="0.25">
      <c r="A147" s="177" t="s">
        <v>859</v>
      </c>
      <c r="B147" s="177" t="s">
        <v>977</v>
      </c>
      <c r="C147" s="177">
        <v>40</v>
      </c>
      <c r="D147" s="177">
        <v>65</v>
      </c>
      <c r="E147" s="167" t="s">
        <v>433</v>
      </c>
      <c r="F147" s="167" t="s">
        <v>954</v>
      </c>
      <c r="G147" s="167" t="s">
        <v>293</v>
      </c>
      <c r="H147" s="167" t="s">
        <v>954</v>
      </c>
      <c r="I147" s="177" t="s">
        <v>285</v>
      </c>
      <c r="J147" s="177" t="s">
        <v>914</v>
      </c>
      <c r="K147" s="177" t="s">
        <v>914</v>
      </c>
      <c r="L147" s="177" t="s">
        <v>914</v>
      </c>
      <c r="M147" s="177">
        <v>830</v>
      </c>
      <c r="N147" s="177">
        <v>50</v>
      </c>
      <c r="O147" s="177"/>
      <c r="P147" s="178" t="s">
        <v>1365</v>
      </c>
    </row>
    <row r="148" spans="1:16" x14ac:dyDescent="0.25">
      <c r="A148" s="177"/>
      <c r="B148" s="177"/>
      <c r="C148" s="177"/>
      <c r="D148" s="177"/>
      <c r="E148" s="167" t="s">
        <v>434</v>
      </c>
      <c r="F148" s="167">
        <v>0</v>
      </c>
      <c r="G148" s="167">
        <v>0</v>
      </c>
      <c r="H148" s="167">
        <v>0</v>
      </c>
      <c r="I148" s="177"/>
      <c r="J148" s="177"/>
      <c r="K148" s="177"/>
      <c r="L148" s="177"/>
      <c r="M148" s="177"/>
      <c r="N148" s="177"/>
      <c r="O148" s="177"/>
      <c r="P148" s="177"/>
    </row>
    <row r="149" spans="1:16" x14ac:dyDescent="0.25">
      <c r="A149" s="177"/>
      <c r="B149" s="177"/>
      <c r="C149" s="177"/>
      <c r="D149" s="177"/>
      <c r="E149" s="167" t="s">
        <v>433</v>
      </c>
      <c r="F149" s="167">
        <v>0</v>
      </c>
      <c r="G149" s="167">
        <v>0</v>
      </c>
      <c r="H149" s="167">
        <v>0</v>
      </c>
      <c r="I149" s="177"/>
      <c r="J149" s="177"/>
      <c r="K149" s="177"/>
      <c r="L149" s="177"/>
      <c r="M149" s="177"/>
      <c r="N149" s="177"/>
      <c r="O149" s="177"/>
      <c r="P149" s="177"/>
    </row>
    <row r="150" spans="1:16" x14ac:dyDescent="0.25">
      <c r="A150" s="177"/>
      <c r="B150" s="177"/>
      <c r="C150" s="177"/>
      <c r="D150" s="177"/>
      <c r="E150" s="167" t="s">
        <v>434</v>
      </c>
      <c r="F150" s="167" t="s">
        <v>293</v>
      </c>
      <c r="G150" s="167" t="s">
        <v>947</v>
      </c>
      <c r="H150" s="167" t="s">
        <v>293</v>
      </c>
      <c r="I150" s="177"/>
      <c r="J150" s="177"/>
      <c r="K150" s="177"/>
      <c r="L150" s="177"/>
      <c r="M150" s="177"/>
      <c r="N150" s="177"/>
      <c r="O150" s="177"/>
      <c r="P150" s="177"/>
    </row>
    <row r="151" spans="1:16" x14ac:dyDescent="0.25">
      <c r="A151" s="177" t="s">
        <v>859</v>
      </c>
      <c r="B151" s="177" t="s">
        <v>978</v>
      </c>
      <c r="C151" s="177">
        <v>40</v>
      </c>
      <c r="D151" s="177">
        <v>65</v>
      </c>
      <c r="E151" s="167" t="s">
        <v>433</v>
      </c>
      <c r="F151" s="167" t="s">
        <v>954</v>
      </c>
      <c r="G151" s="167" t="s">
        <v>293</v>
      </c>
      <c r="H151" s="167" t="s">
        <v>293</v>
      </c>
      <c r="I151" s="177" t="s">
        <v>285</v>
      </c>
      <c r="J151" s="177" t="s">
        <v>914</v>
      </c>
      <c r="K151" s="177" t="s">
        <v>914</v>
      </c>
      <c r="L151" s="177" t="s">
        <v>914</v>
      </c>
      <c r="M151" s="177">
        <v>830</v>
      </c>
      <c r="N151" s="177">
        <v>50</v>
      </c>
      <c r="O151" s="177"/>
      <c r="P151" s="178" t="s">
        <v>1365</v>
      </c>
    </row>
    <row r="152" spans="1:16" x14ac:dyDescent="0.25">
      <c r="A152" s="177"/>
      <c r="B152" s="177"/>
      <c r="C152" s="177"/>
      <c r="D152" s="177"/>
      <c r="E152" s="167" t="s">
        <v>434</v>
      </c>
      <c r="F152" s="167">
        <v>0</v>
      </c>
      <c r="G152" s="167">
        <v>0</v>
      </c>
      <c r="H152" s="167">
        <v>0</v>
      </c>
      <c r="I152" s="177"/>
      <c r="J152" s="177"/>
      <c r="K152" s="177"/>
      <c r="L152" s="177"/>
      <c r="M152" s="177"/>
      <c r="N152" s="177"/>
      <c r="O152" s="177"/>
      <c r="P152" s="177"/>
    </row>
    <row r="153" spans="1:16" x14ac:dyDescent="0.25">
      <c r="A153" s="177"/>
      <c r="B153" s="177"/>
      <c r="C153" s="177"/>
      <c r="D153" s="177"/>
      <c r="E153" s="167" t="s">
        <v>433</v>
      </c>
      <c r="F153" s="167">
        <v>0</v>
      </c>
      <c r="G153" s="167">
        <v>0</v>
      </c>
      <c r="H153" s="167">
        <v>0</v>
      </c>
      <c r="I153" s="177"/>
      <c r="J153" s="177"/>
      <c r="K153" s="177"/>
      <c r="L153" s="177"/>
      <c r="M153" s="177"/>
      <c r="N153" s="177"/>
      <c r="O153" s="177"/>
      <c r="P153" s="177"/>
    </row>
    <row r="154" spans="1:16" x14ac:dyDescent="0.25">
      <c r="A154" s="177"/>
      <c r="B154" s="177"/>
      <c r="C154" s="177"/>
      <c r="D154" s="177"/>
      <c r="E154" s="167" t="s">
        <v>434</v>
      </c>
      <c r="F154" s="167" t="s">
        <v>293</v>
      </c>
      <c r="G154" s="167" t="s">
        <v>947</v>
      </c>
      <c r="H154" s="167" t="s">
        <v>293</v>
      </c>
      <c r="I154" s="177"/>
      <c r="J154" s="177"/>
      <c r="K154" s="177"/>
      <c r="L154" s="177"/>
      <c r="M154" s="177"/>
      <c r="N154" s="177"/>
      <c r="O154" s="177"/>
      <c r="P154" s="177"/>
    </row>
    <row r="155" spans="1:16" x14ac:dyDescent="0.25">
      <c r="A155" s="177" t="s">
        <v>859</v>
      </c>
      <c r="B155" s="177" t="s">
        <v>1001</v>
      </c>
      <c r="C155" s="177">
        <v>40</v>
      </c>
      <c r="D155" s="177">
        <v>65</v>
      </c>
      <c r="E155" s="167" t="s">
        <v>433</v>
      </c>
      <c r="F155" s="167" t="s">
        <v>293</v>
      </c>
      <c r="G155" s="167" t="s">
        <v>293</v>
      </c>
      <c r="H155" s="167" t="s">
        <v>944</v>
      </c>
      <c r="I155" s="177" t="s">
        <v>285</v>
      </c>
      <c r="J155" s="177" t="s">
        <v>914</v>
      </c>
      <c r="K155" s="177" t="s">
        <v>914</v>
      </c>
      <c r="L155" s="177" t="s">
        <v>914</v>
      </c>
      <c r="M155" s="177">
        <v>575</v>
      </c>
      <c r="N155" s="177">
        <v>50</v>
      </c>
      <c r="O155" s="177"/>
      <c r="P155" s="179" t="s">
        <v>1367</v>
      </c>
    </row>
    <row r="156" spans="1:16" x14ac:dyDescent="0.25">
      <c r="A156" s="177"/>
      <c r="B156" s="177"/>
      <c r="C156" s="177"/>
      <c r="D156" s="177"/>
      <c r="E156" s="167" t="s">
        <v>434</v>
      </c>
      <c r="F156" s="167">
        <v>0</v>
      </c>
      <c r="G156" s="167">
        <v>0</v>
      </c>
      <c r="H156" s="167">
        <v>0</v>
      </c>
      <c r="I156" s="177"/>
      <c r="J156" s="177"/>
      <c r="K156" s="177"/>
      <c r="L156" s="177"/>
      <c r="M156" s="177"/>
      <c r="N156" s="177"/>
      <c r="O156" s="177"/>
      <c r="P156" s="177"/>
    </row>
    <row r="157" spans="1:16" x14ac:dyDescent="0.25">
      <c r="A157" s="177"/>
      <c r="B157" s="177"/>
      <c r="C157" s="177"/>
      <c r="D157" s="177"/>
      <c r="E157" s="167" t="s">
        <v>433</v>
      </c>
      <c r="F157" s="167">
        <v>0</v>
      </c>
      <c r="G157" s="167">
        <v>0</v>
      </c>
      <c r="H157" s="167">
        <v>0</v>
      </c>
      <c r="I157" s="177"/>
      <c r="J157" s="177"/>
      <c r="K157" s="177"/>
      <c r="L157" s="177"/>
      <c r="M157" s="177"/>
      <c r="N157" s="177"/>
      <c r="O157" s="177"/>
      <c r="P157" s="177"/>
    </row>
    <row r="158" spans="1:16" x14ac:dyDescent="0.25">
      <c r="A158" s="177"/>
      <c r="B158" s="177"/>
      <c r="C158" s="177"/>
      <c r="D158" s="177"/>
      <c r="E158" s="167" t="s">
        <v>434</v>
      </c>
      <c r="F158" s="167" t="s">
        <v>293</v>
      </c>
      <c r="G158" s="167" t="s">
        <v>947</v>
      </c>
      <c r="H158" s="167" t="s">
        <v>293</v>
      </c>
      <c r="I158" s="177"/>
      <c r="J158" s="177"/>
      <c r="K158" s="177"/>
      <c r="L158" s="177"/>
      <c r="M158" s="177"/>
      <c r="N158" s="177"/>
      <c r="O158" s="177"/>
      <c r="P158" s="177"/>
    </row>
    <row r="159" spans="1:16" x14ac:dyDescent="0.25">
      <c r="A159" s="177" t="s">
        <v>859</v>
      </c>
      <c r="B159" s="177" t="s">
        <v>1003</v>
      </c>
      <c r="C159" s="177">
        <v>40</v>
      </c>
      <c r="D159" s="177">
        <v>65</v>
      </c>
      <c r="E159" s="167" t="s">
        <v>433</v>
      </c>
      <c r="F159" s="167" t="s">
        <v>293</v>
      </c>
      <c r="G159" s="167" t="s">
        <v>293</v>
      </c>
      <c r="H159" s="167" t="s">
        <v>294</v>
      </c>
      <c r="I159" s="177" t="s">
        <v>285</v>
      </c>
      <c r="J159" s="177" t="s">
        <v>914</v>
      </c>
      <c r="K159" s="177" t="s">
        <v>914</v>
      </c>
      <c r="L159" s="177" t="s">
        <v>914</v>
      </c>
      <c r="M159" s="177">
        <v>830</v>
      </c>
      <c r="N159" s="177">
        <v>50</v>
      </c>
      <c r="O159" s="177"/>
      <c r="P159" s="178" t="s">
        <v>1365</v>
      </c>
    </row>
    <row r="160" spans="1:16" x14ac:dyDescent="0.25">
      <c r="A160" s="177"/>
      <c r="B160" s="177"/>
      <c r="C160" s="177"/>
      <c r="D160" s="177"/>
      <c r="E160" s="167" t="s">
        <v>434</v>
      </c>
      <c r="F160" s="167">
        <v>0</v>
      </c>
      <c r="G160" s="167">
        <v>0</v>
      </c>
      <c r="H160" s="167">
        <v>0</v>
      </c>
      <c r="I160" s="177"/>
      <c r="J160" s="177"/>
      <c r="K160" s="177"/>
      <c r="L160" s="177"/>
      <c r="M160" s="177"/>
      <c r="N160" s="177"/>
      <c r="O160" s="177"/>
      <c r="P160" s="177"/>
    </row>
    <row r="161" spans="1:16" x14ac:dyDescent="0.25">
      <c r="A161" s="177"/>
      <c r="B161" s="177"/>
      <c r="C161" s="177"/>
      <c r="D161" s="177"/>
      <c r="E161" s="167" t="s">
        <v>433</v>
      </c>
      <c r="F161" s="167">
        <v>0</v>
      </c>
      <c r="G161" s="167">
        <v>0</v>
      </c>
      <c r="H161" s="167">
        <v>0</v>
      </c>
      <c r="I161" s="177"/>
      <c r="J161" s="177"/>
      <c r="K161" s="177"/>
      <c r="L161" s="177"/>
      <c r="M161" s="177"/>
      <c r="N161" s="177"/>
      <c r="O161" s="177"/>
      <c r="P161" s="177"/>
    </row>
    <row r="162" spans="1:16" x14ac:dyDescent="0.25">
      <c r="A162" s="177"/>
      <c r="B162" s="177"/>
      <c r="C162" s="177"/>
      <c r="D162" s="177"/>
      <c r="E162" s="167" t="s">
        <v>434</v>
      </c>
      <c r="F162" s="167" t="s">
        <v>947</v>
      </c>
      <c r="G162" s="167" t="s">
        <v>954</v>
      </c>
      <c r="H162" s="167" t="s">
        <v>293</v>
      </c>
      <c r="I162" s="177"/>
      <c r="J162" s="177"/>
      <c r="K162" s="177"/>
      <c r="L162" s="177"/>
      <c r="M162" s="177"/>
      <c r="N162" s="177"/>
      <c r="O162" s="177"/>
      <c r="P162" s="177"/>
    </row>
    <row r="163" spans="1:16" x14ac:dyDescent="0.25">
      <c r="A163" s="177" t="s">
        <v>859</v>
      </c>
      <c r="B163" s="177" t="s">
        <v>1004</v>
      </c>
      <c r="C163" s="177">
        <v>40</v>
      </c>
      <c r="D163" s="177">
        <v>65</v>
      </c>
      <c r="E163" s="167" t="s">
        <v>433</v>
      </c>
      <c r="F163" s="167" t="s">
        <v>294</v>
      </c>
      <c r="G163" s="167" t="s">
        <v>293</v>
      </c>
      <c r="H163" s="167" t="s">
        <v>954</v>
      </c>
      <c r="I163" s="177" t="s">
        <v>285</v>
      </c>
      <c r="J163" s="177" t="s">
        <v>914</v>
      </c>
      <c r="K163" s="177" t="s">
        <v>914</v>
      </c>
      <c r="L163" s="177" t="s">
        <v>914</v>
      </c>
      <c r="M163" s="177">
        <v>830</v>
      </c>
      <c r="N163" s="177">
        <v>50</v>
      </c>
      <c r="O163" s="177"/>
      <c r="P163" s="178" t="s">
        <v>1365</v>
      </c>
    </row>
    <row r="164" spans="1:16" x14ac:dyDescent="0.25">
      <c r="A164" s="177"/>
      <c r="B164" s="177"/>
      <c r="C164" s="177"/>
      <c r="D164" s="177"/>
      <c r="E164" s="167" t="s">
        <v>434</v>
      </c>
      <c r="F164" s="167">
        <v>0</v>
      </c>
      <c r="G164" s="167">
        <v>0</v>
      </c>
      <c r="H164" s="167">
        <v>0</v>
      </c>
      <c r="I164" s="177"/>
      <c r="J164" s="177"/>
      <c r="K164" s="177"/>
      <c r="L164" s="177"/>
      <c r="M164" s="177"/>
      <c r="N164" s="177"/>
      <c r="O164" s="177"/>
      <c r="P164" s="177"/>
    </row>
    <row r="165" spans="1:16" x14ac:dyDescent="0.25">
      <c r="A165" s="177"/>
      <c r="B165" s="177"/>
      <c r="C165" s="177"/>
      <c r="D165" s="177"/>
      <c r="E165" s="167" t="s">
        <v>433</v>
      </c>
      <c r="F165" s="167">
        <v>0</v>
      </c>
      <c r="G165" s="167">
        <v>0</v>
      </c>
      <c r="H165" s="167">
        <v>0</v>
      </c>
      <c r="I165" s="177"/>
      <c r="J165" s="177"/>
      <c r="K165" s="177"/>
      <c r="L165" s="177"/>
      <c r="M165" s="177"/>
      <c r="N165" s="177"/>
      <c r="O165" s="177"/>
      <c r="P165" s="177"/>
    </row>
    <row r="166" spans="1:16" x14ac:dyDescent="0.25">
      <c r="A166" s="177"/>
      <c r="B166" s="177"/>
      <c r="C166" s="177"/>
      <c r="D166" s="177"/>
      <c r="E166" s="167" t="s">
        <v>434</v>
      </c>
      <c r="F166" s="167" t="s">
        <v>293</v>
      </c>
      <c r="G166" s="167" t="s">
        <v>947</v>
      </c>
      <c r="H166" s="167" t="s">
        <v>293</v>
      </c>
      <c r="I166" s="177"/>
      <c r="J166" s="177"/>
      <c r="K166" s="177"/>
      <c r="L166" s="177"/>
      <c r="M166" s="177"/>
      <c r="N166" s="177"/>
      <c r="O166" s="177"/>
      <c r="P166" s="177"/>
    </row>
    <row r="167" spans="1:16" x14ac:dyDescent="0.25">
      <c r="A167" s="177" t="s">
        <v>859</v>
      </c>
      <c r="B167" s="177" t="s">
        <v>1005</v>
      </c>
      <c r="C167" s="177">
        <v>40</v>
      </c>
      <c r="D167" s="177">
        <v>65</v>
      </c>
      <c r="E167" s="167" t="s">
        <v>433</v>
      </c>
      <c r="F167" s="167" t="s">
        <v>954</v>
      </c>
      <c r="G167" s="167" t="s">
        <v>293</v>
      </c>
      <c r="H167" s="167" t="s">
        <v>954</v>
      </c>
      <c r="I167" s="177" t="s">
        <v>285</v>
      </c>
      <c r="J167" s="177" t="s">
        <v>914</v>
      </c>
      <c r="K167" s="177" t="s">
        <v>914</v>
      </c>
      <c r="L167" s="177" t="s">
        <v>914</v>
      </c>
      <c r="M167" s="177">
        <v>830</v>
      </c>
      <c r="N167" s="177">
        <v>50</v>
      </c>
      <c r="O167" s="177"/>
      <c r="P167" s="178" t="s">
        <v>1365</v>
      </c>
    </row>
    <row r="168" spans="1:16" x14ac:dyDescent="0.25">
      <c r="A168" s="177"/>
      <c r="B168" s="177"/>
      <c r="C168" s="177"/>
      <c r="D168" s="177"/>
      <c r="E168" s="167" t="s">
        <v>434</v>
      </c>
      <c r="F168" s="167">
        <v>0</v>
      </c>
      <c r="G168" s="167">
        <v>0</v>
      </c>
      <c r="H168" s="167">
        <v>0</v>
      </c>
      <c r="I168" s="177"/>
      <c r="J168" s="177"/>
      <c r="K168" s="177"/>
      <c r="L168" s="177"/>
      <c r="M168" s="177"/>
      <c r="N168" s="177"/>
      <c r="O168" s="177"/>
      <c r="P168" s="177"/>
    </row>
    <row r="169" spans="1:16" x14ac:dyDescent="0.25">
      <c r="A169" s="177"/>
      <c r="B169" s="177"/>
      <c r="C169" s="177"/>
      <c r="D169" s="177"/>
      <c r="E169" s="167" t="s">
        <v>433</v>
      </c>
      <c r="F169" s="167">
        <v>0</v>
      </c>
      <c r="G169" s="167">
        <v>0</v>
      </c>
      <c r="H169" s="167">
        <v>0</v>
      </c>
      <c r="I169" s="177"/>
      <c r="J169" s="177"/>
      <c r="K169" s="177"/>
      <c r="L169" s="177"/>
      <c r="M169" s="177"/>
      <c r="N169" s="177"/>
      <c r="O169" s="177"/>
      <c r="P169" s="177"/>
    </row>
    <row r="170" spans="1:16" x14ac:dyDescent="0.25">
      <c r="A170" s="177"/>
      <c r="B170" s="177"/>
      <c r="C170" s="177"/>
      <c r="D170" s="177"/>
      <c r="E170" s="167" t="s">
        <v>434</v>
      </c>
      <c r="F170" s="167" t="s">
        <v>293</v>
      </c>
      <c r="G170" s="167" t="s">
        <v>954</v>
      </c>
      <c r="H170" s="167" t="s">
        <v>293</v>
      </c>
      <c r="I170" s="177"/>
      <c r="J170" s="177"/>
      <c r="K170" s="177"/>
      <c r="L170" s="177"/>
      <c r="M170" s="177"/>
      <c r="N170" s="177"/>
      <c r="O170" s="177"/>
      <c r="P170" s="177"/>
    </row>
    <row r="171" spans="1:16" x14ac:dyDescent="0.25">
      <c r="A171" s="177" t="s">
        <v>859</v>
      </c>
      <c r="B171" s="177" t="s">
        <v>1006</v>
      </c>
      <c r="C171" s="177">
        <v>40</v>
      </c>
      <c r="D171" s="177">
        <v>65</v>
      </c>
      <c r="E171" s="167" t="s">
        <v>433</v>
      </c>
      <c r="F171" s="167" t="s">
        <v>954</v>
      </c>
      <c r="G171" s="167" t="s">
        <v>293</v>
      </c>
      <c r="H171" s="167" t="s">
        <v>294</v>
      </c>
      <c r="I171" s="177" t="s">
        <v>285</v>
      </c>
      <c r="J171" s="177" t="s">
        <v>914</v>
      </c>
      <c r="K171" s="177" t="s">
        <v>914</v>
      </c>
      <c r="L171" s="177" t="s">
        <v>914</v>
      </c>
      <c r="M171" s="177">
        <v>830</v>
      </c>
      <c r="N171" s="177">
        <v>50</v>
      </c>
      <c r="O171" s="177"/>
      <c r="P171" s="178" t="s">
        <v>1365</v>
      </c>
    </row>
    <row r="172" spans="1:16" x14ac:dyDescent="0.25">
      <c r="A172" s="177"/>
      <c r="B172" s="177"/>
      <c r="C172" s="177"/>
      <c r="D172" s="177"/>
      <c r="E172" s="167" t="s">
        <v>434</v>
      </c>
      <c r="F172" s="167">
        <v>0</v>
      </c>
      <c r="G172" s="167">
        <v>0</v>
      </c>
      <c r="H172" s="167">
        <v>0</v>
      </c>
      <c r="I172" s="177"/>
      <c r="J172" s="177"/>
      <c r="K172" s="177"/>
      <c r="L172" s="177"/>
      <c r="M172" s="177"/>
      <c r="N172" s="177"/>
      <c r="O172" s="177"/>
      <c r="P172" s="177"/>
    </row>
    <row r="173" spans="1:16" x14ac:dyDescent="0.25">
      <c r="A173" s="177"/>
      <c r="B173" s="177"/>
      <c r="C173" s="177"/>
      <c r="D173" s="177"/>
      <c r="E173" s="167" t="s">
        <v>433</v>
      </c>
      <c r="F173" s="167">
        <v>0</v>
      </c>
      <c r="G173" s="167">
        <v>0</v>
      </c>
      <c r="H173" s="167">
        <v>0</v>
      </c>
      <c r="I173" s="177"/>
      <c r="J173" s="177"/>
      <c r="K173" s="177"/>
      <c r="L173" s="177"/>
      <c r="M173" s="177"/>
      <c r="N173" s="177"/>
      <c r="O173" s="177"/>
      <c r="P173" s="177"/>
    </row>
    <row r="174" spans="1:16" x14ac:dyDescent="0.25">
      <c r="A174" s="177"/>
      <c r="B174" s="177"/>
      <c r="C174" s="177"/>
      <c r="D174" s="177"/>
      <c r="E174" s="167" t="s">
        <v>434</v>
      </c>
      <c r="F174" s="167" t="s">
        <v>293</v>
      </c>
      <c r="G174" s="167" t="s">
        <v>947</v>
      </c>
      <c r="H174" s="167" t="s">
        <v>293</v>
      </c>
      <c r="I174" s="177"/>
      <c r="J174" s="177"/>
      <c r="K174" s="177"/>
      <c r="L174" s="177"/>
      <c r="M174" s="177"/>
      <c r="N174" s="177"/>
      <c r="O174" s="177"/>
      <c r="P174" s="177"/>
    </row>
    <row r="175" spans="1:16" x14ac:dyDescent="0.25">
      <c r="A175" s="177" t="s">
        <v>859</v>
      </c>
      <c r="B175" s="177" t="s">
        <v>1007</v>
      </c>
      <c r="C175" s="177">
        <v>40</v>
      </c>
      <c r="D175" s="177">
        <v>65</v>
      </c>
      <c r="E175" s="167" t="s">
        <v>433</v>
      </c>
      <c r="F175" s="167" t="s">
        <v>294</v>
      </c>
      <c r="G175" s="167" t="s">
        <v>293</v>
      </c>
      <c r="H175" s="167" t="s">
        <v>947</v>
      </c>
      <c r="I175" s="177" t="s">
        <v>285</v>
      </c>
      <c r="J175" s="177" t="s">
        <v>914</v>
      </c>
      <c r="K175" s="177" t="s">
        <v>914</v>
      </c>
      <c r="L175" s="177" t="s">
        <v>914</v>
      </c>
      <c r="M175" s="177">
        <v>830</v>
      </c>
      <c r="N175" s="177">
        <v>50</v>
      </c>
      <c r="O175" s="177"/>
      <c r="P175" s="178" t="s">
        <v>1365</v>
      </c>
    </row>
    <row r="176" spans="1:16" x14ac:dyDescent="0.25">
      <c r="A176" s="177"/>
      <c r="B176" s="177"/>
      <c r="C176" s="177"/>
      <c r="D176" s="177"/>
      <c r="E176" s="167" t="s">
        <v>434</v>
      </c>
      <c r="F176" s="167">
        <v>0</v>
      </c>
      <c r="G176" s="167">
        <v>0</v>
      </c>
      <c r="H176" s="167">
        <v>0</v>
      </c>
      <c r="I176" s="177"/>
      <c r="J176" s="177"/>
      <c r="K176" s="177"/>
      <c r="L176" s="177"/>
      <c r="M176" s="177"/>
      <c r="N176" s="177"/>
      <c r="O176" s="177"/>
      <c r="P176" s="177"/>
    </row>
    <row r="177" spans="1:16" x14ac:dyDescent="0.25">
      <c r="A177" s="177"/>
      <c r="B177" s="177"/>
      <c r="C177" s="177"/>
      <c r="D177" s="177"/>
      <c r="E177" s="167" t="s">
        <v>433</v>
      </c>
      <c r="F177" s="167">
        <v>0</v>
      </c>
      <c r="G177" s="167">
        <v>0</v>
      </c>
      <c r="H177" s="167">
        <v>0</v>
      </c>
      <c r="I177" s="177"/>
      <c r="J177" s="177"/>
      <c r="K177" s="177"/>
      <c r="L177" s="177"/>
      <c r="M177" s="177"/>
      <c r="N177" s="177"/>
      <c r="O177" s="177"/>
      <c r="P177" s="177"/>
    </row>
    <row r="178" spans="1:16" x14ac:dyDescent="0.25">
      <c r="A178" s="177"/>
      <c r="B178" s="177"/>
      <c r="C178" s="177"/>
      <c r="D178" s="177"/>
      <c r="E178" s="167" t="s">
        <v>434</v>
      </c>
      <c r="F178" s="167" t="s">
        <v>293</v>
      </c>
      <c r="G178" s="167" t="s">
        <v>947</v>
      </c>
      <c r="H178" s="167" t="s">
        <v>293</v>
      </c>
      <c r="I178" s="177"/>
      <c r="J178" s="177"/>
      <c r="K178" s="177"/>
      <c r="L178" s="177"/>
      <c r="M178" s="177"/>
      <c r="N178" s="177"/>
      <c r="O178" s="177"/>
      <c r="P178" s="177"/>
    </row>
    <row r="179" spans="1:16" x14ac:dyDescent="0.25">
      <c r="A179" s="177" t="s">
        <v>859</v>
      </c>
      <c r="B179" s="177" t="s">
        <v>1008</v>
      </c>
      <c r="C179" s="177">
        <v>40</v>
      </c>
      <c r="D179" s="177">
        <v>65</v>
      </c>
      <c r="E179" s="167" t="s">
        <v>433</v>
      </c>
      <c r="F179" s="167" t="s">
        <v>947</v>
      </c>
      <c r="G179" s="167" t="s">
        <v>293</v>
      </c>
      <c r="H179" s="167" t="s">
        <v>944</v>
      </c>
      <c r="I179" s="177" t="s">
        <v>285</v>
      </c>
      <c r="J179" s="177" t="s">
        <v>914</v>
      </c>
      <c r="K179" s="177" t="s">
        <v>914</v>
      </c>
      <c r="L179" s="177" t="s">
        <v>914</v>
      </c>
      <c r="M179" s="177">
        <v>575</v>
      </c>
      <c r="N179" s="177">
        <v>50</v>
      </c>
      <c r="O179" s="177"/>
      <c r="P179" s="179" t="s">
        <v>1367</v>
      </c>
    </row>
    <row r="180" spans="1:16" x14ac:dyDescent="0.25">
      <c r="A180" s="177"/>
      <c r="B180" s="177"/>
      <c r="C180" s="177"/>
      <c r="D180" s="177"/>
      <c r="E180" s="167" t="s">
        <v>434</v>
      </c>
      <c r="F180" s="167">
        <v>0</v>
      </c>
      <c r="G180" s="167">
        <v>0</v>
      </c>
      <c r="H180" s="167">
        <v>0</v>
      </c>
      <c r="I180" s="177"/>
      <c r="J180" s="177"/>
      <c r="K180" s="177"/>
      <c r="L180" s="177"/>
      <c r="M180" s="177"/>
      <c r="N180" s="177"/>
      <c r="O180" s="177"/>
      <c r="P180" s="177"/>
    </row>
    <row r="181" spans="1:16" x14ac:dyDescent="0.25">
      <c r="A181" s="177"/>
      <c r="B181" s="177"/>
      <c r="C181" s="177"/>
      <c r="D181" s="177"/>
      <c r="E181" s="167" t="s">
        <v>433</v>
      </c>
      <c r="F181" s="167">
        <v>0</v>
      </c>
      <c r="G181" s="167">
        <v>0</v>
      </c>
      <c r="H181" s="167">
        <v>0</v>
      </c>
      <c r="I181" s="177"/>
      <c r="J181" s="177"/>
      <c r="K181" s="177"/>
      <c r="L181" s="177"/>
      <c r="M181" s="177"/>
      <c r="N181" s="177"/>
      <c r="O181" s="177"/>
      <c r="P181" s="177"/>
    </row>
    <row r="182" spans="1:16" x14ac:dyDescent="0.25">
      <c r="A182" s="177"/>
      <c r="B182" s="177"/>
      <c r="C182" s="177"/>
      <c r="D182" s="177"/>
      <c r="E182" s="167" t="s">
        <v>434</v>
      </c>
      <c r="F182" s="167" t="s">
        <v>293</v>
      </c>
      <c r="G182" s="167" t="s">
        <v>293</v>
      </c>
      <c r="H182" s="167" t="s">
        <v>293</v>
      </c>
      <c r="I182" s="177"/>
      <c r="J182" s="177"/>
      <c r="K182" s="177"/>
      <c r="L182" s="177"/>
      <c r="M182" s="177"/>
      <c r="N182" s="177"/>
      <c r="O182" s="177"/>
      <c r="P182" s="177"/>
    </row>
    <row r="183" spans="1:16" x14ac:dyDescent="0.25">
      <c r="A183" s="177" t="s">
        <v>859</v>
      </c>
      <c r="B183" s="177" t="s">
        <v>998</v>
      </c>
      <c r="C183" s="177">
        <v>40</v>
      </c>
      <c r="D183" s="177">
        <v>65</v>
      </c>
      <c r="E183" s="167" t="s">
        <v>433</v>
      </c>
      <c r="F183" s="167" t="s">
        <v>944</v>
      </c>
      <c r="G183" s="167" t="s">
        <v>293</v>
      </c>
      <c r="H183" s="167" t="s">
        <v>954</v>
      </c>
      <c r="I183" s="177" t="s">
        <v>285</v>
      </c>
      <c r="J183" s="177" t="s">
        <v>914</v>
      </c>
      <c r="K183" s="177" t="s">
        <v>914</v>
      </c>
      <c r="L183" s="177" t="s">
        <v>914</v>
      </c>
      <c r="M183" s="177">
        <v>830</v>
      </c>
      <c r="N183" s="177">
        <v>50</v>
      </c>
      <c r="O183" s="177"/>
      <c r="P183" s="179" t="s">
        <v>1364</v>
      </c>
    </row>
    <row r="184" spans="1:16" x14ac:dyDescent="0.25">
      <c r="A184" s="177"/>
      <c r="B184" s="177"/>
      <c r="C184" s="177"/>
      <c r="D184" s="177"/>
      <c r="E184" s="167" t="s">
        <v>434</v>
      </c>
      <c r="F184" s="167">
        <v>0</v>
      </c>
      <c r="G184" s="167">
        <v>0</v>
      </c>
      <c r="H184" s="167">
        <v>0</v>
      </c>
      <c r="I184" s="177"/>
      <c r="J184" s="177"/>
      <c r="K184" s="177"/>
      <c r="L184" s="177"/>
      <c r="M184" s="177"/>
      <c r="N184" s="177"/>
      <c r="O184" s="177"/>
      <c r="P184" s="177"/>
    </row>
    <row r="185" spans="1:16" x14ac:dyDescent="0.25">
      <c r="A185" s="177"/>
      <c r="B185" s="177"/>
      <c r="C185" s="177"/>
      <c r="D185" s="177"/>
      <c r="E185" s="167" t="s">
        <v>433</v>
      </c>
      <c r="F185" s="167">
        <v>0</v>
      </c>
      <c r="G185" s="167">
        <v>0</v>
      </c>
      <c r="H185" s="167">
        <v>0</v>
      </c>
      <c r="I185" s="177"/>
      <c r="J185" s="177"/>
      <c r="K185" s="177"/>
      <c r="L185" s="177"/>
      <c r="M185" s="177"/>
      <c r="N185" s="177"/>
      <c r="O185" s="177"/>
      <c r="P185" s="177"/>
    </row>
    <row r="186" spans="1:16" x14ac:dyDescent="0.25">
      <c r="A186" s="177"/>
      <c r="B186" s="177"/>
      <c r="C186" s="177"/>
      <c r="D186" s="177"/>
      <c r="E186" s="167" t="s">
        <v>434</v>
      </c>
      <c r="F186" s="167" t="s">
        <v>954</v>
      </c>
      <c r="G186" s="167" t="s">
        <v>294</v>
      </c>
      <c r="H186" s="167" t="s">
        <v>947</v>
      </c>
      <c r="I186" s="177"/>
      <c r="J186" s="177"/>
      <c r="K186" s="177"/>
      <c r="L186" s="177"/>
      <c r="M186" s="177"/>
      <c r="N186" s="177"/>
      <c r="O186" s="177"/>
      <c r="P186" s="177"/>
    </row>
    <row r="187" spans="1:16" x14ac:dyDescent="0.25">
      <c r="A187" s="177" t="s">
        <v>859</v>
      </c>
      <c r="B187" s="177" t="s">
        <v>958</v>
      </c>
      <c r="C187" s="177">
        <v>40</v>
      </c>
      <c r="D187" s="177">
        <v>65</v>
      </c>
      <c r="E187" s="167" t="s">
        <v>433</v>
      </c>
      <c r="F187" s="167" t="s">
        <v>967</v>
      </c>
      <c r="G187" s="167" t="s">
        <v>293</v>
      </c>
      <c r="H187" s="167" t="s">
        <v>294</v>
      </c>
      <c r="I187" s="177" t="s">
        <v>285</v>
      </c>
      <c r="J187" s="177" t="s">
        <v>914</v>
      </c>
      <c r="K187" s="177" t="s">
        <v>914</v>
      </c>
      <c r="L187" s="177" t="s">
        <v>914</v>
      </c>
      <c r="M187" s="177">
        <v>830</v>
      </c>
      <c r="N187" s="177">
        <v>50</v>
      </c>
      <c r="O187" s="177"/>
      <c r="P187" s="178" t="s">
        <v>1365</v>
      </c>
    </row>
    <row r="188" spans="1:16" x14ac:dyDescent="0.25">
      <c r="A188" s="177"/>
      <c r="B188" s="177"/>
      <c r="C188" s="177"/>
      <c r="D188" s="177"/>
      <c r="E188" s="167" t="s">
        <v>434</v>
      </c>
      <c r="F188" s="167" t="s">
        <v>293</v>
      </c>
      <c r="G188" s="167">
        <v>0</v>
      </c>
      <c r="H188" s="167">
        <v>0</v>
      </c>
      <c r="I188" s="177"/>
      <c r="J188" s="177"/>
      <c r="K188" s="177"/>
      <c r="L188" s="177"/>
      <c r="M188" s="177"/>
      <c r="N188" s="177"/>
      <c r="O188" s="177"/>
      <c r="P188" s="177"/>
    </row>
    <row r="189" spans="1:16" x14ac:dyDescent="0.25">
      <c r="A189" s="177"/>
      <c r="B189" s="177"/>
      <c r="C189" s="177"/>
      <c r="D189" s="177"/>
      <c r="E189" s="167" t="s">
        <v>433</v>
      </c>
      <c r="F189" s="167">
        <v>0</v>
      </c>
      <c r="G189" s="167">
        <v>0</v>
      </c>
      <c r="H189" s="167">
        <v>0</v>
      </c>
      <c r="I189" s="177"/>
      <c r="J189" s="177"/>
      <c r="K189" s="177"/>
      <c r="L189" s="177"/>
      <c r="M189" s="177"/>
      <c r="N189" s="177"/>
      <c r="O189" s="177"/>
      <c r="P189" s="177"/>
    </row>
    <row r="190" spans="1:16" x14ac:dyDescent="0.25">
      <c r="A190" s="177"/>
      <c r="B190" s="177"/>
      <c r="C190" s="177"/>
      <c r="D190" s="177"/>
      <c r="E190" s="167" t="s">
        <v>434</v>
      </c>
      <c r="F190" s="167" t="s">
        <v>293</v>
      </c>
      <c r="G190" s="167" t="s">
        <v>947</v>
      </c>
      <c r="H190" s="167" t="s">
        <v>293</v>
      </c>
      <c r="I190" s="177"/>
      <c r="J190" s="177"/>
      <c r="K190" s="177"/>
      <c r="L190" s="177"/>
      <c r="M190" s="177"/>
      <c r="N190" s="177"/>
      <c r="O190" s="177"/>
      <c r="P190" s="177"/>
    </row>
    <row r="191" spans="1:16" x14ac:dyDescent="0.25">
      <c r="A191" s="177" t="s">
        <v>859</v>
      </c>
      <c r="B191" s="177" t="s">
        <v>958</v>
      </c>
      <c r="C191" s="177">
        <v>40</v>
      </c>
      <c r="D191" s="177">
        <v>65</v>
      </c>
      <c r="E191" s="167" t="s">
        <v>433</v>
      </c>
      <c r="F191" s="167" t="s">
        <v>967</v>
      </c>
      <c r="G191" s="167" t="s">
        <v>293</v>
      </c>
      <c r="H191" s="167" t="s">
        <v>294</v>
      </c>
      <c r="I191" s="177" t="s">
        <v>285</v>
      </c>
      <c r="J191" s="177" t="s">
        <v>914</v>
      </c>
      <c r="K191" s="177" t="s">
        <v>914</v>
      </c>
      <c r="L191" s="177" t="s">
        <v>914</v>
      </c>
      <c r="M191" s="177">
        <v>830</v>
      </c>
      <c r="N191" s="177">
        <v>50</v>
      </c>
      <c r="O191" s="177"/>
      <c r="P191" s="178" t="s">
        <v>1365</v>
      </c>
    </row>
    <row r="192" spans="1:16" x14ac:dyDescent="0.25">
      <c r="A192" s="177"/>
      <c r="B192" s="177"/>
      <c r="C192" s="177"/>
      <c r="D192" s="177"/>
      <c r="E192" s="167" t="s">
        <v>434</v>
      </c>
      <c r="F192" s="167" t="s">
        <v>293</v>
      </c>
      <c r="G192" s="167">
        <v>0</v>
      </c>
      <c r="H192" s="167">
        <v>0</v>
      </c>
      <c r="I192" s="177"/>
      <c r="J192" s="177"/>
      <c r="K192" s="177"/>
      <c r="L192" s="177"/>
      <c r="M192" s="177"/>
      <c r="N192" s="177"/>
      <c r="O192" s="177"/>
      <c r="P192" s="177"/>
    </row>
    <row r="193" spans="1:16" x14ac:dyDescent="0.25">
      <c r="A193" s="177"/>
      <c r="B193" s="177"/>
      <c r="C193" s="177"/>
      <c r="D193" s="177"/>
      <c r="E193" s="167" t="s">
        <v>433</v>
      </c>
      <c r="F193" s="167">
        <v>0</v>
      </c>
      <c r="G193" s="167">
        <v>0</v>
      </c>
      <c r="H193" s="167">
        <v>0</v>
      </c>
      <c r="I193" s="177"/>
      <c r="J193" s="177"/>
      <c r="K193" s="177"/>
      <c r="L193" s="177"/>
      <c r="M193" s="177"/>
      <c r="N193" s="177"/>
      <c r="O193" s="177"/>
      <c r="P193" s="177"/>
    </row>
    <row r="194" spans="1:16" x14ac:dyDescent="0.25">
      <c r="A194" s="177"/>
      <c r="B194" s="177"/>
      <c r="C194" s="177"/>
      <c r="D194" s="177"/>
      <c r="E194" s="167" t="s">
        <v>434</v>
      </c>
      <c r="F194" s="167" t="s">
        <v>293</v>
      </c>
      <c r="G194" s="167" t="s">
        <v>947</v>
      </c>
      <c r="H194" s="167" t="s">
        <v>293</v>
      </c>
      <c r="I194" s="177"/>
      <c r="J194" s="177"/>
      <c r="K194" s="177"/>
      <c r="L194" s="177"/>
      <c r="M194" s="177"/>
      <c r="N194" s="177"/>
      <c r="O194" s="177"/>
      <c r="P194" s="177"/>
    </row>
    <row r="195" spans="1:16" x14ac:dyDescent="0.25">
      <c r="A195" s="177" t="s">
        <v>859</v>
      </c>
      <c r="B195" s="177" t="s">
        <v>958</v>
      </c>
      <c r="C195" s="177">
        <v>40</v>
      </c>
      <c r="D195" s="177">
        <v>65</v>
      </c>
      <c r="E195" s="167" t="s">
        <v>433</v>
      </c>
      <c r="F195" s="167" t="s">
        <v>967</v>
      </c>
      <c r="G195" s="167" t="s">
        <v>293</v>
      </c>
      <c r="H195" s="167" t="s">
        <v>294</v>
      </c>
      <c r="I195" s="177" t="s">
        <v>285</v>
      </c>
      <c r="J195" s="177" t="s">
        <v>914</v>
      </c>
      <c r="K195" s="177" t="s">
        <v>914</v>
      </c>
      <c r="L195" s="177" t="s">
        <v>914</v>
      </c>
      <c r="M195" s="177">
        <v>830</v>
      </c>
      <c r="N195" s="177">
        <v>50</v>
      </c>
      <c r="O195" s="177"/>
      <c r="P195" s="178" t="s">
        <v>1365</v>
      </c>
    </row>
    <row r="196" spans="1:16" x14ac:dyDescent="0.25">
      <c r="A196" s="177"/>
      <c r="B196" s="177"/>
      <c r="C196" s="177"/>
      <c r="D196" s="177"/>
      <c r="E196" s="167" t="s">
        <v>434</v>
      </c>
      <c r="F196" s="167" t="s">
        <v>293</v>
      </c>
      <c r="G196" s="167">
        <v>0</v>
      </c>
      <c r="H196" s="167">
        <v>0</v>
      </c>
      <c r="I196" s="177"/>
      <c r="J196" s="177"/>
      <c r="K196" s="177"/>
      <c r="L196" s="177"/>
      <c r="M196" s="177"/>
      <c r="N196" s="177"/>
      <c r="O196" s="177"/>
      <c r="P196" s="177"/>
    </row>
    <row r="197" spans="1:16" x14ac:dyDescent="0.25">
      <c r="A197" s="177"/>
      <c r="B197" s="177"/>
      <c r="C197" s="177"/>
      <c r="D197" s="177"/>
      <c r="E197" s="167" t="s">
        <v>433</v>
      </c>
      <c r="F197" s="167">
        <v>0</v>
      </c>
      <c r="G197" s="167">
        <v>0</v>
      </c>
      <c r="H197" s="167">
        <v>0</v>
      </c>
      <c r="I197" s="177"/>
      <c r="J197" s="177"/>
      <c r="K197" s="177"/>
      <c r="L197" s="177"/>
      <c r="M197" s="177"/>
      <c r="N197" s="177"/>
      <c r="O197" s="177"/>
      <c r="P197" s="177"/>
    </row>
    <row r="198" spans="1:16" x14ac:dyDescent="0.25">
      <c r="A198" s="177"/>
      <c r="B198" s="177"/>
      <c r="C198" s="177"/>
      <c r="D198" s="177"/>
      <c r="E198" s="167" t="s">
        <v>434</v>
      </c>
      <c r="F198" s="167" t="s">
        <v>293</v>
      </c>
      <c r="G198" s="167" t="s">
        <v>947</v>
      </c>
      <c r="H198" s="167" t="s">
        <v>293</v>
      </c>
      <c r="I198" s="177"/>
      <c r="J198" s="177"/>
      <c r="K198" s="177"/>
      <c r="L198" s="177"/>
      <c r="M198" s="177"/>
      <c r="N198" s="177"/>
      <c r="O198" s="177"/>
      <c r="P198" s="177"/>
    </row>
    <row r="199" spans="1:16" x14ac:dyDescent="0.25">
      <c r="A199" s="177" t="s">
        <v>859</v>
      </c>
      <c r="B199" s="177" t="s">
        <v>957</v>
      </c>
      <c r="C199" s="177">
        <v>40</v>
      </c>
      <c r="D199" s="177">
        <v>65</v>
      </c>
      <c r="E199" s="167" t="s">
        <v>433</v>
      </c>
      <c r="F199" s="167" t="s">
        <v>294</v>
      </c>
      <c r="G199" s="167" t="s">
        <v>293</v>
      </c>
      <c r="H199" s="167" t="s">
        <v>967</v>
      </c>
      <c r="I199" s="177" t="s">
        <v>285</v>
      </c>
      <c r="J199" s="177" t="s">
        <v>914</v>
      </c>
      <c r="K199" s="177" t="s">
        <v>914</v>
      </c>
      <c r="L199" s="177" t="s">
        <v>914</v>
      </c>
      <c r="M199" s="177">
        <v>1070</v>
      </c>
      <c r="N199" s="177">
        <v>50</v>
      </c>
      <c r="O199" s="177"/>
      <c r="P199" s="178" t="s">
        <v>1365</v>
      </c>
    </row>
    <row r="200" spans="1:16" x14ac:dyDescent="0.25">
      <c r="A200" s="177"/>
      <c r="B200" s="177"/>
      <c r="C200" s="177"/>
      <c r="D200" s="177"/>
      <c r="E200" s="167" t="s">
        <v>434</v>
      </c>
      <c r="F200" s="167">
        <v>0</v>
      </c>
      <c r="G200" s="167">
        <v>0</v>
      </c>
      <c r="H200" s="167" t="s">
        <v>944</v>
      </c>
      <c r="I200" s="177"/>
      <c r="J200" s="177"/>
      <c r="K200" s="177"/>
      <c r="L200" s="177"/>
      <c r="M200" s="177"/>
      <c r="N200" s="177"/>
      <c r="O200" s="177"/>
      <c r="P200" s="177"/>
    </row>
    <row r="201" spans="1:16" x14ac:dyDescent="0.25">
      <c r="A201" s="177"/>
      <c r="B201" s="177"/>
      <c r="C201" s="177"/>
      <c r="D201" s="177"/>
      <c r="E201" s="167" t="s">
        <v>433</v>
      </c>
      <c r="F201" s="167">
        <v>0</v>
      </c>
      <c r="G201" s="167">
        <v>0</v>
      </c>
      <c r="H201" s="167">
        <v>0</v>
      </c>
      <c r="I201" s="177"/>
      <c r="J201" s="177"/>
      <c r="K201" s="177"/>
      <c r="L201" s="177"/>
      <c r="M201" s="177"/>
      <c r="N201" s="177"/>
      <c r="O201" s="177"/>
      <c r="P201" s="177"/>
    </row>
    <row r="202" spans="1:16" x14ac:dyDescent="0.25">
      <c r="A202" s="177"/>
      <c r="B202" s="177"/>
      <c r="C202" s="177"/>
      <c r="D202" s="177"/>
      <c r="E202" s="167" t="s">
        <v>434</v>
      </c>
      <c r="F202" s="167" t="s">
        <v>954</v>
      </c>
      <c r="G202" s="167" t="s">
        <v>294</v>
      </c>
      <c r="H202" s="167" t="s">
        <v>954</v>
      </c>
      <c r="I202" s="177"/>
      <c r="J202" s="177"/>
      <c r="K202" s="177"/>
      <c r="L202" s="177"/>
      <c r="M202" s="177"/>
      <c r="N202" s="177"/>
      <c r="O202" s="177"/>
      <c r="P202" s="177"/>
    </row>
    <row r="203" spans="1:16" x14ac:dyDescent="0.25">
      <c r="A203" s="177" t="s">
        <v>859</v>
      </c>
      <c r="B203" s="177" t="s">
        <v>957</v>
      </c>
      <c r="C203" s="177">
        <v>40</v>
      </c>
      <c r="D203" s="177">
        <v>65</v>
      </c>
      <c r="E203" s="167" t="s">
        <v>433</v>
      </c>
      <c r="F203" s="167" t="s">
        <v>294</v>
      </c>
      <c r="G203" s="167" t="s">
        <v>293</v>
      </c>
      <c r="H203" s="167" t="s">
        <v>967</v>
      </c>
      <c r="I203" s="177" t="s">
        <v>285</v>
      </c>
      <c r="J203" s="177" t="s">
        <v>914</v>
      </c>
      <c r="K203" s="177" t="s">
        <v>914</v>
      </c>
      <c r="L203" s="177" t="s">
        <v>914</v>
      </c>
      <c r="M203" s="177">
        <v>1070</v>
      </c>
      <c r="N203" s="177">
        <v>50</v>
      </c>
      <c r="O203" s="177"/>
      <c r="P203" s="178" t="s">
        <v>1365</v>
      </c>
    </row>
    <row r="204" spans="1:16" x14ac:dyDescent="0.25">
      <c r="A204" s="177"/>
      <c r="B204" s="177"/>
      <c r="C204" s="177"/>
      <c r="D204" s="177"/>
      <c r="E204" s="167" t="s">
        <v>434</v>
      </c>
      <c r="F204" s="167">
        <v>0</v>
      </c>
      <c r="G204" s="167">
        <v>0</v>
      </c>
      <c r="H204" s="167" t="s">
        <v>944</v>
      </c>
      <c r="I204" s="177"/>
      <c r="J204" s="177"/>
      <c r="K204" s="177"/>
      <c r="L204" s="177"/>
      <c r="M204" s="177"/>
      <c r="N204" s="177"/>
      <c r="O204" s="177"/>
      <c r="P204" s="177"/>
    </row>
    <row r="205" spans="1:16" x14ac:dyDescent="0.25">
      <c r="A205" s="177"/>
      <c r="B205" s="177"/>
      <c r="C205" s="177"/>
      <c r="D205" s="177"/>
      <c r="E205" s="167" t="s">
        <v>433</v>
      </c>
      <c r="F205" s="167">
        <v>0</v>
      </c>
      <c r="G205" s="167">
        <v>0</v>
      </c>
      <c r="H205" s="167">
        <v>0</v>
      </c>
      <c r="I205" s="177"/>
      <c r="J205" s="177"/>
      <c r="K205" s="177"/>
      <c r="L205" s="177"/>
      <c r="M205" s="177"/>
      <c r="N205" s="177"/>
      <c r="O205" s="177"/>
      <c r="P205" s="177"/>
    </row>
    <row r="206" spans="1:16" x14ac:dyDescent="0.25">
      <c r="A206" s="177"/>
      <c r="B206" s="177"/>
      <c r="C206" s="177"/>
      <c r="D206" s="177"/>
      <c r="E206" s="167" t="s">
        <v>434</v>
      </c>
      <c r="F206" s="167" t="s">
        <v>954</v>
      </c>
      <c r="G206" s="167" t="s">
        <v>294</v>
      </c>
      <c r="H206" s="167" t="s">
        <v>954</v>
      </c>
      <c r="I206" s="177"/>
      <c r="J206" s="177"/>
      <c r="K206" s="177"/>
      <c r="L206" s="177"/>
      <c r="M206" s="177"/>
      <c r="N206" s="177"/>
      <c r="O206" s="177"/>
      <c r="P206" s="177"/>
    </row>
    <row r="207" spans="1:16" x14ac:dyDescent="0.25">
      <c r="A207" s="177" t="s">
        <v>859</v>
      </c>
      <c r="B207" s="177" t="s">
        <v>957</v>
      </c>
      <c r="C207" s="177">
        <v>40</v>
      </c>
      <c r="D207" s="177">
        <v>65</v>
      </c>
      <c r="E207" s="167" t="s">
        <v>433</v>
      </c>
      <c r="F207" s="167" t="s">
        <v>294</v>
      </c>
      <c r="G207" s="167" t="s">
        <v>293</v>
      </c>
      <c r="H207" s="167" t="s">
        <v>967</v>
      </c>
      <c r="I207" s="177" t="s">
        <v>285</v>
      </c>
      <c r="J207" s="177" t="s">
        <v>914</v>
      </c>
      <c r="K207" s="177" t="s">
        <v>914</v>
      </c>
      <c r="L207" s="177" t="s">
        <v>914</v>
      </c>
      <c r="M207" s="177">
        <v>1070</v>
      </c>
      <c r="N207" s="177">
        <v>50</v>
      </c>
      <c r="O207" s="177"/>
      <c r="P207" s="178" t="s">
        <v>1365</v>
      </c>
    </row>
    <row r="208" spans="1:16" x14ac:dyDescent="0.25">
      <c r="A208" s="177"/>
      <c r="B208" s="177"/>
      <c r="C208" s="177"/>
      <c r="D208" s="177"/>
      <c r="E208" s="167" t="s">
        <v>434</v>
      </c>
      <c r="F208" s="167">
        <v>0</v>
      </c>
      <c r="G208" s="167">
        <v>0</v>
      </c>
      <c r="H208" s="167" t="s">
        <v>944</v>
      </c>
      <c r="I208" s="177"/>
      <c r="J208" s="177"/>
      <c r="K208" s="177"/>
      <c r="L208" s="177"/>
      <c r="M208" s="177"/>
      <c r="N208" s="177"/>
      <c r="O208" s="177"/>
      <c r="P208" s="177"/>
    </row>
    <row r="209" spans="1:16" x14ac:dyDescent="0.25">
      <c r="A209" s="177"/>
      <c r="B209" s="177"/>
      <c r="C209" s="177"/>
      <c r="D209" s="177"/>
      <c r="E209" s="167" t="s">
        <v>433</v>
      </c>
      <c r="F209" s="167">
        <v>0</v>
      </c>
      <c r="G209" s="167">
        <v>0</v>
      </c>
      <c r="H209" s="167">
        <v>0</v>
      </c>
      <c r="I209" s="177"/>
      <c r="J209" s="177"/>
      <c r="K209" s="177"/>
      <c r="L209" s="177"/>
      <c r="M209" s="177"/>
      <c r="N209" s="177"/>
      <c r="O209" s="177"/>
      <c r="P209" s="177"/>
    </row>
    <row r="210" spans="1:16" x14ac:dyDescent="0.25">
      <c r="A210" s="177"/>
      <c r="B210" s="177"/>
      <c r="C210" s="177"/>
      <c r="D210" s="177"/>
      <c r="E210" s="167" t="s">
        <v>434</v>
      </c>
      <c r="F210" s="167" t="s">
        <v>954</v>
      </c>
      <c r="G210" s="167" t="s">
        <v>294</v>
      </c>
      <c r="H210" s="167" t="s">
        <v>954</v>
      </c>
      <c r="I210" s="177"/>
      <c r="J210" s="177"/>
      <c r="K210" s="177"/>
      <c r="L210" s="177"/>
      <c r="M210" s="177"/>
      <c r="N210" s="177"/>
      <c r="O210" s="177"/>
      <c r="P210" s="177"/>
    </row>
    <row r="211" spans="1:16" x14ac:dyDescent="0.25">
      <c r="A211" s="177" t="s">
        <v>859</v>
      </c>
      <c r="B211" s="177" t="s">
        <v>956</v>
      </c>
      <c r="C211" s="177">
        <v>40</v>
      </c>
      <c r="D211" s="177">
        <v>65</v>
      </c>
      <c r="E211" s="167" t="s">
        <v>433</v>
      </c>
      <c r="F211" s="167" t="s">
        <v>967</v>
      </c>
      <c r="G211" s="167" t="s">
        <v>293</v>
      </c>
      <c r="H211" s="167" t="s">
        <v>294</v>
      </c>
      <c r="I211" s="177" t="s">
        <v>285</v>
      </c>
      <c r="J211" s="177" t="s">
        <v>914</v>
      </c>
      <c r="K211" s="177" t="s">
        <v>914</v>
      </c>
      <c r="L211" s="177" t="s">
        <v>914</v>
      </c>
      <c r="M211" s="177">
        <v>1100</v>
      </c>
      <c r="N211" s="177">
        <v>50</v>
      </c>
      <c r="O211" s="177"/>
      <c r="P211" s="178" t="s">
        <v>1365</v>
      </c>
    </row>
    <row r="212" spans="1:16" x14ac:dyDescent="0.25">
      <c r="A212" s="177"/>
      <c r="B212" s="177"/>
      <c r="C212" s="177"/>
      <c r="D212" s="177"/>
      <c r="E212" s="167" t="s">
        <v>434</v>
      </c>
      <c r="F212" s="167" t="s">
        <v>944</v>
      </c>
      <c r="G212" s="167">
        <v>0</v>
      </c>
      <c r="H212" s="167" t="s">
        <v>944</v>
      </c>
      <c r="I212" s="177"/>
      <c r="J212" s="177"/>
      <c r="K212" s="177"/>
      <c r="L212" s="177"/>
      <c r="M212" s="177"/>
      <c r="N212" s="177"/>
      <c r="O212" s="177"/>
      <c r="P212" s="177"/>
    </row>
    <row r="213" spans="1:16" x14ac:dyDescent="0.25">
      <c r="A213" s="177"/>
      <c r="B213" s="177"/>
      <c r="C213" s="177"/>
      <c r="D213" s="177"/>
      <c r="E213" s="167" t="s">
        <v>433</v>
      </c>
      <c r="F213" s="167">
        <v>0</v>
      </c>
      <c r="G213" s="167">
        <v>0</v>
      </c>
      <c r="H213" s="167">
        <v>0</v>
      </c>
      <c r="I213" s="177"/>
      <c r="J213" s="177"/>
      <c r="K213" s="177"/>
      <c r="L213" s="177"/>
      <c r="M213" s="177"/>
      <c r="N213" s="177"/>
      <c r="O213" s="177"/>
      <c r="P213" s="177"/>
    </row>
    <row r="214" spans="1:16" x14ac:dyDescent="0.25">
      <c r="A214" s="177"/>
      <c r="B214" s="177"/>
      <c r="C214" s="177"/>
      <c r="D214" s="177"/>
      <c r="E214" s="167" t="s">
        <v>434</v>
      </c>
      <c r="F214" s="167" t="s">
        <v>954</v>
      </c>
      <c r="G214" s="167" t="s">
        <v>294</v>
      </c>
      <c r="H214" s="167" t="s">
        <v>954</v>
      </c>
      <c r="I214" s="177"/>
      <c r="J214" s="177"/>
      <c r="K214" s="177"/>
      <c r="L214" s="177"/>
      <c r="M214" s="177"/>
      <c r="N214" s="177"/>
      <c r="O214" s="177"/>
      <c r="P214" s="177"/>
    </row>
    <row r="215" spans="1:16" x14ac:dyDescent="0.25">
      <c r="A215" s="177" t="s">
        <v>859</v>
      </c>
      <c r="B215" s="177" t="s">
        <v>956</v>
      </c>
      <c r="C215" s="177">
        <v>40</v>
      </c>
      <c r="D215" s="177">
        <v>65</v>
      </c>
      <c r="E215" s="167" t="s">
        <v>433</v>
      </c>
      <c r="F215" s="167" t="s">
        <v>967</v>
      </c>
      <c r="G215" s="167" t="s">
        <v>293</v>
      </c>
      <c r="H215" s="167" t="s">
        <v>294</v>
      </c>
      <c r="I215" s="177" t="s">
        <v>285</v>
      </c>
      <c r="J215" s="177" t="s">
        <v>914</v>
      </c>
      <c r="K215" s="177" t="s">
        <v>914</v>
      </c>
      <c r="L215" s="177" t="s">
        <v>914</v>
      </c>
      <c r="M215" s="177">
        <v>1100</v>
      </c>
      <c r="N215" s="177">
        <v>50</v>
      </c>
      <c r="O215" s="177"/>
      <c r="P215" s="178" t="s">
        <v>1365</v>
      </c>
    </row>
    <row r="216" spans="1:16" x14ac:dyDescent="0.25">
      <c r="A216" s="177"/>
      <c r="B216" s="177"/>
      <c r="C216" s="177"/>
      <c r="D216" s="177"/>
      <c r="E216" s="167" t="s">
        <v>434</v>
      </c>
      <c r="F216" s="167" t="s">
        <v>944</v>
      </c>
      <c r="G216" s="167">
        <v>0</v>
      </c>
      <c r="H216" s="167" t="s">
        <v>944</v>
      </c>
      <c r="I216" s="177"/>
      <c r="J216" s="177"/>
      <c r="K216" s="177"/>
      <c r="L216" s="177"/>
      <c r="M216" s="177"/>
      <c r="N216" s="177"/>
      <c r="O216" s="177"/>
      <c r="P216" s="177"/>
    </row>
    <row r="217" spans="1:16" x14ac:dyDescent="0.25">
      <c r="A217" s="177"/>
      <c r="B217" s="177"/>
      <c r="C217" s="177"/>
      <c r="D217" s="177"/>
      <c r="E217" s="167" t="s">
        <v>433</v>
      </c>
      <c r="F217" s="167">
        <v>0</v>
      </c>
      <c r="G217" s="167">
        <v>0</v>
      </c>
      <c r="H217" s="167">
        <v>0</v>
      </c>
      <c r="I217" s="177"/>
      <c r="J217" s="177"/>
      <c r="K217" s="177"/>
      <c r="L217" s="177"/>
      <c r="M217" s="177"/>
      <c r="N217" s="177"/>
      <c r="O217" s="177"/>
      <c r="P217" s="177"/>
    </row>
    <row r="218" spans="1:16" x14ac:dyDescent="0.25">
      <c r="A218" s="177"/>
      <c r="B218" s="177"/>
      <c r="C218" s="177"/>
      <c r="D218" s="177"/>
      <c r="E218" s="167" t="s">
        <v>434</v>
      </c>
      <c r="F218" s="167" t="s">
        <v>954</v>
      </c>
      <c r="G218" s="167" t="s">
        <v>294</v>
      </c>
      <c r="H218" s="167" t="s">
        <v>954</v>
      </c>
      <c r="I218" s="177"/>
      <c r="J218" s="177"/>
      <c r="K218" s="177"/>
      <c r="L218" s="177"/>
      <c r="M218" s="177"/>
      <c r="N218" s="177"/>
      <c r="O218" s="177"/>
      <c r="P218" s="177"/>
    </row>
    <row r="219" spans="1:16" x14ac:dyDescent="0.25">
      <c r="A219" s="177" t="s">
        <v>859</v>
      </c>
      <c r="B219" s="177" t="s">
        <v>956</v>
      </c>
      <c r="C219" s="177">
        <v>40</v>
      </c>
      <c r="D219" s="177">
        <v>65</v>
      </c>
      <c r="E219" s="167" t="s">
        <v>433</v>
      </c>
      <c r="F219" s="167" t="s">
        <v>967</v>
      </c>
      <c r="G219" s="167" t="s">
        <v>293</v>
      </c>
      <c r="H219" s="167" t="s">
        <v>294</v>
      </c>
      <c r="I219" s="177" t="s">
        <v>285</v>
      </c>
      <c r="J219" s="177" t="s">
        <v>914</v>
      </c>
      <c r="K219" s="177" t="s">
        <v>914</v>
      </c>
      <c r="L219" s="177" t="s">
        <v>914</v>
      </c>
      <c r="M219" s="177">
        <v>1100</v>
      </c>
      <c r="N219" s="177">
        <v>50</v>
      </c>
      <c r="O219" s="177"/>
      <c r="P219" s="178" t="s">
        <v>1365</v>
      </c>
    </row>
    <row r="220" spans="1:16" x14ac:dyDescent="0.25">
      <c r="A220" s="177"/>
      <c r="B220" s="177"/>
      <c r="C220" s="177"/>
      <c r="D220" s="177"/>
      <c r="E220" s="167" t="s">
        <v>434</v>
      </c>
      <c r="F220" s="167" t="s">
        <v>944</v>
      </c>
      <c r="G220" s="167">
        <v>0</v>
      </c>
      <c r="H220" s="167" t="s">
        <v>944</v>
      </c>
      <c r="I220" s="177"/>
      <c r="J220" s="177"/>
      <c r="K220" s="177"/>
      <c r="L220" s="177"/>
      <c r="M220" s="177"/>
      <c r="N220" s="177"/>
      <c r="O220" s="177"/>
      <c r="P220" s="177"/>
    </row>
    <row r="221" spans="1:16" x14ac:dyDescent="0.25">
      <c r="A221" s="177"/>
      <c r="B221" s="177"/>
      <c r="C221" s="177"/>
      <c r="D221" s="177"/>
      <c r="E221" s="167" t="s">
        <v>433</v>
      </c>
      <c r="F221" s="167">
        <v>0</v>
      </c>
      <c r="G221" s="167">
        <v>0</v>
      </c>
      <c r="H221" s="167">
        <v>0</v>
      </c>
      <c r="I221" s="177"/>
      <c r="J221" s="177"/>
      <c r="K221" s="177"/>
      <c r="L221" s="177"/>
      <c r="M221" s="177"/>
      <c r="N221" s="177"/>
      <c r="O221" s="177"/>
      <c r="P221" s="177"/>
    </row>
    <row r="222" spans="1:16" x14ac:dyDescent="0.25">
      <c r="A222" s="177"/>
      <c r="B222" s="177"/>
      <c r="C222" s="177"/>
      <c r="D222" s="177"/>
      <c r="E222" s="167" t="s">
        <v>434</v>
      </c>
      <c r="F222" s="167" t="s">
        <v>954</v>
      </c>
      <c r="G222" s="167" t="s">
        <v>294</v>
      </c>
      <c r="H222" s="167" t="s">
        <v>954</v>
      </c>
      <c r="I222" s="177"/>
      <c r="J222" s="177"/>
      <c r="K222" s="177"/>
      <c r="L222" s="177"/>
      <c r="M222" s="177"/>
      <c r="N222" s="177"/>
      <c r="O222" s="177"/>
      <c r="P222" s="177"/>
    </row>
    <row r="223" spans="1:16" x14ac:dyDescent="0.25">
      <c r="A223" s="177" t="s">
        <v>859</v>
      </c>
      <c r="B223" s="177" t="s">
        <v>955</v>
      </c>
      <c r="C223" s="177">
        <v>40</v>
      </c>
      <c r="D223" s="177">
        <v>65</v>
      </c>
      <c r="E223" s="167" t="s">
        <v>433</v>
      </c>
      <c r="F223" s="167" t="s">
        <v>294</v>
      </c>
      <c r="G223" s="167" t="s">
        <v>293</v>
      </c>
      <c r="H223" s="167" t="s">
        <v>944</v>
      </c>
      <c r="I223" s="177" t="s">
        <v>285</v>
      </c>
      <c r="J223" s="177" t="s">
        <v>914</v>
      </c>
      <c r="K223" s="177" t="s">
        <v>914</v>
      </c>
      <c r="L223" s="177" t="s">
        <v>914</v>
      </c>
      <c r="M223" s="177">
        <v>990</v>
      </c>
      <c r="N223" s="177">
        <v>50</v>
      </c>
      <c r="O223" s="177"/>
      <c r="P223" s="179" t="s">
        <v>1367</v>
      </c>
    </row>
    <row r="224" spans="1:16" x14ac:dyDescent="0.25">
      <c r="A224" s="177"/>
      <c r="B224" s="177"/>
      <c r="C224" s="177"/>
      <c r="D224" s="177"/>
      <c r="E224" s="167" t="s">
        <v>434</v>
      </c>
      <c r="F224" s="167" t="s">
        <v>944</v>
      </c>
      <c r="G224" s="167">
        <v>0</v>
      </c>
      <c r="H224" s="167">
        <v>0</v>
      </c>
      <c r="I224" s="177"/>
      <c r="J224" s="177"/>
      <c r="K224" s="177"/>
      <c r="L224" s="177"/>
      <c r="M224" s="177"/>
      <c r="N224" s="177"/>
      <c r="O224" s="177"/>
      <c r="P224" s="177"/>
    </row>
    <row r="225" spans="1:16" x14ac:dyDescent="0.25">
      <c r="A225" s="177"/>
      <c r="B225" s="177"/>
      <c r="C225" s="177"/>
      <c r="D225" s="177"/>
      <c r="E225" s="167" t="s">
        <v>433</v>
      </c>
      <c r="F225" s="167">
        <v>0</v>
      </c>
      <c r="G225" s="167">
        <v>0</v>
      </c>
      <c r="H225" s="167">
        <v>0</v>
      </c>
      <c r="I225" s="177"/>
      <c r="J225" s="177"/>
      <c r="K225" s="177"/>
      <c r="L225" s="177"/>
      <c r="M225" s="177"/>
      <c r="N225" s="177"/>
      <c r="O225" s="177"/>
      <c r="P225" s="177"/>
    </row>
    <row r="226" spans="1:16" x14ac:dyDescent="0.25">
      <c r="A226" s="177"/>
      <c r="B226" s="177"/>
      <c r="C226" s="177"/>
      <c r="D226" s="177"/>
      <c r="E226" s="167" t="s">
        <v>434</v>
      </c>
      <c r="F226" s="167" t="s">
        <v>954</v>
      </c>
      <c r="G226" s="167" t="s">
        <v>954</v>
      </c>
      <c r="H226" s="167" t="s">
        <v>954</v>
      </c>
      <c r="I226" s="177"/>
      <c r="J226" s="177"/>
      <c r="K226" s="177"/>
      <c r="L226" s="177"/>
      <c r="M226" s="177"/>
      <c r="N226" s="177"/>
      <c r="O226" s="177"/>
      <c r="P226" s="177"/>
    </row>
    <row r="227" spans="1:16" x14ac:dyDescent="0.25">
      <c r="A227" s="177" t="s">
        <v>859</v>
      </c>
      <c r="B227" s="177" t="s">
        <v>955</v>
      </c>
      <c r="C227" s="177">
        <v>40</v>
      </c>
      <c r="D227" s="177">
        <v>65</v>
      </c>
      <c r="E227" s="167" t="s">
        <v>433</v>
      </c>
      <c r="F227" s="167" t="s">
        <v>294</v>
      </c>
      <c r="G227" s="167" t="s">
        <v>293</v>
      </c>
      <c r="H227" s="167" t="s">
        <v>944</v>
      </c>
      <c r="I227" s="177" t="s">
        <v>285</v>
      </c>
      <c r="J227" s="177" t="s">
        <v>914</v>
      </c>
      <c r="K227" s="177" t="s">
        <v>914</v>
      </c>
      <c r="L227" s="177" t="s">
        <v>914</v>
      </c>
      <c r="M227" s="177">
        <v>990</v>
      </c>
      <c r="N227" s="177">
        <v>50</v>
      </c>
      <c r="O227" s="177"/>
      <c r="P227" s="179" t="s">
        <v>1367</v>
      </c>
    </row>
    <row r="228" spans="1:16" x14ac:dyDescent="0.25">
      <c r="A228" s="177"/>
      <c r="B228" s="177"/>
      <c r="C228" s="177"/>
      <c r="D228" s="177"/>
      <c r="E228" s="167" t="s">
        <v>434</v>
      </c>
      <c r="F228" s="167" t="s">
        <v>944</v>
      </c>
      <c r="G228" s="167">
        <v>0</v>
      </c>
      <c r="H228" s="167">
        <v>0</v>
      </c>
      <c r="I228" s="177"/>
      <c r="J228" s="177"/>
      <c r="K228" s="177"/>
      <c r="L228" s="177"/>
      <c r="M228" s="177"/>
      <c r="N228" s="177"/>
      <c r="O228" s="177"/>
      <c r="P228" s="177"/>
    </row>
    <row r="229" spans="1:16" x14ac:dyDescent="0.25">
      <c r="A229" s="177"/>
      <c r="B229" s="177"/>
      <c r="C229" s="177"/>
      <c r="D229" s="177"/>
      <c r="E229" s="167" t="s">
        <v>433</v>
      </c>
      <c r="F229" s="167">
        <v>0</v>
      </c>
      <c r="G229" s="167">
        <v>0</v>
      </c>
      <c r="H229" s="167">
        <v>0</v>
      </c>
      <c r="I229" s="177"/>
      <c r="J229" s="177"/>
      <c r="K229" s="177"/>
      <c r="L229" s="177"/>
      <c r="M229" s="177"/>
      <c r="N229" s="177"/>
      <c r="O229" s="177"/>
      <c r="P229" s="177"/>
    </row>
    <row r="230" spans="1:16" x14ac:dyDescent="0.25">
      <c r="A230" s="177"/>
      <c r="B230" s="177"/>
      <c r="C230" s="177"/>
      <c r="D230" s="177"/>
      <c r="E230" s="167" t="s">
        <v>434</v>
      </c>
      <c r="F230" s="167" t="s">
        <v>954</v>
      </c>
      <c r="G230" s="167" t="s">
        <v>954</v>
      </c>
      <c r="H230" s="167" t="s">
        <v>954</v>
      </c>
      <c r="I230" s="177"/>
      <c r="J230" s="177"/>
      <c r="K230" s="177"/>
      <c r="L230" s="177"/>
      <c r="M230" s="177"/>
      <c r="N230" s="177"/>
      <c r="O230" s="177"/>
      <c r="P230" s="177"/>
    </row>
    <row r="231" spans="1:16" x14ac:dyDescent="0.25">
      <c r="A231" s="177" t="s">
        <v>859</v>
      </c>
      <c r="B231" s="177" t="s">
        <v>955</v>
      </c>
      <c r="C231" s="177">
        <v>40</v>
      </c>
      <c r="D231" s="177">
        <v>65</v>
      </c>
      <c r="E231" s="167" t="s">
        <v>433</v>
      </c>
      <c r="F231" s="167" t="s">
        <v>294</v>
      </c>
      <c r="G231" s="167" t="s">
        <v>293</v>
      </c>
      <c r="H231" s="167" t="s">
        <v>944</v>
      </c>
      <c r="I231" s="177" t="s">
        <v>285</v>
      </c>
      <c r="J231" s="177" t="s">
        <v>914</v>
      </c>
      <c r="K231" s="177" t="s">
        <v>914</v>
      </c>
      <c r="L231" s="177" t="s">
        <v>914</v>
      </c>
      <c r="M231" s="177">
        <v>990</v>
      </c>
      <c r="N231" s="177">
        <v>50</v>
      </c>
      <c r="O231" s="177"/>
      <c r="P231" s="179" t="s">
        <v>1367</v>
      </c>
    </row>
    <row r="232" spans="1:16" x14ac:dyDescent="0.25">
      <c r="A232" s="177"/>
      <c r="B232" s="177"/>
      <c r="C232" s="177"/>
      <c r="D232" s="177"/>
      <c r="E232" s="167" t="s">
        <v>434</v>
      </c>
      <c r="F232" s="167" t="s">
        <v>944</v>
      </c>
      <c r="G232" s="167">
        <v>0</v>
      </c>
      <c r="H232" s="167">
        <v>0</v>
      </c>
      <c r="I232" s="177"/>
      <c r="J232" s="177"/>
      <c r="K232" s="177"/>
      <c r="L232" s="177"/>
      <c r="M232" s="177"/>
      <c r="N232" s="177"/>
      <c r="O232" s="177"/>
      <c r="P232" s="177"/>
    </row>
    <row r="233" spans="1:16" x14ac:dyDescent="0.25">
      <c r="A233" s="177"/>
      <c r="B233" s="177"/>
      <c r="C233" s="177"/>
      <c r="D233" s="177"/>
      <c r="E233" s="167" t="s">
        <v>433</v>
      </c>
      <c r="F233" s="167">
        <v>0</v>
      </c>
      <c r="G233" s="167">
        <v>0</v>
      </c>
      <c r="H233" s="167">
        <v>0</v>
      </c>
      <c r="I233" s="177"/>
      <c r="J233" s="177"/>
      <c r="K233" s="177"/>
      <c r="L233" s="177"/>
      <c r="M233" s="177"/>
      <c r="N233" s="177"/>
      <c r="O233" s="177"/>
      <c r="P233" s="177"/>
    </row>
    <row r="234" spans="1:16" x14ac:dyDescent="0.25">
      <c r="A234" s="177"/>
      <c r="B234" s="177"/>
      <c r="C234" s="177"/>
      <c r="D234" s="177"/>
      <c r="E234" s="167" t="s">
        <v>434</v>
      </c>
      <c r="F234" s="167" t="s">
        <v>954</v>
      </c>
      <c r="G234" s="167" t="s">
        <v>954</v>
      </c>
      <c r="H234" s="167" t="s">
        <v>954</v>
      </c>
      <c r="I234" s="177"/>
      <c r="J234" s="177"/>
      <c r="K234" s="177"/>
      <c r="L234" s="177"/>
      <c r="M234" s="177"/>
      <c r="N234" s="177"/>
      <c r="O234" s="177"/>
      <c r="P234" s="177"/>
    </row>
    <row r="235" spans="1:16" x14ac:dyDescent="0.25">
      <c r="A235" s="177" t="s">
        <v>859</v>
      </c>
      <c r="B235" s="177" t="s">
        <v>997</v>
      </c>
      <c r="C235" s="177">
        <v>40</v>
      </c>
      <c r="D235" s="177">
        <v>65</v>
      </c>
      <c r="E235" s="167" t="s">
        <v>433</v>
      </c>
      <c r="F235" s="167" t="s">
        <v>294</v>
      </c>
      <c r="G235" s="167" t="s">
        <v>293</v>
      </c>
      <c r="H235" s="167" t="s">
        <v>294</v>
      </c>
      <c r="I235" s="177" t="s">
        <v>285</v>
      </c>
      <c r="J235" s="177" t="s">
        <v>913</v>
      </c>
      <c r="K235" s="177" t="s">
        <v>913</v>
      </c>
      <c r="L235" s="177" t="s">
        <v>913</v>
      </c>
      <c r="M235" s="177">
        <v>1100</v>
      </c>
      <c r="N235" s="177">
        <v>50</v>
      </c>
      <c r="O235" s="177"/>
      <c r="P235" s="178" t="s">
        <v>1365</v>
      </c>
    </row>
    <row r="236" spans="1:16" x14ac:dyDescent="0.25">
      <c r="A236" s="177"/>
      <c r="B236" s="177"/>
      <c r="C236" s="177"/>
      <c r="D236" s="177"/>
      <c r="E236" s="167" t="s">
        <v>434</v>
      </c>
      <c r="F236" s="167" t="s">
        <v>944</v>
      </c>
      <c r="G236" s="167">
        <v>0</v>
      </c>
      <c r="H236" s="167" t="s">
        <v>944</v>
      </c>
      <c r="I236" s="177"/>
      <c r="J236" s="177"/>
      <c r="K236" s="177"/>
      <c r="L236" s="177"/>
      <c r="M236" s="177"/>
      <c r="N236" s="177"/>
      <c r="O236" s="177"/>
      <c r="P236" s="177"/>
    </row>
    <row r="237" spans="1:16" x14ac:dyDescent="0.25">
      <c r="A237" s="177"/>
      <c r="B237" s="177"/>
      <c r="C237" s="177"/>
      <c r="D237" s="177"/>
      <c r="E237" s="167" t="s">
        <v>433</v>
      </c>
      <c r="F237" s="167">
        <v>0</v>
      </c>
      <c r="G237" s="167">
        <v>0</v>
      </c>
      <c r="H237" s="167">
        <v>0</v>
      </c>
      <c r="I237" s="177"/>
      <c r="J237" s="177"/>
      <c r="K237" s="177"/>
      <c r="L237" s="177"/>
      <c r="M237" s="177"/>
      <c r="N237" s="177"/>
      <c r="O237" s="177"/>
      <c r="P237" s="177"/>
    </row>
    <row r="238" spans="1:16" x14ac:dyDescent="0.25">
      <c r="A238" s="177"/>
      <c r="B238" s="177"/>
      <c r="C238" s="177"/>
      <c r="D238" s="177"/>
      <c r="E238" s="167" t="s">
        <v>434</v>
      </c>
      <c r="F238" s="167" t="s">
        <v>954</v>
      </c>
      <c r="G238" s="167" t="s">
        <v>294</v>
      </c>
      <c r="H238" s="167" t="s">
        <v>954</v>
      </c>
      <c r="I238" s="177"/>
      <c r="J238" s="177"/>
      <c r="K238" s="177"/>
      <c r="L238" s="177"/>
      <c r="M238" s="177"/>
      <c r="N238" s="177"/>
      <c r="O238" s="177"/>
      <c r="P238" s="177"/>
    </row>
    <row r="239" spans="1:16" x14ac:dyDescent="0.25">
      <c r="A239" s="177" t="s">
        <v>859</v>
      </c>
      <c r="B239" s="177" t="s">
        <v>1002</v>
      </c>
      <c r="C239" s="177">
        <v>40</v>
      </c>
      <c r="D239" s="177">
        <v>65</v>
      </c>
      <c r="E239" s="167" t="s">
        <v>433</v>
      </c>
      <c r="F239" s="167" t="s">
        <v>294</v>
      </c>
      <c r="G239" s="167" t="s">
        <v>293</v>
      </c>
      <c r="H239" s="167" t="s">
        <v>944</v>
      </c>
      <c r="I239" s="177" t="s">
        <v>285</v>
      </c>
      <c r="J239" s="177" t="s">
        <v>913</v>
      </c>
      <c r="K239" s="177" t="s">
        <v>913</v>
      </c>
      <c r="L239" s="177" t="s">
        <v>913</v>
      </c>
      <c r="M239" s="177">
        <v>990</v>
      </c>
      <c r="N239" s="177">
        <v>50</v>
      </c>
      <c r="O239" s="177"/>
      <c r="P239" s="179" t="s">
        <v>1367</v>
      </c>
    </row>
    <row r="240" spans="1:16" x14ac:dyDescent="0.25">
      <c r="A240" s="177"/>
      <c r="B240" s="177"/>
      <c r="C240" s="177"/>
      <c r="D240" s="177"/>
      <c r="E240" s="167" t="s">
        <v>434</v>
      </c>
      <c r="F240" s="167" t="s">
        <v>944</v>
      </c>
      <c r="G240" s="167">
        <v>0</v>
      </c>
      <c r="H240" s="167">
        <v>0</v>
      </c>
      <c r="I240" s="177"/>
      <c r="J240" s="177"/>
      <c r="K240" s="177"/>
      <c r="L240" s="177"/>
      <c r="M240" s="177"/>
      <c r="N240" s="177"/>
      <c r="O240" s="177"/>
      <c r="P240" s="177"/>
    </row>
    <row r="241" spans="1:16" x14ac:dyDescent="0.25">
      <c r="A241" s="177"/>
      <c r="B241" s="177"/>
      <c r="C241" s="177"/>
      <c r="D241" s="177"/>
      <c r="E241" s="167" t="s">
        <v>433</v>
      </c>
      <c r="F241" s="167">
        <v>0</v>
      </c>
      <c r="G241" s="167">
        <v>0</v>
      </c>
      <c r="H241" s="167">
        <v>0</v>
      </c>
      <c r="I241" s="177"/>
      <c r="J241" s="177"/>
      <c r="K241" s="177"/>
      <c r="L241" s="177"/>
      <c r="M241" s="177"/>
      <c r="N241" s="177"/>
      <c r="O241" s="177"/>
      <c r="P241" s="177"/>
    </row>
    <row r="242" spans="1:16" x14ac:dyDescent="0.25">
      <c r="A242" s="177"/>
      <c r="B242" s="177"/>
      <c r="C242" s="177"/>
      <c r="D242" s="177"/>
      <c r="E242" s="167" t="s">
        <v>434</v>
      </c>
      <c r="F242" s="167" t="s">
        <v>954</v>
      </c>
      <c r="G242" s="167" t="s">
        <v>954</v>
      </c>
      <c r="H242" s="167" t="s">
        <v>954</v>
      </c>
      <c r="I242" s="177"/>
      <c r="J242" s="177"/>
      <c r="K242" s="177"/>
      <c r="L242" s="177"/>
      <c r="M242" s="177"/>
      <c r="N242" s="177"/>
      <c r="O242" s="177"/>
      <c r="P242" s="177"/>
    </row>
    <row r="243" spans="1:16" x14ac:dyDescent="0.25">
      <c r="A243" s="177" t="s">
        <v>859</v>
      </c>
      <c r="B243" s="177" t="s">
        <v>964</v>
      </c>
      <c r="C243" s="177">
        <v>40</v>
      </c>
      <c r="D243" s="177">
        <v>65</v>
      </c>
      <c r="E243" s="167" t="s">
        <v>433</v>
      </c>
      <c r="F243" s="167" t="s">
        <v>294</v>
      </c>
      <c r="G243" s="167" t="s">
        <v>293</v>
      </c>
      <c r="H243" s="167" t="s">
        <v>944</v>
      </c>
      <c r="I243" s="177" t="s">
        <v>285</v>
      </c>
      <c r="J243" s="177" t="s">
        <v>914</v>
      </c>
      <c r="K243" s="177" t="s">
        <v>914</v>
      </c>
      <c r="L243" s="177" t="s">
        <v>914</v>
      </c>
      <c r="M243" s="177">
        <v>990</v>
      </c>
      <c r="N243" s="177">
        <v>50</v>
      </c>
      <c r="O243" s="177"/>
      <c r="P243" s="179" t="s">
        <v>1367</v>
      </c>
    </row>
    <row r="244" spans="1:16" x14ac:dyDescent="0.25">
      <c r="A244" s="177"/>
      <c r="B244" s="177"/>
      <c r="C244" s="177"/>
      <c r="D244" s="177"/>
      <c r="E244" s="167" t="s">
        <v>434</v>
      </c>
      <c r="F244" s="167" t="s">
        <v>944</v>
      </c>
      <c r="G244" s="167">
        <v>0</v>
      </c>
      <c r="H244" s="167">
        <v>0</v>
      </c>
      <c r="I244" s="177"/>
      <c r="J244" s="177"/>
      <c r="K244" s="177"/>
      <c r="L244" s="177"/>
      <c r="M244" s="177"/>
      <c r="N244" s="177"/>
      <c r="O244" s="177"/>
      <c r="P244" s="177"/>
    </row>
    <row r="245" spans="1:16" x14ac:dyDescent="0.25">
      <c r="A245" s="177"/>
      <c r="B245" s="177"/>
      <c r="C245" s="177"/>
      <c r="D245" s="177"/>
      <c r="E245" s="167" t="s">
        <v>433</v>
      </c>
      <c r="F245" s="167">
        <v>0</v>
      </c>
      <c r="G245" s="167">
        <v>0</v>
      </c>
      <c r="H245" s="167">
        <v>0</v>
      </c>
      <c r="I245" s="177"/>
      <c r="J245" s="177"/>
      <c r="K245" s="177"/>
      <c r="L245" s="177"/>
      <c r="M245" s="177"/>
      <c r="N245" s="177"/>
      <c r="O245" s="177"/>
      <c r="P245" s="177"/>
    </row>
    <row r="246" spans="1:16" x14ac:dyDescent="0.25">
      <c r="A246" s="177"/>
      <c r="B246" s="177"/>
      <c r="C246" s="177"/>
      <c r="D246" s="177"/>
      <c r="E246" s="167" t="s">
        <v>434</v>
      </c>
      <c r="F246" s="167" t="s">
        <v>293</v>
      </c>
      <c r="G246" s="167" t="s">
        <v>954</v>
      </c>
      <c r="H246" s="167" t="s">
        <v>954</v>
      </c>
      <c r="I246" s="177"/>
      <c r="J246" s="177"/>
      <c r="K246" s="177"/>
      <c r="L246" s="177"/>
      <c r="M246" s="177"/>
      <c r="N246" s="177"/>
      <c r="O246" s="177"/>
      <c r="P246" s="177"/>
    </row>
    <row r="247" spans="1:16" x14ac:dyDescent="0.25">
      <c r="A247" s="177" t="s">
        <v>858</v>
      </c>
      <c r="B247" s="177" t="s">
        <v>952</v>
      </c>
      <c r="C247" s="177">
        <v>40</v>
      </c>
      <c r="D247" s="177">
        <v>65</v>
      </c>
      <c r="E247" s="167" t="s">
        <v>433</v>
      </c>
      <c r="F247" s="167" t="s">
        <v>944</v>
      </c>
      <c r="G247" s="167" t="s">
        <v>293</v>
      </c>
      <c r="H247" s="167" t="s">
        <v>294</v>
      </c>
      <c r="I247" s="177" t="s">
        <v>285</v>
      </c>
      <c r="J247" s="177" t="s">
        <v>914</v>
      </c>
      <c r="K247" s="177" t="s">
        <v>914</v>
      </c>
      <c r="L247" s="177" t="s">
        <v>914</v>
      </c>
      <c r="M247" s="177">
        <v>830</v>
      </c>
      <c r="N247" s="177">
        <v>60</v>
      </c>
      <c r="O247" s="177"/>
      <c r="P247" s="179" t="s">
        <v>1364</v>
      </c>
    </row>
    <row r="248" spans="1:16" x14ac:dyDescent="0.25">
      <c r="A248" s="177"/>
      <c r="B248" s="177"/>
      <c r="C248" s="177"/>
      <c r="D248" s="177"/>
      <c r="E248" s="167" t="s">
        <v>434</v>
      </c>
      <c r="F248" s="167">
        <v>0</v>
      </c>
      <c r="G248" s="167">
        <v>0</v>
      </c>
      <c r="H248" s="167" t="s">
        <v>944</v>
      </c>
      <c r="I248" s="177"/>
      <c r="J248" s="177"/>
      <c r="K248" s="177"/>
      <c r="L248" s="177"/>
      <c r="M248" s="177"/>
      <c r="N248" s="177"/>
      <c r="O248" s="177"/>
      <c r="P248" s="177"/>
    </row>
    <row r="249" spans="1:16" x14ac:dyDescent="0.25">
      <c r="A249" s="177"/>
      <c r="B249" s="177"/>
      <c r="C249" s="177"/>
      <c r="D249" s="177"/>
      <c r="E249" s="167" t="s">
        <v>433</v>
      </c>
      <c r="F249" s="167">
        <v>0</v>
      </c>
      <c r="G249" s="167">
        <v>0</v>
      </c>
      <c r="H249" s="167">
        <v>0</v>
      </c>
      <c r="I249" s="177"/>
      <c r="J249" s="177"/>
      <c r="K249" s="177"/>
      <c r="L249" s="177"/>
      <c r="M249" s="177"/>
      <c r="N249" s="177"/>
      <c r="O249" s="177"/>
      <c r="P249" s="177"/>
    </row>
    <row r="250" spans="1:16" x14ac:dyDescent="0.25">
      <c r="A250" s="177"/>
      <c r="B250" s="177"/>
      <c r="C250" s="177"/>
      <c r="D250" s="177"/>
      <c r="E250" s="167" t="s">
        <v>434</v>
      </c>
      <c r="F250" s="167" t="s">
        <v>947</v>
      </c>
      <c r="G250" s="167" t="s">
        <v>947</v>
      </c>
      <c r="H250" s="167" t="s">
        <v>293</v>
      </c>
      <c r="I250" s="177"/>
      <c r="J250" s="177"/>
      <c r="K250" s="177"/>
      <c r="L250" s="177"/>
      <c r="M250" s="177"/>
      <c r="N250" s="177"/>
      <c r="O250" s="177"/>
      <c r="P250" s="177"/>
    </row>
    <row r="251" spans="1:16" x14ac:dyDescent="0.25">
      <c r="A251" s="177" t="s">
        <v>858</v>
      </c>
      <c r="B251" s="177" t="s">
        <v>952</v>
      </c>
      <c r="C251" s="177">
        <v>40</v>
      </c>
      <c r="D251" s="177">
        <v>65</v>
      </c>
      <c r="E251" s="167" t="s">
        <v>433</v>
      </c>
      <c r="F251" s="167" t="s">
        <v>944</v>
      </c>
      <c r="G251" s="167" t="s">
        <v>293</v>
      </c>
      <c r="H251" s="167" t="s">
        <v>294</v>
      </c>
      <c r="I251" s="177" t="s">
        <v>285</v>
      </c>
      <c r="J251" s="177" t="s">
        <v>914</v>
      </c>
      <c r="K251" s="177" t="s">
        <v>914</v>
      </c>
      <c r="L251" s="177" t="s">
        <v>914</v>
      </c>
      <c r="M251" s="177">
        <v>830</v>
      </c>
      <c r="N251" s="177">
        <v>60</v>
      </c>
      <c r="O251" s="177"/>
      <c r="P251" s="179" t="s">
        <v>1364</v>
      </c>
    </row>
    <row r="252" spans="1:16" x14ac:dyDescent="0.25">
      <c r="A252" s="177"/>
      <c r="B252" s="177"/>
      <c r="C252" s="177"/>
      <c r="D252" s="177"/>
      <c r="E252" s="167" t="s">
        <v>434</v>
      </c>
      <c r="F252" s="167">
        <v>0</v>
      </c>
      <c r="G252" s="167">
        <v>0</v>
      </c>
      <c r="H252" s="167" t="s">
        <v>944</v>
      </c>
      <c r="I252" s="177"/>
      <c r="J252" s="177"/>
      <c r="K252" s="177"/>
      <c r="L252" s="177"/>
      <c r="M252" s="177"/>
      <c r="N252" s="177"/>
      <c r="O252" s="177"/>
      <c r="P252" s="177"/>
    </row>
    <row r="253" spans="1:16" x14ac:dyDescent="0.25">
      <c r="A253" s="177"/>
      <c r="B253" s="177"/>
      <c r="C253" s="177"/>
      <c r="D253" s="177"/>
      <c r="E253" s="167" t="s">
        <v>433</v>
      </c>
      <c r="F253" s="167">
        <v>0</v>
      </c>
      <c r="G253" s="167">
        <v>0</v>
      </c>
      <c r="H253" s="167">
        <v>0</v>
      </c>
      <c r="I253" s="177"/>
      <c r="J253" s="177"/>
      <c r="K253" s="177"/>
      <c r="L253" s="177"/>
      <c r="M253" s="177"/>
      <c r="N253" s="177"/>
      <c r="O253" s="177"/>
      <c r="P253" s="177"/>
    </row>
    <row r="254" spans="1:16" x14ac:dyDescent="0.25">
      <c r="A254" s="177"/>
      <c r="B254" s="177"/>
      <c r="C254" s="177"/>
      <c r="D254" s="177"/>
      <c r="E254" s="167" t="s">
        <v>434</v>
      </c>
      <c r="F254" s="167" t="s">
        <v>947</v>
      </c>
      <c r="G254" s="167" t="s">
        <v>947</v>
      </c>
      <c r="H254" s="167" t="s">
        <v>293</v>
      </c>
      <c r="I254" s="177"/>
      <c r="J254" s="177"/>
      <c r="K254" s="177"/>
      <c r="L254" s="177"/>
      <c r="M254" s="177"/>
      <c r="N254" s="177"/>
      <c r="O254" s="177"/>
      <c r="P254" s="177"/>
    </row>
    <row r="255" spans="1:16" x14ac:dyDescent="0.25">
      <c r="A255" s="177" t="s">
        <v>858</v>
      </c>
      <c r="B255" s="177" t="s">
        <v>952</v>
      </c>
      <c r="C255" s="177">
        <v>40</v>
      </c>
      <c r="D255" s="177">
        <v>65</v>
      </c>
      <c r="E255" s="167" t="s">
        <v>433</v>
      </c>
      <c r="F255" s="167" t="s">
        <v>944</v>
      </c>
      <c r="G255" s="167" t="s">
        <v>293</v>
      </c>
      <c r="H255" s="167" t="s">
        <v>294</v>
      </c>
      <c r="I255" s="177" t="s">
        <v>285</v>
      </c>
      <c r="J255" s="177" t="s">
        <v>914</v>
      </c>
      <c r="K255" s="177" t="s">
        <v>914</v>
      </c>
      <c r="L255" s="177" t="s">
        <v>914</v>
      </c>
      <c r="M255" s="177">
        <v>830</v>
      </c>
      <c r="N255" s="177">
        <v>60</v>
      </c>
      <c r="O255" s="177"/>
      <c r="P255" s="179" t="s">
        <v>1364</v>
      </c>
    </row>
    <row r="256" spans="1:16" x14ac:dyDescent="0.25">
      <c r="A256" s="177"/>
      <c r="B256" s="177"/>
      <c r="C256" s="177"/>
      <c r="D256" s="177"/>
      <c r="E256" s="167" t="s">
        <v>434</v>
      </c>
      <c r="F256" s="167">
        <v>0</v>
      </c>
      <c r="G256" s="167">
        <v>0</v>
      </c>
      <c r="H256" s="167" t="s">
        <v>944</v>
      </c>
      <c r="I256" s="177"/>
      <c r="J256" s="177"/>
      <c r="K256" s="177"/>
      <c r="L256" s="177"/>
      <c r="M256" s="177"/>
      <c r="N256" s="177"/>
      <c r="O256" s="177"/>
      <c r="P256" s="177"/>
    </row>
    <row r="257" spans="1:16" x14ac:dyDescent="0.25">
      <c r="A257" s="177"/>
      <c r="B257" s="177"/>
      <c r="C257" s="177"/>
      <c r="D257" s="177"/>
      <c r="E257" s="167" t="s">
        <v>433</v>
      </c>
      <c r="F257" s="167">
        <v>0</v>
      </c>
      <c r="G257" s="167">
        <v>0</v>
      </c>
      <c r="H257" s="167">
        <v>0</v>
      </c>
      <c r="I257" s="177"/>
      <c r="J257" s="177"/>
      <c r="K257" s="177"/>
      <c r="L257" s="177"/>
      <c r="M257" s="177"/>
      <c r="N257" s="177"/>
      <c r="O257" s="177"/>
      <c r="P257" s="177"/>
    </row>
    <row r="258" spans="1:16" x14ac:dyDescent="0.25">
      <c r="A258" s="177"/>
      <c r="B258" s="177"/>
      <c r="C258" s="177"/>
      <c r="D258" s="177"/>
      <c r="E258" s="167" t="s">
        <v>434</v>
      </c>
      <c r="F258" s="167" t="s">
        <v>947</v>
      </c>
      <c r="G258" s="167" t="s">
        <v>947</v>
      </c>
      <c r="H258" s="167" t="s">
        <v>293</v>
      </c>
      <c r="I258" s="177"/>
      <c r="J258" s="177"/>
      <c r="K258" s="177"/>
      <c r="L258" s="177"/>
      <c r="M258" s="177"/>
      <c r="N258" s="177"/>
      <c r="O258" s="177"/>
      <c r="P258" s="177"/>
    </row>
    <row r="259" spans="1:16" x14ac:dyDescent="0.25">
      <c r="A259" s="177" t="s">
        <v>858</v>
      </c>
      <c r="B259" s="177" t="s">
        <v>952</v>
      </c>
      <c r="C259" s="177">
        <v>40</v>
      </c>
      <c r="D259" s="177">
        <v>65</v>
      </c>
      <c r="E259" s="167" t="s">
        <v>433</v>
      </c>
      <c r="F259" s="167" t="s">
        <v>944</v>
      </c>
      <c r="G259" s="167" t="s">
        <v>293</v>
      </c>
      <c r="H259" s="167" t="s">
        <v>294</v>
      </c>
      <c r="I259" s="177" t="s">
        <v>285</v>
      </c>
      <c r="J259" s="177" t="s">
        <v>914</v>
      </c>
      <c r="K259" s="177" t="s">
        <v>914</v>
      </c>
      <c r="L259" s="177" t="s">
        <v>914</v>
      </c>
      <c r="M259" s="177">
        <v>830</v>
      </c>
      <c r="N259" s="177">
        <v>60</v>
      </c>
      <c r="O259" s="177"/>
      <c r="P259" s="179" t="s">
        <v>1364</v>
      </c>
    </row>
    <row r="260" spans="1:16" x14ac:dyDescent="0.25">
      <c r="A260" s="177"/>
      <c r="B260" s="177"/>
      <c r="C260" s="177"/>
      <c r="D260" s="177"/>
      <c r="E260" s="167" t="s">
        <v>434</v>
      </c>
      <c r="F260" s="167">
        <v>0</v>
      </c>
      <c r="G260" s="167">
        <v>0</v>
      </c>
      <c r="H260" s="167" t="s">
        <v>944</v>
      </c>
      <c r="I260" s="177"/>
      <c r="J260" s="177"/>
      <c r="K260" s="177"/>
      <c r="L260" s="177"/>
      <c r="M260" s="177"/>
      <c r="N260" s="177"/>
      <c r="O260" s="177"/>
      <c r="P260" s="177"/>
    </row>
    <row r="261" spans="1:16" x14ac:dyDescent="0.25">
      <c r="A261" s="177"/>
      <c r="B261" s="177"/>
      <c r="C261" s="177"/>
      <c r="D261" s="177"/>
      <c r="E261" s="167" t="s">
        <v>433</v>
      </c>
      <c r="F261" s="167">
        <v>0</v>
      </c>
      <c r="G261" s="167">
        <v>0</v>
      </c>
      <c r="H261" s="167">
        <v>0</v>
      </c>
      <c r="I261" s="177"/>
      <c r="J261" s="177"/>
      <c r="K261" s="177"/>
      <c r="L261" s="177"/>
      <c r="M261" s="177"/>
      <c r="N261" s="177"/>
      <c r="O261" s="177"/>
      <c r="P261" s="177"/>
    </row>
    <row r="262" spans="1:16" x14ac:dyDescent="0.25">
      <c r="A262" s="177"/>
      <c r="B262" s="177"/>
      <c r="C262" s="177"/>
      <c r="D262" s="177"/>
      <c r="E262" s="167" t="s">
        <v>434</v>
      </c>
      <c r="F262" s="167" t="s">
        <v>947</v>
      </c>
      <c r="G262" s="167" t="s">
        <v>947</v>
      </c>
      <c r="H262" s="167" t="s">
        <v>293</v>
      </c>
      <c r="I262" s="177"/>
      <c r="J262" s="177"/>
      <c r="K262" s="177"/>
      <c r="L262" s="177"/>
      <c r="M262" s="177"/>
      <c r="N262" s="177"/>
      <c r="O262" s="177"/>
      <c r="P262" s="177"/>
    </row>
    <row r="263" spans="1:16" x14ac:dyDescent="0.25">
      <c r="A263" s="177" t="s">
        <v>858</v>
      </c>
      <c r="B263" s="177" t="s">
        <v>968</v>
      </c>
      <c r="C263" s="177">
        <v>40</v>
      </c>
      <c r="D263" s="177">
        <v>65</v>
      </c>
      <c r="E263" s="167" t="s">
        <v>433</v>
      </c>
      <c r="F263" s="167" t="s">
        <v>944</v>
      </c>
      <c r="G263" s="167" t="s">
        <v>293</v>
      </c>
      <c r="H263" s="167" t="s">
        <v>954</v>
      </c>
      <c r="I263" s="177" t="s">
        <v>285</v>
      </c>
      <c r="J263" s="177" t="s">
        <v>914</v>
      </c>
      <c r="K263" s="177" t="s">
        <v>914</v>
      </c>
      <c r="L263" s="177" t="s">
        <v>914</v>
      </c>
      <c r="M263" s="177">
        <v>830</v>
      </c>
      <c r="N263" s="177">
        <v>50</v>
      </c>
      <c r="O263" s="177"/>
      <c r="P263" s="179" t="s">
        <v>1364</v>
      </c>
    </row>
    <row r="264" spans="1:16" x14ac:dyDescent="0.25">
      <c r="A264" s="177"/>
      <c r="B264" s="177"/>
      <c r="C264" s="177"/>
      <c r="D264" s="177"/>
      <c r="E264" s="167" t="s">
        <v>434</v>
      </c>
      <c r="F264" s="167">
        <v>0</v>
      </c>
      <c r="G264" s="167">
        <v>0</v>
      </c>
      <c r="H264" s="167">
        <v>0</v>
      </c>
      <c r="I264" s="177"/>
      <c r="J264" s="177"/>
      <c r="K264" s="177"/>
      <c r="L264" s="177"/>
      <c r="M264" s="177"/>
      <c r="N264" s="177"/>
      <c r="O264" s="177"/>
      <c r="P264" s="177"/>
    </row>
    <row r="265" spans="1:16" x14ac:dyDescent="0.25">
      <c r="A265" s="177"/>
      <c r="B265" s="177"/>
      <c r="C265" s="177"/>
      <c r="D265" s="177"/>
      <c r="E265" s="167" t="s">
        <v>433</v>
      </c>
      <c r="F265" s="167">
        <v>0</v>
      </c>
      <c r="G265" s="167">
        <v>0</v>
      </c>
      <c r="H265" s="167">
        <v>0</v>
      </c>
      <c r="I265" s="177"/>
      <c r="J265" s="177"/>
      <c r="K265" s="177"/>
      <c r="L265" s="177"/>
      <c r="M265" s="177"/>
      <c r="N265" s="177"/>
      <c r="O265" s="177"/>
      <c r="P265" s="177"/>
    </row>
    <row r="266" spans="1:16" x14ac:dyDescent="0.25">
      <c r="A266" s="177"/>
      <c r="B266" s="177"/>
      <c r="C266" s="177"/>
      <c r="D266" s="177"/>
      <c r="E266" s="167" t="s">
        <v>434</v>
      </c>
      <c r="F266" s="167" t="s">
        <v>954</v>
      </c>
      <c r="G266" s="167" t="s">
        <v>954</v>
      </c>
      <c r="H266" s="167" t="s">
        <v>293</v>
      </c>
      <c r="I266" s="177"/>
      <c r="J266" s="177"/>
      <c r="K266" s="177"/>
      <c r="L266" s="177"/>
      <c r="M266" s="177"/>
      <c r="N266" s="177"/>
      <c r="O266" s="177"/>
      <c r="P266" s="177"/>
    </row>
    <row r="267" spans="1:16" x14ac:dyDescent="0.25">
      <c r="A267" s="177" t="s">
        <v>858</v>
      </c>
      <c r="B267" s="177" t="s">
        <v>968</v>
      </c>
      <c r="C267" s="177">
        <v>40</v>
      </c>
      <c r="D267" s="177">
        <v>65</v>
      </c>
      <c r="E267" s="167" t="s">
        <v>433</v>
      </c>
      <c r="F267" s="167" t="s">
        <v>944</v>
      </c>
      <c r="G267" s="167" t="s">
        <v>293</v>
      </c>
      <c r="H267" s="167" t="s">
        <v>954</v>
      </c>
      <c r="I267" s="177" t="s">
        <v>285</v>
      </c>
      <c r="J267" s="177" t="s">
        <v>914</v>
      </c>
      <c r="K267" s="177" t="s">
        <v>914</v>
      </c>
      <c r="L267" s="177" t="s">
        <v>914</v>
      </c>
      <c r="M267" s="177">
        <v>830</v>
      </c>
      <c r="N267" s="177">
        <v>50</v>
      </c>
      <c r="O267" s="177"/>
      <c r="P267" s="179" t="s">
        <v>1364</v>
      </c>
    </row>
    <row r="268" spans="1:16" x14ac:dyDescent="0.25">
      <c r="A268" s="177"/>
      <c r="B268" s="177"/>
      <c r="C268" s="177"/>
      <c r="D268" s="177"/>
      <c r="E268" s="167" t="s">
        <v>434</v>
      </c>
      <c r="F268" s="167">
        <v>0</v>
      </c>
      <c r="G268" s="167">
        <v>0</v>
      </c>
      <c r="H268" s="167">
        <v>0</v>
      </c>
      <c r="I268" s="177"/>
      <c r="J268" s="177"/>
      <c r="K268" s="177"/>
      <c r="L268" s="177"/>
      <c r="M268" s="177"/>
      <c r="N268" s="177"/>
      <c r="O268" s="177"/>
      <c r="P268" s="177"/>
    </row>
    <row r="269" spans="1:16" x14ac:dyDescent="0.25">
      <c r="A269" s="177"/>
      <c r="B269" s="177"/>
      <c r="C269" s="177"/>
      <c r="D269" s="177"/>
      <c r="E269" s="167" t="s">
        <v>433</v>
      </c>
      <c r="F269" s="167">
        <v>0</v>
      </c>
      <c r="G269" s="167">
        <v>0</v>
      </c>
      <c r="H269" s="167">
        <v>0</v>
      </c>
      <c r="I269" s="177"/>
      <c r="J269" s="177"/>
      <c r="K269" s="177"/>
      <c r="L269" s="177"/>
      <c r="M269" s="177"/>
      <c r="N269" s="177"/>
      <c r="O269" s="177"/>
      <c r="P269" s="177"/>
    </row>
    <row r="270" spans="1:16" x14ac:dyDescent="0.25">
      <c r="A270" s="177"/>
      <c r="B270" s="177"/>
      <c r="C270" s="177"/>
      <c r="D270" s="177"/>
      <c r="E270" s="167" t="s">
        <v>434</v>
      </c>
      <c r="F270" s="167" t="s">
        <v>954</v>
      </c>
      <c r="G270" s="167" t="s">
        <v>954</v>
      </c>
      <c r="H270" s="167" t="s">
        <v>293</v>
      </c>
      <c r="I270" s="177"/>
      <c r="J270" s="177"/>
      <c r="K270" s="177"/>
      <c r="L270" s="177"/>
      <c r="M270" s="177"/>
      <c r="N270" s="177"/>
      <c r="O270" s="177"/>
      <c r="P270" s="177"/>
    </row>
    <row r="271" spans="1:16" x14ac:dyDescent="0.25">
      <c r="A271" s="177" t="s">
        <v>858</v>
      </c>
      <c r="B271" s="177" t="s">
        <v>969</v>
      </c>
      <c r="C271" s="177">
        <v>40</v>
      </c>
      <c r="D271" s="177">
        <v>65</v>
      </c>
      <c r="E271" s="167" t="s">
        <v>433</v>
      </c>
      <c r="F271" s="167" t="s">
        <v>954</v>
      </c>
      <c r="G271" s="167" t="s">
        <v>293</v>
      </c>
      <c r="H271" s="167" t="s">
        <v>954</v>
      </c>
      <c r="I271" s="177" t="s">
        <v>285</v>
      </c>
      <c r="J271" s="177" t="s">
        <v>914</v>
      </c>
      <c r="K271" s="177" t="s">
        <v>914</v>
      </c>
      <c r="L271" s="177" t="s">
        <v>914</v>
      </c>
      <c r="M271" s="177">
        <v>830</v>
      </c>
      <c r="N271" s="177">
        <v>50</v>
      </c>
      <c r="O271" s="177"/>
      <c r="P271" s="178" t="s">
        <v>1365</v>
      </c>
    </row>
    <row r="272" spans="1:16" x14ac:dyDescent="0.25">
      <c r="A272" s="177"/>
      <c r="B272" s="177"/>
      <c r="C272" s="177"/>
      <c r="D272" s="177"/>
      <c r="E272" s="167" t="s">
        <v>434</v>
      </c>
      <c r="F272" s="167">
        <v>0</v>
      </c>
      <c r="G272" s="167">
        <v>0</v>
      </c>
      <c r="H272" s="167">
        <v>0</v>
      </c>
      <c r="I272" s="177"/>
      <c r="J272" s="177"/>
      <c r="K272" s="177"/>
      <c r="L272" s="177"/>
      <c r="M272" s="177"/>
      <c r="N272" s="177"/>
      <c r="O272" s="177"/>
      <c r="P272" s="177"/>
    </row>
    <row r="273" spans="1:16" x14ac:dyDescent="0.25">
      <c r="A273" s="177"/>
      <c r="B273" s="177"/>
      <c r="C273" s="177"/>
      <c r="D273" s="177"/>
      <c r="E273" s="167" t="s">
        <v>433</v>
      </c>
      <c r="F273" s="167">
        <v>0</v>
      </c>
      <c r="G273" s="167">
        <v>0</v>
      </c>
      <c r="H273" s="167">
        <v>0</v>
      </c>
      <c r="I273" s="177"/>
      <c r="J273" s="177"/>
      <c r="K273" s="177"/>
      <c r="L273" s="177"/>
      <c r="M273" s="177"/>
      <c r="N273" s="177"/>
      <c r="O273" s="177"/>
      <c r="P273" s="177"/>
    </row>
    <row r="274" spans="1:16" x14ac:dyDescent="0.25">
      <c r="A274" s="177"/>
      <c r="B274" s="177"/>
      <c r="C274" s="177"/>
      <c r="D274" s="177"/>
      <c r="E274" s="167" t="s">
        <v>434</v>
      </c>
      <c r="F274" s="167" t="s">
        <v>293</v>
      </c>
      <c r="G274" s="167" t="s">
        <v>947</v>
      </c>
      <c r="H274" s="167" t="s">
        <v>293</v>
      </c>
      <c r="I274" s="177"/>
      <c r="J274" s="177"/>
      <c r="K274" s="177"/>
      <c r="L274" s="177"/>
      <c r="M274" s="177"/>
      <c r="N274" s="177"/>
      <c r="O274" s="177"/>
      <c r="P274" s="177"/>
    </row>
    <row r="275" spans="1:16" x14ac:dyDescent="0.25">
      <c r="A275" s="177" t="s">
        <v>858</v>
      </c>
      <c r="B275" s="177" t="s">
        <v>969</v>
      </c>
      <c r="C275" s="177">
        <v>40</v>
      </c>
      <c r="D275" s="177">
        <v>65</v>
      </c>
      <c r="E275" s="167" t="s">
        <v>433</v>
      </c>
      <c r="F275" s="167" t="s">
        <v>954</v>
      </c>
      <c r="G275" s="167" t="s">
        <v>293</v>
      </c>
      <c r="H275" s="167" t="s">
        <v>954</v>
      </c>
      <c r="I275" s="177" t="s">
        <v>285</v>
      </c>
      <c r="J275" s="177" t="s">
        <v>914</v>
      </c>
      <c r="K275" s="177" t="s">
        <v>914</v>
      </c>
      <c r="L275" s="177" t="s">
        <v>914</v>
      </c>
      <c r="M275" s="177">
        <v>830</v>
      </c>
      <c r="N275" s="177">
        <v>50</v>
      </c>
      <c r="O275" s="177"/>
      <c r="P275" s="178" t="s">
        <v>1365</v>
      </c>
    </row>
    <row r="276" spans="1:16" x14ac:dyDescent="0.25">
      <c r="A276" s="177"/>
      <c r="B276" s="177"/>
      <c r="C276" s="177"/>
      <c r="D276" s="177"/>
      <c r="E276" s="167" t="s">
        <v>434</v>
      </c>
      <c r="F276" s="167">
        <v>0</v>
      </c>
      <c r="G276" s="167">
        <v>0</v>
      </c>
      <c r="H276" s="167">
        <v>0</v>
      </c>
      <c r="I276" s="177"/>
      <c r="J276" s="177"/>
      <c r="K276" s="177"/>
      <c r="L276" s="177"/>
      <c r="M276" s="177"/>
      <c r="N276" s="177"/>
      <c r="O276" s="177"/>
      <c r="P276" s="177"/>
    </row>
    <row r="277" spans="1:16" x14ac:dyDescent="0.25">
      <c r="A277" s="177"/>
      <c r="B277" s="177"/>
      <c r="C277" s="177"/>
      <c r="D277" s="177"/>
      <c r="E277" s="167" t="s">
        <v>433</v>
      </c>
      <c r="F277" s="167">
        <v>0</v>
      </c>
      <c r="G277" s="167">
        <v>0</v>
      </c>
      <c r="H277" s="167">
        <v>0</v>
      </c>
      <c r="I277" s="177"/>
      <c r="J277" s="177"/>
      <c r="K277" s="177"/>
      <c r="L277" s="177"/>
      <c r="M277" s="177"/>
      <c r="N277" s="177"/>
      <c r="O277" s="177"/>
      <c r="P277" s="177"/>
    </row>
    <row r="278" spans="1:16" x14ac:dyDescent="0.25">
      <c r="A278" s="177"/>
      <c r="B278" s="177"/>
      <c r="C278" s="177"/>
      <c r="D278" s="177"/>
      <c r="E278" s="167" t="s">
        <v>434</v>
      </c>
      <c r="F278" s="167" t="s">
        <v>293</v>
      </c>
      <c r="G278" s="167" t="s">
        <v>947</v>
      </c>
      <c r="H278" s="167" t="s">
        <v>293</v>
      </c>
      <c r="I278" s="177"/>
      <c r="J278" s="177"/>
      <c r="K278" s="177"/>
      <c r="L278" s="177"/>
      <c r="M278" s="177"/>
      <c r="N278" s="177"/>
      <c r="O278" s="177"/>
      <c r="P278" s="177"/>
    </row>
    <row r="279" spans="1:16" x14ac:dyDescent="0.25">
      <c r="A279" s="177" t="s">
        <v>858</v>
      </c>
      <c r="B279" s="177" t="s">
        <v>970</v>
      </c>
      <c r="C279" s="177">
        <v>40</v>
      </c>
      <c r="D279" s="177">
        <v>65</v>
      </c>
      <c r="E279" s="167" t="s">
        <v>433</v>
      </c>
      <c r="F279" s="167" t="s">
        <v>954</v>
      </c>
      <c r="G279" s="167" t="s">
        <v>293</v>
      </c>
      <c r="H279" s="167" t="s">
        <v>954</v>
      </c>
      <c r="I279" s="177" t="s">
        <v>285</v>
      </c>
      <c r="J279" s="177" t="s">
        <v>914</v>
      </c>
      <c r="K279" s="177" t="s">
        <v>914</v>
      </c>
      <c r="L279" s="177" t="s">
        <v>914</v>
      </c>
      <c r="M279" s="177">
        <v>830</v>
      </c>
      <c r="N279" s="177">
        <v>50</v>
      </c>
      <c r="O279" s="177"/>
      <c r="P279" s="178" t="s">
        <v>1365</v>
      </c>
    </row>
    <row r="280" spans="1:16" x14ac:dyDescent="0.25">
      <c r="A280" s="177"/>
      <c r="B280" s="177"/>
      <c r="C280" s="177"/>
      <c r="D280" s="177"/>
      <c r="E280" s="167" t="s">
        <v>434</v>
      </c>
      <c r="F280" s="167">
        <v>0</v>
      </c>
      <c r="G280" s="167">
        <v>0</v>
      </c>
      <c r="H280" s="167">
        <v>0</v>
      </c>
      <c r="I280" s="177"/>
      <c r="J280" s="177"/>
      <c r="K280" s="177"/>
      <c r="L280" s="177"/>
      <c r="M280" s="177"/>
      <c r="N280" s="177"/>
      <c r="O280" s="177"/>
      <c r="P280" s="177"/>
    </row>
    <row r="281" spans="1:16" x14ac:dyDescent="0.25">
      <c r="A281" s="177"/>
      <c r="B281" s="177"/>
      <c r="C281" s="177"/>
      <c r="D281" s="177"/>
      <c r="E281" s="167" t="s">
        <v>433</v>
      </c>
      <c r="F281" s="167">
        <v>0</v>
      </c>
      <c r="G281" s="167">
        <v>0</v>
      </c>
      <c r="H281" s="167">
        <v>0</v>
      </c>
      <c r="I281" s="177"/>
      <c r="J281" s="177"/>
      <c r="K281" s="177"/>
      <c r="L281" s="177"/>
      <c r="M281" s="177"/>
      <c r="N281" s="177"/>
      <c r="O281" s="177"/>
      <c r="P281" s="177"/>
    </row>
    <row r="282" spans="1:16" x14ac:dyDescent="0.25">
      <c r="A282" s="177"/>
      <c r="B282" s="177"/>
      <c r="C282" s="177"/>
      <c r="D282" s="177"/>
      <c r="E282" s="167" t="s">
        <v>434</v>
      </c>
      <c r="F282" s="167" t="s">
        <v>293</v>
      </c>
      <c r="G282" s="167" t="s">
        <v>947</v>
      </c>
      <c r="H282" s="167" t="s">
        <v>293</v>
      </c>
      <c r="I282" s="177"/>
      <c r="J282" s="177"/>
      <c r="K282" s="177"/>
      <c r="L282" s="177"/>
      <c r="M282" s="177"/>
      <c r="N282" s="177"/>
      <c r="O282" s="177"/>
      <c r="P282" s="177"/>
    </row>
    <row r="283" spans="1:16" x14ac:dyDescent="0.25">
      <c r="A283" s="177" t="s">
        <v>858</v>
      </c>
      <c r="B283" s="177" t="s">
        <v>970</v>
      </c>
      <c r="C283" s="177">
        <v>40</v>
      </c>
      <c r="D283" s="177">
        <v>65</v>
      </c>
      <c r="E283" s="167" t="s">
        <v>433</v>
      </c>
      <c r="F283" s="167" t="s">
        <v>954</v>
      </c>
      <c r="G283" s="167" t="s">
        <v>293</v>
      </c>
      <c r="H283" s="167" t="s">
        <v>954</v>
      </c>
      <c r="I283" s="177" t="s">
        <v>285</v>
      </c>
      <c r="J283" s="177" t="s">
        <v>914</v>
      </c>
      <c r="K283" s="177" t="s">
        <v>914</v>
      </c>
      <c r="L283" s="177" t="s">
        <v>914</v>
      </c>
      <c r="M283" s="177">
        <v>830</v>
      </c>
      <c r="N283" s="177">
        <v>50</v>
      </c>
      <c r="O283" s="177"/>
      <c r="P283" s="178" t="s">
        <v>1365</v>
      </c>
    </row>
    <row r="284" spans="1:16" x14ac:dyDescent="0.25">
      <c r="A284" s="177"/>
      <c r="B284" s="177"/>
      <c r="C284" s="177"/>
      <c r="D284" s="177"/>
      <c r="E284" s="167" t="s">
        <v>434</v>
      </c>
      <c r="F284" s="167">
        <v>0</v>
      </c>
      <c r="G284" s="167">
        <v>0</v>
      </c>
      <c r="H284" s="167">
        <v>0</v>
      </c>
      <c r="I284" s="177"/>
      <c r="J284" s="177"/>
      <c r="K284" s="177"/>
      <c r="L284" s="177"/>
      <c r="M284" s="177"/>
      <c r="N284" s="177"/>
      <c r="O284" s="177"/>
      <c r="P284" s="177"/>
    </row>
    <row r="285" spans="1:16" x14ac:dyDescent="0.25">
      <c r="A285" s="177"/>
      <c r="B285" s="177"/>
      <c r="C285" s="177"/>
      <c r="D285" s="177"/>
      <c r="E285" s="167" t="s">
        <v>433</v>
      </c>
      <c r="F285" s="167">
        <v>0</v>
      </c>
      <c r="G285" s="167">
        <v>0</v>
      </c>
      <c r="H285" s="167">
        <v>0</v>
      </c>
      <c r="I285" s="177"/>
      <c r="J285" s="177"/>
      <c r="K285" s="177"/>
      <c r="L285" s="177"/>
      <c r="M285" s="177"/>
      <c r="N285" s="177"/>
      <c r="O285" s="177"/>
      <c r="P285" s="177"/>
    </row>
    <row r="286" spans="1:16" x14ac:dyDescent="0.25">
      <c r="A286" s="177"/>
      <c r="B286" s="177"/>
      <c r="C286" s="177"/>
      <c r="D286" s="177"/>
      <c r="E286" s="167" t="s">
        <v>434</v>
      </c>
      <c r="F286" s="167" t="s">
        <v>293</v>
      </c>
      <c r="G286" s="167" t="s">
        <v>947</v>
      </c>
      <c r="H286" s="167" t="s">
        <v>293</v>
      </c>
      <c r="I286" s="177"/>
      <c r="J286" s="177"/>
      <c r="K286" s="177"/>
      <c r="L286" s="177"/>
      <c r="M286" s="177"/>
      <c r="N286" s="177"/>
      <c r="O286" s="177"/>
      <c r="P286" s="177"/>
    </row>
    <row r="287" spans="1:16" x14ac:dyDescent="0.25">
      <c r="A287" s="177" t="s">
        <v>858</v>
      </c>
      <c r="B287" s="177" t="s">
        <v>971</v>
      </c>
      <c r="C287" s="177">
        <v>40</v>
      </c>
      <c r="D287" s="177">
        <v>65</v>
      </c>
      <c r="E287" s="167" t="s">
        <v>433</v>
      </c>
      <c r="F287" s="167" t="s">
        <v>954</v>
      </c>
      <c r="G287" s="167" t="s">
        <v>293</v>
      </c>
      <c r="H287" s="167" t="s">
        <v>954</v>
      </c>
      <c r="I287" s="177" t="s">
        <v>285</v>
      </c>
      <c r="J287" s="177" t="s">
        <v>914</v>
      </c>
      <c r="K287" s="177" t="s">
        <v>914</v>
      </c>
      <c r="L287" s="177" t="s">
        <v>914</v>
      </c>
      <c r="M287" s="177">
        <v>830</v>
      </c>
      <c r="N287" s="177">
        <v>50</v>
      </c>
      <c r="O287" s="177"/>
      <c r="P287" s="178" t="s">
        <v>1365</v>
      </c>
    </row>
    <row r="288" spans="1:16" x14ac:dyDescent="0.25">
      <c r="A288" s="177"/>
      <c r="B288" s="177"/>
      <c r="C288" s="177"/>
      <c r="D288" s="177"/>
      <c r="E288" s="167" t="s">
        <v>434</v>
      </c>
      <c r="F288" s="167">
        <v>0</v>
      </c>
      <c r="G288" s="167">
        <v>0</v>
      </c>
      <c r="H288" s="167">
        <v>0</v>
      </c>
      <c r="I288" s="177"/>
      <c r="J288" s="177"/>
      <c r="K288" s="177"/>
      <c r="L288" s="177"/>
      <c r="M288" s="177"/>
      <c r="N288" s="177"/>
      <c r="O288" s="177"/>
      <c r="P288" s="177"/>
    </row>
    <row r="289" spans="1:16" x14ac:dyDescent="0.25">
      <c r="A289" s="177"/>
      <c r="B289" s="177"/>
      <c r="C289" s="177"/>
      <c r="D289" s="177"/>
      <c r="E289" s="167" t="s">
        <v>433</v>
      </c>
      <c r="F289" s="167">
        <v>0</v>
      </c>
      <c r="G289" s="167">
        <v>0</v>
      </c>
      <c r="H289" s="167">
        <v>0</v>
      </c>
      <c r="I289" s="177"/>
      <c r="J289" s="177"/>
      <c r="K289" s="177"/>
      <c r="L289" s="177"/>
      <c r="M289" s="177"/>
      <c r="N289" s="177"/>
      <c r="O289" s="177"/>
      <c r="P289" s="177"/>
    </row>
    <row r="290" spans="1:16" x14ac:dyDescent="0.25">
      <c r="A290" s="177"/>
      <c r="B290" s="177"/>
      <c r="C290" s="177"/>
      <c r="D290" s="177"/>
      <c r="E290" s="167" t="s">
        <v>434</v>
      </c>
      <c r="F290" s="167" t="s">
        <v>293</v>
      </c>
      <c r="G290" s="167" t="s">
        <v>947</v>
      </c>
      <c r="H290" s="167" t="s">
        <v>293</v>
      </c>
      <c r="I290" s="177"/>
      <c r="J290" s="177"/>
      <c r="K290" s="177"/>
      <c r="L290" s="177"/>
      <c r="M290" s="177"/>
      <c r="N290" s="177"/>
      <c r="O290" s="177"/>
      <c r="P290" s="177"/>
    </row>
    <row r="291" spans="1:16" x14ac:dyDescent="0.25">
      <c r="A291" s="177" t="s">
        <v>858</v>
      </c>
      <c r="B291" s="177" t="s">
        <v>971</v>
      </c>
      <c r="C291" s="177">
        <v>40</v>
      </c>
      <c r="D291" s="177">
        <v>65</v>
      </c>
      <c r="E291" s="167" t="s">
        <v>433</v>
      </c>
      <c r="F291" s="167" t="s">
        <v>954</v>
      </c>
      <c r="G291" s="167" t="s">
        <v>293</v>
      </c>
      <c r="H291" s="167" t="s">
        <v>954</v>
      </c>
      <c r="I291" s="177" t="s">
        <v>285</v>
      </c>
      <c r="J291" s="177" t="s">
        <v>914</v>
      </c>
      <c r="K291" s="177" t="s">
        <v>914</v>
      </c>
      <c r="L291" s="177" t="s">
        <v>914</v>
      </c>
      <c r="M291" s="177">
        <v>830</v>
      </c>
      <c r="N291" s="177">
        <v>50</v>
      </c>
      <c r="O291" s="177"/>
      <c r="P291" s="178" t="s">
        <v>1365</v>
      </c>
    </row>
    <row r="292" spans="1:16" x14ac:dyDescent="0.25">
      <c r="A292" s="177"/>
      <c r="B292" s="177"/>
      <c r="C292" s="177"/>
      <c r="D292" s="177"/>
      <c r="E292" s="167" t="s">
        <v>434</v>
      </c>
      <c r="F292" s="167">
        <v>0</v>
      </c>
      <c r="G292" s="167">
        <v>0</v>
      </c>
      <c r="H292" s="167">
        <v>0</v>
      </c>
      <c r="I292" s="177"/>
      <c r="J292" s="177"/>
      <c r="K292" s="177"/>
      <c r="L292" s="177"/>
      <c r="M292" s="177"/>
      <c r="N292" s="177"/>
      <c r="O292" s="177"/>
      <c r="P292" s="177"/>
    </row>
    <row r="293" spans="1:16" x14ac:dyDescent="0.25">
      <c r="A293" s="177"/>
      <c r="B293" s="177"/>
      <c r="C293" s="177"/>
      <c r="D293" s="177"/>
      <c r="E293" s="167" t="s">
        <v>433</v>
      </c>
      <c r="F293" s="167">
        <v>0</v>
      </c>
      <c r="G293" s="167">
        <v>0</v>
      </c>
      <c r="H293" s="167">
        <v>0</v>
      </c>
      <c r="I293" s="177"/>
      <c r="J293" s="177"/>
      <c r="K293" s="177"/>
      <c r="L293" s="177"/>
      <c r="M293" s="177"/>
      <c r="N293" s="177"/>
      <c r="O293" s="177"/>
      <c r="P293" s="177"/>
    </row>
    <row r="294" spans="1:16" x14ac:dyDescent="0.25">
      <c r="A294" s="177"/>
      <c r="B294" s="177"/>
      <c r="C294" s="177"/>
      <c r="D294" s="177"/>
      <c r="E294" s="167" t="s">
        <v>434</v>
      </c>
      <c r="F294" s="167" t="s">
        <v>293</v>
      </c>
      <c r="G294" s="167" t="s">
        <v>947</v>
      </c>
      <c r="H294" s="167" t="s">
        <v>293</v>
      </c>
      <c r="I294" s="177"/>
      <c r="J294" s="177"/>
      <c r="K294" s="177"/>
      <c r="L294" s="177"/>
      <c r="M294" s="177"/>
      <c r="N294" s="177"/>
      <c r="O294" s="177"/>
      <c r="P294" s="177"/>
    </row>
    <row r="295" spans="1:16" x14ac:dyDescent="0.25">
      <c r="A295" s="177" t="s">
        <v>858</v>
      </c>
      <c r="B295" s="177" t="s">
        <v>972</v>
      </c>
      <c r="C295" s="177">
        <v>40</v>
      </c>
      <c r="D295" s="177">
        <v>65</v>
      </c>
      <c r="E295" s="167" t="s">
        <v>433</v>
      </c>
      <c r="F295" s="167" t="s">
        <v>954</v>
      </c>
      <c r="G295" s="167" t="s">
        <v>293</v>
      </c>
      <c r="H295" s="167" t="s">
        <v>954</v>
      </c>
      <c r="I295" s="177" t="s">
        <v>285</v>
      </c>
      <c r="J295" s="177" t="s">
        <v>914</v>
      </c>
      <c r="K295" s="177" t="s">
        <v>914</v>
      </c>
      <c r="L295" s="177" t="s">
        <v>914</v>
      </c>
      <c r="M295" s="177">
        <v>830</v>
      </c>
      <c r="N295" s="177">
        <v>50</v>
      </c>
      <c r="O295" s="177"/>
      <c r="P295" s="178" t="s">
        <v>1365</v>
      </c>
    </row>
    <row r="296" spans="1:16" x14ac:dyDescent="0.25">
      <c r="A296" s="177"/>
      <c r="B296" s="177"/>
      <c r="C296" s="177"/>
      <c r="D296" s="177"/>
      <c r="E296" s="167" t="s">
        <v>434</v>
      </c>
      <c r="F296" s="167">
        <v>0</v>
      </c>
      <c r="G296" s="167">
        <v>0</v>
      </c>
      <c r="H296" s="167">
        <v>0</v>
      </c>
      <c r="I296" s="177"/>
      <c r="J296" s="177"/>
      <c r="K296" s="177"/>
      <c r="L296" s="177"/>
      <c r="M296" s="177"/>
      <c r="N296" s="177"/>
      <c r="O296" s="177"/>
      <c r="P296" s="177"/>
    </row>
    <row r="297" spans="1:16" x14ac:dyDescent="0.25">
      <c r="A297" s="177"/>
      <c r="B297" s="177"/>
      <c r="C297" s="177"/>
      <c r="D297" s="177"/>
      <c r="E297" s="167" t="s">
        <v>433</v>
      </c>
      <c r="F297" s="167">
        <v>0</v>
      </c>
      <c r="G297" s="167">
        <v>0</v>
      </c>
      <c r="H297" s="167">
        <v>0</v>
      </c>
      <c r="I297" s="177"/>
      <c r="J297" s="177"/>
      <c r="K297" s="177"/>
      <c r="L297" s="177"/>
      <c r="M297" s="177"/>
      <c r="N297" s="177"/>
      <c r="O297" s="177"/>
      <c r="P297" s="177"/>
    </row>
    <row r="298" spans="1:16" x14ac:dyDescent="0.25">
      <c r="A298" s="177"/>
      <c r="B298" s="177"/>
      <c r="C298" s="177"/>
      <c r="D298" s="177"/>
      <c r="E298" s="167" t="s">
        <v>434</v>
      </c>
      <c r="F298" s="167" t="s">
        <v>293</v>
      </c>
      <c r="G298" s="167" t="s">
        <v>947</v>
      </c>
      <c r="H298" s="167" t="s">
        <v>293</v>
      </c>
      <c r="I298" s="177"/>
      <c r="J298" s="177"/>
      <c r="K298" s="177"/>
      <c r="L298" s="177"/>
      <c r="M298" s="177"/>
      <c r="N298" s="177"/>
      <c r="O298" s="177"/>
      <c r="P298" s="177"/>
    </row>
    <row r="299" spans="1:16" x14ac:dyDescent="0.25">
      <c r="A299" s="177" t="s">
        <v>858</v>
      </c>
      <c r="B299" s="177" t="s">
        <v>972</v>
      </c>
      <c r="C299" s="177">
        <v>40</v>
      </c>
      <c r="D299" s="177">
        <v>65</v>
      </c>
      <c r="E299" s="167" t="s">
        <v>433</v>
      </c>
      <c r="F299" s="167" t="s">
        <v>954</v>
      </c>
      <c r="G299" s="167" t="s">
        <v>293</v>
      </c>
      <c r="H299" s="167" t="s">
        <v>954</v>
      </c>
      <c r="I299" s="177" t="s">
        <v>285</v>
      </c>
      <c r="J299" s="177" t="s">
        <v>914</v>
      </c>
      <c r="K299" s="177" t="s">
        <v>914</v>
      </c>
      <c r="L299" s="177" t="s">
        <v>914</v>
      </c>
      <c r="M299" s="177">
        <v>830</v>
      </c>
      <c r="N299" s="177">
        <v>50</v>
      </c>
      <c r="O299" s="177"/>
      <c r="P299" s="178" t="s">
        <v>1365</v>
      </c>
    </row>
    <row r="300" spans="1:16" x14ac:dyDescent="0.25">
      <c r="A300" s="177"/>
      <c r="B300" s="177"/>
      <c r="C300" s="177"/>
      <c r="D300" s="177"/>
      <c r="E300" s="167" t="s">
        <v>434</v>
      </c>
      <c r="F300" s="167">
        <v>0</v>
      </c>
      <c r="G300" s="167">
        <v>0</v>
      </c>
      <c r="H300" s="167">
        <v>0</v>
      </c>
      <c r="I300" s="177"/>
      <c r="J300" s="177"/>
      <c r="K300" s="177"/>
      <c r="L300" s="177"/>
      <c r="M300" s="177"/>
      <c r="N300" s="177"/>
      <c r="O300" s="177"/>
      <c r="P300" s="177"/>
    </row>
    <row r="301" spans="1:16" x14ac:dyDescent="0.25">
      <c r="A301" s="177"/>
      <c r="B301" s="177"/>
      <c r="C301" s="177"/>
      <c r="D301" s="177"/>
      <c r="E301" s="167" t="s">
        <v>433</v>
      </c>
      <c r="F301" s="167">
        <v>0</v>
      </c>
      <c r="G301" s="167">
        <v>0</v>
      </c>
      <c r="H301" s="167">
        <v>0</v>
      </c>
      <c r="I301" s="177"/>
      <c r="J301" s="177"/>
      <c r="K301" s="177"/>
      <c r="L301" s="177"/>
      <c r="M301" s="177"/>
      <c r="N301" s="177"/>
      <c r="O301" s="177"/>
      <c r="P301" s="177"/>
    </row>
    <row r="302" spans="1:16" x14ac:dyDescent="0.25">
      <c r="A302" s="177"/>
      <c r="B302" s="177"/>
      <c r="C302" s="177"/>
      <c r="D302" s="177"/>
      <c r="E302" s="167" t="s">
        <v>434</v>
      </c>
      <c r="F302" s="167" t="s">
        <v>293</v>
      </c>
      <c r="G302" s="167" t="s">
        <v>947</v>
      </c>
      <c r="H302" s="167" t="s">
        <v>293</v>
      </c>
      <c r="I302" s="177"/>
      <c r="J302" s="177"/>
      <c r="K302" s="177"/>
      <c r="L302" s="177"/>
      <c r="M302" s="177"/>
      <c r="N302" s="177"/>
      <c r="O302" s="177"/>
      <c r="P302" s="177"/>
    </row>
    <row r="303" spans="1:16" x14ac:dyDescent="0.25">
      <c r="A303" s="177" t="s">
        <v>858</v>
      </c>
      <c r="B303" s="177" t="s">
        <v>973</v>
      </c>
      <c r="C303" s="177">
        <v>40</v>
      </c>
      <c r="D303" s="177">
        <v>65</v>
      </c>
      <c r="E303" s="167" t="s">
        <v>433</v>
      </c>
      <c r="F303" s="167" t="s">
        <v>954</v>
      </c>
      <c r="G303" s="167" t="s">
        <v>293</v>
      </c>
      <c r="H303" s="167" t="s">
        <v>944</v>
      </c>
      <c r="I303" s="177" t="s">
        <v>285</v>
      </c>
      <c r="J303" s="177" t="s">
        <v>914</v>
      </c>
      <c r="K303" s="177" t="s">
        <v>914</v>
      </c>
      <c r="L303" s="177" t="s">
        <v>914</v>
      </c>
      <c r="M303" s="177">
        <v>830</v>
      </c>
      <c r="N303" s="177">
        <v>50</v>
      </c>
      <c r="O303" s="177"/>
      <c r="P303" s="179" t="s">
        <v>1367</v>
      </c>
    </row>
    <row r="304" spans="1:16" x14ac:dyDescent="0.25">
      <c r="A304" s="177"/>
      <c r="B304" s="177"/>
      <c r="C304" s="177"/>
      <c r="D304" s="177"/>
      <c r="E304" s="167" t="s">
        <v>434</v>
      </c>
      <c r="F304" s="167">
        <v>0</v>
      </c>
      <c r="G304" s="167">
        <v>0</v>
      </c>
      <c r="H304" s="167">
        <v>0</v>
      </c>
      <c r="I304" s="177"/>
      <c r="J304" s="177"/>
      <c r="K304" s="177"/>
      <c r="L304" s="177"/>
      <c r="M304" s="177"/>
      <c r="N304" s="177"/>
      <c r="O304" s="177"/>
      <c r="P304" s="177"/>
    </row>
    <row r="305" spans="1:16" x14ac:dyDescent="0.25">
      <c r="A305" s="177"/>
      <c r="B305" s="177"/>
      <c r="C305" s="177"/>
      <c r="D305" s="177"/>
      <c r="E305" s="167" t="s">
        <v>433</v>
      </c>
      <c r="F305" s="167">
        <v>0</v>
      </c>
      <c r="G305" s="167">
        <v>0</v>
      </c>
      <c r="H305" s="167">
        <v>0</v>
      </c>
      <c r="I305" s="177"/>
      <c r="J305" s="177"/>
      <c r="K305" s="177"/>
      <c r="L305" s="177"/>
      <c r="M305" s="177"/>
      <c r="N305" s="177"/>
      <c r="O305" s="177"/>
      <c r="P305" s="177"/>
    </row>
    <row r="306" spans="1:16" x14ac:dyDescent="0.25">
      <c r="A306" s="177"/>
      <c r="B306" s="177"/>
      <c r="C306" s="177"/>
      <c r="D306" s="177"/>
      <c r="E306" s="167" t="s">
        <v>434</v>
      </c>
      <c r="F306" s="167" t="s">
        <v>293</v>
      </c>
      <c r="G306" s="167" t="s">
        <v>947</v>
      </c>
      <c r="H306" s="167" t="s">
        <v>947</v>
      </c>
      <c r="I306" s="177"/>
      <c r="J306" s="177"/>
      <c r="K306" s="177"/>
      <c r="L306" s="177"/>
      <c r="M306" s="177"/>
      <c r="N306" s="177"/>
      <c r="O306" s="177"/>
      <c r="P306" s="177"/>
    </row>
    <row r="307" spans="1:16" x14ac:dyDescent="0.25">
      <c r="A307" s="177" t="s">
        <v>858</v>
      </c>
      <c r="B307" s="177" t="s">
        <v>973</v>
      </c>
      <c r="C307" s="177">
        <v>40</v>
      </c>
      <c r="D307" s="177">
        <v>65</v>
      </c>
      <c r="E307" s="167" t="s">
        <v>433</v>
      </c>
      <c r="F307" s="167" t="s">
        <v>954</v>
      </c>
      <c r="G307" s="167" t="s">
        <v>293</v>
      </c>
      <c r="H307" s="167" t="s">
        <v>944</v>
      </c>
      <c r="I307" s="177" t="s">
        <v>285</v>
      </c>
      <c r="J307" s="177" t="s">
        <v>914</v>
      </c>
      <c r="K307" s="177" t="s">
        <v>914</v>
      </c>
      <c r="L307" s="177" t="s">
        <v>914</v>
      </c>
      <c r="M307" s="177">
        <v>830</v>
      </c>
      <c r="N307" s="177">
        <v>50</v>
      </c>
      <c r="O307" s="177"/>
      <c r="P307" s="179" t="s">
        <v>1367</v>
      </c>
    </row>
    <row r="308" spans="1:16" x14ac:dyDescent="0.25">
      <c r="A308" s="177"/>
      <c r="B308" s="177"/>
      <c r="C308" s="177"/>
      <c r="D308" s="177"/>
      <c r="E308" s="167" t="s">
        <v>434</v>
      </c>
      <c r="F308" s="167">
        <v>0</v>
      </c>
      <c r="G308" s="167">
        <v>0</v>
      </c>
      <c r="H308" s="167">
        <v>0</v>
      </c>
      <c r="I308" s="177"/>
      <c r="J308" s="177"/>
      <c r="K308" s="177"/>
      <c r="L308" s="177"/>
      <c r="M308" s="177"/>
      <c r="N308" s="177"/>
      <c r="O308" s="177"/>
      <c r="P308" s="177"/>
    </row>
    <row r="309" spans="1:16" x14ac:dyDescent="0.25">
      <c r="A309" s="177"/>
      <c r="B309" s="177"/>
      <c r="C309" s="177"/>
      <c r="D309" s="177"/>
      <c r="E309" s="167" t="s">
        <v>433</v>
      </c>
      <c r="F309" s="167">
        <v>0</v>
      </c>
      <c r="G309" s="167">
        <v>0</v>
      </c>
      <c r="H309" s="167">
        <v>0</v>
      </c>
      <c r="I309" s="177"/>
      <c r="J309" s="177"/>
      <c r="K309" s="177"/>
      <c r="L309" s="177"/>
      <c r="M309" s="177"/>
      <c r="N309" s="177"/>
      <c r="O309" s="177"/>
      <c r="P309" s="177"/>
    </row>
    <row r="310" spans="1:16" x14ac:dyDescent="0.25">
      <c r="A310" s="177"/>
      <c r="B310" s="177"/>
      <c r="C310" s="177"/>
      <c r="D310" s="177"/>
      <c r="E310" s="167" t="s">
        <v>434</v>
      </c>
      <c r="F310" s="167" t="s">
        <v>293</v>
      </c>
      <c r="G310" s="167" t="s">
        <v>947</v>
      </c>
      <c r="H310" s="167" t="s">
        <v>947</v>
      </c>
      <c r="I310" s="177"/>
      <c r="J310" s="177"/>
      <c r="K310" s="177"/>
      <c r="L310" s="177"/>
      <c r="M310" s="177"/>
      <c r="N310" s="177"/>
      <c r="O310" s="177"/>
      <c r="P310" s="177"/>
    </row>
    <row r="311" spans="1:16" x14ac:dyDescent="0.25">
      <c r="A311" s="177" t="s">
        <v>858</v>
      </c>
      <c r="B311" s="177" t="s">
        <v>951</v>
      </c>
      <c r="C311" s="177">
        <v>40</v>
      </c>
      <c r="D311" s="177">
        <v>65</v>
      </c>
      <c r="E311" s="167" t="s">
        <v>433</v>
      </c>
      <c r="F311" s="167" t="s">
        <v>294</v>
      </c>
      <c r="G311" s="167" t="s">
        <v>293</v>
      </c>
      <c r="H311" s="167" t="s">
        <v>967</v>
      </c>
      <c r="I311" s="177" t="s">
        <v>285</v>
      </c>
      <c r="J311" s="177" t="s">
        <v>914</v>
      </c>
      <c r="K311" s="177" t="s">
        <v>914</v>
      </c>
      <c r="L311" s="177" t="s">
        <v>914</v>
      </c>
      <c r="M311" s="177">
        <v>1070</v>
      </c>
      <c r="N311" s="177">
        <v>50</v>
      </c>
      <c r="O311" s="177"/>
      <c r="P311" s="178" t="s">
        <v>1365</v>
      </c>
    </row>
    <row r="312" spans="1:16" x14ac:dyDescent="0.25">
      <c r="A312" s="177"/>
      <c r="B312" s="177"/>
      <c r="C312" s="177"/>
      <c r="D312" s="177"/>
      <c r="E312" s="167" t="s">
        <v>434</v>
      </c>
      <c r="F312" s="167" t="s">
        <v>944</v>
      </c>
      <c r="G312" s="167">
        <v>0</v>
      </c>
      <c r="H312" s="167" t="s">
        <v>293</v>
      </c>
      <c r="I312" s="177"/>
      <c r="J312" s="177"/>
      <c r="K312" s="177"/>
      <c r="L312" s="177"/>
      <c r="M312" s="177"/>
      <c r="N312" s="177"/>
      <c r="O312" s="177"/>
      <c r="P312" s="177"/>
    </row>
    <row r="313" spans="1:16" x14ac:dyDescent="0.25">
      <c r="A313" s="177"/>
      <c r="B313" s="177"/>
      <c r="C313" s="177"/>
      <c r="D313" s="177"/>
      <c r="E313" s="167" t="s">
        <v>433</v>
      </c>
      <c r="F313" s="167">
        <v>0</v>
      </c>
      <c r="G313" s="167">
        <v>0</v>
      </c>
      <c r="H313" s="167">
        <v>0</v>
      </c>
      <c r="I313" s="177"/>
      <c r="J313" s="177"/>
      <c r="K313" s="177"/>
      <c r="L313" s="177"/>
      <c r="M313" s="177"/>
      <c r="N313" s="177"/>
      <c r="O313" s="177"/>
      <c r="P313" s="177"/>
    </row>
    <row r="314" spans="1:16" x14ac:dyDescent="0.25">
      <c r="A314" s="177"/>
      <c r="B314" s="177"/>
      <c r="C314" s="177"/>
      <c r="D314" s="177"/>
      <c r="E314" s="167" t="s">
        <v>434</v>
      </c>
      <c r="F314" s="167" t="s">
        <v>294</v>
      </c>
      <c r="G314" s="167" t="s">
        <v>294</v>
      </c>
      <c r="H314" s="167" t="s">
        <v>294</v>
      </c>
      <c r="I314" s="177"/>
      <c r="J314" s="177"/>
      <c r="K314" s="177"/>
      <c r="L314" s="177"/>
      <c r="M314" s="177"/>
      <c r="N314" s="177"/>
      <c r="O314" s="177"/>
      <c r="P314" s="177"/>
    </row>
    <row r="315" spans="1:16" x14ac:dyDescent="0.25">
      <c r="A315" s="177" t="s">
        <v>858</v>
      </c>
      <c r="B315" s="177" t="s">
        <v>951</v>
      </c>
      <c r="C315" s="177">
        <v>40</v>
      </c>
      <c r="D315" s="177">
        <v>65</v>
      </c>
      <c r="E315" s="167" t="s">
        <v>433</v>
      </c>
      <c r="F315" s="167" t="s">
        <v>294</v>
      </c>
      <c r="G315" s="167" t="s">
        <v>293</v>
      </c>
      <c r="H315" s="167" t="s">
        <v>967</v>
      </c>
      <c r="I315" s="177" t="s">
        <v>285</v>
      </c>
      <c r="J315" s="177" t="s">
        <v>914</v>
      </c>
      <c r="K315" s="177" t="s">
        <v>914</v>
      </c>
      <c r="L315" s="177" t="s">
        <v>914</v>
      </c>
      <c r="M315" s="177">
        <v>1070</v>
      </c>
      <c r="N315" s="177">
        <v>50</v>
      </c>
      <c r="O315" s="177"/>
      <c r="P315" s="178" t="s">
        <v>1365</v>
      </c>
    </row>
    <row r="316" spans="1:16" x14ac:dyDescent="0.25">
      <c r="A316" s="177"/>
      <c r="B316" s="177"/>
      <c r="C316" s="177"/>
      <c r="D316" s="177"/>
      <c r="E316" s="167" t="s">
        <v>434</v>
      </c>
      <c r="F316" s="167" t="s">
        <v>944</v>
      </c>
      <c r="G316" s="167">
        <v>0</v>
      </c>
      <c r="H316" s="167" t="s">
        <v>293</v>
      </c>
      <c r="I316" s="177"/>
      <c r="J316" s="177"/>
      <c r="K316" s="177"/>
      <c r="L316" s="177"/>
      <c r="M316" s="177"/>
      <c r="N316" s="177"/>
      <c r="O316" s="177"/>
      <c r="P316" s="177"/>
    </row>
    <row r="317" spans="1:16" x14ac:dyDescent="0.25">
      <c r="A317" s="177"/>
      <c r="B317" s="177"/>
      <c r="C317" s="177"/>
      <c r="D317" s="177"/>
      <c r="E317" s="167" t="s">
        <v>433</v>
      </c>
      <c r="F317" s="167">
        <v>0</v>
      </c>
      <c r="G317" s="167">
        <v>0</v>
      </c>
      <c r="H317" s="167">
        <v>0</v>
      </c>
      <c r="I317" s="177"/>
      <c r="J317" s="177"/>
      <c r="K317" s="177"/>
      <c r="L317" s="177"/>
      <c r="M317" s="177"/>
      <c r="N317" s="177"/>
      <c r="O317" s="177"/>
      <c r="P317" s="177"/>
    </row>
    <row r="318" spans="1:16" x14ac:dyDescent="0.25">
      <c r="A318" s="177"/>
      <c r="B318" s="177"/>
      <c r="C318" s="177"/>
      <c r="D318" s="177"/>
      <c r="E318" s="167" t="s">
        <v>434</v>
      </c>
      <c r="F318" s="167" t="s">
        <v>294</v>
      </c>
      <c r="G318" s="167" t="s">
        <v>294</v>
      </c>
      <c r="H318" s="167" t="s">
        <v>294</v>
      </c>
      <c r="I318" s="177"/>
      <c r="J318" s="177"/>
      <c r="K318" s="177"/>
      <c r="L318" s="177"/>
      <c r="M318" s="177"/>
      <c r="N318" s="177"/>
      <c r="O318" s="177"/>
      <c r="P318" s="177"/>
    </row>
    <row r="319" spans="1:16" x14ac:dyDescent="0.25">
      <c r="A319" s="177" t="s">
        <v>858</v>
      </c>
      <c r="B319" s="177" t="s">
        <v>951</v>
      </c>
      <c r="C319" s="177">
        <v>40</v>
      </c>
      <c r="D319" s="177">
        <v>65</v>
      </c>
      <c r="E319" s="167" t="s">
        <v>433</v>
      </c>
      <c r="F319" s="167" t="s">
        <v>294</v>
      </c>
      <c r="G319" s="167" t="s">
        <v>293</v>
      </c>
      <c r="H319" s="167" t="s">
        <v>967</v>
      </c>
      <c r="I319" s="177" t="s">
        <v>285</v>
      </c>
      <c r="J319" s="177" t="s">
        <v>914</v>
      </c>
      <c r="K319" s="177" t="s">
        <v>914</v>
      </c>
      <c r="L319" s="177" t="s">
        <v>914</v>
      </c>
      <c r="M319" s="177">
        <v>1070</v>
      </c>
      <c r="N319" s="177">
        <v>50</v>
      </c>
      <c r="O319" s="177"/>
      <c r="P319" s="178" t="s">
        <v>1365</v>
      </c>
    </row>
    <row r="320" spans="1:16" x14ac:dyDescent="0.25">
      <c r="A320" s="177"/>
      <c r="B320" s="177"/>
      <c r="C320" s="177"/>
      <c r="D320" s="177"/>
      <c r="E320" s="167" t="s">
        <v>434</v>
      </c>
      <c r="F320" s="167" t="s">
        <v>944</v>
      </c>
      <c r="G320" s="167">
        <v>0</v>
      </c>
      <c r="H320" s="167" t="s">
        <v>293</v>
      </c>
      <c r="I320" s="177"/>
      <c r="J320" s="177"/>
      <c r="K320" s="177"/>
      <c r="L320" s="177"/>
      <c r="M320" s="177"/>
      <c r="N320" s="177"/>
      <c r="O320" s="177"/>
      <c r="P320" s="177"/>
    </row>
    <row r="321" spans="1:16" x14ac:dyDescent="0.25">
      <c r="A321" s="177"/>
      <c r="B321" s="177"/>
      <c r="C321" s="177"/>
      <c r="D321" s="177"/>
      <c r="E321" s="167" t="s">
        <v>433</v>
      </c>
      <c r="F321" s="167">
        <v>0</v>
      </c>
      <c r="G321" s="167">
        <v>0</v>
      </c>
      <c r="H321" s="167">
        <v>0</v>
      </c>
      <c r="I321" s="177"/>
      <c r="J321" s="177"/>
      <c r="K321" s="177"/>
      <c r="L321" s="177"/>
      <c r="M321" s="177"/>
      <c r="N321" s="177"/>
      <c r="O321" s="177"/>
      <c r="P321" s="177"/>
    </row>
    <row r="322" spans="1:16" x14ac:dyDescent="0.25">
      <c r="A322" s="177"/>
      <c r="B322" s="177"/>
      <c r="C322" s="177"/>
      <c r="D322" s="177"/>
      <c r="E322" s="167" t="s">
        <v>434</v>
      </c>
      <c r="F322" s="167" t="s">
        <v>294</v>
      </c>
      <c r="G322" s="167" t="s">
        <v>294</v>
      </c>
      <c r="H322" s="167" t="s">
        <v>294</v>
      </c>
      <c r="I322" s="177"/>
      <c r="J322" s="177"/>
      <c r="K322" s="177"/>
      <c r="L322" s="177"/>
      <c r="M322" s="177"/>
      <c r="N322" s="177"/>
      <c r="O322" s="177"/>
      <c r="P322" s="177"/>
    </row>
    <row r="323" spans="1:16" x14ac:dyDescent="0.25">
      <c r="A323" s="177" t="s">
        <v>858</v>
      </c>
      <c r="B323" s="177" t="s">
        <v>951</v>
      </c>
      <c r="C323" s="177">
        <v>40</v>
      </c>
      <c r="D323" s="177">
        <v>65</v>
      </c>
      <c r="E323" s="167" t="s">
        <v>433</v>
      </c>
      <c r="F323" s="167" t="s">
        <v>294</v>
      </c>
      <c r="G323" s="167" t="s">
        <v>293</v>
      </c>
      <c r="H323" s="167" t="s">
        <v>967</v>
      </c>
      <c r="I323" s="177" t="s">
        <v>285</v>
      </c>
      <c r="J323" s="177" t="s">
        <v>914</v>
      </c>
      <c r="K323" s="177" t="s">
        <v>914</v>
      </c>
      <c r="L323" s="177" t="s">
        <v>914</v>
      </c>
      <c r="M323" s="177">
        <v>1070</v>
      </c>
      <c r="N323" s="177">
        <v>50</v>
      </c>
      <c r="O323" s="177"/>
      <c r="P323" s="178" t="s">
        <v>1365</v>
      </c>
    </row>
    <row r="324" spans="1:16" x14ac:dyDescent="0.25">
      <c r="A324" s="177"/>
      <c r="B324" s="177"/>
      <c r="C324" s="177"/>
      <c r="D324" s="177"/>
      <c r="E324" s="167" t="s">
        <v>434</v>
      </c>
      <c r="F324" s="167" t="s">
        <v>944</v>
      </c>
      <c r="G324" s="167">
        <v>0</v>
      </c>
      <c r="H324" s="167" t="s">
        <v>293</v>
      </c>
      <c r="I324" s="177"/>
      <c r="J324" s="177"/>
      <c r="K324" s="177"/>
      <c r="L324" s="177"/>
      <c r="M324" s="177"/>
      <c r="N324" s="177"/>
      <c r="O324" s="177"/>
      <c r="P324" s="177"/>
    </row>
    <row r="325" spans="1:16" x14ac:dyDescent="0.25">
      <c r="A325" s="177"/>
      <c r="B325" s="177"/>
      <c r="C325" s="177"/>
      <c r="D325" s="177"/>
      <c r="E325" s="167" t="s">
        <v>433</v>
      </c>
      <c r="F325" s="167">
        <v>0</v>
      </c>
      <c r="G325" s="167">
        <v>0</v>
      </c>
      <c r="H325" s="167">
        <v>0</v>
      </c>
      <c r="I325" s="177"/>
      <c r="J325" s="177"/>
      <c r="K325" s="177"/>
      <c r="L325" s="177"/>
      <c r="M325" s="177"/>
      <c r="N325" s="177"/>
      <c r="O325" s="177"/>
      <c r="P325" s="177"/>
    </row>
    <row r="326" spans="1:16" x14ac:dyDescent="0.25">
      <c r="A326" s="177"/>
      <c r="B326" s="177"/>
      <c r="C326" s="177"/>
      <c r="D326" s="177"/>
      <c r="E326" s="167" t="s">
        <v>434</v>
      </c>
      <c r="F326" s="167" t="s">
        <v>294</v>
      </c>
      <c r="G326" s="167" t="s">
        <v>294</v>
      </c>
      <c r="H326" s="167" t="s">
        <v>294</v>
      </c>
      <c r="I326" s="177"/>
      <c r="J326" s="177"/>
      <c r="K326" s="177"/>
      <c r="L326" s="177"/>
      <c r="M326" s="177"/>
      <c r="N326" s="177"/>
      <c r="O326" s="177"/>
      <c r="P326" s="177"/>
    </row>
    <row r="327" spans="1:16" x14ac:dyDescent="0.25">
      <c r="A327" s="177" t="s">
        <v>858</v>
      </c>
      <c r="B327" s="177" t="s">
        <v>974</v>
      </c>
      <c r="C327" s="177">
        <v>40</v>
      </c>
      <c r="D327" s="177">
        <v>65</v>
      </c>
      <c r="E327" s="167" t="s">
        <v>433</v>
      </c>
      <c r="F327" s="167" t="s">
        <v>293</v>
      </c>
      <c r="G327" s="167" t="s">
        <v>293</v>
      </c>
      <c r="H327" s="167" t="s">
        <v>293</v>
      </c>
      <c r="I327" s="177" t="s">
        <v>285</v>
      </c>
      <c r="J327" s="177" t="s">
        <v>914</v>
      </c>
      <c r="K327" s="177" t="s">
        <v>914</v>
      </c>
      <c r="L327" s="177" t="s">
        <v>914</v>
      </c>
      <c r="M327" s="177">
        <v>830</v>
      </c>
      <c r="N327" s="177">
        <v>50</v>
      </c>
      <c r="O327" s="177"/>
      <c r="P327" s="178" t="s">
        <v>1365</v>
      </c>
    </row>
    <row r="328" spans="1:16" x14ac:dyDescent="0.25">
      <c r="A328" s="177"/>
      <c r="B328" s="177"/>
      <c r="C328" s="177"/>
      <c r="D328" s="177"/>
      <c r="E328" s="167" t="s">
        <v>434</v>
      </c>
      <c r="F328" s="167">
        <v>0</v>
      </c>
      <c r="G328" s="167">
        <v>0</v>
      </c>
      <c r="H328" s="167">
        <v>0</v>
      </c>
      <c r="I328" s="177"/>
      <c r="J328" s="177"/>
      <c r="K328" s="177"/>
      <c r="L328" s="177"/>
      <c r="M328" s="177"/>
      <c r="N328" s="177"/>
      <c r="O328" s="177"/>
      <c r="P328" s="177"/>
    </row>
    <row r="329" spans="1:16" x14ac:dyDescent="0.25">
      <c r="A329" s="177"/>
      <c r="B329" s="177"/>
      <c r="C329" s="177"/>
      <c r="D329" s="177"/>
      <c r="E329" s="167" t="s">
        <v>433</v>
      </c>
      <c r="F329" s="167">
        <v>0</v>
      </c>
      <c r="G329" s="167">
        <v>0</v>
      </c>
      <c r="H329" s="167">
        <v>0</v>
      </c>
      <c r="I329" s="177"/>
      <c r="J329" s="177"/>
      <c r="K329" s="177"/>
      <c r="L329" s="177"/>
      <c r="M329" s="177"/>
      <c r="N329" s="177"/>
      <c r="O329" s="177"/>
      <c r="P329" s="177"/>
    </row>
    <row r="330" spans="1:16" x14ac:dyDescent="0.25">
      <c r="A330" s="177"/>
      <c r="B330" s="177"/>
      <c r="C330" s="177"/>
      <c r="D330" s="177"/>
      <c r="E330" s="167" t="s">
        <v>434</v>
      </c>
      <c r="F330" s="167" t="s">
        <v>293</v>
      </c>
      <c r="G330" s="167" t="s">
        <v>293</v>
      </c>
      <c r="H330" s="167" t="s">
        <v>293</v>
      </c>
      <c r="I330" s="177"/>
      <c r="J330" s="177"/>
      <c r="K330" s="177"/>
      <c r="L330" s="177"/>
      <c r="M330" s="177"/>
      <c r="N330" s="177"/>
      <c r="O330" s="177"/>
      <c r="P330" s="177"/>
    </row>
    <row r="331" spans="1:16" x14ac:dyDescent="0.25">
      <c r="A331" s="177" t="s">
        <v>858</v>
      </c>
      <c r="B331" s="177" t="s">
        <v>975</v>
      </c>
      <c r="C331" s="177">
        <v>40</v>
      </c>
      <c r="D331" s="177">
        <v>65</v>
      </c>
      <c r="E331" s="167" t="s">
        <v>433</v>
      </c>
      <c r="F331" s="167" t="s">
        <v>954</v>
      </c>
      <c r="G331" s="167" t="s">
        <v>293</v>
      </c>
      <c r="H331" s="167" t="s">
        <v>954</v>
      </c>
      <c r="I331" s="177" t="s">
        <v>285</v>
      </c>
      <c r="J331" s="177" t="s">
        <v>914</v>
      </c>
      <c r="K331" s="177" t="s">
        <v>914</v>
      </c>
      <c r="L331" s="177" t="s">
        <v>914</v>
      </c>
      <c r="M331" s="177">
        <v>830</v>
      </c>
      <c r="N331" s="177">
        <v>50</v>
      </c>
      <c r="O331" s="177"/>
      <c r="P331" s="178" t="s">
        <v>1365</v>
      </c>
    </row>
    <row r="332" spans="1:16" x14ac:dyDescent="0.25">
      <c r="A332" s="177"/>
      <c r="B332" s="177"/>
      <c r="C332" s="177"/>
      <c r="D332" s="177"/>
      <c r="E332" s="167" t="s">
        <v>434</v>
      </c>
      <c r="F332" s="167">
        <v>0</v>
      </c>
      <c r="G332" s="167">
        <v>0</v>
      </c>
      <c r="H332" s="167">
        <v>0</v>
      </c>
      <c r="I332" s="177"/>
      <c r="J332" s="177"/>
      <c r="K332" s="177"/>
      <c r="L332" s="177"/>
      <c r="M332" s="177"/>
      <c r="N332" s="177"/>
      <c r="O332" s="177"/>
      <c r="P332" s="177"/>
    </row>
    <row r="333" spans="1:16" x14ac:dyDescent="0.25">
      <c r="A333" s="177"/>
      <c r="B333" s="177"/>
      <c r="C333" s="177"/>
      <c r="D333" s="177"/>
      <c r="E333" s="167" t="s">
        <v>433</v>
      </c>
      <c r="F333" s="167">
        <v>0</v>
      </c>
      <c r="G333" s="167">
        <v>0</v>
      </c>
      <c r="H333" s="167">
        <v>0</v>
      </c>
      <c r="I333" s="177"/>
      <c r="J333" s="177"/>
      <c r="K333" s="177"/>
      <c r="L333" s="177"/>
      <c r="M333" s="177"/>
      <c r="N333" s="177"/>
      <c r="O333" s="177"/>
      <c r="P333" s="177"/>
    </row>
    <row r="334" spans="1:16" x14ac:dyDescent="0.25">
      <c r="A334" s="177"/>
      <c r="B334" s="177"/>
      <c r="C334" s="177"/>
      <c r="D334" s="177"/>
      <c r="E334" s="167" t="s">
        <v>434</v>
      </c>
      <c r="F334" s="167" t="s">
        <v>293</v>
      </c>
      <c r="G334" s="167" t="s">
        <v>947</v>
      </c>
      <c r="H334" s="167" t="s">
        <v>293</v>
      </c>
      <c r="I334" s="177"/>
      <c r="J334" s="177"/>
      <c r="K334" s="177"/>
      <c r="L334" s="177"/>
      <c r="M334" s="177"/>
      <c r="N334" s="177"/>
      <c r="O334" s="177"/>
      <c r="P334" s="177"/>
    </row>
    <row r="335" spans="1:16" x14ac:dyDescent="0.25">
      <c r="A335" s="177" t="s">
        <v>858</v>
      </c>
      <c r="B335" s="177" t="s">
        <v>950</v>
      </c>
      <c r="C335" s="177">
        <v>40</v>
      </c>
      <c r="D335" s="177">
        <v>65</v>
      </c>
      <c r="E335" s="167" t="s">
        <v>433</v>
      </c>
      <c r="F335" s="167" t="s">
        <v>967</v>
      </c>
      <c r="G335" s="167" t="s">
        <v>293</v>
      </c>
      <c r="H335" s="167" t="s">
        <v>967</v>
      </c>
      <c r="I335" s="177" t="s">
        <v>285</v>
      </c>
      <c r="J335" s="177" t="s">
        <v>913</v>
      </c>
      <c r="K335" s="177" t="s">
        <v>913</v>
      </c>
      <c r="L335" s="177" t="s">
        <v>913</v>
      </c>
      <c r="M335" s="177">
        <v>1100</v>
      </c>
      <c r="N335" s="177">
        <v>50</v>
      </c>
      <c r="O335" s="177"/>
      <c r="P335" s="178" t="s">
        <v>1365</v>
      </c>
    </row>
    <row r="336" spans="1:16" x14ac:dyDescent="0.25">
      <c r="A336" s="177"/>
      <c r="B336" s="177"/>
      <c r="C336" s="177"/>
      <c r="D336" s="177"/>
      <c r="E336" s="167" t="s">
        <v>434</v>
      </c>
      <c r="F336" s="167" t="s">
        <v>293</v>
      </c>
      <c r="G336" s="167">
        <v>0</v>
      </c>
      <c r="H336" s="167" t="s">
        <v>954</v>
      </c>
      <c r="I336" s="177"/>
      <c r="J336" s="177"/>
      <c r="K336" s="177"/>
      <c r="L336" s="177"/>
      <c r="M336" s="177"/>
      <c r="N336" s="177"/>
      <c r="O336" s="177"/>
      <c r="P336" s="177"/>
    </row>
    <row r="337" spans="1:16" x14ac:dyDescent="0.25">
      <c r="A337" s="177"/>
      <c r="B337" s="177"/>
      <c r="C337" s="177"/>
      <c r="D337" s="177"/>
      <c r="E337" s="167" t="s">
        <v>433</v>
      </c>
      <c r="F337" s="167">
        <v>0</v>
      </c>
      <c r="G337" s="167" t="s">
        <v>944</v>
      </c>
      <c r="H337" s="167">
        <v>0</v>
      </c>
      <c r="I337" s="177"/>
      <c r="J337" s="177"/>
      <c r="K337" s="177"/>
      <c r="L337" s="177"/>
      <c r="M337" s="177"/>
      <c r="N337" s="177"/>
      <c r="O337" s="177"/>
      <c r="P337" s="177"/>
    </row>
    <row r="338" spans="1:16" x14ac:dyDescent="0.25">
      <c r="A338" s="177"/>
      <c r="B338" s="177"/>
      <c r="C338" s="177"/>
      <c r="D338" s="177"/>
      <c r="E338" s="167" t="s">
        <v>434</v>
      </c>
      <c r="F338" s="167" t="s">
        <v>294</v>
      </c>
      <c r="G338" s="167" t="s">
        <v>294</v>
      </c>
      <c r="H338" s="167" t="s">
        <v>967</v>
      </c>
      <c r="I338" s="177"/>
      <c r="J338" s="177"/>
      <c r="K338" s="177"/>
      <c r="L338" s="177"/>
      <c r="M338" s="177"/>
      <c r="N338" s="177"/>
      <c r="O338" s="177"/>
      <c r="P338" s="177"/>
    </row>
    <row r="339" spans="1:16" x14ac:dyDescent="0.25">
      <c r="A339" s="177" t="s">
        <v>858</v>
      </c>
      <c r="B339" s="177" t="s">
        <v>950</v>
      </c>
      <c r="C339" s="177">
        <v>40</v>
      </c>
      <c r="D339" s="177">
        <v>65</v>
      </c>
      <c r="E339" s="167" t="s">
        <v>433</v>
      </c>
      <c r="F339" s="167" t="s">
        <v>967</v>
      </c>
      <c r="G339" s="167" t="s">
        <v>293</v>
      </c>
      <c r="H339" s="167" t="s">
        <v>967</v>
      </c>
      <c r="I339" s="177" t="s">
        <v>285</v>
      </c>
      <c r="J339" s="177" t="s">
        <v>913</v>
      </c>
      <c r="K339" s="177" t="s">
        <v>913</v>
      </c>
      <c r="L339" s="177" t="s">
        <v>913</v>
      </c>
      <c r="M339" s="177">
        <v>1100</v>
      </c>
      <c r="N339" s="177">
        <v>50</v>
      </c>
      <c r="O339" s="177"/>
      <c r="P339" s="178" t="s">
        <v>1365</v>
      </c>
    </row>
    <row r="340" spans="1:16" x14ac:dyDescent="0.25">
      <c r="A340" s="177"/>
      <c r="B340" s="177"/>
      <c r="C340" s="177"/>
      <c r="D340" s="177"/>
      <c r="E340" s="167" t="s">
        <v>434</v>
      </c>
      <c r="F340" s="167" t="s">
        <v>293</v>
      </c>
      <c r="G340" s="167">
        <v>0</v>
      </c>
      <c r="H340" s="167" t="s">
        <v>954</v>
      </c>
      <c r="I340" s="177"/>
      <c r="J340" s="177"/>
      <c r="K340" s="177"/>
      <c r="L340" s="177"/>
      <c r="M340" s="177"/>
      <c r="N340" s="177"/>
      <c r="O340" s="177"/>
      <c r="P340" s="177"/>
    </row>
    <row r="341" spans="1:16" x14ac:dyDescent="0.25">
      <c r="A341" s="177"/>
      <c r="B341" s="177"/>
      <c r="C341" s="177"/>
      <c r="D341" s="177"/>
      <c r="E341" s="167" t="s">
        <v>433</v>
      </c>
      <c r="F341" s="167">
        <v>0</v>
      </c>
      <c r="G341" s="167" t="s">
        <v>944</v>
      </c>
      <c r="H341" s="167">
        <v>0</v>
      </c>
      <c r="I341" s="177"/>
      <c r="J341" s="177"/>
      <c r="K341" s="177"/>
      <c r="L341" s="177"/>
      <c r="M341" s="177"/>
      <c r="N341" s="177"/>
      <c r="O341" s="177"/>
      <c r="P341" s="177"/>
    </row>
    <row r="342" spans="1:16" x14ac:dyDescent="0.25">
      <c r="A342" s="177"/>
      <c r="B342" s="177"/>
      <c r="C342" s="177"/>
      <c r="D342" s="177"/>
      <c r="E342" s="167" t="s">
        <v>434</v>
      </c>
      <c r="F342" s="167" t="s">
        <v>294</v>
      </c>
      <c r="G342" s="167" t="s">
        <v>294</v>
      </c>
      <c r="H342" s="167" t="s">
        <v>967</v>
      </c>
      <c r="I342" s="177"/>
      <c r="J342" s="177"/>
      <c r="K342" s="177"/>
      <c r="L342" s="177"/>
      <c r="M342" s="177"/>
      <c r="N342" s="177"/>
      <c r="O342" s="177"/>
      <c r="P342" s="177"/>
    </row>
    <row r="343" spans="1:16" x14ac:dyDescent="0.25">
      <c r="A343" s="177" t="s">
        <v>858</v>
      </c>
      <c r="B343" s="177" t="s">
        <v>950</v>
      </c>
      <c r="C343" s="177">
        <v>40</v>
      </c>
      <c r="D343" s="177">
        <v>65</v>
      </c>
      <c r="E343" s="167" t="s">
        <v>433</v>
      </c>
      <c r="F343" s="167" t="s">
        <v>967</v>
      </c>
      <c r="G343" s="167" t="s">
        <v>293</v>
      </c>
      <c r="H343" s="167" t="s">
        <v>967</v>
      </c>
      <c r="I343" s="177" t="s">
        <v>285</v>
      </c>
      <c r="J343" s="177" t="s">
        <v>913</v>
      </c>
      <c r="K343" s="177" t="s">
        <v>913</v>
      </c>
      <c r="L343" s="177" t="s">
        <v>913</v>
      </c>
      <c r="M343" s="177">
        <v>1100</v>
      </c>
      <c r="N343" s="177">
        <v>50</v>
      </c>
      <c r="O343" s="177"/>
      <c r="P343" s="178" t="s">
        <v>1365</v>
      </c>
    </row>
    <row r="344" spans="1:16" x14ac:dyDescent="0.25">
      <c r="A344" s="177"/>
      <c r="B344" s="177"/>
      <c r="C344" s="177"/>
      <c r="D344" s="177"/>
      <c r="E344" s="167" t="s">
        <v>434</v>
      </c>
      <c r="F344" s="167" t="s">
        <v>293</v>
      </c>
      <c r="G344" s="167">
        <v>0</v>
      </c>
      <c r="H344" s="167" t="s">
        <v>954</v>
      </c>
      <c r="I344" s="177"/>
      <c r="J344" s="177"/>
      <c r="K344" s="177"/>
      <c r="L344" s="177"/>
      <c r="M344" s="177"/>
      <c r="N344" s="177"/>
      <c r="O344" s="177"/>
      <c r="P344" s="177"/>
    </row>
    <row r="345" spans="1:16" x14ac:dyDescent="0.25">
      <c r="A345" s="177"/>
      <c r="B345" s="177"/>
      <c r="C345" s="177"/>
      <c r="D345" s="177"/>
      <c r="E345" s="167" t="s">
        <v>433</v>
      </c>
      <c r="F345" s="167">
        <v>0</v>
      </c>
      <c r="G345" s="167" t="s">
        <v>944</v>
      </c>
      <c r="H345" s="167">
        <v>0</v>
      </c>
      <c r="I345" s="177"/>
      <c r="J345" s="177"/>
      <c r="K345" s="177"/>
      <c r="L345" s="177"/>
      <c r="M345" s="177"/>
      <c r="N345" s="177"/>
      <c r="O345" s="177"/>
      <c r="P345" s="177"/>
    </row>
    <row r="346" spans="1:16" x14ac:dyDescent="0.25">
      <c r="A346" s="177"/>
      <c r="B346" s="177"/>
      <c r="C346" s="177"/>
      <c r="D346" s="177"/>
      <c r="E346" s="167" t="s">
        <v>434</v>
      </c>
      <c r="F346" s="167" t="s">
        <v>294</v>
      </c>
      <c r="G346" s="167" t="s">
        <v>294</v>
      </c>
      <c r="H346" s="167" t="s">
        <v>967</v>
      </c>
      <c r="I346" s="177"/>
      <c r="J346" s="177"/>
      <c r="K346" s="177"/>
      <c r="L346" s="177"/>
      <c r="M346" s="177"/>
      <c r="N346" s="177"/>
      <c r="O346" s="177"/>
      <c r="P346" s="177"/>
    </row>
    <row r="347" spans="1:16" x14ac:dyDescent="0.25">
      <c r="A347" s="177" t="s">
        <v>858</v>
      </c>
      <c r="B347" s="177" t="s">
        <v>950</v>
      </c>
      <c r="C347" s="177">
        <v>40</v>
      </c>
      <c r="D347" s="177">
        <v>65</v>
      </c>
      <c r="E347" s="167" t="s">
        <v>433</v>
      </c>
      <c r="F347" s="167" t="s">
        <v>967</v>
      </c>
      <c r="G347" s="167" t="s">
        <v>293</v>
      </c>
      <c r="H347" s="167" t="s">
        <v>967</v>
      </c>
      <c r="I347" s="177" t="s">
        <v>285</v>
      </c>
      <c r="J347" s="177" t="s">
        <v>913</v>
      </c>
      <c r="K347" s="177" t="s">
        <v>913</v>
      </c>
      <c r="L347" s="177" t="s">
        <v>913</v>
      </c>
      <c r="M347" s="177">
        <v>1100</v>
      </c>
      <c r="N347" s="177">
        <v>50</v>
      </c>
      <c r="O347" s="177"/>
      <c r="P347" s="178" t="s">
        <v>1365</v>
      </c>
    </row>
    <row r="348" spans="1:16" x14ac:dyDescent="0.25">
      <c r="A348" s="177"/>
      <c r="B348" s="177"/>
      <c r="C348" s="177"/>
      <c r="D348" s="177"/>
      <c r="E348" s="167" t="s">
        <v>434</v>
      </c>
      <c r="F348" s="167" t="s">
        <v>293</v>
      </c>
      <c r="G348" s="167">
        <v>0</v>
      </c>
      <c r="H348" s="167" t="s">
        <v>954</v>
      </c>
      <c r="I348" s="177"/>
      <c r="J348" s="177"/>
      <c r="K348" s="177"/>
      <c r="L348" s="177"/>
      <c r="M348" s="177"/>
      <c r="N348" s="177"/>
      <c r="O348" s="177"/>
      <c r="P348" s="177"/>
    </row>
    <row r="349" spans="1:16" x14ac:dyDescent="0.25">
      <c r="A349" s="177"/>
      <c r="B349" s="177"/>
      <c r="C349" s="177"/>
      <c r="D349" s="177"/>
      <c r="E349" s="167" t="s">
        <v>433</v>
      </c>
      <c r="F349" s="167">
        <v>0</v>
      </c>
      <c r="G349" s="167" t="s">
        <v>944</v>
      </c>
      <c r="H349" s="167">
        <v>0</v>
      </c>
      <c r="I349" s="177"/>
      <c r="J349" s="177"/>
      <c r="K349" s="177"/>
      <c r="L349" s="177"/>
      <c r="M349" s="177"/>
      <c r="N349" s="177"/>
      <c r="O349" s="177"/>
      <c r="P349" s="177"/>
    </row>
    <row r="350" spans="1:16" x14ac:dyDescent="0.25">
      <c r="A350" s="177"/>
      <c r="B350" s="177"/>
      <c r="C350" s="177"/>
      <c r="D350" s="177"/>
      <c r="E350" s="167" t="s">
        <v>434</v>
      </c>
      <c r="F350" s="167" t="s">
        <v>294</v>
      </c>
      <c r="G350" s="167" t="s">
        <v>294</v>
      </c>
      <c r="H350" s="167" t="s">
        <v>967</v>
      </c>
      <c r="I350" s="177"/>
      <c r="J350" s="177"/>
      <c r="K350" s="177"/>
      <c r="L350" s="177"/>
      <c r="M350" s="177"/>
      <c r="N350" s="177"/>
      <c r="O350" s="177"/>
      <c r="P350" s="177"/>
    </row>
    <row r="351" spans="1:16" x14ac:dyDescent="0.25">
      <c r="A351" s="177" t="s">
        <v>858</v>
      </c>
      <c r="B351" s="177" t="s">
        <v>976</v>
      </c>
      <c r="C351" s="177">
        <v>40</v>
      </c>
      <c r="D351" s="177">
        <v>65</v>
      </c>
      <c r="E351" s="167" t="s">
        <v>433</v>
      </c>
      <c r="F351" s="167" t="s">
        <v>954</v>
      </c>
      <c r="G351" s="167" t="s">
        <v>293</v>
      </c>
      <c r="H351" s="167" t="s">
        <v>954</v>
      </c>
      <c r="I351" s="177" t="s">
        <v>285</v>
      </c>
      <c r="J351" s="177" t="s">
        <v>914</v>
      </c>
      <c r="K351" s="177" t="s">
        <v>914</v>
      </c>
      <c r="L351" s="177" t="s">
        <v>914</v>
      </c>
      <c r="M351" s="177">
        <v>830</v>
      </c>
      <c r="N351" s="177">
        <v>50</v>
      </c>
      <c r="O351" s="177"/>
      <c r="P351" s="178" t="s">
        <v>1365</v>
      </c>
    </row>
    <row r="352" spans="1:16" x14ac:dyDescent="0.25">
      <c r="A352" s="177"/>
      <c r="B352" s="177"/>
      <c r="C352" s="177"/>
      <c r="D352" s="177"/>
      <c r="E352" s="167" t="s">
        <v>434</v>
      </c>
      <c r="F352" s="167">
        <v>0</v>
      </c>
      <c r="G352" s="167">
        <v>0</v>
      </c>
      <c r="H352" s="167">
        <v>0</v>
      </c>
      <c r="I352" s="177"/>
      <c r="J352" s="177"/>
      <c r="K352" s="177"/>
      <c r="L352" s="177"/>
      <c r="M352" s="177"/>
      <c r="N352" s="177"/>
      <c r="O352" s="177"/>
      <c r="P352" s="177"/>
    </row>
    <row r="353" spans="1:16" x14ac:dyDescent="0.25">
      <c r="A353" s="177"/>
      <c r="B353" s="177"/>
      <c r="C353" s="177"/>
      <c r="D353" s="177"/>
      <c r="E353" s="167" t="s">
        <v>433</v>
      </c>
      <c r="F353" s="167">
        <v>0</v>
      </c>
      <c r="G353" s="167">
        <v>0</v>
      </c>
      <c r="H353" s="167">
        <v>0</v>
      </c>
      <c r="I353" s="177"/>
      <c r="J353" s="177"/>
      <c r="K353" s="177"/>
      <c r="L353" s="177"/>
      <c r="M353" s="177"/>
      <c r="N353" s="177"/>
      <c r="O353" s="177"/>
      <c r="P353" s="177"/>
    </row>
    <row r="354" spans="1:16" x14ac:dyDescent="0.25">
      <c r="A354" s="177"/>
      <c r="B354" s="177"/>
      <c r="C354" s="177"/>
      <c r="D354" s="177"/>
      <c r="E354" s="167" t="s">
        <v>434</v>
      </c>
      <c r="F354" s="167" t="s">
        <v>293</v>
      </c>
      <c r="G354" s="167" t="s">
        <v>947</v>
      </c>
      <c r="H354" s="167" t="s">
        <v>293</v>
      </c>
      <c r="I354" s="177"/>
      <c r="J354" s="177"/>
      <c r="K354" s="177"/>
      <c r="L354" s="177"/>
      <c r="M354" s="177"/>
      <c r="N354" s="177"/>
      <c r="O354" s="177"/>
      <c r="P354" s="177"/>
    </row>
    <row r="355" spans="1:16" x14ac:dyDescent="0.25">
      <c r="A355" s="177" t="s">
        <v>858</v>
      </c>
      <c r="B355" s="177" t="s">
        <v>977</v>
      </c>
      <c r="C355" s="177">
        <v>40</v>
      </c>
      <c r="D355" s="177">
        <v>65</v>
      </c>
      <c r="E355" s="167" t="s">
        <v>433</v>
      </c>
      <c r="F355" s="167" t="s">
        <v>954</v>
      </c>
      <c r="G355" s="167" t="s">
        <v>293</v>
      </c>
      <c r="H355" s="167" t="s">
        <v>954</v>
      </c>
      <c r="I355" s="177" t="s">
        <v>285</v>
      </c>
      <c r="J355" s="177" t="s">
        <v>914</v>
      </c>
      <c r="K355" s="177" t="s">
        <v>914</v>
      </c>
      <c r="L355" s="177" t="s">
        <v>914</v>
      </c>
      <c r="M355" s="177">
        <v>830</v>
      </c>
      <c r="N355" s="177">
        <v>50</v>
      </c>
      <c r="O355" s="177"/>
      <c r="P355" s="178" t="s">
        <v>1365</v>
      </c>
    </row>
    <row r="356" spans="1:16" x14ac:dyDescent="0.25">
      <c r="A356" s="177"/>
      <c r="B356" s="177"/>
      <c r="C356" s="177"/>
      <c r="D356" s="177"/>
      <c r="E356" s="167" t="s">
        <v>434</v>
      </c>
      <c r="F356" s="167">
        <v>0</v>
      </c>
      <c r="G356" s="167">
        <v>0</v>
      </c>
      <c r="H356" s="167">
        <v>0</v>
      </c>
      <c r="I356" s="177"/>
      <c r="J356" s="177"/>
      <c r="K356" s="177"/>
      <c r="L356" s="177"/>
      <c r="M356" s="177"/>
      <c r="N356" s="177"/>
      <c r="O356" s="177"/>
      <c r="P356" s="177"/>
    </row>
    <row r="357" spans="1:16" x14ac:dyDescent="0.25">
      <c r="A357" s="177"/>
      <c r="B357" s="177"/>
      <c r="C357" s="177"/>
      <c r="D357" s="177"/>
      <c r="E357" s="167" t="s">
        <v>433</v>
      </c>
      <c r="F357" s="167">
        <v>0</v>
      </c>
      <c r="G357" s="167">
        <v>0</v>
      </c>
      <c r="H357" s="167">
        <v>0</v>
      </c>
      <c r="I357" s="177"/>
      <c r="J357" s="177"/>
      <c r="K357" s="177"/>
      <c r="L357" s="177"/>
      <c r="M357" s="177"/>
      <c r="N357" s="177"/>
      <c r="O357" s="177"/>
      <c r="P357" s="177"/>
    </row>
    <row r="358" spans="1:16" x14ac:dyDescent="0.25">
      <c r="A358" s="177"/>
      <c r="B358" s="177"/>
      <c r="C358" s="177"/>
      <c r="D358" s="177"/>
      <c r="E358" s="167" t="s">
        <v>434</v>
      </c>
      <c r="F358" s="167" t="s">
        <v>293</v>
      </c>
      <c r="G358" s="167" t="s">
        <v>947</v>
      </c>
      <c r="H358" s="167" t="s">
        <v>293</v>
      </c>
      <c r="I358" s="177"/>
      <c r="J358" s="177"/>
      <c r="K358" s="177"/>
      <c r="L358" s="177"/>
      <c r="M358" s="177"/>
      <c r="N358" s="177"/>
      <c r="O358" s="177"/>
      <c r="P358" s="177"/>
    </row>
    <row r="359" spans="1:16" x14ac:dyDescent="0.25">
      <c r="A359" s="177" t="s">
        <v>858</v>
      </c>
      <c r="B359" s="177" t="s">
        <v>978</v>
      </c>
      <c r="C359" s="177">
        <v>40</v>
      </c>
      <c r="D359" s="177">
        <v>65</v>
      </c>
      <c r="E359" s="167" t="s">
        <v>433</v>
      </c>
      <c r="F359" s="167" t="s">
        <v>954</v>
      </c>
      <c r="G359" s="167" t="s">
        <v>293</v>
      </c>
      <c r="H359" s="167" t="s">
        <v>944</v>
      </c>
      <c r="I359" s="177" t="s">
        <v>285</v>
      </c>
      <c r="J359" s="177" t="s">
        <v>914</v>
      </c>
      <c r="K359" s="177" t="s">
        <v>914</v>
      </c>
      <c r="L359" s="177" t="s">
        <v>914</v>
      </c>
      <c r="M359" s="177">
        <v>830</v>
      </c>
      <c r="N359" s="177">
        <v>50</v>
      </c>
      <c r="O359" s="177"/>
      <c r="P359" s="179" t="s">
        <v>1367</v>
      </c>
    </row>
    <row r="360" spans="1:16" x14ac:dyDescent="0.25">
      <c r="A360" s="177"/>
      <c r="B360" s="177"/>
      <c r="C360" s="177"/>
      <c r="D360" s="177"/>
      <c r="E360" s="167" t="s">
        <v>434</v>
      </c>
      <c r="F360" s="167">
        <v>0</v>
      </c>
      <c r="G360" s="167">
        <v>0</v>
      </c>
      <c r="H360" s="167">
        <v>0</v>
      </c>
      <c r="I360" s="177"/>
      <c r="J360" s="177"/>
      <c r="K360" s="177"/>
      <c r="L360" s="177"/>
      <c r="M360" s="177"/>
      <c r="N360" s="177"/>
      <c r="O360" s="177"/>
      <c r="P360" s="177"/>
    </row>
    <row r="361" spans="1:16" x14ac:dyDescent="0.25">
      <c r="A361" s="177"/>
      <c r="B361" s="177"/>
      <c r="C361" s="177"/>
      <c r="D361" s="177"/>
      <c r="E361" s="167" t="s">
        <v>433</v>
      </c>
      <c r="F361" s="167">
        <v>0</v>
      </c>
      <c r="G361" s="167">
        <v>0</v>
      </c>
      <c r="H361" s="167">
        <v>0</v>
      </c>
      <c r="I361" s="177"/>
      <c r="J361" s="177"/>
      <c r="K361" s="177"/>
      <c r="L361" s="177"/>
      <c r="M361" s="177"/>
      <c r="N361" s="177"/>
      <c r="O361" s="177"/>
      <c r="P361" s="177"/>
    </row>
    <row r="362" spans="1:16" x14ac:dyDescent="0.25">
      <c r="A362" s="177"/>
      <c r="B362" s="177"/>
      <c r="C362" s="177"/>
      <c r="D362" s="177"/>
      <c r="E362" s="167" t="s">
        <v>434</v>
      </c>
      <c r="F362" s="167" t="s">
        <v>293</v>
      </c>
      <c r="G362" s="167" t="s">
        <v>947</v>
      </c>
      <c r="H362" s="167" t="s">
        <v>947</v>
      </c>
      <c r="I362" s="177"/>
      <c r="J362" s="177"/>
      <c r="K362" s="177"/>
      <c r="L362" s="177"/>
      <c r="M362" s="177"/>
      <c r="N362" s="177"/>
      <c r="O362" s="177"/>
      <c r="P362" s="177"/>
    </row>
    <row r="363" spans="1:16" x14ac:dyDescent="0.25">
      <c r="A363" s="177" t="s">
        <v>858</v>
      </c>
      <c r="B363" s="177" t="s">
        <v>980</v>
      </c>
      <c r="C363" s="177">
        <v>40</v>
      </c>
      <c r="D363" s="177">
        <v>65</v>
      </c>
      <c r="E363" s="167" t="s">
        <v>433</v>
      </c>
      <c r="F363" s="167" t="s">
        <v>944</v>
      </c>
      <c r="G363" s="167" t="s">
        <v>293</v>
      </c>
      <c r="H363" s="167" t="s">
        <v>967</v>
      </c>
      <c r="I363" s="177" t="s">
        <v>285</v>
      </c>
      <c r="J363" s="177" t="s">
        <v>914</v>
      </c>
      <c r="K363" s="177" t="s">
        <v>914</v>
      </c>
      <c r="L363" s="177" t="s">
        <v>914</v>
      </c>
      <c r="M363" s="177">
        <v>830</v>
      </c>
      <c r="N363" s="177">
        <v>50</v>
      </c>
      <c r="O363" s="177"/>
      <c r="P363" s="179" t="s">
        <v>1364</v>
      </c>
    </row>
    <row r="364" spans="1:16" x14ac:dyDescent="0.25">
      <c r="A364" s="177"/>
      <c r="B364" s="177"/>
      <c r="C364" s="177"/>
      <c r="D364" s="177"/>
      <c r="E364" s="167" t="s">
        <v>434</v>
      </c>
      <c r="F364" s="167">
        <v>0</v>
      </c>
      <c r="G364" s="167">
        <v>0</v>
      </c>
      <c r="H364" s="167" t="s">
        <v>944</v>
      </c>
      <c r="I364" s="177"/>
      <c r="J364" s="177"/>
      <c r="K364" s="177"/>
      <c r="L364" s="177"/>
      <c r="M364" s="177"/>
      <c r="N364" s="177"/>
      <c r="O364" s="177"/>
      <c r="P364" s="177"/>
    </row>
    <row r="365" spans="1:16" x14ac:dyDescent="0.25">
      <c r="A365" s="177"/>
      <c r="B365" s="177"/>
      <c r="C365" s="177"/>
      <c r="D365" s="177"/>
      <c r="E365" s="167" t="s">
        <v>433</v>
      </c>
      <c r="F365" s="167">
        <v>0</v>
      </c>
      <c r="G365" s="167" t="s">
        <v>944</v>
      </c>
      <c r="H365" s="167">
        <v>0</v>
      </c>
      <c r="I365" s="177"/>
      <c r="J365" s="177"/>
      <c r="K365" s="177"/>
      <c r="L365" s="177"/>
      <c r="M365" s="177"/>
      <c r="N365" s="177"/>
      <c r="O365" s="177"/>
      <c r="P365" s="177"/>
    </row>
    <row r="366" spans="1:16" x14ac:dyDescent="0.25">
      <c r="A366" s="177"/>
      <c r="B366" s="177"/>
      <c r="C366" s="177"/>
      <c r="D366" s="177"/>
      <c r="E366" s="167" t="s">
        <v>434</v>
      </c>
      <c r="F366" s="167" t="s">
        <v>967</v>
      </c>
      <c r="G366" s="167" t="s">
        <v>967</v>
      </c>
      <c r="H366" s="167" t="s">
        <v>294</v>
      </c>
      <c r="I366" s="177"/>
      <c r="J366" s="177"/>
      <c r="K366" s="177"/>
      <c r="L366" s="177"/>
      <c r="M366" s="177"/>
      <c r="N366" s="177"/>
      <c r="O366" s="177"/>
      <c r="P366" s="177"/>
    </row>
    <row r="367" spans="1:16" x14ac:dyDescent="0.25">
      <c r="A367" s="177" t="s">
        <v>858</v>
      </c>
      <c r="B367" s="177" t="s">
        <v>981</v>
      </c>
      <c r="C367" s="177">
        <v>40</v>
      </c>
      <c r="D367" s="177">
        <v>65</v>
      </c>
      <c r="E367" s="167" t="s">
        <v>433</v>
      </c>
      <c r="F367" s="167" t="s">
        <v>967</v>
      </c>
      <c r="G367" s="167" t="s">
        <v>293</v>
      </c>
      <c r="H367" s="167" t="s">
        <v>967</v>
      </c>
      <c r="I367" s="177" t="s">
        <v>285</v>
      </c>
      <c r="J367" s="177" t="s">
        <v>286</v>
      </c>
      <c r="K367" s="177" t="s">
        <v>286</v>
      </c>
      <c r="L367" s="177" t="s">
        <v>286</v>
      </c>
      <c r="M367" s="177">
        <v>830</v>
      </c>
      <c r="N367" s="177">
        <v>50</v>
      </c>
      <c r="O367" s="177"/>
      <c r="P367" s="178" t="s">
        <v>1365</v>
      </c>
    </row>
    <row r="368" spans="1:16" x14ac:dyDescent="0.25">
      <c r="A368" s="177"/>
      <c r="B368" s="177"/>
      <c r="C368" s="177"/>
      <c r="D368" s="177"/>
      <c r="E368" s="167" t="s">
        <v>434</v>
      </c>
      <c r="F368" s="167" t="s">
        <v>944</v>
      </c>
      <c r="G368" s="167">
        <v>0</v>
      </c>
      <c r="H368" s="167" t="s">
        <v>944</v>
      </c>
      <c r="I368" s="177"/>
      <c r="J368" s="177"/>
      <c r="K368" s="177"/>
      <c r="L368" s="177"/>
      <c r="M368" s="177"/>
      <c r="N368" s="177"/>
      <c r="O368" s="177"/>
      <c r="P368" s="177"/>
    </row>
    <row r="369" spans="1:16" x14ac:dyDescent="0.25">
      <c r="A369" s="177"/>
      <c r="B369" s="177"/>
      <c r="C369" s="177"/>
      <c r="D369" s="177"/>
      <c r="E369" s="167" t="s">
        <v>433</v>
      </c>
      <c r="F369" s="167">
        <v>0</v>
      </c>
      <c r="G369" s="167" t="s">
        <v>944</v>
      </c>
      <c r="H369" s="167">
        <v>0</v>
      </c>
      <c r="I369" s="177"/>
      <c r="J369" s="177"/>
      <c r="K369" s="177"/>
      <c r="L369" s="177"/>
      <c r="M369" s="177"/>
      <c r="N369" s="177"/>
      <c r="O369" s="177"/>
      <c r="P369" s="177"/>
    </row>
    <row r="370" spans="1:16" x14ac:dyDescent="0.25">
      <c r="A370" s="177"/>
      <c r="B370" s="177"/>
      <c r="C370" s="177"/>
      <c r="D370" s="177"/>
      <c r="E370" s="167" t="s">
        <v>434</v>
      </c>
      <c r="F370" s="167" t="s">
        <v>954</v>
      </c>
      <c r="G370" s="167" t="s">
        <v>294</v>
      </c>
      <c r="H370" s="167" t="s">
        <v>954</v>
      </c>
      <c r="I370" s="177"/>
      <c r="J370" s="177"/>
      <c r="K370" s="177"/>
      <c r="L370" s="177"/>
      <c r="M370" s="177"/>
      <c r="N370" s="177"/>
      <c r="O370" s="177"/>
      <c r="P370" s="177"/>
    </row>
    <row r="371" spans="1:16" x14ac:dyDescent="0.25">
      <c r="A371" s="177" t="s">
        <v>858</v>
      </c>
      <c r="B371" s="177" t="s">
        <v>982</v>
      </c>
      <c r="C371" s="177">
        <v>40</v>
      </c>
      <c r="D371" s="177">
        <v>65</v>
      </c>
      <c r="E371" s="167" t="s">
        <v>433</v>
      </c>
      <c r="F371" s="167" t="s">
        <v>967</v>
      </c>
      <c r="G371" s="167" t="s">
        <v>293</v>
      </c>
      <c r="H371" s="167" t="s">
        <v>967</v>
      </c>
      <c r="I371" s="177" t="s">
        <v>285</v>
      </c>
      <c r="J371" s="177" t="s">
        <v>286</v>
      </c>
      <c r="K371" s="177" t="s">
        <v>286</v>
      </c>
      <c r="L371" s="177" t="s">
        <v>286</v>
      </c>
      <c r="M371" s="177">
        <v>830</v>
      </c>
      <c r="N371" s="177">
        <v>50</v>
      </c>
      <c r="O371" s="177"/>
      <c r="P371" s="178" t="s">
        <v>1365</v>
      </c>
    </row>
    <row r="372" spans="1:16" x14ac:dyDescent="0.25">
      <c r="A372" s="177"/>
      <c r="B372" s="177"/>
      <c r="C372" s="177"/>
      <c r="D372" s="177"/>
      <c r="E372" s="167" t="s">
        <v>434</v>
      </c>
      <c r="F372" s="167" t="s">
        <v>944</v>
      </c>
      <c r="G372" s="167">
        <v>0</v>
      </c>
      <c r="H372" s="167" t="s">
        <v>944</v>
      </c>
      <c r="I372" s="177"/>
      <c r="J372" s="177"/>
      <c r="K372" s="177"/>
      <c r="L372" s="177"/>
      <c r="M372" s="177"/>
      <c r="N372" s="177"/>
      <c r="O372" s="177"/>
      <c r="P372" s="177"/>
    </row>
    <row r="373" spans="1:16" x14ac:dyDescent="0.25">
      <c r="A373" s="177"/>
      <c r="B373" s="177"/>
      <c r="C373" s="177"/>
      <c r="D373" s="177"/>
      <c r="E373" s="167" t="s">
        <v>433</v>
      </c>
      <c r="F373" s="167">
        <v>0</v>
      </c>
      <c r="G373" s="167" t="s">
        <v>944</v>
      </c>
      <c r="H373" s="167">
        <v>0</v>
      </c>
      <c r="I373" s="177"/>
      <c r="J373" s="177"/>
      <c r="K373" s="177"/>
      <c r="L373" s="177"/>
      <c r="M373" s="177"/>
      <c r="N373" s="177"/>
      <c r="O373" s="177"/>
      <c r="P373" s="177"/>
    </row>
    <row r="374" spans="1:16" x14ac:dyDescent="0.25">
      <c r="A374" s="177"/>
      <c r="B374" s="177"/>
      <c r="C374" s="177"/>
      <c r="D374" s="177"/>
      <c r="E374" s="167" t="s">
        <v>434</v>
      </c>
      <c r="F374" s="167" t="s">
        <v>954</v>
      </c>
      <c r="G374" s="167" t="s">
        <v>294</v>
      </c>
      <c r="H374" s="167" t="s">
        <v>954</v>
      </c>
      <c r="I374" s="177"/>
      <c r="J374" s="177"/>
      <c r="K374" s="177"/>
      <c r="L374" s="177"/>
      <c r="M374" s="177"/>
      <c r="N374" s="177"/>
      <c r="O374" s="177"/>
      <c r="P374" s="177"/>
    </row>
    <row r="375" spans="1:16" x14ac:dyDescent="0.25">
      <c r="A375" s="177" t="s">
        <v>858</v>
      </c>
      <c r="B375" s="177" t="s">
        <v>983</v>
      </c>
      <c r="C375" s="177">
        <v>40</v>
      </c>
      <c r="D375" s="177">
        <v>65</v>
      </c>
      <c r="E375" s="167" t="s">
        <v>433</v>
      </c>
      <c r="F375" s="167" t="s">
        <v>967</v>
      </c>
      <c r="G375" s="167" t="s">
        <v>293</v>
      </c>
      <c r="H375" s="167" t="s">
        <v>967</v>
      </c>
      <c r="I375" s="177" t="s">
        <v>285</v>
      </c>
      <c r="J375" s="177" t="s">
        <v>286</v>
      </c>
      <c r="K375" s="177" t="s">
        <v>286</v>
      </c>
      <c r="L375" s="177" t="s">
        <v>286</v>
      </c>
      <c r="M375" s="177">
        <v>830</v>
      </c>
      <c r="N375" s="177">
        <v>50</v>
      </c>
      <c r="O375" s="177"/>
      <c r="P375" s="178" t="s">
        <v>1365</v>
      </c>
    </row>
    <row r="376" spans="1:16" x14ac:dyDescent="0.25">
      <c r="A376" s="177"/>
      <c r="B376" s="177"/>
      <c r="C376" s="177"/>
      <c r="D376" s="177"/>
      <c r="E376" s="167" t="s">
        <v>434</v>
      </c>
      <c r="F376" s="167" t="s">
        <v>944</v>
      </c>
      <c r="G376" s="167">
        <v>0</v>
      </c>
      <c r="H376" s="167" t="s">
        <v>293</v>
      </c>
      <c r="I376" s="177"/>
      <c r="J376" s="177"/>
      <c r="K376" s="177"/>
      <c r="L376" s="177"/>
      <c r="M376" s="177"/>
      <c r="N376" s="177"/>
      <c r="O376" s="177"/>
      <c r="P376" s="177"/>
    </row>
    <row r="377" spans="1:16" x14ac:dyDescent="0.25">
      <c r="A377" s="177"/>
      <c r="B377" s="177"/>
      <c r="C377" s="177"/>
      <c r="D377" s="177"/>
      <c r="E377" s="167" t="s">
        <v>433</v>
      </c>
      <c r="F377" s="167">
        <v>0</v>
      </c>
      <c r="G377" s="167" t="s">
        <v>944</v>
      </c>
      <c r="H377" s="167">
        <v>0</v>
      </c>
      <c r="I377" s="177"/>
      <c r="J377" s="177"/>
      <c r="K377" s="177"/>
      <c r="L377" s="177"/>
      <c r="M377" s="177"/>
      <c r="N377" s="177"/>
      <c r="O377" s="177"/>
      <c r="P377" s="177"/>
    </row>
    <row r="378" spans="1:16" x14ac:dyDescent="0.25">
      <c r="A378" s="177"/>
      <c r="B378" s="177"/>
      <c r="C378" s="177"/>
      <c r="D378" s="177"/>
      <c r="E378" s="167" t="s">
        <v>434</v>
      </c>
      <c r="F378" s="167" t="s">
        <v>954</v>
      </c>
      <c r="G378" s="167" t="s">
        <v>294</v>
      </c>
      <c r="H378" s="167" t="s">
        <v>954</v>
      </c>
      <c r="I378" s="177"/>
      <c r="J378" s="177"/>
      <c r="K378" s="177"/>
      <c r="L378" s="177"/>
      <c r="M378" s="177"/>
      <c r="N378" s="177"/>
      <c r="O378" s="177"/>
      <c r="P378" s="177"/>
    </row>
    <row r="379" spans="1:16" x14ac:dyDescent="0.25">
      <c r="A379" s="177" t="s">
        <v>858</v>
      </c>
      <c r="B379" s="177" t="s">
        <v>984</v>
      </c>
      <c r="C379" s="177">
        <v>40</v>
      </c>
      <c r="D379" s="177">
        <v>65</v>
      </c>
      <c r="E379" s="167" t="s">
        <v>433</v>
      </c>
      <c r="F379" s="167" t="s">
        <v>967</v>
      </c>
      <c r="G379" s="167" t="s">
        <v>293</v>
      </c>
      <c r="H379" s="167" t="s">
        <v>944</v>
      </c>
      <c r="I379" s="177" t="s">
        <v>285</v>
      </c>
      <c r="J379" s="177" t="s">
        <v>979</v>
      </c>
      <c r="K379" s="177" t="s">
        <v>979</v>
      </c>
      <c r="L379" s="177" t="s">
        <v>979</v>
      </c>
      <c r="M379" s="177">
        <v>830</v>
      </c>
      <c r="N379" s="177">
        <v>50</v>
      </c>
      <c r="O379" s="177"/>
      <c r="P379" s="179" t="s">
        <v>1367</v>
      </c>
    </row>
    <row r="380" spans="1:16" x14ac:dyDescent="0.25">
      <c r="A380" s="177"/>
      <c r="B380" s="177"/>
      <c r="C380" s="177"/>
      <c r="D380" s="177"/>
      <c r="E380" s="167" t="s">
        <v>434</v>
      </c>
      <c r="F380" s="167" t="s">
        <v>293</v>
      </c>
      <c r="G380" s="167">
        <v>0</v>
      </c>
      <c r="H380" s="167">
        <v>0</v>
      </c>
      <c r="I380" s="177"/>
      <c r="J380" s="177"/>
      <c r="K380" s="177"/>
      <c r="L380" s="177"/>
      <c r="M380" s="177"/>
      <c r="N380" s="177"/>
      <c r="O380" s="177"/>
      <c r="P380" s="177"/>
    </row>
    <row r="381" spans="1:16" x14ac:dyDescent="0.25">
      <c r="A381" s="177"/>
      <c r="B381" s="177"/>
      <c r="C381" s="177"/>
      <c r="D381" s="177"/>
      <c r="E381" s="167" t="s">
        <v>433</v>
      </c>
      <c r="F381" s="167">
        <v>0</v>
      </c>
      <c r="G381" s="167" t="s">
        <v>944</v>
      </c>
      <c r="H381" s="167">
        <v>0</v>
      </c>
      <c r="I381" s="177"/>
      <c r="J381" s="177"/>
      <c r="K381" s="177"/>
      <c r="L381" s="177"/>
      <c r="M381" s="177"/>
      <c r="N381" s="177"/>
      <c r="O381" s="177"/>
      <c r="P381" s="177"/>
    </row>
    <row r="382" spans="1:16" x14ac:dyDescent="0.25">
      <c r="A382" s="177"/>
      <c r="B382" s="177"/>
      <c r="C382" s="177"/>
      <c r="D382" s="177"/>
      <c r="E382" s="167" t="s">
        <v>434</v>
      </c>
      <c r="F382" s="167" t="s">
        <v>954</v>
      </c>
      <c r="G382" s="167" t="s">
        <v>294</v>
      </c>
      <c r="H382" s="167" t="s">
        <v>967</v>
      </c>
      <c r="I382" s="177"/>
      <c r="J382" s="177"/>
      <c r="K382" s="177"/>
      <c r="L382" s="177"/>
      <c r="M382" s="177"/>
      <c r="N382" s="177"/>
      <c r="O382" s="177"/>
      <c r="P382" s="177"/>
    </row>
    <row r="383" spans="1:16" x14ac:dyDescent="0.25">
      <c r="A383" s="177" t="s">
        <v>858</v>
      </c>
      <c r="B383" s="177" t="s">
        <v>985</v>
      </c>
      <c r="C383" s="177">
        <v>40</v>
      </c>
      <c r="D383" s="177">
        <v>65</v>
      </c>
      <c r="E383" s="167" t="s">
        <v>433</v>
      </c>
      <c r="F383" s="167" t="s">
        <v>967</v>
      </c>
      <c r="G383" s="167" t="s">
        <v>293</v>
      </c>
      <c r="H383" s="167" t="s">
        <v>967</v>
      </c>
      <c r="I383" s="177" t="s">
        <v>285</v>
      </c>
      <c r="J383" s="177" t="s">
        <v>918</v>
      </c>
      <c r="K383" s="177" t="s">
        <v>918</v>
      </c>
      <c r="L383" s="177" t="s">
        <v>918</v>
      </c>
      <c r="M383" s="177">
        <v>830</v>
      </c>
      <c r="N383" s="177">
        <v>140</v>
      </c>
      <c r="O383" s="177"/>
      <c r="P383" s="178" t="s">
        <v>1365</v>
      </c>
    </row>
    <row r="384" spans="1:16" x14ac:dyDescent="0.25">
      <c r="A384" s="177"/>
      <c r="B384" s="177"/>
      <c r="C384" s="177"/>
      <c r="D384" s="177"/>
      <c r="E384" s="167" t="s">
        <v>434</v>
      </c>
      <c r="F384" s="167" t="s">
        <v>954</v>
      </c>
      <c r="G384" s="167">
        <v>0</v>
      </c>
      <c r="H384" s="167" t="s">
        <v>954</v>
      </c>
      <c r="I384" s="177"/>
      <c r="J384" s="177"/>
      <c r="K384" s="177"/>
      <c r="L384" s="177"/>
      <c r="M384" s="177"/>
      <c r="N384" s="177"/>
      <c r="O384" s="177"/>
      <c r="P384" s="177"/>
    </row>
    <row r="385" spans="1:16" x14ac:dyDescent="0.25">
      <c r="A385" s="177"/>
      <c r="B385" s="177"/>
      <c r="C385" s="177"/>
      <c r="D385" s="177"/>
      <c r="E385" s="167" t="s">
        <v>433</v>
      </c>
      <c r="F385" s="167" t="s">
        <v>954</v>
      </c>
      <c r="G385" s="167" t="s">
        <v>967</v>
      </c>
      <c r="H385" s="167" t="s">
        <v>954</v>
      </c>
      <c r="I385" s="177"/>
      <c r="J385" s="177"/>
      <c r="K385" s="177"/>
      <c r="L385" s="177"/>
      <c r="M385" s="177"/>
      <c r="N385" s="177"/>
      <c r="O385" s="177"/>
      <c r="P385" s="177"/>
    </row>
    <row r="386" spans="1:16" x14ac:dyDescent="0.25">
      <c r="A386" s="177"/>
      <c r="B386" s="177"/>
      <c r="C386" s="177"/>
      <c r="D386" s="177"/>
      <c r="E386" s="167" t="s">
        <v>434</v>
      </c>
      <c r="F386" s="167" t="s">
        <v>967</v>
      </c>
      <c r="G386" s="167" t="s">
        <v>967</v>
      </c>
      <c r="H386" s="167" t="s">
        <v>967</v>
      </c>
      <c r="I386" s="177"/>
      <c r="J386" s="177"/>
      <c r="K386" s="177"/>
      <c r="L386" s="177"/>
      <c r="M386" s="177"/>
      <c r="N386" s="177"/>
      <c r="O386" s="177"/>
      <c r="P386" s="177"/>
    </row>
    <row r="387" spans="1:16" x14ac:dyDescent="0.25">
      <c r="A387" s="177" t="s">
        <v>858</v>
      </c>
      <c r="B387" s="177" t="s">
        <v>985</v>
      </c>
      <c r="C387" s="177">
        <v>40</v>
      </c>
      <c r="D387" s="177">
        <v>65</v>
      </c>
      <c r="E387" s="167" t="s">
        <v>433</v>
      </c>
      <c r="F387" s="167" t="s">
        <v>967</v>
      </c>
      <c r="G387" s="167" t="s">
        <v>293</v>
      </c>
      <c r="H387" s="167" t="s">
        <v>967</v>
      </c>
      <c r="I387" s="177" t="s">
        <v>285</v>
      </c>
      <c r="J387" s="177" t="s">
        <v>918</v>
      </c>
      <c r="K387" s="177" t="s">
        <v>918</v>
      </c>
      <c r="L387" s="177" t="s">
        <v>918</v>
      </c>
      <c r="M387" s="177">
        <v>830</v>
      </c>
      <c r="N387" s="177">
        <v>140</v>
      </c>
      <c r="O387" s="177"/>
      <c r="P387" s="178" t="s">
        <v>1365</v>
      </c>
    </row>
    <row r="388" spans="1:16" x14ac:dyDescent="0.25">
      <c r="A388" s="177"/>
      <c r="B388" s="177"/>
      <c r="C388" s="177"/>
      <c r="D388" s="177"/>
      <c r="E388" s="167" t="s">
        <v>434</v>
      </c>
      <c r="F388" s="167" t="s">
        <v>954</v>
      </c>
      <c r="G388" s="167">
        <v>0</v>
      </c>
      <c r="H388" s="167" t="s">
        <v>954</v>
      </c>
      <c r="I388" s="177"/>
      <c r="J388" s="177"/>
      <c r="K388" s="177"/>
      <c r="L388" s="177"/>
      <c r="M388" s="177"/>
      <c r="N388" s="177"/>
      <c r="O388" s="177"/>
      <c r="P388" s="177"/>
    </row>
    <row r="389" spans="1:16" x14ac:dyDescent="0.25">
      <c r="A389" s="177"/>
      <c r="B389" s="177"/>
      <c r="C389" s="177"/>
      <c r="D389" s="177"/>
      <c r="E389" s="167" t="s">
        <v>433</v>
      </c>
      <c r="F389" s="167" t="s">
        <v>954</v>
      </c>
      <c r="G389" s="167" t="s">
        <v>967</v>
      </c>
      <c r="H389" s="167" t="s">
        <v>954</v>
      </c>
      <c r="I389" s="177"/>
      <c r="J389" s="177"/>
      <c r="K389" s="177"/>
      <c r="L389" s="177"/>
      <c r="M389" s="177"/>
      <c r="N389" s="177"/>
      <c r="O389" s="177"/>
      <c r="P389" s="177"/>
    </row>
    <row r="390" spans="1:16" x14ac:dyDescent="0.25">
      <c r="A390" s="177"/>
      <c r="B390" s="177"/>
      <c r="C390" s="177"/>
      <c r="D390" s="177"/>
      <c r="E390" s="167" t="s">
        <v>434</v>
      </c>
      <c r="F390" s="167" t="s">
        <v>967</v>
      </c>
      <c r="G390" s="167" t="s">
        <v>967</v>
      </c>
      <c r="H390" s="167" t="s">
        <v>967</v>
      </c>
      <c r="I390" s="177"/>
      <c r="J390" s="177"/>
      <c r="K390" s="177"/>
      <c r="L390" s="177"/>
      <c r="M390" s="177"/>
      <c r="N390" s="177"/>
      <c r="O390" s="177"/>
      <c r="P390" s="177"/>
    </row>
    <row r="391" spans="1:16" x14ac:dyDescent="0.25">
      <c r="A391" s="177" t="s">
        <v>858</v>
      </c>
      <c r="B391" s="177" t="s">
        <v>985</v>
      </c>
      <c r="C391" s="177">
        <v>40</v>
      </c>
      <c r="D391" s="177">
        <v>65</v>
      </c>
      <c r="E391" s="167" t="s">
        <v>433</v>
      </c>
      <c r="F391" s="167" t="s">
        <v>967</v>
      </c>
      <c r="G391" s="167" t="s">
        <v>293</v>
      </c>
      <c r="H391" s="167" t="s">
        <v>967</v>
      </c>
      <c r="I391" s="177" t="s">
        <v>285</v>
      </c>
      <c r="J391" s="177" t="s">
        <v>918</v>
      </c>
      <c r="K391" s="177" t="s">
        <v>918</v>
      </c>
      <c r="L391" s="177" t="s">
        <v>918</v>
      </c>
      <c r="M391" s="177">
        <v>830</v>
      </c>
      <c r="N391" s="177">
        <v>140</v>
      </c>
      <c r="O391" s="177"/>
      <c r="P391" s="178" t="s">
        <v>1365</v>
      </c>
    </row>
    <row r="392" spans="1:16" x14ac:dyDescent="0.25">
      <c r="A392" s="177"/>
      <c r="B392" s="177"/>
      <c r="C392" s="177"/>
      <c r="D392" s="177"/>
      <c r="E392" s="167" t="s">
        <v>434</v>
      </c>
      <c r="F392" s="167" t="s">
        <v>954</v>
      </c>
      <c r="G392" s="167">
        <v>0</v>
      </c>
      <c r="H392" s="167" t="s">
        <v>954</v>
      </c>
      <c r="I392" s="177"/>
      <c r="J392" s="177"/>
      <c r="K392" s="177"/>
      <c r="L392" s="177"/>
      <c r="M392" s="177"/>
      <c r="N392" s="177"/>
      <c r="O392" s="177"/>
      <c r="P392" s="177"/>
    </row>
    <row r="393" spans="1:16" x14ac:dyDescent="0.25">
      <c r="A393" s="177"/>
      <c r="B393" s="177"/>
      <c r="C393" s="177"/>
      <c r="D393" s="177"/>
      <c r="E393" s="167" t="s">
        <v>433</v>
      </c>
      <c r="F393" s="167" t="s">
        <v>954</v>
      </c>
      <c r="G393" s="167" t="s">
        <v>967</v>
      </c>
      <c r="H393" s="167" t="s">
        <v>954</v>
      </c>
      <c r="I393" s="177"/>
      <c r="J393" s="177"/>
      <c r="K393" s="177"/>
      <c r="L393" s="177"/>
      <c r="M393" s="177"/>
      <c r="N393" s="177"/>
      <c r="O393" s="177"/>
      <c r="P393" s="177"/>
    </row>
    <row r="394" spans="1:16" x14ac:dyDescent="0.25">
      <c r="A394" s="177"/>
      <c r="B394" s="177"/>
      <c r="C394" s="177"/>
      <c r="D394" s="177"/>
      <c r="E394" s="167" t="s">
        <v>434</v>
      </c>
      <c r="F394" s="167" t="s">
        <v>967</v>
      </c>
      <c r="G394" s="167" t="s">
        <v>967</v>
      </c>
      <c r="H394" s="167" t="s">
        <v>967</v>
      </c>
      <c r="I394" s="177"/>
      <c r="J394" s="177"/>
      <c r="K394" s="177"/>
      <c r="L394" s="177"/>
      <c r="M394" s="177"/>
      <c r="N394" s="177"/>
      <c r="O394" s="177"/>
      <c r="P394" s="177"/>
    </row>
    <row r="395" spans="1:16" x14ac:dyDescent="0.25">
      <c r="A395" s="177" t="s">
        <v>858</v>
      </c>
      <c r="B395" s="177" t="s">
        <v>985</v>
      </c>
      <c r="C395" s="177">
        <v>40</v>
      </c>
      <c r="D395" s="177">
        <v>65</v>
      </c>
      <c r="E395" s="167" t="s">
        <v>433</v>
      </c>
      <c r="F395" s="167" t="s">
        <v>967</v>
      </c>
      <c r="G395" s="167" t="s">
        <v>293</v>
      </c>
      <c r="H395" s="167" t="s">
        <v>967</v>
      </c>
      <c r="I395" s="177" t="s">
        <v>285</v>
      </c>
      <c r="J395" s="177" t="s">
        <v>918</v>
      </c>
      <c r="K395" s="177" t="s">
        <v>918</v>
      </c>
      <c r="L395" s="177" t="s">
        <v>918</v>
      </c>
      <c r="M395" s="177">
        <v>830</v>
      </c>
      <c r="N395" s="177">
        <v>140</v>
      </c>
      <c r="O395" s="177"/>
      <c r="P395" s="178" t="s">
        <v>1365</v>
      </c>
    </row>
    <row r="396" spans="1:16" x14ac:dyDescent="0.25">
      <c r="A396" s="177"/>
      <c r="B396" s="177"/>
      <c r="C396" s="177"/>
      <c r="D396" s="177"/>
      <c r="E396" s="167" t="s">
        <v>434</v>
      </c>
      <c r="F396" s="167" t="s">
        <v>954</v>
      </c>
      <c r="G396" s="167">
        <v>0</v>
      </c>
      <c r="H396" s="167" t="s">
        <v>954</v>
      </c>
      <c r="I396" s="177"/>
      <c r="J396" s="177"/>
      <c r="K396" s="177"/>
      <c r="L396" s="177"/>
      <c r="M396" s="177"/>
      <c r="N396" s="177"/>
      <c r="O396" s="177"/>
      <c r="P396" s="177"/>
    </row>
    <row r="397" spans="1:16" x14ac:dyDescent="0.25">
      <c r="A397" s="177"/>
      <c r="B397" s="177"/>
      <c r="C397" s="177"/>
      <c r="D397" s="177"/>
      <c r="E397" s="167" t="s">
        <v>433</v>
      </c>
      <c r="F397" s="167" t="s">
        <v>954</v>
      </c>
      <c r="G397" s="167" t="s">
        <v>967</v>
      </c>
      <c r="H397" s="167" t="s">
        <v>954</v>
      </c>
      <c r="I397" s="177"/>
      <c r="J397" s="177"/>
      <c r="K397" s="177"/>
      <c r="L397" s="177"/>
      <c r="M397" s="177"/>
      <c r="N397" s="177"/>
      <c r="O397" s="177"/>
      <c r="P397" s="177"/>
    </row>
    <row r="398" spans="1:16" x14ac:dyDescent="0.25">
      <c r="A398" s="177"/>
      <c r="B398" s="177"/>
      <c r="C398" s="177"/>
      <c r="D398" s="177"/>
      <c r="E398" s="167" t="s">
        <v>434</v>
      </c>
      <c r="F398" s="167" t="s">
        <v>967</v>
      </c>
      <c r="G398" s="167" t="s">
        <v>967</v>
      </c>
      <c r="H398" s="167" t="s">
        <v>967</v>
      </c>
      <c r="I398" s="177"/>
      <c r="J398" s="177"/>
      <c r="K398" s="177"/>
      <c r="L398" s="177"/>
      <c r="M398" s="177"/>
      <c r="N398" s="177"/>
      <c r="O398" s="177"/>
      <c r="P398" s="177"/>
    </row>
    <row r="399" spans="1:16" x14ac:dyDescent="0.25">
      <c r="A399" s="177" t="s">
        <v>858</v>
      </c>
      <c r="B399" s="177" t="s">
        <v>985</v>
      </c>
      <c r="C399" s="177">
        <v>40</v>
      </c>
      <c r="D399" s="177">
        <v>65</v>
      </c>
      <c r="E399" s="167" t="s">
        <v>433</v>
      </c>
      <c r="F399" s="167" t="s">
        <v>967</v>
      </c>
      <c r="G399" s="167" t="s">
        <v>293</v>
      </c>
      <c r="H399" s="167" t="s">
        <v>967</v>
      </c>
      <c r="I399" s="177" t="s">
        <v>285</v>
      </c>
      <c r="J399" s="177" t="s">
        <v>918</v>
      </c>
      <c r="K399" s="177" t="s">
        <v>918</v>
      </c>
      <c r="L399" s="177" t="s">
        <v>918</v>
      </c>
      <c r="M399" s="177">
        <v>830</v>
      </c>
      <c r="N399" s="177">
        <v>140</v>
      </c>
      <c r="O399" s="177"/>
      <c r="P399" s="178" t="s">
        <v>1365</v>
      </c>
    </row>
    <row r="400" spans="1:16" x14ac:dyDescent="0.25">
      <c r="A400" s="177"/>
      <c r="B400" s="177"/>
      <c r="C400" s="177"/>
      <c r="D400" s="177"/>
      <c r="E400" s="167" t="s">
        <v>434</v>
      </c>
      <c r="F400" s="167" t="s">
        <v>954</v>
      </c>
      <c r="G400" s="167">
        <v>0</v>
      </c>
      <c r="H400" s="167" t="s">
        <v>954</v>
      </c>
      <c r="I400" s="177"/>
      <c r="J400" s="177"/>
      <c r="K400" s="177"/>
      <c r="L400" s="177"/>
      <c r="M400" s="177"/>
      <c r="N400" s="177"/>
      <c r="O400" s="177"/>
      <c r="P400" s="177"/>
    </row>
    <row r="401" spans="1:16" x14ac:dyDescent="0.25">
      <c r="A401" s="177"/>
      <c r="B401" s="177"/>
      <c r="C401" s="177"/>
      <c r="D401" s="177"/>
      <c r="E401" s="167" t="s">
        <v>433</v>
      </c>
      <c r="F401" s="167" t="s">
        <v>954</v>
      </c>
      <c r="G401" s="167" t="s">
        <v>967</v>
      </c>
      <c r="H401" s="167" t="s">
        <v>954</v>
      </c>
      <c r="I401" s="177"/>
      <c r="J401" s="177"/>
      <c r="K401" s="177"/>
      <c r="L401" s="177"/>
      <c r="M401" s="177"/>
      <c r="N401" s="177"/>
      <c r="O401" s="177"/>
      <c r="P401" s="177"/>
    </row>
    <row r="402" spans="1:16" x14ac:dyDescent="0.25">
      <c r="A402" s="177"/>
      <c r="B402" s="177"/>
      <c r="C402" s="177"/>
      <c r="D402" s="177"/>
      <c r="E402" s="167" t="s">
        <v>434</v>
      </c>
      <c r="F402" s="167" t="s">
        <v>967</v>
      </c>
      <c r="G402" s="167" t="s">
        <v>967</v>
      </c>
      <c r="H402" s="167" t="s">
        <v>967</v>
      </c>
      <c r="I402" s="177"/>
      <c r="J402" s="177"/>
      <c r="K402" s="177"/>
      <c r="L402" s="177"/>
      <c r="M402" s="177"/>
      <c r="N402" s="177"/>
      <c r="O402" s="177"/>
      <c r="P402" s="177"/>
    </row>
    <row r="403" spans="1:16" x14ac:dyDescent="0.25">
      <c r="A403" s="177" t="s">
        <v>858</v>
      </c>
      <c r="B403" s="177" t="s">
        <v>985</v>
      </c>
      <c r="C403" s="177">
        <v>40</v>
      </c>
      <c r="D403" s="177">
        <v>65</v>
      </c>
      <c r="E403" s="167" t="s">
        <v>433</v>
      </c>
      <c r="F403" s="167" t="s">
        <v>967</v>
      </c>
      <c r="G403" s="167" t="s">
        <v>293</v>
      </c>
      <c r="H403" s="167" t="s">
        <v>967</v>
      </c>
      <c r="I403" s="177" t="s">
        <v>285</v>
      </c>
      <c r="J403" s="177" t="s">
        <v>918</v>
      </c>
      <c r="K403" s="177" t="s">
        <v>918</v>
      </c>
      <c r="L403" s="177" t="s">
        <v>918</v>
      </c>
      <c r="M403" s="177">
        <v>830</v>
      </c>
      <c r="N403" s="177">
        <v>140</v>
      </c>
      <c r="O403" s="177"/>
      <c r="P403" s="178" t="s">
        <v>1365</v>
      </c>
    </row>
    <row r="404" spans="1:16" x14ac:dyDescent="0.25">
      <c r="A404" s="177"/>
      <c r="B404" s="177"/>
      <c r="C404" s="177"/>
      <c r="D404" s="177"/>
      <c r="E404" s="167" t="s">
        <v>434</v>
      </c>
      <c r="F404" s="167" t="s">
        <v>954</v>
      </c>
      <c r="G404" s="167">
        <v>0</v>
      </c>
      <c r="H404" s="167" t="s">
        <v>954</v>
      </c>
      <c r="I404" s="177"/>
      <c r="J404" s="177"/>
      <c r="K404" s="177"/>
      <c r="L404" s="177"/>
      <c r="M404" s="177"/>
      <c r="N404" s="177"/>
      <c r="O404" s="177"/>
      <c r="P404" s="177"/>
    </row>
    <row r="405" spans="1:16" x14ac:dyDescent="0.25">
      <c r="A405" s="177"/>
      <c r="B405" s="177"/>
      <c r="C405" s="177"/>
      <c r="D405" s="177"/>
      <c r="E405" s="167" t="s">
        <v>433</v>
      </c>
      <c r="F405" s="167" t="s">
        <v>954</v>
      </c>
      <c r="G405" s="167" t="s">
        <v>967</v>
      </c>
      <c r="H405" s="167" t="s">
        <v>954</v>
      </c>
      <c r="I405" s="177"/>
      <c r="J405" s="177"/>
      <c r="K405" s="177"/>
      <c r="L405" s="177"/>
      <c r="M405" s="177"/>
      <c r="N405" s="177"/>
      <c r="O405" s="177"/>
      <c r="P405" s="177"/>
    </row>
    <row r="406" spans="1:16" x14ac:dyDescent="0.25">
      <c r="A406" s="177"/>
      <c r="B406" s="177"/>
      <c r="C406" s="177"/>
      <c r="D406" s="177"/>
      <c r="E406" s="167" t="s">
        <v>434</v>
      </c>
      <c r="F406" s="167" t="s">
        <v>967</v>
      </c>
      <c r="G406" s="167" t="s">
        <v>967</v>
      </c>
      <c r="H406" s="167" t="s">
        <v>967</v>
      </c>
      <c r="I406" s="177"/>
      <c r="J406" s="177"/>
      <c r="K406" s="177"/>
      <c r="L406" s="177"/>
      <c r="M406" s="177"/>
      <c r="N406" s="177"/>
      <c r="O406" s="177"/>
      <c r="P406" s="177"/>
    </row>
    <row r="407" spans="1:16" x14ac:dyDescent="0.25">
      <c r="A407" s="177" t="s">
        <v>858</v>
      </c>
      <c r="B407" s="177" t="s">
        <v>985</v>
      </c>
      <c r="C407" s="177">
        <v>40</v>
      </c>
      <c r="D407" s="177">
        <v>65</v>
      </c>
      <c r="E407" s="167" t="s">
        <v>433</v>
      </c>
      <c r="F407" s="167" t="s">
        <v>967</v>
      </c>
      <c r="G407" s="167" t="s">
        <v>293</v>
      </c>
      <c r="H407" s="167" t="s">
        <v>967</v>
      </c>
      <c r="I407" s="177" t="s">
        <v>285</v>
      </c>
      <c r="J407" s="177" t="s">
        <v>918</v>
      </c>
      <c r="K407" s="177" t="s">
        <v>918</v>
      </c>
      <c r="L407" s="177" t="s">
        <v>918</v>
      </c>
      <c r="M407" s="177">
        <v>830</v>
      </c>
      <c r="N407" s="177">
        <v>140</v>
      </c>
      <c r="O407" s="177"/>
      <c r="P407" s="178" t="s">
        <v>1365</v>
      </c>
    </row>
    <row r="408" spans="1:16" x14ac:dyDescent="0.25">
      <c r="A408" s="177"/>
      <c r="B408" s="177"/>
      <c r="C408" s="177"/>
      <c r="D408" s="177"/>
      <c r="E408" s="167" t="s">
        <v>434</v>
      </c>
      <c r="F408" s="167" t="s">
        <v>954</v>
      </c>
      <c r="G408" s="167">
        <v>0</v>
      </c>
      <c r="H408" s="167" t="s">
        <v>954</v>
      </c>
      <c r="I408" s="177"/>
      <c r="J408" s="177"/>
      <c r="K408" s="177"/>
      <c r="L408" s="177"/>
      <c r="M408" s="177"/>
      <c r="N408" s="177"/>
      <c r="O408" s="177"/>
      <c r="P408" s="177"/>
    </row>
    <row r="409" spans="1:16" x14ac:dyDescent="0.25">
      <c r="A409" s="177"/>
      <c r="B409" s="177"/>
      <c r="C409" s="177"/>
      <c r="D409" s="177"/>
      <c r="E409" s="167" t="s">
        <v>433</v>
      </c>
      <c r="F409" s="167" t="s">
        <v>954</v>
      </c>
      <c r="G409" s="167" t="s">
        <v>967</v>
      </c>
      <c r="H409" s="167" t="s">
        <v>954</v>
      </c>
      <c r="I409" s="177"/>
      <c r="J409" s="177"/>
      <c r="K409" s="177"/>
      <c r="L409" s="177"/>
      <c r="M409" s="177"/>
      <c r="N409" s="177"/>
      <c r="O409" s="177"/>
      <c r="P409" s="177"/>
    </row>
    <row r="410" spans="1:16" x14ac:dyDescent="0.25">
      <c r="A410" s="177"/>
      <c r="B410" s="177"/>
      <c r="C410" s="177"/>
      <c r="D410" s="177"/>
      <c r="E410" s="167" t="s">
        <v>434</v>
      </c>
      <c r="F410" s="167" t="s">
        <v>967</v>
      </c>
      <c r="G410" s="167" t="s">
        <v>967</v>
      </c>
      <c r="H410" s="167" t="s">
        <v>967</v>
      </c>
      <c r="I410" s="177"/>
      <c r="J410" s="177"/>
      <c r="K410" s="177"/>
      <c r="L410" s="177"/>
      <c r="M410" s="177"/>
      <c r="N410" s="177"/>
      <c r="O410" s="177"/>
      <c r="P410" s="177"/>
    </row>
    <row r="411" spans="1:16" x14ac:dyDescent="0.25">
      <c r="A411" s="177" t="s">
        <v>858</v>
      </c>
      <c r="B411" s="177" t="s">
        <v>985</v>
      </c>
      <c r="C411" s="177">
        <v>40</v>
      </c>
      <c r="D411" s="177">
        <v>65</v>
      </c>
      <c r="E411" s="167" t="s">
        <v>433</v>
      </c>
      <c r="F411" s="167" t="s">
        <v>967</v>
      </c>
      <c r="G411" s="167" t="s">
        <v>293</v>
      </c>
      <c r="H411" s="167" t="s">
        <v>967</v>
      </c>
      <c r="I411" s="177" t="s">
        <v>285</v>
      </c>
      <c r="J411" s="177" t="s">
        <v>918</v>
      </c>
      <c r="K411" s="177" t="s">
        <v>918</v>
      </c>
      <c r="L411" s="177" t="s">
        <v>918</v>
      </c>
      <c r="M411" s="177">
        <v>830</v>
      </c>
      <c r="N411" s="177">
        <v>140</v>
      </c>
      <c r="O411" s="177"/>
      <c r="P411" s="178" t="s">
        <v>1365</v>
      </c>
    </row>
    <row r="412" spans="1:16" x14ac:dyDescent="0.25">
      <c r="A412" s="177"/>
      <c r="B412" s="177"/>
      <c r="C412" s="177"/>
      <c r="D412" s="177"/>
      <c r="E412" s="167" t="s">
        <v>434</v>
      </c>
      <c r="F412" s="167" t="s">
        <v>954</v>
      </c>
      <c r="G412" s="167">
        <v>0</v>
      </c>
      <c r="H412" s="167" t="s">
        <v>954</v>
      </c>
      <c r="I412" s="177"/>
      <c r="J412" s="177"/>
      <c r="K412" s="177"/>
      <c r="L412" s="177"/>
      <c r="M412" s="177"/>
      <c r="N412" s="177"/>
      <c r="O412" s="177"/>
      <c r="P412" s="177"/>
    </row>
    <row r="413" spans="1:16" x14ac:dyDescent="0.25">
      <c r="A413" s="177"/>
      <c r="B413" s="177"/>
      <c r="C413" s="177"/>
      <c r="D413" s="177"/>
      <c r="E413" s="167" t="s">
        <v>433</v>
      </c>
      <c r="F413" s="167" t="s">
        <v>954</v>
      </c>
      <c r="G413" s="167" t="s">
        <v>967</v>
      </c>
      <c r="H413" s="167" t="s">
        <v>954</v>
      </c>
      <c r="I413" s="177"/>
      <c r="J413" s="177"/>
      <c r="K413" s="177"/>
      <c r="L413" s="177"/>
      <c r="M413" s="177"/>
      <c r="N413" s="177"/>
      <c r="O413" s="177"/>
      <c r="P413" s="177"/>
    </row>
    <row r="414" spans="1:16" x14ac:dyDescent="0.25">
      <c r="A414" s="177"/>
      <c r="B414" s="177"/>
      <c r="C414" s="177"/>
      <c r="D414" s="177"/>
      <c r="E414" s="167" t="s">
        <v>434</v>
      </c>
      <c r="F414" s="167" t="s">
        <v>967</v>
      </c>
      <c r="G414" s="167" t="s">
        <v>967</v>
      </c>
      <c r="H414" s="167" t="s">
        <v>967</v>
      </c>
      <c r="I414" s="177"/>
      <c r="J414" s="177"/>
      <c r="K414" s="177"/>
      <c r="L414" s="177"/>
      <c r="M414" s="177"/>
      <c r="N414" s="177"/>
      <c r="O414" s="177"/>
      <c r="P414" s="177"/>
    </row>
    <row r="415" spans="1:16" x14ac:dyDescent="0.25">
      <c r="A415" s="177" t="s">
        <v>858</v>
      </c>
      <c r="B415" s="177" t="s">
        <v>985</v>
      </c>
      <c r="C415" s="177">
        <v>40</v>
      </c>
      <c r="D415" s="177">
        <v>65</v>
      </c>
      <c r="E415" s="167" t="s">
        <v>433</v>
      </c>
      <c r="F415" s="167" t="s">
        <v>967</v>
      </c>
      <c r="G415" s="167" t="s">
        <v>293</v>
      </c>
      <c r="H415" s="167" t="s">
        <v>967</v>
      </c>
      <c r="I415" s="177" t="s">
        <v>285</v>
      </c>
      <c r="J415" s="177" t="s">
        <v>918</v>
      </c>
      <c r="K415" s="177" t="s">
        <v>918</v>
      </c>
      <c r="L415" s="177" t="s">
        <v>918</v>
      </c>
      <c r="M415" s="177">
        <v>830</v>
      </c>
      <c r="N415" s="177">
        <v>140</v>
      </c>
      <c r="O415" s="177"/>
      <c r="P415" s="178" t="s">
        <v>1365</v>
      </c>
    </row>
    <row r="416" spans="1:16" x14ac:dyDescent="0.25">
      <c r="A416" s="177"/>
      <c r="B416" s="177"/>
      <c r="C416" s="177"/>
      <c r="D416" s="177"/>
      <c r="E416" s="167" t="s">
        <v>434</v>
      </c>
      <c r="F416" s="167" t="s">
        <v>954</v>
      </c>
      <c r="G416" s="167">
        <v>0</v>
      </c>
      <c r="H416" s="167" t="s">
        <v>954</v>
      </c>
      <c r="I416" s="177"/>
      <c r="J416" s="177"/>
      <c r="K416" s="177"/>
      <c r="L416" s="177"/>
      <c r="M416" s="177"/>
      <c r="N416" s="177"/>
      <c r="O416" s="177"/>
      <c r="P416" s="177"/>
    </row>
    <row r="417" spans="1:16" x14ac:dyDescent="0.25">
      <c r="A417" s="177"/>
      <c r="B417" s="177"/>
      <c r="C417" s="177"/>
      <c r="D417" s="177"/>
      <c r="E417" s="167" t="s">
        <v>433</v>
      </c>
      <c r="F417" s="167" t="s">
        <v>954</v>
      </c>
      <c r="G417" s="167" t="s">
        <v>967</v>
      </c>
      <c r="H417" s="167" t="s">
        <v>954</v>
      </c>
      <c r="I417" s="177"/>
      <c r="J417" s="177"/>
      <c r="K417" s="177"/>
      <c r="L417" s="177"/>
      <c r="M417" s="177"/>
      <c r="N417" s="177"/>
      <c r="O417" s="177"/>
      <c r="P417" s="177"/>
    </row>
    <row r="418" spans="1:16" x14ac:dyDescent="0.25">
      <c r="A418" s="177"/>
      <c r="B418" s="177"/>
      <c r="C418" s="177"/>
      <c r="D418" s="177"/>
      <c r="E418" s="167" t="s">
        <v>434</v>
      </c>
      <c r="F418" s="167" t="s">
        <v>967</v>
      </c>
      <c r="G418" s="167" t="s">
        <v>967</v>
      </c>
      <c r="H418" s="167" t="s">
        <v>967</v>
      </c>
      <c r="I418" s="177"/>
      <c r="J418" s="177"/>
      <c r="K418" s="177"/>
      <c r="L418" s="177"/>
      <c r="M418" s="177"/>
      <c r="N418" s="177"/>
      <c r="O418" s="177"/>
      <c r="P418" s="177"/>
    </row>
    <row r="419" spans="1:16" x14ac:dyDescent="0.25">
      <c r="A419" s="177" t="s">
        <v>858</v>
      </c>
      <c r="B419" s="177" t="s">
        <v>985</v>
      </c>
      <c r="C419" s="177">
        <v>40</v>
      </c>
      <c r="D419" s="177">
        <v>65</v>
      </c>
      <c r="E419" s="167" t="s">
        <v>433</v>
      </c>
      <c r="F419" s="167" t="s">
        <v>967</v>
      </c>
      <c r="G419" s="167" t="s">
        <v>293</v>
      </c>
      <c r="H419" s="167" t="s">
        <v>967</v>
      </c>
      <c r="I419" s="177" t="s">
        <v>285</v>
      </c>
      <c r="J419" s="177" t="s">
        <v>918</v>
      </c>
      <c r="K419" s="177" t="s">
        <v>918</v>
      </c>
      <c r="L419" s="177" t="s">
        <v>918</v>
      </c>
      <c r="M419" s="177">
        <v>830</v>
      </c>
      <c r="N419" s="177">
        <v>140</v>
      </c>
      <c r="O419" s="177"/>
      <c r="P419" s="178" t="s">
        <v>1365</v>
      </c>
    </row>
    <row r="420" spans="1:16" x14ac:dyDescent="0.25">
      <c r="A420" s="177"/>
      <c r="B420" s="177"/>
      <c r="C420" s="177"/>
      <c r="D420" s="177"/>
      <c r="E420" s="167" t="s">
        <v>434</v>
      </c>
      <c r="F420" s="167" t="s">
        <v>954</v>
      </c>
      <c r="G420" s="167">
        <v>0</v>
      </c>
      <c r="H420" s="167" t="s">
        <v>954</v>
      </c>
      <c r="I420" s="177"/>
      <c r="J420" s="177"/>
      <c r="K420" s="177"/>
      <c r="L420" s="177"/>
      <c r="M420" s="177"/>
      <c r="N420" s="177"/>
      <c r="O420" s="177"/>
      <c r="P420" s="177"/>
    </row>
    <row r="421" spans="1:16" x14ac:dyDescent="0.25">
      <c r="A421" s="177"/>
      <c r="B421" s="177"/>
      <c r="C421" s="177"/>
      <c r="D421" s="177"/>
      <c r="E421" s="167" t="s">
        <v>433</v>
      </c>
      <c r="F421" s="167" t="s">
        <v>954</v>
      </c>
      <c r="G421" s="167" t="s">
        <v>967</v>
      </c>
      <c r="H421" s="167" t="s">
        <v>954</v>
      </c>
      <c r="I421" s="177"/>
      <c r="J421" s="177"/>
      <c r="K421" s="177"/>
      <c r="L421" s="177"/>
      <c r="M421" s="177"/>
      <c r="N421" s="177"/>
      <c r="O421" s="177"/>
      <c r="P421" s="177"/>
    </row>
    <row r="422" spans="1:16" x14ac:dyDescent="0.25">
      <c r="A422" s="177"/>
      <c r="B422" s="177"/>
      <c r="C422" s="177"/>
      <c r="D422" s="177"/>
      <c r="E422" s="167" t="s">
        <v>434</v>
      </c>
      <c r="F422" s="167" t="s">
        <v>967</v>
      </c>
      <c r="G422" s="167" t="s">
        <v>967</v>
      </c>
      <c r="H422" s="167" t="s">
        <v>967</v>
      </c>
      <c r="I422" s="177"/>
      <c r="J422" s="177"/>
      <c r="K422" s="177"/>
      <c r="L422" s="177"/>
      <c r="M422" s="177"/>
      <c r="N422" s="177"/>
      <c r="O422" s="177"/>
      <c r="P422" s="177"/>
    </row>
    <row r="423" spans="1:16" x14ac:dyDescent="0.25">
      <c r="A423" s="177" t="s">
        <v>858</v>
      </c>
      <c r="B423" s="177" t="s">
        <v>985</v>
      </c>
      <c r="C423" s="177">
        <v>40</v>
      </c>
      <c r="D423" s="177">
        <v>65</v>
      </c>
      <c r="E423" s="167" t="s">
        <v>433</v>
      </c>
      <c r="F423" s="167" t="s">
        <v>967</v>
      </c>
      <c r="G423" s="167" t="s">
        <v>293</v>
      </c>
      <c r="H423" s="167" t="s">
        <v>967</v>
      </c>
      <c r="I423" s="177" t="s">
        <v>285</v>
      </c>
      <c r="J423" s="177" t="s">
        <v>918</v>
      </c>
      <c r="K423" s="177" t="s">
        <v>918</v>
      </c>
      <c r="L423" s="177" t="s">
        <v>918</v>
      </c>
      <c r="M423" s="177">
        <v>830</v>
      </c>
      <c r="N423" s="177">
        <v>140</v>
      </c>
      <c r="O423" s="177"/>
      <c r="P423" s="178" t="s">
        <v>1365</v>
      </c>
    </row>
    <row r="424" spans="1:16" x14ac:dyDescent="0.25">
      <c r="A424" s="177"/>
      <c r="B424" s="177"/>
      <c r="C424" s="177"/>
      <c r="D424" s="177"/>
      <c r="E424" s="167" t="s">
        <v>434</v>
      </c>
      <c r="F424" s="167" t="s">
        <v>954</v>
      </c>
      <c r="G424" s="167">
        <v>0</v>
      </c>
      <c r="H424" s="167" t="s">
        <v>954</v>
      </c>
      <c r="I424" s="177"/>
      <c r="J424" s="177"/>
      <c r="K424" s="177"/>
      <c r="L424" s="177"/>
      <c r="M424" s="177"/>
      <c r="N424" s="177"/>
      <c r="O424" s="177"/>
      <c r="P424" s="177"/>
    </row>
    <row r="425" spans="1:16" x14ac:dyDescent="0.25">
      <c r="A425" s="177"/>
      <c r="B425" s="177"/>
      <c r="C425" s="177"/>
      <c r="D425" s="177"/>
      <c r="E425" s="167" t="s">
        <v>433</v>
      </c>
      <c r="F425" s="167" t="s">
        <v>954</v>
      </c>
      <c r="G425" s="167" t="s">
        <v>967</v>
      </c>
      <c r="H425" s="167" t="s">
        <v>954</v>
      </c>
      <c r="I425" s="177"/>
      <c r="J425" s="177"/>
      <c r="K425" s="177"/>
      <c r="L425" s="177"/>
      <c r="M425" s="177"/>
      <c r="N425" s="177"/>
      <c r="O425" s="177"/>
      <c r="P425" s="177"/>
    </row>
    <row r="426" spans="1:16" x14ac:dyDescent="0.25">
      <c r="A426" s="177"/>
      <c r="B426" s="177"/>
      <c r="C426" s="177"/>
      <c r="D426" s="177"/>
      <c r="E426" s="167" t="s">
        <v>434</v>
      </c>
      <c r="F426" s="167" t="s">
        <v>967</v>
      </c>
      <c r="G426" s="167" t="s">
        <v>967</v>
      </c>
      <c r="H426" s="167" t="s">
        <v>967</v>
      </c>
      <c r="I426" s="177"/>
      <c r="J426" s="177"/>
      <c r="K426" s="177"/>
      <c r="L426" s="177"/>
      <c r="M426" s="177"/>
      <c r="N426" s="177"/>
      <c r="O426" s="177"/>
      <c r="P426" s="177"/>
    </row>
    <row r="427" spans="1:16" x14ac:dyDescent="0.25">
      <c r="A427" s="177" t="s">
        <v>858</v>
      </c>
      <c r="B427" s="177" t="s">
        <v>985</v>
      </c>
      <c r="C427" s="177">
        <v>40</v>
      </c>
      <c r="D427" s="177">
        <v>65</v>
      </c>
      <c r="E427" s="167" t="s">
        <v>433</v>
      </c>
      <c r="F427" s="167" t="s">
        <v>967</v>
      </c>
      <c r="G427" s="167" t="s">
        <v>293</v>
      </c>
      <c r="H427" s="167" t="s">
        <v>967</v>
      </c>
      <c r="I427" s="177" t="s">
        <v>285</v>
      </c>
      <c r="J427" s="177" t="s">
        <v>918</v>
      </c>
      <c r="K427" s="177" t="s">
        <v>918</v>
      </c>
      <c r="L427" s="177" t="s">
        <v>918</v>
      </c>
      <c r="M427" s="177">
        <v>830</v>
      </c>
      <c r="N427" s="177">
        <v>140</v>
      </c>
      <c r="O427" s="177"/>
      <c r="P427" s="178" t="s">
        <v>1365</v>
      </c>
    </row>
    <row r="428" spans="1:16" x14ac:dyDescent="0.25">
      <c r="A428" s="177"/>
      <c r="B428" s="177"/>
      <c r="C428" s="177"/>
      <c r="D428" s="177"/>
      <c r="E428" s="167" t="s">
        <v>434</v>
      </c>
      <c r="F428" s="167" t="s">
        <v>954</v>
      </c>
      <c r="G428" s="167">
        <v>0</v>
      </c>
      <c r="H428" s="167" t="s">
        <v>954</v>
      </c>
      <c r="I428" s="177"/>
      <c r="J428" s="177"/>
      <c r="K428" s="177"/>
      <c r="L428" s="177"/>
      <c r="M428" s="177"/>
      <c r="N428" s="177"/>
      <c r="O428" s="177"/>
      <c r="P428" s="177"/>
    </row>
    <row r="429" spans="1:16" x14ac:dyDescent="0.25">
      <c r="A429" s="177"/>
      <c r="B429" s="177"/>
      <c r="C429" s="177"/>
      <c r="D429" s="177"/>
      <c r="E429" s="167" t="s">
        <v>433</v>
      </c>
      <c r="F429" s="167" t="s">
        <v>954</v>
      </c>
      <c r="G429" s="167" t="s">
        <v>967</v>
      </c>
      <c r="H429" s="167" t="s">
        <v>954</v>
      </c>
      <c r="I429" s="177"/>
      <c r="J429" s="177"/>
      <c r="K429" s="177"/>
      <c r="L429" s="177"/>
      <c r="M429" s="177"/>
      <c r="N429" s="177"/>
      <c r="O429" s="177"/>
      <c r="P429" s="177"/>
    </row>
    <row r="430" spans="1:16" x14ac:dyDescent="0.25">
      <c r="A430" s="177"/>
      <c r="B430" s="177"/>
      <c r="C430" s="177"/>
      <c r="D430" s="177"/>
      <c r="E430" s="167" t="s">
        <v>434</v>
      </c>
      <c r="F430" s="167" t="s">
        <v>967</v>
      </c>
      <c r="G430" s="167" t="s">
        <v>967</v>
      </c>
      <c r="H430" s="167" t="s">
        <v>967</v>
      </c>
      <c r="I430" s="177"/>
      <c r="J430" s="177"/>
      <c r="K430" s="177"/>
      <c r="L430" s="177"/>
      <c r="M430" s="177"/>
      <c r="N430" s="177"/>
      <c r="O430" s="177"/>
      <c r="P430" s="177"/>
    </row>
    <row r="431" spans="1:16" x14ac:dyDescent="0.25">
      <c r="A431" s="177" t="s">
        <v>858</v>
      </c>
      <c r="B431" s="177" t="s">
        <v>959</v>
      </c>
      <c r="C431" s="177">
        <v>40</v>
      </c>
      <c r="D431" s="177">
        <v>65</v>
      </c>
      <c r="E431" s="167" t="s">
        <v>433</v>
      </c>
      <c r="F431" s="167" t="s">
        <v>944</v>
      </c>
      <c r="G431" s="167" t="s">
        <v>293</v>
      </c>
      <c r="H431" s="167" t="s">
        <v>967</v>
      </c>
      <c r="I431" s="177" t="s">
        <v>285</v>
      </c>
      <c r="J431" s="177" t="s">
        <v>914</v>
      </c>
      <c r="K431" s="177" t="s">
        <v>914</v>
      </c>
      <c r="L431" s="177" t="s">
        <v>914</v>
      </c>
      <c r="M431" s="177">
        <v>830</v>
      </c>
      <c r="N431" s="177">
        <v>60</v>
      </c>
      <c r="O431" s="177"/>
      <c r="P431" s="179" t="s">
        <v>1364</v>
      </c>
    </row>
    <row r="432" spans="1:16" x14ac:dyDescent="0.25">
      <c r="A432" s="177"/>
      <c r="B432" s="177"/>
      <c r="C432" s="177"/>
      <c r="D432" s="177"/>
      <c r="E432" s="167" t="s">
        <v>434</v>
      </c>
      <c r="F432" s="167">
        <v>0</v>
      </c>
      <c r="G432" s="167">
        <v>0</v>
      </c>
      <c r="H432" s="167">
        <v>0</v>
      </c>
      <c r="I432" s="177"/>
      <c r="J432" s="177"/>
      <c r="K432" s="177"/>
      <c r="L432" s="177"/>
      <c r="M432" s="177"/>
      <c r="N432" s="177"/>
      <c r="O432" s="177"/>
      <c r="P432" s="177"/>
    </row>
    <row r="433" spans="1:16" x14ac:dyDescent="0.25">
      <c r="A433" s="177"/>
      <c r="B433" s="177"/>
      <c r="C433" s="177"/>
      <c r="D433" s="177"/>
      <c r="E433" s="167" t="s">
        <v>433</v>
      </c>
      <c r="F433" s="167">
        <v>0</v>
      </c>
      <c r="G433" s="167">
        <v>0</v>
      </c>
      <c r="H433" s="167">
        <v>0</v>
      </c>
      <c r="I433" s="177"/>
      <c r="J433" s="177"/>
      <c r="K433" s="177"/>
      <c r="L433" s="177"/>
      <c r="M433" s="177"/>
      <c r="N433" s="177"/>
      <c r="O433" s="177"/>
      <c r="P433" s="177"/>
    </row>
    <row r="434" spans="1:16" x14ac:dyDescent="0.25">
      <c r="A434" s="177"/>
      <c r="B434" s="177"/>
      <c r="C434" s="177"/>
      <c r="D434" s="177"/>
      <c r="E434" s="167" t="s">
        <v>434</v>
      </c>
      <c r="F434" s="167" t="s">
        <v>293</v>
      </c>
      <c r="G434" s="167" t="s">
        <v>293</v>
      </c>
      <c r="H434" s="167" t="s">
        <v>293</v>
      </c>
      <c r="I434" s="177"/>
      <c r="J434" s="177"/>
      <c r="K434" s="177"/>
      <c r="L434" s="177"/>
      <c r="M434" s="177"/>
      <c r="N434" s="177"/>
      <c r="O434" s="177"/>
      <c r="P434" s="177"/>
    </row>
    <row r="435" spans="1:16" x14ac:dyDescent="0.25">
      <c r="A435" s="177" t="s">
        <v>858</v>
      </c>
      <c r="B435" s="177" t="s">
        <v>959</v>
      </c>
      <c r="C435" s="177">
        <v>40</v>
      </c>
      <c r="D435" s="177">
        <v>65</v>
      </c>
      <c r="E435" s="167" t="s">
        <v>433</v>
      </c>
      <c r="F435" s="167" t="s">
        <v>944</v>
      </c>
      <c r="G435" s="167" t="s">
        <v>293</v>
      </c>
      <c r="H435" s="167" t="s">
        <v>967</v>
      </c>
      <c r="I435" s="177" t="s">
        <v>285</v>
      </c>
      <c r="J435" s="177" t="s">
        <v>914</v>
      </c>
      <c r="K435" s="177" t="s">
        <v>914</v>
      </c>
      <c r="L435" s="177" t="s">
        <v>914</v>
      </c>
      <c r="M435" s="177">
        <v>830</v>
      </c>
      <c r="N435" s="177">
        <v>60</v>
      </c>
      <c r="O435" s="177"/>
      <c r="P435" s="179" t="s">
        <v>1364</v>
      </c>
    </row>
    <row r="436" spans="1:16" x14ac:dyDescent="0.25">
      <c r="A436" s="177"/>
      <c r="B436" s="177"/>
      <c r="C436" s="177"/>
      <c r="D436" s="177"/>
      <c r="E436" s="167" t="s">
        <v>434</v>
      </c>
      <c r="F436" s="167">
        <v>0</v>
      </c>
      <c r="G436" s="167">
        <v>0</v>
      </c>
      <c r="H436" s="167">
        <v>0</v>
      </c>
      <c r="I436" s="177"/>
      <c r="J436" s="177"/>
      <c r="K436" s="177"/>
      <c r="L436" s="177"/>
      <c r="M436" s="177"/>
      <c r="N436" s="177"/>
      <c r="O436" s="177"/>
      <c r="P436" s="177"/>
    </row>
    <row r="437" spans="1:16" x14ac:dyDescent="0.25">
      <c r="A437" s="177"/>
      <c r="B437" s="177"/>
      <c r="C437" s="177"/>
      <c r="D437" s="177"/>
      <c r="E437" s="167" t="s">
        <v>433</v>
      </c>
      <c r="F437" s="167">
        <v>0</v>
      </c>
      <c r="G437" s="167">
        <v>0</v>
      </c>
      <c r="H437" s="167">
        <v>0</v>
      </c>
      <c r="I437" s="177"/>
      <c r="J437" s="177"/>
      <c r="K437" s="177"/>
      <c r="L437" s="177"/>
      <c r="M437" s="177"/>
      <c r="N437" s="177"/>
      <c r="O437" s="177"/>
      <c r="P437" s="177"/>
    </row>
    <row r="438" spans="1:16" x14ac:dyDescent="0.25">
      <c r="A438" s="177"/>
      <c r="B438" s="177"/>
      <c r="C438" s="177"/>
      <c r="D438" s="177"/>
      <c r="E438" s="167" t="s">
        <v>434</v>
      </c>
      <c r="F438" s="167" t="s">
        <v>293</v>
      </c>
      <c r="G438" s="167" t="s">
        <v>293</v>
      </c>
      <c r="H438" s="167" t="s">
        <v>293</v>
      </c>
      <c r="I438" s="177"/>
      <c r="J438" s="177"/>
      <c r="K438" s="177"/>
      <c r="L438" s="177"/>
      <c r="M438" s="177"/>
      <c r="N438" s="177"/>
      <c r="O438" s="177"/>
      <c r="P438" s="177"/>
    </row>
    <row r="439" spans="1:16" x14ac:dyDescent="0.25">
      <c r="A439" s="177" t="s">
        <v>858</v>
      </c>
      <c r="B439" s="177" t="s">
        <v>958</v>
      </c>
      <c r="C439" s="177">
        <v>40</v>
      </c>
      <c r="D439" s="177">
        <v>65</v>
      </c>
      <c r="E439" s="167" t="s">
        <v>433</v>
      </c>
      <c r="F439" s="167" t="s">
        <v>967</v>
      </c>
      <c r="G439" s="167" t="s">
        <v>293</v>
      </c>
      <c r="H439" s="167" t="s">
        <v>294</v>
      </c>
      <c r="I439" s="177" t="s">
        <v>285</v>
      </c>
      <c r="J439" s="177" t="s">
        <v>913</v>
      </c>
      <c r="K439" s="177" t="s">
        <v>913</v>
      </c>
      <c r="L439" s="177" t="s">
        <v>913</v>
      </c>
      <c r="M439" s="177">
        <v>1070</v>
      </c>
      <c r="N439" s="177">
        <v>50</v>
      </c>
      <c r="O439" s="177"/>
      <c r="P439" s="178" t="s">
        <v>1365</v>
      </c>
    </row>
    <row r="440" spans="1:16" x14ac:dyDescent="0.25">
      <c r="A440" s="177"/>
      <c r="B440" s="177"/>
      <c r="C440" s="177"/>
      <c r="D440" s="177"/>
      <c r="E440" s="167" t="s">
        <v>434</v>
      </c>
      <c r="F440" s="167">
        <v>0</v>
      </c>
      <c r="G440" s="167">
        <v>0</v>
      </c>
      <c r="H440" s="167" t="s">
        <v>944</v>
      </c>
      <c r="I440" s="177"/>
      <c r="J440" s="177"/>
      <c r="K440" s="177"/>
      <c r="L440" s="177"/>
      <c r="M440" s="177"/>
      <c r="N440" s="177"/>
      <c r="O440" s="177"/>
      <c r="P440" s="177"/>
    </row>
    <row r="441" spans="1:16" x14ac:dyDescent="0.25">
      <c r="A441" s="177"/>
      <c r="B441" s="177"/>
      <c r="C441" s="177"/>
      <c r="D441" s="177"/>
      <c r="E441" s="167" t="s">
        <v>433</v>
      </c>
      <c r="F441" s="167">
        <v>0</v>
      </c>
      <c r="G441" s="167">
        <v>0</v>
      </c>
      <c r="H441" s="167">
        <v>0</v>
      </c>
      <c r="I441" s="177"/>
      <c r="J441" s="177"/>
      <c r="K441" s="177"/>
      <c r="L441" s="177"/>
      <c r="M441" s="177"/>
      <c r="N441" s="177"/>
      <c r="O441" s="177"/>
      <c r="P441" s="177"/>
    </row>
    <row r="442" spans="1:16" x14ac:dyDescent="0.25">
      <c r="A442" s="177"/>
      <c r="B442" s="177"/>
      <c r="C442" s="177"/>
      <c r="D442" s="177"/>
      <c r="E442" s="167" t="s">
        <v>434</v>
      </c>
      <c r="F442" s="167" t="s">
        <v>954</v>
      </c>
      <c r="G442" s="167" t="s">
        <v>954</v>
      </c>
      <c r="H442" s="167" t="s">
        <v>954</v>
      </c>
      <c r="I442" s="177"/>
      <c r="J442" s="177"/>
      <c r="K442" s="177"/>
      <c r="L442" s="177"/>
      <c r="M442" s="177"/>
      <c r="N442" s="177"/>
      <c r="O442" s="177"/>
      <c r="P442" s="177"/>
    </row>
    <row r="443" spans="1:16" x14ac:dyDescent="0.25">
      <c r="A443" s="177" t="s">
        <v>858</v>
      </c>
      <c r="B443" s="177" t="s">
        <v>958</v>
      </c>
      <c r="C443" s="177">
        <v>40</v>
      </c>
      <c r="D443" s="177">
        <v>65</v>
      </c>
      <c r="E443" s="167" t="s">
        <v>433</v>
      </c>
      <c r="F443" s="167" t="s">
        <v>967</v>
      </c>
      <c r="G443" s="167" t="s">
        <v>293</v>
      </c>
      <c r="H443" s="167" t="s">
        <v>294</v>
      </c>
      <c r="I443" s="177" t="s">
        <v>285</v>
      </c>
      <c r="J443" s="177" t="s">
        <v>913</v>
      </c>
      <c r="K443" s="177" t="s">
        <v>913</v>
      </c>
      <c r="L443" s="177" t="s">
        <v>913</v>
      </c>
      <c r="M443" s="177">
        <v>1070</v>
      </c>
      <c r="N443" s="177">
        <v>50</v>
      </c>
      <c r="O443" s="177"/>
      <c r="P443" s="178" t="s">
        <v>1365</v>
      </c>
    </row>
    <row r="444" spans="1:16" x14ac:dyDescent="0.25">
      <c r="A444" s="177"/>
      <c r="B444" s="177"/>
      <c r="C444" s="177"/>
      <c r="D444" s="177"/>
      <c r="E444" s="167" t="s">
        <v>434</v>
      </c>
      <c r="F444" s="167">
        <v>0</v>
      </c>
      <c r="G444" s="167">
        <v>0</v>
      </c>
      <c r="H444" s="167" t="s">
        <v>944</v>
      </c>
      <c r="I444" s="177"/>
      <c r="J444" s="177"/>
      <c r="K444" s="177"/>
      <c r="L444" s="177"/>
      <c r="M444" s="177"/>
      <c r="N444" s="177"/>
      <c r="O444" s="177"/>
      <c r="P444" s="177"/>
    </row>
    <row r="445" spans="1:16" x14ac:dyDescent="0.25">
      <c r="A445" s="177"/>
      <c r="B445" s="177"/>
      <c r="C445" s="177"/>
      <c r="D445" s="177"/>
      <c r="E445" s="167" t="s">
        <v>433</v>
      </c>
      <c r="F445" s="167">
        <v>0</v>
      </c>
      <c r="G445" s="167">
        <v>0</v>
      </c>
      <c r="H445" s="167">
        <v>0</v>
      </c>
      <c r="I445" s="177"/>
      <c r="J445" s="177"/>
      <c r="K445" s="177"/>
      <c r="L445" s="177"/>
      <c r="M445" s="177"/>
      <c r="N445" s="177"/>
      <c r="O445" s="177"/>
      <c r="P445" s="177"/>
    </row>
    <row r="446" spans="1:16" x14ac:dyDescent="0.25">
      <c r="A446" s="177"/>
      <c r="B446" s="177"/>
      <c r="C446" s="177"/>
      <c r="D446" s="177"/>
      <c r="E446" s="167" t="s">
        <v>434</v>
      </c>
      <c r="F446" s="167" t="s">
        <v>954</v>
      </c>
      <c r="G446" s="167" t="s">
        <v>954</v>
      </c>
      <c r="H446" s="167" t="s">
        <v>954</v>
      </c>
      <c r="I446" s="177"/>
      <c r="J446" s="177"/>
      <c r="K446" s="177"/>
      <c r="L446" s="177"/>
      <c r="M446" s="177"/>
      <c r="N446" s="177"/>
      <c r="O446" s="177"/>
      <c r="P446" s="177"/>
    </row>
    <row r="447" spans="1:16" x14ac:dyDescent="0.25">
      <c r="A447" s="177" t="s">
        <v>858</v>
      </c>
      <c r="B447" s="177" t="s">
        <v>960</v>
      </c>
      <c r="C447" s="177">
        <v>40</v>
      </c>
      <c r="D447" s="177">
        <v>65</v>
      </c>
      <c r="E447" s="167" t="s">
        <v>433</v>
      </c>
      <c r="F447" s="167" t="s">
        <v>967</v>
      </c>
      <c r="G447" s="167" t="s">
        <v>293</v>
      </c>
      <c r="H447" s="167" t="s">
        <v>944</v>
      </c>
      <c r="I447" s="177" t="s">
        <v>285</v>
      </c>
      <c r="J447" s="177" t="s">
        <v>979</v>
      </c>
      <c r="K447" s="177" t="s">
        <v>979</v>
      </c>
      <c r="L447" s="177" t="s">
        <v>979</v>
      </c>
      <c r="M447" s="177">
        <v>990</v>
      </c>
      <c r="N447" s="177">
        <v>50</v>
      </c>
      <c r="O447" s="177"/>
      <c r="P447" s="179" t="s">
        <v>1367</v>
      </c>
    </row>
    <row r="448" spans="1:16" x14ac:dyDescent="0.25">
      <c r="A448" s="177"/>
      <c r="B448" s="177"/>
      <c r="C448" s="177"/>
      <c r="D448" s="177"/>
      <c r="E448" s="167" t="s">
        <v>434</v>
      </c>
      <c r="F448" s="167" t="s">
        <v>947</v>
      </c>
      <c r="G448" s="167">
        <v>0</v>
      </c>
      <c r="H448" s="167">
        <v>0</v>
      </c>
      <c r="I448" s="177"/>
      <c r="J448" s="177"/>
      <c r="K448" s="177"/>
      <c r="L448" s="177"/>
      <c r="M448" s="177"/>
      <c r="N448" s="177"/>
      <c r="O448" s="177"/>
      <c r="P448" s="177"/>
    </row>
    <row r="449" spans="1:16" x14ac:dyDescent="0.25">
      <c r="A449" s="177"/>
      <c r="B449" s="177"/>
      <c r="C449" s="177"/>
      <c r="D449" s="177"/>
      <c r="E449" s="167" t="s">
        <v>433</v>
      </c>
      <c r="F449" s="167">
        <v>0</v>
      </c>
      <c r="G449" s="167" t="s">
        <v>944</v>
      </c>
      <c r="H449" s="167" t="s">
        <v>944</v>
      </c>
      <c r="I449" s="177"/>
      <c r="J449" s="177"/>
      <c r="K449" s="177"/>
      <c r="L449" s="177"/>
      <c r="M449" s="177"/>
      <c r="N449" s="177"/>
      <c r="O449" s="177"/>
      <c r="P449" s="177"/>
    </row>
    <row r="450" spans="1:16" x14ac:dyDescent="0.25">
      <c r="A450" s="177"/>
      <c r="B450" s="177"/>
      <c r="C450" s="177"/>
      <c r="D450" s="177"/>
      <c r="E450" s="167" t="s">
        <v>434</v>
      </c>
      <c r="F450" s="167" t="s">
        <v>294</v>
      </c>
      <c r="G450" s="167" t="s">
        <v>294</v>
      </c>
      <c r="H450" s="167" t="s">
        <v>294</v>
      </c>
      <c r="I450" s="177"/>
      <c r="J450" s="177"/>
      <c r="K450" s="177"/>
      <c r="L450" s="177"/>
      <c r="M450" s="177"/>
      <c r="N450" s="177"/>
      <c r="O450" s="177"/>
      <c r="P450" s="177"/>
    </row>
    <row r="451" spans="1:16" x14ac:dyDescent="0.25">
      <c r="A451" s="177" t="s">
        <v>858</v>
      </c>
      <c r="B451" s="177" t="s">
        <v>964</v>
      </c>
      <c r="C451" s="177">
        <v>40</v>
      </c>
      <c r="D451" s="177">
        <v>65</v>
      </c>
      <c r="E451" s="167" t="s">
        <v>433</v>
      </c>
      <c r="F451" s="167" t="s">
        <v>967</v>
      </c>
      <c r="G451" s="167" t="s">
        <v>293</v>
      </c>
      <c r="H451" s="167" t="s">
        <v>944</v>
      </c>
      <c r="I451" s="177" t="s">
        <v>285</v>
      </c>
      <c r="J451" s="177" t="s">
        <v>979</v>
      </c>
      <c r="K451" s="177" t="s">
        <v>979</v>
      </c>
      <c r="L451" s="177" t="s">
        <v>979</v>
      </c>
      <c r="M451" s="177">
        <v>990</v>
      </c>
      <c r="N451" s="177">
        <v>50</v>
      </c>
      <c r="O451" s="177"/>
      <c r="P451" s="179" t="s">
        <v>1367</v>
      </c>
    </row>
    <row r="452" spans="1:16" x14ac:dyDescent="0.25">
      <c r="A452" s="177"/>
      <c r="B452" s="177"/>
      <c r="C452" s="177"/>
      <c r="D452" s="177"/>
      <c r="E452" s="167" t="s">
        <v>434</v>
      </c>
      <c r="F452" s="167" t="s">
        <v>293</v>
      </c>
      <c r="G452" s="167">
        <v>0</v>
      </c>
      <c r="H452" s="167">
        <v>0</v>
      </c>
      <c r="I452" s="177"/>
      <c r="J452" s="177"/>
      <c r="K452" s="177"/>
      <c r="L452" s="177"/>
      <c r="M452" s="177"/>
      <c r="N452" s="177"/>
      <c r="O452" s="177"/>
      <c r="P452" s="177"/>
    </row>
    <row r="453" spans="1:16" x14ac:dyDescent="0.25">
      <c r="A453" s="177"/>
      <c r="B453" s="177"/>
      <c r="C453" s="177"/>
      <c r="D453" s="177"/>
      <c r="E453" s="167" t="s">
        <v>433</v>
      </c>
      <c r="F453" s="167">
        <v>0</v>
      </c>
      <c r="G453" s="167" t="s">
        <v>944</v>
      </c>
      <c r="H453" s="167" t="s">
        <v>944</v>
      </c>
      <c r="I453" s="177"/>
      <c r="J453" s="177"/>
      <c r="K453" s="177"/>
      <c r="L453" s="177"/>
      <c r="M453" s="177"/>
      <c r="N453" s="177"/>
      <c r="O453" s="177"/>
      <c r="P453" s="177"/>
    </row>
    <row r="454" spans="1:16" x14ac:dyDescent="0.25">
      <c r="A454" s="177"/>
      <c r="B454" s="177"/>
      <c r="C454" s="177"/>
      <c r="D454" s="177"/>
      <c r="E454" s="167" t="s">
        <v>434</v>
      </c>
      <c r="F454" s="167" t="s">
        <v>294</v>
      </c>
      <c r="G454" s="167" t="s">
        <v>294</v>
      </c>
      <c r="H454" s="167" t="s">
        <v>294</v>
      </c>
      <c r="I454" s="177"/>
      <c r="J454" s="177"/>
      <c r="K454" s="177"/>
      <c r="L454" s="177"/>
      <c r="M454" s="177"/>
      <c r="N454" s="177"/>
      <c r="O454" s="177"/>
      <c r="P454" s="177"/>
    </row>
    <row r="455" spans="1:16" x14ac:dyDescent="0.25">
      <c r="A455" s="177" t="s">
        <v>858</v>
      </c>
      <c r="B455" s="177" t="s">
        <v>965</v>
      </c>
      <c r="C455" s="177">
        <v>40</v>
      </c>
      <c r="D455" s="177">
        <v>65</v>
      </c>
      <c r="E455" s="167" t="s">
        <v>433</v>
      </c>
      <c r="F455" s="167" t="s">
        <v>967</v>
      </c>
      <c r="G455" s="167" t="s">
        <v>293</v>
      </c>
      <c r="H455" s="167" t="s">
        <v>944</v>
      </c>
      <c r="I455" s="177" t="s">
        <v>285</v>
      </c>
      <c r="J455" s="177" t="s">
        <v>979</v>
      </c>
      <c r="K455" s="177" t="s">
        <v>979</v>
      </c>
      <c r="L455" s="177" t="s">
        <v>979</v>
      </c>
      <c r="M455" s="177">
        <v>990</v>
      </c>
      <c r="N455" s="177">
        <v>50</v>
      </c>
      <c r="O455" s="177"/>
      <c r="P455" s="179" t="s">
        <v>1367</v>
      </c>
    </row>
    <row r="456" spans="1:16" x14ac:dyDescent="0.25">
      <c r="A456" s="177"/>
      <c r="B456" s="177"/>
      <c r="C456" s="177"/>
      <c r="D456" s="177"/>
      <c r="E456" s="167" t="s">
        <v>434</v>
      </c>
      <c r="F456" s="167" t="s">
        <v>954</v>
      </c>
      <c r="G456" s="167">
        <v>0</v>
      </c>
      <c r="H456" s="167">
        <v>0</v>
      </c>
      <c r="I456" s="177"/>
      <c r="J456" s="177"/>
      <c r="K456" s="177"/>
      <c r="L456" s="177"/>
      <c r="M456" s="177"/>
      <c r="N456" s="177"/>
      <c r="O456" s="177"/>
      <c r="P456" s="177"/>
    </row>
    <row r="457" spans="1:16" x14ac:dyDescent="0.25">
      <c r="A457" s="177"/>
      <c r="B457" s="177"/>
      <c r="C457" s="177"/>
      <c r="D457" s="177"/>
      <c r="E457" s="167" t="s">
        <v>433</v>
      </c>
      <c r="F457" s="167">
        <v>0</v>
      </c>
      <c r="G457" s="167" t="s">
        <v>944</v>
      </c>
      <c r="H457" s="167" t="s">
        <v>944</v>
      </c>
      <c r="I457" s="177"/>
      <c r="J457" s="177"/>
      <c r="K457" s="177"/>
      <c r="L457" s="177"/>
      <c r="M457" s="177"/>
      <c r="N457" s="177"/>
      <c r="O457" s="177"/>
      <c r="P457" s="177"/>
    </row>
    <row r="458" spans="1:16" x14ac:dyDescent="0.25">
      <c r="A458" s="177"/>
      <c r="B458" s="177"/>
      <c r="C458" s="177"/>
      <c r="D458" s="177"/>
      <c r="E458" s="167" t="s">
        <v>434</v>
      </c>
      <c r="F458" s="167" t="s">
        <v>967</v>
      </c>
      <c r="G458" s="167" t="s">
        <v>967</v>
      </c>
      <c r="H458" s="167" t="s">
        <v>967</v>
      </c>
      <c r="I458" s="177"/>
      <c r="J458" s="177"/>
      <c r="K458" s="177"/>
      <c r="L458" s="177"/>
      <c r="M458" s="177"/>
      <c r="N458" s="177"/>
      <c r="O458" s="177"/>
      <c r="P458" s="177"/>
    </row>
    <row r="459" spans="1:16" x14ac:dyDescent="0.25">
      <c r="A459" s="177" t="s">
        <v>858</v>
      </c>
      <c r="B459" s="177" t="s">
        <v>965</v>
      </c>
      <c r="C459" s="177">
        <v>40</v>
      </c>
      <c r="D459" s="177">
        <v>65</v>
      </c>
      <c r="E459" s="167" t="s">
        <v>433</v>
      </c>
      <c r="F459" s="167" t="s">
        <v>967</v>
      </c>
      <c r="G459" s="167" t="s">
        <v>293</v>
      </c>
      <c r="H459" s="167" t="s">
        <v>944</v>
      </c>
      <c r="I459" s="177" t="s">
        <v>285</v>
      </c>
      <c r="J459" s="177" t="s">
        <v>979</v>
      </c>
      <c r="K459" s="177" t="s">
        <v>979</v>
      </c>
      <c r="L459" s="177" t="s">
        <v>979</v>
      </c>
      <c r="M459" s="177">
        <v>990</v>
      </c>
      <c r="N459" s="177">
        <v>50</v>
      </c>
      <c r="O459" s="177"/>
      <c r="P459" s="179" t="s">
        <v>1367</v>
      </c>
    </row>
    <row r="460" spans="1:16" x14ac:dyDescent="0.25">
      <c r="A460" s="177"/>
      <c r="B460" s="177"/>
      <c r="C460" s="177"/>
      <c r="D460" s="177"/>
      <c r="E460" s="167" t="s">
        <v>434</v>
      </c>
      <c r="F460" s="167" t="s">
        <v>954</v>
      </c>
      <c r="G460" s="167">
        <v>0</v>
      </c>
      <c r="H460" s="167">
        <v>0</v>
      </c>
      <c r="I460" s="177"/>
      <c r="J460" s="177"/>
      <c r="K460" s="177"/>
      <c r="L460" s="177"/>
      <c r="M460" s="177"/>
      <c r="N460" s="177"/>
      <c r="O460" s="177"/>
      <c r="P460" s="177"/>
    </row>
    <row r="461" spans="1:16" x14ac:dyDescent="0.25">
      <c r="A461" s="177"/>
      <c r="B461" s="177"/>
      <c r="C461" s="177"/>
      <c r="D461" s="177"/>
      <c r="E461" s="167" t="s">
        <v>433</v>
      </c>
      <c r="F461" s="167">
        <v>0</v>
      </c>
      <c r="G461" s="167" t="s">
        <v>944</v>
      </c>
      <c r="H461" s="167" t="s">
        <v>944</v>
      </c>
      <c r="I461" s="177"/>
      <c r="J461" s="177"/>
      <c r="K461" s="177"/>
      <c r="L461" s="177"/>
      <c r="M461" s="177"/>
      <c r="N461" s="177"/>
      <c r="O461" s="177"/>
      <c r="P461" s="177"/>
    </row>
    <row r="462" spans="1:16" x14ac:dyDescent="0.25">
      <c r="A462" s="177"/>
      <c r="B462" s="177"/>
      <c r="C462" s="177"/>
      <c r="D462" s="177"/>
      <c r="E462" s="167" t="s">
        <v>434</v>
      </c>
      <c r="F462" s="167" t="s">
        <v>967</v>
      </c>
      <c r="G462" s="167" t="s">
        <v>967</v>
      </c>
      <c r="H462" s="167" t="s">
        <v>967</v>
      </c>
      <c r="I462" s="177"/>
      <c r="J462" s="177"/>
      <c r="K462" s="177"/>
      <c r="L462" s="177"/>
      <c r="M462" s="177"/>
      <c r="N462" s="177"/>
      <c r="O462" s="177"/>
      <c r="P462" s="177"/>
    </row>
    <row r="463" spans="1:16" x14ac:dyDescent="0.25">
      <c r="A463" s="177" t="s">
        <v>858</v>
      </c>
      <c r="B463" s="177" t="s">
        <v>965</v>
      </c>
      <c r="C463" s="177">
        <v>40</v>
      </c>
      <c r="D463" s="177">
        <v>65</v>
      </c>
      <c r="E463" s="167" t="s">
        <v>433</v>
      </c>
      <c r="F463" s="167" t="s">
        <v>967</v>
      </c>
      <c r="G463" s="167" t="s">
        <v>293</v>
      </c>
      <c r="H463" s="167" t="s">
        <v>944</v>
      </c>
      <c r="I463" s="177" t="s">
        <v>285</v>
      </c>
      <c r="J463" s="177" t="s">
        <v>979</v>
      </c>
      <c r="K463" s="177" t="s">
        <v>979</v>
      </c>
      <c r="L463" s="177" t="s">
        <v>979</v>
      </c>
      <c r="M463" s="177">
        <v>990</v>
      </c>
      <c r="N463" s="177">
        <v>50</v>
      </c>
      <c r="O463" s="177"/>
      <c r="P463" s="179" t="s">
        <v>1367</v>
      </c>
    </row>
    <row r="464" spans="1:16" x14ac:dyDescent="0.25">
      <c r="A464" s="177"/>
      <c r="B464" s="177"/>
      <c r="C464" s="177"/>
      <c r="D464" s="177"/>
      <c r="E464" s="167" t="s">
        <v>434</v>
      </c>
      <c r="F464" s="167" t="s">
        <v>954</v>
      </c>
      <c r="G464" s="167">
        <v>0</v>
      </c>
      <c r="H464" s="167">
        <v>0</v>
      </c>
      <c r="I464" s="177"/>
      <c r="J464" s="177"/>
      <c r="K464" s="177"/>
      <c r="L464" s="177"/>
      <c r="M464" s="177"/>
      <c r="N464" s="177"/>
      <c r="O464" s="177"/>
      <c r="P464" s="177"/>
    </row>
    <row r="465" spans="1:16" x14ac:dyDescent="0.25">
      <c r="A465" s="177"/>
      <c r="B465" s="177"/>
      <c r="C465" s="177"/>
      <c r="D465" s="177"/>
      <c r="E465" s="167" t="s">
        <v>433</v>
      </c>
      <c r="F465" s="167">
        <v>0</v>
      </c>
      <c r="G465" s="167" t="s">
        <v>944</v>
      </c>
      <c r="H465" s="167" t="s">
        <v>944</v>
      </c>
      <c r="I465" s="177"/>
      <c r="J465" s="177"/>
      <c r="K465" s="177"/>
      <c r="L465" s="177"/>
      <c r="M465" s="177"/>
      <c r="N465" s="177"/>
      <c r="O465" s="177"/>
      <c r="P465" s="177"/>
    </row>
    <row r="466" spans="1:16" x14ac:dyDescent="0.25">
      <c r="A466" s="177"/>
      <c r="B466" s="177"/>
      <c r="C466" s="177"/>
      <c r="D466" s="177"/>
      <c r="E466" s="167" t="s">
        <v>434</v>
      </c>
      <c r="F466" s="167" t="s">
        <v>967</v>
      </c>
      <c r="G466" s="167" t="s">
        <v>967</v>
      </c>
      <c r="H466" s="167" t="s">
        <v>967</v>
      </c>
      <c r="I466" s="177"/>
      <c r="J466" s="177"/>
      <c r="K466" s="177"/>
      <c r="L466" s="177"/>
      <c r="M466" s="177"/>
      <c r="N466" s="177"/>
      <c r="O466" s="177"/>
      <c r="P466" s="177"/>
    </row>
    <row r="467" spans="1:16" x14ac:dyDescent="0.25">
      <c r="A467" s="177" t="s">
        <v>858</v>
      </c>
      <c r="B467" s="177" t="s">
        <v>965</v>
      </c>
      <c r="C467" s="177">
        <v>40</v>
      </c>
      <c r="D467" s="177">
        <v>65</v>
      </c>
      <c r="E467" s="167" t="s">
        <v>433</v>
      </c>
      <c r="F467" s="167" t="s">
        <v>967</v>
      </c>
      <c r="G467" s="167" t="s">
        <v>293</v>
      </c>
      <c r="H467" s="167" t="s">
        <v>944</v>
      </c>
      <c r="I467" s="177" t="s">
        <v>285</v>
      </c>
      <c r="J467" s="177" t="s">
        <v>979</v>
      </c>
      <c r="K467" s="177" t="s">
        <v>979</v>
      </c>
      <c r="L467" s="177" t="s">
        <v>979</v>
      </c>
      <c r="M467" s="177">
        <v>990</v>
      </c>
      <c r="N467" s="177">
        <v>50</v>
      </c>
      <c r="O467" s="177"/>
      <c r="P467" s="179" t="s">
        <v>1367</v>
      </c>
    </row>
    <row r="468" spans="1:16" x14ac:dyDescent="0.25">
      <c r="A468" s="177"/>
      <c r="B468" s="177"/>
      <c r="C468" s="177"/>
      <c r="D468" s="177"/>
      <c r="E468" s="167" t="s">
        <v>434</v>
      </c>
      <c r="F468" s="167" t="s">
        <v>954</v>
      </c>
      <c r="G468" s="167">
        <v>0</v>
      </c>
      <c r="H468" s="167">
        <v>0</v>
      </c>
      <c r="I468" s="177"/>
      <c r="J468" s="177"/>
      <c r="K468" s="177"/>
      <c r="L468" s="177"/>
      <c r="M468" s="177"/>
      <c r="N468" s="177"/>
      <c r="O468" s="177"/>
      <c r="P468" s="177"/>
    </row>
    <row r="469" spans="1:16" x14ac:dyDescent="0.25">
      <c r="A469" s="177"/>
      <c r="B469" s="177"/>
      <c r="C469" s="177"/>
      <c r="D469" s="177"/>
      <c r="E469" s="167" t="s">
        <v>433</v>
      </c>
      <c r="F469" s="167">
        <v>0</v>
      </c>
      <c r="G469" s="167" t="s">
        <v>944</v>
      </c>
      <c r="H469" s="167" t="s">
        <v>944</v>
      </c>
      <c r="I469" s="177"/>
      <c r="J469" s="177"/>
      <c r="K469" s="177"/>
      <c r="L469" s="177"/>
      <c r="M469" s="177"/>
      <c r="N469" s="177"/>
      <c r="O469" s="177"/>
      <c r="P469" s="177"/>
    </row>
    <row r="470" spans="1:16" x14ac:dyDescent="0.25">
      <c r="A470" s="177"/>
      <c r="B470" s="177"/>
      <c r="C470" s="177"/>
      <c r="D470" s="177"/>
      <c r="E470" s="167" t="s">
        <v>434</v>
      </c>
      <c r="F470" s="167" t="s">
        <v>967</v>
      </c>
      <c r="G470" s="167" t="s">
        <v>967</v>
      </c>
      <c r="H470" s="167" t="s">
        <v>967</v>
      </c>
      <c r="I470" s="177"/>
      <c r="J470" s="177"/>
      <c r="K470" s="177"/>
      <c r="L470" s="177"/>
      <c r="M470" s="177"/>
      <c r="N470" s="177"/>
      <c r="O470" s="177"/>
      <c r="P470" s="177"/>
    </row>
    <row r="471" spans="1:16" x14ac:dyDescent="0.25">
      <c r="A471" s="177" t="s">
        <v>858</v>
      </c>
      <c r="B471" s="177" t="s">
        <v>986</v>
      </c>
      <c r="C471" s="177">
        <v>40</v>
      </c>
      <c r="D471" s="177">
        <v>65</v>
      </c>
      <c r="E471" s="167" t="s">
        <v>433</v>
      </c>
      <c r="F471" s="167" t="s">
        <v>944</v>
      </c>
      <c r="G471" s="167" t="s">
        <v>293</v>
      </c>
      <c r="H471" s="167" t="s">
        <v>967</v>
      </c>
      <c r="I471" s="177" t="s">
        <v>285</v>
      </c>
      <c r="J471" s="177" t="s">
        <v>914</v>
      </c>
      <c r="K471" s="177" t="s">
        <v>914</v>
      </c>
      <c r="L471" s="177" t="s">
        <v>914</v>
      </c>
      <c r="M471" s="177">
        <v>710</v>
      </c>
      <c r="N471" s="177">
        <v>50</v>
      </c>
      <c r="O471" s="177"/>
      <c r="P471" s="179" t="s">
        <v>1364</v>
      </c>
    </row>
    <row r="472" spans="1:16" x14ac:dyDescent="0.25">
      <c r="A472" s="177"/>
      <c r="B472" s="177"/>
      <c r="C472" s="177"/>
      <c r="D472" s="177"/>
      <c r="E472" s="167" t="s">
        <v>434</v>
      </c>
      <c r="F472" s="167">
        <v>0</v>
      </c>
      <c r="G472" s="167">
        <v>0</v>
      </c>
      <c r="H472" s="167">
        <v>0</v>
      </c>
      <c r="I472" s="177"/>
      <c r="J472" s="177"/>
      <c r="K472" s="177"/>
      <c r="L472" s="177"/>
      <c r="M472" s="177"/>
      <c r="N472" s="177"/>
      <c r="O472" s="177"/>
      <c r="P472" s="177"/>
    </row>
    <row r="473" spans="1:16" x14ac:dyDescent="0.25">
      <c r="A473" s="177"/>
      <c r="B473" s="177"/>
      <c r="C473" s="177"/>
      <c r="D473" s="177"/>
      <c r="E473" s="167" t="s">
        <v>433</v>
      </c>
      <c r="F473" s="167">
        <v>0</v>
      </c>
      <c r="G473" s="167">
        <v>0</v>
      </c>
      <c r="H473" s="167">
        <v>0</v>
      </c>
      <c r="I473" s="177"/>
      <c r="J473" s="177"/>
      <c r="K473" s="177"/>
      <c r="L473" s="177"/>
      <c r="M473" s="177"/>
      <c r="N473" s="177"/>
      <c r="O473" s="177"/>
      <c r="P473" s="177"/>
    </row>
    <row r="474" spans="1:16" x14ac:dyDescent="0.25">
      <c r="A474" s="177"/>
      <c r="B474" s="177"/>
      <c r="C474" s="177"/>
      <c r="D474" s="177"/>
      <c r="E474" s="167" t="s">
        <v>434</v>
      </c>
      <c r="F474" s="167" t="s">
        <v>954</v>
      </c>
      <c r="G474" s="167" t="s">
        <v>294</v>
      </c>
      <c r="H474" s="167" t="s">
        <v>954</v>
      </c>
      <c r="I474" s="177"/>
      <c r="J474" s="177"/>
      <c r="K474" s="177"/>
      <c r="L474" s="177"/>
      <c r="M474" s="177"/>
      <c r="N474" s="177"/>
      <c r="O474" s="177"/>
      <c r="P474" s="177"/>
    </row>
    <row r="475" spans="1:16" x14ac:dyDescent="0.25">
      <c r="A475" s="177" t="s">
        <v>858</v>
      </c>
      <c r="B475" s="177" t="s">
        <v>987</v>
      </c>
      <c r="C475" s="177">
        <v>40</v>
      </c>
      <c r="D475" s="177">
        <v>65</v>
      </c>
      <c r="E475" s="167" t="s">
        <v>433</v>
      </c>
      <c r="F475" s="167" t="s">
        <v>967</v>
      </c>
      <c r="G475" s="167" t="s">
        <v>293</v>
      </c>
      <c r="H475" s="167" t="s">
        <v>967</v>
      </c>
      <c r="I475" s="177" t="s">
        <v>285</v>
      </c>
      <c r="J475" s="177" t="s">
        <v>914</v>
      </c>
      <c r="K475" s="177" t="s">
        <v>914</v>
      </c>
      <c r="L475" s="177" t="s">
        <v>914</v>
      </c>
      <c r="M475" s="177">
        <v>830</v>
      </c>
      <c r="N475" s="177">
        <v>50</v>
      </c>
      <c r="O475" s="177"/>
      <c r="P475" s="178" t="s">
        <v>1365</v>
      </c>
    </row>
    <row r="476" spans="1:16" x14ac:dyDescent="0.25">
      <c r="A476" s="177"/>
      <c r="B476" s="177"/>
      <c r="C476" s="177"/>
      <c r="D476" s="177"/>
      <c r="E476" s="167" t="s">
        <v>434</v>
      </c>
      <c r="F476" s="167">
        <v>0</v>
      </c>
      <c r="G476" s="167">
        <v>0</v>
      </c>
      <c r="H476" s="167" t="s">
        <v>947</v>
      </c>
      <c r="I476" s="177"/>
      <c r="J476" s="177"/>
      <c r="K476" s="177"/>
      <c r="L476" s="177"/>
      <c r="M476" s="177"/>
      <c r="N476" s="177"/>
      <c r="O476" s="177"/>
      <c r="P476" s="177"/>
    </row>
    <row r="477" spans="1:16" x14ac:dyDescent="0.25">
      <c r="A477" s="177"/>
      <c r="B477" s="177"/>
      <c r="C477" s="177"/>
      <c r="D477" s="177"/>
      <c r="E477" s="167" t="s">
        <v>433</v>
      </c>
      <c r="F477" s="167">
        <v>0</v>
      </c>
      <c r="G477" s="167">
        <v>0</v>
      </c>
      <c r="H477" s="167">
        <v>0</v>
      </c>
      <c r="I477" s="177"/>
      <c r="J477" s="177"/>
      <c r="K477" s="177"/>
      <c r="L477" s="177"/>
      <c r="M477" s="177"/>
      <c r="N477" s="177"/>
      <c r="O477" s="177"/>
      <c r="P477" s="177"/>
    </row>
    <row r="478" spans="1:16" x14ac:dyDescent="0.25">
      <c r="A478" s="177"/>
      <c r="B478" s="177"/>
      <c r="C478" s="177"/>
      <c r="D478" s="177"/>
      <c r="E478" s="167" t="s">
        <v>434</v>
      </c>
      <c r="F478" s="167" t="s">
        <v>954</v>
      </c>
      <c r="G478" s="167" t="s">
        <v>294</v>
      </c>
      <c r="H478" s="167" t="s">
        <v>947</v>
      </c>
      <c r="I478" s="177"/>
      <c r="J478" s="177"/>
      <c r="K478" s="177"/>
      <c r="L478" s="177"/>
      <c r="M478" s="177"/>
      <c r="N478" s="177"/>
      <c r="O478" s="177"/>
      <c r="P478" s="177"/>
    </row>
    <row r="479" spans="1:16" x14ac:dyDescent="0.25">
      <c r="A479" s="177" t="s">
        <v>858</v>
      </c>
      <c r="B479" s="177" t="s">
        <v>988</v>
      </c>
      <c r="C479" s="177">
        <v>40</v>
      </c>
      <c r="D479" s="177">
        <v>65</v>
      </c>
      <c r="E479" s="167" t="s">
        <v>433</v>
      </c>
      <c r="F479" s="167" t="s">
        <v>912</v>
      </c>
      <c r="G479" s="167" t="s">
        <v>915</v>
      </c>
      <c r="H479" s="167" t="s">
        <v>912</v>
      </c>
      <c r="I479" s="177" t="s">
        <v>285</v>
      </c>
      <c r="J479" s="177" t="s">
        <v>979</v>
      </c>
      <c r="K479" s="177" t="s">
        <v>979</v>
      </c>
      <c r="L479" s="177" t="s">
        <v>979</v>
      </c>
      <c r="M479" s="177">
        <v>1070</v>
      </c>
      <c r="N479" s="177">
        <v>50</v>
      </c>
      <c r="O479" s="177"/>
      <c r="P479" s="179" t="s">
        <v>1368</v>
      </c>
    </row>
    <row r="480" spans="1:16" x14ac:dyDescent="0.25">
      <c r="A480" s="177"/>
      <c r="B480" s="177"/>
      <c r="C480" s="177"/>
      <c r="D480" s="177"/>
      <c r="E480" s="167" t="s">
        <v>434</v>
      </c>
      <c r="F480" s="167" t="s">
        <v>915</v>
      </c>
      <c r="G480" s="167">
        <v>0</v>
      </c>
      <c r="H480" s="167" t="s">
        <v>917</v>
      </c>
      <c r="I480" s="177"/>
      <c r="J480" s="177"/>
      <c r="K480" s="177"/>
      <c r="L480" s="177"/>
      <c r="M480" s="177"/>
      <c r="N480" s="177"/>
      <c r="O480" s="177"/>
      <c r="P480" s="177"/>
    </row>
    <row r="481" spans="1:16" x14ac:dyDescent="0.25">
      <c r="A481" s="177"/>
      <c r="B481" s="177"/>
      <c r="C481" s="177"/>
      <c r="D481" s="177"/>
      <c r="E481" s="167" t="s">
        <v>433</v>
      </c>
      <c r="F481" s="167" t="s">
        <v>293</v>
      </c>
      <c r="G481" s="167" t="s">
        <v>294</v>
      </c>
      <c r="H481" s="167" t="s">
        <v>293</v>
      </c>
      <c r="I481" s="177"/>
      <c r="J481" s="177"/>
      <c r="K481" s="177"/>
      <c r="L481" s="177"/>
      <c r="M481" s="177"/>
      <c r="N481" s="177"/>
      <c r="O481" s="177"/>
      <c r="P481" s="177"/>
    </row>
    <row r="482" spans="1:16" x14ac:dyDescent="0.25">
      <c r="A482" s="177"/>
      <c r="B482" s="177"/>
      <c r="C482" s="177"/>
      <c r="D482" s="177"/>
      <c r="E482" s="167" t="s">
        <v>434</v>
      </c>
      <c r="F482" s="167" t="s">
        <v>967</v>
      </c>
      <c r="G482" s="167" t="s">
        <v>967</v>
      </c>
      <c r="H482" s="167" t="s">
        <v>967</v>
      </c>
      <c r="I482" s="177"/>
      <c r="J482" s="177"/>
      <c r="K482" s="177"/>
      <c r="L482" s="177"/>
      <c r="M482" s="177"/>
      <c r="N482" s="177"/>
      <c r="O482" s="177"/>
      <c r="P482" s="177"/>
    </row>
    <row r="483" spans="1:16" x14ac:dyDescent="0.25">
      <c r="A483" s="177" t="s">
        <v>858</v>
      </c>
      <c r="B483" s="177" t="s">
        <v>989</v>
      </c>
      <c r="C483" s="177">
        <v>40</v>
      </c>
      <c r="D483" s="177">
        <v>65</v>
      </c>
      <c r="E483" s="167" t="s">
        <v>433</v>
      </c>
      <c r="F483" s="167" t="s">
        <v>912</v>
      </c>
      <c r="G483" s="167" t="s">
        <v>915</v>
      </c>
      <c r="H483" s="167" t="s">
        <v>912</v>
      </c>
      <c r="I483" s="177" t="s">
        <v>285</v>
      </c>
      <c r="J483" s="177" t="s">
        <v>979</v>
      </c>
      <c r="K483" s="177" t="s">
        <v>979</v>
      </c>
      <c r="L483" s="177" t="s">
        <v>979</v>
      </c>
      <c r="M483" s="177">
        <v>1100</v>
      </c>
      <c r="N483" s="177">
        <v>50</v>
      </c>
      <c r="O483" s="177"/>
      <c r="P483" s="179" t="s">
        <v>1368</v>
      </c>
    </row>
    <row r="484" spans="1:16" x14ac:dyDescent="0.25">
      <c r="A484" s="177"/>
      <c r="B484" s="177"/>
      <c r="C484" s="177"/>
      <c r="D484" s="177"/>
      <c r="E484" s="167" t="s">
        <v>434</v>
      </c>
      <c r="F484" s="167" t="s">
        <v>917</v>
      </c>
      <c r="G484" s="167">
        <v>0</v>
      </c>
      <c r="H484" s="167" t="s">
        <v>916</v>
      </c>
      <c r="I484" s="177"/>
      <c r="J484" s="177"/>
      <c r="K484" s="177"/>
      <c r="L484" s="177"/>
      <c r="M484" s="177"/>
      <c r="N484" s="177"/>
      <c r="O484" s="177"/>
      <c r="P484" s="177"/>
    </row>
    <row r="485" spans="1:16" x14ac:dyDescent="0.25">
      <c r="A485" s="177"/>
      <c r="B485" s="177"/>
      <c r="C485" s="177"/>
      <c r="D485" s="177"/>
      <c r="E485" s="167" t="s">
        <v>433</v>
      </c>
      <c r="F485" s="167" t="s">
        <v>293</v>
      </c>
      <c r="G485" s="167" t="s">
        <v>294</v>
      </c>
      <c r="H485" s="167" t="s">
        <v>293</v>
      </c>
      <c r="I485" s="177"/>
      <c r="J485" s="177"/>
      <c r="K485" s="177"/>
      <c r="L485" s="177"/>
      <c r="M485" s="177"/>
      <c r="N485" s="177"/>
      <c r="O485" s="177"/>
      <c r="P485" s="177"/>
    </row>
    <row r="486" spans="1:16" x14ac:dyDescent="0.25">
      <c r="A486" s="177"/>
      <c r="B486" s="177"/>
      <c r="C486" s="177"/>
      <c r="D486" s="177"/>
      <c r="E486" s="167" t="s">
        <v>434</v>
      </c>
      <c r="F486" s="167" t="s">
        <v>967</v>
      </c>
      <c r="G486" s="167" t="s">
        <v>967</v>
      </c>
      <c r="H486" s="167" t="s">
        <v>967</v>
      </c>
      <c r="I486" s="177"/>
      <c r="J486" s="177"/>
      <c r="K486" s="177"/>
      <c r="L486" s="177"/>
      <c r="M486" s="177"/>
      <c r="N486" s="177"/>
      <c r="O486" s="177"/>
      <c r="P486" s="177"/>
    </row>
    <row r="487" spans="1:16" x14ac:dyDescent="0.25">
      <c r="A487" s="177" t="s">
        <v>858</v>
      </c>
      <c r="B487" s="177" t="s">
        <v>990</v>
      </c>
      <c r="C487" s="177">
        <v>40</v>
      </c>
      <c r="D487" s="177">
        <v>65</v>
      </c>
      <c r="E487" s="167" t="s">
        <v>433</v>
      </c>
      <c r="F487" s="167" t="s">
        <v>912</v>
      </c>
      <c r="G487" s="167" t="s">
        <v>915</v>
      </c>
      <c r="H487" s="167" t="s">
        <v>915</v>
      </c>
      <c r="I487" s="177" t="s">
        <v>285</v>
      </c>
      <c r="J487" s="177" t="s">
        <v>918</v>
      </c>
      <c r="K487" s="177" t="s">
        <v>918</v>
      </c>
      <c r="L487" s="177" t="s">
        <v>918</v>
      </c>
      <c r="M487" s="177">
        <v>990</v>
      </c>
      <c r="N487" s="177">
        <v>50</v>
      </c>
      <c r="O487" s="177"/>
      <c r="P487" s="179" t="s">
        <v>1369</v>
      </c>
    </row>
    <row r="488" spans="1:16" x14ac:dyDescent="0.25">
      <c r="A488" s="177"/>
      <c r="B488" s="177"/>
      <c r="C488" s="177"/>
      <c r="D488" s="177"/>
      <c r="E488" s="167" t="s">
        <v>434</v>
      </c>
      <c r="F488" s="167" t="s">
        <v>916</v>
      </c>
      <c r="G488" s="167">
        <v>0</v>
      </c>
      <c r="H488" s="167">
        <v>0</v>
      </c>
      <c r="I488" s="177"/>
      <c r="J488" s="177"/>
      <c r="K488" s="177"/>
      <c r="L488" s="177"/>
      <c r="M488" s="177"/>
      <c r="N488" s="177"/>
      <c r="O488" s="177"/>
      <c r="P488" s="177"/>
    </row>
    <row r="489" spans="1:16" x14ac:dyDescent="0.25">
      <c r="A489" s="177"/>
      <c r="B489" s="177"/>
      <c r="C489" s="177"/>
      <c r="D489" s="177"/>
      <c r="E489" s="167" t="s">
        <v>433</v>
      </c>
      <c r="F489" s="167" t="s">
        <v>944</v>
      </c>
      <c r="G489" s="167" t="s">
        <v>954</v>
      </c>
      <c r="H489" s="167" t="s">
        <v>947</v>
      </c>
      <c r="I489" s="177"/>
      <c r="J489" s="177"/>
      <c r="K489" s="177"/>
      <c r="L489" s="177"/>
      <c r="M489" s="177"/>
      <c r="N489" s="177"/>
      <c r="O489" s="177"/>
      <c r="P489" s="177"/>
    </row>
    <row r="490" spans="1:16" x14ac:dyDescent="0.25">
      <c r="A490" s="177"/>
      <c r="B490" s="177"/>
      <c r="C490" s="177"/>
      <c r="D490" s="177"/>
      <c r="E490" s="167" t="s">
        <v>434</v>
      </c>
      <c r="F490" s="167" t="s">
        <v>294</v>
      </c>
      <c r="G490" s="167" t="s">
        <v>967</v>
      </c>
      <c r="H490" s="167" t="s">
        <v>967</v>
      </c>
      <c r="I490" s="177"/>
      <c r="J490" s="177"/>
      <c r="K490" s="177"/>
      <c r="L490" s="177"/>
      <c r="M490" s="177"/>
      <c r="N490" s="177"/>
      <c r="O490" s="177"/>
      <c r="P490" s="177"/>
    </row>
    <row r="491" spans="1:16" x14ac:dyDescent="0.25">
      <c r="A491" s="177" t="s">
        <v>851</v>
      </c>
      <c r="B491" s="177" t="s">
        <v>952</v>
      </c>
      <c r="C491" s="177">
        <v>40</v>
      </c>
      <c r="D491" s="177">
        <v>70</v>
      </c>
      <c r="E491" s="167" t="s">
        <v>433</v>
      </c>
      <c r="F491" s="167" t="s">
        <v>944</v>
      </c>
      <c r="G491" s="167" t="s">
        <v>944</v>
      </c>
      <c r="H491" s="167" t="s">
        <v>947</v>
      </c>
      <c r="I491" s="177" t="s">
        <v>285</v>
      </c>
      <c r="J491" s="177" t="s">
        <v>914</v>
      </c>
      <c r="K491" s="177" t="s">
        <v>914</v>
      </c>
      <c r="L491" s="177" t="s">
        <v>914</v>
      </c>
      <c r="M491" s="177">
        <v>830</v>
      </c>
      <c r="N491" s="177">
        <v>60</v>
      </c>
      <c r="O491" s="177"/>
      <c r="P491" s="179" t="s">
        <v>1370</v>
      </c>
    </row>
    <row r="492" spans="1:16" x14ac:dyDescent="0.25">
      <c r="A492" s="177"/>
      <c r="B492" s="177"/>
      <c r="C492" s="177"/>
      <c r="D492" s="177"/>
      <c r="E492" s="167" t="s">
        <v>434</v>
      </c>
      <c r="F492" s="167">
        <v>0</v>
      </c>
      <c r="G492" s="167">
        <v>0</v>
      </c>
      <c r="H492" s="167">
        <v>0</v>
      </c>
      <c r="I492" s="177"/>
      <c r="J492" s="177"/>
      <c r="K492" s="177"/>
      <c r="L492" s="177"/>
      <c r="M492" s="177"/>
      <c r="N492" s="177"/>
      <c r="O492" s="177"/>
      <c r="P492" s="177"/>
    </row>
    <row r="493" spans="1:16" x14ac:dyDescent="0.25">
      <c r="A493" s="177"/>
      <c r="B493" s="177"/>
      <c r="C493" s="177"/>
      <c r="D493" s="177"/>
      <c r="E493" s="167" t="s">
        <v>433</v>
      </c>
      <c r="F493" s="167">
        <v>0</v>
      </c>
      <c r="G493" s="167">
        <v>0</v>
      </c>
      <c r="H493" s="167">
        <v>0</v>
      </c>
      <c r="I493" s="177"/>
      <c r="J493" s="177"/>
      <c r="K493" s="177"/>
      <c r="L493" s="177"/>
      <c r="M493" s="177"/>
      <c r="N493" s="177"/>
      <c r="O493" s="177"/>
      <c r="P493" s="177"/>
    </row>
    <row r="494" spans="1:16" x14ac:dyDescent="0.25">
      <c r="A494" s="177"/>
      <c r="B494" s="177"/>
      <c r="C494" s="177"/>
      <c r="D494" s="177"/>
      <c r="E494" s="167" t="s">
        <v>434</v>
      </c>
      <c r="F494" s="167" t="s">
        <v>293</v>
      </c>
      <c r="G494" s="167" t="s">
        <v>947</v>
      </c>
      <c r="H494" s="167" t="s">
        <v>293</v>
      </c>
      <c r="I494" s="177"/>
      <c r="J494" s="177"/>
      <c r="K494" s="177"/>
      <c r="L494" s="177"/>
      <c r="M494" s="177"/>
      <c r="N494" s="177"/>
      <c r="O494" s="177"/>
      <c r="P494" s="177"/>
    </row>
    <row r="495" spans="1:16" x14ac:dyDescent="0.25">
      <c r="A495" s="177" t="s">
        <v>851</v>
      </c>
      <c r="B495" s="177" t="s">
        <v>952</v>
      </c>
      <c r="C495" s="177">
        <v>40</v>
      </c>
      <c r="D495" s="177">
        <v>70</v>
      </c>
      <c r="E495" s="167" t="s">
        <v>433</v>
      </c>
      <c r="F495" s="167" t="s">
        <v>944</v>
      </c>
      <c r="G495" s="167" t="s">
        <v>944</v>
      </c>
      <c r="H495" s="167" t="s">
        <v>947</v>
      </c>
      <c r="I495" s="177" t="s">
        <v>285</v>
      </c>
      <c r="J495" s="177" t="s">
        <v>914</v>
      </c>
      <c r="K495" s="177" t="s">
        <v>914</v>
      </c>
      <c r="L495" s="177" t="s">
        <v>914</v>
      </c>
      <c r="M495" s="177">
        <v>830</v>
      </c>
      <c r="N495" s="177">
        <v>60</v>
      </c>
      <c r="O495" s="177"/>
      <c r="P495" s="179" t="s">
        <v>1370</v>
      </c>
    </row>
    <row r="496" spans="1:16" x14ac:dyDescent="0.25">
      <c r="A496" s="177"/>
      <c r="B496" s="177"/>
      <c r="C496" s="177"/>
      <c r="D496" s="177"/>
      <c r="E496" s="167" t="s">
        <v>434</v>
      </c>
      <c r="F496" s="167">
        <v>0</v>
      </c>
      <c r="G496" s="167">
        <v>0</v>
      </c>
      <c r="H496" s="167">
        <v>0</v>
      </c>
      <c r="I496" s="177"/>
      <c r="J496" s="177"/>
      <c r="K496" s="177"/>
      <c r="L496" s="177"/>
      <c r="M496" s="177"/>
      <c r="N496" s="177"/>
      <c r="O496" s="177"/>
      <c r="P496" s="177"/>
    </row>
    <row r="497" spans="1:16" x14ac:dyDescent="0.25">
      <c r="A497" s="177"/>
      <c r="B497" s="177"/>
      <c r="C497" s="177"/>
      <c r="D497" s="177"/>
      <c r="E497" s="167" t="s">
        <v>433</v>
      </c>
      <c r="F497" s="167">
        <v>0</v>
      </c>
      <c r="G497" s="167">
        <v>0</v>
      </c>
      <c r="H497" s="167">
        <v>0</v>
      </c>
      <c r="I497" s="177"/>
      <c r="J497" s="177"/>
      <c r="K497" s="177"/>
      <c r="L497" s="177"/>
      <c r="M497" s="177"/>
      <c r="N497" s="177"/>
      <c r="O497" s="177"/>
      <c r="P497" s="177"/>
    </row>
    <row r="498" spans="1:16" x14ac:dyDescent="0.25">
      <c r="A498" s="177"/>
      <c r="B498" s="177"/>
      <c r="C498" s="177"/>
      <c r="D498" s="177"/>
      <c r="E498" s="167" t="s">
        <v>434</v>
      </c>
      <c r="F498" s="167" t="s">
        <v>293</v>
      </c>
      <c r="G498" s="167" t="s">
        <v>947</v>
      </c>
      <c r="H498" s="167" t="s">
        <v>293</v>
      </c>
      <c r="I498" s="177"/>
      <c r="J498" s="177"/>
      <c r="K498" s="177"/>
      <c r="L498" s="177"/>
      <c r="M498" s="177"/>
      <c r="N498" s="177"/>
      <c r="O498" s="177"/>
      <c r="P498" s="177"/>
    </row>
    <row r="499" spans="1:16" x14ac:dyDescent="0.25">
      <c r="A499" s="177" t="s">
        <v>851</v>
      </c>
      <c r="B499" s="177" t="s">
        <v>951</v>
      </c>
      <c r="C499" s="177">
        <v>40</v>
      </c>
      <c r="D499" s="177">
        <v>70</v>
      </c>
      <c r="E499" s="167" t="s">
        <v>433</v>
      </c>
      <c r="F499" s="167" t="s">
        <v>947</v>
      </c>
      <c r="G499" s="167" t="s">
        <v>944</v>
      </c>
      <c r="H499" s="167" t="s">
        <v>947</v>
      </c>
      <c r="I499" s="177" t="s">
        <v>285</v>
      </c>
      <c r="J499" s="177" t="s">
        <v>914</v>
      </c>
      <c r="K499" s="177" t="s">
        <v>914</v>
      </c>
      <c r="L499" s="177" t="s">
        <v>914</v>
      </c>
      <c r="M499" s="177">
        <v>830</v>
      </c>
      <c r="N499" s="177">
        <v>60</v>
      </c>
      <c r="O499" s="177"/>
      <c r="P499" s="179" t="s">
        <v>1371</v>
      </c>
    </row>
    <row r="500" spans="1:16" x14ac:dyDescent="0.25">
      <c r="A500" s="177"/>
      <c r="B500" s="177"/>
      <c r="C500" s="177"/>
      <c r="D500" s="177"/>
      <c r="E500" s="167" t="s">
        <v>434</v>
      </c>
      <c r="F500" s="167">
        <v>0</v>
      </c>
      <c r="G500" s="167">
        <v>0</v>
      </c>
      <c r="H500" s="167">
        <v>0</v>
      </c>
      <c r="I500" s="177"/>
      <c r="J500" s="177"/>
      <c r="K500" s="177"/>
      <c r="L500" s="177"/>
      <c r="M500" s="177"/>
      <c r="N500" s="177"/>
      <c r="O500" s="177"/>
      <c r="P500" s="177"/>
    </row>
    <row r="501" spans="1:16" x14ac:dyDescent="0.25">
      <c r="A501" s="177"/>
      <c r="B501" s="177"/>
      <c r="C501" s="177"/>
      <c r="D501" s="177"/>
      <c r="E501" s="167" t="s">
        <v>433</v>
      </c>
      <c r="F501" s="167">
        <v>0</v>
      </c>
      <c r="G501" s="167">
        <v>0</v>
      </c>
      <c r="H501" s="167">
        <v>0</v>
      </c>
      <c r="I501" s="177"/>
      <c r="J501" s="177"/>
      <c r="K501" s="177"/>
      <c r="L501" s="177"/>
      <c r="M501" s="177"/>
      <c r="N501" s="177"/>
      <c r="O501" s="177"/>
      <c r="P501" s="177"/>
    </row>
    <row r="502" spans="1:16" x14ac:dyDescent="0.25">
      <c r="A502" s="177"/>
      <c r="B502" s="177"/>
      <c r="C502" s="177"/>
      <c r="D502" s="177"/>
      <c r="E502" s="167" t="s">
        <v>434</v>
      </c>
      <c r="F502" s="167" t="s">
        <v>293</v>
      </c>
      <c r="G502" s="167" t="s">
        <v>293</v>
      </c>
      <c r="H502" s="167" t="s">
        <v>293</v>
      </c>
      <c r="I502" s="177"/>
      <c r="J502" s="177"/>
      <c r="K502" s="177"/>
      <c r="L502" s="177"/>
      <c r="M502" s="177"/>
      <c r="N502" s="177"/>
      <c r="O502" s="177"/>
      <c r="P502" s="177"/>
    </row>
    <row r="503" spans="1:16" x14ac:dyDescent="0.25">
      <c r="A503" s="177" t="s">
        <v>851</v>
      </c>
      <c r="B503" s="177" t="s">
        <v>951</v>
      </c>
      <c r="C503" s="177">
        <v>40</v>
      </c>
      <c r="D503" s="177">
        <v>70</v>
      </c>
      <c r="E503" s="167" t="s">
        <v>433</v>
      </c>
      <c r="F503" s="167" t="s">
        <v>947</v>
      </c>
      <c r="G503" s="167" t="s">
        <v>944</v>
      </c>
      <c r="H503" s="167" t="s">
        <v>947</v>
      </c>
      <c r="I503" s="177" t="s">
        <v>285</v>
      </c>
      <c r="J503" s="177" t="s">
        <v>914</v>
      </c>
      <c r="K503" s="177" t="s">
        <v>914</v>
      </c>
      <c r="L503" s="177" t="s">
        <v>914</v>
      </c>
      <c r="M503" s="177">
        <v>830</v>
      </c>
      <c r="N503" s="177">
        <v>60</v>
      </c>
      <c r="O503" s="177"/>
      <c r="P503" s="179" t="s">
        <v>1371</v>
      </c>
    </row>
    <row r="504" spans="1:16" x14ac:dyDescent="0.25">
      <c r="A504" s="177"/>
      <c r="B504" s="177"/>
      <c r="C504" s="177"/>
      <c r="D504" s="177"/>
      <c r="E504" s="167" t="s">
        <v>434</v>
      </c>
      <c r="F504" s="167">
        <v>0</v>
      </c>
      <c r="G504" s="167">
        <v>0</v>
      </c>
      <c r="H504" s="167">
        <v>0</v>
      </c>
      <c r="I504" s="177"/>
      <c r="J504" s="177"/>
      <c r="K504" s="177"/>
      <c r="L504" s="177"/>
      <c r="M504" s="177"/>
      <c r="N504" s="177"/>
      <c r="O504" s="177"/>
      <c r="P504" s="177"/>
    </row>
    <row r="505" spans="1:16" x14ac:dyDescent="0.25">
      <c r="A505" s="177"/>
      <c r="B505" s="177"/>
      <c r="C505" s="177"/>
      <c r="D505" s="177"/>
      <c r="E505" s="167" t="s">
        <v>433</v>
      </c>
      <c r="F505" s="167">
        <v>0</v>
      </c>
      <c r="G505" s="167">
        <v>0</v>
      </c>
      <c r="H505" s="167">
        <v>0</v>
      </c>
      <c r="I505" s="177"/>
      <c r="J505" s="177"/>
      <c r="K505" s="177"/>
      <c r="L505" s="177"/>
      <c r="M505" s="177"/>
      <c r="N505" s="177"/>
      <c r="O505" s="177"/>
      <c r="P505" s="177"/>
    </row>
    <row r="506" spans="1:16" x14ac:dyDescent="0.25">
      <c r="A506" s="177"/>
      <c r="B506" s="177"/>
      <c r="C506" s="177"/>
      <c r="D506" s="177"/>
      <c r="E506" s="167" t="s">
        <v>434</v>
      </c>
      <c r="F506" s="167" t="s">
        <v>293</v>
      </c>
      <c r="G506" s="167" t="s">
        <v>293</v>
      </c>
      <c r="H506" s="167" t="s">
        <v>293</v>
      </c>
      <c r="I506" s="177"/>
      <c r="J506" s="177"/>
      <c r="K506" s="177"/>
      <c r="L506" s="177"/>
      <c r="M506" s="177"/>
      <c r="N506" s="177"/>
      <c r="O506" s="177"/>
      <c r="P506" s="177"/>
    </row>
    <row r="507" spans="1:16" x14ac:dyDescent="0.25">
      <c r="A507" s="177" t="s">
        <v>851</v>
      </c>
      <c r="B507" s="177" t="s">
        <v>950</v>
      </c>
      <c r="C507" s="177">
        <v>40</v>
      </c>
      <c r="D507" s="177">
        <v>70</v>
      </c>
      <c r="E507" s="167" t="s">
        <v>433</v>
      </c>
      <c r="F507" s="167" t="s">
        <v>947</v>
      </c>
      <c r="G507" s="167" t="s">
        <v>944</v>
      </c>
      <c r="H507" s="167" t="s">
        <v>947</v>
      </c>
      <c r="I507" s="177" t="s">
        <v>285</v>
      </c>
      <c r="J507" s="177" t="s">
        <v>914</v>
      </c>
      <c r="K507" s="177" t="s">
        <v>914</v>
      </c>
      <c r="L507" s="177" t="s">
        <v>914</v>
      </c>
      <c r="M507" s="177">
        <v>830</v>
      </c>
      <c r="N507" s="177">
        <v>60</v>
      </c>
      <c r="O507" s="177"/>
      <c r="P507" s="179" t="s">
        <v>1371</v>
      </c>
    </row>
    <row r="508" spans="1:16" x14ac:dyDescent="0.25">
      <c r="A508" s="177"/>
      <c r="B508" s="177"/>
      <c r="C508" s="177"/>
      <c r="D508" s="177"/>
      <c r="E508" s="167" t="s">
        <v>434</v>
      </c>
      <c r="F508" s="167">
        <v>0</v>
      </c>
      <c r="G508" s="167">
        <v>0</v>
      </c>
      <c r="H508" s="167">
        <v>0</v>
      </c>
      <c r="I508" s="177"/>
      <c r="J508" s="177"/>
      <c r="K508" s="177"/>
      <c r="L508" s="177"/>
      <c r="M508" s="177"/>
      <c r="N508" s="177"/>
      <c r="O508" s="177"/>
      <c r="P508" s="177"/>
    </row>
    <row r="509" spans="1:16" x14ac:dyDescent="0.25">
      <c r="A509" s="177"/>
      <c r="B509" s="177"/>
      <c r="C509" s="177"/>
      <c r="D509" s="177"/>
      <c r="E509" s="167" t="s">
        <v>433</v>
      </c>
      <c r="F509" s="167">
        <v>0</v>
      </c>
      <c r="G509" s="167">
        <v>0</v>
      </c>
      <c r="H509" s="167">
        <v>0</v>
      </c>
      <c r="I509" s="177"/>
      <c r="J509" s="177"/>
      <c r="K509" s="177"/>
      <c r="L509" s="177"/>
      <c r="M509" s="177"/>
      <c r="N509" s="177"/>
      <c r="O509" s="177"/>
      <c r="P509" s="177"/>
    </row>
    <row r="510" spans="1:16" x14ac:dyDescent="0.25">
      <c r="A510" s="177"/>
      <c r="B510" s="177"/>
      <c r="C510" s="177"/>
      <c r="D510" s="177"/>
      <c r="E510" s="167" t="s">
        <v>434</v>
      </c>
      <c r="F510" s="167" t="s">
        <v>293</v>
      </c>
      <c r="G510" s="167" t="s">
        <v>293</v>
      </c>
      <c r="H510" s="167" t="s">
        <v>293</v>
      </c>
      <c r="I510" s="177"/>
      <c r="J510" s="177"/>
      <c r="K510" s="177"/>
      <c r="L510" s="177"/>
      <c r="M510" s="177"/>
      <c r="N510" s="177"/>
      <c r="O510" s="177"/>
      <c r="P510" s="177"/>
    </row>
    <row r="511" spans="1:16" x14ac:dyDescent="0.25">
      <c r="A511" s="177" t="s">
        <v>851</v>
      </c>
      <c r="B511" s="177" t="s">
        <v>950</v>
      </c>
      <c r="C511" s="177">
        <v>40</v>
      </c>
      <c r="D511" s="177">
        <v>70</v>
      </c>
      <c r="E511" s="167" t="s">
        <v>433</v>
      </c>
      <c r="F511" s="167" t="s">
        <v>947</v>
      </c>
      <c r="G511" s="167" t="s">
        <v>944</v>
      </c>
      <c r="H511" s="167" t="s">
        <v>947</v>
      </c>
      <c r="I511" s="177" t="s">
        <v>285</v>
      </c>
      <c r="J511" s="177" t="s">
        <v>914</v>
      </c>
      <c r="K511" s="177" t="s">
        <v>914</v>
      </c>
      <c r="L511" s="177" t="s">
        <v>914</v>
      </c>
      <c r="M511" s="177">
        <v>830</v>
      </c>
      <c r="N511" s="177">
        <v>60</v>
      </c>
      <c r="O511" s="177"/>
      <c r="P511" s="179" t="s">
        <v>1371</v>
      </c>
    </row>
    <row r="512" spans="1:16" x14ac:dyDescent="0.25">
      <c r="A512" s="177"/>
      <c r="B512" s="177"/>
      <c r="C512" s="177"/>
      <c r="D512" s="177"/>
      <c r="E512" s="167" t="s">
        <v>434</v>
      </c>
      <c r="F512" s="167">
        <v>0</v>
      </c>
      <c r="G512" s="167">
        <v>0</v>
      </c>
      <c r="H512" s="167">
        <v>0</v>
      </c>
      <c r="I512" s="177"/>
      <c r="J512" s="177"/>
      <c r="K512" s="177"/>
      <c r="L512" s="177"/>
      <c r="M512" s="177"/>
      <c r="N512" s="177"/>
      <c r="O512" s="177"/>
      <c r="P512" s="177"/>
    </row>
    <row r="513" spans="1:16" x14ac:dyDescent="0.25">
      <c r="A513" s="177"/>
      <c r="B513" s="177"/>
      <c r="C513" s="177"/>
      <c r="D513" s="177"/>
      <c r="E513" s="167" t="s">
        <v>433</v>
      </c>
      <c r="F513" s="167">
        <v>0</v>
      </c>
      <c r="G513" s="167">
        <v>0</v>
      </c>
      <c r="H513" s="167">
        <v>0</v>
      </c>
      <c r="I513" s="177"/>
      <c r="J513" s="177"/>
      <c r="K513" s="177"/>
      <c r="L513" s="177"/>
      <c r="M513" s="177"/>
      <c r="N513" s="177"/>
      <c r="O513" s="177"/>
      <c r="P513" s="177"/>
    </row>
    <row r="514" spans="1:16" x14ac:dyDescent="0.25">
      <c r="A514" s="177"/>
      <c r="B514" s="177"/>
      <c r="C514" s="177"/>
      <c r="D514" s="177"/>
      <c r="E514" s="167" t="s">
        <v>434</v>
      </c>
      <c r="F514" s="167" t="s">
        <v>293</v>
      </c>
      <c r="G514" s="167" t="s">
        <v>293</v>
      </c>
      <c r="H514" s="167" t="s">
        <v>293</v>
      </c>
      <c r="I514" s="177"/>
      <c r="J514" s="177"/>
      <c r="K514" s="177"/>
      <c r="L514" s="177"/>
      <c r="M514" s="177"/>
      <c r="N514" s="177"/>
      <c r="O514" s="177"/>
      <c r="P514" s="177"/>
    </row>
    <row r="515" spans="1:16" x14ac:dyDescent="0.25">
      <c r="A515" s="177" t="s">
        <v>851</v>
      </c>
      <c r="B515" s="177" t="s">
        <v>949</v>
      </c>
      <c r="C515" s="177">
        <v>40</v>
      </c>
      <c r="D515" s="177">
        <v>70</v>
      </c>
      <c r="E515" s="167" t="s">
        <v>433</v>
      </c>
      <c r="F515" s="167" t="s">
        <v>947</v>
      </c>
      <c r="G515" s="167" t="s">
        <v>944</v>
      </c>
      <c r="H515" s="167" t="s">
        <v>947</v>
      </c>
      <c r="I515" s="177" t="s">
        <v>285</v>
      </c>
      <c r="J515" s="177" t="s">
        <v>914</v>
      </c>
      <c r="K515" s="177" t="s">
        <v>914</v>
      </c>
      <c r="L515" s="177" t="s">
        <v>914</v>
      </c>
      <c r="M515" s="177">
        <v>830</v>
      </c>
      <c r="N515" s="177">
        <v>60</v>
      </c>
      <c r="O515" s="177"/>
      <c r="P515" s="179" t="s">
        <v>1371</v>
      </c>
    </row>
    <row r="516" spans="1:16" x14ac:dyDescent="0.25">
      <c r="A516" s="177"/>
      <c r="B516" s="177"/>
      <c r="C516" s="177"/>
      <c r="D516" s="177"/>
      <c r="E516" s="167" t="s">
        <v>434</v>
      </c>
      <c r="F516" s="167">
        <v>0</v>
      </c>
      <c r="G516" s="167">
        <v>0</v>
      </c>
      <c r="H516" s="167">
        <v>0</v>
      </c>
      <c r="I516" s="177"/>
      <c r="J516" s="177"/>
      <c r="K516" s="177"/>
      <c r="L516" s="177"/>
      <c r="M516" s="177"/>
      <c r="N516" s="177"/>
      <c r="O516" s="177"/>
      <c r="P516" s="177"/>
    </row>
    <row r="517" spans="1:16" x14ac:dyDescent="0.25">
      <c r="A517" s="177"/>
      <c r="B517" s="177"/>
      <c r="C517" s="177"/>
      <c r="D517" s="177"/>
      <c r="E517" s="167" t="s">
        <v>433</v>
      </c>
      <c r="F517" s="167">
        <v>0</v>
      </c>
      <c r="G517" s="167">
        <v>0</v>
      </c>
      <c r="H517" s="167">
        <v>0</v>
      </c>
      <c r="I517" s="177"/>
      <c r="J517" s="177"/>
      <c r="K517" s="177"/>
      <c r="L517" s="177"/>
      <c r="M517" s="177"/>
      <c r="N517" s="177"/>
      <c r="O517" s="177"/>
      <c r="P517" s="177"/>
    </row>
    <row r="518" spans="1:16" x14ac:dyDescent="0.25">
      <c r="A518" s="177"/>
      <c r="B518" s="177"/>
      <c r="C518" s="177"/>
      <c r="D518" s="177"/>
      <c r="E518" s="167" t="s">
        <v>434</v>
      </c>
      <c r="F518" s="167" t="s">
        <v>293</v>
      </c>
      <c r="G518" s="167" t="s">
        <v>293</v>
      </c>
      <c r="H518" s="167" t="s">
        <v>293</v>
      </c>
      <c r="I518" s="177"/>
      <c r="J518" s="177"/>
      <c r="K518" s="177"/>
      <c r="L518" s="177"/>
      <c r="M518" s="177"/>
      <c r="N518" s="177"/>
      <c r="O518" s="177"/>
      <c r="P518" s="177"/>
    </row>
    <row r="519" spans="1:16" x14ac:dyDescent="0.25">
      <c r="A519" s="177" t="s">
        <v>851</v>
      </c>
      <c r="B519" s="177" t="s">
        <v>949</v>
      </c>
      <c r="C519" s="177">
        <v>40</v>
      </c>
      <c r="D519" s="177">
        <v>70</v>
      </c>
      <c r="E519" s="167" t="s">
        <v>433</v>
      </c>
      <c r="F519" s="167" t="s">
        <v>947</v>
      </c>
      <c r="G519" s="167" t="s">
        <v>944</v>
      </c>
      <c r="H519" s="167" t="s">
        <v>947</v>
      </c>
      <c r="I519" s="177" t="s">
        <v>285</v>
      </c>
      <c r="J519" s="177" t="s">
        <v>914</v>
      </c>
      <c r="K519" s="177" t="s">
        <v>914</v>
      </c>
      <c r="L519" s="177" t="s">
        <v>914</v>
      </c>
      <c r="M519" s="177">
        <v>830</v>
      </c>
      <c r="N519" s="177">
        <v>60</v>
      </c>
      <c r="O519" s="177"/>
      <c r="P519" s="179" t="s">
        <v>1371</v>
      </c>
    </row>
    <row r="520" spans="1:16" x14ac:dyDescent="0.25">
      <c r="A520" s="177"/>
      <c r="B520" s="177"/>
      <c r="C520" s="177"/>
      <c r="D520" s="177"/>
      <c r="E520" s="167" t="s">
        <v>434</v>
      </c>
      <c r="F520" s="167">
        <v>0</v>
      </c>
      <c r="G520" s="167">
        <v>0</v>
      </c>
      <c r="H520" s="167">
        <v>0</v>
      </c>
      <c r="I520" s="177"/>
      <c r="J520" s="177"/>
      <c r="K520" s="177"/>
      <c r="L520" s="177"/>
      <c r="M520" s="177"/>
      <c r="N520" s="177"/>
      <c r="O520" s="177"/>
      <c r="P520" s="177"/>
    </row>
    <row r="521" spans="1:16" x14ac:dyDescent="0.25">
      <c r="A521" s="177"/>
      <c r="B521" s="177"/>
      <c r="C521" s="177"/>
      <c r="D521" s="177"/>
      <c r="E521" s="167" t="s">
        <v>433</v>
      </c>
      <c r="F521" s="167">
        <v>0</v>
      </c>
      <c r="G521" s="167">
        <v>0</v>
      </c>
      <c r="H521" s="167">
        <v>0</v>
      </c>
      <c r="I521" s="177"/>
      <c r="J521" s="177"/>
      <c r="K521" s="177"/>
      <c r="L521" s="177"/>
      <c r="M521" s="177"/>
      <c r="N521" s="177"/>
      <c r="O521" s="177"/>
      <c r="P521" s="177"/>
    </row>
    <row r="522" spans="1:16" x14ac:dyDescent="0.25">
      <c r="A522" s="177"/>
      <c r="B522" s="177"/>
      <c r="C522" s="177"/>
      <c r="D522" s="177"/>
      <c r="E522" s="167" t="s">
        <v>434</v>
      </c>
      <c r="F522" s="167" t="s">
        <v>293</v>
      </c>
      <c r="G522" s="167" t="s">
        <v>293</v>
      </c>
      <c r="H522" s="167" t="s">
        <v>293</v>
      </c>
      <c r="I522" s="177"/>
      <c r="J522" s="177"/>
      <c r="K522" s="177"/>
      <c r="L522" s="177"/>
      <c r="M522" s="177"/>
      <c r="N522" s="177"/>
      <c r="O522" s="177"/>
      <c r="P522" s="177"/>
    </row>
    <row r="523" spans="1:16" x14ac:dyDescent="0.25">
      <c r="A523" s="177" t="s">
        <v>851</v>
      </c>
      <c r="B523" s="177" t="s">
        <v>948</v>
      </c>
      <c r="C523" s="177">
        <v>40</v>
      </c>
      <c r="D523" s="177">
        <v>70</v>
      </c>
      <c r="E523" s="167" t="s">
        <v>433</v>
      </c>
      <c r="F523" s="167" t="s">
        <v>947</v>
      </c>
      <c r="G523" s="167" t="s">
        <v>944</v>
      </c>
      <c r="H523" s="167" t="s">
        <v>947</v>
      </c>
      <c r="I523" s="177" t="s">
        <v>285</v>
      </c>
      <c r="J523" s="177" t="s">
        <v>914</v>
      </c>
      <c r="K523" s="177" t="s">
        <v>914</v>
      </c>
      <c r="L523" s="177" t="s">
        <v>914</v>
      </c>
      <c r="M523" s="177">
        <v>830</v>
      </c>
      <c r="N523" s="177">
        <v>60</v>
      </c>
      <c r="O523" s="177"/>
      <c r="P523" s="179" t="s">
        <v>1371</v>
      </c>
    </row>
    <row r="524" spans="1:16" x14ac:dyDescent="0.25">
      <c r="A524" s="177"/>
      <c r="B524" s="177"/>
      <c r="C524" s="177"/>
      <c r="D524" s="177"/>
      <c r="E524" s="167" t="s">
        <v>434</v>
      </c>
      <c r="F524" s="167">
        <v>0</v>
      </c>
      <c r="G524" s="167">
        <v>0</v>
      </c>
      <c r="H524" s="167">
        <v>0</v>
      </c>
      <c r="I524" s="177"/>
      <c r="J524" s="177"/>
      <c r="K524" s="177"/>
      <c r="L524" s="177"/>
      <c r="M524" s="177"/>
      <c r="N524" s="177"/>
      <c r="O524" s="177"/>
      <c r="P524" s="177"/>
    </row>
    <row r="525" spans="1:16" x14ac:dyDescent="0.25">
      <c r="A525" s="177"/>
      <c r="B525" s="177"/>
      <c r="C525" s="177"/>
      <c r="D525" s="177"/>
      <c r="E525" s="167" t="s">
        <v>433</v>
      </c>
      <c r="F525" s="167">
        <v>0</v>
      </c>
      <c r="G525" s="167">
        <v>0</v>
      </c>
      <c r="H525" s="167">
        <v>0</v>
      </c>
      <c r="I525" s="177"/>
      <c r="J525" s="177"/>
      <c r="K525" s="177"/>
      <c r="L525" s="177"/>
      <c r="M525" s="177"/>
      <c r="N525" s="177"/>
      <c r="O525" s="177"/>
      <c r="P525" s="177"/>
    </row>
    <row r="526" spans="1:16" x14ac:dyDescent="0.25">
      <c r="A526" s="177"/>
      <c r="B526" s="177"/>
      <c r="C526" s="177"/>
      <c r="D526" s="177"/>
      <c r="E526" s="167" t="s">
        <v>434</v>
      </c>
      <c r="F526" s="167" t="s">
        <v>293</v>
      </c>
      <c r="G526" s="167" t="s">
        <v>293</v>
      </c>
      <c r="H526" s="167" t="s">
        <v>293</v>
      </c>
      <c r="I526" s="177"/>
      <c r="J526" s="177"/>
      <c r="K526" s="177"/>
      <c r="L526" s="177"/>
      <c r="M526" s="177"/>
      <c r="N526" s="177"/>
      <c r="O526" s="177"/>
      <c r="P526" s="177"/>
    </row>
    <row r="527" spans="1:16" x14ac:dyDescent="0.25">
      <c r="A527" s="177" t="s">
        <v>851</v>
      </c>
      <c r="B527" s="177" t="s">
        <v>948</v>
      </c>
      <c r="C527" s="177">
        <v>40</v>
      </c>
      <c r="D527" s="177">
        <v>70</v>
      </c>
      <c r="E527" s="167" t="s">
        <v>433</v>
      </c>
      <c r="F527" s="167" t="s">
        <v>947</v>
      </c>
      <c r="G527" s="167" t="s">
        <v>944</v>
      </c>
      <c r="H527" s="167" t="s">
        <v>947</v>
      </c>
      <c r="I527" s="177" t="s">
        <v>285</v>
      </c>
      <c r="J527" s="177" t="s">
        <v>914</v>
      </c>
      <c r="K527" s="177" t="s">
        <v>914</v>
      </c>
      <c r="L527" s="177" t="s">
        <v>914</v>
      </c>
      <c r="M527" s="177">
        <v>830</v>
      </c>
      <c r="N527" s="177">
        <v>60</v>
      </c>
      <c r="O527" s="177"/>
      <c r="P527" s="179" t="s">
        <v>1371</v>
      </c>
    </row>
    <row r="528" spans="1:16" x14ac:dyDescent="0.25">
      <c r="A528" s="177"/>
      <c r="B528" s="177"/>
      <c r="C528" s="177"/>
      <c r="D528" s="177"/>
      <c r="E528" s="167" t="s">
        <v>434</v>
      </c>
      <c r="F528" s="167">
        <v>0</v>
      </c>
      <c r="G528" s="167">
        <v>0</v>
      </c>
      <c r="H528" s="167">
        <v>0</v>
      </c>
      <c r="I528" s="177"/>
      <c r="J528" s="177"/>
      <c r="K528" s="177"/>
      <c r="L528" s="177"/>
      <c r="M528" s="177"/>
      <c r="N528" s="177"/>
      <c r="O528" s="177"/>
      <c r="P528" s="177"/>
    </row>
    <row r="529" spans="1:16" x14ac:dyDescent="0.25">
      <c r="A529" s="177"/>
      <c r="B529" s="177"/>
      <c r="C529" s="177"/>
      <c r="D529" s="177"/>
      <c r="E529" s="167" t="s">
        <v>433</v>
      </c>
      <c r="F529" s="167">
        <v>0</v>
      </c>
      <c r="G529" s="167">
        <v>0</v>
      </c>
      <c r="H529" s="167">
        <v>0</v>
      </c>
      <c r="I529" s="177"/>
      <c r="J529" s="177"/>
      <c r="K529" s="177"/>
      <c r="L529" s="177"/>
      <c r="M529" s="177"/>
      <c r="N529" s="177"/>
      <c r="O529" s="177"/>
      <c r="P529" s="177"/>
    </row>
    <row r="530" spans="1:16" x14ac:dyDescent="0.25">
      <c r="A530" s="177"/>
      <c r="B530" s="177"/>
      <c r="C530" s="177"/>
      <c r="D530" s="177"/>
      <c r="E530" s="167" t="s">
        <v>434</v>
      </c>
      <c r="F530" s="167" t="s">
        <v>293</v>
      </c>
      <c r="G530" s="167" t="s">
        <v>293</v>
      </c>
      <c r="H530" s="167" t="s">
        <v>293</v>
      </c>
      <c r="I530" s="177"/>
      <c r="J530" s="177"/>
      <c r="K530" s="177"/>
      <c r="L530" s="177"/>
      <c r="M530" s="177"/>
      <c r="N530" s="177"/>
      <c r="O530" s="177"/>
      <c r="P530" s="177"/>
    </row>
    <row r="531" spans="1:16" x14ac:dyDescent="0.25">
      <c r="A531" s="177" t="s">
        <v>851</v>
      </c>
      <c r="B531" s="177" t="s">
        <v>946</v>
      </c>
      <c r="C531" s="177">
        <v>40</v>
      </c>
      <c r="D531" s="177">
        <v>70</v>
      </c>
      <c r="E531" s="167" t="s">
        <v>433</v>
      </c>
      <c r="F531" s="167" t="s">
        <v>947</v>
      </c>
      <c r="G531" s="167" t="s">
        <v>944</v>
      </c>
      <c r="H531" s="167" t="s">
        <v>944</v>
      </c>
      <c r="I531" s="177" t="s">
        <v>285</v>
      </c>
      <c r="J531" s="177" t="s">
        <v>914</v>
      </c>
      <c r="K531" s="177" t="s">
        <v>914</v>
      </c>
      <c r="L531" s="177" t="s">
        <v>914</v>
      </c>
      <c r="M531" s="177">
        <v>830</v>
      </c>
      <c r="N531" s="177">
        <v>60</v>
      </c>
      <c r="O531" s="177"/>
      <c r="P531" s="179" t="s">
        <v>1372</v>
      </c>
    </row>
    <row r="532" spans="1:16" x14ac:dyDescent="0.25">
      <c r="A532" s="177"/>
      <c r="B532" s="177"/>
      <c r="C532" s="177"/>
      <c r="D532" s="177"/>
      <c r="E532" s="167" t="s">
        <v>434</v>
      </c>
      <c r="F532" s="167">
        <v>0</v>
      </c>
      <c r="G532" s="167">
        <v>0</v>
      </c>
      <c r="H532" s="167">
        <v>0</v>
      </c>
      <c r="I532" s="177"/>
      <c r="J532" s="177"/>
      <c r="K532" s="177"/>
      <c r="L532" s="177"/>
      <c r="M532" s="177"/>
      <c r="N532" s="177"/>
      <c r="O532" s="177"/>
      <c r="P532" s="177"/>
    </row>
    <row r="533" spans="1:16" x14ac:dyDescent="0.25">
      <c r="A533" s="177"/>
      <c r="B533" s="177"/>
      <c r="C533" s="177"/>
      <c r="D533" s="177"/>
      <c r="E533" s="167" t="s">
        <v>433</v>
      </c>
      <c r="F533" s="167">
        <v>0</v>
      </c>
      <c r="G533" s="167">
        <v>0</v>
      </c>
      <c r="H533" s="167">
        <v>0</v>
      </c>
      <c r="I533" s="177"/>
      <c r="J533" s="177"/>
      <c r="K533" s="177"/>
      <c r="L533" s="177"/>
      <c r="M533" s="177"/>
      <c r="N533" s="177"/>
      <c r="O533" s="177"/>
      <c r="P533" s="177"/>
    </row>
    <row r="534" spans="1:16" x14ac:dyDescent="0.25">
      <c r="A534" s="177"/>
      <c r="B534" s="177"/>
      <c r="C534" s="177"/>
      <c r="D534" s="177"/>
      <c r="E534" s="167" t="s">
        <v>434</v>
      </c>
      <c r="F534" s="167" t="s">
        <v>293</v>
      </c>
      <c r="G534" s="167" t="s">
        <v>947</v>
      </c>
      <c r="H534" s="167" t="s">
        <v>947</v>
      </c>
      <c r="I534" s="177"/>
      <c r="J534" s="177"/>
      <c r="K534" s="177"/>
      <c r="L534" s="177"/>
      <c r="M534" s="177"/>
      <c r="N534" s="177"/>
      <c r="O534" s="177"/>
      <c r="P534" s="177"/>
    </row>
    <row r="535" spans="1:16" x14ac:dyDescent="0.25">
      <c r="A535" s="177" t="s">
        <v>851</v>
      </c>
      <c r="B535" s="177" t="s">
        <v>946</v>
      </c>
      <c r="C535" s="177">
        <v>40</v>
      </c>
      <c r="D535" s="177">
        <v>70</v>
      </c>
      <c r="E535" s="167" t="s">
        <v>433</v>
      </c>
      <c r="F535" s="167" t="s">
        <v>947</v>
      </c>
      <c r="G535" s="167" t="s">
        <v>944</v>
      </c>
      <c r="H535" s="167" t="s">
        <v>944</v>
      </c>
      <c r="I535" s="177" t="s">
        <v>285</v>
      </c>
      <c r="J535" s="177" t="s">
        <v>914</v>
      </c>
      <c r="K535" s="177" t="s">
        <v>914</v>
      </c>
      <c r="L535" s="177" t="s">
        <v>914</v>
      </c>
      <c r="M535" s="177">
        <v>830</v>
      </c>
      <c r="N535" s="177">
        <v>60</v>
      </c>
      <c r="O535" s="177"/>
      <c r="P535" s="179" t="s">
        <v>1372</v>
      </c>
    </row>
    <row r="536" spans="1:16" x14ac:dyDescent="0.25">
      <c r="A536" s="177"/>
      <c r="B536" s="177"/>
      <c r="C536" s="177"/>
      <c r="D536" s="177"/>
      <c r="E536" s="167" t="s">
        <v>434</v>
      </c>
      <c r="F536" s="167">
        <v>0</v>
      </c>
      <c r="G536" s="167">
        <v>0</v>
      </c>
      <c r="H536" s="167">
        <v>0</v>
      </c>
      <c r="I536" s="177"/>
      <c r="J536" s="177"/>
      <c r="K536" s="177"/>
      <c r="L536" s="177"/>
      <c r="M536" s="177"/>
      <c r="N536" s="177"/>
      <c r="O536" s="177"/>
      <c r="P536" s="177"/>
    </row>
    <row r="537" spans="1:16" x14ac:dyDescent="0.25">
      <c r="A537" s="177"/>
      <c r="B537" s="177"/>
      <c r="C537" s="177"/>
      <c r="D537" s="177"/>
      <c r="E537" s="167" t="s">
        <v>433</v>
      </c>
      <c r="F537" s="167">
        <v>0</v>
      </c>
      <c r="G537" s="167">
        <v>0</v>
      </c>
      <c r="H537" s="167">
        <v>0</v>
      </c>
      <c r="I537" s="177"/>
      <c r="J537" s="177"/>
      <c r="K537" s="177"/>
      <c r="L537" s="177"/>
      <c r="M537" s="177"/>
      <c r="N537" s="177"/>
      <c r="O537" s="177"/>
      <c r="P537" s="177"/>
    </row>
    <row r="538" spans="1:16" x14ac:dyDescent="0.25">
      <c r="A538" s="177"/>
      <c r="B538" s="177"/>
      <c r="C538" s="177"/>
      <c r="D538" s="177"/>
      <c r="E538" s="167" t="s">
        <v>434</v>
      </c>
      <c r="F538" s="167" t="s">
        <v>293</v>
      </c>
      <c r="G538" s="167" t="s">
        <v>947</v>
      </c>
      <c r="H538" s="167" t="s">
        <v>947</v>
      </c>
      <c r="I538" s="177"/>
      <c r="J538" s="177"/>
      <c r="K538" s="177"/>
      <c r="L538" s="177"/>
      <c r="M538" s="177"/>
      <c r="N538" s="177"/>
      <c r="O538" s="177"/>
      <c r="P538" s="177"/>
    </row>
    <row r="539" spans="1:16" x14ac:dyDescent="0.25">
      <c r="A539" s="177" t="s">
        <v>851</v>
      </c>
      <c r="B539" s="177" t="s">
        <v>959</v>
      </c>
      <c r="C539" s="177">
        <v>40</v>
      </c>
      <c r="D539" s="177">
        <v>70</v>
      </c>
      <c r="E539" s="167" t="s">
        <v>433</v>
      </c>
      <c r="F539" s="167" t="s">
        <v>944</v>
      </c>
      <c r="G539" s="167" t="s">
        <v>944</v>
      </c>
      <c r="H539" s="167" t="s">
        <v>947</v>
      </c>
      <c r="I539" s="177" t="s">
        <v>285</v>
      </c>
      <c r="J539" s="177" t="s">
        <v>914</v>
      </c>
      <c r="K539" s="177" t="s">
        <v>914</v>
      </c>
      <c r="L539" s="177" t="s">
        <v>914</v>
      </c>
      <c r="M539" s="177">
        <v>830</v>
      </c>
      <c r="N539" s="177">
        <v>60</v>
      </c>
      <c r="O539" s="177"/>
      <c r="P539" s="179" t="s">
        <v>1370</v>
      </c>
    </row>
    <row r="540" spans="1:16" x14ac:dyDescent="0.25">
      <c r="A540" s="177"/>
      <c r="B540" s="177"/>
      <c r="C540" s="177"/>
      <c r="D540" s="177"/>
      <c r="E540" s="167" t="s">
        <v>434</v>
      </c>
      <c r="F540" s="167">
        <v>0</v>
      </c>
      <c r="G540" s="167">
        <v>0</v>
      </c>
      <c r="H540" s="167">
        <v>0</v>
      </c>
      <c r="I540" s="177"/>
      <c r="J540" s="177"/>
      <c r="K540" s="177"/>
      <c r="L540" s="177"/>
      <c r="M540" s="177"/>
      <c r="N540" s="177"/>
      <c r="O540" s="177"/>
      <c r="P540" s="177"/>
    </row>
    <row r="541" spans="1:16" x14ac:dyDescent="0.25">
      <c r="A541" s="177"/>
      <c r="B541" s="177"/>
      <c r="C541" s="177"/>
      <c r="D541" s="177"/>
      <c r="E541" s="167" t="s">
        <v>433</v>
      </c>
      <c r="F541" s="167">
        <v>0</v>
      </c>
      <c r="G541" s="167">
        <v>0</v>
      </c>
      <c r="H541" s="167">
        <v>0</v>
      </c>
      <c r="I541" s="177"/>
      <c r="J541" s="177"/>
      <c r="K541" s="177"/>
      <c r="L541" s="177"/>
      <c r="M541" s="177"/>
      <c r="N541" s="177"/>
      <c r="O541" s="177"/>
      <c r="P541" s="177"/>
    </row>
    <row r="542" spans="1:16" x14ac:dyDescent="0.25">
      <c r="A542" s="177"/>
      <c r="B542" s="177"/>
      <c r="C542" s="177"/>
      <c r="D542" s="177"/>
      <c r="E542" s="167" t="s">
        <v>434</v>
      </c>
      <c r="F542" s="167" t="s">
        <v>947</v>
      </c>
      <c r="G542" s="167" t="s">
        <v>954</v>
      </c>
      <c r="H542" s="167" t="s">
        <v>293</v>
      </c>
      <c r="I542" s="177"/>
      <c r="J542" s="177"/>
      <c r="K542" s="177"/>
      <c r="L542" s="177"/>
      <c r="M542" s="177"/>
      <c r="N542" s="177"/>
      <c r="O542" s="177"/>
      <c r="P542" s="177"/>
    </row>
    <row r="543" spans="1:16" x14ac:dyDescent="0.25">
      <c r="A543" s="177" t="s">
        <v>851</v>
      </c>
      <c r="B543" s="177" t="s">
        <v>959</v>
      </c>
      <c r="C543" s="177">
        <v>40</v>
      </c>
      <c r="D543" s="177">
        <v>70</v>
      </c>
      <c r="E543" s="167" t="s">
        <v>433</v>
      </c>
      <c r="F543" s="167" t="s">
        <v>944</v>
      </c>
      <c r="G543" s="167" t="s">
        <v>944</v>
      </c>
      <c r="H543" s="167" t="s">
        <v>947</v>
      </c>
      <c r="I543" s="177" t="s">
        <v>285</v>
      </c>
      <c r="J543" s="177" t="s">
        <v>914</v>
      </c>
      <c r="K543" s="177" t="s">
        <v>914</v>
      </c>
      <c r="L543" s="177" t="s">
        <v>914</v>
      </c>
      <c r="M543" s="177">
        <v>830</v>
      </c>
      <c r="N543" s="177">
        <v>60</v>
      </c>
      <c r="O543" s="177"/>
      <c r="P543" s="179" t="s">
        <v>1370</v>
      </c>
    </row>
    <row r="544" spans="1:16" x14ac:dyDescent="0.25">
      <c r="A544" s="177"/>
      <c r="B544" s="177"/>
      <c r="C544" s="177"/>
      <c r="D544" s="177"/>
      <c r="E544" s="167" t="s">
        <v>434</v>
      </c>
      <c r="F544" s="167">
        <v>0</v>
      </c>
      <c r="G544" s="167">
        <v>0</v>
      </c>
      <c r="H544" s="167">
        <v>0</v>
      </c>
      <c r="I544" s="177"/>
      <c r="J544" s="177"/>
      <c r="K544" s="177"/>
      <c r="L544" s="177"/>
      <c r="M544" s="177"/>
      <c r="N544" s="177"/>
      <c r="O544" s="177"/>
      <c r="P544" s="177"/>
    </row>
    <row r="545" spans="1:16" x14ac:dyDescent="0.25">
      <c r="A545" s="177"/>
      <c r="B545" s="177"/>
      <c r="C545" s="177"/>
      <c r="D545" s="177"/>
      <c r="E545" s="167" t="s">
        <v>433</v>
      </c>
      <c r="F545" s="167">
        <v>0</v>
      </c>
      <c r="G545" s="167">
        <v>0</v>
      </c>
      <c r="H545" s="167">
        <v>0</v>
      </c>
      <c r="I545" s="177"/>
      <c r="J545" s="177"/>
      <c r="K545" s="177"/>
      <c r="L545" s="177"/>
      <c r="M545" s="177"/>
      <c r="N545" s="177"/>
      <c r="O545" s="177"/>
      <c r="P545" s="177"/>
    </row>
    <row r="546" spans="1:16" x14ac:dyDescent="0.25">
      <c r="A546" s="177"/>
      <c r="B546" s="177"/>
      <c r="C546" s="177"/>
      <c r="D546" s="177"/>
      <c r="E546" s="167" t="s">
        <v>434</v>
      </c>
      <c r="F546" s="167" t="s">
        <v>947</v>
      </c>
      <c r="G546" s="167" t="s">
        <v>954</v>
      </c>
      <c r="H546" s="167" t="s">
        <v>293</v>
      </c>
      <c r="I546" s="177"/>
      <c r="J546" s="177"/>
      <c r="K546" s="177"/>
      <c r="L546" s="177"/>
      <c r="M546" s="177"/>
      <c r="N546" s="177"/>
      <c r="O546" s="177"/>
      <c r="P546" s="177"/>
    </row>
    <row r="547" spans="1:16" x14ac:dyDescent="0.25">
      <c r="A547" s="177" t="s">
        <v>851</v>
      </c>
      <c r="B547" s="177" t="s">
        <v>958</v>
      </c>
      <c r="C547" s="177">
        <v>40</v>
      </c>
      <c r="D547" s="177">
        <v>70</v>
      </c>
      <c r="E547" s="167" t="s">
        <v>433</v>
      </c>
      <c r="F547" s="167" t="s">
        <v>947</v>
      </c>
      <c r="G547" s="167" t="s">
        <v>944</v>
      </c>
      <c r="H547" s="167" t="s">
        <v>947</v>
      </c>
      <c r="I547" s="177" t="s">
        <v>285</v>
      </c>
      <c r="J547" s="177" t="s">
        <v>914</v>
      </c>
      <c r="K547" s="177" t="s">
        <v>914</v>
      </c>
      <c r="L547" s="177" t="s">
        <v>914</v>
      </c>
      <c r="M547" s="177">
        <v>830</v>
      </c>
      <c r="N547" s="177">
        <v>60</v>
      </c>
      <c r="O547" s="177"/>
      <c r="P547" s="179" t="s">
        <v>1371</v>
      </c>
    </row>
    <row r="548" spans="1:16" x14ac:dyDescent="0.25">
      <c r="A548" s="177"/>
      <c r="B548" s="177"/>
      <c r="C548" s="177"/>
      <c r="D548" s="177"/>
      <c r="E548" s="167" t="s">
        <v>434</v>
      </c>
      <c r="F548" s="167">
        <v>0</v>
      </c>
      <c r="G548" s="167">
        <v>0</v>
      </c>
      <c r="H548" s="167">
        <v>0</v>
      </c>
      <c r="I548" s="177"/>
      <c r="J548" s="177"/>
      <c r="K548" s="177"/>
      <c r="L548" s="177"/>
      <c r="M548" s="177"/>
      <c r="N548" s="177"/>
      <c r="O548" s="177"/>
      <c r="P548" s="177"/>
    </row>
    <row r="549" spans="1:16" x14ac:dyDescent="0.25">
      <c r="A549" s="177"/>
      <c r="B549" s="177"/>
      <c r="C549" s="177"/>
      <c r="D549" s="177"/>
      <c r="E549" s="167" t="s">
        <v>433</v>
      </c>
      <c r="F549" s="167">
        <v>0</v>
      </c>
      <c r="G549" s="167">
        <v>0</v>
      </c>
      <c r="H549" s="167">
        <v>0</v>
      </c>
      <c r="I549" s="177"/>
      <c r="J549" s="177"/>
      <c r="K549" s="177"/>
      <c r="L549" s="177"/>
      <c r="M549" s="177"/>
      <c r="N549" s="177"/>
      <c r="O549" s="177"/>
      <c r="P549" s="177"/>
    </row>
    <row r="550" spans="1:16" x14ac:dyDescent="0.25">
      <c r="A550" s="177"/>
      <c r="B550" s="177"/>
      <c r="C550" s="177"/>
      <c r="D550" s="177"/>
      <c r="E550" s="167" t="s">
        <v>434</v>
      </c>
      <c r="F550" s="167" t="s">
        <v>293</v>
      </c>
      <c r="G550" s="167" t="s">
        <v>293</v>
      </c>
      <c r="H550" s="167" t="s">
        <v>293</v>
      </c>
      <c r="I550" s="177"/>
      <c r="J550" s="177"/>
      <c r="K550" s="177"/>
      <c r="L550" s="177"/>
      <c r="M550" s="177"/>
      <c r="N550" s="177"/>
      <c r="O550" s="177"/>
      <c r="P550" s="177"/>
    </row>
    <row r="551" spans="1:16" x14ac:dyDescent="0.25">
      <c r="A551" s="177" t="s">
        <v>851</v>
      </c>
      <c r="B551" s="177" t="s">
        <v>958</v>
      </c>
      <c r="C551" s="177">
        <v>40</v>
      </c>
      <c r="D551" s="177">
        <v>70</v>
      </c>
      <c r="E551" s="167" t="s">
        <v>433</v>
      </c>
      <c r="F551" s="167" t="s">
        <v>947</v>
      </c>
      <c r="G551" s="167" t="s">
        <v>944</v>
      </c>
      <c r="H551" s="167" t="s">
        <v>947</v>
      </c>
      <c r="I551" s="177" t="s">
        <v>285</v>
      </c>
      <c r="J551" s="177" t="s">
        <v>914</v>
      </c>
      <c r="K551" s="177" t="s">
        <v>914</v>
      </c>
      <c r="L551" s="177" t="s">
        <v>914</v>
      </c>
      <c r="M551" s="177">
        <v>830</v>
      </c>
      <c r="N551" s="177">
        <v>60</v>
      </c>
      <c r="O551" s="177"/>
      <c r="P551" s="179" t="s">
        <v>1371</v>
      </c>
    </row>
    <row r="552" spans="1:16" x14ac:dyDescent="0.25">
      <c r="A552" s="177"/>
      <c r="B552" s="177"/>
      <c r="C552" s="177"/>
      <c r="D552" s="177"/>
      <c r="E552" s="167" t="s">
        <v>434</v>
      </c>
      <c r="F552" s="167">
        <v>0</v>
      </c>
      <c r="G552" s="167">
        <v>0</v>
      </c>
      <c r="H552" s="167">
        <v>0</v>
      </c>
      <c r="I552" s="177"/>
      <c r="J552" s="177"/>
      <c r="K552" s="177"/>
      <c r="L552" s="177"/>
      <c r="M552" s="177"/>
      <c r="N552" s="177"/>
      <c r="O552" s="177"/>
      <c r="P552" s="177"/>
    </row>
    <row r="553" spans="1:16" x14ac:dyDescent="0.25">
      <c r="A553" s="177"/>
      <c r="B553" s="177"/>
      <c r="C553" s="177"/>
      <c r="D553" s="177"/>
      <c r="E553" s="167" t="s">
        <v>433</v>
      </c>
      <c r="F553" s="167">
        <v>0</v>
      </c>
      <c r="G553" s="167">
        <v>0</v>
      </c>
      <c r="H553" s="167">
        <v>0</v>
      </c>
      <c r="I553" s="177"/>
      <c r="J553" s="177"/>
      <c r="K553" s="177"/>
      <c r="L553" s="177"/>
      <c r="M553" s="177"/>
      <c r="N553" s="177"/>
      <c r="O553" s="177"/>
      <c r="P553" s="177"/>
    </row>
    <row r="554" spans="1:16" x14ac:dyDescent="0.25">
      <c r="A554" s="177"/>
      <c r="B554" s="177"/>
      <c r="C554" s="177"/>
      <c r="D554" s="177"/>
      <c r="E554" s="167" t="s">
        <v>434</v>
      </c>
      <c r="F554" s="167" t="s">
        <v>293</v>
      </c>
      <c r="G554" s="167" t="s">
        <v>293</v>
      </c>
      <c r="H554" s="167" t="s">
        <v>293</v>
      </c>
      <c r="I554" s="177"/>
      <c r="J554" s="177"/>
      <c r="K554" s="177"/>
      <c r="L554" s="177"/>
      <c r="M554" s="177"/>
      <c r="N554" s="177"/>
      <c r="O554" s="177"/>
      <c r="P554" s="177"/>
    </row>
    <row r="555" spans="1:16" x14ac:dyDescent="0.25">
      <c r="A555" s="177" t="s">
        <v>851</v>
      </c>
      <c r="B555" s="177" t="s">
        <v>957</v>
      </c>
      <c r="C555" s="177">
        <v>40</v>
      </c>
      <c r="D555" s="177">
        <v>70</v>
      </c>
      <c r="E555" s="167" t="s">
        <v>433</v>
      </c>
      <c r="F555" s="167" t="s">
        <v>947</v>
      </c>
      <c r="G555" s="167" t="s">
        <v>944</v>
      </c>
      <c r="H555" s="167" t="s">
        <v>947</v>
      </c>
      <c r="I555" s="177" t="s">
        <v>285</v>
      </c>
      <c r="J555" s="177" t="s">
        <v>914</v>
      </c>
      <c r="K555" s="177" t="s">
        <v>914</v>
      </c>
      <c r="L555" s="177" t="s">
        <v>914</v>
      </c>
      <c r="M555" s="177">
        <v>830</v>
      </c>
      <c r="N555" s="177">
        <v>60</v>
      </c>
      <c r="O555" s="177"/>
      <c r="P555" s="179" t="s">
        <v>1371</v>
      </c>
    </row>
    <row r="556" spans="1:16" x14ac:dyDescent="0.25">
      <c r="A556" s="177"/>
      <c r="B556" s="177"/>
      <c r="C556" s="177"/>
      <c r="D556" s="177"/>
      <c r="E556" s="167" t="s">
        <v>434</v>
      </c>
      <c r="F556" s="167">
        <v>0</v>
      </c>
      <c r="G556" s="167">
        <v>0</v>
      </c>
      <c r="H556" s="167">
        <v>0</v>
      </c>
      <c r="I556" s="177"/>
      <c r="J556" s="177"/>
      <c r="K556" s="177"/>
      <c r="L556" s="177"/>
      <c r="M556" s="177"/>
      <c r="N556" s="177"/>
      <c r="O556" s="177"/>
      <c r="P556" s="177"/>
    </row>
    <row r="557" spans="1:16" x14ac:dyDescent="0.25">
      <c r="A557" s="177"/>
      <c r="B557" s="177"/>
      <c r="C557" s="177"/>
      <c r="D557" s="177"/>
      <c r="E557" s="167" t="s">
        <v>433</v>
      </c>
      <c r="F557" s="167">
        <v>0</v>
      </c>
      <c r="G557" s="167">
        <v>0</v>
      </c>
      <c r="H557" s="167">
        <v>0</v>
      </c>
      <c r="I557" s="177"/>
      <c r="J557" s="177"/>
      <c r="K557" s="177"/>
      <c r="L557" s="177"/>
      <c r="M557" s="177"/>
      <c r="N557" s="177"/>
      <c r="O557" s="177"/>
      <c r="P557" s="177"/>
    </row>
    <row r="558" spans="1:16" x14ac:dyDescent="0.25">
      <c r="A558" s="177"/>
      <c r="B558" s="177"/>
      <c r="C558" s="177"/>
      <c r="D558" s="177"/>
      <c r="E558" s="167" t="s">
        <v>434</v>
      </c>
      <c r="F558" s="167" t="s">
        <v>293</v>
      </c>
      <c r="G558" s="167" t="s">
        <v>293</v>
      </c>
      <c r="H558" s="167" t="s">
        <v>293</v>
      </c>
      <c r="I558" s="177"/>
      <c r="J558" s="177"/>
      <c r="K558" s="177"/>
      <c r="L558" s="177"/>
      <c r="M558" s="177"/>
      <c r="N558" s="177"/>
      <c r="O558" s="177"/>
      <c r="P558" s="177"/>
    </row>
    <row r="559" spans="1:16" x14ac:dyDescent="0.25">
      <c r="A559" s="177" t="s">
        <v>851</v>
      </c>
      <c r="B559" s="177" t="s">
        <v>957</v>
      </c>
      <c r="C559" s="177">
        <v>40</v>
      </c>
      <c r="D559" s="177">
        <v>70</v>
      </c>
      <c r="E559" s="167" t="s">
        <v>433</v>
      </c>
      <c r="F559" s="167" t="s">
        <v>947</v>
      </c>
      <c r="G559" s="167" t="s">
        <v>944</v>
      </c>
      <c r="H559" s="167" t="s">
        <v>947</v>
      </c>
      <c r="I559" s="177" t="s">
        <v>285</v>
      </c>
      <c r="J559" s="177" t="s">
        <v>914</v>
      </c>
      <c r="K559" s="177" t="s">
        <v>914</v>
      </c>
      <c r="L559" s="177" t="s">
        <v>914</v>
      </c>
      <c r="M559" s="177">
        <v>830</v>
      </c>
      <c r="N559" s="177">
        <v>60</v>
      </c>
      <c r="O559" s="177"/>
      <c r="P559" s="179" t="s">
        <v>1371</v>
      </c>
    </row>
    <row r="560" spans="1:16" x14ac:dyDescent="0.25">
      <c r="A560" s="177"/>
      <c r="B560" s="177"/>
      <c r="C560" s="177"/>
      <c r="D560" s="177"/>
      <c r="E560" s="167" t="s">
        <v>434</v>
      </c>
      <c r="F560" s="167">
        <v>0</v>
      </c>
      <c r="G560" s="167">
        <v>0</v>
      </c>
      <c r="H560" s="167">
        <v>0</v>
      </c>
      <c r="I560" s="177"/>
      <c r="J560" s="177"/>
      <c r="K560" s="177"/>
      <c r="L560" s="177"/>
      <c r="M560" s="177"/>
      <c r="N560" s="177"/>
      <c r="O560" s="177"/>
      <c r="P560" s="177"/>
    </row>
    <row r="561" spans="1:16" x14ac:dyDescent="0.25">
      <c r="A561" s="177"/>
      <c r="B561" s="177"/>
      <c r="C561" s="177"/>
      <c r="D561" s="177"/>
      <c r="E561" s="167" t="s">
        <v>433</v>
      </c>
      <c r="F561" s="167">
        <v>0</v>
      </c>
      <c r="G561" s="167">
        <v>0</v>
      </c>
      <c r="H561" s="167">
        <v>0</v>
      </c>
      <c r="I561" s="177"/>
      <c r="J561" s="177"/>
      <c r="K561" s="177"/>
      <c r="L561" s="177"/>
      <c r="M561" s="177"/>
      <c r="N561" s="177"/>
      <c r="O561" s="177"/>
      <c r="P561" s="177"/>
    </row>
    <row r="562" spans="1:16" x14ac:dyDescent="0.25">
      <c r="A562" s="177"/>
      <c r="B562" s="177"/>
      <c r="C562" s="177"/>
      <c r="D562" s="177"/>
      <c r="E562" s="167" t="s">
        <v>434</v>
      </c>
      <c r="F562" s="167" t="s">
        <v>293</v>
      </c>
      <c r="G562" s="167" t="s">
        <v>293</v>
      </c>
      <c r="H562" s="167" t="s">
        <v>293</v>
      </c>
      <c r="I562" s="177"/>
      <c r="J562" s="177"/>
      <c r="K562" s="177"/>
      <c r="L562" s="177"/>
      <c r="M562" s="177"/>
      <c r="N562" s="177"/>
      <c r="O562" s="177"/>
      <c r="P562" s="177"/>
    </row>
    <row r="563" spans="1:16" x14ac:dyDescent="0.25">
      <c r="A563" s="177" t="s">
        <v>851</v>
      </c>
      <c r="B563" s="177" t="s">
        <v>956</v>
      </c>
      <c r="C563" s="177">
        <v>40</v>
      </c>
      <c r="D563" s="177">
        <v>70</v>
      </c>
      <c r="E563" s="167" t="s">
        <v>433</v>
      </c>
      <c r="F563" s="167" t="s">
        <v>947</v>
      </c>
      <c r="G563" s="167" t="s">
        <v>944</v>
      </c>
      <c r="H563" s="167" t="s">
        <v>947</v>
      </c>
      <c r="I563" s="177" t="s">
        <v>285</v>
      </c>
      <c r="J563" s="177" t="s">
        <v>914</v>
      </c>
      <c r="K563" s="177" t="s">
        <v>914</v>
      </c>
      <c r="L563" s="177" t="s">
        <v>914</v>
      </c>
      <c r="M563" s="177">
        <v>830</v>
      </c>
      <c r="N563" s="177">
        <v>60</v>
      </c>
      <c r="O563" s="177"/>
      <c r="P563" s="179" t="s">
        <v>1371</v>
      </c>
    </row>
    <row r="564" spans="1:16" x14ac:dyDescent="0.25">
      <c r="A564" s="177"/>
      <c r="B564" s="177"/>
      <c r="C564" s="177"/>
      <c r="D564" s="177"/>
      <c r="E564" s="167" t="s">
        <v>434</v>
      </c>
      <c r="F564" s="167">
        <v>0</v>
      </c>
      <c r="G564" s="167">
        <v>0</v>
      </c>
      <c r="H564" s="167">
        <v>0</v>
      </c>
      <c r="I564" s="177"/>
      <c r="J564" s="177"/>
      <c r="K564" s="177"/>
      <c r="L564" s="177"/>
      <c r="M564" s="177"/>
      <c r="N564" s="177"/>
      <c r="O564" s="177"/>
      <c r="P564" s="177"/>
    </row>
    <row r="565" spans="1:16" x14ac:dyDescent="0.25">
      <c r="A565" s="177"/>
      <c r="B565" s="177"/>
      <c r="C565" s="177"/>
      <c r="D565" s="177"/>
      <c r="E565" s="167" t="s">
        <v>433</v>
      </c>
      <c r="F565" s="167">
        <v>0</v>
      </c>
      <c r="G565" s="167">
        <v>0</v>
      </c>
      <c r="H565" s="167">
        <v>0</v>
      </c>
      <c r="I565" s="177"/>
      <c r="J565" s="177"/>
      <c r="K565" s="177"/>
      <c r="L565" s="177"/>
      <c r="M565" s="177"/>
      <c r="N565" s="177"/>
      <c r="O565" s="177"/>
      <c r="P565" s="177"/>
    </row>
    <row r="566" spans="1:16" x14ac:dyDescent="0.25">
      <c r="A566" s="177"/>
      <c r="B566" s="177"/>
      <c r="C566" s="177"/>
      <c r="D566" s="177"/>
      <c r="E566" s="167" t="s">
        <v>434</v>
      </c>
      <c r="F566" s="167" t="s">
        <v>293</v>
      </c>
      <c r="G566" s="167" t="s">
        <v>293</v>
      </c>
      <c r="H566" s="167" t="s">
        <v>293</v>
      </c>
      <c r="I566" s="177"/>
      <c r="J566" s="177"/>
      <c r="K566" s="177"/>
      <c r="L566" s="177"/>
      <c r="M566" s="177"/>
      <c r="N566" s="177"/>
      <c r="O566" s="177"/>
      <c r="P566" s="177"/>
    </row>
    <row r="567" spans="1:16" x14ac:dyDescent="0.25">
      <c r="A567" s="177" t="s">
        <v>851</v>
      </c>
      <c r="B567" s="177" t="s">
        <v>956</v>
      </c>
      <c r="C567" s="177">
        <v>40</v>
      </c>
      <c r="D567" s="177">
        <v>70</v>
      </c>
      <c r="E567" s="167" t="s">
        <v>433</v>
      </c>
      <c r="F567" s="167" t="s">
        <v>947</v>
      </c>
      <c r="G567" s="167" t="s">
        <v>944</v>
      </c>
      <c r="H567" s="167" t="s">
        <v>947</v>
      </c>
      <c r="I567" s="177" t="s">
        <v>285</v>
      </c>
      <c r="J567" s="177" t="s">
        <v>914</v>
      </c>
      <c r="K567" s="177" t="s">
        <v>914</v>
      </c>
      <c r="L567" s="177" t="s">
        <v>914</v>
      </c>
      <c r="M567" s="177">
        <v>830</v>
      </c>
      <c r="N567" s="177">
        <v>60</v>
      </c>
      <c r="O567" s="177"/>
      <c r="P567" s="179" t="s">
        <v>1371</v>
      </c>
    </row>
    <row r="568" spans="1:16" x14ac:dyDescent="0.25">
      <c r="A568" s="177"/>
      <c r="B568" s="177"/>
      <c r="C568" s="177"/>
      <c r="D568" s="177"/>
      <c r="E568" s="167" t="s">
        <v>434</v>
      </c>
      <c r="F568" s="167">
        <v>0</v>
      </c>
      <c r="G568" s="167">
        <v>0</v>
      </c>
      <c r="H568" s="167">
        <v>0</v>
      </c>
      <c r="I568" s="177"/>
      <c r="J568" s="177"/>
      <c r="K568" s="177"/>
      <c r="L568" s="177"/>
      <c r="M568" s="177"/>
      <c r="N568" s="177"/>
      <c r="O568" s="177"/>
      <c r="P568" s="177"/>
    </row>
    <row r="569" spans="1:16" x14ac:dyDescent="0.25">
      <c r="A569" s="177"/>
      <c r="B569" s="177"/>
      <c r="C569" s="177"/>
      <c r="D569" s="177"/>
      <c r="E569" s="167" t="s">
        <v>433</v>
      </c>
      <c r="F569" s="167">
        <v>0</v>
      </c>
      <c r="G569" s="167">
        <v>0</v>
      </c>
      <c r="H569" s="167">
        <v>0</v>
      </c>
      <c r="I569" s="177"/>
      <c r="J569" s="177"/>
      <c r="K569" s="177"/>
      <c r="L569" s="177"/>
      <c r="M569" s="177"/>
      <c r="N569" s="177"/>
      <c r="O569" s="177"/>
      <c r="P569" s="177"/>
    </row>
    <row r="570" spans="1:16" x14ac:dyDescent="0.25">
      <c r="A570" s="177"/>
      <c r="B570" s="177"/>
      <c r="C570" s="177"/>
      <c r="D570" s="177"/>
      <c r="E570" s="167" t="s">
        <v>434</v>
      </c>
      <c r="F570" s="167" t="s">
        <v>293</v>
      </c>
      <c r="G570" s="167" t="s">
        <v>293</v>
      </c>
      <c r="H570" s="167" t="s">
        <v>293</v>
      </c>
      <c r="I570" s="177"/>
      <c r="J570" s="177"/>
      <c r="K570" s="177"/>
      <c r="L570" s="177"/>
      <c r="M570" s="177"/>
      <c r="N570" s="177"/>
      <c r="O570" s="177"/>
      <c r="P570" s="177"/>
    </row>
    <row r="571" spans="1:16" x14ac:dyDescent="0.25">
      <c r="A571" s="177" t="s">
        <v>851</v>
      </c>
      <c r="B571" s="177" t="s">
        <v>955</v>
      </c>
      <c r="C571" s="177">
        <v>40</v>
      </c>
      <c r="D571" s="177">
        <v>70</v>
      </c>
      <c r="E571" s="167" t="s">
        <v>433</v>
      </c>
      <c r="F571" s="167" t="s">
        <v>947</v>
      </c>
      <c r="G571" s="167" t="s">
        <v>944</v>
      </c>
      <c r="H571" s="167" t="s">
        <v>954</v>
      </c>
      <c r="I571" s="177" t="s">
        <v>285</v>
      </c>
      <c r="J571" s="177" t="s">
        <v>914</v>
      </c>
      <c r="K571" s="177" t="s">
        <v>914</v>
      </c>
      <c r="L571" s="177" t="s">
        <v>914</v>
      </c>
      <c r="M571" s="177">
        <v>830</v>
      </c>
      <c r="N571" s="177">
        <v>60</v>
      </c>
      <c r="O571" s="177"/>
      <c r="P571" s="179" t="s">
        <v>1371</v>
      </c>
    </row>
    <row r="572" spans="1:16" x14ac:dyDescent="0.25">
      <c r="A572" s="177"/>
      <c r="B572" s="177"/>
      <c r="C572" s="177"/>
      <c r="D572" s="177"/>
      <c r="E572" s="167" t="s">
        <v>434</v>
      </c>
      <c r="F572" s="167">
        <v>0</v>
      </c>
      <c r="G572" s="167">
        <v>0</v>
      </c>
      <c r="H572" s="167">
        <v>0</v>
      </c>
      <c r="I572" s="177"/>
      <c r="J572" s="177"/>
      <c r="K572" s="177"/>
      <c r="L572" s="177"/>
      <c r="M572" s="177"/>
      <c r="N572" s="177"/>
      <c r="O572" s="177"/>
      <c r="P572" s="177"/>
    </row>
    <row r="573" spans="1:16" x14ac:dyDescent="0.25">
      <c r="A573" s="177"/>
      <c r="B573" s="177"/>
      <c r="C573" s="177"/>
      <c r="D573" s="177"/>
      <c r="E573" s="167" t="s">
        <v>433</v>
      </c>
      <c r="F573" s="167">
        <v>0</v>
      </c>
      <c r="G573" s="167">
        <v>0</v>
      </c>
      <c r="H573" s="167">
        <v>0</v>
      </c>
      <c r="I573" s="177"/>
      <c r="J573" s="177"/>
      <c r="K573" s="177"/>
      <c r="L573" s="177"/>
      <c r="M573" s="177"/>
      <c r="N573" s="177"/>
      <c r="O573" s="177"/>
      <c r="P573" s="177"/>
    </row>
    <row r="574" spans="1:16" x14ac:dyDescent="0.25">
      <c r="A574" s="177"/>
      <c r="B574" s="177"/>
      <c r="C574" s="177"/>
      <c r="D574" s="177"/>
      <c r="E574" s="167" t="s">
        <v>434</v>
      </c>
      <c r="F574" s="167" t="s">
        <v>293</v>
      </c>
      <c r="G574" s="167" t="s">
        <v>293</v>
      </c>
      <c r="H574" s="167" t="s">
        <v>293</v>
      </c>
      <c r="I574" s="177"/>
      <c r="J574" s="177"/>
      <c r="K574" s="177"/>
      <c r="L574" s="177"/>
      <c r="M574" s="177"/>
      <c r="N574" s="177"/>
      <c r="O574" s="177"/>
      <c r="P574" s="177"/>
    </row>
    <row r="575" spans="1:16" x14ac:dyDescent="0.25">
      <c r="A575" s="177" t="s">
        <v>851</v>
      </c>
      <c r="B575" s="177" t="s">
        <v>955</v>
      </c>
      <c r="C575" s="177">
        <v>40</v>
      </c>
      <c r="D575" s="177">
        <v>70</v>
      </c>
      <c r="E575" s="167" t="s">
        <v>433</v>
      </c>
      <c r="F575" s="167" t="s">
        <v>947</v>
      </c>
      <c r="G575" s="167" t="s">
        <v>944</v>
      </c>
      <c r="H575" s="167" t="s">
        <v>954</v>
      </c>
      <c r="I575" s="177" t="s">
        <v>285</v>
      </c>
      <c r="J575" s="177" t="s">
        <v>914</v>
      </c>
      <c r="K575" s="177" t="s">
        <v>914</v>
      </c>
      <c r="L575" s="177" t="s">
        <v>914</v>
      </c>
      <c r="M575" s="177">
        <v>830</v>
      </c>
      <c r="N575" s="177">
        <v>60</v>
      </c>
      <c r="O575" s="177"/>
      <c r="P575" s="179" t="s">
        <v>1371</v>
      </c>
    </row>
    <row r="576" spans="1:16" x14ac:dyDescent="0.25">
      <c r="A576" s="177"/>
      <c r="B576" s="177"/>
      <c r="C576" s="177"/>
      <c r="D576" s="177"/>
      <c r="E576" s="167" t="s">
        <v>434</v>
      </c>
      <c r="F576" s="167">
        <v>0</v>
      </c>
      <c r="G576" s="167">
        <v>0</v>
      </c>
      <c r="H576" s="167">
        <v>0</v>
      </c>
      <c r="I576" s="177"/>
      <c r="J576" s="177"/>
      <c r="K576" s="177"/>
      <c r="L576" s="177"/>
      <c r="M576" s="177"/>
      <c r="N576" s="177"/>
      <c r="O576" s="177"/>
      <c r="P576" s="177"/>
    </row>
    <row r="577" spans="1:16" x14ac:dyDescent="0.25">
      <c r="A577" s="177"/>
      <c r="B577" s="177"/>
      <c r="C577" s="177"/>
      <c r="D577" s="177"/>
      <c r="E577" s="167" t="s">
        <v>433</v>
      </c>
      <c r="F577" s="167">
        <v>0</v>
      </c>
      <c r="G577" s="167">
        <v>0</v>
      </c>
      <c r="H577" s="167">
        <v>0</v>
      </c>
      <c r="I577" s="177"/>
      <c r="J577" s="177"/>
      <c r="K577" s="177"/>
      <c r="L577" s="177"/>
      <c r="M577" s="177"/>
      <c r="N577" s="177"/>
      <c r="O577" s="177"/>
      <c r="P577" s="177"/>
    </row>
    <row r="578" spans="1:16" x14ac:dyDescent="0.25">
      <c r="A578" s="177"/>
      <c r="B578" s="177"/>
      <c r="C578" s="177"/>
      <c r="D578" s="177"/>
      <c r="E578" s="167" t="s">
        <v>434</v>
      </c>
      <c r="F578" s="167" t="s">
        <v>293</v>
      </c>
      <c r="G578" s="167" t="s">
        <v>293</v>
      </c>
      <c r="H578" s="167" t="s">
        <v>293</v>
      </c>
      <c r="I578" s="177"/>
      <c r="J578" s="177"/>
      <c r="K578" s="177"/>
      <c r="L578" s="177"/>
      <c r="M578" s="177"/>
      <c r="N578" s="177"/>
      <c r="O578" s="177"/>
      <c r="P578" s="177"/>
    </row>
    <row r="579" spans="1:16" x14ac:dyDescent="0.25">
      <c r="A579" s="177" t="s">
        <v>851</v>
      </c>
      <c r="B579" s="177" t="s">
        <v>953</v>
      </c>
      <c r="C579" s="177">
        <v>40</v>
      </c>
      <c r="D579" s="177">
        <v>70</v>
      </c>
      <c r="E579" s="167" t="s">
        <v>433</v>
      </c>
      <c r="F579" s="167" t="s">
        <v>954</v>
      </c>
      <c r="G579" s="167" t="s">
        <v>944</v>
      </c>
      <c r="H579" s="167" t="s">
        <v>944</v>
      </c>
      <c r="I579" s="177" t="s">
        <v>285</v>
      </c>
      <c r="J579" s="177" t="s">
        <v>914</v>
      </c>
      <c r="K579" s="177" t="s">
        <v>914</v>
      </c>
      <c r="L579" s="177" t="s">
        <v>914</v>
      </c>
      <c r="M579" s="177">
        <v>830</v>
      </c>
      <c r="N579" s="177">
        <v>60</v>
      </c>
      <c r="O579" s="177"/>
      <c r="P579" s="179" t="s">
        <v>1372</v>
      </c>
    </row>
    <row r="580" spans="1:16" x14ac:dyDescent="0.25">
      <c r="A580" s="177"/>
      <c r="B580" s="177"/>
      <c r="C580" s="177"/>
      <c r="D580" s="177"/>
      <c r="E580" s="167" t="s">
        <v>434</v>
      </c>
      <c r="F580" s="167">
        <v>0</v>
      </c>
      <c r="G580" s="167">
        <v>0</v>
      </c>
      <c r="H580" s="167">
        <v>0</v>
      </c>
      <c r="I580" s="177"/>
      <c r="J580" s="177"/>
      <c r="K580" s="177"/>
      <c r="L580" s="177"/>
      <c r="M580" s="177"/>
      <c r="N580" s="177"/>
      <c r="O580" s="177"/>
      <c r="P580" s="177"/>
    </row>
    <row r="581" spans="1:16" x14ac:dyDescent="0.25">
      <c r="A581" s="177"/>
      <c r="B581" s="177"/>
      <c r="C581" s="177"/>
      <c r="D581" s="177"/>
      <c r="E581" s="167" t="s">
        <v>433</v>
      </c>
      <c r="F581" s="167">
        <v>0</v>
      </c>
      <c r="G581" s="167">
        <v>0</v>
      </c>
      <c r="H581" s="167">
        <v>0</v>
      </c>
      <c r="I581" s="177"/>
      <c r="J581" s="177"/>
      <c r="K581" s="177"/>
      <c r="L581" s="177"/>
      <c r="M581" s="177"/>
      <c r="N581" s="177"/>
      <c r="O581" s="177"/>
      <c r="P581" s="177"/>
    </row>
    <row r="582" spans="1:16" x14ac:dyDescent="0.25">
      <c r="A582" s="177"/>
      <c r="B582" s="177"/>
      <c r="C582" s="177"/>
      <c r="D582" s="177"/>
      <c r="E582" s="167" t="s">
        <v>434</v>
      </c>
      <c r="F582" s="167" t="s">
        <v>293</v>
      </c>
      <c r="G582" s="167" t="s">
        <v>954</v>
      </c>
      <c r="H582" s="167" t="s">
        <v>947</v>
      </c>
      <c r="I582" s="177"/>
      <c r="J582" s="177"/>
      <c r="K582" s="177"/>
      <c r="L582" s="177"/>
      <c r="M582" s="177"/>
      <c r="N582" s="177"/>
      <c r="O582" s="177"/>
      <c r="P582" s="177"/>
    </row>
    <row r="583" spans="1:16" x14ac:dyDescent="0.25">
      <c r="A583" s="177" t="s">
        <v>851</v>
      </c>
      <c r="B583" s="177" t="s">
        <v>953</v>
      </c>
      <c r="C583" s="177">
        <v>40</v>
      </c>
      <c r="D583" s="177">
        <v>70</v>
      </c>
      <c r="E583" s="167" t="s">
        <v>433</v>
      </c>
      <c r="F583" s="167" t="s">
        <v>954</v>
      </c>
      <c r="G583" s="167" t="s">
        <v>944</v>
      </c>
      <c r="H583" s="167" t="s">
        <v>944</v>
      </c>
      <c r="I583" s="177" t="s">
        <v>285</v>
      </c>
      <c r="J583" s="177" t="s">
        <v>914</v>
      </c>
      <c r="K583" s="177" t="s">
        <v>914</v>
      </c>
      <c r="L583" s="177" t="s">
        <v>914</v>
      </c>
      <c r="M583" s="177">
        <v>830</v>
      </c>
      <c r="N583" s="177">
        <v>60</v>
      </c>
      <c r="O583" s="177"/>
      <c r="P583" s="179" t="s">
        <v>1372</v>
      </c>
    </row>
    <row r="584" spans="1:16" x14ac:dyDescent="0.25">
      <c r="A584" s="177"/>
      <c r="B584" s="177"/>
      <c r="C584" s="177"/>
      <c r="D584" s="177"/>
      <c r="E584" s="167" t="s">
        <v>434</v>
      </c>
      <c r="F584" s="167">
        <v>0</v>
      </c>
      <c r="G584" s="167">
        <v>0</v>
      </c>
      <c r="H584" s="167">
        <v>0</v>
      </c>
      <c r="I584" s="177"/>
      <c r="J584" s="177"/>
      <c r="K584" s="177"/>
      <c r="L584" s="177"/>
      <c r="M584" s="177"/>
      <c r="N584" s="177"/>
      <c r="O584" s="177"/>
      <c r="P584" s="177"/>
    </row>
    <row r="585" spans="1:16" x14ac:dyDescent="0.25">
      <c r="A585" s="177"/>
      <c r="B585" s="177"/>
      <c r="C585" s="177"/>
      <c r="D585" s="177"/>
      <c r="E585" s="167" t="s">
        <v>433</v>
      </c>
      <c r="F585" s="167">
        <v>0</v>
      </c>
      <c r="G585" s="167">
        <v>0</v>
      </c>
      <c r="H585" s="167">
        <v>0</v>
      </c>
      <c r="I585" s="177"/>
      <c r="J585" s="177"/>
      <c r="K585" s="177"/>
      <c r="L585" s="177"/>
      <c r="M585" s="177"/>
      <c r="N585" s="177"/>
      <c r="O585" s="177"/>
      <c r="P585" s="177"/>
    </row>
    <row r="586" spans="1:16" x14ac:dyDescent="0.25">
      <c r="A586" s="177"/>
      <c r="B586" s="177"/>
      <c r="C586" s="177"/>
      <c r="D586" s="177"/>
      <c r="E586" s="167" t="s">
        <v>434</v>
      </c>
      <c r="F586" s="167" t="s">
        <v>293</v>
      </c>
      <c r="G586" s="167" t="s">
        <v>954</v>
      </c>
      <c r="H586" s="167" t="s">
        <v>947</v>
      </c>
      <c r="I586" s="177"/>
      <c r="J586" s="177"/>
      <c r="K586" s="177"/>
      <c r="L586" s="177"/>
      <c r="M586" s="177"/>
      <c r="N586" s="177"/>
      <c r="O586" s="177"/>
      <c r="P586" s="177"/>
    </row>
    <row r="587" spans="1:16" x14ac:dyDescent="0.25">
      <c r="A587" s="177" t="s">
        <v>851</v>
      </c>
      <c r="B587" s="177" t="s">
        <v>960</v>
      </c>
      <c r="C587" s="177">
        <v>40</v>
      </c>
      <c r="D587" s="177">
        <v>70</v>
      </c>
      <c r="E587" s="167" t="s">
        <v>433</v>
      </c>
      <c r="F587" s="167" t="s">
        <v>944</v>
      </c>
      <c r="G587" s="167" t="s">
        <v>944</v>
      </c>
      <c r="H587" s="167" t="s">
        <v>944</v>
      </c>
      <c r="I587" s="177" t="s">
        <v>285</v>
      </c>
      <c r="J587" s="177" t="s">
        <v>914</v>
      </c>
      <c r="K587" s="177" t="s">
        <v>914</v>
      </c>
      <c r="L587" s="177" t="s">
        <v>914</v>
      </c>
      <c r="M587" s="177">
        <v>830</v>
      </c>
      <c r="N587" s="177">
        <v>60</v>
      </c>
      <c r="O587" s="177"/>
      <c r="P587" s="179" t="s">
        <v>1373</v>
      </c>
    </row>
    <row r="588" spans="1:16" x14ac:dyDescent="0.25">
      <c r="A588" s="177"/>
      <c r="B588" s="177"/>
      <c r="C588" s="177"/>
      <c r="D588" s="177"/>
      <c r="E588" s="167" t="s">
        <v>434</v>
      </c>
      <c r="F588" s="167">
        <v>0</v>
      </c>
      <c r="G588" s="167">
        <v>0</v>
      </c>
      <c r="H588" s="167">
        <v>0</v>
      </c>
      <c r="I588" s="177"/>
      <c r="J588" s="177"/>
      <c r="K588" s="177"/>
      <c r="L588" s="177"/>
      <c r="M588" s="177"/>
      <c r="N588" s="177"/>
      <c r="O588" s="177"/>
      <c r="P588" s="177"/>
    </row>
    <row r="589" spans="1:16" x14ac:dyDescent="0.25">
      <c r="A589" s="177"/>
      <c r="B589" s="177"/>
      <c r="C589" s="177"/>
      <c r="D589" s="177"/>
      <c r="E589" s="167" t="s">
        <v>433</v>
      </c>
      <c r="F589" s="167">
        <v>0</v>
      </c>
      <c r="G589" s="167" t="s">
        <v>944</v>
      </c>
      <c r="H589" s="167">
        <v>0</v>
      </c>
      <c r="I589" s="177"/>
      <c r="J589" s="177"/>
      <c r="K589" s="177"/>
      <c r="L589" s="177"/>
      <c r="M589" s="177"/>
      <c r="N589" s="177"/>
      <c r="O589" s="177"/>
      <c r="P589" s="177"/>
    </row>
    <row r="590" spans="1:16" x14ac:dyDescent="0.25">
      <c r="A590" s="177"/>
      <c r="B590" s="177"/>
      <c r="C590" s="177"/>
      <c r="D590" s="177"/>
      <c r="E590" s="167" t="s">
        <v>434</v>
      </c>
      <c r="F590" s="167" t="s">
        <v>294</v>
      </c>
      <c r="G590" s="167" t="s">
        <v>954</v>
      </c>
      <c r="H590" s="167" t="s">
        <v>294</v>
      </c>
      <c r="I590" s="177"/>
      <c r="J590" s="177"/>
      <c r="K590" s="177"/>
      <c r="L590" s="177"/>
      <c r="M590" s="177"/>
      <c r="N590" s="177"/>
      <c r="O590" s="177"/>
      <c r="P590" s="177"/>
    </row>
    <row r="591" spans="1:16" x14ac:dyDescent="0.25">
      <c r="A591" s="177" t="s">
        <v>851</v>
      </c>
      <c r="B591" s="177" t="s">
        <v>960</v>
      </c>
      <c r="C591" s="177">
        <v>40</v>
      </c>
      <c r="D591" s="177">
        <v>70</v>
      </c>
      <c r="E591" s="167" t="s">
        <v>433</v>
      </c>
      <c r="F591" s="167" t="s">
        <v>944</v>
      </c>
      <c r="G591" s="167" t="s">
        <v>944</v>
      </c>
      <c r="H591" s="167" t="s">
        <v>944</v>
      </c>
      <c r="I591" s="177" t="s">
        <v>285</v>
      </c>
      <c r="J591" s="177" t="s">
        <v>914</v>
      </c>
      <c r="K591" s="177" t="s">
        <v>914</v>
      </c>
      <c r="L591" s="177" t="s">
        <v>914</v>
      </c>
      <c r="M591" s="177">
        <v>830</v>
      </c>
      <c r="N591" s="177">
        <v>60</v>
      </c>
      <c r="O591" s="177"/>
      <c r="P591" s="179" t="s">
        <v>1373</v>
      </c>
    </row>
    <row r="592" spans="1:16" x14ac:dyDescent="0.25">
      <c r="A592" s="177"/>
      <c r="B592" s="177"/>
      <c r="C592" s="177"/>
      <c r="D592" s="177"/>
      <c r="E592" s="167" t="s">
        <v>434</v>
      </c>
      <c r="F592" s="167">
        <v>0</v>
      </c>
      <c r="G592" s="167">
        <v>0</v>
      </c>
      <c r="H592" s="167">
        <v>0</v>
      </c>
      <c r="I592" s="177"/>
      <c r="J592" s="177"/>
      <c r="K592" s="177"/>
      <c r="L592" s="177"/>
      <c r="M592" s="177"/>
      <c r="N592" s="177"/>
      <c r="O592" s="177"/>
      <c r="P592" s="177"/>
    </row>
    <row r="593" spans="1:16" x14ac:dyDescent="0.25">
      <c r="A593" s="177"/>
      <c r="B593" s="177"/>
      <c r="C593" s="177"/>
      <c r="D593" s="177"/>
      <c r="E593" s="167" t="s">
        <v>433</v>
      </c>
      <c r="F593" s="167">
        <v>0</v>
      </c>
      <c r="G593" s="167" t="s">
        <v>944</v>
      </c>
      <c r="H593" s="167">
        <v>0</v>
      </c>
      <c r="I593" s="177"/>
      <c r="J593" s="177"/>
      <c r="K593" s="177"/>
      <c r="L593" s="177"/>
      <c r="M593" s="177"/>
      <c r="N593" s="177"/>
      <c r="O593" s="177"/>
      <c r="P593" s="177"/>
    </row>
    <row r="594" spans="1:16" x14ac:dyDescent="0.25">
      <c r="A594" s="177"/>
      <c r="B594" s="177"/>
      <c r="C594" s="177"/>
      <c r="D594" s="177"/>
      <c r="E594" s="167" t="s">
        <v>434</v>
      </c>
      <c r="F594" s="167" t="s">
        <v>294</v>
      </c>
      <c r="G594" s="167" t="s">
        <v>954</v>
      </c>
      <c r="H594" s="167" t="s">
        <v>294</v>
      </c>
      <c r="I594" s="177"/>
      <c r="J594" s="177"/>
      <c r="K594" s="177"/>
      <c r="L594" s="177"/>
      <c r="M594" s="177"/>
      <c r="N594" s="177"/>
      <c r="O594" s="177"/>
      <c r="P594" s="177"/>
    </row>
    <row r="595" spans="1:16" x14ac:dyDescent="0.25">
      <c r="A595" s="177" t="s">
        <v>851</v>
      </c>
      <c r="B595" s="177" t="s">
        <v>964</v>
      </c>
      <c r="C595" s="177">
        <v>40</v>
      </c>
      <c r="D595" s="177">
        <v>70</v>
      </c>
      <c r="E595" s="167" t="s">
        <v>433</v>
      </c>
      <c r="F595" s="167" t="s">
        <v>944</v>
      </c>
      <c r="G595" s="167" t="s">
        <v>944</v>
      </c>
      <c r="H595" s="167" t="s">
        <v>944</v>
      </c>
      <c r="I595" s="177" t="s">
        <v>285</v>
      </c>
      <c r="J595" s="177" t="s">
        <v>914</v>
      </c>
      <c r="K595" s="177" t="s">
        <v>914</v>
      </c>
      <c r="L595" s="177" t="s">
        <v>914</v>
      </c>
      <c r="M595" s="177">
        <v>830</v>
      </c>
      <c r="N595" s="177">
        <v>60</v>
      </c>
      <c r="O595" s="177"/>
      <c r="P595" s="179" t="s">
        <v>1373</v>
      </c>
    </row>
    <row r="596" spans="1:16" x14ac:dyDescent="0.25">
      <c r="A596" s="177"/>
      <c r="B596" s="177"/>
      <c r="C596" s="177"/>
      <c r="D596" s="177"/>
      <c r="E596" s="167" t="s">
        <v>434</v>
      </c>
      <c r="F596" s="167">
        <v>0</v>
      </c>
      <c r="G596" s="167">
        <v>0</v>
      </c>
      <c r="H596" s="167">
        <v>0</v>
      </c>
      <c r="I596" s="177"/>
      <c r="J596" s="177"/>
      <c r="K596" s="177"/>
      <c r="L596" s="177"/>
      <c r="M596" s="177"/>
      <c r="N596" s="177"/>
      <c r="O596" s="177"/>
      <c r="P596" s="177"/>
    </row>
    <row r="597" spans="1:16" x14ac:dyDescent="0.25">
      <c r="A597" s="177"/>
      <c r="B597" s="177"/>
      <c r="C597" s="177"/>
      <c r="D597" s="177"/>
      <c r="E597" s="167" t="s">
        <v>433</v>
      </c>
      <c r="F597" s="167" t="s">
        <v>293</v>
      </c>
      <c r="G597" s="167" t="s">
        <v>954</v>
      </c>
      <c r="H597" s="167" t="s">
        <v>944</v>
      </c>
      <c r="I597" s="177"/>
      <c r="J597" s="177"/>
      <c r="K597" s="177"/>
      <c r="L597" s="177"/>
      <c r="M597" s="177"/>
      <c r="N597" s="177"/>
      <c r="O597" s="177"/>
      <c r="P597" s="177"/>
    </row>
    <row r="598" spans="1:16" x14ac:dyDescent="0.25">
      <c r="A598" s="177"/>
      <c r="B598" s="177"/>
      <c r="C598" s="177"/>
      <c r="D598" s="177"/>
      <c r="E598" s="167" t="s">
        <v>434</v>
      </c>
      <c r="F598" s="167" t="s">
        <v>294</v>
      </c>
      <c r="G598" s="167" t="s">
        <v>294</v>
      </c>
      <c r="H598" s="167" t="s">
        <v>294</v>
      </c>
      <c r="I598" s="177"/>
      <c r="J598" s="177"/>
      <c r="K598" s="177"/>
      <c r="L598" s="177"/>
      <c r="M598" s="177"/>
      <c r="N598" s="177"/>
      <c r="O598" s="177"/>
      <c r="P598" s="177"/>
    </row>
    <row r="599" spans="1:16" x14ac:dyDescent="0.25">
      <c r="A599" s="177" t="s">
        <v>851</v>
      </c>
      <c r="B599" s="177" t="s">
        <v>965</v>
      </c>
      <c r="C599" s="177">
        <v>40</v>
      </c>
      <c r="D599" s="177">
        <v>70</v>
      </c>
      <c r="E599" s="167" t="s">
        <v>433</v>
      </c>
      <c r="F599" s="167" t="s">
        <v>944</v>
      </c>
      <c r="G599" s="167" t="s">
        <v>944</v>
      </c>
      <c r="H599" s="167" t="s">
        <v>944</v>
      </c>
      <c r="I599" s="177" t="s">
        <v>285</v>
      </c>
      <c r="J599" s="177" t="s">
        <v>914</v>
      </c>
      <c r="K599" s="177" t="s">
        <v>914</v>
      </c>
      <c r="L599" s="177" t="s">
        <v>914</v>
      </c>
      <c r="M599" s="177">
        <v>563</v>
      </c>
      <c r="N599" s="177">
        <v>50</v>
      </c>
      <c r="O599" s="177"/>
      <c r="P599" s="179" t="s">
        <v>1373</v>
      </c>
    </row>
    <row r="600" spans="1:16" x14ac:dyDescent="0.25">
      <c r="A600" s="177"/>
      <c r="B600" s="177"/>
      <c r="C600" s="177"/>
      <c r="D600" s="177"/>
      <c r="E600" s="167" t="s">
        <v>434</v>
      </c>
      <c r="F600" s="167">
        <v>0</v>
      </c>
      <c r="G600" s="167">
        <v>0</v>
      </c>
      <c r="H600" s="167">
        <v>0</v>
      </c>
      <c r="I600" s="177"/>
      <c r="J600" s="177"/>
      <c r="K600" s="177"/>
      <c r="L600" s="177"/>
      <c r="M600" s="177"/>
      <c r="N600" s="177"/>
      <c r="O600" s="177"/>
      <c r="P600" s="177"/>
    </row>
    <row r="601" spans="1:16" x14ac:dyDescent="0.25">
      <c r="A601" s="177"/>
      <c r="B601" s="177"/>
      <c r="C601" s="177"/>
      <c r="D601" s="177"/>
      <c r="E601" s="167" t="s">
        <v>433</v>
      </c>
      <c r="F601" s="167">
        <v>0</v>
      </c>
      <c r="G601" s="167">
        <v>0</v>
      </c>
      <c r="H601" s="167">
        <v>0</v>
      </c>
      <c r="I601" s="177"/>
      <c r="J601" s="177"/>
      <c r="K601" s="177"/>
      <c r="L601" s="177"/>
      <c r="M601" s="177"/>
      <c r="N601" s="177"/>
      <c r="O601" s="177"/>
      <c r="P601" s="177"/>
    </row>
    <row r="602" spans="1:16" x14ac:dyDescent="0.25">
      <c r="A602" s="177"/>
      <c r="B602" s="177"/>
      <c r="C602" s="177"/>
      <c r="D602" s="177"/>
      <c r="E602" s="167" t="s">
        <v>434</v>
      </c>
      <c r="F602" s="167" t="s">
        <v>293</v>
      </c>
      <c r="G602" s="167" t="s">
        <v>293</v>
      </c>
      <c r="H602" s="167" t="s">
        <v>293</v>
      </c>
      <c r="I602" s="177"/>
      <c r="J602" s="177"/>
      <c r="K602" s="177"/>
      <c r="L602" s="177"/>
      <c r="M602" s="177"/>
      <c r="N602" s="177"/>
      <c r="O602" s="177"/>
      <c r="P602" s="177"/>
    </row>
    <row r="603" spans="1:16" x14ac:dyDescent="0.25">
      <c r="A603" s="177" t="s">
        <v>851</v>
      </c>
      <c r="B603" s="177" t="s">
        <v>966</v>
      </c>
      <c r="C603" s="177">
        <v>40</v>
      </c>
      <c r="D603" s="177">
        <v>70</v>
      </c>
      <c r="E603" s="167" t="s">
        <v>433</v>
      </c>
      <c r="F603" s="167" t="s">
        <v>944</v>
      </c>
      <c r="G603" s="167" t="s">
        <v>944</v>
      </c>
      <c r="H603" s="167" t="s">
        <v>944</v>
      </c>
      <c r="I603" s="177" t="s">
        <v>285</v>
      </c>
      <c r="J603" s="177" t="s">
        <v>914</v>
      </c>
      <c r="K603" s="177" t="s">
        <v>914</v>
      </c>
      <c r="L603" s="177" t="s">
        <v>914</v>
      </c>
      <c r="M603" s="177">
        <v>538</v>
      </c>
      <c r="N603" s="177">
        <v>50</v>
      </c>
      <c r="O603" s="177"/>
      <c r="P603" s="179" t="s">
        <v>1373</v>
      </c>
    </row>
    <row r="604" spans="1:16" x14ac:dyDescent="0.25">
      <c r="A604" s="177"/>
      <c r="B604" s="177"/>
      <c r="C604" s="177"/>
      <c r="D604" s="177"/>
      <c r="E604" s="167" t="s">
        <v>434</v>
      </c>
      <c r="F604" s="167">
        <v>0</v>
      </c>
      <c r="G604" s="167">
        <v>0</v>
      </c>
      <c r="H604" s="167">
        <v>0</v>
      </c>
      <c r="I604" s="177"/>
      <c r="J604" s="177"/>
      <c r="K604" s="177"/>
      <c r="L604" s="177"/>
      <c r="M604" s="177"/>
      <c r="N604" s="177"/>
      <c r="O604" s="177"/>
      <c r="P604" s="177"/>
    </row>
    <row r="605" spans="1:16" x14ac:dyDescent="0.25">
      <c r="A605" s="177"/>
      <c r="B605" s="177"/>
      <c r="C605" s="177"/>
      <c r="D605" s="177"/>
      <c r="E605" s="167" t="s">
        <v>433</v>
      </c>
      <c r="F605" s="167">
        <v>0</v>
      </c>
      <c r="G605" s="167">
        <v>0</v>
      </c>
      <c r="H605" s="167">
        <v>0</v>
      </c>
      <c r="I605" s="177"/>
      <c r="J605" s="177"/>
      <c r="K605" s="177"/>
      <c r="L605" s="177"/>
      <c r="M605" s="177"/>
      <c r="N605" s="177"/>
      <c r="O605" s="177"/>
      <c r="P605" s="177"/>
    </row>
    <row r="606" spans="1:16" x14ac:dyDescent="0.25">
      <c r="A606" s="177"/>
      <c r="B606" s="177"/>
      <c r="C606" s="177"/>
      <c r="D606" s="177"/>
      <c r="E606" s="167" t="s">
        <v>434</v>
      </c>
      <c r="F606" s="167" t="s">
        <v>293</v>
      </c>
      <c r="G606" s="167" t="s">
        <v>293</v>
      </c>
      <c r="H606" s="167" t="s">
        <v>293</v>
      </c>
      <c r="I606" s="177"/>
      <c r="J606" s="177"/>
      <c r="K606" s="177"/>
      <c r="L606" s="177"/>
      <c r="M606" s="177"/>
      <c r="N606" s="177"/>
      <c r="O606" s="177"/>
      <c r="P606" s="177"/>
    </row>
    <row r="607" spans="1:16" x14ac:dyDescent="0.25">
      <c r="A607" s="177" t="s">
        <v>851</v>
      </c>
      <c r="B607" s="177" t="s">
        <v>963</v>
      </c>
      <c r="C607" s="177">
        <v>40</v>
      </c>
      <c r="D607" s="177">
        <v>70</v>
      </c>
      <c r="E607" s="167" t="s">
        <v>433</v>
      </c>
      <c r="F607" s="167" t="s">
        <v>944</v>
      </c>
      <c r="G607" s="167" t="s">
        <v>944</v>
      </c>
      <c r="H607" s="167" t="s">
        <v>944</v>
      </c>
      <c r="I607" s="177" t="s">
        <v>285</v>
      </c>
      <c r="J607" s="177" t="s">
        <v>914</v>
      </c>
      <c r="K607" s="177" t="s">
        <v>914</v>
      </c>
      <c r="L607" s="177" t="s">
        <v>914</v>
      </c>
      <c r="M607" s="177">
        <v>830</v>
      </c>
      <c r="N607" s="177">
        <v>0</v>
      </c>
      <c r="O607" s="177"/>
      <c r="P607" s="179" t="s">
        <v>1373</v>
      </c>
    </row>
    <row r="608" spans="1:16" x14ac:dyDescent="0.25">
      <c r="A608" s="177"/>
      <c r="B608" s="177"/>
      <c r="C608" s="177"/>
      <c r="D608" s="177"/>
      <c r="E608" s="167" t="s">
        <v>434</v>
      </c>
      <c r="F608" s="167">
        <v>0</v>
      </c>
      <c r="G608" s="167">
        <v>0</v>
      </c>
      <c r="H608" s="167">
        <v>0</v>
      </c>
      <c r="I608" s="177"/>
      <c r="J608" s="177"/>
      <c r="K608" s="177"/>
      <c r="L608" s="177"/>
      <c r="M608" s="177"/>
      <c r="N608" s="177"/>
      <c r="O608" s="177"/>
      <c r="P608" s="177"/>
    </row>
    <row r="609" spans="1:16" x14ac:dyDescent="0.25">
      <c r="A609" s="177"/>
      <c r="B609" s="177"/>
      <c r="C609" s="177"/>
      <c r="D609" s="177"/>
      <c r="E609" s="167" t="s">
        <v>433</v>
      </c>
      <c r="F609" s="167">
        <v>0</v>
      </c>
      <c r="G609" s="167">
        <v>0</v>
      </c>
      <c r="H609" s="167">
        <v>0</v>
      </c>
      <c r="I609" s="177"/>
      <c r="J609" s="177"/>
      <c r="K609" s="177"/>
      <c r="L609" s="177"/>
      <c r="M609" s="177"/>
      <c r="N609" s="177"/>
      <c r="O609" s="177"/>
      <c r="P609" s="177"/>
    </row>
    <row r="610" spans="1:16" x14ac:dyDescent="0.25">
      <c r="A610" s="177"/>
      <c r="B610" s="177"/>
      <c r="C610" s="177"/>
      <c r="D610" s="177"/>
      <c r="E610" s="167" t="s">
        <v>434</v>
      </c>
      <c r="F610" s="167" t="s">
        <v>954</v>
      </c>
      <c r="G610" s="167" t="s">
        <v>294</v>
      </c>
      <c r="H610" s="167" t="s">
        <v>954</v>
      </c>
      <c r="I610" s="177"/>
      <c r="J610" s="177"/>
      <c r="K610" s="177"/>
      <c r="L610" s="177"/>
      <c r="M610" s="177"/>
      <c r="N610" s="177"/>
      <c r="O610" s="177"/>
      <c r="P610" s="177"/>
    </row>
    <row r="611" spans="1:16" x14ac:dyDescent="0.25">
      <c r="A611" s="177" t="s">
        <v>851</v>
      </c>
      <c r="B611" s="177" t="s">
        <v>963</v>
      </c>
      <c r="C611" s="177">
        <v>40</v>
      </c>
      <c r="D611" s="177">
        <v>70</v>
      </c>
      <c r="E611" s="167" t="s">
        <v>433</v>
      </c>
      <c r="F611" s="167" t="s">
        <v>944</v>
      </c>
      <c r="G611" s="167" t="s">
        <v>944</v>
      </c>
      <c r="H611" s="167" t="s">
        <v>944</v>
      </c>
      <c r="I611" s="177" t="s">
        <v>285</v>
      </c>
      <c r="J611" s="177" t="s">
        <v>914</v>
      </c>
      <c r="K611" s="177" t="s">
        <v>914</v>
      </c>
      <c r="L611" s="177" t="s">
        <v>914</v>
      </c>
      <c r="M611" s="177">
        <v>830</v>
      </c>
      <c r="N611" s="177">
        <v>0</v>
      </c>
      <c r="O611" s="177"/>
      <c r="P611" s="179" t="s">
        <v>1373</v>
      </c>
    </row>
    <row r="612" spans="1:16" x14ac:dyDescent="0.25">
      <c r="A612" s="177"/>
      <c r="B612" s="177"/>
      <c r="C612" s="177"/>
      <c r="D612" s="177"/>
      <c r="E612" s="167" t="s">
        <v>434</v>
      </c>
      <c r="F612" s="167">
        <v>0</v>
      </c>
      <c r="G612" s="167">
        <v>0</v>
      </c>
      <c r="H612" s="167">
        <v>0</v>
      </c>
      <c r="I612" s="177"/>
      <c r="J612" s="177"/>
      <c r="K612" s="177"/>
      <c r="L612" s="177"/>
      <c r="M612" s="177"/>
      <c r="N612" s="177"/>
      <c r="O612" s="177"/>
      <c r="P612" s="177"/>
    </row>
    <row r="613" spans="1:16" x14ac:dyDescent="0.25">
      <c r="A613" s="177"/>
      <c r="B613" s="177"/>
      <c r="C613" s="177"/>
      <c r="D613" s="177"/>
      <c r="E613" s="167" t="s">
        <v>433</v>
      </c>
      <c r="F613" s="167">
        <v>0</v>
      </c>
      <c r="G613" s="167">
        <v>0</v>
      </c>
      <c r="H613" s="167">
        <v>0</v>
      </c>
      <c r="I613" s="177"/>
      <c r="J613" s="177"/>
      <c r="K613" s="177"/>
      <c r="L613" s="177"/>
      <c r="M613" s="177"/>
      <c r="N613" s="177"/>
      <c r="O613" s="177"/>
      <c r="P613" s="177"/>
    </row>
    <row r="614" spans="1:16" x14ac:dyDescent="0.25">
      <c r="A614" s="177"/>
      <c r="B614" s="177"/>
      <c r="C614" s="177"/>
      <c r="D614" s="177"/>
      <c r="E614" s="167" t="s">
        <v>434</v>
      </c>
      <c r="F614" s="167" t="s">
        <v>954</v>
      </c>
      <c r="G614" s="167" t="s">
        <v>294</v>
      </c>
      <c r="H614" s="167" t="s">
        <v>954</v>
      </c>
      <c r="I614" s="177"/>
      <c r="J614" s="177"/>
      <c r="K614" s="177"/>
      <c r="L614" s="177"/>
      <c r="M614" s="177"/>
      <c r="N614" s="177"/>
      <c r="O614" s="177"/>
      <c r="P614" s="177"/>
    </row>
    <row r="615" spans="1:16" x14ac:dyDescent="0.25">
      <c r="A615" s="177" t="s">
        <v>851</v>
      </c>
      <c r="B615" s="177" t="s">
        <v>963</v>
      </c>
      <c r="C615" s="177">
        <v>40</v>
      </c>
      <c r="D615" s="177">
        <v>70</v>
      </c>
      <c r="E615" s="167" t="s">
        <v>433</v>
      </c>
      <c r="F615" s="167" t="s">
        <v>944</v>
      </c>
      <c r="G615" s="167" t="s">
        <v>944</v>
      </c>
      <c r="H615" s="167" t="s">
        <v>944</v>
      </c>
      <c r="I615" s="177" t="s">
        <v>285</v>
      </c>
      <c r="J615" s="177" t="s">
        <v>914</v>
      </c>
      <c r="K615" s="177" t="s">
        <v>914</v>
      </c>
      <c r="L615" s="177" t="s">
        <v>914</v>
      </c>
      <c r="M615" s="177">
        <v>830</v>
      </c>
      <c r="N615" s="177">
        <v>60</v>
      </c>
      <c r="O615" s="177"/>
      <c r="P615" s="179" t="s">
        <v>1373</v>
      </c>
    </row>
    <row r="616" spans="1:16" x14ac:dyDescent="0.25">
      <c r="A616" s="177"/>
      <c r="B616" s="177"/>
      <c r="C616" s="177"/>
      <c r="D616" s="177"/>
      <c r="E616" s="167" t="s">
        <v>434</v>
      </c>
      <c r="F616" s="167">
        <v>0</v>
      </c>
      <c r="G616" s="167">
        <v>0</v>
      </c>
      <c r="H616" s="167">
        <v>0</v>
      </c>
      <c r="I616" s="177"/>
      <c r="J616" s="177"/>
      <c r="K616" s="177"/>
      <c r="L616" s="177"/>
      <c r="M616" s="177"/>
      <c r="N616" s="177"/>
      <c r="O616" s="177"/>
      <c r="P616" s="177"/>
    </row>
    <row r="617" spans="1:16" x14ac:dyDescent="0.25">
      <c r="A617" s="177"/>
      <c r="B617" s="177"/>
      <c r="C617" s="177"/>
      <c r="D617" s="177"/>
      <c r="E617" s="167" t="s">
        <v>433</v>
      </c>
      <c r="F617" s="167">
        <v>0</v>
      </c>
      <c r="G617" s="167">
        <v>0</v>
      </c>
      <c r="H617" s="167">
        <v>0</v>
      </c>
      <c r="I617" s="177"/>
      <c r="J617" s="177"/>
      <c r="K617" s="177"/>
      <c r="L617" s="177"/>
      <c r="M617" s="177"/>
      <c r="N617" s="177"/>
      <c r="O617" s="177"/>
      <c r="P617" s="177"/>
    </row>
    <row r="618" spans="1:16" x14ac:dyDescent="0.25">
      <c r="A618" s="177"/>
      <c r="B618" s="177"/>
      <c r="C618" s="177"/>
      <c r="D618" s="177"/>
      <c r="E618" s="167" t="s">
        <v>434</v>
      </c>
      <c r="F618" s="167" t="s">
        <v>954</v>
      </c>
      <c r="G618" s="167" t="s">
        <v>294</v>
      </c>
      <c r="H618" s="167" t="s">
        <v>954</v>
      </c>
      <c r="I618" s="177"/>
      <c r="J618" s="177"/>
      <c r="K618" s="177"/>
      <c r="L618" s="177"/>
      <c r="M618" s="177"/>
      <c r="N618" s="177"/>
      <c r="O618" s="177"/>
      <c r="P618" s="177"/>
    </row>
    <row r="619" spans="1:16" x14ac:dyDescent="0.25">
      <c r="A619" s="177" t="s">
        <v>851</v>
      </c>
      <c r="B619" s="177" t="s">
        <v>961</v>
      </c>
      <c r="C619" s="177">
        <v>40</v>
      </c>
      <c r="D619" s="177">
        <v>70</v>
      </c>
      <c r="E619" s="167" t="s">
        <v>433</v>
      </c>
      <c r="F619" s="167" t="s">
        <v>944</v>
      </c>
      <c r="G619" s="167" t="s">
        <v>944</v>
      </c>
      <c r="H619" s="167" t="s">
        <v>954</v>
      </c>
      <c r="I619" s="177" t="s">
        <v>285</v>
      </c>
      <c r="J619" s="177" t="s">
        <v>914</v>
      </c>
      <c r="K619" s="177" t="s">
        <v>914</v>
      </c>
      <c r="L619" s="177" t="s">
        <v>914</v>
      </c>
      <c r="M619" s="177">
        <v>830</v>
      </c>
      <c r="N619" s="177">
        <v>60</v>
      </c>
      <c r="O619" s="177"/>
      <c r="P619" s="179" t="s">
        <v>1370</v>
      </c>
    </row>
    <row r="620" spans="1:16" x14ac:dyDescent="0.25">
      <c r="A620" s="177"/>
      <c r="B620" s="177"/>
      <c r="C620" s="177"/>
      <c r="D620" s="177"/>
      <c r="E620" s="167" t="s">
        <v>434</v>
      </c>
      <c r="F620" s="167">
        <v>0</v>
      </c>
      <c r="G620" s="167">
        <v>0</v>
      </c>
      <c r="H620" s="167">
        <v>0</v>
      </c>
      <c r="I620" s="177"/>
      <c r="J620" s="177"/>
      <c r="K620" s="177"/>
      <c r="L620" s="177"/>
      <c r="M620" s="177"/>
      <c r="N620" s="177"/>
      <c r="O620" s="177"/>
      <c r="P620" s="177"/>
    </row>
    <row r="621" spans="1:16" x14ac:dyDescent="0.25">
      <c r="A621" s="177"/>
      <c r="B621" s="177"/>
      <c r="C621" s="177"/>
      <c r="D621" s="177"/>
      <c r="E621" s="167" t="s">
        <v>433</v>
      </c>
      <c r="F621" s="167">
        <v>0</v>
      </c>
      <c r="G621" s="167">
        <v>0</v>
      </c>
      <c r="H621" s="167">
        <v>0</v>
      </c>
      <c r="I621" s="177"/>
      <c r="J621" s="177"/>
      <c r="K621" s="177"/>
      <c r="L621" s="177"/>
      <c r="M621" s="177"/>
      <c r="N621" s="177"/>
      <c r="O621" s="177"/>
      <c r="P621" s="177"/>
    </row>
    <row r="622" spans="1:16" x14ac:dyDescent="0.25">
      <c r="A622" s="177"/>
      <c r="B622" s="177"/>
      <c r="C622" s="177"/>
      <c r="D622" s="177"/>
      <c r="E622" s="167" t="s">
        <v>434</v>
      </c>
      <c r="F622" s="167" t="s">
        <v>947</v>
      </c>
      <c r="G622" s="167" t="s">
        <v>954</v>
      </c>
      <c r="H622" s="167" t="s">
        <v>293</v>
      </c>
      <c r="I622" s="177"/>
      <c r="J622" s="177"/>
      <c r="K622" s="177"/>
      <c r="L622" s="177"/>
      <c r="M622" s="177"/>
      <c r="N622" s="177"/>
      <c r="O622" s="177"/>
      <c r="P622" s="177"/>
    </row>
    <row r="623" spans="1:16" x14ac:dyDescent="0.25">
      <c r="A623" s="177" t="s">
        <v>851</v>
      </c>
      <c r="B623" s="177" t="s">
        <v>961</v>
      </c>
      <c r="C623" s="177">
        <v>40</v>
      </c>
      <c r="D623" s="177">
        <v>70</v>
      </c>
      <c r="E623" s="167" t="s">
        <v>433</v>
      </c>
      <c r="F623" s="167" t="s">
        <v>944</v>
      </c>
      <c r="G623" s="167" t="s">
        <v>944</v>
      </c>
      <c r="H623" s="167" t="s">
        <v>954</v>
      </c>
      <c r="I623" s="177" t="s">
        <v>285</v>
      </c>
      <c r="J623" s="177" t="s">
        <v>914</v>
      </c>
      <c r="K623" s="177" t="s">
        <v>914</v>
      </c>
      <c r="L623" s="177" t="s">
        <v>914</v>
      </c>
      <c r="M623" s="177">
        <v>830</v>
      </c>
      <c r="N623" s="177">
        <v>60</v>
      </c>
      <c r="O623" s="177"/>
      <c r="P623" s="179" t="s">
        <v>1370</v>
      </c>
    </row>
    <row r="624" spans="1:16" x14ac:dyDescent="0.25">
      <c r="A624" s="177"/>
      <c r="B624" s="177"/>
      <c r="C624" s="177"/>
      <c r="D624" s="177"/>
      <c r="E624" s="167" t="s">
        <v>434</v>
      </c>
      <c r="F624" s="167">
        <v>0</v>
      </c>
      <c r="G624" s="167">
        <v>0</v>
      </c>
      <c r="H624" s="167">
        <v>0</v>
      </c>
      <c r="I624" s="177"/>
      <c r="J624" s="177"/>
      <c r="K624" s="177"/>
      <c r="L624" s="177"/>
      <c r="M624" s="177"/>
      <c r="N624" s="177"/>
      <c r="O624" s="177"/>
      <c r="P624" s="177"/>
    </row>
    <row r="625" spans="1:16" x14ac:dyDescent="0.25">
      <c r="A625" s="177"/>
      <c r="B625" s="177"/>
      <c r="C625" s="177"/>
      <c r="D625" s="177"/>
      <c r="E625" s="167" t="s">
        <v>433</v>
      </c>
      <c r="F625" s="167">
        <v>0</v>
      </c>
      <c r="G625" s="167">
        <v>0</v>
      </c>
      <c r="H625" s="167">
        <v>0</v>
      </c>
      <c r="I625" s="177"/>
      <c r="J625" s="177"/>
      <c r="K625" s="177"/>
      <c r="L625" s="177"/>
      <c r="M625" s="177"/>
      <c r="N625" s="177"/>
      <c r="O625" s="177"/>
      <c r="P625" s="177"/>
    </row>
    <row r="626" spans="1:16" x14ac:dyDescent="0.25">
      <c r="A626" s="177"/>
      <c r="B626" s="177"/>
      <c r="C626" s="177"/>
      <c r="D626" s="177"/>
      <c r="E626" s="167" t="s">
        <v>434</v>
      </c>
      <c r="F626" s="167" t="s">
        <v>947</v>
      </c>
      <c r="G626" s="167" t="s">
        <v>954</v>
      </c>
      <c r="H626" s="167" t="s">
        <v>293</v>
      </c>
      <c r="I626" s="177"/>
      <c r="J626" s="177"/>
      <c r="K626" s="177"/>
      <c r="L626" s="177"/>
      <c r="M626" s="177"/>
      <c r="N626" s="177"/>
      <c r="O626" s="177"/>
      <c r="P626" s="177"/>
    </row>
    <row r="627" spans="1:16" x14ac:dyDescent="0.25">
      <c r="A627" s="177" t="s">
        <v>851</v>
      </c>
      <c r="B627" s="177" t="s">
        <v>962</v>
      </c>
      <c r="C627" s="177">
        <v>40</v>
      </c>
      <c r="D627" s="177">
        <v>70</v>
      </c>
      <c r="E627" s="167" t="s">
        <v>433</v>
      </c>
      <c r="F627" s="167" t="s">
        <v>954</v>
      </c>
      <c r="G627" s="167" t="s">
        <v>944</v>
      </c>
      <c r="H627" s="167" t="s">
        <v>944</v>
      </c>
      <c r="I627" s="177" t="s">
        <v>285</v>
      </c>
      <c r="J627" s="177" t="s">
        <v>914</v>
      </c>
      <c r="K627" s="177" t="s">
        <v>914</v>
      </c>
      <c r="L627" s="177" t="s">
        <v>914</v>
      </c>
      <c r="M627" s="177">
        <v>830</v>
      </c>
      <c r="N627" s="177">
        <v>60</v>
      </c>
      <c r="O627" s="177"/>
      <c r="P627" s="179" t="s">
        <v>1372</v>
      </c>
    </row>
    <row r="628" spans="1:16" x14ac:dyDescent="0.25">
      <c r="A628" s="177"/>
      <c r="B628" s="177"/>
      <c r="C628" s="177"/>
      <c r="D628" s="177"/>
      <c r="E628" s="167" t="s">
        <v>434</v>
      </c>
      <c r="F628" s="167">
        <v>0</v>
      </c>
      <c r="G628" s="167">
        <v>0</v>
      </c>
      <c r="H628" s="167">
        <v>0</v>
      </c>
      <c r="I628" s="177"/>
      <c r="J628" s="177"/>
      <c r="K628" s="177"/>
      <c r="L628" s="177"/>
      <c r="M628" s="177"/>
      <c r="N628" s="177"/>
      <c r="O628" s="177"/>
      <c r="P628" s="177"/>
    </row>
    <row r="629" spans="1:16" x14ac:dyDescent="0.25">
      <c r="A629" s="177"/>
      <c r="B629" s="177"/>
      <c r="C629" s="177"/>
      <c r="D629" s="177"/>
      <c r="E629" s="167" t="s">
        <v>433</v>
      </c>
      <c r="F629" s="167">
        <v>0</v>
      </c>
      <c r="G629" s="167">
        <v>0</v>
      </c>
      <c r="H629" s="167">
        <v>0</v>
      </c>
      <c r="I629" s="177"/>
      <c r="J629" s="177"/>
      <c r="K629" s="177"/>
      <c r="L629" s="177"/>
      <c r="M629" s="177"/>
      <c r="N629" s="177"/>
      <c r="O629" s="177"/>
      <c r="P629" s="177"/>
    </row>
    <row r="630" spans="1:16" x14ac:dyDescent="0.25">
      <c r="A630" s="177"/>
      <c r="B630" s="177"/>
      <c r="C630" s="177"/>
      <c r="D630" s="177"/>
      <c r="E630" s="167" t="s">
        <v>434</v>
      </c>
      <c r="F630" s="167" t="s">
        <v>293</v>
      </c>
      <c r="G630" s="167" t="s">
        <v>954</v>
      </c>
      <c r="H630" s="167" t="s">
        <v>947</v>
      </c>
      <c r="I630" s="177"/>
      <c r="J630" s="177"/>
      <c r="K630" s="177"/>
      <c r="L630" s="177"/>
      <c r="M630" s="177"/>
      <c r="N630" s="177"/>
      <c r="O630" s="177"/>
      <c r="P630" s="177"/>
    </row>
    <row r="631" spans="1:16" x14ac:dyDescent="0.25">
      <c r="A631" s="177" t="s">
        <v>851</v>
      </c>
      <c r="B631" s="177" t="s">
        <v>962</v>
      </c>
      <c r="C631" s="177">
        <v>40</v>
      </c>
      <c r="D631" s="177">
        <v>70</v>
      </c>
      <c r="E631" s="167" t="s">
        <v>433</v>
      </c>
      <c r="F631" s="167" t="s">
        <v>954</v>
      </c>
      <c r="G631" s="167" t="s">
        <v>944</v>
      </c>
      <c r="H631" s="167" t="s">
        <v>944</v>
      </c>
      <c r="I631" s="177" t="s">
        <v>285</v>
      </c>
      <c r="J631" s="177" t="s">
        <v>914</v>
      </c>
      <c r="K631" s="177" t="s">
        <v>914</v>
      </c>
      <c r="L631" s="177" t="s">
        <v>914</v>
      </c>
      <c r="M631" s="177">
        <v>830</v>
      </c>
      <c r="N631" s="177">
        <v>60</v>
      </c>
      <c r="O631" s="177"/>
      <c r="P631" s="179" t="s">
        <v>1372</v>
      </c>
    </row>
    <row r="632" spans="1:16" x14ac:dyDescent="0.25">
      <c r="A632" s="177"/>
      <c r="B632" s="177"/>
      <c r="C632" s="177"/>
      <c r="D632" s="177"/>
      <c r="E632" s="167" t="s">
        <v>434</v>
      </c>
      <c r="F632" s="167">
        <v>0</v>
      </c>
      <c r="G632" s="167">
        <v>0</v>
      </c>
      <c r="H632" s="167">
        <v>0</v>
      </c>
      <c r="I632" s="177"/>
      <c r="J632" s="177"/>
      <c r="K632" s="177"/>
      <c r="L632" s="177"/>
      <c r="M632" s="177"/>
      <c r="N632" s="177"/>
      <c r="O632" s="177"/>
      <c r="P632" s="177"/>
    </row>
    <row r="633" spans="1:16" x14ac:dyDescent="0.25">
      <c r="A633" s="177"/>
      <c r="B633" s="177"/>
      <c r="C633" s="177"/>
      <c r="D633" s="177"/>
      <c r="E633" s="167" t="s">
        <v>433</v>
      </c>
      <c r="F633" s="167">
        <v>0</v>
      </c>
      <c r="G633" s="167">
        <v>0</v>
      </c>
      <c r="H633" s="167">
        <v>0</v>
      </c>
      <c r="I633" s="177"/>
      <c r="J633" s="177"/>
      <c r="K633" s="177"/>
      <c r="L633" s="177"/>
      <c r="M633" s="177"/>
      <c r="N633" s="177"/>
      <c r="O633" s="177"/>
      <c r="P633" s="177"/>
    </row>
    <row r="634" spans="1:16" x14ac:dyDescent="0.25">
      <c r="A634" s="177"/>
      <c r="B634" s="177"/>
      <c r="C634" s="177"/>
      <c r="D634" s="177"/>
      <c r="E634" s="167" t="s">
        <v>434</v>
      </c>
      <c r="F634" s="167" t="s">
        <v>293</v>
      </c>
      <c r="G634" s="167" t="s">
        <v>954</v>
      </c>
      <c r="H634" s="167" t="s">
        <v>947</v>
      </c>
      <c r="I634" s="177"/>
      <c r="J634" s="177"/>
      <c r="K634" s="177"/>
      <c r="L634" s="177"/>
      <c r="M634" s="177"/>
      <c r="N634" s="177"/>
      <c r="O634" s="177"/>
      <c r="P634" s="177"/>
    </row>
  </sheetData>
  <sortState xmlns:xlrd2="http://schemas.microsoft.com/office/spreadsheetml/2017/richdata2" caseSensitive="1" sortMethod="pinYin" ref="A3:R634">
    <sortCondition ref="Q3"/>
    <sortCondition ref="R3"/>
  </sortState>
  <mergeCells count="1896">
    <mergeCell ref="K631:K634"/>
    <mergeCell ref="L631:L634"/>
    <mergeCell ref="M631:M634"/>
    <mergeCell ref="N631:N634"/>
    <mergeCell ref="O631:O634"/>
    <mergeCell ref="P631:P634"/>
    <mergeCell ref="A631:A634"/>
    <mergeCell ref="B631:B634"/>
    <mergeCell ref="C631:C634"/>
    <mergeCell ref="D631:D634"/>
    <mergeCell ref="I631:I634"/>
    <mergeCell ref="J631:J634"/>
    <mergeCell ref="K627:K630"/>
    <mergeCell ref="L627:L630"/>
    <mergeCell ref="M627:M630"/>
    <mergeCell ref="N627:N630"/>
    <mergeCell ref="O627:O630"/>
    <mergeCell ref="P627:P630"/>
    <mergeCell ref="A627:A630"/>
    <mergeCell ref="B627:B630"/>
    <mergeCell ref="C627:C630"/>
    <mergeCell ref="D627:D630"/>
    <mergeCell ref="I627:I630"/>
    <mergeCell ref="J627:J630"/>
    <mergeCell ref="K623:K626"/>
    <mergeCell ref="L623:L626"/>
    <mergeCell ref="M623:M626"/>
    <mergeCell ref="N623:N626"/>
    <mergeCell ref="O623:O626"/>
    <mergeCell ref="P623:P626"/>
    <mergeCell ref="A623:A626"/>
    <mergeCell ref="B623:B626"/>
    <mergeCell ref="C623:C626"/>
    <mergeCell ref="D623:D626"/>
    <mergeCell ref="I623:I626"/>
    <mergeCell ref="J623:J626"/>
    <mergeCell ref="K619:K622"/>
    <mergeCell ref="L619:L622"/>
    <mergeCell ref="M619:M622"/>
    <mergeCell ref="N619:N622"/>
    <mergeCell ref="O619:O622"/>
    <mergeCell ref="P619:P622"/>
    <mergeCell ref="A619:A622"/>
    <mergeCell ref="B619:B622"/>
    <mergeCell ref="C619:C622"/>
    <mergeCell ref="D619:D622"/>
    <mergeCell ref="I619:I622"/>
    <mergeCell ref="J619:J622"/>
    <mergeCell ref="K615:K618"/>
    <mergeCell ref="L615:L618"/>
    <mergeCell ref="M615:M618"/>
    <mergeCell ref="N615:N618"/>
    <mergeCell ref="O615:O618"/>
    <mergeCell ref="P615:P618"/>
    <mergeCell ref="A615:A618"/>
    <mergeCell ref="B615:B618"/>
    <mergeCell ref="C615:C618"/>
    <mergeCell ref="D615:D618"/>
    <mergeCell ref="I615:I618"/>
    <mergeCell ref="J615:J618"/>
    <mergeCell ref="K611:K614"/>
    <mergeCell ref="L611:L614"/>
    <mergeCell ref="M611:M614"/>
    <mergeCell ref="N611:N614"/>
    <mergeCell ref="O611:O614"/>
    <mergeCell ref="P611:P614"/>
    <mergeCell ref="A611:A614"/>
    <mergeCell ref="B611:B614"/>
    <mergeCell ref="C611:C614"/>
    <mergeCell ref="D611:D614"/>
    <mergeCell ref="I611:I614"/>
    <mergeCell ref="J611:J614"/>
    <mergeCell ref="K607:K610"/>
    <mergeCell ref="L607:L610"/>
    <mergeCell ref="M607:M610"/>
    <mergeCell ref="N607:N610"/>
    <mergeCell ref="O607:O610"/>
    <mergeCell ref="P607:P610"/>
    <mergeCell ref="A607:A610"/>
    <mergeCell ref="B607:B610"/>
    <mergeCell ref="C607:C610"/>
    <mergeCell ref="D607:D610"/>
    <mergeCell ref="I607:I610"/>
    <mergeCell ref="J607:J610"/>
    <mergeCell ref="K603:K606"/>
    <mergeCell ref="L603:L606"/>
    <mergeCell ref="M603:M606"/>
    <mergeCell ref="N603:N606"/>
    <mergeCell ref="O603:O606"/>
    <mergeCell ref="P603:P606"/>
    <mergeCell ref="A603:A606"/>
    <mergeCell ref="B603:B606"/>
    <mergeCell ref="C603:C606"/>
    <mergeCell ref="D603:D606"/>
    <mergeCell ref="I603:I606"/>
    <mergeCell ref="J603:J606"/>
    <mergeCell ref="K599:K602"/>
    <mergeCell ref="L599:L602"/>
    <mergeCell ref="M599:M602"/>
    <mergeCell ref="N599:N602"/>
    <mergeCell ref="O599:O602"/>
    <mergeCell ref="P599:P602"/>
    <mergeCell ref="A599:A602"/>
    <mergeCell ref="B599:B602"/>
    <mergeCell ref="C599:C602"/>
    <mergeCell ref="D599:D602"/>
    <mergeCell ref="I599:I602"/>
    <mergeCell ref="J599:J602"/>
    <mergeCell ref="K595:K598"/>
    <mergeCell ref="L595:L598"/>
    <mergeCell ref="M595:M598"/>
    <mergeCell ref="N595:N598"/>
    <mergeCell ref="O595:O598"/>
    <mergeCell ref="P595:P598"/>
    <mergeCell ref="A595:A598"/>
    <mergeCell ref="B595:B598"/>
    <mergeCell ref="C595:C598"/>
    <mergeCell ref="D595:D598"/>
    <mergeCell ref="I595:I598"/>
    <mergeCell ref="J595:J598"/>
    <mergeCell ref="K591:K594"/>
    <mergeCell ref="L591:L594"/>
    <mergeCell ref="M591:M594"/>
    <mergeCell ref="N591:N594"/>
    <mergeCell ref="O591:O594"/>
    <mergeCell ref="P591:P594"/>
    <mergeCell ref="A591:A594"/>
    <mergeCell ref="B591:B594"/>
    <mergeCell ref="C591:C594"/>
    <mergeCell ref="D591:D594"/>
    <mergeCell ref="I591:I594"/>
    <mergeCell ref="J591:J594"/>
    <mergeCell ref="K587:K590"/>
    <mergeCell ref="L587:L590"/>
    <mergeCell ref="M587:M590"/>
    <mergeCell ref="N587:N590"/>
    <mergeCell ref="O587:O590"/>
    <mergeCell ref="P587:P590"/>
    <mergeCell ref="A587:A590"/>
    <mergeCell ref="B587:B590"/>
    <mergeCell ref="C587:C590"/>
    <mergeCell ref="D587:D590"/>
    <mergeCell ref="I587:I590"/>
    <mergeCell ref="J587:J590"/>
    <mergeCell ref="K583:K586"/>
    <mergeCell ref="L583:L586"/>
    <mergeCell ref="M583:M586"/>
    <mergeCell ref="N583:N586"/>
    <mergeCell ref="O583:O586"/>
    <mergeCell ref="P583:P586"/>
    <mergeCell ref="A583:A586"/>
    <mergeCell ref="B583:B586"/>
    <mergeCell ref="C583:C586"/>
    <mergeCell ref="D583:D586"/>
    <mergeCell ref="I583:I586"/>
    <mergeCell ref="J583:J586"/>
    <mergeCell ref="K579:K582"/>
    <mergeCell ref="L579:L582"/>
    <mergeCell ref="M579:M582"/>
    <mergeCell ref="N579:N582"/>
    <mergeCell ref="O579:O582"/>
    <mergeCell ref="P579:P582"/>
    <mergeCell ref="A579:A582"/>
    <mergeCell ref="B579:B582"/>
    <mergeCell ref="C579:C582"/>
    <mergeCell ref="D579:D582"/>
    <mergeCell ref="I579:I582"/>
    <mergeCell ref="J579:J582"/>
    <mergeCell ref="K575:K578"/>
    <mergeCell ref="L575:L578"/>
    <mergeCell ref="M575:M578"/>
    <mergeCell ref="N575:N578"/>
    <mergeCell ref="O575:O578"/>
    <mergeCell ref="P575:P578"/>
    <mergeCell ref="A575:A578"/>
    <mergeCell ref="B575:B578"/>
    <mergeCell ref="C575:C578"/>
    <mergeCell ref="D575:D578"/>
    <mergeCell ref="I575:I578"/>
    <mergeCell ref="J575:J578"/>
    <mergeCell ref="K571:K574"/>
    <mergeCell ref="L571:L574"/>
    <mergeCell ref="M571:M574"/>
    <mergeCell ref="N571:N574"/>
    <mergeCell ref="O571:O574"/>
    <mergeCell ref="P571:P574"/>
    <mergeCell ref="A571:A574"/>
    <mergeCell ref="B571:B574"/>
    <mergeCell ref="C571:C574"/>
    <mergeCell ref="D571:D574"/>
    <mergeCell ref="I571:I574"/>
    <mergeCell ref="J571:J574"/>
    <mergeCell ref="K567:K570"/>
    <mergeCell ref="L567:L570"/>
    <mergeCell ref="M567:M570"/>
    <mergeCell ref="N567:N570"/>
    <mergeCell ref="O567:O570"/>
    <mergeCell ref="P567:P570"/>
    <mergeCell ref="A567:A570"/>
    <mergeCell ref="B567:B570"/>
    <mergeCell ref="C567:C570"/>
    <mergeCell ref="D567:D570"/>
    <mergeCell ref="I567:I570"/>
    <mergeCell ref="J567:J570"/>
    <mergeCell ref="K563:K566"/>
    <mergeCell ref="L563:L566"/>
    <mergeCell ref="M563:M566"/>
    <mergeCell ref="N563:N566"/>
    <mergeCell ref="O563:O566"/>
    <mergeCell ref="P563:P566"/>
    <mergeCell ref="A563:A566"/>
    <mergeCell ref="B563:B566"/>
    <mergeCell ref="C563:C566"/>
    <mergeCell ref="D563:D566"/>
    <mergeCell ref="I563:I566"/>
    <mergeCell ref="J563:J566"/>
    <mergeCell ref="K559:K562"/>
    <mergeCell ref="L559:L562"/>
    <mergeCell ref="M559:M562"/>
    <mergeCell ref="N559:N562"/>
    <mergeCell ref="O559:O562"/>
    <mergeCell ref="P559:P562"/>
    <mergeCell ref="A559:A562"/>
    <mergeCell ref="B559:B562"/>
    <mergeCell ref="C559:C562"/>
    <mergeCell ref="D559:D562"/>
    <mergeCell ref="I559:I562"/>
    <mergeCell ref="J559:J562"/>
    <mergeCell ref="K555:K558"/>
    <mergeCell ref="L555:L558"/>
    <mergeCell ref="M555:M558"/>
    <mergeCell ref="N555:N558"/>
    <mergeCell ref="O555:O558"/>
    <mergeCell ref="P555:P558"/>
    <mergeCell ref="A555:A558"/>
    <mergeCell ref="B555:B558"/>
    <mergeCell ref="C555:C558"/>
    <mergeCell ref="D555:D558"/>
    <mergeCell ref="I555:I558"/>
    <mergeCell ref="J555:J558"/>
    <mergeCell ref="K551:K554"/>
    <mergeCell ref="L551:L554"/>
    <mergeCell ref="M551:M554"/>
    <mergeCell ref="N551:N554"/>
    <mergeCell ref="O551:O554"/>
    <mergeCell ref="P551:P554"/>
    <mergeCell ref="A551:A554"/>
    <mergeCell ref="B551:B554"/>
    <mergeCell ref="C551:C554"/>
    <mergeCell ref="D551:D554"/>
    <mergeCell ref="I551:I554"/>
    <mergeCell ref="J551:J554"/>
    <mergeCell ref="K547:K550"/>
    <mergeCell ref="L547:L550"/>
    <mergeCell ref="M547:M550"/>
    <mergeCell ref="N547:N550"/>
    <mergeCell ref="O547:O550"/>
    <mergeCell ref="P547:P550"/>
    <mergeCell ref="A547:A550"/>
    <mergeCell ref="B547:B550"/>
    <mergeCell ref="C547:C550"/>
    <mergeCell ref="D547:D550"/>
    <mergeCell ref="I547:I550"/>
    <mergeCell ref="J547:J550"/>
    <mergeCell ref="K543:K546"/>
    <mergeCell ref="L543:L546"/>
    <mergeCell ref="M543:M546"/>
    <mergeCell ref="N543:N546"/>
    <mergeCell ref="O543:O546"/>
    <mergeCell ref="P543:P546"/>
    <mergeCell ref="A543:A546"/>
    <mergeCell ref="B543:B546"/>
    <mergeCell ref="C543:C546"/>
    <mergeCell ref="D543:D546"/>
    <mergeCell ref="I543:I546"/>
    <mergeCell ref="J543:J546"/>
    <mergeCell ref="K539:K542"/>
    <mergeCell ref="L539:L542"/>
    <mergeCell ref="M539:M542"/>
    <mergeCell ref="N539:N542"/>
    <mergeCell ref="O539:O542"/>
    <mergeCell ref="P539:P542"/>
    <mergeCell ref="A539:A542"/>
    <mergeCell ref="B539:B542"/>
    <mergeCell ref="C539:C542"/>
    <mergeCell ref="D539:D542"/>
    <mergeCell ref="I539:I542"/>
    <mergeCell ref="J539:J542"/>
    <mergeCell ref="K535:K538"/>
    <mergeCell ref="L535:L538"/>
    <mergeCell ref="M535:M538"/>
    <mergeCell ref="N535:N538"/>
    <mergeCell ref="O535:O538"/>
    <mergeCell ref="P535:P538"/>
    <mergeCell ref="A535:A538"/>
    <mergeCell ref="B535:B538"/>
    <mergeCell ref="C535:C538"/>
    <mergeCell ref="D535:D538"/>
    <mergeCell ref="I535:I538"/>
    <mergeCell ref="J535:J538"/>
    <mergeCell ref="K531:K534"/>
    <mergeCell ref="L531:L534"/>
    <mergeCell ref="M531:M534"/>
    <mergeCell ref="N531:N534"/>
    <mergeCell ref="O531:O534"/>
    <mergeCell ref="P531:P534"/>
    <mergeCell ref="A531:A534"/>
    <mergeCell ref="B531:B534"/>
    <mergeCell ref="C531:C534"/>
    <mergeCell ref="D531:D534"/>
    <mergeCell ref="I531:I534"/>
    <mergeCell ref="J531:J534"/>
    <mergeCell ref="K527:K530"/>
    <mergeCell ref="L527:L530"/>
    <mergeCell ref="M527:M530"/>
    <mergeCell ref="N527:N530"/>
    <mergeCell ref="O527:O530"/>
    <mergeCell ref="P527:P530"/>
    <mergeCell ref="A527:A530"/>
    <mergeCell ref="B527:B530"/>
    <mergeCell ref="C527:C530"/>
    <mergeCell ref="D527:D530"/>
    <mergeCell ref="I527:I530"/>
    <mergeCell ref="J527:J530"/>
    <mergeCell ref="K523:K526"/>
    <mergeCell ref="L523:L526"/>
    <mergeCell ref="M523:M526"/>
    <mergeCell ref="N523:N526"/>
    <mergeCell ref="O523:O526"/>
    <mergeCell ref="P523:P526"/>
    <mergeCell ref="A523:A526"/>
    <mergeCell ref="B523:B526"/>
    <mergeCell ref="C523:C526"/>
    <mergeCell ref="D523:D526"/>
    <mergeCell ref="I523:I526"/>
    <mergeCell ref="J523:J526"/>
    <mergeCell ref="K519:K522"/>
    <mergeCell ref="L519:L522"/>
    <mergeCell ref="M519:M522"/>
    <mergeCell ref="N519:N522"/>
    <mergeCell ref="O519:O522"/>
    <mergeCell ref="P519:P522"/>
    <mergeCell ref="A519:A522"/>
    <mergeCell ref="B519:B522"/>
    <mergeCell ref="C519:C522"/>
    <mergeCell ref="D519:D522"/>
    <mergeCell ref="I519:I522"/>
    <mergeCell ref="J519:J522"/>
    <mergeCell ref="K515:K518"/>
    <mergeCell ref="L515:L518"/>
    <mergeCell ref="M515:M518"/>
    <mergeCell ref="N515:N518"/>
    <mergeCell ref="O515:O518"/>
    <mergeCell ref="P515:P518"/>
    <mergeCell ref="A515:A518"/>
    <mergeCell ref="B515:B518"/>
    <mergeCell ref="C515:C518"/>
    <mergeCell ref="D515:D518"/>
    <mergeCell ref="I515:I518"/>
    <mergeCell ref="J515:J518"/>
    <mergeCell ref="K511:K514"/>
    <mergeCell ref="L511:L514"/>
    <mergeCell ref="M511:M514"/>
    <mergeCell ref="N511:N514"/>
    <mergeCell ref="O511:O514"/>
    <mergeCell ref="P511:P514"/>
    <mergeCell ref="A511:A514"/>
    <mergeCell ref="B511:B514"/>
    <mergeCell ref="C511:C514"/>
    <mergeCell ref="D511:D514"/>
    <mergeCell ref="I511:I514"/>
    <mergeCell ref="J511:J514"/>
    <mergeCell ref="K507:K510"/>
    <mergeCell ref="L507:L510"/>
    <mergeCell ref="M507:M510"/>
    <mergeCell ref="N507:N510"/>
    <mergeCell ref="O507:O510"/>
    <mergeCell ref="P507:P510"/>
    <mergeCell ref="A507:A510"/>
    <mergeCell ref="B507:B510"/>
    <mergeCell ref="C507:C510"/>
    <mergeCell ref="D507:D510"/>
    <mergeCell ref="I507:I510"/>
    <mergeCell ref="J507:J510"/>
    <mergeCell ref="K503:K506"/>
    <mergeCell ref="L503:L506"/>
    <mergeCell ref="M503:M506"/>
    <mergeCell ref="N503:N506"/>
    <mergeCell ref="O503:O506"/>
    <mergeCell ref="P503:P506"/>
    <mergeCell ref="A503:A506"/>
    <mergeCell ref="B503:B506"/>
    <mergeCell ref="C503:C506"/>
    <mergeCell ref="D503:D506"/>
    <mergeCell ref="I503:I506"/>
    <mergeCell ref="J503:J506"/>
    <mergeCell ref="K499:K502"/>
    <mergeCell ref="L499:L502"/>
    <mergeCell ref="M499:M502"/>
    <mergeCell ref="N499:N502"/>
    <mergeCell ref="O499:O502"/>
    <mergeCell ref="P499:P502"/>
    <mergeCell ref="A499:A502"/>
    <mergeCell ref="B499:B502"/>
    <mergeCell ref="C499:C502"/>
    <mergeCell ref="D499:D502"/>
    <mergeCell ref="I499:I502"/>
    <mergeCell ref="J499:J502"/>
    <mergeCell ref="K495:K498"/>
    <mergeCell ref="L495:L498"/>
    <mergeCell ref="M495:M498"/>
    <mergeCell ref="N495:N498"/>
    <mergeCell ref="O495:O498"/>
    <mergeCell ref="P495:P498"/>
    <mergeCell ref="A495:A498"/>
    <mergeCell ref="B495:B498"/>
    <mergeCell ref="C495:C498"/>
    <mergeCell ref="D495:D498"/>
    <mergeCell ref="I495:I498"/>
    <mergeCell ref="J495:J498"/>
    <mergeCell ref="K491:K494"/>
    <mergeCell ref="L491:L494"/>
    <mergeCell ref="M491:M494"/>
    <mergeCell ref="N491:N494"/>
    <mergeCell ref="O491:O494"/>
    <mergeCell ref="P491:P494"/>
    <mergeCell ref="A491:A494"/>
    <mergeCell ref="B491:B494"/>
    <mergeCell ref="C491:C494"/>
    <mergeCell ref="D491:D494"/>
    <mergeCell ref="I491:I494"/>
    <mergeCell ref="J491:J494"/>
    <mergeCell ref="K487:K490"/>
    <mergeCell ref="L487:L490"/>
    <mergeCell ref="M487:M490"/>
    <mergeCell ref="N487:N490"/>
    <mergeCell ref="O487:O490"/>
    <mergeCell ref="P487:P490"/>
    <mergeCell ref="A487:A490"/>
    <mergeCell ref="B487:B490"/>
    <mergeCell ref="C487:C490"/>
    <mergeCell ref="D487:D490"/>
    <mergeCell ref="I487:I490"/>
    <mergeCell ref="J487:J490"/>
    <mergeCell ref="K483:K486"/>
    <mergeCell ref="L483:L486"/>
    <mergeCell ref="M483:M486"/>
    <mergeCell ref="N483:N486"/>
    <mergeCell ref="O483:O486"/>
    <mergeCell ref="P483:P486"/>
    <mergeCell ref="A483:A486"/>
    <mergeCell ref="B483:B486"/>
    <mergeCell ref="C483:C486"/>
    <mergeCell ref="D483:D486"/>
    <mergeCell ref="I483:I486"/>
    <mergeCell ref="J483:J486"/>
    <mergeCell ref="K479:K482"/>
    <mergeCell ref="L479:L482"/>
    <mergeCell ref="M479:M482"/>
    <mergeCell ref="N479:N482"/>
    <mergeCell ref="O479:O482"/>
    <mergeCell ref="P479:P482"/>
    <mergeCell ref="A479:A482"/>
    <mergeCell ref="B479:B482"/>
    <mergeCell ref="C479:C482"/>
    <mergeCell ref="D479:D482"/>
    <mergeCell ref="I479:I482"/>
    <mergeCell ref="J479:J482"/>
    <mergeCell ref="K475:K478"/>
    <mergeCell ref="L475:L478"/>
    <mergeCell ref="M475:M478"/>
    <mergeCell ref="N475:N478"/>
    <mergeCell ref="O475:O478"/>
    <mergeCell ref="P475:P478"/>
    <mergeCell ref="A475:A478"/>
    <mergeCell ref="B475:B478"/>
    <mergeCell ref="C475:C478"/>
    <mergeCell ref="D475:D478"/>
    <mergeCell ref="I475:I478"/>
    <mergeCell ref="J475:J478"/>
    <mergeCell ref="K471:K474"/>
    <mergeCell ref="L471:L474"/>
    <mergeCell ref="M471:M474"/>
    <mergeCell ref="N471:N474"/>
    <mergeCell ref="O471:O474"/>
    <mergeCell ref="P471:P474"/>
    <mergeCell ref="A471:A474"/>
    <mergeCell ref="B471:B474"/>
    <mergeCell ref="C471:C474"/>
    <mergeCell ref="D471:D474"/>
    <mergeCell ref="I471:I474"/>
    <mergeCell ref="J471:J474"/>
    <mergeCell ref="K467:K470"/>
    <mergeCell ref="L467:L470"/>
    <mergeCell ref="M467:M470"/>
    <mergeCell ref="N467:N470"/>
    <mergeCell ref="O467:O470"/>
    <mergeCell ref="P467:P470"/>
    <mergeCell ref="A467:A470"/>
    <mergeCell ref="B467:B470"/>
    <mergeCell ref="C467:C470"/>
    <mergeCell ref="D467:D470"/>
    <mergeCell ref="I467:I470"/>
    <mergeCell ref="J467:J470"/>
    <mergeCell ref="K463:K466"/>
    <mergeCell ref="L463:L466"/>
    <mergeCell ref="M463:M466"/>
    <mergeCell ref="N463:N466"/>
    <mergeCell ref="O463:O466"/>
    <mergeCell ref="P463:P466"/>
    <mergeCell ref="A463:A466"/>
    <mergeCell ref="B463:B466"/>
    <mergeCell ref="C463:C466"/>
    <mergeCell ref="D463:D466"/>
    <mergeCell ref="I463:I466"/>
    <mergeCell ref="J463:J466"/>
    <mergeCell ref="K459:K462"/>
    <mergeCell ref="L459:L462"/>
    <mergeCell ref="M459:M462"/>
    <mergeCell ref="N459:N462"/>
    <mergeCell ref="O459:O462"/>
    <mergeCell ref="P459:P462"/>
    <mergeCell ref="A459:A462"/>
    <mergeCell ref="B459:B462"/>
    <mergeCell ref="C459:C462"/>
    <mergeCell ref="D459:D462"/>
    <mergeCell ref="I459:I462"/>
    <mergeCell ref="J459:J462"/>
    <mergeCell ref="K455:K458"/>
    <mergeCell ref="L455:L458"/>
    <mergeCell ref="M455:M458"/>
    <mergeCell ref="N455:N458"/>
    <mergeCell ref="O455:O458"/>
    <mergeCell ref="P455:P458"/>
    <mergeCell ref="A455:A458"/>
    <mergeCell ref="B455:B458"/>
    <mergeCell ref="C455:C458"/>
    <mergeCell ref="D455:D458"/>
    <mergeCell ref="I455:I458"/>
    <mergeCell ref="J455:J458"/>
    <mergeCell ref="K451:K454"/>
    <mergeCell ref="L451:L454"/>
    <mergeCell ref="M451:M454"/>
    <mergeCell ref="N451:N454"/>
    <mergeCell ref="O451:O454"/>
    <mergeCell ref="P451:P454"/>
    <mergeCell ref="A451:A454"/>
    <mergeCell ref="B451:B454"/>
    <mergeCell ref="C451:C454"/>
    <mergeCell ref="D451:D454"/>
    <mergeCell ref="I451:I454"/>
    <mergeCell ref="J451:J454"/>
    <mergeCell ref="K447:K450"/>
    <mergeCell ref="L447:L450"/>
    <mergeCell ref="M447:M450"/>
    <mergeCell ref="N447:N450"/>
    <mergeCell ref="O447:O450"/>
    <mergeCell ref="P447:P450"/>
    <mergeCell ref="A447:A450"/>
    <mergeCell ref="B447:B450"/>
    <mergeCell ref="C447:C450"/>
    <mergeCell ref="D447:D450"/>
    <mergeCell ref="I447:I450"/>
    <mergeCell ref="J447:J450"/>
    <mergeCell ref="K443:K446"/>
    <mergeCell ref="L443:L446"/>
    <mergeCell ref="M443:M446"/>
    <mergeCell ref="N443:N446"/>
    <mergeCell ref="O443:O446"/>
    <mergeCell ref="P443:P446"/>
    <mergeCell ref="A443:A446"/>
    <mergeCell ref="B443:B446"/>
    <mergeCell ref="C443:C446"/>
    <mergeCell ref="D443:D446"/>
    <mergeCell ref="I443:I446"/>
    <mergeCell ref="J443:J446"/>
    <mergeCell ref="K439:K442"/>
    <mergeCell ref="L439:L442"/>
    <mergeCell ref="M439:M442"/>
    <mergeCell ref="N439:N442"/>
    <mergeCell ref="O439:O442"/>
    <mergeCell ref="P439:P442"/>
    <mergeCell ref="A439:A442"/>
    <mergeCell ref="B439:B442"/>
    <mergeCell ref="C439:C442"/>
    <mergeCell ref="D439:D442"/>
    <mergeCell ref="I439:I442"/>
    <mergeCell ref="J439:J442"/>
    <mergeCell ref="K435:K438"/>
    <mergeCell ref="L435:L438"/>
    <mergeCell ref="M435:M438"/>
    <mergeCell ref="N435:N438"/>
    <mergeCell ref="O435:O438"/>
    <mergeCell ref="P435:P438"/>
    <mergeCell ref="A435:A438"/>
    <mergeCell ref="B435:B438"/>
    <mergeCell ref="C435:C438"/>
    <mergeCell ref="D435:D438"/>
    <mergeCell ref="I435:I438"/>
    <mergeCell ref="J435:J438"/>
    <mergeCell ref="K431:K434"/>
    <mergeCell ref="L431:L434"/>
    <mergeCell ref="M431:M434"/>
    <mergeCell ref="N431:N434"/>
    <mergeCell ref="O431:O434"/>
    <mergeCell ref="P431:P434"/>
    <mergeCell ref="A431:A434"/>
    <mergeCell ref="B431:B434"/>
    <mergeCell ref="C431:C434"/>
    <mergeCell ref="D431:D434"/>
    <mergeCell ref="I431:I434"/>
    <mergeCell ref="J431:J434"/>
    <mergeCell ref="K427:K430"/>
    <mergeCell ref="L427:L430"/>
    <mergeCell ref="M427:M430"/>
    <mergeCell ref="N427:N430"/>
    <mergeCell ref="O427:O430"/>
    <mergeCell ref="P427:P430"/>
    <mergeCell ref="A427:A430"/>
    <mergeCell ref="B427:B430"/>
    <mergeCell ref="C427:C430"/>
    <mergeCell ref="D427:D430"/>
    <mergeCell ref="I427:I430"/>
    <mergeCell ref="J427:J430"/>
    <mergeCell ref="K423:K426"/>
    <mergeCell ref="L423:L426"/>
    <mergeCell ref="M423:M426"/>
    <mergeCell ref="N423:N426"/>
    <mergeCell ref="O423:O426"/>
    <mergeCell ref="P423:P426"/>
    <mergeCell ref="A423:A426"/>
    <mergeCell ref="B423:B426"/>
    <mergeCell ref="C423:C426"/>
    <mergeCell ref="D423:D426"/>
    <mergeCell ref="I423:I426"/>
    <mergeCell ref="J423:J426"/>
    <mergeCell ref="K419:K422"/>
    <mergeCell ref="L419:L422"/>
    <mergeCell ref="M419:M422"/>
    <mergeCell ref="N419:N422"/>
    <mergeCell ref="O419:O422"/>
    <mergeCell ref="P419:P422"/>
    <mergeCell ref="A419:A422"/>
    <mergeCell ref="B419:B422"/>
    <mergeCell ref="C419:C422"/>
    <mergeCell ref="D419:D422"/>
    <mergeCell ref="I419:I422"/>
    <mergeCell ref="J419:J422"/>
    <mergeCell ref="K415:K418"/>
    <mergeCell ref="L415:L418"/>
    <mergeCell ref="M415:M418"/>
    <mergeCell ref="N415:N418"/>
    <mergeCell ref="O415:O418"/>
    <mergeCell ref="P415:P418"/>
    <mergeCell ref="A415:A418"/>
    <mergeCell ref="B415:B418"/>
    <mergeCell ref="C415:C418"/>
    <mergeCell ref="D415:D418"/>
    <mergeCell ref="I415:I418"/>
    <mergeCell ref="J415:J418"/>
    <mergeCell ref="K411:K414"/>
    <mergeCell ref="L411:L414"/>
    <mergeCell ref="M411:M414"/>
    <mergeCell ref="N411:N414"/>
    <mergeCell ref="O411:O414"/>
    <mergeCell ref="P411:P414"/>
    <mergeCell ref="A411:A414"/>
    <mergeCell ref="B411:B414"/>
    <mergeCell ref="C411:C414"/>
    <mergeCell ref="D411:D414"/>
    <mergeCell ref="I411:I414"/>
    <mergeCell ref="J411:J414"/>
    <mergeCell ref="K407:K410"/>
    <mergeCell ref="L407:L410"/>
    <mergeCell ref="M407:M410"/>
    <mergeCell ref="N407:N410"/>
    <mergeCell ref="O407:O410"/>
    <mergeCell ref="P407:P410"/>
    <mergeCell ref="A407:A410"/>
    <mergeCell ref="B407:B410"/>
    <mergeCell ref="C407:C410"/>
    <mergeCell ref="D407:D410"/>
    <mergeCell ref="I407:I410"/>
    <mergeCell ref="J407:J410"/>
    <mergeCell ref="K403:K406"/>
    <mergeCell ref="L403:L406"/>
    <mergeCell ref="M403:M406"/>
    <mergeCell ref="N403:N406"/>
    <mergeCell ref="O403:O406"/>
    <mergeCell ref="P403:P406"/>
    <mergeCell ref="A403:A406"/>
    <mergeCell ref="B403:B406"/>
    <mergeCell ref="C403:C406"/>
    <mergeCell ref="D403:D406"/>
    <mergeCell ref="I403:I406"/>
    <mergeCell ref="J403:J406"/>
    <mergeCell ref="K399:K402"/>
    <mergeCell ref="L399:L402"/>
    <mergeCell ref="M399:M402"/>
    <mergeCell ref="N399:N402"/>
    <mergeCell ref="O399:O402"/>
    <mergeCell ref="P399:P402"/>
    <mergeCell ref="A399:A402"/>
    <mergeCell ref="B399:B402"/>
    <mergeCell ref="C399:C402"/>
    <mergeCell ref="D399:D402"/>
    <mergeCell ref="I399:I402"/>
    <mergeCell ref="J399:J402"/>
    <mergeCell ref="K395:K398"/>
    <mergeCell ref="L395:L398"/>
    <mergeCell ref="M395:M398"/>
    <mergeCell ref="N395:N398"/>
    <mergeCell ref="O395:O398"/>
    <mergeCell ref="P395:P398"/>
    <mergeCell ref="A395:A398"/>
    <mergeCell ref="B395:B398"/>
    <mergeCell ref="C395:C398"/>
    <mergeCell ref="D395:D398"/>
    <mergeCell ref="I395:I398"/>
    <mergeCell ref="J395:J398"/>
    <mergeCell ref="K391:K394"/>
    <mergeCell ref="L391:L394"/>
    <mergeCell ref="M391:M394"/>
    <mergeCell ref="N391:N394"/>
    <mergeCell ref="O391:O394"/>
    <mergeCell ref="P391:P394"/>
    <mergeCell ref="A391:A394"/>
    <mergeCell ref="B391:B394"/>
    <mergeCell ref="C391:C394"/>
    <mergeCell ref="D391:D394"/>
    <mergeCell ref="I391:I394"/>
    <mergeCell ref="J391:J394"/>
    <mergeCell ref="K387:K390"/>
    <mergeCell ref="L387:L390"/>
    <mergeCell ref="M387:M390"/>
    <mergeCell ref="N387:N390"/>
    <mergeCell ref="O387:O390"/>
    <mergeCell ref="P387:P390"/>
    <mergeCell ref="A387:A390"/>
    <mergeCell ref="B387:B390"/>
    <mergeCell ref="C387:C390"/>
    <mergeCell ref="D387:D390"/>
    <mergeCell ref="I387:I390"/>
    <mergeCell ref="J387:J390"/>
    <mergeCell ref="K383:K386"/>
    <mergeCell ref="L383:L386"/>
    <mergeCell ref="M383:M386"/>
    <mergeCell ref="N383:N386"/>
    <mergeCell ref="O383:O386"/>
    <mergeCell ref="P383:P386"/>
    <mergeCell ref="A383:A386"/>
    <mergeCell ref="B383:B386"/>
    <mergeCell ref="C383:C386"/>
    <mergeCell ref="D383:D386"/>
    <mergeCell ref="I383:I386"/>
    <mergeCell ref="J383:J386"/>
    <mergeCell ref="K379:K382"/>
    <mergeCell ref="L379:L382"/>
    <mergeCell ref="M379:M382"/>
    <mergeCell ref="N379:N382"/>
    <mergeCell ref="O379:O382"/>
    <mergeCell ref="P379:P382"/>
    <mergeCell ref="A379:A382"/>
    <mergeCell ref="B379:B382"/>
    <mergeCell ref="C379:C382"/>
    <mergeCell ref="D379:D382"/>
    <mergeCell ref="I379:I382"/>
    <mergeCell ref="J379:J382"/>
    <mergeCell ref="K375:K378"/>
    <mergeCell ref="L375:L378"/>
    <mergeCell ref="M375:M378"/>
    <mergeCell ref="N375:N378"/>
    <mergeCell ref="O375:O378"/>
    <mergeCell ref="P375:P378"/>
    <mergeCell ref="A375:A378"/>
    <mergeCell ref="B375:B378"/>
    <mergeCell ref="C375:C378"/>
    <mergeCell ref="D375:D378"/>
    <mergeCell ref="I375:I378"/>
    <mergeCell ref="J375:J378"/>
    <mergeCell ref="K371:K374"/>
    <mergeCell ref="L371:L374"/>
    <mergeCell ref="M371:M374"/>
    <mergeCell ref="N371:N374"/>
    <mergeCell ref="O371:O374"/>
    <mergeCell ref="P371:P374"/>
    <mergeCell ref="A371:A374"/>
    <mergeCell ref="B371:B374"/>
    <mergeCell ref="C371:C374"/>
    <mergeCell ref="D371:D374"/>
    <mergeCell ref="I371:I374"/>
    <mergeCell ref="J371:J374"/>
    <mergeCell ref="K367:K370"/>
    <mergeCell ref="L367:L370"/>
    <mergeCell ref="M367:M370"/>
    <mergeCell ref="N367:N370"/>
    <mergeCell ref="O367:O370"/>
    <mergeCell ref="P367:P370"/>
    <mergeCell ref="A367:A370"/>
    <mergeCell ref="B367:B370"/>
    <mergeCell ref="C367:C370"/>
    <mergeCell ref="D367:D370"/>
    <mergeCell ref="I367:I370"/>
    <mergeCell ref="J367:J370"/>
    <mergeCell ref="K363:K366"/>
    <mergeCell ref="L363:L366"/>
    <mergeCell ref="M363:M366"/>
    <mergeCell ref="N363:N366"/>
    <mergeCell ref="O363:O366"/>
    <mergeCell ref="P363:P366"/>
    <mergeCell ref="A363:A366"/>
    <mergeCell ref="B363:B366"/>
    <mergeCell ref="C363:C366"/>
    <mergeCell ref="D363:D366"/>
    <mergeCell ref="I363:I366"/>
    <mergeCell ref="J363:J366"/>
    <mergeCell ref="K359:K362"/>
    <mergeCell ref="L359:L362"/>
    <mergeCell ref="M359:M362"/>
    <mergeCell ref="N359:N362"/>
    <mergeCell ref="O359:O362"/>
    <mergeCell ref="P359:P362"/>
    <mergeCell ref="A359:A362"/>
    <mergeCell ref="B359:B362"/>
    <mergeCell ref="C359:C362"/>
    <mergeCell ref="D359:D362"/>
    <mergeCell ref="I359:I362"/>
    <mergeCell ref="J359:J362"/>
    <mergeCell ref="K355:K358"/>
    <mergeCell ref="L355:L358"/>
    <mergeCell ref="M355:M358"/>
    <mergeCell ref="N355:N358"/>
    <mergeCell ref="O355:O358"/>
    <mergeCell ref="P355:P358"/>
    <mergeCell ref="A355:A358"/>
    <mergeCell ref="B355:B358"/>
    <mergeCell ref="C355:C358"/>
    <mergeCell ref="D355:D358"/>
    <mergeCell ref="I355:I358"/>
    <mergeCell ref="J355:J358"/>
    <mergeCell ref="K351:K354"/>
    <mergeCell ref="L351:L354"/>
    <mergeCell ref="M351:M354"/>
    <mergeCell ref="N351:N354"/>
    <mergeCell ref="O351:O354"/>
    <mergeCell ref="P351:P354"/>
    <mergeCell ref="A351:A354"/>
    <mergeCell ref="B351:B354"/>
    <mergeCell ref="C351:C354"/>
    <mergeCell ref="D351:D354"/>
    <mergeCell ref="I351:I354"/>
    <mergeCell ref="J351:J354"/>
    <mergeCell ref="K347:K350"/>
    <mergeCell ref="L347:L350"/>
    <mergeCell ref="M347:M350"/>
    <mergeCell ref="N347:N350"/>
    <mergeCell ref="O347:O350"/>
    <mergeCell ref="P347:P350"/>
    <mergeCell ref="A347:A350"/>
    <mergeCell ref="B347:B350"/>
    <mergeCell ref="C347:C350"/>
    <mergeCell ref="D347:D350"/>
    <mergeCell ref="I347:I350"/>
    <mergeCell ref="J347:J350"/>
    <mergeCell ref="K343:K346"/>
    <mergeCell ref="L343:L346"/>
    <mergeCell ref="M343:M346"/>
    <mergeCell ref="N343:N346"/>
    <mergeCell ref="O343:O346"/>
    <mergeCell ref="P343:P346"/>
    <mergeCell ref="A343:A346"/>
    <mergeCell ref="B343:B346"/>
    <mergeCell ref="C343:C346"/>
    <mergeCell ref="D343:D346"/>
    <mergeCell ref="I343:I346"/>
    <mergeCell ref="J343:J346"/>
    <mergeCell ref="K339:K342"/>
    <mergeCell ref="L339:L342"/>
    <mergeCell ref="M339:M342"/>
    <mergeCell ref="N339:N342"/>
    <mergeCell ref="O339:O342"/>
    <mergeCell ref="P339:P342"/>
    <mergeCell ref="A339:A342"/>
    <mergeCell ref="B339:B342"/>
    <mergeCell ref="C339:C342"/>
    <mergeCell ref="D339:D342"/>
    <mergeCell ref="I339:I342"/>
    <mergeCell ref="J339:J342"/>
    <mergeCell ref="K335:K338"/>
    <mergeCell ref="L335:L338"/>
    <mergeCell ref="M335:M338"/>
    <mergeCell ref="N335:N338"/>
    <mergeCell ref="O335:O338"/>
    <mergeCell ref="P335:P338"/>
    <mergeCell ref="A335:A338"/>
    <mergeCell ref="B335:B338"/>
    <mergeCell ref="C335:C338"/>
    <mergeCell ref="D335:D338"/>
    <mergeCell ref="I335:I338"/>
    <mergeCell ref="J335:J338"/>
    <mergeCell ref="K331:K334"/>
    <mergeCell ref="L331:L334"/>
    <mergeCell ref="M331:M334"/>
    <mergeCell ref="N331:N334"/>
    <mergeCell ref="O331:O334"/>
    <mergeCell ref="P331:P334"/>
    <mergeCell ref="A331:A334"/>
    <mergeCell ref="B331:B334"/>
    <mergeCell ref="C331:C334"/>
    <mergeCell ref="D331:D334"/>
    <mergeCell ref="I331:I334"/>
    <mergeCell ref="J331:J334"/>
    <mergeCell ref="K327:K330"/>
    <mergeCell ref="L327:L330"/>
    <mergeCell ref="M327:M330"/>
    <mergeCell ref="N327:N330"/>
    <mergeCell ref="O327:O330"/>
    <mergeCell ref="P327:P330"/>
    <mergeCell ref="A327:A330"/>
    <mergeCell ref="B327:B330"/>
    <mergeCell ref="C327:C330"/>
    <mergeCell ref="D327:D330"/>
    <mergeCell ref="I327:I330"/>
    <mergeCell ref="J327:J330"/>
    <mergeCell ref="K323:K326"/>
    <mergeCell ref="L323:L326"/>
    <mergeCell ref="M323:M326"/>
    <mergeCell ref="N323:N326"/>
    <mergeCell ref="O323:O326"/>
    <mergeCell ref="P323:P326"/>
    <mergeCell ref="A323:A326"/>
    <mergeCell ref="B323:B326"/>
    <mergeCell ref="C323:C326"/>
    <mergeCell ref="D323:D326"/>
    <mergeCell ref="I323:I326"/>
    <mergeCell ref="J323:J326"/>
    <mergeCell ref="K319:K322"/>
    <mergeCell ref="L319:L322"/>
    <mergeCell ref="M319:M322"/>
    <mergeCell ref="N319:N322"/>
    <mergeCell ref="O319:O322"/>
    <mergeCell ref="P319:P322"/>
    <mergeCell ref="A319:A322"/>
    <mergeCell ref="B319:B322"/>
    <mergeCell ref="C319:C322"/>
    <mergeCell ref="D319:D322"/>
    <mergeCell ref="I319:I322"/>
    <mergeCell ref="J319:J322"/>
    <mergeCell ref="K315:K318"/>
    <mergeCell ref="L315:L318"/>
    <mergeCell ref="M315:M318"/>
    <mergeCell ref="N315:N318"/>
    <mergeCell ref="O315:O318"/>
    <mergeCell ref="P315:P318"/>
    <mergeCell ref="A315:A318"/>
    <mergeCell ref="B315:B318"/>
    <mergeCell ref="C315:C318"/>
    <mergeCell ref="D315:D318"/>
    <mergeCell ref="I315:I318"/>
    <mergeCell ref="J315:J318"/>
    <mergeCell ref="K311:K314"/>
    <mergeCell ref="L311:L314"/>
    <mergeCell ref="M311:M314"/>
    <mergeCell ref="N311:N314"/>
    <mergeCell ref="O311:O314"/>
    <mergeCell ref="P311:P314"/>
    <mergeCell ref="A311:A314"/>
    <mergeCell ref="B311:B314"/>
    <mergeCell ref="C311:C314"/>
    <mergeCell ref="D311:D314"/>
    <mergeCell ref="I311:I314"/>
    <mergeCell ref="J311:J314"/>
    <mergeCell ref="K307:K310"/>
    <mergeCell ref="L307:L310"/>
    <mergeCell ref="M307:M310"/>
    <mergeCell ref="N307:N310"/>
    <mergeCell ref="O307:O310"/>
    <mergeCell ref="P307:P310"/>
    <mergeCell ref="A307:A310"/>
    <mergeCell ref="B307:B310"/>
    <mergeCell ref="C307:C310"/>
    <mergeCell ref="D307:D310"/>
    <mergeCell ref="I307:I310"/>
    <mergeCell ref="J307:J310"/>
    <mergeCell ref="K303:K306"/>
    <mergeCell ref="L303:L306"/>
    <mergeCell ref="M303:M306"/>
    <mergeCell ref="N303:N306"/>
    <mergeCell ref="O303:O306"/>
    <mergeCell ref="P303:P306"/>
    <mergeCell ref="A303:A306"/>
    <mergeCell ref="B303:B306"/>
    <mergeCell ref="C303:C306"/>
    <mergeCell ref="D303:D306"/>
    <mergeCell ref="I303:I306"/>
    <mergeCell ref="J303:J306"/>
    <mergeCell ref="K299:K302"/>
    <mergeCell ref="L299:L302"/>
    <mergeCell ref="M299:M302"/>
    <mergeCell ref="N299:N302"/>
    <mergeCell ref="O299:O302"/>
    <mergeCell ref="P299:P302"/>
    <mergeCell ref="A299:A302"/>
    <mergeCell ref="B299:B302"/>
    <mergeCell ref="C299:C302"/>
    <mergeCell ref="D299:D302"/>
    <mergeCell ref="I299:I302"/>
    <mergeCell ref="J299:J302"/>
    <mergeCell ref="K295:K298"/>
    <mergeCell ref="L295:L298"/>
    <mergeCell ref="M295:M298"/>
    <mergeCell ref="N295:N298"/>
    <mergeCell ref="O295:O298"/>
    <mergeCell ref="P295:P298"/>
    <mergeCell ref="A295:A298"/>
    <mergeCell ref="B295:B298"/>
    <mergeCell ref="C295:C298"/>
    <mergeCell ref="D295:D298"/>
    <mergeCell ref="I295:I298"/>
    <mergeCell ref="J295:J298"/>
    <mergeCell ref="K291:K294"/>
    <mergeCell ref="L291:L294"/>
    <mergeCell ref="M291:M294"/>
    <mergeCell ref="N291:N294"/>
    <mergeCell ref="O291:O294"/>
    <mergeCell ref="P291:P294"/>
    <mergeCell ref="A291:A294"/>
    <mergeCell ref="B291:B294"/>
    <mergeCell ref="C291:C294"/>
    <mergeCell ref="D291:D294"/>
    <mergeCell ref="I291:I294"/>
    <mergeCell ref="J291:J294"/>
    <mergeCell ref="K287:K290"/>
    <mergeCell ref="L287:L290"/>
    <mergeCell ref="M287:M290"/>
    <mergeCell ref="N287:N290"/>
    <mergeCell ref="O287:O290"/>
    <mergeCell ref="P287:P290"/>
    <mergeCell ref="A287:A290"/>
    <mergeCell ref="B287:B290"/>
    <mergeCell ref="C287:C290"/>
    <mergeCell ref="D287:D290"/>
    <mergeCell ref="I287:I290"/>
    <mergeCell ref="J287:J290"/>
    <mergeCell ref="K283:K286"/>
    <mergeCell ref="L283:L286"/>
    <mergeCell ref="M283:M286"/>
    <mergeCell ref="N283:N286"/>
    <mergeCell ref="O283:O286"/>
    <mergeCell ref="P283:P286"/>
    <mergeCell ref="A283:A286"/>
    <mergeCell ref="B283:B286"/>
    <mergeCell ref="C283:C286"/>
    <mergeCell ref="D283:D286"/>
    <mergeCell ref="I283:I286"/>
    <mergeCell ref="J283:J286"/>
    <mergeCell ref="K279:K282"/>
    <mergeCell ref="L279:L282"/>
    <mergeCell ref="M279:M282"/>
    <mergeCell ref="N279:N282"/>
    <mergeCell ref="O279:O282"/>
    <mergeCell ref="P279:P282"/>
    <mergeCell ref="A279:A282"/>
    <mergeCell ref="B279:B282"/>
    <mergeCell ref="C279:C282"/>
    <mergeCell ref="D279:D282"/>
    <mergeCell ref="I279:I282"/>
    <mergeCell ref="J279:J282"/>
    <mergeCell ref="K275:K278"/>
    <mergeCell ref="L275:L278"/>
    <mergeCell ref="M275:M278"/>
    <mergeCell ref="N275:N278"/>
    <mergeCell ref="O275:O278"/>
    <mergeCell ref="P275:P278"/>
    <mergeCell ref="A275:A278"/>
    <mergeCell ref="B275:B278"/>
    <mergeCell ref="C275:C278"/>
    <mergeCell ref="D275:D278"/>
    <mergeCell ref="I275:I278"/>
    <mergeCell ref="J275:J278"/>
    <mergeCell ref="K271:K274"/>
    <mergeCell ref="L271:L274"/>
    <mergeCell ref="M271:M274"/>
    <mergeCell ref="N271:N274"/>
    <mergeCell ref="O271:O274"/>
    <mergeCell ref="P271:P274"/>
    <mergeCell ref="A271:A274"/>
    <mergeCell ref="B271:B274"/>
    <mergeCell ref="C271:C274"/>
    <mergeCell ref="D271:D274"/>
    <mergeCell ref="I271:I274"/>
    <mergeCell ref="J271:J274"/>
    <mergeCell ref="K267:K270"/>
    <mergeCell ref="L267:L270"/>
    <mergeCell ref="M267:M270"/>
    <mergeCell ref="N267:N270"/>
    <mergeCell ref="O267:O270"/>
    <mergeCell ref="P267:P270"/>
    <mergeCell ref="A267:A270"/>
    <mergeCell ref="B267:B270"/>
    <mergeCell ref="C267:C270"/>
    <mergeCell ref="D267:D270"/>
    <mergeCell ref="I267:I270"/>
    <mergeCell ref="J267:J270"/>
    <mergeCell ref="K263:K266"/>
    <mergeCell ref="L263:L266"/>
    <mergeCell ref="M263:M266"/>
    <mergeCell ref="N263:N266"/>
    <mergeCell ref="O263:O266"/>
    <mergeCell ref="P263:P266"/>
    <mergeCell ref="A263:A266"/>
    <mergeCell ref="B263:B266"/>
    <mergeCell ref="C263:C266"/>
    <mergeCell ref="D263:D266"/>
    <mergeCell ref="I263:I266"/>
    <mergeCell ref="J263:J266"/>
    <mergeCell ref="K259:K262"/>
    <mergeCell ref="L259:L262"/>
    <mergeCell ref="M259:M262"/>
    <mergeCell ref="N259:N262"/>
    <mergeCell ref="O259:O262"/>
    <mergeCell ref="P259:P262"/>
    <mergeCell ref="A259:A262"/>
    <mergeCell ref="B259:B262"/>
    <mergeCell ref="C259:C262"/>
    <mergeCell ref="D259:D262"/>
    <mergeCell ref="I259:I262"/>
    <mergeCell ref="J259:J262"/>
    <mergeCell ref="K255:K258"/>
    <mergeCell ref="L255:L258"/>
    <mergeCell ref="M255:M258"/>
    <mergeCell ref="N255:N258"/>
    <mergeCell ref="O255:O258"/>
    <mergeCell ref="P255:P258"/>
    <mergeCell ref="A255:A258"/>
    <mergeCell ref="B255:B258"/>
    <mergeCell ref="C255:C258"/>
    <mergeCell ref="D255:D258"/>
    <mergeCell ref="I255:I258"/>
    <mergeCell ref="J255:J258"/>
    <mergeCell ref="K251:K254"/>
    <mergeCell ref="L251:L254"/>
    <mergeCell ref="M251:M254"/>
    <mergeCell ref="N251:N254"/>
    <mergeCell ref="O251:O254"/>
    <mergeCell ref="P251:P254"/>
    <mergeCell ref="A251:A254"/>
    <mergeCell ref="B251:B254"/>
    <mergeCell ref="C251:C254"/>
    <mergeCell ref="D251:D254"/>
    <mergeCell ref="I251:I254"/>
    <mergeCell ref="J251:J254"/>
    <mergeCell ref="K247:K250"/>
    <mergeCell ref="L247:L250"/>
    <mergeCell ref="M247:M250"/>
    <mergeCell ref="N247:N250"/>
    <mergeCell ref="O247:O250"/>
    <mergeCell ref="P247:P250"/>
    <mergeCell ref="A247:A250"/>
    <mergeCell ref="B247:B250"/>
    <mergeCell ref="C247:C250"/>
    <mergeCell ref="D247:D250"/>
    <mergeCell ref="I247:I250"/>
    <mergeCell ref="J247:J250"/>
    <mergeCell ref="K243:K246"/>
    <mergeCell ref="L243:L246"/>
    <mergeCell ref="M243:M246"/>
    <mergeCell ref="N243:N246"/>
    <mergeCell ref="O243:O246"/>
    <mergeCell ref="P243:P246"/>
    <mergeCell ref="A243:A246"/>
    <mergeCell ref="B243:B246"/>
    <mergeCell ref="C243:C246"/>
    <mergeCell ref="D243:D246"/>
    <mergeCell ref="I243:I246"/>
    <mergeCell ref="J243:J246"/>
    <mergeCell ref="K239:K242"/>
    <mergeCell ref="L239:L242"/>
    <mergeCell ref="M239:M242"/>
    <mergeCell ref="N239:N242"/>
    <mergeCell ref="O239:O242"/>
    <mergeCell ref="P239:P242"/>
    <mergeCell ref="A239:A242"/>
    <mergeCell ref="B239:B242"/>
    <mergeCell ref="C239:C242"/>
    <mergeCell ref="D239:D242"/>
    <mergeCell ref="I239:I242"/>
    <mergeCell ref="J239:J242"/>
    <mergeCell ref="K235:K238"/>
    <mergeCell ref="L235:L238"/>
    <mergeCell ref="M235:M238"/>
    <mergeCell ref="N235:N238"/>
    <mergeCell ref="O235:O238"/>
    <mergeCell ref="P235:P238"/>
    <mergeCell ref="A235:A238"/>
    <mergeCell ref="B235:B238"/>
    <mergeCell ref="C235:C238"/>
    <mergeCell ref="D235:D238"/>
    <mergeCell ref="I235:I238"/>
    <mergeCell ref="J235:J238"/>
    <mergeCell ref="K231:K234"/>
    <mergeCell ref="L231:L234"/>
    <mergeCell ref="M231:M234"/>
    <mergeCell ref="N231:N234"/>
    <mergeCell ref="O231:O234"/>
    <mergeCell ref="P231:P234"/>
    <mergeCell ref="A231:A234"/>
    <mergeCell ref="B231:B234"/>
    <mergeCell ref="C231:C234"/>
    <mergeCell ref="D231:D234"/>
    <mergeCell ref="I231:I234"/>
    <mergeCell ref="J231:J234"/>
    <mergeCell ref="K227:K230"/>
    <mergeCell ref="L227:L230"/>
    <mergeCell ref="M227:M230"/>
    <mergeCell ref="N227:N230"/>
    <mergeCell ref="O227:O230"/>
    <mergeCell ref="P227:P230"/>
    <mergeCell ref="A227:A230"/>
    <mergeCell ref="B227:B230"/>
    <mergeCell ref="C227:C230"/>
    <mergeCell ref="D227:D230"/>
    <mergeCell ref="I227:I230"/>
    <mergeCell ref="J227:J230"/>
    <mergeCell ref="K223:K226"/>
    <mergeCell ref="L223:L226"/>
    <mergeCell ref="M223:M226"/>
    <mergeCell ref="N223:N226"/>
    <mergeCell ref="O223:O226"/>
    <mergeCell ref="P223:P226"/>
    <mergeCell ref="A223:A226"/>
    <mergeCell ref="B223:B226"/>
    <mergeCell ref="C223:C226"/>
    <mergeCell ref="D223:D226"/>
    <mergeCell ref="I223:I226"/>
    <mergeCell ref="J223:J226"/>
    <mergeCell ref="K219:K222"/>
    <mergeCell ref="L219:L222"/>
    <mergeCell ref="M219:M222"/>
    <mergeCell ref="N219:N222"/>
    <mergeCell ref="O219:O222"/>
    <mergeCell ref="P219:P222"/>
    <mergeCell ref="A219:A222"/>
    <mergeCell ref="B219:B222"/>
    <mergeCell ref="C219:C222"/>
    <mergeCell ref="D219:D222"/>
    <mergeCell ref="I219:I222"/>
    <mergeCell ref="J219:J222"/>
    <mergeCell ref="K215:K218"/>
    <mergeCell ref="L215:L218"/>
    <mergeCell ref="M215:M218"/>
    <mergeCell ref="N215:N218"/>
    <mergeCell ref="O215:O218"/>
    <mergeCell ref="P215:P218"/>
    <mergeCell ref="A215:A218"/>
    <mergeCell ref="B215:B218"/>
    <mergeCell ref="C215:C218"/>
    <mergeCell ref="D215:D218"/>
    <mergeCell ref="I215:I218"/>
    <mergeCell ref="J215:J218"/>
    <mergeCell ref="K211:K214"/>
    <mergeCell ref="L211:L214"/>
    <mergeCell ref="M211:M214"/>
    <mergeCell ref="N211:N214"/>
    <mergeCell ref="O211:O214"/>
    <mergeCell ref="P211:P214"/>
    <mergeCell ref="A211:A214"/>
    <mergeCell ref="B211:B214"/>
    <mergeCell ref="C211:C214"/>
    <mergeCell ref="D211:D214"/>
    <mergeCell ref="I211:I214"/>
    <mergeCell ref="J211:J214"/>
    <mergeCell ref="K207:K210"/>
    <mergeCell ref="L207:L210"/>
    <mergeCell ref="M207:M210"/>
    <mergeCell ref="N207:N210"/>
    <mergeCell ref="O207:O210"/>
    <mergeCell ref="P207:P210"/>
    <mergeCell ref="A207:A210"/>
    <mergeCell ref="B207:B210"/>
    <mergeCell ref="C207:C210"/>
    <mergeCell ref="D207:D210"/>
    <mergeCell ref="I207:I210"/>
    <mergeCell ref="J207:J210"/>
    <mergeCell ref="K203:K206"/>
    <mergeCell ref="L203:L206"/>
    <mergeCell ref="M203:M206"/>
    <mergeCell ref="N203:N206"/>
    <mergeCell ref="O203:O206"/>
    <mergeCell ref="P203:P206"/>
    <mergeCell ref="A203:A206"/>
    <mergeCell ref="B203:B206"/>
    <mergeCell ref="C203:C206"/>
    <mergeCell ref="D203:D206"/>
    <mergeCell ref="I203:I206"/>
    <mergeCell ref="J203:J206"/>
    <mergeCell ref="K199:K202"/>
    <mergeCell ref="L199:L202"/>
    <mergeCell ref="M199:M202"/>
    <mergeCell ref="N199:N202"/>
    <mergeCell ref="O199:O202"/>
    <mergeCell ref="P199:P202"/>
    <mergeCell ref="A199:A202"/>
    <mergeCell ref="B199:B202"/>
    <mergeCell ref="C199:C202"/>
    <mergeCell ref="D199:D202"/>
    <mergeCell ref="I199:I202"/>
    <mergeCell ref="J199:J202"/>
    <mergeCell ref="K195:K198"/>
    <mergeCell ref="L195:L198"/>
    <mergeCell ref="M195:M198"/>
    <mergeCell ref="N195:N198"/>
    <mergeCell ref="O195:O198"/>
    <mergeCell ref="P195:P198"/>
    <mergeCell ref="A195:A198"/>
    <mergeCell ref="B195:B198"/>
    <mergeCell ref="C195:C198"/>
    <mergeCell ref="D195:D198"/>
    <mergeCell ref="I195:I198"/>
    <mergeCell ref="J195:J198"/>
    <mergeCell ref="K191:K194"/>
    <mergeCell ref="L191:L194"/>
    <mergeCell ref="M191:M194"/>
    <mergeCell ref="N191:N194"/>
    <mergeCell ref="O191:O194"/>
    <mergeCell ref="P191:P194"/>
    <mergeCell ref="A191:A194"/>
    <mergeCell ref="B191:B194"/>
    <mergeCell ref="C191:C194"/>
    <mergeCell ref="D191:D194"/>
    <mergeCell ref="I191:I194"/>
    <mergeCell ref="J191:J194"/>
    <mergeCell ref="K187:K190"/>
    <mergeCell ref="L187:L190"/>
    <mergeCell ref="M187:M190"/>
    <mergeCell ref="N187:N190"/>
    <mergeCell ref="O187:O190"/>
    <mergeCell ref="P187:P190"/>
    <mergeCell ref="A187:A190"/>
    <mergeCell ref="B187:B190"/>
    <mergeCell ref="C187:C190"/>
    <mergeCell ref="D187:D190"/>
    <mergeCell ref="I187:I190"/>
    <mergeCell ref="J187:J190"/>
    <mergeCell ref="K183:K186"/>
    <mergeCell ref="L183:L186"/>
    <mergeCell ref="M183:M186"/>
    <mergeCell ref="N183:N186"/>
    <mergeCell ref="O183:O186"/>
    <mergeCell ref="P183:P186"/>
    <mergeCell ref="A183:A186"/>
    <mergeCell ref="B183:B186"/>
    <mergeCell ref="C183:C186"/>
    <mergeCell ref="D183:D186"/>
    <mergeCell ref="I183:I186"/>
    <mergeCell ref="J183:J186"/>
    <mergeCell ref="K179:K182"/>
    <mergeCell ref="L179:L182"/>
    <mergeCell ref="M179:M182"/>
    <mergeCell ref="N179:N182"/>
    <mergeCell ref="O179:O182"/>
    <mergeCell ref="P179:P182"/>
    <mergeCell ref="A179:A182"/>
    <mergeCell ref="B179:B182"/>
    <mergeCell ref="C179:C182"/>
    <mergeCell ref="D179:D182"/>
    <mergeCell ref="I179:I182"/>
    <mergeCell ref="J179:J182"/>
    <mergeCell ref="K175:K178"/>
    <mergeCell ref="L175:L178"/>
    <mergeCell ref="M175:M178"/>
    <mergeCell ref="N175:N178"/>
    <mergeCell ref="O175:O178"/>
    <mergeCell ref="P175:P178"/>
    <mergeCell ref="A175:A178"/>
    <mergeCell ref="B175:B178"/>
    <mergeCell ref="C175:C178"/>
    <mergeCell ref="D175:D178"/>
    <mergeCell ref="I175:I178"/>
    <mergeCell ref="J175:J178"/>
    <mergeCell ref="K171:K174"/>
    <mergeCell ref="L171:L174"/>
    <mergeCell ref="M171:M174"/>
    <mergeCell ref="N171:N174"/>
    <mergeCell ref="O171:O174"/>
    <mergeCell ref="P171:P174"/>
    <mergeCell ref="A171:A174"/>
    <mergeCell ref="B171:B174"/>
    <mergeCell ref="C171:C174"/>
    <mergeCell ref="D171:D174"/>
    <mergeCell ref="I171:I174"/>
    <mergeCell ref="J171:J174"/>
    <mergeCell ref="K167:K170"/>
    <mergeCell ref="L167:L170"/>
    <mergeCell ref="M167:M170"/>
    <mergeCell ref="N167:N170"/>
    <mergeCell ref="O167:O170"/>
    <mergeCell ref="P167:P170"/>
    <mergeCell ref="A167:A170"/>
    <mergeCell ref="B167:B170"/>
    <mergeCell ref="C167:C170"/>
    <mergeCell ref="D167:D170"/>
    <mergeCell ref="I167:I170"/>
    <mergeCell ref="J167:J170"/>
    <mergeCell ref="K163:K166"/>
    <mergeCell ref="L163:L166"/>
    <mergeCell ref="M163:M166"/>
    <mergeCell ref="N163:N166"/>
    <mergeCell ref="O163:O166"/>
    <mergeCell ref="P163:P166"/>
    <mergeCell ref="A163:A166"/>
    <mergeCell ref="B163:B166"/>
    <mergeCell ref="C163:C166"/>
    <mergeCell ref="D163:D166"/>
    <mergeCell ref="I163:I166"/>
    <mergeCell ref="J163:J166"/>
    <mergeCell ref="K159:K162"/>
    <mergeCell ref="L159:L162"/>
    <mergeCell ref="M159:M162"/>
    <mergeCell ref="N159:N162"/>
    <mergeCell ref="O159:O162"/>
    <mergeCell ref="P159:P162"/>
    <mergeCell ref="A159:A162"/>
    <mergeCell ref="B159:B162"/>
    <mergeCell ref="C159:C162"/>
    <mergeCell ref="D159:D162"/>
    <mergeCell ref="I159:I162"/>
    <mergeCell ref="J159:J162"/>
    <mergeCell ref="K155:K158"/>
    <mergeCell ref="L155:L158"/>
    <mergeCell ref="M155:M158"/>
    <mergeCell ref="N155:N158"/>
    <mergeCell ref="O155:O158"/>
    <mergeCell ref="P155:P158"/>
    <mergeCell ref="A155:A158"/>
    <mergeCell ref="B155:B158"/>
    <mergeCell ref="C155:C158"/>
    <mergeCell ref="D155:D158"/>
    <mergeCell ref="I155:I158"/>
    <mergeCell ref="J155:J158"/>
    <mergeCell ref="K151:K154"/>
    <mergeCell ref="L151:L154"/>
    <mergeCell ref="M151:M154"/>
    <mergeCell ref="N151:N154"/>
    <mergeCell ref="O151:O154"/>
    <mergeCell ref="P151:P154"/>
    <mergeCell ref="A151:A154"/>
    <mergeCell ref="B151:B154"/>
    <mergeCell ref="C151:C154"/>
    <mergeCell ref="D151:D154"/>
    <mergeCell ref="I151:I154"/>
    <mergeCell ref="J151:J154"/>
    <mergeCell ref="K147:K150"/>
    <mergeCell ref="L147:L150"/>
    <mergeCell ref="M147:M150"/>
    <mergeCell ref="N147:N150"/>
    <mergeCell ref="O147:O150"/>
    <mergeCell ref="P147:P150"/>
    <mergeCell ref="A147:A150"/>
    <mergeCell ref="B147:B150"/>
    <mergeCell ref="C147:C150"/>
    <mergeCell ref="D147:D150"/>
    <mergeCell ref="I147:I150"/>
    <mergeCell ref="J147:J150"/>
    <mergeCell ref="K143:K146"/>
    <mergeCell ref="L143:L146"/>
    <mergeCell ref="M143:M146"/>
    <mergeCell ref="N143:N146"/>
    <mergeCell ref="O143:O146"/>
    <mergeCell ref="P143:P146"/>
    <mergeCell ref="A143:A146"/>
    <mergeCell ref="B143:B146"/>
    <mergeCell ref="C143:C146"/>
    <mergeCell ref="D143:D146"/>
    <mergeCell ref="I143:I146"/>
    <mergeCell ref="J143:J146"/>
    <mergeCell ref="K139:K142"/>
    <mergeCell ref="L139:L142"/>
    <mergeCell ref="M139:M142"/>
    <mergeCell ref="N139:N142"/>
    <mergeCell ref="O139:O142"/>
    <mergeCell ref="P139:P142"/>
    <mergeCell ref="A139:A142"/>
    <mergeCell ref="B139:B142"/>
    <mergeCell ref="C139:C142"/>
    <mergeCell ref="D139:D142"/>
    <mergeCell ref="I139:I142"/>
    <mergeCell ref="J139:J142"/>
    <mergeCell ref="K135:K138"/>
    <mergeCell ref="L135:L138"/>
    <mergeCell ref="M135:M138"/>
    <mergeCell ref="N135:N138"/>
    <mergeCell ref="O135:O138"/>
    <mergeCell ref="P135:P138"/>
    <mergeCell ref="A135:A138"/>
    <mergeCell ref="B135:B138"/>
    <mergeCell ref="C135:C138"/>
    <mergeCell ref="D135:D138"/>
    <mergeCell ref="I135:I138"/>
    <mergeCell ref="J135:J138"/>
    <mergeCell ref="K131:K134"/>
    <mergeCell ref="L131:L134"/>
    <mergeCell ref="M131:M134"/>
    <mergeCell ref="N131:N134"/>
    <mergeCell ref="O131:O134"/>
    <mergeCell ref="P131:P134"/>
    <mergeCell ref="A131:A134"/>
    <mergeCell ref="B131:B134"/>
    <mergeCell ref="C131:C134"/>
    <mergeCell ref="D131:D134"/>
    <mergeCell ref="I131:I134"/>
    <mergeCell ref="J131:J134"/>
    <mergeCell ref="K127:K130"/>
    <mergeCell ref="L127:L130"/>
    <mergeCell ref="M127:M130"/>
    <mergeCell ref="N127:N130"/>
    <mergeCell ref="O127:O130"/>
    <mergeCell ref="P127:P130"/>
    <mergeCell ref="A127:A130"/>
    <mergeCell ref="B127:B130"/>
    <mergeCell ref="C127:C130"/>
    <mergeCell ref="D127:D130"/>
    <mergeCell ref="I127:I130"/>
    <mergeCell ref="J127:J130"/>
    <mergeCell ref="K123:K126"/>
    <mergeCell ref="L123:L126"/>
    <mergeCell ref="M123:M126"/>
    <mergeCell ref="N123:N126"/>
    <mergeCell ref="O123:O126"/>
    <mergeCell ref="P123:P126"/>
    <mergeCell ref="A123:A126"/>
    <mergeCell ref="B123:B126"/>
    <mergeCell ref="C123:C126"/>
    <mergeCell ref="D123:D126"/>
    <mergeCell ref="I123:I126"/>
    <mergeCell ref="J123:J126"/>
    <mergeCell ref="K119:K122"/>
    <mergeCell ref="L119:L122"/>
    <mergeCell ref="M119:M122"/>
    <mergeCell ref="N119:N122"/>
    <mergeCell ref="O119:O122"/>
    <mergeCell ref="P119:P122"/>
    <mergeCell ref="A119:A122"/>
    <mergeCell ref="B119:B122"/>
    <mergeCell ref="C119:C122"/>
    <mergeCell ref="D119:D122"/>
    <mergeCell ref="I119:I122"/>
    <mergeCell ref="J119:J122"/>
    <mergeCell ref="K115:K118"/>
    <mergeCell ref="L115:L118"/>
    <mergeCell ref="M115:M118"/>
    <mergeCell ref="N115:N118"/>
    <mergeCell ref="O115:O118"/>
    <mergeCell ref="P115:P118"/>
    <mergeCell ref="A115:A118"/>
    <mergeCell ref="B115:B118"/>
    <mergeCell ref="C115:C118"/>
    <mergeCell ref="D115:D118"/>
    <mergeCell ref="I115:I118"/>
    <mergeCell ref="J115:J118"/>
    <mergeCell ref="K111:K114"/>
    <mergeCell ref="L111:L114"/>
    <mergeCell ref="M111:M114"/>
    <mergeCell ref="N111:N114"/>
    <mergeCell ref="O111:O114"/>
    <mergeCell ref="P111:P114"/>
    <mergeCell ref="A111:A114"/>
    <mergeCell ref="B111:B114"/>
    <mergeCell ref="C111:C114"/>
    <mergeCell ref="D111:D114"/>
    <mergeCell ref="I111:I114"/>
    <mergeCell ref="J111:J114"/>
    <mergeCell ref="K107:K110"/>
    <mergeCell ref="L107:L110"/>
    <mergeCell ref="M107:M110"/>
    <mergeCell ref="N107:N110"/>
    <mergeCell ref="O107:O110"/>
    <mergeCell ref="P107:P110"/>
    <mergeCell ref="A107:A110"/>
    <mergeCell ref="B107:B110"/>
    <mergeCell ref="C107:C110"/>
    <mergeCell ref="D107:D110"/>
    <mergeCell ref="I107:I110"/>
    <mergeCell ref="J107:J110"/>
    <mergeCell ref="K103:K106"/>
    <mergeCell ref="L103:L106"/>
    <mergeCell ref="M103:M106"/>
    <mergeCell ref="N103:N106"/>
    <mergeCell ref="O103:O106"/>
    <mergeCell ref="P103:P106"/>
    <mergeCell ref="A103:A106"/>
    <mergeCell ref="B103:B106"/>
    <mergeCell ref="C103:C106"/>
    <mergeCell ref="D103:D106"/>
    <mergeCell ref="I103:I106"/>
    <mergeCell ref="J103:J106"/>
    <mergeCell ref="K99:K102"/>
    <mergeCell ref="L99:L102"/>
    <mergeCell ref="M99:M102"/>
    <mergeCell ref="N99:N102"/>
    <mergeCell ref="O99:O102"/>
    <mergeCell ref="P99:P102"/>
    <mergeCell ref="A99:A102"/>
    <mergeCell ref="B99:B102"/>
    <mergeCell ref="C99:C102"/>
    <mergeCell ref="D99:D102"/>
    <mergeCell ref="I99:I102"/>
    <mergeCell ref="J99:J102"/>
    <mergeCell ref="K95:K98"/>
    <mergeCell ref="L95:L98"/>
    <mergeCell ref="M95:M98"/>
    <mergeCell ref="N95:N98"/>
    <mergeCell ref="O95:O98"/>
    <mergeCell ref="P95:P98"/>
    <mergeCell ref="A95:A98"/>
    <mergeCell ref="B95:B98"/>
    <mergeCell ref="C95:C98"/>
    <mergeCell ref="D95:D98"/>
    <mergeCell ref="I95:I98"/>
    <mergeCell ref="J95:J98"/>
    <mergeCell ref="K91:K94"/>
    <mergeCell ref="L91:L94"/>
    <mergeCell ref="M91:M94"/>
    <mergeCell ref="N91:N94"/>
    <mergeCell ref="O91:O94"/>
    <mergeCell ref="P91:P94"/>
    <mergeCell ref="A91:A94"/>
    <mergeCell ref="B91:B94"/>
    <mergeCell ref="C91:C94"/>
    <mergeCell ref="D91:D94"/>
    <mergeCell ref="I91:I94"/>
    <mergeCell ref="J91:J94"/>
    <mergeCell ref="K87:K90"/>
    <mergeCell ref="L87:L90"/>
    <mergeCell ref="M87:M90"/>
    <mergeCell ref="N87:N90"/>
    <mergeCell ref="O87:O90"/>
    <mergeCell ref="P87:P90"/>
    <mergeCell ref="A87:A90"/>
    <mergeCell ref="B87:B90"/>
    <mergeCell ref="C87:C90"/>
    <mergeCell ref="D87:D90"/>
    <mergeCell ref="I87:I90"/>
    <mergeCell ref="J87:J90"/>
    <mergeCell ref="K83:K86"/>
    <mergeCell ref="L83:L86"/>
    <mergeCell ref="M83:M86"/>
    <mergeCell ref="N83:N86"/>
    <mergeCell ref="O83:O86"/>
    <mergeCell ref="P83:P86"/>
    <mergeCell ref="A83:A86"/>
    <mergeCell ref="B83:B86"/>
    <mergeCell ref="C83:C86"/>
    <mergeCell ref="D83:D86"/>
    <mergeCell ref="I83:I86"/>
    <mergeCell ref="J83:J86"/>
    <mergeCell ref="K79:K82"/>
    <mergeCell ref="L79:L82"/>
    <mergeCell ref="M79:M82"/>
    <mergeCell ref="N79:N82"/>
    <mergeCell ref="O79:O82"/>
    <mergeCell ref="P79:P82"/>
    <mergeCell ref="A79:A82"/>
    <mergeCell ref="B79:B82"/>
    <mergeCell ref="C79:C82"/>
    <mergeCell ref="D79:D82"/>
    <mergeCell ref="I79:I82"/>
    <mergeCell ref="J79:J82"/>
    <mergeCell ref="K75:K78"/>
    <mergeCell ref="L75:L78"/>
    <mergeCell ref="M75:M78"/>
    <mergeCell ref="N75:N78"/>
    <mergeCell ref="O75:O78"/>
    <mergeCell ref="P75:P78"/>
    <mergeCell ref="A75:A78"/>
    <mergeCell ref="B75:B78"/>
    <mergeCell ref="C75:C78"/>
    <mergeCell ref="D75:D78"/>
    <mergeCell ref="I75:I78"/>
    <mergeCell ref="J75:J78"/>
    <mergeCell ref="K71:K74"/>
    <mergeCell ref="L71:L74"/>
    <mergeCell ref="M71:M74"/>
    <mergeCell ref="N71:N74"/>
    <mergeCell ref="O71:O74"/>
    <mergeCell ref="P71:P74"/>
    <mergeCell ref="A71:A74"/>
    <mergeCell ref="B71:B74"/>
    <mergeCell ref="C71:C74"/>
    <mergeCell ref="D71:D74"/>
    <mergeCell ref="I71:I74"/>
    <mergeCell ref="J71:J74"/>
    <mergeCell ref="K67:K70"/>
    <mergeCell ref="L67:L70"/>
    <mergeCell ref="M67:M70"/>
    <mergeCell ref="N67:N70"/>
    <mergeCell ref="O67:O70"/>
    <mergeCell ref="P67:P70"/>
    <mergeCell ref="A67:A70"/>
    <mergeCell ref="B67:B70"/>
    <mergeCell ref="C67:C70"/>
    <mergeCell ref="D67:D70"/>
    <mergeCell ref="I67:I70"/>
    <mergeCell ref="J67:J70"/>
    <mergeCell ref="K63:K66"/>
    <mergeCell ref="L63:L66"/>
    <mergeCell ref="M63:M66"/>
    <mergeCell ref="N63:N66"/>
    <mergeCell ref="O63:O66"/>
    <mergeCell ref="P63:P66"/>
    <mergeCell ref="A63:A66"/>
    <mergeCell ref="B63:B66"/>
    <mergeCell ref="C63:C66"/>
    <mergeCell ref="D63:D66"/>
    <mergeCell ref="I63:I66"/>
    <mergeCell ref="J63:J66"/>
    <mergeCell ref="K59:K62"/>
    <mergeCell ref="L59:L62"/>
    <mergeCell ref="M59:M62"/>
    <mergeCell ref="N59:N62"/>
    <mergeCell ref="O59:O62"/>
    <mergeCell ref="P59:P62"/>
    <mergeCell ref="A59:A62"/>
    <mergeCell ref="B59:B62"/>
    <mergeCell ref="C59:C62"/>
    <mergeCell ref="D59:D62"/>
    <mergeCell ref="I59:I62"/>
    <mergeCell ref="J59:J62"/>
    <mergeCell ref="K55:K58"/>
    <mergeCell ref="L55:L58"/>
    <mergeCell ref="M55:M58"/>
    <mergeCell ref="N55:N58"/>
    <mergeCell ref="O55:O58"/>
    <mergeCell ref="P55:P58"/>
    <mergeCell ref="A55:A58"/>
    <mergeCell ref="B55:B58"/>
    <mergeCell ref="C55:C58"/>
    <mergeCell ref="D55:D58"/>
    <mergeCell ref="I55:I58"/>
    <mergeCell ref="J55:J58"/>
    <mergeCell ref="K51:K54"/>
    <mergeCell ref="L51:L54"/>
    <mergeCell ref="M51:M54"/>
    <mergeCell ref="N51:N54"/>
    <mergeCell ref="O51:O54"/>
    <mergeCell ref="P51:P54"/>
    <mergeCell ref="A51:A54"/>
    <mergeCell ref="B51:B54"/>
    <mergeCell ref="C51:C54"/>
    <mergeCell ref="D51:D54"/>
    <mergeCell ref="I51:I54"/>
    <mergeCell ref="J51:J54"/>
    <mergeCell ref="K47:K50"/>
    <mergeCell ref="L47:L50"/>
    <mergeCell ref="M47:M50"/>
    <mergeCell ref="N47:N50"/>
    <mergeCell ref="O47:O50"/>
    <mergeCell ref="P47:P50"/>
    <mergeCell ref="A47:A50"/>
    <mergeCell ref="B47:B50"/>
    <mergeCell ref="C47:C50"/>
    <mergeCell ref="D47:D50"/>
    <mergeCell ref="I47:I50"/>
    <mergeCell ref="J47:J50"/>
    <mergeCell ref="K43:K46"/>
    <mergeCell ref="L43:L46"/>
    <mergeCell ref="M43:M46"/>
    <mergeCell ref="N43:N46"/>
    <mergeCell ref="O43:O46"/>
    <mergeCell ref="P43:P46"/>
    <mergeCell ref="A43:A46"/>
    <mergeCell ref="B43:B46"/>
    <mergeCell ref="C43:C46"/>
    <mergeCell ref="D43:D46"/>
    <mergeCell ref="I43:I46"/>
    <mergeCell ref="J43:J46"/>
    <mergeCell ref="K39:K42"/>
    <mergeCell ref="L39:L42"/>
    <mergeCell ref="M39:M42"/>
    <mergeCell ref="N39:N42"/>
    <mergeCell ref="O39:O42"/>
    <mergeCell ref="P39:P42"/>
    <mergeCell ref="A39:A42"/>
    <mergeCell ref="B39:B42"/>
    <mergeCell ref="C39:C42"/>
    <mergeCell ref="D39:D42"/>
    <mergeCell ref="I39:I42"/>
    <mergeCell ref="J39:J42"/>
    <mergeCell ref="K35:K38"/>
    <mergeCell ref="L35:L38"/>
    <mergeCell ref="M35:M38"/>
    <mergeCell ref="N35:N38"/>
    <mergeCell ref="O35:O38"/>
    <mergeCell ref="P35:P38"/>
    <mergeCell ref="A35:A38"/>
    <mergeCell ref="B35:B38"/>
    <mergeCell ref="C35:C38"/>
    <mergeCell ref="D35:D38"/>
    <mergeCell ref="I35:I38"/>
    <mergeCell ref="J35:J38"/>
    <mergeCell ref="K31:K34"/>
    <mergeCell ref="L31:L34"/>
    <mergeCell ref="M31:M34"/>
    <mergeCell ref="N31:N34"/>
    <mergeCell ref="O31:O34"/>
    <mergeCell ref="P31:P34"/>
    <mergeCell ref="A31:A34"/>
    <mergeCell ref="B31:B34"/>
    <mergeCell ref="C31:C34"/>
    <mergeCell ref="D31:D34"/>
    <mergeCell ref="I31:I34"/>
    <mergeCell ref="J31:J34"/>
    <mergeCell ref="K27:K30"/>
    <mergeCell ref="L27:L30"/>
    <mergeCell ref="M27:M30"/>
    <mergeCell ref="N27:N30"/>
    <mergeCell ref="O27:O30"/>
    <mergeCell ref="P27:P30"/>
    <mergeCell ref="A27:A30"/>
    <mergeCell ref="B27:B30"/>
    <mergeCell ref="C27:C30"/>
    <mergeCell ref="D27:D30"/>
    <mergeCell ref="I27:I30"/>
    <mergeCell ref="J27:J30"/>
    <mergeCell ref="K23:K26"/>
    <mergeCell ref="L23:L26"/>
    <mergeCell ref="M23:M26"/>
    <mergeCell ref="N23:N26"/>
    <mergeCell ref="O23:O26"/>
    <mergeCell ref="P23:P26"/>
    <mergeCell ref="A23:A26"/>
    <mergeCell ref="B23:B26"/>
    <mergeCell ref="C23:C26"/>
    <mergeCell ref="D23:D26"/>
    <mergeCell ref="I23:I26"/>
    <mergeCell ref="J23:J26"/>
    <mergeCell ref="K19:K22"/>
    <mergeCell ref="L19:L22"/>
    <mergeCell ref="M19:M22"/>
    <mergeCell ref="N19:N22"/>
    <mergeCell ref="O19:O22"/>
    <mergeCell ref="P19:P22"/>
    <mergeCell ref="A19:A22"/>
    <mergeCell ref="B19:B22"/>
    <mergeCell ref="C19:C22"/>
    <mergeCell ref="D19:D22"/>
    <mergeCell ref="I19:I22"/>
    <mergeCell ref="J19:J22"/>
    <mergeCell ref="K15:K18"/>
    <mergeCell ref="L15:L18"/>
    <mergeCell ref="M15:M18"/>
    <mergeCell ref="N15:N18"/>
    <mergeCell ref="O15:O18"/>
    <mergeCell ref="P15:P18"/>
    <mergeCell ref="A15:A18"/>
    <mergeCell ref="B15:B18"/>
    <mergeCell ref="C15:C18"/>
    <mergeCell ref="D15:D18"/>
    <mergeCell ref="I15:I18"/>
    <mergeCell ref="J15:J18"/>
    <mergeCell ref="K11:K14"/>
    <mergeCell ref="L11:L14"/>
    <mergeCell ref="M11:M14"/>
    <mergeCell ref="N11:N14"/>
    <mergeCell ref="O11:O14"/>
    <mergeCell ref="P11:P14"/>
    <mergeCell ref="A11:A14"/>
    <mergeCell ref="B11:B14"/>
    <mergeCell ref="C11:C14"/>
    <mergeCell ref="D11:D14"/>
    <mergeCell ref="I11:I14"/>
    <mergeCell ref="J11:J14"/>
    <mergeCell ref="K7:K10"/>
    <mergeCell ref="L7:L10"/>
    <mergeCell ref="M7:M10"/>
    <mergeCell ref="N7:N10"/>
    <mergeCell ref="O7:O10"/>
    <mergeCell ref="P7:P10"/>
    <mergeCell ref="A7:A10"/>
    <mergeCell ref="B7:B10"/>
    <mergeCell ref="C7:C10"/>
    <mergeCell ref="D7:D10"/>
    <mergeCell ref="I7:I10"/>
    <mergeCell ref="J7:J10"/>
    <mergeCell ref="K3:K6"/>
    <mergeCell ref="L3:L6"/>
    <mergeCell ref="M3:M6"/>
    <mergeCell ref="N3:N6"/>
    <mergeCell ref="O3:O6"/>
    <mergeCell ref="P3:P6"/>
    <mergeCell ref="A3:A6"/>
    <mergeCell ref="B3:B6"/>
    <mergeCell ref="C3:C6"/>
    <mergeCell ref="D3:D6"/>
    <mergeCell ref="I3:I6"/>
    <mergeCell ref="J3:J6"/>
  </mergeCells>
  <phoneticPr fontId="1"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96E8B5-62A9-4E8B-9149-244480F0B9AF}">
  <sheetPr codeName="工作表135"/>
  <dimension ref="A1:P634"/>
  <sheetViews>
    <sheetView workbookViewId="0">
      <selection activeCell="A3" sqref="A3:N6"/>
    </sheetView>
  </sheetViews>
  <sheetFormatPr defaultRowHeight="15.75" x14ac:dyDescent="0.25"/>
  <cols>
    <col min="1" max="15" width="9" style="167"/>
    <col min="16" max="16" width="32.125" style="167" bestFit="1" customWidth="1"/>
    <col min="17" max="16384" width="9" style="167"/>
  </cols>
  <sheetData>
    <row r="1" spans="1:16" x14ac:dyDescent="0.25">
      <c r="A1" s="167" t="s">
        <v>424</v>
      </c>
      <c r="B1" s="167" t="s">
        <v>425</v>
      </c>
      <c r="C1" s="167" t="s">
        <v>426</v>
      </c>
      <c r="D1" s="167" t="s">
        <v>427</v>
      </c>
      <c r="E1" s="167" t="s">
        <v>428</v>
      </c>
      <c r="F1" s="167" t="s">
        <v>428</v>
      </c>
      <c r="I1" s="167" t="s">
        <v>429</v>
      </c>
      <c r="J1" s="167" t="s">
        <v>430</v>
      </c>
      <c r="M1" s="167" t="s">
        <v>431</v>
      </c>
      <c r="N1" s="167" t="s">
        <v>432</v>
      </c>
      <c r="O1" s="167" t="s">
        <v>291</v>
      </c>
      <c r="P1" s="167" t="s">
        <v>281</v>
      </c>
    </row>
    <row r="2" spans="1:16" x14ac:dyDescent="0.25">
      <c r="F2" s="167" t="s">
        <v>354</v>
      </c>
      <c r="G2" s="167" t="s">
        <v>353</v>
      </c>
      <c r="H2" s="167" t="s">
        <v>356</v>
      </c>
      <c r="J2" s="167" t="s">
        <v>435</v>
      </c>
      <c r="K2" s="167" t="s">
        <v>353</v>
      </c>
      <c r="L2" s="167" t="s">
        <v>356</v>
      </c>
    </row>
    <row r="3" spans="1:16" x14ac:dyDescent="0.25">
      <c r="A3" s="177" t="s">
        <v>859</v>
      </c>
      <c r="B3" s="177" t="s">
        <v>1376</v>
      </c>
      <c r="C3" s="177">
        <v>40</v>
      </c>
      <c r="D3" s="177">
        <v>65</v>
      </c>
      <c r="E3" s="167" t="s">
        <v>433</v>
      </c>
      <c r="F3" s="167" t="s">
        <v>1377</v>
      </c>
      <c r="G3" s="167" t="s">
        <v>293</v>
      </c>
      <c r="H3" s="167" t="s">
        <v>967</v>
      </c>
      <c r="I3" s="177" t="s">
        <v>285</v>
      </c>
      <c r="J3" s="177" t="s">
        <v>914</v>
      </c>
      <c r="K3" s="177" t="s">
        <v>914</v>
      </c>
      <c r="L3" s="177" t="s">
        <v>914</v>
      </c>
      <c r="M3" s="177">
        <v>1260</v>
      </c>
      <c r="N3" s="177">
        <v>50</v>
      </c>
      <c r="O3" s="177"/>
      <c r="P3" s="179" t="s">
        <v>1364</v>
      </c>
    </row>
    <row r="4" spans="1:16" x14ac:dyDescent="0.25">
      <c r="A4" s="177"/>
      <c r="B4" s="177"/>
      <c r="C4" s="177"/>
      <c r="D4" s="177"/>
      <c r="E4" s="167" t="s">
        <v>434</v>
      </c>
      <c r="F4" s="167">
        <v>0</v>
      </c>
      <c r="G4" s="167">
        <v>0</v>
      </c>
      <c r="H4" s="167" t="s">
        <v>293</v>
      </c>
      <c r="I4" s="177"/>
      <c r="J4" s="177"/>
      <c r="K4" s="177"/>
      <c r="L4" s="177"/>
      <c r="M4" s="177"/>
      <c r="N4" s="177"/>
      <c r="O4" s="177"/>
      <c r="P4" s="177"/>
    </row>
    <row r="5" spans="1:16" x14ac:dyDescent="0.25">
      <c r="A5" s="177"/>
      <c r="B5" s="177"/>
      <c r="C5" s="177"/>
      <c r="D5" s="177"/>
      <c r="E5" s="167" t="s">
        <v>433</v>
      </c>
      <c r="F5" s="167">
        <v>0</v>
      </c>
      <c r="G5" s="167">
        <v>0</v>
      </c>
      <c r="H5" s="167">
        <v>0</v>
      </c>
      <c r="I5" s="177"/>
      <c r="J5" s="177"/>
      <c r="K5" s="177"/>
      <c r="L5" s="177"/>
      <c r="M5" s="177"/>
      <c r="N5" s="177"/>
      <c r="O5" s="177"/>
      <c r="P5" s="177"/>
    </row>
    <row r="6" spans="1:16" x14ac:dyDescent="0.25">
      <c r="A6" s="177"/>
      <c r="B6" s="177"/>
      <c r="C6" s="177"/>
      <c r="D6" s="177"/>
      <c r="E6" s="167" t="s">
        <v>434</v>
      </c>
      <c r="F6" s="167" t="s">
        <v>294</v>
      </c>
      <c r="G6" s="167" t="s">
        <v>967</v>
      </c>
      <c r="H6" s="167" t="s">
        <v>967</v>
      </c>
      <c r="I6" s="177"/>
      <c r="J6" s="177"/>
      <c r="K6" s="177"/>
      <c r="L6" s="177"/>
      <c r="M6" s="177"/>
      <c r="N6" s="177"/>
      <c r="O6" s="177"/>
      <c r="P6" s="177"/>
    </row>
    <row r="7" spans="1:16" x14ac:dyDescent="0.25">
      <c r="A7" s="177" t="s">
        <v>859</v>
      </c>
      <c r="B7" s="177" t="s">
        <v>952</v>
      </c>
      <c r="C7" s="177">
        <v>40</v>
      </c>
      <c r="D7" s="177">
        <v>65</v>
      </c>
      <c r="E7" s="167" t="s">
        <v>433</v>
      </c>
      <c r="F7" s="167" t="s">
        <v>944</v>
      </c>
      <c r="G7" s="167" t="s">
        <v>293</v>
      </c>
      <c r="H7" s="167" t="s">
        <v>967</v>
      </c>
      <c r="I7" s="177" t="s">
        <v>285</v>
      </c>
      <c r="J7" s="177" t="s">
        <v>914</v>
      </c>
      <c r="K7" s="177" t="s">
        <v>914</v>
      </c>
      <c r="L7" s="177" t="s">
        <v>914</v>
      </c>
      <c r="M7" s="177">
        <v>1260</v>
      </c>
      <c r="N7" s="177">
        <v>50</v>
      </c>
      <c r="O7" s="177"/>
      <c r="P7" s="179" t="s">
        <v>1364</v>
      </c>
    </row>
    <row r="8" spans="1:16" x14ac:dyDescent="0.25">
      <c r="A8" s="177"/>
      <c r="B8" s="177"/>
      <c r="C8" s="177"/>
      <c r="D8" s="177"/>
      <c r="E8" s="167" t="s">
        <v>434</v>
      </c>
      <c r="F8" s="167">
        <v>0</v>
      </c>
      <c r="G8" s="167">
        <v>0</v>
      </c>
      <c r="H8" s="167" t="s">
        <v>293</v>
      </c>
      <c r="I8" s="177"/>
      <c r="J8" s="177"/>
      <c r="K8" s="177"/>
      <c r="L8" s="177"/>
      <c r="M8" s="177"/>
      <c r="N8" s="177"/>
      <c r="O8" s="177"/>
      <c r="P8" s="177"/>
    </row>
    <row r="9" spans="1:16" x14ac:dyDescent="0.25">
      <c r="A9" s="177"/>
      <c r="B9" s="177"/>
      <c r="C9" s="177"/>
      <c r="D9" s="177"/>
      <c r="E9" s="167" t="s">
        <v>433</v>
      </c>
      <c r="F9" s="167">
        <v>0</v>
      </c>
      <c r="G9" s="167">
        <v>0</v>
      </c>
      <c r="H9" s="167">
        <v>0</v>
      </c>
      <c r="I9" s="177"/>
      <c r="J9" s="177"/>
      <c r="K9" s="177"/>
      <c r="L9" s="177"/>
      <c r="M9" s="177"/>
      <c r="N9" s="177"/>
      <c r="O9" s="177"/>
      <c r="P9" s="177"/>
    </row>
    <row r="10" spans="1:16" x14ac:dyDescent="0.25">
      <c r="A10" s="177"/>
      <c r="B10" s="177"/>
      <c r="C10" s="177"/>
      <c r="D10" s="177"/>
      <c r="E10" s="167" t="s">
        <v>434</v>
      </c>
      <c r="F10" s="167" t="s">
        <v>294</v>
      </c>
      <c r="G10" s="167" t="s">
        <v>967</v>
      </c>
      <c r="H10" s="167" t="s">
        <v>967</v>
      </c>
      <c r="I10" s="177"/>
      <c r="J10" s="177"/>
      <c r="K10" s="177"/>
      <c r="L10" s="177"/>
      <c r="M10" s="177"/>
      <c r="N10" s="177"/>
      <c r="O10" s="177"/>
      <c r="P10" s="177"/>
    </row>
    <row r="11" spans="1:16" x14ac:dyDescent="0.25">
      <c r="A11" s="177" t="s">
        <v>859</v>
      </c>
      <c r="B11" s="177" t="s">
        <v>952</v>
      </c>
      <c r="C11" s="177">
        <v>40</v>
      </c>
      <c r="D11" s="177">
        <v>65</v>
      </c>
      <c r="E11" s="167" t="s">
        <v>433</v>
      </c>
      <c r="F11" s="167" t="s">
        <v>944</v>
      </c>
      <c r="G11" s="167" t="s">
        <v>293</v>
      </c>
      <c r="H11" s="167" t="s">
        <v>967</v>
      </c>
      <c r="I11" s="177" t="s">
        <v>285</v>
      </c>
      <c r="J11" s="177" t="s">
        <v>914</v>
      </c>
      <c r="K11" s="177" t="s">
        <v>914</v>
      </c>
      <c r="L11" s="177" t="s">
        <v>914</v>
      </c>
      <c r="M11" s="177">
        <v>1260</v>
      </c>
      <c r="N11" s="177">
        <v>50</v>
      </c>
      <c r="O11" s="177"/>
      <c r="P11" s="179" t="s">
        <v>1364</v>
      </c>
    </row>
    <row r="12" spans="1:16" x14ac:dyDescent="0.25">
      <c r="A12" s="177"/>
      <c r="B12" s="177"/>
      <c r="C12" s="177"/>
      <c r="D12" s="177"/>
      <c r="E12" s="167" t="s">
        <v>434</v>
      </c>
      <c r="F12" s="167">
        <v>0</v>
      </c>
      <c r="G12" s="167">
        <v>0</v>
      </c>
      <c r="H12" s="167" t="s">
        <v>293</v>
      </c>
      <c r="I12" s="177"/>
      <c r="J12" s="177"/>
      <c r="K12" s="177"/>
      <c r="L12" s="177"/>
      <c r="M12" s="177"/>
      <c r="N12" s="177"/>
      <c r="O12" s="177"/>
      <c r="P12" s="177"/>
    </row>
    <row r="13" spans="1:16" x14ac:dyDescent="0.25">
      <c r="A13" s="177"/>
      <c r="B13" s="177"/>
      <c r="C13" s="177"/>
      <c r="D13" s="177"/>
      <c r="E13" s="167" t="s">
        <v>433</v>
      </c>
      <c r="F13" s="167">
        <v>0</v>
      </c>
      <c r="G13" s="167">
        <v>0</v>
      </c>
      <c r="H13" s="167">
        <v>0</v>
      </c>
      <c r="I13" s="177"/>
      <c r="J13" s="177"/>
      <c r="K13" s="177"/>
      <c r="L13" s="177"/>
      <c r="M13" s="177"/>
      <c r="N13" s="177"/>
      <c r="O13" s="177"/>
      <c r="P13" s="177"/>
    </row>
    <row r="14" spans="1:16" x14ac:dyDescent="0.25">
      <c r="A14" s="177"/>
      <c r="B14" s="177"/>
      <c r="C14" s="177"/>
      <c r="D14" s="177"/>
      <c r="E14" s="167" t="s">
        <v>434</v>
      </c>
      <c r="F14" s="167" t="s">
        <v>294</v>
      </c>
      <c r="G14" s="167" t="s">
        <v>967</v>
      </c>
      <c r="H14" s="167" t="s">
        <v>967</v>
      </c>
      <c r="I14" s="177"/>
      <c r="J14" s="177"/>
      <c r="K14" s="177"/>
      <c r="L14" s="177"/>
      <c r="M14" s="177"/>
      <c r="N14" s="177"/>
      <c r="O14" s="177"/>
      <c r="P14" s="177"/>
    </row>
    <row r="15" spans="1:16" x14ac:dyDescent="0.25">
      <c r="A15" s="177" t="s">
        <v>859</v>
      </c>
      <c r="B15" s="177" t="s">
        <v>968</v>
      </c>
      <c r="C15" s="177">
        <v>40</v>
      </c>
      <c r="D15" s="177">
        <v>65</v>
      </c>
      <c r="E15" s="167" t="s">
        <v>433</v>
      </c>
      <c r="F15" s="167" t="s">
        <v>944</v>
      </c>
      <c r="G15" s="167" t="s">
        <v>293</v>
      </c>
      <c r="H15" s="167" t="s">
        <v>967</v>
      </c>
      <c r="I15" s="177" t="s">
        <v>902</v>
      </c>
      <c r="J15" s="177" t="s">
        <v>914</v>
      </c>
      <c r="K15" s="177" t="s">
        <v>914</v>
      </c>
      <c r="L15" s="177" t="s">
        <v>914</v>
      </c>
      <c r="M15" s="177">
        <v>830</v>
      </c>
      <c r="N15" s="177">
        <v>50</v>
      </c>
      <c r="O15" s="177"/>
      <c r="P15" s="179" t="s">
        <v>1364</v>
      </c>
    </row>
    <row r="16" spans="1:16" x14ac:dyDescent="0.25">
      <c r="A16" s="177"/>
      <c r="B16" s="177"/>
      <c r="C16" s="177"/>
      <c r="D16" s="177"/>
      <c r="E16" s="167" t="s">
        <v>434</v>
      </c>
      <c r="F16" s="167">
        <v>0</v>
      </c>
      <c r="G16" s="167">
        <v>0</v>
      </c>
      <c r="H16" s="167">
        <v>0</v>
      </c>
      <c r="I16" s="177"/>
      <c r="J16" s="177"/>
      <c r="K16" s="177"/>
      <c r="L16" s="177"/>
      <c r="M16" s="177"/>
      <c r="N16" s="177"/>
      <c r="O16" s="177"/>
      <c r="P16" s="177"/>
    </row>
    <row r="17" spans="1:16" x14ac:dyDescent="0.25">
      <c r="A17" s="177"/>
      <c r="B17" s="177"/>
      <c r="C17" s="177"/>
      <c r="D17" s="177"/>
      <c r="E17" s="167" t="s">
        <v>433</v>
      </c>
      <c r="F17" s="167">
        <v>0</v>
      </c>
      <c r="G17" s="167" t="s">
        <v>944</v>
      </c>
      <c r="H17" s="167">
        <v>0</v>
      </c>
      <c r="I17" s="177"/>
      <c r="J17" s="177"/>
      <c r="K17" s="177"/>
      <c r="L17" s="177"/>
      <c r="M17" s="177"/>
      <c r="N17" s="177"/>
      <c r="O17" s="177"/>
      <c r="P17" s="177"/>
    </row>
    <row r="18" spans="1:16" x14ac:dyDescent="0.25">
      <c r="A18" s="177"/>
      <c r="B18" s="177"/>
      <c r="C18" s="177"/>
      <c r="D18" s="177"/>
      <c r="E18" s="167" t="s">
        <v>434</v>
      </c>
      <c r="F18" s="167" t="s">
        <v>967</v>
      </c>
      <c r="G18" s="167" t="s">
        <v>967</v>
      </c>
      <c r="H18" s="167" t="s">
        <v>954</v>
      </c>
      <c r="I18" s="177"/>
      <c r="J18" s="177"/>
      <c r="K18" s="177"/>
      <c r="L18" s="177"/>
      <c r="M18" s="177"/>
      <c r="N18" s="177"/>
      <c r="O18" s="177"/>
      <c r="P18" s="177"/>
    </row>
    <row r="19" spans="1:16" x14ac:dyDescent="0.25">
      <c r="A19" s="177" t="s">
        <v>859</v>
      </c>
      <c r="B19" s="177" t="s">
        <v>969</v>
      </c>
      <c r="C19" s="177">
        <v>40</v>
      </c>
      <c r="D19" s="177">
        <v>65</v>
      </c>
      <c r="E19" s="167" t="s">
        <v>433</v>
      </c>
      <c r="F19" s="167" t="s">
        <v>967</v>
      </c>
      <c r="G19" s="167" t="s">
        <v>293</v>
      </c>
      <c r="H19" s="167" t="s">
        <v>294</v>
      </c>
      <c r="I19" s="177" t="s">
        <v>902</v>
      </c>
      <c r="J19" s="177" t="s">
        <v>913</v>
      </c>
      <c r="K19" s="177" t="s">
        <v>913</v>
      </c>
      <c r="L19" s="177" t="s">
        <v>913</v>
      </c>
      <c r="M19" s="177">
        <v>830</v>
      </c>
      <c r="N19" s="177">
        <v>50</v>
      </c>
      <c r="O19" s="177"/>
      <c r="P19" s="178" t="s">
        <v>1365</v>
      </c>
    </row>
    <row r="20" spans="1:16" x14ac:dyDescent="0.25">
      <c r="A20" s="177"/>
      <c r="B20" s="177"/>
      <c r="C20" s="177"/>
      <c r="D20" s="177"/>
      <c r="E20" s="167" t="s">
        <v>434</v>
      </c>
      <c r="F20" s="167">
        <v>0</v>
      </c>
      <c r="G20" s="167">
        <v>0</v>
      </c>
      <c r="H20" s="167" t="s">
        <v>944</v>
      </c>
      <c r="I20" s="177"/>
      <c r="J20" s="177"/>
      <c r="K20" s="177"/>
      <c r="L20" s="177"/>
      <c r="M20" s="177"/>
      <c r="N20" s="177"/>
      <c r="O20" s="177"/>
      <c r="P20" s="177"/>
    </row>
    <row r="21" spans="1:16" x14ac:dyDescent="0.25">
      <c r="A21" s="177"/>
      <c r="B21" s="177"/>
      <c r="C21" s="177"/>
      <c r="D21" s="177"/>
      <c r="E21" s="167" t="s">
        <v>433</v>
      </c>
      <c r="F21" s="167">
        <v>0</v>
      </c>
      <c r="G21" s="167">
        <v>0</v>
      </c>
      <c r="H21" s="167">
        <v>0</v>
      </c>
      <c r="I21" s="177"/>
      <c r="J21" s="177"/>
      <c r="K21" s="177"/>
      <c r="L21" s="177"/>
      <c r="M21" s="177"/>
      <c r="N21" s="177"/>
      <c r="O21" s="177"/>
      <c r="P21" s="177"/>
    </row>
    <row r="22" spans="1:16" x14ac:dyDescent="0.25">
      <c r="A22" s="177"/>
      <c r="B22" s="177"/>
      <c r="C22" s="177"/>
      <c r="D22" s="177"/>
      <c r="E22" s="167" t="s">
        <v>434</v>
      </c>
      <c r="F22" s="167" t="s">
        <v>954</v>
      </c>
      <c r="G22" s="167" t="s">
        <v>967</v>
      </c>
      <c r="H22" s="167" t="s">
        <v>947</v>
      </c>
      <c r="I22" s="177"/>
      <c r="J22" s="177"/>
      <c r="K22" s="177"/>
      <c r="L22" s="177"/>
      <c r="M22" s="177"/>
      <c r="N22" s="177"/>
      <c r="O22" s="177"/>
      <c r="P22" s="177"/>
    </row>
    <row r="23" spans="1:16" x14ac:dyDescent="0.25">
      <c r="A23" s="177" t="s">
        <v>859</v>
      </c>
      <c r="B23" s="177" t="s">
        <v>970</v>
      </c>
      <c r="C23" s="177">
        <v>40</v>
      </c>
      <c r="D23" s="177">
        <v>65</v>
      </c>
      <c r="E23" s="167" t="s">
        <v>433</v>
      </c>
      <c r="F23" s="167" t="s">
        <v>294</v>
      </c>
      <c r="G23" s="167" t="s">
        <v>293</v>
      </c>
      <c r="H23" s="167" t="s">
        <v>967</v>
      </c>
      <c r="I23" s="177" t="s">
        <v>902</v>
      </c>
      <c r="J23" s="177" t="s">
        <v>913</v>
      </c>
      <c r="K23" s="177" t="s">
        <v>913</v>
      </c>
      <c r="L23" s="177" t="s">
        <v>913</v>
      </c>
      <c r="M23" s="177">
        <v>830</v>
      </c>
      <c r="N23" s="177">
        <v>50</v>
      </c>
      <c r="O23" s="177"/>
      <c r="P23" s="178" t="s">
        <v>1365</v>
      </c>
    </row>
    <row r="24" spans="1:16" x14ac:dyDescent="0.25">
      <c r="A24" s="177"/>
      <c r="B24" s="177"/>
      <c r="C24" s="177"/>
      <c r="D24" s="177"/>
      <c r="E24" s="167" t="s">
        <v>434</v>
      </c>
      <c r="F24" s="167" t="s">
        <v>944</v>
      </c>
      <c r="G24" s="167">
        <v>0</v>
      </c>
      <c r="H24" s="167">
        <v>0</v>
      </c>
      <c r="I24" s="177"/>
      <c r="J24" s="177"/>
      <c r="K24" s="177"/>
      <c r="L24" s="177"/>
      <c r="M24" s="177"/>
      <c r="N24" s="177"/>
      <c r="O24" s="177"/>
      <c r="P24" s="177"/>
    </row>
    <row r="25" spans="1:16" x14ac:dyDescent="0.25">
      <c r="A25" s="177"/>
      <c r="B25" s="177"/>
      <c r="C25" s="177"/>
      <c r="D25" s="177"/>
      <c r="E25" s="167" t="s">
        <v>433</v>
      </c>
      <c r="F25" s="167">
        <v>0</v>
      </c>
      <c r="G25" s="167">
        <v>0</v>
      </c>
      <c r="H25" s="167">
        <v>0</v>
      </c>
      <c r="I25" s="177"/>
      <c r="J25" s="177"/>
      <c r="K25" s="177"/>
      <c r="L25" s="177"/>
      <c r="M25" s="177"/>
      <c r="N25" s="177"/>
      <c r="O25" s="177"/>
      <c r="P25" s="177"/>
    </row>
    <row r="26" spans="1:16" x14ac:dyDescent="0.25">
      <c r="A26" s="177"/>
      <c r="B26" s="177"/>
      <c r="C26" s="177"/>
      <c r="D26" s="177"/>
      <c r="E26" s="167" t="s">
        <v>434</v>
      </c>
      <c r="F26" s="167" t="s">
        <v>947</v>
      </c>
      <c r="G26" s="167" t="s">
        <v>967</v>
      </c>
      <c r="H26" s="167" t="s">
        <v>947</v>
      </c>
      <c r="I26" s="177"/>
      <c r="J26" s="177"/>
      <c r="K26" s="177"/>
      <c r="L26" s="177"/>
      <c r="M26" s="177"/>
      <c r="N26" s="177"/>
      <c r="O26" s="177"/>
      <c r="P26" s="177"/>
    </row>
    <row r="27" spans="1:16" x14ac:dyDescent="0.25">
      <c r="A27" s="177" t="s">
        <v>859</v>
      </c>
      <c r="B27" s="177" t="s">
        <v>971</v>
      </c>
      <c r="C27" s="177">
        <v>40</v>
      </c>
      <c r="D27" s="177">
        <v>65</v>
      </c>
      <c r="E27" s="167" t="s">
        <v>433</v>
      </c>
      <c r="F27" s="167" t="s">
        <v>967</v>
      </c>
      <c r="G27" s="167" t="s">
        <v>293</v>
      </c>
      <c r="H27" s="167" t="s">
        <v>294</v>
      </c>
      <c r="I27" s="177" t="s">
        <v>902</v>
      </c>
      <c r="J27" s="177" t="s">
        <v>913</v>
      </c>
      <c r="K27" s="177" t="s">
        <v>913</v>
      </c>
      <c r="L27" s="177" t="s">
        <v>913</v>
      </c>
      <c r="M27" s="177">
        <v>830</v>
      </c>
      <c r="N27" s="177">
        <v>50</v>
      </c>
      <c r="O27" s="177"/>
      <c r="P27" s="178" t="s">
        <v>1365</v>
      </c>
    </row>
    <row r="28" spans="1:16" x14ac:dyDescent="0.25">
      <c r="A28" s="177"/>
      <c r="B28" s="177"/>
      <c r="C28" s="177"/>
      <c r="D28" s="177"/>
      <c r="E28" s="167" t="s">
        <v>434</v>
      </c>
      <c r="F28" s="167">
        <v>0</v>
      </c>
      <c r="G28" s="167">
        <v>0</v>
      </c>
      <c r="H28" s="167" t="s">
        <v>944</v>
      </c>
      <c r="I28" s="177"/>
      <c r="J28" s="177"/>
      <c r="K28" s="177"/>
      <c r="L28" s="177"/>
      <c r="M28" s="177"/>
      <c r="N28" s="177"/>
      <c r="O28" s="177"/>
      <c r="P28" s="177"/>
    </row>
    <row r="29" spans="1:16" x14ac:dyDescent="0.25">
      <c r="A29" s="177"/>
      <c r="B29" s="177"/>
      <c r="C29" s="177"/>
      <c r="D29" s="177"/>
      <c r="E29" s="167" t="s">
        <v>433</v>
      </c>
      <c r="F29" s="167">
        <v>0</v>
      </c>
      <c r="G29" s="167">
        <v>0</v>
      </c>
      <c r="H29" s="167">
        <v>0</v>
      </c>
      <c r="I29" s="177"/>
      <c r="J29" s="177"/>
      <c r="K29" s="177"/>
      <c r="L29" s="177"/>
      <c r="M29" s="177"/>
      <c r="N29" s="177"/>
      <c r="O29" s="177"/>
      <c r="P29" s="177"/>
    </row>
    <row r="30" spans="1:16" x14ac:dyDescent="0.25">
      <c r="A30" s="177"/>
      <c r="B30" s="177"/>
      <c r="C30" s="177"/>
      <c r="D30" s="177"/>
      <c r="E30" s="167" t="s">
        <v>434</v>
      </c>
      <c r="F30" s="167" t="s">
        <v>947</v>
      </c>
      <c r="G30" s="167" t="s">
        <v>967</v>
      </c>
      <c r="H30" s="167" t="s">
        <v>947</v>
      </c>
      <c r="I30" s="177"/>
      <c r="J30" s="177"/>
      <c r="K30" s="177"/>
      <c r="L30" s="177"/>
      <c r="M30" s="177"/>
      <c r="N30" s="177"/>
      <c r="O30" s="177"/>
      <c r="P30" s="177"/>
    </row>
    <row r="31" spans="1:16" x14ac:dyDescent="0.25">
      <c r="A31" s="177" t="s">
        <v>859</v>
      </c>
      <c r="B31" s="177" t="s">
        <v>972</v>
      </c>
      <c r="C31" s="177">
        <v>40</v>
      </c>
      <c r="D31" s="177">
        <v>65</v>
      </c>
      <c r="E31" s="167" t="s">
        <v>433</v>
      </c>
      <c r="F31" s="167" t="s">
        <v>294</v>
      </c>
      <c r="G31" s="167" t="s">
        <v>293</v>
      </c>
      <c r="H31" s="167" t="s">
        <v>954</v>
      </c>
      <c r="I31" s="177" t="s">
        <v>902</v>
      </c>
      <c r="J31" s="177" t="s">
        <v>913</v>
      </c>
      <c r="K31" s="177" t="s">
        <v>913</v>
      </c>
      <c r="L31" s="177" t="s">
        <v>913</v>
      </c>
      <c r="M31" s="177">
        <v>830</v>
      </c>
      <c r="N31" s="177">
        <v>50</v>
      </c>
      <c r="O31" s="177"/>
      <c r="P31" s="178" t="s">
        <v>1365</v>
      </c>
    </row>
    <row r="32" spans="1:16" x14ac:dyDescent="0.25">
      <c r="A32" s="177"/>
      <c r="B32" s="177"/>
      <c r="C32" s="177"/>
      <c r="D32" s="177"/>
      <c r="E32" s="167" t="s">
        <v>434</v>
      </c>
      <c r="F32" s="167" t="s">
        <v>944</v>
      </c>
      <c r="G32" s="167">
        <v>0</v>
      </c>
      <c r="H32" s="167">
        <v>0</v>
      </c>
      <c r="I32" s="177"/>
      <c r="J32" s="177"/>
      <c r="K32" s="177"/>
      <c r="L32" s="177"/>
      <c r="M32" s="177"/>
      <c r="N32" s="177"/>
      <c r="O32" s="177"/>
      <c r="P32" s="177"/>
    </row>
    <row r="33" spans="1:16" x14ac:dyDescent="0.25">
      <c r="A33" s="177"/>
      <c r="B33" s="177"/>
      <c r="C33" s="177"/>
      <c r="D33" s="177"/>
      <c r="E33" s="167" t="s">
        <v>433</v>
      </c>
      <c r="F33" s="167">
        <v>0</v>
      </c>
      <c r="G33" s="167">
        <v>0</v>
      </c>
      <c r="H33" s="167">
        <v>0</v>
      </c>
      <c r="I33" s="177"/>
      <c r="J33" s="177"/>
      <c r="K33" s="177"/>
      <c r="L33" s="177"/>
      <c r="M33" s="177"/>
      <c r="N33" s="177"/>
      <c r="O33" s="177"/>
      <c r="P33" s="177"/>
    </row>
    <row r="34" spans="1:16" x14ac:dyDescent="0.25">
      <c r="A34" s="177"/>
      <c r="B34" s="177"/>
      <c r="C34" s="177"/>
      <c r="D34" s="177"/>
      <c r="E34" s="167" t="s">
        <v>434</v>
      </c>
      <c r="F34" s="167" t="s">
        <v>947</v>
      </c>
      <c r="G34" s="167" t="s">
        <v>967</v>
      </c>
      <c r="H34" s="167" t="s">
        <v>954</v>
      </c>
      <c r="I34" s="177"/>
      <c r="J34" s="177"/>
      <c r="K34" s="177"/>
      <c r="L34" s="177"/>
      <c r="M34" s="177"/>
      <c r="N34" s="177"/>
      <c r="O34" s="177"/>
      <c r="P34" s="177"/>
    </row>
    <row r="35" spans="1:16" x14ac:dyDescent="0.25">
      <c r="A35" s="177" t="s">
        <v>859</v>
      </c>
      <c r="B35" s="177" t="s">
        <v>973</v>
      </c>
      <c r="C35" s="177">
        <v>40</v>
      </c>
      <c r="D35" s="177">
        <v>65</v>
      </c>
      <c r="E35" s="167" t="s">
        <v>433</v>
      </c>
      <c r="F35" s="167" t="s">
        <v>917</v>
      </c>
      <c r="G35" s="167" t="s">
        <v>915</v>
      </c>
      <c r="H35" s="167" t="s">
        <v>912</v>
      </c>
      <c r="I35" s="177" t="s">
        <v>902</v>
      </c>
      <c r="J35" s="177" t="s">
        <v>914</v>
      </c>
      <c r="K35" s="177" t="s">
        <v>914</v>
      </c>
      <c r="L35" s="177" t="s">
        <v>914</v>
      </c>
      <c r="M35" s="177">
        <v>830</v>
      </c>
      <c r="N35" s="177">
        <v>50</v>
      </c>
      <c r="O35" s="177"/>
      <c r="P35" s="179" t="s">
        <v>1366</v>
      </c>
    </row>
    <row r="36" spans="1:16" x14ac:dyDescent="0.25">
      <c r="A36" s="177"/>
      <c r="B36" s="177"/>
      <c r="C36" s="177"/>
      <c r="D36" s="177"/>
      <c r="E36" s="167" t="s">
        <v>434</v>
      </c>
      <c r="F36" s="167">
        <v>0</v>
      </c>
      <c r="G36" s="167">
        <v>0</v>
      </c>
      <c r="H36" s="167" t="s">
        <v>916</v>
      </c>
      <c r="I36" s="177"/>
      <c r="J36" s="177"/>
      <c r="K36" s="177"/>
      <c r="L36" s="177"/>
      <c r="M36" s="177"/>
      <c r="N36" s="177"/>
      <c r="O36" s="177"/>
      <c r="P36" s="177"/>
    </row>
    <row r="37" spans="1:16" x14ac:dyDescent="0.25">
      <c r="A37" s="177"/>
      <c r="B37" s="177"/>
      <c r="C37" s="177"/>
      <c r="D37" s="177"/>
      <c r="E37" s="167" t="s">
        <v>433</v>
      </c>
      <c r="F37" s="167">
        <v>0</v>
      </c>
      <c r="G37" s="167" t="s">
        <v>944</v>
      </c>
      <c r="H37" s="167">
        <v>0</v>
      </c>
      <c r="I37" s="177"/>
      <c r="J37" s="177"/>
      <c r="K37" s="177"/>
      <c r="L37" s="177"/>
      <c r="M37" s="177"/>
      <c r="N37" s="177"/>
      <c r="O37" s="177"/>
      <c r="P37" s="177"/>
    </row>
    <row r="38" spans="1:16" x14ac:dyDescent="0.25">
      <c r="A38" s="177"/>
      <c r="B38" s="177"/>
      <c r="C38" s="177"/>
      <c r="D38" s="177"/>
      <c r="E38" s="167" t="s">
        <v>434</v>
      </c>
      <c r="F38" s="167" t="s">
        <v>954</v>
      </c>
      <c r="G38" s="167" t="s">
        <v>967</v>
      </c>
      <c r="H38" s="167" t="s">
        <v>293</v>
      </c>
      <c r="I38" s="177"/>
      <c r="J38" s="177"/>
      <c r="K38" s="177"/>
      <c r="L38" s="177"/>
      <c r="M38" s="177"/>
      <c r="N38" s="177"/>
      <c r="O38" s="177"/>
      <c r="P38" s="177"/>
    </row>
    <row r="39" spans="1:16" x14ac:dyDescent="0.25">
      <c r="A39" s="177" t="s">
        <v>859</v>
      </c>
      <c r="B39" s="177" t="s">
        <v>951</v>
      </c>
      <c r="C39" s="177">
        <v>40</v>
      </c>
      <c r="D39" s="177">
        <v>65</v>
      </c>
      <c r="E39" s="167" t="s">
        <v>433</v>
      </c>
      <c r="F39" s="167" t="s">
        <v>967</v>
      </c>
      <c r="G39" s="167" t="s">
        <v>293</v>
      </c>
      <c r="H39" s="167" t="s">
        <v>967</v>
      </c>
      <c r="I39" s="177" t="s">
        <v>285</v>
      </c>
      <c r="J39" s="177" t="s">
        <v>914</v>
      </c>
      <c r="K39" s="177" t="s">
        <v>914</v>
      </c>
      <c r="L39" s="177" t="s">
        <v>914</v>
      </c>
      <c r="M39" s="177">
        <v>830</v>
      </c>
      <c r="N39" s="177">
        <v>50</v>
      </c>
      <c r="O39" s="177"/>
      <c r="P39" s="178" t="s">
        <v>1365</v>
      </c>
    </row>
    <row r="40" spans="1:16" x14ac:dyDescent="0.25">
      <c r="A40" s="177"/>
      <c r="B40" s="177"/>
      <c r="C40" s="177"/>
      <c r="D40" s="177"/>
      <c r="E40" s="167" t="s">
        <v>434</v>
      </c>
      <c r="F40" s="167" t="s">
        <v>293</v>
      </c>
      <c r="G40" s="167">
        <v>0</v>
      </c>
      <c r="H40" s="167" t="s">
        <v>293</v>
      </c>
      <c r="I40" s="177"/>
      <c r="J40" s="177"/>
      <c r="K40" s="177"/>
      <c r="L40" s="177"/>
      <c r="M40" s="177"/>
      <c r="N40" s="177"/>
      <c r="O40" s="177"/>
      <c r="P40" s="177"/>
    </row>
    <row r="41" spans="1:16" x14ac:dyDescent="0.25">
      <c r="A41" s="177"/>
      <c r="B41" s="177"/>
      <c r="C41" s="177"/>
      <c r="D41" s="177"/>
      <c r="E41" s="167" t="s">
        <v>433</v>
      </c>
      <c r="F41" s="167">
        <v>0</v>
      </c>
      <c r="G41" s="167">
        <v>0</v>
      </c>
      <c r="H41" s="167">
        <v>0</v>
      </c>
      <c r="I41" s="177"/>
      <c r="J41" s="177"/>
      <c r="K41" s="177"/>
      <c r="L41" s="177"/>
      <c r="M41" s="177"/>
      <c r="N41" s="177"/>
      <c r="O41" s="177"/>
      <c r="P41" s="177"/>
    </row>
    <row r="42" spans="1:16" x14ac:dyDescent="0.25">
      <c r="A42" s="177"/>
      <c r="B42" s="177"/>
      <c r="C42" s="177"/>
      <c r="D42" s="177"/>
      <c r="E42" s="167" t="s">
        <v>434</v>
      </c>
      <c r="F42" s="167" t="s">
        <v>967</v>
      </c>
      <c r="G42" s="167" t="s">
        <v>967</v>
      </c>
      <c r="H42" s="167" t="s">
        <v>967</v>
      </c>
      <c r="I42" s="177"/>
      <c r="J42" s="177"/>
      <c r="K42" s="177"/>
      <c r="L42" s="177"/>
      <c r="M42" s="177"/>
      <c r="N42" s="177"/>
      <c r="O42" s="177"/>
      <c r="P42" s="177"/>
    </row>
    <row r="43" spans="1:16" x14ac:dyDescent="0.25">
      <c r="A43" s="177" t="s">
        <v>859</v>
      </c>
      <c r="B43" s="177" t="s">
        <v>951</v>
      </c>
      <c r="C43" s="177">
        <v>40</v>
      </c>
      <c r="D43" s="177">
        <v>65</v>
      </c>
      <c r="E43" s="167" t="s">
        <v>433</v>
      </c>
      <c r="F43" s="167" t="s">
        <v>967</v>
      </c>
      <c r="G43" s="167" t="s">
        <v>293</v>
      </c>
      <c r="H43" s="167" t="s">
        <v>967</v>
      </c>
      <c r="I43" s="177" t="s">
        <v>285</v>
      </c>
      <c r="J43" s="177" t="s">
        <v>914</v>
      </c>
      <c r="K43" s="177" t="s">
        <v>914</v>
      </c>
      <c r="L43" s="177" t="s">
        <v>914</v>
      </c>
      <c r="M43" s="177">
        <v>830</v>
      </c>
      <c r="N43" s="177">
        <v>50</v>
      </c>
      <c r="O43" s="177"/>
      <c r="P43" s="178" t="s">
        <v>1365</v>
      </c>
    </row>
    <row r="44" spans="1:16" x14ac:dyDescent="0.25">
      <c r="A44" s="177"/>
      <c r="B44" s="177"/>
      <c r="C44" s="177"/>
      <c r="D44" s="177"/>
      <c r="E44" s="167" t="s">
        <v>434</v>
      </c>
      <c r="F44" s="167" t="s">
        <v>293</v>
      </c>
      <c r="G44" s="167">
        <v>0</v>
      </c>
      <c r="H44" s="167" t="s">
        <v>293</v>
      </c>
      <c r="I44" s="177"/>
      <c r="J44" s="177"/>
      <c r="K44" s="177"/>
      <c r="L44" s="177"/>
      <c r="M44" s="177"/>
      <c r="N44" s="177"/>
      <c r="O44" s="177"/>
      <c r="P44" s="177"/>
    </row>
    <row r="45" spans="1:16" x14ac:dyDescent="0.25">
      <c r="A45" s="177"/>
      <c r="B45" s="177"/>
      <c r="C45" s="177"/>
      <c r="D45" s="177"/>
      <c r="E45" s="167" t="s">
        <v>433</v>
      </c>
      <c r="F45" s="167">
        <v>0</v>
      </c>
      <c r="G45" s="167">
        <v>0</v>
      </c>
      <c r="H45" s="167">
        <v>0</v>
      </c>
      <c r="I45" s="177"/>
      <c r="J45" s="177"/>
      <c r="K45" s="177"/>
      <c r="L45" s="177"/>
      <c r="M45" s="177"/>
      <c r="N45" s="177"/>
      <c r="O45" s="177"/>
      <c r="P45" s="177"/>
    </row>
    <row r="46" spans="1:16" x14ac:dyDescent="0.25">
      <c r="A46" s="177"/>
      <c r="B46" s="177"/>
      <c r="C46" s="177"/>
      <c r="D46" s="177"/>
      <c r="E46" s="167" t="s">
        <v>434</v>
      </c>
      <c r="F46" s="167" t="s">
        <v>967</v>
      </c>
      <c r="G46" s="167" t="s">
        <v>967</v>
      </c>
      <c r="H46" s="167" t="s">
        <v>967</v>
      </c>
      <c r="I46" s="177"/>
      <c r="J46" s="177"/>
      <c r="K46" s="177"/>
      <c r="L46" s="177"/>
      <c r="M46" s="177"/>
      <c r="N46" s="177"/>
      <c r="O46" s="177"/>
      <c r="P46" s="177"/>
    </row>
    <row r="47" spans="1:16" x14ac:dyDescent="0.25">
      <c r="A47" s="177" t="s">
        <v>859</v>
      </c>
      <c r="B47" s="177" t="s">
        <v>951</v>
      </c>
      <c r="C47" s="177">
        <v>40</v>
      </c>
      <c r="D47" s="177">
        <v>65</v>
      </c>
      <c r="E47" s="167" t="s">
        <v>433</v>
      </c>
      <c r="F47" s="167" t="s">
        <v>967</v>
      </c>
      <c r="G47" s="167" t="s">
        <v>293</v>
      </c>
      <c r="H47" s="167" t="s">
        <v>967</v>
      </c>
      <c r="I47" s="177" t="s">
        <v>285</v>
      </c>
      <c r="J47" s="177" t="s">
        <v>914</v>
      </c>
      <c r="K47" s="177" t="s">
        <v>914</v>
      </c>
      <c r="L47" s="177" t="s">
        <v>914</v>
      </c>
      <c r="M47" s="177">
        <v>1260</v>
      </c>
      <c r="N47" s="177">
        <v>50</v>
      </c>
      <c r="O47" s="177"/>
      <c r="P47" s="178" t="s">
        <v>1365</v>
      </c>
    </row>
    <row r="48" spans="1:16" x14ac:dyDescent="0.25">
      <c r="A48" s="177"/>
      <c r="B48" s="177"/>
      <c r="C48" s="177"/>
      <c r="D48" s="177"/>
      <c r="E48" s="167" t="s">
        <v>434</v>
      </c>
      <c r="F48" s="167" t="s">
        <v>293</v>
      </c>
      <c r="G48" s="167">
        <v>0</v>
      </c>
      <c r="H48" s="167" t="s">
        <v>293</v>
      </c>
      <c r="I48" s="177"/>
      <c r="J48" s="177"/>
      <c r="K48" s="177"/>
      <c r="L48" s="177"/>
      <c r="M48" s="177"/>
      <c r="N48" s="177"/>
      <c r="O48" s="177"/>
      <c r="P48" s="177"/>
    </row>
    <row r="49" spans="1:16" x14ac:dyDescent="0.25">
      <c r="A49" s="177"/>
      <c r="B49" s="177"/>
      <c r="C49" s="177"/>
      <c r="D49" s="177"/>
      <c r="E49" s="167" t="s">
        <v>433</v>
      </c>
      <c r="F49" s="167">
        <v>0</v>
      </c>
      <c r="G49" s="167">
        <v>0</v>
      </c>
      <c r="H49" s="167">
        <v>0</v>
      </c>
      <c r="I49" s="177"/>
      <c r="J49" s="177"/>
      <c r="K49" s="177"/>
      <c r="L49" s="177"/>
      <c r="M49" s="177"/>
      <c r="N49" s="177"/>
      <c r="O49" s="177"/>
      <c r="P49" s="177"/>
    </row>
    <row r="50" spans="1:16" x14ac:dyDescent="0.25">
      <c r="A50" s="177"/>
      <c r="B50" s="177"/>
      <c r="C50" s="177"/>
      <c r="D50" s="177"/>
      <c r="E50" s="167" t="s">
        <v>434</v>
      </c>
      <c r="F50" s="167" t="s">
        <v>967</v>
      </c>
      <c r="G50" s="167" t="s">
        <v>967</v>
      </c>
      <c r="H50" s="167" t="s">
        <v>967</v>
      </c>
      <c r="I50" s="177"/>
      <c r="J50" s="177"/>
      <c r="K50" s="177"/>
      <c r="L50" s="177"/>
      <c r="M50" s="177"/>
      <c r="N50" s="177"/>
      <c r="O50" s="177"/>
      <c r="P50" s="177"/>
    </row>
    <row r="51" spans="1:16" x14ac:dyDescent="0.25">
      <c r="A51" s="177" t="s">
        <v>859</v>
      </c>
      <c r="B51" s="177" t="s">
        <v>951</v>
      </c>
      <c r="C51" s="177">
        <v>40</v>
      </c>
      <c r="D51" s="177">
        <v>65</v>
      </c>
      <c r="E51" s="167" t="s">
        <v>433</v>
      </c>
      <c r="F51" s="167" t="s">
        <v>967</v>
      </c>
      <c r="G51" s="167" t="s">
        <v>293</v>
      </c>
      <c r="H51" s="167" t="s">
        <v>967</v>
      </c>
      <c r="I51" s="177" t="s">
        <v>285</v>
      </c>
      <c r="J51" s="177" t="s">
        <v>914</v>
      </c>
      <c r="K51" s="177" t="s">
        <v>914</v>
      </c>
      <c r="L51" s="177" t="s">
        <v>914</v>
      </c>
      <c r="M51" s="177">
        <v>830</v>
      </c>
      <c r="N51" s="177">
        <v>50</v>
      </c>
      <c r="O51" s="177"/>
      <c r="P51" s="178" t="s">
        <v>1365</v>
      </c>
    </row>
    <row r="52" spans="1:16" x14ac:dyDescent="0.25">
      <c r="A52" s="177"/>
      <c r="B52" s="177"/>
      <c r="C52" s="177"/>
      <c r="D52" s="177"/>
      <c r="E52" s="167" t="s">
        <v>434</v>
      </c>
      <c r="F52" s="167" t="s">
        <v>293</v>
      </c>
      <c r="G52" s="167">
        <v>0</v>
      </c>
      <c r="H52" s="167" t="s">
        <v>293</v>
      </c>
      <c r="I52" s="177"/>
      <c r="J52" s="177"/>
      <c r="K52" s="177"/>
      <c r="L52" s="177"/>
      <c r="M52" s="177"/>
      <c r="N52" s="177"/>
      <c r="O52" s="177"/>
      <c r="P52" s="177"/>
    </row>
    <row r="53" spans="1:16" x14ac:dyDescent="0.25">
      <c r="A53" s="177"/>
      <c r="B53" s="177"/>
      <c r="C53" s="177"/>
      <c r="D53" s="177"/>
      <c r="E53" s="167" t="s">
        <v>433</v>
      </c>
      <c r="F53" s="167">
        <v>0</v>
      </c>
      <c r="G53" s="167">
        <v>0</v>
      </c>
      <c r="H53" s="167">
        <v>0</v>
      </c>
      <c r="I53" s="177"/>
      <c r="J53" s="177"/>
      <c r="K53" s="177"/>
      <c r="L53" s="177"/>
      <c r="M53" s="177"/>
      <c r="N53" s="177"/>
      <c r="O53" s="177"/>
      <c r="P53" s="177"/>
    </row>
    <row r="54" spans="1:16" x14ac:dyDescent="0.25">
      <c r="A54" s="177"/>
      <c r="B54" s="177"/>
      <c r="C54" s="177"/>
      <c r="D54" s="177"/>
      <c r="E54" s="167" t="s">
        <v>434</v>
      </c>
      <c r="F54" s="167" t="s">
        <v>967</v>
      </c>
      <c r="G54" s="167" t="s">
        <v>967</v>
      </c>
      <c r="H54" s="167" t="s">
        <v>967</v>
      </c>
      <c r="I54" s="177"/>
      <c r="J54" s="177"/>
      <c r="K54" s="177"/>
      <c r="L54" s="177"/>
      <c r="M54" s="177"/>
      <c r="N54" s="177"/>
      <c r="O54" s="177"/>
      <c r="P54" s="177"/>
    </row>
    <row r="55" spans="1:16" x14ac:dyDescent="0.25">
      <c r="A55" s="177" t="s">
        <v>859</v>
      </c>
      <c r="B55" s="177" t="s">
        <v>951</v>
      </c>
      <c r="C55" s="177">
        <v>40</v>
      </c>
      <c r="D55" s="177">
        <v>65</v>
      </c>
      <c r="E55" s="167" t="s">
        <v>433</v>
      </c>
      <c r="F55" s="167" t="s">
        <v>967</v>
      </c>
      <c r="G55" s="167" t="s">
        <v>293</v>
      </c>
      <c r="H55" s="167" t="s">
        <v>967</v>
      </c>
      <c r="I55" s="177" t="s">
        <v>285</v>
      </c>
      <c r="J55" s="177" t="s">
        <v>914</v>
      </c>
      <c r="K55" s="177" t="s">
        <v>914</v>
      </c>
      <c r="L55" s="177" t="s">
        <v>914</v>
      </c>
      <c r="M55" s="177">
        <v>1260</v>
      </c>
      <c r="N55" s="177">
        <v>50</v>
      </c>
      <c r="O55" s="177"/>
      <c r="P55" s="178" t="s">
        <v>1365</v>
      </c>
    </row>
    <row r="56" spans="1:16" x14ac:dyDescent="0.25">
      <c r="A56" s="177"/>
      <c r="B56" s="177"/>
      <c r="C56" s="177"/>
      <c r="D56" s="177"/>
      <c r="E56" s="167" t="s">
        <v>434</v>
      </c>
      <c r="F56" s="167" t="s">
        <v>293</v>
      </c>
      <c r="G56" s="167">
        <v>0</v>
      </c>
      <c r="H56" s="167" t="s">
        <v>293</v>
      </c>
      <c r="I56" s="177"/>
      <c r="J56" s="177"/>
      <c r="K56" s="177"/>
      <c r="L56" s="177"/>
      <c r="M56" s="177"/>
      <c r="N56" s="177"/>
      <c r="O56" s="177"/>
      <c r="P56" s="177"/>
    </row>
    <row r="57" spans="1:16" x14ac:dyDescent="0.25">
      <c r="A57" s="177"/>
      <c r="B57" s="177"/>
      <c r="C57" s="177"/>
      <c r="D57" s="177"/>
      <c r="E57" s="167" t="s">
        <v>433</v>
      </c>
      <c r="F57" s="167">
        <v>0</v>
      </c>
      <c r="G57" s="167">
        <v>0</v>
      </c>
      <c r="H57" s="167">
        <v>0</v>
      </c>
      <c r="I57" s="177"/>
      <c r="J57" s="177"/>
      <c r="K57" s="177"/>
      <c r="L57" s="177"/>
      <c r="M57" s="177"/>
      <c r="N57" s="177"/>
      <c r="O57" s="177"/>
      <c r="P57" s="177"/>
    </row>
    <row r="58" spans="1:16" x14ac:dyDescent="0.25">
      <c r="A58" s="177"/>
      <c r="B58" s="177"/>
      <c r="C58" s="177"/>
      <c r="D58" s="177"/>
      <c r="E58" s="167" t="s">
        <v>434</v>
      </c>
      <c r="F58" s="167" t="s">
        <v>967</v>
      </c>
      <c r="G58" s="167" t="s">
        <v>967</v>
      </c>
      <c r="H58" s="167" t="s">
        <v>967</v>
      </c>
      <c r="I58" s="177"/>
      <c r="J58" s="177"/>
      <c r="K58" s="177"/>
      <c r="L58" s="177"/>
      <c r="M58" s="177"/>
      <c r="N58" s="177"/>
      <c r="O58" s="177"/>
      <c r="P58" s="177"/>
    </row>
    <row r="59" spans="1:16" x14ac:dyDescent="0.25">
      <c r="A59" s="177" t="s">
        <v>859</v>
      </c>
      <c r="B59" s="177" t="s">
        <v>951</v>
      </c>
      <c r="C59" s="177">
        <v>40</v>
      </c>
      <c r="D59" s="177">
        <v>65</v>
      </c>
      <c r="E59" s="167" t="s">
        <v>433</v>
      </c>
      <c r="F59" s="167" t="s">
        <v>967</v>
      </c>
      <c r="G59" s="167" t="s">
        <v>293</v>
      </c>
      <c r="H59" s="167" t="s">
        <v>967</v>
      </c>
      <c r="I59" s="177" t="s">
        <v>285</v>
      </c>
      <c r="J59" s="177" t="s">
        <v>914</v>
      </c>
      <c r="K59" s="177" t="s">
        <v>914</v>
      </c>
      <c r="L59" s="177" t="s">
        <v>914</v>
      </c>
      <c r="M59" s="177">
        <v>1260</v>
      </c>
      <c r="N59" s="177">
        <v>50</v>
      </c>
      <c r="O59" s="177"/>
      <c r="P59" s="178" t="s">
        <v>1365</v>
      </c>
    </row>
    <row r="60" spans="1:16" x14ac:dyDescent="0.25">
      <c r="A60" s="177"/>
      <c r="B60" s="177"/>
      <c r="C60" s="177"/>
      <c r="D60" s="177"/>
      <c r="E60" s="167" t="s">
        <v>434</v>
      </c>
      <c r="F60" s="167" t="s">
        <v>293</v>
      </c>
      <c r="G60" s="167">
        <v>0</v>
      </c>
      <c r="H60" s="167" t="s">
        <v>293</v>
      </c>
      <c r="I60" s="177"/>
      <c r="J60" s="177"/>
      <c r="K60" s="177"/>
      <c r="L60" s="177"/>
      <c r="M60" s="177"/>
      <c r="N60" s="177"/>
      <c r="O60" s="177"/>
      <c r="P60" s="177"/>
    </row>
    <row r="61" spans="1:16" x14ac:dyDescent="0.25">
      <c r="A61" s="177"/>
      <c r="B61" s="177"/>
      <c r="C61" s="177"/>
      <c r="D61" s="177"/>
      <c r="E61" s="167" t="s">
        <v>433</v>
      </c>
      <c r="F61" s="167">
        <v>0</v>
      </c>
      <c r="G61" s="167">
        <v>0</v>
      </c>
      <c r="H61" s="167">
        <v>0</v>
      </c>
      <c r="I61" s="177"/>
      <c r="J61" s="177"/>
      <c r="K61" s="177"/>
      <c r="L61" s="177"/>
      <c r="M61" s="177"/>
      <c r="N61" s="177"/>
      <c r="O61" s="177"/>
      <c r="P61" s="177"/>
    </row>
    <row r="62" spans="1:16" x14ac:dyDescent="0.25">
      <c r="A62" s="177"/>
      <c r="B62" s="177"/>
      <c r="C62" s="177"/>
      <c r="D62" s="177"/>
      <c r="E62" s="167" t="s">
        <v>434</v>
      </c>
      <c r="F62" s="167" t="s">
        <v>967</v>
      </c>
      <c r="G62" s="167" t="s">
        <v>967</v>
      </c>
      <c r="H62" s="167" t="s">
        <v>967</v>
      </c>
      <c r="I62" s="177"/>
      <c r="J62" s="177"/>
      <c r="K62" s="177"/>
      <c r="L62" s="177"/>
      <c r="M62" s="177"/>
      <c r="N62" s="177"/>
      <c r="O62" s="177"/>
      <c r="P62" s="177"/>
    </row>
    <row r="63" spans="1:16" x14ac:dyDescent="0.25">
      <c r="A63" s="177" t="s">
        <v>859</v>
      </c>
      <c r="B63" s="177" t="s">
        <v>974</v>
      </c>
      <c r="C63" s="177">
        <v>40</v>
      </c>
      <c r="D63" s="177">
        <v>65</v>
      </c>
      <c r="E63" s="167" t="s">
        <v>433</v>
      </c>
      <c r="F63" s="167" t="s">
        <v>944</v>
      </c>
      <c r="G63" s="167" t="s">
        <v>293</v>
      </c>
      <c r="H63" s="167" t="s">
        <v>954</v>
      </c>
      <c r="I63" s="177" t="s">
        <v>902</v>
      </c>
      <c r="J63" s="177" t="s">
        <v>914</v>
      </c>
      <c r="K63" s="177" t="s">
        <v>914</v>
      </c>
      <c r="L63" s="177" t="s">
        <v>914</v>
      </c>
      <c r="M63" s="177">
        <v>830</v>
      </c>
      <c r="N63" s="177">
        <v>50</v>
      </c>
      <c r="O63" s="177"/>
      <c r="P63" s="179" t="s">
        <v>1364</v>
      </c>
    </row>
    <row r="64" spans="1:16" x14ac:dyDescent="0.25">
      <c r="A64" s="177"/>
      <c r="B64" s="177"/>
      <c r="C64" s="177"/>
      <c r="D64" s="177"/>
      <c r="E64" s="167" t="s">
        <v>434</v>
      </c>
      <c r="F64" s="167">
        <v>0</v>
      </c>
      <c r="G64" s="167">
        <v>0</v>
      </c>
      <c r="H64" s="167">
        <v>0</v>
      </c>
      <c r="I64" s="177"/>
      <c r="J64" s="177"/>
      <c r="K64" s="177"/>
      <c r="L64" s="177"/>
      <c r="M64" s="177"/>
      <c r="N64" s="177"/>
      <c r="O64" s="177"/>
      <c r="P64" s="177"/>
    </row>
    <row r="65" spans="1:16" x14ac:dyDescent="0.25">
      <c r="A65" s="177"/>
      <c r="B65" s="177"/>
      <c r="C65" s="177"/>
      <c r="D65" s="177"/>
      <c r="E65" s="167" t="s">
        <v>433</v>
      </c>
      <c r="F65" s="167">
        <v>0</v>
      </c>
      <c r="G65" s="167">
        <v>0</v>
      </c>
      <c r="H65" s="167">
        <v>0</v>
      </c>
      <c r="I65" s="177"/>
      <c r="J65" s="177"/>
      <c r="K65" s="177"/>
      <c r="L65" s="177"/>
      <c r="M65" s="177"/>
      <c r="N65" s="177"/>
      <c r="O65" s="177"/>
      <c r="P65" s="177"/>
    </row>
    <row r="66" spans="1:16" x14ac:dyDescent="0.25">
      <c r="A66" s="177"/>
      <c r="B66" s="177"/>
      <c r="C66" s="177"/>
      <c r="D66" s="177"/>
      <c r="E66" s="167" t="s">
        <v>434</v>
      </c>
      <c r="F66" s="167" t="s">
        <v>947</v>
      </c>
      <c r="G66" s="167" t="s">
        <v>954</v>
      </c>
      <c r="H66" s="167" t="s">
        <v>293</v>
      </c>
      <c r="I66" s="177"/>
      <c r="J66" s="177"/>
      <c r="K66" s="177"/>
      <c r="L66" s="177"/>
      <c r="M66" s="177"/>
      <c r="N66" s="177"/>
      <c r="O66" s="177"/>
      <c r="P66" s="177"/>
    </row>
    <row r="67" spans="1:16" x14ac:dyDescent="0.25">
      <c r="A67" s="177" t="s">
        <v>859</v>
      </c>
      <c r="B67" s="177" t="s">
        <v>974</v>
      </c>
      <c r="C67" s="177">
        <v>40</v>
      </c>
      <c r="D67" s="177">
        <v>65</v>
      </c>
      <c r="E67" s="167" t="s">
        <v>433</v>
      </c>
      <c r="F67" s="167" t="s">
        <v>944</v>
      </c>
      <c r="G67" s="167" t="s">
        <v>293</v>
      </c>
      <c r="H67" s="167" t="s">
        <v>954</v>
      </c>
      <c r="I67" s="177" t="s">
        <v>902</v>
      </c>
      <c r="J67" s="177" t="s">
        <v>914</v>
      </c>
      <c r="K67" s="177" t="s">
        <v>914</v>
      </c>
      <c r="L67" s="177" t="s">
        <v>914</v>
      </c>
      <c r="M67" s="177">
        <v>830</v>
      </c>
      <c r="N67" s="177">
        <v>50</v>
      </c>
      <c r="O67" s="177"/>
      <c r="P67" s="179" t="s">
        <v>1364</v>
      </c>
    </row>
    <row r="68" spans="1:16" x14ac:dyDescent="0.25">
      <c r="A68" s="177"/>
      <c r="B68" s="177"/>
      <c r="C68" s="177"/>
      <c r="D68" s="177"/>
      <c r="E68" s="167" t="s">
        <v>434</v>
      </c>
      <c r="F68" s="167">
        <v>0</v>
      </c>
      <c r="G68" s="167">
        <v>0</v>
      </c>
      <c r="H68" s="167">
        <v>0</v>
      </c>
      <c r="I68" s="177"/>
      <c r="J68" s="177"/>
      <c r="K68" s="177"/>
      <c r="L68" s="177"/>
      <c r="M68" s="177"/>
      <c r="N68" s="177"/>
      <c r="O68" s="177"/>
      <c r="P68" s="177"/>
    </row>
    <row r="69" spans="1:16" x14ac:dyDescent="0.25">
      <c r="A69" s="177"/>
      <c r="B69" s="177"/>
      <c r="C69" s="177"/>
      <c r="D69" s="177"/>
      <c r="E69" s="167" t="s">
        <v>433</v>
      </c>
      <c r="F69" s="167">
        <v>0</v>
      </c>
      <c r="G69" s="167">
        <v>0</v>
      </c>
      <c r="H69" s="167">
        <v>0</v>
      </c>
      <c r="I69" s="177"/>
      <c r="J69" s="177"/>
      <c r="K69" s="177"/>
      <c r="L69" s="177"/>
      <c r="M69" s="177"/>
      <c r="N69" s="177"/>
      <c r="O69" s="177"/>
      <c r="P69" s="177"/>
    </row>
    <row r="70" spans="1:16" x14ac:dyDescent="0.25">
      <c r="A70" s="177"/>
      <c r="B70" s="177"/>
      <c r="C70" s="177"/>
      <c r="D70" s="177"/>
      <c r="E70" s="167" t="s">
        <v>434</v>
      </c>
      <c r="F70" s="167" t="s">
        <v>947</v>
      </c>
      <c r="G70" s="167" t="s">
        <v>954</v>
      </c>
      <c r="H70" s="167" t="s">
        <v>293</v>
      </c>
      <c r="I70" s="177"/>
      <c r="J70" s="177"/>
      <c r="K70" s="177"/>
      <c r="L70" s="177"/>
      <c r="M70" s="177"/>
      <c r="N70" s="177"/>
      <c r="O70" s="177"/>
      <c r="P70" s="177"/>
    </row>
    <row r="71" spans="1:16" x14ac:dyDescent="0.25">
      <c r="A71" s="177" t="s">
        <v>859</v>
      </c>
      <c r="B71" s="177" t="s">
        <v>991</v>
      </c>
      <c r="C71" s="177">
        <v>40</v>
      </c>
      <c r="D71" s="177">
        <v>65</v>
      </c>
      <c r="E71" s="167" t="s">
        <v>433</v>
      </c>
      <c r="F71" s="167" t="s">
        <v>954</v>
      </c>
      <c r="G71" s="167" t="s">
        <v>293</v>
      </c>
      <c r="H71" s="167" t="s">
        <v>954</v>
      </c>
      <c r="I71" s="177" t="s">
        <v>902</v>
      </c>
      <c r="J71" s="177" t="s">
        <v>914</v>
      </c>
      <c r="K71" s="177" t="s">
        <v>914</v>
      </c>
      <c r="L71" s="177" t="s">
        <v>914</v>
      </c>
      <c r="M71" s="177">
        <v>830</v>
      </c>
      <c r="N71" s="177">
        <v>50</v>
      </c>
      <c r="O71" s="177"/>
      <c r="P71" s="178" t="s">
        <v>1365</v>
      </c>
    </row>
    <row r="72" spans="1:16" x14ac:dyDescent="0.25">
      <c r="A72" s="177"/>
      <c r="B72" s="177"/>
      <c r="C72" s="177"/>
      <c r="D72" s="177"/>
      <c r="E72" s="167" t="s">
        <v>434</v>
      </c>
      <c r="F72" s="167">
        <v>0</v>
      </c>
      <c r="G72" s="167">
        <v>0</v>
      </c>
      <c r="H72" s="167">
        <v>0</v>
      </c>
      <c r="I72" s="177"/>
      <c r="J72" s="177"/>
      <c r="K72" s="177"/>
      <c r="L72" s="177"/>
      <c r="M72" s="177"/>
      <c r="N72" s="177"/>
      <c r="O72" s="177"/>
      <c r="P72" s="177"/>
    </row>
    <row r="73" spans="1:16" x14ac:dyDescent="0.25">
      <c r="A73" s="177"/>
      <c r="B73" s="177"/>
      <c r="C73" s="177"/>
      <c r="D73" s="177"/>
      <c r="E73" s="167" t="s">
        <v>433</v>
      </c>
      <c r="F73" s="167">
        <v>0</v>
      </c>
      <c r="G73" s="167">
        <v>0</v>
      </c>
      <c r="H73" s="167">
        <v>0</v>
      </c>
      <c r="I73" s="177"/>
      <c r="J73" s="177"/>
      <c r="K73" s="177"/>
      <c r="L73" s="177"/>
      <c r="M73" s="177"/>
      <c r="N73" s="177"/>
      <c r="O73" s="177"/>
      <c r="P73" s="177"/>
    </row>
    <row r="74" spans="1:16" x14ac:dyDescent="0.25">
      <c r="A74" s="177"/>
      <c r="B74" s="177"/>
      <c r="C74" s="177"/>
      <c r="D74" s="177"/>
      <c r="E74" s="167" t="s">
        <v>434</v>
      </c>
      <c r="F74" s="167" t="s">
        <v>293</v>
      </c>
      <c r="G74" s="167" t="s">
        <v>947</v>
      </c>
      <c r="H74" s="167" t="s">
        <v>293</v>
      </c>
      <c r="I74" s="177"/>
      <c r="J74" s="177"/>
      <c r="K74" s="177"/>
      <c r="L74" s="177"/>
      <c r="M74" s="177"/>
      <c r="N74" s="177"/>
      <c r="O74" s="177"/>
      <c r="P74" s="177"/>
    </row>
    <row r="75" spans="1:16" x14ac:dyDescent="0.25">
      <c r="A75" s="177" t="s">
        <v>859</v>
      </c>
      <c r="B75" s="177" t="s">
        <v>991</v>
      </c>
      <c r="C75" s="177">
        <v>40</v>
      </c>
      <c r="D75" s="177">
        <v>65</v>
      </c>
      <c r="E75" s="167" t="s">
        <v>433</v>
      </c>
      <c r="F75" s="167" t="s">
        <v>954</v>
      </c>
      <c r="G75" s="167" t="s">
        <v>293</v>
      </c>
      <c r="H75" s="167" t="s">
        <v>954</v>
      </c>
      <c r="I75" s="177" t="s">
        <v>902</v>
      </c>
      <c r="J75" s="177" t="s">
        <v>914</v>
      </c>
      <c r="K75" s="177" t="s">
        <v>914</v>
      </c>
      <c r="L75" s="177" t="s">
        <v>914</v>
      </c>
      <c r="M75" s="177">
        <v>830</v>
      </c>
      <c r="N75" s="177">
        <v>50</v>
      </c>
      <c r="O75" s="177"/>
      <c r="P75" s="178" t="s">
        <v>1365</v>
      </c>
    </row>
    <row r="76" spans="1:16" x14ac:dyDescent="0.25">
      <c r="A76" s="177"/>
      <c r="B76" s="177"/>
      <c r="C76" s="177"/>
      <c r="D76" s="177"/>
      <c r="E76" s="167" t="s">
        <v>434</v>
      </c>
      <c r="F76" s="167">
        <v>0</v>
      </c>
      <c r="G76" s="167">
        <v>0</v>
      </c>
      <c r="H76" s="167">
        <v>0</v>
      </c>
      <c r="I76" s="177"/>
      <c r="J76" s="177"/>
      <c r="K76" s="177"/>
      <c r="L76" s="177"/>
      <c r="M76" s="177"/>
      <c r="N76" s="177"/>
      <c r="O76" s="177"/>
      <c r="P76" s="177"/>
    </row>
    <row r="77" spans="1:16" x14ac:dyDescent="0.25">
      <c r="A77" s="177"/>
      <c r="B77" s="177"/>
      <c r="C77" s="177"/>
      <c r="D77" s="177"/>
      <c r="E77" s="167" t="s">
        <v>433</v>
      </c>
      <c r="F77" s="167">
        <v>0</v>
      </c>
      <c r="G77" s="167">
        <v>0</v>
      </c>
      <c r="H77" s="167">
        <v>0</v>
      </c>
      <c r="I77" s="177"/>
      <c r="J77" s="177"/>
      <c r="K77" s="177"/>
      <c r="L77" s="177"/>
      <c r="M77" s="177"/>
      <c r="N77" s="177"/>
      <c r="O77" s="177"/>
      <c r="P77" s="177"/>
    </row>
    <row r="78" spans="1:16" x14ac:dyDescent="0.25">
      <c r="A78" s="177"/>
      <c r="B78" s="177"/>
      <c r="C78" s="177"/>
      <c r="D78" s="177"/>
      <c r="E78" s="167" t="s">
        <v>434</v>
      </c>
      <c r="F78" s="167" t="s">
        <v>293</v>
      </c>
      <c r="G78" s="167" t="s">
        <v>947</v>
      </c>
      <c r="H78" s="167" t="s">
        <v>293</v>
      </c>
      <c r="I78" s="177"/>
      <c r="J78" s="177"/>
      <c r="K78" s="177"/>
      <c r="L78" s="177"/>
      <c r="M78" s="177"/>
      <c r="N78" s="177"/>
      <c r="O78" s="177"/>
      <c r="P78" s="177"/>
    </row>
    <row r="79" spans="1:16" x14ac:dyDescent="0.25">
      <c r="A79" s="177" t="s">
        <v>859</v>
      </c>
      <c r="B79" s="177" t="s">
        <v>992</v>
      </c>
      <c r="C79" s="177">
        <v>40</v>
      </c>
      <c r="D79" s="177">
        <v>65</v>
      </c>
      <c r="E79" s="167" t="s">
        <v>433</v>
      </c>
      <c r="F79" s="167" t="s">
        <v>954</v>
      </c>
      <c r="G79" s="167" t="s">
        <v>293</v>
      </c>
      <c r="H79" s="167" t="s">
        <v>954</v>
      </c>
      <c r="I79" s="177" t="s">
        <v>902</v>
      </c>
      <c r="J79" s="177" t="s">
        <v>914</v>
      </c>
      <c r="K79" s="177" t="s">
        <v>914</v>
      </c>
      <c r="L79" s="177" t="s">
        <v>914</v>
      </c>
      <c r="M79" s="177">
        <v>830</v>
      </c>
      <c r="N79" s="177">
        <v>50</v>
      </c>
      <c r="O79" s="177"/>
      <c r="P79" s="178" t="s">
        <v>1365</v>
      </c>
    </row>
    <row r="80" spans="1:16" x14ac:dyDescent="0.25">
      <c r="A80" s="177"/>
      <c r="B80" s="177"/>
      <c r="C80" s="177"/>
      <c r="D80" s="177"/>
      <c r="E80" s="167" t="s">
        <v>434</v>
      </c>
      <c r="F80" s="167">
        <v>0</v>
      </c>
      <c r="G80" s="167">
        <v>0</v>
      </c>
      <c r="H80" s="167">
        <v>0</v>
      </c>
      <c r="I80" s="177"/>
      <c r="J80" s="177"/>
      <c r="K80" s="177"/>
      <c r="L80" s="177"/>
      <c r="M80" s="177"/>
      <c r="N80" s="177"/>
      <c r="O80" s="177"/>
      <c r="P80" s="177"/>
    </row>
    <row r="81" spans="1:16" x14ac:dyDescent="0.25">
      <c r="A81" s="177"/>
      <c r="B81" s="177"/>
      <c r="C81" s="177"/>
      <c r="D81" s="177"/>
      <c r="E81" s="167" t="s">
        <v>433</v>
      </c>
      <c r="F81" s="167">
        <v>0</v>
      </c>
      <c r="G81" s="167">
        <v>0</v>
      </c>
      <c r="H81" s="167">
        <v>0</v>
      </c>
      <c r="I81" s="177"/>
      <c r="J81" s="177"/>
      <c r="K81" s="177"/>
      <c r="L81" s="177"/>
      <c r="M81" s="177"/>
      <c r="N81" s="177"/>
      <c r="O81" s="177"/>
      <c r="P81" s="177"/>
    </row>
    <row r="82" spans="1:16" x14ac:dyDescent="0.25">
      <c r="A82" s="177"/>
      <c r="B82" s="177"/>
      <c r="C82" s="177"/>
      <c r="D82" s="177"/>
      <c r="E82" s="167" t="s">
        <v>434</v>
      </c>
      <c r="F82" s="167" t="s">
        <v>293</v>
      </c>
      <c r="G82" s="167" t="s">
        <v>947</v>
      </c>
      <c r="H82" s="167" t="s">
        <v>293</v>
      </c>
      <c r="I82" s="177"/>
      <c r="J82" s="177"/>
      <c r="K82" s="177"/>
      <c r="L82" s="177"/>
      <c r="M82" s="177"/>
      <c r="N82" s="177"/>
      <c r="O82" s="177"/>
      <c r="P82" s="177"/>
    </row>
    <row r="83" spans="1:16" x14ac:dyDescent="0.25">
      <c r="A83" s="177" t="s">
        <v>859</v>
      </c>
      <c r="B83" s="177" t="s">
        <v>992</v>
      </c>
      <c r="C83" s="177">
        <v>40</v>
      </c>
      <c r="D83" s="177">
        <v>65</v>
      </c>
      <c r="E83" s="167" t="s">
        <v>433</v>
      </c>
      <c r="F83" s="167" t="s">
        <v>954</v>
      </c>
      <c r="G83" s="167" t="s">
        <v>293</v>
      </c>
      <c r="H83" s="167" t="s">
        <v>954</v>
      </c>
      <c r="I83" s="177" t="s">
        <v>902</v>
      </c>
      <c r="J83" s="177" t="s">
        <v>914</v>
      </c>
      <c r="K83" s="177" t="s">
        <v>914</v>
      </c>
      <c r="L83" s="177" t="s">
        <v>914</v>
      </c>
      <c r="M83" s="177">
        <v>830</v>
      </c>
      <c r="N83" s="177">
        <v>50</v>
      </c>
      <c r="O83" s="177"/>
      <c r="P83" s="178" t="s">
        <v>1365</v>
      </c>
    </row>
    <row r="84" spans="1:16" x14ac:dyDescent="0.25">
      <c r="A84" s="177"/>
      <c r="B84" s="177"/>
      <c r="C84" s="177"/>
      <c r="D84" s="177"/>
      <c r="E84" s="167" t="s">
        <v>434</v>
      </c>
      <c r="F84" s="167">
        <v>0</v>
      </c>
      <c r="G84" s="167">
        <v>0</v>
      </c>
      <c r="H84" s="167">
        <v>0</v>
      </c>
      <c r="I84" s="177"/>
      <c r="J84" s="177"/>
      <c r="K84" s="177"/>
      <c r="L84" s="177"/>
      <c r="M84" s="177"/>
      <c r="N84" s="177"/>
      <c r="O84" s="177"/>
      <c r="P84" s="177"/>
    </row>
    <row r="85" spans="1:16" x14ac:dyDescent="0.25">
      <c r="A85" s="177"/>
      <c r="B85" s="177"/>
      <c r="C85" s="177"/>
      <c r="D85" s="177"/>
      <c r="E85" s="167" t="s">
        <v>433</v>
      </c>
      <c r="F85" s="167">
        <v>0</v>
      </c>
      <c r="G85" s="167">
        <v>0</v>
      </c>
      <c r="H85" s="167">
        <v>0</v>
      </c>
      <c r="I85" s="177"/>
      <c r="J85" s="177"/>
      <c r="K85" s="177"/>
      <c r="L85" s="177"/>
      <c r="M85" s="177"/>
      <c r="N85" s="177"/>
      <c r="O85" s="177"/>
      <c r="P85" s="177"/>
    </row>
    <row r="86" spans="1:16" x14ac:dyDescent="0.25">
      <c r="A86" s="177"/>
      <c r="B86" s="177"/>
      <c r="C86" s="177"/>
      <c r="D86" s="177"/>
      <c r="E86" s="167" t="s">
        <v>434</v>
      </c>
      <c r="F86" s="167" t="s">
        <v>293</v>
      </c>
      <c r="G86" s="167" t="s">
        <v>947</v>
      </c>
      <c r="H86" s="167" t="s">
        <v>293</v>
      </c>
      <c r="I86" s="177"/>
      <c r="J86" s="177"/>
      <c r="K86" s="177"/>
      <c r="L86" s="177"/>
      <c r="M86" s="177"/>
      <c r="N86" s="177"/>
      <c r="O86" s="177"/>
      <c r="P86" s="177"/>
    </row>
    <row r="87" spans="1:16" x14ac:dyDescent="0.25">
      <c r="A87" s="177" t="s">
        <v>859</v>
      </c>
      <c r="B87" s="177" t="s">
        <v>993</v>
      </c>
      <c r="C87" s="177">
        <v>40</v>
      </c>
      <c r="D87" s="177">
        <v>65</v>
      </c>
      <c r="E87" s="167" t="s">
        <v>433</v>
      </c>
      <c r="F87" s="167" t="s">
        <v>954</v>
      </c>
      <c r="G87" s="167" t="s">
        <v>293</v>
      </c>
      <c r="H87" s="167" t="s">
        <v>954</v>
      </c>
      <c r="I87" s="177" t="s">
        <v>902</v>
      </c>
      <c r="J87" s="177" t="s">
        <v>914</v>
      </c>
      <c r="K87" s="177" t="s">
        <v>914</v>
      </c>
      <c r="L87" s="177" t="s">
        <v>914</v>
      </c>
      <c r="M87" s="177">
        <v>830</v>
      </c>
      <c r="N87" s="177">
        <v>50</v>
      </c>
      <c r="O87" s="177"/>
      <c r="P87" s="178" t="s">
        <v>1365</v>
      </c>
    </row>
    <row r="88" spans="1:16" x14ac:dyDescent="0.25">
      <c r="A88" s="177"/>
      <c r="B88" s="177"/>
      <c r="C88" s="177"/>
      <c r="D88" s="177"/>
      <c r="E88" s="167" t="s">
        <v>434</v>
      </c>
      <c r="F88" s="167">
        <v>0</v>
      </c>
      <c r="G88" s="167">
        <v>0</v>
      </c>
      <c r="H88" s="167">
        <v>0</v>
      </c>
      <c r="I88" s="177"/>
      <c r="J88" s="177"/>
      <c r="K88" s="177"/>
      <c r="L88" s="177"/>
      <c r="M88" s="177"/>
      <c r="N88" s="177"/>
      <c r="O88" s="177"/>
      <c r="P88" s="177"/>
    </row>
    <row r="89" spans="1:16" x14ac:dyDescent="0.25">
      <c r="A89" s="177"/>
      <c r="B89" s="177"/>
      <c r="C89" s="177"/>
      <c r="D89" s="177"/>
      <c r="E89" s="167" t="s">
        <v>433</v>
      </c>
      <c r="F89" s="167">
        <v>0</v>
      </c>
      <c r="G89" s="167">
        <v>0</v>
      </c>
      <c r="H89" s="167">
        <v>0</v>
      </c>
      <c r="I89" s="177"/>
      <c r="J89" s="177"/>
      <c r="K89" s="177"/>
      <c r="L89" s="177"/>
      <c r="M89" s="177"/>
      <c r="N89" s="177"/>
      <c r="O89" s="177"/>
      <c r="P89" s="177"/>
    </row>
    <row r="90" spans="1:16" x14ac:dyDescent="0.25">
      <c r="A90" s="177"/>
      <c r="B90" s="177"/>
      <c r="C90" s="177"/>
      <c r="D90" s="177"/>
      <c r="E90" s="167" t="s">
        <v>434</v>
      </c>
      <c r="F90" s="167" t="s">
        <v>293</v>
      </c>
      <c r="G90" s="167" t="s">
        <v>947</v>
      </c>
      <c r="H90" s="167" t="s">
        <v>293</v>
      </c>
      <c r="I90" s="177"/>
      <c r="J90" s="177"/>
      <c r="K90" s="177"/>
      <c r="L90" s="177"/>
      <c r="M90" s="177"/>
      <c r="N90" s="177"/>
      <c r="O90" s="177"/>
      <c r="P90" s="177"/>
    </row>
    <row r="91" spans="1:16" x14ac:dyDescent="0.25">
      <c r="A91" s="177" t="s">
        <v>859</v>
      </c>
      <c r="B91" s="177" t="s">
        <v>993</v>
      </c>
      <c r="C91" s="177">
        <v>40</v>
      </c>
      <c r="D91" s="177">
        <v>65</v>
      </c>
      <c r="E91" s="167" t="s">
        <v>433</v>
      </c>
      <c r="F91" s="167" t="s">
        <v>954</v>
      </c>
      <c r="G91" s="167" t="s">
        <v>293</v>
      </c>
      <c r="H91" s="167" t="s">
        <v>954</v>
      </c>
      <c r="I91" s="177" t="s">
        <v>902</v>
      </c>
      <c r="J91" s="177" t="s">
        <v>914</v>
      </c>
      <c r="K91" s="177" t="s">
        <v>914</v>
      </c>
      <c r="L91" s="177" t="s">
        <v>914</v>
      </c>
      <c r="M91" s="177">
        <v>830</v>
      </c>
      <c r="N91" s="177">
        <v>50</v>
      </c>
      <c r="O91" s="177"/>
      <c r="P91" s="178" t="s">
        <v>1365</v>
      </c>
    </row>
    <row r="92" spans="1:16" x14ac:dyDescent="0.25">
      <c r="A92" s="177"/>
      <c r="B92" s="177"/>
      <c r="C92" s="177"/>
      <c r="D92" s="177"/>
      <c r="E92" s="167" t="s">
        <v>434</v>
      </c>
      <c r="F92" s="167">
        <v>0</v>
      </c>
      <c r="G92" s="167">
        <v>0</v>
      </c>
      <c r="H92" s="167">
        <v>0</v>
      </c>
      <c r="I92" s="177"/>
      <c r="J92" s="177"/>
      <c r="K92" s="177"/>
      <c r="L92" s="177"/>
      <c r="M92" s="177"/>
      <c r="N92" s="177"/>
      <c r="O92" s="177"/>
      <c r="P92" s="177"/>
    </row>
    <row r="93" spans="1:16" x14ac:dyDescent="0.25">
      <c r="A93" s="177"/>
      <c r="B93" s="177"/>
      <c r="C93" s="177"/>
      <c r="D93" s="177"/>
      <c r="E93" s="167" t="s">
        <v>433</v>
      </c>
      <c r="F93" s="167">
        <v>0</v>
      </c>
      <c r="G93" s="167">
        <v>0</v>
      </c>
      <c r="H93" s="167">
        <v>0</v>
      </c>
      <c r="I93" s="177"/>
      <c r="J93" s="177"/>
      <c r="K93" s="177"/>
      <c r="L93" s="177"/>
      <c r="M93" s="177"/>
      <c r="N93" s="177"/>
      <c r="O93" s="177"/>
      <c r="P93" s="177"/>
    </row>
    <row r="94" spans="1:16" x14ac:dyDescent="0.25">
      <c r="A94" s="177"/>
      <c r="B94" s="177"/>
      <c r="C94" s="177"/>
      <c r="D94" s="177"/>
      <c r="E94" s="167" t="s">
        <v>434</v>
      </c>
      <c r="F94" s="167" t="s">
        <v>293</v>
      </c>
      <c r="G94" s="167" t="s">
        <v>947</v>
      </c>
      <c r="H94" s="167" t="s">
        <v>293</v>
      </c>
      <c r="I94" s="177"/>
      <c r="J94" s="177"/>
      <c r="K94" s="177"/>
      <c r="L94" s="177"/>
      <c r="M94" s="177"/>
      <c r="N94" s="177"/>
      <c r="O94" s="177"/>
      <c r="P94" s="177"/>
    </row>
    <row r="95" spans="1:16" x14ac:dyDescent="0.25">
      <c r="A95" s="177" t="s">
        <v>859</v>
      </c>
      <c r="B95" s="177" t="s">
        <v>994</v>
      </c>
      <c r="C95" s="177">
        <v>40</v>
      </c>
      <c r="D95" s="177">
        <v>65</v>
      </c>
      <c r="E95" s="167" t="s">
        <v>433</v>
      </c>
      <c r="F95" s="167" t="s">
        <v>954</v>
      </c>
      <c r="G95" s="167" t="s">
        <v>293</v>
      </c>
      <c r="H95" s="167" t="s">
        <v>954</v>
      </c>
      <c r="I95" s="177" t="s">
        <v>902</v>
      </c>
      <c r="J95" s="177" t="s">
        <v>914</v>
      </c>
      <c r="K95" s="177" t="s">
        <v>914</v>
      </c>
      <c r="L95" s="177" t="s">
        <v>914</v>
      </c>
      <c r="M95" s="177">
        <v>830</v>
      </c>
      <c r="N95" s="177">
        <v>50</v>
      </c>
      <c r="O95" s="177"/>
      <c r="P95" s="178" t="s">
        <v>1365</v>
      </c>
    </row>
    <row r="96" spans="1:16" x14ac:dyDescent="0.25">
      <c r="A96" s="177"/>
      <c r="B96" s="177"/>
      <c r="C96" s="177"/>
      <c r="D96" s="177"/>
      <c r="E96" s="167" t="s">
        <v>434</v>
      </c>
      <c r="F96" s="167">
        <v>0</v>
      </c>
      <c r="G96" s="167">
        <v>0</v>
      </c>
      <c r="H96" s="167">
        <v>0</v>
      </c>
      <c r="I96" s="177"/>
      <c r="J96" s="177"/>
      <c r="K96" s="177"/>
      <c r="L96" s="177"/>
      <c r="M96" s="177"/>
      <c r="N96" s="177"/>
      <c r="O96" s="177"/>
      <c r="P96" s="177"/>
    </row>
    <row r="97" spans="1:16" x14ac:dyDescent="0.25">
      <c r="A97" s="177"/>
      <c r="B97" s="177"/>
      <c r="C97" s="177"/>
      <c r="D97" s="177"/>
      <c r="E97" s="167" t="s">
        <v>433</v>
      </c>
      <c r="F97" s="167">
        <v>0</v>
      </c>
      <c r="G97" s="167">
        <v>0</v>
      </c>
      <c r="H97" s="167">
        <v>0</v>
      </c>
      <c r="I97" s="177"/>
      <c r="J97" s="177"/>
      <c r="K97" s="177"/>
      <c r="L97" s="177"/>
      <c r="M97" s="177"/>
      <c r="N97" s="177"/>
      <c r="O97" s="177"/>
      <c r="P97" s="177"/>
    </row>
    <row r="98" spans="1:16" x14ac:dyDescent="0.25">
      <c r="A98" s="177"/>
      <c r="B98" s="177"/>
      <c r="C98" s="177"/>
      <c r="D98" s="177"/>
      <c r="E98" s="167" t="s">
        <v>434</v>
      </c>
      <c r="F98" s="167" t="s">
        <v>293</v>
      </c>
      <c r="G98" s="167" t="s">
        <v>947</v>
      </c>
      <c r="H98" s="167" t="s">
        <v>293</v>
      </c>
      <c r="I98" s="177"/>
      <c r="J98" s="177"/>
      <c r="K98" s="177"/>
      <c r="L98" s="177"/>
      <c r="M98" s="177"/>
      <c r="N98" s="177"/>
      <c r="O98" s="177"/>
      <c r="P98" s="177"/>
    </row>
    <row r="99" spans="1:16" x14ac:dyDescent="0.25">
      <c r="A99" s="177" t="s">
        <v>859</v>
      </c>
      <c r="B99" s="177" t="s">
        <v>994</v>
      </c>
      <c r="C99" s="177">
        <v>40</v>
      </c>
      <c r="D99" s="177">
        <v>65</v>
      </c>
      <c r="E99" s="167" t="s">
        <v>433</v>
      </c>
      <c r="F99" s="167" t="s">
        <v>954</v>
      </c>
      <c r="G99" s="167" t="s">
        <v>293</v>
      </c>
      <c r="H99" s="167" t="s">
        <v>954</v>
      </c>
      <c r="I99" s="177" t="s">
        <v>902</v>
      </c>
      <c r="J99" s="177" t="s">
        <v>914</v>
      </c>
      <c r="K99" s="177" t="s">
        <v>914</v>
      </c>
      <c r="L99" s="177" t="s">
        <v>914</v>
      </c>
      <c r="M99" s="177">
        <v>830</v>
      </c>
      <c r="N99" s="177">
        <v>50</v>
      </c>
      <c r="O99" s="177"/>
      <c r="P99" s="178" t="s">
        <v>1365</v>
      </c>
    </row>
    <row r="100" spans="1:16" x14ac:dyDescent="0.25">
      <c r="A100" s="177"/>
      <c r="B100" s="177"/>
      <c r="C100" s="177"/>
      <c r="D100" s="177"/>
      <c r="E100" s="167" t="s">
        <v>434</v>
      </c>
      <c r="F100" s="167">
        <v>0</v>
      </c>
      <c r="G100" s="167">
        <v>0</v>
      </c>
      <c r="H100" s="167">
        <v>0</v>
      </c>
      <c r="I100" s="177"/>
      <c r="J100" s="177"/>
      <c r="K100" s="177"/>
      <c r="L100" s="177"/>
      <c r="M100" s="177"/>
      <c r="N100" s="177"/>
      <c r="O100" s="177"/>
      <c r="P100" s="177"/>
    </row>
    <row r="101" spans="1:16" x14ac:dyDescent="0.25">
      <c r="A101" s="177"/>
      <c r="B101" s="177"/>
      <c r="C101" s="177"/>
      <c r="D101" s="177"/>
      <c r="E101" s="167" t="s">
        <v>433</v>
      </c>
      <c r="F101" s="167">
        <v>0</v>
      </c>
      <c r="G101" s="167">
        <v>0</v>
      </c>
      <c r="H101" s="167">
        <v>0</v>
      </c>
      <c r="I101" s="177"/>
      <c r="J101" s="177"/>
      <c r="K101" s="177"/>
      <c r="L101" s="177"/>
      <c r="M101" s="177"/>
      <c r="N101" s="177"/>
      <c r="O101" s="177"/>
      <c r="P101" s="177"/>
    </row>
    <row r="102" spans="1:16" x14ac:dyDescent="0.25">
      <c r="A102" s="177"/>
      <c r="B102" s="177"/>
      <c r="C102" s="177"/>
      <c r="D102" s="177"/>
      <c r="E102" s="167" t="s">
        <v>434</v>
      </c>
      <c r="F102" s="167" t="s">
        <v>293</v>
      </c>
      <c r="G102" s="167" t="s">
        <v>947</v>
      </c>
      <c r="H102" s="167" t="s">
        <v>293</v>
      </c>
      <c r="I102" s="177"/>
      <c r="J102" s="177"/>
      <c r="K102" s="177"/>
      <c r="L102" s="177"/>
      <c r="M102" s="177"/>
      <c r="N102" s="177"/>
      <c r="O102" s="177"/>
      <c r="P102" s="177"/>
    </row>
    <row r="103" spans="1:16" x14ac:dyDescent="0.25">
      <c r="A103" s="177" t="s">
        <v>859</v>
      </c>
      <c r="B103" s="177" t="s">
        <v>995</v>
      </c>
      <c r="C103" s="177">
        <v>40</v>
      </c>
      <c r="D103" s="177">
        <v>65</v>
      </c>
      <c r="E103" s="167" t="s">
        <v>433</v>
      </c>
      <c r="F103" s="167" t="s">
        <v>954</v>
      </c>
      <c r="G103" s="167" t="s">
        <v>293</v>
      </c>
      <c r="H103" s="167" t="s">
        <v>293</v>
      </c>
      <c r="I103" s="177" t="s">
        <v>902</v>
      </c>
      <c r="J103" s="177" t="s">
        <v>914</v>
      </c>
      <c r="K103" s="177" t="s">
        <v>914</v>
      </c>
      <c r="L103" s="177" t="s">
        <v>914</v>
      </c>
      <c r="M103" s="177">
        <v>830</v>
      </c>
      <c r="N103" s="177">
        <v>50</v>
      </c>
      <c r="O103" s="177"/>
      <c r="P103" s="178" t="s">
        <v>1365</v>
      </c>
    </row>
    <row r="104" spans="1:16" x14ac:dyDescent="0.25">
      <c r="A104" s="177"/>
      <c r="B104" s="177"/>
      <c r="C104" s="177"/>
      <c r="D104" s="177"/>
      <c r="E104" s="167" t="s">
        <v>434</v>
      </c>
      <c r="F104" s="167">
        <v>0</v>
      </c>
      <c r="G104" s="167">
        <v>0</v>
      </c>
      <c r="H104" s="167">
        <v>0</v>
      </c>
      <c r="I104" s="177"/>
      <c r="J104" s="177"/>
      <c r="K104" s="177"/>
      <c r="L104" s="177"/>
      <c r="M104" s="177"/>
      <c r="N104" s="177"/>
      <c r="O104" s="177"/>
      <c r="P104" s="177"/>
    </row>
    <row r="105" spans="1:16" x14ac:dyDescent="0.25">
      <c r="A105" s="177"/>
      <c r="B105" s="177"/>
      <c r="C105" s="177"/>
      <c r="D105" s="177"/>
      <c r="E105" s="167" t="s">
        <v>433</v>
      </c>
      <c r="F105" s="167">
        <v>0</v>
      </c>
      <c r="G105" s="167">
        <v>0</v>
      </c>
      <c r="H105" s="167">
        <v>0</v>
      </c>
      <c r="I105" s="177"/>
      <c r="J105" s="177"/>
      <c r="K105" s="177"/>
      <c r="L105" s="177"/>
      <c r="M105" s="177"/>
      <c r="N105" s="177"/>
      <c r="O105" s="177"/>
      <c r="P105" s="177"/>
    </row>
    <row r="106" spans="1:16" x14ac:dyDescent="0.25">
      <c r="A106" s="177"/>
      <c r="B106" s="177"/>
      <c r="C106" s="177"/>
      <c r="D106" s="177"/>
      <c r="E106" s="167" t="s">
        <v>434</v>
      </c>
      <c r="F106" s="167" t="s">
        <v>293</v>
      </c>
      <c r="G106" s="167" t="s">
        <v>947</v>
      </c>
      <c r="H106" s="167" t="s">
        <v>293</v>
      </c>
      <c r="I106" s="177"/>
      <c r="J106" s="177"/>
      <c r="K106" s="177"/>
      <c r="L106" s="177"/>
      <c r="M106" s="177"/>
      <c r="N106" s="177"/>
      <c r="O106" s="177"/>
      <c r="P106" s="177"/>
    </row>
    <row r="107" spans="1:16" x14ac:dyDescent="0.25">
      <c r="A107" s="177" t="s">
        <v>859</v>
      </c>
      <c r="B107" s="177" t="s">
        <v>995</v>
      </c>
      <c r="C107" s="177">
        <v>40</v>
      </c>
      <c r="D107" s="177">
        <v>65</v>
      </c>
      <c r="E107" s="167" t="s">
        <v>433</v>
      </c>
      <c r="F107" s="167" t="s">
        <v>954</v>
      </c>
      <c r="G107" s="167" t="s">
        <v>293</v>
      </c>
      <c r="H107" s="167" t="s">
        <v>293</v>
      </c>
      <c r="I107" s="177" t="s">
        <v>902</v>
      </c>
      <c r="J107" s="177" t="s">
        <v>914</v>
      </c>
      <c r="K107" s="177" t="s">
        <v>914</v>
      </c>
      <c r="L107" s="177" t="s">
        <v>914</v>
      </c>
      <c r="M107" s="177">
        <v>830</v>
      </c>
      <c r="N107" s="177">
        <v>50</v>
      </c>
      <c r="O107" s="177"/>
      <c r="P107" s="178" t="s">
        <v>1365</v>
      </c>
    </row>
    <row r="108" spans="1:16" x14ac:dyDescent="0.25">
      <c r="A108" s="177"/>
      <c r="B108" s="177"/>
      <c r="C108" s="177"/>
      <c r="D108" s="177"/>
      <c r="E108" s="167" t="s">
        <v>434</v>
      </c>
      <c r="F108" s="167">
        <v>0</v>
      </c>
      <c r="G108" s="167">
        <v>0</v>
      </c>
      <c r="H108" s="167">
        <v>0</v>
      </c>
      <c r="I108" s="177"/>
      <c r="J108" s="177"/>
      <c r="K108" s="177"/>
      <c r="L108" s="177"/>
      <c r="M108" s="177"/>
      <c r="N108" s="177"/>
      <c r="O108" s="177"/>
      <c r="P108" s="177"/>
    </row>
    <row r="109" spans="1:16" x14ac:dyDescent="0.25">
      <c r="A109" s="177"/>
      <c r="B109" s="177"/>
      <c r="C109" s="177"/>
      <c r="D109" s="177"/>
      <c r="E109" s="167" t="s">
        <v>433</v>
      </c>
      <c r="F109" s="167">
        <v>0</v>
      </c>
      <c r="G109" s="167">
        <v>0</v>
      </c>
      <c r="H109" s="167">
        <v>0</v>
      </c>
      <c r="I109" s="177"/>
      <c r="J109" s="177"/>
      <c r="K109" s="177"/>
      <c r="L109" s="177"/>
      <c r="M109" s="177"/>
      <c r="N109" s="177"/>
      <c r="O109" s="177"/>
      <c r="P109" s="177"/>
    </row>
    <row r="110" spans="1:16" x14ac:dyDescent="0.25">
      <c r="A110" s="177"/>
      <c r="B110" s="177"/>
      <c r="C110" s="177"/>
      <c r="D110" s="177"/>
      <c r="E110" s="167" t="s">
        <v>434</v>
      </c>
      <c r="F110" s="167" t="s">
        <v>293</v>
      </c>
      <c r="G110" s="167" t="s">
        <v>947</v>
      </c>
      <c r="H110" s="167" t="s">
        <v>293</v>
      </c>
      <c r="I110" s="177"/>
      <c r="J110" s="177"/>
      <c r="K110" s="177"/>
      <c r="L110" s="177"/>
      <c r="M110" s="177"/>
      <c r="N110" s="177"/>
      <c r="O110" s="177"/>
      <c r="P110" s="177"/>
    </row>
    <row r="111" spans="1:16" x14ac:dyDescent="0.25">
      <c r="A111" s="177" t="s">
        <v>859</v>
      </c>
      <c r="B111" s="177" t="s">
        <v>996</v>
      </c>
      <c r="C111" s="177">
        <v>40</v>
      </c>
      <c r="D111" s="177">
        <v>65</v>
      </c>
      <c r="E111" s="167" t="s">
        <v>433</v>
      </c>
      <c r="F111" s="167" t="s">
        <v>293</v>
      </c>
      <c r="G111" s="167" t="s">
        <v>293</v>
      </c>
      <c r="H111" s="167" t="s">
        <v>944</v>
      </c>
      <c r="I111" s="177" t="s">
        <v>285</v>
      </c>
      <c r="J111" s="177" t="s">
        <v>914</v>
      </c>
      <c r="K111" s="177" t="s">
        <v>914</v>
      </c>
      <c r="L111" s="177" t="s">
        <v>914</v>
      </c>
      <c r="M111" s="177">
        <v>575</v>
      </c>
      <c r="N111" s="177">
        <v>50</v>
      </c>
      <c r="O111" s="177"/>
      <c r="P111" s="179" t="s">
        <v>1367</v>
      </c>
    </row>
    <row r="112" spans="1:16" x14ac:dyDescent="0.25">
      <c r="A112" s="177"/>
      <c r="B112" s="177"/>
      <c r="C112" s="177"/>
      <c r="D112" s="177"/>
      <c r="E112" s="167" t="s">
        <v>434</v>
      </c>
      <c r="F112" s="167">
        <v>0</v>
      </c>
      <c r="G112" s="167">
        <v>0</v>
      </c>
      <c r="H112" s="167">
        <v>0</v>
      </c>
      <c r="I112" s="177"/>
      <c r="J112" s="177"/>
      <c r="K112" s="177"/>
      <c r="L112" s="177"/>
      <c r="M112" s="177"/>
      <c r="N112" s="177"/>
      <c r="O112" s="177"/>
      <c r="P112" s="177"/>
    </row>
    <row r="113" spans="1:16" x14ac:dyDescent="0.25">
      <c r="A113" s="177"/>
      <c r="B113" s="177"/>
      <c r="C113" s="177"/>
      <c r="D113" s="177"/>
      <c r="E113" s="167" t="s">
        <v>433</v>
      </c>
      <c r="F113" s="167">
        <v>0</v>
      </c>
      <c r="G113" s="167">
        <v>0</v>
      </c>
      <c r="H113" s="167">
        <v>0</v>
      </c>
      <c r="I113" s="177"/>
      <c r="J113" s="177"/>
      <c r="K113" s="177"/>
      <c r="L113" s="177"/>
      <c r="M113" s="177"/>
      <c r="N113" s="177"/>
      <c r="O113" s="177"/>
      <c r="P113" s="177"/>
    </row>
    <row r="114" spans="1:16" x14ac:dyDescent="0.25">
      <c r="A114" s="177"/>
      <c r="B114" s="177"/>
      <c r="C114" s="177"/>
      <c r="D114" s="177"/>
      <c r="E114" s="167" t="s">
        <v>434</v>
      </c>
      <c r="F114" s="167" t="s">
        <v>293</v>
      </c>
      <c r="G114" s="167" t="s">
        <v>947</v>
      </c>
      <c r="H114" s="167" t="s">
        <v>293</v>
      </c>
      <c r="I114" s="177"/>
      <c r="J114" s="177"/>
      <c r="K114" s="177"/>
      <c r="L114" s="177"/>
      <c r="M114" s="177"/>
      <c r="N114" s="177"/>
      <c r="O114" s="177"/>
      <c r="P114" s="177"/>
    </row>
    <row r="115" spans="1:16" x14ac:dyDescent="0.25">
      <c r="A115" s="177" t="s">
        <v>859</v>
      </c>
      <c r="B115" s="177" t="s">
        <v>996</v>
      </c>
      <c r="C115" s="177">
        <v>40</v>
      </c>
      <c r="D115" s="177">
        <v>65</v>
      </c>
      <c r="E115" s="167" t="s">
        <v>433</v>
      </c>
      <c r="F115" s="167" t="s">
        <v>293</v>
      </c>
      <c r="G115" s="167" t="s">
        <v>293</v>
      </c>
      <c r="H115" s="167" t="s">
        <v>944</v>
      </c>
      <c r="I115" s="177" t="s">
        <v>285</v>
      </c>
      <c r="J115" s="177" t="s">
        <v>914</v>
      </c>
      <c r="K115" s="177" t="s">
        <v>914</v>
      </c>
      <c r="L115" s="177" t="s">
        <v>914</v>
      </c>
      <c r="M115" s="177">
        <v>575</v>
      </c>
      <c r="N115" s="177">
        <v>50</v>
      </c>
      <c r="O115" s="177"/>
      <c r="P115" s="179" t="s">
        <v>1367</v>
      </c>
    </row>
    <row r="116" spans="1:16" x14ac:dyDescent="0.25">
      <c r="A116" s="177"/>
      <c r="B116" s="177"/>
      <c r="C116" s="177"/>
      <c r="D116" s="177"/>
      <c r="E116" s="167" t="s">
        <v>434</v>
      </c>
      <c r="F116" s="167">
        <v>0</v>
      </c>
      <c r="G116" s="167">
        <v>0</v>
      </c>
      <c r="H116" s="167">
        <v>0</v>
      </c>
      <c r="I116" s="177"/>
      <c r="J116" s="177"/>
      <c r="K116" s="177"/>
      <c r="L116" s="177"/>
      <c r="M116" s="177"/>
      <c r="N116" s="177"/>
      <c r="O116" s="177"/>
      <c r="P116" s="177"/>
    </row>
    <row r="117" spans="1:16" x14ac:dyDescent="0.25">
      <c r="A117" s="177"/>
      <c r="B117" s="177"/>
      <c r="C117" s="177"/>
      <c r="D117" s="177"/>
      <c r="E117" s="167" t="s">
        <v>433</v>
      </c>
      <c r="F117" s="167">
        <v>0</v>
      </c>
      <c r="G117" s="167">
        <v>0</v>
      </c>
      <c r="H117" s="167">
        <v>0</v>
      </c>
      <c r="I117" s="177"/>
      <c r="J117" s="177"/>
      <c r="K117" s="177"/>
      <c r="L117" s="177"/>
      <c r="M117" s="177"/>
      <c r="N117" s="177"/>
      <c r="O117" s="177"/>
      <c r="P117" s="177"/>
    </row>
    <row r="118" spans="1:16" x14ac:dyDescent="0.25">
      <c r="A118" s="177"/>
      <c r="B118" s="177"/>
      <c r="C118" s="177"/>
      <c r="D118" s="177"/>
      <c r="E118" s="167" t="s">
        <v>434</v>
      </c>
      <c r="F118" s="167" t="s">
        <v>293</v>
      </c>
      <c r="G118" s="167" t="s">
        <v>947</v>
      </c>
      <c r="H118" s="167" t="s">
        <v>293</v>
      </c>
      <c r="I118" s="177"/>
      <c r="J118" s="177"/>
      <c r="K118" s="177"/>
      <c r="L118" s="177"/>
      <c r="M118" s="177"/>
      <c r="N118" s="177"/>
      <c r="O118" s="177"/>
      <c r="P118" s="177"/>
    </row>
    <row r="119" spans="1:16" x14ac:dyDescent="0.25">
      <c r="A119" s="177" t="s">
        <v>859</v>
      </c>
      <c r="B119" s="177" t="s">
        <v>950</v>
      </c>
      <c r="C119" s="177">
        <v>40</v>
      </c>
      <c r="D119" s="177">
        <v>65</v>
      </c>
      <c r="E119" s="167" t="s">
        <v>433</v>
      </c>
      <c r="F119" s="167" t="s">
        <v>294</v>
      </c>
      <c r="G119" s="167" t="s">
        <v>293</v>
      </c>
      <c r="H119" s="167" t="s">
        <v>967</v>
      </c>
      <c r="I119" s="177" t="s">
        <v>285</v>
      </c>
      <c r="J119" s="177" t="s">
        <v>914</v>
      </c>
      <c r="K119" s="177" t="s">
        <v>914</v>
      </c>
      <c r="L119" s="177" t="s">
        <v>914</v>
      </c>
      <c r="M119" s="177">
        <v>1070</v>
      </c>
      <c r="N119" s="177">
        <v>50</v>
      </c>
      <c r="O119" s="177"/>
      <c r="P119" s="178" t="s">
        <v>1365</v>
      </c>
    </row>
    <row r="120" spans="1:16" x14ac:dyDescent="0.25">
      <c r="A120" s="177"/>
      <c r="B120" s="177"/>
      <c r="C120" s="177"/>
      <c r="D120" s="177"/>
      <c r="E120" s="167" t="s">
        <v>434</v>
      </c>
      <c r="F120" s="167">
        <v>0</v>
      </c>
      <c r="G120" s="167">
        <v>0</v>
      </c>
      <c r="H120" s="167" t="s">
        <v>944</v>
      </c>
      <c r="I120" s="177"/>
      <c r="J120" s="177"/>
      <c r="K120" s="177"/>
      <c r="L120" s="177"/>
      <c r="M120" s="177"/>
      <c r="N120" s="177"/>
      <c r="O120" s="177"/>
      <c r="P120" s="177"/>
    </row>
    <row r="121" spans="1:16" x14ac:dyDescent="0.25">
      <c r="A121" s="177"/>
      <c r="B121" s="177"/>
      <c r="C121" s="177"/>
      <c r="D121" s="177"/>
      <c r="E121" s="167" t="s">
        <v>433</v>
      </c>
      <c r="F121" s="167">
        <v>0</v>
      </c>
      <c r="G121" s="167">
        <v>0</v>
      </c>
      <c r="H121" s="167">
        <v>0</v>
      </c>
      <c r="I121" s="177"/>
      <c r="J121" s="177"/>
      <c r="K121" s="177"/>
      <c r="L121" s="177"/>
      <c r="M121" s="177"/>
      <c r="N121" s="177"/>
      <c r="O121" s="177"/>
      <c r="P121" s="177"/>
    </row>
    <row r="122" spans="1:16" x14ac:dyDescent="0.25">
      <c r="A122" s="177"/>
      <c r="B122" s="177"/>
      <c r="C122" s="177"/>
      <c r="D122" s="177"/>
      <c r="E122" s="167" t="s">
        <v>434</v>
      </c>
      <c r="F122" s="167" t="s">
        <v>954</v>
      </c>
      <c r="G122" s="167" t="s">
        <v>294</v>
      </c>
      <c r="H122" s="167" t="s">
        <v>954</v>
      </c>
      <c r="I122" s="177"/>
      <c r="J122" s="177"/>
      <c r="K122" s="177"/>
      <c r="L122" s="177"/>
      <c r="M122" s="177"/>
      <c r="N122" s="177"/>
      <c r="O122" s="177"/>
      <c r="P122" s="177"/>
    </row>
    <row r="123" spans="1:16" x14ac:dyDescent="0.25">
      <c r="A123" s="177" t="s">
        <v>859</v>
      </c>
      <c r="B123" s="177" t="s">
        <v>950</v>
      </c>
      <c r="C123" s="177">
        <v>40</v>
      </c>
      <c r="D123" s="177">
        <v>65</v>
      </c>
      <c r="E123" s="167" t="s">
        <v>433</v>
      </c>
      <c r="F123" s="167" t="s">
        <v>294</v>
      </c>
      <c r="G123" s="167" t="s">
        <v>293</v>
      </c>
      <c r="H123" s="167" t="s">
        <v>967</v>
      </c>
      <c r="I123" s="177" t="s">
        <v>285</v>
      </c>
      <c r="J123" s="177" t="s">
        <v>914</v>
      </c>
      <c r="K123" s="177" t="s">
        <v>914</v>
      </c>
      <c r="L123" s="177" t="s">
        <v>914</v>
      </c>
      <c r="M123" s="177">
        <v>1070</v>
      </c>
      <c r="N123" s="177">
        <v>50</v>
      </c>
      <c r="O123" s="177"/>
      <c r="P123" s="178" t="s">
        <v>1365</v>
      </c>
    </row>
    <row r="124" spans="1:16" x14ac:dyDescent="0.25">
      <c r="A124" s="177"/>
      <c r="B124" s="177"/>
      <c r="C124" s="177"/>
      <c r="D124" s="177"/>
      <c r="E124" s="167" t="s">
        <v>434</v>
      </c>
      <c r="F124" s="167">
        <v>0</v>
      </c>
      <c r="G124" s="167">
        <v>0</v>
      </c>
      <c r="H124" s="167" t="s">
        <v>944</v>
      </c>
      <c r="I124" s="177"/>
      <c r="J124" s="177"/>
      <c r="K124" s="177"/>
      <c r="L124" s="177"/>
      <c r="M124" s="177"/>
      <c r="N124" s="177"/>
      <c r="O124" s="177"/>
      <c r="P124" s="177"/>
    </row>
    <row r="125" spans="1:16" x14ac:dyDescent="0.25">
      <c r="A125" s="177"/>
      <c r="B125" s="177"/>
      <c r="C125" s="177"/>
      <c r="D125" s="177"/>
      <c r="E125" s="167" t="s">
        <v>433</v>
      </c>
      <c r="F125" s="167">
        <v>0</v>
      </c>
      <c r="G125" s="167">
        <v>0</v>
      </c>
      <c r="H125" s="167">
        <v>0</v>
      </c>
      <c r="I125" s="177"/>
      <c r="J125" s="177"/>
      <c r="K125" s="177"/>
      <c r="L125" s="177"/>
      <c r="M125" s="177"/>
      <c r="N125" s="177"/>
      <c r="O125" s="177"/>
      <c r="P125" s="177"/>
    </row>
    <row r="126" spans="1:16" x14ac:dyDescent="0.25">
      <c r="A126" s="177"/>
      <c r="B126" s="177"/>
      <c r="C126" s="177"/>
      <c r="D126" s="177"/>
      <c r="E126" s="167" t="s">
        <v>434</v>
      </c>
      <c r="F126" s="167" t="s">
        <v>954</v>
      </c>
      <c r="G126" s="167" t="s">
        <v>294</v>
      </c>
      <c r="H126" s="167" t="s">
        <v>954</v>
      </c>
      <c r="I126" s="177"/>
      <c r="J126" s="177"/>
      <c r="K126" s="177"/>
      <c r="L126" s="177"/>
      <c r="M126" s="177"/>
      <c r="N126" s="177"/>
      <c r="O126" s="177"/>
      <c r="P126" s="177"/>
    </row>
    <row r="127" spans="1:16" x14ac:dyDescent="0.25">
      <c r="A127" s="177" t="s">
        <v>859</v>
      </c>
      <c r="B127" s="177" t="s">
        <v>950</v>
      </c>
      <c r="C127" s="177">
        <v>40</v>
      </c>
      <c r="D127" s="177">
        <v>65</v>
      </c>
      <c r="E127" s="167" t="s">
        <v>433</v>
      </c>
      <c r="F127" s="167" t="s">
        <v>294</v>
      </c>
      <c r="G127" s="167" t="s">
        <v>293</v>
      </c>
      <c r="H127" s="167" t="s">
        <v>967</v>
      </c>
      <c r="I127" s="177" t="s">
        <v>285</v>
      </c>
      <c r="J127" s="177" t="s">
        <v>914</v>
      </c>
      <c r="K127" s="177" t="s">
        <v>914</v>
      </c>
      <c r="L127" s="177" t="s">
        <v>914</v>
      </c>
      <c r="M127" s="177">
        <v>1070</v>
      </c>
      <c r="N127" s="177">
        <v>50</v>
      </c>
      <c r="O127" s="177"/>
      <c r="P127" s="178" t="s">
        <v>1365</v>
      </c>
    </row>
    <row r="128" spans="1:16" x14ac:dyDescent="0.25">
      <c r="A128" s="177"/>
      <c r="B128" s="177"/>
      <c r="C128" s="177"/>
      <c r="D128" s="177"/>
      <c r="E128" s="167" t="s">
        <v>434</v>
      </c>
      <c r="F128" s="167">
        <v>0</v>
      </c>
      <c r="G128" s="167">
        <v>0</v>
      </c>
      <c r="H128" s="167" t="s">
        <v>944</v>
      </c>
      <c r="I128" s="177"/>
      <c r="J128" s="177"/>
      <c r="K128" s="177"/>
      <c r="L128" s="177"/>
      <c r="M128" s="177"/>
      <c r="N128" s="177"/>
      <c r="O128" s="177"/>
      <c r="P128" s="177"/>
    </row>
    <row r="129" spans="1:16" x14ac:dyDescent="0.25">
      <c r="A129" s="177"/>
      <c r="B129" s="177"/>
      <c r="C129" s="177"/>
      <c r="D129" s="177"/>
      <c r="E129" s="167" t="s">
        <v>433</v>
      </c>
      <c r="F129" s="167">
        <v>0</v>
      </c>
      <c r="G129" s="167">
        <v>0</v>
      </c>
      <c r="H129" s="167">
        <v>0</v>
      </c>
      <c r="I129" s="177"/>
      <c r="J129" s="177"/>
      <c r="K129" s="177"/>
      <c r="L129" s="177"/>
      <c r="M129" s="177"/>
      <c r="N129" s="177"/>
      <c r="O129" s="177"/>
      <c r="P129" s="177"/>
    </row>
    <row r="130" spans="1:16" x14ac:dyDescent="0.25">
      <c r="A130" s="177"/>
      <c r="B130" s="177"/>
      <c r="C130" s="177"/>
      <c r="D130" s="177"/>
      <c r="E130" s="167" t="s">
        <v>434</v>
      </c>
      <c r="F130" s="167" t="s">
        <v>954</v>
      </c>
      <c r="G130" s="167" t="s">
        <v>294</v>
      </c>
      <c r="H130" s="167" t="s">
        <v>954</v>
      </c>
      <c r="I130" s="177"/>
      <c r="J130" s="177"/>
      <c r="K130" s="177"/>
      <c r="L130" s="177"/>
      <c r="M130" s="177"/>
      <c r="N130" s="177"/>
      <c r="O130" s="177"/>
      <c r="P130" s="177"/>
    </row>
    <row r="131" spans="1:16" x14ac:dyDescent="0.25">
      <c r="A131" s="177" t="s">
        <v>859</v>
      </c>
      <c r="B131" s="177" t="s">
        <v>999</v>
      </c>
      <c r="C131" s="177">
        <v>40</v>
      </c>
      <c r="D131" s="177">
        <v>65</v>
      </c>
      <c r="E131" s="167" t="s">
        <v>433</v>
      </c>
      <c r="F131" s="167" t="s">
        <v>954</v>
      </c>
      <c r="G131" s="167" t="s">
        <v>293</v>
      </c>
      <c r="H131" s="167" t="s">
        <v>954</v>
      </c>
      <c r="I131" s="177" t="s">
        <v>285</v>
      </c>
      <c r="J131" s="177" t="s">
        <v>914</v>
      </c>
      <c r="K131" s="177" t="s">
        <v>914</v>
      </c>
      <c r="L131" s="177" t="s">
        <v>914</v>
      </c>
      <c r="M131" s="177">
        <v>830</v>
      </c>
      <c r="N131" s="177">
        <v>50</v>
      </c>
      <c r="O131" s="177"/>
      <c r="P131" s="178" t="s">
        <v>1365</v>
      </c>
    </row>
    <row r="132" spans="1:16" x14ac:dyDescent="0.25">
      <c r="A132" s="177"/>
      <c r="B132" s="177"/>
      <c r="C132" s="177"/>
      <c r="D132" s="177"/>
      <c r="E132" s="167" t="s">
        <v>434</v>
      </c>
      <c r="F132" s="167">
        <v>0</v>
      </c>
      <c r="G132" s="167">
        <v>0</v>
      </c>
      <c r="H132" s="167">
        <v>0</v>
      </c>
      <c r="I132" s="177"/>
      <c r="J132" s="177"/>
      <c r="K132" s="177"/>
      <c r="L132" s="177"/>
      <c r="M132" s="177"/>
      <c r="N132" s="177"/>
      <c r="O132" s="177"/>
      <c r="P132" s="177"/>
    </row>
    <row r="133" spans="1:16" x14ac:dyDescent="0.25">
      <c r="A133" s="177"/>
      <c r="B133" s="177"/>
      <c r="C133" s="177"/>
      <c r="D133" s="177"/>
      <c r="E133" s="167" t="s">
        <v>433</v>
      </c>
      <c r="F133" s="167">
        <v>0</v>
      </c>
      <c r="G133" s="167">
        <v>0</v>
      </c>
      <c r="H133" s="167">
        <v>0</v>
      </c>
      <c r="I133" s="177"/>
      <c r="J133" s="177"/>
      <c r="K133" s="177"/>
      <c r="L133" s="177"/>
      <c r="M133" s="177"/>
      <c r="N133" s="177"/>
      <c r="O133" s="177"/>
      <c r="P133" s="177"/>
    </row>
    <row r="134" spans="1:16" x14ac:dyDescent="0.25">
      <c r="A134" s="177"/>
      <c r="B134" s="177"/>
      <c r="C134" s="177"/>
      <c r="D134" s="177"/>
      <c r="E134" s="167" t="s">
        <v>434</v>
      </c>
      <c r="F134" s="167" t="s">
        <v>947</v>
      </c>
      <c r="G134" s="167" t="s">
        <v>947</v>
      </c>
      <c r="H134" s="167" t="s">
        <v>293</v>
      </c>
      <c r="I134" s="177"/>
      <c r="J134" s="177"/>
      <c r="K134" s="177"/>
      <c r="L134" s="177"/>
      <c r="M134" s="177"/>
      <c r="N134" s="177"/>
      <c r="O134" s="177"/>
      <c r="P134" s="177"/>
    </row>
    <row r="135" spans="1:16" x14ac:dyDescent="0.25">
      <c r="A135" s="177" t="s">
        <v>859</v>
      </c>
      <c r="B135" s="177" t="s">
        <v>1000</v>
      </c>
      <c r="C135" s="177">
        <v>40</v>
      </c>
      <c r="D135" s="177">
        <v>65</v>
      </c>
      <c r="E135" s="167" t="s">
        <v>433</v>
      </c>
      <c r="F135" s="167" t="s">
        <v>954</v>
      </c>
      <c r="G135" s="167" t="s">
        <v>293</v>
      </c>
      <c r="H135" s="167" t="s">
        <v>954</v>
      </c>
      <c r="I135" s="177" t="s">
        <v>285</v>
      </c>
      <c r="J135" s="177" t="s">
        <v>914</v>
      </c>
      <c r="K135" s="177" t="s">
        <v>914</v>
      </c>
      <c r="L135" s="177" t="s">
        <v>914</v>
      </c>
      <c r="M135" s="177">
        <v>830</v>
      </c>
      <c r="N135" s="177">
        <v>50</v>
      </c>
      <c r="O135" s="177"/>
      <c r="P135" s="178" t="s">
        <v>1365</v>
      </c>
    </row>
    <row r="136" spans="1:16" x14ac:dyDescent="0.25">
      <c r="A136" s="177"/>
      <c r="B136" s="177"/>
      <c r="C136" s="177"/>
      <c r="D136" s="177"/>
      <c r="E136" s="167" t="s">
        <v>434</v>
      </c>
      <c r="F136" s="167">
        <v>0</v>
      </c>
      <c r="G136" s="167">
        <v>0</v>
      </c>
      <c r="H136" s="167">
        <v>0</v>
      </c>
      <c r="I136" s="177"/>
      <c r="J136" s="177"/>
      <c r="K136" s="177"/>
      <c r="L136" s="177"/>
      <c r="M136" s="177"/>
      <c r="N136" s="177"/>
      <c r="O136" s="177"/>
      <c r="P136" s="177"/>
    </row>
    <row r="137" spans="1:16" x14ac:dyDescent="0.25">
      <c r="A137" s="177"/>
      <c r="B137" s="177"/>
      <c r="C137" s="177"/>
      <c r="D137" s="177"/>
      <c r="E137" s="167" t="s">
        <v>433</v>
      </c>
      <c r="F137" s="167">
        <v>0</v>
      </c>
      <c r="G137" s="167">
        <v>0</v>
      </c>
      <c r="H137" s="167">
        <v>0</v>
      </c>
      <c r="I137" s="177"/>
      <c r="J137" s="177"/>
      <c r="K137" s="177"/>
      <c r="L137" s="177"/>
      <c r="M137" s="177"/>
      <c r="N137" s="177"/>
      <c r="O137" s="177"/>
      <c r="P137" s="177"/>
    </row>
    <row r="138" spans="1:16" x14ac:dyDescent="0.25">
      <c r="A138" s="177"/>
      <c r="B138" s="177"/>
      <c r="C138" s="177"/>
      <c r="D138" s="177"/>
      <c r="E138" s="167" t="s">
        <v>434</v>
      </c>
      <c r="F138" s="167" t="s">
        <v>293</v>
      </c>
      <c r="G138" s="167" t="s">
        <v>947</v>
      </c>
      <c r="H138" s="167" t="s">
        <v>293</v>
      </c>
      <c r="I138" s="177"/>
      <c r="J138" s="177"/>
      <c r="K138" s="177"/>
      <c r="L138" s="177"/>
      <c r="M138" s="177"/>
      <c r="N138" s="177"/>
      <c r="O138" s="177"/>
      <c r="P138" s="177"/>
    </row>
    <row r="139" spans="1:16" x14ac:dyDescent="0.25">
      <c r="A139" s="177" t="s">
        <v>859</v>
      </c>
      <c r="B139" s="177" t="s">
        <v>976</v>
      </c>
      <c r="C139" s="177">
        <v>40</v>
      </c>
      <c r="D139" s="177">
        <v>65</v>
      </c>
      <c r="E139" s="167" t="s">
        <v>433</v>
      </c>
      <c r="F139" s="167" t="s">
        <v>954</v>
      </c>
      <c r="G139" s="167" t="s">
        <v>293</v>
      </c>
      <c r="H139" s="167" t="s">
        <v>954</v>
      </c>
      <c r="I139" s="177" t="s">
        <v>285</v>
      </c>
      <c r="J139" s="177" t="s">
        <v>914</v>
      </c>
      <c r="K139" s="177" t="s">
        <v>914</v>
      </c>
      <c r="L139" s="177" t="s">
        <v>914</v>
      </c>
      <c r="M139" s="177">
        <v>830</v>
      </c>
      <c r="N139" s="177">
        <v>50</v>
      </c>
      <c r="O139" s="177"/>
      <c r="P139" s="178" t="s">
        <v>1365</v>
      </c>
    </row>
    <row r="140" spans="1:16" x14ac:dyDescent="0.25">
      <c r="A140" s="177"/>
      <c r="B140" s="177"/>
      <c r="C140" s="177"/>
      <c r="D140" s="177"/>
      <c r="E140" s="167" t="s">
        <v>434</v>
      </c>
      <c r="F140" s="167">
        <v>0</v>
      </c>
      <c r="G140" s="167">
        <v>0</v>
      </c>
      <c r="H140" s="167">
        <v>0</v>
      </c>
      <c r="I140" s="177"/>
      <c r="J140" s="177"/>
      <c r="K140" s="177"/>
      <c r="L140" s="177"/>
      <c r="M140" s="177"/>
      <c r="N140" s="177"/>
      <c r="O140" s="177"/>
      <c r="P140" s="177"/>
    </row>
    <row r="141" spans="1:16" x14ac:dyDescent="0.25">
      <c r="A141" s="177"/>
      <c r="B141" s="177"/>
      <c r="C141" s="177"/>
      <c r="D141" s="177"/>
      <c r="E141" s="167" t="s">
        <v>433</v>
      </c>
      <c r="F141" s="167">
        <v>0</v>
      </c>
      <c r="G141" s="167">
        <v>0</v>
      </c>
      <c r="H141" s="167">
        <v>0</v>
      </c>
      <c r="I141" s="177"/>
      <c r="J141" s="177"/>
      <c r="K141" s="177"/>
      <c r="L141" s="177"/>
      <c r="M141" s="177"/>
      <c r="N141" s="177"/>
      <c r="O141" s="177"/>
      <c r="P141" s="177"/>
    </row>
    <row r="142" spans="1:16" x14ac:dyDescent="0.25">
      <c r="A142" s="177"/>
      <c r="B142" s="177"/>
      <c r="C142" s="177"/>
      <c r="D142" s="177"/>
      <c r="E142" s="167" t="s">
        <v>434</v>
      </c>
      <c r="F142" s="167" t="s">
        <v>293</v>
      </c>
      <c r="G142" s="167" t="s">
        <v>947</v>
      </c>
      <c r="H142" s="167" t="s">
        <v>293</v>
      </c>
      <c r="I142" s="177"/>
      <c r="J142" s="177"/>
      <c r="K142" s="177"/>
      <c r="L142" s="177"/>
      <c r="M142" s="177"/>
      <c r="N142" s="177"/>
      <c r="O142" s="177"/>
      <c r="P142" s="177"/>
    </row>
    <row r="143" spans="1:16" x14ac:dyDescent="0.25">
      <c r="A143" s="177" t="s">
        <v>859</v>
      </c>
      <c r="B143" s="177" t="s">
        <v>977</v>
      </c>
      <c r="C143" s="177">
        <v>40</v>
      </c>
      <c r="D143" s="177">
        <v>65</v>
      </c>
      <c r="E143" s="167" t="s">
        <v>433</v>
      </c>
      <c r="F143" s="167" t="s">
        <v>954</v>
      </c>
      <c r="G143" s="167" t="s">
        <v>293</v>
      </c>
      <c r="H143" s="167" t="s">
        <v>954</v>
      </c>
      <c r="I143" s="177" t="s">
        <v>285</v>
      </c>
      <c r="J143" s="177" t="s">
        <v>914</v>
      </c>
      <c r="K143" s="177" t="s">
        <v>914</v>
      </c>
      <c r="L143" s="177" t="s">
        <v>914</v>
      </c>
      <c r="M143" s="177">
        <v>830</v>
      </c>
      <c r="N143" s="177">
        <v>50</v>
      </c>
      <c r="O143" s="177"/>
      <c r="P143" s="178" t="s">
        <v>1365</v>
      </c>
    </row>
    <row r="144" spans="1:16" x14ac:dyDescent="0.25">
      <c r="A144" s="177"/>
      <c r="B144" s="177"/>
      <c r="C144" s="177"/>
      <c r="D144" s="177"/>
      <c r="E144" s="167" t="s">
        <v>434</v>
      </c>
      <c r="F144" s="167">
        <v>0</v>
      </c>
      <c r="G144" s="167">
        <v>0</v>
      </c>
      <c r="H144" s="167">
        <v>0</v>
      </c>
      <c r="I144" s="177"/>
      <c r="J144" s="177"/>
      <c r="K144" s="177"/>
      <c r="L144" s="177"/>
      <c r="M144" s="177"/>
      <c r="N144" s="177"/>
      <c r="O144" s="177"/>
      <c r="P144" s="177"/>
    </row>
    <row r="145" spans="1:16" x14ac:dyDescent="0.25">
      <c r="A145" s="177"/>
      <c r="B145" s="177"/>
      <c r="C145" s="177"/>
      <c r="D145" s="177"/>
      <c r="E145" s="167" t="s">
        <v>433</v>
      </c>
      <c r="F145" s="167">
        <v>0</v>
      </c>
      <c r="G145" s="167">
        <v>0</v>
      </c>
      <c r="H145" s="167">
        <v>0</v>
      </c>
      <c r="I145" s="177"/>
      <c r="J145" s="177"/>
      <c r="K145" s="177"/>
      <c r="L145" s="177"/>
      <c r="M145" s="177"/>
      <c r="N145" s="177"/>
      <c r="O145" s="177"/>
      <c r="P145" s="177"/>
    </row>
    <row r="146" spans="1:16" x14ac:dyDescent="0.25">
      <c r="A146" s="177"/>
      <c r="B146" s="177"/>
      <c r="C146" s="177"/>
      <c r="D146" s="177"/>
      <c r="E146" s="167" t="s">
        <v>434</v>
      </c>
      <c r="F146" s="167" t="s">
        <v>293</v>
      </c>
      <c r="G146" s="167" t="s">
        <v>947</v>
      </c>
      <c r="H146" s="167" t="s">
        <v>293</v>
      </c>
      <c r="I146" s="177"/>
      <c r="J146" s="177"/>
      <c r="K146" s="177"/>
      <c r="L146" s="177"/>
      <c r="M146" s="177"/>
      <c r="N146" s="177"/>
      <c r="O146" s="177"/>
      <c r="P146" s="177"/>
    </row>
    <row r="147" spans="1:16" x14ac:dyDescent="0.25">
      <c r="A147" s="177" t="s">
        <v>859</v>
      </c>
      <c r="B147" s="177" t="s">
        <v>978</v>
      </c>
      <c r="C147" s="177">
        <v>40</v>
      </c>
      <c r="D147" s="177">
        <v>65</v>
      </c>
      <c r="E147" s="167" t="s">
        <v>433</v>
      </c>
      <c r="F147" s="167" t="s">
        <v>954</v>
      </c>
      <c r="G147" s="167" t="s">
        <v>293</v>
      </c>
      <c r="H147" s="167" t="s">
        <v>293</v>
      </c>
      <c r="I147" s="177" t="s">
        <v>285</v>
      </c>
      <c r="J147" s="177" t="s">
        <v>914</v>
      </c>
      <c r="K147" s="177" t="s">
        <v>914</v>
      </c>
      <c r="L147" s="177" t="s">
        <v>914</v>
      </c>
      <c r="M147" s="177">
        <v>830</v>
      </c>
      <c r="N147" s="177">
        <v>50</v>
      </c>
      <c r="O147" s="177"/>
      <c r="P147" s="178" t="s">
        <v>1365</v>
      </c>
    </row>
    <row r="148" spans="1:16" x14ac:dyDescent="0.25">
      <c r="A148" s="177"/>
      <c r="B148" s="177"/>
      <c r="C148" s="177"/>
      <c r="D148" s="177"/>
      <c r="E148" s="167" t="s">
        <v>434</v>
      </c>
      <c r="F148" s="167">
        <v>0</v>
      </c>
      <c r="G148" s="167">
        <v>0</v>
      </c>
      <c r="H148" s="167">
        <v>0</v>
      </c>
      <c r="I148" s="177"/>
      <c r="J148" s="177"/>
      <c r="K148" s="177"/>
      <c r="L148" s="177"/>
      <c r="M148" s="177"/>
      <c r="N148" s="177"/>
      <c r="O148" s="177"/>
      <c r="P148" s="177"/>
    </row>
    <row r="149" spans="1:16" x14ac:dyDescent="0.25">
      <c r="A149" s="177"/>
      <c r="B149" s="177"/>
      <c r="C149" s="177"/>
      <c r="D149" s="177"/>
      <c r="E149" s="167" t="s">
        <v>433</v>
      </c>
      <c r="F149" s="167">
        <v>0</v>
      </c>
      <c r="G149" s="167">
        <v>0</v>
      </c>
      <c r="H149" s="167">
        <v>0</v>
      </c>
      <c r="I149" s="177"/>
      <c r="J149" s="177"/>
      <c r="K149" s="177"/>
      <c r="L149" s="177"/>
      <c r="M149" s="177"/>
      <c r="N149" s="177"/>
      <c r="O149" s="177"/>
      <c r="P149" s="177"/>
    </row>
    <row r="150" spans="1:16" x14ac:dyDescent="0.25">
      <c r="A150" s="177"/>
      <c r="B150" s="177"/>
      <c r="C150" s="177"/>
      <c r="D150" s="177"/>
      <c r="E150" s="167" t="s">
        <v>434</v>
      </c>
      <c r="F150" s="167" t="s">
        <v>293</v>
      </c>
      <c r="G150" s="167" t="s">
        <v>947</v>
      </c>
      <c r="H150" s="167" t="s">
        <v>293</v>
      </c>
      <c r="I150" s="177"/>
      <c r="J150" s="177"/>
      <c r="K150" s="177"/>
      <c r="L150" s="177"/>
      <c r="M150" s="177"/>
      <c r="N150" s="177"/>
      <c r="O150" s="177"/>
      <c r="P150" s="177"/>
    </row>
    <row r="151" spans="1:16" x14ac:dyDescent="0.25">
      <c r="A151" s="177" t="s">
        <v>859</v>
      </c>
      <c r="B151" s="177" t="s">
        <v>1001</v>
      </c>
      <c r="C151" s="177">
        <v>40</v>
      </c>
      <c r="D151" s="177">
        <v>65</v>
      </c>
      <c r="E151" s="167" t="s">
        <v>433</v>
      </c>
      <c r="F151" s="167" t="s">
        <v>293</v>
      </c>
      <c r="G151" s="167" t="s">
        <v>293</v>
      </c>
      <c r="H151" s="167" t="s">
        <v>944</v>
      </c>
      <c r="I151" s="177" t="s">
        <v>285</v>
      </c>
      <c r="J151" s="177" t="s">
        <v>914</v>
      </c>
      <c r="K151" s="177" t="s">
        <v>914</v>
      </c>
      <c r="L151" s="177" t="s">
        <v>914</v>
      </c>
      <c r="M151" s="177">
        <v>575</v>
      </c>
      <c r="N151" s="177">
        <v>50</v>
      </c>
      <c r="O151" s="177"/>
      <c r="P151" s="179" t="s">
        <v>1367</v>
      </c>
    </row>
    <row r="152" spans="1:16" x14ac:dyDescent="0.25">
      <c r="A152" s="177"/>
      <c r="B152" s="177"/>
      <c r="C152" s="177"/>
      <c r="D152" s="177"/>
      <c r="E152" s="167" t="s">
        <v>434</v>
      </c>
      <c r="F152" s="167">
        <v>0</v>
      </c>
      <c r="G152" s="167">
        <v>0</v>
      </c>
      <c r="H152" s="167">
        <v>0</v>
      </c>
      <c r="I152" s="177"/>
      <c r="J152" s="177"/>
      <c r="K152" s="177"/>
      <c r="L152" s="177"/>
      <c r="M152" s="177"/>
      <c r="N152" s="177"/>
      <c r="O152" s="177"/>
      <c r="P152" s="177"/>
    </row>
    <row r="153" spans="1:16" x14ac:dyDescent="0.25">
      <c r="A153" s="177"/>
      <c r="B153" s="177"/>
      <c r="C153" s="177"/>
      <c r="D153" s="177"/>
      <c r="E153" s="167" t="s">
        <v>433</v>
      </c>
      <c r="F153" s="167">
        <v>0</v>
      </c>
      <c r="G153" s="167">
        <v>0</v>
      </c>
      <c r="H153" s="167">
        <v>0</v>
      </c>
      <c r="I153" s="177"/>
      <c r="J153" s="177"/>
      <c r="K153" s="177"/>
      <c r="L153" s="177"/>
      <c r="M153" s="177"/>
      <c r="N153" s="177"/>
      <c r="O153" s="177"/>
      <c r="P153" s="177"/>
    </row>
    <row r="154" spans="1:16" x14ac:dyDescent="0.25">
      <c r="A154" s="177"/>
      <c r="B154" s="177"/>
      <c r="C154" s="177"/>
      <c r="D154" s="177"/>
      <c r="E154" s="167" t="s">
        <v>434</v>
      </c>
      <c r="F154" s="167" t="s">
        <v>293</v>
      </c>
      <c r="G154" s="167" t="s">
        <v>947</v>
      </c>
      <c r="H154" s="167" t="s">
        <v>293</v>
      </c>
      <c r="I154" s="177"/>
      <c r="J154" s="177"/>
      <c r="K154" s="177"/>
      <c r="L154" s="177"/>
      <c r="M154" s="177"/>
      <c r="N154" s="177"/>
      <c r="O154" s="177"/>
      <c r="P154" s="177"/>
    </row>
    <row r="155" spans="1:16" x14ac:dyDescent="0.25">
      <c r="A155" s="177" t="s">
        <v>859</v>
      </c>
      <c r="B155" s="177" t="s">
        <v>1003</v>
      </c>
      <c r="C155" s="177">
        <v>40</v>
      </c>
      <c r="D155" s="177">
        <v>65</v>
      </c>
      <c r="E155" s="167" t="s">
        <v>433</v>
      </c>
      <c r="F155" s="167" t="s">
        <v>293</v>
      </c>
      <c r="G155" s="167" t="s">
        <v>293</v>
      </c>
      <c r="H155" s="167" t="s">
        <v>294</v>
      </c>
      <c r="I155" s="177" t="s">
        <v>285</v>
      </c>
      <c r="J155" s="177" t="s">
        <v>914</v>
      </c>
      <c r="K155" s="177" t="s">
        <v>914</v>
      </c>
      <c r="L155" s="177" t="s">
        <v>914</v>
      </c>
      <c r="M155" s="177">
        <v>830</v>
      </c>
      <c r="N155" s="177">
        <v>50</v>
      </c>
      <c r="O155" s="177"/>
      <c r="P155" s="178" t="s">
        <v>1365</v>
      </c>
    </row>
    <row r="156" spans="1:16" x14ac:dyDescent="0.25">
      <c r="A156" s="177"/>
      <c r="B156" s="177"/>
      <c r="C156" s="177"/>
      <c r="D156" s="177"/>
      <c r="E156" s="167" t="s">
        <v>434</v>
      </c>
      <c r="F156" s="167">
        <v>0</v>
      </c>
      <c r="G156" s="167">
        <v>0</v>
      </c>
      <c r="H156" s="167">
        <v>0</v>
      </c>
      <c r="I156" s="177"/>
      <c r="J156" s="177"/>
      <c r="K156" s="177"/>
      <c r="L156" s="177"/>
      <c r="M156" s="177"/>
      <c r="N156" s="177"/>
      <c r="O156" s="177"/>
      <c r="P156" s="177"/>
    </row>
    <row r="157" spans="1:16" x14ac:dyDescent="0.25">
      <c r="A157" s="177"/>
      <c r="B157" s="177"/>
      <c r="C157" s="177"/>
      <c r="D157" s="177"/>
      <c r="E157" s="167" t="s">
        <v>433</v>
      </c>
      <c r="F157" s="167">
        <v>0</v>
      </c>
      <c r="G157" s="167">
        <v>0</v>
      </c>
      <c r="H157" s="167">
        <v>0</v>
      </c>
      <c r="I157" s="177"/>
      <c r="J157" s="177"/>
      <c r="K157" s="177"/>
      <c r="L157" s="177"/>
      <c r="M157" s="177"/>
      <c r="N157" s="177"/>
      <c r="O157" s="177"/>
      <c r="P157" s="177"/>
    </row>
    <row r="158" spans="1:16" x14ac:dyDescent="0.25">
      <c r="A158" s="177"/>
      <c r="B158" s="177"/>
      <c r="C158" s="177"/>
      <c r="D158" s="177"/>
      <c r="E158" s="167" t="s">
        <v>434</v>
      </c>
      <c r="F158" s="167" t="s">
        <v>947</v>
      </c>
      <c r="G158" s="167" t="s">
        <v>954</v>
      </c>
      <c r="H158" s="167" t="s">
        <v>293</v>
      </c>
      <c r="I158" s="177"/>
      <c r="J158" s="177"/>
      <c r="K158" s="177"/>
      <c r="L158" s="177"/>
      <c r="M158" s="177"/>
      <c r="N158" s="177"/>
      <c r="O158" s="177"/>
      <c r="P158" s="177"/>
    </row>
    <row r="159" spans="1:16" x14ac:dyDescent="0.25">
      <c r="A159" s="177" t="s">
        <v>859</v>
      </c>
      <c r="B159" s="177" t="s">
        <v>1004</v>
      </c>
      <c r="C159" s="177">
        <v>40</v>
      </c>
      <c r="D159" s="177">
        <v>65</v>
      </c>
      <c r="E159" s="167" t="s">
        <v>433</v>
      </c>
      <c r="F159" s="167" t="s">
        <v>294</v>
      </c>
      <c r="G159" s="167" t="s">
        <v>293</v>
      </c>
      <c r="H159" s="167" t="s">
        <v>954</v>
      </c>
      <c r="I159" s="177" t="s">
        <v>285</v>
      </c>
      <c r="J159" s="177" t="s">
        <v>914</v>
      </c>
      <c r="K159" s="177" t="s">
        <v>914</v>
      </c>
      <c r="L159" s="177" t="s">
        <v>914</v>
      </c>
      <c r="M159" s="177">
        <v>830</v>
      </c>
      <c r="N159" s="177">
        <v>50</v>
      </c>
      <c r="O159" s="177"/>
      <c r="P159" s="178" t="s">
        <v>1365</v>
      </c>
    </row>
    <row r="160" spans="1:16" x14ac:dyDescent="0.25">
      <c r="A160" s="177"/>
      <c r="B160" s="177"/>
      <c r="C160" s="177"/>
      <c r="D160" s="177"/>
      <c r="E160" s="167" t="s">
        <v>434</v>
      </c>
      <c r="F160" s="167">
        <v>0</v>
      </c>
      <c r="G160" s="167">
        <v>0</v>
      </c>
      <c r="H160" s="167">
        <v>0</v>
      </c>
      <c r="I160" s="177"/>
      <c r="J160" s="177"/>
      <c r="K160" s="177"/>
      <c r="L160" s="177"/>
      <c r="M160" s="177"/>
      <c r="N160" s="177"/>
      <c r="O160" s="177"/>
      <c r="P160" s="177"/>
    </row>
    <row r="161" spans="1:16" x14ac:dyDescent="0.25">
      <c r="A161" s="177"/>
      <c r="B161" s="177"/>
      <c r="C161" s="177"/>
      <c r="D161" s="177"/>
      <c r="E161" s="167" t="s">
        <v>433</v>
      </c>
      <c r="F161" s="167">
        <v>0</v>
      </c>
      <c r="G161" s="167">
        <v>0</v>
      </c>
      <c r="H161" s="167">
        <v>0</v>
      </c>
      <c r="I161" s="177"/>
      <c r="J161" s="177"/>
      <c r="K161" s="177"/>
      <c r="L161" s="177"/>
      <c r="M161" s="177"/>
      <c r="N161" s="177"/>
      <c r="O161" s="177"/>
      <c r="P161" s="177"/>
    </row>
    <row r="162" spans="1:16" x14ac:dyDescent="0.25">
      <c r="A162" s="177"/>
      <c r="B162" s="177"/>
      <c r="C162" s="177"/>
      <c r="D162" s="177"/>
      <c r="E162" s="167" t="s">
        <v>434</v>
      </c>
      <c r="F162" s="167" t="s">
        <v>293</v>
      </c>
      <c r="G162" s="167" t="s">
        <v>947</v>
      </c>
      <c r="H162" s="167" t="s">
        <v>293</v>
      </c>
      <c r="I162" s="177"/>
      <c r="J162" s="177"/>
      <c r="K162" s="177"/>
      <c r="L162" s="177"/>
      <c r="M162" s="177"/>
      <c r="N162" s="177"/>
      <c r="O162" s="177"/>
      <c r="P162" s="177"/>
    </row>
    <row r="163" spans="1:16" x14ac:dyDescent="0.25">
      <c r="A163" s="177" t="s">
        <v>859</v>
      </c>
      <c r="B163" s="177" t="s">
        <v>1005</v>
      </c>
      <c r="C163" s="177">
        <v>40</v>
      </c>
      <c r="D163" s="177">
        <v>65</v>
      </c>
      <c r="E163" s="167" t="s">
        <v>433</v>
      </c>
      <c r="F163" s="167" t="s">
        <v>954</v>
      </c>
      <c r="G163" s="167" t="s">
        <v>293</v>
      </c>
      <c r="H163" s="167" t="s">
        <v>954</v>
      </c>
      <c r="I163" s="177" t="s">
        <v>285</v>
      </c>
      <c r="J163" s="177" t="s">
        <v>914</v>
      </c>
      <c r="K163" s="177" t="s">
        <v>914</v>
      </c>
      <c r="L163" s="177" t="s">
        <v>914</v>
      </c>
      <c r="M163" s="177">
        <v>830</v>
      </c>
      <c r="N163" s="177">
        <v>50</v>
      </c>
      <c r="O163" s="177"/>
      <c r="P163" s="178" t="s">
        <v>1365</v>
      </c>
    </row>
    <row r="164" spans="1:16" x14ac:dyDescent="0.25">
      <c r="A164" s="177"/>
      <c r="B164" s="177"/>
      <c r="C164" s="177"/>
      <c r="D164" s="177"/>
      <c r="E164" s="167" t="s">
        <v>434</v>
      </c>
      <c r="F164" s="167">
        <v>0</v>
      </c>
      <c r="G164" s="167">
        <v>0</v>
      </c>
      <c r="H164" s="167">
        <v>0</v>
      </c>
      <c r="I164" s="177"/>
      <c r="J164" s="177"/>
      <c r="K164" s="177"/>
      <c r="L164" s="177"/>
      <c r="M164" s="177"/>
      <c r="N164" s="177"/>
      <c r="O164" s="177"/>
      <c r="P164" s="177"/>
    </row>
    <row r="165" spans="1:16" x14ac:dyDescent="0.25">
      <c r="A165" s="177"/>
      <c r="B165" s="177"/>
      <c r="C165" s="177"/>
      <c r="D165" s="177"/>
      <c r="E165" s="167" t="s">
        <v>433</v>
      </c>
      <c r="F165" s="167">
        <v>0</v>
      </c>
      <c r="G165" s="167">
        <v>0</v>
      </c>
      <c r="H165" s="167">
        <v>0</v>
      </c>
      <c r="I165" s="177"/>
      <c r="J165" s="177"/>
      <c r="K165" s="177"/>
      <c r="L165" s="177"/>
      <c r="M165" s="177"/>
      <c r="N165" s="177"/>
      <c r="O165" s="177"/>
      <c r="P165" s="177"/>
    </row>
    <row r="166" spans="1:16" x14ac:dyDescent="0.25">
      <c r="A166" s="177"/>
      <c r="B166" s="177"/>
      <c r="C166" s="177"/>
      <c r="D166" s="177"/>
      <c r="E166" s="167" t="s">
        <v>434</v>
      </c>
      <c r="F166" s="167" t="s">
        <v>293</v>
      </c>
      <c r="G166" s="167" t="s">
        <v>954</v>
      </c>
      <c r="H166" s="167" t="s">
        <v>293</v>
      </c>
      <c r="I166" s="177"/>
      <c r="J166" s="177"/>
      <c r="K166" s="177"/>
      <c r="L166" s="177"/>
      <c r="M166" s="177"/>
      <c r="N166" s="177"/>
      <c r="O166" s="177"/>
      <c r="P166" s="177"/>
    </row>
    <row r="167" spans="1:16" x14ac:dyDescent="0.25">
      <c r="A167" s="177" t="s">
        <v>859</v>
      </c>
      <c r="B167" s="177" t="s">
        <v>1006</v>
      </c>
      <c r="C167" s="177">
        <v>40</v>
      </c>
      <c r="D167" s="177">
        <v>65</v>
      </c>
      <c r="E167" s="167" t="s">
        <v>433</v>
      </c>
      <c r="F167" s="167" t="s">
        <v>954</v>
      </c>
      <c r="G167" s="167" t="s">
        <v>293</v>
      </c>
      <c r="H167" s="167" t="s">
        <v>294</v>
      </c>
      <c r="I167" s="177" t="s">
        <v>285</v>
      </c>
      <c r="J167" s="177" t="s">
        <v>914</v>
      </c>
      <c r="K167" s="177" t="s">
        <v>914</v>
      </c>
      <c r="L167" s="177" t="s">
        <v>914</v>
      </c>
      <c r="M167" s="177">
        <v>830</v>
      </c>
      <c r="N167" s="177">
        <v>50</v>
      </c>
      <c r="O167" s="177"/>
      <c r="P167" s="178" t="s">
        <v>1365</v>
      </c>
    </row>
    <row r="168" spans="1:16" x14ac:dyDescent="0.25">
      <c r="A168" s="177"/>
      <c r="B168" s="177"/>
      <c r="C168" s="177"/>
      <c r="D168" s="177"/>
      <c r="E168" s="167" t="s">
        <v>434</v>
      </c>
      <c r="F168" s="167">
        <v>0</v>
      </c>
      <c r="G168" s="167">
        <v>0</v>
      </c>
      <c r="H168" s="167">
        <v>0</v>
      </c>
      <c r="I168" s="177"/>
      <c r="J168" s="177"/>
      <c r="K168" s="177"/>
      <c r="L168" s="177"/>
      <c r="M168" s="177"/>
      <c r="N168" s="177"/>
      <c r="O168" s="177"/>
      <c r="P168" s="177"/>
    </row>
    <row r="169" spans="1:16" x14ac:dyDescent="0.25">
      <c r="A169" s="177"/>
      <c r="B169" s="177"/>
      <c r="C169" s="177"/>
      <c r="D169" s="177"/>
      <c r="E169" s="167" t="s">
        <v>433</v>
      </c>
      <c r="F169" s="167">
        <v>0</v>
      </c>
      <c r="G169" s="167">
        <v>0</v>
      </c>
      <c r="H169" s="167">
        <v>0</v>
      </c>
      <c r="I169" s="177"/>
      <c r="J169" s="177"/>
      <c r="K169" s="177"/>
      <c r="L169" s="177"/>
      <c r="M169" s="177"/>
      <c r="N169" s="177"/>
      <c r="O169" s="177"/>
      <c r="P169" s="177"/>
    </row>
    <row r="170" spans="1:16" x14ac:dyDescent="0.25">
      <c r="A170" s="177"/>
      <c r="B170" s="177"/>
      <c r="C170" s="177"/>
      <c r="D170" s="177"/>
      <c r="E170" s="167" t="s">
        <v>434</v>
      </c>
      <c r="F170" s="167" t="s">
        <v>293</v>
      </c>
      <c r="G170" s="167" t="s">
        <v>947</v>
      </c>
      <c r="H170" s="167" t="s">
        <v>293</v>
      </c>
      <c r="I170" s="177"/>
      <c r="J170" s="177"/>
      <c r="K170" s="177"/>
      <c r="L170" s="177"/>
      <c r="M170" s="177"/>
      <c r="N170" s="177"/>
      <c r="O170" s="177"/>
      <c r="P170" s="177"/>
    </row>
    <row r="171" spans="1:16" x14ac:dyDescent="0.25">
      <c r="A171" s="177" t="s">
        <v>859</v>
      </c>
      <c r="B171" s="177" t="s">
        <v>1007</v>
      </c>
      <c r="C171" s="177">
        <v>40</v>
      </c>
      <c r="D171" s="177">
        <v>65</v>
      </c>
      <c r="E171" s="167" t="s">
        <v>433</v>
      </c>
      <c r="F171" s="167" t="s">
        <v>294</v>
      </c>
      <c r="G171" s="167" t="s">
        <v>293</v>
      </c>
      <c r="H171" s="167" t="s">
        <v>947</v>
      </c>
      <c r="I171" s="177" t="s">
        <v>285</v>
      </c>
      <c r="J171" s="177" t="s">
        <v>914</v>
      </c>
      <c r="K171" s="177" t="s">
        <v>914</v>
      </c>
      <c r="L171" s="177" t="s">
        <v>914</v>
      </c>
      <c r="M171" s="177">
        <v>830</v>
      </c>
      <c r="N171" s="177">
        <v>50</v>
      </c>
      <c r="O171" s="177"/>
      <c r="P171" s="178" t="s">
        <v>1365</v>
      </c>
    </row>
    <row r="172" spans="1:16" x14ac:dyDescent="0.25">
      <c r="A172" s="177"/>
      <c r="B172" s="177"/>
      <c r="C172" s="177"/>
      <c r="D172" s="177"/>
      <c r="E172" s="167" t="s">
        <v>434</v>
      </c>
      <c r="F172" s="167">
        <v>0</v>
      </c>
      <c r="G172" s="167">
        <v>0</v>
      </c>
      <c r="H172" s="167">
        <v>0</v>
      </c>
      <c r="I172" s="177"/>
      <c r="J172" s="177"/>
      <c r="K172" s="177"/>
      <c r="L172" s="177"/>
      <c r="M172" s="177"/>
      <c r="N172" s="177"/>
      <c r="O172" s="177"/>
      <c r="P172" s="177"/>
    </row>
    <row r="173" spans="1:16" x14ac:dyDescent="0.25">
      <c r="A173" s="177"/>
      <c r="B173" s="177"/>
      <c r="C173" s="177"/>
      <c r="D173" s="177"/>
      <c r="E173" s="167" t="s">
        <v>433</v>
      </c>
      <c r="F173" s="167">
        <v>0</v>
      </c>
      <c r="G173" s="167">
        <v>0</v>
      </c>
      <c r="H173" s="167">
        <v>0</v>
      </c>
      <c r="I173" s="177"/>
      <c r="J173" s="177"/>
      <c r="K173" s="177"/>
      <c r="L173" s="177"/>
      <c r="M173" s="177"/>
      <c r="N173" s="177"/>
      <c r="O173" s="177"/>
      <c r="P173" s="177"/>
    </row>
    <row r="174" spans="1:16" x14ac:dyDescent="0.25">
      <c r="A174" s="177"/>
      <c r="B174" s="177"/>
      <c r="C174" s="177"/>
      <c r="D174" s="177"/>
      <c r="E174" s="167" t="s">
        <v>434</v>
      </c>
      <c r="F174" s="167" t="s">
        <v>293</v>
      </c>
      <c r="G174" s="167" t="s">
        <v>947</v>
      </c>
      <c r="H174" s="167" t="s">
        <v>293</v>
      </c>
      <c r="I174" s="177"/>
      <c r="J174" s="177"/>
      <c r="K174" s="177"/>
      <c r="L174" s="177"/>
      <c r="M174" s="177"/>
      <c r="N174" s="177"/>
      <c r="O174" s="177"/>
      <c r="P174" s="177"/>
    </row>
    <row r="175" spans="1:16" x14ac:dyDescent="0.25">
      <c r="A175" s="177" t="s">
        <v>859</v>
      </c>
      <c r="B175" s="177" t="s">
        <v>1008</v>
      </c>
      <c r="C175" s="177">
        <v>40</v>
      </c>
      <c r="D175" s="177">
        <v>65</v>
      </c>
      <c r="E175" s="167" t="s">
        <v>433</v>
      </c>
      <c r="F175" s="167" t="s">
        <v>947</v>
      </c>
      <c r="G175" s="167" t="s">
        <v>293</v>
      </c>
      <c r="H175" s="167" t="s">
        <v>944</v>
      </c>
      <c r="I175" s="177" t="s">
        <v>285</v>
      </c>
      <c r="J175" s="177" t="s">
        <v>914</v>
      </c>
      <c r="K175" s="177" t="s">
        <v>914</v>
      </c>
      <c r="L175" s="177" t="s">
        <v>914</v>
      </c>
      <c r="M175" s="177">
        <v>575</v>
      </c>
      <c r="N175" s="177">
        <v>50</v>
      </c>
      <c r="O175" s="177"/>
      <c r="P175" s="179" t="s">
        <v>1367</v>
      </c>
    </row>
    <row r="176" spans="1:16" x14ac:dyDescent="0.25">
      <c r="A176" s="177"/>
      <c r="B176" s="177"/>
      <c r="C176" s="177"/>
      <c r="D176" s="177"/>
      <c r="E176" s="167" t="s">
        <v>434</v>
      </c>
      <c r="F176" s="167">
        <v>0</v>
      </c>
      <c r="G176" s="167">
        <v>0</v>
      </c>
      <c r="H176" s="167">
        <v>0</v>
      </c>
      <c r="I176" s="177"/>
      <c r="J176" s="177"/>
      <c r="K176" s="177"/>
      <c r="L176" s="177"/>
      <c r="M176" s="177"/>
      <c r="N176" s="177"/>
      <c r="O176" s="177"/>
      <c r="P176" s="177"/>
    </row>
    <row r="177" spans="1:16" x14ac:dyDescent="0.25">
      <c r="A177" s="177"/>
      <c r="B177" s="177"/>
      <c r="C177" s="177"/>
      <c r="D177" s="177"/>
      <c r="E177" s="167" t="s">
        <v>433</v>
      </c>
      <c r="F177" s="167">
        <v>0</v>
      </c>
      <c r="G177" s="167">
        <v>0</v>
      </c>
      <c r="H177" s="167">
        <v>0</v>
      </c>
      <c r="I177" s="177"/>
      <c r="J177" s="177"/>
      <c r="K177" s="177"/>
      <c r="L177" s="177"/>
      <c r="M177" s="177"/>
      <c r="N177" s="177"/>
      <c r="O177" s="177"/>
      <c r="P177" s="177"/>
    </row>
    <row r="178" spans="1:16" x14ac:dyDescent="0.25">
      <c r="A178" s="177"/>
      <c r="B178" s="177"/>
      <c r="C178" s="177"/>
      <c r="D178" s="177"/>
      <c r="E178" s="167" t="s">
        <v>434</v>
      </c>
      <c r="F178" s="167" t="s">
        <v>293</v>
      </c>
      <c r="G178" s="167" t="s">
        <v>293</v>
      </c>
      <c r="H178" s="167" t="s">
        <v>293</v>
      </c>
      <c r="I178" s="177"/>
      <c r="J178" s="177"/>
      <c r="K178" s="177"/>
      <c r="L178" s="177"/>
      <c r="M178" s="177"/>
      <c r="N178" s="177"/>
      <c r="O178" s="177"/>
      <c r="P178" s="177"/>
    </row>
    <row r="179" spans="1:16" x14ac:dyDescent="0.25">
      <c r="A179" s="177" t="s">
        <v>859</v>
      </c>
      <c r="B179" s="177" t="s">
        <v>998</v>
      </c>
      <c r="C179" s="177">
        <v>40</v>
      </c>
      <c r="D179" s="177">
        <v>65</v>
      </c>
      <c r="E179" s="167" t="s">
        <v>433</v>
      </c>
      <c r="F179" s="167" t="s">
        <v>944</v>
      </c>
      <c r="G179" s="167" t="s">
        <v>293</v>
      </c>
      <c r="H179" s="167" t="s">
        <v>954</v>
      </c>
      <c r="I179" s="177" t="s">
        <v>285</v>
      </c>
      <c r="J179" s="177" t="s">
        <v>914</v>
      </c>
      <c r="K179" s="177" t="s">
        <v>914</v>
      </c>
      <c r="L179" s="177" t="s">
        <v>914</v>
      </c>
      <c r="M179" s="177">
        <v>830</v>
      </c>
      <c r="N179" s="177">
        <v>50</v>
      </c>
      <c r="O179" s="177"/>
      <c r="P179" s="179" t="s">
        <v>1364</v>
      </c>
    </row>
    <row r="180" spans="1:16" x14ac:dyDescent="0.25">
      <c r="A180" s="177"/>
      <c r="B180" s="177"/>
      <c r="C180" s="177"/>
      <c r="D180" s="177"/>
      <c r="E180" s="167" t="s">
        <v>434</v>
      </c>
      <c r="F180" s="167">
        <v>0</v>
      </c>
      <c r="G180" s="167">
        <v>0</v>
      </c>
      <c r="H180" s="167">
        <v>0</v>
      </c>
      <c r="I180" s="177"/>
      <c r="J180" s="177"/>
      <c r="K180" s="177"/>
      <c r="L180" s="177"/>
      <c r="M180" s="177"/>
      <c r="N180" s="177"/>
      <c r="O180" s="177"/>
      <c r="P180" s="177"/>
    </row>
    <row r="181" spans="1:16" x14ac:dyDescent="0.25">
      <c r="A181" s="177"/>
      <c r="B181" s="177"/>
      <c r="C181" s="177"/>
      <c r="D181" s="177"/>
      <c r="E181" s="167" t="s">
        <v>433</v>
      </c>
      <c r="F181" s="167">
        <v>0</v>
      </c>
      <c r="G181" s="167">
        <v>0</v>
      </c>
      <c r="H181" s="167">
        <v>0</v>
      </c>
      <c r="I181" s="177"/>
      <c r="J181" s="177"/>
      <c r="K181" s="177"/>
      <c r="L181" s="177"/>
      <c r="M181" s="177"/>
      <c r="N181" s="177"/>
      <c r="O181" s="177"/>
      <c r="P181" s="177"/>
    </row>
    <row r="182" spans="1:16" x14ac:dyDescent="0.25">
      <c r="A182" s="177"/>
      <c r="B182" s="177"/>
      <c r="C182" s="177"/>
      <c r="D182" s="177"/>
      <c r="E182" s="167" t="s">
        <v>434</v>
      </c>
      <c r="F182" s="167" t="s">
        <v>954</v>
      </c>
      <c r="G182" s="167" t="s">
        <v>294</v>
      </c>
      <c r="H182" s="167" t="s">
        <v>947</v>
      </c>
      <c r="I182" s="177"/>
      <c r="J182" s="177"/>
      <c r="K182" s="177"/>
      <c r="L182" s="177"/>
      <c r="M182" s="177"/>
      <c r="N182" s="177"/>
      <c r="O182" s="177"/>
      <c r="P182" s="177"/>
    </row>
    <row r="183" spans="1:16" x14ac:dyDescent="0.25">
      <c r="A183" s="177" t="s">
        <v>859</v>
      </c>
      <c r="B183" s="177" t="s">
        <v>958</v>
      </c>
      <c r="C183" s="177">
        <v>40</v>
      </c>
      <c r="D183" s="177">
        <v>65</v>
      </c>
      <c r="E183" s="167" t="s">
        <v>433</v>
      </c>
      <c r="F183" s="167" t="s">
        <v>967</v>
      </c>
      <c r="G183" s="167" t="s">
        <v>293</v>
      </c>
      <c r="H183" s="167" t="s">
        <v>294</v>
      </c>
      <c r="I183" s="177" t="s">
        <v>285</v>
      </c>
      <c r="J183" s="177" t="s">
        <v>914</v>
      </c>
      <c r="K183" s="177" t="s">
        <v>914</v>
      </c>
      <c r="L183" s="177" t="s">
        <v>914</v>
      </c>
      <c r="M183" s="177">
        <v>830</v>
      </c>
      <c r="N183" s="177">
        <v>50</v>
      </c>
      <c r="O183" s="177"/>
      <c r="P183" s="178" t="s">
        <v>1365</v>
      </c>
    </row>
    <row r="184" spans="1:16" x14ac:dyDescent="0.25">
      <c r="A184" s="177"/>
      <c r="B184" s="177"/>
      <c r="C184" s="177"/>
      <c r="D184" s="177"/>
      <c r="E184" s="167" t="s">
        <v>434</v>
      </c>
      <c r="F184" s="167" t="s">
        <v>293</v>
      </c>
      <c r="G184" s="167">
        <v>0</v>
      </c>
      <c r="H184" s="167">
        <v>0</v>
      </c>
      <c r="I184" s="177"/>
      <c r="J184" s="177"/>
      <c r="K184" s="177"/>
      <c r="L184" s="177"/>
      <c r="M184" s="177"/>
      <c r="N184" s="177"/>
      <c r="O184" s="177"/>
      <c r="P184" s="177"/>
    </row>
    <row r="185" spans="1:16" x14ac:dyDescent="0.25">
      <c r="A185" s="177"/>
      <c r="B185" s="177"/>
      <c r="C185" s="177"/>
      <c r="D185" s="177"/>
      <c r="E185" s="167" t="s">
        <v>433</v>
      </c>
      <c r="F185" s="167">
        <v>0</v>
      </c>
      <c r="G185" s="167">
        <v>0</v>
      </c>
      <c r="H185" s="167">
        <v>0</v>
      </c>
      <c r="I185" s="177"/>
      <c r="J185" s="177"/>
      <c r="K185" s="177"/>
      <c r="L185" s="177"/>
      <c r="M185" s="177"/>
      <c r="N185" s="177"/>
      <c r="O185" s="177"/>
      <c r="P185" s="177"/>
    </row>
    <row r="186" spans="1:16" x14ac:dyDescent="0.25">
      <c r="A186" s="177"/>
      <c r="B186" s="177"/>
      <c r="C186" s="177"/>
      <c r="D186" s="177"/>
      <c r="E186" s="167" t="s">
        <v>434</v>
      </c>
      <c r="F186" s="167" t="s">
        <v>293</v>
      </c>
      <c r="G186" s="167" t="s">
        <v>947</v>
      </c>
      <c r="H186" s="167" t="s">
        <v>293</v>
      </c>
      <c r="I186" s="177"/>
      <c r="J186" s="177"/>
      <c r="K186" s="177"/>
      <c r="L186" s="177"/>
      <c r="M186" s="177"/>
      <c r="N186" s="177"/>
      <c r="O186" s="177"/>
      <c r="P186" s="177"/>
    </row>
    <row r="187" spans="1:16" x14ac:dyDescent="0.25">
      <c r="A187" s="177" t="s">
        <v>859</v>
      </c>
      <c r="B187" s="177" t="s">
        <v>958</v>
      </c>
      <c r="C187" s="177">
        <v>40</v>
      </c>
      <c r="D187" s="177">
        <v>65</v>
      </c>
      <c r="E187" s="167" t="s">
        <v>433</v>
      </c>
      <c r="F187" s="167" t="s">
        <v>967</v>
      </c>
      <c r="G187" s="167" t="s">
        <v>293</v>
      </c>
      <c r="H187" s="167" t="s">
        <v>294</v>
      </c>
      <c r="I187" s="177" t="s">
        <v>285</v>
      </c>
      <c r="J187" s="177" t="s">
        <v>914</v>
      </c>
      <c r="K187" s="177" t="s">
        <v>914</v>
      </c>
      <c r="L187" s="177" t="s">
        <v>914</v>
      </c>
      <c r="M187" s="177">
        <v>830</v>
      </c>
      <c r="N187" s="177">
        <v>50</v>
      </c>
      <c r="O187" s="177"/>
      <c r="P187" s="178" t="s">
        <v>1365</v>
      </c>
    </row>
    <row r="188" spans="1:16" x14ac:dyDescent="0.25">
      <c r="A188" s="177"/>
      <c r="B188" s="177"/>
      <c r="C188" s="177"/>
      <c r="D188" s="177"/>
      <c r="E188" s="167" t="s">
        <v>434</v>
      </c>
      <c r="F188" s="167" t="s">
        <v>293</v>
      </c>
      <c r="G188" s="167">
        <v>0</v>
      </c>
      <c r="H188" s="167">
        <v>0</v>
      </c>
      <c r="I188" s="177"/>
      <c r="J188" s="177"/>
      <c r="K188" s="177"/>
      <c r="L188" s="177"/>
      <c r="M188" s="177"/>
      <c r="N188" s="177"/>
      <c r="O188" s="177"/>
      <c r="P188" s="177"/>
    </row>
    <row r="189" spans="1:16" x14ac:dyDescent="0.25">
      <c r="A189" s="177"/>
      <c r="B189" s="177"/>
      <c r="C189" s="177"/>
      <c r="D189" s="177"/>
      <c r="E189" s="167" t="s">
        <v>433</v>
      </c>
      <c r="F189" s="167">
        <v>0</v>
      </c>
      <c r="G189" s="167">
        <v>0</v>
      </c>
      <c r="H189" s="167">
        <v>0</v>
      </c>
      <c r="I189" s="177"/>
      <c r="J189" s="177"/>
      <c r="K189" s="177"/>
      <c r="L189" s="177"/>
      <c r="M189" s="177"/>
      <c r="N189" s="177"/>
      <c r="O189" s="177"/>
      <c r="P189" s="177"/>
    </row>
    <row r="190" spans="1:16" x14ac:dyDescent="0.25">
      <c r="A190" s="177"/>
      <c r="B190" s="177"/>
      <c r="C190" s="177"/>
      <c r="D190" s="177"/>
      <c r="E190" s="167" t="s">
        <v>434</v>
      </c>
      <c r="F190" s="167" t="s">
        <v>293</v>
      </c>
      <c r="G190" s="167" t="s">
        <v>947</v>
      </c>
      <c r="H190" s="167" t="s">
        <v>293</v>
      </c>
      <c r="I190" s="177"/>
      <c r="J190" s="177"/>
      <c r="K190" s="177"/>
      <c r="L190" s="177"/>
      <c r="M190" s="177"/>
      <c r="N190" s="177"/>
      <c r="O190" s="177"/>
      <c r="P190" s="177"/>
    </row>
    <row r="191" spans="1:16" x14ac:dyDescent="0.25">
      <c r="A191" s="177" t="s">
        <v>859</v>
      </c>
      <c r="B191" s="177" t="s">
        <v>958</v>
      </c>
      <c r="C191" s="177">
        <v>40</v>
      </c>
      <c r="D191" s="177">
        <v>65</v>
      </c>
      <c r="E191" s="167" t="s">
        <v>433</v>
      </c>
      <c r="F191" s="167" t="s">
        <v>967</v>
      </c>
      <c r="G191" s="167" t="s">
        <v>293</v>
      </c>
      <c r="H191" s="167" t="s">
        <v>294</v>
      </c>
      <c r="I191" s="177" t="s">
        <v>285</v>
      </c>
      <c r="J191" s="177" t="s">
        <v>914</v>
      </c>
      <c r="K191" s="177" t="s">
        <v>914</v>
      </c>
      <c r="L191" s="177" t="s">
        <v>914</v>
      </c>
      <c r="M191" s="177">
        <v>830</v>
      </c>
      <c r="N191" s="177">
        <v>50</v>
      </c>
      <c r="O191" s="177"/>
      <c r="P191" s="178" t="s">
        <v>1365</v>
      </c>
    </row>
    <row r="192" spans="1:16" x14ac:dyDescent="0.25">
      <c r="A192" s="177"/>
      <c r="B192" s="177"/>
      <c r="C192" s="177"/>
      <c r="D192" s="177"/>
      <c r="E192" s="167" t="s">
        <v>434</v>
      </c>
      <c r="F192" s="167" t="s">
        <v>293</v>
      </c>
      <c r="G192" s="167">
        <v>0</v>
      </c>
      <c r="H192" s="167">
        <v>0</v>
      </c>
      <c r="I192" s="177"/>
      <c r="J192" s="177"/>
      <c r="K192" s="177"/>
      <c r="L192" s="177"/>
      <c r="M192" s="177"/>
      <c r="N192" s="177"/>
      <c r="O192" s="177"/>
      <c r="P192" s="177"/>
    </row>
    <row r="193" spans="1:16" x14ac:dyDescent="0.25">
      <c r="A193" s="177"/>
      <c r="B193" s="177"/>
      <c r="C193" s="177"/>
      <c r="D193" s="177"/>
      <c r="E193" s="167" t="s">
        <v>433</v>
      </c>
      <c r="F193" s="167">
        <v>0</v>
      </c>
      <c r="G193" s="167">
        <v>0</v>
      </c>
      <c r="H193" s="167">
        <v>0</v>
      </c>
      <c r="I193" s="177"/>
      <c r="J193" s="177"/>
      <c r="K193" s="177"/>
      <c r="L193" s="177"/>
      <c r="M193" s="177"/>
      <c r="N193" s="177"/>
      <c r="O193" s="177"/>
      <c r="P193" s="177"/>
    </row>
    <row r="194" spans="1:16" x14ac:dyDescent="0.25">
      <c r="A194" s="177"/>
      <c r="B194" s="177"/>
      <c r="C194" s="177"/>
      <c r="D194" s="177"/>
      <c r="E194" s="167" t="s">
        <v>434</v>
      </c>
      <c r="F194" s="167" t="s">
        <v>293</v>
      </c>
      <c r="G194" s="167" t="s">
        <v>947</v>
      </c>
      <c r="H194" s="167" t="s">
        <v>293</v>
      </c>
      <c r="I194" s="177"/>
      <c r="J194" s="177"/>
      <c r="K194" s="177"/>
      <c r="L194" s="177"/>
      <c r="M194" s="177"/>
      <c r="N194" s="177"/>
      <c r="O194" s="177"/>
      <c r="P194" s="177"/>
    </row>
    <row r="195" spans="1:16" x14ac:dyDescent="0.25">
      <c r="A195" s="177" t="s">
        <v>859</v>
      </c>
      <c r="B195" s="177" t="s">
        <v>957</v>
      </c>
      <c r="C195" s="177">
        <v>40</v>
      </c>
      <c r="D195" s="177">
        <v>65</v>
      </c>
      <c r="E195" s="167" t="s">
        <v>433</v>
      </c>
      <c r="F195" s="167" t="s">
        <v>294</v>
      </c>
      <c r="G195" s="167" t="s">
        <v>293</v>
      </c>
      <c r="H195" s="167" t="s">
        <v>967</v>
      </c>
      <c r="I195" s="177" t="s">
        <v>285</v>
      </c>
      <c r="J195" s="177" t="s">
        <v>914</v>
      </c>
      <c r="K195" s="177" t="s">
        <v>914</v>
      </c>
      <c r="L195" s="177" t="s">
        <v>914</v>
      </c>
      <c r="M195" s="177">
        <v>1070</v>
      </c>
      <c r="N195" s="177">
        <v>50</v>
      </c>
      <c r="O195" s="177"/>
      <c r="P195" s="178" t="s">
        <v>1365</v>
      </c>
    </row>
    <row r="196" spans="1:16" x14ac:dyDescent="0.25">
      <c r="A196" s="177"/>
      <c r="B196" s="177"/>
      <c r="C196" s="177"/>
      <c r="D196" s="177"/>
      <c r="E196" s="167" t="s">
        <v>434</v>
      </c>
      <c r="F196" s="167">
        <v>0</v>
      </c>
      <c r="G196" s="167">
        <v>0</v>
      </c>
      <c r="H196" s="167" t="s">
        <v>944</v>
      </c>
      <c r="I196" s="177"/>
      <c r="J196" s="177"/>
      <c r="K196" s="177"/>
      <c r="L196" s="177"/>
      <c r="M196" s="177"/>
      <c r="N196" s="177"/>
      <c r="O196" s="177"/>
      <c r="P196" s="177"/>
    </row>
    <row r="197" spans="1:16" x14ac:dyDescent="0.25">
      <c r="A197" s="177"/>
      <c r="B197" s="177"/>
      <c r="C197" s="177"/>
      <c r="D197" s="177"/>
      <c r="E197" s="167" t="s">
        <v>433</v>
      </c>
      <c r="F197" s="167">
        <v>0</v>
      </c>
      <c r="G197" s="167">
        <v>0</v>
      </c>
      <c r="H197" s="167">
        <v>0</v>
      </c>
      <c r="I197" s="177"/>
      <c r="J197" s="177"/>
      <c r="K197" s="177"/>
      <c r="L197" s="177"/>
      <c r="M197" s="177"/>
      <c r="N197" s="177"/>
      <c r="O197" s="177"/>
      <c r="P197" s="177"/>
    </row>
    <row r="198" spans="1:16" x14ac:dyDescent="0.25">
      <c r="A198" s="177"/>
      <c r="B198" s="177"/>
      <c r="C198" s="177"/>
      <c r="D198" s="177"/>
      <c r="E198" s="167" t="s">
        <v>434</v>
      </c>
      <c r="F198" s="167" t="s">
        <v>954</v>
      </c>
      <c r="G198" s="167" t="s">
        <v>294</v>
      </c>
      <c r="H198" s="167" t="s">
        <v>954</v>
      </c>
      <c r="I198" s="177"/>
      <c r="J198" s="177"/>
      <c r="K198" s="177"/>
      <c r="L198" s="177"/>
      <c r="M198" s="177"/>
      <c r="N198" s="177"/>
      <c r="O198" s="177"/>
      <c r="P198" s="177"/>
    </row>
    <row r="199" spans="1:16" x14ac:dyDescent="0.25">
      <c r="A199" s="177" t="s">
        <v>859</v>
      </c>
      <c r="B199" s="177" t="s">
        <v>957</v>
      </c>
      <c r="C199" s="177">
        <v>40</v>
      </c>
      <c r="D199" s="177">
        <v>65</v>
      </c>
      <c r="E199" s="167" t="s">
        <v>433</v>
      </c>
      <c r="F199" s="167" t="s">
        <v>294</v>
      </c>
      <c r="G199" s="167" t="s">
        <v>293</v>
      </c>
      <c r="H199" s="167" t="s">
        <v>967</v>
      </c>
      <c r="I199" s="177" t="s">
        <v>285</v>
      </c>
      <c r="J199" s="177" t="s">
        <v>914</v>
      </c>
      <c r="K199" s="177" t="s">
        <v>914</v>
      </c>
      <c r="L199" s="177" t="s">
        <v>914</v>
      </c>
      <c r="M199" s="177">
        <v>1070</v>
      </c>
      <c r="N199" s="177">
        <v>50</v>
      </c>
      <c r="O199" s="177"/>
      <c r="P199" s="178" t="s">
        <v>1365</v>
      </c>
    </row>
    <row r="200" spans="1:16" x14ac:dyDescent="0.25">
      <c r="A200" s="177"/>
      <c r="B200" s="177"/>
      <c r="C200" s="177"/>
      <c r="D200" s="177"/>
      <c r="E200" s="167" t="s">
        <v>434</v>
      </c>
      <c r="F200" s="167">
        <v>0</v>
      </c>
      <c r="G200" s="167">
        <v>0</v>
      </c>
      <c r="H200" s="167" t="s">
        <v>944</v>
      </c>
      <c r="I200" s="177"/>
      <c r="J200" s="177"/>
      <c r="K200" s="177"/>
      <c r="L200" s="177"/>
      <c r="M200" s="177"/>
      <c r="N200" s="177"/>
      <c r="O200" s="177"/>
      <c r="P200" s="177"/>
    </row>
    <row r="201" spans="1:16" x14ac:dyDescent="0.25">
      <c r="A201" s="177"/>
      <c r="B201" s="177"/>
      <c r="C201" s="177"/>
      <c r="D201" s="177"/>
      <c r="E201" s="167" t="s">
        <v>433</v>
      </c>
      <c r="F201" s="167">
        <v>0</v>
      </c>
      <c r="G201" s="167">
        <v>0</v>
      </c>
      <c r="H201" s="167">
        <v>0</v>
      </c>
      <c r="I201" s="177"/>
      <c r="J201" s="177"/>
      <c r="K201" s="177"/>
      <c r="L201" s="177"/>
      <c r="M201" s="177"/>
      <c r="N201" s="177"/>
      <c r="O201" s="177"/>
      <c r="P201" s="177"/>
    </row>
    <row r="202" spans="1:16" x14ac:dyDescent="0.25">
      <c r="A202" s="177"/>
      <c r="B202" s="177"/>
      <c r="C202" s="177"/>
      <c r="D202" s="177"/>
      <c r="E202" s="167" t="s">
        <v>434</v>
      </c>
      <c r="F202" s="167" t="s">
        <v>954</v>
      </c>
      <c r="G202" s="167" t="s">
        <v>294</v>
      </c>
      <c r="H202" s="167" t="s">
        <v>954</v>
      </c>
      <c r="I202" s="177"/>
      <c r="J202" s="177"/>
      <c r="K202" s="177"/>
      <c r="L202" s="177"/>
      <c r="M202" s="177"/>
      <c r="N202" s="177"/>
      <c r="O202" s="177"/>
      <c r="P202" s="177"/>
    </row>
    <row r="203" spans="1:16" x14ac:dyDescent="0.25">
      <c r="A203" s="177" t="s">
        <v>859</v>
      </c>
      <c r="B203" s="177" t="s">
        <v>957</v>
      </c>
      <c r="C203" s="177">
        <v>40</v>
      </c>
      <c r="D203" s="177">
        <v>65</v>
      </c>
      <c r="E203" s="167" t="s">
        <v>433</v>
      </c>
      <c r="F203" s="167" t="s">
        <v>294</v>
      </c>
      <c r="G203" s="167" t="s">
        <v>293</v>
      </c>
      <c r="H203" s="167" t="s">
        <v>967</v>
      </c>
      <c r="I203" s="177" t="s">
        <v>285</v>
      </c>
      <c r="J203" s="177" t="s">
        <v>914</v>
      </c>
      <c r="K203" s="177" t="s">
        <v>914</v>
      </c>
      <c r="L203" s="177" t="s">
        <v>914</v>
      </c>
      <c r="M203" s="177">
        <v>1070</v>
      </c>
      <c r="N203" s="177">
        <v>50</v>
      </c>
      <c r="O203" s="177"/>
      <c r="P203" s="178" t="s">
        <v>1365</v>
      </c>
    </row>
    <row r="204" spans="1:16" x14ac:dyDescent="0.25">
      <c r="A204" s="177"/>
      <c r="B204" s="177"/>
      <c r="C204" s="177"/>
      <c r="D204" s="177"/>
      <c r="E204" s="167" t="s">
        <v>434</v>
      </c>
      <c r="F204" s="167">
        <v>0</v>
      </c>
      <c r="G204" s="167">
        <v>0</v>
      </c>
      <c r="H204" s="167" t="s">
        <v>944</v>
      </c>
      <c r="I204" s="177"/>
      <c r="J204" s="177"/>
      <c r="K204" s="177"/>
      <c r="L204" s="177"/>
      <c r="M204" s="177"/>
      <c r="N204" s="177"/>
      <c r="O204" s="177"/>
      <c r="P204" s="177"/>
    </row>
    <row r="205" spans="1:16" x14ac:dyDescent="0.25">
      <c r="A205" s="177"/>
      <c r="B205" s="177"/>
      <c r="C205" s="177"/>
      <c r="D205" s="177"/>
      <c r="E205" s="167" t="s">
        <v>433</v>
      </c>
      <c r="F205" s="167">
        <v>0</v>
      </c>
      <c r="G205" s="167">
        <v>0</v>
      </c>
      <c r="H205" s="167">
        <v>0</v>
      </c>
      <c r="I205" s="177"/>
      <c r="J205" s="177"/>
      <c r="K205" s="177"/>
      <c r="L205" s="177"/>
      <c r="M205" s="177"/>
      <c r="N205" s="177"/>
      <c r="O205" s="177"/>
      <c r="P205" s="177"/>
    </row>
    <row r="206" spans="1:16" x14ac:dyDescent="0.25">
      <c r="A206" s="177"/>
      <c r="B206" s="177"/>
      <c r="C206" s="177"/>
      <c r="D206" s="177"/>
      <c r="E206" s="167" t="s">
        <v>434</v>
      </c>
      <c r="F206" s="167" t="s">
        <v>954</v>
      </c>
      <c r="G206" s="167" t="s">
        <v>294</v>
      </c>
      <c r="H206" s="167" t="s">
        <v>954</v>
      </c>
      <c r="I206" s="177"/>
      <c r="J206" s="177"/>
      <c r="K206" s="177"/>
      <c r="L206" s="177"/>
      <c r="M206" s="177"/>
      <c r="N206" s="177"/>
      <c r="O206" s="177"/>
      <c r="P206" s="177"/>
    </row>
    <row r="207" spans="1:16" x14ac:dyDescent="0.25">
      <c r="A207" s="177" t="s">
        <v>859</v>
      </c>
      <c r="B207" s="177" t="s">
        <v>956</v>
      </c>
      <c r="C207" s="177">
        <v>40</v>
      </c>
      <c r="D207" s="177">
        <v>65</v>
      </c>
      <c r="E207" s="167" t="s">
        <v>433</v>
      </c>
      <c r="F207" s="167" t="s">
        <v>967</v>
      </c>
      <c r="G207" s="167" t="s">
        <v>293</v>
      </c>
      <c r="H207" s="167" t="s">
        <v>294</v>
      </c>
      <c r="I207" s="177" t="s">
        <v>285</v>
      </c>
      <c r="J207" s="177" t="s">
        <v>914</v>
      </c>
      <c r="K207" s="177" t="s">
        <v>914</v>
      </c>
      <c r="L207" s="177" t="s">
        <v>914</v>
      </c>
      <c r="M207" s="177">
        <v>1100</v>
      </c>
      <c r="N207" s="177">
        <v>50</v>
      </c>
      <c r="O207" s="177"/>
      <c r="P207" s="178" t="s">
        <v>1365</v>
      </c>
    </row>
    <row r="208" spans="1:16" x14ac:dyDescent="0.25">
      <c r="A208" s="177"/>
      <c r="B208" s="177"/>
      <c r="C208" s="177"/>
      <c r="D208" s="177"/>
      <c r="E208" s="167" t="s">
        <v>434</v>
      </c>
      <c r="F208" s="167" t="s">
        <v>944</v>
      </c>
      <c r="G208" s="167">
        <v>0</v>
      </c>
      <c r="H208" s="167" t="s">
        <v>944</v>
      </c>
      <c r="I208" s="177"/>
      <c r="J208" s="177"/>
      <c r="K208" s="177"/>
      <c r="L208" s="177"/>
      <c r="M208" s="177"/>
      <c r="N208" s="177"/>
      <c r="O208" s="177"/>
      <c r="P208" s="177"/>
    </row>
    <row r="209" spans="1:16" x14ac:dyDescent="0.25">
      <c r="A209" s="177"/>
      <c r="B209" s="177"/>
      <c r="C209" s="177"/>
      <c r="D209" s="177"/>
      <c r="E209" s="167" t="s">
        <v>433</v>
      </c>
      <c r="F209" s="167">
        <v>0</v>
      </c>
      <c r="G209" s="167">
        <v>0</v>
      </c>
      <c r="H209" s="167">
        <v>0</v>
      </c>
      <c r="I209" s="177"/>
      <c r="J209" s="177"/>
      <c r="K209" s="177"/>
      <c r="L209" s="177"/>
      <c r="M209" s="177"/>
      <c r="N209" s="177"/>
      <c r="O209" s="177"/>
      <c r="P209" s="177"/>
    </row>
    <row r="210" spans="1:16" x14ac:dyDescent="0.25">
      <c r="A210" s="177"/>
      <c r="B210" s="177"/>
      <c r="C210" s="177"/>
      <c r="D210" s="177"/>
      <c r="E210" s="167" t="s">
        <v>434</v>
      </c>
      <c r="F210" s="167" t="s">
        <v>954</v>
      </c>
      <c r="G210" s="167" t="s">
        <v>294</v>
      </c>
      <c r="H210" s="167" t="s">
        <v>954</v>
      </c>
      <c r="I210" s="177"/>
      <c r="J210" s="177"/>
      <c r="K210" s="177"/>
      <c r="L210" s="177"/>
      <c r="M210" s="177"/>
      <c r="N210" s="177"/>
      <c r="O210" s="177"/>
      <c r="P210" s="177"/>
    </row>
    <row r="211" spans="1:16" x14ac:dyDescent="0.25">
      <c r="A211" s="177" t="s">
        <v>859</v>
      </c>
      <c r="B211" s="177" t="s">
        <v>956</v>
      </c>
      <c r="C211" s="177">
        <v>40</v>
      </c>
      <c r="D211" s="177">
        <v>65</v>
      </c>
      <c r="E211" s="167" t="s">
        <v>433</v>
      </c>
      <c r="F211" s="167" t="s">
        <v>967</v>
      </c>
      <c r="G211" s="167" t="s">
        <v>293</v>
      </c>
      <c r="H211" s="167" t="s">
        <v>294</v>
      </c>
      <c r="I211" s="177" t="s">
        <v>285</v>
      </c>
      <c r="J211" s="177" t="s">
        <v>914</v>
      </c>
      <c r="K211" s="177" t="s">
        <v>914</v>
      </c>
      <c r="L211" s="177" t="s">
        <v>914</v>
      </c>
      <c r="M211" s="177">
        <v>1100</v>
      </c>
      <c r="N211" s="177">
        <v>50</v>
      </c>
      <c r="O211" s="177"/>
      <c r="P211" s="178" t="s">
        <v>1365</v>
      </c>
    </row>
    <row r="212" spans="1:16" x14ac:dyDescent="0.25">
      <c r="A212" s="177"/>
      <c r="B212" s="177"/>
      <c r="C212" s="177"/>
      <c r="D212" s="177"/>
      <c r="E212" s="167" t="s">
        <v>434</v>
      </c>
      <c r="F212" s="167" t="s">
        <v>944</v>
      </c>
      <c r="G212" s="167">
        <v>0</v>
      </c>
      <c r="H212" s="167" t="s">
        <v>944</v>
      </c>
      <c r="I212" s="177"/>
      <c r="J212" s="177"/>
      <c r="K212" s="177"/>
      <c r="L212" s="177"/>
      <c r="M212" s="177"/>
      <c r="N212" s="177"/>
      <c r="O212" s="177"/>
      <c r="P212" s="177"/>
    </row>
    <row r="213" spans="1:16" x14ac:dyDescent="0.25">
      <c r="A213" s="177"/>
      <c r="B213" s="177"/>
      <c r="C213" s="177"/>
      <c r="D213" s="177"/>
      <c r="E213" s="167" t="s">
        <v>433</v>
      </c>
      <c r="F213" s="167">
        <v>0</v>
      </c>
      <c r="G213" s="167">
        <v>0</v>
      </c>
      <c r="H213" s="167">
        <v>0</v>
      </c>
      <c r="I213" s="177"/>
      <c r="J213" s="177"/>
      <c r="K213" s="177"/>
      <c r="L213" s="177"/>
      <c r="M213" s="177"/>
      <c r="N213" s="177"/>
      <c r="O213" s="177"/>
      <c r="P213" s="177"/>
    </row>
    <row r="214" spans="1:16" x14ac:dyDescent="0.25">
      <c r="A214" s="177"/>
      <c r="B214" s="177"/>
      <c r="C214" s="177"/>
      <c r="D214" s="177"/>
      <c r="E214" s="167" t="s">
        <v>434</v>
      </c>
      <c r="F214" s="167" t="s">
        <v>954</v>
      </c>
      <c r="G214" s="167" t="s">
        <v>294</v>
      </c>
      <c r="H214" s="167" t="s">
        <v>954</v>
      </c>
      <c r="I214" s="177"/>
      <c r="J214" s="177"/>
      <c r="K214" s="177"/>
      <c r="L214" s="177"/>
      <c r="M214" s="177"/>
      <c r="N214" s="177"/>
      <c r="O214" s="177"/>
      <c r="P214" s="177"/>
    </row>
    <row r="215" spans="1:16" x14ac:dyDescent="0.25">
      <c r="A215" s="177" t="s">
        <v>859</v>
      </c>
      <c r="B215" s="177" t="s">
        <v>956</v>
      </c>
      <c r="C215" s="177">
        <v>40</v>
      </c>
      <c r="D215" s="177">
        <v>65</v>
      </c>
      <c r="E215" s="167" t="s">
        <v>433</v>
      </c>
      <c r="F215" s="167" t="s">
        <v>967</v>
      </c>
      <c r="G215" s="167" t="s">
        <v>293</v>
      </c>
      <c r="H215" s="167" t="s">
        <v>294</v>
      </c>
      <c r="I215" s="177" t="s">
        <v>285</v>
      </c>
      <c r="J215" s="177" t="s">
        <v>914</v>
      </c>
      <c r="K215" s="177" t="s">
        <v>914</v>
      </c>
      <c r="L215" s="177" t="s">
        <v>914</v>
      </c>
      <c r="M215" s="177">
        <v>1100</v>
      </c>
      <c r="N215" s="177">
        <v>50</v>
      </c>
      <c r="O215" s="177"/>
      <c r="P215" s="178" t="s">
        <v>1365</v>
      </c>
    </row>
    <row r="216" spans="1:16" x14ac:dyDescent="0.25">
      <c r="A216" s="177"/>
      <c r="B216" s="177"/>
      <c r="C216" s="177"/>
      <c r="D216" s="177"/>
      <c r="E216" s="167" t="s">
        <v>434</v>
      </c>
      <c r="F216" s="167" t="s">
        <v>944</v>
      </c>
      <c r="G216" s="167">
        <v>0</v>
      </c>
      <c r="H216" s="167" t="s">
        <v>944</v>
      </c>
      <c r="I216" s="177"/>
      <c r="J216" s="177"/>
      <c r="K216" s="177"/>
      <c r="L216" s="177"/>
      <c r="M216" s="177"/>
      <c r="N216" s="177"/>
      <c r="O216" s="177"/>
      <c r="P216" s="177"/>
    </row>
    <row r="217" spans="1:16" x14ac:dyDescent="0.25">
      <c r="A217" s="177"/>
      <c r="B217" s="177"/>
      <c r="C217" s="177"/>
      <c r="D217" s="177"/>
      <c r="E217" s="167" t="s">
        <v>433</v>
      </c>
      <c r="F217" s="167">
        <v>0</v>
      </c>
      <c r="G217" s="167">
        <v>0</v>
      </c>
      <c r="H217" s="167">
        <v>0</v>
      </c>
      <c r="I217" s="177"/>
      <c r="J217" s="177"/>
      <c r="K217" s="177"/>
      <c r="L217" s="177"/>
      <c r="M217" s="177"/>
      <c r="N217" s="177"/>
      <c r="O217" s="177"/>
      <c r="P217" s="177"/>
    </row>
    <row r="218" spans="1:16" x14ac:dyDescent="0.25">
      <c r="A218" s="177"/>
      <c r="B218" s="177"/>
      <c r="C218" s="177"/>
      <c r="D218" s="177"/>
      <c r="E218" s="167" t="s">
        <v>434</v>
      </c>
      <c r="F218" s="167" t="s">
        <v>954</v>
      </c>
      <c r="G218" s="167" t="s">
        <v>294</v>
      </c>
      <c r="H218" s="167" t="s">
        <v>954</v>
      </c>
      <c r="I218" s="177"/>
      <c r="J218" s="177"/>
      <c r="K218" s="177"/>
      <c r="L218" s="177"/>
      <c r="M218" s="177"/>
      <c r="N218" s="177"/>
      <c r="O218" s="177"/>
      <c r="P218" s="177"/>
    </row>
    <row r="219" spans="1:16" x14ac:dyDescent="0.25">
      <c r="A219" s="177" t="s">
        <v>859</v>
      </c>
      <c r="B219" s="177" t="s">
        <v>955</v>
      </c>
      <c r="C219" s="177">
        <v>40</v>
      </c>
      <c r="D219" s="177">
        <v>65</v>
      </c>
      <c r="E219" s="167" t="s">
        <v>433</v>
      </c>
      <c r="F219" s="167" t="s">
        <v>294</v>
      </c>
      <c r="G219" s="167" t="s">
        <v>293</v>
      </c>
      <c r="H219" s="167" t="s">
        <v>944</v>
      </c>
      <c r="I219" s="177" t="s">
        <v>285</v>
      </c>
      <c r="J219" s="177" t="s">
        <v>914</v>
      </c>
      <c r="K219" s="177" t="s">
        <v>914</v>
      </c>
      <c r="L219" s="177" t="s">
        <v>914</v>
      </c>
      <c r="M219" s="177">
        <v>990</v>
      </c>
      <c r="N219" s="177">
        <v>50</v>
      </c>
      <c r="O219" s="177"/>
      <c r="P219" s="179" t="s">
        <v>1367</v>
      </c>
    </row>
    <row r="220" spans="1:16" x14ac:dyDescent="0.25">
      <c r="A220" s="177"/>
      <c r="B220" s="177"/>
      <c r="C220" s="177"/>
      <c r="D220" s="177"/>
      <c r="E220" s="167" t="s">
        <v>434</v>
      </c>
      <c r="F220" s="167" t="s">
        <v>944</v>
      </c>
      <c r="G220" s="167">
        <v>0</v>
      </c>
      <c r="H220" s="167">
        <v>0</v>
      </c>
      <c r="I220" s="177"/>
      <c r="J220" s="177"/>
      <c r="K220" s="177"/>
      <c r="L220" s="177"/>
      <c r="M220" s="177"/>
      <c r="N220" s="177"/>
      <c r="O220" s="177"/>
      <c r="P220" s="177"/>
    </row>
    <row r="221" spans="1:16" x14ac:dyDescent="0.25">
      <c r="A221" s="177"/>
      <c r="B221" s="177"/>
      <c r="C221" s="177"/>
      <c r="D221" s="177"/>
      <c r="E221" s="167" t="s">
        <v>433</v>
      </c>
      <c r="F221" s="167">
        <v>0</v>
      </c>
      <c r="G221" s="167">
        <v>0</v>
      </c>
      <c r="H221" s="167">
        <v>0</v>
      </c>
      <c r="I221" s="177"/>
      <c r="J221" s="177"/>
      <c r="K221" s="177"/>
      <c r="L221" s="177"/>
      <c r="M221" s="177"/>
      <c r="N221" s="177"/>
      <c r="O221" s="177"/>
      <c r="P221" s="177"/>
    </row>
    <row r="222" spans="1:16" x14ac:dyDescent="0.25">
      <c r="A222" s="177"/>
      <c r="B222" s="177"/>
      <c r="C222" s="177"/>
      <c r="D222" s="177"/>
      <c r="E222" s="167" t="s">
        <v>434</v>
      </c>
      <c r="F222" s="167" t="s">
        <v>954</v>
      </c>
      <c r="G222" s="167" t="s">
        <v>954</v>
      </c>
      <c r="H222" s="167" t="s">
        <v>954</v>
      </c>
      <c r="I222" s="177"/>
      <c r="J222" s="177"/>
      <c r="K222" s="177"/>
      <c r="L222" s="177"/>
      <c r="M222" s="177"/>
      <c r="N222" s="177"/>
      <c r="O222" s="177"/>
      <c r="P222" s="177"/>
    </row>
    <row r="223" spans="1:16" x14ac:dyDescent="0.25">
      <c r="A223" s="177" t="s">
        <v>859</v>
      </c>
      <c r="B223" s="177" t="s">
        <v>955</v>
      </c>
      <c r="C223" s="177">
        <v>40</v>
      </c>
      <c r="D223" s="177">
        <v>65</v>
      </c>
      <c r="E223" s="167" t="s">
        <v>433</v>
      </c>
      <c r="F223" s="167" t="s">
        <v>294</v>
      </c>
      <c r="G223" s="167" t="s">
        <v>293</v>
      </c>
      <c r="H223" s="167" t="s">
        <v>944</v>
      </c>
      <c r="I223" s="177" t="s">
        <v>285</v>
      </c>
      <c r="J223" s="177" t="s">
        <v>914</v>
      </c>
      <c r="K223" s="177" t="s">
        <v>914</v>
      </c>
      <c r="L223" s="177" t="s">
        <v>914</v>
      </c>
      <c r="M223" s="177">
        <v>990</v>
      </c>
      <c r="N223" s="177">
        <v>50</v>
      </c>
      <c r="O223" s="177"/>
      <c r="P223" s="179" t="s">
        <v>1367</v>
      </c>
    </row>
    <row r="224" spans="1:16" x14ac:dyDescent="0.25">
      <c r="A224" s="177"/>
      <c r="B224" s="177"/>
      <c r="C224" s="177"/>
      <c r="D224" s="177"/>
      <c r="E224" s="167" t="s">
        <v>434</v>
      </c>
      <c r="F224" s="167" t="s">
        <v>944</v>
      </c>
      <c r="G224" s="167">
        <v>0</v>
      </c>
      <c r="H224" s="167">
        <v>0</v>
      </c>
      <c r="I224" s="177"/>
      <c r="J224" s="177"/>
      <c r="K224" s="177"/>
      <c r="L224" s="177"/>
      <c r="M224" s="177"/>
      <c r="N224" s="177"/>
      <c r="O224" s="177"/>
      <c r="P224" s="177"/>
    </row>
    <row r="225" spans="1:16" x14ac:dyDescent="0.25">
      <c r="A225" s="177"/>
      <c r="B225" s="177"/>
      <c r="C225" s="177"/>
      <c r="D225" s="177"/>
      <c r="E225" s="167" t="s">
        <v>433</v>
      </c>
      <c r="F225" s="167">
        <v>0</v>
      </c>
      <c r="G225" s="167">
        <v>0</v>
      </c>
      <c r="H225" s="167">
        <v>0</v>
      </c>
      <c r="I225" s="177"/>
      <c r="J225" s="177"/>
      <c r="K225" s="177"/>
      <c r="L225" s="177"/>
      <c r="M225" s="177"/>
      <c r="N225" s="177"/>
      <c r="O225" s="177"/>
      <c r="P225" s="177"/>
    </row>
    <row r="226" spans="1:16" x14ac:dyDescent="0.25">
      <c r="A226" s="177"/>
      <c r="B226" s="177"/>
      <c r="C226" s="177"/>
      <c r="D226" s="177"/>
      <c r="E226" s="167" t="s">
        <v>434</v>
      </c>
      <c r="F226" s="167" t="s">
        <v>954</v>
      </c>
      <c r="G226" s="167" t="s">
        <v>954</v>
      </c>
      <c r="H226" s="167" t="s">
        <v>954</v>
      </c>
      <c r="I226" s="177"/>
      <c r="J226" s="177"/>
      <c r="K226" s="177"/>
      <c r="L226" s="177"/>
      <c r="M226" s="177"/>
      <c r="N226" s="177"/>
      <c r="O226" s="177"/>
      <c r="P226" s="177"/>
    </row>
    <row r="227" spans="1:16" x14ac:dyDescent="0.25">
      <c r="A227" s="177" t="s">
        <v>859</v>
      </c>
      <c r="B227" s="177" t="s">
        <v>955</v>
      </c>
      <c r="C227" s="177">
        <v>40</v>
      </c>
      <c r="D227" s="177">
        <v>65</v>
      </c>
      <c r="E227" s="167" t="s">
        <v>433</v>
      </c>
      <c r="F227" s="167" t="s">
        <v>294</v>
      </c>
      <c r="G227" s="167" t="s">
        <v>293</v>
      </c>
      <c r="H227" s="167" t="s">
        <v>944</v>
      </c>
      <c r="I227" s="177" t="s">
        <v>285</v>
      </c>
      <c r="J227" s="177" t="s">
        <v>914</v>
      </c>
      <c r="K227" s="177" t="s">
        <v>914</v>
      </c>
      <c r="L227" s="177" t="s">
        <v>914</v>
      </c>
      <c r="M227" s="177">
        <v>990</v>
      </c>
      <c r="N227" s="177">
        <v>50</v>
      </c>
      <c r="O227" s="177"/>
      <c r="P227" s="179" t="s">
        <v>1367</v>
      </c>
    </row>
    <row r="228" spans="1:16" x14ac:dyDescent="0.25">
      <c r="A228" s="177"/>
      <c r="B228" s="177"/>
      <c r="C228" s="177"/>
      <c r="D228" s="177"/>
      <c r="E228" s="167" t="s">
        <v>434</v>
      </c>
      <c r="F228" s="167" t="s">
        <v>944</v>
      </c>
      <c r="G228" s="167">
        <v>0</v>
      </c>
      <c r="H228" s="167">
        <v>0</v>
      </c>
      <c r="I228" s="177"/>
      <c r="J228" s="177"/>
      <c r="K228" s="177"/>
      <c r="L228" s="177"/>
      <c r="M228" s="177"/>
      <c r="N228" s="177"/>
      <c r="O228" s="177"/>
      <c r="P228" s="177"/>
    </row>
    <row r="229" spans="1:16" x14ac:dyDescent="0.25">
      <c r="A229" s="177"/>
      <c r="B229" s="177"/>
      <c r="C229" s="177"/>
      <c r="D229" s="177"/>
      <c r="E229" s="167" t="s">
        <v>433</v>
      </c>
      <c r="F229" s="167">
        <v>0</v>
      </c>
      <c r="G229" s="167">
        <v>0</v>
      </c>
      <c r="H229" s="167">
        <v>0</v>
      </c>
      <c r="I229" s="177"/>
      <c r="J229" s="177"/>
      <c r="K229" s="177"/>
      <c r="L229" s="177"/>
      <c r="M229" s="177"/>
      <c r="N229" s="177"/>
      <c r="O229" s="177"/>
      <c r="P229" s="177"/>
    </row>
    <row r="230" spans="1:16" x14ac:dyDescent="0.25">
      <c r="A230" s="177"/>
      <c r="B230" s="177"/>
      <c r="C230" s="177"/>
      <c r="D230" s="177"/>
      <c r="E230" s="167" t="s">
        <v>434</v>
      </c>
      <c r="F230" s="167" t="s">
        <v>954</v>
      </c>
      <c r="G230" s="167" t="s">
        <v>954</v>
      </c>
      <c r="H230" s="167" t="s">
        <v>954</v>
      </c>
      <c r="I230" s="177"/>
      <c r="J230" s="177"/>
      <c r="K230" s="177"/>
      <c r="L230" s="177"/>
      <c r="M230" s="177"/>
      <c r="N230" s="177"/>
      <c r="O230" s="177"/>
      <c r="P230" s="177"/>
    </row>
    <row r="231" spans="1:16" x14ac:dyDescent="0.25">
      <c r="A231" s="177" t="s">
        <v>859</v>
      </c>
      <c r="B231" s="177" t="s">
        <v>997</v>
      </c>
      <c r="C231" s="177">
        <v>40</v>
      </c>
      <c r="D231" s="177">
        <v>65</v>
      </c>
      <c r="E231" s="167" t="s">
        <v>433</v>
      </c>
      <c r="F231" s="167" t="s">
        <v>294</v>
      </c>
      <c r="G231" s="167" t="s">
        <v>293</v>
      </c>
      <c r="H231" s="167" t="s">
        <v>294</v>
      </c>
      <c r="I231" s="177" t="s">
        <v>285</v>
      </c>
      <c r="J231" s="177" t="s">
        <v>913</v>
      </c>
      <c r="K231" s="177" t="s">
        <v>913</v>
      </c>
      <c r="L231" s="177" t="s">
        <v>913</v>
      </c>
      <c r="M231" s="177">
        <v>1100</v>
      </c>
      <c r="N231" s="177">
        <v>50</v>
      </c>
      <c r="O231" s="177"/>
      <c r="P231" s="178" t="s">
        <v>1365</v>
      </c>
    </row>
    <row r="232" spans="1:16" x14ac:dyDescent="0.25">
      <c r="A232" s="177"/>
      <c r="B232" s="177"/>
      <c r="C232" s="177"/>
      <c r="D232" s="177"/>
      <c r="E232" s="167" t="s">
        <v>434</v>
      </c>
      <c r="F232" s="167" t="s">
        <v>944</v>
      </c>
      <c r="G232" s="167">
        <v>0</v>
      </c>
      <c r="H232" s="167" t="s">
        <v>944</v>
      </c>
      <c r="I232" s="177"/>
      <c r="J232" s="177"/>
      <c r="K232" s="177"/>
      <c r="L232" s="177"/>
      <c r="M232" s="177"/>
      <c r="N232" s="177"/>
      <c r="O232" s="177"/>
      <c r="P232" s="177"/>
    </row>
    <row r="233" spans="1:16" x14ac:dyDescent="0.25">
      <c r="A233" s="177"/>
      <c r="B233" s="177"/>
      <c r="C233" s="177"/>
      <c r="D233" s="177"/>
      <c r="E233" s="167" t="s">
        <v>433</v>
      </c>
      <c r="F233" s="167">
        <v>0</v>
      </c>
      <c r="G233" s="167">
        <v>0</v>
      </c>
      <c r="H233" s="167">
        <v>0</v>
      </c>
      <c r="I233" s="177"/>
      <c r="J233" s="177"/>
      <c r="K233" s="177"/>
      <c r="L233" s="177"/>
      <c r="M233" s="177"/>
      <c r="N233" s="177"/>
      <c r="O233" s="177"/>
      <c r="P233" s="177"/>
    </row>
    <row r="234" spans="1:16" x14ac:dyDescent="0.25">
      <c r="A234" s="177"/>
      <c r="B234" s="177"/>
      <c r="C234" s="177"/>
      <c r="D234" s="177"/>
      <c r="E234" s="167" t="s">
        <v>434</v>
      </c>
      <c r="F234" s="167" t="s">
        <v>954</v>
      </c>
      <c r="G234" s="167" t="s">
        <v>294</v>
      </c>
      <c r="H234" s="167" t="s">
        <v>954</v>
      </c>
      <c r="I234" s="177"/>
      <c r="J234" s="177"/>
      <c r="K234" s="177"/>
      <c r="L234" s="177"/>
      <c r="M234" s="177"/>
      <c r="N234" s="177"/>
      <c r="O234" s="177"/>
      <c r="P234" s="177"/>
    </row>
    <row r="235" spans="1:16" x14ac:dyDescent="0.25">
      <c r="A235" s="177" t="s">
        <v>859</v>
      </c>
      <c r="B235" s="177" t="s">
        <v>1002</v>
      </c>
      <c r="C235" s="177">
        <v>40</v>
      </c>
      <c r="D235" s="177">
        <v>65</v>
      </c>
      <c r="E235" s="167" t="s">
        <v>433</v>
      </c>
      <c r="F235" s="167" t="s">
        <v>294</v>
      </c>
      <c r="G235" s="167" t="s">
        <v>293</v>
      </c>
      <c r="H235" s="167" t="s">
        <v>944</v>
      </c>
      <c r="I235" s="177" t="s">
        <v>285</v>
      </c>
      <c r="J235" s="177" t="s">
        <v>913</v>
      </c>
      <c r="K235" s="177" t="s">
        <v>913</v>
      </c>
      <c r="L235" s="177" t="s">
        <v>913</v>
      </c>
      <c r="M235" s="177">
        <v>990</v>
      </c>
      <c r="N235" s="177">
        <v>50</v>
      </c>
      <c r="O235" s="177"/>
      <c r="P235" s="179" t="s">
        <v>1367</v>
      </c>
    </row>
    <row r="236" spans="1:16" x14ac:dyDescent="0.25">
      <c r="A236" s="177"/>
      <c r="B236" s="177"/>
      <c r="C236" s="177"/>
      <c r="D236" s="177"/>
      <c r="E236" s="167" t="s">
        <v>434</v>
      </c>
      <c r="F236" s="167" t="s">
        <v>944</v>
      </c>
      <c r="G236" s="167">
        <v>0</v>
      </c>
      <c r="H236" s="167">
        <v>0</v>
      </c>
      <c r="I236" s="177"/>
      <c r="J236" s="177"/>
      <c r="K236" s="177"/>
      <c r="L236" s="177"/>
      <c r="M236" s="177"/>
      <c r="N236" s="177"/>
      <c r="O236" s="177"/>
      <c r="P236" s="177"/>
    </row>
    <row r="237" spans="1:16" x14ac:dyDescent="0.25">
      <c r="A237" s="177"/>
      <c r="B237" s="177"/>
      <c r="C237" s="177"/>
      <c r="D237" s="177"/>
      <c r="E237" s="167" t="s">
        <v>433</v>
      </c>
      <c r="F237" s="167">
        <v>0</v>
      </c>
      <c r="G237" s="167">
        <v>0</v>
      </c>
      <c r="H237" s="167">
        <v>0</v>
      </c>
      <c r="I237" s="177"/>
      <c r="J237" s="177"/>
      <c r="K237" s="177"/>
      <c r="L237" s="177"/>
      <c r="M237" s="177"/>
      <c r="N237" s="177"/>
      <c r="O237" s="177"/>
      <c r="P237" s="177"/>
    </row>
    <row r="238" spans="1:16" x14ac:dyDescent="0.25">
      <c r="A238" s="177"/>
      <c r="B238" s="177"/>
      <c r="C238" s="177"/>
      <c r="D238" s="177"/>
      <c r="E238" s="167" t="s">
        <v>434</v>
      </c>
      <c r="F238" s="167" t="s">
        <v>954</v>
      </c>
      <c r="G238" s="167" t="s">
        <v>954</v>
      </c>
      <c r="H238" s="167" t="s">
        <v>954</v>
      </c>
      <c r="I238" s="177"/>
      <c r="J238" s="177"/>
      <c r="K238" s="177"/>
      <c r="L238" s="177"/>
      <c r="M238" s="177"/>
      <c r="N238" s="177"/>
      <c r="O238" s="177"/>
      <c r="P238" s="177"/>
    </row>
    <row r="239" spans="1:16" x14ac:dyDescent="0.25">
      <c r="A239" s="177" t="s">
        <v>859</v>
      </c>
      <c r="B239" s="177" t="s">
        <v>964</v>
      </c>
      <c r="C239" s="177">
        <v>40</v>
      </c>
      <c r="D239" s="177">
        <v>65</v>
      </c>
      <c r="E239" s="167" t="s">
        <v>433</v>
      </c>
      <c r="F239" s="167" t="s">
        <v>294</v>
      </c>
      <c r="G239" s="167" t="s">
        <v>293</v>
      </c>
      <c r="H239" s="167" t="s">
        <v>944</v>
      </c>
      <c r="I239" s="177" t="s">
        <v>285</v>
      </c>
      <c r="J239" s="177" t="s">
        <v>914</v>
      </c>
      <c r="K239" s="177" t="s">
        <v>914</v>
      </c>
      <c r="L239" s="177" t="s">
        <v>914</v>
      </c>
      <c r="M239" s="177">
        <v>990</v>
      </c>
      <c r="N239" s="177">
        <v>50</v>
      </c>
      <c r="O239" s="177"/>
      <c r="P239" s="179" t="s">
        <v>1367</v>
      </c>
    </row>
    <row r="240" spans="1:16" x14ac:dyDescent="0.25">
      <c r="A240" s="177"/>
      <c r="B240" s="177"/>
      <c r="C240" s="177"/>
      <c r="D240" s="177"/>
      <c r="E240" s="167" t="s">
        <v>434</v>
      </c>
      <c r="F240" s="167" t="s">
        <v>944</v>
      </c>
      <c r="G240" s="167">
        <v>0</v>
      </c>
      <c r="H240" s="167">
        <v>0</v>
      </c>
      <c r="I240" s="177"/>
      <c r="J240" s="177"/>
      <c r="K240" s="177"/>
      <c r="L240" s="177"/>
      <c r="M240" s="177"/>
      <c r="N240" s="177"/>
      <c r="O240" s="177"/>
      <c r="P240" s="177"/>
    </row>
    <row r="241" spans="1:16" x14ac:dyDescent="0.25">
      <c r="A241" s="177"/>
      <c r="B241" s="177"/>
      <c r="C241" s="177"/>
      <c r="D241" s="177"/>
      <c r="E241" s="167" t="s">
        <v>433</v>
      </c>
      <c r="F241" s="167">
        <v>0</v>
      </c>
      <c r="G241" s="167">
        <v>0</v>
      </c>
      <c r="H241" s="167">
        <v>0</v>
      </c>
      <c r="I241" s="177"/>
      <c r="J241" s="177"/>
      <c r="K241" s="177"/>
      <c r="L241" s="177"/>
      <c r="M241" s="177"/>
      <c r="N241" s="177"/>
      <c r="O241" s="177"/>
      <c r="P241" s="177"/>
    </row>
    <row r="242" spans="1:16" x14ac:dyDescent="0.25">
      <c r="A242" s="177"/>
      <c r="B242" s="177"/>
      <c r="C242" s="177"/>
      <c r="D242" s="177"/>
      <c r="E242" s="167" t="s">
        <v>434</v>
      </c>
      <c r="F242" s="167" t="s">
        <v>293</v>
      </c>
      <c r="G242" s="167" t="s">
        <v>954</v>
      </c>
      <c r="H242" s="167" t="s">
        <v>954</v>
      </c>
      <c r="I242" s="177"/>
      <c r="J242" s="177"/>
      <c r="K242" s="177"/>
      <c r="L242" s="177"/>
      <c r="M242" s="177"/>
      <c r="N242" s="177"/>
      <c r="O242" s="177"/>
      <c r="P242" s="177"/>
    </row>
    <row r="243" spans="1:16" x14ac:dyDescent="0.25">
      <c r="A243" s="177" t="s">
        <v>858</v>
      </c>
      <c r="B243" s="177" t="s">
        <v>952</v>
      </c>
      <c r="C243" s="177">
        <v>40</v>
      </c>
      <c r="D243" s="177">
        <v>65</v>
      </c>
      <c r="E243" s="167" t="s">
        <v>433</v>
      </c>
      <c r="F243" s="167" t="s">
        <v>944</v>
      </c>
      <c r="G243" s="167" t="s">
        <v>293</v>
      </c>
      <c r="H243" s="167" t="s">
        <v>294</v>
      </c>
      <c r="I243" s="177" t="s">
        <v>285</v>
      </c>
      <c r="J243" s="177" t="s">
        <v>914</v>
      </c>
      <c r="K243" s="177" t="s">
        <v>914</v>
      </c>
      <c r="L243" s="177" t="s">
        <v>914</v>
      </c>
      <c r="M243" s="177">
        <v>830</v>
      </c>
      <c r="N243" s="177">
        <v>60</v>
      </c>
      <c r="O243" s="177"/>
      <c r="P243" s="179" t="s">
        <v>1364</v>
      </c>
    </row>
    <row r="244" spans="1:16" x14ac:dyDescent="0.25">
      <c r="A244" s="177"/>
      <c r="B244" s="177"/>
      <c r="C244" s="177"/>
      <c r="D244" s="177"/>
      <c r="E244" s="167" t="s">
        <v>434</v>
      </c>
      <c r="F244" s="167">
        <v>0</v>
      </c>
      <c r="G244" s="167">
        <v>0</v>
      </c>
      <c r="H244" s="167" t="s">
        <v>944</v>
      </c>
      <c r="I244" s="177"/>
      <c r="J244" s="177"/>
      <c r="K244" s="177"/>
      <c r="L244" s="177"/>
      <c r="M244" s="177"/>
      <c r="N244" s="177"/>
      <c r="O244" s="177"/>
      <c r="P244" s="177"/>
    </row>
    <row r="245" spans="1:16" x14ac:dyDescent="0.25">
      <c r="A245" s="177"/>
      <c r="B245" s="177"/>
      <c r="C245" s="177"/>
      <c r="D245" s="177"/>
      <c r="E245" s="167" t="s">
        <v>433</v>
      </c>
      <c r="F245" s="167">
        <v>0</v>
      </c>
      <c r="G245" s="167">
        <v>0</v>
      </c>
      <c r="H245" s="167">
        <v>0</v>
      </c>
      <c r="I245" s="177"/>
      <c r="J245" s="177"/>
      <c r="K245" s="177"/>
      <c r="L245" s="177"/>
      <c r="M245" s="177"/>
      <c r="N245" s="177"/>
      <c r="O245" s="177"/>
      <c r="P245" s="177"/>
    </row>
    <row r="246" spans="1:16" x14ac:dyDescent="0.25">
      <c r="A246" s="177"/>
      <c r="B246" s="177"/>
      <c r="C246" s="177"/>
      <c r="D246" s="177"/>
      <c r="E246" s="167" t="s">
        <v>434</v>
      </c>
      <c r="F246" s="167" t="s">
        <v>947</v>
      </c>
      <c r="G246" s="167" t="s">
        <v>947</v>
      </c>
      <c r="H246" s="167" t="s">
        <v>293</v>
      </c>
      <c r="I246" s="177"/>
      <c r="J246" s="177"/>
      <c r="K246" s="177"/>
      <c r="L246" s="177"/>
      <c r="M246" s="177"/>
      <c r="N246" s="177"/>
      <c r="O246" s="177"/>
      <c r="P246" s="177"/>
    </row>
    <row r="247" spans="1:16" x14ac:dyDescent="0.25">
      <c r="A247" s="177" t="s">
        <v>858</v>
      </c>
      <c r="B247" s="177" t="s">
        <v>952</v>
      </c>
      <c r="C247" s="177">
        <v>40</v>
      </c>
      <c r="D247" s="177">
        <v>65</v>
      </c>
      <c r="E247" s="167" t="s">
        <v>433</v>
      </c>
      <c r="F247" s="167" t="s">
        <v>944</v>
      </c>
      <c r="G247" s="167" t="s">
        <v>293</v>
      </c>
      <c r="H247" s="167" t="s">
        <v>294</v>
      </c>
      <c r="I247" s="177" t="s">
        <v>285</v>
      </c>
      <c r="J247" s="177" t="s">
        <v>914</v>
      </c>
      <c r="K247" s="177" t="s">
        <v>914</v>
      </c>
      <c r="L247" s="177" t="s">
        <v>914</v>
      </c>
      <c r="M247" s="177">
        <v>830</v>
      </c>
      <c r="N247" s="177">
        <v>60</v>
      </c>
      <c r="O247" s="177"/>
      <c r="P247" s="179" t="s">
        <v>1364</v>
      </c>
    </row>
    <row r="248" spans="1:16" x14ac:dyDescent="0.25">
      <c r="A248" s="177"/>
      <c r="B248" s="177"/>
      <c r="C248" s="177"/>
      <c r="D248" s="177"/>
      <c r="E248" s="167" t="s">
        <v>434</v>
      </c>
      <c r="F248" s="167">
        <v>0</v>
      </c>
      <c r="G248" s="167">
        <v>0</v>
      </c>
      <c r="H248" s="167" t="s">
        <v>944</v>
      </c>
      <c r="I248" s="177"/>
      <c r="J248" s="177"/>
      <c r="K248" s="177"/>
      <c r="L248" s="177"/>
      <c r="M248" s="177"/>
      <c r="N248" s="177"/>
      <c r="O248" s="177"/>
      <c r="P248" s="177"/>
    </row>
    <row r="249" spans="1:16" x14ac:dyDescent="0.25">
      <c r="A249" s="177"/>
      <c r="B249" s="177"/>
      <c r="C249" s="177"/>
      <c r="D249" s="177"/>
      <c r="E249" s="167" t="s">
        <v>433</v>
      </c>
      <c r="F249" s="167">
        <v>0</v>
      </c>
      <c r="G249" s="167">
        <v>0</v>
      </c>
      <c r="H249" s="167">
        <v>0</v>
      </c>
      <c r="I249" s="177"/>
      <c r="J249" s="177"/>
      <c r="K249" s="177"/>
      <c r="L249" s="177"/>
      <c r="M249" s="177"/>
      <c r="N249" s="177"/>
      <c r="O249" s="177"/>
      <c r="P249" s="177"/>
    </row>
    <row r="250" spans="1:16" x14ac:dyDescent="0.25">
      <c r="A250" s="177"/>
      <c r="B250" s="177"/>
      <c r="C250" s="177"/>
      <c r="D250" s="177"/>
      <c r="E250" s="167" t="s">
        <v>434</v>
      </c>
      <c r="F250" s="167" t="s">
        <v>947</v>
      </c>
      <c r="G250" s="167" t="s">
        <v>947</v>
      </c>
      <c r="H250" s="167" t="s">
        <v>293</v>
      </c>
      <c r="I250" s="177"/>
      <c r="J250" s="177"/>
      <c r="K250" s="177"/>
      <c r="L250" s="177"/>
      <c r="M250" s="177"/>
      <c r="N250" s="177"/>
      <c r="O250" s="177"/>
      <c r="P250" s="177"/>
    </row>
    <row r="251" spans="1:16" x14ac:dyDescent="0.25">
      <c r="A251" s="177" t="s">
        <v>858</v>
      </c>
      <c r="B251" s="177" t="s">
        <v>952</v>
      </c>
      <c r="C251" s="177">
        <v>40</v>
      </c>
      <c r="D251" s="177">
        <v>65</v>
      </c>
      <c r="E251" s="167" t="s">
        <v>433</v>
      </c>
      <c r="F251" s="167" t="s">
        <v>944</v>
      </c>
      <c r="G251" s="167" t="s">
        <v>293</v>
      </c>
      <c r="H251" s="167" t="s">
        <v>294</v>
      </c>
      <c r="I251" s="177" t="s">
        <v>285</v>
      </c>
      <c r="J251" s="177" t="s">
        <v>914</v>
      </c>
      <c r="K251" s="177" t="s">
        <v>914</v>
      </c>
      <c r="L251" s="177" t="s">
        <v>914</v>
      </c>
      <c r="M251" s="177">
        <v>830</v>
      </c>
      <c r="N251" s="177">
        <v>60</v>
      </c>
      <c r="O251" s="177"/>
      <c r="P251" s="179" t="s">
        <v>1364</v>
      </c>
    </row>
    <row r="252" spans="1:16" x14ac:dyDescent="0.25">
      <c r="A252" s="177"/>
      <c r="B252" s="177"/>
      <c r="C252" s="177"/>
      <c r="D252" s="177"/>
      <c r="E252" s="167" t="s">
        <v>434</v>
      </c>
      <c r="F252" s="167">
        <v>0</v>
      </c>
      <c r="G252" s="167">
        <v>0</v>
      </c>
      <c r="H252" s="167" t="s">
        <v>944</v>
      </c>
      <c r="I252" s="177"/>
      <c r="J252" s="177"/>
      <c r="K252" s="177"/>
      <c r="L252" s="177"/>
      <c r="M252" s="177"/>
      <c r="N252" s="177"/>
      <c r="O252" s="177"/>
      <c r="P252" s="177"/>
    </row>
    <row r="253" spans="1:16" x14ac:dyDescent="0.25">
      <c r="A253" s="177"/>
      <c r="B253" s="177"/>
      <c r="C253" s="177"/>
      <c r="D253" s="177"/>
      <c r="E253" s="167" t="s">
        <v>433</v>
      </c>
      <c r="F253" s="167">
        <v>0</v>
      </c>
      <c r="G253" s="167">
        <v>0</v>
      </c>
      <c r="H253" s="167">
        <v>0</v>
      </c>
      <c r="I253" s="177"/>
      <c r="J253" s="177"/>
      <c r="K253" s="177"/>
      <c r="L253" s="177"/>
      <c r="M253" s="177"/>
      <c r="N253" s="177"/>
      <c r="O253" s="177"/>
      <c r="P253" s="177"/>
    </row>
    <row r="254" spans="1:16" x14ac:dyDescent="0.25">
      <c r="A254" s="177"/>
      <c r="B254" s="177"/>
      <c r="C254" s="177"/>
      <c r="D254" s="177"/>
      <c r="E254" s="167" t="s">
        <v>434</v>
      </c>
      <c r="F254" s="167" t="s">
        <v>947</v>
      </c>
      <c r="G254" s="167" t="s">
        <v>947</v>
      </c>
      <c r="H254" s="167" t="s">
        <v>293</v>
      </c>
      <c r="I254" s="177"/>
      <c r="J254" s="177"/>
      <c r="K254" s="177"/>
      <c r="L254" s="177"/>
      <c r="M254" s="177"/>
      <c r="N254" s="177"/>
      <c r="O254" s="177"/>
      <c r="P254" s="177"/>
    </row>
    <row r="255" spans="1:16" x14ac:dyDescent="0.25">
      <c r="A255" s="177" t="s">
        <v>858</v>
      </c>
      <c r="B255" s="177" t="s">
        <v>952</v>
      </c>
      <c r="C255" s="177">
        <v>40</v>
      </c>
      <c r="D255" s="177">
        <v>65</v>
      </c>
      <c r="E255" s="167" t="s">
        <v>433</v>
      </c>
      <c r="F255" s="167" t="s">
        <v>944</v>
      </c>
      <c r="G255" s="167" t="s">
        <v>293</v>
      </c>
      <c r="H255" s="167" t="s">
        <v>294</v>
      </c>
      <c r="I255" s="177" t="s">
        <v>285</v>
      </c>
      <c r="J255" s="177" t="s">
        <v>914</v>
      </c>
      <c r="K255" s="177" t="s">
        <v>914</v>
      </c>
      <c r="L255" s="177" t="s">
        <v>914</v>
      </c>
      <c r="M255" s="177">
        <v>830</v>
      </c>
      <c r="N255" s="177">
        <v>60</v>
      </c>
      <c r="O255" s="177"/>
      <c r="P255" s="179" t="s">
        <v>1364</v>
      </c>
    </row>
    <row r="256" spans="1:16" x14ac:dyDescent="0.25">
      <c r="A256" s="177"/>
      <c r="B256" s="177"/>
      <c r="C256" s="177"/>
      <c r="D256" s="177"/>
      <c r="E256" s="167" t="s">
        <v>434</v>
      </c>
      <c r="F256" s="167">
        <v>0</v>
      </c>
      <c r="G256" s="167">
        <v>0</v>
      </c>
      <c r="H256" s="167" t="s">
        <v>944</v>
      </c>
      <c r="I256" s="177"/>
      <c r="J256" s="177"/>
      <c r="K256" s="177"/>
      <c r="L256" s="177"/>
      <c r="M256" s="177"/>
      <c r="N256" s="177"/>
      <c r="O256" s="177"/>
      <c r="P256" s="177"/>
    </row>
    <row r="257" spans="1:16" x14ac:dyDescent="0.25">
      <c r="A257" s="177"/>
      <c r="B257" s="177"/>
      <c r="C257" s="177"/>
      <c r="D257" s="177"/>
      <c r="E257" s="167" t="s">
        <v>433</v>
      </c>
      <c r="F257" s="167">
        <v>0</v>
      </c>
      <c r="G257" s="167">
        <v>0</v>
      </c>
      <c r="H257" s="167">
        <v>0</v>
      </c>
      <c r="I257" s="177"/>
      <c r="J257" s="177"/>
      <c r="K257" s="177"/>
      <c r="L257" s="177"/>
      <c r="M257" s="177"/>
      <c r="N257" s="177"/>
      <c r="O257" s="177"/>
      <c r="P257" s="177"/>
    </row>
    <row r="258" spans="1:16" x14ac:dyDescent="0.25">
      <c r="A258" s="177"/>
      <c r="B258" s="177"/>
      <c r="C258" s="177"/>
      <c r="D258" s="177"/>
      <c r="E258" s="167" t="s">
        <v>434</v>
      </c>
      <c r="F258" s="167" t="s">
        <v>947</v>
      </c>
      <c r="G258" s="167" t="s">
        <v>947</v>
      </c>
      <c r="H258" s="167" t="s">
        <v>293</v>
      </c>
      <c r="I258" s="177"/>
      <c r="J258" s="177"/>
      <c r="K258" s="177"/>
      <c r="L258" s="177"/>
      <c r="M258" s="177"/>
      <c r="N258" s="177"/>
      <c r="O258" s="177"/>
      <c r="P258" s="177"/>
    </row>
    <row r="259" spans="1:16" x14ac:dyDescent="0.25">
      <c r="A259" s="177" t="s">
        <v>858</v>
      </c>
      <c r="B259" s="177" t="s">
        <v>968</v>
      </c>
      <c r="C259" s="177">
        <v>40</v>
      </c>
      <c r="D259" s="177">
        <v>65</v>
      </c>
      <c r="E259" s="167" t="s">
        <v>433</v>
      </c>
      <c r="F259" s="167" t="s">
        <v>944</v>
      </c>
      <c r="G259" s="167" t="s">
        <v>293</v>
      </c>
      <c r="H259" s="167" t="s">
        <v>954</v>
      </c>
      <c r="I259" s="177" t="s">
        <v>285</v>
      </c>
      <c r="J259" s="177" t="s">
        <v>914</v>
      </c>
      <c r="K259" s="177" t="s">
        <v>914</v>
      </c>
      <c r="L259" s="177" t="s">
        <v>914</v>
      </c>
      <c r="M259" s="177">
        <v>830</v>
      </c>
      <c r="N259" s="177">
        <v>50</v>
      </c>
      <c r="O259" s="177"/>
      <c r="P259" s="179" t="s">
        <v>1364</v>
      </c>
    </row>
    <row r="260" spans="1:16" x14ac:dyDescent="0.25">
      <c r="A260" s="177"/>
      <c r="B260" s="177"/>
      <c r="C260" s="177"/>
      <c r="D260" s="177"/>
      <c r="E260" s="167" t="s">
        <v>434</v>
      </c>
      <c r="F260" s="167">
        <v>0</v>
      </c>
      <c r="G260" s="167">
        <v>0</v>
      </c>
      <c r="H260" s="167">
        <v>0</v>
      </c>
      <c r="I260" s="177"/>
      <c r="J260" s="177"/>
      <c r="K260" s="177"/>
      <c r="L260" s="177"/>
      <c r="M260" s="177"/>
      <c r="N260" s="177"/>
      <c r="O260" s="177"/>
      <c r="P260" s="177"/>
    </row>
    <row r="261" spans="1:16" x14ac:dyDescent="0.25">
      <c r="A261" s="177"/>
      <c r="B261" s="177"/>
      <c r="C261" s="177"/>
      <c r="D261" s="177"/>
      <c r="E261" s="167" t="s">
        <v>433</v>
      </c>
      <c r="F261" s="167">
        <v>0</v>
      </c>
      <c r="G261" s="167">
        <v>0</v>
      </c>
      <c r="H261" s="167">
        <v>0</v>
      </c>
      <c r="I261" s="177"/>
      <c r="J261" s="177"/>
      <c r="K261" s="177"/>
      <c r="L261" s="177"/>
      <c r="M261" s="177"/>
      <c r="N261" s="177"/>
      <c r="O261" s="177"/>
      <c r="P261" s="177"/>
    </row>
    <row r="262" spans="1:16" x14ac:dyDescent="0.25">
      <c r="A262" s="177"/>
      <c r="B262" s="177"/>
      <c r="C262" s="177"/>
      <c r="D262" s="177"/>
      <c r="E262" s="167" t="s">
        <v>434</v>
      </c>
      <c r="F262" s="167" t="s">
        <v>954</v>
      </c>
      <c r="G262" s="167" t="s">
        <v>954</v>
      </c>
      <c r="H262" s="167" t="s">
        <v>293</v>
      </c>
      <c r="I262" s="177"/>
      <c r="J262" s="177"/>
      <c r="K262" s="177"/>
      <c r="L262" s="177"/>
      <c r="M262" s="177"/>
      <c r="N262" s="177"/>
      <c r="O262" s="177"/>
      <c r="P262" s="177"/>
    </row>
    <row r="263" spans="1:16" x14ac:dyDescent="0.25">
      <c r="A263" s="177" t="s">
        <v>858</v>
      </c>
      <c r="B263" s="177" t="s">
        <v>968</v>
      </c>
      <c r="C263" s="177">
        <v>40</v>
      </c>
      <c r="D263" s="177">
        <v>65</v>
      </c>
      <c r="E263" s="167" t="s">
        <v>433</v>
      </c>
      <c r="F263" s="167" t="s">
        <v>944</v>
      </c>
      <c r="G263" s="167" t="s">
        <v>293</v>
      </c>
      <c r="H263" s="167" t="s">
        <v>954</v>
      </c>
      <c r="I263" s="177" t="s">
        <v>285</v>
      </c>
      <c r="J263" s="177" t="s">
        <v>914</v>
      </c>
      <c r="K263" s="177" t="s">
        <v>914</v>
      </c>
      <c r="L263" s="177" t="s">
        <v>914</v>
      </c>
      <c r="M263" s="177">
        <v>830</v>
      </c>
      <c r="N263" s="177">
        <v>50</v>
      </c>
      <c r="O263" s="177"/>
      <c r="P263" s="179" t="s">
        <v>1364</v>
      </c>
    </row>
    <row r="264" spans="1:16" x14ac:dyDescent="0.25">
      <c r="A264" s="177"/>
      <c r="B264" s="177"/>
      <c r="C264" s="177"/>
      <c r="D264" s="177"/>
      <c r="E264" s="167" t="s">
        <v>434</v>
      </c>
      <c r="F264" s="167">
        <v>0</v>
      </c>
      <c r="G264" s="167">
        <v>0</v>
      </c>
      <c r="H264" s="167">
        <v>0</v>
      </c>
      <c r="I264" s="177"/>
      <c r="J264" s="177"/>
      <c r="K264" s="177"/>
      <c r="L264" s="177"/>
      <c r="M264" s="177"/>
      <c r="N264" s="177"/>
      <c r="O264" s="177"/>
      <c r="P264" s="177"/>
    </row>
    <row r="265" spans="1:16" x14ac:dyDescent="0.25">
      <c r="A265" s="177"/>
      <c r="B265" s="177"/>
      <c r="C265" s="177"/>
      <c r="D265" s="177"/>
      <c r="E265" s="167" t="s">
        <v>433</v>
      </c>
      <c r="F265" s="167">
        <v>0</v>
      </c>
      <c r="G265" s="167">
        <v>0</v>
      </c>
      <c r="H265" s="167">
        <v>0</v>
      </c>
      <c r="I265" s="177"/>
      <c r="J265" s="177"/>
      <c r="K265" s="177"/>
      <c r="L265" s="177"/>
      <c r="M265" s="177"/>
      <c r="N265" s="177"/>
      <c r="O265" s="177"/>
      <c r="P265" s="177"/>
    </row>
    <row r="266" spans="1:16" x14ac:dyDescent="0.25">
      <c r="A266" s="177"/>
      <c r="B266" s="177"/>
      <c r="C266" s="177"/>
      <c r="D266" s="177"/>
      <c r="E266" s="167" t="s">
        <v>434</v>
      </c>
      <c r="F266" s="167" t="s">
        <v>954</v>
      </c>
      <c r="G266" s="167" t="s">
        <v>954</v>
      </c>
      <c r="H266" s="167" t="s">
        <v>293</v>
      </c>
      <c r="I266" s="177"/>
      <c r="J266" s="177"/>
      <c r="K266" s="177"/>
      <c r="L266" s="177"/>
      <c r="M266" s="177"/>
      <c r="N266" s="177"/>
      <c r="O266" s="177"/>
      <c r="P266" s="177"/>
    </row>
    <row r="267" spans="1:16" x14ac:dyDescent="0.25">
      <c r="A267" s="177" t="s">
        <v>858</v>
      </c>
      <c r="B267" s="177" t="s">
        <v>969</v>
      </c>
      <c r="C267" s="177">
        <v>40</v>
      </c>
      <c r="D267" s="177">
        <v>65</v>
      </c>
      <c r="E267" s="167" t="s">
        <v>433</v>
      </c>
      <c r="F267" s="167" t="s">
        <v>954</v>
      </c>
      <c r="G267" s="167" t="s">
        <v>293</v>
      </c>
      <c r="H267" s="167" t="s">
        <v>954</v>
      </c>
      <c r="I267" s="177" t="s">
        <v>285</v>
      </c>
      <c r="J267" s="177" t="s">
        <v>914</v>
      </c>
      <c r="K267" s="177" t="s">
        <v>914</v>
      </c>
      <c r="L267" s="177" t="s">
        <v>914</v>
      </c>
      <c r="M267" s="177">
        <v>830</v>
      </c>
      <c r="N267" s="177">
        <v>50</v>
      </c>
      <c r="O267" s="177"/>
      <c r="P267" s="178" t="s">
        <v>1365</v>
      </c>
    </row>
    <row r="268" spans="1:16" x14ac:dyDescent="0.25">
      <c r="A268" s="177"/>
      <c r="B268" s="177"/>
      <c r="C268" s="177"/>
      <c r="D268" s="177"/>
      <c r="E268" s="167" t="s">
        <v>434</v>
      </c>
      <c r="F268" s="167">
        <v>0</v>
      </c>
      <c r="G268" s="167">
        <v>0</v>
      </c>
      <c r="H268" s="167">
        <v>0</v>
      </c>
      <c r="I268" s="177"/>
      <c r="J268" s="177"/>
      <c r="K268" s="177"/>
      <c r="L268" s="177"/>
      <c r="M268" s="177"/>
      <c r="N268" s="177"/>
      <c r="O268" s="177"/>
      <c r="P268" s="177"/>
    </row>
    <row r="269" spans="1:16" x14ac:dyDescent="0.25">
      <c r="A269" s="177"/>
      <c r="B269" s="177"/>
      <c r="C269" s="177"/>
      <c r="D269" s="177"/>
      <c r="E269" s="167" t="s">
        <v>433</v>
      </c>
      <c r="F269" s="167">
        <v>0</v>
      </c>
      <c r="G269" s="167">
        <v>0</v>
      </c>
      <c r="H269" s="167">
        <v>0</v>
      </c>
      <c r="I269" s="177"/>
      <c r="J269" s="177"/>
      <c r="K269" s="177"/>
      <c r="L269" s="177"/>
      <c r="M269" s="177"/>
      <c r="N269" s="177"/>
      <c r="O269" s="177"/>
      <c r="P269" s="177"/>
    </row>
    <row r="270" spans="1:16" x14ac:dyDescent="0.25">
      <c r="A270" s="177"/>
      <c r="B270" s="177"/>
      <c r="C270" s="177"/>
      <c r="D270" s="177"/>
      <c r="E270" s="167" t="s">
        <v>434</v>
      </c>
      <c r="F270" s="167" t="s">
        <v>293</v>
      </c>
      <c r="G270" s="167" t="s">
        <v>947</v>
      </c>
      <c r="H270" s="167" t="s">
        <v>293</v>
      </c>
      <c r="I270" s="177"/>
      <c r="J270" s="177"/>
      <c r="K270" s="177"/>
      <c r="L270" s="177"/>
      <c r="M270" s="177"/>
      <c r="N270" s="177"/>
      <c r="O270" s="177"/>
      <c r="P270" s="177"/>
    </row>
    <row r="271" spans="1:16" x14ac:dyDescent="0.25">
      <c r="A271" s="177" t="s">
        <v>858</v>
      </c>
      <c r="B271" s="177" t="s">
        <v>969</v>
      </c>
      <c r="C271" s="177">
        <v>40</v>
      </c>
      <c r="D271" s="177">
        <v>65</v>
      </c>
      <c r="E271" s="167" t="s">
        <v>433</v>
      </c>
      <c r="F271" s="167" t="s">
        <v>954</v>
      </c>
      <c r="G271" s="167" t="s">
        <v>293</v>
      </c>
      <c r="H271" s="167" t="s">
        <v>954</v>
      </c>
      <c r="I271" s="177" t="s">
        <v>285</v>
      </c>
      <c r="J271" s="177" t="s">
        <v>914</v>
      </c>
      <c r="K271" s="177" t="s">
        <v>914</v>
      </c>
      <c r="L271" s="177" t="s">
        <v>914</v>
      </c>
      <c r="M271" s="177">
        <v>830</v>
      </c>
      <c r="N271" s="177">
        <v>50</v>
      </c>
      <c r="O271" s="177"/>
      <c r="P271" s="178" t="s">
        <v>1365</v>
      </c>
    </row>
    <row r="272" spans="1:16" x14ac:dyDescent="0.25">
      <c r="A272" s="177"/>
      <c r="B272" s="177"/>
      <c r="C272" s="177"/>
      <c r="D272" s="177"/>
      <c r="E272" s="167" t="s">
        <v>434</v>
      </c>
      <c r="F272" s="167">
        <v>0</v>
      </c>
      <c r="G272" s="167">
        <v>0</v>
      </c>
      <c r="H272" s="167">
        <v>0</v>
      </c>
      <c r="I272" s="177"/>
      <c r="J272" s="177"/>
      <c r="K272" s="177"/>
      <c r="L272" s="177"/>
      <c r="M272" s="177"/>
      <c r="N272" s="177"/>
      <c r="O272" s="177"/>
      <c r="P272" s="177"/>
    </row>
    <row r="273" spans="1:16" x14ac:dyDescent="0.25">
      <c r="A273" s="177"/>
      <c r="B273" s="177"/>
      <c r="C273" s="177"/>
      <c r="D273" s="177"/>
      <c r="E273" s="167" t="s">
        <v>433</v>
      </c>
      <c r="F273" s="167">
        <v>0</v>
      </c>
      <c r="G273" s="167">
        <v>0</v>
      </c>
      <c r="H273" s="167">
        <v>0</v>
      </c>
      <c r="I273" s="177"/>
      <c r="J273" s="177"/>
      <c r="K273" s="177"/>
      <c r="L273" s="177"/>
      <c r="M273" s="177"/>
      <c r="N273" s="177"/>
      <c r="O273" s="177"/>
      <c r="P273" s="177"/>
    </row>
    <row r="274" spans="1:16" x14ac:dyDescent="0.25">
      <c r="A274" s="177"/>
      <c r="B274" s="177"/>
      <c r="C274" s="177"/>
      <c r="D274" s="177"/>
      <c r="E274" s="167" t="s">
        <v>434</v>
      </c>
      <c r="F274" s="167" t="s">
        <v>293</v>
      </c>
      <c r="G274" s="167" t="s">
        <v>947</v>
      </c>
      <c r="H274" s="167" t="s">
        <v>293</v>
      </c>
      <c r="I274" s="177"/>
      <c r="J274" s="177"/>
      <c r="K274" s="177"/>
      <c r="L274" s="177"/>
      <c r="M274" s="177"/>
      <c r="N274" s="177"/>
      <c r="O274" s="177"/>
      <c r="P274" s="177"/>
    </row>
    <row r="275" spans="1:16" x14ac:dyDescent="0.25">
      <c r="A275" s="177" t="s">
        <v>858</v>
      </c>
      <c r="B275" s="177" t="s">
        <v>970</v>
      </c>
      <c r="C275" s="177">
        <v>40</v>
      </c>
      <c r="D275" s="177">
        <v>65</v>
      </c>
      <c r="E275" s="167" t="s">
        <v>433</v>
      </c>
      <c r="F275" s="167" t="s">
        <v>954</v>
      </c>
      <c r="G275" s="167" t="s">
        <v>293</v>
      </c>
      <c r="H275" s="167" t="s">
        <v>954</v>
      </c>
      <c r="I275" s="177" t="s">
        <v>285</v>
      </c>
      <c r="J275" s="177" t="s">
        <v>914</v>
      </c>
      <c r="K275" s="177" t="s">
        <v>914</v>
      </c>
      <c r="L275" s="177" t="s">
        <v>914</v>
      </c>
      <c r="M275" s="177">
        <v>830</v>
      </c>
      <c r="N275" s="177">
        <v>50</v>
      </c>
      <c r="O275" s="177"/>
      <c r="P275" s="178" t="s">
        <v>1365</v>
      </c>
    </row>
    <row r="276" spans="1:16" x14ac:dyDescent="0.25">
      <c r="A276" s="177"/>
      <c r="B276" s="177"/>
      <c r="C276" s="177"/>
      <c r="D276" s="177"/>
      <c r="E276" s="167" t="s">
        <v>434</v>
      </c>
      <c r="F276" s="167">
        <v>0</v>
      </c>
      <c r="G276" s="167">
        <v>0</v>
      </c>
      <c r="H276" s="167">
        <v>0</v>
      </c>
      <c r="I276" s="177"/>
      <c r="J276" s="177"/>
      <c r="K276" s="177"/>
      <c r="L276" s="177"/>
      <c r="M276" s="177"/>
      <c r="N276" s="177"/>
      <c r="O276" s="177"/>
      <c r="P276" s="177"/>
    </row>
    <row r="277" spans="1:16" x14ac:dyDescent="0.25">
      <c r="A277" s="177"/>
      <c r="B277" s="177"/>
      <c r="C277" s="177"/>
      <c r="D277" s="177"/>
      <c r="E277" s="167" t="s">
        <v>433</v>
      </c>
      <c r="F277" s="167">
        <v>0</v>
      </c>
      <c r="G277" s="167">
        <v>0</v>
      </c>
      <c r="H277" s="167">
        <v>0</v>
      </c>
      <c r="I277" s="177"/>
      <c r="J277" s="177"/>
      <c r="K277" s="177"/>
      <c r="L277" s="177"/>
      <c r="M277" s="177"/>
      <c r="N277" s="177"/>
      <c r="O277" s="177"/>
      <c r="P277" s="177"/>
    </row>
    <row r="278" spans="1:16" x14ac:dyDescent="0.25">
      <c r="A278" s="177"/>
      <c r="B278" s="177"/>
      <c r="C278" s="177"/>
      <c r="D278" s="177"/>
      <c r="E278" s="167" t="s">
        <v>434</v>
      </c>
      <c r="F278" s="167" t="s">
        <v>293</v>
      </c>
      <c r="G278" s="167" t="s">
        <v>947</v>
      </c>
      <c r="H278" s="167" t="s">
        <v>293</v>
      </c>
      <c r="I278" s="177"/>
      <c r="J278" s="177"/>
      <c r="K278" s="177"/>
      <c r="L278" s="177"/>
      <c r="M278" s="177"/>
      <c r="N278" s="177"/>
      <c r="O278" s="177"/>
      <c r="P278" s="177"/>
    </row>
    <row r="279" spans="1:16" x14ac:dyDescent="0.25">
      <c r="A279" s="177" t="s">
        <v>858</v>
      </c>
      <c r="B279" s="177" t="s">
        <v>970</v>
      </c>
      <c r="C279" s="177">
        <v>40</v>
      </c>
      <c r="D279" s="177">
        <v>65</v>
      </c>
      <c r="E279" s="167" t="s">
        <v>433</v>
      </c>
      <c r="F279" s="167" t="s">
        <v>954</v>
      </c>
      <c r="G279" s="167" t="s">
        <v>293</v>
      </c>
      <c r="H279" s="167" t="s">
        <v>954</v>
      </c>
      <c r="I279" s="177" t="s">
        <v>285</v>
      </c>
      <c r="J279" s="177" t="s">
        <v>914</v>
      </c>
      <c r="K279" s="177" t="s">
        <v>914</v>
      </c>
      <c r="L279" s="177" t="s">
        <v>914</v>
      </c>
      <c r="M279" s="177">
        <v>830</v>
      </c>
      <c r="N279" s="177">
        <v>50</v>
      </c>
      <c r="O279" s="177"/>
      <c r="P279" s="178" t="s">
        <v>1365</v>
      </c>
    </row>
    <row r="280" spans="1:16" x14ac:dyDescent="0.25">
      <c r="A280" s="177"/>
      <c r="B280" s="177"/>
      <c r="C280" s="177"/>
      <c r="D280" s="177"/>
      <c r="E280" s="167" t="s">
        <v>434</v>
      </c>
      <c r="F280" s="167">
        <v>0</v>
      </c>
      <c r="G280" s="167">
        <v>0</v>
      </c>
      <c r="H280" s="167">
        <v>0</v>
      </c>
      <c r="I280" s="177"/>
      <c r="J280" s="177"/>
      <c r="K280" s="177"/>
      <c r="L280" s="177"/>
      <c r="M280" s="177"/>
      <c r="N280" s="177"/>
      <c r="O280" s="177"/>
      <c r="P280" s="177"/>
    </row>
    <row r="281" spans="1:16" x14ac:dyDescent="0.25">
      <c r="A281" s="177"/>
      <c r="B281" s="177"/>
      <c r="C281" s="177"/>
      <c r="D281" s="177"/>
      <c r="E281" s="167" t="s">
        <v>433</v>
      </c>
      <c r="F281" s="167">
        <v>0</v>
      </c>
      <c r="G281" s="167">
        <v>0</v>
      </c>
      <c r="H281" s="167">
        <v>0</v>
      </c>
      <c r="I281" s="177"/>
      <c r="J281" s="177"/>
      <c r="K281" s="177"/>
      <c r="L281" s="177"/>
      <c r="M281" s="177"/>
      <c r="N281" s="177"/>
      <c r="O281" s="177"/>
      <c r="P281" s="177"/>
    </row>
    <row r="282" spans="1:16" x14ac:dyDescent="0.25">
      <c r="A282" s="177"/>
      <c r="B282" s="177"/>
      <c r="C282" s="177"/>
      <c r="D282" s="177"/>
      <c r="E282" s="167" t="s">
        <v>434</v>
      </c>
      <c r="F282" s="167" t="s">
        <v>293</v>
      </c>
      <c r="G282" s="167" t="s">
        <v>947</v>
      </c>
      <c r="H282" s="167" t="s">
        <v>293</v>
      </c>
      <c r="I282" s="177"/>
      <c r="J282" s="177"/>
      <c r="K282" s="177"/>
      <c r="L282" s="177"/>
      <c r="M282" s="177"/>
      <c r="N282" s="177"/>
      <c r="O282" s="177"/>
      <c r="P282" s="177"/>
    </row>
    <row r="283" spans="1:16" x14ac:dyDescent="0.25">
      <c r="A283" s="177" t="s">
        <v>858</v>
      </c>
      <c r="B283" s="177" t="s">
        <v>971</v>
      </c>
      <c r="C283" s="177">
        <v>40</v>
      </c>
      <c r="D283" s="177">
        <v>65</v>
      </c>
      <c r="E283" s="167" t="s">
        <v>433</v>
      </c>
      <c r="F283" s="167" t="s">
        <v>954</v>
      </c>
      <c r="G283" s="167" t="s">
        <v>293</v>
      </c>
      <c r="H283" s="167" t="s">
        <v>954</v>
      </c>
      <c r="I283" s="177" t="s">
        <v>285</v>
      </c>
      <c r="J283" s="177" t="s">
        <v>914</v>
      </c>
      <c r="K283" s="177" t="s">
        <v>914</v>
      </c>
      <c r="L283" s="177" t="s">
        <v>914</v>
      </c>
      <c r="M283" s="177">
        <v>830</v>
      </c>
      <c r="N283" s="177">
        <v>50</v>
      </c>
      <c r="O283" s="177"/>
      <c r="P283" s="178" t="s">
        <v>1365</v>
      </c>
    </row>
    <row r="284" spans="1:16" x14ac:dyDescent="0.25">
      <c r="A284" s="177"/>
      <c r="B284" s="177"/>
      <c r="C284" s="177"/>
      <c r="D284" s="177"/>
      <c r="E284" s="167" t="s">
        <v>434</v>
      </c>
      <c r="F284" s="167">
        <v>0</v>
      </c>
      <c r="G284" s="167">
        <v>0</v>
      </c>
      <c r="H284" s="167">
        <v>0</v>
      </c>
      <c r="I284" s="177"/>
      <c r="J284" s="177"/>
      <c r="K284" s="177"/>
      <c r="L284" s="177"/>
      <c r="M284" s="177"/>
      <c r="N284" s="177"/>
      <c r="O284" s="177"/>
      <c r="P284" s="177"/>
    </row>
    <row r="285" spans="1:16" x14ac:dyDescent="0.25">
      <c r="A285" s="177"/>
      <c r="B285" s="177"/>
      <c r="C285" s="177"/>
      <c r="D285" s="177"/>
      <c r="E285" s="167" t="s">
        <v>433</v>
      </c>
      <c r="F285" s="167">
        <v>0</v>
      </c>
      <c r="G285" s="167">
        <v>0</v>
      </c>
      <c r="H285" s="167">
        <v>0</v>
      </c>
      <c r="I285" s="177"/>
      <c r="J285" s="177"/>
      <c r="K285" s="177"/>
      <c r="L285" s="177"/>
      <c r="M285" s="177"/>
      <c r="N285" s="177"/>
      <c r="O285" s="177"/>
      <c r="P285" s="177"/>
    </row>
    <row r="286" spans="1:16" x14ac:dyDescent="0.25">
      <c r="A286" s="177"/>
      <c r="B286" s="177"/>
      <c r="C286" s="177"/>
      <c r="D286" s="177"/>
      <c r="E286" s="167" t="s">
        <v>434</v>
      </c>
      <c r="F286" s="167" t="s">
        <v>293</v>
      </c>
      <c r="G286" s="167" t="s">
        <v>947</v>
      </c>
      <c r="H286" s="167" t="s">
        <v>293</v>
      </c>
      <c r="I286" s="177"/>
      <c r="J286" s="177"/>
      <c r="K286" s="177"/>
      <c r="L286" s="177"/>
      <c r="M286" s="177"/>
      <c r="N286" s="177"/>
      <c r="O286" s="177"/>
      <c r="P286" s="177"/>
    </row>
    <row r="287" spans="1:16" x14ac:dyDescent="0.25">
      <c r="A287" s="177" t="s">
        <v>858</v>
      </c>
      <c r="B287" s="177" t="s">
        <v>971</v>
      </c>
      <c r="C287" s="177">
        <v>40</v>
      </c>
      <c r="D287" s="177">
        <v>65</v>
      </c>
      <c r="E287" s="167" t="s">
        <v>433</v>
      </c>
      <c r="F287" s="167" t="s">
        <v>954</v>
      </c>
      <c r="G287" s="167" t="s">
        <v>293</v>
      </c>
      <c r="H287" s="167" t="s">
        <v>954</v>
      </c>
      <c r="I287" s="177" t="s">
        <v>285</v>
      </c>
      <c r="J287" s="177" t="s">
        <v>914</v>
      </c>
      <c r="K287" s="177" t="s">
        <v>914</v>
      </c>
      <c r="L287" s="177" t="s">
        <v>914</v>
      </c>
      <c r="M287" s="177">
        <v>830</v>
      </c>
      <c r="N287" s="177">
        <v>50</v>
      </c>
      <c r="O287" s="177"/>
      <c r="P287" s="178" t="s">
        <v>1365</v>
      </c>
    </row>
    <row r="288" spans="1:16" x14ac:dyDescent="0.25">
      <c r="A288" s="177"/>
      <c r="B288" s="177"/>
      <c r="C288" s="177"/>
      <c r="D288" s="177"/>
      <c r="E288" s="167" t="s">
        <v>434</v>
      </c>
      <c r="F288" s="167">
        <v>0</v>
      </c>
      <c r="G288" s="167">
        <v>0</v>
      </c>
      <c r="H288" s="167">
        <v>0</v>
      </c>
      <c r="I288" s="177"/>
      <c r="J288" s="177"/>
      <c r="K288" s="177"/>
      <c r="L288" s="177"/>
      <c r="M288" s="177"/>
      <c r="N288" s="177"/>
      <c r="O288" s="177"/>
      <c r="P288" s="177"/>
    </row>
    <row r="289" spans="1:16" x14ac:dyDescent="0.25">
      <c r="A289" s="177"/>
      <c r="B289" s="177"/>
      <c r="C289" s="177"/>
      <c r="D289" s="177"/>
      <c r="E289" s="167" t="s">
        <v>433</v>
      </c>
      <c r="F289" s="167">
        <v>0</v>
      </c>
      <c r="G289" s="167">
        <v>0</v>
      </c>
      <c r="H289" s="167">
        <v>0</v>
      </c>
      <c r="I289" s="177"/>
      <c r="J289" s="177"/>
      <c r="K289" s="177"/>
      <c r="L289" s="177"/>
      <c r="M289" s="177"/>
      <c r="N289" s="177"/>
      <c r="O289" s="177"/>
      <c r="P289" s="177"/>
    </row>
    <row r="290" spans="1:16" x14ac:dyDescent="0.25">
      <c r="A290" s="177"/>
      <c r="B290" s="177"/>
      <c r="C290" s="177"/>
      <c r="D290" s="177"/>
      <c r="E290" s="167" t="s">
        <v>434</v>
      </c>
      <c r="F290" s="167" t="s">
        <v>293</v>
      </c>
      <c r="G290" s="167" t="s">
        <v>947</v>
      </c>
      <c r="H290" s="167" t="s">
        <v>293</v>
      </c>
      <c r="I290" s="177"/>
      <c r="J290" s="177"/>
      <c r="K290" s="177"/>
      <c r="L290" s="177"/>
      <c r="M290" s="177"/>
      <c r="N290" s="177"/>
      <c r="O290" s="177"/>
      <c r="P290" s="177"/>
    </row>
    <row r="291" spans="1:16" x14ac:dyDescent="0.25">
      <c r="A291" s="177" t="s">
        <v>858</v>
      </c>
      <c r="B291" s="177" t="s">
        <v>972</v>
      </c>
      <c r="C291" s="177">
        <v>40</v>
      </c>
      <c r="D291" s="177">
        <v>65</v>
      </c>
      <c r="E291" s="167" t="s">
        <v>433</v>
      </c>
      <c r="F291" s="167" t="s">
        <v>954</v>
      </c>
      <c r="G291" s="167" t="s">
        <v>293</v>
      </c>
      <c r="H291" s="167" t="s">
        <v>954</v>
      </c>
      <c r="I291" s="177" t="s">
        <v>285</v>
      </c>
      <c r="J291" s="177" t="s">
        <v>914</v>
      </c>
      <c r="K291" s="177" t="s">
        <v>914</v>
      </c>
      <c r="L291" s="177" t="s">
        <v>914</v>
      </c>
      <c r="M291" s="177">
        <v>830</v>
      </c>
      <c r="N291" s="177">
        <v>50</v>
      </c>
      <c r="O291" s="177"/>
      <c r="P291" s="178" t="s">
        <v>1365</v>
      </c>
    </row>
    <row r="292" spans="1:16" x14ac:dyDescent="0.25">
      <c r="A292" s="177"/>
      <c r="B292" s="177"/>
      <c r="C292" s="177"/>
      <c r="D292" s="177"/>
      <c r="E292" s="167" t="s">
        <v>434</v>
      </c>
      <c r="F292" s="167">
        <v>0</v>
      </c>
      <c r="G292" s="167">
        <v>0</v>
      </c>
      <c r="H292" s="167">
        <v>0</v>
      </c>
      <c r="I292" s="177"/>
      <c r="J292" s="177"/>
      <c r="K292" s="177"/>
      <c r="L292" s="177"/>
      <c r="M292" s="177"/>
      <c r="N292" s="177"/>
      <c r="O292" s="177"/>
      <c r="P292" s="177"/>
    </row>
    <row r="293" spans="1:16" x14ac:dyDescent="0.25">
      <c r="A293" s="177"/>
      <c r="B293" s="177"/>
      <c r="C293" s="177"/>
      <c r="D293" s="177"/>
      <c r="E293" s="167" t="s">
        <v>433</v>
      </c>
      <c r="F293" s="167">
        <v>0</v>
      </c>
      <c r="G293" s="167">
        <v>0</v>
      </c>
      <c r="H293" s="167">
        <v>0</v>
      </c>
      <c r="I293" s="177"/>
      <c r="J293" s="177"/>
      <c r="K293" s="177"/>
      <c r="L293" s="177"/>
      <c r="M293" s="177"/>
      <c r="N293" s="177"/>
      <c r="O293" s="177"/>
      <c r="P293" s="177"/>
    </row>
    <row r="294" spans="1:16" x14ac:dyDescent="0.25">
      <c r="A294" s="177"/>
      <c r="B294" s="177"/>
      <c r="C294" s="177"/>
      <c r="D294" s="177"/>
      <c r="E294" s="167" t="s">
        <v>434</v>
      </c>
      <c r="F294" s="167" t="s">
        <v>293</v>
      </c>
      <c r="G294" s="167" t="s">
        <v>947</v>
      </c>
      <c r="H294" s="167" t="s">
        <v>293</v>
      </c>
      <c r="I294" s="177"/>
      <c r="J294" s="177"/>
      <c r="K294" s="177"/>
      <c r="L294" s="177"/>
      <c r="M294" s="177"/>
      <c r="N294" s="177"/>
      <c r="O294" s="177"/>
      <c r="P294" s="177"/>
    </row>
    <row r="295" spans="1:16" x14ac:dyDescent="0.25">
      <c r="A295" s="177" t="s">
        <v>858</v>
      </c>
      <c r="B295" s="177" t="s">
        <v>972</v>
      </c>
      <c r="C295" s="177">
        <v>40</v>
      </c>
      <c r="D295" s="177">
        <v>65</v>
      </c>
      <c r="E295" s="167" t="s">
        <v>433</v>
      </c>
      <c r="F295" s="167" t="s">
        <v>954</v>
      </c>
      <c r="G295" s="167" t="s">
        <v>293</v>
      </c>
      <c r="H295" s="167" t="s">
        <v>954</v>
      </c>
      <c r="I295" s="177" t="s">
        <v>285</v>
      </c>
      <c r="J295" s="177" t="s">
        <v>914</v>
      </c>
      <c r="K295" s="177" t="s">
        <v>914</v>
      </c>
      <c r="L295" s="177" t="s">
        <v>914</v>
      </c>
      <c r="M295" s="177">
        <v>830</v>
      </c>
      <c r="N295" s="177">
        <v>50</v>
      </c>
      <c r="O295" s="177"/>
      <c r="P295" s="178" t="s">
        <v>1365</v>
      </c>
    </row>
    <row r="296" spans="1:16" x14ac:dyDescent="0.25">
      <c r="A296" s="177"/>
      <c r="B296" s="177"/>
      <c r="C296" s="177"/>
      <c r="D296" s="177"/>
      <c r="E296" s="167" t="s">
        <v>434</v>
      </c>
      <c r="F296" s="167">
        <v>0</v>
      </c>
      <c r="G296" s="167">
        <v>0</v>
      </c>
      <c r="H296" s="167">
        <v>0</v>
      </c>
      <c r="I296" s="177"/>
      <c r="J296" s="177"/>
      <c r="K296" s="177"/>
      <c r="L296" s="177"/>
      <c r="M296" s="177"/>
      <c r="N296" s="177"/>
      <c r="O296" s="177"/>
      <c r="P296" s="177"/>
    </row>
    <row r="297" spans="1:16" x14ac:dyDescent="0.25">
      <c r="A297" s="177"/>
      <c r="B297" s="177"/>
      <c r="C297" s="177"/>
      <c r="D297" s="177"/>
      <c r="E297" s="167" t="s">
        <v>433</v>
      </c>
      <c r="F297" s="167">
        <v>0</v>
      </c>
      <c r="G297" s="167">
        <v>0</v>
      </c>
      <c r="H297" s="167">
        <v>0</v>
      </c>
      <c r="I297" s="177"/>
      <c r="J297" s="177"/>
      <c r="K297" s="177"/>
      <c r="L297" s="177"/>
      <c r="M297" s="177"/>
      <c r="N297" s="177"/>
      <c r="O297" s="177"/>
      <c r="P297" s="177"/>
    </row>
    <row r="298" spans="1:16" x14ac:dyDescent="0.25">
      <c r="A298" s="177"/>
      <c r="B298" s="177"/>
      <c r="C298" s="177"/>
      <c r="D298" s="177"/>
      <c r="E298" s="167" t="s">
        <v>434</v>
      </c>
      <c r="F298" s="167" t="s">
        <v>293</v>
      </c>
      <c r="G298" s="167" t="s">
        <v>947</v>
      </c>
      <c r="H298" s="167" t="s">
        <v>293</v>
      </c>
      <c r="I298" s="177"/>
      <c r="J298" s="177"/>
      <c r="K298" s="177"/>
      <c r="L298" s="177"/>
      <c r="M298" s="177"/>
      <c r="N298" s="177"/>
      <c r="O298" s="177"/>
      <c r="P298" s="177"/>
    </row>
    <row r="299" spans="1:16" x14ac:dyDescent="0.25">
      <c r="A299" s="177" t="s">
        <v>858</v>
      </c>
      <c r="B299" s="177" t="s">
        <v>973</v>
      </c>
      <c r="C299" s="177">
        <v>40</v>
      </c>
      <c r="D299" s="177">
        <v>65</v>
      </c>
      <c r="E299" s="167" t="s">
        <v>433</v>
      </c>
      <c r="F299" s="167" t="s">
        <v>954</v>
      </c>
      <c r="G299" s="167" t="s">
        <v>293</v>
      </c>
      <c r="H299" s="167" t="s">
        <v>944</v>
      </c>
      <c r="I299" s="177" t="s">
        <v>285</v>
      </c>
      <c r="J299" s="177" t="s">
        <v>914</v>
      </c>
      <c r="K299" s="177" t="s">
        <v>914</v>
      </c>
      <c r="L299" s="177" t="s">
        <v>914</v>
      </c>
      <c r="M299" s="177">
        <v>830</v>
      </c>
      <c r="N299" s="177">
        <v>50</v>
      </c>
      <c r="O299" s="177"/>
      <c r="P299" s="179" t="s">
        <v>1367</v>
      </c>
    </row>
    <row r="300" spans="1:16" x14ac:dyDescent="0.25">
      <c r="A300" s="177"/>
      <c r="B300" s="177"/>
      <c r="C300" s="177"/>
      <c r="D300" s="177"/>
      <c r="E300" s="167" t="s">
        <v>434</v>
      </c>
      <c r="F300" s="167">
        <v>0</v>
      </c>
      <c r="G300" s="167">
        <v>0</v>
      </c>
      <c r="H300" s="167">
        <v>0</v>
      </c>
      <c r="I300" s="177"/>
      <c r="J300" s="177"/>
      <c r="K300" s="177"/>
      <c r="L300" s="177"/>
      <c r="M300" s="177"/>
      <c r="N300" s="177"/>
      <c r="O300" s="177"/>
      <c r="P300" s="177"/>
    </row>
    <row r="301" spans="1:16" x14ac:dyDescent="0.25">
      <c r="A301" s="177"/>
      <c r="B301" s="177"/>
      <c r="C301" s="177"/>
      <c r="D301" s="177"/>
      <c r="E301" s="167" t="s">
        <v>433</v>
      </c>
      <c r="F301" s="167">
        <v>0</v>
      </c>
      <c r="G301" s="167">
        <v>0</v>
      </c>
      <c r="H301" s="167">
        <v>0</v>
      </c>
      <c r="I301" s="177"/>
      <c r="J301" s="177"/>
      <c r="K301" s="177"/>
      <c r="L301" s="177"/>
      <c r="M301" s="177"/>
      <c r="N301" s="177"/>
      <c r="O301" s="177"/>
      <c r="P301" s="177"/>
    </row>
    <row r="302" spans="1:16" x14ac:dyDescent="0.25">
      <c r="A302" s="177"/>
      <c r="B302" s="177"/>
      <c r="C302" s="177"/>
      <c r="D302" s="177"/>
      <c r="E302" s="167" t="s">
        <v>434</v>
      </c>
      <c r="F302" s="167" t="s">
        <v>293</v>
      </c>
      <c r="G302" s="167" t="s">
        <v>947</v>
      </c>
      <c r="H302" s="167" t="s">
        <v>947</v>
      </c>
      <c r="I302" s="177"/>
      <c r="J302" s="177"/>
      <c r="K302" s="177"/>
      <c r="L302" s="177"/>
      <c r="M302" s="177"/>
      <c r="N302" s="177"/>
      <c r="O302" s="177"/>
      <c r="P302" s="177"/>
    </row>
    <row r="303" spans="1:16" x14ac:dyDescent="0.25">
      <c r="A303" s="177" t="s">
        <v>858</v>
      </c>
      <c r="B303" s="177" t="s">
        <v>973</v>
      </c>
      <c r="C303" s="177">
        <v>40</v>
      </c>
      <c r="D303" s="177">
        <v>65</v>
      </c>
      <c r="E303" s="167" t="s">
        <v>433</v>
      </c>
      <c r="F303" s="167" t="s">
        <v>954</v>
      </c>
      <c r="G303" s="167" t="s">
        <v>293</v>
      </c>
      <c r="H303" s="167" t="s">
        <v>944</v>
      </c>
      <c r="I303" s="177" t="s">
        <v>285</v>
      </c>
      <c r="J303" s="177" t="s">
        <v>914</v>
      </c>
      <c r="K303" s="177" t="s">
        <v>914</v>
      </c>
      <c r="L303" s="177" t="s">
        <v>914</v>
      </c>
      <c r="M303" s="177">
        <v>830</v>
      </c>
      <c r="N303" s="177">
        <v>50</v>
      </c>
      <c r="O303" s="177"/>
      <c r="P303" s="179" t="s">
        <v>1367</v>
      </c>
    </row>
    <row r="304" spans="1:16" x14ac:dyDescent="0.25">
      <c r="A304" s="177"/>
      <c r="B304" s="177"/>
      <c r="C304" s="177"/>
      <c r="D304" s="177"/>
      <c r="E304" s="167" t="s">
        <v>434</v>
      </c>
      <c r="F304" s="167">
        <v>0</v>
      </c>
      <c r="G304" s="167">
        <v>0</v>
      </c>
      <c r="H304" s="167">
        <v>0</v>
      </c>
      <c r="I304" s="177"/>
      <c r="J304" s="177"/>
      <c r="K304" s="177"/>
      <c r="L304" s="177"/>
      <c r="M304" s="177"/>
      <c r="N304" s="177"/>
      <c r="O304" s="177"/>
      <c r="P304" s="177"/>
    </row>
    <row r="305" spans="1:16" x14ac:dyDescent="0.25">
      <c r="A305" s="177"/>
      <c r="B305" s="177"/>
      <c r="C305" s="177"/>
      <c r="D305" s="177"/>
      <c r="E305" s="167" t="s">
        <v>433</v>
      </c>
      <c r="F305" s="167">
        <v>0</v>
      </c>
      <c r="G305" s="167">
        <v>0</v>
      </c>
      <c r="H305" s="167">
        <v>0</v>
      </c>
      <c r="I305" s="177"/>
      <c r="J305" s="177"/>
      <c r="K305" s="177"/>
      <c r="L305" s="177"/>
      <c r="M305" s="177"/>
      <c r="N305" s="177"/>
      <c r="O305" s="177"/>
      <c r="P305" s="177"/>
    </row>
    <row r="306" spans="1:16" x14ac:dyDescent="0.25">
      <c r="A306" s="177"/>
      <c r="B306" s="177"/>
      <c r="C306" s="177"/>
      <c r="D306" s="177"/>
      <c r="E306" s="167" t="s">
        <v>434</v>
      </c>
      <c r="F306" s="167" t="s">
        <v>293</v>
      </c>
      <c r="G306" s="167" t="s">
        <v>947</v>
      </c>
      <c r="H306" s="167" t="s">
        <v>947</v>
      </c>
      <c r="I306" s="177"/>
      <c r="J306" s="177"/>
      <c r="K306" s="177"/>
      <c r="L306" s="177"/>
      <c r="M306" s="177"/>
      <c r="N306" s="177"/>
      <c r="O306" s="177"/>
      <c r="P306" s="177"/>
    </row>
    <row r="307" spans="1:16" x14ac:dyDescent="0.25">
      <c r="A307" s="177" t="s">
        <v>858</v>
      </c>
      <c r="B307" s="177" t="s">
        <v>951</v>
      </c>
      <c r="C307" s="177">
        <v>40</v>
      </c>
      <c r="D307" s="177">
        <v>65</v>
      </c>
      <c r="E307" s="167" t="s">
        <v>433</v>
      </c>
      <c r="F307" s="167" t="s">
        <v>294</v>
      </c>
      <c r="G307" s="167" t="s">
        <v>293</v>
      </c>
      <c r="H307" s="167" t="s">
        <v>967</v>
      </c>
      <c r="I307" s="177" t="s">
        <v>285</v>
      </c>
      <c r="J307" s="177" t="s">
        <v>914</v>
      </c>
      <c r="K307" s="177" t="s">
        <v>914</v>
      </c>
      <c r="L307" s="177" t="s">
        <v>914</v>
      </c>
      <c r="M307" s="177">
        <v>1070</v>
      </c>
      <c r="N307" s="177">
        <v>50</v>
      </c>
      <c r="O307" s="177"/>
      <c r="P307" s="178" t="s">
        <v>1365</v>
      </c>
    </row>
    <row r="308" spans="1:16" x14ac:dyDescent="0.25">
      <c r="A308" s="177"/>
      <c r="B308" s="177"/>
      <c r="C308" s="177"/>
      <c r="D308" s="177"/>
      <c r="E308" s="167" t="s">
        <v>434</v>
      </c>
      <c r="F308" s="167" t="s">
        <v>944</v>
      </c>
      <c r="G308" s="167">
        <v>0</v>
      </c>
      <c r="H308" s="167" t="s">
        <v>293</v>
      </c>
      <c r="I308" s="177"/>
      <c r="J308" s="177"/>
      <c r="K308" s="177"/>
      <c r="L308" s="177"/>
      <c r="M308" s="177"/>
      <c r="N308" s="177"/>
      <c r="O308" s="177"/>
      <c r="P308" s="177"/>
    </row>
    <row r="309" spans="1:16" x14ac:dyDescent="0.25">
      <c r="A309" s="177"/>
      <c r="B309" s="177"/>
      <c r="C309" s="177"/>
      <c r="D309" s="177"/>
      <c r="E309" s="167" t="s">
        <v>433</v>
      </c>
      <c r="F309" s="167">
        <v>0</v>
      </c>
      <c r="G309" s="167">
        <v>0</v>
      </c>
      <c r="H309" s="167">
        <v>0</v>
      </c>
      <c r="I309" s="177"/>
      <c r="J309" s="177"/>
      <c r="K309" s="177"/>
      <c r="L309" s="177"/>
      <c r="M309" s="177"/>
      <c r="N309" s="177"/>
      <c r="O309" s="177"/>
      <c r="P309" s="177"/>
    </row>
    <row r="310" spans="1:16" x14ac:dyDescent="0.25">
      <c r="A310" s="177"/>
      <c r="B310" s="177"/>
      <c r="C310" s="177"/>
      <c r="D310" s="177"/>
      <c r="E310" s="167" t="s">
        <v>434</v>
      </c>
      <c r="F310" s="167" t="s">
        <v>294</v>
      </c>
      <c r="G310" s="167" t="s">
        <v>294</v>
      </c>
      <c r="H310" s="167" t="s">
        <v>294</v>
      </c>
      <c r="I310" s="177"/>
      <c r="J310" s="177"/>
      <c r="K310" s="177"/>
      <c r="L310" s="177"/>
      <c r="M310" s="177"/>
      <c r="N310" s="177"/>
      <c r="O310" s="177"/>
      <c r="P310" s="177"/>
    </row>
    <row r="311" spans="1:16" x14ac:dyDescent="0.25">
      <c r="A311" s="177" t="s">
        <v>858</v>
      </c>
      <c r="B311" s="177" t="s">
        <v>951</v>
      </c>
      <c r="C311" s="177">
        <v>40</v>
      </c>
      <c r="D311" s="177">
        <v>65</v>
      </c>
      <c r="E311" s="167" t="s">
        <v>433</v>
      </c>
      <c r="F311" s="167" t="s">
        <v>294</v>
      </c>
      <c r="G311" s="167" t="s">
        <v>293</v>
      </c>
      <c r="H311" s="167" t="s">
        <v>967</v>
      </c>
      <c r="I311" s="177" t="s">
        <v>285</v>
      </c>
      <c r="J311" s="177" t="s">
        <v>914</v>
      </c>
      <c r="K311" s="177" t="s">
        <v>914</v>
      </c>
      <c r="L311" s="177" t="s">
        <v>914</v>
      </c>
      <c r="M311" s="177">
        <v>1070</v>
      </c>
      <c r="N311" s="177">
        <v>50</v>
      </c>
      <c r="O311" s="177"/>
      <c r="P311" s="178" t="s">
        <v>1365</v>
      </c>
    </row>
    <row r="312" spans="1:16" x14ac:dyDescent="0.25">
      <c r="A312" s="177"/>
      <c r="B312" s="177"/>
      <c r="C312" s="177"/>
      <c r="D312" s="177"/>
      <c r="E312" s="167" t="s">
        <v>434</v>
      </c>
      <c r="F312" s="167" t="s">
        <v>944</v>
      </c>
      <c r="G312" s="167">
        <v>0</v>
      </c>
      <c r="H312" s="167" t="s">
        <v>293</v>
      </c>
      <c r="I312" s="177"/>
      <c r="J312" s="177"/>
      <c r="K312" s="177"/>
      <c r="L312" s="177"/>
      <c r="M312" s="177"/>
      <c r="N312" s="177"/>
      <c r="O312" s="177"/>
      <c r="P312" s="177"/>
    </row>
    <row r="313" spans="1:16" x14ac:dyDescent="0.25">
      <c r="A313" s="177"/>
      <c r="B313" s="177"/>
      <c r="C313" s="177"/>
      <c r="D313" s="177"/>
      <c r="E313" s="167" t="s">
        <v>433</v>
      </c>
      <c r="F313" s="167">
        <v>0</v>
      </c>
      <c r="G313" s="167">
        <v>0</v>
      </c>
      <c r="H313" s="167">
        <v>0</v>
      </c>
      <c r="I313" s="177"/>
      <c r="J313" s="177"/>
      <c r="K313" s="177"/>
      <c r="L313" s="177"/>
      <c r="M313" s="177"/>
      <c r="N313" s="177"/>
      <c r="O313" s="177"/>
      <c r="P313" s="177"/>
    </row>
    <row r="314" spans="1:16" x14ac:dyDescent="0.25">
      <c r="A314" s="177"/>
      <c r="B314" s="177"/>
      <c r="C314" s="177"/>
      <c r="D314" s="177"/>
      <c r="E314" s="167" t="s">
        <v>434</v>
      </c>
      <c r="F314" s="167" t="s">
        <v>294</v>
      </c>
      <c r="G314" s="167" t="s">
        <v>294</v>
      </c>
      <c r="H314" s="167" t="s">
        <v>294</v>
      </c>
      <c r="I314" s="177"/>
      <c r="J314" s="177"/>
      <c r="K314" s="177"/>
      <c r="L314" s="177"/>
      <c r="M314" s="177"/>
      <c r="N314" s="177"/>
      <c r="O314" s="177"/>
      <c r="P314" s="177"/>
    </row>
    <row r="315" spans="1:16" x14ac:dyDescent="0.25">
      <c r="A315" s="177" t="s">
        <v>858</v>
      </c>
      <c r="B315" s="177" t="s">
        <v>951</v>
      </c>
      <c r="C315" s="177">
        <v>40</v>
      </c>
      <c r="D315" s="177">
        <v>65</v>
      </c>
      <c r="E315" s="167" t="s">
        <v>433</v>
      </c>
      <c r="F315" s="167" t="s">
        <v>294</v>
      </c>
      <c r="G315" s="167" t="s">
        <v>293</v>
      </c>
      <c r="H315" s="167" t="s">
        <v>967</v>
      </c>
      <c r="I315" s="177" t="s">
        <v>285</v>
      </c>
      <c r="J315" s="177" t="s">
        <v>914</v>
      </c>
      <c r="K315" s="177" t="s">
        <v>914</v>
      </c>
      <c r="L315" s="177" t="s">
        <v>914</v>
      </c>
      <c r="M315" s="177">
        <v>1070</v>
      </c>
      <c r="N315" s="177">
        <v>50</v>
      </c>
      <c r="O315" s="177"/>
      <c r="P315" s="178" t="s">
        <v>1365</v>
      </c>
    </row>
    <row r="316" spans="1:16" x14ac:dyDescent="0.25">
      <c r="A316" s="177"/>
      <c r="B316" s="177"/>
      <c r="C316" s="177"/>
      <c r="D316" s="177"/>
      <c r="E316" s="167" t="s">
        <v>434</v>
      </c>
      <c r="F316" s="167" t="s">
        <v>944</v>
      </c>
      <c r="G316" s="167">
        <v>0</v>
      </c>
      <c r="H316" s="167" t="s">
        <v>293</v>
      </c>
      <c r="I316" s="177"/>
      <c r="J316" s="177"/>
      <c r="K316" s="177"/>
      <c r="L316" s="177"/>
      <c r="M316" s="177"/>
      <c r="N316" s="177"/>
      <c r="O316" s="177"/>
      <c r="P316" s="177"/>
    </row>
    <row r="317" spans="1:16" x14ac:dyDescent="0.25">
      <c r="A317" s="177"/>
      <c r="B317" s="177"/>
      <c r="C317" s="177"/>
      <c r="D317" s="177"/>
      <c r="E317" s="167" t="s">
        <v>433</v>
      </c>
      <c r="F317" s="167">
        <v>0</v>
      </c>
      <c r="G317" s="167">
        <v>0</v>
      </c>
      <c r="H317" s="167">
        <v>0</v>
      </c>
      <c r="I317" s="177"/>
      <c r="J317" s="177"/>
      <c r="K317" s="177"/>
      <c r="L317" s="177"/>
      <c r="M317" s="177"/>
      <c r="N317" s="177"/>
      <c r="O317" s="177"/>
      <c r="P317" s="177"/>
    </row>
    <row r="318" spans="1:16" x14ac:dyDescent="0.25">
      <c r="A318" s="177"/>
      <c r="B318" s="177"/>
      <c r="C318" s="177"/>
      <c r="D318" s="177"/>
      <c r="E318" s="167" t="s">
        <v>434</v>
      </c>
      <c r="F318" s="167" t="s">
        <v>294</v>
      </c>
      <c r="G318" s="167" t="s">
        <v>294</v>
      </c>
      <c r="H318" s="167" t="s">
        <v>294</v>
      </c>
      <c r="I318" s="177"/>
      <c r="J318" s="177"/>
      <c r="K318" s="177"/>
      <c r="L318" s="177"/>
      <c r="M318" s="177"/>
      <c r="N318" s="177"/>
      <c r="O318" s="177"/>
      <c r="P318" s="177"/>
    </row>
    <row r="319" spans="1:16" x14ac:dyDescent="0.25">
      <c r="A319" s="177" t="s">
        <v>858</v>
      </c>
      <c r="B319" s="177" t="s">
        <v>951</v>
      </c>
      <c r="C319" s="177">
        <v>40</v>
      </c>
      <c r="D319" s="177">
        <v>65</v>
      </c>
      <c r="E319" s="167" t="s">
        <v>433</v>
      </c>
      <c r="F319" s="167" t="s">
        <v>294</v>
      </c>
      <c r="G319" s="167" t="s">
        <v>293</v>
      </c>
      <c r="H319" s="167" t="s">
        <v>967</v>
      </c>
      <c r="I319" s="177" t="s">
        <v>285</v>
      </c>
      <c r="J319" s="177" t="s">
        <v>914</v>
      </c>
      <c r="K319" s="177" t="s">
        <v>914</v>
      </c>
      <c r="L319" s="177" t="s">
        <v>914</v>
      </c>
      <c r="M319" s="177">
        <v>1070</v>
      </c>
      <c r="N319" s="177">
        <v>50</v>
      </c>
      <c r="O319" s="177"/>
      <c r="P319" s="178" t="s">
        <v>1365</v>
      </c>
    </row>
    <row r="320" spans="1:16" x14ac:dyDescent="0.25">
      <c r="A320" s="177"/>
      <c r="B320" s="177"/>
      <c r="C320" s="177"/>
      <c r="D320" s="177"/>
      <c r="E320" s="167" t="s">
        <v>434</v>
      </c>
      <c r="F320" s="167" t="s">
        <v>944</v>
      </c>
      <c r="G320" s="167">
        <v>0</v>
      </c>
      <c r="H320" s="167" t="s">
        <v>293</v>
      </c>
      <c r="I320" s="177"/>
      <c r="J320" s="177"/>
      <c r="K320" s="177"/>
      <c r="L320" s="177"/>
      <c r="M320" s="177"/>
      <c r="N320" s="177"/>
      <c r="O320" s="177"/>
      <c r="P320" s="177"/>
    </row>
    <row r="321" spans="1:16" x14ac:dyDescent="0.25">
      <c r="A321" s="177"/>
      <c r="B321" s="177"/>
      <c r="C321" s="177"/>
      <c r="D321" s="177"/>
      <c r="E321" s="167" t="s">
        <v>433</v>
      </c>
      <c r="F321" s="167">
        <v>0</v>
      </c>
      <c r="G321" s="167">
        <v>0</v>
      </c>
      <c r="H321" s="167">
        <v>0</v>
      </c>
      <c r="I321" s="177"/>
      <c r="J321" s="177"/>
      <c r="K321" s="177"/>
      <c r="L321" s="177"/>
      <c r="M321" s="177"/>
      <c r="N321" s="177"/>
      <c r="O321" s="177"/>
      <c r="P321" s="177"/>
    </row>
    <row r="322" spans="1:16" x14ac:dyDescent="0.25">
      <c r="A322" s="177"/>
      <c r="B322" s="177"/>
      <c r="C322" s="177"/>
      <c r="D322" s="177"/>
      <c r="E322" s="167" t="s">
        <v>434</v>
      </c>
      <c r="F322" s="167" t="s">
        <v>294</v>
      </c>
      <c r="G322" s="167" t="s">
        <v>294</v>
      </c>
      <c r="H322" s="167" t="s">
        <v>294</v>
      </c>
      <c r="I322" s="177"/>
      <c r="J322" s="177"/>
      <c r="K322" s="177"/>
      <c r="L322" s="177"/>
      <c r="M322" s="177"/>
      <c r="N322" s="177"/>
      <c r="O322" s="177"/>
      <c r="P322" s="177"/>
    </row>
    <row r="323" spans="1:16" x14ac:dyDescent="0.25">
      <c r="A323" s="177" t="s">
        <v>858</v>
      </c>
      <c r="B323" s="177" t="s">
        <v>974</v>
      </c>
      <c r="C323" s="177">
        <v>40</v>
      </c>
      <c r="D323" s="177">
        <v>65</v>
      </c>
      <c r="E323" s="167" t="s">
        <v>433</v>
      </c>
      <c r="F323" s="167" t="s">
        <v>293</v>
      </c>
      <c r="G323" s="167" t="s">
        <v>293</v>
      </c>
      <c r="H323" s="167" t="s">
        <v>293</v>
      </c>
      <c r="I323" s="177" t="s">
        <v>285</v>
      </c>
      <c r="J323" s="177" t="s">
        <v>914</v>
      </c>
      <c r="K323" s="177" t="s">
        <v>914</v>
      </c>
      <c r="L323" s="177" t="s">
        <v>914</v>
      </c>
      <c r="M323" s="177">
        <v>830</v>
      </c>
      <c r="N323" s="177">
        <v>50</v>
      </c>
      <c r="O323" s="177"/>
      <c r="P323" s="178" t="s">
        <v>1365</v>
      </c>
    </row>
    <row r="324" spans="1:16" x14ac:dyDescent="0.25">
      <c r="A324" s="177"/>
      <c r="B324" s="177"/>
      <c r="C324" s="177"/>
      <c r="D324" s="177"/>
      <c r="E324" s="167" t="s">
        <v>434</v>
      </c>
      <c r="F324" s="167">
        <v>0</v>
      </c>
      <c r="G324" s="167">
        <v>0</v>
      </c>
      <c r="H324" s="167">
        <v>0</v>
      </c>
      <c r="I324" s="177"/>
      <c r="J324" s="177"/>
      <c r="K324" s="177"/>
      <c r="L324" s="177"/>
      <c r="M324" s="177"/>
      <c r="N324" s="177"/>
      <c r="O324" s="177"/>
      <c r="P324" s="177"/>
    </row>
    <row r="325" spans="1:16" x14ac:dyDescent="0.25">
      <c r="A325" s="177"/>
      <c r="B325" s="177"/>
      <c r="C325" s="177"/>
      <c r="D325" s="177"/>
      <c r="E325" s="167" t="s">
        <v>433</v>
      </c>
      <c r="F325" s="167">
        <v>0</v>
      </c>
      <c r="G325" s="167">
        <v>0</v>
      </c>
      <c r="H325" s="167">
        <v>0</v>
      </c>
      <c r="I325" s="177"/>
      <c r="J325" s="177"/>
      <c r="K325" s="177"/>
      <c r="L325" s="177"/>
      <c r="M325" s="177"/>
      <c r="N325" s="177"/>
      <c r="O325" s="177"/>
      <c r="P325" s="177"/>
    </row>
    <row r="326" spans="1:16" x14ac:dyDescent="0.25">
      <c r="A326" s="177"/>
      <c r="B326" s="177"/>
      <c r="C326" s="177"/>
      <c r="D326" s="177"/>
      <c r="E326" s="167" t="s">
        <v>434</v>
      </c>
      <c r="F326" s="167" t="s">
        <v>293</v>
      </c>
      <c r="G326" s="167" t="s">
        <v>293</v>
      </c>
      <c r="H326" s="167" t="s">
        <v>293</v>
      </c>
      <c r="I326" s="177"/>
      <c r="J326" s="177"/>
      <c r="K326" s="177"/>
      <c r="L326" s="177"/>
      <c r="M326" s="177"/>
      <c r="N326" s="177"/>
      <c r="O326" s="177"/>
      <c r="P326" s="177"/>
    </row>
    <row r="327" spans="1:16" x14ac:dyDescent="0.25">
      <c r="A327" s="177" t="s">
        <v>858</v>
      </c>
      <c r="B327" s="177" t="s">
        <v>975</v>
      </c>
      <c r="C327" s="177">
        <v>40</v>
      </c>
      <c r="D327" s="177">
        <v>65</v>
      </c>
      <c r="E327" s="167" t="s">
        <v>433</v>
      </c>
      <c r="F327" s="167" t="s">
        <v>954</v>
      </c>
      <c r="G327" s="167" t="s">
        <v>293</v>
      </c>
      <c r="H327" s="167" t="s">
        <v>954</v>
      </c>
      <c r="I327" s="177" t="s">
        <v>285</v>
      </c>
      <c r="J327" s="177" t="s">
        <v>914</v>
      </c>
      <c r="K327" s="177" t="s">
        <v>914</v>
      </c>
      <c r="L327" s="177" t="s">
        <v>914</v>
      </c>
      <c r="M327" s="177">
        <v>830</v>
      </c>
      <c r="N327" s="177">
        <v>50</v>
      </c>
      <c r="O327" s="177"/>
      <c r="P327" s="178" t="s">
        <v>1365</v>
      </c>
    </row>
    <row r="328" spans="1:16" x14ac:dyDescent="0.25">
      <c r="A328" s="177"/>
      <c r="B328" s="177"/>
      <c r="C328" s="177"/>
      <c r="D328" s="177"/>
      <c r="E328" s="167" t="s">
        <v>434</v>
      </c>
      <c r="F328" s="167">
        <v>0</v>
      </c>
      <c r="G328" s="167">
        <v>0</v>
      </c>
      <c r="H328" s="167">
        <v>0</v>
      </c>
      <c r="I328" s="177"/>
      <c r="J328" s="177"/>
      <c r="K328" s="177"/>
      <c r="L328" s="177"/>
      <c r="M328" s="177"/>
      <c r="N328" s="177"/>
      <c r="O328" s="177"/>
      <c r="P328" s="177"/>
    </row>
    <row r="329" spans="1:16" x14ac:dyDescent="0.25">
      <c r="A329" s="177"/>
      <c r="B329" s="177"/>
      <c r="C329" s="177"/>
      <c r="D329" s="177"/>
      <c r="E329" s="167" t="s">
        <v>433</v>
      </c>
      <c r="F329" s="167">
        <v>0</v>
      </c>
      <c r="G329" s="167">
        <v>0</v>
      </c>
      <c r="H329" s="167">
        <v>0</v>
      </c>
      <c r="I329" s="177"/>
      <c r="J329" s="177"/>
      <c r="K329" s="177"/>
      <c r="L329" s="177"/>
      <c r="M329" s="177"/>
      <c r="N329" s="177"/>
      <c r="O329" s="177"/>
      <c r="P329" s="177"/>
    </row>
    <row r="330" spans="1:16" x14ac:dyDescent="0.25">
      <c r="A330" s="177"/>
      <c r="B330" s="177"/>
      <c r="C330" s="177"/>
      <c r="D330" s="177"/>
      <c r="E330" s="167" t="s">
        <v>434</v>
      </c>
      <c r="F330" s="167" t="s">
        <v>293</v>
      </c>
      <c r="G330" s="167" t="s">
        <v>947</v>
      </c>
      <c r="H330" s="167" t="s">
        <v>293</v>
      </c>
      <c r="I330" s="177"/>
      <c r="J330" s="177"/>
      <c r="K330" s="177"/>
      <c r="L330" s="177"/>
      <c r="M330" s="177"/>
      <c r="N330" s="177"/>
      <c r="O330" s="177"/>
      <c r="P330" s="177"/>
    </row>
    <row r="331" spans="1:16" x14ac:dyDescent="0.25">
      <c r="A331" s="177" t="s">
        <v>858</v>
      </c>
      <c r="B331" s="177" t="s">
        <v>950</v>
      </c>
      <c r="C331" s="177">
        <v>40</v>
      </c>
      <c r="D331" s="177">
        <v>65</v>
      </c>
      <c r="E331" s="167" t="s">
        <v>433</v>
      </c>
      <c r="F331" s="167" t="s">
        <v>967</v>
      </c>
      <c r="G331" s="167" t="s">
        <v>293</v>
      </c>
      <c r="H331" s="167" t="s">
        <v>967</v>
      </c>
      <c r="I331" s="177" t="s">
        <v>285</v>
      </c>
      <c r="J331" s="177" t="s">
        <v>913</v>
      </c>
      <c r="K331" s="177" t="s">
        <v>913</v>
      </c>
      <c r="L331" s="177" t="s">
        <v>913</v>
      </c>
      <c r="M331" s="177">
        <v>1100</v>
      </c>
      <c r="N331" s="177">
        <v>50</v>
      </c>
      <c r="O331" s="177"/>
      <c r="P331" s="178" t="s">
        <v>1365</v>
      </c>
    </row>
    <row r="332" spans="1:16" x14ac:dyDescent="0.25">
      <c r="A332" s="177"/>
      <c r="B332" s="177"/>
      <c r="C332" s="177"/>
      <c r="D332" s="177"/>
      <c r="E332" s="167" t="s">
        <v>434</v>
      </c>
      <c r="F332" s="167" t="s">
        <v>293</v>
      </c>
      <c r="G332" s="167">
        <v>0</v>
      </c>
      <c r="H332" s="167" t="s">
        <v>954</v>
      </c>
      <c r="I332" s="177"/>
      <c r="J332" s="177"/>
      <c r="K332" s="177"/>
      <c r="L332" s="177"/>
      <c r="M332" s="177"/>
      <c r="N332" s="177"/>
      <c r="O332" s="177"/>
      <c r="P332" s="177"/>
    </row>
    <row r="333" spans="1:16" x14ac:dyDescent="0.25">
      <c r="A333" s="177"/>
      <c r="B333" s="177"/>
      <c r="C333" s="177"/>
      <c r="D333" s="177"/>
      <c r="E333" s="167" t="s">
        <v>433</v>
      </c>
      <c r="F333" s="167">
        <v>0</v>
      </c>
      <c r="G333" s="167" t="s">
        <v>944</v>
      </c>
      <c r="H333" s="167">
        <v>0</v>
      </c>
      <c r="I333" s="177"/>
      <c r="J333" s="177"/>
      <c r="K333" s="177"/>
      <c r="L333" s="177"/>
      <c r="M333" s="177"/>
      <c r="N333" s="177"/>
      <c r="O333" s="177"/>
      <c r="P333" s="177"/>
    </row>
    <row r="334" spans="1:16" x14ac:dyDescent="0.25">
      <c r="A334" s="177"/>
      <c r="B334" s="177"/>
      <c r="C334" s="177"/>
      <c r="D334" s="177"/>
      <c r="E334" s="167" t="s">
        <v>434</v>
      </c>
      <c r="F334" s="167" t="s">
        <v>294</v>
      </c>
      <c r="G334" s="167" t="s">
        <v>294</v>
      </c>
      <c r="H334" s="167" t="s">
        <v>967</v>
      </c>
      <c r="I334" s="177"/>
      <c r="J334" s="177"/>
      <c r="K334" s="177"/>
      <c r="L334" s="177"/>
      <c r="M334" s="177"/>
      <c r="N334" s="177"/>
      <c r="O334" s="177"/>
      <c r="P334" s="177"/>
    </row>
    <row r="335" spans="1:16" x14ac:dyDescent="0.25">
      <c r="A335" s="177" t="s">
        <v>858</v>
      </c>
      <c r="B335" s="177" t="s">
        <v>950</v>
      </c>
      <c r="C335" s="177">
        <v>40</v>
      </c>
      <c r="D335" s="177">
        <v>65</v>
      </c>
      <c r="E335" s="167" t="s">
        <v>433</v>
      </c>
      <c r="F335" s="167" t="s">
        <v>967</v>
      </c>
      <c r="G335" s="167" t="s">
        <v>293</v>
      </c>
      <c r="H335" s="167" t="s">
        <v>967</v>
      </c>
      <c r="I335" s="177" t="s">
        <v>285</v>
      </c>
      <c r="J335" s="177" t="s">
        <v>913</v>
      </c>
      <c r="K335" s="177" t="s">
        <v>913</v>
      </c>
      <c r="L335" s="177" t="s">
        <v>913</v>
      </c>
      <c r="M335" s="177">
        <v>1100</v>
      </c>
      <c r="N335" s="177">
        <v>50</v>
      </c>
      <c r="O335" s="177"/>
      <c r="P335" s="178" t="s">
        <v>1365</v>
      </c>
    </row>
    <row r="336" spans="1:16" x14ac:dyDescent="0.25">
      <c r="A336" s="177"/>
      <c r="B336" s="177"/>
      <c r="C336" s="177"/>
      <c r="D336" s="177"/>
      <c r="E336" s="167" t="s">
        <v>434</v>
      </c>
      <c r="F336" s="167" t="s">
        <v>293</v>
      </c>
      <c r="G336" s="167">
        <v>0</v>
      </c>
      <c r="H336" s="167" t="s">
        <v>954</v>
      </c>
      <c r="I336" s="177"/>
      <c r="J336" s="177"/>
      <c r="K336" s="177"/>
      <c r="L336" s="177"/>
      <c r="M336" s="177"/>
      <c r="N336" s="177"/>
      <c r="O336" s="177"/>
      <c r="P336" s="177"/>
    </row>
    <row r="337" spans="1:16" x14ac:dyDescent="0.25">
      <c r="A337" s="177"/>
      <c r="B337" s="177"/>
      <c r="C337" s="177"/>
      <c r="D337" s="177"/>
      <c r="E337" s="167" t="s">
        <v>433</v>
      </c>
      <c r="F337" s="167">
        <v>0</v>
      </c>
      <c r="G337" s="167" t="s">
        <v>944</v>
      </c>
      <c r="H337" s="167">
        <v>0</v>
      </c>
      <c r="I337" s="177"/>
      <c r="J337" s="177"/>
      <c r="K337" s="177"/>
      <c r="L337" s="177"/>
      <c r="M337" s="177"/>
      <c r="N337" s="177"/>
      <c r="O337" s="177"/>
      <c r="P337" s="177"/>
    </row>
    <row r="338" spans="1:16" x14ac:dyDescent="0.25">
      <c r="A338" s="177"/>
      <c r="B338" s="177"/>
      <c r="C338" s="177"/>
      <c r="D338" s="177"/>
      <c r="E338" s="167" t="s">
        <v>434</v>
      </c>
      <c r="F338" s="167" t="s">
        <v>294</v>
      </c>
      <c r="G338" s="167" t="s">
        <v>294</v>
      </c>
      <c r="H338" s="167" t="s">
        <v>967</v>
      </c>
      <c r="I338" s="177"/>
      <c r="J338" s="177"/>
      <c r="K338" s="177"/>
      <c r="L338" s="177"/>
      <c r="M338" s="177"/>
      <c r="N338" s="177"/>
      <c r="O338" s="177"/>
      <c r="P338" s="177"/>
    </row>
    <row r="339" spans="1:16" x14ac:dyDescent="0.25">
      <c r="A339" s="177" t="s">
        <v>858</v>
      </c>
      <c r="B339" s="177" t="s">
        <v>950</v>
      </c>
      <c r="C339" s="177">
        <v>40</v>
      </c>
      <c r="D339" s="177">
        <v>65</v>
      </c>
      <c r="E339" s="167" t="s">
        <v>433</v>
      </c>
      <c r="F339" s="167" t="s">
        <v>967</v>
      </c>
      <c r="G339" s="167" t="s">
        <v>293</v>
      </c>
      <c r="H339" s="167" t="s">
        <v>967</v>
      </c>
      <c r="I339" s="177" t="s">
        <v>285</v>
      </c>
      <c r="J339" s="177" t="s">
        <v>913</v>
      </c>
      <c r="K339" s="177" t="s">
        <v>913</v>
      </c>
      <c r="L339" s="177" t="s">
        <v>913</v>
      </c>
      <c r="M339" s="177">
        <v>1100</v>
      </c>
      <c r="N339" s="177">
        <v>50</v>
      </c>
      <c r="O339" s="177"/>
      <c r="P339" s="178" t="s">
        <v>1365</v>
      </c>
    </row>
    <row r="340" spans="1:16" x14ac:dyDescent="0.25">
      <c r="A340" s="177"/>
      <c r="B340" s="177"/>
      <c r="C340" s="177"/>
      <c r="D340" s="177"/>
      <c r="E340" s="167" t="s">
        <v>434</v>
      </c>
      <c r="F340" s="167" t="s">
        <v>293</v>
      </c>
      <c r="G340" s="167">
        <v>0</v>
      </c>
      <c r="H340" s="167" t="s">
        <v>954</v>
      </c>
      <c r="I340" s="177"/>
      <c r="J340" s="177"/>
      <c r="K340" s="177"/>
      <c r="L340" s="177"/>
      <c r="M340" s="177"/>
      <c r="N340" s="177"/>
      <c r="O340" s="177"/>
      <c r="P340" s="177"/>
    </row>
    <row r="341" spans="1:16" x14ac:dyDescent="0.25">
      <c r="A341" s="177"/>
      <c r="B341" s="177"/>
      <c r="C341" s="177"/>
      <c r="D341" s="177"/>
      <c r="E341" s="167" t="s">
        <v>433</v>
      </c>
      <c r="F341" s="167">
        <v>0</v>
      </c>
      <c r="G341" s="167" t="s">
        <v>944</v>
      </c>
      <c r="H341" s="167">
        <v>0</v>
      </c>
      <c r="I341" s="177"/>
      <c r="J341" s="177"/>
      <c r="K341" s="177"/>
      <c r="L341" s="177"/>
      <c r="M341" s="177"/>
      <c r="N341" s="177"/>
      <c r="O341" s="177"/>
      <c r="P341" s="177"/>
    </row>
    <row r="342" spans="1:16" x14ac:dyDescent="0.25">
      <c r="A342" s="177"/>
      <c r="B342" s="177"/>
      <c r="C342" s="177"/>
      <c r="D342" s="177"/>
      <c r="E342" s="167" t="s">
        <v>434</v>
      </c>
      <c r="F342" s="167" t="s">
        <v>294</v>
      </c>
      <c r="G342" s="167" t="s">
        <v>294</v>
      </c>
      <c r="H342" s="167" t="s">
        <v>967</v>
      </c>
      <c r="I342" s="177"/>
      <c r="J342" s="177"/>
      <c r="K342" s="177"/>
      <c r="L342" s="177"/>
      <c r="M342" s="177"/>
      <c r="N342" s="177"/>
      <c r="O342" s="177"/>
      <c r="P342" s="177"/>
    </row>
    <row r="343" spans="1:16" x14ac:dyDescent="0.25">
      <c r="A343" s="177" t="s">
        <v>858</v>
      </c>
      <c r="B343" s="177" t="s">
        <v>950</v>
      </c>
      <c r="C343" s="177">
        <v>40</v>
      </c>
      <c r="D343" s="177">
        <v>65</v>
      </c>
      <c r="E343" s="167" t="s">
        <v>433</v>
      </c>
      <c r="F343" s="167" t="s">
        <v>967</v>
      </c>
      <c r="G343" s="167" t="s">
        <v>293</v>
      </c>
      <c r="H343" s="167" t="s">
        <v>967</v>
      </c>
      <c r="I343" s="177" t="s">
        <v>285</v>
      </c>
      <c r="J343" s="177" t="s">
        <v>913</v>
      </c>
      <c r="K343" s="177" t="s">
        <v>913</v>
      </c>
      <c r="L343" s="177" t="s">
        <v>913</v>
      </c>
      <c r="M343" s="177">
        <v>1100</v>
      </c>
      <c r="N343" s="177">
        <v>50</v>
      </c>
      <c r="O343" s="177"/>
      <c r="P343" s="178" t="s">
        <v>1365</v>
      </c>
    </row>
    <row r="344" spans="1:16" x14ac:dyDescent="0.25">
      <c r="A344" s="177"/>
      <c r="B344" s="177"/>
      <c r="C344" s="177"/>
      <c r="D344" s="177"/>
      <c r="E344" s="167" t="s">
        <v>434</v>
      </c>
      <c r="F344" s="167" t="s">
        <v>293</v>
      </c>
      <c r="G344" s="167">
        <v>0</v>
      </c>
      <c r="H344" s="167" t="s">
        <v>954</v>
      </c>
      <c r="I344" s="177"/>
      <c r="J344" s="177"/>
      <c r="K344" s="177"/>
      <c r="L344" s="177"/>
      <c r="M344" s="177"/>
      <c r="N344" s="177"/>
      <c r="O344" s="177"/>
      <c r="P344" s="177"/>
    </row>
    <row r="345" spans="1:16" x14ac:dyDescent="0.25">
      <c r="A345" s="177"/>
      <c r="B345" s="177"/>
      <c r="C345" s="177"/>
      <c r="D345" s="177"/>
      <c r="E345" s="167" t="s">
        <v>433</v>
      </c>
      <c r="F345" s="167">
        <v>0</v>
      </c>
      <c r="G345" s="167" t="s">
        <v>944</v>
      </c>
      <c r="H345" s="167">
        <v>0</v>
      </c>
      <c r="I345" s="177"/>
      <c r="J345" s="177"/>
      <c r="K345" s="177"/>
      <c r="L345" s="177"/>
      <c r="M345" s="177"/>
      <c r="N345" s="177"/>
      <c r="O345" s="177"/>
      <c r="P345" s="177"/>
    </row>
    <row r="346" spans="1:16" x14ac:dyDescent="0.25">
      <c r="A346" s="177"/>
      <c r="B346" s="177"/>
      <c r="C346" s="177"/>
      <c r="D346" s="177"/>
      <c r="E346" s="167" t="s">
        <v>434</v>
      </c>
      <c r="F346" s="167" t="s">
        <v>294</v>
      </c>
      <c r="G346" s="167" t="s">
        <v>294</v>
      </c>
      <c r="H346" s="167" t="s">
        <v>967</v>
      </c>
      <c r="I346" s="177"/>
      <c r="J346" s="177"/>
      <c r="K346" s="177"/>
      <c r="L346" s="177"/>
      <c r="M346" s="177"/>
      <c r="N346" s="177"/>
      <c r="O346" s="177"/>
      <c r="P346" s="177"/>
    </row>
    <row r="347" spans="1:16" x14ac:dyDescent="0.25">
      <c r="A347" s="177" t="s">
        <v>858</v>
      </c>
      <c r="B347" s="177" t="s">
        <v>976</v>
      </c>
      <c r="C347" s="177">
        <v>40</v>
      </c>
      <c r="D347" s="177">
        <v>65</v>
      </c>
      <c r="E347" s="167" t="s">
        <v>433</v>
      </c>
      <c r="F347" s="167" t="s">
        <v>954</v>
      </c>
      <c r="G347" s="167" t="s">
        <v>293</v>
      </c>
      <c r="H347" s="167" t="s">
        <v>954</v>
      </c>
      <c r="I347" s="177" t="s">
        <v>285</v>
      </c>
      <c r="J347" s="177" t="s">
        <v>914</v>
      </c>
      <c r="K347" s="177" t="s">
        <v>914</v>
      </c>
      <c r="L347" s="177" t="s">
        <v>914</v>
      </c>
      <c r="M347" s="177">
        <v>830</v>
      </c>
      <c r="N347" s="177">
        <v>50</v>
      </c>
      <c r="O347" s="177"/>
      <c r="P347" s="178" t="s">
        <v>1365</v>
      </c>
    </row>
    <row r="348" spans="1:16" x14ac:dyDescent="0.25">
      <c r="A348" s="177"/>
      <c r="B348" s="177"/>
      <c r="C348" s="177"/>
      <c r="D348" s="177"/>
      <c r="E348" s="167" t="s">
        <v>434</v>
      </c>
      <c r="F348" s="167">
        <v>0</v>
      </c>
      <c r="G348" s="167">
        <v>0</v>
      </c>
      <c r="H348" s="167">
        <v>0</v>
      </c>
      <c r="I348" s="177"/>
      <c r="J348" s="177"/>
      <c r="K348" s="177"/>
      <c r="L348" s="177"/>
      <c r="M348" s="177"/>
      <c r="N348" s="177"/>
      <c r="O348" s="177"/>
      <c r="P348" s="177"/>
    </row>
    <row r="349" spans="1:16" x14ac:dyDescent="0.25">
      <c r="A349" s="177"/>
      <c r="B349" s="177"/>
      <c r="C349" s="177"/>
      <c r="D349" s="177"/>
      <c r="E349" s="167" t="s">
        <v>433</v>
      </c>
      <c r="F349" s="167">
        <v>0</v>
      </c>
      <c r="G349" s="167">
        <v>0</v>
      </c>
      <c r="H349" s="167">
        <v>0</v>
      </c>
      <c r="I349" s="177"/>
      <c r="J349" s="177"/>
      <c r="K349" s="177"/>
      <c r="L349" s="177"/>
      <c r="M349" s="177"/>
      <c r="N349" s="177"/>
      <c r="O349" s="177"/>
      <c r="P349" s="177"/>
    </row>
    <row r="350" spans="1:16" x14ac:dyDescent="0.25">
      <c r="A350" s="177"/>
      <c r="B350" s="177"/>
      <c r="C350" s="177"/>
      <c r="D350" s="177"/>
      <c r="E350" s="167" t="s">
        <v>434</v>
      </c>
      <c r="F350" s="167" t="s">
        <v>293</v>
      </c>
      <c r="G350" s="167" t="s">
        <v>947</v>
      </c>
      <c r="H350" s="167" t="s">
        <v>293</v>
      </c>
      <c r="I350" s="177"/>
      <c r="J350" s="177"/>
      <c r="K350" s="177"/>
      <c r="L350" s="177"/>
      <c r="M350" s="177"/>
      <c r="N350" s="177"/>
      <c r="O350" s="177"/>
      <c r="P350" s="177"/>
    </row>
    <row r="351" spans="1:16" x14ac:dyDescent="0.25">
      <c r="A351" s="177" t="s">
        <v>858</v>
      </c>
      <c r="B351" s="177" t="s">
        <v>977</v>
      </c>
      <c r="C351" s="177">
        <v>40</v>
      </c>
      <c r="D351" s="177">
        <v>65</v>
      </c>
      <c r="E351" s="167" t="s">
        <v>433</v>
      </c>
      <c r="F351" s="167" t="s">
        <v>954</v>
      </c>
      <c r="G351" s="167" t="s">
        <v>293</v>
      </c>
      <c r="H351" s="167" t="s">
        <v>954</v>
      </c>
      <c r="I351" s="177" t="s">
        <v>285</v>
      </c>
      <c r="J351" s="177" t="s">
        <v>914</v>
      </c>
      <c r="K351" s="177" t="s">
        <v>914</v>
      </c>
      <c r="L351" s="177" t="s">
        <v>914</v>
      </c>
      <c r="M351" s="177">
        <v>830</v>
      </c>
      <c r="N351" s="177">
        <v>50</v>
      </c>
      <c r="O351" s="177"/>
      <c r="P351" s="178" t="s">
        <v>1365</v>
      </c>
    </row>
    <row r="352" spans="1:16" x14ac:dyDescent="0.25">
      <c r="A352" s="177"/>
      <c r="B352" s="177"/>
      <c r="C352" s="177"/>
      <c r="D352" s="177"/>
      <c r="E352" s="167" t="s">
        <v>434</v>
      </c>
      <c r="F352" s="167">
        <v>0</v>
      </c>
      <c r="G352" s="167">
        <v>0</v>
      </c>
      <c r="H352" s="167">
        <v>0</v>
      </c>
      <c r="I352" s="177"/>
      <c r="J352" s="177"/>
      <c r="K352" s="177"/>
      <c r="L352" s="177"/>
      <c r="M352" s="177"/>
      <c r="N352" s="177"/>
      <c r="O352" s="177"/>
      <c r="P352" s="177"/>
    </row>
    <row r="353" spans="1:16" x14ac:dyDescent="0.25">
      <c r="A353" s="177"/>
      <c r="B353" s="177"/>
      <c r="C353" s="177"/>
      <c r="D353" s="177"/>
      <c r="E353" s="167" t="s">
        <v>433</v>
      </c>
      <c r="F353" s="167">
        <v>0</v>
      </c>
      <c r="G353" s="167">
        <v>0</v>
      </c>
      <c r="H353" s="167">
        <v>0</v>
      </c>
      <c r="I353" s="177"/>
      <c r="J353" s="177"/>
      <c r="K353" s="177"/>
      <c r="L353" s="177"/>
      <c r="M353" s="177"/>
      <c r="N353" s="177"/>
      <c r="O353" s="177"/>
      <c r="P353" s="177"/>
    </row>
    <row r="354" spans="1:16" x14ac:dyDescent="0.25">
      <c r="A354" s="177"/>
      <c r="B354" s="177"/>
      <c r="C354" s="177"/>
      <c r="D354" s="177"/>
      <c r="E354" s="167" t="s">
        <v>434</v>
      </c>
      <c r="F354" s="167" t="s">
        <v>293</v>
      </c>
      <c r="G354" s="167" t="s">
        <v>947</v>
      </c>
      <c r="H354" s="167" t="s">
        <v>293</v>
      </c>
      <c r="I354" s="177"/>
      <c r="J354" s="177"/>
      <c r="K354" s="177"/>
      <c r="L354" s="177"/>
      <c r="M354" s="177"/>
      <c r="N354" s="177"/>
      <c r="O354" s="177"/>
      <c r="P354" s="177"/>
    </row>
    <row r="355" spans="1:16" x14ac:dyDescent="0.25">
      <c r="A355" s="177" t="s">
        <v>858</v>
      </c>
      <c r="B355" s="177" t="s">
        <v>978</v>
      </c>
      <c r="C355" s="177">
        <v>40</v>
      </c>
      <c r="D355" s="177">
        <v>65</v>
      </c>
      <c r="E355" s="167" t="s">
        <v>433</v>
      </c>
      <c r="F355" s="167" t="s">
        <v>954</v>
      </c>
      <c r="G355" s="167" t="s">
        <v>293</v>
      </c>
      <c r="H355" s="167" t="s">
        <v>944</v>
      </c>
      <c r="I355" s="177" t="s">
        <v>285</v>
      </c>
      <c r="J355" s="177" t="s">
        <v>914</v>
      </c>
      <c r="K355" s="177" t="s">
        <v>914</v>
      </c>
      <c r="L355" s="177" t="s">
        <v>914</v>
      </c>
      <c r="M355" s="177">
        <v>830</v>
      </c>
      <c r="N355" s="177">
        <v>50</v>
      </c>
      <c r="O355" s="177"/>
      <c r="P355" s="179" t="s">
        <v>1367</v>
      </c>
    </row>
    <row r="356" spans="1:16" x14ac:dyDescent="0.25">
      <c r="A356" s="177"/>
      <c r="B356" s="177"/>
      <c r="C356" s="177"/>
      <c r="D356" s="177"/>
      <c r="E356" s="167" t="s">
        <v>434</v>
      </c>
      <c r="F356" s="167">
        <v>0</v>
      </c>
      <c r="G356" s="167">
        <v>0</v>
      </c>
      <c r="H356" s="167">
        <v>0</v>
      </c>
      <c r="I356" s="177"/>
      <c r="J356" s="177"/>
      <c r="K356" s="177"/>
      <c r="L356" s="177"/>
      <c r="M356" s="177"/>
      <c r="N356" s="177"/>
      <c r="O356" s="177"/>
      <c r="P356" s="177"/>
    </row>
    <row r="357" spans="1:16" x14ac:dyDescent="0.25">
      <c r="A357" s="177"/>
      <c r="B357" s="177"/>
      <c r="C357" s="177"/>
      <c r="D357" s="177"/>
      <c r="E357" s="167" t="s">
        <v>433</v>
      </c>
      <c r="F357" s="167">
        <v>0</v>
      </c>
      <c r="G357" s="167">
        <v>0</v>
      </c>
      <c r="H357" s="167">
        <v>0</v>
      </c>
      <c r="I357" s="177"/>
      <c r="J357" s="177"/>
      <c r="K357" s="177"/>
      <c r="L357" s="177"/>
      <c r="M357" s="177"/>
      <c r="N357" s="177"/>
      <c r="O357" s="177"/>
      <c r="P357" s="177"/>
    </row>
    <row r="358" spans="1:16" x14ac:dyDescent="0.25">
      <c r="A358" s="177"/>
      <c r="B358" s="177"/>
      <c r="C358" s="177"/>
      <c r="D358" s="177"/>
      <c r="E358" s="167" t="s">
        <v>434</v>
      </c>
      <c r="F358" s="167" t="s">
        <v>293</v>
      </c>
      <c r="G358" s="167" t="s">
        <v>947</v>
      </c>
      <c r="H358" s="167" t="s">
        <v>947</v>
      </c>
      <c r="I358" s="177"/>
      <c r="J358" s="177"/>
      <c r="K358" s="177"/>
      <c r="L358" s="177"/>
      <c r="M358" s="177"/>
      <c r="N358" s="177"/>
      <c r="O358" s="177"/>
      <c r="P358" s="177"/>
    </row>
    <row r="359" spans="1:16" x14ac:dyDescent="0.25">
      <c r="A359" s="177" t="s">
        <v>858</v>
      </c>
      <c r="B359" s="177" t="s">
        <v>980</v>
      </c>
      <c r="C359" s="177">
        <v>40</v>
      </c>
      <c r="D359" s="177">
        <v>65</v>
      </c>
      <c r="E359" s="167" t="s">
        <v>433</v>
      </c>
      <c r="F359" s="167" t="s">
        <v>944</v>
      </c>
      <c r="G359" s="167" t="s">
        <v>293</v>
      </c>
      <c r="H359" s="167" t="s">
        <v>967</v>
      </c>
      <c r="I359" s="177" t="s">
        <v>285</v>
      </c>
      <c r="J359" s="177" t="s">
        <v>914</v>
      </c>
      <c r="K359" s="177" t="s">
        <v>914</v>
      </c>
      <c r="L359" s="177" t="s">
        <v>914</v>
      </c>
      <c r="M359" s="177">
        <v>830</v>
      </c>
      <c r="N359" s="177">
        <v>50</v>
      </c>
      <c r="O359" s="177"/>
      <c r="P359" s="179" t="s">
        <v>1364</v>
      </c>
    </row>
    <row r="360" spans="1:16" x14ac:dyDescent="0.25">
      <c r="A360" s="177"/>
      <c r="B360" s="177"/>
      <c r="C360" s="177"/>
      <c r="D360" s="177"/>
      <c r="E360" s="167" t="s">
        <v>434</v>
      </c>
      <c r="F360" s="167">
        <v>0</v>
      </c>
      <c r="G360" s="167">
        <v>0</v>
      </c>
      <c r="H360" s="167" t="s">
        <v>944</v>
      </c>
      <c r="I360" s="177"/>
      <c r="J360" s="177"/>
      <c r="K360" s="177"/>
      <c r="L360" s="177"/>
      <c r="M360" s="177"/>
      <c r="N360" s="177"/>
      <c r="O360" s="177"/>
      <c r="P360" s="177"/>
    </row>
    <row r="361" spans="1:16" x14ac:dyDescent="0.25">
      <c r="A361" s="177"/>
      <c r="B361" s="177"/>
      <c r="C361" s="177"/>
      <c r="D361" s="177"/>
      <c r="E361" s="167" t="s">
        <v>433</v>
      </c>
      <c r="F361" s="167">
        <v>0</v>
      </c>
      <c r="G361" s="167" t="s">
        <v>944</v>
      </c>
      <c r="H361" s="167">
        <v>0</v>
      </c>
      <c r="I361" s="177"/>
      <c r="J361" s="177"/>
      <c r="K361" s="177"/>
      <c r="L361" s="177"/>
      <c r="M361" s="177"/>
      <c r="N361" s="177"/>
      <c r="O361" s="177"/>
      <c r="P361" s="177"/>
    </row>
    <row r="362" spans="1:16" x14ac:dyDescent="0.25">
      <c r="A362" s="177"/>
      <c r="B362" s="177"/>
      <c r="C362" s="177"/>
      <c r="D362" s="177"/>
      <c r="E362" s="167" t="s">
        <v>434</v>
      </c>
      <c r="F362" s="167" t="s">
        <v>967</v>
      </c>
      <c r="G362" s="167" t="s">
        <v>967</v>
      </c>
      <c r="H362" s="167" t="s">
        <v>294</v>
      </c>
      <c r="I362" s="177"/>
      <c r="J362" s="177"/>
      <c r="K362" s="177"/>
      <c r="L362" s="177"/>
      <c r="M362" s="177"/>
      <c r="N362" s="177"/>
      <c r="O362" s="177"/>
      <c r="P362" s="177"/>
    </row>
    <row r="363" spans="1:16" x14ac:dyDescent="0.25">
      <c r="A363" s="177" t="s">
        <v>858</v>
      </c>
      <c r="B363" s="177" t="s">
        <v>981</v>
      </c>
      <c r="C363" s="177">
        <v>40</v>
      </c>
      <c r="D363" s="177">
        <v>65</v>
      </c>
      <c r="E363" s="167" t="s">
        <v>433</v>
      </c>
      <c r="F363" s="167" t="s">
        <v>967</v>
      </c>
      <c r="G363" s="167" t="s">
        <v>293</v>
      </c>
      <c r="H363" s="167" t="s">
        <v>967</v>
      </c>
      <c r="I363" s="177" t="s">
        <v>285</v>
      </c>
      <c r="J363" s="177" t="s">
        <v>286</v>
      </c>
      <c r="K363" s="177" t="s">
        <v>286</v>
      </c>
      <c r="L363" s="177" t="s">
        <v>286</v>
      </c>
      <c r="M363" s="177">
        <v>830</v>
      </c>
      <c r="N363" s="177">
        <v>50</v>
      </c>
      <c r="O363" s="177"/>
      <c r="P363" s="178" t="s">
        <v>1365</v>
      </c>
    </row>
    <row r="364" spans="1:16" x14ac:dyDescent="0.25">
      <c r="A364" s="177"/>
      <c r="B364" s="177"/>
      <c r="C364" s="177"/>
      <c r="D364" s="177"/>
      <c r="E364" s="167" t="s">
        <v>434</v>
      </c>
      <c r="F364" s="167" t="s">
        <v>944</v>
      </c>
      <c r="G364" s="167">
        <v>0</v>
      </c>
      <c r="H364" s="167" t="s">
        <v>944</v>
      </c>
      <c r="I364" s="177"/>
      <c r="J364" s="177"/>
      <c r="K364" s="177"/>
      <c r="L364" s="177"/>
      <c r="M364" s="177"/>
      <c r="N364" s="177"/>
      <c r="O364" s="177"/>
      <c r="P364" s="177"/>
    </row>
    <row r="365" spans="1:16" x14ac:dyDescent="0.25">
      <c r="A365" s="177"/>
      <c r="B365" s="177"/>
      <c r="C365" s="177"/>
      <c r="D365" s="177"/>
      <c r="E365" s="167" t="s">
        <v>433</v>
      </c>
      <c r="F365" s="167">
        <v>0</v>
      </c>
      <c r="G365" s="167" t="s">
        <v>944</v>
      </c>
      <c r="H365" s="167">
        <v>0</v>
      </c>
      <c r="I365" s="177"/>
      <c r="J365" s="177"/>
      <c r="K365" s="177"/>
      <c r="L365" s="177"/>
      <c r="M365" s="177"/>
      <c r="N365" s="177"/>
      <c r="O365" s="177"/>
      <c r="P365" s="177"/>
    </row>
    <row r="366" spans="1:16" x14ac:dyDescent="0.25">
      <c r="A366" s="177"/>
      <c r="B366" s="177"/>
      <c r="C366" s="177"/>
      <c r="D366" s="177"/>
      <c r="E366" s="167" t="s">
        <v>434</v>
      </c>
      <c r="F366" s="167" t="s">
        <v>954</v>
      </c>
      <c r="G366" s="167" t="s">
        <v>294</v>
      </c>
      <c r="H366" s="167" t="s">
        <v>954</v>
      </c>
      <c r="I366" s="177"/>
      <c r="J366" s="177"/>
      <c r="K366" s="177"/>
      <c r="L366" s="177"/>
      <c r="M366" s="177"/>
      <c r="N366" s="177"/>
      <c r="O366" s="177"/>
      <c r="P366" s="177"/>
    </row>
    <row r="367" spans="1:16" x14ac:dyDescent="0.25">
      <c r="A367" s="177" t="s">
        <v>858</v>
      </c>
      <c r="B367" s="177" t="s">
        <v>982</v>
      </c>
      <c r="C367" s="177">
        <v>40</v>
      </c>
      <c r="D367" s="177">
        <v>65</v>
      </c>
      <c r="E367" s="167" t="s">
        <v>433</v>
      </c>
      <c r="F367" s="167" t="s">
        <v>967</v>
      </c>
      <c r="G367" s="167" t="s">
        <v>293</v>
      </c>
      <c r="H367" s="167" t="s">
        <v>967</v>
      </c>
      <c r="I367" s="177" t="s">
        <v>285</v>
      </c>
      <c r="J367" s="177" t="s">
        <v>286</v>
      </c>
      <c r="K367" s="177" t="s">
        <v>286</v>
      </c>
      <c r="L367" s="177" t="s">
        <v>286</v>
      </c>
      <c r="M367" s="177">
        <v>830</v>
      </c>
      <c r="N367" s="177">
        <v>50</v>
      </c>
      <c r="O367" s="177"/>
      <c r="P367" s="178" t="s">
        <v>1365</v>
      </c>
    </row>
    <row r="368" spans="1:16" x14ac:dyDescent="0.25">
      <c r="A368" s="177"/>
      <c r="B368" s="177"/>
      <c r="C368" s="177"/>
      <c r="D368" s="177"/>
      <c r="E368" s="167" t="s">
        <v>434</v>
      </c>
      <c r="F368" s="167" t="s">
        <v>944</v>
      </c>
      <c r="G368" s="167">
        <v>0</v>
      </c>
      <c r="H368" s="167" t="s">
        <v>944</v>
      </c>
      <c r="I368" s="177"/>
      <c r="J368" s="177"/>
      <c r="K368" s="177"/>
      <c r="L368" s="177"/>
      <c r="M368" s="177"/>
      <c r="N368" s="177"/>
      <c r="O368" s="177"/>
      <c r="P368" s="177"/>
    </row>
    <row r="369" spans="1:16" x14ac:dyDescent="0.25">
      <c r="A369" s="177"/>
      <c r="B369" s="177"/>
      <c r="C369" s="177"/>
      <c r="D369" s="177"/>
      <c r="E369" s="167" t="s">
        <v>433</v>
      </c>
      <c r="F369" s="167">
        <v>0</v>
      </c>
      <c r="G369" s="167" t="s">
        <v>944</v>
      </c>
      <c r="H369" s="167">
        <v>0</v>
      </c>
      <c r="I369" s="177"/>
      <c r="J369" s="177"/>
      <c r="K369" s="177"/>
      <c r="L369" s="177"/>
      <c r="M369" s="177"/>
      <c r="N369" s="177"/>
      <c r="O369" s="177"/>
      <c r="P369" s="177"/>
    </row>
    <row r="370" spans="1:16" x14ac:dyDescent="0.25">
      <c r="A370" s="177"/>
      <c r="B370" s="177"/>
      <c r="C370" s="177"/>
      <c r="D370" s="177"/>
      <c r="E370" s="167" t="s">
        <v>434</v>
      </c>
      <c r="F370" s="167" t="s">
        <v>954</v>
      </c>
      <c r="G370" s="167" t="s">
        <v>294</v>
      </c>
      <c r="H370" s="167" t="s">
        <v>954</v>
      </c>
      <c r="I370" s="177"/>
      <c r="J370" s="177"/>
      <c r="K370" s="177"/>
      <c r="L370" s="177"/>
      <c r="M370" s="177"/>
      <c r="N370" s="177"/>
      <c r="O370" s="177"/>
      <c r="P370" s="177"/>
    </row>
    <row r="371" spans="1:16" x14ac:dyDescent="0.25">
      <c r="A371" s="177" t="s">
        <v>858</v>
      </c>
      <c r="B371" s="177" t="s">
        <v>983</v>
      </c>
      <c r="C371" s="177">
        <v>40</v>
      </c>
      <c r="D371" s="177">
        <v>65</v>
      </c>
      <c r="E371" s="167" t="s">
        <v>433</v>
      </c>
      <c r="F371" s="167" t="s">
        <v>967</v>
      </c>
      <c r="G371" s="167" t="s">
        <v>293</v>
      </c>
      <c r="H371" s="167" t="s">
        <v>967</v>
      </c>
      <c r="I371" s="177" t="s">
        <v>285</v>
      </c>
      <c r="J371" s="177" t="s">
        <v>286</v>
      </c>
      <c r="K371" s="177" t="s">
        <v>286</v>
      </c>
      <c r="L371" s="177" t="s">
        <v>286</v>
      </c>
      <c r="M371" s="177">
        <v>830</v>
      </c>
      <c r="N371" s="177">
        <v>50</v>
      </c>
      <c r="O371" s="177"/>
      <c r="P371" s="178" t="s">
        <v>1365</v>
      </c>
    </row>
    <row r="372" spans="1:16" x14ac:dyDescent="0.25">
      <c r="A372" s="177"/>
      <c r="B372" s="177"/>
      <c r="C372" s="177"/>
      <c r="D372" s="177"/>
      <c r="E372" s="167" t="s">
        <v>434</v>
      </c>
      <c r="F372" s="167" t="s">
        <v>944</v>
      </c>
      <c r="G372" s="167">
        <v>0</v>
      </c>
      <c r="H372" s="167" t="s">
        <v>293</v>
      </c>
      <c r="I372" s="177"/>
      <c r="J372" s="177"/>
      <c r="K372" s="177"/>
      <c r="L372" s="177"/>
      <c r="M372" s="177"/>
      <c r="N372" s="177"/>
      <c r="O372" s="177"/>
      <c r="P372" s="177"/>
    </row>
    <row r="373" spans="1:16" x14ac:dyDescent="0.25">
      <c r="A373" s="177"/>
      <c r="B373" s="177"/>
      <c r="C373" s="177"/>
      <c r="D373" s="177"/>
      <c r="E373" s="167" t="s">
        <v>433</v>
      </c>
      <c r="F373" s="167">
        <v>0</v>
      </c>
      <c r="G373" s="167" t="s">
        <v>944</v>
      </c>
      <c r="H373" s="167">
        <v>0</v>
      </c>
      <c r="I373" s="177"/>
      <c r="J373" s="177"/>
      <c r="K373" s="177"/>
      <c r="L373" s="177"/>
      <c r="M373" s="177"/>
      <c r="N373" s="177"/>
      <c r="O373" s="177"/>
      <c r="P373" s="177"/>
    </row>
    <row r="374" spans="1:16" x14ac:dyDescent="0.25">
      <c r="A374" s="177"/>
      <c r="B374" s="177"/>
      <c r="C374" s="177"/>
      <c r="D374" s="177"/>
      <c r="E374" s="167" t="s">
        <v>434</v>
      </c>
      <c r="F374" s="167" t="s">
        <v>954</v>
      </c>
      <c r="G374" s="167" t="s">
        <v>294</v>
      </c>
      <c r="H374" s="167" t="s">
        <v>954</v>
      </c>
      <c r="I374" s="177"/>
      <c r="J374" s="177"/>
      <c r="K374" s="177"/>
      <c r="L374" s="177"/>
      <c r="M374" s="177"/>
      <c r="N374" s="177"/>
      <c r="O374" s="177"/>
      <c r="P374" s="177"/>
    </row>
    <row r="375" spans="1:16" x14ac:dyDescent="0.25">
      <c r="A375" s="177" t="s">
        <v>858</v>
      </c>
      <c r="B375" s="177" t="s">
        <v>984</v>
      </c>
      <c r="C375" s="177">
        <v>40</v>
      </c>
      <c r="D375" s="177">
        <v>65</v>
      </c>
      <c r="E375" s="167" t="s">
        <v>433</v>
      </c>
      <c r="F375" s="167" t="s">
        <v>967</v>
      </c>
      <c r="G375" s="167" t="s">
        <v>293</v>
      </c>
      <c r="H375" s="167" t="s">
        <v>944</v>
      </c>
      <c r="I375" s="177" t="s">
        <v>285</v>
      </c>
      <c r="J375" s="177" t="s">
        <v>979</v>
      </c>
      <c r="K375" s="177" t="s">
        <v>979</v>
      </c>
      <c r="L375" s="177" t="s">
        <v>979</v>
      </c>
      <c r="M375" s="177">
        <v>830</v>
      </c>
      <c r="N375" s="177">
        <v>50</v>
      </c>
      <c r="O375" s="177"/>
      <c r="P375" s="179" t="s">
        <v>1367</v>
      </c>
    </row>
    <row r="376" spans="1:16" x14ac:dyDescent="0.25">
      <c r="A376" s="177"/>
      <c r="B376" s="177"/>
      <c r="C376" s="177"/>
      <c r="D376" s="177"/>
      <c r="E376" s="167" t="s">
        <v>434</v>
      </c>
      <c r="F376" s="167" t="s">
        <v>293</v>
      </c>
      <c r="G376" s="167">
        <v>0</v>
      </c>
      <c r="H376" s="167">
        <v>0</v>
      </c>
      <c r="I376" s="177"/>
      <c r="J376" s="177"/>
      <c r="K376" s="177"/>
      <c r="L376" s="177"/>
      <c r="M376" s="177"/>
      <c r="N376" s="177"/>
      <c r="O376" s="177"/>
      <c r="P376" s="177"/>
    </row>
    <row r="377" spans="1:16" x14ac:dyDescent="0.25">
      <c r="A377" s="177"/>
      <c r="B377" s="177"/>
      <c r="C377" s="177"/>
      <c r="D377" s="177"/>
      <c r="E377" s="167" t="s">
        <v>433</v>
      </c>
      <c r="F377" s="167">
        <v>0</v>
      </c>
      <c r="G377" s="167" t="s">
        <v>944</v>
      </c>
      <c r="H377" s="167">
        <v>0</v>
      </c>
      <c r="I377" s="177"/>
      <c r="J377" s="177"/>
      <c r="K377" s="177"/>
      <c r="L377" s="177"/>
      <c r="M377" s="177"/>
      <c r="N377" s="177"/>
      <c r="O377" s="177"/>
      <c r="P377" s="177"/>
    </row>
    <row r="378" spans="1:16" x14ac:dyDescent="0.25">
      <c r="A378" s="177"/>
      <c r="B378" s="177"/>
      <c r="C378" s="177"/>
      <c r="D378" s="177"/>
      <c r="E378" s="167" t="s">
        <v>434</v>
      </c>
      <c r="F378" s="167" t="s">
        <v>954</v>
      </c>
      <c r="G378" s="167" t="s">
        <v>294</v>
      </c>
      <c r="H378" s="167" t="s">
        <v>967</v>
      </c>
      <c r="I378" s="177"/>
      <c r="J378" s="177"/>
      <c r="K378" s="177"/>
      <c r="L378" s="177"/>
      <c r="M378" s="177"/>
      <c r="N378" s="177"/>
      <c r="O378" s="177"/>
      <c r="P378" s="177"/>
    </row>
    <row r="379" spans="1:16" x14ac:dyDescent="0.25">
      <c r="A379" s="177" t="s">
        <v>858</v>
      </c>
      <c r="B379" s="177" t="s">
        <v>985</v>
      </c>
      <c r="C379" s="177">
        <v>40</v>
      </c>
      <c r="D379" s="177">
        <v>65</v>
      </c>
      <c r="E379" s="167" t="s">
        <v>433</v>
      </c>
      <c r="F379" s="167" t="s">
        <v>967</v>
      </c>
      <c r="G379" s="167" t="s">
        <v>293</v>
      </c>
      <c r="H379" s="167" t="s">
        <v>967</v>
      </c>
      <c r="I379" s="177" t="s">
        <v>285</v>
      </c>
      <c r="J379" s="177" t="s">
        <v>918</v>
      </c>
      <c r="K379" s="177" t="s">
        <v>918</v>
      </c>
      <c r="L379" s="177" t="s">
        <v>918</v>
      </c>
      <c r="M379" s="177">
        <v>830</v>
      </c>
      <c r="N379" s="177">
        <v>140</v>
      </c>
      <c r="O379" s="177"/>
      <c r="P379" s="178" t="s">
        <v>1365</v>
      </c>
    </row>
    <row r="380" spans="1:16" x14ac:dyDescent="0.25">
      <c r="A380" s="177"/>
      <c r="B380" s="177"/>
      <c r="C380" s="177"/>
      <c r="D380" s="177"/>
      <c r="E380" s="167" t="s">
        <v>434</v>
      </c>
      <c r="F380" s="167" t="s">
        <v>954</v>
      </c>
      <c r="G380" s="167">
        <v>0</v>
      </c>
      <c r="H380" s="167" t="s">
        <v>954</v>
      </c>
      <c r="I380" s="177"/>
      <c r="J380" s="177"/>
      <c r="K380" s="177"/>
      <c r="L380" s="177"/>
      <c r="M380" s="177"/>
      <c r="N380" s="177"/>
      <c r="O380" s="177"/>
      <c r="P380" s="177"/>
    </row>
    <row r="381" spans="1:16" x14ac:dyDescent="0.25">
      <c r="A381" s="177"/>
      <c r="B381" s="177"/>
      <c r="C381" s="177"/>
      <c r="D381" s="177"/>
      <c r="E381" s="167" t="s">
        <v>433</v>
      </c>
      <c r="F381" s="167" t="s">
        <v>954</v>
      </c>
      <c r="G381" s="167" t="s">
        <v>967</v>
      </c>
      <c r="H381" s="167" t="s">
        <v>954</v>
      </c>
      <c r="I381" s="177"/>
      <c r="J381" s="177"/>
      <c r="K381" s="177"/>
      <c r="L381" s="177"/>
      <c r="M381" s="177"/>
      <c r="N381" s="177"/>
      <c r="O381" s="177"/>
      <c r="P381" s="177"/>
    </row>
    <row r="382" spans="1:16" x14ac:dyDescent="0.25">
      <c r="A382" s="177"/>
      <c r="B382" s="177"/>
      <c r="C382" s="177"/>
      <c r="D382" s="177"/>
      <c r="E382" s="167" t="s">
        <v>434</v>
      </c>
      <c r="F382" s="167" t="s">
        <v>967</v>
      </c>
      <c r="G382" s="167" t="s">
        <v>967</v>
      </c>
      <c r="H382" s="167" t="s">
        <v>967</v>
      </c>
      <c r="I382" s="177"/>
      <c r="J382" s="177"/>
      <c r="K382" s="177"/>
      <c r="L382" s="177"/>
      <c r="M382" s="177"/>
      <c r="N382" s="177"/>
      <c r="O382" s="177"/>
      <c r="P382" s="177"/>
    </row>
    <row r="383" spans="1:16" x14ac:dyDescent="0.25">
      <c r="A383" s="177" t="s">
        <v>858</v>
      </c>
      <c r="B383" s="177" t="s">
        <v>985</v>
      </c>
      <c r="C383" s="177">
        <v>40</v>
      </c>
      <c r="D383" s="177">
        <v>65</v>
      </c>
      <c r="E383" s="167" t="s">
        <v>433</v>
      </c>
      <c r="F383" s="167" t="s">
        <v>967</v>
      </c>
      <c r="G383" s="167" t="s">
        <v>293</v>
      </c>
      <c r="H383" s="167" t="s">
        <v>967</v>
      </c>
      <c r="I383" s="177" t="s">
        <v>285</v>
      </c>
      <c r="J383" s="177" t="s">
        <v>918</v>
      </c>
      <c r="K383" s="177" t="s">
        <v>918</v>
      </c>
      <c r="L383" s="177" t="s">
        <v>918</v>
      </c>
      <c r="M383" s="177">
        <v>830</v>
      </c>
      <c r="N383" s="177">
        <v>140</v>
      </c>
      <c r="O383" s="177"/>
      <c r="P383" s="178" t="s">
        <v>1365</v>
      </c>
    </row>
    <row r="384" spans="1:16" x14ac:dyDescent="0.25">
      <c r="A384" s="177"/>
      <c r="B384" s="177"/>
      <c r="C384" s="177"/>
      <c r="D384" s="177"/>
      <c r="E384" s="167" t="s">
        <v>434</v>
      </c>
      <c r="F384" s="167" t="s">
        <v>954</v>
      </c>
      <c r="G384" s="167">
        <v>0</v>
      </c>
      <c r="H384" s="167" t="s">
        <v>954</v>
      </c>
      <c r="I384" s="177"/>
      <c r="J384" s="177"/>
      <c r="K384" s="177"/>
      <c r="L384" s="177"/>
      <c r="M384" s="177"/>
      <c r="N384" s="177"/>
      <c r="O384" s="177"/>
      <c r="P384" s="177"/>
    </row>
    <row r="385" spans="1:16" x14ac:dyDescent="0.25">
      <c r="A385" s="177"/>
      <c r="B385" s="177"/>
      <c r="C385" s="177"/>
      <c r="D385" s="177"/>
      <c r="E385" s="167" t="s">
        <v>433</v>
      </c>
      <c r="F385" s="167" t="s">
        <v>954</v>
      </c>
      <c r="G385" s="167" t="s">
        <v>967</v>
      </c>
      <c r="H385" s="167" t="s">
        <v>954</v>
      </c>
      <c r="I385" s="177"/>
      <c r="J385" s="177"/>
      <c r="K385" s="177"/>
      <c r="L385" s="177"/>
      <c r="M385" s="177"/>
      <c r="N385" s="177"/>
      <c r="O385" s="177"/>
      <c r="P385" s="177"/>
    </row>
    <row r="386" spans="1:16" x14ac:dyDescent="0.25">
      <c r="A386" s="177"/>
      <c r="B386" s="177"/>
      <c r="C386" s="177"/>
      <c r="D386" s="177"/>
      <c r="E386" s="167" t="s">
        <v>434</v>
      </c>
      <c r="F386" s="167" t="s">
        <v>967</v>
      </c>
      <c r="G386" s="167" t="s">
        <v>967</v>
      </c>
      <c r="H386" s="167" t="s">
        <v>967</v>
      </c>
      <c r="I386" s="177"/>
      <c r="J386" s="177"/>
      <c r="K386" s="177"/>
      <c r="L386" s="177"/>
      <c r="M386" s="177"/>
      <c r="N386" s="177"/>
      <c r="O386" s="177"/>
      <c r="P386" s="177"/>
    </row>
    <row r="387" spans="1:16" x14ac:dyDescent="0.25">
      <c r="A387" s="177" t="s">
        <v>858</v>
      </c>
      <c r="B387" s="177" t="s">
        <v>985</v>
      </c>
      <c r="C387" s="177">
        <v>40</v>
      </c>
      <c r="D387" s="177">
        <v>65</v>
      </c>
      <c r="E387" s="167" t="s">
        <v>433</v>
      </c>
      <c r="F387" s="167" t="s">
        <v>967</v>
      </c>
      <c r="G387" s="167" t="s">
        <v>293</v>
      </c>
      <c r="H387" s="167" t="s">
        <v>967</v>
      </c>
      <c r="I387" s="177" t="s">
        <v>285</v>
      </c>
      <c r="J387" s="177" t="s">
        <v>918</v>
      </c>
      <c r="K387" s="177" t="s">
        <v>918</v>
      </c>
      <c r="L387" s="177" t="s">
        <v>918</v>
      </c>
      <c r="M387" s="177">
        <v>830</v>
      </c>
      <c r="N387" s="177">
        <v>140</v>
      </c>
      <c r="O387" s="177"/>
      <c r="P387" s="178" t="s">
        <v>1365</v>
      </c>
    </row>
    <row r="388" spans="1:16" x14ac:dyDescent="0.25">
      <c r="A388" s="177"/>
      <c r="B388" s="177"/>
      <c r="C388" s="177"/>
      <c r="D388" s="177"/>
      <c r="E388" s="167" t="s">
        <v>434</v>
      </c>
      <c r="F388" s="167" t="s">
        <v>954</v>
      </c>
      <c r="G388" s="167">
        <v>0</v>
      </c>
      <c r="H388" s="167" t="s">
        <v>954</v>
      </c>
      <c r="I388" s="177"/>
      <c r="J388" s="177"/>
      <c r="K388" s="177"/>
      <c r="L388" s="177"/>
      <c r="M388" s="177"/>
      <c r="N388" s="177"/>
      <c r="O388" s="177"/>
      <c r="P388" s="177"/>
    </row>
    <row r="389" spans="1:16" x14ac:dyDescent="0.25">
      <c r="A389" s="177"/>
      <c r="B389" s="177"/>
      <c r="C389" s="177"/>
      <c r="D389" s="177"/>
      <c r="E389" s="167" t="s">
        <v>433</v>
      </c>
      <c r="F389" s="167" t="s">
        <v>954</v>
      </c>
      <c r="G389" s="167" t="s">
        <v>967</v>
      </c>
      <c r="H389" s="167" t="s">
        <v>954</v>
      </c>
      <c r="I389" s="177"/>
      <c r="J389" s="177"/>
      <c r="K389" s="177"/>
      <c r="L389" s="177"/>
      <c r="M389" s="177"/>
      <c r="N389" s="177"/>
      <c r="O389" s="177"/>
      <c r="P389" s="177"/>
    </row>
    <row r="390" spans="1:16" x14ac:dyDescent="0.25">
      <c r="A390" s="177"/>
      <c r="B390" s="177"/>
      <c r="C390" s="177"/>
      <c r="D390" s="177"/>
      <c r="E390" s="167" t="s">
        <v>434</v>
      </c>
      <c r="F390" s="167" t="s">
        <v>967</v>
      </c>
      <c r="G390" s="167" t="s">
        <v>967</v>
      </c>
      <c r="H390" s="167" t="s">
        <v>967</v>
      </c>
      <c r="I390" s="177"/>
      <c r="J390" s="177"/>
      <c r="K390" s="177"/>
      <c r="L390" s="177"/>
      <c r="M390" s="177"/>
      <c r="N390" s="177"/>
      <c r="O390" s="177"/>
      <c r="P390" s="177"/>
    </row>
    <row r="391" spans="1:16" x14ac:dyDescent="0.25">
      <c r="A391" s="177" t="s">
        <v>858</v>
      </c>
      <c r="B391" s="177" t="s">
        <v>985</v>
      </c>
      <c r="C391" s="177">
        <v>40</v>
      </c>
      <c r="D391" s="177">
        <v>65</v>
      </c>
      <c r="E391" s="167" t="s">
        <v>433</v>
      </c>
      <c r="F391" s="167" t="s">
        <v>967</v>
      </c>
      <c r="G391" s="167" t="s">
        <v>293</v>
      </c>
      <c r="H391" s="167" t="s">
        <v>967</v>
      </c>
      <c r="I391" s="177" t="s">
        <v>285</v>
      </c>
      <c r="J391" s="177" t="s">
        <v>918</v>
      </c>
      <c r="K391" s="177" t="s">
        <v>918</v>
      </c>
      <c r="L391" s="177" t="s">
        <v>918</v>
      </c>
      <c r="M391" s="177">
        <v>830</v>
      </c>
      <c r="N391" s="177">
        <v>140</v>
      </c>
      <c r="O391" s="177"/>
      <c r="P391" s="178" t="s">
        <v>1365</v>
      </c>
    </row>
    <row r="392" spans="1:16" x14ac:dyDescent="0.25">
      <c r="A392" s="177"/>
      <c r="B392" s="177"/>
      <c r="C392" s="177"/>
      <c r="D392" s="177"/>
      <c r="E392" s="167" t="s">
        <v>434</v>
      </c>
      <c r="F392" s="167" t="s">
        <v>954</v>
      </c>
      <c r="G392" s="167">
        <v>0</v>
      </c>
      <c r="H392" s="167" t="s">
        <v>954</v>
      </c>
      <c r="I392" s="177"/>
      <c r="J392" s="177"/>
      <c r="K392" s="177"/>
      <c r="L392" s="177"/>
      <c r="M392" s="177"/>
      <c r="N392" s="177"/>
      <c r="O392" s="177"/>
      <c r="P392" s="177"/>
    </row>
    <row r="393" spans="1:16" x14ac:dyDescent="0.25">
      <c r="A393" s="177"/>
      <c r="B393" s="177"/>
      <c r="C393" s="177"/>
      <c r="D393" s="177"/>
      <c r="E393" s="167" t="s">
        <v>433</v>
      </c>
      <c r="F393" s="167" t="s">
        <v>954</v>
      </c>
      <c r="G393" s="167" t="s">
        <v>967</v>
      </c>
      <c r="H393" s="167" t="s">
        <v>954</v>
      </c>
      <c r="I393" s="177"/>
      <c r="J393" s="177"/>
      <c r="K393" s="177"/>
      <c r="L393" s="177"/>
      <c r="M393" s="177"/>
      <c r="N393" s="177"/>
      <c r="O393" s="177"/>
      <c r="P393" s="177"/>
    </row>
    <row r="394" spans="1:16" x14ac:dyDescent="0.25">
      <c r="A394" s="177"/>
      <c r="B394" s="177"/>
      <c r="C394" s="177"/>
      <c r="D394" s="177"/>
      <c r="E394" s="167" t="s">
        <v>434</v>
      </c>
      <c r="F394" s="167" t="s">
        <v>967</v>
      </c>
      <c r="G394" s="167" t="s">
        <v>967</v>
      </c>
      <c r="H394" s="167" t="s">
        <v>967</v>
      </c>
      <c r="I394" s="177"/>
      <c r="J394" s="177"/>
      <c r="K394" s="177"/>
      <c r="L394" s="177"/>
      <c r="M394" s="177"/>
      <c r="N394" s="177"/>
      <c r="O394" s="177"/>
      <c r="P394" s="177"/>
    </row>
    <row r="395" spans="1:16" x14ac:dyDescent="0.25">
      <c r="A395" s="177" t="s">
        <v>858</v>
      </c>
      <c r="B395" s="177" t="s">
        <v>985</v>
      </c>
      <c r="C395" s="177">
        <v>40</v>
      </c>
      <c r="D395" s="177">
        <v>65</v>
      </c>
      <c r="E395" s="167" t="s">
        <v>433</v>
      </c>
      <c r="F395" s="167" t="s">
        <v>967</v>
      </c>
      <c r="G395" s="167" t="s">
        <v>293</v>
      </c>
      <c r="H395" s="167" t="s">
        <v>967</v>
      </c>
      <c r="I395" s="177" t="s">
        <v>285</v>
      </c>
      <c r="J395" s="177" t="s">
        <v>918</v>
      </c>
      <c r="K395" s="177" t="s">
        <v>918</v>
      </c>
      <c r="L395" s="177" t="s">
        <v>918</v>
      </c>
      <c r="M395" s="177">
        <v>830</v>
      </c>
      <c r="N395" s="177">
        <v>140</v>
      </c>
      <c r="O395" s="177"/>
      <c r="P395" s="178" t="s">
        <v>1365</v>
      </c>
    </row>
    <row r="396" spans="1:16" x14ac:dyDescent="0.25">
      <c r="A396" s="177"/>
      <c r="B396" s="177"/>
      <c r="C396" s="177"/>
      <c r="D396" s="177"/>
      <c r="E396" s="167" t="s">
        <v>434</v>
      </c>
      <c r="F396" s="167" t="s">
        <v>954</v>
      </c>
      <c r="G396" s="167">
        <v>0</v>
      </c>
      <c r="H396" s="167" t="s">
        <v>954</v>
      </c>
      <c r="I396" s="177"/>
      <c r="J396" s="177"/>
      <c r="K396" s="177"/>
      <c r="L396" s="177"/>
      <c r="M396" s="177"/>
      <c r="N396" s="177"/>
      <c r="O396" s="177"/>
      <c r="P396" s="177"/>
    </row>
    <row r="397" spans="1:16" x14ac:dyDescent="0.25">
      <c r="A397" s="177"/>
      <c r="B397" s="177"/>
      <c r="C397" s="177"/>
      <c r="D397" s="177"/>
      <c r="E397" s="167" t="s">
        <v>433</v>
      </c>
      <c r="F397" s="167" t="s">
        <v>954</v>
      </c>
      <c r="G397" s="167" t="s">
        <v>967</v>
      </c>
      <c r="H397" s="167" t="s">
        <v>954</v>
      </c>
      <c r="I397" s="177"/>
      <c r="J397" s="177"/>
      <c r="K397" s="177"/>
      <c r="L397" s="177"/>
      <c r="M397" s="177"/>
      <c r="N397" s="177"/>
      <c r="O397" s="177"/>
      <c r="P397" s="177"/>
    </row>
    <row r="398" spans="1:16" x14ac:dyDescent="0.25">
      <c r="A398" s="177"/>
      <c r="B398" s="177"/>
      <c r="C398" s="177"/>
      <c r="D398" s="177"/>
      <c r="E398" s="167" t="s">
        <v>434</v>
      </c>
      <c r="F398" s="167" t="s">
        <v>967</v>
      </c>
      <c r="G398" s="167" t="s">
        <v>967</v>
      </c>
      <c r="H398" s="167" t="s">
        <v>967</v>
      </c>
      <c r="I398" s="177"/>
      <c r="J398" s="177"/>
      <c r="K398" s="177"/>
      <c r="L398" s="177"/>
      <c r="M398" s="177"/>
      <c r="N398" s="177"/>
      <c r="O398" s="177"/>
      <c r="P398" s="177"/>
    </row>
    <row r="399" spans="1:16" x14ac:dyDescent="0.25">
      <c r="A399" s="177" t="s">
        <v>858</v>
      </c>
      <c r="B399" s="177" t="s">
        <v>985</v>
      </c>
      <c r="C399" s="177">
        <v>40</v>
      </c>
      <c r="D399" s="177">
        <v>65</v>
      </c>
      <c r="E399" s="167" t="s">
        <v>433</v>
      </c>
      <c r="F399" s="167" t="s">
        <v>967</v>
      </c>
      <c r="G399" s="167" t="s">
        <v>293</v>
      </c>
      <c r="H399" s="167" t="s">
        <v>967</v>
      </c>
      <c r="I399" s="177" t="s">
        <v>285</v>
      </c>
      <c r="J399" s="177" t="s">
        <v>918</v>
      </c>
      <c r="K399" s="177" t="s">
        <v>918</v>
      </c>
      <c r="L399" s="177" t="s">
        <v>918</v>
      </c>
      <c r="M399" s="177">
        <v>830</v>
      </c>
      <c r="N399" s="177">
        <v>140</v>
      </c>
      <c r="O399" s="177"/>
      <c r="P399" s="178" t="s">
        <v>1365</v>
      </c>
    </row>
    <row r="400" spans="1:16" x14ac:dyDescent="0.25">
      <c r="A400" s="177"/>
      <c r="B400" s="177"/>
      <c r="C400" s="177"/>
      <c r="D400" s="177"/>
      <c r="E400" s="167" t="s">
        <v>434</v>
      </c>
      <c r="F400" s="167" t="s">
        <v>954</v>
      </c>
      <c r="G400" s="167">
        <v>0</v>
      </c>
      <c r="H400" s="167" t="s">
        <v>954</v>
      </c>
      <c r="I400" s="177"/>
      <c r="J400" s="177"/>
      <c r="K400" s="177"/>
      <c r="L400" s="177"/>
      <c r="M400" s="177"/>
      <c r="N400" s="177"/>
      <c r="O400" s="177"/>
      <c r="P400" s="177"/>
    </row>
    <row r="401" spans="1:16" x14ac:dyDescent="0.25">
      <c r="A401" s="177"/>
      <c r="B401" s="177"/>
      <c r="C401" s="177"/>
      <c r="D401" s="177"/>
      <c r="E401" s="167" t="s">
        <v>433</v>
      </c>
      <c r="F401" s="167" t="s">
        <v>954</v>
      </c>
      <c r="G401" s="167" t="s">
        <v>967</v>
      </c>
      <c r="H401" s="167" t="s">
        <v>954</v>
      </c>
      <c r="I401" s="177"/>
      <c r="J401" s="177"/>
      <c r="K401" s="177"/>
      <c r="L401" s="177"/>
      <c r="M401" s="177"/>
      <c r="N401" s="177"/>
      <c r="O401" s="177"/>
      <c r="P401" s="177"/>
    </row>
    <row r="402" spans="1:16" x14ac:dyDescent="0.25">
      <c r="A402" s="177"/>
      <c r="B402" s="177"/>
      <c r="C402" s="177"/>
      <c r="D402" s="177"/>
      <c r="E402" s="167" t="s">
        <v>434</v>
      </c>
      <c r="F402" s="167" t="s">
        <v>967</v>
      </c>
      <c r="G402" s="167" t="s">
        <v>967</v>
      </c>
      <c r="H402" s="167" t="s">
        <v>967</v>
      </c>
      <c r="I402" s="177"/>
      <c r="J402" s="177"/>
      <c r="K402" s="177"/>
      <c r="L402" s="177"/>
      <c r="M402" s="177"/>
      <c r="N402" s="177"/>
      <c r="O402" s="177"/>
      <c r="P402" s="177"/>
    </row>
    <row r="403" spans="1:16" x14ac:dyDescent="0.25">
      <c r="A403" s="177" t="s">
        <v>858</v>
      </c>
      <c r="B403" s="177" t="s">
        <v>985</v>
      </c>
      <c r="C403" s="177">
        <v>40</v>
      </c>
      <c r="D403" s="177">
        <v>65</v>
      </c>
      <c r="E403" s="167" t="s">
        <v>433</v>
      </c>
      <c r="F403" s="167" t="s">
        <v>967</v>
      </c>
      <c r="G403" s="167" t="s">
        <v>293</v>
      </c>
      <c r="H403" s="167" t="s">
        <v>967</v>
      </c>
      <c r="I403" s="177" t="s">
        <v>285</v>
      </c>
      <c r="J403" s="177" t="s">
        <v>918</v>
      </c>
      <c r="K403" s="177" t="s">
        <v>918</v>
      </c>
      <c r="L403" s="177" t="s">
        <v>918</v>
      </c>
      <c r="M403" s="177">
        <v>830</v>
      </c>
      <c r="N403" s="177">
        <v>140</v>
      </c>
      <c r="O403" s="177"/>
      <c r="P403" s="178" t="s">
        <v>1365</v>
      </c>
    </row>
    <row r="404" spans="1:16" x14ac:dyDescent="0.25">
      <c r="A404" s="177"/>
      <c r="B404" s="177"/>
      <c r="C404" s="177"/>
      <c r="D404" s="177"/>
      <c r="E404" s="167" t="s">
        <v>434</v>
      </c>
      <c r="F404" s="167" t="s">
        <v>954</v>
      </c>
      <c r="G404" s="167">
        <v>0</v>
      </c>
      <c r="H404" s="167" t="s">
        <v>954</v>
      </c>
      <c r="I404" s="177"/>
      <c r="J404" s="177"/>
      <c r="K404" s="177"/>
      <c r="L404" s="177"/>
      <c r="M404" s="177"/>
      <c r="N404" s="177"/>
      <c r="O404" s="177"/>
      <c r="P404" s="177"/>
    </row>
    <row r="405" spans="1:16" x14ac:dyDescent="0.25">
      <c r="A405" s="177"/>
      <c r="B405" s="177"/>
      <c r="C405" s="177"/>
      <c r="D405" s="177"/>
      <c r="E405" s="167" t="s">
        <v>433</v>
      </c>
      <c r="F405" s="167" t="s">
        <v>954</v>
      </c>
      <c r="G405" s="167" t="s">
        <v>967</v>
      </c>
      <c r="H405" s="167" t="s">
        <v>954</v>
      </c>
      <c r="I405" s="177"/>
      <c r="J405" s="177"/>
      <c r="K405" s="177"/>
      <c r="L405" s="177"/>
      <c r="M405" s="177"/>
      <c r="N405" s="177"/>
      <c r="O405" s="177"/>
      <c r="P405" s="177"/>
    </row>
    <row r="406" spans="1:16" x14ac:dyDescent="0.25">
      <c r="A406" s="177"/>
      <c r="B406" s="177"/>
      <c r="C406" s="177"/>
      <c r="D406" s="177"/>
      <c r="E406" s="167" t="s">
        <v>434</v>
      </c>
      <c r="F406" s="167" t="s">
        <v>967</v>
      </c>
      <c r="G406" s="167" t="s">
        <v>967</v>
      </c>
      <c r="H406" s="167" t="s">
        <v>967</v>
      </c>
      <c r="I406" s="177"/>
      <c r="J406" s="177"/>
      <c r="K406" s="177"/>
      <c r="L406" s="177"/>
      <c r="M406" s="177"/>
      <c r="N406" s="177"/>
      <c r="O406" s="177"/>
      <c r="P406" s="177"/>
    </row>
    <row r="407" spans="1:16" x14ac:dyDescent="0.25">
      <c r="A407" s="177" t="s">
        <v>858</v>
      </c>
      <c r="B407" s="177" t="s">
        <v>985</v>
      </c>
      <c r="C407" s="177">
        <v>40</v>
      </c>
      <c r="D407" s="177">
        <v>65</v>
      </c>
      <c r="E407" s="167" t="s">
        <v>433</v>
      </c>
      <c r="F407" s="167" t="s">
        <v>967</v>
      </c>
      <c r="G407" s="167" t="s">
        <v>293</v>
      </c>
      <c r="H407" s="167" t="s">
        <v>967</v>
      </c>
      <c r="I407" s="177" t="s">
        <v>285</v>
      </c>
      <c r="J407" s="177" t="s">
        <v>918</v>
      </c>
      <c r="K407" s="177" t="s">
        <v>918</v>
      </c>
      <c r="L407" s="177" t="s">
        <v>918</v>
      </c>
      <c r="M407" s="177">
        <v>830</v>
      </c>
      <c r="N407" s="177">
        <v>140</v>
      </c>
      <c r="O407" s="177"/>
      <c r="P407" s="178" t="s">
        <v>1365</v>
      </c>
    </row>
    <row r="408" spans="1:16" x14ac:dyDescent="0.25">
      <c r="A408" s="177"/>
      <c r="B408" s="177"/>
      <c r="C408" s="177"/>
      <c r="D408" s="177"/>
      <c r="E408" s="167" t="s">
        <v>434</v>
      </c>
      <c r="F408" s="167" t="s">
        <v>954</v>
      </c>
      <c r="G408" s="167">
        <v>0</v>
      </c>
      <c r="H408" s="167" t="s">
        <v>954</v>
      </c>
      <c r="I408" s="177"/>
      <c r="J408" s="177"/>
      <c r="K408" s="177"/>
      <c r="L408" s="177"/>
      <c r="M408" s="177"/>
      <c r="N408" s="177"/>
      <c r="O408" s="177"/>
      <c r="P408" s="177"/>
    </row>
    <row r="409" spans="1:16" x14ac:dyDescent="0.25">
      <c r="A409" s="177"/>
      <c r="B409" s="177"/>
      <c r="C409" s="177"/>
      <c r="D409" s="177"/>
      <c r="E409" s="167" t="s">
        <v>433</v>
      </c>
      <c r="F409" s="167" t="s">
        <v>954</v>
      </c>
      <c r="G409" s="167" t="s">
        <v>967</v>
      </c>
      <c r="H409" s="167" t="s">
        <v>954</v>
      </c>
      <c r="I409" s="177"/>
      <c r="J409" s="177"/>
      <c r="K409" s="177"/>
      <c r="L409" s="177"/>
      <c r="M409" s="177"/>
      <c r="N409" s="177"/>
      <c r="O409" s="177"/>
      <c r="P409" s="177"/>
    </row>
    <row r="410" spans="1:16" x14ac:dyDescent="0.25">
      <c r="A410" s="177"/>
      <c r="B410" s="177"/>
      <c r="C410" s="177"/>
      <c r="D410" s="177"/>
      <c r="E410" s="167" t="s">
        <v>434</v>
      </c>
      <c r="F410" s="167" t="s">
        <v>967</v>
      </c>
      <c r="G410" s="167" t="s">
        <v>967</v>
      </c>
      <c r="H410" s="167" t="s">
        <v>967</v>
      </c>
      <c r="I410" s="177"/>
      <c r="J410" s="177"/>
      <c r="K410" s="177"/>
      <c r="L410" s="177"/>
      <c r="M410" s="177"/>
      <c r="N410" s="177"/>
      <c r="O410" s="177"/>
      <c r="P410" s="177"/>
    </row>
    <row r="411" spans="1:16" x14ac:dyDescent="0.25">
      <c r="A411" s="177" t="s">
        <v>858</v>
      </c>
      <c r="B411" s="177" t="s">
        <v>985</v>
      </c>
      <c r="C411" s="177">
        <v>40</v>
      </c>
      <c r="D411" s="177">
        <v>65</v>
      </c>
      <c r="E411" s="167" t="s">
        <v>433</v>
      </c>
      <c r="F411" s="167" t="s">
        <v>967</v>
      </c>
      <c r="G411" s="167" t="s">
        <v>293</v>
      </c>
      <c r="H411" s="167" t="s">
        <v>967</v>
      </c>
      <c r="I411" s="177" t="s">
        <v>285</v>
      </c>
      <c r="J411" s="177" t="s">
        <v>918</v>
      </c>
      <c r="K411" s="177" t="s">
        <v>918</v>
      </c>
      <c r="L411" s="177" t="s">
        <v>918</v>
      </c>
      <c r="M411" s="177">
        <v>830</v>
      </c>
      <c r="N411" s="177">
        <v>140</v>
      </c>
      <c r="O411" s="177"/>
      <c r="P411" s="178" t="s">
        <v>1365</v>
      </c>
    </row>
    <row r="412" spans="1:16" x14ac:dyDescent="0.25">
      <c r="A412" s="177"/>
      <c r="B412" s="177"/>
      <c r="C412" s="177"/>
      <c r="D412" s="177"/>
      <c r="E412" s="167" t="s">
        <v>434</v>
      </c>
      <c r="F412" s="167" t="s">
        <v>954</v>
      </c>
      <c r="G412" s="167">
        <v>0</v>
      </c>
      <c r="H412" s="167" t="s">
        <v>954</v>
      </c>
      <c r="I412" s="177"/>
      <c r="J412" s="177"/>
      <c r="K412" s="177"/>
      <c r="L412" s="177"/>
      <c r="M412" s="177"/>
      <c r="N412" s="177"/>
      <c r="O412" s="177"/>
      <c r="P412" s="177"/>
    </row>
    <row r="413" spans="1:16" x14ac:dyDescent="0.25">
      <c r="A413" s="177"/>
      <c r="B413" s="177"/>
      <c r="C413" s="177"/>
      <c r="D413" s="177"/>
      <c r="E413" s="167" t="s">
        <v>433</v>
      </c>
      <c r="F413" s="167" t="s">
        <v>954</v>
      </c>
      <c r="G413" s="167" t="s">
        <v>967</v>
      </c>
      <c r="H413" s="167" t="s">
        <v>954</v>
      </c>
      <c r="I413" s="177"/>
      <c r="J413" s="177"/>
      <c r="K413" s="177"/>
      <c r="L413" s="177"/>
      <c r="M413" s="177"/>
      <c r="N413" s="177"/>
      <c r="O413" s="177"/>
      <c r="P413" s="177"/>
    </row>
    <row r="414" spans="1:16" x14ac:dyDescent="0.25">
      <c r="A414" s="177"/>
      <c r="B414" s="177"/>
      <c r="C414" s="177"/>
      <c r="D414" s="177"/>
      <c r="E414" s="167" t="s">
        <v>434</v>
      </c>
      <c r="F414" s="167" t="s">
        <v>967</v>
      </c>
      <c r="G414" s="167" t="s">
        <v>967</v>
      </c>
      <c r="H414" s="167" t="s">
        <v>967</v>
      </c>
      <c r="I414" s="177"/>
      <c r="J414" s="177"/>
      <c r="K414" s="177"/>
      <c r="L414" s="177"/>
      <c r="M414" s="177"/>
      <c r="N414" s="177"/>
      <c r="O414" s="177"/>
      <c r="P414" s="177"/>
    </row>
    <row r="415" spans="1:16" x14ac:dyDescent="0.25">
      <c r="A415" s="177" t="s">
        <v>858</v>
      </c>
      <c r="B415" s="177" t="s">
        <v>985</v>
      </c>
      <c r="C415" s="177">
        <v>40</v>
      </c>
      <c r="D415" s="177">
        <v>65</v>
      </c>
      <c r="E415" s="167" t="s">
        <v>433</v>
      </c>
      <c r="F415" s="167" t="s">
        <v>967</v>
      </c>
      <c r="G415" s="167" t="s">
        <v>293</v>
      </c>
      <c r="H415" s="167" t="s">
        <v>967</v>
      </c>
      <c r="I415" s="177" t="s">
        <v>285</v>
      </c>
      <c r="J415" s="177" t="s">
        <v>918</v>
      </c>
      <c r="K415" s="177" t="s">
        <v>918</v>
      </c>
      <c r="L415" s="177" t="s">
        <v>918</v>
      </c>
      <c r="M415" s="177">
        <v>830</v>
      </c>
      <c r="N415" s="177">
        <v>140</v>
      </c>
      <c r="O415" s="177"/>
      <c r="P415" s="178" t="s">
        <v>1365</v>
      </c>
    </row>
    <row r="416" spans="1:16" x14ac:dyDescent="0.25">
      <c r="A416" s="177"/>
      <c r="B416" s="177"/>
      <c r="C416" s="177"/>
      <c r="D416" s="177"/>
      <c r="E416" s="167" t="s">
        <v>434</v>
      </c>
      <c r="F416" s="167" t="s">
        <v>954</v>
      </c>
      <c r="G416" s="167">
        <v>0</v>
      </c>
      <c r="H416" s="167" t="s">
        <v>954</v>
      </c>
      <c r="I416" s="177"/>
      <c r="J416" s="177"/>
      <c r="K416" s="177"/>
      <c r="L416" s="177"/>
      <c r="M416" s="177"/>
      <c r="N416" s="177"/>
      <c r="O416" s="177"/>
      <c r="P416" s="177"/>
    </row>
    <row r="417" spans="1:16" x14ac:dyDescent="0.25">
      <c r="A417" s="177"/>
      <c r="B417" s="177"/>
      <c r="C417" s="177"/>
      <c r="D417" s="177"/>
      <c r="E417" s="167" t="s">
        <v>433</v>
      </c>
      <c r="F417" s="167" t="s">
        <v>954</v>
      </c>
      <c r="G417" s="167" t="s">
        <v>967</v>
      </c>
      <c r="H417" s="167" t="s">
        <v>954</v>
      </c>
      <c r="I417" s="177"/>
      <c r="J417" s="177"/>
      <c r="K417" s="177"/>
      <c r="L417" s="177"/>
      <c r="M417" s="177"/>
      <c r="N417" s="177"/>
      <c r="O417" s="177"/>
      <c r="P417" s="177"/>
    </row>
    <row r="418" spans="1:16" x14ac:dyDescent="0.25">
      <c r="A418" s="177"/>
      <c r="B418" s="177"/>
      <c r="C418" s="177"/>
      <c r="D418" s="177"/>
      <c r="E418" s="167" t="s">
        <v>434</v>
      </c>
      <c r="F418" s="167" t="s">
        <v>967</v>
      </c>
      <c r="G418" s="167" t="s">
        <v>967</v>
      </c>
      <c r="H418" s="167" t="s">
        <v>967</v>
      </c>
      <c r="I418" s="177"/>
      <c r="J418" s="177"/>
      <c r="K418" s="177"/>
      <c r="L418" s="177"/>
      <c r="M418" s="177"/>
      <c r="N418" s="177"/>
      <c r="O418" s="177"/>
      <c r="P418" s="177"/>
    </row>
    <row r="419" spans="1:16" x14ac:dyDescent="0.25">
      <c r="A419" s="177" t="s">
        <v>858</v>
      </c>
      <c r="B419" s="177" t="s">
        <v>985</v>
      </c>
      <c r="C419" s="177">
        <v>40</v>
      </c>
      <c r="D419" s="177">
        <v>65</v>
      </c>
      <c r="E419" s="167" t="s">
        <v>433</v>
      </c>
      <c r="F419" s="167" t="s">
        <v>967</v>
      </c>
      <c r="G419" s="167" t="s">
        <v>293</v>
      </c>
      <c r="H419" s="167" t="s">
        <v>967</v>
      </c>
      <c r="I419" s="177" t="s">
        <v>285</v>
      </c>
      <c r="J419" s="177" t="s">
        <v>918</v>
      </c>
      <c r="K419" s="177" t="s">
        <v>918</v>
      </c>
      <c r="L419" s="177" t="s">
        <v>918</v>
      </c>
      <c r="M419" s="177">
        <v>830</v>
      </c>
      <c r="N419" s="177">
        <v>140</v>
      </c>
      <c r="O419" s="177"/>
      <c r="P419" s="178" t="s">
        <v>1365</v>
      </c>
    </row>
    <row r="420" spans="1:16" x14ac:dyDescent="0.25">
      <c r="A420" s="177"/>
      <c r="B420" s="177"/>
      <c r="C420" s="177"/>
      <c r="D420" s="177"/>
      <c r="E420" s="167" t="s">
        <v>434</v>
      </c>
      <c r="F420" s="167" t="s">
        <v>954</v>
      </c>
      <c r="G420" s="167">
        <v>0</v>
      </c>
      <c r="H420" s="167" t="s">
        <v>954</v>
      </c>
      <c r="I420" s="177"/>
      <c r="J420" s="177"/>
      <c r="K420" s="177"/>
      <c r="L420" s="177"/>
      <c r="M420" s="177"/>
      <c r="N420" s="177"/>
      <c r="O420" s="177"/>
      <c r="P420" s="177"/>
    </row>
    <row r="421" spans="1:16" x14ac:dyDescent="0.25">
      <c r="A421" s="177"/>
      <c r="B421" s="177"/>
      <c r="C421" s="177"/>
      <c r="D421" s="177"/>
      <c r="E421" s="167" t="s">
        <v>433</v>
      </c>
      <c r="F421" s="167" t="s">
        <v>954</v>
      </c>
      <c r="G421" s="167" t="s">
        <v>967</v>
      </c>
      <c r="H421" s="167" t="s">
        <v>954</v>
      </c>
      <c r="I421" s="177"/>
      <c r="J421" s="177"/>
      <c r="K421" s="177"/>
      <c r="L421" s="177"/>
      <c r="M421" s="177"/>
      <c r="N421" s="177"/>
      <c r="O421" s="177"/>
      <c r="P421" s="177"/>
    </row>
    <row r="422" spans="1:16" x14ac:dyDescent="0.25">
      <c r="A422" s="177"/>
      <c r="B422" s="177"/>
      <c r="C422" s="177"/>
      <c r="D422" s="177"/>
      <c r="E422" s="167" t="s">
        <v>434</v>
      </c>
      <c r="F422" s="167" t="s">
        <v>967</v>
      </c>
      <c r="G422" s="167" t="s">
        <v>967</v>
      </c>
      <c r="H422" s="167" t="s">
        <v>967</v>
      </c>
      <c r="I422" s="177"/>
      <c r="J422" s="177"/>
      <c r="K422" s="177"/>
      <c r="L422" s="177"/>
      <c r="M422" s="177"/>
      <c r="N422" s="177"/>
      <c r="O422" s="177"/>
      <c r="P422" s="177"/>
    </row>
    <row r="423" spans="1:16" x14ac:dyDescent="0.25">
      <c r="A423" s="177" t="s">
        <v>858</v>
      </c>
      <c r="B423" s="177" t="s">
        <v>985</v>
      </c>
      <c r="C423" s="177">
        <v>40</v>
      </c>
      <c r="D423" s="177">
        <v>65</v>
      </c>
      <c r="E423" s="167" t="s">
        <v>433</v>
      </c>
      <c r="F423" s="167" t="s">
        <v>967</v>
      </c>
      <c r="G423" s="167" t="s">
        <v>293</v>
      </c>
      <c r="H423" s="167" t="s">
        <v>967</v>
      </c>
      <c r="I423" s="177" t="s">
        <v>285</v>
      </c>
      <c r="J423" s="177" t="s">
        <v>918</v>
      </c>
      <c r="K423" s="177" t="s">
        <v>918</v>
      </c>
      <c r="L423" s="177" t="s">
        <v>918</v>
      </c>
      <c r="M423" s="177">
        <v>830</v>
      </c>
      <c r="N423" s="177">
        <v>140</v>
      </c>
      <c r="O423" s="177"/>
      <c r="P423" s="178" t="s">
        <v>1365</v>
      </c>
    </row>
    <row r="424" spans="1:16" x14ac:dyDescent="0.25">
      <c r="A424" s="177"/>
      <c r="B424" s="177"/>
      <c r="C424" s="177"/>
      <c r="D424" s="177"/>
      <c r="E424" s="167" t="s">
        <v>434</v>
      </c>
      <c r="F424" s="167" t="s">
        <v>954</v>
      </c>
      <c r="G424" s="167">
        <v>0</v>
      </c>
      <c r="H424" s="167" t="s">
        <v>954</v>
      </c>
      <c r="I424" s="177"/>
      <c r="J424" s="177"/>
      <c r="K424" s="177"/>
      <c r="L424" s="177"/>
      <c r="M424" s="177"/>
      <c r="N424" s="177"/>
      <c r="O424" s="177"/>
      <c r="P424" s="177"/>
    </row>
    <row r="425" spans="1:16" x14ac:dyDescent="0.25">
      <c r="A425" s="177"/>
      <c r="B425" s="177"/>
      <c r="C425" s="177"/>
      <c r="D425" s="177"/>
      <c r="E425" s="167" t="s">
        <v>433</v>
      </c>
      <c r="F425" s="167" t="s">
        <v>954</v>
      </c>
      <c r="G425" s="167" t="s">
        <v>967</v>
      </c>
      <c r="H425" s="167" t="s">
        <v>954</v>
      </c>
      <c r="I425" s="177"/>
      <c r="J425" s="177"/>
      <c r="K425" s="177"/>
      <c r="L425" s="177"/>
      <c r="M425" s="177"/>
      <c r="N425" s="177"/>
      <c r="O425" s="177"/>
      <c r="P425" s="177"/>
    </row>
    <row r="426" spans="1:16" x14ac:dyDescent="0.25">
      <c r="A426" s="177"/>
      <c r="B426" s="177"/>
      <c r="C426" s="177"/>
      <c r="D426" s="177"/>
      <c r="E426" s="167" t="s">
        <v>434</v>
      </c>
      <c r="F426" s="167" t="s">
        <v>967</v>
      </c>
      <c r="G426" s="167" t="s">
        <v>967</v>
      </c>
      <c r="H426" s="167" t="s">
        <v>967</v>
      </c>
      <c r="I426" s="177"/>
      <c r="J426" s="177"/>
      <c r="K426" s="177"/>
      <c r="L426" s="177"/>
      <c r="M426" s="177"/>
      <c r="N426" s="177"/>
      <c r="O426" s="177"/>
      <c r="P426" s="177"/>
    </row>
    <row r="427" spans="1:16" x14ac:dyDescent="0.25">
      <c r="A427" s="177" t="s">
        <v>858</v>
      </c>
      <c r="B427" s="177" t="s">
        <v>959</v>
      </c>
      <c r="C427" s="177">
        <v>40</v>
      </c>
      <c r="D427" s="177">
        <v>65</v>
      </c>
      <c r="E427" s="167" t="s">
        <v>433</v>
      </c>
      <c r="F427" s="167" t="s">
        <v>944</v>
      </c>
      <c r="G427" s="167" t="s">
        <v>293</v>
      </c>
      <c r="H427" s="167" t="s">
        <v>967</v>
      </c>
      <c r="I427" s="177" t="s">
        <v>285</v>
      </c>
      <c r="J427" s="177" t="s">
        <v>914</v>
      </c>
      <c r="K427" s="177" t="s">
        <v>914</v>
      </c>
      <c r="L427" s="177" t="s">
        <v>914</v>
      </c>
      <c r="M427" s="177">
        <v>830</v>
      </c>
      <c r="N427" s="177">
        <v>60</v>
      </c>
      <c r="O427" s="177"/>
      <c r="P427" s="179" t="s">
        <v>1364</v>
      </c>
    </row>
    <row r="428" spans="1:16" x14ac:dyDescent="0.25">
      <c r="A428" s="177"/>
      <c r="B428" s="177"/>
      <c r="C428" s="177"/>
      <c r="D428" s="177"/>
      <c r="E428" s="167" t="s">
        <v>434</v>
      </c>
      <c r="F428" s="167">
        <v>0</v>
      </c>
      <c r="G428" s="167">
        <v>0</v>
      </c>
      <c r="H428" s="167">
        <v>0</v>
      </c>
      <c r="I428" s="177"/>
      <c r="J428" s="177"/>
      <c r="K428" s="177"/>
      <c r="L428" s="177"/>
      <c r="M428" s="177"/>
      <c r="N428" s="177"/>
      <c r="O428" s="177"/>
      <c r="P428" s="177"/>
    </row>
    <row r="429" spans="1:16" x14ac:dyDescent="0.25">
      <c r="A429" s="177"/>
      <c r="B429" s="177"/>
      <c r="C429" s="177"/>
      <c r="D429" s="177"/>
      <c r="E429" s="167" t="s">
        <v>433</v>
      </c>
      <c r="F429" s="167">
        <v>0</v>
      </c>
      <c r="G429" s="167">
        <v>0</v>
      </c>
      <c r="H429" s="167">
        <v>0</v>
      </c>
      <c r="I429" s="177"/>
      <c r="J429" s="177"/>
      <c r="K429" s="177"/>
      <c r="L429" s="177"/>
      <c r="M429" s="177"/>
      <c r="N429" s="177"/>
      <c r="O429" s="177"/>
      <c r="P429" s="177"/>
    </row>
    <row r="430" spans="1:16" x14ac:dyDescent="0.25">
      <c r="A430" s="177"/>
      <c r="B430" s="177"/>
      <c r="C430" s="177"/>
      <c r="D430" s="177"/>
      <c r="E430" s="167" t="s">
        <v>434</v>
      </c>
      <c r="F430" s="167" t="s">
        <v>293</v>
      </c>
      <c r="G430" s="167" t="s">
        <v>293</v>
      </c>
      <c r="H430" s="167" t="s">
        <v>293</v>
      </c>
      <c r="I430" s="177"/>
      <c r="J430" s="177"/>
      <c r="K430" s="177"/>
      <c r="L430" s="177"/>
      <c r="M430" s="177"/>
      <c r="N430" s="177"/>
      <c r="O430" s="177"/>
      <c r="P430" s="177"/>
    </row>
    <row r="431" spans="1:16" x14ac:dyDescent="0.25">
      <c r="A431" s="177" t="s">
        <v>858</v>
      </c>
      <c r="B431" s="177" t="s">
        <v>959</v>
      </c>
      <c r="C431" s="177">
        <v>40</v>
      </c>
      <c r="D431" s="177">
        <v>65</v>
      </c>
      <c r="E431" s="167" t="s">
        <v>433</v>
      </c>
      <c r="F431" s="167" t="s">
        <v>944</v>
      </c>
      <c r="G431" s="167" t="s">
        <v>293</v>
      </c>
      <c r="H431" s="167" t="s">
        <v>967</v>
      </c>
      <c r="I431" s="177" t="s">
        <v>285</v>
      </c>
      <c r="J431" s="177" t="s">
        <v>914</v>
      </c>
      <c r="K431" s="177" t="s">
        <v>914</v>
      </c>
      <c r="L431" s="177" t="s">
        <v>914</v>
      </c>
      <c r="M431" s="177">
        <v>830</v>
      </c>
      <c r="N431" s="177">
        <v>60</v>
      </c>
      <c r="O431" s="177"/>
      <c r="P431" s="179" t="s">
        <v>1364</v>
      </c>
    </row>
    <row r="432" spans="1:16" x14ac:dyDescent="0.25">
      <c r="A432" s="177"/>
      <c r="B432" s="177"/>
      <c r="C432" s="177"/>
      <c r="D432" s="177"/>
      <c r="E432" s="167" t="s">
        <v>434</v>
      </c>
      <c r="F432" s="167">
        <v>0</v>
      </c>
      <c r="G432" s="167">
        <v>0</v>
      </c>
      <c r="H432" s="167">
        <v>0</v>
      </c>
      <c r="I432" s="177"/>
      <c r="J432" s="177"/>
      <c r="K432" s="177"/>
      <c r="L432" s="177"/>
      <c r="M432" s="177"/>
      <c r="N432" s="177"/>
      <c r="O432" s="177"/>
      <c r="P432" s="177"/>
    </row>
    <row r="433" spans="1:16" x14ac:dyDescent="0.25">
      <c r="A433" s="177"/>
      <c r="B433" s="177"/>
      <c r="C433" s="177"/>
      <c r="D433" s="177"/>
      <c r="E433" s="167" t="s">
        <v>433</v>
      </c>
      <c r="F433" s="167">
        <v>0</v>
      </c>
      <c r="G433" s="167">
        <v>0</v>
      </c>
      <c r="H433" s="167">
        <v>0</v>
      </c>
      <c r="I433" s="177"/>
      <c r="J433" s="177"/>
      <c r="K433" s="177"/>
      <c r="L433" s="177"/>
      <c r="M433" s="177"/>
      <c r="N433" s="177"/>
      <c r="O433" s="177"/>
      <c r="P433" s="177"/>
    </row>
    <row r="434" spans="1:16" x14ac:dyDescent="0.25">
      <c r="A434" s="177"/>
      <c r="B434" s="177"/>
      <c r="C434" s="177"/>
      <c r="D434" s="177"/>
      <c r="E434" s="167" t="s">
        <v>434</v>
      </c>
      <c r="F434" s="167" t="s">
        <v>293</v>
      </c>
      <c r="G434" s="167" t="s">
        <v>293</v>
      </c>
      <c r="H434" s="167" t="s">
        <v>293</v>
      </c>
      <c r="I434" s="177"/>
      <c r="J434" s="177"/>
      <c r="K434" s="177"/>
      <c r="L434" s="177"/>
      <c r="M434" s="177"/>
      <c r="N434" s="177"/>
      <c r="O434" s="177"/>
      <c r="P434" s="177"/>
    </row>
    <row r="435" spans="1:16" x14ac:dyDescent="0.25">
      <c r="A435" s="177" t="s">
        <v>858</v>
      </c>
      <c r="B435" s="177" t="s">
        <v>958</v>
      </c>
      <c r="C435" s="177">
        <v>40</v>
      </c>
      <c r="D435" s="177">
        <v>65</v>
      </c>
      <c r="E435" s="167" t="s">
        <v>433</v>
      </c>
      <c r="F435" s="167" t="s">
        <v>967</v>
      </c>
      <c r="G435" s="167" t="s">
        <v>293</v>
      </c>
      <c r="H435" s="167" t="s">
        <v>294</v>
      </c>
      <c r="I435" s="177" t="s">
        <v>285</v>
      </c>
      <c r="J435" s="177" t="s">
        <v>913</v>
      </c>
      <c r="K435" s="177" t="s">
        <v>913</v>
      </c>
      <c r="L435" s="177" t="s">
        <v>913</v>
      </c>
      <c r="M435" s="177">
        <v>1070</v>
      </c>
      <c r="N435" s="177">
        <v>50</v>
      </c>
      <c r="O435" s="177"/>
      <c r="P435" s="178" t="s">
        <v>1365</v>
      </c>
    </row>
    <row r="436" spans="1:16" x14ac:dyDescent="0.25">
      <c r="A436" s="177"/>
      <c r="B436" s="177"/>
      <c r="C436" s="177"/>
      <c r="D436" s="177"/>
      <c r="E436" s="167" t="s">
        <v>434</v>
      </c>
      <c r="F436" s="167">
        <v>0</v>
      </c>
      <c r="G436" s="167">
        <v>0</v>
      </c>
      <c r="H436" s="167" t="s">
        <v>944</v>
      </c>
      <c r="I436" s="177"/>
      <c r="J436" s="177"/>
      <c r="K436" s="177"/>
      <c r="L436" s="177"/>
      <c r="M436" s="177"/>
      <c r="N436" s="177"/>
      <c r="O436" s="177"/>
      <c r="P436" s="177"/>
    </row>
    <row r="437" spans="1:16" x14ac:dyDescent="0.25">
      <c r="A437" s="177"/>
      <c r="B437" s="177"/>
      <c r="C437" s="177"/>
      <c r="D437" s="177"/>
      <c r="E437" s="167" t="s">
        <v>433</v>
      </c>
      <c r="F437" s="167">
        <v>0</v>
      </c>
      <c r="G437" s="167">
        <v>0</v>
      </c>
      <c r="H437" s="167">
        <v>0</v>
      </c>
      <c r="I437" s="177"/>
      <c r="J437" s="177"/>
      <c r="K437" s="177"/>
      <c r="L437" s="177"/>
      <c r="M437" s="177"/>
      <c r="N437" s="177"/>
      <c r="O437" s="177"/>
      <c r="P437" s="177"/>
    </row>
    <row r="438" spans="1:16" x14ac:dyDescent="0.25">
      <c r="A438" s="177"/>
      <c r="B438" s="177"/>
      <c r="C438" s="177"/>
      <c r="D438" s="177"/>
      <c r="E438" s="167" t="s">
        <v>434</v>
      </c>
      <c r="F438" s="167" t="s">
        <v>954</v>
      </c>
      <c r="G438" s="167" t="s">
        <v>954</v>
      </c>
      <c r="H438" s="167" t="s">
        <v>954</v>
      </c>
      <c r="I438" s="177"/>
      <c r="J438" s="177"/>
      <c r="K438" s="177"/>
      <c r="L438" s="177"/>
      <c r="M438" s="177"/>
      <c r="N438" s="177"/>
      <c r="O438" s="177"/>
      <c r="P438" s="177"/>
    </row>
    <row r="439" spans="1:16" x14ac:dyDescent="0.25">
      <c r="A439" s="177" t="s">
        <v>858</v>
      </c>
      <c r="B439" s="177" t="s">
        <v>958</v>
      </c>
      <c r="C439" s="177">
        <v>40</v>
      </c>
      <c r="D439" s="177">
        <v>65</v>
      </c>
      <c r="E439" s="167" t="s">
        <v>433</v>
      </c>
      <c r="F439" s="167" t="s">
        <v>967</v>
      </c>
      <c r="G439" s="167" t="s">
        <v>293</v>
      </c>
      <c r="H439" s="167" t="s">
        <v>294</v>
      </c>
      <c r="I439" s="177" t="s">
        <v>285</v>
      </c>
      <c r="J439" s="177" t="s">
        <v>913</v>
      </c>
      <c r="K439" s="177" t="s">
        <v>913</v>
      </c>
      <c r="L439" s="177" t="s">
        <v>913</v>
      </c>
      <c r="M439" s="177">
        <v>1070</v>
      </c>
      <c r="N439" s="177">
        <v>50</v>
      </c>
      <c r="O439" s="177"/>
      <c r="P439" s="178" t="s">
        <v>1365</v>
      </c>
    </row>
    <row r="440" spans="1:16" x14ac:dyDescent="0.25">
      <c r="A440" s="177"/>
      <c r="B440" s="177"/>
      <c r="C440" s="177"/>
      <c r="D440" s="177"/>
      <c r="E440" s="167" t="s">
        <v>434</v>
      </c>
      <c r="F440" s="167">
        <v>0</v>
      </c>
      <c r="G440" s="167">
        <v>0</v>
      </c>
      <c r="H440" s="167" t="s">
        <v>944</v>
      </c>
      <c r="I440" s="177"/>
      <c r="J440" s="177"/>
      <c r="K440" s="177"/>
      <c r="L440" s="177"/>
      <c r="M440" s="177"/>
      <c r="N440" s="177"/>
      <c r="O440" s="177"/>
      <c r="P440" s="177"/>
    </row>
    <row r="441" spans="1:16" x14ac:dyDescent="0.25">
      <c r="A441" s="177"/>
      <c r="B441" s="177"/>
      <c r="C441" s="177"/>
      <c r="D441" s="177"/>
      <c r="E441" s="167" t="s">
        <v>433</v>
      </c>
      <c r="F441" s="167">
        <v>0</v>
      </c>
      <c r="G441" s="167">
        <v>0</v>
      </c>
      <c r="H441" s="167">
        <v>0</v>
      </c>
      <c r="I441" s="177"/>
      <c r="J441" s="177"/>
      <c r="K441" s="177"/>
      <c r="L441" s="177"/>
      <c r="M441" s="177"/>
      <c r="N441" s="177"/>
      <c r="O441" s="177"/>
      <c r="P441" s="177"/>
    </row>
    <row r="442" spans="1:16" x14ac:dyDescent="0.25">
      <c r="A442" s="177"/>
      <c r="B442" s="177"/>
      <c r="C442" s="177"/>
      <c r="D442" s="177"/>
      <c r="E442" s="167" t="s">
        <v>434</v>
      </c>
      <c r="F442" s="167" t="s">
        <v>954</v>
      </c>
      <c r="G442" s="167" t="s">
        <v>954</v>
      </c>
      <c r="H442" s="167" t="s">
        <v>954</v>
      </c>
      <c r="I442" s="177"/>
      <c r="J442" s="177"/>
      <c r="K442" s="177"/>
      <c r="L442" s="177"/>
      <c r="M442" s="177"/>
      <c r="N442" s="177"/>
      <c r="O442" s="177"/>
      <c r="P442" s="177"/>
    </row>
    <row r="443" spans="1:16" x14ac:dyDescent="0.25">
      <c r="A443" s="177" t="s">
        <v>858</v>
      </c>
      <c r="B443" s="177" t="s">
        <v>960</v>
      </c>
      <c r="C443" s="177">
        <v>40</v>
      </c>
      <c r="D443" s="177">
        <v>65</v>
      </c>
      <c r="E443" s="167" t="s">
        <v>433</v>
      </c>
      <c r="F443" s="167" t="s">
        <v>967</v>
      </c>
      <c r="G443" s="167" t="s">
        <v>293</v>
      </c>
      <c r="H443" s="167" t="s">
        <v>944</v>
      </c>
      <c r="I443" s="177" t="s">
        <v>285</v>
      </c>
      <c r="J443" s="177" t="s">
        <v>979</v>
      </c>
      <c r="K443" s="177" t="s">
        <v>979</v>
      </c>
      <c r="L443" s="177" t="s">
        <v>979</v>
      </c>
      <c r="M443" s="177">
        <v>990</v>
      </c>
      <c r="N443" s="177">
        <v>50</v>
      </c>
      <c r="O443" s="177"/>
      <c r="P443" s="179" t="s">
        <v>1367</v>
      </c>
    </row>
    <row r="444" spans="1:16" x14ac:dyDescent="0.25">
      <c r="A444" s="177"/>
      <c r="B444" s="177"/>
      <c r="C444" s="177"/>
      <c r="D444" s="177"/>
      <c r="E444" s="167" t="s">
        <v>434</v>
      </c>
      <c r="F444" s="167" t="s">
        <v>947</v>
      </c>
      <c r="G444" s="167">
        <v>0</v>
      </c>
      <c r="H444" s="167">
        <v>0</v>
      </c>
      <c r="I444" s="177"/>
      <c r="J444" s="177"/>
      <c r="K444" s="177"/>
      <c r="L444" s="177"/>
      <c r="M444" s="177"/>
      <c r="N444" s="177"/>
      <c r="O444" s="177"/>
      <c r="P444" s="177"/>
    </row>
    <row r="445" spans="1:16" x14ac:dyDescent="0.25">
      <c r="A445" s="177"/>
      <c r="B445" s="177"/>
      <c r="C445" s="177"/>
      <c r="D445" s="177"/>
      <c r="E445" s="167" t="s">
        <v>433</v>
      </c>
      <c r="F445" s="167">
        <v>0</v>
      </c>
      <c r="G445" s="167" t="s">
        <v>944</v>
      </c>
      <c r="H445" s="167" t="s">
        <v>944</v>
      </c>
      <c r="I445" s="177"/>
      <c r="J445" s="177"/>
      <c r="K445" s="177"/>
      <c r="L445" s="177"/>
      <c r="M445" s="177"/>
      <c r="N445" s="177"/>
      <c r="O445" s="177"/>
      <c r="P445" s="177"/>
    </row>
    <row r="446" spans="1:16" x14ac:dyDescent="0.25">
      <c r="A446" s="177"/>
      <c r="B446" s="177"/>
      <c r="C446" s="177"/>
      <c r="D446" s="177"/>
      <c r="E446" s="167" t="s">
        <v>434</v>
      </c>
      <c r="F446" s="167" t="s">
        <v>294</v>
      </c>
      <c r="G446" s="167" t="s">
        <v>294</v>
      </c>
      <c r="H446" s="167" t="s">
        <v>294</v>
      </c>
      <c r="I446" s="177"/>
      <c r="J446" s="177"/>
      <c r="K446" s="177"/>
      <c r="L446" s="177"/>
      <c r="M446" s="177"/>
      <c r="N446" s="177"/>
      <c r="O446" s="177"/>
      <c r="P446" s="177"/>
    </row>
    <row r="447" spans="1:16" x14ac:dyDescent="0.25">
      <c r="A447" s="177" t="s">
        <v>858</v>
      </c>
      <c r="B447" s="177" t="s">
        <v>964</v>
      </c>
      <c r="C447" s="177">
        <v>40</v>
      </c>
      <c r="D447" s="177">
        <v>65</v>
      </c>
      <c r="E447" s="167" t="s">
        <v>433</v>
      </c>
      <c r="F447" s="167" t="s">
        <v>967</v>
      </c>
      <c r="G447" s="167" t="s">
        <v>293</v>
      </c>
      <c r="H447" s="167" t="s">
        <v>944</v>
      </c>
      <c r="I447" s="177" t="s">
        <v>285</v>
      </c>
      <c r="J447" s="177" t="s">
        <v>979</v>
      </c>
      <c r="K447" s="177" t="s">
        <v>979</v>
      </c>
      <c r="L447" s="177" t="s">
        <v>979</v>
      </c>
      <c r="M447" s="177">
        <v>990</v>
      </c>
      <c r="N447" s="177">
        <v>50</v>
      </c>
      <c r="O447" s="177"/>
      <c r="P447" s="179" t="s">
        <v>1367</v>
      </c>
    </row>
    <row r="448" spans="1:16" x14ac:dyDescent="0.25">
      <c r="A448" s="177"/>
      <c r="B448" s="177"/>
      <c r="C448" s="177"/>
      <c r="D448" s="177"/>
      <c r="E448" s="167" t="s">
        <v>434</v>
      </c>
      <c r="F448" s="167" t="s">
        <v>293</v>
      </c>
      <c r="G448" s="167">
        <v>0</v>
      </c>
      <c r="H448" s="167">
        <v>0</v>
      </c>
      <c r="I448" s="177"/>
      <c r="J448" s="177"/>
      <c r="K448" s="177"/>
      <c r="L448" s="177"/>
      <c r="M448" s="177"/>
      <c r="N448" s="177"/>
      <c r="O448" s="177"/>
      <c r="P448" s="177"/>
    </row>
    <row r="449" spans="1:16" x14ac:dyDescent="0.25">
      <c r="A449" s="177"/>
      <c r="B449" s="177"/>
      <c r="C449" s="177"/>
      <c r="D449" s="177"/>
      <c r="E449" s="167" t="s">
        <v>433</v>
      </c>
      <c r="F449" s="167">
        <v>0</v>
      </c>
      <c r="G449" s="167" t="s">
        <v>944</v>
      </c>
      <c r="H449" s="167" t="s">
        <v>944</v>
      </c>
      <c r="I449" s="177"/>
      <c r="J449" s="177"/>
      <c r="K449" s="177"/>
      <c r="L449" s="177"/>
      <c r="M449" s="177"/>
      <c r="N449" s="177"/>
      <c r="O449" s="177"/>
      <c r="P449" s="177"/>
    </row>
    <row r="450" spans="1:16" x14ac:dyDescent="0.25">
      <c r="A450" s="177"/>
      <c r="B450" s="177"/>
      <c r="C450" s="177"/>
      <c r="D450" s="177"/>
      <c r="E450" s="167" t="s">
        <v>434</v>
      </c>
      <c r="F450" s="167" t="s">
        <v>294</v>
      </c>
      <c r="G450" s="167" t="s">
        <v>294</v>
      </c>
      <c r="H450" s="167" t="s">
        <v>294</v>
      </c>
      <c r="I450" s="177"/>
      <c r="J450" s="177"/>
      <c r="K450" s="177"/>
      <c r="L450" s="177"/>
      <c r="M450" s="177"/>
      <c r="N450" s="177"/>
      <c r="O450" s="177"/>
      <c r="P450" s="177"/>
    </row>
    <row r="451" spans="1:16" x14ac:dyDescent="0.25">
      <c r="A451" s="177" t="s">
        <v>858</v>
      </c>
      <c r="B451" s="177" t="s">
        <v>965</v>
      </c>
      <c r="C451" s="177">
        <v>40</v>
      </c>
      <c r="D451" s="177">
        <v>65</v>
      </c>
      <c r="E451" s="167" t="s">
        <v>433</v>
      </c>
      <c r="F451" s="167" t="s">
        <v>967</v>
      </c>
      <c r="G451" s="167" t="s">
        <v>293</v>
      </c>
      <c r="H451" s="167" t="s">
        <v>944</v>
      </c>
      <c r="I451" s="177" t="s">
        <v>285</v>
      </c>
      <c r="J451" s="177" t="s">
        <v>979</v>
      </c>
      <c r="K451" s="177" t="s">
        <v>979</v>
      </c>
      <c r="L451" s="177" t="s">
        <v>979</v>
      </c>
      <c r="M451" s="177">
        <v>990</v>
      </c>
      <c r="N451" s="177">
        <v>50</v>
      </c>
      <c r="O451" s="177"/>
      <c r="P451" s="179" t="s">
        <v>1367</v>
      </c>
    </row>
    <row r="452" spans="1:16" x14ac:dyDescent="0.25">
      <c r="A452" s="177"/>
      <c r="B452" s="177"/>
      <c r="C452" s="177"/>
      <c r="D452" s="177"/>
      <c r="E452" s="167" t="s">
        <v>434</v>
      </c>
      <c r="F452" s="167" t="s">
        <v>954</v>
      </c>
      <c r="G452" s="167">
        <v>0</v>
      </c>
      <c r="H452" s="167">
        <v>0</v>
      </c>
      <c r="I452" s="177"/>
      <c r="J452" s="177"/>
      <c r="K452" s="177"/>
      <c r="L452" s="177"/>
      <c r="M452" s="177"/>
      <c r="N452" s="177"/>
      <c r="O452" s="177"/>
      <c r="P452" s="177"/>
    </row>
    <row r="453" spans="1:16" x14ac:dyDescent="0.25">
      <c r="A453" s="177"/>
      <c r="B453" s="177"/>
      <c r="C453" s="177"/>
      <c r="D453" s="177"/>
      <c r="E453" s="167" t="s">
        <v>433</v>
      </c>
      <c r="F453" s="167">
        <v>0</v>
      </c>
      <c r="G453" s="167" t="s">
        <v>944</v>
      </c>
      <c r="H453" s="167" t="s">
        <v>944</v>
      </c>
      <c r="I453" s="177"/>
      <c r="J453" s="177"/>
      <c r="K453" s="177"/>
      <c r="L453" s="177"/>
      <c r="M453" s="177"/>
      <c r="N453" s="177"/>
      <c r="O453" s="177"/>
      <c r="P453" s="177"/>
    </row>
    <row r="454" spans="1:16" x14ac:dyDescent="0.25">
      <c r="A454" s="177"/>
      <c r="B454" s="177"/>
      <c r="C454" s="177"/>
      <c r="D454" s="177"/>
      <c r="E454" s="167" t="s">
        <v>434</v>
      </c>
      <c r="F454" s="167" t="s">
        <v>967</v>
      </c>
      <c r="G454" s="167" t="s">
        <v>967</v>
      </c>
      <c r="H454" s="167" t="s">
        <v>967</v>
      </c>
      <c r="I454" s="177"/>
      <c r="J454" s="177"/>
      <c r="K454" s="177"/>
      <c r="L454" s="177"/>
      <c r="M454" s="177"/>
      <c r="N454" s="177"/>
      <c r="O454" s="177"/>
      <c r="P454" s="177"/>
    </row>
    <row r="455" spans="1:16" x14ac:dyDescent="0.25">
      <c r="A455" s="177" t="s">
        <v>858</v>
      </c>
      <c r="B455" s="177" t="s">
        <v>965</v>
      </c>
      <c r="C455" s="177">
        <v>40</v>
      </c>
      <c r="D455" s="177">
        <v>65</v>
      </c>
      <c r="E455" s="167" t="s">
        <v>433</v>
      </c>
      <c r="F455" s="167" t="s">
        <v>967</v>
      </c>
      <c r="G455" s="167" t="s">
        <v>293</v>
      </c>
      <c r="H455" s="167" t="s">
        <v>944</v>
      </c>
      <c r="I455" s="177" t="s">
        <v>285</v>
      </c>
      <c r="J455" s="177" t="s">
        <v>979</v>
      </c>
      <c r="K455" s="177" t="s">
        <v>979</v>
      </c>
      <c r="L455" s="177" t="s">
        <v>979</v>
      </c>
      <c r="M455" s="177">
        <v>990</v>
      </c>
      <c r="N455" s="177">
        <v>50</v>
      </c>
      <c r="O455" s="177"/>
      <c r="P455" s="179" t="s">
        <v>1367</v>
      </c>
    </row>
    <row r="456" spans="1:16" x14ac:dyDescent="0.25">
      <c r="A456" s="177"/>
      <c r="B456" s="177"/>
      <c r="C456" s="177"/>
      <c r="D456" s="177"/>
      <c r="E456" s="167" t="s">
        <v>434</v>
      </c>
      <c r="F456" s="167" t="s">
        <v>954</v>
      </c>
      <c r="G456" s="167">
        <v>0</v>
      </c>
      <c r="H456" s="167">
        <v>0</v>
      </c>
      <c r="I456" s="177"/>
      <c r="J456" s="177"/>
      <c r="K456" s="177"/>
      <c r="L456" s="177"/>
      <c r="M456" s="177"/>
      <c r="N456" s="177"/>
      <c r="O456" s="177"/>
      <c r="P456" s="177"/>
    </row>
    <row r="457" spans="1:16" x14ac:dyDescent="0.25">
      <c r="A457" s="177"/>
      <c r="B457" s="177"/>
      <c r="C457" s="177"/>
      <c r="D457" s="177"/>
      <c r="E457" s="167" t="s">
        <v>433</v>
      </c>
      <c r="F457" s="167">
        <v>0</v>
      </c>
      <c r="G457" s="167" t="s">
        <v>944</v>
      </c>
      <c r="H457" s="167" t="s">
        <v>944</v>
      </c>
      <c r="I457" s="177"/>
      <c r="J457" s="177"/>
      <c r="K457" s="177"/>
      <c r="L457" s="177"/>
      <c r="M457" s="177"/>
      <c r="N457" s="177"/>
      <c r="O457" s="177"/>
      <c r="P457" s="177"/>
    </row>
    <row r="458" spans="1:16" x14ac:dyDescent="0.25">
      <c r="A458" s="177"/>
      <c r="B458" s="177"/>
      <c r="C458" s="177"/>
      <c r="D458" s="177"/>
      <c r="E458" s="167" t="s">
        <v>434</v>
      </c>
      <c r="F458" s="167" t="s">
        <v>967</v>
      </c>
      <c r="G458" s="167" t="s">
        <v>967</v>
      </c>
      <c r="H458" s="167" t="s">
        <v>967</v>
      </c>
      <c r="I458" s="177"/>
      <c r="J458" s="177"/>
      <c r="K458" s="177"/>
      <c r="L458" s="177"/>
      <c r="M458" s="177"/>
      <c r="N458" s="177"/>
      <c r="O458" s="177"/>
      <c r="P458" s="177"/>
    </row>
    <row r="459" spans="1:16" x14ac:dyDescent="0.25">
      <c r="A459" s="177" t="s">
        <v>858</v>
      </c>
      <c r="B459" s="177" t="s">
        <v>965</v>
      </c>
      <c r="C459" s="177">
        <v>40</v>
      </c>
      <c r="D459" s="177">
        <v>65</v>
      </c>
      <c r="E459" s="167" t="s">
        <v>433</v>
      </c>
      <c r="F459" s="167" t="s">
        <v>967</v>
      </c>
      <c r="G459" s="167" t="s">
        <v>293</v>
      </c>
      <c r="H459" s="167" t="s">
        <v>944</v>
      </c>
      <c r="I459" s="177" t="s">
        <v>285</v>
      </c>
      <c r="J459" s="177" t="s">
        <v>979</v>
      </c>
      <c r="K459" s="177" t="s">
        <v>979</v>
      </c>
      <c r="L459" s="177" t="s">
        <v>979</v>
      </c>
      <c r="M459" s="177">
        <v>990</v>
      </c>
      <c r="N459" s="177">
        <v>50</v>
      </c>
      <c r="O459" s="177"/>
      <c r="P459" s="179" t="s">
        <v>1367</v>
      </c>
    </row>
    <row r="460" spans="1:16" x14ac:dyDescent="0.25">
      <c r="A460" s="177"/>
      <c r="B460" s="177"/>
      <c r="C460" s="177"/>
      <c r="D460" s="177"/>
      <c r="E460" s="167" t="s">
        <v>434</v>
      </c>
      <c r="F460" s="167" t="s">
        <v>954</v>
      </c>
      <c r="G460" s="167">
        <v>0</v>
      </c>
      <c r="H460" s="167">
        <v>0</v>
      </c>
      <c r="I460" s="177"/>
      <c r="J460" s="177"/>
      <c r="K460" s="177"/>
      <c r="L460" s="177"/>
      <c r="M460" s="177"/>
      <c r="N460" s="177"/>
      <c r="O460" s="177"/>
      <c r="P460" s="177"/>
    </row>
    <row r="461" spans="1:16" x14ac:dyDescent="0.25">
      <c r="A461" s="177"/>
      <c r="B461" s="177"/>
      <c r="C461" s="177"/>
      <c r="D461" s="177"/>
      <c r="E461" s="167" t="s">
        <v>433</v>
      </c>
      <c r="F461" s="167">
        <v>0</v>
      </c>
      <c r="G461" s="167" t="s">
        <v>944</v>
      </c>
      <c r="H461" s="167" t="s">
        <v>944</v>
      </c>
      <c r="I461" s="177"/>
      <c r="J461" s="177"/>
      <c r="K461" s="177"/>
      <c r="L461" s="177"/>
      <c r="M461" s="177"/>
      <c r="N461" s="177"/>
      <c r="O461" s="177"/>
      <c r="P461" s="177"/>
    </row>
    <row r="462" spans="1:16" x14ac:dyDescent="0.25">
      <c r="A462" s="177"/>
      <c r="B462" s="177"/>
      <c r="C462" s="177"/>
      <c r="D462" s="177"/>
      <c r="E462" s="167" t="s">
        <v>434</v>
      </c>
      <c r="F462" s="167" t="s">
        <v>967</v>
      </c>
      <c r="G462" s="167" t="s">
        <v>967</v>
      </c>
      <c r="H462" s="167" t="s">
        <v>967</v>
      </c>
      <c r="I462" s="177"/>
      <c r="J462" s="177"/>
      <c r="K462" s="177"/>
      <c r="L462" s="177"/>
      <c r="M462" s="177"/>
      <c r="N462" s="177"/>
      <c r="O462" s="177"/>
      <c r="P462" s="177"/>
    </row>
    <row r="463" spans="1:16" x14ac:dyDescent="0.25">
      <c r="A463" s="177" t="s">
        <v>858</v>
      </c>
      <c r="B463" s="177" t="s">
        <v>965</v>
      </c>
      <c r="C463" s="177">
        <v>40</v>
      </c>
      <c r="D463" s="177">
        <v>65</v>
      </c>
      <c r="E463" s="167" t="s">
        <v>433</v>
      </c>
      <c r="F463" s="167" t="s">
        <v>967</v>
      </c>
      <c r="G463" s="167" t="s">
        <v>293</v>
      </c>
      <c r="H463" s="167" t="s">
        <v>944</v>
      </c>
      <c r="I463" s="177" t="s">
        <v>285</v>
      </c>
      <c r="J463" s="177" t="s">
        <v>979</v>
      </c>
      <c r="K463" s="177" t="s">
        <v>979</v>
      </c>
      <c r="L463" s="177" t="s">
        <v>979</v>
      </c>
      <c r="M463" s="177">
        <v>990</v>
      </c>
      <c r="N463" s="177">
        <v>50</v>
      </c>
      <c r="O463" s="177"/>
      <c r="P463" s="179" t="s">
        <v>1367</v>
      </c>
    </row>
    <row r="464" spans="1:16" x14ac:dyDescent="0.25">
      <c r="A464" s="177"/>
      <c r="B464" s="177"/>
      <c r="C464" s="177"/>
      <c r="D464" s="177"/>
      <c r="E464" s="167" t="s">
        <v>434</v>
      </c>
      <c r="F464" s="167" t="s">
        <v>954</v>
      </c>
      <c r="G464" s="167">
        <v>0</v>
      </c>
      <c r="H464" s="167">
        <v>0</v>
      </c>
      <c r="I464" s="177"/>
      <c r="J464" s="177"/>
      <c r="K464" s="177"/>
      <c r="L464" s="177"/>
      <c r="M464" s="177"/>
      <c r="N464" s="177"/>
      <c r="O464" s="177"/>
      <c r="P464" s="177"/>
    </row>
    <row r="465" spans="1:16" x14ac:dyDescent="0.25">
      <c r="A465" s="177"/>
      <c r="B465" s="177"/>
      <c r="C465" s="177"/>
      <c r="D465" s="177"/>
      <c r="E465" s="167" t="s">
        <v>433</v>
      </c>
      <c r="F465" s="167">
        <v>0</v>
      </c>
      <c r="G465" s="167" t="s">
        <v>944</v>
      </c>
      <c r="H465" s="167" t="s">
        <v>944</v>
      </c>
      <c r="I465" s="177"/>
      <c r="J465" s="177"/>
      <c r="K465" s="177"/>
      <c r="L465" s="177"/>
      <c r="M465" s="177"/>
      <c r="N465" s="177"/>
      <c r="O465" s="177"/>
      <c r="P465" s="177"/>
    </row>
    <row r="466" spans="1:16" x14ac:dyDescent="0.25">
      <c r="A466" s="177"/>
      <c r="B466" s="177"/>
      <c r="C466" s="177"/>
      <c r="D466" s="177"/>
      <c r="E466" s="167" t="s">
        <v>434</v>
      </c>
      <c r="F466" s="167" t="s">
        <v>967</v>
      </c>
      <c r="G466" s="167" t="s">
        <v>967</v>
      </c>
      <c r="H466" s="167" t="s">
        <v>967</v>
      </c>
      <c r="I466" s="177"/>
      <c r="J466" s="177"/>
      <c r="K466" s="177"/>
      <c r="L466" s="177"/>
      <c r="M466" s="177"/>
      <c r="N466" s="177"/>
      <c r="O466" s="177"/>
      <c r="P466" s="177"/>
    </row>
    <row r="467" spans="1:16" x14ac:dyDescent="0.25">
      <c r="A467" s="177" t="s">
        <v>858</v>
      </c>
      <c r="B467" s="177" t="s">
        <v>986</v>
      </c>
      <c r="C467" s="177">
        <v>40</v>
      </c>
      <c r="D467" s="177">
        <v>65</v>
      </c>
      <c r="E467" s="167" t="s">
        <v>433</v>
      </c>
      <c r="F467" s="167" t="s">
        <v>944</v>
      </c>
      <c r="G467" s="167" t="s">
        <v>293</v>
      </c>
      <c r="H467" s="167" t="s">
        <v>967</v>
      </c>
      <c r="I467" s="177" t="s">
        <v>285</v>
      </c>
      <c r="J467" s="177" t="s">
        <v>914</v>
      </c>
      <c r="K467" s="177" t="s">
        <v>914</v>
      </c>
      <c r="L467" s="177" t="s">
        <v>914</v>
      </c>
      <c r="M467" s="177">
        <v>710</v>
      </c>
      <c r="N467" s="177">
        <v>50</v>
      </c>
      <c r="O467" s="177"/>
      <c r="P467" s="179" t="s">
        <v>1364</v>
      </c>
    </row>
    <row r="468" spans="1:16" x14ac:dyDescent="0.25">
      <c r="A468" s="177"/>
      <c r="B468" s="177"/>
      <c r="C468" s="177"/>
      <c r="D468" s="177"/>
      <c r="E468" s="167" t="s">
        <v>434</v>
      </c>
      <c r="F468" s="167">
        <v>0</v>
      </c>
      <c r="G468" s="167">
        <v>0</v>
      </c>
      <c r="H468" s="167">
        <v>0</v>
      </c>
      <c r="I468" s="177"/>
      <c r="J468" s="177"/>
      <c r="K468" s="177"/>
      <c r="L468" s="177"/>
      <c r="M468" s="177"/>
      <c r="N468" s="177"/>
      <c r="O468" s="177"/>
      <c r="P468" s="177"/>
    </row>
    <row r="469" spans="1:16" x14ac:dyDescent="0.25">
      <c r="A469" s="177"/>
      <c r="B469" s="177"/>
      <c r="C469" s="177"/>
      <c r="D469" s="177"/>
      <c r="E469" s="167" t="s">
        <v>433</v>
      </c>
      <c r="F469" s="167">
        <v>0</v>
      </c>
      <c r="G469" s="167">
        <v>0</v>
      </c>
      <c r="H469" s="167">
        <v>0</v>
      </c>
      <c r="I469" s="177"/>
      <c r="J469" s="177"/>
      <c r="K469" s="177"/>
      <c r="L469" s="177"/>
      <c r="M469" s="177"/>
      <c r="N469" s="177"/>
      <c r="O469" s="177"/>
      <c r="P469" s="177"/>
    </row>
    <row r="470" spans="1:16" x14ac:dyDescent="0.25">
      <c r="A470" s="177"/>
      <c r="B470" s="177"/>
      <c r="C470" s="177"/>
      <c r="D470" s="177"/>
      <c r="E470" s="167" t="s">
        <v>434</v>
      </c>
      <c r="F470" s="167" t="s">
        <v>954</v>
      </c>
      <c r="G470" s="167" t="s">
        <v>294</v>
      </c>
      <c r="H470" s="167" t="s">
        <v>954</v>
      </c>
      <c r="I470" s="177"/>
      <c r="J470" s="177"/>
      <c r="K470" s="177"/>
      <c r="L470" s="177"/>
      <c r="M470" s="177"/>
      <c r="N470" s="177"/>
      <c r="O470" s="177"/>
      <c r="P470" s="177"/>
    </row>
    <row r="471" spans="1:16" x14ac:dyDescent="0.25">
      <c r="A471" s="177" t="s">
        <v>858</v>
      </c>
      <c r="B471" s="177" t="s">
        <v>987</v>
      </c>
      <c r="C471" s="177">
        <v>40</v>
      </c>
      <c r="D471" s="177">
        <v>65</v>
      </c>
      <c r="E471" s="167" t="s">
        <v>433</v>
      </c>
      <c r="F471" s="167" t="s">
        <v>967</v>
      </c>
      <c r="G471" s="167" t="s">
        <v>293</v>
      </c>
      <c r="H471" s="167" t="s">
        <v>967</v>
      </c>
      <c r="I471" s="177" t="s">
        <v>285</v>
      </c>
      <c r="J471" s="177" t="s">
        <v>914</v>
      </c>
      <c r="K471" s="177" t="s">
        <v>914</v>
      </c>
      <c r="L471" s="177" t="s">
        <v>914</v>
      </c>
      <c r="M471" s="177">
        <v>830</v>
      </c>
      <c r="N471" s="177">
        <v>50</v>
      </c>
      <c r="O471" s="177"/>
      <c r="P471" s="178" t="s">
        <v>1365</v>
      </c>
    </row>
    <row r="472" spans="1:16" x14ac:dyDescent="0.25">
      <c r="A472" s="177"/>
      <c r="B472" s="177"/>
      <c r="C472" s="177"/>
      <c r="D472" s="177"/>
      <c r="E472" s="167" t="s">
        <v>434</v>
      </c>
      <c r="F472" s="167">
        <v>0</v>
      </c>
      <c r="G472" s="167">
        <v>0</v>
      </c>
      <c r="H472" s="167" t="s">
        <v>947</v>
      </c>
      <c r="I472" s="177"/>
      <c r="J472" s="177"/>
      <c r="K472" s="177"/>
      <c r="L472" s="177"/>
      <c r="M472" s="177"/>
      <c r="N472" s="177"/>
      <c r="O472" s="177"/>
      <c r="P472" s="177"/>
    </row>
    <row r="473" spans="1:16" x14ac:dyDescent="0.25">
      <c r="A473" s="177"/>
      <c r="B473" s="177"/>
      <c r="C473" s="177"/>
      <c r="D473" s="177"/>
      <c r="E473" s="167" t="s">
        <v>433</v>
      </c>
      <c r="F473" s="167">
        <v>0</v>
      </c>
      <c r="G473" s="167">
        <v>0</v>
      </c>
      <c r="H473" s="167">
        <v>0</v>
      </c>
      <c r="I473" s="177"/>
      <c r="J473" s="177"/>
      <c r="K473" s="177"/>
      <c r="L473" s="177"/>
      <c r="M473" s="177"/>
      <c r="N473" s="177"/>
      <c r="O473" s="177"/>
      <c r="P473" s="177"/>
    </row>
    <row r="474" spans="1:16" x14ac:dyDescent="0.25">
      <c r="A474" s="177"/>
      <c r="B474" s="177"/>
      <c r="C474" s="177"/>
      <c r="D474" s="177"/>
      <c r="E474" s="167" t="s">
        <v>434</v>
      </c>
      <c r="F474" s="167" t="s">
        <v>954</v>
      </c>
      <c r="G474" s="167" t="s">
        <v>294</v>
      </c>
      <c r="H474" s="167" t="s">
        <v>947</v>
      </c>
      <c r="I474" s="177"/>
      <c r="J474" s="177"/>
      <c r="K474" s="177"/>
      <c r="L474" s="177"/>
      <c r="M474" s="177"/>
      <c r="N474" s="177"/>
      <c r="O474" s="177"/>
      <c r="P474" s="177"/>
    </row>
    <row r="475" spans="1:16" x14ac:dyDescent="0.25">
      <c r="A475" s="177" t="s">
        <v>858</v>
      </c>
      <c r="B475" s="177" t="s">
        <v>988</v>
      </c>
      <c r="C475" s="177">
        <v>40</v>
      </c>
      <c r="D475" s="177">
        <v>65</v>
      </c>
      <c r="E475" s="167" t="s">
        <v>433</v>
      </c>
      <c r="F475" s="167" t="s">
        <v>912</v>
      </c>
      <c r="G475" s="167" t="s">
        <v>915</v>
      </c>
      <c r="H475" s="167" t="s">
        <v>912</v>
      </c>
      <c r="I475" s="177" t="s">
        <v>285</v>
      </c>
      <c r="J475" s="177" t="s">
        <v>979</v>
      </c>
      <c r="K475" s="177" t="s">
        <v>979</v>
      </c>
      <c r="L475" s="177" t="s">
        <v>979</v>
      </c>
      <c r="M475" s="177">
        <v>1070</v>
      </c>
      <c r="N475" s="177">
        <v>50</v>
      </c>
      <c r="O475" s="177"/>
      <c r="P475" s="179" t="s">
        <v>1368</v>
      </c>
    </row>
    <row r="476" spans="1:16" x14ac:dyDescent="0.25">
      <c r="A476" s="177"/>
      <c r="B476" s="177"/>
      <c r="C476" s="177"/>
      <c r="D476" s="177"/>
      <c r="E476" s="167" t="s">
        <v>434</v>
      </c>
      <c r="F476" s="167" t="s">
        <v>915</v>
      </c>
      <c r="G476" s="167">
        <v>0</v>
      </c>
      <c r="H476" s="167" t="s">
        <v>917</v>
      </c>
      <c r="I476" s="177"/>
      <c r="J476" s="177"/>
      <c r="K476" s="177"/>
      <c r="L476" s="177"/>
      <c r="M476" s="177"/>
      <c r="N476" s="177"/>
      <c r="O476" s="177"/>
      <c r="P476" s="177"/>
    </row>
    <row r="477" spans="1:16" x14ac:dyDescent="0.25">
      <c r="A477" s="177"/>
      <c r="B477" s="177"/>
      <c r="C477" s="177"/>
      <c r="D477" s="177"/>
      <c r="E477" s="167" t="s">
        <v>433</v>
      </c>
      <c r="F477" s="167" t="s">
        <v>293</v>
      </c>
      <c r="G477" s="167" t="s">
        <v>294</v>
      </c>
      <c r="H477" s="167" t="s">
        <v>293</v>
      </c>
      <c r="I477" s="177"/>
      <c r="J477" s="177"/>
      <c r="K477" s="177"/>
      <c r="L477" s="177"/>
      <c r="M477" s="177"/>
      <c r="N477" s="177"/>
      <c r="O477" s="177"/>
      <c r="P477" s="177"/>
    </row>
    <row r="478" spans="1:16" x14ac:dyDescent="0.25">
      <c r="A478" s="177"/>
      <c r="B478" s="177"/>
      <c r="C478" s="177"/>
      <c r="D478" s="177"/>
      <c r="E478" s="167" t="s">
        <v>434</v>
      </c>
      <c r="F478" s="167" t="s">
        <v>967</v>
      </c>
      <c r="G478" s="167" t="s">
        <v>967</v>
      </c>
      <c r="H478" s="167" t="s">
        <v>967</v>
      </c>
      <c r="I478" s="177"/>
      <c r="J478" s="177"/>
      <c r="K478" s="177"/>
      <c r="L478" s="177"/>
      <c r="M478" s="177"/>
      <c r="N478" s="177"/>
      <c r="O478" s="177"/>
      <c r="P478" s="177"/>
    </row>
    <row r="479" spans="1:16" x14ac:dyDescent="0.25">
      <c r="A479" s="177" t="s">
        <v>858</v>
      </c>
      <c r="B479" s="177" t="s">
        <v>989</v>
      </c>
      <c r="C479" s="177">
        <v>40</v>
      </c>
      <c r="D479" s="177">
        <v>65</v>
      </c>
      <c r="E479" s="167" t="s">
        <v>433</v>
      </c>
      <c r="F479" s="167" t="s">
        <v>912</v>
      </c>
      <c r="G479" s="167" t="s">
        <v>915</v>
      </c>
      <c r="H479" s="167" t="s">
        <v>912</v>
      </c>
      <c r="I479" s="177" t="s">
        <v>285</v>
      </c>
      <c r="J479" s="177" t="s">
        <v>979</v>
      </c>
      <c r="K479" s="177" t="s">
        <v>979</v>
      </c>
      <c r="L479" s="177" t="s">
        <v>979</v>
      </c>
      <c r="M479" s="177">
        <v>1100</v>
      </c>
      <c r="N479" s="177">
        <v>50</v>
      </c>
      <c r="O479" s="177"/>
      <c r="P479" s="179" t="s">
        <v>1368</v>
      </c>
    </row>
    <row r="480" spans="1:16" x14ac:dyDescent="0.25">
      <c r="A480" s="177"/>
      <c r="B480" s="177"/>
      <c r="C480" s="177"/>
      <c r="D480" s="177"/>
      <c r="E480" s="167" t="s">
        <v>434</v>
      </c>
      <c r="F480" s="167" t="s">
        <v>917</v>
      </c>
      <c r="G480" s="167">
        <v>0</v>
      </c>
      <c r="H480" s="167" t="s">
        <v>916</v>
      </c>
      <c r="I480" s="177"/>
      <c r="J480" s="177"/>
      <c r="K480" s="177"/>
      <c r="L480" s="177"/>
      <c r="M480" s="177"/>
      <c r="N480" s="177"/>
      <c r="O480" s="177"/>
      <c r="P480" s="177"/>
    </row>
    <row r="481" spans="1:16" x14ac:dyDescent="0.25">
      <c r="A481" s="177"/>
      <c r="B481" s="177"/>
      <c r="C481" s="177"/>
      <c r="D481" s="177"/>
      <c r="E481" s="167" t="s">
        <v>433</v>
      </c>
      <c r="F481" s="167" t="s">
        <v>293</v>
      </c>
      <c r="G481" s="167" t="s">
        <v>294</v>
      </c>
      <c r="H481" s="167" t="s">
        <v>293</v>
      </c>
      <c r="I481" s="177"/>
      <c r="J481" s="177"/>
      <c r="K481" s="177"/>
      <c r="L481" s="177"/>
      <c r="M481" s="177"/>
      <c r="N481" s="177"/>
      <c r="O481" s="177"/>
      <c r="P481" s="177"/>
    </row>
    <row r="482" spans="1:16" x14ac:dyDescent="0.25">
      <c r="A482" s="177"/>
      <c r="B482" s="177"/>
      <c r="C482" s="177"/>
      <c r="D482" s="177"/>
      <c r="E482" s="167" t="s">
        <v>434</v>
      </c>
      <c r="F482" s="167" t="s">
        <v>967</v>
      </c>
      <c r="G482" s="167" t="s">
        <v>967</v>
      </c>
      <c r="H482" s="167" t="s">
        <v>967</v>
      </c>
      <c r="I482" s="177"/>
      <c r="J482" s="177"/>
      <c r="K482" s="177"/>
      <c r="L482" s="177"/>
      <c r="M482" s="177"/>
      <c r="N482" s="177"/>
      <c r="O482" s="177"/>
      <c r="P482" s="177"/>
    </row>
    <row r="483" spans="1:16" x14ac:dyDescent="0.25">
      <c r="A483" s="177" t="s">
        <v>858</v>
      </c>
      <c r="B483" s="177" t="s">
        <v>990</v>
      </c>
      <c r="C483" s="177">
        <v>40</v>
      </c>
      <c r="D483" s="177">
        <v>65</v>
      </c>
      <c r="E483" s="167" t="s">
        <v>433</v>
      </c>
      <c r="F483" s="167" t="s">
        <v>912</v>
      </c>
      <c r="G483" s="167" t="s">
        <v>915</v>
      </c>
      <c r="H483" s="167" t="s">
        <v>915</v>
      </c>
      <c r="I483" s="177" t="s">
        <v>285</v>
      </c>
      <c r="J483" s="177" t="s">
        <v>918</v>
      </c>
      <c r="K483" s="177" t="s">
        <v>918</v>
      </c>
      <c r="L483" s="177" t="s">
        <v>918</v>
      </c>
      <c r="M483" s="177">
        <v>990</v>
      </c>
      <c r="N483" s="177">
        <v>50</v>
      </c>
      <c r="O483" s="177"/>
      <c r="P483" s="179" t="s">
        <v>1369</v>
      </c>
    </row>
    <row r="484" spans="1:16" x14ac:dyDescent="0.25">
      <c r="A484" s="177"/>
      <c r="B484" s="177"/>
      <c r="C484" s="177"/>
      <c r="D484" s="177"/>
      <c r="E484" s="167" t="s">
        <v>434</v>
      </c>
      <c r="F484" s="167" t="s">
        <v>916</v>
      </c>
      <c r="G484" s="167">
        <v>0</v>
      </c>
      <c r="H484" s="167">
        <v>0</v>
      </c>
      <c r="I484" s="177"/>
      <c r="J484" s="177"/>
      <c r="K484" s="177"/>
      <c r="L484" s="177"/>
      <c r="M484" s="177"/>
      <c r="N484" s="177"/>
      <c r="O484" s="177"/>
      <c r="P484" s="177"/>
    </row>
    <row r="485" spans="1:16" x14ac:dyDescent="0.25">
      <c r="A485" s="177"/>
      <c r="B485" s="177"/>
      <c r="C485" s="177"/>
      <c r="D485" s="177"/>
      <c r="E485" s="167" t="s">
        <v>433</v>
      </c>
      <c r="F485" s="167" t="s">
        <v>944</v>
      </c>
      <c r="G485" s="167" t="s">
        <v>954</v>
      </c>
      <c r="H485" s="167" t="s">
        <v>947</v>
      </c>
      <c r="I485" s="177"/>
      <c r="J485" s="177"/>
      <c r="K485" s="177"/>
      <c r="L485" s="177"/>
      <c r="M485" s="177"/>
      <c r="N485" s="177"/>
      <c r="O485" s="177"/>
      <c r="P485" s="177"/>
    </row>
    <row r="486" spans="1:16" x14ac:dyDescent="0.25">
      <c r="A486" s="177"/>
      <c r="B486" s="177"/>
      <c r="C486" s="177"/>
      <c r="D486" s="177"/>
      <c r="E486" s="167" t="s">
        <v>434</v>
      </c>
      <c r="F486" s="167" t="s">
        <v>294</v>
      </c>
      <c r="G486" s="167" t="s">
        <v>967</v>
      </c>
      <c r="H486" s="167" t="s">
        <v>967</v>
      </c>
      <c r="I486" s="177"/>
      <c r="J486" s="177"/>
      <c r="K486" s="177"/>
      <c r="L486" s="177"/>
      <c r="M486" s="177"/>
      <c r="N486" s="177"/>
      <c r="O486" s="177"/>
      <c r="P486" s="177"/>
    </row>
    <row r="487" spans="1:16" x14ac:dyDescent="0.25">
      <c r="A487" s="177" t="s">
        <v>851</v>
      </c>
      <c r="B487" s="177" t="s">
        <v>952</v>
      </c>
      <c r="C487" s="177">
        <v>40</v>
      </c>
      <c r="D487" s="177">
        <v>70</v>
      </c>
      <c r="E487" s="167" t="s">
        <v>433</v>
      </c>
      <c r="F487" s="167" t="s">
        <v>944</v>
      </c>
      <c r="G487" s="167" t="s">
        <v>944</v>
      </c>
      <c r="H487" s="167" t="s">
        <v>947</v>
      </c>
      <c r="I487" s="177" t="s">
        <v>285</v>
      </c>
      <c r="J487" s="177" t="s">
        <v>914</v>
      </c>
      <c r="K487" s="177" t="s">
        <v>914</v>
      </c>
      <c r="L487" s="177" t="s">
        <v>914</v>
      </c>
      <c r="M487" s="177">
        <v>830</v>
      </c>
      <c r="N487" s="177">
        <v>60</v>
      </c>
      <c r="O487" s="177"/>
      <c r="P487" s="179" t="s">
        <v>1370</v>
      </c>
    </row>
    <row r="488" spans="1:16" x14ac:dyDescent="0.25">
      <c r="A488" s="177"/>
      <c r="B488" s="177"/>
      <c r="C488" s="177"/>
      <c r="D488" s="177"/>
      <c r="E488" s="167" t="s">
        <v>434</v>
      </c>
      <c r="F488" s="167">
        <v>0</v>
      </c>
      <c r="G488" s="167">
        <v>0</v>
      </c>
      <c r="H488" s="167">
        <v>0</v>
      </c>
      <c r="I488" s="177"/>
      <c r="J488" s="177"/>
      <c r="K488" s="177"/>
      <c r="L488" s="177"/>
      <c r="M488" s="177"/>
      <c r="N488" s="177"/>
      <c r="O488" s="177"/>
      <c r="P488" s="177"/>
    </row>
    <row r="489" spans="1:16" x14ac:dyDescent="0.25">
      <c r="A489" s="177"/>
      <c r="B489" s="177"/>
      <c r="C489" s="177"/>
      <c r="D489" s="177"/>
      <c r="E489" s="167" t="s">
        <v>433</v>
      </c>
      <c r="F489" s="167">
        <v>0</v>
      </c>
      <c r="G489" s="167">
        <v>0</v>
      </c>
      <c r="H489" s="167">
        <v>0</v>
      </c>
      <c r="I489" s="177"/>
      <c r="J489" s="177"/>
      <c r="K489" s="177"/>
      <c r="L489" s="177"/>
      <c r="M489" s="177"/>
      <c r="N489" s="177"/>
      <c r="O489" s="177"/>
      <c r="P489" s="177"/>
    </row>
    <row r="490" spans="1:16" x14ac:dyDescent="0.25">
      <c r="A490" s="177"/>
      <c r="B490" s="177"/>
      <c r="C490" s="177"/>
      <c r="D490" s="177"/>
      <c r="E490" s="167" t="s">
        <v>434</v>
      </c>
      <c r="F490" s="167" t="s">
        <v>293</v>
      </c>
      <c r="G490" s="167" t="s">
        <v>947</v>
      </c>
      <c r="H490" s="167" t="s">
        <v>293</v>
      </c>
      <c r="I490" s="177"/>
      <c r="J490" s="177"/>
      <c r="K490" s="177"/>
      <c r="L490" s="177"/>
      <c r="M490" s="177"/>
      <c r="N490" s="177"/>
      <c r="O490" s="177"/>
      <c r="P490" s="177"/>
    </row>
    <row r="491" spans="1:16" x14ac:dyDescent="0.25">
      <c r="A491" s="177" t="s">
        <v>851</v>
      </c>
      <c r="B491" s="177" t="s">
        <v>952</v>
      </c>
      <c r="C491" s="177">
        <v>40</v>
      </c>
      <c r="D491" s="177">
        <v>70</v>
      </c>
      <c r="E491" s="167" t="s">
        <v>433</v>
      </c>
      <c r="F491" s="167" t="s">
        <v>944</v>
      </c>
      <c r="G491" s="167" t="s">
        <v>944</v>
      </c>
      <c r="H491" s="167" t="s">
        <v>947</v>
      </c>
      <c r="I491" s="177" t="s">
        <v>285</v>
      </c>
      <c r="J491" s="177" t="s">
        <v>914</v>
      </c>
      <c r="K491" s="177" t="s">
        <v>914</v>
      </c>
      <c r="L491" s="177" t="s">
        <v>914</v>
      </c>
      <c r="M491" s="177">
        <v>830</v>
      </c>
      <c r="N491" s="177">
        <v>60</v>
      </c>
      <c r="O491" s="177"/>
      <c r="P491" s="179" t="s">
        <v>1370</v>
      </c>
    </row>
    <row r="492" spans="1:16" x14ac:dyDescent="0.25">
      <c r="A492" s="177"/>
      <c r="B492" s="177"/>
      <c r="C492" s="177"/>
      <c r="D492" s="177"/>
      <c r="E492" s="167" t="s">
        <v>434</v>
      </c>
      <c r="F492" s="167">
        <v>0</v>
      </c>
      <c r="G492" s="167">
        <v>0</v>
      </c>
      <c r="H492" s="167">
        <v>0</v>
      </c>
      <c r="I492" s="177"/>
      <c r="J492" s="177"/>
      <c r="K492" s="177"/>
      <c r="L492" s="177"/>
      <c r="M492" s="177"/>
      <c r="N492" s="177"/>
      <c r="O492" s="177"/>
      <c r="P492" s="177"/>
    </row>
    <row r="493" spans="1:16" x14ac:dyDescent="0.25">
      <c r="A493" s="177"/>
      <c r="B493" s="177"/>
      <c r="C493" s="177"/>
      <c r="D493" s="177"/>
      <c r="E493" s="167" t="s">
        <v>433</v>
      </c>
      <c r="F493" s="167">
        <v>0</v>
      </c>
      <c r="G493" s="167">
        <v>0</v>
      </c>
      <c r="H493" s="167">
        <v>0</v>
      </c>
      <c r="I493" s="177"/>
      <c r="J493" s="177"/>
      <c r="K493" s="177"/>
      <c r="L493" s="177"/>
      <c r="M493" s="177"/>
      <c r="N493" s="177"/>
      <c r="O493" s="177"/>
      <c r="P493" s="177"/>
    </row>
    <row r="494" spans="1:16" x14ac:dyDescent="0.25">
      <c r="A494" s="177"/>
      <c r="B494" s="177"/>
      <c r="C494" s="177"/>
      <c r="D494" s="177"/>
      <c r="E494" s="167" t="s">
        <v>434</v>
      </c>
      <c r="F494" s="167" t="s">
        <v>293</v>
      </c>
      <c r="G494" s="167" t="s">
        <v>947</v>
      </c>
      <c r="H494" s="167" t="s">
        <v>293</v>
      </c>
      <c r="I494" s="177"/>
      <c r="J494" s="177"/>
      <c r="K494" s="177"/>
      <c r="L494" s="177"/>
      <c r="M494" s="177"/>
      <c r="N494" s="177"/>
      <c r="O494" s="177"/>
      <c r="P494" s="177"/>
    </row>
    <row r="495" spans="1:16" x14ac:dyDescent="0.25">
      <c r="A495" s="177" t="s">
        <v>851</v>
      </c>
      <c r="B495" s="177" t="s">
        <v>951</v>
      </c>
      <c r="C495" s="177">
        <v>40</v>
      </c>
      <c r="D495" s="177">
        <v>70</v>
      </c>
      <c r="E495" s="167" t="s">
        <v>433</v>
      </c>
      <c r="F495" s="167" t="s">
        <v>947</v>
      </c>
      <c r="G495" s="167" t="s">
        <v>944</v>
      </c>
      <c r="H495" s="167" t="s">
        <v>947</v>
      </c>
      <c r="I495" s="177" t="s">
        <v>285</v>
      </c>
      <c r="J495" s="177" t="s">
        <v>914</v>
      </c>
      <c r="K495" s="177" t="s">
        <v>914</v>
      </c>
      <c r="L495" s="177" t="s">
        <v>914</v>
      </c>
      <c r="M495" s="177">
        <v>830</v>
      </c>
      <c r="N495" s="177">
        <v>60</v>
      </c>
      <c r="O495" s="177"/>
      <c r="P495" s="179" t="s">
        <v>1371</v>
      </c>
    </row>
    <row r="496" spans="1:16" x14ac:dyDescent="0.25">
      <c r="A496" s="177"/>
      <c r="B496" s="177"/>
      <c r="C496" s="177"/>
      <c r="D496" s="177"/>
      <c r="E496" s="167" t="s">
        <v>434</v>
      </c>
      <c r="F496" s="167">
        <v>0</v>
      </c>
      <c r="G496" s="167">
        <v>0</v>
      </c>
      <c r="H496" s="167">
        <v>0</v>
      </c>
      <c r="I496" s="177"/>
      <c r="J496" s="177"/>
      <c r="K496" s="177"/>
      <c r="L496" s="177"/>
      <c r="M496" s="177"/>
      <c r="N496" s="177"/>
      <c r="O496" s="177"/>
      <c r="P496" s="177"/>
    </row>
    <row r="497" spans="1:16" x14ac:dyDescent="0.25">
      <c r="A497" s="177"/>
      <c r="B497" s="177"/>
      <c r="C497" s="177"/>
      <c r="D497" s="177"/>
      <c r="E497" s="167" t="s">
        <v>433</v>
      </c>
      <c r="F497" s="167">
        <v>0</v>
      </c>
      <c r="G497" s="167">
        <v>0</v>
      </c>
      <c r="H497" s="167">
        <v>0</v>
      </c>
      <c r="I497" s="177"/>
      <c r="J497" s="177"/>
      <c r="K497" s="177"/>
      <c r="L497" s="177"/>
      <c r="M497" s="177"/>
      <c r="N497" s="177"/>
      <c r="O497" s="177"/>
      <c r="P497" s="177"/>
    </row>
    <row r="498" spans="1:16" x14ac:dyDescent="0.25">
      <c r="A498" s="177"/>
      <c r="B498" s="177"/>
      <c r="C498" s="177"/>
      <c r="D498" s="177"/>
      <c r="E498" s="167" t="s">
        <v>434</v>
      </c>
      <c r="F498" s="167" t="s">
        <v>293</v>
      </c>
      <c r="G498" s="167" t="s">
        <v>293</v>
      </c>
      <c r="H498" s="167" t="s">
        <v>293</v>
      </c>
      <c r="I498" s="177"/>
      <c r="J498" s="177"/>
      <c r="K498" s="177"/>
      <c r="L498" s="177"/>
      <c r="M498" s="177"/>
      <c r="N498" s="177"/>
      <c r="O498" s="177"/>
      <c r="P498" s="177"/>
    </row>
    <row r="499" spans="1:16" x14ac:dyDescent="0.25">
      <c r="A499" s="177" t="s">
        <v>851</v>
      </c>
      <c r="B499" s="177" t="s">
        <v>951</v>
      </c>
      <c r="C499" s="177">
        <v>40</v>
      </c>
      <c r="D499" s="177">
        <v>70</v>
      </c>
      <c r="E499" s="167" t="s">
        <v>433</v>
      </c>
      <c r="F499" s="167" t="s">
        <v>947</v>
      </c>
      <c r="G499" s="167" t="s">
        <v>944</v>
      </c>
      <c r="H499" s="167" t="s">
        <v>947</v>
      </c>
      <c r="I499" s="177" t="s">
        <v>285</v>
      </c>
      <c r="J499" s="177" t="s">
        <v>914</v>
      </c>
      <c r="K499" s="177" t="s">
        <v>914</v>
      </c>
      <c r="L499" s="177" t="s">
        <v>914</v>
      </c>
      <c r="M499" s="177">
        <v>830</v>
      </c>
      <c r="N499" s="177">
        <v>60</v>
      </c>
      <c r="O499" s="177"/>
      <c r="P499" s="179" t="s">
        <v>1371</v>
      </c>
    </row>
    <row r="500" spans="1:16" x14ac:dyDescent="0.25">
      <c r="A500" s="177"/>
      <c r="B500" s="177"/>
      <c r="C500" s="177"/>
      <c r="D500" s="177"/>
      <c r="E500" s="167" t="s">
        <v>434</v>
      </c>
      <c r="F500" s="167">
        <v>0</v>
      </c>
      <c r="G500" s="167">
        <v>0</v>
      </c>
      <c r="H500" s="167">
        <v>0</v>
      </c>
      <c r="I500" s="177"/>
      <c r="J500" s="177"/>
      <c r="K500" s="177"/>
      <c r="L500" s="177"/>
      <c r="M500" s="177"/>
      <c r="N500" s="177"/>
      <c r="O500" s="177"/>
      <c r="P500" s="177"/>
    </row>
    <row r="501" spans="1:16" x14ac:dyDescent="0.25">
      <c r="A501" s="177"/>
      <c r="B501" s="177"/>
      <c r="C501" s="177"/>
      <c r="D501" s="177"/>
      <c r="E501" s="167" t="s">
        <v>433</v>
      </c>
      <c r="F501" s="167">
        <v>0</v>
      </c>
      <c r="G501" s="167">
        <v>0</v>
      </c>
      <c r="H501" s="167">
        <v>0</v>
      </c>
      <c r="I501" s="177"/>
      <c r="J501" s="177"/>
      <c r="K501" s="177"/>
      <c r="L501" s="177"/>
      <c r="M501" s="177"/>
      <c r="N501" s="177"/>
      <c r="O501" s="177"/>
      <c r="P501" s="177"/>
    </row>
    <row r="502" spans="1:16" x14ac:dyDescent="0.25">
      <c r="A502" s="177"/>
      <c r="B502" s="177"/>
      <c r="C502" s="177"/>
      <c r="D502" s="177"/>
      <c r="E502" s="167" t="s">
        <v>434</v>
      </c>
      <c r="F502" s="167" t="s">
        <v>293</v>
      </c>
      <c r="G502" s="167" t="s">
        <v>293</v>
      </c>
      <c r="H502" s="167" t="s">
        <v>293</v>
      </c>
      <c r="I502" s="177"/>
      <c r="J502" s="177"/>
      <c r="K502" s="177"/>
      <c r="L502" s="177"/>
      <c r="M502" s="177"/>
      <c r="N502" s="177"/>
      <c r="O502" s="177"/>
      <c r="P502" s="177"/>
    </row>
    <row r="503" spans="1:16" x14ac:dyDescent="0.25">
      <c r="A503" s="177" t="s">
        <v>851</v>
      </c>
      <c r="B503" s="177" t="s">
        <v>950</v>
      </c>
      <c r="C503" s="177">
        <v>40</v>
      </c>
      <c r="D503" s="177">
        <v>70</v>
      </c>
      <c r="E503" s="167" t="s">
        <v>433</v>
      </c>
      <c r="F503" s="167" t="s">
        <v>947</v>
      </c>
      <c r="G503" s="167" t="s">
        <v>944</v>
      </c>
      <c r="H503" s="167" t="s">
        <v>947</v>
      </c>
      <c r="I503" s="177" t="s">
        <v>285</v>
      </c>
      <c r="J503" s="177" t="s">
        <v>914</v>
      </c>
      <c r="K503" s="177" t="s">
        <v>914</v>
      </c>
      <c r="L503" s="177" t="s">
        <v>914</v>
      </c>
      <c r="M503" s="177">
        <v>830</v>
      </c>
      <c r="N503" s="177">
        <v>60</v>
      </c>
      <c r="O503" s="177"/>
      <c r="P503" s="179" t="s">
        <v>1371</v>
      </c>
    </row>
    <row r="504" spans="1:16" x14ac:dyDescent="0.25">
      <c r="A504" s="177"/>
      <c r="B504" s="177"/>
      <c r="C504" s="177"/>
      <c r="D504" s="177"/>
      <c r="E504" s="167" t="s">
        <v>434</v>
      </c>
      <c r="F504" s="167">
        <v>0</v>
      </c>
      <c r="G504" s="167">
        <v>0</v>
      </c>
      <c r="H504" s="167">
        <v>0</v>
      </c>
      <c r="I504" s="177"/>
      <c r="J504" s="177"/>
      <c r="K504" s="177"/>
      <c r="L504" s="177"/>
      <c r="M504" s="177"/>
      <c r="N504" s="177"/>
      <c r="O504" s="177"/>
      <c r="P504" s="177"/>
    </row>
    <row r="505" spans="1:16" x14ac:dyDescent="0.25">
      <c r="A505" s="177"/>
      <c r="B505" s="177"/>
      <c r="C505" s="177"/>
      <c r="D505" s="177"/>
      <c r="E505" s="167" t="s">
        <v>433</v>
      </c>
      <c r="F505" s="167">
        <v>0</v>
      </c>
      <c r="G505" s="167">
        <v>0</v>
      </c>
      <c r="H505" s="167">
        <v>0</v>
      </c>
      <c r="I505" s="177"/>
      <c r="J505" s="177"/>
      <c r="K505" s="177"/>
      <c r="L505" s="177"/>
      <c r="M505" s="177"/>
      <c r="N505" s="177"/>
      <c r="O505" s="177"/>
      <c r="P505" s="177"/>
    </row>
    <row r="506" spans="1:16" x14ac:dyDescent="0.25">
      <c r="A506" s="177"/>
      <c r="B506" s="177"/>
      <c r="C506" s="177"/>
      <c r="D506" s="177"/>
      <c r="E506" s="167" t="s">
        <v>434</v>
      </c>
      <c r="F506" s="167" t="s">
        <v>293</v>
      </c>
      <c r="G506" s="167" t="s">
        <v>293</v>
      </c>
      <c r="H506" s="167" t="s">
        <v>293</v>
      </c>
      <c r="I506" s="177"/>
      <c r="J506" s="177"/>
      <c r="K506" s="177"/>
      <c r="L506" s="177"/>
      <c r="M506" s="177"/>
      <c r="N506" s="177"/>
      <c r="O506" s="177"/>
      <c r="P506" s="177"/>
    </row>
    <row r="507" spans="1:16" x14ac:dyDescent="0.25">
      <c r="A507" s="177" t="s">
        <v>851</v>
      </c>
      <c r="B507" s="177" t="s">
        <v>950</v>
      </c>
      <c r="C507" s="177">
        <v>40</v>
      </c>
      <c r="D507" s="177">
        <v>70</v>
      </c>
      <c r="E507" s="167" t="s">
        <v>433</v>
      </c>
      <c r="F507" s="167" t="s">
        <v>947</v>
      </c>
      <c r="G507" s="167" t="s">
        <v>944</v>
      </c>
      <c r="H507" s="167" t="s">
        <v>947</v>
      </c>
      <c r="I507" s="177" t="s">
        <v>285</v>
      </c>
      <c r="J507" s="177" t="s">
        <v>914</v>
      </c>
      <c r="K507" s="177" t="s">
        <v>914</v>
      </c>
      <c r="L507" s="177" t="s">
        <v>914</v>
      </c>
      <c r="M507" s="177">
        <v>830</v>
      </c>
      <c r="N507" s="177">
        <v>60</v>
      </c>
      <c r="O507" s="177"/>
      <c r="P507" s="179" t="s">
        <v>1371</v>
      </c>
    </row>
    <row r="508" spans="1:16" x14ac:dyDescent="0.25">
      <c r="A508" s="177"/>
      <c r="B508" s="177"/>
      <c r="C508" s="177"/>
      <c r="D508" s="177"/>
      <c r="E508" s="167" t="s">
        <v>434</v>
      </c>
      <c r="F508" s="167">
        <v>0</v>
      </c>
      <c r="G508" s="167">
        <v>0</v>
      </c>
      <c r="H508" s="167">
        <v>0</v>
      </c>
      <c r="I508" s="177"/>
      <c r="J508" s="177"/>
      <c r="K508" s="177"/>
      <c r="L508" s="177"/>
      <c r="M508" s="177"/>
      <c r="N508" s="177"/>
      <c r="O508" s="177"/>
      <c r="P508" s="177"/>
    </row>
    <row r="509" spans="1:16" x14ac:dyDescent="0.25">
      <c r="A509" s="177"/>
      <c r="B509" s="177"/>
      <c r="C509" s="177"/>
      <c r="D509" s="177"/>
      <c r="E509" s="167" t="s">
        <v>433</v>
      </c>
      <c r="F509" s="167">
        <v>0</v>
      </c>
      <c r="G509" s="167">
        <v>0</v>
      </c>
      <c r="H509" s="167">
        <v>0</v>
      </c>
      <c r="I509" s="177"/>
      <c r="J509" s="177"/>
      <c r="K509" s="177"/>
      <c r="L509" s="177"/>
      <c r="M509" s="177"/>
      <c r="N509" s="177"/>
      <c r="O509" s="177"/>
      <c r="P509" s="177"/>
    </row>
    <row r="510" spans="1:16" x14ac:dyDescent="0.25">
      <c r="A510" s="177"/>
      <c r="B510" s="177"/>
      <c r="C510" s="177"/>
      <c r="D510" s="177"/>
      <c r="E510" s="167" t="s">
        <v>434</v>
      </c>
      <c r="F510" s="167" t="s">
        <v>293</v>
      </c>
      <c r="G510" s="167" t="s">
        <v>293</v>
      </c>
      <c r="H510" s="167" t="s">
        <v>293</v>
      </c>
      <c r="I510" s="177"/>
      <c r="J510" s="177"/>
      <c r="K510" s="177"/>
      <c r="L510" s="177"/>
      <c r="M510" s="177"/>
      <c r="N510" s="177"/>
      <c r="O510" s="177"/>
      <c r="P510" s="177"/>
    </row>
    <row r="511" spans="1:16" x14ac:dyDescent="0.25">
      <c r="A511" s="177" t="s">
        <v>851</v>
      </c>
      <c r="B511" s="177" t="s">
        <v>949</v>
      </c>
      <c r="C511" s="177">
        <v>40</v>
      </c>
      <c r="D511" s="177">
        <v>70</v>
      </c>
      <c r="E511" s="167" t="s">
        <v>433</v>
      </c>
      <c r="F511" s="167" t="s">
        <v>947</v>
      </c>
      <c r="G511" s="167" t="s">
        <v>944</v>
      </c>
      <c r="H511" s="167" t="s">
        <v>947</v>
      </c>
      <c r="I511" s="177" t="s">
        <v>285</v>
      </c>
      <c r="J511" s="177" t="s">
        <v>914</v>
      </c>
      <c r="K511" s="177" t="s">
        <v>914</v>
      </c>
      <c r="L511" s="177" t="s">
        <v>914</v>
      </c>
      <c r="M511" s="177">
        <v>830</v>
      </c>
      <c r="N511" s="177">
        <v>60</v>
      </c>
      <c r="O511" s="177"/>
      <c r="P511" s="179" t="s">
        <v>1371</v>
      </c>
    </row>
    <row r="512" spans="1:16" x14ac:dyDescent="0.25">
      <c r="A512" s="177"/>
      <c r="B512" s="177"/>
      <c r="C512" s="177"/>
      <c r="D512" s="177"/>
      <c r="E512" s="167" t="s">
        <v>434</v>
      </c>
      <c r="F512" s="167">
        <v>0</v>
      </c>
      <c r="G512" s="167">
        <v>0</v>
      </c>
      <c r="H512" s="167">
        <v>0</v>
      </c>
      <c r="I512" s="177"/>
      <c r="J512" s="177"/>
      <c r="K512" s="177"/>
      <c r="L512" s="177"/>
      <c r="M512" s="177"/>
      <c r="N512" s="177"/>
      <c r="O512" s="177"/>
      <c r="P512" s="177"/>
    </row>
    <row r="513" spans="1:16" x14ac:dyDescent="0.25">
      <c r="A513" s="177"/>
      <c r="B513" s="177"/>
      <c r="C513" s="177"/>
      <c r="D513" s="177"/>
      <c r="E513" s="167" t="s">
        <v>433</v>
      </c>
      <c r="F513" s="167">
        <v>0</v>
      </c>
      <c r="G513" s="167">
        <v>0</v>
      </c>
      <c r="H513" s="167">
        <v>0</v>
      </c>
      <c r="I513" s="177"/>
      <c r="J513" s="177"/>
      <c r="K513" s="177"/>
      <c r="L513" s="177"/>
      <c r="M513" s="177"/>
      <c r="N513" s="177"/>
      <c r="O513" s="177"/>
      <c r="P513" s="177"/>
    </row>
    <row r="514" spans="1:16" x14ac:dyDescent="0.25">
      <c r="A514" s="177"/>
      <c r="B514" s="177"/>
      <c r="C514" s="177"/>
      <c r="D514" s="177"/>
      <c r="E514" s="167" t="s">
        <v>434</v>
      </c>
      <c r="F514" s="167" t="s">
        <v>293</v>
      </c>
      <c r="G514" s="167" t="s">
        <v>293</v>
      </c>
      <c r="H514" s="167" t="s">
        <v>293</v>
      </c>
      <c r="I514" s="177"/>
      <c r="J514" s="177"/>
      <c r="K514" s="177"/>
      <c r="L514" s="177"/>
      <c r="M514" s="177"/>
      <c r="N514" s="177"/>
      <c r="O514" s="177"/>
      <c r="P514" s="177"/>
    </row>
    <row r="515" spans="1:16" x14ac:dyDescent="0.25">
      <c r="A515" s="177" t="s">
        <v>851</v>
      </c>
      <c r="B515" s="177" t="s">
        <v>949</v>
      </c>
      <c r="C515" s="177">
        <v>40</v>
      </c>
      <c r="D515" s="177">
        <v>70</v>
      </c>
      <c r="E515" s="167" t="s">
        <v>433</v>
      </c>
      <c r="F515" s="167" t="s">
        <v>947</v>
      </c>
      <c r="G515" s="167" t="s">
        <v>944</v>
      </c>
      <c r="H515" s="167" t="s">
        <v>947</v>
      </c>
      <c r="I515" s="177" t="s">
        <v>285</v>
      </c>
      <c r="J515" s="177" t="s">
        <v>914</v>
      </c>
      <c r="K515" s="177" t="s">
        <v>914</v>
      </c>
      <c r="L515" s="177" t="s">
        <v>914</v>
      </c>
      <c r="M515" s="177">
        <v>830</v>
      </c>
      <c r="N515" s="177">
        <v>60</v>
      </c>
      <c r="O515" s="177"/>
      <c r="P515" s="179" t="s">
        <v>1371</v>
      </c>
    </row>
    <row r="516" spans="1:16" x14ac:dyDescent="0.25">
      <c r="A516" s="177"/>
      <c r="B516" s="177"/>
      <c r="C516" s="177"/>
      <c r="D516" s="177"/>
      <c r="E516" s="167" t="s">
        <v>434</v>
      </c>
      <c r="F516" s="167">
        <v>0</v>
      </c>
      <c r="G516" s="167">
        <v>0</v>
      </c>
      <c r="H516" s="167">
        <v>0</v>
      </c>
      <c r="I516" s="177"/>
      <c r="J516" s="177"/>
      <c r="K516" s="177"/>
      <c r="L516" s="177"/>
      <c r="M516" s="177"/>
      <c r="N516" s="177"/>
      <c r="O516" s="177"/>
      <c r="P516" s="177"/>
    </row>
    <row r="517" spans="1:16" x14ac:dyDescent="0.25">
      <c r="A517" s="177"/>
      <c r="B517" s="177"/>
      <c r="C517" s="177"/>
      <c r="D517" s="177"/>
      <c r="E517" s="167" t="s">
        <v>433</v>
      </c>
      <c r="F517" s="167">
        <v>0</v>
      </c>
      <c r="G517" s="167">
        <v>0</v>
      </c>
      <c r="H517" s="167">
        <v>0</v>
      </c>
      <c r="I517" s="177"/>
      <c r="J517" s="177"/>
      <c r="K517" s="177"/>
      <c r="L517" s="177"/>
      <c r="M517" s="177"/>
      <c r="N517" s="177"/>
      <c r="O517" s="177"/>
      <c r="P517" s="177"/>
    </row>
    <row r="518" spans="1:16" x14ac:dyDescent="0.25">
      <c r="A518" s="177"/>
      <c r="B518" s="177"/>
      <c r="C518" s="177"/>
      <c r="D518" s="177"/>
      <c r="E518" s="167" t="s">
        <v>434</v>
      </c>
      <c r="F518" s="167" t="s">
        <v>293</v>
      </c>
      <c r="G518" s="167" t="s">
        <v>293</v>
      </c>
      <c r="H518" s="167" t="s">
        <v>293</v>
      </c>
      <c r="I518" s="177"/>
      <c r="J518" s="177"/>
      <c r="K518" s="177"/>
      <c r="L518" s="177"/>
      <c r="M518" s="177"/>
      <c r="N518" s="177"/>
      <c r="O518" s="177"/>
      <c r="P518" s="177"/>
    </row>
    <row r="519" spans="1:16" x14ac:dyDescent="0.25">
      <c r="A519" s="177" t="s">
        <v>851</v>
      </c>
      <c r="B519" s="177" t="s">
        <v>948</v>
      </c>
      <c r="C519" s="177">
        <v>40</v>
      </c>
      <c r="D519" s="177">
        <v>70</v>
      </c>
      <c r="E519" s="167" t="s">
        <v>433</v>
      </c>
      <c r="F519" s="167" t="s">
        <v>947</v>
      </c>
      <c r="G519" s="167" t="s">
        <v>944</v>
      </c>
      <c r="H519" s="167" t="s">
        <v>947</v>
      </c>
      <c r="I519" s="177" t="s">
        <v>285</v>
      </c>
      <c r="J519" s="177" t="s">
        <v>914</v>
      </c>
      <c r="K519" s="177" t="s">
        <v>914</v>
      </c>
      <c r="L519" s="177" t="s">
        <v>914</v>
      </c>
      <c r="M519" s="177">
        <v>830</v>
      </c>
      <c r="N519" s="177">
        <v>60</v>
      </c>
      <c r="O519" s="177"/>
      <c r="P519" s="179" t="s">
        <v>1371</v>
      </c>
    </row>
    <row r="520" spans="1:16" x14ac:dyDescent="0.25">
      <c r="A520" s="177"/>
      <c r="B520" s="177"/>
      <c r="C520" s="177"/>
      <c r="D520" s="177"/>
      <c r="E520" s="167" t="s">
        <v>434</v>
      </c>
      <c r="F520" s="167">
        <v>0</v>
      </c>
      <c r="G520" s="167">
        <v>0</v>
      </c>
      <c r="H520" s="167">
        <v>0</v>
      </c>
      <c r="I520" s="177"/>
      <c r="J520" s="177"/>
      <c r="K520" s="177"/>
      <c r="L520" s="177"/>
      <c r="M520" s="177"/>
      <c r="N520" s="177"/>
      <c r="O520" s="177"/>
      <c r="P520" s="177"/>
    </row>
    <row r="521" spans="1:16" x14ac:dyDescent="0.25">
      <c r="A521" s="177"/>
      <c r="B521" s="177"/>
      <c r="C521" s="177"/>
      <c r="D521" s="177"/>
      <c r="E521" s="167" t="s">
        <v>433</v>
      </c>
      <c r="F521" s="167">
        <v>0</v>
      </c>
      <c r="G521" s="167">
        <v>0</v>
      </c>
      <c r="H521" s="167">
        <v>0</v>
      </c>
      <c r="I521" s="177"/>
      <c r="J521" s="177"/>
      <c r="K521" s="177"/>
      <c r="L521" s="177"/>
      <c r="M521" s="177"/>
      <c r="N521" s="177"/>
      <c r="O521" s="177"/>
      <c r="P521" s="177"/>
    </row>
    <row r="522" spans="1:16" x14ac:dyDescent="0.25">
      <c r="A522" s="177"/>
      <c r="B522" s="177"/>
      <c r="C522" s="177"/>
      <c r="D522" s="177"/>
      <c r="E522" s="167" t="s">
        <v>434</v>
      </c>
      <c r="F522" s="167" t="s">
        <v>293</v>
      </c>
      <c r="G522" s="167" t="s">
        <v>293</v>
      </c>
      <c r="H522" s="167" t="s">
        <v>293</v>
      </c>
      <c r="I522" s="177"/>
      <c r="J522" s="177"/>
      <c r="K522" s="177"/>
      <c r="L522" s="177"/>
      <c r="M522" s="177"/>
      <c r="N522" s="177"/>
      <c r="O522" s="177"/>
      <c r="P522" s="177"/>
    </row>
    <row r="523" spans="1:16" x14ac:dyDescent="0.25">
      <c r="A523" s="177" t="s">
        <v>851</v>
      </c>
      <c r="B523" s="177" t="s">
        <v>948</v>
      </c>
      <c r="C523" s="177">
        <v>40</v>
      </c>
      <c r="D523" s="177">
        <v>70</v>
      </c>
      <c r="E523" s="167" t="s">
        <v>433</v>
      </c>
      <c r="F523" s="167" t="s">
        <v>947</v>
      </c>
      <c r="G523" s="167" t="s">
        <v>944</v>
      </c>
      <c r="H523" s="167" t="s">
        <v>947</v>
      </c>
      <c r="I523" s="177" t="s">
        <v>285</v>
      </c>
      <c r="J523" s="177" t="s">
        <v>914</v>
      </c>
      <c r="K523" s="177" t="s">
        <v>914</v>
      </c>
      <c r="L523" s="177" t="s">
        <v>914</v>
      </c>
      <c r="M523" s="177">
        <v>830</v>
      </c>
      <c r="N523" s="177">
        <v>60</v>
      </c>
      <c r="O523" s="177"/>
      <c r="P523" s="179" t="s">
        <v>1371</v>
      </c>
    </row>
    <row r="524" spans="1:16" x14ac:dyDescent="0.25">
      <c r="A524" s="177"/>
      <c r="B524" s="177"/>
      <c r="C524" s="177"/>
      <c r="D524" s="177"/>
      <c r="E524" s="167" t="s">
        <v>434</v>
      </c>
      <c r="F524" s="167">
        <v>0</v>
      </c>
      <c r="G524" s="167">
        <v>0</v>
      </c>
      <c r="H524" s="167">
        <v>0</v>
      </c>
      <c r="I524" s="177"/>
      <c r="J524" s="177"/>
      <c r="K524" s="177"/>
      <c r="L524" s="177"/>
      <c r="M524" s="177"/>
      <c r="N524" s="177"/>
      <c r="O524" s="177"/>
      <c r="P524" s="177"/>
    </row>
    <row r="525" spans="1:16" x14ac:dyDescent="0.25">
      <c r="A525" s="177"/>
      <c r="B525" s="177"/>
      <c r="C525" s="177"/>
      <c r="D525" s="177"/>
      <c r="E525" s="167" t="s">
        <v>433</v>
      </c>
      <c r="F525" s="167">
        <v>0</v>
      </c>
      <c r="G525" s="167">
        <v>0</v>
      </c>
      <c r="H525" s="167">
        <v>0</v>
      </c>
      <c r="I525" s="177"/>
      <c r="J525" s="177"/>
      <c r="K525" s="177"/>
      <c r="L525" s="177"/>
      <c r="M525" s="177"/>
      <c r="N525" s="177"/>
      <c r="O525" s="177"/>
      <c r="P525" s="177"/>
    </row>
    <row r="526" spans="1:16" x14ac:dyDescent="0.25">
      <c r="A526" s="177"/>
      <c r="B526" s="177"/>
      <c r="C526" s="177"/>
      <c r="D526" s="177"/>
      <c r="E526" s="167" t="s">
        <v>434</v>
      </c>
      <c r="F526" s="167" t="s">
        <v>293</v>
      </c>
      <c r="G526" s="167" t="s">
        <v>293</v>
      </c>
      <c r="H526" s="167" t="s">
        <v>293</v>
      </c>
      <c r="I526" s="177"/>
      <c r="J526" s="177"/>
      <c r="K526" s="177"/>
      <c r="L526" s="177"/>
      <c r="M526" s="177"/>
      <c r="N526" s="177"/>
      <c r="O526" s="177"/>
      <c r="P526" s="177"/>
    </row>
    <row r="527" spans="1:16" x14ac:dyDescent="0.25">
      <c r="A527" s="177" t="s">
        <v>851</v>
      </c>
      <c r="B527" s="177" t="s">
        <v>946</v>
      </c>
      <c r="C527" s="177">
        <v>40</v>
      </c>
      <c r="D527" s="177">
        <v>70</v>
      </c>
      <c r="E527" s="167" t="s">
        <v>433</v>
      </c>
      <c r="F527" s="167" t="s">
        <v>947</v>
      </c>
      <c r="G527" s="167" t="s">
        <v>944</v>
      </c>
      <c r="H527" s="167" t="s">
        <v>944</v>
      </c>
      <c r="I527" s="177" t="s">
        <v>285</v>
      </c>
      <c r="J527" s="177" t="s">
        <v>914</v>
      </c>
      <c r="K527" s="177" t="s">
        <v>914</v>
      </c>
      <c r="L527" s="177" t="s">
        <v>914</v>
      </c>
      <c r="M527" s="177">
        <v>830</v>
      </c>
      <c r="N527" s="177">
        <v>60</v>
      </c>
      <c r="O527" s="177"/>
      <c r="P527" s="179" t="s">
        <v>1372</v>
      </c>
    </row>
    <row r="528" spans="1:16" x14ac:dyDescent="0.25">
      <c r="A528" s="177"/>
      <c r="B528" s="177"/>
      <c r="C528" s="177"/>
      <c r="D528" s="177"/>
      <c r="E528" s="167" t="s">
        <v>434</v>
      </c>
      <c r="F528" s="167">
        <v>0</v>
      </c>
      <c r="G528" s="167">
        <v>0</v>
      </c>
      <c r="H528" s="167">
        <v>0</v>
      </c>
      <c r="I528" s="177"/>
      <c r="J528" s="177"/>
      <c r="K528" s="177"/>
      <c r="L528" s="177"/>
      <c r="M528" s="177"/>
      <c r="N528" s="177"/>
      <c r="O528" s="177"/>
      <c r="P528" s="177"/>
    </row>
    <row r="529" spans="1:16" x14ac:dyDescent="0.25">
      <c r="A529" s="177"/>
      <c r="B529" s="177"/>
      <c r="C529" s="177"/>
      <c r="D529" s="177"/>
      <c r="E529" s="167" t="s">
        <v>433</v>
      </c>
      <c r="F529" s="167">
        <v>0</v>
      </c>
      <c r="G529" s="167">
        <v>0</v>
      </c>
      <c r="H529" s="167">
        <v>0</v>
      </c>
      <c r="I529" s="177"/>
      <c r="J529" s="177"/>
      <c r="K529" s="177"/>
      <c r="L529" s="177"/>
      <c r="M529" s="177"/>
      <c r="N529" s="177"/>
      <c r="O529" s="177"/>
      <c r="P529" s="177"/>
    </row>
    <row r="530" spans="1:16" x14ac:dyDescent="0.25">
      <c r="A530" s="177"/>
      <c r="B530" s="177"/>
      <c r="C530" s="177"/>
      <c r="D530" s="177"/>
      <c r="E530" s="167" t="s">
        <v>434</v>
      </c>
      <c r="F530" s="167" t="s">
        <v>293</v>
      </c>
      <c r="G530" s="167" t="s">
        <v>947</v>
      </c>
      <c r="H530" s="167" t="s">
        <v>947</v>
      </c>
      <c r="I530" s="177"/>
      <c r="J530" s="177"/>
      <c r="K530" s="177"/>
      <c r="L530" s="177"/>
      <c r="M530" s="177"/>
      <c r="N530" s="177"/>
      <c r="O530" s="177"/>
      <c r="P530" s="177"/>
    </row>
    <row r="531" spans="1:16" x14ac:dyDescent="0.25">
      <c r="A531" s="177" t="s">
        <v>851</v>
      </c>
      <c r="B531" s="177" t="s">
        <v>946</v>
      </c>
      <c r="C531" s="177">
        <v>40</v>
      </c>
      <c r="D531" s="177">
        <v>70</v>
      </c>
      <c r="E531" s="167" t="s">
        <v>433</v>
      </c>
      <c r="F531" s="167" t="s">
        <v>947</v>
      </c>
      <c r="G531" s="167" t="s">
        <v>944</v>
      </c>
      <c r="H531" s="167" t="s">
        <v>944</v>
      </c>
      <c r="I531" s="177" t="s">
        <v>285</v>
      </c>
      <c r="J531" s="177" t="s">
        <v>914</v>
      </c>
      <c r="K531" s="177" t="s">
        <v>914</v>
      </c>
      <c r="L531" s="177" t="s">
        <v>914</v>
      </c>
      <c r="M531" s="177">
        <v>830</v>
      </c>
      <c r="N531" s="177">
        <v>60</v>
      </c>
      <c r="O531" s="177"/>
      <c r="P531" s="179" t="s">
        <v>1372</v>
      </c>
    </row>
    <row r="532" spans="1:16" x14ac:dyDescent="0.25">
      <c r="A532" s="177"/>
      <c r="B532" s="177"/>
      <c r="C532" s="177"/>
      <c r="D532" s="177"/>
      <c r="E532" s="167" t="s">
        <v>434</v>
      </c>
      <c r="F532" s="167">
        <v>0</v>
      </c>
      <c r="G532" s="167">
        <v>0</v>
      </c>
      <c r="H532" s="167">
        <v>0</v>
      </c>
      <c r="I532" s="177"/>
      <c r="J532" s="177"/>
      <c r="K532" s="177"/>
      <c r="L532" s="177"/>
      <c r="M532" s="177"/>
      <c r="N532" s="177"/>
      <c r="O532" s="177"/>
      <c r="P532" s="177"/>
    </row>
    <row r="533" spans="1:16" x14ac:dyDescent="0.25">
      <c r="A533" s="177"/>
      <c r="B533" s="177"/>
      <c r="C533" s="177"/>
      <c r="D533" s="177"/>
      <c r="E533" s="167" t="s">
        <v>433</v>
      </c>
      <c r="F533" s="167">
        <v>0</v>
      </c>
      <c r="G533" s="167">
        <v>0</v>
      </c>
      <c r="H533" s="167">
        <v>0</v>
      </c>
      <c r="I533" s="177"/>
      <c r="J533" s="177"/>
      <c r="K533" s="177"/>
      <c r="L533" s="177"/>
      <c r="M533" s="177"/>
      <c r="N533" s="177"/>
      <c r="O533" s="177"/>
      <c r="P533" s="177"/>
    </row>
    <row r="534" spans="1:16" x14ac:dyDescent="0.25">
      <c r="A534" s="177"/>
      <c r="B534" s="177"/>
      <c r="C534" s="177"/>
      <c r="D534" s="177"/>
      <c r="E534" s="167" t="s">
        <v>434</v>
      </c>
      <c r="F534" s="167" t="s">
        <v>293</v>
      </c>
      <c r="G534" s="167" t="s">
        <v>947</v>
      </c>
      <c r="H534" s="167" t="s">
        <v>947</v>
      </c>
      <c r="I534" s="177"/>
      <c r="J534" s="177"/>
      <c r="K534" s="177"/>
      <c r="L534" s="177"/>
      <c r="M534" s="177"/>
      <c r="N534" s="177"/>
      <c r="O534" s="177"/>
      <c r="P534" s="177"/>
    </row>
    <row r="535" spans="1:16" x14ac:dyDescent="0.25">
      <c r="A535" s="177" t="s">
        <v>851</v>
      </c>
      <c r="B535" s="177" t="s">
        <v>959</v>
      </c>
      <c r="C535" s="177">
        <v>40</v>
      </c>
      <c r="D535" s="177">
        <v>70</v>
      </c>
      <c r="E535" s="167" t="s">
        <v>433</v>
      </c>
      <c r="F535" s="167" t="s">
        <v>944</v>
      </c>
      <c r="G535" s="167" t="s">
        <v>944</v>
      </c>
      <c r="H535" s="167" t="s">
        <v>947</v>
      </c>
      <c r="I535" s="177" t="s">
        <v>285</v>
      </c>
      <c r="J535" s="177" t="s">
        <v>914</v>
      </c>
      <c r="K535" s="177" t="s">
        <v>914</v>
      </c>
      <c r="L535" s="177" t="s">
        <v>914</v>
      </c>
      <c r="M535" s="177">
        <v>830</v>
      </c>
      <c r="N535" s="177">
        <v>60</v>
      </c>
      <c r="O535" s="177"/>
      <c r="P535" s="179" t="s">
        <v>1370</v>
      </c>
    </row>
    <row r="536" spans="1:16" x14ac:dyDescent="0.25">
      <c r="A536" s="177"/>
      <c r="B536" s="177"/>
      <c r="C536" s="177"/>
      <c r="D536" s="177"/>
      <c r="E536" s="167" t="s">
        <v>434</v>
      </c>
      <c r="F536" s="167">
        <v>0</v>
      </c>
      <c r="G536" s="167">
        <v>0</v>
      </c>
      <c r="H536" s="167">
        <v>0</v>
      </c>
      <c r="I536" s="177"/>
      <c r="J536" s="177"/>
      <c r="K536" s="177"/>
      <c r="L536" s="177"/>
      <c r="M536" s="177"/>
      <c r="N536" s="177"/>
      <c r="O536" s="177"/>
      <c r="P536" s="177"/>
    </row>
    <row r="537" spans="1:16" x14ac:dyDescent="0.25">
      <c r="A537" s="177"/>
      <c r="B537" s="177"/>
      <c r="C537" s="177"/>
      <c r="D537" s="177"/>
      <c r="E537" s="167" t="s">
        <v>433</v>
      </c>
      <c r="F537" s="167">
        <v>0</v>
      </c>
      <c r="G537" s="167">
        <v>0</v>
      </c>
      <c r="H537" s="167">
        <v>0</v>
      </c>
      <c r="I537" s="177"/>
      <c r="J537" s="177"/>
      <c r="K537" s="177"/>
      <c r="L537" s="177"/>
      <c r="M537" s="177"/>
      <c r="N537" s="177"/>
      <c r="O537" s="177"/>
      <c r="P537" s="177"/>
    </row>
    <row r="538" spans="1:16" x14ac:dyDescent="0.25">
      <c r="A538" s="177"/>
      <c r="B538" s="177"/>
      <c r="C538" s="177"/>
      <c r="D538" s="177"/>
      <c r="E538" s="167" t="s">
        <v>434</v>
      </c>
      <c r="F538" s="167" t="s">
        <v>947</v>
      </c>
      <c r="G538" s="167" t="s">
        <v>954</v>
      </c>
      <c r="H538" s="167" t="s">
        <v>293</v>
      </c>
      <c r="I538" s="177"/>
      <c r="J538" s="177"/>
      <c r="K538" s="177"/>
      <c r="L538" s="177"/>
      <c r="M538" s="177"/>
      <c r="N538" s="177"/>
      <c r="O538" s="177"/>
      <c r="P538" s="177"/>
    </row>
    <row r="539" spans="1:16" x14ac:dyDescent="0.25">
      <c r="A539" s="177" t="s">
        <v>851</v>
      </c>
      <c r="B539" s="177" t="s">
        <v>959</v>
      </c>
      <c r="C539" s="177">
        <v>40</v>
      </c>
      <c r="D539" s="177">
        <v>70</v>
      </c>
      <c r="E539" s="167" t="s">
        <v>433</v>
      </c>
      <c r="F539" s="167" t="s">
        <v>944</v>
      </c>
      <c r="G539" s="167" t="s">
        <v>944</v>
      </c>
      <c r="H539" s="167" t="s">
        <v>947</v>
      </c>
      <c r="I539" s="177" t="s">
        <v>285</v>
      </c>
      <c r="J539" s="177" t="s">
        <v>914</v>
      </c>
      <c r="K539" s="177" t="s">
        <v>914</v>
      </c>
      <c r="L539" s="177" t="s">
        <v>914</v>
      </c>
      <c r="M539" s="177">
        <v>830</v>
      </c>
      <c r="N539" s="177">
        <v>60</v>
      </c>
      <c r="O539" s="177"/>
      <c r="P539" s="179" t="s">
        <v>1370</v>
      </c>
    </row>
    <row r="540" spans="1:16" x14ac:dyDescent="0.25">
      <c r="A540" s="177"/>
      <c r="B540" s="177"/>
      <c r="C540" s="177"/>
      <c r="D540" s="177"/>
      <c r="E540" s="167" t="s">
        <v>434</v>
      </c>
      <c r="F540" s="167">
        <v>0</v>
      </c>
      <c r="G540" s="167">
        <v>0</v>
      </c>
      <c r="H540" s="167">
        <v>0</v>
      </c>
      <c r="I540" s="177"/>
      <c r="J540" s="177"/>
      <c r="K540" s="177"/>
      <c r="L540" s="177"/>
      <c r="M540" s="177"/>
      <c r="N540" s="177"/>
      <c r="O540" s="177"/>
      <c r="P540" s="177"/>
    </row>
    <row r="541" spans="1:16" x14ac:dyDescent="0.25">
      <c r="A541" s="177"/>
      <c r="B541" s="177"/>
      <c r="C541" s="177"/>
      <c r="D541" s="177"/>
      <c r="E541" s="167" t="s">
        <v>433</v>
      </c>
      <c r="F541" s="167">
        <v>0</v>
      </c>
      <c r="G541" s="167">
        <v>0</v>
      </c>
      <c r="H541" s="167">
        <v>0</v>
      </c>
      <c r="I541" s="177"/>
      <c r="J541" s="177"/>
      <c r="K541" s="177"/>
      <c r="L541" s="177"/>
      <c r="M541" s="177"/>
      <c r="N541" s="177"/>
      <c r="O541" s="177"/>
      <c r="P541" s="177"/>
    </row>
    <row r="542" spans="1:16" x14ac:dyDescent="0.25">
      <c r="A542" s="177"/>
      <c r="B542" s="177"/>
      <c r="C542" s="177"/>
      <c r="D542" s="177"/>
      <c r="E542" s="167" t="s">
        <v>434</v>
      </c>
      <c r="F542" s="167" t="s">
        <v>947</v>
      </c>
      <c r="G542" s="167" t="s">
        <v>954</v>
      </c>
      <c r="H542" s="167" t="s">
        <v>293</v>
      </c>
      <c r="I542" s="177"/>
      <c r="J542" s="177"/>
      <c r="K542" s="177"/>
      <c r="L542" s="177"/>
      <c r="M542" s="177"/>
      <c r="N542" s="177"/>
      <c r="O542" s="177"/>
      <c r="P542" s="177"/>
    </row>
    <row r="543" spans="1:16" x14ac:dyDescent="0.25">
      <c r="A543" s="177" t="s">
        <v>851</v>
      </c>
      <c r="B543" s="177" t="s">
        <v>958</v>
      </c>
      <c r="C543" s="177">
        <v>40</v>
      </c>
      <c r="D543" s="177">
        <v>70</v>
      </c>
      <c r="E543" s="167" t="s">
        <v>433</v>
      </c>
      <c r="F543" s="167" t="s">
        <v>947</v>
      </c>
      <c r="G543" s="167" t="s">
        <v>944</v>
      </c>
      <c r="H543" s="167" t="s">
        <v>947</v>
      </c>
      <c r="I543" s="177" t="s">
        <v>285</v>
      </c>
      <c r="J543" s="177" t="s">
        <v>914</v>
      </c>
      <c r="K543" s="177" t="s">
        <v>914</v>
      </c>
      <c r="L543" s="177" t="s">
        <v>914</v>
      </c>
      <c r="M543" s="177">
        <v>830</v>
      </c>
      <c r="N543" s="177">
        <v>60</v>
      </c>
      <c r="O543" s="177"/>
      <c r="P543" s="179" t="s">
        <v>1371</v>
      </c>
    </row>
    <row r="544" spans="1:16" x14ac:dyDescent="0.25">
      <c r="A544" s="177"/>
      <c r="B544" s="177"/>
      <c r="C544" s="177"/>
      <c r="D544" s="177"/>
      <c r="E544" s="167" t="s">
        <v>434</v>
      </c>
      <c r="F544" s="167">
        <v>0</v>
      </c>
      <c r="G544" s="167">
        <v>0</v>
      </c>
      <c r="H544" s="167">
        <v>0</v>
      </c>
      <c r="I544" s="177"/>
      <c r="J544" s="177"/>
      <c r="K544" s="177"/>
      <c r="L544" s="177"/>
      <c r="M544" s="177"/>
      <c r="N544" s="177"/>
      <c r="O544" s="177"/>
      <c r="P544" s="177"/>
    </row>
    <row r="545" spans="1:16" x14ac:dyDescent="0.25">
      <c r="A545" s="177"/>
      <c r="B545" s="177"/>
      <c r="C545" s="177"/>
      <c r="D545" s="177"/>
      <c r="E545" s="167" t="s">
        <v>433</v>
      </c>
      <c r="F545" s="167">
        <v>0</v>
      </c>
      <c r="G545" s="167">
        <v>0</v>
      </c>
      <c r="H545" s="167">
        <v>0</v>
      </c>
      <c r="I545" s="177"/>
      <c r="J545" s="177"/>
      <c r="K545" s="177"/>
      <c r="L545" s="177"/>
      <c r="M545" s="177"/>
      <c r="N545" s="177"/>
      <c r="O545" s="177"/>
      <c r="P545" s="177"/>
    </row>
    <row r="546" spans="1:16" x14ac:dyDescent="0.25">
      <c r="A546" s="177"/>
      <c r="B546" s="177"/>
      <c r="C546" s="177"/>
      <c r="D546" s="177"/>
      <c r="E546" s="167" t="s">
        <v>434</v>
      </c>
      <c r="F546" s="167" t="s">
        <v>293</v>
      </c>
      <c r="G546" s="167" t="s">
        <v>293</v>
      </c>
      <c r="H546" s="167" t="s">
        <v>293</v>
      </c>
      <c r="I546" s="177"/>
      <c r="J546" s="177"/>
      <c r="K546" s="177"/>
      <c r="L546" s="177"/>
      <c r="M546" s="177"/>
      <c r="N546" s="177"/>
      <c r="O546" s="177"/>
      <c r="P546" s="177"/>
    </row>
    <row r="547" spans="1:16" x14ac:dyDescent="0.25">
      <c r="A547" s="177" t="s">
        <v>851</v>
      </c>
      <c r="B547" s="177" t="s">
        <v>958</v>
      </c>
      <c r="C547" s="177">
        <v>40</v>
      </c>
      <c r="D547" s="177">
        <v>70</v>
      </c>
      <c r="E547" s="167" t="s">
        <v>433</v>
      </c>
      <c r="F547" s="167" t="s">
        <v>947</v>
      </c>
      <c r="G547" s="167" t="s">
        <v>944</v>
      </c>
      <c r="H547" s="167" t="s">
        <v>947</v>
      </c>
      <c r="I547" s="177" t="s">
        <v>285</v>
      </c>
      <c r="J547" s="177" t="s">
        <v>914</v>
      </c>
      <c r="K547" s="177" t="s">
        <v>914</v>
      </c>
      <c r="L547" s="177" t="s">
        <v>914</v>
      </c>
      <c r="M547" s="177">
        <v>830</v>
      </c>
      <c r="N547" s="177">
        <v>60</v>
      </c>
      <c r="O547" s="177"/>
      <c r="P547" s="179" t="s">
        <v>1371</v>
      </c>
    </row>
    <row r="548" spans="1:16" x14ac:dyDescent="0.25">
      <c r="A548" s="177"/>
      <c r="B548" s="177"/>
      <c r="C548" s="177"/>
      <c r="D548" s="177"/>
      <c r="E548" s="167" t="s">
        <v>434</v>
      </c>
      <c r="F548" s="167">
        <v>0</v>
      </c>
      <c r="G548" s="167">
        <v>0</v>
      </c>
      <c r="H548" s="167">
        <v>0</v>
      </c>
      <c r="I548" s="177"/>
      <c r="J548" s="177"/>
      <c r="K548" s="177"/>
      <c r="L548" s="177"/>
      <c r="M548" s="177"/>
      <c r="N548" s="177"/>
      <c r="O548" s="177"/>
      <c r="P548" s="177"/>
    </row>
    <row r="549" spans="1:16" x14ac:dyDescent="0.25">
      <c r="A549" s="177"/>
      <c r="B549" s="177"/>
      <c r="C549" s="177"/>
      <c r="D549" s="177"/>
      <c r="E549" s="167" t="s">
        <v>433</v>
      </c>
      <c r="F549" s="167">
        <v>0</v>
      </c>
      <c r="G549" s="167">
        <v>0</v>
      </c>
      <c r="H549" s="167">
        <v>0</v>
      </c>
      <c r="I549" s="177"/>
      <c r="J549" s="177"/>
      <c r="K549" s="177"/>
      <c r="L549" s="177"/>
      <c r="M549" s="177"/>
      <c r="N549" s="177"/>
      <c r="O549" s="177"/>
      <c r="P549" s="177"/>
    </row>
    <row r="550" spans="1:16" x14ac:dyDescent="0.25">
      <c r="A550" s="177"/>
      <c r="B550" s="177"/>
      <c r="C550" s="177"/>
      <c r="D550" s="177"/>
      <c r="E550" s="167" t="s">
        <v>434</v>
      </c>
      <c r="F550" s="167" t="s">
        <v>293</v>
      </c>
      <c r="G550" s="167" t="s">
        <v>293</v>
      </c>
      <c r="H550" s="167" t="s">
        <v>293</v>
      </c>
      <c r="I550" s="177"/>
      <c r="J550" s="177"/>
      <c r="K550" s="177"/>
      <c r="L550" s="177"/>
      <c r="M550" s="177"/>
      <c r="N550" s="177"/>
      <c r="O550" s="177"/>
      <c r="P550" s="177"/>
    </row>
    <row r="551" spans="1:16" x14ac:dyDescent="0.25">
      <c r="A551" s="177" t="s">
        <v>851</v>
      </c>
      <c r="B551" s="177" t="s">
        <v>957</v>
      </c>
      <c r="C551" s="177">
        <v>40</v>
      </c>
      <c r="D551" s="177">
        <v>70</v>
      </c>
      <c r="E551" s="167" t="s">
        <v>433</v>
      </c>
      <c r="F551" s="167" t="s">
        <v>947</v>
      </c>
      <c r="G551" s="167" t="s">
        <v>944</v>
      </c>
      <c r="H551" s="167" t="s">
        <v>947</v>
      </c>
      <c r="I551" s="177" t="s">
        <v>285</v>
      </c>
      <c r="J551" s="177" t="s">
        <v>914</v>
      </c>
      <c r="K551" s="177" t="s">
        <v>914</v>
      </c>
      <c r="L551" s="177" t="s">
        <v>914</v>
      </c>
      <c r="M551" s="177">
        <v>830</v>
      </c>
      <c r="N551" s="177">
        <v>60</v>
      </c>
      <c r="O551" s="177"/>
      <c r="P551" s="179" t="s">
        <v>1371</v>
      </c>
    </row>
    <row r="552" spans="1:16" x14ac:dyDescent="0.25">
      <c r="A552" s="177"/>
      <c r="B552" s="177"/>
      <c r="C552" s="177"/>
      <c r="D552" s="177"/>
      <c r="E552" s="167" t="s">
        <v>434</v>
      </c>
      <c r="F552" s="167">
        <v>0</v>
      </c>
      <c r="G552" s="167">
        <v>0</v>
      </c>
      <c r="H552" s="167">
        <v>0</v>
      </c>
      <c r="I552" s="177"/>
      <c r="J552" s="177"/>
      <c r="K552" s="177"/>
      <c r="L552" s="177"/>
      <c r="M552" s="177"/>
      <c r="N552" s="177"/>
      <c r="O552" s="177"/>
      <c r="P552" s="177"/>
    </row>
    <row r="553" spans="1:16" x14ac:dyDescent="0.25">
      <c r="A553" s="177"/>
      <c r="B553" s="177"/>
      <c r="C553" s="177"/>
      <c r="D553" s="177"/>
      <c r="E553" s="167" t="s">
        <v>433</v>
      </c>
      <c r="F553" s="167">
        <v>0</v>
      </c>
      <c r="G553" s="167">
        <v>0</v>
      </c>
      <c r="H553" s="167">
        <v>0</v>
      </c>
      <c r="I553" s="177"/>
      <c r="J553" s="177"/>
      <c r="K553" s="177"/>
      <c r="L553" s="177"/>
      <c r="M553" s="177"/>
      <c r="N553" s="177"/>
      <c r="O553" s="177"/>
      <c r="P553" s="177"/>
    </row>
    <row r="554" spans="1:16" x14ac:dyDescent="0.25">
      <c r="A554" s="177"/>
      <c r="B554" s="177"/>
      <c r="C554" s="177"/>
      <c r="D554" s="177"/>
      <c r="E554" s="167" t="s">
        <v>434</v>
      </c>
      <c r="F554" s="167" t="s">
        <v>293</v>
      </c>
      <c r="G554" s="167" t="s">
        <v>293</v>
      </c>
      <c r="H554" s="167" t="s">
        <v>293</v>
      </c>
      <c r="I554" s="177"/>
      <c r="J554" s="177"/>
      <c r="K554" s="177"/>
      <c r="L554" s="177"/>
      <c r="M554" s="177"/>
      <c r="N554" s="177"/>
      <c r="O554" s="177"/>
      <c r="P554" s="177"/>
    </row>
    <row r="555" spans="1:16" x14ac:dyDescent="0.25">
      <c r="A555" s="177" t="s">
        <v>851</v>
      </c>
      <c r="B555" s="177" t="s">
        <v>957</v>
      </c>
      <c r="C555" s="177">
        <v>40</v>
      </c>
      <c r="D555" s="177">
        <v>70</v>
      </c>
      <c r="E555" s="167" t="s">
        <v>433</v>
      </c>
      <c r="F555" s="167" t="s">
        <v>947</v>
      </c>
      <c r="G555" s="167" t="s">
        <v>944</v>
      </c>
      <c r="H555" s="167" t="s">
        <v>947</v>
      </c>
      <c r="I555" s="177" t="s">
        <v>285</v>
      </c>
      <c r="J555" s="177" t="s">
        <v>914</v>
      </c>
      <c r="K555" s="177" t="s">
        <v>914</v>
      </c>
      <c r="L555" s="177" t="s">
        <v>914</v>
      </c>
      <c r="M555" s="177">
        <v>830</v>
      </c>
      <c r="N555" s="177">
        <v>60</v>
      </c>
      <c r="O555" s="177"/>
      <c r="P555" s="179" t="s">
        <v>1371</v>
      </c>
    </row>
    <row r="556" spans="1:16" x14ac:dyDescent="0.25">
      <c r="A556" s="177"/>
      <c r="B556" s="177"/>
      <c r="C556" s="177"/>
      <c r="D556" s="177"/>
      <c r="E556" s="167" t="s">
        <v>434</v>
      </c>
      <c r="F556" s="167">
        <v>0</v>
      </c>
      <c r="G556" s="167">
        <v>0</v>
      </c>
      <c r="H556" s="167">
        <v>0</v>
      </c>
      <c r="I556" s="177"/>
      <c r="J556" s="177"/>
      <c r="K556" s="177"/>
      <c r="L556" s="177"/>
      <c r="M556" s="177"/>
      <c r="N556" s="177"/>
      <c r="O556" s="177"/>
      <c r="P556" s="177"/>
    </row>
    <row r="557" spans="1:16" x14ac:dyDescent="0.25">
      <c r="A557" s="177"/>
      <c r="B557" s="177"/>
      <c r="C557" s="177"/>
      <c r="D557" s="177"/>
      <c r="E557" s="167" t="s">
        <v>433</v>
      </c>
      <c r="F557" s="167">
        <v>0</v>
      </c>
      <c r="G557" s="167">
        <v>0</v>
      </c>
      <c r="H557" s="167">
        <v>0</v>
      </c>
      <c r="I557" s="177"/>
      <c r="J557" s="177"/>
      <c r="K557" s="177"/>
      <c r="L557" s="177"/>
      <c r="M557" s="177"/>
      <c r="N557" s="177"/>
      <c r="O557" s="177"/>
      <c r="P557" s="177"/>
    </row>
    <row r="558" spans="1:16" x14ac:dyDescent="0.25">
      <c r="A558" s="177"/>
      <c r="B558" s="177"/>
      <c r="C558" s="177"/>
      <c r="D558" s="177"/>
      <c r="E558" s="167" t="s">
        <v>434</v>
      </c>
      <c r="F558" s="167" t="s">
        <v>293</v>
      </c>
      <c r="G558" s="167" t="s">
        <v>293</v>
      </c>
      <c r="H558" s="167" t="s">
        <v>293</v>
      </c>
      <c r="I558" s="177"/>
      <c r="J558" s="177"/>
      <c r="K558" s="177"/>
      <c r="L558" s="177"/>
      <c r="M558" s="177"/>
      <c r="N558" s="177"/>
      <c r="O558" s="177"/>
      <c r="P558" s="177"/>
    </row>
    <row r="559" spans="1:16" x14ac:dyDescent="0.25">
      <c r="A559" s="177" t="s">
        <v>851</v>
      </c>
      <c r="B559" s="177" t="s">
        <v>956</v>
      </c>
      <c r="C559" s="177">
        <v>40</v>
      </c>
      <c r="D559" s="177">
        <v>70</v>
      </c>
      <c r="E559" s="167" t="s">
        <v>433</v>
      </c>
      <c r="F559" s="167" t="s">
        <v>947</v>
      </c>
      <c r="G559" s="167" t="s">
        <v>944</v>
      </c>
      <c r="H559" s="167" t="s">
        <v>947</v>
      </c>
      <c r="I559" s="177" t="s">
        <v>285</v>
      </c>
      <c r="J559" s="177" t="s">
        <v>914</v>
      </c>
      <c r="K559" s="177" t="s">
        <v>914</v>
      </c>
      <c r="L559" s="177" t="s">
        <v>914</v>
      </c>
      <c r="M559" s="177">
        <v>830</v>
      </c>
      <c r="N559" s="177">
        <v>60</v>
      </c>
      <c r="O559" s="177"/>
      <c r="P559" s="179" t="s">
        <v>1371</v>
      </c>
    </row>
    <row r="560" spans="1:16" x14ac:dyDescent="0.25">
      <c r="A560" s="177"/>
      <c r="B560" s="177"/>
      <c r="C560" s="177"/>
      <c r="D560" s="177"/>
      <c r="E560" s="167" t="s">
        <v>434</v>
      </c>
      <c r="F560" s="167">
        <v>0</v>
      </c>
      <c r="G560" s="167">
        <v>0</v>
      </c>
      <c r="H560" s="167">
        <v>0</v>
      </c>
      <c r="I560" s="177"/>
      <c r="J560" s="177"/>
      <c r="K560" s="177"/>
      <c r="L560" s="177"/>
      <c r="M560" s="177"/>
      <c r="N560" s="177"/>
      <c r="O560" s="177"/>
      <c r="P560" s="177"/>
    </row>
    <row r="561" spans="1:16" x14ac:dyDescent="0.25">
      <c r="A561" s="177"/>
      <c r="B561" s="177"/>
      <c r="C561" s="177"/>
      <c r="D561" s="177"/>
      <c r="E561" s="167" t="s">
        <v>433</v>
      </c>
      <c r="F561" s="167">
        <v>0</v>
      </c>
      <c r="G561" s="167">
        <v>0</v>
      </c>
      <c r="H561" s="167">
        <v>0</v>
      </c>
      <c r="I561" s="177"/>
      <c r="J561" s="177"/>
      <c r="K561" s="177"/>
      <c r="L561" s="177"/>
      <c r="M561" s="177"/>
      <c r="N561" s="177"/>
      <c r="O561" s="177"/>
      <c r="P561" s="177"/>
    </row>
    <row r="562" spans="1:16" x14ac:dyDescent="0.25">
      <c r="A562" s="177"/>
      <c r="B562" s="177"/>
      <c r="C562" s="177"/>
      <c r="D562" s="177"/>
      <c r="E562" s="167" t="s">
        <v>434</v>
      </c>
      <c r="F562" s="167" t="s">
        <v>293</v>
      </c>
      <c r="G562" s="167" t="s">
        <v>293</v>
      </c>
      <c r="H562" s="167" t="s">
        <v>293</v>
      </c>
      <c r="I562" s="177"/>
      <c r="J562" s="177"/>
      <c r="K562" s="177"/>
      <c r="L562" s="177"/>
      <c r="M562" s="177"/>
      <c r="N562" s="177"/>
      <c r="O562" s="177"/>
      <c r="P562" s="177"/>
    </row>
    <row r="563" spans="1:16" x14ac:dyDescent="0.25">
      <c r="A563" s="177" t="s">
        <v>851</v>
      </c>
      <c r="B563" s="177" t="s">
        <v>956</v>
      </c>
      <c r="C563" s="177">
        <v>40</v>
      </c>
      <c r="D563" s="177">
        <v>70</v>
      </c>
      <c r="E563" s="167" t="s">
        <v>433</v>
      </c>
      <c r="F563" s="167" t="s">
        <v>947</v>
      </c>
      <c r="G563" s="167" t="s">
        <v>944</v>
      </c>
      <c r="H563" s="167" t="s">
        <v>947</v>
      </c>
      <c r="I563" s="177" t="s">
        <v>285</v>
      </c>
      <c r="J563" s="177" t="s">
        <v>914</v>
      </c>
      <c r="K563" s="177" t="s">
        <v>914</v>
      </c>
      <c r="L563" s="177" t="s">
        <v>914</v>
      </c>
      <c r="M563" s="177">
        <v>830</v>
      </c>
      <c r="N563" s="177">
        <v>60</v>
      </c>
      <c r="O563" s="177"/>
      <c r="P563" s="179" t="s">
        <v>1371</v>
      </c>
    </row>
    <row r="564" spans="1:16" x14ac:dyDescent="0.25">
      <c r="A564" s="177"/>
      <c r="B564" s="177"/>
      <c r="C564" s="177"/>
      <c r="D564" s="177"/>
      <c r="E564" s="167" t="s">
        <v>434</v>
      </c>
      <c r="F564" s="167">
        <v>0</v>
      </c>
      <c r="G564" s="167">
        <v>0</v>
      </c>
      <c r="H564" s="167">
        <v>0</v>
      </c>
      <c r="I564" s="177"/>
      <c r="J564" s="177"/>
      <c r="K564" s="177"/>
      <c r="L564" s="177"/>
      <c r="M564" s="177"/>
      <c r="N564" s="177"/>
      <c r="O564" s="177"/>
      <c r="P564" s="177"/>
    </row>
    <row r="565" spans="1:16" x14ac:dyDescent="0.25">
      <c r="A565" s="177"/>
      <c r="B565" s="177"/>
      <c r="C565" s="177"/>
      <c r="D565" s="177"/>
      <c r="E565" s="167" t="s">
        <v>433</v>
      </c>
      <c r="F565" s="167">
        <v>0</v>
      </c>
      <c r="G565" s="167">
        <v>0</v>
      </c>
      <c r="H565" s="167">
        <v>0</v>
      </c>
      <c r="I565" s="177"/>
      <c r="J565" s="177"/>
      <c r="K565" s="177"/>
      <c r="L565" s="177"/>
      <c r="M565" s="177"/>
      <c r="N565" s="177"/>
      <c r="O565" s="177"/>
      <c r="P565" s="177"/>
    </row>
    <row r="566" spans="1:16" x14ac:dyDescent="0.25">
      <c r="A566" s="177"/>
      <c r="B566" s="177"/>
      <c r="C566" s="177"/>
      <c r="D566" s="177"/>
      <c r="E566" s="167" t="s">
        <v>434</v>
      </c>
      <c r="F566" s="167" t="s">
        <v>293</v>
      </c>
      <c r="G566" s="167" t="s">
        <v>293</v>
      </c>
      <c r="H566" s="167" t="s">
        <v>293</v>
      </c>
      <c r="I566" s="177"/>
      <c r="J566" s="177"/>
      <c r="K566" s="177"/>
      <c r="L566" s="177"/>
      <c r="M566" s="177"/>
      <c r="N566" s="177"/>
      <c r="O566" s="177"/>
      <c r="P566" s="177"/>
    </row>
    <row r="567" spans="1:16" x14ac:dyDescent="0.25">
      <c r="A567" s="177" t="s">
        <v>851</v>
      </c>
      <c r="B567" s="177" t="s">
        <v>955</v>
      </c>
      <c r="C567" s="177">
        <v>40</v>
      </c>
      <c r="D567" s="177">
        <v>70</v>
      </c>
      <c r="E567" s="167" t="s">
        <v>433</v>
      </c>
      <c r="F567" s="167" t="s">
        <v>947</v>
      </c>
      <c r="G567" s="167" t="s">
        <v>944</v>
      </c>
      <c r="H567" s="167" t="s">
        <v>954</v>
      </c>
      <c r="I567" s="177" t="s">
        <v>285</v>
      </c>
      <c r="J567" s="177" t="s">
        <v>914</v>
      </c>
      <c r="K567" s="177" t="s">
        <v>914</v>
      </c>
      <c r="L567" s="177" t="s">
        <v>914</v>
      </c>
      <c r="M567" s="177">
        <v>830</v>
      </c>
      <c r="N567" s="177">
        <v>60</v>
      </c>
      <c r="O567" s="177"/>
      <c r="P567" s="179" t="s">
        <v>1371</v>
      </c>
    </row>
    <row r="568" spans="1:16" x14ac:dyDescent="0.25">
      <c r="A568" s="177"/>
      <c r="B568" s="177"/>
      <c r="C568" s="177"/>
      <c r="D568" s="177"/>
      <c r="E568" s="167" t="s">
        <v>434</v>
      </c>
      <c r="F568" s="167">
        <v>0</v>
      </c>
      <c r="G568" s="167">
        <v>0</v>
      </c>
      <c r="H568" s="167">
        <v>0</v>
      </c>
      <c r="I568" s="177"/>
      <c r="J568" s="177"/>
      <c r="K568" s="177"/>
      <c r="L568" s="177"/>
      <c r="M568" s="177"/>
      <c r="N568" s="177"/>
      <c r="O568" s="177"/>
      <c r="P568" s="177"/>
    </row>
    <row r="569" spans="1:16" x14ac:dyDescent="0.25">
      <c r="A569" s="177"/>
      <c r="B569" s="177"/>
      <c r="C569" s="177"/>
      <c r="D569" s="177"/>
      <c r="E569" s="167" t="s">
        <v>433</v>
      </c>
      <c r="F569" s="167">
        <v>0</v>
      </c>
      <c r="G569" s="167">
        <v>0</v>
      </c>
      <c r="H569" s="167">
        <v>0</v>
      </c>
      <c r="I569" s="177"/>
      <c r="J569" s="177"/>
      <c r="K569" s="177"/>
      <c r="L569" s="177"/>
      <c r="M569" s="177"/>
      <c r="N569" s="177"/>
      <c r="O569" s="177"/>
      <c r="P569" s="177"/>
    </row>
    <row r="570" spans="1:16" x14ac:dyDescent="0.25">
      <c r="A570" s="177"/>
      <c r="B570" s="177"/>
      <c r="C570" s="177"/>
      <c r="D570" s="177"/>
      <c r="E570" s="167" t="s">
        <v>434</v>
      </c>
      <c r="F570" s="167" t="s">
        <v>293</v>
      </c>
      <c r="G570" s="167" t="s">
        <v>293</v>
      </c>
      <c r="H570" s="167" t="s">
        <v>293</v>
      </c>
      <c r="I570" s="177"/>
      <c r="J570" s="177"/>
      <c r="K570" s="177"/>
      <c r="L570" s="177"/>
      <c r="M570" s="177"/>
      <c r="N570" s="177"/>
      <c r="O570" s="177"/>
      <c r="P570" s="177"/>
    </row>
    <row r="571" spans="1:16" x14ac:dyDescent="0.25">
      <c r="A571" s="177" t="s">
        <v>851</v>
      </c>
      <c r="B571" s="177" t="s">
        <v>955</v>
      </c>
      <c r="C571" s="177">
        <v>40</v>
      </c>
      <c r="D571" s="177">
        <v>70</v>
      </c>
      <c r="E571" s="167" t="s">
        <v>433</v>
      </c>
      <c r="F571" s="167" t="s">
        <v>947</v>
      </c>
      <c r="G571" s="167" t="s">
        <v>944</v>
      </c>
      <c r="H571" s="167" t="s">
        <v>954</v>
      </c>
      <c r="I571" s="177" t="s">
        <v>285</v>
      </c>
      <c r="J571" s="177" t="s">
        <v>914</v>
      </c>
      <c r="K571" s="177" t="s">
        <v>914</v>
      </c>
      <c r="L571" s="177" t="s">
        <v>914</v>
      </c>
      <c r="M571" s="177">
        <v>830</v>
      </c>
      <c r="N571" s="177">
        <v>60</v>
      </c>
      <c r="O571" s="177"/>
      <c r="P571" s="179" t="s">
        <v>1371</v>
      </c>
    </row>
    <row r="572" spans="1:16" x14ac:dyDescent="0.25">
      <c r="A572" s="177"/>
      <c r="B572" s="177"/>
      <c r="C572" s="177"/>
      <c r="D572" s="177"/>
      <c r="E572" s="167" t="s">
        <v>434</v>
      </c>
      <c r="F572" s="167">
        <v>0</v>
      </c>
      <c r="G572" s="167">
        <v>0</v>
      </c>
      <c r="H572" s="167">
        <v>0</v>
      </c>
      <c r="I572" s="177"/>
      <c r="J572" s="177"/>
      <c r="K572" s="177"/>
      <c r="L572" s="177"/>
      <c r="M572" s="177"/>
      <c r="N572" s="177"/>
      <c r="O572" s="177"/>
      <c r="P572" s="177"/>
    </row>
    <row r="573" spans="1:16" x14ac:dyDescent="0.25">
      <c r="A573" s="177"/>
      <c r="B573" s="177"/>
      <c r="C573" s="177"/>
      <c r="D573" s="177"/>
      <c r="E573" s="167" t="s">
        <v>433</v>
      </c>
      <c r="F573" s="167">
        <v>0</v>
      </c>
      <c r="G573" s="167">
        <v>0</v>
      </c>
      <c r="H573" s="167">
        <v>0</v>
      </c>
      <c r="I573" s="177"/>
      <c r="J573" s="177"/>
      <c r="K573" s="177"/>
      <c r="L573" s="177"/>
      <c r="M573" s="177"/>
      <c r="N573" s="177"/>
      <c r="O573" s="177"/>
      <c r="P573" s="177"/>
    </row>
    <row r="574" spans="1:16" x14ac:dyDescent="0.25">
      <c r="A574" s="177"/>
      <c r="B574" s="177"/>
      <c r="C574" s="177"/>
      <c r="D574" s="177"/>
      <c r="E574" s="167" t="s">
        <v>434</v>
      </c>
      <c r="F574" s="167" t="s">
        <v>293</v>
      </c>
      <c r="G574" s="167" t="s">
        <v>293</v>
      </c>
      <c r="H574" s="167" t="s">
        <v>293</v>
      </c>
      <c r="I574" s="177"/>
      <c r="J574" s="177"/>
      <c r="K574" s="177"/>
      <c r="L574" s="177"/>
      <c r="M574" s="177"/>
      <c r="N574" s="177"/>
      <c r="O574" s="177"/>
      <c r="P574" s="177"/>
    </row>
    <row r="575" spans="1:16" x14ac:dyDescent="0.25">
      <c r="A575" s="177" t="s">
        <v>851</v>
      </c>
      <c r="B575" s="177" t="s">
        <v>953</v>
      </c>
      <c r="C575" s="177">
        <v>40</v>
      </c>
      <c r="D575" s="177">
        <v>70</v>
      </c>
      <c r="E575" s="167" t="s">
        <v>433</v>
      </c>
      <c r="F575" s="167" t="s">
        <v>954</v>
      </c>
      <c r="G575" s="167" t="s">
        <v>944</v>
      </c>
      <c r="H575" s="167" t="s">
        <v>944</v>
      </c>
      <c r="I575" s="177" t="s">
        <v>285</v>
      </c>
      <c r="J575" s="177" t="s">
        <v>914</v>
      </c>
      <c r="K575" s="177" t="s">
        <v>914</v>
      </c>
      <c r="L575" s="177" t="s">
        <v>914</v>
      </c>
      <c r="M575" s="177">
        <v>830</v>
      </c>
      <c r="N575" s="177">
        <v>60</v>
      </c>
      <c r="O575" s="177"/>
      <c r="P575" s="179" t="s">
        <v>1372</v>
      </c>
    </row>
    <row r="576" spans="1:16" x14ac:dyDescent="0.25">
      <c r="A576" s="177"/>
      <c r="B576" s="177"/>
      <c r="C576" s="177"/>
      <c r="D576" s="177"/>
      <c r="E576" s="167" t="s">
        <v>434</v>
      </c>
      <c r="F576" s="167">
        <v>0</v>
      </c>
      <c r="G576" s="167">
        <v>0</v>
      </c>
      <c r="H576" s="167">
        <v>0</v>
      </c>
      <c r="I576" s="177"/>
      <c r="J576" s="177"/>
      <c r="K576" s="177"/>
      <c r="L576" s="177"/>
      <c r="M576" s="177"/>
      <c r="N576" s="177"/>
      <c r="O576" s="177"/>
      <c r="P576" s="177"/>
    </row>
    <row r="577" spans="1:16" x14ac:dyDescent="0.25">
      <c r="A577" s="177"/>
      <c r="B577" s="177"/>
      <c r="C577" s="177"/>
      <c r="D577" s="177"/>
      <c r="E577" s="167" t="s">
        <v>433</v>
      </c>
      <c r="F577" s="167">
        <v>0</v>
      </c>
      <c r="G577" s="167">
        <v>0</v>
      </c>
      <c r="H577" s="167">
        <v>0</v>
      </c>
      <c r="I577" s="177"/>
      <c r="J577" s="177"/>
      <c r="K577" s="177"/>
      <c r="L577" s="177"/>
      <c r="M577" s="177"/>
      <c r="N577" s="177"/>
      <c r="O577" s="177"/>
      <c r="P577" s="177"/>
    </row>
    <row r="578" spans="1:16" x14ac:dyDescent="0.25">
      <c r="A578" s="177"/>
      <c r="B578" s="177"/>
      <c r="C578" s="177"/>
      <c r="D578" s="177"/>
      <c r="E578" s="167" t="s">
        <v>434</v>
      </c>
      <c r="F578" s="167" t="s">
        <v>293</v>
      </c>
      <c r="G578" s="167" t="s">
        <v>954</v>
      </c>
      <c r="H578" s="167" t="s">
        <v>947</v>
      </c>
      <c r="I578" s="177"/>
      <c r="J578" s="177"/>
      <c r="K578" s="177"/>
      <c r="L578" s="177"/>
      <c r="M578" s="177"/>
      <c r="N578" s="177"/>
      <c r="O578" s="177"/>
      <c r="P578" s="177"/>
    </row>
    <row r="579" spans="1:16" x14ac:dyDescent="0.25">
      <c r="A579" s="177" t="s">
        <v>851</v>
      </c>
      <c r="B579" s="177" t="s">
        <v>953</v>
      </c>
      <c r="C579" s="177">
        <v>40</v>
      </c>
      <c r="D579" s="177">
        <v>70</v>
      </c>
      <c r="E579" s="167" t="s">
        <v>433</v>
      </c>
      <c r="F579" s="167" t="s">
        <v>954</v>
      </c>
      <c r="G579" s="167" t="s">
        <v>944</v>
      </c>
      <c r="H579" s="167" t="s">
        <v>944</v>
      </c>
      <c r="I579" s="177" t="s">
        <v>285</v>
      </c>
      <c r="J579" s="177" t="s">
        <v>914</v>
      </c>
      <c r="K579" s="177" t="s">
        <v>914</v>
      </c>
      <c r="L579" s="177" t="s">
        <v>914</v>
      </c>
      <c r="M579" s="177">
        <v>830</v>
      </c>
      <c r="N579" s="177">
        <v>60</v>
      </c>
      <c r="O579" s="177"/>
      <c r="P579" s="179" t="s">
        <v>1372</v>
      </c>
    </row>
    <row r="580" spans="1:16" x14ac:dyDescent="0.25">
      <c r="A580" s="177"/>
      <c r="B580" s="177"/>
      <c r="C580" s="177"/>
      <c r="D580" s="177"/>
      <c r="E580" s="167" t="s">
        <v>434</v>
      </c>
      <c r="F580" s="167">
        <v>0</v>
      </c>
      <c r="G580" s="167">
        <v>0</v>
      </c>
      <c r="H580" s="167">
        <v>0</v>
      </c>
      <c r="I580" s="177"/>
      <c r="J580" s="177"/>
      <c r="K580" s="177"/>
      <c r="L580" s="177"/>
      <c r="M580" s="177"/>
      <c r="N580" s="177"/>
      <c r="O580" s="177"/>
      <c r="P580" s="177"/>
    </row>
    <row r="581" spans="1:16" x14ac:dyDescent="0.25">
      <c r="A581" s="177"/>
      <c r="B581" s="177"/>
      <c r="C581" s="177"/>
      <c r="D581" s="177"/>
      <c r="E581" s="167" t="s">
        <v>433</v>
      </c>
      <c r="F581" s="167">
        <v>0</v>
      </c>
      <c r="G581" s="167">
        <v>0</v>
      </c>
      <c r="H581" s="167">
        <v>0</v>
      </c>
      <c r="I581" s="177"/>
      <c r="J581" s="177"/>
      <c r="K581" s="177"/>
      <c r="L581" s="177"/>
      <c r="M581" s="177"/>
      <c r="N581" s="177"/>
      <c r="O581" s="177"/>
      <c r="P581" s="177"/>
    </row>
    <row r="582" spans="1:16" x14ac:dyDescent="0.25">
      <c r="A582" s="177"/>
      <c r="B582" s="177"/>
      <c r="C582" s="177"/>
      <c r="D582" s="177"/>
      <c r="E582" s="167" t="s">
        <v>434</v>
      </c>
      <c r="F582" s="167" t="s">
        <v>293</v>
      </c>
      <c r="G582" s="167" t="s">
        <v>954</v>
      </c>
      <c r="H582" s="167" t="s">
        <v>947</v>
      </c>
      <c r="I582" s="177"/>
      <c r="J582" s="177"/>
      <c r="K582" s="177"/>
      <c r="L582" s="177"/>
      <c r="M582" s="177"/>
      <c r="N582" s="177"/>
      <c r="O582" s="177"/>
      <c r="P582" s="177"/>
    </row>
    <row r="583" spans="1:16" x14ac:dyDescent="0.25">
      <c r="A583" s="177" t="s">
        <v>851</v>
      </c>
      <c r="B583" s="177" t="s">
        <v>960</v>
      </c>
      <c r="C583" s="177">
        <v>40</v>
      </c>
      <c r="D583" s="177">
        <v>70</v>
      </c>
      <c r="E583" s="167" t="s">
        <v>433</v>
      </c>
      <c r="F583" s="167" t="s">
        <v>944</v>
      </c>
      <c r="G583" s="167" t="s">
        <v>944</v>
      </c>
      <c r="H583" s="167" t="s">
        <v>944</v>
      </c>
      <c r="I583" s="177" t="s">
        <v>285</v>
      </c>
      <c r="J583" s="177" t="s">
        <v>914</v>
      </c>
      <c r="K583" s="177" t="s">
        <v>914</v>
      </c>
      <c r="L583" s="177" t="s">
        <v>914</v>
      </c>
      <c r="M583" s="177">
        <v>830</v>
      </c>
      <c r="N583" s="177">
        <v>60</v>
      </c>
      <c r="O583" s="177"/>
      <c r="P583" s="179" t="s">
        <v>1373</v>
      </c>
    </row>
    <row r="584" spans="1:16" x14ac:dyDescent="0.25">
      <c r="A584" s="177"/>
      <c r="B584" s="177"/>
      <c r="C584" s="177"/>
      <c r="D584" s="177"/>
      <c r="E584" s="167" t="s">
        <v>434</v>
      </c>
      <c r="F584" s="167">
        <v>0</v>
      </c>
      <c r="G584" s="167">
        <v>0</v>
      </c>
      <c r="H584" s="167">
        <v>0</v>
      </c>
      <c r="I584" s="177"/>
      <c r="J584" s="177"/>
      <c r="K584" s="177"/>
      <c r="L584" s="177"/>
      <c r="M584" s="177"/>
      <c r="N584" s="177"/>
      <c r="O584" s="177"/>
      <c r="P584" s="177"/>
    </row>
    <row r="585" spans="1:16" x14ac:dyDescent="0.25">
      <c r="A585" s="177"/>
      <c r="B585" s="177"/>
      <c r="C585" s="177"/>
      <c r="D585" s="177"/>
      <c r="E585" s="167" t="s">
        <v>433</v>
      </c>
      <c r="F585" s="167">
        <v>0</v>
      </c>
      <c r="G585" s="167" t="s">
        <v>944</v>
      </c>
      <c r="H585" s="167">
        <v>0</v>
      </c>
      <c r="I585" s="177"/>
      <c r="J585" s="177"/>
      <c r="K585" s="177"/>
      <c r="L585" s="177"/>
      <c r="M585" s="177"/>
      <c r="N585" s="177"/>
      <c r="O585" s="177"/>
      <c r="P585" s="177"/>
    </row>
    <row r="586" spans="1:16" x14ac:dyDescent="0.25">
      <c r="A586" s="177"/>
      <c r="B586" s="177"/>
      <c r="C586" s="177"/>
      <c r="D586" s="177"/>
      <c r="E586" s="167" t="s">
        <v>434</v>
      </c>
      <c r="F586" s="167" t="s">
        <v>294</v>
      </c>
      <c r="G586" s="167" t="s">
        <v>954</v>
      </c>
      <c r="H586" s="167" t="s">
        <v>294</v>
      </c>
      <c r="I586" s="177"/>
      <c r="J586" s="177"/>
      <c r="K586" s="177"/>
      <c r="L586" s="177"/>
      <c r="M586" s="177"/>
      <c r="N586" s="177"/>
      <c r="O586" s="177"/>
      <c r="P586" s="177"/>
    </row>
    <row r="587" spans="1:16" x14ac:dyDescent="0.25">
      <c r="A587" s="177" t="s">
        <v>851</v>
      </c>
      <c r="B587" s="177" t="s">
        <v>960</v>
      </c>
      <c r="C587" s="177">
        <v>40</v>
      </c>
      <c r="D587" s="177">
        <v>70</v>
      </c>
      <c r="E587" s="167" t="s">
        <v>433</v>
      </c>
      <c r="F587" s="167" t="s">
        <v>944</v>
      </c>
      <c r="G587" s="167" t="s">
        <v>944</v>
      </c>
      <c r="H587" s="167" t="s">
        <v>944</v>
      </c>
      <c r="I587" s="177" t="s">
        <v>285</v>
      </c>
      <c r="J587" s="177" t="s">
        <v>914</v>
      </c>
      <c r="K587" s="177" t="s">
        <v>914</v>
      </c>
      <c r="L587" s="177" t="s">
        <v>914</v>
      </c>
      <c r="M587" s="177">
        <v>830</v>
      </c>
      <c r="N587" s="177">
        <v>60</v>
      </c>
      <c r="O587" s="177"/>
      <c r="P587" s="179" t="s">
        <v>1373</v>
      </c>
    </row>
    <row r="588" spans="1:16" x14ac:dyDescent="0.25">
      <c r="A588" s="177"/>
      <c r="B588" s="177"/>
      <c r="C588" s="177"/>
      <c r="D588" s="177"/>
      <c r="E588" s="167" t="s">
        <v>434</v>
      </c>
      <c r="F588" s="167">
        <v>0</v>
      </c>
      <c r="G588" s="167">
        <v>0</v>
      </c>
      <c r="H588" s="167">
        <v>0</v>
      </c>
      <c r="I588" s="177"/>
      <c r="J588" s="177"/>
      <c r="K588" s="177"/>
      <c r="L588" s="177"/>
      <c r="M588" s="177"/>
      <c r="N588" s="177"/>
      <c r="O588" s="177"/>
      <c r="P588" s="177"/>
    </row>
    <row r="589" spans="1:16" x14ac:dyDescent="0.25">
      <c r="A589" s="177"/>
      <c r="B589" s="177"/>
      <c r="C589" s="177"/>
      <c r="D589" s="177"/>
      <c r="E589" s="167" t="s">
        <v>433</v>
      </c>
      <c r="F589" s="167">
        <v>0</v>
      </c>
      <c r="G589" s="167" t="s">
        <v>944</v>
      </c>
      <c r="H589" s="167">
        <v>0</v>
      </c>
      <c r="I589" s="177"/>
      <c r="J589" s="177"/>
      <c r="K589" s="177"/>
      <c r="L589" s="177"/>
      <c r="M589" s="177"/>
      <c r="N589" s="177"/>
      <c r="O589" s="177"/>
      <c r="P589" s="177"/>
    </row>
    <row r="590" spans="1:16" x14ac:dyDescent="0.25">
      <c r="A590" s="177"/>
      <c r="B590" s="177"/>
      <c r="C590" s="177"/>
      <c r="D590" s="177"/>
      <c r="E590" s="167" t="s">
        <v>434</v>
      </c>
      <c r="F590" s="167" t="s">
        <v>294</v>
      </c>
      <c r="G590" s="167" t="s">
        <v>954</v>
      </c>
      <c r="H590" s="167" t="s">
        <v>294</v>
      </c>
      <c r="I590" s="177"/>
      <c r="J590" s="177"/>
      <c r="K590" s="177"/>
      <c r="L590" s="177"/>
      <c r="M590" s="177"/>
      <c r="N590" s="177"/>
      <c r="O590" s="177"/>
      <c r="P590" s="177"/>
    </row>
    <row r="591" spans="1:16" x14ac:dyDescent="0.25">
      <c r="A591" s="177" t="s">
        <v>851</v>
      </c>
      <c r="B591" s="177" t="s">
        <v>964</v>
      </c>
      <c r="C591" s="177">
        <v>40</v>
      </c>
      <c r="D591" s="177">
        <v>70</v>
      </c>
      <c r="E591" s="167" t="s">
        <v>433</v>
      </c>
      <c r="F591" s="167" t="s">
        <v>944</v>
      </c>
      <c r="G591" s="167" t="s">
        <v>944</v>
      </c>
      <c r="H591" s="167" t="s">
        <v>944</v>
      </c>
      <c r="I591" s="177" t="s">
        <v>285</v>
      </c>
      <c r="J591" s="177" t="s">
        <v>914</v>
      </c>
      <c r="K591" s="177" t="s">
        <v>914</v>
      </c>
      <c r="L591" s="177" t="s">
        <v>914</v>
      </c>
      <c r="M591" s="177">
        <v>830</v>
      </c>
      <c r="N591" s="177">
        <v>60</v>
      </c>
      <c r="O591" s="177"/>
      <c r="P591" s="179" t="s">
        <v>1373</v>
      </c>
    </row>
    <row r="592" spans="1:16" x14ac:dyDescent="0.25">
      <c r="A592" s="177"/>
      <c r="B592" s="177"/>
      <c r="C592" s="177"/>
      <c r="D592" s="177"/>
      <c r="E592" s="167" t="s">
        <v>434</v>
      </c>
      <c r="F592" s="167">
        <v>0</v>
      </c>
      <c r="G592" s="167">
        <v>0</v>
      </c>
      <c r="H592" s="167">
        <v>0</v>
      </c>
      <c r="I592" s="177"/>
      <c r="J592" s="177"/>
      <c r="K592" s="177"/>
      <c r="L592" s="177"/>
      <c r="M592" s="177"/>
      <c r="N592" s="177"/>
      <c r="O592" s="177"/>
      <c r="P592" s="177"/>
    </row>
    <row r="593" spans="1:16" x14ac:dyDescent="0.25">
      <c r="A593" s="177"/>
      <c r="B593" s="177"/>
      <c r="C593" s="177"/>
      <c r="D593" s="177"/>
      <c r="E593" s="167" t="s">
        <v>433</v>
      </c>
      <c r="F593" s="167" t="s">
        <v>293</v>
      </c>
      <c r="G593" s="167" t="s">
        <v>954</v>
      </c>
      <c r="H593" s="167" t="s">
        <v>944</v>
      </c>
      <c r="I593" s="177"/>
      <c r="J593" s="177"/>
      <c r="K593" s="177"/>
      <c r="L593" s="177"/>
      <c r="M593" s="177"/>
      <c r="N593" s="177"/>
      <c r="O593" s="177"/>
      <c r="P593" s="177"/>
    </row>
    <row r="594" spans="1:16" x14ac:dyDescent="0.25">
      <c r="A594" s="177"/>
      <c r="B594" s="177"/>
      <c r="C594" s="177"/>
      <c r="D594" s="177"/>
      <c r="E594" s="167" t="s">
        <v>434</v>
      </c>
      <c r="F594" s="167" t="s">
        <v>294</v>
      </c>
      <c r="G594" s="167" t="s">
        <v>294</v>
      </c>
      <c r="H594" s="167" t="s">
        <v>294</v>
      </c>
      <c r="I594" s="177"/>
      <c r="J594" s="177"/>
      <c r="K594" s="177"/>
      <c r="L594" s="177"/>
      <c r="M594" s="177"/>
      <c r="N594" s="177"/>
      <c r="O594" s="177"/>
      <c r="P594" s="177"/>
    </row>
    <row r="595" spans="1:16" x14ac:dyDescent="0.25">
      <c r="A595" s="177" t="s">
        <v>851</v>
      </c>
      <c r="B595" s="177" t="s">
        <v>965</v>
      </c>
      <c r="C595" s="177">
        <v>40</v>
      </c>
      <c r="D595" s="177">
        <v>70</v>
      </c>
      <c r="E595" s="167" t="s">
        <v>433</v>
      </c>
      <c r="F595" s="167" t="s">
        <v>944</v>
      </c>
      <c r="G595" s="167" t="s">
        <v>944</v>
      </c>
      <c r="H595" s="167" t="s">
        <v>944</v>
      </c>
      <c r="I595" s="177" t="s">
        <v>285</v>
      </c>
      <c r="J595" s="177" t="s">
        <v>914</v>
      </c>
      <c r="K595" s="177" t="s">
        <v>914</v>
      </c>
      <c r="L595" s="177" t="s">
        <v>914</v>
      </c>
      <c r="M595" s="177">
        <v>563</v>
      </c>
      <c r="N595" s="177">
        <v>50</v>
      </c>
      <c r="O595" s="177"/>
      <c r="P595" s="179" t="s">
        <v>1373</v>
      </c>
    </row>
    <row r="596" spans="1:16" x14ac:dyDescent="0.25">
      <c r="A596" s="177"/>
      <c r="B596" s="177"/>
      <c r="C596" s="177"/>
      <c r="D596" s="177"/>
      <c r="E596" s="167" t="s">
        <v>434</v>
      </c>
      <c r="F596" s="167">
        <v>0</v>
      </c>
      <c r="G596" s="167">
        <v>0</v>
      </c>
      <c r="H596" s="167">
        <v>0</v>
      </c>
      <c r="I596" s="177"/>
      <c r="J596" s="177"/>
      <c r="K596" s="177"/>
      <c r="L596" s="177"/>
      <c r="M596" s="177"/>
      <c r="N596" s="177"/>
      <c r="O596" s="177"/>
      <c r="P596" s="177"/>
    </row>
    <row r="597" spans="1:16" x14ac:dyDescent="0.25">
      <c r="A597" s="177"/>
      <c r="B597" s="177"/>
      <c r="C597" s="177"/>
      <c r="D597" s="177"/>
      <c r="E597" s="167" t="s">
        <v>433</v>
      </c>
      <c r="F597" s="167">
        <v>0</v>
      </c>
      <c r="G597" s="167">
        <v>0</v>
      </c>
      <c r="H597" s="167">
        <v>0</v>
      </c>
      <c r="I597" s="177"/>
      <c r="J597" s="177"/>
      <c r="K597" s="177"/>
      <c r="L597" s="177"/>
      <c r="M597" s="177"/>
      <c r="N597" s="177"/>
      <c r="O597" s="177"/>
      <c r="P597" s="177"/>
    </row>
    <row r="598" spans="1:16" x14ac:dyDescent="0.25">
      <c r="A598" s="177"/>
      <c r="B598" s="177"/>
      <c r="C598" s="177"/>
      <c r="D598" s="177"/>
      <c r="E598" s="167" t="s">
        <v>434</v>
      </c>
      <c r="F598" s="167" t="s">
        <v>293</v>
      </c>
      <c r="G598" s="167" t="s">
        <v>293</v>
      </c>
      <c r="H598" s="167" t="s">
        <v>293</v>
      </c>
      <c r="I598" s="177"/>
      <c r="J598" s="177"/>
      <c r="K598" s="177"/>
      <c r="L598" s="177"/>
      <c r="M598" s="177"/>
      <c r="N598" s="177"/>
      <c r="O598" s="177"/>
      <c r="P598" s="177"/>
    </row>
    <row r="599" spans="1:16" x14ac:dyDescent="0.25">
      <c r="A599" s="177" t="s">
        <v>851</v>
      </c>
      <c r="B599" s="177" t="s">
        <v>966</v>
      </c>
      <c r="C599" s="177">
        <v>40</v>
      </c>
      <c r="D599" s="177">
        <v>70</v>
      </c>
      <c r="E599" s="167" t="s">
        <v>433</v>
      </c>
      <c r="F599" s="167" t="s">
        <v>944</v>
      </c>
      <c r="G599" s="167" t="s">
        <v>944</v>
      </c>
      <c r="H599" s="167" t="s">
        <v>944</v>
      </c>
      <c r="I599" s="177" t="s">
        <v>285</v>
      </c>
      <c r="J599" s="177" t="s">
        <v>914</v>
      </c>
      <c r="K599" s="177" t="s">
        <v>914</v>
      </c>
      <c r="L599" s="177" t="s">
        <v>914</v>
      </c>
      <c r="M599" s="177">
        <v>538</v>
      </c>
      <c r="N599" s="177">
        <v>50</v>
      </c>
      <c r="O599" s="177"/>
      <c r="P599" s="179" t="s">
        <v>1373</v>
      </c>
    </row>
    <row r="600" spans="1:16" x14ac:dyDescent="0.25">
      <c r="A600" s="177"/>
      <c r="B600" s="177"/>
      <c r="C600" s="177"/>
      <c r="D600" s="177"/>
      <c r="E600" s="167" t="s">
        <v>434</v>
      </c>
      <c r="F600" s="167">
        <v>0</v>
      </c>
      <c r="G600" s="167">
        <v>0</v>
      </c>
      <c r="H600" s="167">
        <v>0</v>
      </c>
      <c r="I600" s="177"/>
      <c r="J600" s="177"/>
      <c r="K600" s="177"/>
      <c r="L600" s="177"/>
      <c r="M600" s="177"/>
      <c r="N600" s="177"/>
      <c r="O600" s="177"/>
      <c r="P600" s="177"/>
    </row>
    <row r="601" spans="1:16" x14ac:dyDescent="0.25">
      <c r="A601" s="177"/>
      <c r="B601" s="177"/>
      <c r="C601" s="177"/>
      <c r="D601" s="177"/>
      <c r="E601" s="167" t="s">
        <v>433</v>
      </c>
      <c r="F601" s="167">
        <v>0</v>
      </c>
      <c r="G601" s="167">
        <v>0</v>
      </c>
      <c r="H601" s="167">
        <v>0</v>
      </c>
      <c r="I601" s="177"/>
      <c r="J601" s="177"/>
      <c r="K601" s="177"/>
      <c r="L601" s="177"/>
      <c r="M601" s="177"/>
      <c r="N601" s="177"/>
      <c r="O601" s="177"/>
      <c r="P601" s="177"/>
    </row>
    <row r="602" spans="1:16" x14ac:dyDescent="0.25">
      <c r="A602" s="177"/>
      <c r="B602" s="177"/>
      <c r="C602" s="177"/>
      <c r="D602" s="177"/>
      <c r="E602" s="167" t="s">
        <v>434</v>
      </c>
      <c r="F602" s="167" t="s">
        <v>293</v>
      </c>
      <c r="G602" s="167" t="s">
        <v>293</v>
      </c>
      <c r="H602" s="167" t="s">
        <v>293</v>
      </c>
      <c r="I602" s="177"/>
      <c r="J602" s="177"/>
      <c r="K602" s="177"/>
      <c r="L602" s="177"/>
      <c r="M602" s="177"/>
      <c r="N602" s="177"/>
      <c r="O602" s="177"/>
      <c r="P602" s="177"/>
    </row>
    <row r="603" spans="1:16" x14ac:dyDescent="0.25">
      <c r="A603" s="177" t="s">
        <v>851</v>
      </c>
      <c r="B603" s="177" t="s">
        <v>943</v>
      </c>
      <c r="C603" s="177">
        <v>40</v>
      </c>
      <c r="D603" s="177">
        <v>70</v>
      </c>
      <c r="E603" s="167" t="s">
        <v>433</v>
      </c>
      <c r="F603" s="167" t="s">
        <v>944</v>
      </c>
      <c r="G603" s="167" t="s">
        <v>944</v>
      </c>
      <c r="H603" s="167" t="s">
        <v>944</v>
      </c>
      <c r="I603" s="177" t="s">
        <v>285</v>
      </c>
      <c r="J603" s="177" t="s">
        <v>914</v>
      </c>
      <c r="K603" s="177" t="s">
        <v>914</v>
      </c>
      <c r="L603" s="177" t="s">
        <v>914</v>
      </c>
      <c r="M603" s="177">
        <v>1100</v>
      </c>
      <c r="N603" s="177">
        <v>50</v>
      </c>
      <c r="O603" s="177"/>
      <c r="P603" s="179" t="s">
        <v>1374</v>
      </c>
    </row>
    <row r="604" spans="1:16" x14ac:dyDescent="0.25">
      <c r="A604" s="177"/>
      <c r="B604" s="177"/>
      <c r="C604" s="177"/>
      <c r="D604" s="177"/>
      <c r="E604" s="167" t="s">
        <v>434</v>
      </c>
      <c r="F604" s="167">
        <v>0</v>
      </c>
      <c r="G604" s="167">
        <v>0</v>
      </c>
      <c r="H604" s="167">
        <v>0</v>
      </c>
      <c r="I604" s="177"/>
      <c r="J604" s="177"/>
      <c r="K604" s="177"/>
      <c r="L604" s="177"/>
      <c r="M604" s="177"/>
      <c r="N604" s="177"/>
      <c r="O604" s="177"/>
      <c r="P604" s="177"/>
    </row>
    <row r="605" spans="1:16" x14ac:dyDescent="0.25">
      <c r="A605" s="177"/>
      <c r="B605" s="177"/>
      <c r="C605" s="177"/>
      <c r="D605" s="177"/>
      <c r="E605" s="167" t="s">
        <v>433</v>
      </c>
      <c r="F605" s="167" t="s">
        <v>294</v>
      </c>
      <c r="G605" s="167" t="s">
        <v>945</v>
      </c>
      <c r="H605" s="167" t="s">
        <v>294</v>
      </c>
      <c r="I605" s="177"/>
      <c r="J605" s="177"/>
      <c r="K605" s="177"/>
      <c r="L605" s="177"/>
      <c r="M605" s="177"/>
      <c r="N605" s="177"/>
      <c r="O605" s="177"/>
      <c r="P605" s="177"/>
    </row>
    <row r="606" spans="1:16" x14ac:dyDescent="0.25">
      <c r="A606" s="177"/>
      <c r="B606" s="177"/>
      <c r="C606" s="177"/>
      <c r="D606" s="177"/>
      <c r="E606" s="167" t="s">
        <v>434</v>
      </c>
      <c r="F606" s="167" t="s">
        <v>294</v>
      </c>
      <c r="G606" s="167" t="s">
        <v>294</v>
      </c>
      <c r="H606" s="167" t="s">
        <v>294</v>
      </c>
      <c r="I606" s="177"/>
      <c r="J606" s="177"/>
      <c r="K606" s="177"/>
      <c r="L606" s="177"/>
      <c r="M606" s="177"/>
      <c r="N606" s="177"/>
      <c r="O606" s="177"/>
      <c r="P606" s="177"/>
    </row>
    <row r="607" spans="1:16" x14ac:dyDescent="0.25">
      <c r="A607" s="177" t="s">
        <v>851</v>
      </c>
      <c r="B607" s="177" t="s">
        <v>963</v>
      </c>
      <c r="C607" s="177">
        <v>40</v>
      </c>
      <c r="D607" s="177">
        <v>70</v>
      </c>
      <c r="E607" s="167" t="s">
        <v>433</v>
      </c>
      <c r="F607" s="167" t="s">
        <v>944</v>
      </c>
      <c r="G607" s="167" t="s">
        <v>944</v>
      </c>
      <c r="H607" s="167" t="s">
        <v>944</v>
      </c>
      <c r="I607" s="177" t="s">
        <v>285</v>
      </c>
      <c r="J607" s="177" t="s">
        <v>914</v>
      </c>
      <c r="K607" s="177" t="s">
        <v>914</v>
      </c>
      <c r="L607" s="177" t="s">
        <v>914</v>
      </c>
      <c r="M607" s="177">
        <v>830</v>
      </c>
      <c r="N607" s="177">
        <v>0</v>
      </c>
      <c r="O607" s="177"/>
      <c r="P607" s="179" t="s">
        <v>1373</v>
      </c>
    </row>
    <row r="608" spans="1:16" x14ac:dyDescent="0.25">
      <c r="A608" s="177"/>
      <c r="B608" s="177"/>
      <c r="C608" s="177"/>
      <c r="D608" s="177"/>
      <c r="E608" s="167" t="s">
        <v>434</v>
      </c>
      <c r="F608" s="167">
        <v>0</v>
      </c>
      <c r="G608" s="167">
        <v>0</v>
      </c>
      <c r="H608" s="167">
        <v>0</v>
      </c>
      <c r="I608" s="177"/>
      <c r="J608" s="177"/>
      <c r="K608" s="177"/>
      <c r="L608" s="177"/>
      <c r="M608" s="177"/>
      <c r="N608" s="177"/>
      <c r="O608" s="177"/>
      <c r="P608" s="177"/>
    </row>
    <row r="609" spans="1:16" x14ac:dyDescent="0.25">
      <c r="A609" s="177"/>
      <c r="B609" s="177"/>
      <c r="C609" s="177"/>
      <c r="D609" s="177"/>
      <c r="E609" s="167" t="s">
        <v>433</v>
      </c>
      <c r="F609" s="167">
        <v>0</v>
      </c>
      <c r="G609" s="167">
        <v>0</v>
      </c>
      <c r="H609" s="167">
        <v>0</v>
      </c>
      <c r="I609" s="177"/>
      <c r="J609" s="177"/>
      <c r="K609" s="177"/>
      <c r="L609" s="177"/>
      <c r="M609" s="177"/>
      <c r="N609" s="177"/>
      <c r="O609" s="177"/>
      <c r="P609" s="177"/>
    </row>
    <row r="610" spans="1:16" x14ac:dyDescent="0.25">
      <c r="A610" s="177"/>
      <c r="B610" s="177"/>
      <c r="C610" s="177"/>
      <c r="D610" s="177"/>
      <c r="E610" s="167" t="s">
        <v>434</v>
      </c>
      <c r="F610" s="167" t="s">
        <v>954</v>
      </c>
      <c r="G610" s="167" t="s">
        <v>294</v>
      </c>
      <c r="H610" s="167" t="s">
        <v>954</v>
      </c>
      <c r="I610" s="177"/>
      <c r="J610" s="177"/>
      <c r="K610" s="177"/>
      <c r="L610" s="177"/>
      <c r="M610" s="177"/>
      <c r="N610" s="177"/>
      <c r="O610" s="177"/>
      <c r="P610" s="177"/>
    </row>
    <row r="611" spans="1:16" x14ac:dyDescent="0.25">
      <c r="A611" s="177" t="s">
        <v>851</v>
      </c>
      <c r="B611" s="177" t="s">
        <v>963</v>
      </c>
      <c r="C611" s="177">
        <v>40</v>
      </c>
      <c r="D611" s="177">
        <v>70</v>
      </c>
      <c r="E611" s="167" t="s">
        <v>433</v>
      </c>
      <c r="F611" s="167" t="s">
        <v>944</v>
      </c>
      <c r="G611" s="167" t="s">
        <v>944</v>
      </c>
      <c r="H611" s="167" t="s">
        <v>944</v>
      </c>
      <c r="I611" s="177" t="s">
        <v>285</v>
      </c>
      <c r="J611" s="177" t="s">
        <v>914</v>
      </c>
      <c r="K611" s="177" t="s">
        <v>914</v>
      </c>
      <c r="L611" s="177" t="s">
        <v>914</v>
      </c>
      <c r="M611" s="177">
        <v>830</v>
      </c>
      <c r="N611" s="177">
        <v>0</v>
      </c>
      <c r="O611" s="177"/>
      <c r="P611" s="179" t="s">
        <v>1373</v>
      </c>
    </row>
    <row r="612" spans="1:16" x14ac:dyDescent="0.25">
      <c r="A612" s="177"/>
      <c r="B612" s="177"/>
      <c r="C612" s="177"/>
      <c r="D612" s="177"/>
      <c r="E612" s="167" t="s">
        <v>434</v>
      </c>
      <c r="F612" s="167">
        <v>0</v>
      </c>
      <c r="G612" s="167">
        <v>0</v>
      </c>
      <c r="H612" s="167">
        <v>0</v>
      </c>
      <c r="I612" s="177"/>
      <c r="J612" s="177"/>
      <c r="K612" s="177"/>
      <c r="L612" s="177"/>
      <c r="M612" s="177"/>
      <c r="N612" s="177"/>
      <c r="O612" s="177"/>
      <c r="P612" s="177"/>
    </row>
    <row r="613" spans="1:16" x14ac:dyDescent="0.25">
      <c r="A613" s="177"/>
      <c r="B613" s="177"/>
      <c r="C613" s="177"/>
      <c r="D613" s="177"/>
      <c r="E613" s="167" t="s">
        <v>433</v>
      </c>
      <c r="F613" s="167">
        <v>0</v>
      </c>
      <c r="G613" s="167">
        <v>0</v>
      </c>
      <c r="H613" s="167">
        <v>0</v>
      </c>
      <c r="I613" s="177"/>
      <c r="J613" s="177"/>
      <c r="K613" s="177"/>
      <c r="L613" s="177"/>
      <c r="M613" s="177"/>
      <c r="N613" s="177"/>
      <c r="O613" s="177"/>
      <c r="P613" s="177"/>
    </row>
    <row r="614" spans="1:16" x14ac:dyDescent="0.25">
      <c r="A614" s="177"/>
      <c r="B614" s="177"/>
      <c r="C614" s="177"/>
      <c r="D614" s="177"/>
      <c r="E614" s="167" t="s">
        <v>434</v>
      </c>
      <c r="F614" s="167" t="s">
        <v>954</v>
      </c>
      <c r="G614" s="167" t="s">
        <v>294</v>
      </c>
      <c r="H614" s="167" t="s">
        <v>954</v>
      </c>
      <c r="I614" s="177"/>
      <c r="J614" s="177"/>
      <c r="K614" s="177"/>
      <c r="L614" s="177"/>
      <c r="M614" s="177"/>
      <c r="N614" s="177"/>
      <c r="O614" s="177"/>
      <c r="P614" s="177"/>
    </row>
    <row r="615" spans="1:16" x14ac:dyDescent="0.25">
      <c r="A615" s="177" t="s">
        <v>851</v>
      </c>
      <c r="B615" s="177" t="s">
        <v>963</v>
      </c>
      <c r="C615" s="177">
        <v>40</v>
      </c>
      <c r="D615" s="177">
        <v>70</v>
      </c>
      <c r="E615" s="167" t="s">
        <v>433</v>
      </c>
      <c r="F615" s="167" t="s">
        <v>944</v>
      </c>
      <c r="G615" s="167" t="s">
        <v>944</v>
      </c>
      <c r="H615" s="167" t="s">
        <v>944</v>
      </c>
      <c r="I615" s="177" t="s">
        <v>285</v>
      </c>
      <c r="J615" s="177" t="s">
        <v>914</v>
      </c>
      <c r="K615" s="177" t="s">
        <v>914</v>
      </c>
      <c r="L615" s="177" t="s">
        <v>914</v>
      </c>
      <c r="M615" s="177">
        <v>830</v>
      </c>
      <c r="N615" s="177">
        <v>60</v>
      </c>
      <c r="O615" s="177"/>
      <c r="P615" s="179" t="s">
        <v>1373</v>
      </c>
    </row>
    <row r="616" spans="1:16" x14ac:dyDescent="0.25">
      <c r="A616" s="177"/>
      <c r="B616" s="177"/>
      <c r="C616" s="177"/>
      <c r="D616" s="177"/>
      <c r="E616" s="167" t="s">
        <v>434</v>
      </c>
      <c r="F616" s="167">
        <v>0</v>
      </c>
      <c r="G616" s="167">
        <v>0</v>
      </c>
      <c r="H616" s="167">
        <v>0</v>
      </c>
      <c r="I616" s="177"/>
      <c r="J616" s="177"/>
      <c r="K616" s="177"/>
      <c r="L616" s="177"/>
      <c r="M616" s="177"/>
      <c r="N616" s="177"/>
      <c r="O616" s="177"/>
      <c r="P616" s="177"/>
    </row>
    <row r="617" spans="1:16" x14ac:dyDescent="0.25">
      <c r="A617" s="177"/>
      <c r="B617" s="177"/>
      <c r="C617" s="177"/>
      <c r="D617" s="177"/>
      <c r="E617" s="167" t="s">
        <v>433</v>
      </c>
      <c r="F617" s="167">
        <v>0</v>
      </c>
      <c r="G617" s="167">
        <v>0</v>
      </c>
      <c r="H617" s="167">
        <v>0</v>
      </c>
      <c r="I617" s="177"/>
      <c r="J617" s="177"/>
      <c r="K617" s="177"/>
      <c r="L617" s="177"/>
      <c r="M617" s="177"/>
      <c r="N617" s="177"/>
      <c r="O617" s="177"/>
      <c r="P617" s="177"/>
    </row>
    <row r="618" spans="1:16" x14ac:dyDescent="0.25">
      <c r="A618" s="177"/>
      <c r="B618" s="177"/>
      <c r="C618" s="177"/>
      <c r="D618" s="177"/>
      <c r="E618" s="167" t="s">
        <v>434</v>
      </c>
      <c r="F618" s="167" t="s">
        <v>954</v>
      </c>
      <c r="G618" s="167" t="s">
        <v>294</v>
      </c>
      <c r="H618" s="167" t="s">
        <v>954</v>
      </c>
      <c r="I618" s="177"/>
      <c r="J618" s="177"/>
      <c r="K618" s="177"/>
      <c r="L618" s="177"/>
      <c r="M618" s="177"/>
      <c r="N618" s="177"/>
      <c r="O618" s="177"/>
      <c r="P618" s="177"/>
    </row>
    <row r="619" spans="1:16" x14ac:dyDescent="0.25">
      <c r="A619" s="177" t="s">
        <v>851</v>
      </c>
      <c r="B619" s="177" t="s">
        <v>961</v>
      </c>
      <c r="C619" s="177">
        <v>40</v>
      </c>
      <c r="D619" s="177">
        <v>70</v>
      </c>
      <c r="E619" s="167" t="s">
        <v>433</v>
      </c>
      <c r="F619" s="167" t="s">
        <v>944</v>
      </c>
      <c r="G619" s="167" t="s">
        <v>944</v>
      </c>
      <c r="H619" s="167" t="s">
        <v>954</v>
      </c>
      <c r="I619" s="177" t="s">
        <v>285</v>
      </c>
      <c r="J619" s="177" t="s">
        <v>914</v>
      </c>
      <c r="K619" s="177" t="s">
        <v>914</v>
      </c>
      <c r="L619" s="177" t="s">
        <v>914</v>
      </c>
      <c r="M619" s="177">
        <v>830</v>
      </c>
      <c r="N619" s="177">
        <v>60</v>
      </c>
      <c r="O619" s="177"/>
      <c r="P619" s="179" t="s">
        <v>1370</v>
      </c>
    </row>
    <row r="620" spans="1:16" x14ac:dyDescent="0.25">
      <c r="A620" s="177"/>
      <c r="B620" s="177"/>
      <c r="C620" s="177"/>
      <c r="D620" s="177"/>
      <c r="E620" s="167" t="s">
        <v>434</v>
      </c>
      <c r="F620" s="167">
        <v>0</v>
      </c>
      <c r="G620" s="167">
        <v>0</v>
      </c>
      <c r="H620" s="167">
        <v>0</v>
      </c>
      <c r="I620" s="177"/>
      <c r="J620" s="177"/>
      <c r="K620" s="177"/>
      <c r="L620" s="177"/>
      <c r="M620" s="177"/>
      <c r="N620" s="177"/>
      <c r="O620" s="177"/>
      <c r="P620" s="177"/>
    </row>
    <row r="621" spans="1:16" x14ac:dyDescent="0.25">
      <c r="A621" s="177"/>
      <c r="B621" s="177"/>
      <c r="C621" s="177"/>
      <c r="D621" s="177"/>
      <c r="E621" s="167" t="s">
        <v>433</v>
      </c>
      <c r="F621" s="167">
        <v>0</v>
      </c>
      <c r="G621" s="167">
        <v>0</v>
      </c>
      <c r="H621" s="167">
        <v>0</v>
      </c>
      <c r="I621" s="177"/>
      <c r="J621" s="177"/>
      <c r="K621" s="177"/>
      <c r="L621" s="177"/>
      <c r="M621" s="177"/>
      <c r="N621" s="177"/>
      <c r="O621" s="177"/>
      <c r="P621" s="177"/>
    </row>
    <row r="622" spans="1:16" x14ac:dyDescent="0.25">
      <c r="A622" s="177"/>
      <c r="B622" s="177"/>
      <c r="C622" s="177"/>
      <c r="D622" s="177"/>
      <c r="E622" s="167" t="s">
        <v>434</v>
      </c>
      <c r="F622" s="167" t="s">
        <v>947</v>
      </c>
      <c r="G622" s="167" t="s">
        <v>954</v>
      </c>
      <c r="H622" s="167" t="s">
        <v>293</v>
      </c>
      <c r="I622" s="177"/>
      <c r="J622" s="177"/>
      <c r="K622" s="177"/>
      <c r="L622" s="177"/>
      <c r="M622" s="177"/>
      <c r="N622" s="177"/>
      <c r="O622" s="177"/>
      <c r="P622" s="177"/>
    </row>
    <row r="623" spans="1:16" x14ac:dyDescent="0.25">
      <c r="A623" s="177" t="s">
        <v>851</v>
      </c>
      <c r="B623" s="177" t="s">
        <v>961</v>
      </c>
      <c r="C623" s="177">
        <v>40</v>
      </c>
      <c r="D623" s="177">
        <v>70</v>
      </c>
      <c r="E623" s="167" t="s">
        <v>433</v>
      </c>
      <c r="F623" s="167" t="s">
        <v>944</v>
      </c>
      <c r="G623" s="167" t="s">
        <v>944</v>
      </c>
      <c r="H623" s="167" t="s">
        <v>954</v>
      </c>
      <c r="I623" s="177" t="s">
        <v>285</v>
      </c>
      <c r="J623" s="177" t="s">
        <v>914</v>
      </c>
      <c r="K623" s="177" t="s">
        <v>914</v>
      </c>
      <c r="L623" s="177" t="s">
        <v>914</v>
      </c>
      <c r="M623" s="177">
        <v>830</v>
      </c>
      <c r="N623" s="177">
        <v>60</v>
      </c>
      <c r="O623" s="177"/>
      <c r="P623" s="179" t="s">
        <v>1370</v>
      </c>
    </row>
    <row r="624" spans="1:16" x14ac:dyDescent="0.25">
      <c r="A624" s="177"/>
      <c r="B624" s="177"/>
      <c r="C624" s="177"/>
      <c r="D624" s="177"/>
      <c r="E624" s="167" t="s">
        <v>434</v>
      </c>
      <c r="F624" s="167">
        <v>0</v>
      </c>
      <c r="G624" s="167">
        <v>0</v>
      </c>
      <c r="H624" s="167">
        <v>0</v>
      </c>
      <c r="I624" s="177"/>
      <c r="J624" s="177"/>
      <c r="K624" s="177"/>
      <c r="L624" s="177"/>
      <c r="M624" s="177"/>
      <c r="N624" s="177"/>
      <c r="O624" s="177"/>
      <c r="P624" s="177"/>
    </row>
    <row r="625" spans="1:16" x14ac:dyDescent="0.25">
      <c r="A625" s="177"/>
      <c r="B625" s="177"/>
      <c r="C625" s="177"/>
      <c r="D625" s="177"/>
      <c r="E625" s="167" t="s">
        <v>433</v>
      </c>
      <c r="F625" s="167">
        <v>0</v>
      </c>
      <c r="G625" s="167">
        <v>0</v>
      </c>
      <c r="H625" s="167">
        <v>0</v>
      </c>
      <c r="I625" s="177"/>
      <c r="J625" s="177"/>
      <c r="K625" s="177"/>
      <c r="L625" s="177"/>
      <c r="M625" s="177"/>
      <c r="N625" s="177"/>
      <c r="O625" s="177"/>
      <c r="P625" s="177"/>
    </row>
    <row r="626" spans="1:16" x14ac:dyDescent="0.25">
      <c r="A626" s="177"/>
      <c r="B626" s="177"/>
      <c r="C626" s="177"/>
      <c r="D626" s="177"/>
      <c r="E626" s="167" t="s">
        <v>434</v>
      </c>
      <c r="F626" s="167" t="s">
        <v>947</v>
      </c>
      <c r="G626" s="167" t="s">
        <v>954</v>
      </c>
      <c r="H626" s="167" t="s">
        <v>293</v>
      </c>
      <c r="I626" s="177"/>
      <c r="J626" s="177"/>
      <c r="K626" s="177"/>
      <c r="L626" s="177"/>
      <c r="M626" s="177"/>
      <c r="N626" s="177"/>
      <c r="O626" s="177"/>
      <c r="P626" s="177"/>
    </row>
    <row r="627" spans="1:16" x14ac:dyDescent="0.25">
      <c r="A627" s="177" t="s">
        <v>851</v>
      </c>
      <c r="B627" s="177" t="s">
        <v>962</v>
      </c>
      <c r="C627" s="177">
        <v>40</v>
      </c>
      <c r="D627" s="177">
        <v>70</v>
      </c>
      <c r="E627" s="167" t="s">
        <v>433</v>
      </c>
      <c r="F627" s="167" t="s">
        <v>954</v>
      </c>
      <c r="G627" s="167" t="s">
        <v>944</v>
      </c>
      <c r="H627" s="167" t="s">
        <v>944</v>
      </c>
      <c r="I627" s="177" t="s">
        <v>285</v>
      </c>
      <c r="J627" s="177" t="s">
        <v>914</v>
      </c>
      <c r="K627" s="177" t="s">
        <v>914</v>
      </c>
      <c r="L627" s="177" t="s">
        <v>914</v>
      </c>
      <c r="M627" s="177">
        <v>830</v>
      </c>
      <c r="N627" s="177">
        <v>60</v>
      </c>
      <c r="O627" s="177"/>
      <c r="P627" s="179" t="s">
        <v>1372</v>
      </c>
    </row>
    <row r="628" spans="1:16" x14ac:dyDescent="0.25">
      <c r="A628" s="177"/>
      <c r="B628" s="177"/>
      <c r="C628" s="177"/>
      <c r="D628" s="177"/>
      <c r="E628" s="167" t="s">
        <v>434</v>
      </c>
      <c r="F628" s="167">
        <v>0</v>
      </c>
      <c r="G628" s="167">
        <v>0</v>
      </c>
      <c r="H628" s="167">
        <v>0</v>
      </c>
      <c r="I628" s="177"/>
      <c r="J628" s="177"/>
      <c r="K628" s="177"/>
      <c r="L628" s="177"/>
      <c r="M628" s="177"/>
      <c r="N628" s="177"/>
      <c r="O628" s="177"/>
      <c r="P628" s="177"/>
    </row>
    <row r="629" spans="1:16" x14ac:dyDescent="0.25">
      <c r="A629" s="177"/>
      <c r="B629" s="177"/>
      <c r="C629" s="177"/>
      <c r="D629" s="177"/>
      <c r="E629" s="167" t="s">
        <v>433</v>
      </c>
      <c r="F629" s="167">
        <v>0</v>
      </c>
      <c r="G629" s="167">
        <v>0</v>
      </c>
      <c r="H629" s="167">
        <v>0</v>
      </c>
      <c r="I629" s="177"/>
      <c r="J629" s="177"/>
      <c r="K629" s="177"/>
      <c r="L629" s="177"/>
      <c r="M629" s="177"/>
      <c r="N629" s="177"/>
      <c r="O629" s="177"/>
      <c r="P629" s="177"/>
    </row>
    <row r="630" spans="1:16" x14ac:dyDescent="0.25">
      <c r="A630" s="177"/>
      <c r="B630" s="177"/>
      <c r="C630" s="177"/>
      <c r="D630" s="177"/>
      <c r="E630" s="167" t="s">
        <v>434</v>
      </c>
      <c r="F630" s="167" t="s">
        <v>293</v>
      </c>
      <c r="G630" s="167" t="s">
        <v>954</v>
      </c>
      <c r="H630" s="167" t="s">
        <v>947</v>
      </c>
      <c r="I630" s="177"/>
      <c r="J630" s="177"/>
      <c r="K630" s="177"/>
      <c r="L630" s="177"/>
      <c r="M630" s="177"/>
      <c r="N630" s="177"/>
      <c r="O630" s="177"/>
      <c r="P630" s="177"/>
    </row>
    <row r="631" spans="1:16" x14ac:dyDescent="0.25">
      <c r="A631" s="177" t="s">
        <v>851</v>
      </c>
      <c r="B631" s="177" t="s">
        <v>962</v>
      </c>
      <c r="C631" s="177">
        <v>40</v>
      </c>
      <c r="D631" s="177">
        <v>70</v>
      </c>
      <c r="E631" s="167" t="s">
        <v>433</v>
      </c>
      <c r="F631" s="167" t="s">
        <v>954</v>
      </c>
      <c r="G631" s="167" t="s">
        <v>944</v>
      </c>
      <c r="H631" s="167" t="s">
        <v>944</v>
      </c>
      <c r="I631" s="177" t="s">
        <v>285</v>
      </c>
      <c r="J631" s="177" t="s">
        <v>914</v>
      </c>
      <c r="K631" s="177" t="s">
        <v>914</v>
      </c>
      <c r="L631" s="177" t="s">
        <v>914</v>
      </c>
      <c r="M631" s="177">
        <v>830</v>
      </c>
      <c r="N631" s="177">
        <v>60</v>
      </c>
      <c r="O631" s="177"/>
      <c r="P631" s="179" t="s">
        <v>1372</v>
      </c>
    </row>
    <row r="632" spans="1:16" x14ac:dyDescent="0.25">
      <c r="A632" s="177"/>
      <c r="B632" s="177"/>
      <c r="C632" s="177"/>
      <c r="D632" s="177"/>
      <c r="E632" s="167" t="s">
        <v>434</v>
      </c>
      <c r="F632" s="167">
        <v>0</v>
      </c>
      <c r="G632" s="167">
        <v>0</v>
      </c>
      <c r="H632" s="167">
        <v>0</v>
      </c>
      <c r="I632" s="177"/>
      <c r="J632" s="177"/>
      <c r="K632" s="177"/>
      <c r="L632" s="177"/>
      <c r="M632" s="177"/>
      <c r="N632" s="177"/>
      <c r="O632" s="177"/>
      <c r="P632" s="177"/>
    </row>
    <row r="633" spans="1:16" x14ac:dyDescent="0.25">
      <c r="A633" s="177"/>
      <c r="B633" s="177"/>
      <c r="C633" s="177"/>
      <c r="D633" s="177"/>
      <c r="E633" s="167" t="s">
        <v>433</v>
      </c>
      <c r="F633" s="167">
        <v>0</v>
      </c>
      <c r="G633" s="167">
        <v>0</v>
      </c>
      <c r="H633" s="167">
        <v>0</v>
      </c>
      <c r="I633" s="177"/>
      <c r="J633" s="177"/>
      <c r="K633" s="177"/>
      <c r="L633" s="177"/>
      <c r="M633" s="177"/>
      <c r="N633" s="177"/>
      <c r="O633" s="177"/>
      <c r="P633" s="177"/>
    </row>
    <row r="634" spans="1:16" x14ac:dyDescent="0.25">
      <c r="A634" s="177"/>
      <c r="B634" s="177"/>
      <c r="C634" s="177"/>
      <c r="D634" s="177"/>
      <c r="E634" s="167" t="s">
        <v>434</v>
      </c>
      <c r="F634" s="167" t="s">
        <v>293</v>
      </c>
      <c r="G634" s="167" t="s">
        <v>954</v>
      </c>
      <c r="H634" s="167" t="s">
        <v>947</v>
      </c>
      <c r="I634" s="177"/>
      <c r="J634" s="177"/>
      <c r="K634" s="177"/>
      <c r="L634" s="177"/>
      <c r="M634" s="177"/>
      <c r="N634" s="177"/>
      <c r="O634" s="177"/>
      <c r="P634" s="177"/>
    </row>
  </sheetData>
  <sortState xmlns:xlrd2="http://schemas.microsoft.com/office/spreadsheetml/2017/richdata2" caseSensitive="1" sortMethod="pinYin" ref="A3:R634">
    <sortCondition ref="Q3"/>
    <sortCondition ref="R3"/>
  </sortState>
  <mergeCells count="1896">
    <mergeCell ref="K631:K634"/>
    <mergeCell ref="L631:L634"/>
    <mergeCell ref="M631:M634"/>
    <mergeCell ref="N631:N634"/>
    <mergeCell ref="O631:O634"/>
    <mergeCell ref="P631:P634"/>
    <mergeCell ref="A631:A634"/>
    <mergeCell ref="B631:B634"/>
    <mergeCell ref="C631:C634"/>
    <mergeCell ref="D631:D634"/>
    <mergeCell ref="I631:I634"/>
    <mergeCell ref="J631:J634"/>
    <mergeCell ref="K627:K630"/>
    <mergeCell ref="L627:L630"/>
    <mergeCell ref="M627:M630"/>
    <mergeCell ref="N627:N630"/>
    <mergeCell ref="O627:O630"/>
    <mergeCell ref="P627:P630"/>
    <mergeCell ref="A627:A630"/>
    <mergeCell ref="B627:B630"/>
    <mergeCell ref="C627:C630"/>
    <mergeCell ref="D627:D630"/>
    <mergeCell ref="I627:I630"/>
    <mergeCell ref="J627:J630"/>
    <mergeCell ref="K623:K626"/>
    <mergeCell ref="L623:L626"/>
    <mergeCell ref="M623:M626"/>
    <mergeCell ref="N623:N626"/>
    <mergeCell ref="O623:O626"/>
    <mergeCell ref="P623:P626"/>
    <mergeCell ref="A623:A626"/>
    <mergeCell ref="B623:B626"/>
    <mergeCell ref="C623:C626"/>
    <mergeCell ref="D623:D626"/>
    <mergeCell ref="I623:I626"/>
    <mergeCell ref="J623:J626"/>
    <mergeCell ref="K619:K622"/>
    <mergeCell ref="L619:L622"/>
    <mergeCell ref="M619:M622"/>
    <mergeCell ref="N619:N622"/>
    <mergeCell ref="O619:O622"/>
    <mergeCell ref="P619:P622"/>
    <mergeCell ref="A619:A622"/>
    <mergeCell ref="B619:B622"/>
    <mergeCell ref="C619:C622"/>
    <mergeCell ref="D619:D622"/>
    <mergeCell ref="I619:I622"/>
    <mergeCell ref="J619:J622"/>
    <mergeCell ref="K615:K618"/>
    <mergeCell ref="L615:L618"/>
    <mergeCell ref="M615:M618"/>
    <mergeCell ref="N615:N618"/>
    <mergeCell ref="O615:O618"/>
    <mergeCell ref="P615:P618"/>
    <mergeCell ref="A615:A618"/>
    <mergeCell ref="B615:B618"/>
    <mergeCell ref="C615:C618"/>
    <mergeCell ref="D615:D618"/>
    <mergeCell ref="I615:I618"/>
    <mergeCell ref="J615:J618"/>
    <mergeCell ref="K611:K614"/>
    <mergeCell ref="L611:L614"/>
    <mergeCell ref="M611:M614"/>
    <mergeCell ref="N611:N614"/>
    <mergeCell ref="O611:O614"/>
    <mergeCell ref="P611:P614"/>
    <mergeCell ref="A611:A614"/>
    <mergeCell ref="B611:B614"/>
    <mergeCell ref="C611:C614"/>
    <mergeCell ref="D611:D614"/>
    <mergeCell ref="I611:I614"/>
    <mergeCell ref="J611:J614"/>
    <mergeCell ref="K607:K610"/>
    <mergeCell ref="L607:L610"/>
    <mergeCell ref="M607:M610"/>
    <mergeCell ref="N607:N610"/>
    <mergeCell ref="O607:O610"/>
    <mergeCell ref="P607:P610"/>
    <mergeCell ref="A607:A610"/>
    <mergeCell ref="B607:B610"/>
    <mergeCell ref="C607:C610"/>
    <mergeCell ref="D607:D610"/>
    <mergeCell ref="I607:I610"/>
    <mergeCell ref="J607:J610"/>
    <mergeCell ref="K603:K606"/>
    <mergeCell ref="L603:L606"/>
    <mergeCell ref="M603:M606"/>
    <mergeCell ref="N603:N606"/>
    <mergeCell ref="O603:O606"/>
    <mergeCell ref="P603:P606"/>
    <mergeCell ref="A603:A606"/>
    <mergeCell ref="B603:B606"/>
    <mergeCell ref="C603:C606"/>
    <mergeCell ref="D603:D606"/>
    <mergeCell ref="I603:I606"/>
    <mergeCell ref="J603:J606"/>
    <mergeCell ref="K599:K602"/>
    <mergeCell ref="L599:L602"/>
    <mergeCell ref="M599:M602"/>
    <mergeCell ref="N599:N602"/>
    <mergeCell ref="O599:O602"/>
    <mergeCell ref="P599:P602"/>
    <mergeCell ref="A599:A602"/>
    <mergeCell ref="B599:B602"/>
    <mergeCell ref="C599:C602"/>
    <mergeCell ref="D599:D602"/>
    <mergeCell ref="I599:I602"/>
    <mergeCell ref="J599:J602"/>
    <mergeCell ref="K595:K598"/>
    <mergeCell ref="L595:L598"/>
    <mergeCell ref="M595:M598"/>
    <mergeCell ref="N595:N598"/>
    <mergeCell ref="O595:O598"/>
    <mergeCell ref="P595:P598"/>
    <mergeCell ref="A595:A598"/>
    <mergeCell ref="B595:B598"/>
    <mergeCell ref="C595:C598"/>
    <mergeCell ref="D595:D598"/>
    <mergeCell ref="I595:I598"/>
    <mergeCell ref="J595:J598"/>
    <mergeCell ref="K591:K594"/>
    <mergeCell ref="L591:L594"/>
    <mergeCell ref="M591:M594"/>
    <mergeCell ref="N591:N594"/>
    <mergeCell ref="O591:O594"/>
    <mergeCell ref="P591:P594"/>
    <mergeCell ref="A591:A594"/>
    <mergeCell ref="B591:B594"/>
    <mergeCell ref="C591:C594"/>
    <mergeCell ref="D591:D594"/>
    <mergeCell ref="I591:I594"/>
    <mergeCell ref="J591:J594"/>
    <mergeCell ref="K587:K590"/>
    <mergeCell ref="L587:L590"/>
    <mergeCell ref="M587:M590"/>
    <mergeCell ref="N587:N590"/>
    <mergeCell ref="O587:O590"/>
    <mergeCell ref="P587:P590"/>
    <mergeCell ref="A587:A590"/>
    <mergeCell ref="B587:B590"/>
    <mergeCell ref="C587:C590"/>
    <mergeCell ref="D587:D590"/>
    <mergeCell ref="I587:I590"/>
    <mergeCell ref="J587:J590"/>
    <mergeCell ref="K583:K586"/>
    <mergeCell ref="L583:L586"/>
    <mergeCell ref="M583:M586"/>
    <mergeCell ref="N583:N586"/>
    <mergeCell ref="O583:O586"/>
    <mergeCell ref="P583:P586"/>
    <mergeCell ref="A583:A586"/>
    <mergeCell ref="B583:B586"/>
    <mergeCell ref="C583:C586"/>
    <mergeCell ref="D583:D586"/>
    <mergeCell ref="I583:I586"/>
    <mergeCell ref="J583:J586"/>
    <mergeCell ref="K579:K582"/>
    <mergeCell ref="L579:L582"/>
    <mergeCell ref="M579:M582"/>
    <mergeCell ref="N579:N582"/>
    <mergeCell ref="O579:O582"/>
    <mergeCell ref="P579:P582"/>
    <mergeCell ref="A579:A582"/>
    <mergeCell ref="B579:B582"/>
    <mergeCell ref="C579:C582"/>
    <mergeCell ref="D579:D582"/>
    <mergeCell ref="I579:I582"/>
    <mergeCell ref="J579:J582"/>
    <mergeCell ref="K575:K578"/>
    <mergeCell ref="L575:L578"/>
    <mergeCell ref="M575:M578"/>
    <mergeCell ref="N575:N578"/>
    <mergeCell ref="O575:O578"/>
    <mergeCell ref="P575:P578"/>
    <mergeCell ref="A575:A578"/>
    <mergeCell ref="B575:B578"/>
    <mergeCell ref="C575:C578"/>
    <mergeCell ref="D575:D578"/>
    <mergeCell ref="I575:I578"/>
    <mergeCell ref="J575:J578"/>
    <mergeCell ref="K571:K574"/>
    <mergeCell ref="L571:L574"/>
    <mergeCell ref="M571:M574"/>
    <mergeCell ref="N571:N574"/>
    <mergeCell ref="O571:O574"/>
    <mergeCell ref="P571:P574"/>
    <mergeCell ref="A571:A574"/>
    <mergeCell ref="B571:B574"/>
    <mergeCell ref="C571:C574"/>
    <mergeCell ref="D571:D574"/>
    <mergeCell ref="I571:I574"/>
    <mergeCell ref="J571:J574"/>
    <mergeCell ref="K567:K570"/>
    <mergeCell ref="L567:L570"/>
    <mergeCell ref="M567:M570"/>
    <mergeCell ref="N567:N570"/>
    <mergeCell ref="O567:O570"/>
    <mergeCell ref="P567:P570"/>
    <mergeCell ref="A567:A570"/>
    <mergeCell ref="B567:B570"/>
    <mergeCell ref="C567:C570"/>
    <mergeCell ref="D567:D570"/>
    <mergeCell ref="I567:I570"/>
    <mergeCell ref="J567:J570"/>
    <mergeCell ref="K563:K566"/>
    <mergeCell ref="L563:L566"/>
    <mergeCell ref="M563:M566"/>
    <mergeCell ref="N563:N566"/>
    <mergeCell ref="O563:O566"/>
    <mergeCell ref="P563:P566"/>
    <mergeCell ref="A563:A566"/>
    <mergeCell ref="B563:B566"/>
    <mergeCell ref="C563:C566"/>
    <mergeCell ref="D563:D566"/>
    <mergeCell ref="I563:I566"/>
    <mergeCell ref="J563:J566"/>
    <mergeCell ref="K559:K562"/>
    <mergeCell ref="L559:L562"/>
    <mergeCell ref="M559:M562"/>
    <mergeCell ref="N559:N562"/>
    <mergeCell ref="O559:O562"/>
    <mergeCell ref="P559:P562"/>
    <mergeCell ref="A559:A562"/>
    <mergeCell ref="B559:B562"/>
    <mergeCell ref="C559:C562"/>
    <mergeCell ref="D559:D562"/>
    <mergeCell ref="I559:I562"/>
    <mergeCell ref="J559:J562"/>
    <mergeCell ref="K555:K558"/>
    <mergeCell ref="L555:L558"/>
    <mergeCell ref="M555:M558"/>
    <mergeCell ref="N555:N558"/>
    <mergeCell ref="O555:O558"/>
    <mergeCell ref="P555:P558"/>
    <mergeCell ref="A555:A558"/>
    <mergeCell ref="B555:B558"/>
    <mergeCell ref="C555:C558"/>
    <mergeCell ref="D555:D558"/>
    <mergeCell ref="I555:I558"/>
    <mergeCell ref="J555:J558"/>
    <mergeCell ref="K551:K554"/>
    <mergeCell ref="L551:L554"/>
    <mergeCell ref="M551:M554"/>
    <mergeCell ref="N551:N554"/>
    <mergeCell ref="O551:O554"/>
    <mergeCell ref="P551:P554"/>
    <mergeCell ref="A551:A554"/>
    <mergeCell ref="B551:B554"/>
    <mergeCell ref="C551:C554"/>
    <mergeCell ref="D551:D554"/>
    <mergeCell ref="I551:I554"/>
    <mergeCell ref="J551:J554"/>
    <mergeCell ref="K547:K550"/>
    <mergeCell ref="L547:L550"/>
    <mergeCell ref="M547:M550"/>
    <mergeCell ref="N547:N550"/>
    <mergeCell ref="O547:O550"/>
    <mergeCell ref="P547:P550"/>
    <mergeCell ref="A547:A550"/>
    <mergeCell ref="B547:B550"/>
    <mergeCell ref="C547:C550"/>
    <mergeCell ref="D547:D550"/>
    <mergeCell ref="I547:I550"/>
    <mergeCell ref="J547:J550"/>
    <mergeCell ref="K543:K546"/>
    <mergeCell ref="L543:L546"/>
    <mergeCell ref="M543:M546"/>
    <mergeCell ref="N543:N546"/>
    <mergeCell ref="O543:O546"/>
    <mergeCell ref="P543:P546"/>
    <mergeCell ref="A543:A546"/>
    <mergeCell ref="B543:B546"/>
    <mergeCell ref="C543:C546"/>
    <mergeCell ref="D543:D546"/>
    <mergeCell ref="I543:I546"/>
    <mergeCell ref="J543:J546"/>
    <mergeCell ref="K539:K542"/>
    <mergeCell ref="L539:L542"/>
    <mergeCell ref="M539:M542"/>
    <mergeCell ref="N539:N542"/>
    <mergeCell ref="O539:O542"/>
    <mergeCell ref="P539:P542"/>
    <mergeCell ref="A539:A542"/>
    <mergeCell ref="B539:B542"/>
    <mergeCell ref="C539:C542"/>
    <mergeCell ref="D539:D542"/>
    <mergeCell ref="I539:I542"/>
    <mergeCell ref="J539:J542"/>
    <mergeCell ref="K535:K538"/>
    <mergeCell ref="L535:L538"/>
    <mergeCell ref="M535:M538"/>
    <mergeCell ref="N535:N538"/>
    <mergeCell ref="O535:O538"/>
    <mergeCell ref="P535:P538"/>
    <mergeCell ref="A535:A538"/>
    <mergeCell ref="B535:B538"/>
    <mergeCell ref="C535:C538"/>
    <mergeCell ref="D535:D538"/>
    <mergeCell ref="I535:I538"/>
    <mergeCell ref="J535:J538"/>
    <mergeCell ref="K531:K534"/>
    <mergeCell ref="L531:L534"/>
    <mergeCell ref="M531:M534"/>
    <mergeCell ref="N531:N534"/>
    <mergeCell ref="O531:O534"/>
    <mergeCell ref="P531:P534"/>
    <mergeCell ref="A531:A534"/>
    <mergeCell ref="B531:B534"/>
    <mergeCell ref="C531:C534"/>
    <mergeCell ref="D531:D534"/>
    <mergeCell ref="I531:I534"/>
    <mergeCell ref="J531:J534"/>
    <mergeCell ref="K527:K530"/>
    <mergeCell ref="L527:L530"/>
    <mergeCell ref="M527:M530"/>
    <mergeCell ref="N527:N530"/>
    <mergeCell ref="O527:O530"/>
    <mergeCell ref="P527:P530"/>
    <mergeCell ref="A527:A530"/>
    <mergeCell ref="B527:B530"/>
    <mergeCell ref="C527:C530"/>
    <mergeCell ref="D527:D530"/>
    <mergeCell ref="I527:I530"/>
    <mergeCell ref="J527:J530"/>
    <mergeCell ref="K523:K526"/>
    <mergeCell ref="L523:L526"/>
    <mergeCell ref="M523:M526"/>
    <mergeCell ref="N523:N526"/>
    <mergeCell ref="O523:O526"/>
    <mergeCell ref="P523:P526"/>
    <mergeCell ref="A523:A526"/>
    <mergeCell ref="B523:B526"/>
    <mergeCell ref="C523:C526"/>
    <mergeCell ref="D523:D526"/>
    <mergeCell ref="I523:I526"/>
    <mergeCell ref="J523:J526"/>
    <mergeCell ref="K519:K522"/>
    <mergeCell ref="L519:L522"/>
    <mergeCell ref="M519:M522"/>
    <mergeCell ref="N519:N522"/>
    <mergeCell ref="O519:O522"/>
    <mergeCell ref="P519:P522"/>
    <mergeCell ref="A519:A522"/>
    <mergeCell ref="B519:B522"/>
    <mergeCell ref="C519:C522"/>
    <mergeCell ref="D519:D522"/>
    <mergeCell ref="I519:I522"/>
    <mergeCell ref="J519:J522"/>
    <mergeCell ref="K515:K518"/>
    <mergeCell ref="L515:L518"/>
    <mergeCell ref="M515:M518"/>
    <mergeCell ref="N515:N518"/>
    <mergeCell ref="O515:O518"/>
    <mergeCell ref="P515:P518"/>
    <mergeCell ref="A515:A518"/>
    <mergeCell ref="B515:B518"/>
    <mergeCell ref="C515:C518"/>
    <mergeCell ref="D515:D518"/>
    <mergeCell ref="I515:I518"/>
    <mergeCell ref="J515:J518"/>
    <mergeCell ref="K511:K514"/>
    <mergeCell ref="L511:L514"/>
    <mergeCell ref="M511:M514"/>
    <mergeCell ref="N511:N514"/>
    <mergeCell ref="O511:O514"/>
    <mergeCell ref="P511:P514"/>
    <mergeCell ref="A511:A514"/>
    <mergeCell ref="B511:B514"/>
    <mergeCell ref="C511:C514"/>
    <mergeCell ref="D511:D514"/>
    <mergeCell ref="I511:I514"/>
    <mergeCell ref="J511:J514"/>
    <mergeCell ref="K507:K510"/>
    <mergeCell ref="L507:L510"/>
    <mergeCell ref="M507:M510"/>
    <mergeCell ref="N507:N510"/>
    <mergeCell ref="O507:O510"/>
    <mergeCell ref="P507:P510"/>
    <mergeCell ref="A507:A510"/>
    <mergeCell ref="B507:B510"/>
    <mergeCell ref="C507:C510"/>
    <mergeCell ref="D507:D510"/>
    <mergeCell ref="I507:I510"/>
    <mergeCell ref="J507:J510"/>
    <mergeCell ref="K503:K506"/>
    <mergeCell ref="L503:L506"/>
    <mergeCell ref="M503:M506"/>
    <mergeCell ref="N503:N506"/>
    <mergeCell ref="O503:O506"/>
    <mergeCell ref="P503:P506"/>
    <mergeCell ref="A503:A506"/>
    <mergeCell ref="B503:B506"/>
    <mergeCell ref="C503:C506"/>
    <mergeCell ref="D503:D506"/>
    <mergeCell ref="I503:I506"/>
    <mergeCell ref="J503:J506"/>
    <mergeCell ref="K499:K502"/>
    <mergeCell ref="L499:L502"/>
    <mergeCell ref="M499:M502"/>
    <mergeCell ref="N499:N502"/>
    <mergeCell ref="O499:O502"/>
    <mergeCell ref="P499:P502"/>
    <mergeCell ref="A499:A502"/>
    <mergeCell ref="B499:B502"/>
    <mergeCell ref="C499:C502"/>
    <mergeCell ref="D499:D502"/>
    <mergeCell ref="I499:I502"/>
    <mergeCell ref="J499:J502"/>
    <mergeCell ref="K495:K498"/>
    <mergeCell ref="L495:L498"/>
    <mergeCell ref="M495:M498"/>
    <mergeCell ref="N495:N498"/>
    <mergeCell ref="O495:O498"/>
    <mergeCell ref="P495:P498"/>
    <mergeCell ref="A495:A498"/>
    <mergeCell ref="B495:B498"/>
    <mergeCell ref="C495:C498"/>
    <mergeCell ref="D495:D498"/>
    <mergeCell ref="I495:I498"/>
    <mergeCell ref="J495:J498"/>
    <mergeCell ref="K491:K494"/>
    <mergeCell ref="L491:L494"/>
    <mergeCell ref="M491:M494"/>
    <mergeCell ref="N491:N494"/>
    <mergeCell ref="O491:O494"/>
    <mergeCell ref="P491:P494"/>
    <mergeCell ref="A491:A494"/>
    <mergeCell ref="B491:B494"/>
    <mergeCell ref="C491:C494"/>
    <mergeCell ref="D491:D494"/>
    <mergeCell ref="I491:I494"/>
    <mergeCell ref="J491:J494"/>
    <mergeCell ref="K487:K490"/>
    <mergeCell ref="L487:L490"/>
    <mergeCell ref="M487:M490"/>
    <mergeCell ref="N487:N490"/>
    <mergeCell ref="O487:O490"/>
    <mergeCell ref="P487:P490"/>
    <mergeCell ref="A487:A490"/>
    <mergeCell ref="B487:B490"/>
    <mergeCell ref="C487:C490"/>
    <mergeCell ref="D487:D490"/>
    <mergeCell ref="I487:I490"/>
    <mergeCell ref="J487:J490"/>
    <mergeCell ref="K483:K486"/>
    <mergeCell ref="L483:L486"/>
    <mergeCell ref="M483:M486"/>
    <mergeCell ref="N483:N486"/>
    <mergeCell ref="O483:O486"/>
    <mergeCell ref="P483:P486"/>
    <mergeCell ref="A483:A486"/>
    <mergeCell ref="B483:B486"/>
    <mergeCell ref="C483:C486"/>
    <mergeCell ref="D483:D486"/>
    <mergeCell ref="I483:I486"/>
    <mergeCell ref="J483:J486"/>
    <mergeCell ref="K479:K482"/>
    <mergeCell ref="L479:L482"/>
    <mergeCell ref="M479:M482"/>
    <mergeCell ref="N479:N482"/>
    <mergeCell ref="O479:O482"/>
    <mergeCell ref="P479:P482"/>
    <mergeCell ref="A479:A482"/>
    <mergeCell ref="B479:B482"/>
    <mergeCell ref="C479:C482"/>
    <mergeCell ref="D479:D482"/>
    <mergeCell ref="I479:I482"/>
    <mergeCell ref="J479:J482"/>
    <mergeCell ref="K475:K478"/>
    <mergeCell ref="L475:L478"/>
    <mergeCell ref="M475:M478"/>
    <mergeCell ref="N475:N478"/>
    <mergeCell ref="O475:O478"/>
    <mergeCell ref="P475:P478"/>
    <mergeCell ref="A475:A478"/>
    <mergeCell ref="B475:B478"/>
    <mergeCell ref="C475:C478"/>
    <mergeCell ref="D475:D478"/>
    <mergeCell ref="I475:I478"/>
    <mergeCell ref="J475:J478"/>
    <mergeCell ref="K471:K474"/>
    <mergeCell ref="L471:L474"/>
    <mergeCell ref="M471:M474"/>
    <mergeCell ref="N471:N474"/>
    <mergeCell ref="O471:O474"/>
    <mergeCell ref="P471:P474"/>
    <mergeCell ref="A471:A474"/>
    <mergeCell ref="B471:B474"/>
    <mergeCell ref="C471:C474"/>
    <mergeCell ref="D471:D474"/>
    <mergeCell ref="I471:I474"/>
    <mergeCell ref="J471:J474"/>
    <mergeCell ref="K467:K470"/>
    <mergeCell ref="L467:L470"/>
    <mergeCell ref="M467:M470"/>
    <mergeCell ref="N467:N470"/>
    <mergeCell ref="O467:O470"/>
    <mergeCell ref="P467:P470"/>
    <mergeCell ref="A467:A470"/>
    <mergeCell ref="B467:B470"/>
    <mergeCell ref="C467:C470"/>
    <mergeCell ref="D467:D470"/>
    <mergeCell ref="I467:I470"/>
    <mergeCell ref="J467:J470"/>
    <mergeCell ref="K463:K466"/>
    <mergeCell ref="L463:L466"/>
    <mergeCell ref="M463:M466"/>
    <mergeCell ref="N463:N466"/>
    <mergeCell ref="O463:O466"/>
    <mergeCell ref="P463:P466"/>
    <mergeCell ref="A463:A466"/>
    <mergeCell ref="B463:B466"/>
    <mergeCell ref="C463:C466"/>
    <mergeCell ref="D463:D466"/>
    <mergeCell ref="I463:I466"/>
    <mergeCell ref="J463:J466"/>
    <mergeCell ref="K459:K462"/>
    <mergeCell ref="L459:L462"/>
    <mergeCell ref="M459:M462"/>
    <mergeCell ref="N459:N462"/>
    <mergeCell ref="O459:O462"/>
    <mergeCell ref="P459:P462"/>
    <mergeCell ref="A459:A462"/>
    <mergeCell ref="B459:B462"/>
    <mergeCell ref="C459:C462"/>
    <mergeCell ref="D459:D462"/>
    <mergeCell ref="I459:I462"/>
    <mergeCell ref="J459:J462"/>
    <mergeCell ref="K455:K458"/>
    <mergeCell ref="L455:L458"/>
    <mergeCell ref="M455:M458"/>
    <mergeCell ref="N455:N458"/>
    <mergeCell ref="O455:O458"/>
    <mergeCell ref="P455:P458"/>
    <mergeCell ref="A455:A458"/>
    <mergeCell ref="B455:B458"/>
    <mergeCell ref="C455:C458"/>
    <mergeCell ref="D455:D458"/>
    <mergeCell ref="I455:I458"/>
    <mergeCell ref="J455:J458"/>
    <mergeCell ref="K451:K454"/>
    <mergeCell ref="L451:L454"/>
    <mergeCell ref="M451:M454"/>
    <mergeCell ref="N451:N454"/>
    <mergeCell ref="O451:O454"/>
    <mergeCell ref="P451:P454"/>
    <mergeCell ref="A451:A454"/>
    <mergeCell ref="B451:B454"/>
    <mergeCell ref="C451:C454"/>
    <mergeCell ref="D451:D454"/>
    <mergeCell ref="I451:I454"/>
    <mergeCell ref="J451:J454"/>
    <mergeCell ref="K447:K450"/>
    <mergeCell ref="L447:L450"/>
    <mergeCell ref="M447:M450"/>
    <mergeCell ref="N447:N450"/>
    <mergeCell ref="O447:O450"/>
    <mergeCell ref="P447:P450"/>
    <mergeCell ref="A447:A450"/>
    <mergeCell ref="B447:B450"/>
    <mergeCell ref="C447:C450"/>
    <mergeCell ref="D447:D450"/>
    <mergeCell ref="I447:I450"/>
    <mergeCell ref="J447:J450"/>
    <mergeCell ref="K443:K446"/>
    <mergeCell ref="L443:L446"/>
    <mergeCell ref="M443:M446"/>
    <mergeCell ref="N443:N446"/>
    <mergeCell ref="O443:O446"/>
    <mergeCell ref="P443:P446"/>
    <mergeCell ref="A443:A446"/>
    <mergeCell ref="B443:B446"/>
    <mergeCell ref="C443:C446"/>
    <mergeCell ref="D443:D446"/>
    <mergeCell ref="I443:I446"/>
    <mergeCell ref="J443:J446"/>
    <mergeCell ref="K439:K442"/>
    <mergeCell ref="L439:L442"/>
    <mergeCell ref="M439:M442"/>
    <mergeCell ref="N439:N442"/>
    <mergeCell ref="O439:O442"/>
    <mergeCell ref="P439:P442"/>
    <mergeCell ref="A439:A442"/>
    <mergeCell ref="B439:B442"/>
    <mergeCell ref="C439:C442"/>
    <mergeCell ref="D439:D442"/>
    <mergeCell ref="I439:I442"/>
    <mergeCell ref="J439:J442"/>
    <mergeCell ref="K435:K438"/>
    <mergeCell ref="L435:L438"/>
    <mergeCell ref="M435:M438"/>
    <mergeCell ref="N435:N438"/>
    <mergeCell ref="O435:O438"/>
    <mergeCell ref="P435:P438"/>
    <mergeCell ref="A435:A438"/>
    <mergeCell ref="B435:B438"/>
    <mergeCell ref="C435:C438"/>
    <mergeCell ref="D435:D438"/>
    <mergeCell ref="I435:I438"/>
    <mergeCell ref="J435:J438"/>
    <mergeCell ref="K431:K434"/>
    <mergeCell ref="L431:L434"/>
    <mergeCell ref="M431:M434"/>
    <mergeCell ref="N431:N434"/>
    <mergeCell ref="O431:O434"/>
    <mergeCell ref="P431:P434"/>
    <mergeCell ref="A431:A434"/>
    <mergeCell ref="B431:B434"/>
    <mergeCell ref="C431:C434"/>
    <mergeCell ref="D431:D434"/>
    <mergeCell ref="I431:I434"/>
    <mergeCell ref="J431:J434"/>
    <mergeCell ref="K427:K430"/>
    <mergeCell ref="L427:L430"/>
    <mergeCell ref="M427:M430"/>
    <mergeCell ref="N427:N430"/>
    <mergeCell ref="O427:O430"/>
    <mergeCell ref="P427:P430"/>
    <mergeCell ref="A427:A430"/>
    <mergeCell ref="B427:B430"/>
    <mergeCell ref="C427:C430"/>
    <mergeCell ref="D427:D430"/>
    <mergeCell ref="I427:I430"/>
    <mergeCell ref="J427:J430"/>
    <mergeCell ref="K423:K426"/>
    <mergeCell ref="L423:L426"/>
    <mergeCell ref="M423:M426"/>
    <mergeCell ref="N423:N426"/>
    <mergeCell ref="O423:O426"/>
    <mergeCell ref="P423:P426"/>
    <mergeCell ref="A423:A426"/>
    <mergeCell ref="B423:B426"/>
    <mergeCell ref="C423:C426"/>
    <mergeCell ref="D423:D426"/>
    <mergeCell ref="I423:I426"/>
    <mergeCell ref="J423:J426"/>
    <mergeCell ref="K419:K422"/>
    <mergeCell ref="L419:L422"/>
    <mergeCell ref="M419:M422"/>
    <mergeCell ref="N419:N422"/>
    <mergeCell ref="O419:O422"/>
    <mergeCell ref="P419:P422"/>
    <mergeCell ref="A419:A422"/>
    <mergeCell ref="B419:B422"/>
    <mergeCell ref="C419:C422"/>
    <mergeCell ref="D419:D422"/>
    <mergeCell ref="I419:I422"/>
    <mergeCell ref="J419:J422"/>
    <mergeCell ref="K415:K418"/>
    <mergeCell ref="L415:L418"/>
    <mergeCell ref="M415:M418"/>
    <mergeCell ref="N415:N418"/>
    <mergeCell ref="O415:O418"/>
    <mergeCell ref="P415:P418"/>
    <mergeCell ref="A415:A418"/>
    <mergeCell ref="B415:B418"/>
    <mergeCell ref="C415:C418"/>
    <mergeCell ref="D415:D418"/>
    <mergeCell ref="I415:I418"/>
    <mergeCell ref="J415:J418"/>
    <mergeCell ref="K411:K414"/>
    <mergeCell ref="L411:L414"/>
    <mergeCell ref="M411:M414"/>
    <mergeCell ref="N411:N414"/>
    <mergeCell ref="O411:O414"/>
    <mergeCell ref="P411:P414"/>
    <mergeCell ref="A411:A414"/>
    <mergeCell ref="B411:B414"/>
    <mergeCell ref="C411:C414"/>
    <mergeCell ref="D411:D414"/>
    <mergeCell ref="I411:I414"/>
    <mergeCell ref="J411:J414"/>
    <mergeCell ref="K407:K410"/>
    <mergeCell ref="L407:L410"/>
    <mergeCell ref="M407:M410"/>
    <mergeCell ref="N407:N410"/>
    <mergeCell ref="O407:O410"/>
    <mergeCell ref="P407:P410"/>
    <mergeCell ref="A407:A410"/>
    <mergeCell ref="B407:B410"/>
    <mergeCell ref="C407:C410"/>
    <mergeCell ref="D407:D410"/>
    <mergeCell ref="I407:I410"/>
    <mergeCell ref="J407:J410"/>
    <mergeCell ref="K403:K406"/>
    <mergeCell ref="L403:L406"/>
    <mergeCell ref="M403:M406"/>
    <mergeCell ref="N403:N406"/>
    <mergeCell ref="O403:O406"/>
    <mergeCell ref="P403:P406"/>
    <mergeCell ref="A403:A406"/>
    <mergeCell ref="B403:B406"/>
    <mergeCell ref="C403:C406"/>
    <mergeCell ref="D403:D406"/>
    <mergeCell ref="I403:I406"/>
    <mergeCell ref="J403:J406"/>
    <mergeCell ref="K399:K402"/>
    <mergeCell ref="L399:L402"/>
    <mergeCell ref="M399:M402"/>
    <mergeCell ref="N399:N402"/>
    <mergeCell ref="O399:O402"/>
    <mergeCell ref="P399:P402"/>
    <mergeCell ref="A399:A402"/>
    <mergeCell ref="B399:B402"/>
    <mergeCell ref="C399:C402"/>
    <mergeCell ref="D399:D402"/>
    <mergeCell ref="I399:I402"/>
    <mergeCell ref="J399:J402"/>
    <mergeCell ref="K395:K398"/>
    <mergeCell ref="L395:L398"/>
    <mergeCell ref="M395:M398"/>
    <mergeCell ref="N395:N398"/>
    <mergeCell ref="O395:O398"/>
    <mergeCell ref="P395:P398"/>
    <mergeCell ref="A395:A398"/>
    <mergeCell ref="B395:B398"/>
    <mergeCell ref="C395:C398"/>
    <mergeCell ref="D395:D398"/>
    <mergeCell ref="I395:I398"/>
    <mergeCell ref="J395:J398"/>
    <mergeCell ref="K391:K394"/>
    <mergeCell ref="L391:L394"/>
    <mergeCell ref="M391:M394"/>
    <mergeCell ref="N391:N394"/>
    <mergeCell ref="O391:O394"/>
    <mergeCell ref="P391:P394"/>
    <mergeCell ref="A391:A394"/>
    <mergeCell ref="B391:B394"/>
    <mergeCell ref="C391:C394"/>
    <mergeCell ref="D391:D394"/>
    <mergeCell ref="I391:I394"/>
    <mergeCell ref="J391:J394"/>
    <mergeCell ref="K387:K390"/>
    <mergeCell ref="L387:L390"/>
    <mergeCell ref="M387:M390"/>
    <mergeCell ref="N387:N390"/>
    <mergeCell ref="O387:O390"/>
    <mergeCell ref="P387:P390"/>
    <mergeCell ref="A387:A390"/>
    <mergeCell ref="B387:B390"/>
    <mergeCell ref="C387:C390"/>
    <mergeCell ref="D387:D390"/>
    <mergeCell ref="I387:I390"/>
    <mergeCell ref="J387:J390"/>
    <mergeCell ref="K383:K386"/>
    <mergeCell ref="L383:L386"/>
    <mergeCell ref="M383:M386"/>
    <mergeCell ref="N383:N386"/>
    <mergeCell ref="O383:O386"/>
    <mergeCell ref="P383:P386"/>
    <mergeCell ref="A383:A386"/>
    <mergeCell ref="B383:B386"/>
    <mergeCell ref="C383:C386"/>
    <mergeCell ref="D383:D386"/>
    <mergeCell ref="I383:I386"/>
    <mergeCell ref="J383:J386"/>
    <mergeCell ref="K379:K382"/>
    <mergeCell ref="L379:L382"/>
    <mergeCell ref="M379:M382"/>
    <mergeCell ref="N379:N382"/>
    <mergeCell ref="O379:O382"/>
    <mergeCell ref="P379:P382"/>
    <mergeCell ref="A379:A382"/>
    <mergeCell ref="B379:B382"/>
    <mergeCell ref="C379:C382"/>
    <mergeCell ref="D379:D382"/>
    <mergeCell ref="I379:I382"/>
    <mergeCell ref="J379:J382"/>
    <mergeCell ref="K375:K378"/>
    <mergeCell ref="L375:L378"/>
    <mergeCell ref="M375:M378"/>
    <mergeCell ref="N375:N378"/>
    <mergeCell ref="O375:O378"/>
    <mergeCell ref="P375:P378"/>
    <mergeCell ref="A375:A378"/>
    <mergeCell ref="B375:B378"/>
    <mergeCell ref="C375:C378"/>
    <mergeCell ref="D375:D378"/>
    <mergeCell ref="I375:I378"/>
    <mergeCell ref="J375:J378"/>
    <mergeCell ref="K371:K374"/>
    <mergeCell ref="L371:L374"/>
    <mergeCell ref="M371:M374"/>
    <mergeCell ref="N371:N374"/>
    <mergeCell ref="O371:O374"/>
    <mergeCell ref="P371:P374"/>
    <mergeCell ref="A371:A374"/>
    <mergeCell ref="B371:B374"/>
    <mergeCell ref="C371:C374"/>
    <mergeCell ref="D371:D374"/>
    <mergeCell ref="I371:I374"/>
    <mergeCell ref="J371:J374"/>
    <mergeCell ref="K367:K370"/>
    <mergeCell ref="L367:L370"/>
    <mergeCell ref="M367:M370"/>
    <mergeCell ref="N367:N370"/>
    <mergeCell ref="O367:O370"/>
    <mergeCell ref="P367:P370"/>
    <mergeCell ref="A367:A370"/>
    <mergeCell ref="B367:B370"/>
    <mergeCell ref="C367:C370"/>
    <mergeCell ref="D367:D370"/>
    <mergeCell ref="I367:I370"/>
    <mergeCell ref="J367:J370"/>
    <mergeCell ref="K363:K366"/>
    <mergeCell ref="L363:L366"/>
    <mergeCell ref="M363:M366"/>
    <mergeCell ref="N363:N366"/>
    <mergeCell ref="O363:O366"/>
    <mergeCell ref="P363:P366"/>
    <mergeCell ref="A363:A366"/>
    <mergeCell ref="B363:B366"/>
    <mergeCell ref="C363:C366"/>
    <mergeCell ref="D363:D366"/>
    <mergeCell ref="I363:I366"/>
    <mergeCell ref="J363:J366"/>
    <mergeCell ref="K359:K362"/>
    <mergeCell ref="L359:L362"/>
    <mergeCell ref="M359:M362"/>
    <mergeCell ref="N359:N362"/>
    <mergeCell ref="O359:O362"/>
    <mergeCell ref="P359:P362"/>
    <mergeCell ref="A359:A362"/>
    <mergeCell ref="B359:B362"/>
    <mergeCell ref="C359:C362"/>
    <mergeCell ref="D359:D362"/>
    <mergeCell ref="I359:I362"/>
    <mergeCell ref="J359:J362"/>
    <mergeCell ref="K355:K358"/>
    <mergeCell ref="L355:L358"/>
    <mergeCell ref="M355:M358"/>
    <mergeCell ref="N355:N358"/>
    <mergeCell ref="O355:O358"/>
    <mergeCell ref="P355:P358"/>
    <mergeCell ref="A355:A358"/>
    <mergeCell ref="B355:B358"/>
    <mergeCell ref="C355:C358"/>
    <mergeCell ref="D355:D358"/>
    <mergeCell ref="I355:I358"/>
    <mergeCell ref="J355:J358"/>
    <mergeCell ref="K351:K354"/>
    <mergeCell ref="L351:L354"/>
    <mergeCell ref="M351:M354"/>
    <mergeCell ref="N351:N354"/>
    <mergeCell ref="O351:O354"/>
    <mergeCell ref="P351:P354"/>
    <mergeCell ref="A351:A354"/>
    <mergeCell ref="B351:B354"/>
    <mergeCell ref="C351:C354"/>
    <mergeCell ref="D351:D354"/>
    <mergeCell ref="I351:I354"/>
    <mergeCell ref="J351:J354"/>
    <mergeCell ref="K347:K350"/>
    <mergeCell ref="L347:L350"/>
    <mergeCell ref="M347:M350"/>
    <mergeCell ref="N347:N350"/>
    <mergeCell ref="O347:O350"/>
    <mergeCell ref="P347:P350"/>
    <mergeCell ref="A347:A350"/>
    <mergeCell ref="B347:B350"/>
    <mergeCell ref="C347:C350"/>
    <mergeCell ref="D347:D350"/>
    <mergeCell ref="I347:I350"/>
    <mergeCell ref="J347:J350"/>
    <mergeCell ref="K343:K346"/>
    <mergeCell ref="L343:L346"/>
    <mergeCell ref="M343:M346"/>
    <mergeCell ref="N343:N346"/>
    <mergeCell ref="O343:O346"/>
    <mergeCell ref="P343:P346"/>
    <mergeCell ref="A343:A346"/>
    <mergeCell ref="B343:B346"/>
    <mergeCell ref="C343:C346"/>
    <mergeCell ref="D343:D346"/>
    <mergeCell ref="I343:I346"/>
    <mergeCell ref="J343:J346"/>
    <mergeCell ref="K339:K342"/>
    <mergeCell ref="L339:L342"/>
    <mergeCell ref="M339:M342"/>
    <mergeCell ref="N339:N342"/>
    <mergeCell ref="O339:O342"/>
    <mergeCell ref="P339:P342"/>
    <mergeCell ref="A339:A342"/>
    <mergeCell ref="B339:B342"/>
    <mergeCell ref="C339:C342"/>
    <mergeCell ref="D339:D342"/>
    <mergeCell ref="I339:I342"/>
    <mergeCell ref="J339:J342"/>
    <mergeCell ref="K335:K338"/>
    <mergeCell ref="L335:L338"/>
    <mergeCell ref="M335:M338"/>
    <mergeCell ref="N335:N338"/>
    <mergeCell ref="O335:O338"/>
    <mergeCell ref="P335:P338"/>
    <mergeCell ref="A335:A338"/>
    <mergeCell ref="B335:B338"/>
    <mergeCell ref="C335:C338"/>
    <mergeCell ref="D335:D338"/>
    <mergeCell ref="I335:I338"/>
    <mergeCell ref="J335:J338"/>
    <mergeCell ref="K331:K334"/>
    <mergeCell ref="L331:L334"/>
    <mergeCell ref="M331:M334"/>
    <mergeCell ref="N331:N334"/>
    <mergeCell ref="O331:O334"/>
    <mergeCell ref="P331:P334"/>
    <mergeCell ref="A331:A334"/>
    <mergeCell ref="B331:B334"/>
    <mergeCell ref="C331:C334"/>
    <mergeCell ref="D331:D334"/>
    <mergeCell ref="I331:I334"/>
    <mergeCell ref="J331:J334"/>
    <mergeCell ref="K327:K330"/>
    <mergeCell ref="L327:L330"/>
    <mergeCell ref="M327:M330"/>
    <mergeCell ref="N327:N330"/>
    <mergeCell ref="O327:O330"/>
    <mergeCell ref="P327:P330"/>
    <mergeCell ref="A327:A330"/>
    <mergeCell ref="B327:B330"/>
    <mergeCell ref="C327:C330"/>
    <mergeCell ref="D327:D330"/>
    <mergeCell ref="I327:I330"/>
    <mergeCell ref="J327:J330"/>
    <mergeCell ref="K323:K326"/>
    <mergeCell ref="L323:L326"/>
    <mergeCell ref="M323:M326"/>
    <mergeCell ref="N323:N326"/>
    <mergeCell ref="O323:O326"/>
    <mergeCell ref="P323:P326"/>
    <mergeCell ref="A323:A326"/>
    <mergeCell ref="B323:B326"/>
    <mergeCell ref="C323:C326"/>
    <mergeCell ref="D323:D326"/>
    <mergeCell ref="I323:I326"/>
    <mergeCell ref="J323:J326"/>
    <mergeCell ref="K319:K322"/>
    <mergeCell ref="L319:L322"/>
    <mergeCell ref="M319:M322"/>
    <mergeCell ref="N319:N322"/>
    <mergeCell ref="O319:O322"/>
    <mergeCell ref="P319:P322"/>
    <mergeCell ref="A319:A322"/>
    <mergeCell ref="B319:B322"/>
    <mergeCell ref="C319:C322"/>
    <mergeCell ref="D319:D322"/>
    <mergeCell ref="I319:I322"/>
    <mergeCell ref="J319:J322"/>
    <mergeCell ref="K315:K318"/>
    <mergeCell ref="L315:L318"/>
    <mergeCell ref="M315:M318"/>
    <mergeCell ref="N315:N318"/>
    <mergeCell ref="O315:O318"/>
    <mergeCell ref="P315:P318"/>
    <mergeCell ref="A315:A318"/>
    <mergeCell ref="B315:B318"/>
    <mergeCell ref="C315:C318"/>
    <mergeCell ref="D315:D318"/>
    <mergeCell ref="I315:I318"/>
    <mergeCell ref="J315:J318"/>
    <mergeCell ref="K311:K314"/>
    <mergeCell ref="L311:L314"/>
    <mergeCell ref="M311:M314"/>
    <mergeCell ref="N311:N314"/>
    <mergeCell ref="O311:O314"/>
    <mergeCell ref="P311:P314"/>
    <mergeCell ref="A311:A314"/>
    <mergeCell ref="B311:B314"/>
    <mergeCell ref="C311:C314"/>
    <mergeCell ref="D311:D314"/>
    <mergeCell ref="I311:I314"/>
    <mergeCell ref="J311:J314"/>
    <mergeCell ref="K307:K310"/>
    <mergeCell ref="L307:L310"/>
    <mergeCell ref="M307:M310"/>
    <mergeCell ref="N307:N310"/>
    <mergeCell ref="O307:O310"/>
    <mergeCell ref="P307:P310"/>
    <mergeCell ref="A307:A310"/>
    <mergeCell ref="B307:B310"/>
    <mergeCell ref="C307:C310"/>
    <mergeCell ref="D307:D310"/>
    <mergeCell ref="I307:I310"/>
    <mergeCell ref="J307:J310"/>
    <mergeCell ref="K303:K306"/>
    <mergeCell ref="L303:L306"/>
    <mergeCell ref="M303:M306"/>
    <mergeCell ref="N303:N306"/>
    <mergeCell ref="O303:O306"/>
    <mergeCell ref="P303:P306"/>
    <mergeCell ref="A303:A306"/>
    <mergeCell ref="B303:B306"/>
    <mergeCell ref="C303:C306"/>
    <mergeCell ref="D303:D306"/>
    <mergeCell ref="I303:I306"/>
    <mergeCell ref="J303:J306"/>
    <mergeCell ref="K299:K302"/>
    <mergeCell ref="L299:L302"/>
    <mergeCell ref="M299:M302"/>
    <mergeCell ref="N299:N302"/>
    <mergeCell ref="O299:O302"/>
    <mergeCell ref="P299:P302"/>
    <mergeCell ref="A299:A302"/>
    <mergeCell ref="B299:B302"/>
    <mergeCell ref="C299:C302"/>
    <mergeCell ref="D299:D302"/>
    <mergeCell ref="I299:I302"/>
    <mergeCell ref="J299:J302"/>
    <mergeCell ref="K295:K298"/>
    <mergeCell ref="L295:L298"/>
    <mergeCell ref="M295:M298"/>
    <mergeCell ref="N295:N298"/>
    <mergeCell ref="O295:O298"/>
    <mergeCell ref="P295:P298"/>
    <mergeCell ref="A295:A298"/>
    <mergeCell ref="B295:B298"/>
    <mergeCell ref="C295:C298"/>
    <mergeCell ref="D295:D298"/>
    <mergeCell ref="I295:I298"/>
    <mergeCell ref="J295:J298"/>
    <mergeCell ref="K291:K294"/>
    <mergeCell ref="L291:L294"/>
    <mergeCell ref="M291:M294"/>
    <mergeCell ref="N291:N294"/>
    <mergeCell ref="O291:O294"/>
    <mergeCell ref="P291:P294"/>
    <mergeCell ref="A291:A294"/>
    <mergeCell ref="B291:B294"/>
    <mergeCell ref="C291:C294"/>
    <mergeCell ref="D291:D294"/>
    <mergeCell ref="I291:I294"/>
    <mergeCell ref="J291:J294"/>
    <mergeCell ref="K287:K290"/>
    <mergeCell ref="L287:L290"/>
    <mergeCell ref="M287:M290"/>
    <mergeCell ref="N287:N290"/>
    <mergeCell ref="O287:O290"/>
    <mergeCell ref="P287:P290"/>
    <mergeCell ref="A287:A290"/>
    <mergeCell ref="B287:B290"/>
    <mergeCell ref="C287:C290"/>
    <mergeCell ref="D287:D290"/>
    <mergeCell ref="I287:I290"/>
    <mergeCell ref="J287:J290"/>
    <mergeCell ref="K283:K286"/>
    <mergeCell ref="L283:L286"/>
    <mergeCell ref="M283:M286"/>
    <mergeCell ref="N283:N286"/>
    <mergeCell ref="O283:O286"/>
    <mergeCell ref="P283:P286"/>
    <mergeCell ref="A283:A286"/>
    <mergeCell ref="B283:B286"/>
    <mergeCell ref="C283:C286"/>
    <mergeCell ref="D283:D286"/>
    <mergeCell ref="I283:I286"/>
    <mergeCell ref="J283:J286"/>
    <mergeCell ref="K279:K282"/>
    <mergeCell ref="L279:L282"/>
    <mergeCell ref="M279:M282"/>
    <mergeCell ref="N279:N282"/>
    <mergeCell ref="O279:O282"/>
    <mergeCell ref="P279:P282"/>
    <mergeCell ref="A279:A282"/>
    <mergeCell ref="B279:B282"/>
    <mergeCell ref="C279:C282"/>
    <mergeCell ref="D279:D282"/>
    <mergeCell ref="I279:I282"/>
    <mergeCell ref="J279:J282"/>
    <mergeCell ref="K275:K278"/>
    <mergeCell ref="L275:L278"/>
    <mergeCell ref="M275:M278"/>
    <mergeCell ref="N275:N278"/>
    <mergeCell ref="O275:O278"/>
    <mergeCell ref="P275:P278"/>
    <mergeCell ref="A275:A278"/>
    <mergeCell ref="B275:B278"/>
    <mergeCell ref="C275:C278"/>
    <mergeCell ref="D275:D278"/>
    <mergeCell ref="I275:I278"/>
    <mergeCell ref="J275:J278"/>
    <mergeCell ref="K271:K274"/>
    <mergeCell ref="L271:L274"/>
    <mergeCell ref="M271:M274"/>
    <mergeCell ref="N271:N274"/>
    <mergeCell ref="O271:O274"/>
    <mergeCell ref="P271:P274"/>
    <mergeCell ref="A271:A274"/>
    <mergeCell ref="B271:B274"/>
    <mergeCell ref="C271:C274"/>
    <mergeCell ref="D271:D274"/>
    <mergeCell ref="I271:I274"/>
    <mergeCell ref="J271:J274"/>
    <mergeCell ref="K267:K270"/>
    <mergeCell ref="L267:L270"/>
    <mergeCell ref="M267:M270"/>
    <mergeCell ref="N267:N270"/>
    <mergeCell ref="O267:O270"/>
    <mergeCell ref="P267:P270"/>
    <mergeCell ref="A267:A270"/>
    <mergeCell ref="B267:B270"/>
    <mergeCell ref="C267:C270"/>
    <mergeCell ref="D267:D270"/>
    <mergeCell ref="I267:I270"/>
    <mergeCell ref="J267:J270"/>
    <mergeCell ref="K263:K266"/>
    <mergeCell ref="L263:L266"/>
    <mergeCell ref="M263:M266"/>
    <mergeCell ref="N263:N266"/>
    <mergeCell ref="O263:O266"/>
    <mergeCell ref="P263:P266"/>
    <mergeCell ref="A263:A266"/>
    <mergeCell ref="B263:B266"/>
    <mergeCell ref="C263:C266"/>
    <mergeCell ref="D263:D266"/>
    <mergeCell ref="I263:I266"/>
    <mergeCell ref="J263:J266"/>
    <mergeCell ref="K259:K262"/>
    <mergeCell ref="L259:L262"/>
    <mergeCell ref="M259:M262"/>
    <mergeCell ref="N259:N262"/>
    <mergeCell ref="O259:O262"/>
    <mergeCell ref="P259:P262"/>
    <mergeCell ref="A259:A262"/>
    <mergeCell ref="B259:B262"/>
    <mergeCell ref="C259:C262"/>
    <mergeCell ref="D259:D262"/>
    <mergeCell ref="I259:I262"/>
    <mergeCell ref="J259:J262"/>
    <mergeCell ref="K255:K258"/>
    <mergeCell ref="L255:L258"/>
    <mergeCell ref="M255:M258"/>
    <mergeCell ref="N255:N258"/>
    <mergeCell ref="O255:O258"/>
    <mergeCell ref="P255:P258"/>
    <mergeCell ref="A255:A258"/>
    <mergeCell ref="B255:B258"/>
    <mergeCell ref="C255:C258"/>
    <mergeCell ref="D255:D258"/>
    <mergeCell ref="I255:I258"/>
    <mergeCell ref="J255:J258"/>
    <mergeCell ref="K251:K254"/>
    <mergeCell ref="L251:L254"/>
    <mergeCell ref="M251:M254"/>
    <mergeCell ref="N251:N254"/>
    <mergeCell ref="O251:O254"/>
    <mergeCell ref="P251:P254"/>
    <mergeCell ref="A251:A254"/>
    <mergeCell ref="B251:B254"/>
    <mergeCell ref="C251:C254"/>
    <mergeCell ref="D251:D254"/>
    <mergeCell ref="I251:I254"/>
    <mergeCell ref="J251:J254"/>
    <mergeCell ref="K247:K250"/>
    <mergeCell ref="L247:L250"/>
    <mergeCell ref="M247:M250"/>
    <mergeCell ref="N247:N250"/>
    <mergeCell ref="O247:O250"/>
    <mergeCell ref="P247:P250"/>
    <mergeCell ref="A247:A250"/>
    <mergeCell ref="B247:B250"/>
    <mergeCell ref="C247:C250"/>
    <mergeCell ref="D247:D250"/>
    <mergeCell ref="I247:I250"/>
    <mergeCell ref="J247:J250"/>
    <mergeCell ref="K243:K246"/>
    <mergeCell ref="L243:L246"/>
    <mergeCell ref="M243:M246"/>
    <mergeCell ref="N243:N246"/>
    <mergeCell ref="O243:O246"/>
    <mergeCell ref="P243:P246"/>
    <mergeCell ref="A243:A246"/>
    <mergeCell ref="B243:B246"/>
    <mergeCell ref="C243:C246"/>
    <mergeCell ref="D243:D246"/>
    <mergeCell ref="I243:I246"/>
    <mergeCell ref="J243:J246"/>
    <mergeCell ref="K239:K242"/>
    <mergeCell ref="L239:L242"/>
    <mergeCell ref="M239:M242"/>
    <mergeCell ref="N239:N242"/>
    <mergeCell ref="O239:O242"/>
    <mergeCell ref="P239:P242"/>
    <mergeCell ref="A239:A242"/>
    <mergeCell ref="B239:B242"/>
    <mergeCell ref="C239:C242"/>
    <mergeCell ref="D239:D242"/>
    <mergeCell ref="I239:I242"/>
    <mergeCell ref="J239:J242"/>
    <mergeCell ref="K235:K238"/>
    <mergeCell ref="L235:L238"/>
    <mergeCell ref="M235:M238"/>
    <mergeCell ref="N235:N238"/>
    <mergeCell ref="O235:O238"/>
    <mergeCell ref="P235:P238"/>
    <mergeCell ref="A235:A238"/>
    <mergeCell ref="B235:B238"/>
    <mergeCell ref="C235:C238"/>
    <mergeCell ref="D235:D238"/>
    <mergeCell ref="I235:I238"/>
    <mergeCell ref="J235:J238"/>
    <mergeCell ref="K231:K234"/>
    <mergeCell ref="L231:L234"/>
    <mergeCell ref="M231:M234"/>
    <mergeCell ref="N231:N234"/>
    <mergeCell ref="O231:O234"/>
    <mergeCell ref="P231:P234"/>
    <mergeCell ref="A231:A234"/>
    <mergeCell ref="B231:B234"/>
    <mergeCell ref="C231:C234"/>
    <mergeCell ref="D231:D234"/>
    <mergeCell ref="I231:I234"/>
    <mergeCell ref="J231:J234"/>
    <mergeCell ref="K227:K230"/>
    <mergeCell ref="L227:L230"/>
    <mergeCell ref="M227:M230"/>
    <mergeCell ref="N227:N230"/>
    <mergeCell ref="O227:O230"/>
    <mergeCell ref="P227:P230"/>
    <mergeCell ref="A227:A230"/>
    <mergeCell ref="B227:B230"/>
    <mergeCell ref="C227:C230"/>
    <mergeCell ref="D227:D230"/>
    <mergeCell ref="I227:I230"/>
    <mergeCell ref="J227:J230"/>
    <mergeCell ref="K223:K226"/>
    <mergeCell ref="L223:L226"/>
    <mergeCell ref="M223:M226"/>
    <mergeCell ref="N223:N226"/>
    <mergeCell ref="O223:O226"/>
    <mergeCell ref="P223:P226"/>
    <mergeCell ref="A223:A226"/>
    <mergeCell ref="B223:B226"/>
    <mergeCell ref="C223:C226"/>
    <mergeCell ref="D223:D226"/>
    <mergeCell ref="I223:I226"/>
    <mergeCell ref="J223:J226"/>
    <mergeCell ref="K219:K222"/>
    <mergeCell ref="L219:L222"/>
    <mergeCell ref="M219:M222"/>
    <mergeCell ref="N219:N222"/>
    <mergeCell ref="O219:O222"/>
    <mergeCell ref="P219:P222"/>
    <mergeCell ref="A219:A222"/>
    <mergeCell ref="B219:B222"/>
    <mergeCell ref="C219:C222"/>
    <mergeCell ref="D219:D222"/>
    <mergeCell ref="I219:I222"/>
    <mergeCell ref="J219:J222"/>
    <mergeCell ref="K215:K218"/>
    <mergeCell ref="L215:L218"/>
    <mergeCell ref="M215:M218"/>
    <mergeCell ref="N215:N218"/>
    <mergeCell ref="O215:O218"/>
    <mergeCell ref="P215:P218"/>
    <mergeCell ref="A215:A218"/>
    <mergeCell ref="B215:B218"/>
    <mergeCell ref="C215:C218"/>
    <mergeCell ref="D215:D218"/>
    <mergeCell ref="I215:I218"/>
    <mergeCell ref="J215:J218"/>
    <mergeCell ref="K211:K214"/>
    <mergeCell ref="L211:L214"/>
    <mergeCell ref="M211:M214"/>
    <mergeCell ref="N211:N214"/>
    <mergeCell ref="O211:O214"/>
    <mergeCell ref="P211:P214"/>
    <mergeCell ref="A211:A214"/>
    <mergeCell ref="B211:B214"/>
    <mergeCell ref="C211:C214"/>
    <mergeCell ref="D211:D214"/>
    <mergeCell ref="I211:I214"/>
    <mergeCell ref="J211:J214"/>
    <mergeCell ref="K207:K210"/>
    <mergeCell ref="L207:L210"/>
    <mergeCell ref="M207:M210"/>
    <mergeCell ref="N207:N210"/>
    <mergeCell ref="O207:O210"/>
    <mergeCell ref="P207:P210"/>
    <mergeCell ref="A207:A210"/>
    <mergeCell ref="B207:B210"/>
    <mergeCell ref="C207:C210"/>
    <mergeCell ref="D207:D210"/>
    <mergeCell ref="I207:I210"/>
    <mergeCell ref="J207:J210"/>
    <mergeCell ref="K203:K206"/>
    <mergeCell ref="L203:L206"/>
    <mergeCell ref="M203:M206"/>
    <mergeCell ref="N203:N206"/>
    <mergeCell ref="O203:O206"/>
    <mergeCell ref="P203:P206"/>
    <mergeCell ref="A203:A206"/>
    <mergeCell ref="B203:B206"/>
    <mergeCell ref="C203:C206"/>
    <mergeCell ref="D203:D206"/>
    <mergeCell ref="I203:I206"/>
    <mergeCell ref="J203:J206"/>
    <mergeCell ref="K199:K202"/>
    <mergeCell ref="L199:L202"/>
    <mergeCell ref="M199:M202"/>
    <mergeCell ref="N199:N202"/>
    <mergeCell ref="O199:O202"/>
    <mergeCell ref="P199:P202"/>
    <mergeCell ref="A199:A202"/>
    <mergeCell ref="B199:B202"/>
    <mergeCell ref="C199:C202"/>
    <mergeCell ref="D199:D202"/>
    <mergeCell ref="I199:I202"/>
    <mergeCell ref="J199:J202"/>
    <mergeCell ref="K195:K198"/>
    <mergeCell ref="L195:L198"/>
    <mergeCell ref="M195:M198"/>
    <mergeCell ref="N195:N198"/>
    <mergeCell ref="O195:O198"/>
    <mergeCell ref="P195:P198"/>
    <mergeCell ref="A195:A198"/>
    <mergeCell ref="B195:B198"/>
    <mergeCell ref="C195:C198"/>
    <mergeCell ref="D195:D198"/>
    <mergeCell ref="I195:I198"/>
    <mergeCell ref="J195:J198"/>
    <mergeCell ref="K191:K194"/>
    <mergeCell ref="L191:L194"/>
    <mergeCell ref="M191:M194"/>
    <mergeCell ref="N191:N194"/>
    <mergeCell ref="O191:O194"/>
    <mergeCell ref="P191:P194"/>
    <mergeCell ref="A191:A194"/>
    <mergeCell ref="B191:B194"/>
    <mergeCell ref="C191:C194"/>
    <mergeCell ref="D191:D194"/>
    <mergeCell ref="I191:I194"/>
    <mergeCell ref="J191:J194"/>
    <mergeCell ref="K187:K190"/>
    <mergeCell ref="L187:L190"/>
    <mergeCell ref="M187:M190"/>
    <mergeCell ref="N187:N190"/>
    <mergeCell ref="O187:O190"/>
    <mergeCell ref="P187:P190"/>
    <mergeCell ref="A187:A190"/>
    <mergeCell ref="B187:B190"/>
    <mergeCell ref="C187:C190"/>
    <mergeCell ref="D187:D190"/>
    <mergeCell ref="I187:I190"/>
    <mergeCell ref="J187:J190"/>
    <mergeCell ref="K183:K186"/>
    <mergeCell ref="L183:L186"/>
    <mergeCell ref="M183:M186"/>
    <mergeCell ref="N183:N186"/>
    <mergeCell ref="O183:O186"/>
    <mergeCell ref="P183:P186"/>
    <mergeCell ref="A183:A186"/>
    <mergeCell ref="B183:B186"/>
    <mergeCell ref="C183:C186"/>
    <mergeCell ref="D183:D186"/>
    <mergeCell ref="I183:I186"/>
    <mergeCell ref="J183:J186"/>
    <mergeCell ref="K179:K182"/>
    <mergeCell ref="L179:L182"/>
    <mergeCell ref="M179:M182"/>
    <mergeCell ref="N179:N182"/>
    <mergeCell ref="O179:O182"/>
    <mergeCell ref="P179:P182"/>
    <mergeCell ref="A179:A182"/>
    <mergeCell ref="B179:B182"/>
    <mergeCell ref="C179:C182"/>
    <mergeCell ref="D179:D182"/>
    <mergeCell ref="I179:I182"/>
    <mergeCell ref="J179:J182"/>
    <mergeCell ref="K175:K178"/>
    <mergeCell ref="L175:L178"/>
    <mergeCell ref="M175:M178"/>
    <mergeCell ref="N175:N178"/>
    <mergeCell ref="O175:O178"/>
    <mergeCell ref="P175:P178"/>
    <mergeCell ref="A175:A178"/>
    <mergeCell ref="B175:B178"/>
    <mergeCell ref="C175:C178"/>
    <mergeCell ref="D175:D178"/>
    <mergeCell ref="I175:I178"/>
    <mergeCell ref="J175:J178"/>
    <mergeCell ref="K171:K174"/>
    <mergeCell ref="L171:L174"/>
    <mergeCell ref="M171:M174"/>
    <mergeCell ref="N171:N174"/>
    <mergeCell ref="O171:O174"/>
    <mergeCell ref="P171:P174"/>
    <mergeCell ref="A171:A174"/>
    <mergeCell ref="B171:B174"/>
    <mergeCell ref="C171:C174"/>
    <mergeCell ref="D171:D174"/>
    <mergeCell ref="I171:I174"/>
    <mergeCell ref="J171:J174"/>
    <mergeCell ref="K167:K170"/>
    <mergeCell ref="L167:L170"/>
    <mergeCell ref="M167:M170"/>
    <mergeCell ref="N167:N170"/>
    <mergeCell ref="O167:O170"/>
    <mergeCell ref="P167:P170"/>
    <mergeCell ref="A167:A170"/>
    <mergeCell ref="B167:B170"/>
    <mergeCell ref="C167:C170"/>
    <mergeCell ref="D167:D170"/>
    <mergeCell ref="I167:I170"/>
    <mergeCell ref="J167:J170"/>
    <mergeCell ref="K163:K166"/>
    <mergeCell ref="L163:L166"/>
    <mergeCell ref="M163:M166"/>
    <mergeCell ref="N163:N166"/>
    <mergeCell ref="O163:O166"/>
    <mergeCell ref="P163:P166"/>
    <mergeCell ref="A163:A166"/>
    <mergeCell ref="B163:B166"/>
    <mergeCell ref="C163:C166"/>
    <mergeCell ref="D163:D166"/>
    <mergeCell ref="I163:I166"/>
    <mergeCell ref="J163:J166"/>
    <mergeCell ref="K159:K162"/>
    <mergeCell ref="L159:L162"/>
    <mergeCell ref="M159:M162"/>
    <mergeCell ref="N159:N162"/>
    <mergeCell ref="O159:O162"/>
    <mergeCell ref="P159:P162"/>
    <mergeCell ref="A159:A162"/>
    <mergeCell ref="B159:B162"/>
    <mergeCell ref="C159:C162"/>
    <mergeCell ref="D159:D162"/>
    <mergeCell ref="I159:I162"/>
    <mergeCell ref="J159:J162"/>
    <mergeCell ref="K155:K158"/>
    <mergeCell ref="L155:L158"/>
    <mergeCell ref="M155:M158"/>
    <mergeCell ref="N155:N158"/>
    <mergeCell ref="O155:O158"/>
    <mergeCell ref="P155:P158"/>
    <mergeCell ref="A155:A158"/>
    <mergeCell ref="B155:B158"/>
    <mergeCell ref="C155:C158"/>
    <mergeCell ref="D155:D158"/>
    <mergeCell ref="I155:I158"/>
    <mergeCell ref="J155:J158"/>
    <mergeCell ref="K151:K154"/>
    <mergeCell ref="L151:L154"/>
    <mergeCell ref="M151:M154"/>
    <mergeCell ref="N151:N154"/>
    <mergeCell ref="O151:O154"/>
    <mergeCell ref="P151:P154"/>
    <mergeCell ref="A151:A154"/>
    <mergeCell ref="B151:B154"/>
    <mergeCell ref="C151:C154"/>
    <mergeCell ref="D151:D154"/>
    <mergeCell ref="I151:I154"/>
    <mergeCell ref="J151:J154"/>
    <mergeCell ref="K147:K150"/>
    <mergeCell ref="L147:L150"/>
    <mergeCell ref="M147:M150"/>
    <mergeCell ref="N147:N150"/>
    <mergeCell ref="O147:O150"/>
    <mergeCell ref="P147:P150"/>
    <mergeCell ref="A147:A150"/>
    <mergeCell ref="B147:B150"/>
    <mergeCell ref="C147:C150"/>
    <mergeCell ref="D147:D150"/>
    <mergeCell ref="I147:I150"/>
    <mergeCell ref="J147:J150"/>
    <mergeCell ref="K143:K146"/>
    <mergeCell ref="L143:L146"/>
    <mergeCell ref="M143:M146"/>
    <mergeCell ref="N143:N146"/>
    <mergeCell ref="O143:O146"/>
    <mergeCell ref="P143:P146"/>
    <mergeCell ref="A143:A146"/>
    <mergeCell ref="B143:B146"/>
    <mergeCell ref="C143:C146"/>
    <mergeCell ref="D143:D146"/>
    <mergeCell ref="I143:I146"/>
    <mergeCell ref="J143:J146"/>
    <mergeCell ref="K139:K142"/>
    <mergeCell ref="L139:L142"/>
    <mergeCell ref="M139:M142"/>
    <mergeCell ref="N139:N142"/>
    <mergeCell ref="O139:O142"/>
    <mergeCell ref="P139:P142"/>
    <mergeCell ref="A139:A142"/>
    <mergeCell ref="B139:B142"/>
    <mergeCell ref="C139:C142"/>
    <mergeCell ref="D139:D142"/>
    <mergeCell ref="I139:I142"/>
    <mergeCell ref="J139:J142"/>
    <mergeCell ref="K135:K138"/>
    <mergeCell ref="L135:L138"/>
    <mergeCell ref="M135:M138"/>
    <mergeCell ref="N135:N138"/>
    <mergeCell ref="O135:O138"/>
    <mergeCell ref="P135:P138"/>
    <mergeCell ref="A135:A138"/>
    <mergeCell ref="B135:B138"/>
    <mergeCell ref="C135:C138"/>
    <mergeCell ref="D135:D138"/>
    <mergeCell ref="I135:I138"/>
    <mergeCell ref="J135:J138"/>
    <mergeCell ref="K131:K134"/>
    <mergeCell ref="L131:L134"/>
    <mergeCell ref="M131:M134"/>
    <mergeCell ref="N131:N134"/>
    <mergeCell ref="O131:O134"/>
    <mergeCell ref="P131:P134"/>
    <mergeCell ref="A131:A134"/>
    <mergeCell ref="B131:B134"/>
    <mergeCell ref="C131:C134"/>
    <mergeCell ref="D131:D134"/>
    <mergeCell ref="I131:I134"/>
    <mergeCell ref="J131:J134"/>
    <mergeCell ref="K127:K130"/>
    <mergeCell ref="L127:L130"/>
    <mergeCell ref="M127:M130"/>
    <mergeCell ref="N127:N130"/>
    <mergeCell ref="O127:O130"/>
    <mergeCell ref="P127:P130"/>
    <mergeCell ref="A127:A130"/>
    <mergeCell ref="B127:B130"/>
    <mergeCell ref="C127:C130"/>
    <mergeCell ref="D127:D130"/>
    <mergeCell ref="I127:I130"/>
    <mergeCell ref="J127:J130"/>
    <mergeCell ref="K123:K126"/>
    <mergeCell ref="L123:L126"/>
    <mergeCell ref="M123:M126"/>
    <mergeCell ref="N123:N126"/>
    <mergeCell ref="O123:O126"/>
    <mergeCell ref="P123:P126"/>
    <mergeCell ref="A123:A126"/>
    <mergeCell ref="B123:B126"/>
    <mergeCell ref="C123:C126"/>
    <mergeCell ref="D123:D126"/>
    <mergeCell ref="I123:I126"/>
    <mergeCell ref="J123:J126"/>
    <mergeCell ref="K119:K122"/>
    <mergeCell ref="L119:L122"/>
    <mergeCell ref="M119:M122"/>
    <mergeCell ref="N119:N122"/>
    <mergeCell ref="O119:O122"/>
    <mergeCell ref="P119:P122"/>
    <mergeCell ref="A119:A122"/>
    <mergeCell ref="B119:B122"/>
    <mergeCell ref="C119:C122"/>
    <mergeCell ref="D119:D122"/>
    <mergeCell ref="I119:I122"/>
    <mergeCell ref="J119:J122"/>
    <mergeCell ref="K115:K118"/>
    <mergeCell ref="L115:L118"/>
    <mergeCell ref="M115:M118"/>
    <mergeCell ref="N115:N118"/>
    <mergeCell ref="O115:O118"/>
    <mergeCell ref="P115:P118"/>
    <mergeCell ref="A115:A118"/>
    <mergeCell ref="B115:B118"/>
    <mergeCell ref="C115:C118"/>
    <mergeCell ref="D115:D118"/>
    <mergeCell ref="I115:I118"/>
    <mergeCell ref="J115:J118"/>
    <mergeCell ref="K111:K114"/>
    <mergeCell ref="L111:L114"/>
    <mergeCell ref="M111:M114"/>
    <mergeCell ref="N111:N114"/>
    <mergeCell ref="O111:O114"/>
    <mergeCell ref="P111:P114"/>
    <mergeCell ref="A111:A114"/>
    <mergeCell ref="B111:B114"/>
    <mergeCell ref="C111:C114"/>
    <mergeCell ref="D111:D114"/>
    <mergeCell ref="I111:I114"/>
    <mergeCell ref="J111:J114"/>
    <mergeCell ref="K107:K110"/>
    <mergeCell ref="L107:L110"/>
    <mergeCell ref="M107:M110"/>
    <mergeCell ref="N107:N110"/>
    <mergeCell ref="O107:O110"/>
    <mergeCell ref="P107:P110"/>
    <mergeCell ref="A107:A110"/>
    <mergeCell ref="B107:B110"/>
    <mergeCell ref="C107:C110"/>
    <mergeCell ref="D107:D110"/>
    <mergeCell ref="I107:I110"/>
    <mergeCell ref="J107:J110"/>
    <mergeCell ref="K103:K106"/>
    <mergeCell ref="L103:L106"/>
    <mergeCell ref="M103:M106"/>
    <mergeCell ref="N103:N106"/>
    <mergeCell ref="O103:O106"/>
    <mergeCell ref="P103:P106"/>
    <mergeCell ref="A103:A106"/>
    <mergeCell ref="B103:B106"/>
    <mergeCell ref="C103:C106"/>
    <mergeCell ref="D103:D106"/>
    <mergeCell ref="I103:I106"/>
    <mergeCell ref="J103:J106"/>
    <mergeCell ref="K99:K102"/>
    <mergeCell ref="L99:L102"/>
    <mergeCell ref="M99:M102"/>
    <mergeCell ref="N99:N102"/>
    <mergeCell ref="O99:O102"/>
    <mergeCell ref="P99:P102"/>
    <mergeCell ref="A99:A102"/>
    <mergeCell ref="B99:B102"/>
    <mergeCell ref="C99:C102"/>
    <mergeCell ref="D99:D102"/>
    <mergeCell ref="I99:I102"/>
    <mergeCell ref="J99:J102"/>
    <mergeCell ref="K95:K98"/>
    <mergeCell ref="L95:L98"/>
    <mergeCell ref="M95:M98"/>
    <mergeCell ref="N95:N98"/>
    <mergeCell ref="O95:O98"/>
    <mergeCell ref="P95:P98"/>
    <mergeCell ref="A95:A98"/>
    <mergeCell ref="B95:B98"/>
    <mergeCell ref="C95:C98"/>
    <mergeCell ref="D95:D98"/>
    <mergeCell ref="I95:I98"/>
    <mergeCell ref="J95:J98"/>
    <mergeCell ref="K91:K94"/>
    <mergeCell ref="L91:L94"/>
    <mergeCell ref="M91:M94"/>
    <mergeCell ref="N91:N94"/>
    <mergeCell ref="O91:O94"/>
    <mergeCell ref="P91:P94"/>
    <mergeCell ref="A91:A94"/>
    <mergeCell ref="B91:B94"/>
    <mergeCell ref="C91:C94"/>
    <mergeCell ref="D91:D94"/>
    <mergeCell ref="I91:I94"/>
    <mergeCell ref="J91:J94"/>
    <mergeCell ref="K87:K90"/>
    <mergeCell ref="L87:L90"/>
    <mergeCell ref="M87:M90"/>
    <mergeCell ref="N87:N90"/>
    <mergeCell ref="O87:O90"/>
    <mergeCell ref="P87:P90"/>
    <mergeCell ref="A87:A90"/>
    <mergeCell ref="B87:B90"/>
    <mergeCell ref="C87:C90"/>
    <mergeCell ref="D87:D90"/>
    <mergeCell ref="I87:I90"/>
    <mergeCell ref="J87:J90"/>
    <mergeCell ref="K83:K86"/>
    <mergeCell ref="L83:L86"/>
    <mergeCell ref="M83:M86"/>
    <mergeCell ref="N83:N86"/>
    <mergeCell ref="O83:O86"/>
    <mergeCell ref="P83:P86"/>
    <mergeCell ref="A83:A86"/>
    <mergeCell ref="B83:B86"/>
    <mergeCell ref="C83:C86"/>
    <mergeCell ref="D83:D86"/>
    <mergeCell ref="I83:I86"/>
    <mergeCell ref="J83:J86"/>
    <mergeCell ref="K79:K82"/>
    <mergeCell ref="L79:L82"/>
    <mergeCell ref="M79:M82"/>
    <mergeCell ref="N79:N82"/>
    <mergeCell ref="O79:O82"/>
    <mergeCell ref="P79:P82"/>
    <mergeCell ref="A79:A82"/>
    <mergeCell ref="B79:B82"/>
    <mergeCell ref="C79:C82"/>
    <mergeCell ref="D79:D82"/>
    <mergeCell ref="I79:I82"/>
    <mergeCell ref="J79:J82"/>
    <mergeCell ref="K75:K78"/>
    <mergeCell ref="L75:L78"/>
    <mergeCell ref="M75:M78"/>
    <mergeCell ref="N75:N78"/>
    <mergeCell ref="O75:O78"/>
    <mergeCell ref="P75:P78"/>
    <mergeCell ref="A75:A78"/>
    <mergeCell ref="B75:B78"/>
    <mergeCell ref="C75:C78"/>
    <mergeCell ref="D75:D78"/>
    <mergeCell ref="I75:I78"/>
    <mergeCell ref="J75:J78"/>
    <mergeCell ref="K71:K74"/>
    <mergeCell ref="L71:L74"/>
    <mergeCell ref="M71:M74"/>
    <mergeCell ref="N71:N74"/>
    <mergeCell ref="O71:O74"/>
    <mergeCell ref="P71:P74"/>
    <mergeCell ref="A71:A74"/>
    <mergeCell ref="B71:B74"/>
    <mergeCell ref="C71:C74"/>
    <mergeCell ref="D71:D74"/>
    <mergeCell ref="I71:I74"/>
    <mergeCell ref="J71:J74"/>
    <mergeCell ref="K67:K70"/>
    <mergeCell ref="L67:L70"/>
    <mergeCell ref="M67:M70"/>
    <mergeCell ref="N67:N70"/>
    <mergeCell ref="O67:O70"/>
    <mergeCell ref="P67:P70"/>
    <mergeCell ref="A67:A70"/>
    <mergeCell ref="B67:B70"/>
    <mergeCell ref="C67:C70"/>
    <mergeCell ref="D67:D70"/>
    <mergeCell ref="I67:I70"/>
    <mergeCell ref="J67:J70"/>
    <mergeCell ref="K63:K66"/>
    <mergeCell ref="L63:L66"/>
    <mergeCell ref="M63:M66"/>
    <mergeCell ref="N63:N66"/>
    <mergeCell ref="O63:O66"/>
    <mergeCell ref="P63:P66"/>
    <mergeCell ref="A63:A66"/>
    <mergeCell ref="B63:B66"/>
    <mergeCell ref="C63:C66"/>
    <mergeCell ref="D63:D66"/>
    <mergeCell ref="I63:I66"/>
    <mergeCell ref="J63:J66"/>
    <mergeCell ref="K59:K62"/>
    <mergeCell ref="L59:L62"/>
    <mergeCell ref="M59:M62"/>
    <mergeCell ref="N59:N62"/>
    <mergeCell ref="O59:O62"/>
    <mergeCell ref="P59:P62"/>
    <mergeCell ref="A59:A62"/>
    <mergeCell ref="B59:B62"/>
    <mergeCell ref="C59:C62"/>
    <mergeCell ref="D59:D62"/>
    <mergeCell ref="I59:I62"/>
    <mergeCell ref="J59:J62"/>
    <mergeCell ref="K55:K58"/>
    <mergeCell ref="L55:L58"/>
    <mergeCell ref="M55:M58"/>
    <mergeCell ref="N55:N58"/>
    <mergeCell ref="O55:O58"/>
    <mergeCell ref="P55:P58"/>
    <mergeCell ref="A55:A58"/>
    <mergeCell ref="B55:B58"/>
    <mergeCell ref="C55:C58"/>
    <mergeCell ref="D55:D58"/>
    <mergeCell ref="I55:I58"/>
    <mergeCell ref="J55:J58"/>
    <mergeCell ref="K51:K54"/>
    <mergeCell ref="L51:L54"/>
    <mergeCell ref="M51:M54"/>
    <mergeCell ref="N51:N54"/>
    <mergeCell ref="O51:O54"/>
    <mergeCell ref="P51:P54"/>
    <mergeCell ref="A51:A54"/>
    <mergeCell ref="B51:B54"/>
    <mergeCell ref="C51:C54"/>
    <mergeCell ref="D51:D54"/>
    <mergeCell ref="I51:I54"/>
    <mergeCell ref="J51:J54"/>
    <mergeCell ref="K47:K50"/>
    <mergeCell ref="L47:L50"/>
    <mergeCell ref="M47:M50"/>
    <mergeCell ref="N47:N50"/>
    <mergeCell ref="O47:O50"/>
    <mergeCell ref="P47:P50"/>
    <mergeCell ref="A47:A50"/>
    <mergeCell ref="B47:B50"/>
    <mergeCell ref="C47:C50"/>
    <mergeCell ref="D47:D50"/>
    <mergeCell ref="I47:I50"/>
    <mergeCell ref="J47:J50"/>
    <mergeCell ref="K43:K46"/>
    <mergeCell ref="L43:L46"/>
    <mergeCell ref="M43:M46"/>
    <mergeCell ref="N43:N46"/>
    <mergeCell ref="O43:O46"/>
    <mergeCell ref="P43:P46"/>
    <mergeCell ref="A43:A46"/>
    <mergeCell ref="B43:B46"/>
    <mergeCell ref="C43:C46"/>
    <mergeCell ref="D43:D46"/>
    <mergeCell ref="I43:I46"/>
    <mergeCell ref="J43:J46"/>
    <mergeCell ref="K39:K42"/>
    <mergeCell ref="L39:L42"/>
    <mergeCell ref="M39:M42"/>
    <mergeCell ref="N39:N42"/>
    <mergeCell ref="O39:O42"/>
    <mergeCell ref="P39:P42"/>
    <mergeCell ref="A39:A42"/>
    <mergeCell ref="B39:B42"/>
    <mergeCell ref="C39:C42"/>
    <mergeCell ref="D39:D42"/>
    <mergeCell ref="I39:I42"/>
    <mergeCell ref="J39:J42"/>
    <mergeCell ref="K35:K38"/>
    <mergeCell ref="L35:L38"/>
    <mergeCell ref="M35:M38"/>
    <mergeCell ref="N35:N38"/>
    <mergeCell ref="O35:O38"/>
    <mergeCell ref="P35:P38"/>
    <mergeCell ref="A35:A38"/>
    <mergeCell ref="B35:B38"/>
    <mergeCell ref="C35:C38"/>
    <mergeCell ref="D35:D38"/>
    <mergeCell ref="I35:I38"/>
    <mergeCell ref="J35:J38"/>
    <mergeCell ref="K31:K34"/>
    <mergeCell ref="L31:L34"/>
    <mergeCell ref="M31:M34"/>
    <mergeCell ref="N31:N34"/>
    <mergeCell ref="O31:O34"/>
    <mergeCell ref="P31:P34"/>
    <mergeCell ref="A31:A34"/>
    <mergeCell ref="B31:B34"/>
    <mergeCell ref="C31:C34"/>
    <mergeCell ref="D31:D34"/>
    <mergeCell ref="I31:I34"/>
    <mergeCell ref="J31:J34"/>
    <mergeCell ref="K27:K30"/>
    <mergeCell ref="L27:L30"/>
    <mergeCell ref="M27:M30"/>
    <mergeCell ref="N27:N30"/>
    <mergeCell ref="O27:O30"/>
    <mergeCell ref="P27:P30"/>
    <mergeCell ref="A27:A30"/>
    <mergeCell ref="B27:B30"/>
    <mergeCell ref="C27:C30"/>
    <mergeCell ref="D27:D30"/>
    <mergeCell ref="I27:I30"/>
    <mergeCell ref="J27:J30"/>
    <mergeCell ref="K23:K26"/>
    <mergeCell ref="L23:L26"/>
    <mergeCell ref="M23:M26"/>
    <mergeCell ref="N23:N26"/>
    <mergeCell ref="O23:O26"/>
    <mergeCell ref="P23:P26"/>
    <mergeCell ref="A23:A26"/>
    <mergeCell ref="B23:B26"/>
    <mergeCell ref="C23:C26"/>
    <mergeCell ref="D23:D26"/>
    <mergeCell ref="I23:I26"/>
    <mergeCell ref="J23:J26"/>
    <mergeCell ref="K19:K22"/>
    <mergeCell ref="L19:L22"/>
    <mergeCell ref="M19:M22"/>
    <mergeCell ref="N19:N22"/>
    <mergeCell ref="O19:O22"/>
    <mergeCell ref="P19:P22"/>
    <mergeCell ref="A19:A22"/>
    <mergeCell ref="B19:B22"/>
    <mergeCell ref="C19:C22"/>
    <mergeCell ref="D19:D22"/>
    <mergeCell ref="I19:I22"/>
    <mergeCell ref="J19:J22"/>
    <mergeCell ref="K15:K18"/>
    <mergeCell ref="L15:L18"/>
    <mergeCell ref="M15:M18"/>
    <mergeCell ref="N15:N18"/>
    <mergeCell ref="O15:O18"/>
    <mergeCell ref="P15:P18"/>
    <mergeCell ref="A15:A18"/>
    <mergeCell ref="B15:B18"/>
    <mergeCell ref="C15:C18"/>
    <mergeCell ref="D15:D18"/>
    <mergeCell ref="I15:I18"/>
    <mergeCell ref="J15:J18"/>
    <mergeCell ref="K11:K14"/>
    <mergeCell ref="L11:L14"/>
    <mergeCell ref="M11:M14"/>
    <mergeCell ref="N11:N14"/>
    <mergeCell ref="O11:O14"/>
    <mergeCell ref="P11:P14"/>
    <mergeCell ref="A11:A14"/>
    <mergeCell ref="B11:B14"/>
    <mergeCell ref="C11:C14"/>
    <mergeCell ref="D11:D14"/>
    <mergeCell ref="I11:I14"/>
    <mergeCell ref="J11:J14"/>
    <mergeCell ref="K7:K10"/>
    <mergeCell ref="L7:L10"/>
    <mergeCell ref="M7:M10"/>
    <mergeCell ref="N7:N10"/>
    <mergeCell ref="O7:O10"/>
    <mergeCell ref="P7:P10"/>
    <mergeCell ref="A7:A10"/>
    <mergeCell ref="B7:B10"/>
    <mergeCell ref="C7:C10"/>
    <mergeCell ref="D7:D10"/>
    <mergeCell ref="I7:I10"/>
    <mergeCell ref="J7:J10"/>
    <mergeCell ref="K3:K6"/>
    <mergeCell ref="L3:L6"/>
    <mergeCell ref="M3:M6"/>
    <mergeCell ref="N3:N6"/>
    <mergeCell ref="O3:O6"/>
    <mergeCell ref="P3:P6"/>
    <mergeCell ref="A3:A6"/>
    <mergeCell ref="B3:B6"/>
    <mergeCell ref="C3:C6"/>
    <mergeCell ref="D3:D6"/>
    <mergeCell ref="I3:I6"/>
    <mergeCell ref="J3:J6"/>
  </mergeCells>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1661EE-7ABE-4304-8E76-2DB6F5BC82B6}">
  <sheetPr codeName="工作表134"/>
  <dimension ref="A1:P58"/>
  <sheetViews>
    <sheetView workbookViewId="0">
      <selection activeCell="P7" sqref="P7:P10"/>
    </sheetView>
  </sheetViews>
  <sheetFormatPr defaultRowHeight="15.75" x14ac:dyDescent="0.25"/>
  <cols>
    <col min="1" max="15" width="9" style="167"/>
    <col min="16" max="16" width="99.375" style="167" bestFit="1" customWidth="1"/>
    <col min="17" max="16384" width="9" style="167"/>
  </cols>
  <sheetData>
    <row r="1" spans="1:16" x14ac:dyDescent="0.25">
      <c r="A1" s="167" t="s">
        <v>424</v>
      </c>
      <c r="B1" s="167" t="s">
        <v>425</v>
      </c>
      <c r="C1" s="167" t="s">
        <v>426</v>
      </c>
      <c r="D1" s="167" t="s">
        <v>427</v>
      </c>
      <c r="E1" s="167" t="s">
        <v>428</v>
      </c>
      <c r="F1" s="167" t="s">
        <v>428</v>
      </c>
      <c r="I1" s="167" t="s">
        <v>429</v>
      </c>
      <c r="J1" s="167" t="s">
        <v>430</v>
      </c>
      <c r="M1" s="167" t="s">
        <v>431</v>
      </c>
      <c r="N1" s="167" t="s">
        <v>432</v>
      </c>
      <c r="O1" s="167" t="s">
        <v>291</v>
      </c>
      <c r="P1" s="167" t="s">
        <v>281</v>
      </c>
    </row>
    <row r="2" spans="1:16" x14ac:dyDescent="0.25">
      <c r="F2" s="167" t="s">
        <v>354</v>
      </c>
      <c r="G2" s="167" t="s">
        <v>353</v>
      </c>
      <c r="H2" s="167" t="s">
        <v>356</v>
      </c>
      <c r="J2" s="167" t="s">
        <v>354</v>
      </c>
      <c r="K2" s="167" t="s">
        <v>353</v>
      </c>
      <c r="L2" s="167" t="s">
        <v>356</v>
      </c>
    </row>
    <row r="3" spans="1:16" x14ac:dyDescent="0.25">
      <c r="A3" s="177" t="s">
        <v>860</v>
      </c>
      <c r="B3" s="177" t="s">
        <v>1290</v>
      </c>
      <c r="C3" s="177">
        <v>60</v>
      </c>
      <c r="D3" s="177">
        <v>90</v>
      </c>
      <c r="E3" s="167" t="s">
        <v>433</v>
      </c>
      <c r="F3" s="167" t="s">
        <v>909</v>
      </c>
      <c r="G3" s="167" t="s">
        <v>905</v>
      </c>
      <c r="H3" s="167" t="s">
        <v>909</v>
      </c>
      <c r="I3" s="177" t="s">
        <v>902</v>
      </c>
      <c r="J3" s="177" t="s">
        <v>903</v>
      </c>
      <c r="K3" s="177" t="s">
        <v>903</v>
      </c>
      <c r="L3" s="177" t="s">
        <v>903</v>
      </c>
      <c r="M3" s="177">
        <v>830</v>
      </c>
      <c r="N3" s="177">
        <v>90</v>
      </c>
      <c r="O3" s="177" t="s">
        <v>1190</v>
      </c>
      <c r="P3" s="177" t="s">
        <v>1191</v>
      </c>
    </row>
    <row r="4" spans="1:16" x14ac:dyDescent="0.25">
      <c r="A4" s="177"/>
      <c r="B4" s="177"/>
      <c r="C4" s="177"/>
      <c r="D4" s="177"/>
      <c r="E4" s="167" t="s">
        <v>434</v>
      </c>
      <c r="F4" s="167" t="s">
        <v>910</v>
      </c>
      <c r="G4" s="167">
        <v>0</v>
      </c>
      <c r="H4" s="167" t="s">
        <v>905</v>
      </c>
      <c r="I4" s="177"/>
      <c r="J4" s="177"/>
      <c r="K4" s="177"/>
      <c r="L4" s="177"/>
      <c r="M4" s="177"/>
      <c r="N4" s="177"/>
      <c r="O4" s="177"/>
      <c r="P4" s="177"/>
    </row>
    <row r="5" spans="1:16" x14ac:dyDescent="0.25">
      <c r="A5" s="177"/>
      <c r="B5" s="177"/>
      <c r="C5" s="177"/>
      <c r="D5" s="177"/>
      <c r="E5" s="167" t="s">
        <v>433</v>
      </c>
      <c r="F5" s="167" t="s">
        <v>901</v>
      </c>
      <c r="G5" s="167">
        <v>0</v>
      </c>
      <c r="H5" s="167" t="s">
        <v>901</v>
      </c>
      <c r="I5" s="177"/>
      <c r="J5" s="177"/>
      <c r="K5" s="177"/>
      <c r="L5" s="177"/>
      <c r="M5" s="177"/>
      <c r="N5" s="177"/>
      <c r="O5" s="177"/>
      <c r="P5" s="177"/>
    </row>
    <row r="6" spans="1:16" x14ac:dyDescent="0.25">
      <c r="A6" s="177"/>
      <c r="B6" s="177"/>
      <c r="C6" s="177"/>
      <c r="D6" s="177"/>
      <c r="E6" s="167" t="s">
        <v>434</v>
      </c>
      <c r="F6" s="167" t="s">
        <v>909</v>
      </c>
      <c r="G6" s="167" t="s">
        <v>906</v>
      </c>
      <c r="H6" s="167" t="s">
        <v>909</v>
      </c>
      <c r="I6" s="177"/>
      <c r="J6" s="177"/>
      <c r="K6" s="177"/>
      <c r="L6" s="177"/>
      <c r="M6" s="177"/>
      <c r="N6" s="177"/>
      <c r="O6" s="177"/>
      <c r="P6" s="177"/>
    </row>
    <row r="7" spans="1:16" x14ac:dyDescent="0.25">
      <c r="A7" s="177" t="s">
        <v>860</v>
      </c>
      <c r="B7" s="177" t="s">
        <v>1297</v>
      </c>
      <c r="C7" s="177">
        <v>60</v>
      </c>
      <c r="D7" s="177">
        <v>90</v>
      </c>
      <c r="E7" s="167" t="s">
        <v>433</v>
      </c>
      <c r="F7" s="167" t="s">
        <v>907</v>
      </c>
      <c r="G7" s="167" t="s">
        <v>907</v>
      </c>
      <c r="H7" s="167" t="s">
        <v>907</v>
      </c>
      <c r="I7" s="177" t="s">
        <v>902</v>
      </c>
      <c r="J7" s="177" t="s">
        <v>903</v>
      </c>
      <c r="K7" s="177" t="s">
        <v>903</v>
      </c>
      <c r="L7" s="177" t="s">
        <v>903</v>
      </c>
      <c r="M7" s="177">
        <v>830</v>
      </c>
      <c r="N7" s="177">
        <v>90</v>
      </c>
      <c r="O7" s="177" t="s">
        <v>1293</v>
      </c>
      <c r="P7" s="179" t="s">
        <v>1294</v>
      </c>
    </row>
    <row r="8" spans="1:16" x14ac:dyDescent="0.25">
      <c r="A8" s="177"/>
      <c r="B8" s="177"/>
      <c r="C8" s="177"/>
      <c r="D8" s="177"/>
      <c r="E8" s="167" t="s">
        <v>434</v>
      </c>
      <c r="F8" s="167">
        <v>0</v>
      </c>
      <c r="G8" s="167">
        <v>0</v>
      </c>
      <c r="H8" s="167">
        <v>0</v>
      </c>
      <c r="I8" s="177"/>
      <c r="J8" s="177"/>
      <c r="K8" s="177"/>
      <c r="L8" s="177"/>
      <c r="M8" s="177"/>
      <c r="N8" s="177"/>
      <c r="O8" s="177"/>
      <c r="P8" s="177"/>
    </row>
    <row r="9" spans="1:16" x14ac:dyDescent="0.25">
      <c r="A9" s="177"/>
      <c r="B9" s="177"/>
      <c r="C9" s="177"/>
      <c r="D9" s="177"/>
      <c r="E9" s="167" t="s">
        <v>433</v>
      </c>
      <c r="F9" s="167">
        <v>0</v>
      </c>
      <c r="G9" s="167">
        <v>0</v>
      </c>
      <c r="H9" s="167">
        <v>0</v>
      </c>
      <c r="I9" s="177"/>
      <c r="J9" s="177"/>
      <c r="K9" s="177"/>
      <c r="L9" s="177"/>
      <c r="M9" s="177"/>
      <c r="N9" s="177"/>
      <c r="O9" s="177"/>
      <c r="P9" s="177"/>
    </row>
    <row r="10" spans="1:16" x14ac:dyDescent="0.25">
      <c r="A10" s="177"/>
      <c r="B10" s="177"/>
      <c r="C10" s="177"/>
      <c r="D10" s="177"/>
      <c r="E10" s="167" t="s">
        <v>434</v>
      </c>
      <c r="F10" s="167" t="s">
        <v>907</v>
      </c>
      <c r="G10" s="167" t="s">
        <v>907</v>
      </c>
      <c r="H10" s="167" t="s">
        <v>907</v>
      </c>
      <c r="I10" s="177"/>
      <c r="J10" s="177"/>
      <c r="K10" s="177"/>
      <c r="L10" s="177"/>
      <c r="M10" s="177"/>
      <c r="N10" s="177"/>
      <c r="O10" s="177"/>
      <c r="P10" s="177"/>
    </row>
    <row r="11" spans="1:16" x14ac:dyDescent="0.25">
      <c r="A11" s="177" t="s">
        <v>860</v>
      </c>
      <c r="B11" s="177" t="s">
        <v>1299</v>
      </c>
      <c r="C11" s="177">
        <v>60</v>
      </c>
      <c r="D11" s="177">
        <v>100</v>
      </c>
      <c r="E11" s="167" t="s">
        <v>433</v>
      </c>
      <c r="F11" s="167" t="s">
        <v>909</v>
      </c>
      <c r="G11" s="167" t="s">
        <v>905</v>
      </c>
      <c r="H11" s="167" t="s">
        <v>909</v>
      </c>
      <c r="I11" s="177" t="s">
        <v>902</v>
      </c>
      <c r="J11" s="177" t="s">
        <v>903</v>
      </c>
      <c r="K11" s="177" t="s">
        <v>903</v>
      </c>
      <c r="L11" s="177" t="s">
        <v>903</v>
      </c>
      <c r="M11" s="177">
        <v>830</v>
      </c>
      <c r="N11" s="177">
        <v>90</v>
      </c>
      <c r="O11" s="177" t="s">
        <v>1301</v>
      </c>
      <c r="P11" s="178" t="s">
        <v>1286</v>
      </c>
    </row>
    <row r="12" spans="1:16" x14ac:dyDescent="0.25">
      <c r="A12" s="177"/>
      <c r="B12" s="177"/>
      <c r="C12" s="177"/>
      <c r="D12" s="177"/>
      <c r="E12" s="167" t="s">
        <v>434</v>
      </c>
      <c r="F12" s="167" t="s">
        <v>910</v>
      </c>
      <c r="G12" s="167">
        <v>0</v>
      </c>
      <c r="H12" s="167" t="s">
        <v>905</v>
      </c>
      <c r="I12" s="177"/>
      <c r="J12" s="177"/>
      <c r="K12" s="177"/>
      <c r="L12" s="177"/>
      <c r="M12" s="177"/>
      <c r="N12" s="177"/>
      <c r="O12" s="177"/>
      <c r="P12" s="177"/>
    </row>
    <row r="13" spans="1:16" x14ac:dyDescent="0.25">
      <c r="A13" s="177"/>
      <c r="B13" s="177"/>
      <c r="C13" s="177"/>
      <c r="D13" s="177"/>
      <c r="E13" s="167" t="s">
        <v>433</v>
      </c>
      <c r="F13" s="167" t="s">
        <v>901</v>
      </c>
      <c r="G13" s="167">
        <v>0</v>
      </c>
      <c r="H13" s="167" t="s">
        <v>901</v>
      </c>
      <c r="I13" s="177"/>
      <c r="J13" s="177"/>
      <c r="K13" s="177"/>
      <c r="L13" s="177"/>
      <c r="M13" s="177"/>
      <c r="N13" s="177"/>
      <c r="O13" s="177"/>
      <c r="P13" s="177"/>
    </row>
    <row r="14" spans="1:16" x14ac:dyDescent="0.25">
      <c r="A14" s="177"/>
      <c r="B14" s="177"/>
      <c r="C14" s="177"/>
      <c r="D14" s="177"/>
      <c r="E14" s="167" t="s">
        <v>434</v>
      </c>
      <c r="F14" s="167" t="s">
        <v>909</v>
      </c>
      <c r="G14" s="167" t="s">
        <v>906</v>
      </c>
      <c r="H14" s="167" t="s">
        <v>909</v>
      </c>
      <c r="I14" s="177"/>
      <c r="J14" s="177"/>
      <c r="K14" s="177"/>
      <c r="L14" s="177"/>
      <c r="M14" s="177"/>
      <c r="N14" s="177"/>
      <c r="O14" s="177"/>
      <c r="P14" s="177"/>
    </row>
    <row r="15" spans="1:16" x14ac:dyDescent="0.25">
      <c r="A15" s="177" t="s">
        <v>860</v>
      </c>
      <c r="B15" s="177" t="s">
        <v>1310</v>
      </c>
      <c r="C15" s="177">
        <v>60</v>
      </c>
      <c r="D15" s="177">
        <v>90</v>
      </c>
      <c r="E15" s="167" t="s">
        <v>433</v>
      </c>
      <c r="F15" s="167" t="s">
        <v>909</v>
      </c>
      <c r="G15" s="167" t="s">
        <v>905</v>
      </c>
      <c r="H15" s="167" t="s">
        <v>909</v>
      </c>
      <c r="I15" s="177" t="s">
        <v>902</v>
      </c>
      <c r="J15" s="177" t="s">
        <v>903</v>
      </c>
      <c r="K15" s="177" t="s">
        <v>903</v>
      </c>
      <c r="L15" s="177" t="s">
        <v>903</v>
      </c>
      <c r="M15" s="177">
        <v>400</v>
      </c>
      <c r="N15" s="177">
        <v>90</v>
      </c>
      <c r="O15" s="177" t="s">
        <v>1302</v>
      </c>
      <c r="P15" s="178" t="s">
        <v>1288</v>
      </c>
    </row>
    <row r="16" spans="1:16" x14ac:dyDescent="0.25">
      <c r="A16" s="177"/>
      <c r="B16" s="177"/>
      <c r="C16" s="177"/>
      <c r="D16" s="177"/>
      <c r="E16" s="167" t="s">
        <v>434</v>
      </c>
      <c r="F16" s="167" t="s">
        <v>910</v>
      </c>
      <c r="G16" s="167">
        <v>0</v>
      </c>
      <c r="H16" s="167" t="s">
        <v>905</v>
      </c>
      <c r="I16" s="177"/>
      <c r="J16" s="177"/>
      <c r="K16" s="177"/>
      <c r="L16" s="177"/>
      <c r="M16" s="177"/>
      <c r="N16" s="177"/>
      <c r="O16" s="177"/>
      <c r="P16" s="177"/>
    </row>
    <row r="17" spans="1:16" x14ac:dyDescent="0.25">
      <c r="A17" s="177"/>
      <c r="B17" s="177"/>
      <c r="C17" s="177"/>
      <c r="D17" s="177"/>
      <c r="E17" s="167" t="s">
        <v>433</v>
      </c>
      <c r="F17" s="167" t="s">
        <v>901</v>
      </c>
      <c r="G17" s="167">
        <v>0</v>
      </c>
      <c r="H17" s="167" t="s">
        <v>901</v>
      </c>
      <c r="I17" s="177"/>
      <c r="J17" s="177"/>
      <c r="K17" s="177"/>
      <c r="L17" s="177"/>
      <c r="M17" s="177"/>
      <c r="N17" s="177"/>
      <c r="O17" s="177"/>
      <c r="P17" s="177"/>
    </row>
    <row r="18" spans="1:16" x14ac:dyDescent="0.25">
      <c r="A18" s="177"/>
      <c r="B18" s="177"/>
      <c r="C18" s="177"/>
      <c r="D18" s="177"/>
      <c r="E18" s="167" t="s">
        <v>434</v>
      </c>
      <c r="F18" s="167" t="s">
        <v>909</v>
      </c>
      <c r="G18" s="167" t="s">
        <v>906</v>
      </c>
      <c r="H18" s="167" t="s">
        <v>909</v>
      </c>
      <c r="I18" s="177"/>
      <c r="J18" s="177"/>
      <c r="K18" s="177"/>
      <c r="L18" s="177"/>
      <c r="M18" s="177"/>
      <c r="N18" s="177"/>
      <c r="O18" s="177"/>
      <c r="P18" s="177"/>
    </row>
    <row r="19" spans="1:16" x14ac:dyDescent="0.25">
      <c r="A19" s="177" t="s">
        <v>860</v>
      </c>
      <c r="B19" s="177" t="s">
        <v>1308</v>
      </c>
      <c r="C19" s="177">
        <v>60</v>
      </c>
      <c r="D19" s="177">
        <v>90</v>
      </c>
      <c r="E19" s="167" t="s">
        <v>433</v>
      </c>
      <c r="F19" s="167" t="s">
        <v>909</v>
      </c>
      <c r="G19" s="167" t="s">
        <v>905</v>
      </c>
      <c r="H19" s="167" t="s">
        <v>909</v>
      </c>
      <c r="I19" s="177" t="s">
        <v>902</v>
      </c>
      <c r="J19" s="177" t="s">
        <v>1312</v>
      </c>
      <c r="K19" s="177" t="s">
        <v>903</v>
      </c>
      <c r="L19" s="177" t="s">
        <v>903</v>
      </c>
      <c r="M19" s="177">
        <v>830</v>
      </c>
      <c r="N19" s="177">
        <v>90</v>
      </c>
      <c r="O19" s="177" t="s">
        <v>1306</v>
      </c>
      <c r="P19" s="178" t="s">
        <v>1314</v>
      </c>
    </row>
    <row r="20" spans="1:16" x14ac:dyDescent="0.25">
      <c r="A20" s="177"/>
      <c r="B20" s="177"/>
      <c r="C20" s="177"/>
      <c r="D20" s="177"/>
      <c r="E20" s="167" t="s">
        <v>434</v>
      </c>
      <c r="F20" s="167" t="s">
        <v>910</v>
      </c>
      <c r="G20" s="167">
        <v>0</v>
      </c>
      <c r="H20" s="167" t="s">
        <v>905</v>
      </c>
      <c r="I20" s="177"/>
      <c r="J20" s="177"/>
      <c r="K20" s="177"/>
      <c r="L20" s="177"/>
      <c r="M20" s="177"/>
      <c r="N20" s="177"/>
      <c r="O20" s="177"/>
      <c r="P20" s="177"/>
    </row>
    <row r="21" spans="1:16" x14ac:dyDescent="0.25">
      <c r="A21" s="177"/>
      <c r="B21" s="177"/>
      <c r="C21" s="177"/>
      <c r="D21" s="177"/>
      <c r="E21" s="167" t="s">
        <v>433</v>
      </c>
      <c r="F21" s="167" t="s">
        <v>901</v>
      </c>
      <c r="G21" s="167">
        <v>0</v>
      </c>
      <c r="H21" s="167" t="s">
        <v>901</v>
      </c>
      <c r="I21" s="177"/>
      <c r="J21" s="177"/>
      <c r="K21" s="177"/>
      <c r="L21" s="177"/>
      <c r="M21" s="177"/>
      <c r="N21" s="177"/>
      <c r="O21" s="177"/>
      <c r="P21" s="177"/>
    </row>
    <row r="22" spans="1:16" x14ac:dyDescent="0.25">
      <c r="A22" s="177"/>
      <c r="B22" s="177"/>
      <c r="C22" s="177"/>
      <c r="D22" s="177"/>
      <c r="E22" s="167" t="s">
        <v>434</v>
      </c>
      <c r="F22" s="167" t="s">
        <v>909</v>
      </c>
      <c r="G22" s="167" t="s">
        <v>906</v>
      </c>
      <c r="H22" s="167" t="s">
        <v>909</v>
      </c>
      <c r="I22" s="177"/>
      <c r="J22" s="177"/>
      <c r="K22" s="177"/>
      <c r="L22" s="177"/>
      <c r="M22" s="177"/>
      <c r="N22" s="177"/>
      <c r="O22" s="177"/>
      <c r="P22" s="177"/>
    </row>
    <row r="23" spans="1:16" x14ac:dyDescent="0.25">
      <c r="A23" s="177" t="s">
        <v>860</v>
      </c>
      <c r="B23" s="177" t="s">
        <v>1315</v>
      </c>
      <c r="C23" s="177">
        <v>60</v>
      </c>
      <c r="D23" s="177">
        <v>90</v>
      </c>
      <c r="E23" s="167" t="s">
        <v>433</v>
      </c>
      <c r="F23" s="167" t="s">
        <v>1318</v>
      </c>
      <c r="G23" s="167" t="s">
        <v>905</v>
      </c>
      <c r="H23" s="167" t="s">
        <v>909</v>
      </c>
      <c r="I23" s="177" t="s">
        <v>902</v>
      </c>
      <c r="J23" s="177" t="s">
        <v>903</v>
      </c>
      <c r="K23" s="177" t="s">
        <v>903</v>
      </c>
      <c r="L23" s="177" t="s">
        <v>903</v>
      </c>
      <c r="M23" s="177">
        <v>830</v>
      </c>
      <c r="N23" s="177">
        <v>90</v>
      </c>
      <c r="O23" s="177" t="s">
        <v>1304</v>
      </c>
      <c r="P23" s="178" t="s">
        <v>1285</v>
      </c>
    </row>
    <row r="24" spans="1:16" x14ac:dyDescent="0.25">
      <c r="A24" s="177"/>
      <c r="B24" s="177"/>
      <c r="C24" s="177"/>
      <c r="D24" s="177"/>
      <c r="E24" s="167" t="s">
        <v>434</v>
      </c>
      <c r="F24" s="167" t="s">
        <v>910</v>
      </c>
      <c r="G24" s="167">
        <v>0</v>
      </c>
      <c r="H24" s="167" t="s">
        <v>905</v>
      </c>
      <c r="I24" s="177"/>
      <c r="J24" s="177"/>
      <c r="K24" s="177"/>
      <c r="L24" s="177"/>
      <c r="M24" s="177"/>
      <c r="N24" s="177"/>
      <c r="O24" s="177"/>
      <c r="P24" s="177"/>
    </row>
    <row r="25" spans="1:16" x14ac:dyDescent="0.25">
      <c r="A25" s="177"/>
      <c r="B25" s="177"/>
      <c r="C25" s="177"/>
      <c r="D25" s="177"/>
      <c r="E25" s="167" t="s">
        <v>433</v>
      </c>
      <c r="F25" s="167" t="s">
        <v>901</v>
      </c>
      <c r="G25" s="167">
        <v>0</v>
      </c>
      <c r="H25" s="167" t="s">
        <v>901</v>
      </c>
      <c r="I25" s="177"/>
      <c r="J25" s="177"/>
      <c r="K25" s="177"/>
      <c r="L25" s="177"/>
      <c r="M25" s="177"/>
      <c r="N25" s="177"/>
      <c r="O25" s="177"/>
      <c r="P25" s="177"/>
    </row>
    <row r="26" spans="1:16" x14ac:dyDescent="0.25">
      <c r="A26" s="177"/>
      <c r="B26" s="177"/>
      <c r="C26" s="177"/>
      <c r="D26" s="177"/>
      <c r="E26" s="167" t="s">
        <v>434</v>
      </c>
      <c r="F26" s="167" t="s">
        <v>909</v>
      </c>
      <c r="G26" s="167" t="s">
        <v>906</v>
      </c>
      <c r="H26" s="167" t="s">
        <v>909</v>
      </c>
      <c r="I26" s="177"/>
      <c r="J26" s="177"/>
      <c r="K26" s="177"/>
      <c r="L26" s="177"/>
      <c r="M26" s="177"/>
      <c r="N26" s="177"/>
      <c r="O26" s="177"/>
      <c r="P26" s="177"/>
    </row>
    <row r="27" spans="1:16" x14ac:dyDescent="0.25">
      <c r="A27" s="177" t="s">
        <v>860</v>
      </c>
      <c r="B27" s="177" t="s">
        <v>1322</v>
      </c>
      <c r="C27" s="177">
        <v>30</v>
      </c>
      <c r="D27" s="177">
        <v>50</v>
      </c>
      <c r="E27" s="167" t="s">
        <v>433</v>
      </c>
      <c r="F27" s="167" t="s">
        <v>901</v>
      </c>
      <c r="G27" s="167" t="s">
        <v>939</v>
      </c>
      <c r="H27" s="167" t="s">
        <v>901</v>
      </c>
      <c r="I27" s="177" t="s">
        <v>902</v>
      </c>
      <c r="J27" s="177" t="s">
        <v>903</v>
      </c>
      <c r="K27" s="177" t="s">
        <v>903</v>
      </c>
      <c r="L27" s="177" t="s">
        <v>903</v>
      </c>
      <c r="M27" s="177">
        <v>830</v>
      </c>
      <c r="N27" s="177">
        <v>90</v>
      </c>
      <c r="O27" s="177" t="s">
        <v>1324</v>
      </c>
      <c r="P27" s="178" t="s">
        <v>1321</v>
      </c>
    </row>
    <row r="28" spans="1:16" x14ac:dyDescent="0.25">
      <c r="A28" s="177"/>
      <c r="B28" s="177"/>
      <c r="C28" s="177"/>
      <c r="D28" s="177"/>
      <c r="E28" s="167" t="s">
        <v>434</v>
      </c>
      <c r="F28" s="167">
        <v>0</v>
      </c>
      <c r="G28" s="167">
        <v>0</v>
      </c>
      <c r="H28" s="167">
        <v>0</v>
      </c>
      <c r="I28" s="177"/>
      <c r="J28" s="177"/>
      <c r="K28" s="177"/>
      <c r="L28" s="177"/>
      <c r="M28" s="177"/>
      <c r="N28" s="177"/>
      <c r="O28" s="177"/>
      <c r="P28" s="177"/>
    </row>
    <row r="29" spans="1:16" x14ac:dyDescent="0.25">
      <c r="A29" s="177"/>
      <c r="B29" s="177"/>
      <c r="C29" s="177"/>
      <c r="D29" s="177"/>
      <c r="E29" s="167" t="s">
        <v>433</v>
      </c>
      <c r="F29" s="167">
        <v>0</v>
      </c>
      <c r="G29" s="167">
        <v>0</v>
      </c>
      <c r="H29" s="167">
        <v>0</v>
      </c>
      <c r="I29" s="177"/>
      <c r="J29" s="177"/>
      <c r="K29" s="177"/>
      <c r="L29" s="177"/>
      <c r="M29" s="177"/>
      <c r="N29" s="177"/>
      <c r="O29" s="177"/>
      <c r="P29" s="177"/>
    </row>
    <row r="30" spans="1:16" x14ac:dyDescent="0.25">
      <c r="A30" s="177"/>
      <c r="B30" s="177"/>
      <c r="C30" s="177"/>
      <c r="D30" s="177"/>
      <c r="E30" s="167" t="s">
        <v>434</v>
      </c>
      <c r="F30" s="167" t="s">
        <v>901</v>
      </c>
      <c r="G30" s="167" t="s">
        <v>901</v>
      </c>
      <c r="H30" s="167" t="s">
        <v>901</v>
      </c>
      <c r="I30" s="177"/>
      <c r="J30" s="177"/>
      <c r="K30" s="177"/>
      <c r="L30" s="177"/>
      <c r="M30" s="177"/>
      <c r="N30" s="177"/>
      <c r="O30" s="177"/>
      <c r="P30" s="177"/>
    </row>
    <row r="31" spans="1:16" x14ac:dyDescent="0.25">
      <c r="A31" s="177" t="s">
        <v>860</v>
      </c>
      <c r="B31" s="177" t="s">
        <v>1332</v>
      </c>
      <c r="C31" s="177">
        <v>60</v>
      </c>
      <c r="D31" s="177">
        <v>90</v>
      </c>
      <c r="E31" s="167" t="s">
        <v>433</v>
      </c>
      <c r="F31" s="167" t="s">
        <v>938</v>
      </c>
      <c r="G31" s="167" t="s">
        <v>905</v>
      </c>
      <c r="H31" s="167" t="s">
        <v>909</v>
      </c>
      <c r="I31" s="177" t="s">
        <v>902</v>
      </c>
      <c r="J31" s="177" t="s">
        <v>903</v>
      </c>
      <c r="K31" s="177" t="s">
        <v>903</v>
      </c>
      <c r="L31" s="177" t="s">
        <v>903</v>
      </c>
      <c r="M31" s="177">
        <v>830</v>
      </c>
      <c r="N31" s="177">
        <v>90</v>
      </c>
      <c r="O31" s="177" t="s">
        <v>1328</v>
      </c>
      <c r="P31" s="177" t="s">
        <v>1191</v>
      </c>
    </row>
    <row r="32" spans="1:16" x14ac:dyDescent="0.25">
      <c r="A32" s="177"/>
      <c r="B32" s="177"/>
      <c r="C32" s="177"/>
      <c r="D32" s="177"/>
      <c r="E32" s="167" t="s">
        <v>434</v>
      </c>
      <c r="F32" s="167" t="s">
        <v>938</v>
      </c>
      <c r="G32" s="167">
        <v>0</v>
      </c>
      <c r="H32" s="167" t="s">
        <v>905</v>
      </c>
      <c r="I32" s="177"/>
      <c r="J32" s="177"/>
      <c r="K32" s="177"/>
      <c r="L32" s="177"/>
      <c r="M32" s="177"/>
      <c r="N32" s="177"/>
      <c r="O32" s="177"/>
      <c r="P32" s="177"/>
    </row>
    <row r="33" spans="1:16" x14ac:dyDescent="0.25">
      <c r="A33" s="177"/>
      <c r="B33" s="177"/>
      <c r="C33" s="177"/>
      <c r="D33" s="177"/>
      <c r="E33" s="167" t="s">
        <v>433</v>
      </c>
      <c r="F33" s="167" t="s">
        <v>901</v>
      </c>
      <c r="G33" s="167">
        <v>0</v>
      </c>
      <c r="H33" s="167" t="s">
        <v>901</v>
      </c>
      <c r="I33" s="177"/>
      <c r="J33" s="177"/>
      <c r="K33" s="177"/>
      <c r="L33" s="177"/>
      <c r="M33" s="177"/>
      <c r="N33" s="177"/>
      <c r="O33" s="177"/>
      <c r="P33" s="177"/>
    </row>
    <row r="34" spans="1:16" x14ac:dyDescent="0.25">
      <c r="A34" s="177"/>
      <c r="B34" s="177"/>
      <c r="C34" s="177"/>
      <c r="D34" s="177"/>
      <c r="E34" s="167" t="s">
        <v>434</v>
      </c>
      <c r="F34" s="167" t="s">
        <v>909</v>
      </c>
      <c r="G34" s="167" t="s">
        <v>906</v>
      </c>
      <c r="H34" s="167" t="s">
        <v>909</v>
      </c>
      <c r="I34" s="177"/>
      <c r="J34" s="177"/>
      <c r="K34" s="177"/>
      <c r="L34" s="177"/>
      <c r="M34" s="177"/>
      <c r="N34" s="177"/>
      <c r="O34" s="177"/>
      <c r="P34" s="177"/>
    </row>
    <row r="35" spans="1:16" x14ac:dyDescent="0.25">
      <c r="A35" s="177" t="s">
        <v>860</v>
      </c>
      <c r="B35" s="177" t="s">
        <v>1336</v>
      </c>
      <c r="C35" s="177">
        <v>60</v>
      </c>
      <c r="D35" s="177">
        <v>80</v>
      </c>
      <c r="E35" s="167" t="s">
        <v>433</v>
      </c>
      <c r="F35" s="167" t="s">
        <v>938</v>
      </c>
      <c r="G35" s="167" t="s">
        <v>904</v>
      </c>
      <c r="H35" s="167" t="s">
        <v>909</v>
      </c>
      <c r="I35" s="177" t="s">
        <v>902</v>
      </c>
      <c r="J35" s="177" t="s">
        <v>903</v>
      </c>
      <c r="K35" s="177" t="s">
        <v>903</v>
      </c>
      <c r="L35" s="177" t="s">
        <v>903</v>
      </c>
      <c r="M35" s="177">
        <v>830</v>
      </c>
      <c r="N35" s="177">
        <v>90</v>
      </c>
      <c r="O35" s="177" t="s">
        <v>1341</v>
      </c>
      <c r="P35" s="177" t="s">
        <v>1191</v>
      </c>
    </row>
    <row r="36" spans="1:16" x14ac:dyDescent="0.25">
      <c r="A36" s="177"/>
      <c r="B36" s="177"/>
      <c r="C36" s="177"/>
      <c r="D36" s="177"/>
      <c r="E36" s="167" t="s">
        <v>434</v>
      </c>
      <c r="F36" s="167" t="s">
        <v>910</v>
      </c>
      <c r="G36" s="167">
        <v>0</v>
      </c>
      <c r="H36" s="167" t="s">
        <v>905</v>
      </c>
      <c r="I36" s="177"/>
      <c r="J36" s="177"/>
      <c r="K36" s="177"/>
      <c r="L36" s="177"/>
      <c r="M36" s="177"/>
      <c r="N36" s="177"/>
      <c r="O36" s="177"/>
      <c r="P36" s="177"/>
    </row>
    <row r="37" spans="1:16" x14ac:dyDescent="0.25">
      <c r="A37" s="177"/>
      <c r="B37" s="177"/>
      <c r="C37" s="177"/>
      <c r="D37" s="177"/>
      <c r="E37" s="167" t="s">
        <v>433</v>
      </c>
      <c r="F37" s="167" t="s">
        <v>901</v>
      </c>
      <c r="G37" s="167">
        <v>0</v>
      </c>
      <c r="H37" s="167" t="s">
        <v>901</v>
      </c>
      <c r="I37" s="177"/>
      <c r="J37" s="177"/>
      <c r="K37" s="177"/>
      <c r="L37" s="177"/>
      <c r="M37" s="177"/>
      <c r="N37" s="177"/>
      <c r="O37" s="177"/>
      <c r="P37" s="177"/>
    </row>
    <row r="38" spans="1:16" x14ac:dyDescent="0.25">
      <c r="A38" s="177"/>
      <c r="B38" s="177"/>
      <c r="C38" s="177"/>
      <c r="D38" s="177"/>
      <c r="E38" s="167" t="s">
        <v>434</v>
      </c>
      <c r="F38" s="167" t="s">
        <v>909</v>
      </c>
      <c r="G38" s="167" t="s">
        <v>906</v>
      </c>
      <c r="H38" s="167" t="s">
        <v>909</v>
      </c>
      <c r="I38" s="177"/>
      <c r="J38" s="177"/>
      <c r="K38" s="177"/>
      <c r="L38" s="177"/>
      <c r="M38" s="177"/>
      <c r="N38" s="177"/>
      <c r="O38" s="177"/>
      <c r="P38" s="177"/>
    </row>
    <row r="39" spans="1:16" x14ac:dyDescent="0.25">
      <c r="A39" s="177" t="s">
        <v>860</v>
      </c>
      <c r="B39" s="177" t="s">
        <v>1350</v>
      </c>
      <c r="C39" s="177">
        <v>60</v>
      </c>
      <c r="D39" s="177">
        <v>90</v>
      </c>
      <c r="E39" s="167" t="s">
        <v>433</v>
      </c>
      <c r="F39" s="167" t="s">
        <v>909</v>
      </c>
      <c r="G39" s="167" t="s">
        <v>905</v>
      </c>
      <c r="H39" s="167" t="s">
        <v>909</v>
      </c>
      <c r="I39" s="177" t="s">
        <v>902</v>
      </c>
      <c r="J39" s="177" t="s">
        <v>1247</v>
      </c>
      <c r="K39" s="177" t="s">
        <v>903</v>
      </c>
      <c r="L39" s="177" t="s">
        <v>903</v>
      </c>
      <c r="M39" s="177">
        <v>830</v>
      </c>
      <c r="N39" s="177">
        <v>90</v>
      </c>
      <c r="O39" s="177" t="s">
        <v>1343</v>
      </c>
      <c r="P39" s="178" t="s">
        <v>1345</v>
      </c>
    </row>
    <row r="40" spans="1:16" x14ac:dyDescent="0.25">
      <c r="A40" s="177"/>
      <c r="B40" s="177"/>
      <c r="C40" s="177"/>
      <c r="D40" s="177"/>
      <c r="E40" s="167" t="s">
        <v>434</v>
      </c>
      <c r="F40" s="167" t="s">
        <v>910</v>
      </c>
      <c r="G40" s="167">
        <v>0</v>
      </c>
      <c r="H40" s="167" t="s">
        <v>905</v>
      </c>
      <c r="I40" s="177"/>
      <c r="J40" s="177"/>
      <c r="K40" s="177"/>
      <c r="L40" s="177"/>
      <c r="M40" s="177"/>
      <c r="N40" s="177"/>
      <c r="O40" s="177"/>
      <c r="P40" s="177"/>
    </row>
    <row r="41" spans="1:16" x14ac:dyDescent="0.25">
      <c r="A41" s="177"/>
      <c r="B41" s="177"/>
      <c r="C41" s="177"/>
      <c r="D41" s="177"/>
      <c r="E41" s="167" t="s">
        <v>433</v>
      </c>
      <c r="F41" s="167" t="s">
        <v>901</v>
      </c>
      <c r="G41" s="167">
        <v>0</v>
      </c>
      <c r="H41" s="167" t="s">
        <v>901</v>
      </c>
      <c r="I41" s="177"/>
      <c r="J41" s="177"/>
      <c r="K41" s="177"/>
      <c r="L41" s="177"/>
      <c r="M41" s="177"/>
      <c r="N41" s="177"/>
      <c r="O41" s="177"/>
      <c r="P41" s="177"/>
    </row>
    <row r="42" spans="1:16" x14ac:dyDescent="0.25">
      <c r="A42" s="177"/>
      <c r="B42" s="177"/>
      <c r="C42" s="177"/>
      <c r="D42" s="177"/>
      <c r="E42" s="167" t="s">
        <v>434</v>
      </c>
      <c r="F42" s="167" t="s">
        <v>909</v>
      </c>
      <c r="G42" s="167" t="s">
        <v>906</v>
      </c>
      <c r="H42" s="167" t="s">
        <v>909</v>
      </c>
      <c r="I42" s="177"/>
      <c r="J42" s="177"/>
      <c r="K42" s="177"/>
      <c r="L42" s="177"/>
      <c r="M42" s="177"/>
      <c r="N42" s="177"/>
      <c r="O42" s="177"/>
      <c r="P42" s="177"/>
    </row>
    <row r="43" spans="1:16" x14ac:dyDescent="0.25">
      <c r="A43" s="177" t="s">
        <v>860</v>
      </c>
      <c r="B43" s="177" t="s">
        <v>1352</v>
      </c>
      <c r="C43" s="177">
        <v>60</v>
      </c>
      <c r="D43" s="177">
        <v>90</v>
      </c>
      <c r="E43" s="167" t="s">
        <v>433</v>
      </c>
      <c r="F43" s="167" t="s">
        <v>909</v>
      </c>
      <c r="G43" s="167" t="s">
        <v>905</v>
      </c>
      <c r="H43" s="167" t="s">
        <v>909</v>
      </c>
      <c r="I43" s="177" t="s">
        <v>902</v>
      </c>
      <c r="J43" s="177" t="s">
        <v>1253</v>
      </c>
      <c r="K43" s="177" t="s">
        <v>903</v>
      </c>
      <c r="L43" s="177" t="s">
        <v>903</v>
      </c>
      <c r="M43" s="177">
        <v>830</v>
      </c>
      <c r="N43" s="177">
        <v>90</v>
      </c>
      <c r="O43" s="177" t="s">
        <v>1346</v>
      </c>
      <c r="P43" s="178" t="s">
        <v>1349</v>
      </c>
    </row>
    <row r="44" spans="1:16" x14ac:dyDescent="0.25">
      <c r="A44" s="177"/>
      <c r="B44" s="177"/>
      <c r="C44" s="177"/>
      <c r="D44" s="177"/>
      <c r="E44" s="167" t="s">
        <v>434</v>
      </c>
      <c r="F44" s="167" t="s">
        <v>910</v>
      </c>
      <c r="G44" s="167">
        <v>0</v>
      </c>
      <c r="H44" s="167" t="s">
        <v>905</v>
      </c>
      <c r="I44" s="177"/>
      <c r="J44" s="177"/>
      <c r="K44" s="177"/>
      <c r="L44" s="177"/>
      <c r="M44" s="177"/>
      <c r="N44" s="177"/>
      <c r="O44" s="177"/>
      <c r="P44" s="177"/>
    </row>
    <row r="45" spans="1:16" x14ac:dyDescent="0.25">
      <c r="A45" s="177"/>
      <c r="B45" s="177"/>
      <c r="C45" s="177"/>
      <c r="D45" s="177"/>
      <c r="E45" s="167" t="s">
        <v>433</v>
      </c>
      <c r="F45" s="167" t="s">
        <v>901</v>
      </c>
      <c r="G45" s="167">
        <v>0</v>
      </c>
      <c r="H45" s="167" t="s">
        <v>901</v>
      </c>
      <c r="I45" s="177"/>
      <c r="J45" s="177"/>
      <c r="K45" s="177"/>
      <c r="L45" s="177"/>
      <c r="M45" s="177"/>
      <c r="N45" s="177"/>
      <c r="O45" s="177"/>
      <c r="P45" s="177"/>
    </row>
    <row r="46" spans="1:16" x14ac:dyDescent="0.25">
      <c r="A46" s="177"/>
      <c r="B46" s="177"/>
      <c r="C46" s="177"/>
      <c r="D46" s="177"/>
      <c r="E46" s="167" t="s">
        <v>434</v>
      </c>
      <c r="F46" s="167" t="s">
        <v>909</v>
      </c>
      <c r="G46" s="167" t="s">
        <v>906</v>
      </c>
      <c r="H46" s="167" t="s">
        <v>909</v>
      </c>
      <c r="I46" s="177"/>
      <c r="J46" s="177"/>
      <c r="K46" s="177"/>
      <c r="L46" s="177"/>
      <c r="M46" s="177"/>
      <c r="N46" s="177"/>
      <c r="O46" s="177"/>
      <c r="P46" s="177"/>
    </row>
    <row r="47" spans="1:16" x14ac:dyDescent="0.25">
      <c r="A47" s="177" t="s">
        <v>860</v>
      </c>
      <c r="B47" s="177" t="s">
        <v>1358</v>
      </c>
      <c r="C47" s="177">
        <v>60</v>
      </c>
      <c r="D47" s="177">
        <v>90</v>
      </c>
      <c r="E47" s="167" t="s">
        <v>433</v>
      </c>
      <c r="F47" s="167" t="s">
        <v>909</v>
      </c>
      <c r="G47" s="167" t="s">
        <v>909</v>
      </c>
      <c r="H47" s="167" t="s">
        <v>909</v>
      </c>
      <c r="I47" s="177" t="s">
        <v>902</v>
      </c>
      <c r="J47" s="177" t="s">
        <v>903</v>
      </c>
      <c r="K47" s="177" t="s">
        <v>903</v>
      </c>
      <c r="L47" s="177" t="s">
        <v>903</v>
      </c>
      <c r="M47" s="177">
        <v>830</v>
      </c>
      <c r="N47" s="177">
        <v>90</v>
      </c>
      <c r="O47" s="177" t="s">
        <v>1356</v>
      </c>
      <c r="P47" s="178" t="s">
        <v>1287</v>
      </c>
    </row>
    <row r="48" spans="1:16" x14ac:dyDescent="0.25">
      <c r="A48" s="177"/>
      <c r="B48" s="177"/>
      <c r="C48" s="177"/>
      <c r="D48" s="177"/>
      <c r="E48" s="167" t="s">
        <v>434</v>
      </c>
      <c r="F48" s="167" t="s">
        <v>901</v>
      </c>
      <c r="G48" s="167">
        <v>0</v>
      </c>
      <c r="H48" s="167" t="s">
        <v>901</v>
      </c>
      <c r="I48" s="177"/>
      <c r="J48" s="177"/>
      <c r="K48" s="177"/>
      <c r="L48" s="177"/>
      <c r="M48" s="177"/>
      <c r="N48" s="177"/>
      <c r="O48" s="177"/>
      <c r="P48" s="177"/>
    </row>
    <row r="49" spans="1:16" x14ac:dyDescent="0.25">
      <c r="A49" s="177"/>
      <c r="B49" s="177"/>
      <c r="C49" s="177"/>
      <c r="D49" s="177"/>
      <c r="E49" s="167" t="s">
        <v>433</v>
      </c>
      <c r="F49" s="167" t="s">
        <v>901</v>
      </c>
      <c r="G49" s="167">
        <v>0</v>
      </c>
      <c r="H49" s="167" t="s">
        <v>901</v>
      </c>
      <c r="I49" s="177"/>
      <c r="J49" s="177"/>
      <c r="K49" s="177"/>
      <c r="L49" s="177"/>
      <c r="M49" s="177"/>
      <c r="N49" s="177"/>
      <c r="O49" s="177"/>
      <c r="P49" s="177"/>
    </row>
    <row r="50" spans="1:16" x14ac:dyDescent="0.25">
      <c r="A50" s="177"/>
      <c r="B50" s="177"/>
      <c r="C50" s="177"/>
      <c r="D50" s="177"/>
      <c r="E50" s="167" t="s">
        <v>434</v>
      </c>
      <c r="F50" s="167" t="s">
        <v>909</v>
      </c>
      <c r="G50" s="167" t="s">
        <v>906</v>
      </c>
      <c r="H50" s="167" t="s">
        <v>909</v>
      </c>
      <c r="I50" s="177"/>
      <c r="J50" s="177"/>
      <c r="K50" s="177"/>
      <c r="L50" s="177"/>
      <c r="M50" s="177"/>
      <c r="N50" s="177"/>
      <c r="O50" s="177"/>
      <c r="P50" s="177"/>
    </row>
    <row r="51" spans="1:16" x14ac:dyDescent="0.25">
      <c r="A51" s="177" t="s">
        <v>289</v>
      </c>
      <c r="B51" s="177" t="s">
        <v>1332</v>
      </c>
      <c r="C51" s="177">
        <v>60</v>
      </c>
      <c r="D51" s="177">
        <v>90</v>
      </c>
      <c r="E51" s="167" t="s">
        <v>433</v>
      </c>
      <c r="F51" s="167" t="s">
        <v>938</v>
      </c>
      <c r="G51" s="167" t="s">
        <v>938</v>
      </c>
      <c r="H51" s="167" t="s">
        <v>938</v>
      </c>
      <c r="I51" s="177" t="s">
        <v>902</v>
      </c>
      <c r="J51" s="177" t="s">
        <v>903</v>
      </c>
      <c r="K51" s="177" t="s">
        <v>903</v>
      </c>
      <c r="L51" s="177" t="s">
        <v>903</v>
      </c>
      <c r="M51" s="177">
        <v>830</v>
      </c>
      <c r="N51" s="177">
        <v>90</v>
      </c>
      <c r="O51" s="177" t="s">
        <v>1326</v>
      </c>
      <c r="P51" s="179" t="s">
        <v>1331</v>
      </c>
    </row>
    <row r="52" spans="1:16" x14ac:dyDescent="0.25">
      <c r="A52" s="177"/>
      <c r="B52" s="177"/>
      <c r="C52" s="177"/>
      <c r="D52" s="177"/>
      <c r="E52" s="167" t="s">
        <v>434</v>
      </c>
      <c r="F52" s="167" t="s">
        <v>938</v>
      </c>
      <c r="G52" s="167" t="s">
        <v>938</v>
      </c>
      <c r="H52" s="167" t="s">
        <v>938</v>
      </c>
      <c r="I52" s="177"/>
      <c r="J52" s="177"/>
      <c r="K52" s="177"/>
      <c r="L52" s="177"/>
      <c r="M52" s="177"/>
      <c r="N52" s="177"/>
      <c r="O52" s="177"/>
      <c r="P52" s="177"/>
    </row>
    <row r="53" spans="1:16" x14ac:dyDescent="0.25">
      <c r="A53" s="177"/>
      <c r="B53" s="177"/>
      <c r="C53" s="177"/>
      <c r="D53" s="177"/>
      <c r="E53" s="167" t="s">
        <v>433</v>
      </c>
      <c r="F53" s="167" t="s">
        <v>938</v>
      </c>
      <c r="G53" s="167" t="s">
        <v>938</v>
      </c>
      <c r="H53" s="167" t="s">
        <v>938</v>
      </c>
      <c r="I53" s="177"/>
      <c r="J53" s="177"/>
      <c r="K53" s="177"/>
      <c r="L53" s="177"/>
      <c r="M53" s="177"/>
      <c r="N53" s="177"/>
      <c r="O53" s="177"/>
      <c r="P53" s="177"/>
    </row>
    <row r="54" spans="1:16" x14ac:dyDescent="0.25">
      <c r="A54" s="177"/>
      <c r="B54" s="177"/>
      <c r="C54" s="177"/>
      <c r="D54" s="177"/>
      <c r="E54" s="167" t="s">
        <v>434</v>
      </c>
      <c r="F54" s="167" t="s">
        <v>938</v>
      </c>
      <c r="G54" s="167" t="s">
        <v>938</v>
      </c>
      <c r="H54" s="167" t="s">
        <v>938</v>
      </c>
      <c r="I54" s="177"/>
      <c r="J54" s="177"/>
      <c r="K54" s="177"/>
      <c r="L54" s="177"/>
      <c r="M54" s="177"/>
      <c r="N54" s="177"/>
      <c r="O54" s="177"/>
      <c r="P54" s="177"/>
    </row>
    <row r="55" spans="1:16" x14ac:dyDescent="0.25">
      <c r="A55" s="177" t="s">
        <v>289</v>
      </c>
      <c r="B55" s="177" t="s">
        <v>1336</v>
      </c>
      <c r="C55" s="177">
        <v>60</v>
      </c>
      <c r="D55" s="177">
        <v>80</v>
      </c>
      <c r="E55" s="167" t="s">
        <v>433</v>
      </c>
      <c r="F55" s="167" t="s">
        <v>938</v>
      </c>
      <c r="G55" s="167" t="s">
        <v>904</v>
      </c>
      <c r="H55" s="167" t="s">
        <v>909</v>
      </c>
      <c r="I55" s="177" t="s">
        <v>902</v>
      </c>
      <c r="J55" s="177" t="s">
        <v>903</v>
      </c>
      <c r="K55" s="177" t="s">
        <v>903</v>
      </c>
      <c r="L55" s="177" t="s">
        <v>903</v>
      </c>
      <c r="M55" s="177">
        <v>830</v>
      </c>
      <c r="N55" s="177">
        <v>90</v>
      </c>
      <c r="O55" s="177" t="s">
        <v>1334</v>
      </c>
      <c r="P55" s="178" t="s">
        <v>1340</v>
      </c>
    </row>
    <row r="56" spans="1:16" x14ac:dyDescent="0.25">
      <c r="A56" s="177"/>
      <c r="B56" s="177"/>
      <c r="C56" s="177"/>
      <c r="D56" s="177"/>
      <c r="E56" s="167" t="s">
        <v>434</v>
      </c>
      <c r="F56" s="167" t="s">
        <v>910</v>
      </c>
      <c r="G56" s="167">
        <v>0</v>
      </c>
      <c r="H56" s="167" t="s">
        <v>905</v>
      </c>
      <c r="I56" s="177"/>
      <c r="J56" s="177"/>
      <c r="K56" s="177"/>
      <c r="L56" s="177"/>
      <c r="M56" s="177"/>
      <c r="N56" s="177"/>
      <c r="O56" s="177"/>
      <c r="P56" s="177"/>
    </row>
    <row r="57" spans="1:16" x14ac:dyDescent="0.25">
      <c r="A57" s="177"/>
      <c r="B57" s="177"/>
      <c r="C57" s="177"/>
      <c r="D57" s="177"/>
      <c r="E57" s="167" t="s">
        <v>433</v>
      </c>
      <c r="F57" s="167" t="s">
        <v>901</v>
      </c>
      <c r="G57" s="167">
        <v>0</v>
      </c>
      <c r="H57" s="167" t="s">
        <v>901</v>
      </c>
      <c r="I57" s="177"/>
      <c r="J57" s="177"/>
      <c r="K57" s="177"/>
      <c r="L57" s="177"/>
      <c r="M57" s="177"/>
      <c r="N57" s="177"/>
      <c r="O57" s="177"/>
      <c r="P57" s="177"/>
    </row>
    <row r="58" spans="1:16" x14ac:dyDescent="0.25">
      <c r="A58" s="177"/>
      <c r="B58" s="177"/>
      <c r="C58" s="177"/>
      <c r="D58" s="177"/>
      <c r="E58" s="167" t="s">
        <v>434</v>
      </c>
      <c r="F58" s="167" t="s">
        <v>909</v>
      </c>
      <c r="G58" s="167" t="s">
        <v>906</v>
      </c>
      <c r="H58" s="167" t="s">
        <v>909</v>
      </c>
      <c r="I58" s="177"/>
      <c r="J58" s="177"/>
      <c r="K58" s="177"/>
      <c r="L58" s="177"/>
      <c r="M58" s="177"/>
      <c r="N58" s="177"/>
      <c r="O58" s="177"/>
      <c r="P58" s="177"/>
    </row>
  </sheetData>
  <sortState xmlns:xlrd2="http://schemas.microsoft.com/office/spreadsheetml/2017/richdata2" caseSensitive="1" sortMethod="pinYin" ref="A3:R58">
    <sortCondition ref="Q3"/>
    <sortCondition ref="R3"/>
  </sortState>
  <mergeCells count="168">
    <mergeCell ref="K55:K58"/>
    <mergeCell ref="L55:L58"/>
    <mergeCell ref="M55:M58"/>
    <mergeCell ref="N55:N58"/>
    <mergeCell ref="O55:O58"/>
    <mergeCell ref="P55:P58"/>
    <mergeCell ref="A55:A58"/>
    <mergeCell ref="B55:B58"/>
    <mergeCell ref="C55:C58"/>
    <mergeCell ref="D55:D58"/>
    <mergeCell ref="I55:I58"/>
    <mergeCell ref="J55:J58"/>
    <mergeCell ref="K51:K54"/>
    <mergeCell ref="L51:L54"/>
    <mergeCell ref="M51:M54"/>
    <mergeCell ref="N51:N54"/>
    <mergeCell ref="O51:O54"/>
    <mergeCell ref="P51:P54"/>
    <mergeCell ref="A51:A54"/>
    <mergeCell ref="B51:B54"/>
    <mergeCell ref="C51:C54"/>
    <mergeCell ref="D51:D54"/>
    <mergeCell ref="I51:I54"/>
    <mergeCell ref="J51:J54"/>
    <mergeCell ref="K47:K50"/>
    <mergeCell ref="L47:L50"/>
    <mergeCell ref="M47:M50"/>
    <mergeCell ref="N47:N50"/>
    <mergeCell ref="O47:O50"/>
    <mergeCell ref="P47:P50"/>
    <mergeCell ref="A47:A50"/>
    <mergeCell ref="B47:B50"/>
    <mergeCell ref="C47:C50"/>
    <mergeCell ref="D47:D50"/>
    <mergeCell ref="I47:I50"/>
    <mergeCell ref="J47:J50"/>
    <mergeCell ref="K43:K46"/>
    <mergeCell ref="L43:L46"/>
    <mergeCell ref="M43:M46"/>
    <mergeCell ref="N43:N46"/>
    <mergeCell ref="O43:O46"/>
    <mergeCell ref="P43:P46"/>
    <mergeCell ref="A43:A46"/>
    <mergeCell ref="B43:B46"/>
    <mergeCell ref="C43:C46"/>
    <mergeCell ref="D43:D46"/>
    <mergeCell ref="I43:I46"/>
    <mergeCell ref="J43:J46"/>
    <mergeCell ref="K39:K42"/>
    <mergeCell ref="L39:L42"/>
    <mergeCell ref="M39:M42"/>
    <mergeCell ref="N39:N42"/>
    <mergeCell ref="O39:O42"/>
    <mergeCell ref="P39:P42"/>
    <mergeCell ref="A39:A42"/>
    <mergeCell ref="B39:B42"/>
    <mergeCell ref="C39:C42"/>
    <mergeCell ref="D39:D42"/>
    <mergeCell ref="I39:I42"/>
    <mergeCell ref="J39:J42"/>
    <mergeCell ref="K35:K38"/>
    <mergeCell ref="L35:L38"/>
    <mergeCell ref="M35:M38"/>
    <mergeCell ref="N35:N38"/>
    <mergeCell ref="O35:O38"/>
    <mergeCell ref="P35:P38"/>
    <mergeCell ref="A35:A38"/>
    <mergeCell ref="B35:B38"/>
    <mergeCell ref="C35:C38"/>
    <mergeCell ref="D35:D38"/>
    <mergeCell ref="I35:I38"/>
    <mergeCell ref="J35:J38"/>
    <mergeCell ref="K31:K34"/>
    <mergeCell ref="L31:L34"/>
    <mergeCell ref="M31:M34"/>
    <mergeCell ref="N31:N34"/>
    <mergeCell ref="O31:O34"/>
    <mergeCell ref="P31:P34"/>
    <mergeCell ref="A31:A34"/>
    <mergeCell ref="B31:B34"/>
    <mergeCell ref="C31:C34"/>
    <mergeCell ref="D31:D34"/>
    <mergeCell ref="I31:I34"/>
    <mergeCell ref="J31:J34"/>
    <mergeCell ref="K27:K30"/>
    <mergeCell ref="L27:L30"/>
    <mergeCell ref="M27:M30"/>
    <mergeCell ref="N27:N30"/>
    <mergeCell ref="O27:O30"/>
    <mergeCell ref="P27:P30"/>
    <mergeCell ref="A27:A30"/>
    <mergeCell ref="B27:B30"/>
    <mergeCell ref="C27:C30"/>
    <mergeCell ref="D27:D30"/>
    <mergeCell ref="I27:I30"/>
    <mergeCell ref="J27:J30"/>
    <mergeCell ref="K23:K26"/>
    <mergeCell ref="L23:L26"/>
    <mergeCell ref="M23:M26"/>
    <mergeCell ref="N23:N26"/>
    <mergeCell ref="O23:O26"/>
    <mergeCell ref="P23:P26"/>
    <mergeCell ref="A23:A26"/>
    <mergeCell ref="B23:B26"/>
    <mergeCell ref="C23:C26"/>
    <mergeCell ref="D23:D26"/>
    <mergeCell ref="I23:I26"/>
    <mergeCell ref="J23:J26"/>
    <mergeCell ref="K19:K22"/>
    <mergeCell ref="L19:L22"/>
    <mergeCell ref="M19:M22"/>
    <mergeCell ref="N19:N22"/>
    <mergeCell ref="O19:O22"/>
    <mergeCell ref="P19:P22"/>
    <mergeCell ref="A19:A22"/>
    <mergeCell ref="B19:B22"/>
    <mergeCell ref="C19:C22"/>
    <mergeCell ref="D19:D22"/>
    <mergeCell ref="I19:I22"/>
    <mergeCell ref="J19:J22"/>
    <mergeCell ref="K15:K18"/>
    <mergeCell ref="L15:L18"/>
    <mergeCell ref="M15:M18"/>
    <mergeCell ref="N15:N18"/>
    <mergeCell ref="O15:O18"/>
    <mergeCell ref="P15:P18"/>
    <mergeCell ref="A15:A18"/>
    <mergeCell ref="B15:B18"/>
    <mergeCell ref="C15:C18"/>
    <mergeCell ref="D15:D18"/>
    <mergeCell ref="I15:I18"/>
    <mergeCell ref="J15:J18"/>
    <mergeCell ref="K11:K14"/>
    <mergeCell ref="L11:L14"/>
    <mergeCell ref="M11:M14"/>
    <mergeCell ref="N11:N14"/>
    <mergeCell ref="O11:O14"/>
    <mergeCell ref="P11:P14"/>
    <mergeCell ref="A11:A14"/>
    <mergeCell ref="B11:B14"/>
    <mergeCell ref="C11:C14"/>
    <mergeCell ref="D11:D14"/>
    <mergeCell ref="I11:I14"/>
    <mergeCell ref="J11:J14"/>
    <mergeCell ref="K7:K10"/>
    <mergeCell ref="L7:L10"/>
    <mergeCell ref="M7:M10"/>
    <mergeCell ref="N7:N10"/>
    <mergeCell ref="O7:O10"/>
    <mergeCell ref="P7:P10"/>
    <mergeCell ref="A7:A10"/>
    <mergeCell ref="B7:B10"/>
    <mergeCell ref="C7:C10"/>
    <mergeCell ref="D7:D10"/>
    <mergeCell ref="I7:I10"/>
    <mergeCell ref="J7:J10"/>
    <mergeCell ref="K3:K6"/>
    <mergeCell ref="L3:L6"/>
    <mergeCell ref="M3:M6"/>
    <mergeCell ref="N3:N6"/>
    <mergeCell ref="O3:O6"/>
    <mergeCell ref="P3:P6"/>
    <mergeCell ref="A3:A6"/>
    <mergeCell ref="B3:B6"/>
    <mergeCell ref="C3:C6"/>
    <mergeCell ref="D3:D6"/>
    <mergeCell ref="I3:I6"/>
    <mergeCell ref="J3:J6"/>
  </mergeCells>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EBC10E-D14F-4E22-AFA6-CE84F574ECAD}">
  <sheetPr codeName="工作表133"/>
  <dimension ref="A1:P90"/>
  <sheetViews>
    <sheetView workbookViewId="0">
      <selection activeCell="P1" sqref="P1:P1048576"/>
    </sheetView>
  </sheetViews>
  <sheetFormatPr defaultRowHeight="15.75" x14ac:dyDescent="0.25"/>
  <cols>
    <col min="1" max="15" width="9" style="167"/>
    <col min="16" max="16" width="67.875" style="167" bestFit="1" customWidth="1"/>
    <col min="17" max="16384" width="9" style="167"/>
  </cols>
  <sheetData>
    <row r="1" spans="1:16" x14ac:dyDescent="0.25">
      <c r="A1" s="167" t="s">
        <v>424</v>
      </c>
      <c r="B1" s="167" t="s">
        <v>425</v>
      </c>
      <c r="C1" s="167" t="s">
        <v>426</v>
      </c>
      <c r="D1" s="167" t="s">
        <v>427</v>
      </c>
      <c r="E1" s="167" t="s">
        <v>428</v>
      </c>
      <c r="F1" s="167" t="s">
        <v>428</v>
      </c>
      <c r="I1" s="167" t="s">
        <v>429</v>
      </c>
      <c r="J1" s="167" t="s">
        <v>430</v>
      </c>
      <c r="M1" s="167" t="s">
        <v>431</v>
      </c>
      <c r="N1" s="167" t="s">
        <v>432</v>
      </c>
      <c r="O1" s="167" t="s">
        <v>291</v>
      </c>
      <c r="P1" s="167" t="s">
        <v>281</v>
      </c>
    </row>
    <row r="2" spans="1:16" x14ac:dyDescent="0.25">
      <c r="F2" s="167" t="s">
        <v>354</v>
      </c>
      <c r="G2" s="167" t="s">
        <v>353</v>
      </c>
      <c r="H2" s="167" t="s">
        <v>356</v>
      </c>
      <c r="J2" s="167" t="s">
        <v>354</v>
      </c>
      <c r="K2" s="167" t="s">
        <v>353</v>
      </c>
      <c r="L2" s="167" t="s">
        <v>356</v>
      </c>
    </row>
    <row r="3" spans="1:16" x14ac:dyDescent="0.25">
      <c r="A3" s="177" t="s">
        <v>861</v>
      </c>
      <c r="B3" s="177" t="s">
        <v>1214</v>
      </c>
      <c r="C3" s="177">
        <v>70</v>
      </c>
      <c r="D3" s="177">
        <v>200</v>
      </c>
      <c r="E3" s="167" t="s">
        <v>433</v>
      </c>
      <c r="F3" s="167" t="s">
        <v>909</v>
      </c>
      <c r="G3" s="167" t="s">
        <v>909</v>
      </c>
      <c r="H3" s="167" t="s">
        <v>909</v>
      </c>
      <c r="I3" s="177" t="s">
        <v>936</v>
      </c>
      <c r="J3" s="177" t="s">
        <v>937</v>
      </c>
      <c r="K3" s="177" t="s">
        <v>937</v>
      </c>
      <c r="L3" s="177" t="s">
        <v>937</v>
      </c>
      <c r="M3" s="177">
        <v>830</v>
      </c>
      <c r="N3" s="177">
        <v>0</v>
      </c>
      <c r="O3" s="177" t="s">
        <v>1190</v>
      </c>
      <c r="P3" s="177" t="s">
        <v>1191</v>
      </c>
    </row>
    <row r="4" spans="1:16" x14ac:dyDescent="0.25">
      <c r="A4" s="177"/>
      <c r="B4" s="177"/>
      <c r="C4" s="177"/>
      <c r="D4" s="177"/>
      <c r="E4" s="167" t="s">
        <v>434</v>
      </c>
      <c r="F4" s="167">
        <v>0</v>
      </c>
      <c r="G4" s="167" t="s">
        <v>904</v>
      </c>
      <c r="H4" s="167">
        <v>0</v>
      </c>
      <c r="I4" s="177"/>
      <c r="J4" s="177"/>
      <c r="K4" s="177"/>
      <c r="L4" s="177"/>
      <c r="M4" s="177"/>
      <c r="N4" s="177"/>
      <c r="O4" s="177"/>
      <c r="P4" s="177"/>
    </row>
    <row r="5" spans="1:16" x14ac:dyDescent="0.25">
      <c r="A5" s="177"/>
      <c r="B5" s="177"/>
      <c r="C5" s="177"/>
      <c r="D5" s="177"/>
      <c r="E5" s="167" t="s">
        <v>433</v>
      </c>
      <c r="F5" s="167" t="s">
        <v>909</v>
      </c>
      <c r="G5" s="167">
        <v>0</v>
      </c>
      <c r="H5" s="167" t="s">
        <v>906</v>
      </c>
      <c r="I5" s="177"/>
      <c r="J5" s="177"/>
      <c r="K5" s="177"/>
      <c r="L5" s="177"/>
      <c r="M5" s="177"/>
      <c r="N5" s="177"/>
      <c r="O5" s="177"/>
      <c r="P5" s="177"/>
    </row>
    <row r="6" spans="1:16" x14ac:dyDescent="0.25">
      <c r="A6" s="177"/>
      <c r="B6" s="177"/>
      <c r="C6" s="177"/>
      <c r="D6" s="177"/>
      <c r="E6" s="167" t="s">
        <v>434</v>
      </c>
      <c r="F6" s="167" t="s">
        <v>909</v>
      </c>
      <c r="G6" s="167" t="s">
        <v>909</v>
      </c>
      <c r="H6" s="167" t="s">
        <v>909</v>
      </c>
      <c r="I6" s="177"/>
      <c r="J6" s="177"/>
      <c r="K6" s="177"/>
      <c r="L6" s="177"/>
      <c r="M6" s="177"/>
      <c r="N6" s="177"/>
      <c r="O6" s="177"/>
      <c r="P6" s="177"/>
    </row>
    <row r="7" spans="1:16" x14ac:dyDescent="0.25">
      <c r="A7" s="177" t="s">
        <v>861</v>
      </c>
      <c r="B7" s="177" t="s">
        <v>1203</v>
      </c>
      <c r="C7" s="177">
        <v>70</v>
      </c>
      <c r="D7" s="177">
        <v>200</v>
      </c>
      <c r="E7" s="167" t="s">
        <v>433</v>
      </c>
      <c r="F7" s="167" t="s">
        <v>909</v>
      </c>
      <c r="G7" s="167" t="s">
        <v>909</v>
      </c>
      <c r="H7" s="167" t="s">
        <v>909</v>
      </c>
      <c r="I7" s="177" t="s">
        <v>936</v>
      </c>
      <c r="J7" s="177" t="s">
        <v>288</v>
      </c>
      <c r="K7" s="177" t="s">
        <v>937</v>
      </c>
      <c r="L7" s="177" t="s">
        <v>937</v>
      </c>
      <c r="M7" s="177">
        <v>830</v>
      </c>
      <c r="N7" s="177">
        <v>0</v>
      </c>
      <c r="O7" s="177" t="s">
        <v>1216</v>
      </c>
      <c r="P7" s="178" t="s">
        <v>1267</v>
      </c>
    </row>
    <row r="8" spans="1:16" x14ac:dyDescent="0.25">
      <c r="A8" s="177"/>
      <c r="B8" s="177"/>
      <c r="C8" s="177"/>
      <c r="D8" s="177"/>
      <c r="E8" s="167" t="s">
        <v>434</v>
      </c>
      <c r="F8" s="167">
        <v>0</v>
      </c>
      <c r="G8" s="167" t="s">
        <v>904</v>
      </c>
      <c r="H8" s="167">
        <v>0</v>
      </c>
      <c r="I8" s="177"/>
      <c r="J8" s="177"/>
      <c r="K8" s="177"/>
      <c r="L8" s="177"/>
      <c r="M8" s="177"/>
      <c r="N8" s="177"/>
      <c r="O8" s="177"/>
      <c r="P8" s="177"/>
    </row>
    <row r="9" spans="1:16" x14ac:dyDescent="0.25">
      <c r="A9" s="177"/>
      <c r="B9" s="177"/>
      <c r="C9" s="177"/>
      <c r="D9" s="177"/>
      <c r="E9" s="167" t="s">
        <v>433</v>
      </c>
      <c r="F9" s="167" t="s">
        <v>909</v>
      </c>
      <c r="G9" s="167">
        <v>0</v>
      </c>
      <c r="H9" s="167" t="s">
        <v>906</v>
      </c>
      <c r="I9" s="177"/>
      <c r="J9" s="177"/>
      <c r="K9" s="177"/>
      <c r="L9" s="177"/>
      <c r="M9" s="177"/>
      <c r="N9" s="177"/>
      <c r="O9" s="177"/>
      <c r="P9" s="177"/>
    </row>
    <row r="10" spans="1:16" x14ac:dyDescent="0.25">
      <c r="A10" s="177"/>
      <c r="B10" s="177"/>
      <c r="C10" s="177"/>
      <c r="D10" s="177"/>
      <c r="E10" s="167" t="s">
        <v>434</v>
      </c>
      <c r="F10" s="167" t="s">
        <v>909</v>
      </c>
      <c r="G10" s="167" t="s">
        <v>909</v>
      </c>
      <c r="H10" s="167" t="s">
        <v>909</v>
      </c>
      <c r="I10" s="177"/>
      <c r="J10" s="177"/>
      <c r="K10" s="177"/>
      <c r="L10" s="177"/>
      <c r="M10" s="177"/>
      <c r="N10" s="177"/>
      <c r="O10" s="177"/>
      <c r="P10" s="177"/>
    </row>
    <row r="11" spans="1:16" x14ac:dyDescent="0.25">
      <c r="A11" s="177" t="s">
        <v>861</v>
      </c>
      <c r="B11" s="177" t="s">
        <v>1205</v>
      </c>
      <c r="C11" s="177">
        <v>70</v>
      </c>
      <c r="D11" s="177">
        <v>200</v>
      </c>
      <c r="E11" s="167" t="s">
        <v>433</v>
      </c>
      <c r="F11" s="167" t="s">
        <v>909</v>
      </c>
      <c r="G11" s="167" t="s">
        <v>909</v>
      </c>
      <c r="H11" s="167" t="s">
        <v>909</v>
      </c>
      <c r="I11" s="177" t="s">
        <v>285</v>
      </c>
      <c r="J11" s="177" t="s">
        <v>903</v>
      </c>
      <c r="K11" s="177" t="s">
        <v>903</v>
      </c>
      <c r="L11" s="177" t="s">
        <v>903</v>
      </c>
      <c r="M11" s="177">
        <v>830</v>
      </c>
      <c r="N11" s="177">
        <v>0</v>
      </c>
      <c r="O11" s="177" t="s">
        <v>1217</v>
      </c>
      <c r="P11" s="178" t="s">
        <v>1258</v>
      </c>
    </row>
    <row r="12" spans="1:16" x14ac:dyDescent="0.25">
      <c r="A12" s="177"/>
      <c r="B12" s="177"/>
      <c r="C12" s="177"/>
      <c r="D12" s="177"/>
      <c r="E12" s="167" t="s">
        <v>434</v>
      </c>
      <c r="F12" s="167">
        <v>0</v>
      </c>
      <c r="G12" s="167" t="s">
        <v>904</v>
      </c>
      <c r="H12" s="167">
        <v>0</v>
      </c>
      <c r="I12" s="177"/>
      <c r="J12" s="177"/>
      <c r="K12" s="177"/>
      <c r="L12" s="177"/>
      <c r="M12" s="177"/>
      <c r="N12" s="177"/>
      <c r="O12" s="177"/>
      <c r="P12" s="177"/>
    </row>
    <row r="13" spans="1:16" x14ac:dyDescent="0.25">
      <c r="A13" s="177"/>
      <c r="B13" s="177"/>
      <c r="C13" s="177"/>
      <c r="D13" s="177"/>
      <c r="E13" s="167" t="s">
        <v>433</v>
      </c>
      <c r="F13" s="167" t="s">
        <v>909</v>
      </c>
      <c r="G13" s="167">
        <v>0</v>
      </c>
      <c r="H13" s="167" t="s">
        <v>906</v>
      </c>
      <c r="I13" s="177"/>
      <c r="J13" s="177"/>
      <c r="K13" s="177"/>
      <c r="L13" s="177"/>
      <c r="M13" s="177"/>
      <c r="N13" s="177"/>
      <c r="O13" s="177"/>
      <c r="P13" s="177"/>
    </row>
    <row r="14" spans="1:16" x14ac:dyDescent="0.25">
      <c r="A14" s="177"/>
      <c r="B14" s="177"/>
      <c r="C14" s="177"/>
      <c r="D14" s="177"/>
      <c r="E14" s="167" t="s">
        <v>434</v>
      </c>
      <c r="F14" s="167" t="s">
        <v>909</v>
      </c>
      <c r="G14" s="167" t="s">
        <v>909</v>
      </c>
      <c r="H14" s="167" t="s">
        <v>909</v>
      </c>
      <c r="I14" s="177"/>
      <c r="J14" s="177"/>
      <c r="K14" s="177"/>
      <c r="L14" s="177"/>
      <c r="M14" s="177"/>
      <c r="N14" s="177"/>
      <c r="O14" s="177"/>
      <c r="P14" s="177"/>
    </row>
    <row r="15" spans="1:16" x14ac:dyDescent="0.25">
      <c r="A15" s="177" t="s">
        <v>861</v>
      </c>
      <c r="B15" s="177" t="s">
        <v>1205</v>
      </c>
      <c r="C15" s="177">
        <v>70</v>
      </c>
      <c r="D15" s="177">
        <v>200</v>
      </c>
      <c r="E15" s="167" t="s">
        <v>433</v>
      </c>
      <c r="F15" s="167" t="s">
        <v>909</v>
      </c>
      <c r="G15" s="167" t="s">
        <v>909</v>
      </c>
      <c r="H15" s="167" t="s">
        <v>909</v>
      </c>
      <c r="I15" s="177" t="s">
        <v>902</v>
      </c>
      <c r="J15" s="177" t="s">
        <v>903</v>
      </c>
      <c r="K15" s="177" t="s">
        <v>903</v>
      </c>
      <c r="L15" s="177" t="s">
        <v>903</v>
      </c>
      <c r="M15" s="177">
        <v>830</v>
      </c>
      <c r="N15" s="177">
        <v>0</v>
      </c>
      <c r="O15" s="177" t="s">
        <v>1218</v>
      </c>
      <c r="P15" s="178" t="s">
        <v>1258</v>
      </c>
    </row>
    <row r="16" spans="1:16" x14ac:dyDescent="0.25">
      <c r="A16" s="177"/>
      <c r="B16" s="177"/>
      <c r="C16" s="177"/>
      <c r="D16" s="177"/>
      <c r="E16" s="167" t="s">
        <v>434</v>
      </c>
      <c r="F16" s="167">
        <v>0</v>
      </c>
      <c r="G16" s="167" t="s">
        <v>904</v>
      </c>
      <c r="H16" s="167">
        <v>0</v>
      </c>
      <c r="I16" s="177"/>
      <c r="J16" s="177"/>
      <c r="K16" s="177"/>
      <c r="L16" s="177"/>
      <c r="M16" s="177"/>
      <c r="N16" s="177"/>
      <c r="O16" s="177"/>
      <c r="P16" s="177"/>
    </row>
    <row r="17" spans="1:16" x14ac:dyDescent="0.25">
      <c r="A17" s="177"/>
      <c r="B17" s="177"/>
      <c r="C17" s="177"/>
      <c r="D17" s="177"/>
      <c r="E17" s="167" t="s">
        <v>433</v>
      </c>
      <c r="F17" s="167" t="s">
        <v>909</v>
      </c>
      <c r="G17" s="167">
        <v>0</v>
      </c>
      <c r="H17" s="167" t="s">
        <v>906</v>
      </c>
      <c r="I17" s="177"/>
      <c r="J17" s="177"/>
      <c r="K17" s="177"/>
      <c r="L17" s="177"/>
      <c r="M17" s="177"/>
      <c r="N17" s="177"/>
      <c r="O17" s="177"/>
      <c r="P17" s="177"/>
    </row>
    <row r="18" spans="1:16" x14ac:dyDescent="0.25">
      <c r="A18" s="177"/>
      <c r="B18" s="177"/>
      <c r="C18" s="177"/>
      <c r="D18" s="177"/>
      <c r="E18" s="167" t="s">
        <v>434</v>
      </c>
      <c r="F18" s="167" t="s">
        <v>909</v>
      </c>
      <c r="G18" s="167" t="s">
        <v>909</v>
      </c>
      <c r="H18" s="167" t="s">
        <v>909</v>
      </c>
      <c r="I18" s="177"/>
      <c r="J18" s="177"/>
      <c r="K18" s="177"/>
      <c r="L18" s="177"/>
      <c r="M18" s="177"/>
      <c r="N18" s="177"/>
      <c r="O18" s="177"/>
      <c r="P18" s="177"/>
    </row>
    <row r="19" spans="1:16" x14ac:dyDescent="0.25">
      <c r="A19" s="177" t="s">
        <v>861</v>
      </c>
      <c r="B19" s="177" t="s">
        <v>1205</v>
      </c>
      <c r="C19" s="177">
        <v>70</v>
      </c>
      <c r="D19" s="177">
        <v>200</v>
      </c>
      <c r="E19" s="167" t="s">
        <v>433</v>
      </c>
      <c r="F19" s="167" t="s">
        <v>909</v>
      </c>
      <c r="G19" s="167" t="s">
        <v>909</v>
      </c>
      <c r="H19" s="167" t="s">
        <v>909</v>
      </c>
      <c r="I19" s="177" t="s">
        <v>1187</v>
      </c>
      <c r="J19" s="177" t="s">
        <v>903</v>
      </c>
      <c r="K19" s="177" t="s">
        <v>903</v>
      </c>
      <c r="L19" s="177" t="s">
        <v>903</v>
      </c>
      <c r="M19" s="177">
        <v>830</v>
      </c>
      <c r="N19" s="177">
        <v>0</v>
      </c>
      <c r="O19" s="177" t="s">
        <v>1219</v>
      </c>
      <c r="P19" s="178" t="s">
        <v>1258</v>
      </c>
    </row>
    <row r="20" spans="1:16" x14ac:dyDescent="0.25">
      <c r="A20" s="177"/>
      <c r="B20" s="177"/>
      <c r="C20" s="177"/>
      <c r="D20" s="177"/>
      <c r="E20" s="167" t="s">
        <v>434</v>
      </c>
      <c r="F20" s="167">
        <v>0</v>
      </c>
      <c r="G20" s="167" t="s">
        <v>904</v>
      </c>
      <c r="H20" s="167">
        <v>0</v>
      </c>
      <c r="I20" s="177"/>
      <c r="J20" s="177"/>
      <c r="K20" s="177"/>
      <c r="L20" s="177"/>
      <c r="M20" s="177"/>
      <c r="N20" s="177"/>
      <c r="O20" s="177"/>
      <c r="P20" s="177"/>
    </row>
    <row r="21" spans="1:16" x14ac:dyDescent="0.25">
      <c r="A21" s="177"/>
      <c r="B21" s="177"/>
      <c r="C21" s="177"/>
      <c r="D21" s="177"/>
      <c r="E21" s="167" t="s">
        <v>433</v>
      </c>
      <c r="F21" s="167" t="s">
        <v>909</v>
      </c>
      <c r="G21" s="167">
        <v>0</v>
      </c>
      <c r="H21" s="167" t="s">
        <v>906</v>
      </c>
      <c r="I21" s="177"/>
      <c r="J21" s="177"/>
      <c r="K21" s="177"/>
      <c r="L21" s="177"/>
      <c r="M21" s="177"/>
      <c r="N21" s="177"/>
      <c r="O21" s="177"/>
      <c r="P21" s="177"/>
    </row>
    <row r="22" spans="1:16" x14ac:dyDescent="0.25">
      <c r="A22" s="177"/>
      <c r="B22" s="177"/>
      <c r="C22" s="177"/>
      <c r="D22" s="177"/>
      <c r="E22" s="167" t="s">
        <v>434</v>
      </c>
      <c r="F22" s="167" t="s">
        <v>909</v>
      </c>
      <c r="G22" s="167" t="s">
        <v>909</v>
      </c>
      <c r="H22" s="167" t="s">
        <v>909</v>
      </c>
      <c r="I22" s="177"/>
      <c r="J22" s="177"/>
      <c r="K22" s="177"/>
      <c r="L22" s="177"/>
      <c r="M22" s="177"/>
      <c r="N22" s="177"/>
      <c r="O22" s="177"/>
      <c r="P22" s="177"/>
    </row>
    <row r="23" spans="1:16" x14ac:dyDescent="0.25">
      <c r="A23" s="177" t="s">
        <v>861</v>
      </c>
      <c r="B23" s="177" t="s">
        <v>1205</v>
      </c>
      <c r="C23" s="177">
        <v>70</v>
      </c>
      <c r="D23" s="177">
        <v>200</v>
      </c>
      <c r="E23" s="167" t="s">
        <v>433</v>
      </c>
      <c r="F23" s="167" t="s">
        <v>909</v>
      </c>
      <c r="G23" s="167" t="s">
        <v>909</v>
      </c>
      <c r="H23" s="167" t="s">
        <v>909</v>
      </c>
      <c r="I23" s="177" t="s">
        <v>1188</v>
      </c>
      <c r="J23" s="177" t="s">
        <v>903</v>
      </c>
      <c r="K23" s="177" t="s">
        <v>903</v>
      </c>
      <c r="L23" s="177" t="s">
        <v>903</v>
      </c>
      <c r="M23" s="177">
        <v>830</v>
      </c>
      <c r="N23" s="177">
        <v>0</v>
      </c>
      <c r="O23" s="177" t="s">
        <v>1220</v>
      </c>
      <c r="P23" s="178" t="s">
        <v>1258</v>
      </c>
    </row>
    <row r="24" spans="1:16" x14ac:dyDescent="0.25">
      <c r="A24" s="177"/>
      <c r="B24" s="177"/>
      <c r="C24" s="177"/>
      <c r="D24" s="177"/>
      <c r="E24" s="167" t="s">
        <v>434</v>
      </c>
      <c r="F24" s="167">
        <v>0</v>
      </c>
      <c r="G24" s="167" t="s">
        <v>904</v>
      </c>
      <c r="H24" s="167">
        <v>0</v>
      </c>
      <c r="I24" s="177"/>
      <c r="J24" s="177"/>
      <c r="K24" s="177"/>
      <c r="L24" s="177"/>
      <c r="M24" s="177"/>
      <c r="N24" s="177"/>
      <c r="O24" s="177"/>
      <c r="P24" s="177"/>
    </row>
    <row r="25" spans="1:16" x14ac:dyDescent="0.25">
      <c r="A25" s="177"/>
      <c r="B25" s="177"/>
      <c r="C25" s="177"/>
      <c r="D25" s="177"/>
      <c r="E25" s="167" t="s">
        <v>433</v>
      </c>
      <c r="F25" s="167" t="s">
        <v>909</v>
      </c>
      <c r="G25" s="167">
        <v>0</v>
      </c>
      <c r="H25" s="167" t="s">
        <v>906</v>
      </c>
      <c r="I25" s="177"/>
      <c r="J25" s="177"/>
      <c r="K25" s="177"/>
      <c r="L25" s="177"/>
      <c r="M25" s="177"/>
      <c r="N25" s="177"/>
      <c r="O25" s="177"/>
      <c r="P25" s="177"/>
    </row>
    <row r="26" spans="1:16" x14ac:dyDescent="0.25">
      <c r="A26" s="177"/>
      <c r="B26" s="177"/>
      <c r="C26" s="177"/>
      <c r="D26" s="177"/>
      <c r="E26" s="167" t="s">
        <v>434</v>
      </c>
      <c r="F26" s="167" t="s">
        <v>909</v>
      </c>
      <c r="G26" s="167" t="s">
        <v>909</v>
      </c>
      <c r="H26" s="167" t="s">
        <v>909</v>
      </c>
      <c r="I26" s="177"/>
      <c r="J26" s="177"/>
      <c r="K26" s="177"/>
      <c r="L26" s="177"/>
      <c r="M26" s="177"/>
      <c r="N26" s="177"/>
      <c r="O26" s="177"/>
      <c r="P26" s="177"/>
    </row>
    <row r="27" spans="1:16" x14ac:dyDescent="0.25">
      <c r="A27" s="177" t="s">
        <v>861</v>
      </c>
      <c r="B27" s="177" t="s">
        <v>1206</v>
      </c>
      <c r="C27" s="177">
        <v>50</v>
      </c>
      <c r="D27" s="177">
        <v>100</v>
      </c>
      <c r="E27" s="167" t="s">
        <v>433</v>
      </c>
      <c r="F27" s="167" t="s">
        <v>909</v>
      </c>
      <c r="G27" s="167" t="s">
        <v>909</v>
      </c>
      <c r="H27" s="167" t="s">
        <v>909</v>
      </c>
      <c r="I27" s="177" t="s">
        <v>1186</v>
      </c>
      <c r="J27" s="177" t="s">
        <v>903</v>
      </c>
      <c r="K27" s="177" t="s">
        <v>903</v>
      </c>
      <c r="L27" s="177" t="s">
        <v>903</v>
      </c>
      <c r="M27" s="177">
        <v>830</v>
      </c>
      <c r="N27" s="177">
        <v>0</v>
      </c>
      <c r="O27" s="177" t="s">
        <v>1221</v>
      </c>
      <c r="P27" s="178" t="s">
        <v>1259</v>
      </c>
    </row>
    <row r="28" spans="1:16" x14ac:dyDescent="0.25">
      <c r="A28" s="177"/>
      <c r="B28" s="177"/>
      <c r="C28" s="177"/>
      <c r="D28" s="177"/>
      <c r="E28" s="167" t="s">
        <v>434</v>
      </c>
      <c r="F28" s="167">
        <v>0</v>
      </c>
      <c r="G28" s="167" t="s">
        <v>904</v>
      </c>
      <c r="H28" s="167">
        <v>0</v>
      </c>
      <c r="I28" s="177"/>
      <c r="J28" s="177"/>
      <c r="K28" s="177"/>
      <c r="L28" s="177"/>
      <c r="M28" s="177"/>
      <c r="N28" s="177"/>
      <c r="O28" s="177"/>
      <c r="P28" s="177"/>
    </row>
    <row r="29" spans="1:16" x14ac:dyDescent="0.25">
      <c r="A29" s="177"/>
      <c r="B29" s="177"/>
      <c r="C29" s="177"/>
      <c r="D29" s="177"/>
      <c r="E29" s="167" t="s">
        <v>433</v>
      </c>
      <c r="F29" s="167" t="s">
        <v>909</v>
      </c>
      <c r="G29" s="167">
        <v>0</v>
      </c>
      <c r="H29" s="167" t="s">
        <v>906</v>
      </c>
      <c r="I29" s="177"/>
      <c r="J29" s="177"/>
      <c r="K29" s="177"/>
      <c r="L29" s="177"/>
      <c r="M29" s="177"/>
      <c r="N29" s="177"/>
      <c r="O29" s="177"/>
      <c r="P29" s="177"/>
    </row>
    <row r="30" spans="1:16" x14ac:dyDescent="0.25">
      <c r="A30" s="177"/>
      <c r="B30" s="177"/>
      <c r="C30" s="177"/>
      <c r="D30" s="177"/>
      <c r="E30" s="167" t="s">
        <v>434</v>
      </c>
      <c r="F30" s="167" t="s">
        <v>909</v>
      </c>
      <c r="G30" s="167" t="s">
        <v>909</v>
      </c>
      <c r="H30" s="167" t="s">
        <v>909</v>
      </c>
      <c r="I30" s="177"/>
      <c r="J30" s="177"/>
      <c r="K30" s="177"/>
      <c r="L30" s="177"/>
      <c r="M30" s="177"/>
      <c r="N30" s="177"/>
      <c r="O30" s="177"/>
      <c r="P30" s="177"/>
    </row>
    <row r="31" spans="1:16" x14ac:dyDescent="0.25">
      <c r="A31" s="177" t="s">
        <v>861</v>
      </c>
      <c r="B31" s="177" t="s">
        <v>1206</v>
      </c>
      <c r="C31" s="177">
        <v>50</v>
      </c>
      <c r="D31" s="177">
        <v>100</v>
      </c>
      <c r="E31" s="167" t="s">
        <v>433</v>
      </c>
      <c r="F31" s="167" t="s">
        <v>909</v>
      </c>
      <c r="G31" s="167" t="s">
        <v>909</v>
      </c>
      <c r="H31" s="167" t="s">
        <v>909</v>
      </c>
      <c r="I31" s="177" t="s">
        <v>1187</v>
      </c>
      <c r="J31" s="177" t="s">
        <v>903</v>
      </c>
      <c r="K31" s="177" t="s">
        <v>903</v>
      </c>
      <c r="L31" s="177" t="s">
        <v>903</v>
      </c>
      <c r="M31" s="177">
        <v>830</v>
      </c>
      <c r="N31" s="177">
        <v>0</v>
      </c>
      <c r="O31" s="177" t="s">
        <v>1222</v>
      </c>
      <c r="P31" s="178" t="s">
        <v>1259</v>
      </c>
    </row>
    <row r="32" spans="1:16" x14ac:dyDescent="0.25">
      <c r="A32" s="177"/>
      <c r="B32" s="177"/>
      <c r="C32" s="177"/>
      <c r="D32" s="177"/>
      <c r="E32" s="167" t="s">
        <v>434</v>
      </c>
      <c r="F32" s="167">
        <v>0</v>
      </c>
      <c r="G32" s="167" t="s">
        <v>904</v>
      </c>
      <c r="H32" s="167">
        <v>0</v>
      </c>
      <c r="I32" s="177"/>
      <c r="J32" s="177"/>
      <c r="K32" s="177"/>
      <c r="L32" s="177"/>
      <c r="M32" s="177"/>
      <c r="N32" s="177"/>
      <c r="O32" s="177"/>
      <c r="P32" s="177"/>
    </row>
    <row r="33" spans="1:16" x14ac:dyDescent="0.25">
      <c r="A33" s="177"/>
      <c r="B33" s="177"/>
      <c r="C33" s="177"/>
      <c r="D33" s="177"/>
      <c r="E33" s="167" t="s">
        <v>433</v>
      </c>
      <c r="F33" s="167" t="s">
        <v>909</v>
      </c>
      <c r="G33" s="167">
        <v>0</v>
      </c>
      <c r="H33" s="167" t="s">
        <v>906</v>
      </c>
      <c r="I33" s="177"/>
      <c r="J33" s="177"/>
      <c r="K33" s="177"/>
      <c r="L33" s="177"/>
      <c r="M33" s="177"/>
      <c r="N33" s="177"/>
      <c r="O33" s="177"/>
      <c r="P33" s="177"/>
    </row>
    <row r="34" spans="1:16" x14ac:dyDescent="0.25">
      <c r="A34" s="177"/>
      <c r="B34" s="177"/>
      <c r="C34" s="177"/>
      <c r="D34" s="177"/>
      <c r="E34" s="167" t="s">
        <v>434</v>
      </c>
      <c r="F34" s="167" t="s">
        <v>909</v>
      </c>
      <c r="G34" s="167" t="s">
        <v>909</v>
      </c>
      <c r="H34" s="167" t="s">
        <v>909</v>
      </c>
      <c r="I34" s="177"/>
      <c r="J34" s="177"/>
      <c r="K34" s="177"/>
      <c r="L34" s="177"/>
      <c r="M34" s="177"/>
      <c r="N34" s="177"/>
      <c r="O34" s="177"/>
      <c r="P34" s="177"/>
    </row>
    <row r="35" spans="1:16" x14ac:dyDescent="0.25">
      <c r="A35" s="177" t="s">
        <v>861</v>
      </c>
      <c r="B35" s="177" t="s">
        <v>1206</v>
      </c>
      <c r="C35" s="177">
        <v>70</v>
      </c>
      <c r="D35" s="177">
        <v>200</v>
      </c>
      <c r="E35" s="167" t="s">
        <v>433</v>
      </c>
      <c r="F35" s="167" t="s">
        <v>909</v>
      </c>
      <c r="G35" s="167" t="s">
        <v>909</v>
      </c>
      <c r="H35" s="167" t="s">
        <v>909</v>
      </c>
      <c r="I35" s="177" t="s">
        <v>1189</v>
      </c>
      <c r="J35" s="177" t="s">
        <v>903</v>
      </c>
      <c r="K35" s="177" t="s">
        <v>903</v>
      </c>
      <c r="L35" s="177" t="s">
        <v>903</v>
      </c>
      <c r="M35" s="177">
        <v>830</v>
      </c>
      <c r="N35" s="177">
        <v>0</v>
      </c>
      <c r="O35" s="177" t="s">
        <v>1223</v>
      </c>
      <c r="P35" s="178" t="s">
        <v>1259</v>
      </c>
    </row>
    <row r="36" spans="1:16" x14ac:dyDescent="0.25">
      <c r="A36" s="177"/>
      <c r="B36" s="177"/>
      <c r="C36" s="177"/>
      <c r="D36" s="177"/>
      <c r="E36" s="167" t="s">
        <v>434</v>
      </c>
      <c r="F36" s="167">
        <v>0</v>
      </c>
      <c r="G36" s="167" t="s">
        <v>904</v>
      </c>
      <c r="H36" s="167">
        <v>0</v>
      </c>
      <c r="I36" s="177"/>
      <c r="J36" s="177"/>
      <c r="K36" s="177"/>
      <c r="L36" s="177"/>
      <c r="M36" s="177"/>
      <c r="N36" s="177"/>
      <c r="O36" s="177"/>
      <c r="P36" s="177"/>
    </row>
    <row r="37" spans="1:16" x14ac:dyDescent="0.25">
      <c r="A37" s="177"/>
      <c r="B37" s="177"/>
      <c r="C37" s="177"/>
      <c r="D37" s="177"/>
      <c r="E37" s="167" t="s">
        <v>433</v>
      </c>
      <c r="F37" s="167" t="s">
        <v>909</v>
      </c>
      <c r="G37" s="167">
        <v>0</v>
      </c>
      <c r="H37" s="167" t="s">
        <v>906</v>
      </c>
      <c r="I37" s="177"/>
      <c r="J37" s="177"/>
      <c r="K37" s="177"/>
      <c r="L37" s="177"/>
      <c r="M37" s="177"/>
      <c r="N37" s="177"/>
      <c r="O37" s="177"/>
      <c r="P37" s="177"/>
    </row>
    <row r="38" spans="1:16" x14ac:dyDescent="0.25">
      <c r="A38" s="177"/>
      <c r="B38" s="177"/>
      <c r="C38" s="177"/>
      <c r="D38" s="177"/>
      <c r="E38" s="167" t="s">
        <v>434</v>
      </c>
      <c r="F38" s="167" t="s">
        <v>909</v>
      </c>
      <c r="G38" s="167" t="s">
        <v>909</v>
      </c>
      <c r="H38" s="167" t="s">
        <v>909</v>
      </c>
      <c r="I38" s="177"/>
      <c r="J38" s="177"/>
      <c r="K38" s="177"/>
      <c r="L38" s="177"/>
      <c r="M38" s="177"/>
      <c r="N38" s="177"/>
      <c r="O38" s="177"/>
      <c r="P38" s="177"/>
    </row>
    <row r="39" spans="1:16" x14ac:dyDescent="0.25">
      <c r="A39" s="177" t="s">
        <v>861</v>
      </c>
      <c r="B39" s="177" t="s">
        <v>1207</v>
      </c>
      <c r="C39" s="177">
        <v>70</v>
      </c>
      <c r="D39" s="177">
        <v>200</v>
      </c>
      <c r="E39" s="167" t="s">
        <v>433</v>
      </c>
      <c r="F39" s="167" t="s">
        <v>904</v>
      </c>
      <c r="G39" s="167" t="s">
        <v>909</v>
      </c>
      <c r="H39" s="167" t="s">
        <v>909</v>
      </c>
      <c r="I39" s="177" t="s">
        <v>936</v>
      </c>
      <c r="J39" s="177" t="s">
        <v>903</v>
      </c>
      <c r="K39" s="177" t="s">
        <v>903</v>
      </c>
      <c r="L39" s="177" t="s">
        <v>903</v>
      </c>
      <c r="M39" s="177">
        <v>830</v>
      </c>
      <c r="N39" s="177">
        <v>0</v>
      </c>
      <c r="O39" s="177" t="s">
        <v>1224</v>
      </c>
      <c r="P39" s="178" t="s">
        <v>1270</v>
      </c>
    </row>
    <row r="40" spans="1:16" x14ac:dyDescent="0.25">
      <c r="A40" s="177"/>
      <c r="B40" s="177"/>
      <c r="C40" s="177"/>
      <c r="D40" s="177"/>
      <c r="E40" s="167" t="s">
        <v>434</v>
      </c>
      <c r="F40" s="167">
        <v>0</v>
      </c>
      <c r="G40" s="167" t="s">
        <v>904</v>
      </c>
      <c r="H40" s="167">
        <v>0</v>
      </c>
      <c r="I40" s="177"/>
      <c r="J40" s="177"/>
      <c r="K40" s="177"/>
      <c r="L40" s="177"/>
      <c r="M40" s="177"/>
      <c r="N40" s="177"/>
      <c r="O40" s="177"/>
      <c r="P40" s="177"/>
    </row>
    <row r="41" spans="1:16" x14ac:dyDescent="0.25">
      <c r="A41" s="177"/>
      <c r="B41" s="177"/>
      <c r="C41" s="177"/>
      <c r="D41" s="177"/>
      <c r="E41" s="167" t="s">
        <v>433</v>
      </c>
      <c r="F41" s="167" t="s">
        <v>909</v>
      </c>
      <c r="G41" s="167">
        <v>0</v>
      </c>
      <c r="H41" s="167" t="s">
        <v>906</v>
      </c>
      <c r="I41" s="177"/>
      <c r="J41" s="177"/>
      <c r="K41" s="177"/>
      <c r="L41" s="177"/>
      <c r="M41" s="177"/>
      <c r="N41" s="177"/>
      <c r="O41" s="177"/>
      <c r="P41" s="177"/>
    </row>
    <row r="42" spans="1:16" x14ac:dyDescent="0.25">
      <c r="A42" s="177"/>
      <c r="B42" s="177"/>
      <c r="C42" s="177"/>
      <c r="D42" s="177"/>
      <c r="E42" s="167" t="s">
        <v>434</v>
      </c>
      <c r="F42" s="167" t="s">
        <v>909</v>
      </c>
      <c r="G42" s="167" t="s">
        <v>909</v>
      </c>
      <c r="H42" s="167" t="s">
        <v>909</v>
      </c>
      <c r="I42" s="177"/>
      <c r="J42" s="177"/>
      <c r="K42" s="177"/>
      <c r="L42" s="177"/>
      <c r="M42" s="177"/>
      <c r="N42" s="177"/>
      <c r="O42" s="177"/>
      <c r="P42" s="177"/>
    </row>
    <row r="43" spans="1:16" x14ac:dyDescent="0.25">
      <c r="A43" s="177" t="s">
        <v>861</v>
      </c>
      <c r="B43" s="177" t="s">
        <v>1208</v>
      </c>
      <c r="C43" s="177">
        <v>70</v>
      </c>
      <c r="D43" s="177">
        <v>200</v>
      </c>
      <c r="E43" s="167" t="s">
        <v>433</v>
      </c>
      <c r="F43" s="167" t="s">
        <v>909</v>
      </c>
      <c r="G43" s="167" t="s">
        <v>909</v>
      </c>
      <c r="H43" s="167" t="s">
        <v>909</v>
      </c>
      <c r="I43" s="177" t="s">
        <v>936</v>
      </c>
      <c r="J43" s="177" t="s">
        <v>903</v>
      </c>
      <c r="K43" s="177" t="s">
        <v>903</v>
      </c>
      <c r="L43" s="177" t="s">
        <v>903</v>
      </c>
      <c r="M43" s="177">
        <v>830</v>
      </c>
      <c r="N43" s="177">
        <v>0</v>
      </c>
      <c r="O43" s="177" t="s">
        <v>1225</v>
      </c>
      <c r="P43" s="178" t="s">
        <v>1271</v>
      </c>
    </row>
    <row r="44" spans="1:16" x14ac:dyDescent="0.25">
      <c r="A44" s="177"/>
      <c r="B44" s="177"/>
      <c r="C44" s="177"/>
      <c r="D44" s="177"/>
      <c r="E44" s="167" t="s">
        <v>434</v>
      </c>
      <c r="F44" s="167">
        <v>0</v>
      </c>
      <c r="G44" s="167" t="s">
        <v>904</v>
      </c>
      <c r="H44" s="167">
        <v>0</v>
      </c>
      <c r="I44" s="177"/>
      <c r="J44" s="177"/>
      <c r="K44" s="177"/>
      <c r="L44" s="177"/>
      <c r="M44" s="177"/>
      <c r="N44" s="177"/>
      <c r="O44" s="177"/>
      <c r="P44" s="177"/>
    </row>
    <row r="45" spans="1:16" x14ac:dyDescent="0.25">
      <c r="A45" s="177"/>
      <c r="B45" s="177"/>
      <c r="C45" s="177"/>
      <c r="D45" s="177"/>
      <c r="E45" s="167" t="s">
        <v>433</v>
      </c>
      <c r="F45" s="167" t="s">
        <v>909</v>
      </c>
      <c r="G45" s="167">
        <v>0</v>
      </c>
      <c r="H45" s="167" t="s">
        <v>906</v>
      </c>
      <c r="I45" s="177"/>
      <c r="J45" s="177"/>
      <c r="K45" s="177"/>
      <c r="L45" s="177"/>
      <c r="M45" s="177"/>
      <c r="N45" s="177"/>
      <c r="O45" s="177"/>
      <c r="P45" s="177"/>
    </row>
    <row r="46" spans="1:16" x14ac:dyDescent="0.25">
      <c r="A46" s="177"/>
      <c r="B46" s="177"/>
      <c r="C46" s="177"/>
      <c r="D46" s="177"/>
      <c r="E46" s="167" t="s">
        <v>434</v>
      </c>
      <c r="F46" s="167" t="s">
        <v>909</v>
      </c>
      <c r="G46" s="167" t="s">
        <v>904</v>
      </c>
      <c r="H46" s="167" t="s">
        <v>909</v>
      </c>
      <c r="I46" s="177"/>
      <c r="J46" s="177"/>
      <c r="K46" s="177"/>
      <c r="L46" s="177"/>
      <c r="M46" s="177"/>
      <c r="N46" s="177"/>
      <c r="O46" s="177"/>
      <c r="P46" s="177"/>
    </row>
    <row r="47" spans="1:16" x14ac:dyDescent="0.25">
      <c r="A47" s="177" t="s">
        <v>861</v>
      </c>
      <c r="B47" s="177" t="s">
        <v>1209</v>
      </c>
      <c r="C47" s="177">
        <v>70</v>
      </c>
      <c r="D47" s="177">
        <v>170</v>
      </c>
      <c r="E47" s="167" t="s">
        <v>433</v>
      </c>
      <c r="F47" s="167" t="s">
        <v>910</v>
      </c>
      <c r="G47" s="167" t="s">
        <v>909</v>
      </c>
      <c r="H47" s="167" t="s">
        <v>910</v>
      </c>
      <c r="I47" s="177" t="s">
        <v>908</v>
      </c>
      <c r="J47" s="177" t="s">
        <v>903</v>
      </c>
      <c r="K47" s="177" t="s">
        <v>903</v>
      </c>
      <c r="L47" s="177" t="s">
        <v>903</v>
      </c>
      <c r="M47" s="177">
        <v>830</v>
      </c>
      <c r="N47" s="177">
        <v>0</v>
      </c>
      <c r="O47" s="177" t="s">
        <v>1226</v>
      </c>
      <c r="P47" s="178" t="s">
        <v>1268</v>
      </c>
    </row>
    <row r="48" spans="1:16" x14ac:dyDescent="0.25">
      <c r="A48" s="177"/>
      <c r="B48" s="177"/>
      <c r="C48" s="177"/>
      <c r="D48" s="177"/>
      <c r="E48" s="167" t="s">
        <v>434</v>
      </c>
      <c r="F48" s="167">
        <v>0</v>
      </c>
      <c r="G48" s="167" t="s">
        <v>907</v>
      </c>
      <c r="H48" s="167">
        <v>0</v>
      </c>
      <c r="I48" s="177"/>
      <c r="J48" s="177"/>
      <c r="K48" s="177"/>
      <c r="L48" s="177"/>
      <c r="M48" s="177"/>
      <c r="N48" s="177"/>
      <c r="O48" s="177"/>
      <c r="P48" s="177"/>
    </row>
    <row r="49" spans="1:16" x14ac:dyDescent="0.25">
      <c r="A49" s="177"/>
      <c r="B49" s="177"/>
      <c r="C49" s="177"/>
      <c r="D49" s="177"/>
      <c r="E49" s="167" t="s">
        <v>433</v>
      </c>
      <c r="F49" s="167" t="s">
        <v>909</v>
      </c>
      <c r="G49" s="167">
        <v>0</v>
      </c>
      <c r="H49" s="167" t="s">
        <v>906</v>
      </c>
      <c r="I49" s="177"/>
      <c r="J49" s="177"/>
      <c r="K49" s="177"/>
      <c r="L49" s="177"/>
      <c r="M49" s="177"/>
      <c r="N49" s="177"/>
      <c r="O49" s="177"/>
      <c r="P49" s="177"/>
    </row>
    <row r="50" spans="1:16" x14ac:dyDescent="0.25">
      <c r="A50" s="177"/>
      <c r="B50" s="177"/>
      <c r="C50" s="177"/>
      <c r="D50" s="177"/>
      <c r="E50" s="167" t="s">
        <v>434</v>
      </c>
      <c r="F50" s="167" t="s">
        <v>909</v>
      </c>
      <c r="G50" s="167" t="s">
        <v>909</v>
      </c>
      <c r="H50" s="167" t="s">
        <v>909</v>
      </c>
      <c r="I50" s="177"/>
      <c r="J50" s="177"/>
      <c r="K50" s="177"/>
      <c r="L50" s="177"/>
      <c r="M50" s="177"/>
      <c r="N50" s="177"/>
      <c r="O50" s="177"/>
      <c r="P50" s="177"/>
    </row>
    <row r="51" spans="1:16" x14ac:dyDescent="0.25">
      <c r="A51" s="177" t="s">
        <v>861</v>
      </c>
      <c r="B51" s="177" t="s">
        <v>1210</v>
      </c>
      <c r="C51" s="177">
        <v>70</v>
      </c>
      <c r="D51" s="177">
        <v>150</v>
      </c>
      <c r="E51" s="167" t="s">
        <v>433</v>
      </c>
      <c r="F51" s="167" t="s">
        <v>906</v>
      </c>
      <c r="G51" s="167" t="s">
        <v>909</v>
      </c>
      <c r="H51" s="167" t="s">
        <v>906</v>
      </c>
      <c r="I51" s="177" t="s">
        <v>1188</v>
      </c>
      <c r="J51" s="177" t="s">
        <v>903</v>
      </c>
      <c r="K51" s="177" t="s">
        <v>903</v>
      </c>
      <c r="L51" s="177" t="s">
        <v>903</v>
      </c>
      <c r="M51" s="177">
        <v>830</v>
      </c>
      <c r="N51" s="177">
        <v>0</v>
      </c>
      <c r="O51" s="177" t="s">
        <v>1227</v>
      </c>
      <c r="P51" s="178" t="s">
        <v>1269</v>
      </c>
    </row>
    <row r="52" spans="1:16" x14ac:dyDescent="0.25">
      <c r="A52" s="177"/>
      <c r="B52" s="177"/>
      <c r="C52" s="177"/>
      <c r="D52" s="177"/>
      <c r="E52" s="167" t="s">
        <v>434</v>
      </c>
      <c r="F52" s="167">
        <v>0</v>
      </c>
      <c r="G52" s="167" t="s">
        <v>939</v>
      </c>
      <c r="H52" s="167">
        <v>0</v>
      </c>
      <c r="I52" s="177"/>
      <c r="J52" s="177"/>
      <c r="K52" s="177"/>
      <c r="L52" s="177"/>
      <c r="M52" s="177"/>
      <c r="N52" s="177"/>
      <c r="O52" s="177"/>
      <c r="P52" s="177"/>
    </row>
    <row r="53" spans="1:16" x14ac:dyDescent="0.25">
      <c r="A53" s="177"/>
      <c r="B53" s="177"/>
      <c r="C53" s="177"/>
      <c r="D53" s="177"/>
      <c r="E53" s="167" t="s">
        <v>433</v>
      </c>
      <c r="F53" s="167" t="s">
        <v>909</v>
      </c>
      <c r="G53" s="167">
        <v>0</v>
      </c>
      <c r="H53" s="167" t="s">
        <v>906</v>
      </c>
      <c r="I53" s="177"/>
      <c r="J53" s="177"/>
      <c r="K53" s="177"/>
      <c r="L53" s="177"/>
      <c r="M53" s="177"/>
      <c r="N53" s="177"/>
      <c r="O53" s="177"/>
      <c r="P53" s="177"/>
    </row>
    <row r="54" spans="1:16" x14ac:dyDescent="0.25">
      <c r="A54" s="177"/>
      <c r="B54" s="177"/>
      <c r="C54" s="177"/>
      <c r="D54" s="177"/>
      <c r="E54" s="167" t="s">
        <v>434</v>
      </c>
      <c r="F54" s="167" t="s">
        <v>909</v>
      </c>
      <c r="G54" s="167" t="s">
        <v>909</v>
      </c>
      <c r="H54" s="167" t="s">
        <v>909</v>
      </c>
      <c r="I54" s="177"/>
      <c r="J54" s="177"/>
      <c r="K54" s="177"/>
      <c r="L54" s="177"/>
      <c r="M54" s="177"/>
      <c r="N54" s="177"/>
      <c r="O54" s="177"/>
      <c r="P54" s="177"/>
    </row>
    <row r="55" spans="1:16" x14ac:dyDescent="0.25">
      <c r="A55" s="177" t="s">
        <v>861</v>
      </c>
      <c r="B55" s="177" t="s">
        <v>1211</v>
      </c>
      <c r="C55" s="177">
        <v>60</v>
      </c>
      <c r="D55" s="177">
        <v>120</v>
      </c>
      <c r="E55" s="167" t="s">
        <v>433</v>
      </c>
      <c r="F55" s="167" t="s">
        <v>909</v>
      </c>
      <c r="G55" s="167" t="s">
        <v>911</v>
      </c>
      <c r="H55" s="167" t="s">
        <v>909</v>
      </c>
      <c r="I55" s="177" t="s">
        <v>1187</v>
      </c>
      <c r="J55" s="177" t="s">
        <v>937</v>
      </c>
      <c r="K55" s="177" t="s">
        <v>937</v>
      </c>
      <c r="L55" s="177" t="s">
        <v>937</v>
      </c>
      <c r="M55" s="177">
        <v>830</v>
      </c>
      <c r="N55" s="177">
        <v>0</v>
      </c>
      <c r="O55" s="177" t="s">
        <v>1192</v>
      </c>
      <c r="P55" s="178" t="s">
        <v>1272</v>
      </c>
    </row>
    <row r="56" spans="1:16" x14ac:dyDescent="0.25">
      <c r="A56" s="177"/>
      <c r="B56" s="177"/>
      <c r="C56" s="177"/>
      <c r="D56" s="177"/>
      <c r="E56" s="167" t="s">
        <v>434</v>
      </c>
      <c r="F56" s="167">
        <v>0</v>
      </c>
      <c r="G56" s="167" t="s">
        <v>911</v>
      </c>
      <c r="H56" s="167">
        <v>0</v>
      </c>
      <c r="I56" s="177"/>
      <c r="J56" s="177"/>
      <c r="K56" s="177"/>
      <c r="L56" s="177"/>
      <c r="M56" s="177"/>
      <c r="N56" s="177"/>
      <c r="O56" s="177"/>
      <c r="P56" s="177"/>
    </row>
    <row r="57" spans="1:16" x14ac:dyDescent="0.25">
      <c r="A57" s="177"/>
      <c r="B57" s="177"/>
      <c r="C57" s="177"/>
      <c r="D57" s="177"/>
      <c r="E57" s="167" t="s">
        <v>433</v>
      </c>
      <c r="F57" s="167" t="s">
        <v>904</v>
      </c>
      <c r="G57" s="167">
        <v>0</v>
      </c>
      <c r="H57" s="167" t="s">
        <v>904</v>
      </c>
      <c r="I57" s="177"/>
      <c r="J57" s="177"/>
      <c r="K57" s="177"/>
      <c r="L57" s="177"/>
      <c r="M57" s="177"/>
      <c r="N57" s="177"/>
      <c r="O57" s="177"/>
      <c r="P57" s="177"/>
    </row>
    <row r="58" spans="1:16" x14ac:dyDescent="0.25">
      <c r="A58" s="177"/>
      <c r="B58" s="177"/>
      <c r="C58" s="177"/>
      <c r="D58" s="177"/>
      <c r="E58" s="167" t="s">
        <v>434</v>
      </c>
      <c r="F58" s="167" t="s">
        <v>909</v>
      </c>
      <c r="G58" s="167" t="s">
        <v>909</v>
      </c>
      <c r="H58" s="167" t="s">
        <v>909</v>
      </c>
      <c r="I58" s="177"/>
      <c r="J58" s="177"/>
      <c r="K58" s="177"/>
      <c r="L58" s="177"/>
      <c r="M58" s="177"/>
      <c r="N58" s="177"/>
      <c r="O58" s="177"/>
      <c r="P58" s="177"/>
    </row>
    <row r="59" spans="1:16" x14ac:dyDescent="0.25">
      <c r="A59" s="177" t="s">
        <v>861</v>
      </c>
      <c r="B59" s="177" t="s">
        <v>1212</v>
      </c>
      <c r="C59" s="177">
        <v>60</v>
      </c>
      <c r="D59" s="177">
        <v>120</v>
      </c>
      <c r="E59" s="167" t="s">
        <v>433</v>
      </c>
      <c r="F59" s="167" t="s">
        <v>909</v>
      </c>
      <c r="G59" s="167" t="s">
        <v>909</v>
      </c>
      <c r="H59" s="167" t="s">
        <v>909</v>
      </c>
      <c r="I59" s="177" t="s">
        <v>1187</v>
      </c>
      <c r="J59" s="177" t="s">
        <v>937</v>
      </c>
      <c r="K59" s="177" t="s">
        <v>937</v>
      </c>
      <c r="L59" s="177" t="s">
        <v>937</v>
      </c>
      <c r="M59" s="177">
        <v>830</v>
      </c>
      <c r="N59" s="177">
        <v>0</v>
      </c>
      <c r="O59" s="177" t="s">
        <v>1198</v>
      </c>
      <c r="P59" s="178" t="s">
        <v>1273</v>
      </c>
    </row>
    <row r="60" spans="1:16" x14ac:dyDescent="0.25">
      <c r="A60" s="177"/>
      <c r="B60" s="177"/>
      <c r="C60" s="177"/>
      <c r="D60" s="177"/>
      <c r="E60" s="167" t="s">
        <v>434</v>
      </c>
      <c r="F60" s="167">
        <v>0</v>
      </c>
      <c r="G60" s="167" t="s">
        <v>904</v>
      </c>
      <c r="H60" s="167">
        <v>0</v>
      </c>
      <c r="I60" s="177"/>
      <c r="J60" s="177"/>
      <c r="K60" s="177"/>
      <c r="L60" s="177"/>
      <c r="M60" s="177"/>
      <c r="N60" s="177"/>
      <c r="O60" s="177"/>
      <c r="P60" s="177"/>
    </row>
    <row r="61" spans="1:16" x14ac:dyDescent="0.25">
      <c r="A61" s="177"/>
      <c r="B61" s="177"/>
      <c r="C61" s="177"/>
      <c r="D61" s="177"/>
      <c r="E61" s="167" t="s">
        <v>433</v>
      </c>
      <c r="F61" s="167" t="s">
        <v>911</v>
      </c>
      <c r="G61" s="167">
        <v>0</v>
      </c>
      <c r="H61" s="167" t="s">
        <v>904</v>
      </c>
      <c r="I61" s="177"/>
      <c r="J61" s="177"/>
      <c r="K61" s="177"/>
      <c r="L61" s="177"/>
      <c r="M61" s="177"/>
      <c r="N61" s="177"/>
      <c r="O61" s="177"/>
      <c r="P61" s="177"/>
    </row>
    <row r="62" spans="1:16" x14ac:dyDescent="0.25">
      <c r="A62" s="177"/>
      <c r="B62" s="177"/>
      <c r="C62" s="177"/>
      <c r="D62" s="177"/>
      <c r="E62" s="167" t="s">
        <v>434</v>
      </c>
      <c r="F62" s="167" t="s">
        <v>911</v>
      </c>
      <c r="G62" s="167" t="s">
        <v>909</v>
      </c>
      <c r="H62" s="167" t="s">
        <v>909</v>
      </c>
      <c r="I62" s="177"/>
      <c r="J62" s="177"/>
      <c r="K62" s="177"/>
      <c r="L62" s="177"/>
      <c r="M62" s="177"/>
      <c r="N62" s="177"/>
      <c r="O62" s="177"/>
      <c r="P62" s="177"/>
    </row>
    <row r="63" spans="1:16" x14ac:dyDescent="0.25">
      <c r="A63" s="177" t="s">
        <v>861</v>
      </c>
      <c r="B63" s="177" t="s">
        <v>1213</v>
      </c>
      <c r="C63" s="177">
        <v>70</v>
      </c>
      <c r="D63" s="177">
        <v>200</v>
      </c>
      <c r="E63" s="167" t="s">
        <v>433</v>
      </c>
      <c r="F63" s="167" t="s">
        <v>909</v>
      </c>
      <c r="G63" s="167" t="s">
        <v>909</v>
      </c>
      <c r="H63" s="167" t="s">
        <v>909</v>
      </c>
      <c r="I63" s="177" t="s">
        <v>936</v>
      </c>
      <c r="J63" s="177" t="s">
        <v>937</v>
      </c>
      <c r="K63" s="177" t="s">
        <v>937</v>
      </c>
      <c r="L63" s="177" t="s">
        <v>937</v>
      </c>
      <c r="M63" s="177">
        <v>830</v>
      </c>
      <c r="N63" s="177">
        <v>0</v>
      </c>
      <c r="O63" s="177" t="s">
        <v>1201</v>
      </c>
      <c r="P63" s="178" t="s">
        <v>1276</v>
      </c>
    </row>
    <row r="64" spans="1:16" x14ac:dyDescent="0.25">
      <c r="A64" s="177"/>
      <c r="B64" s="177"/>
      <c r="C64" s="177"/>
      <c r="D64" s="177"/>
      <c r="E64" s="167" t="s">
        <v>434</v>
      </c>
      <c r="F64" s="167">
        <v>0</v>
      </c>
      <c r="G64" s="167" t="s">
        <v>904</v>
      </c>
      <c r="H64" s="167">
        <v>0</v>
      </c>
      <c r="I64" s="177"/>
      <c r="J64" s="177"/>
      <c r="K64" s="177"/>
      <c r="L64" s="177"/>
      <c r="M64" s="177"/>
      <c r="N64" s="177"/>
      <c r="O64" s="177"/>
      <c r="P64" s="177"/>
    </row>
    <row r="65" spans="1:16" x14ac:dyDescent="0.25">
      <c r="A65" s="177"/>
      <c r="B65" s="177"/>
      <c r="C65" s="177"/>
      <c r="D65" s="177"/>
      <c r="E65" s="167" t="s">
        <v>433</v>
      </c>
      <c r="F65" s="167" t="s">
        <v>909</v>
      </c>
      <c r="G65" s="167" t="s">
        <v>904</v>
      </c>
      <c r="H65" s="167" t="s">
        <v>906</v>
      </c>
      <c r="I65" s="177"/>
      <c r="J65" s="177"/>
      <c r="K65" s="177"/>
      <c r="L65" s="177"/>
      <c r="M65" s="177"/>
      <c r="N65" s="177"/>
      <c r="O65" s="177"/>
      <c r="P65" s="177"/>
    </row>
    <row r="66" spans="1:16" x14ac:dyDescent="0.25">
      <c r="A66" s="177"/>
      <c r="B66" s="177"/>
      <c r="C66" s="177"/>
      <c r="D66" s="177"/>
      <c r="E66" s="167" t="s">
        <v>434</v>
      </c>
      <c r="F66" s="167" t="s">
        <v>909</v>
      </c>
      <c r="G66" s="167" t="s">
        <v>909</v>
      </c>
      <c r="H66" s="167" t="s">
        <v>909</v>
      </c>
      <c r="I66" s="177"/>
      <c r="J66" s="177"/>
      <c r="K66" s="177"/>
      <c r="L66" s="177"/>
      <c r="M66" s="177"/>
      <c r="N66" s="177"/>
      <c r="O66" s="177"/>
      <c r="P66" s="177"/>
    </row>
    <row r="67" spans="1:16" x14ac:dyDescent="0.25">
      <c r="A67" s="177" t="s">
        <v>861</v>
      </c>
      <c r="B67" s="177" t="s">
        <v>1213</v>
      </c>
      <c r="C67" s="177">
        <v>70</v>
      </c>
      <c r="D67" s="177">
        <v>200</v>
      </c>
      <c r="E67" s="167" t="s">
        <v>433</v>
      </c>
      <c r="F67" s="167" t="s">
        <v>909</v>
      </c>
      <c r="G67" s="167" t="s">
        <v>909</v>
      </c>
      <c r="H67" s="167" t="s">
        <v>909</v>
      </c>
      <c r="I67" s="177" t="s">
        <v>936</v>
      </c>
      <c r="J67" s="177" t="s">
        <v>937</v>
      </c>
      <c r="K67" s="177" t="s">
        <v>937</v>
      </c>
      <c r="L67" s="177" t="s">
        <v>937</v>
      </c>
      <c r="M67" s="177">
        <v>300</v>
      </c>
      <c r="N67" s="177">
        <v>0</v>
      </c>
      <c r="O67" s="177" t="s">
        <v>1237</v>
      </c>
      <c r="P67" s="177" t="s">
        <v>1191</v>
      </c>
    </row>
    <row r="68" spans="1:16" x14ac:dyDescent="0.25">
      <c r="A68" s="177"/>
      <c r="B68" s="177"/>
      <c r="C68" s="177"/>
      <c r="D68" s="177"/>
      <c r="E68" s="167" t="s">
        <v>434</v>
      </c>
      <c r="F68" s="167">
        <v>0</v>
      </c>
      <c r="G68" s="167" t="s">
        <v>904</v>
      </c>
      <c r="H68" s="167">
        <v>0</v>
      </c>
      <c r="I68" s="177"/>
      <c r="J68" s="177"/>
      <c r="K68" s="177"/>
      <c r="L68" s="177"/>
      <c r="M68" s="177"/>
      <c r="N68" s="177"/>
      <c r="O68" s="177"/>
      <c r="P68" s="177"/>
    </row>
    <row r="69" spans="1:16" x14ac:dyDescent="0.25">
      <c r="A69" s="177"/>
      <c r="B69" s="177"/>
      <c r="C69" s="177"/>
      <c r="D69" s="177"/>
      <c r="E69" s="167" t="s">
        <v>433</v>
      </c>
      <c r="F69" s="167" t="s">
        <v>909</v>
      </c>
      <c r="G69" s="167" t="s">
        <v>904</v>
      </c>
      <c r="H69" s="167" t="s">
        <v>906</v>
      </c>
      <c r="I69" s="177"/>
      <c r="J69" s="177"/>
      <c r="K69" s="177"/>
      <c r="L69" s="177"/>
      <c r="M69" s="177"/>
      <c r="N69" s="177"/>
      <c r="O69" s="177"/>
      <c r="P69" s="177"/>
    </row>
    <row r="70" spans="1:16" x14ac:dyDescent="0.25">
      <c r="A70" s="177"/>
      <c r="B70" s="177"/>
      <c r="C70" s="177"/>
      <c r="D70" s="177"/>
      <c r="E70" s="167" t="s">
        <v>434</v>
      </c>
      <c r="F70" s="167" t="s">
        <v>909</v>
      </c>
      <c r="G70" s="167" t="s">
        <v>909</v>
      </c>
      <c r="H70" s="167" t="s">
        <v>909</v>
      </c>
      <c r="I70" s="177"/>
      <c r="J70" s="177"/>
      <c r="K70" s="177"/>
      <c r="L70" s="177"/>
      <c r="M70" s="177"/>
      <c r="N70" s="177"/>
      <c r="O70" s="177"/>
      <c r="P70" s="177"/>
    </row>
    <row r="71" spans="1:16" x14ac:dyDescent="0.25">
      <c r="A71" s="177" t="s">
        <v>861</v>
      </c>
      <c r="B71" s="177" t="s">
        <v>1213</v>
      </c>
      <c r="C71" s="177">
        <v>35</v>
      </c>
      <c r="D71" s="177">
        <v>100</v>
      </c>
      <c r="E71" s="167" t="s">
        <v>433</v>
      </c>
      <c r="F71" s="167" t="s">
        <v>909</v>
      </c>
      <c r="G71" s="167" t="s">
        <v>909</v>
      </c>
      <c r="H71" s="167" t="s">
        <v>909</v>
      </c>
      <c r="I71" s="177" t="s">
        <v>1195</v>
      </c>
      <c r="J71" s="177" t="s">
        <v>937</v>
      </c>
      <c r="K71" s="177" t="s">
        <v>937</v>
      </c>
      <c r="L71" s="177" t="s">
        <v>937</v>
      </c>
      <c r="M71" s="177">
        <v>830</v>
      </c>
      <c r="N71" s="177">
        <v>0</v>
      </c>
      <c r="O71" s="177" t="s">
        <v>1238</v>
      </c>
      <c r="P71" s="177" t="s">
        <v>1191</v>
      </c>
    </row>
    <row r="72" spans="1:16" x14ac:dyDescent="0.25">
      <c r="A72" s="177"/>
      <c r="B72" s="177"/>
      <c r="C72" s="177"/>
      <c r="D72" s="177"/>
      <c r="E72" s="167" t="s">
        <v>434</v>
      </c>
      <c r="F72" s="167">
        <v>0</v>
      </c>
      <c r="G72" s="167" t="s">
        <v>904</v>
      </c>
      <c r="H72" s="167">
        <v>0</v>
      </c>
      <c r="I72" s="177"/>
      <c r="J72" s="177"/>
      <c r="K72" s="177"/>
      <c r="L72" s="177"/>
      <c r="M72" s="177"/>
      <c r="N72" s="177"/>
      <c r="O72" s="177"/>
      <c r="P72" s="177"/>
    </row>
    <row r="73" spans="1:16" x14ac:dyDescent="0.25">
      <c r="A73" s="177"/>
      <c r="B73" s="177"/>
      <c r="C73" s="177"/>
      <c r="D73" s="177"/>
      <c r="E73" s="167" t="s">
        <v>433</v>
      </c>
      <c r="F73" s="167">
        <v>0</v>
      </c>
      <c r="G73" s="167">
        <v>0</v>
      </c>
      <c r="H73" s="167">
        <v>0</v>
      </c>
      <c r="I73" s="177"/>
      <c r="J73" s="177"/>
      <c r="K73" s="177"/>
      <c r="L73" s="177"/>
      <c r="M73" s="177"/>
      <c r="N73" s="177"/>
      <c r="O73" s="177"/>
      <c r="P73" s="177"/>
    </row>
    <row r="74" spans="1:16" x14ac:dyDescent="0.25">
      <c r="A74" s="177"/>
      <c r="B74" s="177"/>
      <c r="C74" s="177"/>
      <c r="D74" s="177"/>
      <c r="E74" s="167" t="s">
        <v>434</v>
      </c>
      <c r="F74" s="167" t="s">
        <v>909</v>
      </c>
      <c r="G74" s="167" t="s">
        <v>907</v>
      </c>
      <c r="H74" s="167" t="s">
        <v>909</v>
      </c>
      <c r="I74" s="177"/>
      <c r="J74" s="177"/>
      <c r="K74" s="177"/>
      <c r="L74" s="177"/>
      <c r="M74" s="177"/>
      <c r="N74" s="177"/>
      <c r="O74" s="177"/>
      <c r="P74" s="177"/>
    </row>
    <row r="75" spans="1:16" x14ac:dyDescent="0.25">
      <c r="A75" s="177" t="s">
        <v>861</v>
      </c>
      <c r="B75" s="177" t="s">
        <v>1232</v>
      </c>
      <c r="C75" s="177">
        <v>70</v>
      </c>
      <c r="D75" s="177">
        <v>200</v>
      </c>
      <c r="E75" s="167" t="s">
        <v>433</v>
      </c>
      <c r="F75" s="167" t="s">
        <v>909</v>
      </c>
      <c r="G75" s="167" t="s">
        <v>909</v>
      </c>
      <c r="H75" s="167" t="s">
        <v>909</v>
      </c>
      <c r="I75" s="177" t="s">
        <v>936</v>
      </c>
      <c r="J75" s="177" t="s">
        <v>937</v>
      </c>
      <c r="K75" s="177" t="s">
        <v>937</v>
      </c>
      <c r="L75" s="177" t="s">
        <v>937</v>
      </c>
      <c r="M75" s="177">
        <v>830</v>
      </c>
      <c r="N75" s="177">
        <v>0</v>
      </c>
      <c r="O75" s="177" t="s">
        <v>1234</v>
      </c>
      <c r="P75" s="178" t="s">
        <v>1360</v>
      </c>
    </row>
    <row r="76" spans="1:16" x14ac:dyDescent="0.25">
      <c r="A76" s="177"/>
      <c r="B76" s="177"/>
      <c r="C76" s="177"/>
      <c r="D76" s="177"/>
      <c r="E76" s="167" t="s">
        <v>434</v>
      </c>
      <c r="F76" s="167" t="s">
        <v>904</v>
      </c>
      <c r="G76" s="167" t="s">
        <v>904</v>
      </c>
      <c r="H76" s="167">
        <v>0</v>
      </c>
      <c r="I76" s="177"/>
      <c r="J76" s="177"/>
      <c r="K76" s="177"/>
      <c r="L76" s="177"/>
      <c r="M76" s="177"/>
      <c r="N76" s="177"/>
      <c r="O76" s="177"/>
      <c r="P76" s="177"/>
    </row>
    <row r="77" spans="1:16" x14ac:dyDescent="0.25">
      <c r="A77" s="177"/>
      <c r="B77" s="177"/>
      <c r="C77" s="177"/>
      <c r="D77" s="177"/>
      <c r="E77" s="167" t="s">
        <v>433</v>
      </c>
      <c r="F77" s="167" t="s">
        <v>909</v>
      </c>
      <c r="G77" s="167">
        <v>0</v>
      </c>
      <c r="H77" s="167" t="s">
        <v>906</v>
      </c>
      <c r="I77" s="177"/>
      <c r="J77" s="177"/>
      <c r="K77" s="177"/>
      <c r="L77" s="177"/>
      <c r="M77" s="177"/>
      <c r="N77" s="177"/>
      <c r="O77" s="177"/>
      <c r="P77" s="177"/>
    </row>
    <row r="78" spans="1:16" x14ac:dyDescent="0.25">
      <c r="A78" s="177"/>
      <c r="B78" s="177"/>
      <c r="C78" s="177"/>
      <c r="D78" s="177"/>
      <c r="E78" s="167" t="s">
        <v>434</v>
      </c>
      <c r="F78" s="167" t="s">
        <v>909</v>
      </c>
      <c r="G78" s="167" t="s">
        <v>909</v>
      </c>
      <c r="H78" s="167" t="s">
        <v>909</v>
      </c>
      <c r="I78" s="177"/>
      <c r="J78" s="177"/>
      <c r="K78" s="177"/>
      <c r="L78" s="177"/>
      <c r="M78" s="177"/>
      <c r="N78" s="177"/>
      <c r="O78" s="177"/>
      <c r="P78" s="177"/>
    </row>
    <row r="79" spans="1:16" x14ac:dyDescent="0.25">
      <c r="A79" s="177" t="s">
        <v>861</v>
      </c>
      <c r="B79" s="177" t="s">
        <v>1243</v>
      </c>
      <c r="C79" s="177">
        <v>70</v>
      </c>
      <c r="D79" s="177">
        <v>200</v>
      </c>
      <c r="E79" s="167" t="s">
        <v>433</v>
      </c>
      <c r="F79" s="167" t="s">
        <v>909</v>
      </c>
      <c r="G79" s="167" t="s">
        <v>909</v>
      </c>
      <c r="H79" s="167" t="s">
        <v>909</v>
      </c>
      <c r="I79" s="177" t="s">
        <v>936</v>
      </c>
      <c r="J79" s="177" t="s">
        <v>937</v>
      </c>
      <c r="K79" s="177" t="s">
        <v>937</v>
      </c>
      <c r="L79" s="177" t="s">
        <v>937</v>
      </c>
      <c r="M79" s="177">
        <v>830</v>
      </c>
      <c r="N79" s="177">
        <v>0</v>
      </c>
      <c r="O79" s="177" t="s">
        <v>1239</v>
      </c>
      <c r="P79" s="178" t="s">
        <v>1361</v>
      </c>
    </row>
    <row r="80" spans="1:16" x14ac:dyDescent="0.25">
      <c r="A80" s="177"/>
      <c r="B80" s="177"/>
      <c r="C80" s="177"/>
      <c r="D80" s="177"/>
      <c r="E80" s="167" t="s">
        <v>434</v>
      </c>
      <c r="F80" s="167">
        <v>0</v>
      </c>
      <c r="G80" s="167" t="s">
        <v>904</v>
      </c>
      <c r="H80" s="167" t="s">
        <v>904</v>
      </c>
      <c r="I80" s="177"/>
      <c r="J80" s="177"/>
      <c r="K80" s="177"/>
      <c r="L80" s="177"/>
      <c r="M80" s="177"/>
      <c r="N80" s="177"/>
      <c r="O80" s="177"/>
      <c r="P80" s="177"/>
    </row>
    <row r="81" spans="1:16" x14ac:dyDescent="0.25">
      <c r="A81" s="177"/>
      <c r="B81" s="177"/>
      <c r="C81" s="177"/>
      <c r="D81" s="177"/>
      <c r="E81" s="167" t="s">
        <v>433</v>
      </c>
      <c r="F81" s="167" t="s">
        <v>909</v>
      </c>
      <c r="G81" s="167">
        <v>0</v>
      </c>
      <c r="H81" s="167" t="s">
        <v>906</v>
      </c>
      <c r="I81" s="177"/>
      <c r="J81" s="177"/>
      <c r="K81" s="177"/>
      <c r="L81" s="177"/>
      <c r="M81" s="177"/>
      <c r="N81" s="177"/>
      <c r="O81" s="177"/>
      <c r="P81" s="177"/>
    </row>
    <row r="82" spans="1:16" x14ac:dyDescent="0.25">
      <c r="A82" s="177"/>
      <c r="B82" s="177"/>
      <c r="C82" s="177"/>
      <c r="D82" s="177"/>
      <c r="E82" s="167" t="s">
        <v>434</v>
      </c>
      <c r="F82" s="167" t="s">
        <v>909</v>
      </c>
      <c r="G82" s="167" t="s">
        <v>909</v>
      </c>
      <c r="H82" s="167" t="s">
        <v>909</v>
      </c>
      <c r="I82" s="177"/>
      <c r="J82" s="177"/>
      <c r="K82" s="177"/>
      <c r="L82" s="177"/>
      <c r="M82" s="177"/>
      <c r="N82" s="177"/>
      <c r="O82" s="177"/>
      <c r="P82" s="177"/>
    </row>
    <row r="83" spans="1:16" x14ac:dyDescent="0.25">
      <c r="A83" s="177" t="s">
        <v>861</v>
      </c>
      <c r="B83" s="177" t="s">
        <v>1245</v>
      </c>
      <c r="C83" s="177">
        <v>70</v>
      </c>
      <c r="D83" s="177">
        <v>200</v>
      </c>
      <c r="E83" s="167" t="s">
        <v>433</v>
      </c>
      <c r="F83" s="167" t="s">
        <v>909</v>
      </c>
      <c r="G83" s="167" t="s">
        <v>909</v>
      </c>
      <c r="H83" s="167" t="s">
        <v>909</v>
      </c>
      <c r="I83" s="177" t="s">
        <v>936</v>
      </c>
      <c r="J83" s="177" t="s">
        <v>1247</v>
      </c>
      <c r="K83" s="177" t="s">
        <v>937</v>
      </c>
      <c r="L83" s="177" t="s">
        <v>937</v>
      </c>
      <c r="M83" s="177">
        <v>830</v>
      </c>
      <c r="N83" s="177">
        <v>0</v>
      </c>
      <c r="O83" s="177" t="s">
        <v>1241</v>
      </c>
      <c r="P83" s="178" t="s">
        <v>1362</v>
      </c>
    </row>
    <row r="84" spans="1:16" x14ac:dyDescent="0.25">
      <c r="A84" s="177"/>
      <c r="B84" s="177"/>
      <c r="C84" s="177"/>
      <c r="D84" s="177"/>
      <c r="E84" s="167" t="s">
        <v>434</v>
      </c>
      <c r="F84" s="167">
        <v>0</v>
      </c>
      <c r="G84" s="167" t="s">
        <v>904</v>
      </c>
      <c r="H84" s="167">
        <v>0</v>
      </c>
      <c r="I84" s="177"/>
      <c r="J84" s="177"/>
      <c r="K84" s="177"/>
      <c r="L84" s="177"/>
      <c r="M84" s="177"/>
      <c r="N84" s="177"/>
      <c r="O84" s="177"/>
      <c r="P84" s="177"/>
    </row>
    <row r="85" spans="1:16" x14ac:dyDescent="0.25">
      <c r="A85" s="177"/>
      <c r="B85" s="177"/>
      <c r="C85" s="177"/>
      <c r="D85" s="177"/>
      <c r="E85" s="167" t="s">
        <v>433</v>
      </c>
      <c r="F85" s="167" t="s">
        <v>909</v>
      </c>
      <c r="G85" s="167">
        <v>0</v>
      </c>
      <c r="H85" s="167" t="s">
        <v>906</v>
      </c>
      <c r="I85" s="177"/>
      <c r="J85" s="177"/>
      <c r="K85" s="177"/>
      <c r="L85" s="177"/>
      <c r="M85" s="177"/>
      <c r="N85" s="177"/>
      <c r="O85" s="177"/>
      <c r="P85" s="177"/>
    </row>
    <row r="86" spans="1:16" x14ac:dyDescent="0.25">
      <c r="A86" s="177"/>
      <c r="B86" s="177"/>
      <c r="C86" s="177"/>
      <c r="D86" s="177"/>
      <c r="E86" s="167" t="s">
        <v>434</v>
      </c>
      <c r="F86" s="167" t="s">
        <v>909</v>
      </c>
      <c r="G86" s="167" t="s">
        <v>909</v>
      </c>
      <c r="H86" s="167" t="s">
        <v>909</v>
      </c>
      <c r="I86" s="177"/>
      <c r="J86" s="177"/>
      <c r="K86" s="177"/>
      <c r="L86" s="177"/>
      <c r="M86" s="177"/>
      <c r="N86" s="177"/>
      <c r="O86" s="177"/>
      <c r="P86" s="177"/>
    </row>
    <row r="87" spans="1:16" x14ac:dyDescent="0.25">
      <c r="A87" s="177" t="s">
        <v>861</v>
      </c>
      <c r="B87" s="177" t="s">
        <v>1256</v>
      </c>
      <c r="C87" s="177">
        <v>70</v>
      </c>
      <c r="D87" s="177">
        <v>200</v>
      </c>
      <c r="E87" s="167" t="s">
        <v>433</v>
      </c>
      <c r="F87" s="167" t="s">
        <v>909</v>
      </c>
      <c r="G87" s="167" t="s">
        <v>909</v>
      </c>
      <c r="H87" s="167" t="s">
        <v>909</v>
      </c>
      <c r="I87" s="177" t="s">
        <v>936</v>
      </c>
      <c r="J87" s="177" t="s">
        <v>937</v>
      </c>
      <c r="K87" s="177" t="s">
        <v>937</v>
      </c>
      <c r="L87" s="177" t="s">
        <v>1254</v>
      </c>
      <c r="M87" s="177">
        <v>830</v>
      </c>
      <c r="N87" s="177">
        <v>0</v>
      </c>
      <c r="O87" s="177" t="s">
        <v>1251</v>
      </c>
      <c r="P87" s="178" t="s">
        <v>1363</v>
      </c>
    </row>
    <row r="88" spans="1:16" x14ac:dyDescent="0.25">
      <c r="A88" s="177"/>
      <c r="B88" s="177"/>
      <c r="C88" s="177"/>
      <c r="D88" s="177"/>
      <c r="E88" s="167" t="s">
        <v>434</v>
      </c>
      <c r="F88" s="167">
        <v>0</v>
      </c>
      <c r="G88" s="167" t="s">
        <v>904</v>
      </c>
      <c r="H88" s="167">
        <v>0</v>
      </c>
      <c r="I88" s="177"/>
      <c r="J88" s="177"/>
      <c r="K88" s="177"/>
      <c r="L88" s="177"/>
      <c r="M88" s="177"/>
      <c r="N88" s="177"/>
      <c r="O88" s="177"/>
      <c r="P88" s="177"/>
    </row>
    <row r="89" spans="1:16" x14ac:dyDescent="0.25">
      <c r="A89" s="177"/>
      <c r="B89" s="177"/>
      <c r="C89" s="177"/>
      <c r="D89" s="177"/>
      <c r="E89" s="167" t="s">
        <v>433</v>
      </c>
      <c r="F89" s="167" t="s">
        <v>909</v>
      </c>
      <c r="G89" s="167">
        <v>0</v>
      </c>
      <c r="H89" s="167" t="s">
        <v>906</v>
      </c>
      <c r="I89" s="177"/>
      <c r="J89" s="177"/>
      <c r="K89" s="177"/>
      <c r="L89" s="177"/>
      <c r="M89" s="177"/>
      <c r="N89" s="177"/>
      <c r="O89" s="177"/>
      <c r="P89" s="177"/>
    </row>
    <row r="90" spans="1:16" x14ac:dyDescent="0.25">
      <c r="A90" s="177"/>
      <c r="B90" s="177"/>
      <c r="C90" s="177"/>
      <c r="D90" s="177"/>
      <c r="E90" s="167" t="s">
        <v>434</v>
      </c>
      <c r="F90" s="167" t="s">
        <v>909</v>
      </c>
      <c r="G90" s="167" t="s">
        <v>909</v>
      </c>
      <c r="H90" s="167" t="s">
        <v>909</v>
      </c>
      <c r="I90" s="177"/>
      <c r="J90" s="177"/>
      <c r="K90" s="177"/>
      <c r="L90" s="177"/>
      <c r="M90" s="177"/>
      <c r="N90" s="177"/>
      <c r="O90" s="177"/>
      <c r="P90" s="177"/>
    </row>
  </sheetData>
  <sortState xmlns:xlrd2="http://schemas.microsoft.com/office/spreadsheetml/2017/richdata2" caseSensitive="1" sortMethod="pinYin" ref="A3:R90">
    <sortCondition ref="Q3"/>
    <sortCondition ref="R3"/>
  </sortState>
  <mergeCells count="264">
    <mergeCell ref="K87:K90"/>
    <mergeCell ref="L87:L90"/>
    <mergeCell ref="M87:M90"/>
    <mergeCell ref="N87:N90"/>
    <mergeCell ref="O87:O90"/>
    <mergeCell ref="P87:P90"/>
    <mergeCell ref="A87:A90"/>
    <mergeCell ref="B87:B90"/>
    <mergeCell ref="C87:C90"/>
    <mergeCell ref="D87:D90"/>
    <mergeCell ref="I87:I90"/>
    <mergeCell ref="J87:J90"/>
    <mergeCell ref="K83:K86"/>
    <mergeCell ref="L83:L86"/>
    <mergeCell ref="M83:M86"/>
    <mergeCell ref="N83:N86"/>
    <mergeCell ref="O83:O86"/>
    <mergeCell ref="P83:P86"/>
    <mergeCell ref="A83:A86"/>
    <mergeCell ref="B83:B86"/>
    <mergeCell ref="C83:C86"/>
    <mergeCell ref="D83:D86"/>
    <mergeCell ref="I83:I86"/>
    <mergeCell ref="J83:J86"/>
    <mergeCell ref="K79:K82"/>
    <mergeCell ref="L79:L82"/>
    <mergeCell ref="M79:M82"/>
    <mergeCell ref="N79:N82"/>
    <mergeCell ref="O79:O82"/>
    <mergeCell ref="P79:P82"/>
    <mergeCell ref="A79:A82"/>
    <mergeCell ref="B79:B82"/>
    <mergeCell ref="C79:C82"/>
    <mergeCell ref="D79:D82"/>
    <mergeCell ref="I79:I82"/>
    <mergeCell ref="J79:J82"/>
    <mergeCell ref="K75:K78"/>
    <mergeCell ref="L75:L78"/>
    <mergeCell ref="M75:M78"/>
    <mergeCell ref="N75:N78"/>
    <mergeCell ref="O75:O78"/>
    <mergeCell ref="P75:P78"/>
    <mergeCell ref="A75:A78"/>
    <mergeCell ref="B75:B78"/>
    <mergeCell ref="C75:C78"/>
    <mergeCell ref="D75:D78"/>
    <mergeCell ref="I75:I78"/>
    <mergeCell ref="J75:J78"/>
    <mergeCell ref="K71:K74"/>
    <mergeCell ref="L71:L74"/>
    <mergeCell ref="M71:M74"/>
    <mergeCell ref="N71:N74"/>
    <mergeCell ref="O71:O74"/>
    <mergeCell ref="P71:P74"/>
    <mergeCell ref="A71:A74"/>
    <mergeCell ref="B71:B74"/>
    <mergeCell ref="C71:C74"/>
    <mergeCell ref="D71:D74"/>
    <mergeCell ref="I71:I74"/>
    <mergeCell ref="J71:J74"/>
    <mergeCell ref="K67:K70"/>
    <mergeCell ref="L67:L70"/>
    <mergeCell ref="M67:M70"/>
    <mergeCell ref="N67:N70"/>
    <mergeCell ref="O67:O70"/>
    <mergeCell ref="P67:P70"/>
    <mergeCell ref="A67:A70"/>
    <mergeCell ref="B67:B70"/>
    <mergeCell ref="C67:C70"/>
    <mergeCell ref="D67:D70"/>
    <mergeCell ref="I67:I70"/>
    <mergeCell ref="J67:J70"/>
    <mergeCell ref="K63:K66"/>
    <mergeCell ref="L63:L66"/>
    <mergeCell ref="M63:M66"/>
    <mergeCell ref="N63:N66"/>
    <mergeCell ref="O63:O66"/>
    <mergeCell ref="P63:P66"/>
    <mergeCell ref="A63:A66"/>
    <mergeCell ref="B63:B66"/>
    <mergeCell ref="C63:C66"/>
    <mergeCell ref="D63:D66"/>
    <mergeCell ref="I63:I66"/>
    <mergeCell ref="J63:J66"/>
    <mergeCell ref="K59:K62"/>
    <mergeCell ref="L59:L62"/>
    <mergeCell ref="M59:M62"/>
    <mergeCell ref="N59:N62"/>
    <mergeCell ref="O59:O62"/>
    <mergeCell ref="P59:P62"/>
    <mergeCell ref="A59:A62"/>
    <mergeCell ref="B59:B62"/>
    <mergeCell ref="C59:C62"/>
    <mergeCell ref="D59:D62"/>
    <mergeCell ref="I59:I62"/>
    <mergeCell ref="J59:J62"/>
    <mergeCell ref="K55:K58"/>
    <mergeCell ref="L55:L58"/>
    <mergeCell ref="M55:M58"/>
    <mergeCell ref="N55:N58"/>
    <mergeCell ref="O55:O58"/>
    <mergeCell ref="P55:P58"/>
    <mergeCell ref="A55:A58"/>
    <mergeCell ref="B55:B58"/>
    <mergeCell ref="C55:C58"/>
    <mergeCell ref="D55:D58"/>
    <mergeCell ref="I55:I58"/>
    <mergeCell ref="J55:J58"/>
    <mergeCell ref="K51:K54"/>
    <mergeCell ref="L51:L54"/>
    <mergeCell ref="M51:M54"/>
    <mergeCell ref="N51:N54"/>
    <mergeCell ref="O51:O54"/>
    <mergeCell ref="P51:P54"/>
    <mergeCell ref="A51:A54"/>
    <mergeCell ref="B51:B54"/>
    <mergeCell ref="C51:C54"/>
    <mergeCell ref="D51:D54"/>
    <mergeCell ref="I51:I54"/>
    <mergeCell ref="J51:J54"/>
    <mergeCell ref="K47:K50"/>
    <mergeCell ref="L47:L50"/>
    <mergeCell ref="M47:M50"/>
    <mergeCell ref="N47:N50"/>
    <mergeCell ref="O47:O50"/>
    <mergeCell ref="P47:P50"/>
    <mergeCell ref="A47:A50"/>
    <mergeCell ref="B47:B50"/>
    <mergeCell ref="C47:C50"/>
    <mergeCell ref="D47:D50"/>
    <mergeCell ref="I47:I50"/>
    <mergeCell ref="J47:J50"/>
    <mergeCell ref="K43:K46"/>
    <mergeCell ref="L43:L46"/>
    <mergeCell ref="M43:M46"/>
    <mergeCell ref="N43:N46"/>
    <mergeCell ref="O43:O46"/>
    <mergeCell ref="P43:P46"/>
    <mergeCell ref="A43:A46"/>
    <mergeCell ref="B43:B46"/>
    <mergeCell ref="C43:C46"/>
    <mergeCell ref="D43:D46"/>
    <mergeCell ref="I43:I46"/>
    <mergeCell ref="J43:J46"/>
    <mergeCell ref="K39:K42"/>
    <mergeCell ref="L39:L42"/>
    <mergeCell ref="M39:M42"/>
    <mergeCell ref="N39:N42"/>
    <mergeCell ref="O39:O42"/>
    <mergeCell ref="P39:P42"/>
    <mergeCell ref="A39:A42"/>
    <mergeCell ref="B39:B42"/>
    <mergeCell ref="C39:C42"/>
    <mergeCell ref="D39:D42"/>
    <mergeCell ref="I39:I42"/>
    <mergeCell ref="J39:J42"/>
    <mergeCell ref="K35:K38"/>
    <mergeCell ref="L35:L38"/>
    <mergeCell ref="M35:M38"/>
    <mergeCell ref="N35:N38"/>
    <mergeCell ref="O35:O38"/>
    <mergeCell ref="P35:P38"/>
    <mergeCell ref="A35:A38"/>
    <mergeCell ref="B35:B38"/>
    <mergeCell ref="C35:C38"/>
    <mergeCell ref="D35:D38"/>
    <mergeCell ref="I35:I38"/>
    <mergeCell ref="J35:J38"/>
    <mergeCell ref="K31:K34"/>
    <mergeCell ref="L31:L34"/>
    <mergeCell ref="M31:M34"/>
    <mergeCell ref="N31:N34"/>
    <mergeCell ref="O31:O34"/>
    <mergeCell ref="P31:P34"/>
    <mergeCell ref="A31:A34"/>
    <mergeCell ref="B31:B34"/>
    <mergeCell ref="C31:C34"/>
    <mergeCell ref="D31:D34"/>
    <mergeCell ref="I31:I34"/>
    <mergeCell ref="J31:J34"/>
    <mergeCell ref="K27:K30"/>
    <mergeCell ref="L27:L30"/>
    <mergeCell ref="M27:M30"/>
    <mergeCell ref="N27:N30"/>
    <mergeCell ref="O27:O30"/>
    <mergeCell ref="P27:P30"/>
    <mergeCell ref="A27:A30"/>
    <mergeCell ref="B27:B30"/>
    <mergeCell ref="C27:C30"/>
    <mergeCell ref="D27:D30"/>
    <mergeCell ref="I27:I30"/>
    <mergeCell ref="J27:J30"/>
    <mergeCell ref="K23:K26"/>
    <mergeCell ref="L23:L26"/>
    <mergeCell ref="M23:M26"/>
    <mergeCell ref="N23:N26"/>
    <mergeCell ref="O23:O26"/>
    <mergeCell ref="P23:P26"/>
    <mergeCell ref="A23:A26"/>
    <mergeCell ref="B23:B26"/>
    <mergeCell ref="C23:C26"/>
    <mergeCell ref="D23:D26"/>
    <mergeCell ref="I23:I26"/>
    <mergeCell ref="J23:J26"/>
    <mergeCell ref="K19:K22"/>
    <mergeCell ref="L19:L22"/>
    <mergeCell ref="M19:M22"/>
    <mergeCell ref="N19:N22"/>
    <mergeCell ref="O19:O22"/>
    <mergeCell ref="P19:P22"/>
    <mergeCell ref="A19:A22"/>
    <mergeCell ref="B19:B22"/>
    <mergeCell ref="C19:C22"/>
    <mergeCell ref="D19:D22"/>
    <mergeCell ref="I19:I22"/>
    <mergeCell ref="J19:J22"/>
    <mergeCell ref="K15:K18"/>
    <mergeCell ref="L15:L18"/>
    <mergeCell ref="M15:M18"/>
    <mergeCell ref="N15:N18"/>
    <mergeCell ref="O15:O18"/>
    <mergeCell ref="P15:P18"/>
    <mergeCell ref="A15:A18"/>
    <mergeCell ref="B15:B18"/>
    <mergeCell ref="C15:C18"/>
    <mergeCell ref="D15:D18"/>
    <mergeCell ref="I15:I18"/>
    <mergeCell ref="J15:J18"/>
    <mergeCell ref="K11:K14"/>
    <mergeCell ref="L11:L14"/>
    <mergeCell ref="M11:M14"/>
    <mergeCell ref="N11:N14"/>
    <mergeCell ref="O11:O14"/>
    <mergeCell ref="P11:P14"/>
    <mergeCell ref="A11:A14"/>
    <mergeCell ref="B11:B14"/>
    <mergeCell ref="C11:C14"/>
    <mergeCell ref="D11:D14"/>
    <mergeCell ref="I11:I14"/>
    <mergeCell ref="J11:J14"/>
    <mergeCell ref="K7:K10"/>
    <mergeCell ref="L7:L10"/>
    <mergeCell ref="M7:M10"/>
    <mergeCell ref="N7:N10"/>
    <mergeCell ref="O7:O10"/>
    <mergeCell ref="P7:P10"/>
    <mergeCell ref="A7:A10"/>
    <mergeCell ref="B7:B10"/>
    <mergeCell ref="C7:C10"/>
    <mergeCell ref="D7:D10"/>
    <mergeCell ref="I7:I10"/>
    <mergeCell ref="J7:J10"/>
    <mergeCell ref="K3:K6"/>
    <mergeCell ref="L3:L6"/>
    <mergeCell ref="M3:M6"/>
    <mergeCell ref="N3:N6"/>
    <mergeCell ref="O3:O6"/>
    <mergeCell ref="P3:P6"/>
    <mergeCell ref="A3:A6"/>
    <mergeCell ref="B3:B6"/>
    <mergeCell ref="C3:C6"/>
    <mergeCell ref="D3:D6"/>
    <mergeCell ref="I3:I6"/>
    <mergeCell ref="J3:J6"/>
  </mergeCells>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9">
    <tabColor theme="4" tint="0.39997558519241921"/>
  </sheetPr>
  <dimension ref="A1:M478"/>
  <sheetViews>
    <sheetView workbookViewId="0">
      <pane ySplit="2" topLeftCell="A3" activePane="bottomLeft" state="frozen"/>
      <selection activeCell="B4" sqref="B4"/>
      <selection pane="bottomLeft" activeCell="N163" sqref="N163"/>
    </sheetView>
  </sheetViews>
  <sheetFormatPr defaultColWidth="9" defaultRowHeight="15.75" x14ac:dyDescent="0.25"/>
  <cols>
    <col min="1" max="2" width="9" style="143"/>
    <col min="3" max="11" width="9" style="143" customWidth="1"/>
    <col min="12" max="16384" width="9" style="5"/>
  </cols>
  <sheetData>
    <row r="1" spans="1:13" x14ac:dyDescent="0.25">
      <c r="A1" s="143" t="s">
        <v>317</v>
      </c>
      <c r="B1" s="143" t="s">
        <v>867</v>
      </c>
      <c r="C1" s="143" t="s">
        <v>868</v>
      </c>
      <c r="D1" s="143" t="s">
        <v>869</v>
      </c>
      <c r="E1" s="143" t="s">
        <v>1132</v>
      </c>
      <c r="H1" s="143" t="s">
        <v>870</v>
      </c>
      <c r="L1" s="5" t="s">
        <v>281</v>
      </c>
      <c r="M1" s="5" t="s">
        <v>1159</v>
      </c>
    </row>
    <row r="2" spans="1:13" ht="16.899999999999999" customHeight="1" x14ac:dyDescent="0.25">
      <c r="C2" s="143" t="s">
        <v>318</v>
      </c>
      <c r="D2" s="143" t="s">
        <v>318</v>
      </c>
      <c r="E2" s="143" t="s">
        <v>423</v>
      </c>
      <c r="F2" s="143" t="s">
        <v>871</v>
      </c>
      <c r="G2" s="143" t="s">
        <v>872</v>
      </c>
      <c r="H2" s="143" t="s">
        <v>873</v>
      </c>
      <c r="I2" s="143" t="s">
        <v>874</v>
      </c>
      <c r="J2" s="143" t="s">
        <v>875</v>
      </c>
      <c r="K2" s="143" t="s">
        <v>876</v>
      </c>
    </row>
    <row r="3" spans="1:13" x14ac:dyDescent="0.25">
      <c r="A3" s="143" t="s">
        <v>895</v>
      </c>
      <c r="B3" s="143" t="s">
        <v>299</v>
      </c>
      <c r="C3" s="143">
        <v>90</v>
      </c>
      <c r="D3" s="143">
        <v>80</v>
      </c>
      <c r="E3" s="143" t="s">
        <v>1031</v>
      </c>
      <c r="F3" s="143">
        <v>5</v>
      </c>
      <c r="G3" s="143">
        <v>4</v>
      </c>
      <c r="H3" s="143" t="s">
        <v>287</v>
      </c>
      <c r="I3" s="143" t="s">
        <v>288</v>
      </c>
      <c r="J3" s="143">
        <v>2</v>
      </c>
      <c r="K3" s="143">
        <v>3</v>
      </c>
    </row>
    <row r="4" spans="1:13" x14ac:dyDescent="0.25">
      <c r="A4" s="143" t="s">
        <v>851</v>
      </c>
      <c r="B4" s="143" t="s">
        <v>299</v>
      </c>
      <c r="C4" s="143">
        <v>90</v>
      </c>
      <c r="D4" s="143">
        <v>80</v>
      </c>
      <c r="E4" s="143" t="s">
        <v>1031</v>
      </c>
      <c r="F4" s="143">
        <v>5</v>
      </c>
      <c r="G4" s="143">
        <v>4</v>
      </c>
      <c r="H4" s="143" t="s">
        <v>287</v>
      </c>
      <c r="I4" s="143" t="s">
        <v>288</v>
      </c>
      <c r="J4" s="143">
        <v>2</v>
      </c>
      <c r="K4" s="143">
        <v>3</v>
      </c>
    </row>
    <row r="5" spans="1:13" x14ac:dyDescent="0.25">
      <c r="A5" s="143" t="s">
        <v>852</v>
      </c>
      <c r="B5" s="143" t="s">
        <v>299</v>
      </c>
      <c r="C5" s="143">
        <v>90</v>
      </c>
      <c r="D5" s="143">
        <v>80</v>
      </c>
      <c r="E5" s="143" t="s">
        <v>1031</v>
      </c>
      <c r="F5" s="143">
        <v>5</v>
      </c>
      <c r="G5" s="143">
        <v>4</v>
      </c>
      <c r="H5" s="143" t="s">
        <v>287</v>
      </c>
      <c r="I5" s="143" t="s">
        <v>288</v>
      </c>
      <c r="J5" s="143">
        <v>2</v>
      </c>
      <c r="K5" s="143">
        <v>3</v>
      </c>
    </row>
    <row r="6" spans="1:13" x14ac:dyDescent="0.25">
      <c r="A6" s="143" t="s">
        <v>853</v>
      </c>
      <c r="B6" s="143" t="s">
        <v>299</v>
      </c>
      <c r="C6" s="143">
        <v>90</v>
      </c>
      <c r="D6" s="143">
        <v>80</v>
      </c>
      <c r="E6" s="143" t="s">
        <v>1031</v>
      </c>
      <c r="F6" s="143">
        <v>5</v>
      </c>
      <c r="G6" s="143">
        <v>4</v>
      </c>
      <c r="H6" s="143" t="s">
        <v>287</v>
      </c>
      <c r="I6" s="143" t="s">
        <v>288</v>
      </c>
      <c r="J6" s="143">
        <v>2</v>
      </c>
      <c r="K6" s="143">
        <v>3</v>
      </c>
    </row>
    <row r="7" spans="1:13" x14ac:dyDescent="0.25">
      <c r="A7" s="143" t="s">
        <v>854</v>
      </c>
      <c r="B7" s="143" t="s">
        <v>299</v>
      </c>
      <c r="C7" s="143">
        <v>90</v>
      </c>
      <c r="D7" s="143">
        <v>80</v>
      </c>
      <c r="E7" s="143" t="s">
        <v>1031</v>
      </c>
      <c r="F7" s="143">
        <v>5</v>
      </c>
      <c r="G7" s="143">
        <v>4</v>
      </c>
      <c r="H7" s="143" t="s">
        <v>287</v>
      </c>
      <c r="I7" s="143" t="s">
        <v>288</v>
      </c>
      <c r="J7" s="143">
        <v>2</v>
      </c>
      <c r="K7" s="143">
        <v>3</v>
      </c>
    </row>
    <row r="8" spans="1:13" x14ac:dyDescent="0.25">
      <c r="A8" s="143" t="s">
        <v>855</v>
      </c>
      <c r="B8" s="143" t="s">
        <v>299</v>
      </c>
      <c r="C8" s="144">
        <v>90</v>
      </c>
      <c r="D8" s="144">
        <v>80</v>
      </c>
      <c r="E8" s="143" t="s">
        <v>1031</v>
      </c>
      <c r="F8" s="143">
        <v>5</v>
      </c>
      <c r="G8" s="143">
        <v>4</v>
      </c>
      <c r="H8" s="143" t="s">
        <v>287</v>
      </c>
      <c r="I8" s="143" t="s">
        <v>288</v>
      </c>
      <c r="J8" s="143">
        <v>2</v>
      </c>
      <c r="K8" s="143">
        <v>3</v>
      </c>
    </row>
    <row r="9" spans="1:13" x14ac:dyDescent="0.25">
      <c r="A9" s="143" t="s">
        <v>856</v>
      </c>
      <c r="B9" s="143" t="s">
        <v>299</v>
      </c>
      <c r="C9" s="143">
        <v>90</v>
      </c>
      <c r="D9" s="143">
        <v>80</v>
      </c>
      <c r="E9" s="143" t="s">
        <v>1031</v>
      </c>
      <c r="F9" s="143">
        <v>5</v>
      </c>
      <c r="G9" s="143">
        <v>4</v>
      </c>
      <c r="H9" s="143" t="s">
        <v>287</v>
      </c>
      <c r="I9" s="143" t="s">
        <v>288</v>
      </c>
      <c r="J9" s="143">
        <v>2</v>
      </c>
      <c r="K9" s="143">
        <v>3</v>
      </c>
    </row>
    <row r="10" spans="1:13" x14ac:dyDescent="0.25">
      <c r="A10" s="143" t="s">
        <v>857</v>
      </c>
      <c r="B10" s="143" t="s">
        <v>299</v>
      </c>
      <c r="C10" s="143">
        <v>90</v>
      </c>
      <c r="D10" s="143">
        <v>80</v>
      </c>
      <c r="E10" s="143" t="s">
        <v>1031</v>
      </c>
      <c r="F10" s="143">
        <v>5</v>
      </c>
      <c r="G10" s="143">
        <v>4</v>
      </c>
      <c r="H10" s="143" t="s">
        <v>287</v>
      </c>
      <c r="I10" s="143" t="s">
        <v>288</v>
      </c>
      <c r="J10" s="143">
        <v>2</v>
      </c>
      <c r="K10" s="143">
        <v>3</v>
      </c>
    </row>
    <row r="11" spans="1:13" x14ac:dyDescent="0.25">
      <c r="A11" s="143" t="s">
        <v>225</v>
      </c>
      <c r="B11" s="143" t="s">
        <v>299</v>
      </c>
      <c r="C11" s="143">
        <v>90</v>
      </c>
      <c r="D11" s="143">
        <v>80</v>
      </c>
      <c r="E11" s="143" t="s">
        <v>1031</v>
      </c>
      <c r="F11" s="143">
        <v>5</v>
      </c>
      <c r="G11" s="143">
        <v>4</v>
      </c>
      <c r="H11" s="143" t="s">
        <v>287</v>
      </c>
      <c r="I11" s="143" t="s">
        <v>288</v>
      </c>
      <c r="J11" s="143">
        <v>2</v>
      </c>
      <c r="K11" s="143">
        <v>3</v>
      </c>
    </row>
    <row r="12" spans="1:13" x14ac:dyDescent="0.25">
      <c r="A12" s="143" t="s">
        <v>226</v>
      </c>
      <c r="B12" s="143" t="s">
        <v>299</v>
      </c>
      <c r="C12" s="143">
        <v>100</v>
      </c>
      <c r="D12" s="143">
        <v>80</v>
      </c>
      <c r="E12" s="143" t="s">
        <v>1032</v>
      </c>
      <c r="F12" s="143">
        <v>5</v>
      </c>
      <c r="G12" s="143">
        <v>4</v>
      </c>
      <c r="H12" s="143" t="s">
        <v>287</v>
      </c>
      <c r="I12" s="143" t="s">
        <v>288</v>
      </c>
      <c r="J12" s="143">
        <v>2</v>
      </c>
      <c r="K12" s="143">
        <v>3</v>
      </c>
    </row>
    <row r="13" spans="1:13" x14ac:dyDescent="0.25">
      <c r="A13" s="143" t="s">
        <v>227</v>
      </c>
      <c r="B13" s="143" t="s">
        <v>299</v>
      </c>
      <c r="C13" s="143">
        <v>100</v>
      </c>
      <c r="D13" s="143">
        <v>80</v>
      </c>
      <c r="E13" s="143" t="s">
        <v>1033</v>
      </c>
      <c r="F13" s="143">
        <v>8</v>
      </c>
      <c r="G13" s="143">
        <v>6</v>
      </c>
      <c r="H13" s="143" t="s">
        <v>287</v>
      </c>
      <c r="I13" s="143" t="s">
        <v>288</v>
      </c>
      <c r="J13" s="143">
        <v>2</v>
      </c>
      <c r="K13" s="143">
        <v>4</v>
      </c>
    </row>
    <row r="14" spans="1:13" x14ac:dyDescent="0.25">
      <c r="A14" s="143" t="s">
        <v>858</v>
      </c>
      <c r="B14" s="143" t="s">
        <v>299</v>
      </c>
      <c r="C14" s="143">
        <v>120</v>
      </c>
      <c r="D14" s="143">
        <v>80</v>
      </c>
      <c r="E14" s="143" t="s">
        <v>1033</v>
      </c>
      <c r="F14" s="143">
        <v>7</v>
      </c>
      <c r="G14" s="143">
        <v>4</v>
      </c>
      <c r="H14" s="143" t="s">
        <v>287</v>
      </c>
      <c r="I14" s="143" t="s">
        <v>288</v>
      </c>
      <c r="J14" s="143">
        <v>2</v>
      </c>
      <c r="K14" s="143">
        <v>5</v>
      </c>
    </row>
    <row r="15" spans="1:13" x14ac:dyDescent="0.25">
      <c r="A15" s="143" t="s">
        <v>859</v>
      </c>
      <c r="B15" s="143" t="s">
        <v>299</v>
      </c>
      <c r="C15" s="143">
        <v>120</v>
      </c>
      <c r="D15" s="143">
        <v>80</v>
      </c>
      <c r="E15" s="143" t="s">
        <v>1032</v>
      </c>
      <c r="F15" s="143">
        <v>5</v>
      </c>
      <c r="G15" s="143">
        <v>4</v>
      </c>
      <c r="H15" s="143" t="s">
        <v>287</v>
      </c>
      <c r="I15" s="143" t="s">
        <v>288</v>
      </c>
      <c r="J15" s="143">
        <v>2</v>
      </c>
      <c r="K15" s="143">
        <v>3</v>
      </c>
    </row>
    <row r="16" spans="1:13" x14ac:dyDescent="0.25">
      <c r="A16" s="143" t="s">
        <v>860</v>
      </c>
      <c r="B16" s="143" t="s">
        <v>299</v>
      </c>
      <c r="C16" s="143">
        <v>130</v>
      </c>
      <c r="D16" s="143">
        <v>80</v>
      </c>
      <c r="E16" s="143" t="s">
        <v>1034</v>
      </c>
      <c r="F16" s="143">
        <v>6</v>
      </c>
      <c r="G16" s="143">
        <v>4</v>
      </c>
      <c r="H16" s="143" t="s">
        <v>287</v>
      </c>
      <c r="I16" s="143" t="s">
        <v>288</v>
      </c>
      <c r="J16" s="143">
        <v>2</v>
      </c>
      <c r="K16" s="143">
        <v>4</v>
      </c>
    </row>
    <row r="17" spans="1:11" x14ac:dyDescent="0.25">
      <c r="A17" s="143" t="s">
        <v>895</v>
      </c>
      <c r="B17" s="143" t="s">
        <v>308</v>
      </c>
      <c r="C17" s="143">
        <v>90</v>
      </c>
      <c r="D17" s="143">
        <v>80</v>
      </c>
      <c r="E17" s="143" t="s">
        <v>1031</v>
      </c>
      <c r="F17" s="143">
        <v>5</v>
      </c>
      <c r="G17" s="143">
        <v>4</v>
      </c>
      <c r="H17" s="143" t="s">
        <v>287</v>
      </c>
      <c r="I17" s="143" t="s">
        <v>287</v>
      </c>
      <c r="J17" s="143">
        <v>2</v>
      </c>
      <c r="K17" s="143">
        <v>3</v>
      </c>
    </row>
    <row r="18" spans="1:11" x14ac:dyDescent="0.25">
      <c r="A18" s="143" t="s">
        <v>851</v>
      </c>
      <c r="B18" s="143" t="s">
        <v>308</v>
      </c>
      <c r="C18" s="143">
        <v>90</v>
      </c>
      <c r="D18" s="143">
        <v>80</v>
      </c>
      <c r="E18" s="143" t="s">
        <v>1031</v>
      </c>
      <c r="F18" s="143">
        <v>5</v>
      </c>
      <c r="G18" s="143">
        <v>4</v>
      </c>
      <c r="H18" s="143" t="s">
        <v>287</v>
      </c>
      <c r="I18" s="143" t="s">
        <v>288</v>
      </c>
      <c r="J18" s="143">
        <v>2</v>
      </c>
      <c r="K18" s="143">
        <v>3</v>
      </c>
    </row>
    <row r="19" spans="1:11" x14ac:dyDescent="0.25">
      <c r="A19" s="143" t="s">
        <v>852</v>
      </c>
      <c r="B19" s="143" t="s">
        <v>308</v>
      </c>
      <c r="C19" s="143">
        <v>90</v>
      </c>
      <c r="D19" s="143">
        <v>80</v>
      </c>
      <c r="E19" s="143" t="s">
        <v>1031</v>
      </c>
      <c r="F19" s="143">
        <v>5</v>
      </c>
      <c r="G19" s="143">
        <v>4</v>
      </c>
      <c r="H19" s="143" t="s">
        <v>287</v>
      </c>
      <c r="I19" s="143" t="s">
        <v>288</v>
      </c>
      <c r="J19" s="143">
        <v>2</v>
      </c>
      <c r="K19" s="143">
        <v>3</v>
      </c>
    </row>
    <row r="20" spans="1:11" x14ac:dyDescent="0.25">
      <c r="A20" s="143" t="s">
        <v>853</v>
      </c>
      <c r="B20" s="143" t="s">
        <v>308</v>
      </c>
      <c r="C20" s="143">
        <v>90</v>
      </c>
      <c r="D20" s="143">
        <v>80</v>
      </c>
      <c r="E20" s="143" t="s">
        <v>1031</v>
      </c>
      <c r="F20" s="143">
        <v>5</v>
      </c>
      <c r="G20" s="143">
        <v>4</v>
      </c>
      <c r="H20" s="143" t="s">
        <v>287</v>
      </c>
      <c r="I20" s="143" t="s">
        <v>288</v>
      </c>
      <c r="J20" s="143">
        <v>2</v>
      </c>
      <c r="K20" s="143">
        <v>3</v>
      </c>
    </row>
    <row r="21" spans="1:11" x14ac:dyDescent="0.25">
      <c r="A21" s="143" t="s">
        <v>854</v>
      </c>
      <c r="B21" s="143" t="s">
        <v>308</v>
      </c>
      <c r="C21" s="143">
        <v>90</v>
      </c>
      <c r="D21" s="143">
        <v>80</v>
      </c>
      <c r="E21" s="143" t="s">
        <v>1031</v>
      </c>
      <c r="F21" s="143">
        <v>5</v>
      </c>
      <c r="G21" s="143">
        <v>4</v>
      </c>
      <c r="H21" s="143" t="s">
        <v>287</v>
      </c>
      <c r="I21" s="143" t="s">
        <v>288</v>
      </c>
      <c r="J21" s="143">
        <v>2</v>
      </c>
      <c r="K21" s="143">
        <v>3</v>
      </c>
    </row>
    <row r="22" spans="1:11" x14ac:dyDescent="0.25">
      <c r="A22" s="143" t="s">
        <v>855</v>
      </c>
      <c r="B22" s="143" t="s">
        <v>308</v>
      </c>
      <c r="C22" s="143">
        <v>90</v>
      </c>
      <c r="D22" s="143">
        <v>80</v>
      </c>
      <c r="E22" s="143" t="s">
        <v>1031</v>
      </c>
      <c r="F22" s="143">
        <v>5</v>
      </c>
      <c r="G22" s="143">
        <v>4</v>
      </c>
      <c r="H22" s="143" t="s">
        <v>287</v>
      </c>
      <c r="I22" s="143" t="s">
        <v>288</v>
      </c>
      <c r="J22" s="143">
        <v>2</v>
      </c>
      <c r="K22" s="143">
        <v>3</v>
      </c>
    </row>
    <row r="23" spans="1:11" x14ac:dyDescent="0.25">
      <c r="A23" s="143" t="s">
        <v>856</v>
      </c>
      <c r="B23" s="143" t="s">
        <v>308</v>
      </c>
      <c r="C23" s="143">
        <v>90</v>
      </c>
      <c r="D23" s="143">
        <v>80</v>
      </c>
      <c r="E23" s="143" t="s">
        <v>1035</v>
      </c>
      <c r="F23" s="143">
        <v>7</v>
      </c>
      <c r="G23" s="143">
        <v>7</v>
      </c>
      <c r="H23" s="143" t="s">
        <v>287</v>
      </c>
      <c r="I23" s="143" t="s">
        <v>288</v>
      </c>
      <c r="J23" s="143">
        <v>2</v>
      </c>
      <c r="K23" s="143">
        <v>2</v>
      </c>
    </row>
    <row r="24" spans="1:11" x14ac:dyDescent="0.25">
      <c r="A24" s="143" t="s">
        <v>857</v>
      </c>
      <c r="B24" s="143" t="s">
        <v>308</v>
      </c>
      <c r="C24" s="143">
        <v>90</v>
      </c>
      <c r="D24" s="143">
        <v>80</v>
      </c>
      <c r="E24" s="143" t="s">
        <v>1035</v>
      </c>
      <c r="F24" s="143">
        <v>7</v>
      </c>
      <c r="G24" s="143">
        <v>7</v>
      </c>
      <c r="H24" s="143" t="s">
        <v>287</v>
      </c>
      <c r="I24" s="143" t="s">
        <v>288</v>
      </c>
      <c r="J24" s="143">
        <v>2</v>
      </c>
      <c r="K24" s="143">
        <v>3</v>
      </c>
    </row>
    <row r="25" spans="1:11" x14ac:dyDescent="0.25">
      <c r="A25" s="143" t="s">
        <v>225</v>
      </c>
      <c r="B25" s="143" t="s">
        <v>308</v>
      </c>
      <c r="C25" s="143">
        <v>90</v>
      </c>
      <c r="D25" s="143">
        <v>80</v>
      </c>
      <c r="E25" s="143" t="s">
        <v>1035</v>
      </c>
      <c r="F25" s="143">
        <v>7</v>
      </c>
      <c r="G25" s="143">
        <v>7</v>
      </c>
      <c r="H25" s="143" t="s">
        <v>287</v>
      </c>
      <c r="I25" s="143" t="s">
        <v>288</v>
      </c>
      <c r="J25" s="143">
        <v>2</v>
      </c>
      <c r="K25" s="143">
        <v>3</v>
      </c>
    </row>
    <row r="26" spans="1:11" x14ac:dyDescent="0.25">
      <c r="A26" s="143" t="s">
        <v>226</v>
      </c>
      <c r="B26" s="143" t="s">
        <v>844</v>
      </c>
      <c r="C26" s="143">
        <v>100</v>
      </c>
      <c r="D26" s="143">
        <v>80</v>
      </c>
      <c r="E26" s="143" t="s">
        <v>1036</v>
      </c>
      <c r="F26" s="143">
        <v>7</v>
      </c>
      <c r="G26" s="143">
        <v>6</v>
      </c>
      <c r="H26" s="143" t="s">
        <v>287</v>
      </c>
      <c r="I26" s="143" t="s">
        <v>288</v>
      </c>
      <c r="J26" s="143">
        <v>2</v>
      </c>
      <c r="K26" s="143">
        <v>4</v>
      </c>
    </row>
    <row r="27" spans="1:11" x14ac:dyDescent="0.25">
      <c r="A27" s="143" t="s">
        <v>227</v>
      </c>
      <c r="B27" s="143" t="s">
        <v>308</v>
      </c>
      <c r="C27" s="143">
        <v>100</v>
      </c>
      <c r="D27" s="143">
        <v>80</v>
      </c>
      <c r="E27" s="143" t="s">
        <v>1037</v>
      </c>
      <c r="F27" s="143">
        <v>8</v>
      </c>
      <c r="G27" s="143">
        <v>7</v>
      </c>
      <c r="H27" s="143" t="s">
        <v>287</v>
      </c>
      <c r="I27" s="143" t="s">
        <v>288</v>
      </c>
      <c r="J27" s="143">
        <v>2</v>
      </c>
      <c r="K27" s="143">
        <v>4</v>
      </c>
    </row>
    <row r="28" spans="1:11" x14ac:dyDescent="0.25">
      <c r="A28" s="143" t="s">
        <v>858</v>
      </c>
      <c r="B28" s="143" t="s">
        <v>308</v>
      </c>
      <c r="C28" s="144">
        <v>120</v>
      </c>
      <c r="D28" s="144">
        <v>80</v>
      </c>
      <c r="E28" s="144" t="s">
        <v>1037</v>
      </c>
      <c r="F28" s="144">
        <v>9</v>
      </c>
      <c r="G28" s="144">
        <v>6</v>
      </c>
      <c r="H28" s="144" t="s">
        <v>287</v>
      </c>
      <c r="I28" s="144" t="s">
        <v>288</v>
      </c>
      <c r="J28" s="144">
        <v>2</v>
      </c>
      <c r="K28" s="144">
        <v>3</v>
      </c>
    </row>
    <row r="29" spans="1:11" x14ac:dyDescent="0.25">
      <c r="A29" s="143" t="s">
        <v>859</v>
      </c>
      <c r="B29" s="143" t="s">
        <v>308</v>
      </c>
      <c r="C29" s="144">
        <v>120</v>
      </c>
      <c r="D29" s="144">
        <v>80</v>
      </c>
      <c r="E29" s="144" t="s">
        <v>1038</v>
      </c>
      <c r="F29" s="144">
        <v>12</v>
      </c>
      <c r="G29" s="144">
        <v>8</v>
      </c>
      <c r="H29" s="144" t="s">
        <v>287</v>
      </c>
      <c r="I29" s="144" t="s">
        <v>288</v>
      </c>
      <c r="J29" s="144">
        <v>3</v>
      </c>
      <c r="K29" s="144">
        <v>5</v>
      </c>
    </row>
    <row r="30" spans="1:11" x14ac:dyDescent="0.25">
      <c r="A30" s="143" t="s">
        <v>860</v>
      </c>
      <c r="B30" s="143" t="s">
        <v>308</v>
      </c>
      <c r="C30" s="143">
        <v>130</v>
      </c>
      <c r="D30" s="143">
        <v>80</v>
      </c>
      <c r="E30" s="143" t="s">
        <v>1039</v>
      </c>
      <c r="F30" s="143">
        <v>13</v>
      </c>
      <c r="G30" s="143">
        <v>8</v>
      </c>
      <c r="H30" s="143" t="s">
        <v>287</v>
      </c>
      <c r="I30" s="143" t="s">
        <v>288</v>
      </c>
      <c r="J30" s="143">
        <v>3</v>
      </c>
      <c r="K30" s="143">
        <v>5</v>
      </c>
    </row>
    <row r="31" spans="1:11" x14ac:dyDescent="0.25">
      <c r="A31" s="143" t="s">
        <v>895</v>
      </c>
      <c r="B31" s="143" t="s">
        <v>295</v>
      </c>
      <c r="C31" s="143">
        <v>90</v>
      </c>
      <c r="D31" s="143">
        <v>80</v>
      </c>
      <c r="E31" s="143" t="s">
        <v>1031</v>
      </c>
      <c r="F31" s="143">
        <v>5</v>
      </c>
      <c r="G31" s="143">
        <v>4</v>
      </c>
      <c r="H31" s="143" t="s">
        <v>287</v>
      </c>
      <c r="I31" s="143" t="s">
        <v>288</v>
      </c>
      <c r="J31" s="143">
        <v>2</v>
      </c>
      <c r="K31" s="143">
        <v>3</v>
      </c>
    </row>
    <row r="32" spans="1:11" x14ac:dyDescent="0.25">
      <c r="A32" s="143" t="s">
        <v>851</v>
      </c>
      <c r="B32" s="143" t="s">
        <v>295</v>
      </c>
      <c r="C32" s="143">
        <v>90</v>
      </c>
      <c r="D32" s="143">
        <v>80</v>
      </c>
      <c r="E32" s="143" t="s">
        <v>1031</v>
      </c>
      <c r="F32" s="143">
        <v>5</v>
      </c>
      <c r="G32" s="143">
        <v>4</v>
      </c>
      <c r="H32" s="143" t="s">
        <v>287</v>
      </c>
      <c r="I32" s="143" t="s">
        <v>288</v>
      </c>
      <c r="J32" s="143">
        <v>2</v>
      </c>
      <c r="K32" s="143">
        <v>3</v>
      </c>
    </row>
    <row r="33" spans="1:11" x14ac:dyDescent="0.25">
      <c r="A33" s="143" t="s">
        <v>852</v>
      </c>
      <c r="B33" s="143" t="s">
        <v>295</v>
      </c>
      <c r="C33" s="143">
        <v>90</v>
      </c>
      <c r="D33" s="143">
        <v>80</v>
      </c>
      <c r="E33" s="143" t="s">
        <v>1031</v>
      </c>
      <c r="F33" s="143">
        <v>5</v>
      </c>
      <c r="G33" s="143">
        <v>4</v>
      </c>
      <c r="H33" s="143" t="s">
        <v>287</v>
      </c>
      <c r="I33" s="143" t="s">
        <v>288</v>
      </c>
      <c r="J33" s="143">
        <v>2</v>
      </c>
      <c r="K33" s="143">
        <v>3</v>
      </c>
    </row>
    <row r="34" spans="1:11" x14ac:dyDescent="0.25">
      <c r="A34" s="143" t="s">
        <v>853</v>
      </c>
      <c r="B34" s="143" t="s">
        <v>295</v>
      </c>
      <c r="C34" s="143">
        <v>90</v>
      </c>
      <c r="D34" s="143">
        <v>80</v>
      </c>
      <c r="E34" s="143" t="s">
        <v>1031</v>
      </c>
      <c r="F34" s="143">
        <v>5</v>
      </c>
      <c r="G34" s="143">
        <v>4</v>
      </c>
      <c r="H34" s="143" t="s">
        <v>287</v>
      </c>
      <c r="I34" s="143" t="s">
        <v>288</v>
      </c>
      <c r="J34" s="143">
        <v>2</v>
      </c>
      <c r="K34" s="143">
        <v>3</v>
      </c>
    </row>
    <row r="35" spans="1:11" x14ac:dyDescent="0.25">
      <c r="A35" s="143" t="s">
        <v>854</v>
      </c>
      <c r="B35" s="143" t="s">
        <v>295</v>
      </c>
      <c r="C35" s="143">
        <v>90</v>
      </c>
      <c r="D35" s="143">
        <v>80</v>
      </c>
      <c r="E35" s="143" t="s">
        <v>1031</v>
      </c>
      <c r="F35" s="143">
        <v>5</v>
      </c>
      <c r="G35" s="143">
        <v>4</v>
      </c>
      <c r="H35" s="143" t="s">
        <v>287</v>
      </c>
      <c r="I35" s="143" t="s">
        <v>288</v>
      </c>
      <c r="J35" s="143">
        <v>2</v>
      </c>
      <c r="K35" s="143">
        <v>3</v>
      </c>
    </row>
    <row r="36" spans="1:11" x14ac:dyDescent="0.25">
      <c r="A36" s="143" t="s">
        <v>855</v>
      </c>
      <c r="B36" s="143" t="s">
        <v>295</v>
      </c>
      <c r="C36" s="143">
        <v>90</v>
      </c>
      <c r="D36" s="143">
        <v>80</v>
      </c>
      <c r="E36" s="143" t="s">
        <v>1040</v>
      </c>
      <c r="F36" s="143">
        <v>8</v>
      </c>
      <c r="G36" s="143">
        <v>7</v>
      </c>
      <c r="H36" s="143" t="s">
        <v>287</v>
      </c>
      <c r="I36" s="143" t="s">
        <v>288</v>
      </c>
      <c r="J36" s="143">
        <v>2</v>
      </c>
      <c r="K36" s="143">
        <v>3</v>
      </c>
    </row>
    <row r="37" spans="1:11" x14ac:dyDescent="0.25">
      <c r="A37" s="143" t="s">
        <v>856</v>
      </c>
      <c r="B37" s="143" t="s">
        <v>295</v>
      </c>
      <c r="C37" s="143">
        <v>90</v>
      </c>
      <c r="D37" s="143">
        <v>80</v>
      </c>
      <c r="E37" s="143" t="s">
        <v>1037</v>
      </c>
      <c r="F37" s="143">
        <v>8</v>
      </c>
      <c r="G37" s="143">
        <v>7</v>
      </c>
      <c r="H37" s="143" t="s">
        <v>287</v>
      </c>
      <c r="I37" s="143" t="s">
        <v>288</v>
      </c>
      <c r="J37" s="143">
        <v>2</v>
      </c>
      <c r="K37" s="143">
        <v>3</v>
      </c>
    </row>
    <row r="38" spans="1:11" x14ac:dyDescent="0.25">
      <c r="A38" s="143" t="s">
        <v>857</v>
      </c>
      <c r="B38" s="143" t="s">
        <v>295</v>
      </c>
      <c r="C38" s="143">
        <v>90</v>
      </c>
      <c r="D38" s="143">
        <v>80</v>
      </c>
      <c r="E38" s="143" t="s">
        <v>1037</v>
      </c>
      <c r="F38" s="143">
        <v>8</v>
      </c>
      <c r="G38" s="143">
        <v>7</v>
      </c>
      <c r="H38" s="143" t="s">
        <v>287</v>
      </c>
      <c r="I38" s="143" t="s">
        <v>288</v>
      </c>
      <c r="J38" s="143">
        <v>2</v>
      </c>
      <c r="K38" s="143">
        <v>3</v>
      </c>
    </row>
    <row r="39" spans="1:11" x14ac:dyDescent="0.25">
      <c r="A39" s="143" t="s">
        <v>225</v>
      </c>
      <c r="B39" s="143" t="s">
        <v>295</v>
      </c>
      <c r="C39" s="143">
        <v>90</v>
      </c>
      <c r="D39" s="143">
        <v>80</v>
      </c>
      <c r="E39" s="143" t="s">
        <v>1041</v>
      </c>
      <c r="F39" s="143">
        <v>9</v>
      </c>
      <c r="G39" s="143">
        <v>8</v>
      </c>
      <c r="H39" s="143" t="s">
        <v>287</v>
      </c>
      <c r="I39" s="143" t="s">
        <v>288</v>
      </c>
      <c r="J39" s="143">
        <v>3</v>
      </c>
      <c r="K39" s="143">
        <v>3</v>
      </c>
    </row>
    <row r="40" spans="1:11" x14ac:dyDescent="0.25">
      <c r="A40" s="143" t="s">
        <v>226</v>
      </c>
      <c r="B40" s="143" t="s">
        <v>295</v>
      </c>
      <c r="C40" s="143">
        <v>100</v>
      </c>
      <c r="D40" s="143">
        <v>80</v>
      </c>
      <c r="E40" s="143" t="s">
        <v>1038</v>
      </c>
      <c r="F40" s="143">
        <v>11</v>
      </c>
      <c r="G40" s="143">
        <v>9</v>
      </c>
      <c r="H40" s="143" t="s">
        <v>287</v>
      </c>
      <c r="I40" s="143" t="s">
        <v>288</v>
      </c>
      <c r="J40" s="143">
        <v>3</v>
      </c>
      <c r="K40" s="143">
        <v>4</v>
      </c>
    </row>
    <row r="41" spans="1:11" x14ac:dyDescent="0.25">
      <c r="A41" s="143" t="s">
        <v>227</v>
      </c>
      <c r="B41" s="143" t="s">
        <v>295</v>
      </c>
      <c r="C41" s="143">
        <v>100</v>
      </c>
      <c r="D41" s="143">
        <v>80</v>
      </c>
      <c r="E41" s="143" t="s">
        <v>1042</v>
      </c>
      <c r="F41" s="143">
        <v>13</v>
      </c>
      <c r="G41" s="143">
        <v>10</v>
      </c>
      <c r="H41" s="143" t="s">
        <v>287</v>
      </c>
      <c r="I41" s="143" t="s">
        <v>288</v>
      </c>
      <c r="J41" s="143">
        <v>4</v>
      </c>
      <c r="K41" s="143">
        <v>5</v>
      </c>
    </row>
    <row r="42" spans="1:11" x14ac:dyDescent="0.25">
      <c r="A42" s="143" t="s">
        <v>858</v>
      </c>
      <c r="B42" s="143" t="s">
        <v>295</v>
      </c>
      <c r="C42" s="143">
        <v>120</v>
      </c>
      <c r="D42" s="143">
        <v>80</v>
      </c>
      <c r="E42" s="143" t="s">
        <v>1043</v>
      </c>
      <c r="F42" s="143">
        <v>14</v>
      </c>
      <c r="G42" s="143">
        <v>9</v>
      </c>
      <c r="H42" s="143" t="s">
        <v>287</v>
      </c>
      <c r="I42" s="143" t="s">
        <v>288</v>
      </c>
      <c r="J42" s="143">
        <v>3</v>
      </c>
      <c r="K42" s="143">
        <v>6</v>
      </c>
    </row>
    <row r="43" spans="1:11" x14ac:dyDescent="0.25">
      <c r="A43" s="143" t="s">
        <v>859</v>
      </c>
      <c r="B43" s="143" t="s">
        <v>295</v>
      </c>
      <c r="C43" s="144">
        <v>135</v>
      </c>
      <c r="D43" s="144">
        <v>80</v>
      </c>
      <c r="E43" s="144" t="s">
        <v>1043</v>
      </c>
      <c r="F43" s="144">
        <v>16</v>
      </c>
      <c r="G43" s="144">
        <v>9</v>
      </c>
      <c r="H43" s="144" t="s">
        <v>287</v>
      </c>
      <c r="I43" s="144" t="s">
        <v>288</v>
      </c>
      <c r="J43" s="144">
        <v>3</v>
      </c>
      <c r="K43" s="144">
        <v>7</v>
      </c>
    </row>
    <row r="44" spans="1:11" x14ac:dyDescent="0.25">
      <c r="A44" s="143" t="s">
        <v>860</v>
      </c>
      <c r="B44" s="143" t="s">
        <v>295</v>
      </c>
      <c r="C44" s="143">
        <v>145</v>
      </c>
      <c r="D44" s="143">
        <v>80</v>
      </c>
      <c r="E44" s="143" t="s">
        <v>1044</v>
      </c>
      <c r="F44" s="143">
        <v>17</v>
      </c>
      <c r="G44" s="143">
        <v>9</v>
      </c>
      <c r="H44" s="143" t="s">
        <v>287</v>
      </c>
      <c r="I44" s="143" t="s">
        <v>288</v>
      </c>
      <c r="J44" s="143">
        <v>3</v>
      </c>
      <c r="K44" s="143">
        <v>7</v>
      </c>
    </row>
    <row r="45" spans="1:11" x14ac:dyDescent="0.25">
      <c r="A45" s="143" t="s">
        <v>895</v>
      </c>
      <c r="B45" s="143" t="s">
        <v>296</v>
      </c>
      <c r="C45" s="143">
        <v>90</v>
      </c>
      <c r="D45" s="143">
        <v>80</v>
      </c>
      <c r="E45" s="143" t="s">
        <v>1031</v>
      </c>
      <c r="F45" s="143">
        <v>5</v>
      </c>
      <c r="G45" s="143">
        <v>4</v>
      </c>
      <c r="H45" s="143" t="s">
        <v>287</v>
      </c>
      <c r="I45" s="143" t="s">
        <v>288</v>
      </c>
      <c r="J45" s="143">
        <v>2</v>
      </c>
      <c r="K45" s="143">
        <v>3</v>
      </c>
    </row>
    <row r="46" spans="1:11" x14ac:dyDescent="0.25">
      <c r="A46" s="143" t="s">
        <v>851</v>
      </c>
      <c r="B46" s="143" t="s">
        <v>296</v>
      </c>
      <c r="C46" s="143">
        <v>90</v>
      </c>
      <c r="D46" s="143">
        <v>80</v>
      </c>
      <c r="E46" s="143" t="s">
        <v>1031</v>
      </c>
      <c r="F46" s="143">
        <v>5</v>
      </c>
      <c r="G46" s="143">
        <v>4</v>
      </c>
      <c r="H46" s="143" t="s">
        <v>287</v>
      </c>
      <c r="I46" s="143" t="s">
        <v>288</v>
      </c>
      <c r="J46" s="143">
        <v>2</v>
      </c>
      <c r="K46" s="143">
        <v>3</v>
      </c>
    </row>
    <row r="47" spans="1:11" x14ac:dyDescent="0.25">
      <c r="A47" s="143" t="s">
        <v>852</v>
      </c>
      <c r="B47" s="143" t="s">
        <v>296</v>
      </c>
      <c r="C47" s="143">
        <v>90</v>
      </c>
      <c r="D47" s="143">
        <v>80</v>
      </c>
      <c r="E47" s="143" t="s">
        <v>1031</v>
      </c>
      <c r="F47" s="143">
        <v>5</v>
      </c>
      <c r="G47" s="143">
        <v>4</v>
      </c>
      <c r="H47" s="143" t="s">
        <v>287</v>
      </c>
      <c r="I47" s="143" t="s">
        <v>288</v>
      </c>
      <c r="J47" s="143">
        <v>2</v>
      </c>
      <c r="K47" s="143">
        <v>3</v>
      </c>
    </row>
    <row r="48" spans="1:11" x14ac:dyDescent="0.25">
      <c r="A48" s="143" t="s">
        <v>853</v>
      </c>
      <c r="B48" s="143" t="s">
        <v>296</v>
      </c>
      <c r="C48" s="143">
        <v>90</v>
      </c>
      <c r="D48" s="143">
        <v>80</v>
      </c>
      <c r="E48" s="143" t="s">
        <v>1031</v>
      </c>
      <c r="F48" s="143">
        <v>5</v>
      </c>
      <c r="G48" s="143">
        <v>4</v>
      </c>
      <c r="H48" s="143" t="s">
        <v>287</v>
      </c>
      <c r="I48" s="143" t="s">
        <v>288</v>
      </c>
      <c r="J48" s="143">
        <v>2</v>
      </c>
      <c r="K48" s="143">
        <v>3</v>
      </c>
    </row>
    <row r="49" spans="1:11" x14ac:dyDescent="0.25">
      <c r="A49" s="143" t="s">
        <v>854</v>
      </c>
      <c r="B49" s="143" t="s">
        <v>296</v>
      </c>
      <c r="C49" s="143">
        <v>90</v>
      </c>
      <c r="D49" s="143">
        <v>80</v>
      </c>
      <c r="E49" s="143" t="s">
        <v>1045</v>
      </c>
      <c r="F49" s="143">
        <v>5</v>
      </c>
      <c r="G49" s="143">
        <v>5</v>
      </c>
      <c r="H49" s="143" t="s">
        <v>287</v>
      </c>
      <c r="I49" s="143" t="s">
        <v>288</v>
      </c>
      <c r="J49" s="143">
        <v>2</v>
      </c>
      <c r="K49" s="143">
        <v>3</v>
      </c>
    </row>
    <row r="50" spans="1:11" x14ac:dyDescent="0.25">
      <c r="A50" s="143" t="s">
        <v>855</v>
      </c>
      <c r="B50" s="143" t="s">
        <v>296</v>
      </c>
      <c r="C50" s="144">
        <v>90</v>
      </c>
      <c r="D50" s="144">
        <v>80</v>
      </c>
      <c r="E50" s="143" t="s">
        <v>1040</v>
      </c>
      <c r="F50" s="143">
        <v>8</v>
      </c>
      <c r="G50" s="143">
        <v>7</v>
      </c>
      <c r="H50" s="143" t="s">
        <v>287</v>
      </c>
      <c r="I50" s="143" t="s">
        <v>288</v>
      </c>
      <c r="J50" s="143">
        <v>2</v>
      </c>
      <c r="K50" s="143">
        <v>3</v>
      </c>
    </row>
    <row r="51" spans="1:11" x14ac:dyDescent="0.25">
      <c r="A51" s="143" t="s">
        <v>856</v>
      </c>
      <c r="B51" s="143" t="s">
        <v>296</v>
      </c>
      <c r="C51" s="143">
        <v>90</v>
      </c>
      <c r="D51" s="143">
        <v>80</v>
      </c>
      <c r="E51" s="143" t="s">
        <v>1046</v>
      </c>
      <c r="F51" s="143">
        <v>7</v>
      </c>
      <c r="G51" s="143">
        <v>7</v>
      </c>
      <c r="H51" s="143" t="s">
        <v>287</v>
      </c>
      <c r="I51" s="143" t="s">
        <v>288</v>
      </c>
      <c r="J51" s="143">
        <v>2</v>
      </c>
      <c r="K51" s="143">
        <v>2</v>
      </c>
    </row>
    <row r="52" spans="1:11" x14ac:dyDescent="0.25">
      <c r="A52" s="143" t="s">
        <v>857</v>
      </c>
      <c r="B52" s="143" t="s">
        <v>296</v>
      </c>
      <c r="C52" s="144">
        <v>90</v>
      </c>
      <c r="D52" s="144">
        <v>80</v>
      </c>
      <c r="E52" s="143" t="s">
        <v>1046</v>
      </c>
      <c r="F52" s="143">
        <v>7</v>
      </c>
      <c r="G52" s="143">
        <v>7</v>
      </c>
      <c r="H52" s="143" t="s">
        <v>287</v>
      </c>
      <c r="I52" s="143" t="s">
        <v>288</v>
      </c>
      <c r="J52" s="143">
        <v>2</v>
      </c>
      <c r="K52" s="143">
        <v>3</v>
      </c>
    </row>
    <row r="53" spans="1:11" x14ac:dyDescent="0.25">
      <c r="A53" s="143" t="s">
        <v>225</v>
      </c>
      <c r="B53" s="143" t="s">
        <v>296</v>
      </c>
      <c r="C53" s="143">
        <v>90</v>
      </c>
      <c r="D53" s="143">
        <v>80</v>
      </c>
      <c r="E53" s="143" t="s">
        <v>1046</v>
      </c>
      <c r="F53" s="143">
        <v>7</v>
      </c>
      <c r="G53" s="143">
        <v>7</v>
      </c>
      <c r="H53" s="143" t="s">
        <v>287</v>
      </c>
      <c r="I53" s="143" t="s">
        <v>288</v>
      </c>
      <c r="J53" s="143">
        <v>2</v>
      </c>
      <c r="K53" s="143">
        <v>3</v>
      </c>
    </row>
    <row r="54" spans="1:11" x14ac:dyDescent="0.25">
      <c r="A54" s="143" t="s">
        <v>226</v>
      </c>
      <c r="B54" s="143" t="s">
        <v>296</v>
      </c>
      <c r="C54" s="144">
        <v>100</v>
      </c>
      <c r="D54" s="144">
        <v>80</v>
      </c>
      <c r="E54" s="143" t="s">
        <v>1047</v>
      </c>
      <c r="F54" s="143">
        <v>10</v>
      </c>
      <c r="G54" s="143">
        <v>8</v>
      </c>
      <c r="H54" s="143" t="s">
        <v>287</v>
      </c>
      <c r="I54" s="143" t="s">
        <v>288</v>
      </c>
      <c r="J54" s="143">
        <v>3</v>
      </c>
      <c r="K54" s="143">
        <v>4</v>
      </c>
    </row>
    <row r="55" spans="1:11" x14ac:dyDescent="0.25">
      <c r="A55" s="143" t="s">
        <v>227</v>
      </c>
      <c r="B55" s="143" t="s">
        <v>296</v>
      </c>
      <c r="C55" s="143">
        <v>100</v>
      </c>
      <c r="D55" s="143">
        <v>80</v>
      </c>
      <c r="E55" s="143" t="s">
        <v>1039</v>
      </c>
      <c r="F55" s="143">
        <v>12</v>
      </c>
      <c r="G55" s="143">
        <v>9</v>
      </c>
      <c r="H55" s="143" t="s">
        <v>287</v>
      </c>
      <c r="I55" s="143" t="s">
        <v>288</v>
      </c>
      <c r="J55" s="143">
        <v>3</v>
      </c>
      <c r="K55" s="143">
        <v>5</v>
      </c>
    </row>
    <row r="56" spans="1:11" x14ac:dyDescent="0.25">
      <c r="A56" s="143" t="s">
        <v>858</v>
      </c>
      <c r="B56" s="143" t="s">
        <v>296</v>
      </c>
      <c r="C56" s="143">
        <v>120</v>
      </c>
      <c r="D56" s="143">
        <v>80</v>
      </c>
      <c r="E56" s="143" t="s">
        <v>1042</v>
      </c>
      <c r="F56" s="143">
        <v>14</v>
      </c>
      <c r="G56" s="143">
        <v>9</v>
      </c>
      <c r="H56" s="143" t="s">
        <v>287</v>
      </c>
      <c r="I56" s="143" t="s">
        <v>288</v>
      </c>
      <c r="J56" s="143">
        <v>3</v>
      </c>
      <c r="K56" s="143">
        <v>6</v>
      </c>
    </row>
    <row r="57" spans="1:11" x14ac:dyDescent="0.25">
      <c r="A57" s="143" t="s">
        <v>859</v>
      </c>
      <c r="B57" s="143" t="s">
        <v>296</v>
      </c>
      <c r="C57" s="143">
        <v>120</v>
      </c>
      <c r="D57" s="143">
        <v>80</v>
      </c>
      <c r="E57" s="143" t="s">
        <v>1048</v>
      </c>
      <c r="F57" s="143">
        <v>14</v>
      </c>
      <c r="G57" s="143">
        <v>9</v>
      </c>
      <c r="H57" s="143" t="s">
        <v>287</v>
      </c>
      <c r="I57" s="143" t="s">
        <v>288</v>
      </c>
      <c r="J57" s="143">
        <v>3</v>
      </c>
      <c r="K57" s="143">
        <v>6</v>
      </c>
    </row>
    <row r="58" spans="1:11" x14ac:dyDescent="0.25">
      <c r="A58" s="143" t="s">
        <v>860</v>
      </c>
      <c r="B58" s="143" t="s">
        <v>296</v>
      </c>
      <c r="C58" s="143">
        <v>130</v>
      </c>
      <c r="D58" s="143">
        <v>80</v>
      </c>
      <c r="E58" s="143" t="s">
        <v>1043</v>
      </c>
      <c r="F58" s="143">
        <v>15</v>
      </c>
      <c r="G58" s="143">
        <v>9</v>
      </c>
      <c r="H58" s="143" t="s">
        <v>287</v>
      </c>
      <c r="I58" s="143" t="s">
        <v>288</v>
      </c>
      <c r="J58" s="143">
        <v>3</v>
      </c>
      <c r="K58" s="143">
        <v>6</v>
      </c>
    </row>
    <row r="59" spans="1:11" x14ac:dyDescent="0.25">
      <c r="A59" s="143" t="s">
        <v>895</v>
      </c>
      <c r="B59" s="143" t="s">
        <v>850</v>
      </c>
      <c r="C59" s="143">
        <v>90</v>
      </c>
      <c r="D59" s="143">
        <v>80</v>
      </c>
      <c r="E59" s="143" t="s">
        <v>1031</v>
      </c>
      <c r="F59" s="143">
        <v>5</v>
      </c>
      <c r="G59" s="143">
        <v>4</v>
      </c>
      <c r="H59" s="143" t="s">
        <v>287</v>
      </c>
      <c r="I59" s="143" t="s">
        <v>288</v>
      </c>
      <c r="J59" s="143">
        <v>2</v>
      </c>
      <c r="K59" s="143">
        <v>3</v>
      </c>
    </row>
    <row r="60" spans="1:11" x14ac:dyDescent="0.25">
      <c r="A60" s="143" t="s">
        <v>851</v>
      </c>
      <c r="B60" s="143" t="s">
        <v>850</v>
      </c>
      <c r="C60" s="143">
        <v>90</v>
      </c>
      <c r="D60" s="143">
        <v>80</v>
      </c>
      <c r="E60" s="143" t="s">
        <v>1031</v>
      </c>
      <c r="F60" s="143">
        <v>5</v>
      </c>
      <c r="G60" s="143">
        <v>4</v>
      </c>
      <c r="H60" s="143" t="s">
        <v>287</v>
      </c>
      <c r="I60" s="143" t="s">
        <v>288</v>
      </c>
      <c r="J60" s="143">
        <v>2</v>
      </c>
      <c r="K60" s="143">
        <v>3</v>
      </c>
    </row>
    <row r="61" spans="1:11" x14ac:dyDescent="0.25">
      <c r="A61" s="143" t="s">
        <v>852</v>
      </c>
      <c r="B61" s="143" t="s">
        <v>850</v>
      </c>
      <c r="C61" s="143">
        <v>90</v>
      </c>
      <c r="D61" s="143">
        <v>80</v>
      </c>
      <c r="E61" s="143" t="s">
        <v>1031</v>
      </c>
      <c r="F61" s="143">
        <v>5</v>
      </c>
      <c r="G61" s="143">
        <v>4</v>
      </c>
      <c r="H61" s="143" t="s">
        <v>287</v>
      </c>
      <c r="I61" s="143" t="s">
        <v>288</v>
      </c>
      <c r="J61" s="143">
        <v>2</v>
      </c>
      <c r="K61" s="143">
        <v>3</v>
      </c>
    </row>
    <row r="62" spans="1:11" x14ac:dyDescent="0.25">
      <c r="A62" s="143" t="s">
        <v>853</v>
      </c>
      <c r="B62" s="143" t="s">
        <v>850</v>
      </c>
      <c r="C62" s="143">
        <v>90</v>
      </c>
      <c r="D62" s="143">
        <v>80</v>
      </c>
      <c r="E62" s="143" t="s">
        <v>1031</v>
      </c>
      <c r="F62" s="143">
        <v>5</v>
      </c>
      <c r="G62" s="143">
        <v>4</v>
      </c>
      <c r="H62" s="143" t="s">
        <v>287</v>
      </c>
      <c r="I62" s="143" t="s">
        <v>288</v>
      </c>
      <c r="J62" s="143">
        <v>2</v>
      </c>
      <c r="K62" s="143">
        <v>3</v>
      </c>
    </row>
    <row r="63" spans="1:11" x14ac:dyDescent="0.25">
      <c r="A63" s="143" t="s">
        <v>854</v>
      </c>
      <c r="B63" s="143" t="s">
        <v>850</v>
      </c>
      <c r="C63" s="143">
        <v>90</v>
      </c>
      <c r="D63" s="143">
        <v>80</v>
      </c>
      <c r="E63" s="143" t="s">
        <v>1031</v>
      </c>
      <c r="F63" s="143">
        <v>5</v>
      </c>
      <c r="G63" s="143">
        <v>4</v>
      </c>
      <c r="H63" s="143" t="s">
        <v>287</v>
      </c>
      <c r="I63" s="143" t="s">
        <v>288</v>
      </c>
      <c r="J63" s="143">
        <v>2</v>
      </c>
      <c r="K63" s="143">
        <v>3</v>
      </c>
    </row>
    <row r="64" spans="1:11" x14ac:dyDescent="0.25">
      <c r="A64" s="143" t="s">
        <v>855</v>
      </c>
      <c r="B64" s="143" t="s">
        <v>850</v>
      </c>
      <c r="C64" s="143">
        <v>90</v>
      </c>
      <c r="D64" s="143">
        <v>80</v>
      </c>
      <c r="E64" s="143" t="s">
        <v>1031</v>
      </c>
      <c r="F64" s="143">
        <v>5</v>
      </c>
      <c r="G64" s="143">
        <v>4</v>
      </c>
      <c r="H64" s="143" t="s">
        <v>287</v>
      </c>
      <c r="I64" s="143" t="s">
        <v>288</v>
      </c>
      <c r="J64" s="143">
        <v>2</v>
      </c>
      <c r="K64" s="143">
        <v>3</v>
      </c>
    </row>
    <row r="65" spans="1:11" x14ac:dyDescent="0.25">
      <c r="A65" s="143" t="s">
        <v>856</v>
      </c>
      <c r="B65" s="143" t="s">
        <v>850</v>
      </c>
      <c r="C65" s="144">
        <v>90</v>
      </c>
      <c r="D65" s="144">
        <v>80</v>
      </c>
      <c r="E65" s="143" t="s">
        <v>1031</v>
      </c>
      <c r="F65" s="143">
        <v>5</v>
      </c>
      <c r="G65" s="143">
        <v>4</v>
      </c>
      <c r="H65" s="143" t="s">
        <v>287</v>
      </c>
      <c r="I65" s="143" t="s">
        <v>288</v>
      </c>
      <c r="J65" s="143">
        <v>2</v>
      </c>
      <c r="K65" s="143">
        <v>3</v>
      </c>
    </row>
    <row r="66" spans="1:11" x14ac:dyDescent="0.25">
      <c r="A66" s="143" t="s">
        <v>857</v>
      </c>
      <c r="B66" s="143" t="s">
        <v>850</v>
      </c>
      <c r="C66" s="143">
        <v>90</v>
      </c>
      <c r="D66" s="143">
        <v>80</v>
      </c>
      <c r="E66" s="143" t="s">
        <v>1031</v>
      </c>
      <c r="F66" s="143">
        <v>5</v>
      </c>
      <c r="G66" s="143">
        <v>4</v>
      </c>
      <c r="H66" s="143" t="s">
        <v>287</v>
      </c>
      <c r="I66" s="143" t="s">
        <v>288</v>
      </c>
      <c r="J66" s="143">
        <v>2</v>
      </c>
      <c r="K66" s="143">
        <v>3</v>
      </c>
    </row>
    <row r="67" spans="1:11" x14ac:dyDescent="0.25">
      <c r="A67" s="143" t="s">
        <v>225</v>
      </c>
      <c r="B67" s="143" t="s">
        <v>850</v>
      </c>
      <c r="C67" s="143">
        <v>90</v>
      </c>
      <c r="D67" s="143">
        <v>80</v>
      </c>
      <c r="E67" s="143" t="s">
        <v>1031</v>
      </c>
      <c r="F67" s="143">
        <v>5</v>
      </c>
      <c r="G67" s="143">
        <v>4</v>
      </c>
      <c r="H67" s="143" t="s">
        <v>287</v>
      </c>
      <c r="I67" s="143" t="s">
        <v>288</v>
      </c>
      <c r="J67" s="143">
        <v>2</v>
      </c>
      <c r="K67" s="143">
        <v>3</v>
      </c>
    </row>
    <row r="68" spans="1:11" x14ac:dyDescent="0.25">
      <c r="A68" s="143" t="s">
        <v>226</v>
      </c>
      <c r="B68" s="143" t="s">
        <v>850</v>
      </c>
      <c r="C68" s="143">
        <v>100</v>
      </c>
      <c r="D68" s="143">
        <v>80</v>
      </c>
      <c r="E68" s="143" t="s">
        <v>1032</v>
      </c>
      <c r="F68" s="143">
        <v>5</v>
      </c>
      <c r="G68" s="143">
        <v>4</v>
      </c>
      <c r="H68" s="143" t="s">
        <v>287</v>
      </c>
      <c r="I68" s="143" t="s">
        <v>288</v>
      </c>
      <c r="J68" s="143">
        <v>2</v>
      </c>
      <c r="K68" s="143">
        <v>3</v>
      </c>
    </row>
    <row r="69" spans="1:11" x14ac:dyDescent="0.25">
      <c r="A69" s="143" t="s">
        <v>227</v>
      </c>
      <c r="B69" s="143" t="s">
        <v>850</v>
      </c>
      <c r="C69" s="143">
        <v>100</v>
      </c>
      <c r="D69" s="143">
        <v>80</v>
      </c>
      <c r="E69" s="143" t="s">
        <v>1032</v>
      </c>
      <c r="F69" s="143">
        <v>5</v>
      </c>
      <c r="G69" s="143">
        <v>4</v>
      </c>
      <c r="H69" s="143" t="s">
        <v>287</v>
      </c>
      <c r="I69" s="143" t="s">
        <v>288</v>
      </c>
      <c r="J69" s="143">
        <v>2</v>
      </c>
      <c r="K69" s="143">
        <v>3</v>
      </c>
    </row>
    <row r="70" spans="1:11" x14ac:dyDescent="0.25">
      <c r="A70" s="143" t="s">
        <v>858</v>
      </c>
      <c r="B70" s="143" t="s">
        <v>850</v>
      </c>
      <c r="C70" s="143">
        <v>120</v>
      </c>
      <c r="D70" s="143">
        <v>80</v>
      </c>
      <c r="E70" s="143" t="s">
        <v>1033</v>
      </c>
      <c r="F70" s="143">
        <v>7</v>
      </c>
      <c r="G70" s="143">
        <v>4</v>
      </c>
      <c r="H70" s="143" t="s">
        <v>287</v>
      </c>
      <c r="I70" s="143" t="s">
        <v>288</v>
      </c>
      <c r="J70" s="143">
        <v>2</v>
      </c>
      <c r="K70" s="143">
        <v>5</v>
      </c>
    </row>
    <row r="71" spans="1:11" x14ac:dyDescent="0.25">
      <c r="A71" s="143" t="s">
        <v>859</v>
      </c>
      <c r="B71" s="143" t="s">
        <v>850</v>
      </c>
      <c r="C71" s="143">
        <v>120</v>
      </c>
      <c r="D71" s="143">
        <v>80</v>
      </c>
      <c r="E71" s="143" t="s">
        <v>1033</v>
      </c>
      <c r="F71" s="143">
        <v>7</v>
      </c>
      <c r="G71" s="143">
        <v>4</v>
      </c>
      <c r="H71" s="143" t="s">
        <v>287</v>
      </c>
      <c r="I71" s="143" t="s">
        <v>288</v>
      </c>
      <c r="J71" s="143">
        <v>2</v>
      </c>
      <c r="K71" s="143">
        <v>5</v>
      </c>
    </row>
    <row r="72" spans="1:11" x14ac:dyDescent="0.25">
      <c r="A72" s="143" t="s">
        <v>860</v>
      </c>
      <c r="B72" s="143" t="s">
        <v>850</v>
      </c>
      <c r="C72" s="143">
        <v>130</v>
      </c>
      <c r="D72" s="143">
        <v>80</v>
      </c>
      <c r="E72" s="143" t="s">
        <v>1036</v>
      </c>
      <c r="F72" s="143">
        <v>8</v>
      </c>
      <c r="G72" s="143">
        <v>5</v>
      </c>
      <c r="H72" s="143" t="s">
        <v>287</v>
      </c>
      <c r="I72" s="143" t="s">
        <v>288</v>
      </c>
      <c r="J72" s="143">
        <v>1</v>
      </c>
      <c r="K72" s="143">
        <v>3</v>
      </c>
    </row>
    <row r="73" spans="1:11" x14ac:dyDescent="0.25">
      <c r="A73" s="143" t="s">
        <v>895</v>
      </c>
      <c r="B73" s="143" t="s">
        <v>309</v>
      </c>
      <c r="C73" s="143">
        <v>90</v>
      </c>
      <c r="D73" s="143">
        <v>80</v>
      </c>
      <c r="E73" s="143" t="s">
        <v>1031</v>
      </c>
      <c r="F73" s="143">
        <v>5</v>
      </c>
      <c r="G73" s="143">
        <v>4</v>
      </c>
      <c r="H73" s="143" t="s">
        <v>287</v>
      </c>
      <c r="I73" s="143" t="s">
        <v>287</v>
      </c>
      <c r="J73" s="143">
        <v>2</v>
      </c>
      <c r="K73" s="143">
        <v>3</v>
      </c>
    </row>
    <row r="74" spans="1:11" x14ac:dyDescent="0.25">
      <c r="A74" s="143" t="s">
        <v>851</v>
      </c>
      <c r="B74" s="143" t="s">
        <v>309</v>
      </c>
      <c r="C74" s="143">
        <v>90</v>
      </c>
      <c r="D74" s="143">
        <v>80</v>
      </c>
      <c r="E74" s="143" t="s">
        <v>1031</v>
      </c>
      <c r="F74" s="143">
        <v>5</v>
      </c>
      <c r="G74" s="143">
        <v>4</v>
      </c>
      <c r="H74" s="143" t="s">
        <v>287</v>
      </c>
      <c r="I74" s="143" t="s">
        <v>288</v>
      </c>
      <c r="J74" s="143">
        <v>2</v>
      </c>
      <c r="K74" s="143">
        <v>3</v>
      </c>
    </row>
    <row r="75" spans="1:11" x14ac:dyDescent="0.25">
      <c r="A75" s="143" t="s">
        <v>852</v>
      </c>
      <c r="B75" s="143" t="s">
        <v>309</v>
      </c>
      <c r="C75" s="143">
        <v>90</v>
      </c>
      <c r="D75" s="143">
        <v>80</v>
      </c>
      <c r="E75" s="143" t="s">
        <v>1031</v>
      </c>
      <c r="F75" s="143">
        <v>5</v>
      </c>
      <c r="G75" s="143">
        <v>4</v>
      </c>
      <c r="H75" s="143" t="s">
        <v>287</v>
      </c>
      <c r="I75" s="143" t="s">
        <v>288</v>
      </c>
      <c r="J75" s="143">
        <v>2</v>
      </c>
      <c r="K75" s="143">
        <v>3</v>
      </c>
    </row>
    <row r="76" spans="1:11" x14ac:dyDescent="0.25">
      <c r="A76" s="143" t="s">
        <v>853</v>
      </c>
      <c r="B76" s="143" t="s">
        <v>309</v>
      </c>
      <c r="C76" s="143">
        <v>90</v>
      </c>
      <c r="D76" s="143">
        <v>80</v>
      </c>
      <c r="E76" s="143" t="s">
        <v>1031</v>
      </c>
      <c r="F76" s="143">
        <v>5</v>
      </c>
      <c r="G76" s="143">
        <v>4</v>
      </c>
      <c r="H76" s="143" t="s">
        <v>287</v>
      </c>
      <c r="I76" s="143" t="s">
        <v>288</v>
      </c>
      <c r="J76" s="143">
        <v>2</v>
      </c>
      <c r="K76" s="143">
        <v>3</v>
      </c>
    </row>
    <row r="77" spans="1:11" x14ac:dyDescent="0.25">
      <c r="A77" s="143" t="s">
        <v>854</v>
      </c>
      <c r="B77" s="143" t="s">
        <v>309</v>
      </c>
      <c r="C77" s="143">
        <v>90</v>
      </c>
      <c r="D77" s="143">
        <v>80</v>
      </c>
      <c r="E77" s="143" t="s">
        <v>1031</v>
      </c>
      <c r="F77" s="143">
        <v>5</v>
      </c>
      <c r="G77" s="143">
        <v>4</v>
      </c>
      <c r="H77" s="143" t="s">
        <v>287</v>
      </c>
      <c r="I77" s="143" t="s">
        <v>288</v>
      </c>
      <c r="J77" s="143">
        <v>2</v>
      </c>
      <c r="K77" s="143">
        <v>3</v>
      </c>
    </row>
    <row r="78" spans="1:11" x14ac:dyDescent="0.25">
      <c r="A78" s="143" t="s">
        <v>855</v>
      </c>
      <c r="B78" s="143" t="s">
        <v>309</v>
      </c>
      <c r="C78" s="143">
        <v>90</v>
      </c>
      <c r="D78" s="143">
        <v>80</v>
      </c>
      <c r="E78" s="143" t="s">
        <v>1031</v>
      </c>
      <c r="F78" s="143">
        <v>5</v>
      </c>
      <c r="G78" s="143">
        <v>4</v>
      </c>
      <c r="H78" s="143" t="s">
        <v>287</v>
      </c>
      <c r="I78" s="143" t="s">
        <v>288</v>
      </c>
      <c r="J78" s="143">
        <v>2</v>
      </c>
      <c r="K78" s="143">
        <v>3</v>
      </c>
    </row>
    <row r="79" spans="1:11" x14ac:dyDescent="0.25">
      <c r="A79" s="143" t="s">
        <v>856</v>
      </c>
      <c r="B79" s="143" t="s">
        <v>309</v>
      </c>
      <c r="C79" s="144">
        <v>90</v>
      </c>
      <c r="D79" s="144">
        <v>80</v>
      </c>
      <c r="E79" s="143" t="s">
        <v>1049</v>
      </c>
      <c r="F79" s="143">
        <v>6</v>
      </c>
      <c r="G79" s="143">
        <v>6</v>
      </c>
      <c r="H79" s="143" t="s">
        <v>287</v>
      </c>
      <c r="I79" s="143" t="s">
        <v>288</v>
      </c>
      <c r="J79" s="143">
        <v>2</v>
      </c>
      <c r="K79" s="143">
        <v>2</v>
      </c>
    </row>
    <row r="80" spans="1:11" x14ac:dyDescent="0.25">
      <c r="A80" s="143" t="s">
        <v>857</v>
      </c>
      <c r="B80" s="143" t="s">
        <v>309</v>
      </c>
      <c r="C80" s="143">
        <v>90</v>
      </c>
      <c r="D80" s="143">
        <v>80</v>
      </c>
      <c r="E80" s="143" t="s">
        <v>1049</v>
      </c>
      <c r="F80" s="143">
        <v>6</v>
      </c>
      <c r="G80" s="143">
        <v>6</v>
      </c>
      <c r="H80" s="143" t="s">
        <v>287</v>
      </c>
      <c r="I80" s="143" t="s">
        <v>288</v>
      </c>
      <c r="J80" s="143">
        <v>2</v>
      </c>
      <c r="K80" s="143">
        <v>3</v>
      </c>
    </row>
    <row r="81" spans="1:11" x14ac:dyDescent="0.25">
      <c r="A81" s="143" t="s">
        <v>225</v>
      </c>
      <c r="B81" s="143" t="s">
        <v>309</v>
      </c>
      <c r="C81" s="143">
        <v>90</v>
      </c>
      <c r="D81" s="143">
        <v>80</v>
      </c>
      <c r="E81" s="143" t="s">
        <v>1049</v>
      </c>
      <c r="F81" s="143">
        <v>6</v>
      </c>
      <c r="G81" s="143">
        <v>6</v>
      </c>
      <c r="H81" s="143" t="s">
        <v>287</v>
      </c>
      <c r="I81" s="143" t="s">
        <v>288</v>
      </c>
      <c r="J81" s="143">
        <v>2</v>
      </c>
      <c r="K81" s="143">
        <v>3</v>
      </c>
    </row>
    <row r="82" spans="1:11" x14ac:dyDescent="0.25">
      <c r="A82" s="143" t="s">
        <v>226</v>
      </c>
      <c r="B82" s="143" t="s">
        <v>309</v>
      </c>
      <c r="C82" s="143">
        <v>100</v>
      </c>
      <c r="D82" s="143">
        <v>80</v>
      </c>
      <c r="E82" s="143" t="s">
        <v>1050</v>
      </c>
      <c r="F82" s="143">
        <v>7</v>
      </c>
      <c r="G82" s="143">
        <v>5</v>
      </c>
      <c r="H82" s="143" t="s">
        <v>287</v>
      </c>
      <c r="I82" s="143" t="s">
        <v>288</v>
      </c>
      <c r="J82" s="143">
        <v>2</v>
      </c>
      <c r="K82" s="143">
        <v>4</v>
      </c>
    </row>
    <row r="83" spans="1:11" x14ac:dyDescent="0.25">
      <c r="A83" s="143" t="s">
        <v>227</v>
      </c>
      <c r="B83" s="143" t="s">
        <v>309</v>
      </c>
      <c r="C83" s="143">
        <v>100</v>
      </c>
      <c r="D83" s="143">
        <v>80</v>
      </c>
      <c r="E83" s="143" t="s">
        <v>1046</v>
      </c>
      <c r="F83" s="143">
        <v>8</v>
      </c>
      <c r="G83" s="143">
        <v>6</v>
      </c>
      <c r="H83" s="143" t="s">
        <v>287</v>
      </c>
      <c r="I83" s="143" t="s">
        <v>288</v>
      </c>
      <c r="J83" s="143">
        <v>2</v>
      </c>
      <c r="K83" s="143">
        <v>4</v>
      </c>
    </row>
    <row r="84" spans="1:11" x14ac:dyDescent="0.25">
      <c r="A84" s="143" t="s">
        <v>858</v>
      </c>
      <c r="B84" s="143" t="s">
        <v>309</v>
      </c>
      <c r="C84" s="144">
        <v>120</v>
      </c>
      <c r="D84" s="144">
        <v>80</v>
      </c>
      <c r="E84" s="143" t="s">
        <v>1037</v>
      </c>
      <c r="F84" s="143">
        <v>9</v>
      </c>
      <c r="G84" s="143">
        <v>6</v>
      </c>
      <c r="H84" s="143" t="s">
        <v>287</v>
      </c>
      <c r="I84" s="143" t="s">
        <v>288</v>
      </c>
      <c r="J84" s="143">
        <v>2</v>
      </c>
      <c r="K84" s="143">
        <v>3</v>
      </c>
    </row>
    <row r="85" spans="1:11" x14ac:dyDescent="0.25">
      <c r="A85" s="143" t="s">
        <v>859</v>
      </c>
      <c r="B85" s="143" t="s">
        <v>309</v>
      </c>
      <c r="C85" s="144">
        <v>120</v>
      </c>
      <c r="D85" s="144">
        <v>80</v>
      </c>
      <c r="E85" s="143" t="s">
        <v>1038</v>
      </c>
      <c r="F85" s="143">
        <v>12</v>
      </c>
      <c r="G85" s="143">
        <v>8</v>
      </c>
      <c r="H85" s="143" t="s">
        <v>287</v>
      </c>
      <c r="I85" s="143" t="s">
        <v>288</v>
      </c>
      <c r="J85" s="143">
        <v>3</v>
      </c>
      <c r="K85" s="143">
        <v>5</v>
      </c>
    </row>
    <row r="86" spans="1:11" x14ac:dyDescent="0.25">
      <c r="A86" s="143" t="s">
        <v>860</v>
      </c>
      <c r="B86" s="143" t="s">
        <v>309</v>
      </c>
      <c r="C86" s="143">
        <v>130</v>
      </c>
      <c r="D86" s="143">
        <v>80</v>
      </c>
      <c r="E86" s="143" t="s">
        <v>1039</v>
      </c>
      <c r="F86" s="143">
        <v>13</v>
      </c>
      <c r="G86" s="143">
        <v>8</v>
      </c>
      <c r="H86" s="143" t="s">
        <v>287</v>
      </c>
      <c r="I86" s="143" t="s">
        <v>288</v>
      </c>
      <c r="J86" s="143">
        <v>3</v>
      </c>
      <c r="K86" s="143">
        <v>5</v>
      </c>
    </row>
    <row r="87" spans="1:11" x14ac:dyDescent="0.25">
      <c r="A87" s="143" t="s">
        <v>895</v>
      </c>
      <c r="B87" s="143" t="s">
        <v>298</v>
      </c>
      <c r="C87" s="143">
        <v>90</v>
      </c>
      <c r="D87" s="143">
        <v>90</v>
      </c>
      <c r="E87" s="143" t="s">
        <v>1045</v>
      </c>
      <c r="F87" s="143">
        <v>5</v>
      </c>
      <c r="G87" s="143">
        <v>5</v>
      </c>
      <c r="H87" s="143" t="s">
        <v>287</v>
      </c>
      <c r="I87" s="143" t="s">
        <v>288</v>
      </c>
      <c r="J87" s="143">
        <v>3</v>
      </c>
      <c r="K87" s="143">
        <v>3</v>
      </c>
    </row>
    <row r="88" spans="1:11" x14ac:dyDescent="0.25">
      <c r="A88" s="143" t="s">
        <v>851</v>
      </c>
      <c r="B88" s="143" t="s">
        <v>298</v>
      </c>
      <c r="C88" s="144">
        <v>90</v>
      </c>
      <c r="D88" s="144">
        <v>90</v>
      </c>
      <c r="E88" s="143" t="s">
        <v>1045</v>
      </c>
      <c r="F88" s="143">
        <v>5</v>
      </c>
      <c r="G88" s="143">
        <v>5</v>
      </c>
      <c r="H88" s="143" t="s">
        <v>287</v>
      </c>
      <c r="I88" s="143" t="s">
        <v>288</v>
      </c>
      <c r="J88" s="143">
        <v>3</v>
      </c>
      <c r="K88" s="143">
        <v>3</v>
      </c>
    </row>
    <row r="89" spans="1:11" x14ac:dyDescent="0.25">
      <c r="A89" s="143" t="s">
        <v>852</v>
      </c>
      <c r="B89" s="143" t="s">
        <v>298</v>
      </c>
      <c r="C89" s="143">
        <v>90</v>
      </c>
      <c r="D89" s="143">
        <v>90</v>
      </c>
      <c r="E89" s="143" t="s">
        <v>1045</v>
      </c>
      <c r="F89" s="143">
        <v>5</v>
      </c>
      <c r="G89" s="143">
        <v>5</v>
      </c>
      <c r="H89" s="143" t="s">
        <v>287</v>
      </c>
      <c r="I89" s="143" t="s">
        <v>288</v>
      </c>
      <c r="J89" s="143">
        <v>3</v>
      </c>
      <c r="K89" s="143">
        <v>3</v>
      </c>
    </row>
    <row r="90" spans="1:11" x14ac:dyDescent="0.25">
      <c r="A90" s="143" t="s">
        <v>853</v>
      </c>
      <c r="B90" s="143" t="s">
        <v>298</v>
      </c>
      <c r="C90" s="143">
        <v>90</v>
      </c>
      <c r="D90" s="143">
        <v>90</v>
      </c>
      <c r="E90" s="143" t="s">
        <v>1045</v>
      </c>
      <c r="F90" s="143">
        <v>5</v>
      </c>
      <c r="G90" s="143">
        <v>5</v>
      </c>
      <c r="H90" s="143" t="s">
        <v>287</v>
      </c>
      <c r="I90" s="143" t="s">
        <v>288</v>
      </c>
      <c r="J90" s="143">
        <v>3</v>
      </c>
      <c r="K90" s="143">
        <v>3</v>
      </c>
    </row>
    <row r="91" spans="1:11" x14ac:dyDescent="0.25">
      <c r="A91" s="143" t="s">
        <v>854</v>
      </c>
      <c r="B91" s="143" t="s">
        <v>298</v>
      </c>
      <c r="C91" s="143">
        <v>90</v>
      </c>
      <c r="D91" s="143">
        <v>90</v>
      </c>
      <c r="E91" s="143" t="s">
        <v>1045</v>
      </c>
      <c r="F91" s="143">
        <v>5</v>
      </c>
      <c r="G91" s="143">
        <v>5</v>
      </c>
      <c r="H91" s="143" t="s">
        <v>287</v>
      </c>
      <c r="I91" s="143" t="s">
        <v>288</v>
      </c>
      <c r="J91" s="143">
        <v>3</v>
      </c>
      <c r="K91" s="143">
        <v>3</v>
      </c>
    </row>
    <row r="92" spans="1:11" x14ac:dyDescent="0.25">
      <c r="A92" s="143" t="s">
        <v>855</v>
      </c>
      <c r="B92" s="143" t="s">
        <v>298</v>
      </c>
      <c r="C92" s="143">
        <v>90</v>
      </c>
      <c r="D92" s="143">
        <v>90</v>
      </c>
      <c r="E92" s="143" t="s">
        <v>1035</v>
      </c>
      <c r="F92" s="143">
        <v>7</v>
      </c>
      <c r="G92" s="143">
        <v>7</v>
      </c>
      <c r="H92" s="143" t="s">
        <v>287</v>
      </c>
      <c r="I92" s="143" t="s">
        <v>288</v>
      </c>
      <c r="J92" s="143">
        <v>2</v>
      </c>
      <c r="K92" s="143">
        <v>2</v>
      </c>
    </row>
    <row r="93" spans="1:11" x14ac:dyDescent="0.25">
      <c r="A93" s="143" t="s">
        <v>856</v>
      </c>
      <c r="B93" s="143" t="s">
        <v>298</v>
      </c>
      <c r="C93" s="143">
        <v>90</v>
      </c>
      <c r="D93" s="143">
        <v>90</v>
      </c>
      <c r="E93" s="143" t="s">
        <v>1046</v>
      </c>
      <c r="F93" s="143">
        <v>7</v>
      </c>
      <c r="G93" s="143">
        <v>7</v>
      </c>
      <c r="H93" s="143" t="s">
        <v>287</v>
      </c>
      <c r="I93" s="143" t="s">
        <v>288</v>
      </c>
      <c r="J93" s="143">
        <v>2</v>
      </c>
      <c r="K93" s="143">
        <v>2</v>
      </c>
    </row>
    <row r="94" spans="1:11" x14ac:dyDescent="0.25">
      <c r="A94" s="143" t="s">
        <v>857</v>
      </c>
      <c r="B94" s="143" t="s">
        <v>298</v>
      </c>
      <c r="C94" s="143">
        <v>90</v>
      </c>
      <c r="D94" s="143">
        <v>90</v>
      </c>
      <c r="E94" s="143" t="s">
        <v>1046</v>
      </c>
      <c r="F94" s="143">
        <v>7</v>
      </c>
      <c r="G94" s="143">
        <v>7</v>
      </c>
      <c r="H94" s="143" t="s">
        <v>287</v>
      </c>
      <c r="I94" s="143" t="s">
        <v>288</v>
      </c>
      <c r="J94" s="143">
        <v>3</v>
      </c>
      <c r="K94" s="143">
        <v>3</v>
      </c>
    </row>
    <row r="95" spans="1:11" x14ac:dyDescent="0.25">
      <c r="A95" s="143" t="s">
        <v>225</v>
      </c>
      <c r="B95" s="143" t="s">
        <v>298</v>
      </c>
      <c r="C95" s="143">
        <v>90</v>
      </c>
      <c r="D95" s="143">
        <v>90</v>
      </c>
      <c r="E95" s="143" t="s">
        <v>1051</v>
      </c>
      <c r="F95" s="143">
        <v>8</v>
      </c>
      <c r="G95" s="143">
        <v>8</v>
      </c>
      <c r="H95" s="143" t="s">
        <v>287</v>
      </c>
      <c r="I95" s="143" t="s">
        <v>288</v>
      </c>
      <c r="J95" s="143">
        <v>3</v>
      </c>
      <c r="K95" s="143">
        <v>3</v>
      </c>
    </row>
    <row r="96" spans="1:11" x14ac:dyDescent="0.25">
      <c r="A96" s="143" t="s">
        <v>226</v>
      </c>
      <c r="B96" s="143" t="s">
        <v>298</v>
      </c>
      <c r="C96" s="143">
        <v>100</v>
      </c>
      <c r="D96" s="143">
        <v>90</v>
      </c>
      <c r="E96" s="143" t="s">
        <v>1052</v>
      </c>
      <c r="F96" s="143">
        <v>10</v>
      </c>
      <c r="G96" s="143">
        <v>9</v>
      </c>
      <c r="H96" s="143" t="s">
        <v>287</v>
      </c>
      <c r="I96" s="143" t="s">
        <v>288</v>
      </c>
      <c r="J96" s="143">
        <v>3</v>
      </c>
      <c r="K96" s="143">
        <v>4</v>
      </c>
    </row>
    <row r="97" spans="1:11" x14ac:dyDescent="0.25">
      <c r="A97" s="143" t="s">
        <v>227</v>
      </c>
      <c r="B97" s="143" t="s">
        <v>298</v>
      </c>
      <c r="C97" s="143">
        <v>100</v>
      </c>
      <c r="D97" s="143">
        <v>90</v>
      </c>
      <c r="E97" s="143" t="s">
        <v>1053</v>
      </c>
      <c r="F97" s="143">
        <v>13</v>
      </c>
      <c r="G97" s="143">
        <v>11</v>
      </c>
      <c r="H97" s="143" t="s">
        <v>287</v>
      </c>
      <c r="I97" s="143" t="s">
        <v>288</v>
      </c>
      <c r="J97" s="143">
        <v>4</v>
      </c>
      <c r="K97" s="143">
        <v>5</v>
      </c>
    </row>
    <row r="98" spans="1:11" x14ac:dyDescent="0.25">
      <c r="A98" s="143" t="s">
        <v>858</v>
      </c>
      <c r="B98" s="143" t="s">
        <v>298</v>
      </c>
      <c r="C98" s="144">
        <v>120</v>
      </c>
      <c r="D98" s="144">
        <v>80</v>
      </c>
      <c r="E98" s="143" t="s">
        <v>1043</v>
      </c>
      <c r="F98" s="143">
        <v>14</v>
      </c>
      <c r="G98" s="143">
        <v>9</v>
      </c>
      <c r="H98" s="143" t="s">
        <v>287</v>
      </c>
      <c r="I98" s="143" t="s">
        <v>288</v>
      </c>
      <c r="J98" s="143">
        <v>3</v>
      </c>
      <c r="K98" s="143">
        <v>6</v>
      </c>
    </row>
    <row r="99" spans="1:11" x14ac:dyDescent="0.25">
      <c r="A99" s="143" t="s">
        <v>859</v>
      </c>
      <c r="B99" s="143" t="s">
        <v>298</v>
      </c>
      <c r="C99" s="143">
        <v>135</v>
      </c>
      <c r="D99" s="143">
        <v>80</v>
      </c>
      <c r="E99" s="143" t="s">
        <v>1043</v>
      </c>
      <c r="F99" s="143">
        <v>16</v>
      </c>
      <c r="G99" s="143">
        <v>9</v>
      </c>
      <c r="H99" s="143" t="s">
        <v>287</v>
      </c>
      <c r="I99" s="143" t="s">
        <v>288</v>
      </c>
      <c r="J99" s="143">
        <v>3</v>
      </c>
      <c r="K99" s="143">
        <v>7</v>
      </c>
    </row>
    <row r="100" spans="1:11" x14ac:dyDescent="0.25">
      <c r="A100" s="143" t="s">
        <v>860</v>
      </c>
      <c r="B100" s="143" t="s">
        <v>298</v>
      </c>
      <c r="C100" s="143">
        <v>145</v>
      </c>
      <c r="D100" s="143">
        <v>80</v>
      </c>
      <c r="E100" s="143" t="s">
        <v>1044</v>
      </c>
      <c r="F100" s="143">
        <v>17</v>
      </c>
      <c r="G100" s="143">
        <v>9</v>
      </c>
      <c r="H100" s="143" t="s">
        <v>287</v>
      </c>
      <c r="I100" s="143" t="s">
        <v>288</v>
      </c>
      <c r="J100" s="143">
        <v>3</v>
      </c>
      <c r="K100" s="143">
        <v>7</v>
      </c>
    </row>
    <row r="101" spans="1:11" x14ac:dyDescent="0.25">
      <c r="A101" s="143" t="s">
        <v>895</v>
      </c>
      <c r="B101" s="143" t="s">
        <v>310</v>
      </c>
      <c r="C101" s="143">
        <v>90</v>
      </c>
      <c r="D101" s="143">
        <v>80</v>
      </c>
      <c r="E101" s="143" t="s">
        <v>1031</v>
      </c>
      <c r="F101" s="143">
        <v>5</v>
      </c>
      <c r="G101" s="143">
        <v>4</v>
      </c>
      <c r="H101" s="143" t="s">
        <v>287</v>
      </c>
      <c r="I101" s="143" t="s">
        <v>288</v>
      </c>
      <c r="J101" s="143">
        <v>2</v>
      </c>
      <c r="K101" s="143">
        <v>3</v>
      </c>
    </row>
    <row r="102" spans="1:11" x14ac:dyDescent="0.25">
      <c r="A102" s="143" t="s">
        <v>851</v>
      </c>
      <c r="B102" s="143" t="s">
        <v>310</v>
      </c>
      <c r="C102" s="143">
        <v>90</v>
      </c>
      <c r="D102" s="143">
        <v>80</v>
      </c>
      <c r="E102" s="143" t="s">
        <v>1031</v>
      </c>
      <c r="F102" s="143">
        <v>5</v>
      </c>
      <c r="G102" s="143">
        <v>4</v>
      </c>
      <c r="H102" s="143" t="s">
        <v>287</v>
      </c>
      <c r="I102" s="143" t="s">
        <v>288</v>
      </c>
      <c r="J102" s="143">
        <v>2</v>
      </c>
      <c r="K102" s="143">
        <v>3</v>
      </c>
    </row>
    <row r="103" spans="1:11" x14ac:dyDescent="0.25">
      <c r="A103" s="143" t="s">
        <v>852</v>
      </c>
      <c r="B103" s="143" t="s">
        <v>310</v>
      </c>
      <c r="C103" s="143">
        <v>90</v>
      </c>
      <c r="D103" s="143">
        <v>80</v>
      </c>
      <c r="E103" s="143" t="s">
        <v>1031</v>
      </c>
      <c r="F103" s="143">
        <v>5</v>
      </c>
      <c r="G103" s="143">
        <v>4</v>
      </c>
      <c r="H103" s="143" t="s">
        <v>287</v>
      </c>
      <c r="I103" s="143" t="s">
        <v>288</v>
      </c>
      <c r="J103" s="143">
        <v>2</v>
      </c>
      <c r="K103" s="143">
        <v>3</v>
      </c>
    </row>
    <row r="104" spans="1:11" x14ac:dyDescent="0.25">
      <c r="A104" s="143" t="s">
        <v>853</v>
      </c>
      <c r="B104" s="143" t="s">
        <v>310</v>
      </c>
      <c r="C104" s="143">
        <v>90</v>
      </c>
      <c r="D104" s="143">
        <v>80</v>
      </c>
      <c r="E104" s="143" t="s">
        <v>1031</v>
      </c>
      <c r="F104" s="143">
        <v>5</v>
      </c>
      <c r="G104" s="143">
        <v>4</v>
      </c>
      <c r="H104" s="143" t="s">
        <v>287</v>
      </c>
      <c r="I104" s="143" t="s">
        <v>288</v>
      </c>
      <c r="J104" s="143">
        <v>2</v>
      </c>
      <c r="K104" s="143">
        <v>3</v>
      </c>
    </row>
    <row r="105" spans="1:11" x14ac:dyDescent="0.25">
      <c r="A105" s="143" t="s">
        <v>854</v>
      </c>
      <c r="B105" s="143" t="s">
        <v>310</v>
      </c>
      <c r="C105" s="143">
        <v>90</v>
      </c>
      <c r="D105" s="143">
        <v>80</v>
      </c>
      <c r="E105" s="143" t="s">
        <v>1031</v>
      </c>
      <c r="F105" s="143">
        <v>5</v>
      </c>
      <c r="G105" s="143">
        <v>4</v>
      </c>
      <c r="H105" s="143" t="s">
        <v>287</v>
      </c>
      <c r="I105" s="143" t="s">
        <v>288</v>
      </c>
      <c r="J105" s="143">
        <v>2</v>
      </c>
      <c r="K105" s="143">
        <v>3</v>
      </c>
    </row>
    <row r="106" spans="1:11" x14ac:dyDescent="0.25">
      <c r="A106" s="143" t="s">
        <v>855</v>
      </c>
      <c r="B106" s="143" t="s">
        <v>310</v>
      </c>
      <c r="C106" s="143">
        <v>90</v>
      </c>
      <c r="D106" s="143">
        <v>80</v>
      </c>
      <c r="E106" s="143" t="s">
        <v>1035</v>
      </c>
      <c r="F106" s="143">
        <v>7</v>
      </c>
      <c r="G106" s="143">
        <v>7</v>
      </c>
      <c r="H106" s="143" t="s">
        <v>287</v>
      </c>
      <c r="I106" s="143" t="s">
        <v>288</v>
      </c>
      <c r="J106" s="143">
        <v>2</v>
      </c>
      <c r="K106" s="143">
        <v>2</v>
      </c>
    </row>
    <row r="107" spans="1:11" x14ac:dyDescent="0.25">
      <c r="A107" s="143" t="s">
        <v>856</v>
      </c>
      <c r="B107" s="143" t="s">
        <v>310</v>
      </c>
      <c r="C107" s="143">
        <v>90</v>
      </c>
      <c r="D107" s="143">
        <v>80</v>
      </c>
      <c r="E107" s="143" t="s">
        <v>1036</v>
      </c>
      <c r="F107" s="143">
        <v>7</v>
      </c>
      <c r="G107" s="143">
        <v>6</v>
      </c>
      <c r="H107" s="143" t="s">
        <v>287</v>
      </c>
      <c r="I107" s="143" t="s">
        <v>288</v>
      </c>
      <c r="J107" s="143">
        <v>2</v>
      </c>
      <c r="K107" s="143">
        <v>2</v>
      </c>
    </row>
    <row r="108" spans="1:11" x14ac:dyDescent="0.25">
      <c r="A108" s="143" t="s">
        <v>857</v>
      </c>
      <c r="B108" s="143" t="s">
        <v>310</v>
      </c>
      <c r="C108" s="143">
        <v>90</v>
      </c>
      <c r="D108" s="143">
        <v>80</v>
      </c>
      <c r="E108" s="143" t="s">
        <v>1036</v>
      </c>
      <c r="F108" s="143">
        <v>7</v>
      </c>
      <c r="G108" s="143">
        <v>6</v>
      </c>
      <c r="H108" s="143" t="s">
        <v>287</v>
      </c>
      <c r="I108" s="143" t="s">
        <v>288</v>
      </c>
      <c r="J108" s="143">
        <v>2</v>
      </c>
      <c r="K108" s="143">
        <v>3</v>
      </c>
    </row>
    <row r="109" spans="1:11" x14ac:dyDescent="0.25">
      <c r="A109" s="143" t="s">
        <v>225</v>
      </c>
      <c r="B109" s="143" t="s">
        <v>310</v>
      </c>
      <c r="C109" s="143">
        <v>90</v>
      </c>
      <c r="D109" s="143">
        <v>80</v>
      </c>
      <c r="E109" s="143" t="s">
        <v>1036</v>
      </c>
      <c r="F109" s="143">
        <v>7</v>
      </c>
      <c r="G109" s="143">
        <v>6</v>
      </c>
      <c r="H109" s="143" t="s">
        <v>287</v>
      </c>
      <c r="I109" s="143" t="s">
        <v>288</v>
      </c>
      <c r="J109" s="143">
        <v>2</v>
      </c>
      <c r="K109" s="143">
        <v>3</v>
      </c>
    </row>
    <row r="110" spans="1:11" x14ac:dyDescent="0.25">
      <c r="A110" s="143" t="s">
        <v>226</v>
      </c>
      <c r="B110" s="143" t="s">
        <v>310</v>
      </c>
      <c r="C110" s="143">
        <v>100</v>
      </c>
      <c r="D110" s="143">
        <v>80</v>
      </c>
      <c r="E110" s="143" t="s">
        <v>1052</v>
      </c>
      <c r="F110" s="143">
        <v>11</v>
      </c>
      <c r="G110" s="143">
        <v>8</v>
      </c>
      <c r="H110" s="143" t="s">
        <v>287</v>
      </c>
      <c r="I110" s="143" t="s">
        <v>288</v>
      </c>
      <c r="J110" s="143">
        <v>3</v>
      </c>
      <c r="K110" s="143">
        <v>4</v>
      </c>
    </row>
    <row r="111" spans="1:11" x14ac:dyDescent="0.25">
      <c r="A111" s="143" t="s">
        <v>227</v>
      </c>
      <c r="B111" s="143" t="s">
        <v>310</v>
      </c>
      <c r="C111" s="143">
        <v>100</v>
      </c>
      <c r="D111" s="143">
        <v>80</v>
      </c>
      <c r="E111" s="143" t="s">
        <v>1038</v>
      </c>
      <c r="F111" s="143">
        <v>11</v>
      </c>
      <c r="G111" s="143">
        <v>9</v>
      </c>
      <c r="H111" s="143" t="s">
        <v>287</v>
      </c>
      <c r="I111" s="143" t="s">
        <v>288</v>
      </c>
      <c r="J111" s="143">
        <v>3</v>
      </c>
      <c r="K111" s="143">
        <v>4</v>
      </c>
    </row>
    <row r="112" spans="1:11" x14ac:dyDescent="0.25">
      <c r="A112" s="143" t="s">
        <v>858</v>
      </c>
      <c r="B112" s="143" t="s">
        <v>310</v>
      </c>
      <c r="C112" s="143">
        <v>100</v>
      </c>
      <c r="D112" s="143">
        <v>110</v>
      </c>
      <c r="E112" s="143" t="s">
        <v>1041</v>
      </c>
      <c r="F112" s="143">
        <v>8</v>
      </c>
      <c r="G112" s="143">
        <v>9</v>
      </c>
      <c r="H112" s="143" t="s">
        <v>287</v>
      </c>
      <c r="I112" s="143" t="s">
        <v>288</v>
      </c>
      <c r="J112" s="143">
        <v>3</v>
      </c>
      <c r="K112" s="143">
        <v>3</v>
      </c>
    </row>
    <row r="113" spans="1:11" x14ac:dyDescent="0.25">
      <c r="A113" s="143" t="s">
        <v>859</v>
      </c>
      <c r="B113" s="143" t="s">
        <v>310</v>
      </c>
      <c r="C113" s="143">
        <v>100</v>
      </c>
      <c r="D113" s="143">
        <v>110</v>
      </c>
      <c r="E113" s="143" t="s">
        <v>1039</v>
      </c>
      <c r="F113" s="143">
        <v>10</v>
      </c>
      <c r="G113" s="143">
        <v>11</v>
      </c>
      <c r="H113" s="143" t="s">
        <v>287</v>
      </c>
      <c r="I113" s="143" t="s">
        <v>288</v>
      </c>
      <c r="J113" s="143">
        <v>4</v>
      </c>
      <c r="K113" s="143">
        <v>4</v>
      </c>
    </row>
    <row r="114" spans="1:11" x14ac:dyDescent="0.25">
      <c r="A114" s="143" t="s">
        <v>860</v>
      </c>
      <c r="B114" s="143" t="s">
        <v>310</v>
      </c>
      <c r="C114" s="143">
        <v>100</v>
      </c>
      <c r="D114" s="143">
        <v>110</v>
      </c>
      <c r="E114" s="143" t="s">
        <v>1048</v>
      </c>
      <c r="F114" s="143">
        <v>11</v>
      </c>
      <c r="G114" s="143">
        <v>12</v>
      </c>
      <c r="H114" s="143" t="s">
        <v>287</v>
      </c>
      <c r="I114" s="143" t="s">
        <v>288</v>
      </c>
      <c r="J114" s="143">
        <v>5</v>
      </c>
      <c r="K114" s="143">
        <v>4</v>
      </c>
    </row>
    <row r="115" spans="1:11" x14ac:dyDescent="0.25">
      <c r="A115" s="143" t="s">
        <v>895</v>
      </c>
      <c r="B115" s="143" t="s">
        <v>897</v>
      </c>
      <c r="C115" s="143">
        <v>90</v>
      </c>
      <c r="D115" s="143">
        <v>80</v>
      </c>
      <c r="E115" s="143" t="s">
        <v>1031</v>
      </c>
      <c r="F115" s="143">
        <v>5</v>
      </c>
      <c r="G115" s="143">
        <v>4</v>
      </c>
      <c r="H115" s="143" t="s">
        <v>287</v>
      </c>
      <c r="I115" s="143" t="s">
        <v>288</v>
      </c>
      <c r="J115" s="143">
        <v>2</v>
      </c>
      <c r="K115" s="143">
        <v>3</v>
      </c>
    </row>
    <row r="116" spans="1:11" x14ac:dyDescent="0.25">
      <c r="A116" s="143" t="s">
        <v>851</v>
      </c>
      <c r="B116" s="143" t="s">
        <v>897</v>
      </c>
      <c r="C116" s="144">
        <v>90</v>
      </c>
      <c r="D116" s="144">
        <v>80</v>
      </c>
      <c r="E116" s="143" t="s">
        <v>1031</v>
      </c>
      <c r="F116" s="143">
        <v>5</v>
      </c>
      <c r="G116" s="143">
        <v>4</v>
      </c>
      <c r="H116" s="143" t="s">
        <v>287</v>
      </c>
      <c r="I116" s="143" t="s">
        <v>288</v>
      </c>
      <c r="J116" s="143">
        <v>2</v>
      </c>
      <c r="K116" s="143">
        <v>3</v>
      </c>
    </row>
    <row r="117" spans="1:11" x14ac:dyDescent="0.25">
      <c r="A117" s="143" t="s">
        <v>852</v>
      </c>
      <c r="B117" s="143" t="s">
        <v>897</v>
      </c>
      <c r="C117" s="143">
        <v>90</v>
      </c>
      <c r="D117" s="143">
        <v>80</v>
      </c>
      <c r="E117" s="143" t="s">
        <v>1031</v>
      </c>
      <c r="F117" s="143">
        <v>5</v>
      </c>
      <c r="G117" s="143">
        <v>4</v>
      </c>
      <c r="H117" s="143" t="s">
        <v>287</v>
      </c>
      <c r="I117" s="143" t="s">
        <v>288</v>
      </c>
      <c r="J117" s="143">
        <v>2</v>
      </c>
      <c r="K117" s="143">
        <v>3</v>
      </c>
    </row>
    <row r="118" spans="1:11" x14ac:dyDescent="0.25">
      <c r="A118" s="143" t="s">
        <v>853</v>
      </c>
      <c r="B118" s="143" t="s">
        <v>897</v>
      </c>
      <c r="C118" s="143">
        <v>90</v>
      </c>
      <c r="D118" s="143">
        <v>80</v>
      </c>
      <c r="E118" s="143" t="s">
        <v>1031</v>
      </c>
      <c r="F118" s="143">
        <v>5</v>
      </c>
      <c r="G118" s="143">
        <v>4</v>
      </c>
      <c r="H118" s="143" t="s">
        <v>287</v>
      </c>
      <c r="I118" s="143" t="s">
        <v>288</v>
      </c>
      <c r="J118" s="143">
        <v>2</v>
      </c>
      <c r="K118" s="143">
        <v>3</v>
      </c>
    </row>
    <row r="119" spans="1:11" x14ac:dyDescent="0.25">
      <c r="A119" s="143" t="s">
        <v>854</v>
      </c>
      <c r="B119" s="143" t="s">
        <v>897</v>
      </c>
      <c r="C119" s="143">
        <v>90</v>
      </c>
      <c r="D119" s="143">
        <v>80</v>
      </c>
      <c r="E119" s="143" t="s">
        <v>1031</v>
      </c>
      <c r="F119" s="143">
        <v>5</v>
      </c>
      <c r="G119" s="143">
        <v>4</v>
      </c>
      <c r="H119" s="143" t="s">
        <v>287</v>
      </c>
      <c r="I119" s="143" t="s">
        <v>288</v>
      </c>
      <c r="J119" s="143">
        <v>2</v>
      </c>
      <c r="K119" s="143">
        <v>3</v>
      </c>
    </row>
    <row r="120" spans="1:11" x14ac:dyDescent="0.25">
      <c r="A120" s="143" t="s">
        <v>855</v>
      </c>
      <c r="B120" s="143" t="s">
        <v>897</v>
      </c>
      <c r="C120" s="143">
        <v>90</v>
      </c>
      <c r="D120" s="143">
        <v>80</v>
      </c>
      <c r="E120" s="143" t="s">
        <v>1031</v>
      </c>
      <c r="F120" s="143">
        <v>5</v>
      </c>
      <c r="G120" s="143">
        <v>4</v>
      </c>
      <c r="H120" s="143" t="s">
        <v>287</v>
      </c>
      <c r="I120" s="143" t="s">
        <v>288</v>
      </c>
      <c r="J120" s="143">
        <v>2</v>
      </c>
      <c r="K120" s="143">
        <v>3</v>
      </c>
    </row>
    <row r="121" spans="1:11" x14ac:dyDescent="0.25">
      <c r="A121" s="143" t="s">
        <v>856</v>
      </c>
      <c r="B121" s="143" t="s">
        <v>897</v>
      </c>
      <c r="C121" s="143">
        <v>90</v>
      </c>
      <c r="D121" s="143">
        <v>80</v>
      </c>
      <c r="E121" s="143" t="s">
        <v>1031</v>
      </c>
      <c r="F121" s="143">
        <v>5</v>
      </c>
      <c r="G121" s="143">
        <v>4</v>
      </c>
      <c r="H121" s="143" t="s">
        <v>287</v>
      </c>
      <c r="I121" s="143" t="s">
        <v>288</v>
      </c>
      <c r="J121" s="143">
        <v>2</v>
      </c>
      <c r="K121" s="143">
        <v>3</v>
      </c>
    </row>
    <row r="122" spans="1:11" x14ac:dyDescent="0.25">
      <c r="A122" s="143" t="s">
        <v>857</v>
      </c>
      <c r="B122" s="143" t="s">
        <v>897</v>
      </c>
      <c r="C122" s="143">
        <v>90</v>
      </c>
      <c r="D122" s="143">
        <v>80</v>
      </c>
      <c r="E122" s="143" t="s">
        <v>1031</v>
      </c>
      <c r="F122" s="143">
        <v>5</v>
      </c>
      <c r="G122" s="143">
        <v>4</v>
      </c>
      <c r="H122" s="143" t="s">
        <v>287</v>
      </c>
      <c r="I122" s="143" t="s">
        <v>288</v>
      </c>
      <c r="J122" s="143">
        <v>2</v>
      </c>
      <c r="K122" s="143">
        <v>3</v>
      </c>
    </row>
    <row r="123" spans="1:11" x14ac:dyDescent="0.25">
      <c r="A123" s="143" t="s">
        <v>225</v>
      </c>
      <c r="B123" s="143" t="s">
        <v>897</v>
      </c>
      <c r="C123" s="144">
        <v>90</v>
      </c>
      <c r="D123" s="144">
        <v>80</v>
      </c>
      <c r="E123" s="144" t="s">
        <v>1031</v>
      </c>
      <c r="F123" s="144">
        <v>5</v>
      </c>
      <c r="G123" s="144">
        <v>4</v>
      </c>
      <c r="H123" s="144" t="s">
        <v>287</v>
      </c>
      <c r="I123" s="144" t="s">
        <v>288</v>
      </c>
      <c r="J123" s="144">
        <v>2</v>
      </c>
      <c r="K123" s="144">
        <v>3</v>
      </c>
    </row>
    <row r="124" spans="1:11" x14ac:dyDescent="0.25">
      <c r="A124" s="143" t="s">
        <v>226</v>
      </c>
      <c r="B124" s="143" t="s">
        <v>897</v>
      </c>
      <c r="C124" s="143">
        <v>100</v>
      </c>
      <c r="D124" s="143">
        <v>80</v>
      </c>
      <c r="E124" s="143" t="s">
        <v>1032</v>
      </c>
      <c r="F124" s="143">
        <v>5</v>
      </c>
      <c r="G124" s="143">
        <v>4</v>
      </c>
      <c r="H124" s="143" t="s">
        <v>287</v>
      </c>
      <c r="I124" s="143" t="s">
        <v>288</v>
      </c>
      <c r="J124" s="143">
        <v>2</v>
      </c>
      <c r="K124" s="143">
        <v>3</v>
      </c>
    </row>
    <row r="125" spans="1:11" x14ac:dyDescent="0.25">
      <c r="A125" s="143" t="s">
        <v>227</v>
      </c>
      <c r="B125" s="143" t="s">
        <v>897</v>
      </c>
      <c r="C125" s="143">
        <v>100</v>
      </c>
      <c r="D125" s="143">
        <v>80</v>
      </c>
      <c r="E125" s="143" t="s">
        <v>1032</v>
      </c>
      <c r="F125" s="143">
        <v>5</v>
      </c>
      <c r="G125" s="143">
        <v>4</v>
      </c>
      <c r="H125" s="143" t="s">
        <v>287</v>
      </c>
      <c r="I125" s="143" t="s">
        <v>288</v>
      </c>
      <c r="J125" s="143">
        <v>2</v>
      </c>
      <c r="K125" s="143">
        <v>3</v>
      </c>
    </row>
    <row r="126" spans="1:11" x14ac:dyDescent="0.25">
      <c r="A126" s="143" t="s">
        <v>858</v>
      </c>
      <c r="B126" s="143" t="s">
        <v>897</v>
      </c>
      <c r="C126" s="143">
        <v>120</v>
      </c>
      <c r="D126" s="143">
        <v>80</v>
      </c>
      <c r="E126" s="143" t="s">
        <v>1050</v>
      </c>
      <c r="F126" s="143">
        <v>7</v>
      </c>
      <c r="G126" s="143">
        <v>5</v>
      </c>
      <c r="H126" s="143" t="s">
        <v>287</v>
      </c>
      <c r="I126" s="143" t="s">
        <v>288</v>
      </c>
      <c r="J126" s="143">
        <v>1</v>
      </c>
      <c r="K126" s="143">
        <v>5</v>
      </c>
    </row>
    <row r="127" spans="1:11" x14ac:dyDescent="0.25">
      <c r="A127" s="143" t="s">
        <v>859</v>
      </c>
      <c r="B127" s="143" t="s">
        <v>897</v>
      </c>
      <c r="C127" s="143">
        <v>120</v>
      </c>
      <c r="D127" s="143">
        <v>80</v>
      </c>
      <c r="E127" s="143" t="s">
        <v>1050</v>
      </c>
      <c r="F127" s="143">
        <v>7</v>
      </c>
      <c r="G127" s="143">
        <v>5</v>
      </c>
      <c r="H127" s="143" t="s">
        <v>287</v>
      </c>
      <c r="I127" s="143" t="s">
        <v>288</v>
      </c>
      <c r="J127" s="143">
        <v>1</v>
      </c>
      <c r="K127" s="143">
        <v>5</v>
      </c>
    </row>
    <row r="128" spans="1:11" x14ac:dyDescent="0.25">
      <c r="A128" s="143" t="s">
        <v>860</v>
      </c>
      <c r="B128" s="143" t="s">
        <v>897</v>
      </c>
      <c r="C128" s="143">
        <v>130</v>
      </c>
      <c r="D128" s="143">
        <v>80</v>
      </c>
      <c r="E128" s="143" t="s">
        <v>1036</v>
      </c>
      <c r="F128" s="143">
        <v>8</v>
      </c>
      <c r="G128" s="143">
        <v>5</v>
      </c>
      <c r="H128" s="143" t="s">
        <v>287</v>
      </c>
      <c r="I128" s="143" t="s">
        <v>288</v>
      </c>
      <c r="J128" s="143">
        <v>1</v>
      </c>
      <c r="K128" s="143">
        <v>3</v>
      </c>
    </row>
    <row r="129" spans="1:11" x14ac:dyDescent="0.25">
      <c r="A129" s="143" t="s">
        <v>895</v>
      </c>
      <c r="B129" s="143" t="s">
        <v>896</v>
      </c>
      <c r="C129" s="143">
        <v>90</v>
      </c>
      <c r="D129" s="143">
        <v>80</v>
      </c>
      <c r="E129" s="143" t="s">
        <v>1031</v>
      </c>
      <c r="F129" s="143">
        <v>5</v>
      </c>
      <c r="G129" s="143">
        <v>4</v>
      </c>
      <c r="H129" s="143" t="s">
        <v>287</v>
      </c>
      <c r="I129" s="143" t="s">
        <v>287</v>
      </c>
      <c r="J129" s="143">
        <v>2</v>
      </c>
      <c r="K129" s="143">
        <v>3</v>
      </c>
    </row>
    <row r="130" spans="1:11" x14ac:dyDescent="0.25">
      <c r="A130" s="143" t="s">
        <v>851</v>
      </c>
      <c r="B130" s="143" t="s">
        <v>896</v>
      </c>
      <c r="C130" s="143">
        <v>90</v>
      </c>
      <c r="D130" s="143">
        <v>80</v>
      </c>
      <c r="E130" s="143" t="s">
        <v>1031</v>
      </c>
      <c r="F130" s="143">
        <v>5</v>
      </c>
      <c r="G130" s="143">
        <v>4</v>
      </c>
      <c r="H130" s="143" t="s">
        <v>287</v>
      </c>
      <c r="I130" s="143" t="s">
        <v>288</v>
      </c>
      <c r="J130" s="143">
        <v>2</v>
      </c>
      <c r="K130" s="143">
        <v>3</v>
      </c>
    </row>
    <row r="131" spans="1:11" x14ac:dyDescent="0.25">
      <c r="A131" s="143" t="s">
        <v>852</v>
      </c>
      <c r="B131" s="143" t="s">
        <v>896</v>
      </c>
      <c r="C131" s="143">
        <v>90</v>
      </c>
      <c r="D131" s="143">
        <v>80</v>
      </c>
      <c r="E131" s="143" t="s">
        <v>1031</v>
      </c>
      <c r="F131" s="143">
        <v>5</v>
      </c>
      <c r="G131" s="143">
        <v>4</v>
      </c>
      <c r="H131" s="143" t="s">
        <v>287</v>
      </c>
      <c r="I131" s="143" t="s">
        <v>288</v>
      </c>
      <c r="J131" s="143">
        <v>2</v>
      </c>
      <c r="K131" s="143">
        <v>3</v>
      </c>
    </row>
    <row r="132" spans="1:11" x14ac:dyDescent="0.25">
      <c r="A132" s="143" t="s">
        <v>853</v>
      </c>
      <c r="B132" s="143" t="s">
        <v>896</v>
      </c>
      <c r="C132" s="143">
        <v>90</v>
      </c>
      <c r="D132" s="143">
        <v>80</v>
      </c>
      <c r="E132" s="143" t="s">
        <v>1031</v>
      </c>
      <c r="F132" s="143">
        <v>5</v>
      </c>
      <c r="G132" s="143">
        <v>4</v>
      </c>
      <c r="H132" s="143" t="s">
        <v>287</v>
      </c>
      <c r="I132" s="143" t="s">
        <v>288</v>
      </c>
      <c r="J132" s="143">
        <v>2</v>
      </c>
      <c r="K132" s="143">
        <v>3</v>
      </c>
    </row>
    <row r="133" spans="1:11" x14ac:dyDescent="0.25">
      <c r="A133" s="143" t="s">
        <v>854</v>
      </c>
      <c r="B133" s="143" t="s">
        <v>896</v>
      </c>
      <c r="C133" s="143">
        <v>90</v>
      </c>
      <c r="D133" s="143">
        <v>80</v>
      </c>
      <c r="E133" s="143" t="s">
        <v>1031</v>
      </c>
      <c r="F133" s="143">
        <v>5</v>
      </c>
      <c r="G133" s="143">
        <v>4</v>
      </c>
      <c r="H133" s="143" t="s">
        <v>287</v>
      </c>
      <c r="I133" s="143" t="s">
        <v>288</v>
      </c>
      <c r="J133" s="143">
        <v>2</v>
      </c>
      <c r="K133" s="143">
        <v>3</v>
      </c>
    </row>
    <row r="134" spans="1:11" x14ac:dyDescent="0.25">
      <c r="A134" s="143" t="s">
        <v>855</v>
      </c>
      <c r="B134" s="143" t="s">
        <v>896</v>
      </c>
      <c r="C134" s="143">
        <v>90</v>
      </c>
      <c r="D134" s="143">
        <v>80</v>
      </c>
      <c r="E134" s="143" t="s">
        <v>1031</v>
      </c>
      <c r="F134" s="143">
        <v>5</v>
      </c>
      <c r="G134" s="143">
        <v>4</v>
      </c>
      <c r="H134" s="143" t="s">
        <v>287</v>
      </c>
      <c r="I134" s="143" t="s">
        <v>288</v>
      </c>
      <c r="J134" s="143">
        <v>2</v>
      </c>
      <c r="K134" s="143">
        <v>3</v>
      </c>
    </row>
    <row r="135" spans="1:11" x14ac:dyDescent="0.25">
      <c r="A135" s="143" t="s">
        <v>856</v>
      </c>
      <c r="B135" s="143" t="s">
        <v>896</v>
      </c>
      <c r="C135" s="143">
        <v>90</v>
      </c>
      <c r="D135" s="143">
        <v>80</v>
      </c>
      <c r="E135" s="143" t="s">
        <v>1054</v>
      </c>
      <c r="F135" s="143">
        <v>7</v>
      </c>
      <c r="G135" s="143">
        <v>6</v>
      </c>
      <c r="H135" s="143" t="s">
        <v>287</v>
      </c>
      <c r="I135" s="143" t="s">
        <v>288</v>
      </c>
      <c r="J135" s="143">
        <v>2</v>
      </c>
      <c r="K135" s="143">
        <v>2</v>
      </c>
    </row>
    <row r="136" spans="1:11" x14ac:dyDescent="0.25">
      <c r="A136" s="143" t="s">
        <v>857</v>
      </c>
      <c r="B136" s="143" t="s">
        <v>896</v>
      </c>
      <c r="C136" s="143">
        <v>90</v>
      </c>
      <c r="D136" s="143">
        <v>80</v>
      </c>
      <c r="E136" s="143" t="s">
        <v>1054</v>
      </c>
      <c r="F136" s="143">
        <v>7</v>
      </c>
      <c r="G136" s="143">
        <v>6</v>
      </c>
      <c r="H136" s="143" t="s">
        <v>287</v>
      </c>
      <c r="I136" s="143" t="s">
        <v>288</v>
      </c>
      <c r="J136" s="143">
        <v>2</v>
      </c>
      <c r="K136" s="143">
        <v>3</v>
      </c>
    </row>
    <row r="137" spans="1:11" x14ac:dyDescent="0.25">
      <c r="A137" s="143" t="s">
        <v>225</v>
      </c>
      <c r="B137" s="143" t="s">
        <v>896</v>
      </c>
      <c r="C137" s="143">
        <v>90</v>
      </c>
      <c r="D137" s="143">
        <v>80</v>
      </c>
      <c r="E137" s="143" t="s">
        <v>1054</v>
      </c>
      <c r="F137" s="143">
        <v>7</v>
      </c>
      <c r="G137" s="143">
        <v>6</v>
      </c>
      <c r="H137" s="143" t="s">
        <v>287</v>
      </c>
      <c r="I137" s="143" t="s">
        <v>288</v>
      </c>
      <c r="J137" s="143">
        <v>2</v>
      </c>
      <c r="K137" s="143">
        <v>3</v>
      </c>
    </row>
    <row r="138" spans="1:11" x14ac:dyDescent="0.25">
      <c r="A138" s="143" t="s">
        <v>226</v>
      </c>
      <c r="B138" s="143" t="s">
        <v>896</v>
      </c>
      <c r="C138" s="144">
        <v>100</v>
      </c>
      <c r="D138" s="144">
        <v>80</v>
      </c>
      <c r="E138" s="143" t="s">
        <v>1046</v>
      </c>
      <c r="F138" s="143">
        <v>8</v>
      </c>
      <c r="G138" s="143">
        <v>6</v>
      </c>
      <c r="H138" s="143" t="s">
        <v>287</v>
      </c>
      <c r="I138" s="143" t="s">
        <v>288</v>
      </c>
      <c r="J138" s="143">
        <v>2</v>
      </c>
      <c r="K138" s="143">
        <v>4</v>
      </c>
    </row>
    <row r="139" spans="1:11" x14ac:dyDescent="0.25">
      <c r="A139" s="143" t="s">
        <v>227</v>
      </c>
      <c r="B139" s="143" t="s">
        <v>896</v>
      </c>
      <c r="C139" s="143">
        <v>100</v>
      </c>
      <c r="D139" s="143">
        <v>80</v>
      </c>
      <c r="E139" s="143" t="s">
        <v>1041</v>
      </c>
      <c r="F139" s="143">
        <v>9</v>
      </c>
      <c r="G139" s="143">
        <v>8</v>
      </c>
      <c r="H139" s="143" t="s">
        <v>287</v>
      </c>
      <c r="I139" s="143" t="s">
        <v>288</v>
      </c>
      <c r="J139" s="143">
        <v>3</v>
      </c>
      <c r="K139" s="143">
        <v>4</v>
      </c>
    </row>
    <row r="140" spans="1:11" x14ac:dyDescent="0.25">
      <c r="A140" s="143" t="s">
        <v>858</v>
      </c>
      <c r="B140" s="143" t="s">
        <v>896</v>
      </c>
      <c r="C140" s="144">
        <v>120</v>
      </c>
      <c r="D140" s="144">
        <v>80</v>
      </c>
      <c r="E140" s="144" t="s">
        <v>1037</v>
      </c>
      <c r="F140" s="144">
        <v>9</v>
      </c>
      <c r="G140" s="144">
        <v>6</v>
      </c>
      <c r="H140" s="144" t="s">
        <v>287</v>
      </c>
      <c r="I140" s="144" t="s">
        <v>288</v>
      </c>
      <c r="J140" s="144">
        <v>2</v>
      </c>
      <c r="K140" s="144">
        <v>3</v>
      </c>
    </row>
    <row r="141" spans="1:11" x14ac:dyDescent="0.25">
      <c r="A141" s="143" t="s">
        <v>859</v>
      </c>
      <c r="B141" s="143" t="s">
        <v>896</v>
      </c>
      <c r="C141" s="143">
        <v>120</v>
      </c>
      <c r="D141" s="143">
        <v>80</v>
      </c>
      <c r="E141" s="143" t="s">
        <v>1038</v>
      </c>
      <c r="F141" s="143">
        <v>12</v>
      </c>
      <c r="G141" s="143">
        <v>8</v>
      </c>
      <c r="H141" s="143" t="s">
        <v>287</v>
      </c>
      <c r="I141" s="143" t="s">
        <v>288</v>
      </c>
      <c r="J141" s="143">
        <v>3</v>
      </c>
      <c r="K141" s="143">
        <v>5</v>
      </c>
    </row>
    <row r="142" spans="1:11" x14ac:dyDescent="0.25">
      <c r="A142" s="143" t="s">
        <v>860</v>
      </c>
      <c r="B142" s="143" t="s">
        <v>896</v>
      </c>
      <c r="C142" s="143">
        <v>130</v>
      </c>
      <c r="D142" s="143">
        <v>80</v>
      </c>
      <c r="E142" s="143" t="s">
        <v>1039</v>
      </c>
      <c r="F142" s="143">
        <v>13</v>
      </c>
      <c r="G142" s="143">
        <v>8</v>
      </c>
      <c r="H142" s="143" t="s">
        <v>287</v>
      </c>
      <c r="I142" s="143" t="s">
        <v>288</v>
      </c>
      <c r="J142" s="143">
        <v>3</v>
      </c>
      <c r="K142" s="143">
        <v>5</v>
      </c>
    </row>
    <row r="143" spans="1:11" x14ac:dyDescent="0.25">
      <c r="A143" s="143" t="s">
        <v>895</v>
      </c>
      <c r="B143" s="143" t="s">
        <v>898</v>
      </c>
      <c r="C143" s="143">
        <v>90</v>
      </c>
      <c r="D143" s="143">
        <v>80</v>
      </c>
      <c r="E143" s="143" t="s">
        <v>1031</v>
      </c>
      <c r="F143" s="143">
        <v>5</v>
      </c>
      <c r="G143" s="143">
        <v>4</v>
      </c>
      <c r="H143" s="143" t="s">
        <v>287</v>
      </c>
      <c r="I143" s="143" t="s">
        <v>288</v>
      </c>
      <c r="J143" s="143">
        <v>2</v>
      </c>
      <c r="K143" s="143">
        <v>3</v>
      </c>
    </row>
    <row r="144" spans="1:11" x14ac:dyDescent="0.25">
      <c r="A144" s="143" t="s">
        <v>851</v>
      </c>
      <c r="B144" s="143" t="s">
        <v>898</v>
      </c>
      <c r="C144" s="143">
        <v>90</v>
      </c>
      <c r="D144" s="143">
        <v>80</v>
      </c>
      <c r="E144" s="143" t="s">
        <v>1031</v>
      </c>
      <c r="F144" s="143">
        <v>5</v>
      </c>
      <c r="G144" s="143">
        <v>4</v>
      </c>
      <c r="H144" s="143" t="s">
        <v>287</v>
      </c>
      <c r="I144" s="143" t="s">
        <v>288</v>
      </c>
      <c r="J144" s="143">
        <v>2</v>
      </c>
      <c r="K144" s="143">
        <v>3</v>
      </c>
    </row>
    <row r="145" spans="1:11" x14ac:dyDescent="0.25">
      <c r="A145" s="143" t="s">
        <v>852</v>
      </c>
      <c r="B145" s="143" t="s">
        <v>898</v>
      </c>
      <c r="C145" s="143">
        <v>90</v>
      </c>
      <c r="D145" s="143">
        <v>80</v>
      </c>
      <c r="E145" s="143" t="s">
        <v>1031</v>
      </c>
      <c r="F145" s="143">
        <v>5</v>
      </c>
      <c r="G145" s="143">
        <v>4</v>
      </c>
      <c r="H145" s="143" t="s">
        <v>287</v>
      </c>
      <c r="I145" s="143" t="s">
        <v>288</v>
      </c>
      <c r="J145" s="143">
        <v>2</v>
      </c>
      <c r="K145" s="143">
        <v>3</v>
      </c>
    </row>
    <row r="146" spans="1:11" x14ac:dyDescent="0.25">
      <c r="A146" s="143" t="s">
        <v>853</v>
      </c>
      <c r="B146" s="143" t="s">
        <v>898</v>
      </c>
      <c r="C146" s="143">
        <v>90</v>
      </c>
      <c r="D146" s="143">
        <v>80</v>
      </c>
      <c r="E146" s="143" t="s">
        <v>1031</v>
      </c>
      <c r="F146" s="143">
        <v>5</v>
      </c>
      <c r="G146" s="143">
        <v>4</v>
      </c>
      <c r="H146" s="143" t="s">
        <v>287</v>
      </c>
      <c r="I146" s="143" t="s">
        <v>288</v>
      </c>
      <c r="J146" s="143">
        <v>2</v>
      </c>
      <c r="K146" s="143">
        <v>3</v>
      </c>
    </row>
    <row r="147" spans="1:11" x14ac:dyDescent="0.25">
      <c r="A147" s="143" t="s">
        <v>854</v>
      </c>
      <c r="B147" s="143" t="s">
        <v>898</v>
      </c>
      <c r="C147" s="143">
        <v>90</v>
      </c>
      <c r="D147" s="143">
        <v>80</v>
      </c>
      <c r="E147" s="143" t="s">
        <v>1031</v>
      </c>
      <c r="F147" s="143">
        <v>5</v>
      </c>
      <c r="G147" s="143">
        <v>4</v>
      </c>
      <c r="H147" s="143" t="s">
        <v>287</v>
      </c>
      <c r="I147" s="143" t="s">
        <v>288</v>
      </c>
      <c r="J147" s="143">
        <v>2</v>
      </c>
      <c r="K147" s="143">
        <v>3</v>
      </c>
    </row>
    <row r="148" spans="1:11" x14ac:dyDescent="0.25">
      <c r="A148" s="143" t="s">
        <v>855</v>
      </c>
      <c r="B148" s="143" t="s">
        <v>898</v>
      </c>
      <c r="C148" s="143">
        <v>90</v>
      </c>
      <c r="D148" s="143">
        <v>80</v>
      </c>
      <c r="E148" s="143" t="s">
        <v>1031</v>
      </c>
      <c r="F148" s="143">
        <v>5</v>
      </c>
      <c r="G148" s="143">
        <v>4</v>
      </c>
      <c r="H148" s="143" t="s">
        <v>287</v>
      </c>
      <c r="I148" s="143" t="s">
        <v>288</v>
      </c>
      <c r="J148" s="143">
        <v>2</v>
      </c>
      <c r="K148" s="143">
        <v>3</v>
      </c>
    </row>
    <row r="149" spans="1:11" x14ac:dyDescent="0.25">
      <c r="A149" s="143" t="s">
        <v>856</v>
      </c>
      <c r="B149" s="143" t="s">
        <v>898</v>
      </c>
      <c r="C149" s="143">
        <v>90</v>
      </c>
      <c r="D149" s="143">
        <v>80</v>
      </c>
      <c r="E149" s="143" t="s">
        <v>1033</v>
      </c>
      <c r="F149" s="143">
        <v>6</v>
      </c>
      <c r="G149" s="143">
        <v>5</v>
      </c>
      <c r="H149" s="143" t="s">
        <v>287</v>
      </c>
      <c r="I149" s="143" t="s">
        <v>288</v>
      </c>
      <c r="J149" s="143">
        <v>2</v>
      </c>
      <c r="K149" s="143">
        <v>2</v>
      </c>
    </row>
    <row r="150" spans="1:11" x14ac:dyDescent="0.25">
      <c r="A150" s="143" t="s">
        <v>857</v>
      </c>
      <c r="B150" s="143" t="s">
        <v>898</v>
      </c>
      <c r="C150" s="143">
        <v>90</v>
      </c>
      <c r="D150" s="143">
        <v>80</v>
      </c>
      <c r="E150" s="143" t="s">
        <v>1033</v>
      </c>
      <c r="F150" s="143">
        <v>6</v>
      </c>
      <c r="G150" s="143">
        <v>5</v>
      </c>
      <c r="H150" s="143" t="s">
        <v>287</v>
      </c>
      <c r="I150" s="143" t="s">
        <v>288</v>
      </c>
      <c r="J150" s="143">
        <v>2</v>
      </c>
      <c r="K150" s="143">
        <v>3</v>
      </c>
    </row>
    <row r="151" spans="1:11" x14ac:dyDescent="0.25">
      <c r="A151" s="143" t="s">
        <v>225</v>
      </c>
      <c r="B151" s="143" t="s">
        <v>898</v>
      </c>
      <c r="C151" s="143">
        <v>90</v>
      </c>
      <c r="D151" s="143">
        <v>80</v>
      </c>
      <c r="E151" s="143" t="s">
        <v>1046</v>
      </c>
      <c r="F151" s="143">
        <v>7</v>
      </c>
      <c r="G151" s="143">
        <v>7</v>
      </c>
      <c r="H151" s="143" t="s">
        <v>287</v>
      </c>
      <c r="I151" s="143" t="s">
        <v>288</v>
      </c>
      <c r="J151" s="143">
        <v>2</v>
      </c>
      <c r="K151" s="143">
        <v>3</v>
      </c>
    </row>
    <row r="152" spans="1:11" x14ac:dyDescent="0.25">
      <c r="A152" s="143" t="s">
        <v>226</v>
      </c>
      <c r="B152" s="143" t="s">
        <v>898</v>
      </c>
      <c r="C152" s="143">
        <v>100</v>
      </c>
      <c r="D152" s="143">
        <v>80</v>
      </c>
      <c r="E152" s="143" t="s">
        <v>1055</v>
      </c>
      <c r="F152" s="143">
        <v>12</v>
      </c>
      <c r="G152" s="143">
        <v>10</v>
      </c>
      <c r="H152" s="143" t="s">
        <v>287</v>
      </c>
      <c r="I152" s="143" t="s">
        <v>288</v>
      </c>
      <c r="J152" s="143">
        <v>4</v>
      </c>
      <c r="K152" s="143">
        <v>5</v>
      </c>
    </row>
    <row r="153" spans="1:11" x14ac:dyDescent="0.25">
      <c r="A153" s="143" t="s">
        <v>227</v>
      </c>
      <c r="B153" s="143" t="s">
        <v>898</v>
      </c>
      <c r="C153" s="143">
        <v>100</v>
      </c>
      <c r="D153" s="143">
        <v>80</v>
      </c>
      <c r="E153" s="143" t="s">
        <v>1055</v>
      </c>
      <c r="F153" s="143">
        <v>12</v>
      </c>
      <c r="G153" s="143">
        <v>10</v>
      </c>
      <c r="H153" s="143" t="s">
        <v>287</v>
      </c>
      <c r="I153" s="143" t="s">
        <v>288</v>
      </c>
      <c r="J153" s="143">
        <v>4</v>
      </c>
      <c r="K153" s="143">
        <v>5</v>
      </c>
    </row>
    <row r="154" spans="1:11" x14ac:dyDescent="0.25">
      <c r="A154" s="143" t="s">
        <v>858</v>
      </c>
      <c r="B154" s="143" t="s">
        <v>898</v>
      </c>
      <c r="C154" s="143">
        <v>120</v>
      </c>
      <c r="D154" s="143">
        <v>80</v>
      </c>
      <c r="E154" s="143" t="s">
        <v>1042</v>
      </c>
      <c r="F154" s="143">
        <v>14</v>
      </c>
      <c r="G154" s="143">
        <v>9</v>
      </c>
      <c r="H154" s="143" t="s">
        <v>287</v>
      </c>
      <c r="I154" s="143" t="s">
        <v>288</v>
      </c>
      <c r="J154" s="143">
        <v>3</v>
      </c>
      <c r="K154" s="143">
        <v>6</v>
      </c>
    </row>
    <row r="155" spans="1:11" x14ac:dyDescent="0.25">
      <c r="A155" s="143" t="s">
        <v>859</v>
      </c>
      <c r="B155" s="143" t="s">
        <v>898</v>
      </c>
      <c r="C155" s="143">
        <v>135</v>
      </c>
      <c r="D155" s="143">
        <v>80</v>
      </c>
      <c r="E155" s="143" t="s">
        <v>1042</v>
      </c>
      <c r="F155" s="143">
        <v>15</v>
      </c>
      <c r="G155" s="143">
        <v>8</v>
      </c>
      <c r="H155" s="143" t="s">
        <v>287</v>
      </c>
      <c r="I155" s="143" t="s">
        <v>288</v>
      </c>
      <c r="J155" s="143">
        <v>3</v>
      </c>
      <c r="K155" s="143">
        <v>6</v>
      </c>
    </row>
    <row r="156" spans="1:11" x14ac:dyDescent="0.25">
      <c r="A156" s="143" t="s">
        <v>860</v>
      </c>
      <c r="B156" s="143" t="s">
        <v>898</v>
      </c>
      <c r="C156" s="143">
        <v>145</v>
      </c>
      <c r="D156" s="143">
        <v>80</v>
      </c>
      <c r="E156" s="143" t="s">
        <v>1056</v>
      </c>
      <c r="F156" s="143">
        <v>17</v>
      </c>
      <c r="G156" s="143">
        <v>9</v>
      </c>
      <c r="H156" s="143" t="s">
        <v>287</v>
      </c>
      <c r="I156" s="143" t="s">
        <v>288</v>
      </c>
      <c r="J156" s="143">
        <v>3</v>
      </c>
      <c r="K156" s="143">
        <v>7</v>
      </c>
    </row>
    <row r="157" spans="1:11" x14ac:dyDescent="0.25">
      <c r="A157" s="143" t="s">
        <v>895</v>
      </c>
      <c r="B157" s="143" t="s">
        <v>300</v>
      </c>
      <c r="C157" s="143">
        <v>90</v>
      </c>
      <c r="D157" s="143">
        <v>80</v>
      </c>
      <c r="E157" s="143" t="s">
        <v>1031</v>
      </c>
      <c r="F157" s="143">
        <v>5</v>
      </c>
      <c r="G157" s="143">
        <v>4</v>
      </c>
      <c r="H157" s="143" t="s">
        <v>287</v>
      </c>
      <c r="I157" s="143" t="s">
        <v>288</v>
      </c>
      <c r="J157" s="143">
        <v>2</v>
      </c>
      <c r="K157" s="143">
        <v>3</v>
      </c>
    </row>
    <row r="158" spans="1:11" x14ac:dyDescent="0.25">
      <c r="A158" s="143" t="s">
        <v>851</v>
      </c>
      <c r="B158" s="143" t="s">
        <v>300</v>
      </c>
      <c r="C158" s="143">
        <v>90</v>
      </c>
      <c r="D158" s="143">
        <v>80</v>
      </c>
      <c r="E158" s="143" t="s">
        <v>1031</v>
      </c>
      <c r="F158" s="143">
        <v>5</v>
      </c>
      <c r="G158" s="143">
        <v>4</v>
      </c>
      <c r="H158" s="143" t="s">
        <v>287</v>
      </c>
      <c r="I158" s="143" t="s">
        <v>288</v>
      </c>
      <c r="J158" s="143">
        <v>2</v>
      </c>
      <c r="K158" s="143">
        <v>3</v>
      </c>
    </row>
    <row r="159" spans="1:11" x14ac:dyDescent="0.25">
      <c r="A159" s="143" t="s">
        <v>852</v>
      </c>
      <c r="B159" s="143" t="s">
        <v>300</v>
      </c>
      <c r="C159" s="143">
        <v>90</v>
      </c>
      <c r="D159" s="143">
        <v>80</v>
      </c>
      <c r="E159" s="143" t="s">
        <v>1031</v>
      </c>
      <c r="F159" s="143">
        <v>5</v>
      </c>
      <c r="G159" s="143">
        <v>4</v>
      </c>
      <c r="H159" s="143" t="s">
        <v>287</v>
      </c>
      <c r="I159" s="143" t="s">
        <v>288</v>
      </c>
      <c r="J159" s="143">
        <v>2</v>
      </c>
      <c r="K159" s="143">
        <v>3</v>
      </c>
    </row>
    <row r="160" spans="1:11" x14ac:dyDescent="0.25">
      <c r="A160" s="143" t="s">
        <v>853</v>
      </c>
      <c r="B160" s="143" t="s">
        <v>300</v>
      </c>
      <c r="C160" s="143">
        <v>90</v>
      </c>
      <c r="D160" s="143">
        <v>80</v>
      </c>
      <c r="E160" s="143" t="s">
        <v>1031</v>
      </c>
      <c r="F160" s="143">
        <v>5</v>
      </c>
      <c r="G160" s="143">
        <v>4</v>
      </c>
      <c r="H160" s="143" t="s">
        <v>287</v>
      </c>
      <c r="I160" s="143" t="s">
        <v>288</v>
      </c>
      <c r="J160" s="143">
        <v>2</v>
      </c>
      <c r="K160" s="143">
        <v>3</v>
      </c>
    </row>
    <row r="161" spans="1:11" x14ac:dyDescent="0.25">
      <c r="A161" s="143" t="s">
        <v>854</v>
      </c>
      <c r="B161" s="143" t="s">
        <v>300</v>
      </c>
      <c r="C161" s="144">
        <v>90</v>
      </c>
      <c r="D161" s="144">
        <v>80</v>
      </c>
      <c r="E161" s="143" t="s">
        <v>1031</v>
      </c>
      <c r="F161" s="143">
        <v>5</v>
      </c>
      <c r="G161" s="143">
        <v>4</v>
      </c>
      <c r="H161" s="143" t="s">
        <v>287</v>
      </c>
      <c r="I161" s="143" t="s">
        <v>288</v>
      </c>
      <c r="J161" s="143">
        <v>2</v>
      </c>
      <c r="K161" s="143">
        <v>3</v>
      </c>
    </row>
    <row r="162" spans="1:11" x14ac:dyDescent="0.25">
      <c r="A162" s="143" t="s">
        <v>855</v>
      </c>
      <c r="B162" s="143" t="s">
        <v>300</v>
      </c>
      <c r="C162" s="144">
        <v>90</v>
      </c>
      <c r="D162" s="144">
        <v>80</v>
      </c>
      <c r="E162" s="143" t="s">
        <v>1031</v>
      </c>
      <c r="F162" s="143">
        <v>5</v>
      </c>
      <c r="G162" s="143">
        <v>4</v>
      </c>
      <c r="H162" s="143" t="s">
        <v>287</v>
      </c>
      <c r="I162" s="143" t="s">
        <v>288</v>
      </c>
      <c r="J162" s="143">
        <v>2</v>
      </c>
      <c r="K162" s="143">
        <v>3</v>
      </c>
    </row>
    <row r="163" spans="1:11" x14ac:dyDescent="0.25">
      <c r="A163" s="143" t="s">
        <v>856</v>
      </c>
      <c r="B163" s="143" t="s">
        <v>300</v>
      </c>
      <c r="C163" s="143">
        <v>90</v>
      </c>
      <c r="D163" s="143">
        <v>80</v>
      </c>
      <c r="E163" s="143" t="s">
        <v>1045</v>
      </c>
      <c r="F163" s="143">
        <v>5</v>
      </c>
      <c r="G163" s="143">
        <v>5</v>
      </c>
      <c r="H163" s="143" t="s">
        <v>287</v>
      </c>
      <c r="I163" s="143" t="s">
        <v>288</v>
      </c>
      <c r="J163" s="143">
        <v>2</v>
      </c>
      <c r="K163" s="143">
        <v>3</v>
      </c>
    </row>
    <row r="164" spans="1:11" x14ac:dyDescent="0.25">
      <c r="A164" s="143" t="s">
        <v>857</v>
      </c>
      <c r="B164" s="143" t="s">
        <v>300</v>
      </c>
      <c r="C164" s="143">
        <v>90</v>
      </c>
      <c r="D164" s="143">
        <v>80</v>
      </c>
      <c r="E164" s="143" t="s">
        <v>1031</v>
      </c>
      <c r="F164" s="143">
        <v>5</v>
      </c>
      <c r="G164" s="143">
        <v>4</v>
      </c>
      <c r="H164" s="143" t="s">
        <v>287</v>
      </c>
      <c r="I164" s="143" t="s">
        <v>288</v>
      </c>
      <c r="J164" s="143">
        <v>2</v>
      </c>
      <c r="K164" s="143">
        <v>3</v>
      </c>
    </row>
    <row r="165" spans="1:11" x14ac:dyDescent="0.25">
      <c r="A165" s="143" t="s">
        <v>225</v>
      </c>
      <c r="B165" s="143" t="s">
        <v>300</v>
      </c>
      <c r="C165" s="143">
        <v>90</v>
      </c>
      <c r="D165" s="143">
        <v>80</v>
      </c>
      <c r="E165" s="143" t="s">
        <v>1045</v>
      </c>
      <c r="F165" s="143">
        <v>5</v>
      </c>
      <c r="G165" s="143">
        <v>5</v>
      </c>
      <c r="H165" s="143" t="s">
        <v>287</v>
      </c>
      <c r="I165" s="143" t="s">
        <v>288</v>
      </c>
      <c r="J165" s="143">
        <v>2</v>
      </c>
      <c r="K165" s="143">
        <v>3</v>
      </c>
    </row>
    <row r="166" spans="1:11" x14ac:dyDescent="0.25">
      <c r="A166" s="143" t="s">
        <v>226</v>
      </c>
      <c r="B166" s="143" t="s">
        <v>300</v>
      </c>
      <c r="C166" s="143">
        <v>100</v>
      </c>
      <c r="D166" s="143">
        <v>80</v>
      </c>
      <c r="E166" s="143" t="s">
        <v>1034</v>
      </c>
      <c r="F166" s="143">
        <v>6</v>
      </c>
      <c r="G166" s="143">
        <v>4</v>
      </c>
      <c r="H166" s="143" t="s">
        <v>287</v>
      </c>
      <c r="I166" s="143" t="s">
        <v>288</v>
      </c>
      <c r="J166" s="143">
        <v>2</v>
      </c>
      <c r="K166" s="143">
        <v>4</v>
      </c>
    </row>
    <row r="167" spans="1:11" x14ac:dyDescent="0.25">
      <c r="A167" s="143" t="s">
        <v>227</v>
      </c>
      <c r="B167" s="143" t="s">
        <v>300</v>
      </c>
      <c r="C167" s="143">
        <v>100</v>
      </c>
      <c r="D167" s="143">
        <v>80</v>
      </c>
      <c r="E167" s="143" t="s">
        <v>1041</v>
      </c>
      <c r="F167" s="143">
        <v>9</v>
      </c>
      <c r="G167" s="143">
        <v>8</v>
      </c>
      <c r="H167" s="143" t="s">
        <v>287</v>
      </c>
      <c r="I167" s="143" t="s">
        <v>288</v>
      </c>
      <c r="J167" s="143">
        <v>3</v>
      </c>
      <c r="K167" s="143">
        <v>4</v>
      </c>
    </row>
    <row r="168" spans="1:11" x14ac:dyDescent="0.25">
      <c r="A168" s="143" t="s">
        <v>858</v>
      </c>
      <c r="B168" s="143" t="s">
        <v>300</v>
      </c>
      <c r="C168" s="144">
        <v>120</v>
      </c>
      <c r="D168" s="144">
        <v>80</v>
      </c>
      <c r="E168" s="143" t="s">
        <v>1034</v>
      </c>
      <c r="F168" s="143">
        <v>6</v>
      </c>
      <c r="G168" s="143">
        <v>4</v>
      </c>
      <c r="H168" s="143" t="s">
        <v>287</v>
      </c>
      <c r="I168" s="143" t="s">
        <v>288</v>
      </c>
      <c r="J168" s="143">
        <v>2</v>
      </c>
      <c r="K168" s="143">
        <v>4</v>
      </c>
    </row>
    <row r="169" spans="1:11" x14ac:dyDescent="0.25">
      <c r="A169" s="143" t="s">
        <v>859</v>
      </c>
      <c r="B169" s="143" t="s">
        <v>300</v>
      </c>
      <c r="C169" s="143">
        <v>120</v>
      </c>
      <c r="D169" s="143">
        <v>80</v>
      </c>
      <c r="E169" s="143" t="s">
        <v>1032</v>
      </c>
      <c r="F169" s="143">
        <v>5</v>
      </c>
      <c r="G169" s="143">
        <v>4</v>
      </c>
      <c r="H169" s="143" t="s">
        <v>287</v>
      </c>
      <c r="I169" s="143" t="s">
        <v>288</v>
      </c>
      <c r="J169" s="143">
        <v>2</v>
      </c>
      <c r="K169" s="143">
        <v>3</v>
      </c>
    </row>
    <row r="170" spans="1:11" x14ac:dyDescent="0.25">
      <c r="A170" s="143" t="s">
        <v>860</v>
      </c>
      <c r="B170" s="143" t="s">
        <v>300</v>
      </c>
      <c r="C170" s="143">
        <v>130</v>
      </c>
      <c r="D170" s="143">
        <v>80</v>
      </c>
      <c r="E170" s="143" t="s">
        <v>1034</v>
      </c>
      <c r="F170" s="143">
        <v>6</v>
      </c>
      <c r="G170" s="143">
        <v>4</v>
      </c>
      <c r="H170" s="143" t="s">
        <v>287</v>
      </c>
      <c r="I170" s="143" t="s">
        <v>288</v>
      </c>
      <c r="J170" s="143">
        <v>2</v>
      </c>
      <c r="K170" s="143">
        <v>4</v>
      </c>
    </row>
    <row r="171" spans="1:11" x14ac:dyDescent="0.25">
      <c r="A171" s="143" t="s">
        <v>895</v>
      </c>
      <c r="B171" s="143" t="s">
        <v>900</v>
      </c>
      <c r="C171" s="143">
        <v>90</v>
      </c>
      <c r="D171" s="143">
        <v>80</v>
      </c>
      <c r="E171" s="143" t="s">
        <v>1031</v>
      </c>
      <c r="F171" s="143">
        <v>5</v>
      </c>
      <c r="G171" s="143">
        <v>4</v>
      </c>
      <c r="H171" s="143" t="s">
        <v>287</v>
      </c>
      <c r="I171" s="143" t="s">
        <v>288</v>
      </c>
      <c r="J171" s="143">
        <v>2</v>
      </c>
      <c r="K171" s="143">
        <v>3</v>
      </c>
    </row>
    <row r="172" spans="1:11" x14ac:dyDescent="0.25">
      <c r="A172" s="143" t="s">
        <v>851</v>
      </c>
      <c r="B172" s="143" t="s">
        <v>900</v>
      </c>
      <c r="C172" s="143">
        <v>90</v>
      </c>
      <c r="D172" s="143">
        <v>80</v>
      </c>
      <c r="E172" s="143" t="s">
        <v>1031</v>
      </c>
      <c r="F172" s="143">
        <v>5</v>
      </c>
      <c r="G172" s="143">
        <v>4</v>
      </c>
      <c r="H172" s="143" t="s">
        <v>287</v>
      </c>
      <c r="I172" s="143" t="s">
        <v>288</v>
      </c>
      <c r="J172" s="143">
        <v>2</v>
      </c>
      <c r="K172" s="143">
        <v>3</v>
      </c>
    </row>
    <row r="173" spans="1:11" x14ac:dyDescent="0.25">
      <c r="A173" s="143" t="s">
        <v>852</v>
      </c>
      <c r="B173" s="143" t="s">
        <v>900</v>
      </c>
      <c r="C173" s="143">
        <v>90</v>
      </c>
      <c r="D173" s="143">
        <v>80</v>
      </c>
      <c r="E173" s="143" t="s">
        <v>1031</v>
      </c>
      <c r="F173" s="143">
        <v>5</v>
      </c>
      <c r="G173" s="143">
        <v>4</v>
      </c>
      <c r="H173" s="143" t="s">
        <v>287</v>
      </c>
      <c r="I173" s="143" t="s">
        <v>288</v>
      </c>
      <c r="J173" s="143">
        <v>2</v>
      </c>
      <c r="K173" s="143">
        <v>3</v>
      </c>
    </row>
    <row r="174" spans="1:11" x14ac:dyDescent="0.25">
      <c r="A174" s="143" t="s">
        <v>853</v>
      </c>
      <c r="B174" s="143" t="s">
        <v>900</v>
      </c>
      <c r="C174" s="143">
        <v>90</v>
      </c>
      <c r="D174" s="143">
        <v>80</v>
      </c>
      <c r="E174" s="143" t="s">
        <v>1031</v>
      </c>
      <c r="F174" s="143">
        <v>5</v>
      </c>
      <c r="G174" s="143">
        <v>4</v>
      </c>
      <c r="H174" s="143" t="s">
        <v>287</v>
      </c>
      <c r="I174" s="143" t="s">
        <v>288</v>
      </c>
      <c r="J174" s="143">
        <v>2</v>
      </c>
      <c r="K174" s="143">
        <v>3</v>
      </c>
    </row>
    <row r="175" spans="1:11" x14ac:dyDescent="0.25">
      <c r="A175" s="143" t="s">
        <v>854</v>
      </c>
      <c r="B175" s="143" t="s">
        <v>900</v>
      </c>
      <c r="C175" s="143">
        <v>90</v>
      </c>
      <c r="D175" s="143">
        <v>80</v>
      </c>
      <c r="E175" s="143" t="s">
        <v>1031</v>
      </c>
      <c r="F175" s="143">
        <v>5</v>
      </c>
      <c r="G175" s="143">
        <v>4</v>
      </c>
      <c r="H175" s="143" t="s">
        <v>287</v>
      </c>
      <c r="I175" s="143" t="s">
        <v>288</v>
      </c>
      <c r="J175" s="143">
        <v>2</v>
      </c>
      <c r="K175" s="143">
        <v>3</v>
      </c>
    </row>
    <row r="176" spans="1:11" x14ac:dyDescent="0.25">
      <c r="A176" s="143" t="s">
        <v>855</v>
      </c>
      <c r="B176" s="143" t="s">
        <v>900</v>
      </c>
      <c r="C176" s="143">
        <v>90</v>
      </c>
      <c r="D176" s="143">
        <v>80</v>
      </c>
      <c r="E176" s="143" t="s">
        <v>1049</v>
      </c>
      <c r="F176" s="143">
        <v>6</v>
      </c>
      <c r="G176" s="143">
        <v>6</v>
      </c>
      <c r="H176" s="143" t="s">
        <v>287</v>
      </c>
      <c r="I176" s="143" t="s">
        <v>288</v>
      </c>
      <c r="J176" s="143">
        <v>2</v>
      </c>
      <c r="K176" s="143">
        <v>2</v>
      </c>
    </row>
    <row r="177" spans="1:11" x14ac:dyDescent="0.25">
      <c r="A177" s="143" t="s">
        <v>856</v>
      </c>
      <c r="B177" s="143" t="s">
        <v>900</v>
      </c>
      <c r="C177" s="143">
        <v>90</v>
      </c>
      <c r="D177" s="143">
        <v>80</v>
      </c>
      <c r="E177" s="143" t="s">
        <v>1057</v>
      </c>
      <c r="F177" s="143">
        <v>8</v>
      </c>
      <c r="G177" s="143">
        <v>8</v>
      </c>
      <c r="H177" s="143" t="s">
        <v>287</v>
      </c>
      <c r="I177" s="143" t="s">
        <v>288</v>
      </c>
      <c r="J177" s="143">
        <v>3</v>
      </c>
      <c r="K177" s="143">
        <v>3</v>
      </c>
    </row>
    <row r="178" spans="1:11" x14ac:dyDescent="0.25">
      <c r="A178" s="143" t="s">
        <v>857</v>
      </c>
      <c r="B178" s="143" t="s">
        <v>900</v>
      </c>
      <c r="C178" s="143">
        <v>90</v>
      </c>
      <c r="D178" s="143">
        <v>80</v>
      </c>
      <c r="E178" s="143" t="s">
        <v>1057</v>
      </c>
      <c r="F178" s="143">
        <v>8</v>
      </c>
      <c r="G178" s="143">
        <v>8</v>
      </c>
      <c r="H178" s="143" t="s">
        <v>287</v>
      </c>
      <c r="I178" s="143" t="s">
        <v>288</v>
      </c>
      <c r="J178" s="143">
        <v>3</v>
      </c>
      <c r="K178" s="143">
        <v>3</v>
      </c>
    </row>
    <row r="179" spans="1:11" x14ac:dyDescent="0.25">
      <c r="A179" s="143" t="s">
        <v>225</v>
      </c>
      <c r="B179" s="143" t="s">
        <v>900</v>
      </c>
      <c r="C179" s="143">
        <v>90</v>
      </c>
      <c r="D179" s="143">
        <v>80</v>
      </c>
      <c r="E179" s="143" t="s">
        <v>1057</v>
      </c>
      <c r="F179" s="143">
        <v>8</v>
      </c>
      <c r="G179" s="143">
        <v>8</v>
      </c>
      <c r="H179" s="143" t="s">
        <v>287</v>
      </c>
      <c r="I179" s="143" t="s">
        <v>288</v>
      </c>
      <c r="J179" s="143">
        <v>3</v>
      </c>
      <c r="K179" s="143">
        <v>3</v>
      </c>
    </row>
    <row r="180" spans="1:11" x14ac:dyDescent="0.25">
      <c r="A180" s="143" t="s">
        <v>226</v>
      </c>
      <c r="B180" s="143" t="s">
        <v>900</v>
      </c>
      <c r="C180" s="143">
        <v>100</v>
      </c>
      <c r="D180" s="143">
        <v>80</v>
      </c>
      <c r="E180" s="143" t="s">
        <v>1038</v>
      </c>
      <c r="F180" s="143">
        <v>11</v>
      </c>
      <c r="G180" s="143">
        <v>9</v>
      </c>
      <c r="H180" s="143" t="s">
        <v>287</v>
      </c>
      <c r="I180" s="143" t="s">
        <v>288</v>
      </c>
      <c r="J180" s="143">
        <v>3</v>
      </c>
      <c r="K180" s="143">
        <v>4</v>
      </c>
    </row>
    <row r="181" spans="1:11" x14ac:dyDescent="0.25">
      <c r="A181" s="143" t="s">
        <v>227</v>
      </c>
      <c r="B181" s="143" t="s">
        <v>900</v>
      </c>
      <c r="C181" s="143">
        <v>100</v>
      </c>
      <c r="D181" s="143">
        <v>80</v>
      </c>
      <c r="E181" s="143" t="s">
        <v>1038</v>
      </c>
      <c r="F181" s="143">
        <v>11</v>
      </c>
      <c r="G181" s="143">
        <v>9</v>
      </c>
      <c r="H181" s="143" t="s">
        <v>287</v>
      </c>
      <c r="I181" s="143" t="s">
        <v>288</v>
      </c>
      <c r="J181" s="143">
        <v>3</v>
      </c>
      <c r="K181" s="143">
        <v>4</v>
      </c>
    </row>
    <row r="182" spans="1:11" x14ac:dyDescent="0.25">
      <c r="A182" s="143" t="s">
        <v>858</v>
      </c>
      <c r="B182" s="143" t="s">
        <v>900</v>
      </c>
      <c r="C182" s="144">
        <v>100</v>
      </c>
      <c r="D182" s="144">
        <v>110</v>
      </c>
      <c r="E182" s="143" t="s">
        <v>1036</v>
      </c>
      <c r="F182" s="143">
        <v>6</v>
      </c>
      <c r="G182" s="143">
        <v>7</v>
      </c>
      <c r="H182" s="143" t="s">
        <v>287</v>
      </c>
      <c r="I182" s="143" t="s">
        <v>288</v>
      </c>
      <c r="J182" s="143">
        <v>2</v>
      </c>
      <c r="K182" s="143">
        <v>2</v>
      </c>
    </row>
    <row r="183" spans="1:11" x14ac:dyDescent="0.25">
      <c r="A183" s="143" t="s">
        <v>859</v>
      </c>
      <c r="B183" s="143" t="s">
        <v>900</v>
      </c>
      <c r="C183" s="143">
        <v>100</v>
      </c>
      <c r="D183" s="143">
        <v>110</v>
      </c>
      <c r="E183" s="143" t="s">
        <v>1046</v>
      </c>
      <c r="F183" s="143">
        <v>7</v>
      </c>
      <c r="G183" s="143">
        <v>7</v>
      </c>
      <c r="H183" s="143" t="s">
        <v>287</v>
      </c>
      <c r="I183" s="143" t="s">
        <v>288</v>
      </c>
      <c r="J183" s="143">
        <v>2</v>
      </c>
      <c r="K183" s="143">
        <v>2</v>
      </c>
    </row>
    <row r="184" spans="1:11" x14ac:dyDescent="0.25">
      <c r="A184" s="143" t="s">
        <v>860</v>
      </c>
      <c r="B184" s="143" t="s">
        <v>900</v>
      </c>
      <c r="C184" s="143">
        <v>100</v>
      </c>
      <c r="D184" s="143">
        <v>110</v>
      </c>
      <c r="E184" s="143" t="s">
        <v>1052</v>
      </c>
      <c r="F184" s="143">
        <v>9</v>
      </c>
      <c r="G184" s="143">
        <v>10</v>
      </c>
      <c r="H184" s="143" t="s">
        <v>287</v>
      </c>
      <c r="I184" s="143" t="s">
        <v>288</v>
      </c>
      <c r="J184" s="143">
        <v>4</v>
      </c>
      <c r="K184" s="143">
        <v>3</v>
      </c>
    </row>
    <row r="185" spans="1:11" x14ac:dyDescent="0.25">
      <c r="A185" s="143" t="s">
        <v>895</v>
      </c>
      <c r="B185" s="143" t="s">
        <v>311</v>
      </c>
      <c r="C185" s="143">
        <v>90</v>
      </c>
      <c r="D185" s="143">
        <v>80</v>
      </c>
      <c r="E185" s="143" t="s">
        <v>1031</v>
      </c>
      <c r="F185" s="143">
        <v>5</v>
      </c>
      <c r="G185" s="143">
        <v>4</v>
      </c>
      <c r="H185" s="143" t="s">
        <v>287</v>
      </c>
      <c r="I185" s="143" t="s">
        <v>288</v>
      </c>
      <c r="J185" s="143">
        <v>2</v>
      </c>
      <c r="K185" s="143">
        <v>3</v>
      </c>
    </row>
    <row r="186" spans="1:11" x14ac:dyDescent="0.25">
      <c r="A186" s="143" t="s">
        <v>851</v>
      </c>
      <c r="B186" s="143" t="s">
        <v>311</v>
      </c>
      <c r="C186" s="143">
        <v>90</v>
      </c>
      <c r="D186" s="143">
        <v>80</v>
      </c>
      <c r="E186" s="143" t="s">
        <v>1031</v>
      </c>
      <c r="F186" s="143">
        <v>5</v>
      </c>
      <c r="G186" s="143">
        <v>4</v>
      </c>
      <c r="H186" s="143" t="s">
        <v>287</v>
      </c>
      <c r="I186" s="143" t="s">
        <v>288</v>
      </c>
      <c r="J186" s="143">
        <v>2</v>
      </c>
      <c r="K186" s="143">
        <v>3</v>
      </c>
    </row>
    <row r="187" spans="1:11" x14ac:dyDescent="0.25">
      <c r="A187" s="143" t="s">
        <v>852</v>
      </c>
      <c r="B187" s="143" t="s">
        <v>311</v>
      </c>
      <c r="C187" s="143">
        <v>90</v>
      </c>
      <c r="D187" s="143">
        <v>80</v>
      </c>
      <c r="E187" s="143" t="s">
        <v>1031</v>
      </c>
      <c r="F187" s="143">
        <v>5</v>
      </c>
      <c r="G187" s="143">
        <v>4</v>
      </c>
      <c r="H187" s="143" t="s">
        <v>287</v>
      </c>
      <c r="I187" s="143" t="s">
        <v>288</v>
      </c>
      <c r="J187" s="143">
        <v>2</v>
      </c>
      <c r="K187" s="143">
        <v>3</v>
      </c>
    </row>
    <row r="188" spans="1:11" x14ac:dyDescent="0.25">
      <c r="A188" s="143" t="s">
        <v>853</v>
      </c>
      <c r="B188" s="143" t="s">
        <v>311</v>
      </c>
      <c r="C188" s="143">
        <v>90</v>
      </c>
      <c r="D188" s="143">
        <v>80</v>
      </c>
      <c r="E188" s="143" t="s">
        <v>1031</v>
      </c>
      <c r="F188" s="143">
        <v>5</v>
      </c>
      <c r="G188" s="143">
        <v>4</v>
      </c>
      <c r="H188" s="143" t="s">
        <v>287</v>
      </c>
      <c r="I188" s="143" t="s">
        <v>288</v>
      </c>
      <c r="J188" s="143">
        <v>2</v>
      </c>
      <c r="K188" s="143">
        <v>3</v>
      </c>
    </row>
    <row r="189" spans="1:11" x14ac:dyDescent="0.25">
      <c r="A189" s="143" t="s">
        <v>854</v>
      </c>
      <c r="B189" s="143" t="s">
        <v>311</v>
      </c>
      <c r="C189" s="143">
        <v>90</v>
      </c>
      <c r="D189" s="143">
        <v>80</v>
      </c>
      <c r="E189" s="143" t="s">
        <v>1031</v>
      </c>
      <c r="F189" s="143">
        <v>5</v>
      </c>
      <c r="G189" s="143">
        <v>4</v>
      </c>
      <c r="H189" s="143" t="s">
        <v>287</v>
      </c>
      <c r="I189" s="143" t="s">
        <v>288</v>
      </c>
      <c r="J189" s="143">
        <v>2</v>
      </c>
      <c r="K189" s="143">
        <v>3</v>
      </c>
    </row>
    <row r="190" spans="1:11" x14ac:dyDescent="0.25">
      <c r="A190" s="143" t="s">
        <v>855</v>
      </c>
      <c r="B190" s="143" t="s">
        <v>311</v>
      </c>
      <c r="C190" s="143">
        <v>90</v>
      </c>
      <c r="D190" s="143">
        <v>80</v>
      </c>
      <c r="E190" s="143" t="s">
        <v>1031</v>
      </c>
      <c r="F190" s="143">
        <v>5</v>
      </c>
      <c r="G190" s="143">
        <v>4</v>
      </c>
      <c r="H190" s="143" t="s">
        <v>287</v>
      </c>
      <c r="I190" s="143" t="s">
        <v>288</v>
      </c>
      <c r="J190" s="143">
        <v>2</v>
      </c>
      <c r="K190" s="143">
        <v>3</v>
      </c>
    </row>
    <row r="191" spans="1:11" x14ac:dyDescent="0.25">
      <c r="A191" s="143" t="s">
        <v>856</v>
      </c>
      <c r="B191" s="143" t="s">
        <v>311</v>
      </c>
      <c r="C191" s="143">
        <v>90</v>
      </c>
      <c r="D191" s="143">
        <v>80</v>
      </c>
      <c r="E191" s="143" t="s">
        <v>1031</v>
      </c>
      <c r="F191" s="143">
        <v>5</v>
      </c>
      <c r="G191" s="143">
        <v>4</v>
      </c>
      <c r="H191" s="143" t="s">
        <v>287</v>
      </c>
      <c r="I191" s="143" t="s">
        <v>288</v>
      </c>
      <c r="J191" s="143">
        <v>2</v>
      </c>
      <c r="K191" s="143">
        <v>3</v>
      </c>
    </row>
    <row r="192" spans="1:11" x14ac:dyDescent="0.25">
      <c r="A192" s="143" t="s">
        <v>857</v>
      </c>
      <c r="B192" s="143" t="s">
        <v>311</v>
      </c>
      <c r="C192" s="143">
        <v>90</v>
      </c>
      <c r="D192" s="143">
        <v>80</v>
      </c>
      <c r="E192" s="143" t="s">
        <v>1031</v>
      </c>
      <c r="F192" s="143">
        <v>5</v>
      </c>
      <c r="G192" s="143">
        <v>4</v>
      </c>
      <c r="H192" s="143" t="s">
        <v>287</v>
      </c>
      <c r="I192" s="143" t="s">
        <v>288</v>
      </c>
      <c r="J192" s="143">
        <v>2</v>
      </c>
      <c r="K192" s="143">
        <v>3</v>
      </c>
    </row>
    <row r="193" spans="1:11" x14ac:dyDescent="0.25">
      <c r="A193" s="143" t="s">
        <v>225</v>
      </c>
      <c r="B193" s="143" t="s">
        <v>311</v>
      </c>
      <c r="C193" s="143">
        <v>90</v>
      </c>
      <c r="D193" s="143">
        <v>80</v>
      </c>
      <c r="E193" s="143" t="s">
        <v>1031</v>
      </c>
      <c r="F193" s="143">
        <v>5</v>
      </c>
      <c r="G193" s="143">
        <v>4</v>
      </c>
      <c r="H193" s="143" t="s">
        <v>287</v>
      </c>
      <c r="I193" s="143" t="s">
        <v>288</v>
      </c>
      <c r="J193" s="143">
        <v>2</v>
      </c>
      <c r="K193" s="143">
        <v>3</v>
      </c>
    </row>
    <row r="194" spans="1:11" x14ac:dyDescent="0.25">
      <c r="A194" s="143" t="s">
        <v>226</v>
      </c>
      <c r="B194" s="143" t="s">
        <v>311</v>
      </c>
      <c r="C194" s="143">
        <v>100</v>
      </c>
      <c r="D194" s="143">
        <v>80</v>
      </c>
      <c r="E194" s="143" t="s">
        <v>1034</v>
      </c>
      <c r="F194" s="143">
        <v>6</v>
      </c>
      <c r="G194" s="143">
        <v>4</v>
      </c>
      <c r="H194" s="143" t="s">
        <v>287</v>
      </c>
      <c r="I194" s="143" t="s">
        <v>288</v>
      </c>
      <c r="J194" s="143">
        <v>2</v>
      </c>
      <c r="K194" s="143">
        <v>4</v>
      </c>
    </row>
    <row r="195" spans="1:11" x14ac:dyDescent="0.25">
      <c r="A195" s="143" t="s">
        <v>227</v>
      </c>
      <c r="B195" s="143" t="s">
        <v>311</v>
      </c>
      <c r="C195" s="143">
        <v>100</v>
      </c>
      <c r="D195" s="143">
        <v>80</v>
      </c>
      <c r="E195" s="143" t="s">
        <v>1050</v>
      </c>
      <c r="F195" s="143">
        <v>7</v>
      </c>
      <c r="G195" s="143">
        <v>5</v>
      </c>
      <c r="H195" s="143" t="s">
        <v>287</v>
      </c>
      <c r="I195" s="143" t="s">
        <v>288</v>
      </c>
      <c r="J195" s="143">
        <v>2</v>
      </c>
      <c r="K195" s="143">
        <v>4</v>
      </c>
    </row>
    <row r="196" spans="1:11" x14ac:dyDescent="0.25">
      <c r="A196" s="143" t="s">
        <v>858</v>
      </c>
      <c r="B196" s="143" t="s">
        <v>311</v>
      </c>
      <c r="C196" s="144">
        <v>120</v>
      </c>
      <c r="D196" s="144">
        <v>80</v>
      </c>
      <c r="E196" s="143" t="s">
        <v>1046</v>
      </c>
      <c r="F196" s="143">
        <v>8</v>
      </c>
      <c r="G196" s="143">
        <v>6</v>
      </c>
      <c r="H196" s="143" t="s">
        <v>287</v>
      </c>
      <c r="I196" s="143" t="s">
        <v>288</v>
      </c>
      <c r="J196" s="143">
        <v>2</v>
      </c>
      <c r="K196" s="143">
        <v>3</v>
      </c>
    </row>
    <row r="197" spans="1:11" x14ac:dyDescent="0.25">
      <c r="A197" s="143" t="s">
        <v>859</v>
      </c>
      <c r="B197" s="143" t="s">
        <v>311</v>
      </c>
      <c r="C197" s="143">
        <v>120</v>
      </c>
      <c r="D197" s="143">
        <v>80</v>
      </c>
      <c r="E197" s="143" t="s">
        <v>1050</v>
      </c>
      <c r="F197" s="143">
        <v>7</v>
      </c>
      <c r="G197" s="143">
        <v>5</v>
      </c>
      <c r="H197" s="143" t="s">
        <v>287</v>
      </c>
      <c r="I197" s="143" t="s">
        <v>288</v>
      </c>
      <c r="J197" s="143">
        <v>1</v>
      </c>
      <c r="K197" s="143">
        <v>5</v>
      </c>
    </row>
    <row r="198" spans="1:11" x14ac:dyDescent="0.25">
      <c r="A198" s="143" t="s">
        <v>860</v>
      </c>
      <c r="B198" s="143" t="s">
        <v>311</v>
      </c>
      <c r="C198" s="143">
        <v>130</v>
      </c>
      <c r="D198" s="143">
        <v>80</v>
      </c>
      <c r="E198" s="143" t="s">
        <v>1036</v>
      </c>
      <c r="F198" s="143">
        <v>8</v>
      </c>
      <c r="G198" s="143">
        <v>5</v>
      </c>
      <c r="H198" s="143" t="s">
        <v>287</v>
      </c>
      <c r="I198" s="143" t="s">
        <v>288</v>
      </c>
      <c r="J198" s="143">
        <v>1</v>
      </c>
      <c r="K198" s="143">
        <v>3</v>
      </c>
    </row>
    <row r="199" spans="1:11" x14ac:dyDescent="0.25">
      <c r="A199" s="143" t="s">
        <v>895</v>
      </c>
      <c r="B199" s="143" t="s">
        <v>312</v>
      </c>
      <c r="C199" s="143">
        <v>90</v>
      </c>
      <c r="D199" s="143">
        <v>80</v>
      </c>
      <c r="E199" s="143" t="s">
        <v>1031</v>
      </c>
      <c r="F199" s="143">
        <v>5</v>
      </c>
      <c r="G199" s="143">
        <v>4</v>
      </c>
      <c r="H199" s="143" t="s">
        <v>287</v>
      </c>
      <c r="I199" s="143" t="s">
        <v>287</v>
      </c>
      <c r="J199" s="143">
        <v>2</v>
      </c>
      <c r="K199" s="143">
        <v>3</v>
      </c>
    </row>
    <row r="200" spans="1:11" x14ac:dyDescent="0.25">
      <c r="A200" s="143" t="s">
        <v>851</v>
      </c>
      <c r="B200" s="143" t="s">
        <v>312</v>
      </c>
      <c r="C200" s="143">
        <v>90</v>
      </c>
      <c r="D200" s="143">
        <v>80</v>
      </c>
      <c r="E200" s="143" t="s">
        <v>1031</v>
      </c>
      <c r="F200" s="143">
        <v>5</v>
      </c>
      <c r="G200" s="143">
        <v>4</v>
      </c>
      <c r="H200" s="143" t="s">
        <v>287</v>
      </c>
      <c r="I200" s="143" t="s">
        <v>288</v>
      </c>
      <c r="J200" s="143">
        <v>2</v>
      </c>
      <c r="K200" s="143">
        <v>3</v>
      </c>
    </row>
    <row r="201" spans="1:11" x14ac:dyDescent="0.25">
      <c r="A201" s="143" t="s">
        <v>852</v>
      </c>
      <c r="B201" s="143" t="s">
        <v>312</v>
      </c>
      <c r="C201" s="143">
        <v>90</v>
      </c>
      <c r="D201" s="143">
        <v>80</v>
      </c>
      <c r="E201" s="143" t="s">
        <v>1031</v>
      </c>
      <c r="F201" s="143">
        <v>5</v>
      </c>
      <c r="G201" s="143">
        <v>4</v>
      </c>
      <c r="H201" s="143" t="s">
        <v>287</v>
      </c>
      <c r="I201" s="143" t="s">
        <v>288</v>
      </c>
      <c r="J201" s="143">
        <v>2</v>
      </c>
      <c r="K201" s="143">
        <v>3</v>
      </c>
    </row>
    <row r="202" spans="1:11" x14ac:dyDescent="0.25">
      <c r="A202" s="143" t="s">
        <v>853</v>
      </c>
      <c r="B202" s="143" t="s">
        <v>312</v>
      </c>
      <c r="C202" s="143">
        <v>90</v>
      </c>
      <c r="D202" s="143">
        <v>80</v>
      </c>
      <c r="E202" s="143" t="s">
        <v>1031</v>
      </c>
      <c r="F202" s="143">
        <v>5</v>
      </c>
      <c r="G202" s="143">
        <v>4</v>
      </c>
      <c r="H202" s="143" t="s">
        <v>287</v>
      </c>
      <c r="I202" s="143" t="s">
        <v>288</v>
      </c>
      <c r="J202" s="143">
        <v>2</v>
      </c>
      <c r="K202" s="143">
        <v>3</v>
      </c>
    </row>
    <row r="203" spans="1:11" x14ac:dyDescent="0.25">
      <c r="A203" s="143" t="s">
        <v>854</v>
      </c>
      <c r="B203" s="143" t="s">
        <v>312</v>
      </c>
      <c r="C203" s="143">
        <v>90</v>
      </c>
      <c r="D203" s="143">
        <v>80</v>
      </c>
      <c r="E203" s="143" t="s">
        <v>1031</v>
      </c>
      <c r="F203" s="143">
        <v>5</v>
      </c>
      <c r="G203" s="143">
        <v>4</v>
      </c>
      <c r="H203" s="143" t="s">
        <v>287</v>
      </c>
      <c r="I203" s="143" t="s">
        <v>288</v>
      </c>
      <c r="J203" s="143">
        <v>2</v>
      </c>
      <c r="K203" s="143">
        <v>3</v>
      </c>
    </row>
    <row r="204" spans="1:11" x14ac:dyDescent="0.25">
      <c r="A204" s="143" t="s">
        <v>855</v>
      </c>
      <c r="B204" s="143" t="s">
        <v>312</v>
      </c>
      <c r="C204" s="143">
        <v>90</v>
      </c>
      <c r="D204" s="143">
        <v>80</v>
      </c>
      <c r="E204" s="143" t="s">
        <v>1031</v>
      </c>
      <c r="F204" s="143">
        <v>5</v>
      </c>
      <c r="G204" s="143">
        <v>4</v>
      </c>
      <c r="H204" s="143" t="s">
        <v>287</v>
      </c>
      <c r="I204" s="143" t="s">
        <v>288</v>
      </c>
      <c r="J204" s="143">
        <v>2</v>
      </c>
      <c r="K204" s="143">
        <v>3</v>
      </c>
    </row>
    <row r="205" spans="1:11" x14ac:dyDescent="0.25">
      <c r="A205" s="143" t="s">
        <v>856</v>
      </c>
      <c r="B205" s="143" t="s">
        <v>312</v>
      </c>
      <c r="C205" s="143">
        <v>90</v>
      </c>
      <c r="D205" s="143">
        <v>80</v>
      </c>
      <c r="E205" s="143" t="s">
        <v>1035</v>
      </c>
      <c r="F205" s="143">
        <v>7</v>
      </c>
      <c r="G205" s="143">
        <v>7</v>
      </c>
      <c r="H205" s="143" t="s">
        <v>287</v>
      </c>
      <c r="I205" s="143" t="s">
        <v>288</v>
      </c>
      <c r="J205" s="143">
        <v>2</v>
      </c>
      <c r="K205" s="143">
        <v>2</v>
      </c>
    </row>
    <row r="206" spans="1:11" x14ac:dyDescent="0.25">
      <c r="A206" s="143" t="s">
        <v>857</v>
      </c>
      <c r="B206" s="143" t="s">
        <v>312</v>
      </c>
      <c r="C206" s="143">
        <v>90</v>
      </c>
      <c r="D206" s="143">
        <v>80</v>
      </c>
      <c r="E206" s="143" t="s">
        <v>1035</v>
      </c>
      <c r="F206" s="143">
        <v>7</v>
      </c>
      <c r="G206" s="143">
        <v>7</v>
      </c>
      <c r="H206" s="143" t="s">
        <v>287</v>
      </c>
      <c r="I206" s="143" t="s">
        <v>288</v>
      </c>
      <c r="J206" s="143">
        <v>2</v>
      </c>
      <c r="K206" s="143">
        <v>3</v>
      </c>
    </row>
    <row r="207" spans="1:11" x14ac:dyDescent="0.25">
      <c r="A207" s="143" t="s">
        <v>225</v>
      </c>
      <c r="B207" s="143" t="s">
        <v>312</v>
      </c>
      <c r="C207" s="143">
        <v>90</v>
      </c>
      <c r="D207" s="143">
        <v>80</v>
      </c>
      <c r="E207" s="143" t="s">
        <v>1035</v>
      </c>
      <c r="F207" s="143">
        <v>7</v>
      </c>
      <c r="G207" s="143">
        <v>7</v>
      </c>
      <c r="H207" s="143" t="s">
        <v>287</v>
      </c>
      <c r="I207" s="143" t="s">
        <v>288</v>
      </c>
      <c r="J207" s="143">
        <v>2</v>
      </c>
      <c r="K207" s="143">
        <v>3</v>
      </c>
    </row>
    <row r="208" spans="1:11" x14ac:dyDescent="0.25">
      <c r="A208" s="143" t="s">
        <v>226</v>
      </c>
      <c r="B208" s="143" t="s">
        <v>312</v>
      </c>
      <c r="C208" s="143">
        <v>100</v>
      </c>
      <c r="D208" s="143">
        <v>80</v>
      </c>
      <c r="E208" s="143" t="s">
        <v>1051</v>
      </c>
      <c r="F208" s="143">
        <v>9</v>
      </c>
      <c r="G208" s="143">
        <v>7</v>
      </c>
      <c r="H208" s="143" t="s">
        <v>287</v>
      </c>
      <c r="I208" s="143" t="s">
        <v>288</v>
      </c>
      <c r="J208" s="143">
        <v>2</v>
      </c>
      <c r="K208" s="143">
        <v>4</v>
      </c>
    </row>
    <row r="209" spans="1:11" x14ac:dyDescent="0.25">
      <c r="A209" s="143" t="s">
        <v>227</v>
      </c>
      <c r="B209" s="143" t="s">
        <v>312</v>
      </c>
      <c r="C209" s="143">
        <v>100</v>
      </c>
      <c r="D209" s="143">
        <v>80</v>
      </c>
      <c r="E209" s="143" t="s">
        <v>1038</v>
      </c>
      <c r="F209" s="143">
        <v>11</v>
      </c>
      <c r="G209" s="143">
        <v>9</v>
      </c>
      <c r="H209" s="143" t="s">
        <v>287</v>
      </c>
      <c r="I209" s="143" t="s">
        <v>288</v>
      </c>
      <c r="J209" s="143">
        <v>3</v>
      </c>
      <c r="K209" s="143">
        <v>4</v>
      </c>
    </row>
    <row r="210" spans="1:11" x14ac:dyDescent="0.25">
      <c r="A210" s="143" t="s">
        <v>858</v>
      </c>
      <c r="B210" s="143" t="s">
        <v>312</v>
      </c>
      <c r="C210" s="143">
        <v>120</v>
      </c>
      <c r="D210" s="143">
        <v>80</v>
      </c>
      <c r="E210" s="143" t="s">
        <v>1041</v>
      </c>
      <c r="F210" s="143">
        <v>10</v>
      </c>
      <c r="G210" s="143">
        <v>7</v>
      </c>
      <c r="H210" s="143" t="s">
        <v>287</v>
      </c>
      <c r="I210" s="143" t="s">
        <v>288</v>
      </c>
      <c r="J210" s="143">
        <v>2</v>
      </c>
      <c r="K210" s="143">
        <v>4</v>
      </c>
    </row>
    <row r="211" spans="1:11" x14ac:dyDescent="0.25">
      <c r="A211" s="143" t="s">
        <v>859</v>
      </c>
      <c r="B211" s="143" t="s">
        <v>312</v>
      </c>
      <c r="C211" s="143">
        <v>120</v>
      </c>
      <c r="D211" s="143">
        <v>80</v>
      </c>
      <c r="E211" s="143" t="s">
        <v>1038</v>
      </c>
      <c r="F211" s="143">
        <v>12</v>
      </c>
      <c r="G211" s="143">
        <v>8</v>
      </c>
      <c r="H211" s="143" t="s">
        <v>287</v>
      </c>
      <c r="I211" s="143" t="s">
        <v>288</v>
      </c>
      <c r="J211" s="143">
        <v>3</v>
      </c>
      <c r="K211" s="143">
        <v>5</v>
      </c>
    </row>
    <row r="212" spans="1:11" x14ac:dyDescent="0.25">
      <c r="A212" s="143" t="s">
        <v>860</v>
      </c>
      <c r="B212" s="143" t="s">
        <v>312</v>
      </c>
      <c r="C212" s="143">
        <v>130</v>
      </c>
      <c r="D212" s="143">
        <v>80</v>
      </c>
      <c r="E212" s="143" t="s">
        <v>1039</v>
      </c>
      <c r="F212" s="143">
        <v>13</v>
      </c>
      <c r="G212" s="143">
        <v>8</v>
      </c>
      <c r="H212" s="143" t="s">
        <v>287</v>
      </c>
      <c r="I212" s="143" t="s">
        <v>288</v>
      </c>
      <c r="J212" s="143">
        <v>3</v>
      </c>
      <c r="K212" s="143">
        <v>5</v>
      </c>
    </row>
    <row r="213" spans="1:11" x14ac:dyDescent="0.25">
      <c r="A213" s="143" t="s">
        <v>895</v>
      </c>
      <c r="B213" s="143" t="s">
        <v>313</v>
      </c>
      <c r="C213" s="143">
        <v>90</v>
      </c>
      <c r="D213" s="143">
        <v>80</v>
      </c>
      <c r="E213" s="143" t="s">
        <v>1031</v>
      </c>
      <c r="F213" s="143">
        <v>5</v>
      </c>
      <c r="G213" s="143">
        <v>4</v>
      </c>
      <c r="H213" s="143" t="s">
        <v>287</v>
      </c>
      <c r="I213" s="143" t="s">
        <v>899</v>
      </c>
      <c r="J213" s="143">
        <v>2</v>
      </c>
      <c r="K213" s="143">
        <v>3</v>
      </c>
    </row>
    <row r="214" spans="1:11" x14ac:dyDescent="0.25">
      <c r="A214" s="143" t="s">
        <v>851</v>
      </c>
      <c r="B214" s="143" t="s">
        <v>313</v>
      </c>
      <c r="C214" s="143">
        <v>90</v>
      </c>
      <c r="D214" s="143">
        <v>80</v>
      </c>
      <c r="E214" s="143" t="s">
        <v>1031</v>
      </c>
      <c r="F214" s="143">
        <v>5</v>
      </c>
      <c r="G214" s="143">
        <v>4</v>
      </c>
      <c r="H214" s="143" t="s">
        <v>287</v>
      </c>
      <c r="I214" s="143" t="s">
        <v>288</v>
      </c>
      <c r="J214" s="143">
        <v>2</v>
      </c>
      <c r="K214" s="143">
        <v>3</v>
      </c>
    </row>
    <row r="215" spans="1:11" x14ac:dyDescent="0.25">
      <c r="A215" s="143" t="s">
        <v>852</v>
      </c>
      <c r="B215" s="143" t="s">
        <v>313</v>
      </c>
      <c r="C215" s="143">
        <v>90</v>
      </c>
      <c r="D215" s="143">
        <v>80</v>
      </c>
      <c r="E215" s="143" t="s">
        <v>1031</v>
      </c>
      <c r="F215" s="143">
        <v>5</v>
      </c>
      <c r="G215" s="143">
        <v>4</v>
      </c>
      <c r="H215" s="143" t="s">
        <v>287</v>
      </c>
      <c r="I215" s="143" t="s">
        <v>288</v>
      </c>
      <c r="J215" s="143">
        <v>2</v>
      </c>
      <c r="K215" s="143">
        <v>3</v>
      </c>
    </row>
    <row r="216" spans="1:11" x14ac:dyDescent="0.25">
      <c r="A216" s="143" t="s">
        <v>853</v>
      </c>
      <c r="B216" s="143" t="s">
        <v>313</v>
      </c>
      <c r="C216" s="143">
        <v>90</v>
      </c>
      <c r="D216" s="143">
        <v>80</v>
      </c>
      <c r="E216" s="143" t="s">
        <v>1031</v>
      </c>
      <c r="F216" s="143">
        <v>5</v>
      </c>
      <c r="G216" s="143">
        <v>4</v>
      </c>
      <c r="H216" s="143" t="s">
        <v>287</v>
      </c>
      <c r="I216" s="143" t="s">
        <v>288</v>
      </c>
      <c r="J216" s="143">
        <v>2</v>
      </c>
      <c r="K216" s="143">
        <v>3</v>
      </c>
    </row>
    <row r="217" spans="1:11" x14ac:dyDescent="0.25">
      <c r="A217" s="143" t="s">
        <v>854</v>
      </c>
      <c r="B217" s="143" t="s">
        <v>313</v>
      </c>
      <c r="C217" s="144">
        <v>90</v>
      </c>
      <c r="D217" s="144">
        <v>80</v>
      </c>
      <c r="E217" s="143" t="s">
        <v>1031</v>
      </c>
      <c r="F217" s="143">
        <v>5</v>
      </c>
      <c r="G217" s="143">
        <v>4</v>
      </c>
      <c r="H217" s="143" t="s">
        <v>287</v>
      </c>
      <c r="I217" s="143" t="s">
        <v>288</v>
      </c>
      <c r="J217" s="143">
        <v>2</v>
      </c>
      <c r="K217" s="143">
        <v>3</v>
      </c>
    </row>
    <row r="218" spans="1:11" x14ac:dyDescent="0.25">
      <c r="A218" s="143" t="s">
        <v>855</v>
      </c>
      <c r="B218" s="143" t="s">
        <v>313</v>
      </c>
      <c r="C218" s="143">
        <v>90</v>
      </c>
      <c r="D218" s="143">
        <v>80</v>
      </c>
      <c r="E218" s="143" t="s">
        <v>1031</v>
      </c>
      <c r="F218" s="143">
        <v>5</v>
      </c>
      <c r="G218" s="143">
        <v>4</v>
      </c>
      <c r="H218" s="143" t="s">
        <v>287</v>
      </c>
      <c r="I218" s="143" t="s">
        <v>288</v>
      </c>
      <c r="J218" s="143">
        <v>2</v>
      </c>
      <c r="K218" s="143">
        <v>3</v>
      </c>
    </row>
    <row r="219" spans="1:11" x14ac:dyDescent="0.25">
      <c r="A219" s="143" t="s">
        <v>856</v>
      </c>
      <c r="B219" s="143" t="s">
        <v>313</v>
      </c>
      <c r="C219" s="143">
        <v>90</v>
      </c>
      <c r="D219" s="143">
        <v>80</v>
      </c>
      <c r="E219" s="143" t="s">
        <v>1040</v>
      </c>
      <c r="F219" s="143">
        <v>8</v>
      </c>
      <c r="G219" s="143">
        <v>7</v>
      </c>
      <c r="H219" s="143" t="s">
        <v>287</v>
      </c>
      <c r="I219" s="143" t="s">
        <v>288</v>
      </c>
      <c r="J219" s="143">
        <v>2</v>
      </c>
      <c r="K219" s="143">
        <v>3</v>
      </c>
    </row>
    <row r="220" spans="1:11" x14ac:dyDescent="0.25">
      <c r="A220" s="143" t="s">
        <v>857</v>
      </c>
      <c r="B220" s="143" t="s">
        <v>313</v>
      </c>
      <c r="C220" s="143">
        <v>90</v>
      </c>
      <c r="D220" s="143">
        <v>80</v>
      </c>
      <c r="E220" s="143" t="s">
        <v>1040</v>
      </c>
      <c r="F220" s="143">
        <v>8</v>
      </c>
      <c r="G220" s="143">
        <v>7</v>
      </c>
      <c r="H220" s="143" t="s">
        <v>287</v>
      </c>
      <c r="I220" s="143" t="s">
        <v>288</v>
      </c>
      <c r="J220" s="143">
        <v>2</v>
      </c>
      <c r="K220" s="143">
        <v>3</v>
      </c>
    </row>
    <row r="221" spans="1:11" x14ac:dyDescent="0.25">
      <c r="A221" s="143" t="s">
        <v>225</v>
      </c>
      <c r="B221" s="143" t="s">
        <v>313</v>
      </c>
      <c r="C221" s="144">
        <v>90</v>
      </c>
      <c r="D221" s="144">
        <v>80</v>
      </c>
      <c r="E221" s="144" t="s">
        <v>1040</v>
      </c>
      <c r="F221" s="144">
        <v>8</v>
      </c>
      <c r="G221" s="144">
        <v>7</v>
      </c>
      <c r="H221" s="144" t="s">
        <v>287</v>
      </c>
      <c r="I221" s="144" t="s">
        <v>288</v>
      </c>
      <c r="J221" s="144">
        <v>2</v>
      </c>
      <c r="K221" s="144">
        <v>3</v>
      </c>
    </row>
    <row r="222" spans="1:11" x14ac:dyDescent="0.25">
      <c r="A222" s="143" t="s">
        <v>226</v>
      </c>
      <c r="B222" s="143" t="s">
        <v>313</v>
      </c>
      <c r="C222" s="143">
        <v>100</v>
      </c>
      <c r="D222" s="143">
        <v>80</v>
      </c>
      <c r="E222" s="143" t="s">
        <v>1039</v>
      </c>
      <c r="F222" s="143">
        <v>12</v>
      </c>
      <c r="G222" s="143">
        <v>9</v>
      </c>
      <c r="H222" s="143" t="s">
        <v>287</v>
      </c>
      <c r="I222" s="143" t="s">
        <v>288</v>
      </c>
      <c r="J222" s="143">
        <v>3</v>
      </c>
      <c r="K222" s="143">
        <v>5</v>
      </c>
    </row>
    <row r="223" spans="1:11" x14ac:dyDescent="0.25">
      <c r="A223" s="143" t="s">
        <v>227</v>
      </c>
      <c r="B223" s="143" t="s">
        <v>313</v>
      </c>
      <c r="C223" s="143">
        <v>100</v>
      </c>
      <c r="D223" s="143">
        <v>80</v>
      </c>
      <c r="E223" s="143" t="s">
        <v>1039</v>
      </c>
      <c r="F223" s="143">
        <v>12</v>
      </c>
      <c r="G223" s="143">
        <v>9</v>
      </c>
      <c r="H223" s="143" t="s">
        <v>287</v>
      </c>
      <c r="I223" s="143" t="s">
        <v>288</v>
      </c>
      <c r="J223" s="143">
        <v>3</v>
      </c>
      <c r="K223" s="143">
        <v>5</v>
      </c>
    </row>
    <row r="224" spans="1:11" x14ac:dyDescent="0.25">
      <c r="A224" s="143" t="s">
        <v>858</v>
      </c>
      <c r="B224" s="143" t="s">
        <v>313</v>
      </c>
      <c r="C224" s="143">
        <v>120</v>
      </c>
      <c r="D224" s="143">
        <v>80</v>
      </c>
      <c r="E224" s="143" t="s">
        <v>1052</v>
      </c>
      <c r="F224" s="143">
        <v>11</v>
      </c>
      <c r="G224" s="143">
        <v>8</v>
      </c>
      <c r="H224" s="143" t="s">
        <v>287</v>
      </c>
      <c r="I224" s="143" t="s">
        <v>288</v>
      </c>
      <c r="J224" s="143">
        <v>3</v>
      </c>
      <c r="K224" s="143">
        <v>4</v>
      </c>
    </row>
    <row r="225" spans="1:11" x14ac:dyDescent="0.25">
      <c r="A225" s="143" t="s">
        <v>859</v>
      </c>
      <c r="B225" s="143" t="s">
        <v>313</v>
      </c>
      <c r="C225" s="143">
        <v>120</v>
      </c>
      <c r="D225" s="143">
        <v>80</v>
      </c>
      <c r="E225" s="143" t="s">
        <v>1058</v>
      </c>
      <c r="F225" s="143">
        <v>14</v>
      </c>
      <c r="G225" s="143">
        <v>9</v>
      </c>
      <c r="H225" s="143" t="s">
        <v>287</v>
      </c>
      <c r="I225" s="143" t="s">
        <v>288</v>
      </c>
      <c r="J225" s="143">
        <v>3</v>
      </c>
      <c r="K225" s="143">
        <v>6</v>
      </c>
    </row>
    <row r="226" spans="1:11" x14ac:dyDescent="0.25">
      <c r="A226" s="143" t="s">
        <v>860</v>
      </c>
      <c r="B226" s="143" t="s">
        <v>313</v>
      </c>
      <c r="C226" s="143">
        <v>130</v>
      </c>
      <c r="D226" s="143">
        <v>80</v>
      </c>
      <c r="E226" s="143" t="s">
        <v>1048</v>
      </c>
      <c r="F226" s="143">
        <v>15</v>
      </c>
      <c r="G226" s="143">
        <v>8</v>
      </c>
      <c r="H226" s="143" t="s">
        <v>287</v>
      </c>
      <c r="I226" s="143" t="s">
        <v>288</v>
      </c>
      <c r="J226" s="143">
        <v>3</v>
      </c>
      <c r="K226" s="143">
        <v>6</v>
      </c>
    </row>
    <row r="227" spans="1:11" x14ac:dyDescent="0.25">
      <c r="A227" s="143" t="s">
        <v>895</v>
      </c>
      <c r="B227" s="143" t="s">
        <v>881</v>
      </c>
      <c r="C227" s="143">
        <v>90</v>
      </c>
      <c r="D227" s="143">
        <v>80</v>
      </c>
      <c r="E227" s="143" t="s">
        <v>1031</v>
      </c>
      <c r="F227" s="143">
        <v>5</v>
      </c>
      <c r="G227" s="143">
        <v>4</v>
      </c>
      <c r="H227" s="143" t="s">
        <v>287</v>
      </c>
      <c r="I227" s="143" t="s">
        <v>290</v>
      </c>
      <c r="J227" s="143">
        <v>2</v>
      </c>
      <c r="K227" s="143">
        <v>3</v>
      </c>
    </row>
    <row r="228" spans="1:11" x14ac:dyDescent="0.25">
      <c r="A228" s="143" t="s">
        <v>851</v>
      </c>
      <c r="B228" s="143" t="s">
        <v>881</v>
      </c>
      <c r="C228" s="143">
        <v>90</v>
      </c>
      <c r="D228" s="143">
        <v>80</v>
      </c>
      <c r="E228" s="143" t="s">
        <v>1031</v>
      </c>
      <c r="F228" s="143">
        <v>5</v>
      </c>
      <c r="G228" s="143">
        <v>4</v>
      </c>
      <c r="H228" s="143" t="s">
        <v>287</v>
      </c>
      <c r="I228" s="143" t="s">
        <v>288</v>
      </c>
      <c r="J228" s="143">
        <v>2</v>
      </c>
      <c r="K228" s="143">
        <v>3</v>
      </c>
    </row>
    <row r="229" spans="1:11" x14ac:dyDescent="0.25">
      <c r="A229" s="143" t="s">
        <v>852</v>
      </c>
      <c r="B229" s="143" t="s">
        <v>881</v>
      </c>
      <c r="C229" s="143">
        <v>90</v>
      </c>
      <c r="D229" s="143">
        <v>80</v>
      </c>
      <c r="E229" s="143" t="s">
        <v>1031</v>
      </c>
      <c r="F229" s="143">
        <v>5</v>
      </c>
      <c r="G229" s="143">
        <v>4</v>
      </c>
      <c r="H229" s="143" t="s">
        <v>287</v>
      </c>
      <c r="I229" s="143" t="s">
        <v>288</v>
      </c>
      <c r="J229" s="143">
        <v>2</v>
      </c>
      <c r="K229" s="143">
        <v>3</v>
      </c>
    </row>
    <row r="230" spans="1:11" x14ac:dyDescent="0.25">
      <c r="A230" s="143" t="s">
        <v>853</v>
      </c>
      <c r="B230" s="143" t="s">
        <v>881</v>
      </c>
      <c r="C230" s="144">
        <v>90</v>
      </c>
      <c r="D230" s="144">
        <v>80</v>
      </c>
      <c r="E230" s="143" t="s">
        <v>1031</v>
      </c>
      <c r="F230" s="143">
        <v>5</v>
      </c>
      <c r="G230" s="143">
        <v>4</v>
      </c>
      <c r="H230" s="143" t="s">
        <v>287</v>
      </c>
      <c r="I230" s="143" t="s">
        <v>288</v>
      </c>
      <c r="J230" s="143">
        <v>2</v>
      </c>
      <c r="K230" s="143">
        <v>3</v>
      </c>
    </row>
    <row r="231" spans="1:11" x14ac:dyDescent="0.25">
      <c r="A231" s="143" t="s">
        <v>854</v>
      </c>
      <c r="B231" s="143" t="s">
        <v>881</v>
      </c>
      <c r="C231" s="143">
        <v>90</v>
      </c>
      <c r="D231" s="143">
        <v>80</v>
      </c>
      <c r="E231" s="143" t="s">
        <v>1031</v>
      </c>
      <c r="F231" s="143">
        <v>5</v>
      </c>
      <c r="G231" s="143">
        <v>4</v>
      </c>
      <c r="H231" s="143" t="s">
        <v>287</v>
      </c>
      <c r="I231" s="143" t="s">
        <v>288</v>
      </c>
      <c r="J231" s="143">
        <v>2</v>
      </c>
      <c r="K231" s="143">
        <v>3</v>
      </c>
    </row>
    <row r="232" spans="1:11" x14ac:dyDescent="0.25">
      <c r="A232" s="143" t="s">
        <v>855</v>
      </c>
      <c r="B232" s="143" t="s">
        <v>881</v>
      </c>
      <c r="C232" s="144">
        <v>90</v>
      </c>
      <c r="D232" s="144">
        <v>80</v>
      </c>
      <c r="E232" s="143" t="s">
        <v>1059</v>
      </c>
      <c r="F232" s="143">
        <v>6</v>
      </c>
      <c r="G232" s="143">
        <v>5</v>
      </c>
      <c r="H232" s="143" t="s">
        <v>287</v>
      </c>
      <c r="I232" s="143" t="s">
        <v>288</v>
      </c>
      <c r="J232" s="143">
        <v>2</v>
      </c>
      <c r="K232" s="143">
        <v>2</v>
      </c>
    </row>
    <row r="233" spans="1:11" x14ac:dyDescent="0.25">
      <c r="A233" s="143" t="s">
        <v>856</v>
      </c>
      <c r="B233" s="143" t="s">
        <v>881</v>
      </c>
      <c r="C233" s="144">
        <v>90</v>
      </c>
      <c r="D233" s="144">
        <v>80</v>
      </c>
      <c r="E233" s="143" t="s">
        <v>1040</v>
      </c>
      <c r="F233" s="143">
        <v>8</v>
      </c>
      <c r="G233" s="143">
        <v>7</v>
      </c>
      <c r="H233" s="143" t="s">
        <v>287</v>
      </c>
      <c r="I233" s="143" t="s">
        <v>288</v>
      </c>
      <c r="J233" s="143">
        <v>2</v>
      </c>
      <c r="K233" s="143">
        <v>3</v>
      </c>
    </row>
    <row r="234" spans="1:11" x14ac:dyDescent="0.25">
      <c r="A234" s="143" t="s">
        <v>857</v>
      </c>
      <c r="B234" s="143" t="s">
        <v>881</v>
      </c>
      <c r="C234" s="143">
        <v>90</v>
      </c>
      <c r="D234" s="143">
        <v>80</v>
      </c>
      <c r="E234" s="143" t="s">
        <v>1040</v>
      </c>
      <c r="F234" s="143">
        <v>8</v>
      </c>
      <c r="G234" s="143">
        <v>7</v>
      </c>
      <c r="H234" s="143" t="s">
        <v>287</v>
      </c>
      <c r="I234" s="143" t="s">
        <v>288</v>
      </c>
      <c r="J234" s="143">
        <v>2</v>
      </c>
      <c r="K234" s="143">
        <v>3</v>
      </c>
    </row>
    <row r="235" spans="1:11" x14ac:dyDescent="0.25">
      <c r="A235" s="143" t="s">
        <v>225</v>
      </c>
      <c r="B235" s="143" t="s">
        <v>881</v>
      </c>
      <c r="C235" s="144">
        <v>90</v>
      </c>
      <c r="D235" s="144">
        <v>80</v>
      </c>
      <c r="E235" s="143" t="s">
        <v>1057</v>
      </c>
      <c r="F235" s="143">
        <v>8</v>
      </c>
      <c r="G235" s="143">
        <v>8</v>
      </c>
      <c r="H235" s="143" t="s">
        <v>287</v>
      </c>
      <c r="I235" s="143" t="s">
        <v>288</v>
      </c>
      <c r="J235" s="143">
        <v>3</v>
      </c>
      <c r="K235" s="143">
        <v>3</v>
      </c>
    </row>
    <row r="236" spans="1:11" x14ac:dyDescent="0.25">
      <c r="A236" s="143" t="s">
        <v>226</v>
      </c>
      <c r="B236" s="143" t="s">
        <v>881</v>
      </c>
      <c r="C236" s="143">
        <v>100</v>
      </c>
      <c r="D236" s="143">
        <v>80</v>
      </c>
      <c r="E236" s="143" t="s">
        <v>1032</v>
      </c>
      <c r="F236" s="143">
        <v>5</v>
      </c>
      <c r="G236" s="143">
        <v>4</v>
      </c>
      <c r="H236" s="143" t="s">
        <v>287</v>
      </c>
      <c r="I236" s="143" t="s">
        <v>288</v>
      </c>
      <c r="J236" s="143">
        <v>2</v>
      </c>
      <c r="K236" s="143">
        <v>3</v>
      </c>
    </row>
    <row r="237" spans="1:11" x14ac:dyDescent="0.25">
      <c r="A237" s="143" t="s">
        <v>227</v>
      </c>
      <c r="B237" s="143" t="s">
        <v>881</v>
      </c>
      <c r="C237" s="143">
        <v>100</v>
      </c>
      <c r="D237" s="143">
        <v>80</v>
      </c>
      <c r="E237" s="143" t="s">
        <v>1050</v>
      </c>
      <c r="F237" s="143">
        <v>7</v>
      </c>
      <c r="G237" s="143">
        <v>5</v>
      </c>
      <c r="H237" s="143" t="s">
        <v>287</v>
      </c>
      <c r="I237" s="143" t="s">
        <v>288</v>
      </c>
      <c r="J237" s="143">
        <v>2</v>
      </c>
      <c r="K237" s="143">
        <v>4</v>
      </c>
    </row>
    <row r="238" spans="1:11" x14ac:dyDescent="0.25">
      <c r="A238" s="143" t="s">
        <v>858</v>
      </c>
      <c r="B238" s="143" t="s">
        <v>881</v>
      </c>
      <c r="C238" s="143">
        <v>120</v>
      </c>
      <c r="D238" s="143">
        <v>80</v>
      </c>
      <c r="E238" s="143" t="s">
        <v>1032</v>
      </c>
      <c r="F238" s="143">
        <v>5</v>
      </c>
      <c r="G238" s="143">
        <v>4</v>
      </c>
      <c r="H238" s="143" t="s">
        <v>287</v>
      </c>
      <c r="I238" s="143" t="s">
        <v>288</v>
      </c>
      <c r="J238" s="143">
        <v>2</v>
      </c>
      <c r="K238" s="143">
        <v>3</v>
      </c>
    </row>
    <row r="239" spans="1:11" x14ac:dyDescent="0.25">
      <c r="A239" s="143" t="s">
        <v>859</v>
      </c>
      <c r="B239" s="143" t="s">
        <v>881</v>
      </c>
      <c r="C239" s="143">
        <v>120</v>
      </c>
      <c r="D239" s="143">
        <v>80</v>
      </c>
      <c r="E239" s="143" t="s">
        <v>1034</v>
      </c>
      <c r="F239" s="143">
        <v>6</v>
      </c>
      <c r="G239" s="143">
        <v>4</v>
      </c>
      <c r="H239" s="143" t="s">
        <v>287</v>
      </c>
      <c r="I239" s="143" t="s">
        <v>288</v>
      </c>
      <c r="J239" s="143">
        <v>2</v>
      </c>
      <c r="K239" s="143">
        <v>4</v>
      </c>
    </row>
    <row r="240" spans="1:11" x14ac:dyDescent="0.25">
      <c r="A240" s="143" t="s">
        <v>860</v>
      </c>
      <c r="B240" s="143" t="s">
        <v>881</v>
      </c>
      <c r="C240" s="143">
        <v>130</v>
      </c>
      <c r="D240" s="143">
        <v>80</v>
      </c>
      <c r="E240" s="143" t="s">
        <v>1050</v>
      </c>
      <c r="F240" s="143">
        <v>7</v>
      </c>
      <c r="G240" s="143">
        <v>5</v>
      </c>
      <c r="H240" s="143" t="s">
        <v>287</v>
      </c>
      <c r="I240" s="143" t="s">
        <v>288</v>
      </c>
      <c r="J240" s="143">
        <v>1</v>
      </c>
      <c r="K240" s="143">
        <v>5</v>
      </c>
    </row>
    <row r="241" spans="1:11" x14ac:dyDescent="0.25">
      <c r="A241" s="143" t="s">
        <v>895</v>
      </c>
      <c r="B241" s="143" t="s">
        <v>314</v>
      </c>
      <c r="C241" s="143">
        <v>90</v>
      </c>
      <c r="D241" s="143">
        <v>80</v>
      </c>
      <c r="E241" s="143" t="s">
        <v>1031</v>
      </c>
      <c r="F241" s="143">
        <v>5</v>
      </c>
      <c r="G241" s="143">
        <v>4</v>
      </c>
      <c r="H241" s="143" t="s">
        <v>287</v>
      </c>
      <c r="I241" s="143" t="s">
        <v>288</v>
      </c>
      <c r="J241" s="143">
        <v>2</v>
      </c>
      <c r="K241" s="143">
        <v>3</v>
      </c>
    </row>
    <row r="242" spans="1:11" x14ac:dyDescent="0.25">
      <c r="A242" s="143" t="s">
        <v>851</v>
      </c>
      <c r="B242" s="143" t="s">
        <v>314</v>
      </c>
      <c r="C242" s="143">
        <v>90</v>
      </c>
      <c r="D242" s="143">
        <v>80</v>
      </c>
      <c r="E242" s="143" t="s">
        <v>1031</v>
      </c>
      <c r="F242" s="143">
        <v>5</v>
      </c>
      <c r="G242" s="143">
        <v>4</v>
      </c>
      <c r="H242" s="143" t="s">
        <v>287</v>
      </c>
      <c r="I242" s="143" t="s">
        <v>288</v>
      </c>
      <c r="J242" s="143">
        <v>2</v>
      </c>
      <c r="K242" s="143">
        <v>3</v>
      </c>
    </row>
    <row r="243" spans="1:11" x14ac:dyDescent="0.25">
      <c r="A243" s="143" t="s">
        <v>852</v>
      </c>
      <c r="B243" s="143" t="s">
        <v>314</v>
      </c>
      <c r="C243" s="143">
        <v>90</v>
      </c>
      <c r="D243" s="143">
        <v>80</v>
      </c>
      <c r="E243" s="143" t="s">
        <v>1031</v>
      </c>
      <c r="F243" s="143">
        <v>5</v>
      </c>
      <c r="G243" s="143">
        <v>4</v>
      </c>
      <c r="H243" s="143" t="s">
        <v>287</v>
      </c>
      <c r="I243" s="143" t="s">
        <v>288</v>
      </c>
      <c r="J243" s="143">
        <v>2</v>
      </c>
      <c r="K243" s="143">
        <v>3</v>
      </c>
    </row>
    <row r="244" spans="1:11" x14ac:dyDescent="0.25">
      <c r="A244" s="143" t="s">
        <v>853</v>
      </c>
      <c r="B244" s="143" t="s">
        <v>314</v>
      </c>
      <c r="C244" s="143">
        <v>90</v>
      </c>
      <c r="D244" s="143">
        <v>80</v>
      </c>
      <c r="E244" s="143" t="s">
        <v>1031</v>
      </c>
      <c r="F244" s="143">
        <v>5</v>
      </c>
      <c r="G244" s="143">
        <v>4</v>
      </c>
      <c r="H244" s="143" t="s">
        <v>287</v>
      </c>
      <c r="I244" s="143" t="s">
        <v>288</v>
      </c>
      <c r="J244" s="143">
        <v>2</v>
      </c>
      <c r="K244" s="143">
        <v>3</v>
      </c>
    </row>
    <row r="245" spans="1:11" x14ac:dyDescent="0.25">
      <c r="A245" s="143" t="s">
        <v>854</v>
      </c>
      <c r="B245" s="143" t="s">
        <v>314</v>
      </c>
      <c r="C245" s="143">
        <v>90</v>
      </c>
      <c r="D245" s="143">
        <v>80</v>
      </c>
      <c r="E245" s="143" t="s">
        <v>1031</v>
      </c>
      <c r="F245" s="143">
        <v>5</v>
      </c>
      <c r="G245" s="143">
        <v>4</v>
      </c>
      <c r="H245" s="143" t="s">
        <v>287</v>
      </c>
      <c r="I245" s="143" t="s">
        <v>288</v>
      </c>
      <c r="J245" s="143">
        <v>2</v>
      </c>
      <c r="K245" s="143">
        <v>3</v>
      </c>
    </row>
    <row r="246" spans="1:11" x14ac:dyDescent="0.25">
      <c r="A246" s="143" t="s">
        <v>855</v>
      </c>
      <c r="B246" s="143" t="s">
        <v>314</v>
      </c>
      <c r="C246" s="143">
        <v>90</v>
      </c>
      <c r="D246" s="143">
        <v>80</v>
      </c>
      <c r="E246" s="143" t="s">
        <v>1031</v>
      </c>
      <c r="F246" s="143">
        <v>5</v>
      </c>
      <c r="G246" s="143">
        <v>4</v>
      </c>
      <c r="H246" s="143" t="s">
        <v>287</v>
      </c>
      <c r="I246" s="143" t="s">
        <v>288</v>
      </c>
      <c r="J246" s="143">
        <v>2</v>
      </c>
      <c r="K246" s="143">
        <v>3</v>
      </c>
    </row>
    <row r="247" spans="1:11" x14ac:dyDescent="0.25">
      <c r="A247" s="143" t="s">
        <v>856</v>
      </c>
      <c r="B247" s="143" t="s">
        <v>314</v>
      </c>
      <c r="C247" s="143">
        <v>90</v>
      </c>
      <c r="D247" s="143">
        <v>80</v>
      </c>
      <c r="E247" s="143" t="s">
        <v>1031</v>
      </c>
      <c r="F247" s="143">
        <v>5</v>
      </c>
      <c r="G247" s="143">
        <v>4</v>
      </c>
      <c r="H247" s="143" t="s">
        <v>287</v>
      </c>
      <c r="I247" s="143" t="s">
        <v>288</v>
      </c>
      <c r="J247" s="143">
        <v>2</v>
      </c>
      <c r="K247" s="143">
        <v>3</v>
      </c>
    </row>
    <row r="248" spans="1:11" x14ac:dyDescent="0.25">
      <c r="A248" s="143" t="s">
        <v>857</v>
      </c>
      <c r="B248" s="143" t="s">
        <v>314</v>
      </c>
      <c r="C248" s="143">
        <v>90</v>
      </c>
      <c r="D248" s="143">
        <v>80</v>
      </c>
      <c r="E248" s="143" t="s">
        <v>1031</v>
      </c>
      <c r="F248" s="143">
        <v>5</v>
      </c>
      <c r="G248" s="143">
        <v>4</v>
      </c>
      <c r="H248" s="143" t="s">
        <v>287</v>
      </c>
      <c r="I248" s="143" t="s">
        <v>288</v>
      </c>
      <c r="J248" s="143">
        <v>2</v>
      </c>
      <c r="K248" s="143">
        <v>3</v>
      </c>
    </row>
    <row r="249" spans="1:11" x14ac:dyDescent="0.25">
      <c r="A249" s="143" t="s">
        <v>225</v>
      </c>
      <c r="B249" s="143" t="s">
        <v>314</v>
      </c>
      <c r="C249" s="143">
        <v>90</v>
      </c>
      <c r="D249" s="143">
        <v>80</v>
      </c>
      <c r="E249" s="143" t="s">
        <v>1031</v>
      </c>
      <c r="F249" s="143">
        <v>5</v>
      </c>
      <c r="G249" s="143">
        <v>4</v>
      </c>
      <c r="H249" s="143" t="s">
        <v>287</v>
      </c>
      <c r="I249" s="143" t="s">
        <v>288</v>
      </c>
      <c r="J249" s="143">
        <v>2</v>
      </c>
      <c r="K249" s="143">
        <v>3</v>
      </c>
    </row>
    <row r="250" spans="1:11" x14ac:dyDescent="0.25">
      <c r="A250" s="143" t="s">
        <v>226</v>
      </c>
      <c r="B250" s="143" t="s">
        <v>314</v>
      </c>
      <c r="C250" s="143">
        <v>100</v>
      </c>
      <c r="D250" s="143">
        <v>80</v>
      </c>
      <c r="E250" s="143" t="s">
        <v>1032</v>
      </c>
      <c r="F250" s="143">
        <v>5</v>
      </c>
      <c r="G250" s="143">
        <v>4</v>
      </c>
      <c r="H250" s="143" t="s">
        <v>287</v>
      </c>
      <c r="I250" s="143" t="s">
        <v>288</v>
      </c>
      <c r="J250" s="143">
        <v>2</v>
      </c>
      <c r="K250" s="143">
        <v>3</v>
      </c>
    </row>
    <row r="251" spans="1:11" x14ac:dyDescent="0.25">
      <c r="A251" s="143" t="s">
        <v>227</v>
      </c>
      <c r="B251" s="143" t="s">
        <v>314</v>
      </c>
      <c r="C251" s="143">
        <v>100</v>
      </c>
      <c r="D251" s="143">
        <v>80</v>
      </c>
      <c r="E251" s="143" t="s">
        <v>1033</v>
      </c>
      <c r="F251" s="143">
        <v>6</v>
      </c>
      <c r="G251" s="143">
        <v>5</v>
      </c>
      <c r="H251" s="143" t="s">
        <v>287</v>
      </c>
      <c r="I251" s="143" t="s">
        <v>288</v>
      </c>
      <c r="J251" s="143">
        <v>2</v>
      </c>
      <c r="K251" s="143">
        <v>4</v>
      </c>
    </row>
    <row r="252" spans="1:11" x14ac:dyDescent="0.25">
      <c r="A252" s="143" t="s">
        <v>858</v>
      </c>
      <c r="B252" s="143" t="s">
        <v>314</v>
      </c>
      <c r="C252" s="144">
        <v>100</v>
      </c>
      <c r="D252" s="144">
        <v>110</v>
      </c>
      <c r="E252" s="143" t="s">
        <v>1037</v>
      </c>
      <c r="F252" s="143">
        <v>7</v>
      </c>
      <c r="G252" s="143">
        <v>8</v>
      </c>
      <c r="H252" s="143" t="s">
        <v>287</v>
      </c>
      <c r="I252" s="143" t="s">
        <v>288</v>
      </c>
      <c r="J252" s="143">
        <v>3</v>
      </c>
      <c r="K252" s="143">
        <v>2</v>
      </c>
    </row>
    <row r="253" spans="1:11" x14ac:dyDescent="0.25">
      <c r="A253" s="143" t="s">
        <v>859</v>
      </c>
      <c r="B253" s="143" t="s">
        <v>314</v>
      </c>
      <c r="C253" s="143">
        <v>100</v>
      </c>
      <c r="D253" s="143">
        <v>110</v>
      </c>
      <c r="E253" s="143" t="s">
        <v>1034</v>
      </c>
      <c r="F253" s="143">
        <v>5</v>
      </c>
      <c r="G253" s="143">
        <v>5</v>
      </c>
      <c r="H253" s="143" t="s">
        <v>287</v>
      </c>
      <c r="I253" s="143" t="s">
        <v>288</v>
      </c>
      <c r="J253" s="143">
        <v>3</v>
      </c>
      <c r="K253" s="143">
        <v>3</v>
      </c>
    </row>
    <row r="254" spans="1:11" x14ac:dyDescent="0.25">
      <c r="A254" s="143" t="s">
        <v>860</v>
      </c>
      <c r="B254" s="143" t="s">
        <v>314</v>
      </c>
      <c r="C254" s="143">
        <v>100</v>
      </c>
      <c r="D254" s="143">
        <v>110</v>
      </c>
      <c r="E254" s="143" t="s">
        <v>1034</v>
      </c>
      <c r="F254" s="143">
        <v>5</v>
      </c>
      <c r="G254" s="143">
        <v>5</v>
      </c>
      <c r="H254" s="143" t="s">
        <v>287</v>
      </c>
      <c r="I254" s="143" t="s">
        <v>288</v>
      </c>
      <c r="J254" s="143">
        <v>3</v>
      </c>
      <c r="K254" s="143">
        <v>3</v>
      </c>
    </row>
    <row r="255" spans="1:11" x14ac:dyDescent="0.25">
      <c r="A255" s="143" t="s">
        <v>895</v>
      </c>
      <c r="B255" s="143" t="s">
        <v>315</v>
      </c>
      <c r="C255" s="143">
        <v>90</v>
      </c>
      <c r="D255" s="143">
        <v>80</v>
      </c>
      <c r="E255" s="143" t="s">
        <v>1031</v>
      </c>
      <c r="F255" s="143">
        <v>5</v>
      </c>
      <c r="G255" s="143">
        <v>4</v>
      </c>
      <c r="H255" s="143" t="s">
        <v>287</v>
      </c>
      <c r="I255" s="143" t="s">
        <v>288</v>
      </c>
      <c r="J255" s="143">
        <v>2</v>
      </c>
      <c r="K255" s="143">
        <v>3</v>
      </c>
    </row>
    <row r="256" spans="1:11" x14ac:dyDescent="0.25">
      <c r="A256" s="143" t="s">
        <v>851</v>
      </c>
      <c r="B256" s="143" t="s">
        <v>315</v>
      </c>
      <c r="C256" s="143">
        <v>90</v>
      </c>
      <c r="D256" s="143">
        <v>80</v>
      </c>
      <c r="E256" s="143" t="s">
        <v>1031</v>
      </c>
      <c r="F256" s="143">
        <v>5</v>
      </c>
      <c r="G256" s="143">
        <v>4</v>
      </c>
      <c r="H256" s="143" t="s">
        <v>287</v>
      </c>
      <c r="I256" s="143" t="s">
        <v>288</v>
      </c>
      <c r="J256" s="143">
        <v>2</v>
      </c>
      <c r="K256" s="143">
        <v>3</v>
      </c>
    </row>
    <row r="257" spans="1:11" x14ac:dyDescent="0.25">
      <c r="A257" s="143" t="s">
        <v>852</v>
      </c>
      <c r="B257" s="143" t="s">
        <v>315</v>
      </c>
      <c r="C257" s="143">
        <v>90</v>
      </c>
      <c r="D257" s="143">
        <v>80</v>
      </c>
      <c r="E257" s="143" t="s">
        <v>1031</v>
      </c>
      <c r="F257" s="143">
        <v>5</v>
      </c>
      <c r="G257" s="143">
        <v>4</v>
      </c>
      <c r="H257" s="143" t="s">
        <v>287</v>
      </c>
      <c r="I257" s="143" t="s">
        <v>288</v>
      </c>
      <c r="J257" s="143">
        <v>2</v>
      </c>
      <c r="K257" s="143">
        <v>3</v>
      </c>
    </row>
    <row r="258" spans="1:11" x14ac:dyDescent="0.25">
      <c r="A258" s="143" t="s">
        <v>853</v>
      </c>
      <c r="B258" s="143" t="s">
        <v>315</v>
      </c>
      <c r="C258" s="143">
        <v>90</v>
      </c>
      <c r="D258" s="143">
        <v>80</v>
      </c>
      <c r="E258" s="143" t="s">
        <v>1031</v>
      </c>
      <c r="F258" s="143">
        <v>5</v>
      </c>
      <c r="G258" s="143">
        <v>4</v>
      </c>
      <c r="H258" s="143" t="s">
        <v>287</v>
      </c>
      <c r="I258" s="143" t="s">
        <v>288</v>
      </c>
      <c r="J258" s="143">
        <v>2</v>
      </c>
      <c r="K258" s="143">
        <v>3</v>
      </c>
    </row>
    <row r="259" spans="1:11" x14ac:dyDescent="0.25">
      <c r="A259" s="143" t="s">
        <v>854</v>
      </c>
      <c r="B259" s="143" t="s">
        <v>315</v>
      </c>
      <c r="C259" s="143">
        <v>90</v>
      </c>
      <c r="D259" s="143">
        <v>80</v>
      </c>
      <c r="E259" s="143" t="s">
        <v>1031</v>
      </c>
      <c r="F259" s="143">
        <v>5</v>
      </c>
      <c r="G259" s="143">
        <v>4</v>
      </c>
      <c r="H259" s="143" t="s">
        <v>287</v>
      </c>
      <c r="I259" s="143" t="s">
        <v>288</v>
      </c>
      <c r="J259" s="143">
        <v>2</v>
      </c>
      <c r="K259" s="143">
        <v>3</v>
      </c>
    </row>
    <row r="260" spans="1:11" x14ac:dyDescent="0.25">
      <c r="A260" s="143" t="s">
        <v>855</v>
      </c>
      <c r="B260" s="143" t="s">
        <v>315</v>
      </c>
      <c r="C260" s="143">
        <v>90</v>
      </c>
      <c r="D260" s="143">
        <v>80</v>
      </c>
      <c r="E260" s="143" t="s">
        <v>1031</v>
      </c>
      <c r="F260" s="143">
        <v>5</v>
      </c>
      <c r="G260" s="143">
        <v>4</v>
      </c>
      <c r="H260" s="143" t="s">
        <v>287</v>
      </c>
      <c r="I260" s="143" t="s">
        <v>288</v>
      </c>
      <c r="J260" s="143">
        <v>2</v>
      </c>
      <c r="K260" s="143">
        <v>3</v>
      </c>
    </row>
    <row r="261" spans="1:11" x14ac:dyDescent="0.25">
      <c r="A261" s="143" t="s">
        <v>856</v>
      </c>
      <c r="B261" s="143" t="s">
        <v>315</v>
      </c>
      <c r="C261" s="143">
        <v>90</v>
      </c>
      <c r="D261" s="143">
        <v>80</v>
      </c>
      <c r="E261" s="143" t="s">
        <v>1031</v>
      </c>
      <c r="F261" s="143">
        <v>5</v>
      </c>
      <c r="G261" s="143">
        <v>4</v>
      </c>
      <c r="H261" s="143" t="s">
        <v>287</v>
      </c>
      <c r="I261" s="143" t="s">
        <v>288</v>
      </c>
      <c r="J261" s="143">
        <v>2</v>
      </c>
      <c r="K261" s="143">
        <v>3</v>
      </c>
    </row>
    <row r="262" spans="1:11" x14ac:dyDescent="0.25">
      <c r="A262" s="143" t="s">
        <v>857</v>
      </c>
      <c r="B262" s="143" t="s">
        <v>315</v>
      </c>
      <c r="C262" s="143">
        <v>90</v>
      </c>
      <c r="D262" s="143">
        <v>80</v>
      </c>
      <c r="E262" s="143" t="s">
        <v>1031</v>
      </c>
      <c r="F262" s="143">
        <v>5</v>
      </c>
      <c r="G262" s="143">
        <v>4</v>
      </c>
      <c r="H262" s="143" t="s">
        <v>287</v>
      </c>
      <c r="I262" s="143" t="s">
        <v>288</v>
      </c>
      <c r="J262" s="143">
        <v>2</v>
      </c>
      <c r="K262" s="143">
        <v>3</v>
      </c>
    </row>
    <row r="263" spans="1:11" x14ac:dyDescent="0.25">
      <c r="A263" s="143" t="s">
        <v>225</v>
      </c>
      <c r="B263" s="143" t="s">
        <v>315</v>
      </c>
      <c r="C263" s="143">
        <v>90</v>
      </c>
      <c r="D263" s="143">
        <v>80</v>
      </c>
      <c r="E263" s="143" t="s">
        <v>1031</v>
      </c>
      <c r="F263" s="143">
        <v>5</v>
      </c>
      <c r="G263" s="143">
        <v>4</v>
      </c>
      <c r="H263" s="143" t="s">
        <v>287</v>
      </c>
      <c r="I263" s="143" t="s">
        <v>288</v>
      </c>
      <c r="J263" s="143">
        <v>2</v>
      </c>
      <c r="K263" s="143">
        <v>3</v>
      </c>
    </row>
    <row r="264" spans="1:11" x14ac:dyDescent="0.25">
      <c r="A264" s="143" t="s">
        <v>226</v>
      </c>
      <c r="B264" s="143" t="s">
        <v>315</v>
      </c>
      <c r="C264" s="143">
        <v>100</v>
      </c>
      <c r="D264" s="143">
        <v>80</v>
      </c>
      <c r="E264" s="143" t="s">
        <v>1033</v>
      </c>
      <c r="F264" s="143">
        <v>6</v>
      </c>
      <c r="G264" s="143">
        <v>5</v>
      </c>
      <c r="H264" s="143" t="s">
        <v>287</v>
      </c>
      <c r="I264" s="143" t="s">
        <v>288</v>
      </c>
      <c r="J264" s="143">
        <v>2</v>
      </c>
      <c r="K264" s="143">
        <v>4</v>
      </c>
    </row>
    <row r="265" spans="1:11" x14ac:dyDescent="0.25">
      <c r="A265" s="143" t="s">
        <v>227</v>
      </c>
      <c r="B265" s="143" t="s">
        <v>315</v>
      </c>
      <c r="C265" s="143">
        <v>100</v>
      </c>
      <c r="D265" s="143">
        <v>80</v>
      </c>
      <c r="E265" s="143" t="s">
        <v>1046</v>
      </c>
      <c r="F265" s="143">
        <v>8</v>
      </c>
      <c r="G265" s="143">
        <v>6</v>
      </c>
      <c r="H265" s="143" t="s">
        <v>287</v>
      </c>
      <c r="I265" s="143" t="s">
        <v>288</v>
      </c>
      <c r="J265" s="143">
        <v>2</v>
      </c>
      <c r="K265" s="143">
        <v>4</v>
      </c>
    </row>
    <row r="266" spans="1:11" x14ac:dyDescent="0.25">
      <c r="A266" s="143" t="s">
        <v>858</v>
      </c>
      <c r="B266" s="143" t="s">
        <v>315</v>
      </c>
      <c r="C266" s="143">
        <v>100</v>
      </c>
      <c r="D266" s="143">
        <v>110</v>
      </c>
      <c r="E266" s="143" t="s">
        <v>1034</v>
      </c>
      <c r="F266" s="143">
        <v>5</v>
      </c>
      <c r="G266" s="143">
        <v>5</v>
      </c>
      <c r="H266" s="143" t="s">
        <v>287</v>
      </c>
      <c r="I266" s="143" t="s">
        <v>288</v>
      </c>
      <c r="J266" s="143">
        <v>3</v>
      </c>
      <c r="K266" s="143">
        <v>3</v>
      </c>
    </row>
    <row r="267" spans="1:11" x14ac:dyDescent="0.25">
      <c r="A267" s="143" t="s">
        <v>859</v>
      </c>
      <c r="B267" s="143" t="s">
        <v>315</v>
      </c>
      <c r="C267" s="143">
        <v>100</v>
      </c>
      <c r="D267" s="143">
        <v>110</v>
      </c>
      <c r="E267" s="143" t="s">
        <v>1034</v>
      </c>
      <c r="F267" s="143">
        <v>5</v>
      </c>
      <c r="G267" s="143">
        <v>5</v>
      </c>
      <c r="H267" s="143" t="s">
        <v>287</v>
      </c>
      <c r="I267" s="143" t="s">
        <v>288</v>
      </c>
      <c r="J267" s="143">
        <v>3</v>
      </c>
      <c r="K267" s="143">
        <v>3</v>
      </c>
    </row>
    <row r="268" spans="1:11" x14ac:dyDescent="0.25">
      <c r="A268" s="143" t="s">
        <v>860</v>
      </c>
      <c r="B268" s="143" t="s">
        <v>315</v>
      </c>
      <c r="C268" s="143">
        <v>100</v>
      </c>
      <c r="D268" s="143">
        <v>110</v>
      </c>
      <c r="E268" s="143" t="s">
        <v>1034</v>
      </c>
      <c r="F268" s="143">
        <v>5</v>
      </c>
      <c r="G268" s="143">
        <v>5</v>
      </c>
      <c r="H268" s="143" t="s">
        <v>287</v>
      </c>
      <c r="I268" s="143" t="s">
        <v>288</v>
      </c>
      <c r="J268" s="143">
        <v>3</v>
      </c>
      <c r="K268" s="143">
        <v>3</v>
      </c>
    </row>
    <row r="269" spans="1:11" x14ac:dyDescent="0.25">
      <c r="A269" s="143" t="s">
        <v>895</v>
      </c>
      <c r="B269" s="143" t="s">
        <v>316</v>
      </c>
      <c r="C269" s="143">
        <v>90</v>
      </c>
      <c r="D269" s="143">
        <v>80</v>
      </c>
      <c r="E269" s="143" t="s">
        <v>1031</v>
      </c>
      <c r="F269" s="143">
        <v>5</v>
      </c>
      <c r="G269" s="143">
        <v>4</v>
      </c>
      <c r="H269" s="143" t="s">
        <v>287</v>
      </c>
      <c r="I269" s="143" t="s">
        <v>290</v>
      </c>
      <c r="J269" s="143">
        <v>2</v>
      </c>
      <c r="K269" s="143">
        <v>3</v>
      </c>
    </row>
    <row r="270" spans="1:11" x14ac:dyDescent="0.25">
      <c r="A270" s="143" t="s">
        <v>851</v>
      </c>
      <c r="B270" s="143" t="s">
        <v>316</v>
      </c>
      <c r="C270" s="143">
        <v>90</v>
      </c>
      <c r="D270" s="143">
        <v>80</v>
      </c>
      <c r="E270" s="143" t="s">
        <v>1031</v>
      </c>
      <c r="F270" s="143">
        <v>5</v>
      </c>
      <c r="G270" s="143">
        <v>4</v>
      </c>
      <c r="H270" s="143" t="s">
        <v>287</v>
      </c>
      <c r="I270" s="143" t="s">
        <v>288</v>
      </c>
      <c r="J270" s="143">
        <v>2</v>
      </c>
      <c r="K270" s="143">
        <v>3</v>
      </c>
    </row>
    <row r="271" spans="1:11" x14ac:dyDescent="0.25">
      <c r="A271" s="143" t="s">
        <v>852</v>
      </c>
      <c r="B271" s="143" t="s">
        <v>316</v>
      </c>
      <c r="C271" s="143">
        <v>90</v>
      </c>
      <c r="D271" s="143">
        <v>80</v>
      </c>
      <c r="E271" s="143" t="s">
        <v>1031</v>
      </c>
      <c r="F271" s="143">
        <v>5</v>
      </c>
      <c r="G271" s="143">
        <v>4</v>
      </c>
      <c r="H271" s="143" t="s">
        <v>287</v>
      </c>
      <c r="I271" s="143" t="s">
        <v>288</v>
      </c>
      <c r="J271" s="143">
        <v>2</v>
      </c>
      <c r="K271" s="143">
        <v>3</v>
      </c>
    </row>
    <row r="272" spans="1:11" x14ac:dyDescent="0.25">
      <c r="A272" s="143" t="s">
        <v>853</v>
      </c>
      <c r="B272" s="143" t="s">
        <v>316</v>
      </c>
      <c r="C272" s="143">
        <v>90</v>
      </c>
      <c r="D272" s="143">
        <v>80</v>
      </c>
      <c r="E272" s="143" t="s">
        <v>1031</v>
      </c>
      <c r="F272" s="143">
        <v>5</v>
      </c>
      <c r="G272" s="143">
        <v>4</v>
      </c>
      <c r="H272" s="143" t="s">
        <v>287</v>
      </c>
      <c r="I272" s="143" t="s">
        <v>288</v>
      </c>
      <c r="J272" s="143">
        <v>2</v>
      </c>
      <c r="K272" s="143">
        <v>3</v>
      </c>
    </row>
    <row r="273" spans="1:11" x14ac:dyDescent="0.25">
      <c r="A273" s="143" t="s">
        <v>854</v>
      </c>
      <c r="B273" s="143" t="s">
        <v>316</v>
      </c>
      <c r="C273" s="143">
        <v>90</v>
      </c>
      <c r="D273" s="143">
        <v>80</v>
      </c>
      <c r="E273" s="143" t="s">
        <v>1031</v>
      </c>
      <c r="F273" s="143">
        <v>5</v>
      </c>
      <c r="G273" s="143">
        <v>4</v>
      </c>
      <c r="H273" s="143" t="s">
        <v>287</v>
      </c>
      <c r="I273" s="143" t="s">
        <v>288</v>
      </c>
      <c r="J273" s="143">
        <v>2</v>
      </c>
      <c r="K273" s="143">
        <v>3</v>
      </c>
    </row>
    <row r="274" spans="1:11" x14ac:dyDescent="0.25">
      <c r="A274" s="143" t="s">
        <v>855</v>
      </c>
      <c r="B274" s="143" t="s">
        <v>316</v>
      </c>
      <c r="C274" s="143">
        <v>90</v>
      </c>
      <c r="D274" s="143">
        <v>80</v>
      </c>
      <c r="E274" s="143" t="s">
        <v>1031</v>
      </c>
      <c r="F274" s="143">
        <v>5</v>
      </c>
      <c r="G274" s="143">
        <v>4</v>
      </c>
      <c r="H274" s="143" t="s">
        <v>287</v>
      </c>
      <c r="I274" s="143" t="s">
        <v>288</v>
      </c>
      <c r="J274" s="143">
        <v>2</v>
      </c>
      <c r="K274" s="143">
        <v>3</v>
      </c>
    </row>
    <row r="275" spans="1:11" x14ac:dyDescent="0.25">
      <c r="A275" s="143" t="s">
        <v>856</v>
      </c>
      <c r="B275" s="143" t="s">
        <v>316</v>
      </c>
      <c r="C275" s="144">
        <v>90</v>
      </c>
      <c r="D275" s="144">
        <v>80</v>
      </c>
      <c r="E275" s="144" t="s">
        <v>1031</v>
      </c>
      <c r="F275" s="144">
        <v>5</v>
      </c>
      <c r="G275" s="144">
        <v>4</v>
      </c>
      <c r="H275" s="144" t="s">
        <v>287</v>
      </c>
      <c r="I275" s="144" t="s">
        <v>288</v>
      </c>
      <c r="J275" s="144">
        <v>2</v>
      </c>
      <c r="K275" s="144">
        <v>3</v>
      </c>
    </row>
    <row r="276" spans="1:11" x14ac:dyDescent="0.25">
      <c r="A276" s="143" t="s">
        <v>857</v>
      </c>
      <c r="B276" s="143" t="s">
        <v>316</v>
      </c>
      <c r="C276" s="144">
        <v>90</v>
      </c>
      <c r="D276" s="144">
        <v>80</v>
      </c>
      <c r="E276" s="143" t="s">
        <v>1031</v>
      </c>
      <c r="F276" s="143">
        <v>5</v>
      </c>
      <c r="G276" s="143">
        <v>4</v>
      </c>
      <c r="H276" s="143" t="s">
        <v>287</v>
      </c>
      <c r="I276" s="143" t="s">
        <v>288</v>
      </c>
      <c r="J276" s="143">
        <v>2</v>
      </c>
      <c r="K276" s="143">
        <v>3</v>
      </c>
    </row>
    <row r="277" spans="1:11" x14ac:dyDescent="0.25">
      <c r="A277" s="143" t="s">
        <v>225</v>
      </c>
      <c r="B277" s="143" t="s">
        <v>316</v>
      </c>
      <c r="C277" s="143">
        <v>90</v>
      </c>
      <c r="D277" s="143">
        <v>80</v>
      </c>
      <c r="E277" s="143" t="s">
        <v>1031</v>
      </c>
      <c r="F277" s="143">
        <v>5</v>
      </c>
      <c r="G277" s="143">
        <v>4</v>
      </c>
      <c r="H277" s="143" t="s">
        <v>287</v>
      </c>
      <c r="I277" s="143" t="s">
        <v>288</v>
      </c>
      <c r="J277" s="143">
        <v>2</v>
      </c>
      <c r="K277" s="143">
        <v>3</v>
      </c>
    </row>
    <row r="278" spans="1:11" x14ac:dyDescent="0.25">
      <c r="A278" s="143" t="s">
        <v>226</v>
      </c>
      <c r="B278" s="143" t="s">
        <v>316</v>
      </c>
      <c r="C278" s="143">
        <v>100</v>
      </c>
      <c r="D278" s="143">
        <v>80</v>
      </c>
      <c r="E278" s="143" t="s">
        <v>1032</v>
      </c>
      <c r="F278" s="143">
        <v>5</v>
      </c>
      <c r="G278" s="143">
        <v>4</v>
      </c>
      <c r="H278" s="143" t="s">
        <v>287</v>
      </c>
      <c r="I278" s="143" t="s">
        <v>288</v>
      </c>
      <c r="J278" s="143">
        <v>2</v>
      </c>
      <c r="K278" s="143">
        <v>3</v>
      </c>
    </row>
    <row r="279" spans="1:11" x14ac:dyDescent="0.25">
      <c r="A279" s="143" t="s">
        <v>227</v>
      </c>
      <c r="B279" s="143" t="s">
        <v>316</v>
      </c>
      <c r="C279" s="143">
        <v>100</v>
      </c>
      <c r="D279" s="143">
        <v>80</v>
      </c>
      <c r="E279" s="143" t="s">
        <v>1051</v>
      </c>
      <c r="F279" s="143">
        <v>9</v>
      </c>
      <c r="G279" s="143">
        <v>7</v>
      </c>
      <c r="H279" s="143" t="s">
        <v>287</v>
      </c>
      <c r="I279" s="143" t="s">
        <v>288</v>
      </c>
      <c r="J279" s="143">
        <v>2</v>
      </c>
      <c r="K279" s="143">
        <v>4</v>
      </c>
    </row>
    <row r="280" spans="1:11" x14ac:dyDescent="0.25">
      <c r="A280" s="143" t="s">
        <v>858</v>
      </c>
      <c r="B280" s="143" t="s">
        <v>316</v>
      </c>
      <c r="C280" s="143">
        <v>100</v>
      </c>
      <c r="D280" s="143">
        <v>110</v>
      </c>
      <c r="E280" s="143" t="s">
        <v>1034</v>
      </c>
      <c r="F280" s="143">
        <v>5</v>
      </c>
      <c r="G280" s="143">
        <v>5</v>
      </c>
      <c r="H280" s="143" t="s">
        <v>287</v>
      </c>
      <c r="I280" s="143" t="s">
        <v>288</v>
      </c>
      <c r="J280" s="143">
        <v>3</v>
      </c>
      <c r="K280" s="143">
        <v>3</v>
      </c>
    </row>
    <row r="281" spans="1:11" x14ac:dyDescent="0.25">
      <c r="A281" s="143" t="s">
        <v>859</v>
      </c>
      <c r="B281" s="143" t="s">
        <v>316</v>
      </c>
      <c r="C281" s="143">
        <v>100</v>
      </c>
      <c r="D281" s="143">
        <v>110</v>
      </c>
      <c r="E281" s="143" t="s">
        <v>1034</v>
      </c>
      <c r="F281" s="143">
        <v>5</v>
      </c>
      <c r="G281" s="143">
        <v>5</v>
      </c>
      <c r="H281" s="143" t="s">
        <v>287</v>
      </c>
      <c r="I281" s="143" t="s">
        <v>288</v>
      </c>
      <c r="J281" s="143">
        <v>3</v>
      </c>
      <c r="K281" s="143">
        <v>3</v>
      </c>
    </row>
    <row r="282" spans="1:11" x14ac:dyDescent="0.25">
      <c r="A282" s="143" t="s">
        <v>860</v>
      </c>
      <c r="B282" s="143" t="s">
        <v>316</v>
      </c>
      <c r="C282" s="143">
        <v>100</v>
      </c>
      <c r="D282" s="143">
        <v>110</v>
      </c>
      <c r="E282" s="143" t="s">
        <v>1034</v>
      </c>
      <c r="F282" s="143">
        <v>5</v>
      </c>
      <c r="G282" s="143">
        <v>5</v>
      </c>
      <c r="H282" s="143" t="s">
        <v>287</v>
      </c>
      <c r="I282" s="143" t="s">
        <v>288</v>
      </c>
      <c r="J282" s="143">
        <v>3</v>
      </c>
      <c r="K282" s="143">
        <v>3</v>
      </c>
    </row>
    <row r="283" spans="1:11" x14ac:dyDescent="0.25">
      <c r="A283" s="143" t="s">
        <v>895</v>
      </c>
      <c r="B283" s="143" t="s">
        <v>297</v>
      </c>
      <c r="C283" s="143">
        <v>90</v>
      </c>
      <c r="D283" s="143">
        <v>80</v>
      </c>
      <c r="E283" s="143" t="s">
        <v>1031</v>
      </c>
      <c r="F283" s="143">
        <v>5</v>
      </c>
      <c r="G283" s="143">
        <v>4</v>
      </c>
      <c r="H283" s="143" t="s">
        <v>287</v>
      </c>
      <c r="I283" s="143" t="s">
        <v>288</v>
      </c>
      <c r="J283" s="143">
        <v>2</v>
      </c>
      <c r="K283" s="143">
        <v>3</v>
      </c>
    </row>
    <row r="284" spans="1:11" x14ac:dyDescent="0.25">
      <c r="A284" s="143" t="s">
        <v>851</v>
      </c>
      <c r="B284" s="143" t="s">
        <v>297</v>
      </c>
      <c r="C284" s="143">
        <v>90</v>
      </c>
      <c r="D284" s="143">
        <v>80</v>
      </c>
      <c r="E284" s="143" t="s">
        <v>1031</v>
      </c>
      <c r="F284" s="143">
        <v>5</v>
      </c>
      <c r="G284" s="143">
        <v>4</v>
      </c>
      <c r="H284" s="143" t="s">
        <v>287</v>
      </c>
      <c r="I284" s="143" t="s">
        <v>288</v>
      </c>
      <c r="J284" s="143">
        <v>2</v>
      </c>
      <c r="K284" s="143">
        <v>3</v>
      </c>
    </row>
    <row r="285" spans="1:11" x14ac:dyDescent="0.25">
      <c r="A285" s="143" t="s">
        <v>852</v>
      </c>
      <c r="B285" s="143" t="s">
        <v>297</v>
      </c>
      <c r="C285" s="143">
        <v>90</v>
      </c>
      <c r="D285" s="143">
        <v>80</v>
      </c>
      <c r="E285" s="143" t="s">
        <v>1031</v>
      </c>
      <c r="F285" s="143">
        <v>5</v>
      </c>
      <c r="G285" s="143">
        <v>4</v>
      </c>
      <c r="H285" s="143" t="s">
        <v>287</v>
      </c>
      <c r="I285" s="143" t="s">
        <v>288</v>
      </c>
      <c r="J285" s="143">
        <v>2</v>
      </c>
      <c r="K285" s="143">
        <v>3</v>
      </c>
    </row>
    <row r="286" spans="1:11" x14ac:dyDescent="0.25">
      <c r="A286" s="143" t="s">
        <v>853</v>
      </c>
      <c r="B286" s="143" t="s">
        <v>297</v>
      </c>
      <c r="C286" s="143">
        <v>90</v>
      </c>
      <c r="D286" s="143">
        <v>80</v>
      </c>
      <c r="E286" s="143" t="s">
        <v>1031</v>
      </c>
      <c r="F286" s="143">
        <v>5</v>
      </c>
      <c r="G286" s="143">
        <v>4</v>
      </c>
      <c r="H286" s="143" t="s">
        <v>287</v>
      </c>
      <c r="I286" s="143" t="s">
        <v>288</v>
      </c>
      <c r="J286" s="143">
        <v>2</v>
      </c>
      <c r="K286" s="143">
        <v>3</v>
      </c>
    </row>
    <row r="287" spans="1:11" x14ac:dyDescent="0.25">
      <c r="A287" s="143" t="s">
        <v>854</v>
      </c>
      <c r="B287" s="143" t="s">
        <v>297</v>
      </c>
      <c r="C287" s="143">
        <v>90</v>
      </c>
      <c r="D287" s="143">
        <v>80</v>
      </c>
      <c r="E287" s="143" t="s">
        <v>1031</v>
      </c>
      <c r="F287" s="143">
        <v>5</v>
      </c>
      <c r="G287" s="143">
        <v>4</v>
      </c>
      <c r="H287" s="143" t="s">
        <v>287</v>
      </c>
      <c r="I287" s="143" t="s">
        <v>288</v>
      </c>
      <c r="J287" s="143">
        <v>2</v>
      </c>
      <c r="K287" s="143">
        <v>3</v>
      </c>
    </row>
    <row r="288" spans="1:11" x14ac:dyDescent="0.25">
      <c r="A288" s="143" t="s">
        <v>855</v>
      </c>
      <c r="B288" s="143" t="s">
        <v>297</v>
      </c>
      <c r="C288" s="144">
        <v>90</v>
      </c>
      <c r="D288" s="144">
        <v>80</v>
      </c>
      <c r="E288" s="143" t="s">
        <v>1031</v>
      </c>
      <c r="F288" s="143">
        <v>5</v>
      </c>
      <c r="G288" s="143">
        <v>4</v>
      </c>
      <c r="H288" s="143" t="s">
        <v>287</v>
      </c>
      <c r="I288" s="143" t="s">
        <v>288</v>
      </c>
      <c r="J288" s="143">
        <v>2</v>
      </c>
      <c r="K288" s="143">
        <v>3</v>
      </c>
    </row>
    <row r="289" spans="1:11" x14ac:dyDescent="0.25">
      <c r="A289" s="143" t="s">
        <v>856</v>
      </c>
      <c r="B289" s="143" t="s">
        <v>297</v>
      </c>
      <c r="C289" s="143">
        <v>90</v>
      </c>
      <c r="D289" s="143">
        <v>80</v>
      </c>
      <c r="E289" s="143" t="s">
        <v>1031</v>
      </c>
      <c r="F289" s="143">
        <v>5</v>
      </c>
      <c r="G289" s="143">
        <v>4</v>
      </c>
      <c r="H289" s="143" t="s">
        <v>287</v>
      </c>
      <c r="I289" s="143" t="s">
        <v>288</v>
      </c>
      <c r="J289" s="143">
        <v>2</v>
      </c>
      <c r="K289" s="143">
        <v>3</v>
      </c>
    </row>
    <row r="290" spans="1:11" x14ac:dyDescent="0.25">
      <c r="A290" s="143" t="s">
        <v>857</v>
      </c>
      <c r="B290" s="143" t="s">
        <v>297</v>
      </c>
      <c r="C290" s="143">
        <v>90</v>
      </c>
      <c r="D290" s="143">
        <v>80</v>
      </c>
      <c r="E290" s="143" t="s">
        <v>1031</v>
      </c>
      <c r="F290" s="143">
        <v>5</v>
      </c>
      <c r="G290" s="143">
        <v>4</v>
      </c>
      <c r="H290" s="143" t="s">
        <v>287</v>
      </c>
      <c r="I290" s="143" t="s">
        <v>288</v>
      </c>
      <c r="J290" s="143">
        <v>2</v>
      </c>
      <c r="K290" s="143">
        <v>3</v>
      </c>
    </row>
    <row r="291" spans="1:11" x14ac:dyDescent="0.25">
      <c r="A291" s="143" t="s">
        <v>225</v>
      </c>
      <c r="B291" s="143" t="s">
        <v>297</v>
      </c>
      <c r="C291" s="143">
        <v>90</v>
      </c>
      <c r="D291" s="143">
        <v>80</v>
      </c>
      <c r="E291" s="143" t="s">
        <v>1031</v>
      </c>
      <c r="F291" s="143">
        <v>5</v>
      </c>
      <c r="G291" s="143">
        <v>4</v>
      </c>
      <c r="H291" s="143" t="s">
        <v>287</v>
      </c>
      <c r="I291" s="143" t="s">
        <v>288</v>
      </c>
      <c r="J291" s="143">
        <v>2</v>
      </c>
      <c r="K291" s="143">
        <v>3</v>
      </c>
    </row>
    <row r="292" spans="1:11" x14ac:dyDescent="0.25">
      <c r="A292" s="143" t="s">
        <v>226</v>
      </c>
      <c r="B292" s="143" t="s">
        <v>297</v>
      </c>
      <c r="C292" s="143">
        <v>100</v>
      </c>
      <c r="D292" s="143">
        <v>80</v>
      </c>
      <c r="E292" s="143" t="s">
        <v>1032</v>
      </c>
      <c r="F292" s="143">
        <v>5</v>
      </c>
      <c r="G292" s="143">
        <v>4</v>
      </c>
      <c r="H292" s="143" t="s">
        <v>287</v>
      </c>
      <c r="I292" s="143" t="s">
        <v>288</v>
      </c>
      <c r="J292" s="143">
        <v>2</v>
      </c>
      <c r="K292" s="143">
        <v>3</v>
      </c>
    </row>
    <row r="293" spans="1:11" x14ac:dyDescent="0.25">
      <c r="A293" s="143" t="s">
        <v>227</v>
      </c>
      <c r="B293" s="143" t="s">
        <v>297</v>
      </c>
      <c r="C293" s="144">
        <v>100</v>
      </c>
      <c r="D293" s="144">
        <v>80</v>
      </c>
      <c r="E293" s="144" t="s">
        <v>1033</v>
      </c>
      <c r="F293" s="144">
        <v>6</v>
      </c>
      <c r="G293" s="144">
        <v>5</v>
      </c>
      <c r="H293" s="144" t="s">
        <v>287</v>
      </c>
      <c r="I293" s="144" t="s">
        <v>288</v>
      </c>
      <c r="J293" s="144">
        <v>2</v>
      </c>
      <c r="K293" s="144">
        <v>4</v>
      </c>
    </row>
    <row r="294" spans="1:11" x14ac:dyDescent="0.25">
      <c r="A294" s="143" t="s">
        <v>858</v>
      </c>
      <c r="B294" s="143" t="s">
        <v>297</v>
      </c>
      <c r="C294" s="143">
        <v>100</v>
      </c>
      <c r="D294" s="143">
        <v>110</v>
      </c>
      <c r="E294" s="143" t="s">
        <v>1034</v>
      </c>
      <c r="F294" s="143">
        <v>5</v>
      </c>
      <c r="G294" s="143">
        <v>5</v>
      </c>
      <c r="H294" s="143" t="s">
        <v>287</v>
      </c>
      <c r="I294" s="143" t="s">
        <v>288</v>
      </c>
      <c r="J294" s="143">
        <v>3</v>
      </c>
      <c r="K294" s="143">
        <v>3</v>
      </c>
    </row>
    <row r="295" spans="1:11" x14ac:dyDescent="0.25">
      <c r="A295" s="143" t="s">
        <v>859</v>
      </c>
      <c r="B295" s="143" t="s">
        <v>297</v>
      </c>
      <c r="C295" s="143">
        <v>100</v>
      </c>
      <c r="D295" s="143">
        <v>110</v>
      </c>
      <c r="E295" s="143" t="s">
        <v>1034</v>
      </c>
      <c r="F295" s="143">
        <v>5</v>
      </c>
      <c r="G295" s="143">
        <v>5</v>
      </c>
      <c r="H295" s="143" t="s">
        <v>287</v>
      </c>
      <c r="I295" s="143" t="s">
        <v>288</v>
      </c>
      <c r="J295" s="143">
        <v>3</v>
      </c>
      <c r="K295" s="143">
        <v>3</v>
      </c>
    </row>
    <row r="296" spans="1:11" x14ac:dyDescent="0.25">
      <c r="A296" s="143" t="s">
        <v>860</v>
      </c>
      <c r="B296" s="143" t="s">
        <v>297</v>
      </c>
      <c r="C296" s="143">
        <v>100</v>
      </c>
      <c r="D296" s="143">
        <v>110</v>
      </c>
      <c r="E296" s="143" t="s">
        <v>1034</v>
      </c>
      <c r="F296" s="143">
        <v>5</v>
      </c>
      <c r="G296" s="143">
        <v>5</v>
      </c>
      <c r="H296" s="143" t="s">
        <v>287</v>
      </c>
      <c r="I296" s="143" t="s">
        <v>288</v>
      </c>
      <c r="J296" s="143">
        <v>3</v>
      </c>
      <c r="K296" s="143">
        <v>3</v>
      </c>
    </row>
    <row r="297" spans="1:11" x14ac:dyDescent="0.25">
      <c r="A297" s="143" t="s">
        <v>895</v>
      </c>
      <c r="B297" s="143" t="s">
        <v>301</v>
      </c>
      <c r="C297" s="143">
        <v>90</v>
      </c>
      <c r="D297" s="143">
        <v>80</v>
      </c>
      <c r="E297" s="143" t="s">
        <v>1031</v>
      </c>
      <c r="F297" s="143">
        <v>5</v>
      </c>
      <c r="G297" s="143">
        <v>4</v>
      </c>
      <c r="H297" s="143" t="s">
        <v>287</v>
      </c>
      <c r="I297" s="143" t="s">
        <v>290</v>
      </c>
      <c r="J297" s="143">
        <v>2</v>
      </c>
      <c r="K297" s="143">
        <v>3</v>
      </c>
    </row>
    <row r="298" spans="1:11" x14ac:dyDescent="0.25">
      <c r="A298" s="143" t="s">
        <v>851</v>
      </c>
      <c r="B298" s="143" t="s">
        <v>301</v>
      </c>
      <c r="C298" s="143">
        <v>90</v>
      </c>
      <c r="D298" s="143">
        <v>80</v>
      </c>
      <c r="E298" s="143" t="s">
        <v>1031</v>
      </c>
      <c r="F298" s="143">
        <v>5</v>
      </c>
      <c r="G298" s="143">
        <v>4</v>
      </c>
      <c r="H298" s="143" t="s">
        <v>287</v>
      </c>
      <c r="I298" s="143" t="s">
        <v>288</v>
      </c>
      <c r="J298" s="143">
        <v>2</v>
      </c>
      <c r="K298" s="143">
        <v>3</v>
      </c>
    </row>
    <row r="299" spans="1:11" x14ac:dyDescent="0.25">
      <c r="A299" s="143" t="s">
        <v>852</v>
      </c>
      <c r="B299" s="143" t="s">
        <v>301</v>
      </c>
      <c r="C299" s="143">
        <v>90</v>
      </c>
      <c r="D299" s="143">
        <v>80</v>
      </c>
      <c r="E299" s="143" t="s">
        <v>1031</v>
      </c>
      <c r="F299" s="143">
        <v>5</v>
      </c>
      <c r="G299" s="143">
        <v>4</v>
      </c>
      <c r="H299" s="143" t="s">
        <v>287</v>
      </c>
      <c r="I299" s="143" t="s">
        <v>288</v>
      </c>
      <c r="J299" s="143">
        <v>2</v>
      </c>
      <c r="K299" s="143">
        <v>3</v>
      </c>
    </row>
    <row r="300" spans="1:11" x14ac:dyDescent="0.25">
      <c r="A300" s="143" t="s">
        <v>853</v>
      </c>
      <c r="B300" s="143" t="s">
        <v>301</v>
      </c>
      <c r="C300" s="144">
        <v>90</v>
      </c>
      <c r="D300" s="144">
        <v>80</v>
      </c>
      <c r="E300" s="144" t="s">
        <v>1031</v>
      </c>
      <c r="F300" s="144">
        <v>5</v>
      </c>
      <c r="G300" s="144">
        <v>4</v>
      </c>
      <c r="H300" s="144" t="s">
        <v>287</v>
      </c>
      <c r="I300" s="144" t="s">
        <v>288</v>
      </c>
      <c r="J300" s="144">
        <v>2</v>
      </c>
      <c r="K300" s="144">
        <v>3</v>
      </c>
    </row>
    <row r="301" spans="1:11" x14ac:dyDescent="0.25">
      <c r="A301" s="143" t="s">
        <v>854</v>
      </c>
      <c r="B301" s="143" t="s">
        <v>301</v>
      </c>
      <c r="C301" s="143">
        <v>90</v>
      </c>
      <c r="D301" s="143">
        <v>80</v>
      </c>
      <c r="E301" s="143" t="s">
        <v>1031</v>
      </c>
      <c r="F301" s="143">
        <v>5</v>
      </c>
      <c r="G301" s="143">
        <v>4</v>
      </c>
      <c r="H301" s="143" t="s">
        <v>287</v>
      </c>
      <c r="I301" s="143" t="s">
        <v>288</v>
      </c>
      <c r="J301" s="143">
        <v>2</v>
      </c>
      <c r="K301" s="143">
        <v>3</v>
      </c>
    </row>
    <row r="302" spans="1:11" x14ac:dyDescent="0.25">
      <c r="A302" s="143" t="s">
        <v>855</v>
      </c>
      <c r="B302" s="143" t="s">
        <v>301</v>
      </c>
      <c r="C302" s="143">
        <v>90</v>
      </c>
      <c r="D302" s="143">
        <v>80</v>
      </c>
      <c r="E302" s="143" t="s">
        <v>1031</v>
      </c>
      <c r="F302" s="143">
        <v>5</v>
      </c>
      <c r="G302" s="143">
        <v>4</v>
      </c>
      <c r="H302" s="143" t="s">
        <v>287</v>
      </c>
      <c r="I302" s="143" t="s">
        <v>288</v>
      </c>
      <c r="J302" s="143">
        <v>2</v>
      </c>
      <c r="K302" s="143">
        <v>3</v>
      </c>
    </row>
    <row r="303" spans="1:11" x14ac:dyDescent="0.25">
      <c r="A303" s="143" t="s">
        <v>856</v>
      </c>
      <c r="B303" s="143" t="s">
        <v>301</v>
      </c>
      <c r="C303" s="143">
        <v>90</v>
      </c>
      <c r="D303" s="143">
        <v>80</v>
      </c>
      <c r="E303" s="143" t="s">
        <v>1031</v>
      </c>
      <c r="F303" s="143">
        <v>5</v>
      </c>
      <c r="G303" s="143">
        <v>4</v>
      </c>
      <c r="H303" s="143" t="s">
        <v>287</v>
      </c>
      <c r="I303" s="143" t="s">
        <v>288</v>
      </c>
      <c r="J303" s="143">
        <v>2</v>
      </c>
      <c r="K303" s="143">
        <v>3</v>
      </c>
    </row>
    <row r="304" spans="1:11" x14ac:dyDescent="0.25">
      <c r="A304" s="143" t="s">
        <v>857</v>
      </c>
      <c r="B304" s="143" t="s">
        <v>301</v>
      </c>
      <c r="C304" s="143">
        <v>90</v>
      </c>
      <c r="D304" s="143">
        <v>80</v>
      </c>
      <c r="E304" s="143" t="s">
        <v>1031</v>
      </c>
      <c r="F304" s="143">
        <v>5</v>
      </c>
      <c r="G304" s="143">
        <v>4</v>
      </c>
      <c r="H304" s="143" t="s">
        <v>287</v>
      </c>
      <c r="I304" s="143" t="s">
        <v>288</v>
      </c>
      <c r="J304" s="143">
        <v>2</v>
      </c>
      <c r="K304" s="143">
        <v>3</v>
      </c>
    </row>
    <row r="305" spans="1:11" x14ac:dyDescent="0.25">
      <c r="A305" s="143" t="s">
        <v>225</v>
      </c>
      <c r="B305" s="143" t="s">
        <v>301</v>
      </c>
      <c r="C305" s="144">
        <v>90</v>
      </c>
      <c r="D305" s="144">
        <v>80</v>
      </c>
      <c r="E305" s="143" t="s">
        <v>1031</v>
      </c>
      <c r="F305" s="143">
        <v>5</v>
      </c>
      <c r="G305" s="143">
        <v>4</v>
      </c>
      <c r="H305" s="143" t="s">
        <v>287</v>
      </c>
      <c r="I305" s="143" t="s">
        <v>288</v>
      </c>
      <c r="J305" s="143">
        <v>2</v>
      </c>
      <c r="K305" s="143">
        <v>3</v>
      </c>
    </row>
    <row r="306" spans="1:11" x14ac:dyDescent="0.25">
      <c r="A306" s="143" t="s">
        <v>226</v>
      </c>
      <c r="B306" s="143" t="s">
        <v>301</v>
      </c>
      <c r="C306" s="143">
        <v>100</v>
      </c>
      <c r="D306" s="143">
        <v>80</v>
      </c>
      <c r="E306" s="143" t="s">
        <v>1032</v>
      </c>
      <c r="F306" s="143">
        <v>5</v>
      </c>
      <c r="G306" s="143">
        <v>4</v>
      </c>
      <c r="H306" s="143" t="s">
        <v>287</v>
      </c>
      <c r="I306" s="143" t="s">
        <v>288</v>
      </c>
      <c r="J306" s="143">
        <v>2</v>
      </c>
      <c r="K306" s="143">
        <v>3</v>
      </c>
    </row>
    <row r="307" spans="1:11" x14ac:dyDescent="0.25">
      <c r="A307" s="143" t="s">
        <v>227</v>
      </c>
      <c r="B307" s="143" t="s">
        <v>301</v>
      </c>
      <c r="C307" s="143">
        <v>100</v>
      </c>
      <c r="D307" s="143">
        <v>80</v>
      </c>
      <c r="E307" s="143" t="s">
        <v>1041</v>
      </c>
      <c r="F307" s="143">
        <v>9</v>
      </c>
      <c r="G307" s="143">
        <v>8</v>
      </c>
      <c r="H307" s="143" t="s">
        <v>287</v>
      </c>
      <c r="I307" s="143" t="s">
        <v>288</v>
      </c>
      <c r="J307" s="143">
        <v>3</v>
      </c>
      <c r="K307" s="143">
        <v>4</v>
      </c>
    </row>
    <row r="308" spans="1:11" x14ac:dyDescent="0.25">
      <c r="A308" s="143" t="s">
        <v>858</v>
      </c>
      <c r="B308" s="143" t="s">
        <v>301</v>
      </c>
      <c r="C308" s="143">
        <v>120</v>
      </c>
      <c r="D308" s="143">
        <v>80</v>
      </c>
      <c r="E308" s="143" t="s">
        <v>1034</v>
      </c>
      <c r="F308" s="143">
        <v>6</v>
      </c>
      <c r="G308" s="143">
        <v>4</v>
      </c>
      <c r="H308" s="143" t="s">
        <v>287</v>
      </c>
      <c r="I308" s="143" t="s">
        <v>288</v>
      </c>
      <c r="J308" s="143">
        <v>2</v>
      </c>
      <c r="K308" s="143">
        <v>4</v>
      </c>
    </row>
    <row r="309" spans="1:11" x14ac:dyDescent="0.25">
      <c r="A309" s="143" t="s">
        <v>859</v>
      </c>
      <c r="B309" s="143" t="s">
        <v>301</v>
      </c>
      <c r="C309" s="143">
        <v>120</v>
      </c>
      <c r="D309" s="143">
        <v>80</v>
      </c>
      <c r="E309" s="143" t="s">
        <v>1032</v>
      </c>
      <c r="F309" s="143">
        <v>5</v>
      </c>
      <c r="G309" s="143">
        <v>4</v>
      </c>
      <c r="H309" s="143" t="s">
        <v>287</v>
      </c>
      <c r="I309" s="143" t="s">
        <v>288</v>
      </c>
      <c r="J309" s="143">
        <v>2</v>
      </c>
      <c r="K309" s="143">
        <v>3</v>
      </c>
    </row>
    <row r="310" spans="1:11" x14ac:dyDescent="0.25">
      <c r="A310" s="143" t="s">
        <v>860</v>
      </c>
      <c r="B310" s="143" t="s">
        <v>301</v>
      </c>
      <c r="C310" s="143">
        <v>130</v>
      </c>
      <c r="D310" s="143">
        <v>80</v>
      </c>
      <c r="E310" s="143" t="s">
        <v>1034</v>
      </c>
      <c r="F310" s="143">
        <v>6</v>
      </c>
      <c r="G310" s="143">
        <v>4</v>
      </c>
      <c r="H310" s="143" t="s">
        <v>287</v>
      </c>
      <c r="I310" s="143" t="s">
        <v>288</v>
      </c>
      <c r="J310" s="143">
        <v>2</v>
      </c>
      <c r="K310" s="143">
        <v>4</v>
      </c>
    </row>
    <row r="311" spans="1:11" x14ac:dyDescent="0.25">
      <c r="A311" s="143" t="s">
        <v>895</v>
      </c>
      <c r="B311" s="143" t="s">
        <v>302</v>
      </c>
      <c r="C311" s="143">
        <v>90</v>
      </c>
      <c r="D311" s="143">
        <v>80</v>
      </c>
      <c r="E311" s="143" t="s">
        <v>1031</v>
      </c>
      <c r="F311" s="143">
        <v>5</v>
      </c>
      <c r="G311" s="143">
        <v>4</v>
      </c>
      <c r="H311" s="143" t="s">
        <v>287</v>
      </c>
      <c r="I311" s="143" t="s">
        <v>288</v>
      </c>
      <c r="J311" s="143">
        <v>2</v>
      </c>
      <c r="K311" s="143">
        <v>3</v>
      </c>
    </row>
    <row r="312" spans="1:11" x14ac:dyDescent="0.25">
      <c r="A312" s="143" t="s">
        <v>851</v>
      </c>
      <c r="B312" s="143" t="s">
        <v>302</v>
      </c>
      <c r="C312" s="143">
        <v>90</v>
      </c>
      <c r="D312" s="143">
        <v>80</v>
      </c>
      <c r="E312" s="143" t="s">
        <v>1031</v>
      </c>
      <c r="F312" s="143">
        <v>5</v>
      </c>
      <c r="G312" s="143">
        <v>4</v>
      </c>
      <c r="H312" s="143" t="s">
        <v>287</v>
      </c>
      <c r="I312" s="143" t="s">
        <v>288</v>
      </c>
      <c r="J312" s="143">
        <v>2</v>
      </c>
      <c r="K312" s="143">
        <v>3</v>
      </c>
    </row>
    <row r="313" spans="1:11" x14ac:dyDescent="0.25">
      <c r="A313" s="143" t="s">
        <v>852</v>
      </c>
      <c r="B313" s="143" t="s">
        <v>302</v>
      </c>
      <c r="C313" s="143">
        <v>90</v>
      </c>
      <c r="D313" s="143">
        <v>80</v>
      </c>
      <c r="E313" s="143" t="s">
        <v>1031</v>
      </c>
      <c r="F313" s="143">
        <v>5</v>
      </c>
      <c r="G313" s="143">
        <v>4</v>
      </c>
      <c r="H313" s="143" t="s">
        <v>287</v>
      </c>
      <c r="I313" s="143" t="s">
        <v>288</v>
      </c>
      <c r="J313" s="143">
        <v>2</v>
      </c>
      <c r="K313" s="143">
        <v>3</v>
      </c>
    </row>
    <row r="314" spans="1:11" x14ac:dyDescent="0.25">
      <c r="A314" s="143" t="s">
        <v>853</v>
      </c>
      <c r="B314" s="143" t="s">
        <v>302</v>
      </c>
      <c r="C314" s="143">
        <v>90</v>
      </c>
      <c r="D314" s="143">
        <v>80</v>
      </c>
      <c r="E314" s="143" t="s">
        <v>1031</v>
      </c>
      <c r="F314" s="143">
        <v>5</v>
      </c>
      <c r="G314" s="143">
        <v>4</v>
      </c>
      <c r="H314" s="143" t="s">
        <v>287</v>
      </c>
      <c r="I314" s="143" t="s">
        <v>288</v>
      </c>
      <c r="J314" s="143">
        <v>2</v>
      </c>
      <c r="K314" s="143">
        <v>3</v>
      </c>
    </row>
    <row r="315" spans="1:11" x14ac:dyDescent="0.25">
      <c r="A315" s="143" t="s">
        <v>854</v>
      </c>
      <c r="B315" s="143" t="s">
        <v>302</v>
      </c>
      <c r="C315" s="143">
        <v>90</v>
      </c>
      <c r="D315" s="143">
        <v>80</v>
      </c>
      <c r="E315" s="143" t="s">
        <v>1031</v>
      </c>
      <c r="F315" s="143">
        <v>5</v>
      </c>
      <c r="G315" s="143">
        <v>4</v>
      </c>
      <c r="H315" s="143" t="s">
        <v>287</v>
      </c>
      <c r="I315" s="143" t="s">
        <v>288</v>
      </c>
      <c r="J315" s="143">
        <v>2</v>
      </c>
      <c r="K315" s="143">
        <v>3</v>
      </c>
    </row>
    <row r="316" spans="1:11" x14ac:dyDescent="0.25">
      <c r="A316" s="143" t="s">
        <v>855</v>
      </c>
      <c r="B316" s="143" t="s">
        <v>302</v>
      </c>
      <c r="C316" s="143">
        <v>90</v>
      </c>
      <c r="D316" s="143">
        <v>80</v>
      </c>
      <c r="E316" s="143" t="s">
        <v>1031</v>
      </c>
      <c r="F316" s="143">
        <v>5</v>
      </c>
      <c r="G316" s="143">
        <v>4</v>
      </c>
      <c r="H316" s="143" t="s">
        <v>287</v>
      </c>
      <c r="I316" s="143" t="s">
        <v>288</v>
      </c>
      <c r="J316" s="143">
        <v>2</v>
      </c>
      <c r="K316" s="143">
        <v>3</v>
      </c>
    </row>
    <row r="317" spans="1:11" x14ac:dyDescent="0.25">
      <c r="A317" s="143" t="s">
        <v>856</v>
      </c>
      <c r="B317" s="143" t="s">
        <v>302</v>
      </c>
      <c r="C317" s="143">
        <v>90</v>
      </c>
      <c r="D317" s="143">
        <v>80</v>
      </c>
      <c r="E317" s="143" t="s">
        <v>1031</v>
      </c>
      <c r="F317" s="143">
        <v>5</v>
      </c>
      <c r="G317" s="143">
        <v>4</v>
      </c>
      <c r="H317" s="143" t="s">
        <v>287</v>
      </c>
      <c r="I317" s="143" t="s">
        <v>288</v>
      </c>
      <c r="J317" s="143">
        <v>2</v>
      </c>
      <c r="K317" s="143">
        <v>3</v>
      </c>
    </row>
    <row r="318" spans="1:11" x14ac:dyDescent="0.25">
      <c r="A318" s="143" t="s">
        <v>857</v>
      </c>
      <c r="B318" s="143" t="s">
        <v>302</v>
      </c>
      <c r="C318" s="143">
        <v>90</v>
      </c>
      <c r="D318" s="143">
        <v>80</v>
      </c>
      <c r="E318" s="143" t="s">
        <v>1031</v>
      </c>
      <c r="F318" s="143">
        <v>5</v>
      </c>
      <c r="G318" s="143">
        <v>4</v>
      </c>
      <c r="H318" s="143" t="s">
        <v>287</v>
      </c>
      <c r="I318" s="143" t="s">
        <v>288</v>
      </c>
      <c r="J318" s="143">
        <v>2</v>
      </c>
      <c r="K318" s="143">
        <v>3</v>
      </c>
    </row>
    <row r="319" spans="1:11" x14ac:dyDescent="0.25">
      <c r="A319" s="143" t="s">
        <v>225</v>
      </c>
      <c r="B319" s="143" t="s">
        <v>302</v>
      </c>
      <c r="C319" s="143">
        <v>90</v>
      </c>
      <c r="D319" s="143">
        <v>80</v>
      </c>
      <c r="E319" s="143" t="s">
        <v>1031</v>
      </c>
      <c r="F319" s="143">
        <v>5</v>
      </c>
      <c r="G319" s="143">
        <v>4</v>
      </c>
      <c r="H319" s="143" t="s">
        <v>287</v>
      </c>
      <c r="I319" s="143" t="s">
        <v>288</v>
      </c>
      <c r="J319" s="143">
        <v>2</v>
      </c>
      <c r="K319" s="143">
        <v>3</v>
      </c>
    </row>
    <row r="320" spans="1:11" x14ac:dyDescent="0.25">
      <c r="A320" s="143" t="s">
        <v>226</v>
      </c>
      <c r="B320" s="143" t="s">
        <v>302</v>
      </c>
      <c r="C320" s="143">
        <v>100</v>
      </c>
      <c r="D320" s="143">
        <v>80</v>
      </c>
      <c r="E320" s="143" t="s">
        <v>1032</v>
      </c>
      <c r="F320" s="143">
        <v>5</v>
      </c>
      <c r="G320" s="143">
        <v>4</v>
      </c>
      <c r="H320" s="143" t="s">
        <v>287</v>
      </c>
      <c r="I320" s="143" t="s">
        <v>288</v>
      </c>
      <c r="J320" s="143">
        <v>2</v>
      </c>
      <c r="K320" s="143">
        <v>3</v>
      </c>
    </row>
    <row r="321" spans="1:11" x14ac:dyDescent="0.25">
      <c r="A321" s="143" t="s">
        <v>227</v>
      </c>
      <c r="B321" s="143" t="s">
        <v>302</v>
      </c>
      <c r="C321" s="144">
        <v>100</v>
      </c>
      <c r="D321" s="144">
        <v>80</v>
      </c>
      <c r="E321" s="144" t="s">
        <v>1047</v>
      </c>
      <c r="F321" s="144">
        <v>10</v>
      </c>
      <c r="G321" s="144">
        <v>8</v>
      </c>
      <c r="H321" s="144" t="s">
        <v>287</v>
      </c>
      <c r="I321" s="144" t="s">
        <v>288</v>
      </c>
      <c r="J321" s="144">
        <v>3</v>
      </c>
      <c r="K321" s="144">
        <v>4</v>
      </c>
    </row>
    <row r="322" spans="1:11" x14ac:dyDescent="0.25">
      <c r="A322" s="143" t="s">
        <v>858</v>
      </c>
      <c r="B322" s="143" t="s">
        <v>302</v>
      </c>
      <c r="C322" s="143">
        <v>120</v>
      </c>
      <c r="D322" s="143">
        <v>80</v>
      </c>
      <c r="E322" s="143" t="s">
        <v>1050</v>
      </c>
      <c r="F322" s="143">
        <v>7</v>
      </c>
      <c r="G322" s="143">
        <v>5</v>
      </c>
      <c r="H322" s="143" t="s">
        <v>287</v>
      </c>
      <c r="I322" s="143" t="s">
        <v>288</v>
      </c>
      <c r="J322" s="143">
        <v>1</v>
      </c>
      <c r="K322" s="143">
        <v>5</v>
      </c>
    </row>
    <row r="323" spans="1:11" x14ac:dyDescent="0.25">
      <c r="A323" s="143" t="s">
        <v>859</v>
      </c>
      <c r="B323" s="143" t="s">
        <v>302</v>
      </c>
      <c r="C323" s="143">
        <v>120</v>
      </c>
      <c r="D323" s="143">
        <v>80</v>
      </c>
      <c r="E323" s="143" t="s">
        <v>1032</v>
      </c>
      <c r="F323" s="143">
        <v>5</v>
      </c>
      <c r="G323" s="143">
        <v>4</v>
      </c>
      <c r="H323" s="143" t="s">
        <v>287</v>
      </c>
      <c r="I323" s="143" t="s">
        <v>288</v>
      </c>
      <c r="J323" s="143">
        <v>2</v>
      </c>
      <c r="K323" s="143">
        <v>3</v>
      </c>
    </row>
    <row r="324" spans="1:11" x14ac:dyDescent="0.25">
      <c r="A324" s="143" t="s">
        <v>860</v>
      </c>
      <c r="B324" s="143" t="s">
        <v>302</v>
      </c>
      <c r="C324" s="143">
        <v>130</v>
      </c>
      <c r="D324" s="143">
        <v>80</v>
      </c>
      <c r="E324" s="143" t="s">
        <v>1034</v>
      </c>
      <c r="F324" s="143">
        <v>6</v>
      </c>
      <c r="G324" s="143">
        <v>4</v>
      </c>
      <c r="H324" s="143" t="s">
        <v>287</v>
      </c>
      <c r="I324" s="143" t="s">
        <v>288</v>
      </c>
      <c r="J324" s="143">
        <v>2</v>
      </c>
      <c r="K324" s="143">
        <v>4</v>
      </c>
    </row>
    <row r="325" spans="1:11" x14ac:dyDescent="0.25">
      <c r="A325" s="143" t="s">
        <v>895</v>
      </c>
      <c r="B325" s="143" t="s">
        <v>303</v>
      </c>
      <c r="C325" s="144">
        <v>90</v>
      </c>
      <c r="D325" s="144">
        <v>80</v>
      </c>
      <c r="E325" s="143" t="s">
        <v>1031</v>
      </c>
      <c r="F325" s="143">
        <v>5</v>
      </c>
      <c r="G325" s="143">
        <v>4</v>
      </c>
      <c r="H325" s="143" t="s">
        <v>287</v>
      </c>
      <c r="I325" s="143" t="s">
        <v>288</v>
      </c>
      <c r="J325" s="143">
        <v>2</v>
      </c>
      <c r="K325" s="143">
        <v>3</v>
      </c>
    </row>
    <row r="326" spans="1:11" x14ac:dyDescent="0.25">
      <c r="A326" s="143" t="s">
        <v>851</v>
      </c>
      <c r="B326" s="143" t="s">
        <v>303</v>
      </c>
      <c r="C326" s="143">
        <v>90</v>
      </c>
      <c r="D326" s="143">
        <v>80</v>
      </c>
      <c r="E326" s="143" t="s">
        <v>1031</v>
      </c>
      <c r="F326" s="143">
        <v>5</v>
      </c>
      <c r="G326" s="143">
        <v>4</v>
      </c>
      <c r="H326" s="143" t="s">
        <v>287</v>
      </c>
      <c r="I326" s="143" t="s">
        <v>288</v>
      </c>
      <c r="J326" s="143">
        <v>2</v>
      </c>
      <c r="K326" s="143">
        <v>3</v>
      </c>
    </row>
    <row r="327" spans="1:11" x14ac:dyDescent="0.25">
      <c r="A327" s="143" t="s">
        <v>852</v>
      </c>
      <c r="B327" s="143" t="s">
        <v>303</v>
      </c>
      <c r="C327" s="143">
        <v>90</v>
      </c>
      <c r="D327" s="143">
        <v>80</v>
      </c>
      <c r="E327" s="143" t="s">
        <v>1031</v>
      </c>
      <c r="F327" s="143">
        <v>5</v>
      </c>
      <c r="G327" s="143">
        <v>4</v>
      </c>
      <c r="H327" s="143" t="s">
        <v>287</v>
      </c>
      <c r="I327" s="143" t="s">
        <v>288</v>
      </c>
      <c r="J327" s="143">
        <v>2</v>
      </c>
      <c r="K327" s="143">
        <v>3</v>
      </c>
    </row>
    <row r="328" spans="1:11" x14ac:dyDescent="0.25">
      <c r="A328" s="143" t="s">
        <v>853</v>
      </c>
      <c r="B328" s="143" t="s">
        <v>303</v>
      </c>
      <c r="C328" s="143">
        <v>90</v>
      </c>
      <c r="D328" s="143">
        <v>80</v>
      </c>
      <c r="E328" s="143" t="s">
        <v>1031</v>
      </c>
      <c r="F328" s="143">
        <v>5</v>
      </c>
      <c r="G328" s="143">
        <v>4</v>
      </c>
      <c r="H328" s="143" t="s">
        <v>287</v>
      </c>
      <c r="I328" s="143" t="s">
        <v>288</v>
      </c>
      <c r="J328" s="143">
        <v>2</v>
      </c>
      <c r="K328" s="143">
        <v>3</v>
      </c>
    </row>
    <row r="329" spans="1:11" x14ac:dyDescent="0.25">
      <c r="A329" s="143" t="s">
        <v>854</v>
      </c>
      <c r="B329" s="143" t="s">
        <v>303</v>
      </c>
      <c r="C329" s="143">
        <v>90</v>
      </c>
      <c r="D329" s="143">
        <v>80</v>
      </c>
      <c r="E329" s="143" t="s">
        <v>1031</v>
      </c>
      <c r="F329" s="143">
        <v>5</v>
      </c>
      <c r="G329" s="143">
        <v>4</v>
      </c>
      <c r="H329" s="143" t="s">
        <v>287</v>
      </c>
      <c r="I329" s="143" t="s">
        <v>288</v>
      </c>
      <c r="J329" s="143">
        <v>2</v>
      </c>
      <c r="K329" s="143">
        <v>3</v>
      </c>
    </row>
    <row r="330" spans="1:11" x14ac:dyDescent="0.25">
      <c r="A330" s="143" t="s">
        <v>855</v>
      </c>
      <c r="B330" s="143" t="s">
        <v>303</v>
      </c>
      <c r="C330" s="144">
        <v>90</v>
      </c>
      <c r="D330" s="144">
        <v>80</v>
      </c>
      <c r="E330" s="144" t="s">
        <v>1031</v>
      </c>
      <c r="F330" s="144">
        <v>5</v>
      </c>
      <c r="G330" s="144">
        <v>4</v>
      </c>
      <c r="H330" s="144" t="s">
        <v>287</v>
      </c>
      <c r="I330" s="144" t="s">
        <v>288</v>
      </c>
      <c r="J330" s="144">
        <v>2</v>
      </c>
      <c r="K330" s="144">
        <v>3</v>
      </c>
    </row>
    <row r="331" spans="1:11" x14ac:dyDescent="0.25">
      <c r="A331" s="143" t="s">
        <v>856</v>
      </c>
      <c r="B331" s="143" t="s">
        <v>303</v>
      </c>
      <c r="C331" s="143">
        <v>90</v>
      </c>
      <c r="D331" s="143">
        <v>80</v>
      </c>
      <c r="E331" s="143" t="s">
        <v>1031</v>
      </c>
      <c r="F331" s="143">
        <v>5</v>
      </c>
      <c r="G331" s="143">
        <v>4</v>
      </c>
      <c r="H331" s="143" t="s">
        <v>287</v>
      </c>
      <c r="I331" s="143" t="s">
        <v>288</v>
      </c>
      <c r="J331" s="143">
        <v>2</v>
      </c>
      <c r="K331" s="143">
        <v>3</v>
      </c>
    </row>
    <row r="332" spans="1:11" x14ac:dyDescent="0.25">
      <c r="A332" s="143" t="s">
        <v>857</v>
      </c>
      <c r="B332" s="143" t="s">
        <v>303</v>
      </c>
      <c r="C332" s="143">
        <v>90</v>
      </c>
      <c r="D332" s="143">
        <v>80</v>
      </c>
      <c r="E332" s="143" t="s">
        <v>1031</v>
      </c>
      <c r="F332" s="143">
        <v>5</v>
      </c>
      <c r="G332" s="143">
        <v>4</v>
      </c>
      <c r="H332" s="143" t="s">
        <v>287</v>
      </c>
      <c r="I332" s="143" t="s">
        <v>288</v>
      </c>
      <c r="J332" s="143">
        <v>2</v>
      </c>
      <c r="K332" s="143">
        <v>3</v>
      </c>
    </row>
    <row r="333" spans="1:11" x14ac:dyDescent="0.25">
      <c r="A333" s="143" t="s">
        <v>225</v>
      </c>
      <c r="B333" s="143" t="s">
        <v>303</v>
      </c>
      <c r="C333" s="143">
        <v>90</v>
      </c>
      <c r="D333" s="143">
        <v>80</v>
      </c>
      <c r="E333" s="143" t="s">
        <v>1031</v>
      </c>
      <c r="F333" s="143">
        <v>5</v>
      </c>
      <c r="G333" s="143">
        <v>4</v>
      </c>
      <c r="H333" s="143" t="s">
        <v>287</v>
      </c>
      <c r="I333" s="143" t="s">
        <v>288</v>
      </c>
      <c r="J333" s="143">
        <v>2</v>
      </c>
      <c r="K333" s="143">
        <v>3</v>
      </c>
    </row>
    <row r="334" spans="1:11" x14ac:dyDescent="0.25">
      <c r="A334" s="143" t="s">
        <v>226</v>
      </c>
      <c r="B334" s="143" t="s">
        <v>303</v>
      </c>
      <c r="C334" s="143">
        <v>100</v>
      </c>
      <c r="D334" s="143">
        <v>80</v>
      </c>
      <c r="E334" s="143" t="s">
        <v>1034</v>
      </c>
      <c r="F334" s="143">
        <v>6</v>
      </c>
      <c r="G334" s="143">
        <v>4</v>
      </c>
      <c r="H334" s="143" t="s">
        <v>287</v>
      </c>
      <c r="I334" s="143" t="s">
        <v>288</v>
      </c>
      <c r="J334" s="143">
        <v>2</v>
      </c>
      <c r="K334" s="143">
        <v>4</v>
      </c>
    </row>
    <row r="335" spans="1:11" x14ac:dyDescent="0.25">
      <c r="A335" s="143" t="s">
        <v>227</v>
      </c>
      <c r="B335" s="143" t="s">
        <v>303</v>
      </c>
      <c r="C335" s="143">
        <v>100</v>
      </c>
      <c r="D335" s="143">
        <v>80</v>
      </c>
      <c r="E335" s="143" t="s">
        <v>1032</v>
      </c>
      <c r="F335" s="143">
        <v>5</v>
      </c>
      <c r="G335" s="143">
        <v>4</v>
      </c>
      <c r="H335" s="143" t="s">
        <v>287</v>
      </c>
      <c r="I335" s="143" t="s">
        <v>288</v>
      </c>
      <c r="J335" s="143">
        <v>2</v>
      </c>
      <c r="K335" s="143">
        <v>3</v>
      </c>
    </row>
    <row r="336" spans="1:11" x14ac:dyDescent="0.25">
      <c r="A336" s="143" t="s">
        <v>858</v>
      </c>
      <c r="B336" s="143" t="s">
        <v>303</v>
      </c>
      <c r="C336" s="143">
        <v>120</v>
      </c>
      <c r="D336" s="143">
        <v>80</v>
      </c>
      <c r="E336" s="143" t="s">
        <v>1050</v>
      </c>
      <c r="F336" s="143">
        <v>7</v>
      </c>
      <c r="G336" s="143">
        <v>5</v>
      </c>
      <c r="H336" s="143" t="s">
        <v>287</v>
      </c>
      <c r="I336" s="143" t="s">
        <v>288</v>
      </c>
      <c r="J336" s="143">
        <v>1</v>
      </c>
      <c r="K336" s="143">
        <v>5</v>
      </c>
    </row>
    <row r="337" spans="1:11" x14ac:dyDescent="0.25">
      <c r="A337" s="143" t="s">
        <v>859</v>
      </c>
      <c r="B337" s="143" t="s">
        <v>303</v>
      </c>
      <c r="C337" s="143">
        <v>120</v>
      </c>
      <c r="D337" s="143">
        <v>80</v>
      </c>
      <c r="E337" s="143" t="s">
        <v>1036</v>
      </c>
      <c r="F337" s="143">
        <v>8</v>
      </c>
      <c r="G337" s="143">
        <v>5</v>
      </c>
      <c r="H337" s="143" t="s">
        <v>287</v>
      </c>
      <c r="I337" s="143" t="s">
        <v>288</v>
      </c>
      <c r="J337" s="143">
        <v>1</v>
      </c>
      <c r="K337" s="143">
        <v>3</v>
      </c>
    </row>
    <row r="338" spans="1:11" x14ac:dyDescent="0.25">
      <c r="A338" s="143" t="s">
        <v>860</v>
      </c>
      <c r="B338" s="143" t="s">
        <v>303</v>
      </c>
      <c r="C338" s="143">
        <v>130</v>
      </c>
      <c r="D338" s="143">
        <v>80</v>
      </c>
      <c r="E338" s="143" t="s">
        <v>1046</v>
      </c>
      <c r="F338" s="143">
        <v>9</v>
      </c>
      <c r="G338" s="143">
        <v>5</v>
      </c>
      <c r="H338" s="143" t="s">
        <v>287</v>
      </c>
      <c r="I338" s="143" t="s">
        <v>288</v>
      </c>
      <c r="J338" s="143">
        <v>1</v>
      </c>
      <c r="K338" s="143">
        <v>3</v>
      </c>
    </row>
    <row r="339" spans="1:11" x14ac:dyDescent="0.25">
      <c r="A339" s="143" t="s">
        <v>858</v>
      </c>
      <c r="B339" s="143" t="s">
        <v>849</v>
      </c>
      <c r="C339" s="143">
        <v>70</v>
      </c>
      <c r="D339" s="143">
        <v>70</v>
      </c>
      <c r="E339" s="143" t="s">
        <v>1060</v>
      </c>
      <c r="F339" s="143">
        <v>4</v>
      </c>
      <c r="G339" s="143">
        <v>4</v>
      </c>
      <c r="H339" s="143" t="s">
        <v>287</v>
      </c>
      <c r="I339" s="143" t="s">
        <v>288</v>
      </c>
      <c r="J339" s="143">
        <v>2</v>
      </c>
      <c r="K339" s="143">
        <v>2</v>
      </c>
    </row>
    <row r="340" spans="1:11" x14ac:dyDescent="0.25">
      <c r="A340" s="143" t="s">
        <v>859</v>
      </c>
      <c r="B340" s="143" t="s">
        <v>849</v>
      </c>
      <c r="C340" s="143">
        <v>70</v>
      </c>
      <c r="D340" s="143">
        <v>70</v>
      </c>
      <c r="E340" s="143" t="s">
        <v>1060</v>
      </c>
      <c r="F340" s="143">
        <v>4</v>
      </c>
      <c r="G340" s="143">
        <v>4</v>
      </c>
      <c r="H340" s="143" t="s">
        <v>287</v>
      </c>
      <c r="I340" s="143" t="s">
        <v>288</v>
      </c>
      <c r="J340" s="143">
        <v>2</v>
      </c>
      <c r="K340" s="143">
        <v>2</v>
      </c>
    </row>
    <row r="341" spans="1:11" x14ac:dyDescent="0.25">
      <c r="A341" s="143" t="s">
        <v>860</v>
      </c>
      <c r="B341" s="143" t="s">
        <v>849</v>
      </c>
      <c r="C341" s="143">
        <v>70</v>
      </c>
      <c r="D341" s="143">
        <v>70</v>
      </c>
      <c r="E341" s="143" t="s">
        <v>1060</v>
      </c>
      <c r="F341" s="143">
        <v>4</v>
      </c>
      <c r="G341" s="143">
        <v>4</v>
      </c>
      <c r="H341" s="143" t="s">
        <v>287</v>
      </c>
      <c r="I341" s="143" t="s">
        <v>288</v>
      </c>
      <c r="J341" s="143">
        <v>2</v>
      </c>
      <c r="K341" s="143">
        <v>2</v>
      </c>
    </row>
    <row r="342" spans="1:11" x14ac:dyDescent="0.25">
      <c r="A342" s="143" t="s">
        <v>858</v>
      </c>
      <c r="B342" s="143" t="s">
        <v>848</v>
      </c>
      <c r="C342" s="143">
        <v>70</v>
      </c>
      <c r="D342" s="143">
        <v>70</v>
      </c>
      <c r="E342" s="143" t="s">
        <v>1060</v>
      </c>
      <c r="F342" s="143">
        <v>4</v>
      </c>
      <c r="G342" s="143">
        <v>4</v>
      </c>
      <c r="H342" s="143" t="s">
        <v>287</v>
      </c>
      <c r="I342" s="143" t="s">
        <v>288</v>
      </c>
      <c r="J342" s="143">
        <v>2</v>
      </c>
      <c r="K342" s="143">
        <v>2</v>
      </c>
    </row>
    <row r="343" spans="1:11" x14ac:dyDescent="0.25">
      <c r="A343" s="143" t="s">
        <v>859</v>
      </c>
      <c r="B343" s="143" t="s">
        <v>848</v>
      </c>
      <c r="C343" s="143">
        <v>70</v>
      </c>
      <c r="D343" s="143">
        <v>70</v>
      </c>
      <c r="E343" s="143" t="s">
        <v>1060</v>
      </c>
      <c r="F343" s="143">
        <v>4</v>
      </c>
      <c r="G343" s="143">
        <v>4</v>
      </c>
      <c r="H343" s="143" t="s">
        <v>287</v>
      </c>
      <c r="I343" s="143" t="s">
        <v>288</v>
      </c>
      <c r="J343" s="143">
        <v>2</v>
      </c>
      <c r="K343" s="143">
        <v>2</v>
      </c>
    </row>
    <row r="344" spans="1:11" x14ac:dyDescent="0.25">
      <c r="A344" s="143" t="s">
        <v>860</v>
      </c>
      <c r="B344" s="143" t="s">
        <v>848</v>
      </c>
      <c r="C344" s="143">
        <v>70</v>
      </c>
      <c r="D344" s="143">
        <v>70</v>
      </c>
      <c r="E344" s="143" t="s">
        <v>1060</v>
      </c>
      <c r="F344" s="143">
        <v>4</v>
      </c>
      <c r="G344" s="143">
        <v>4</v>
      </c>
      <c r="H344" s="143" t="s">
        <v>287</v>
      </c>
      <c r="I344" s="143" t="s">
        <v>288</v>
      </c>
      <c r="J344" s="143">
        <v>2</v>
      </c>
      <c r="K344" s="143">
        <v>2</v>
      </c>
    </row>
    <row r="345" spans="1:11" x14ac:dyDescent="0.25">
      <c r="A345" s="143" t="s">
        <v>858</v>
      </c>
      <c r="B345" s="143" t="s">
        <v>847</v>
      </c>
      <c r="C345" s="143">
        <v>70</v>
      </c>
      <c r="D345" s="143">
        <v>70</v>
      </c>
      <c r="E345" s="143" t="s">
        <v>1060</v>
      </c>
      <c r="F345" s="143">
        <v>4</v>
      </c>
      <c r="G345" s="143">
        <v>4</v>
      </c>
      <c r="H345" s="143" t="s">
        <v>287</v>
      </c>
      <c r="I345" s="143" t="s">
        <v>288</v>
      </c>
      <c r="J345" s="143">
        <v>2</v>
      </c>
      <c r="K345" s="143">
        <v>2</v>
      </c>
    </row>
    <row r="346" spans="1:11" x14ac:dyDescent="0.25">
      <c r="A346" s="143" t="s">
        <v>859</v>
      </c>
      <c r="B346" s="143" t="s">
        <v>847</v>
      </c>
      <c r="C346" s="143">
        <v>70</v>
      </c>
      <c r="D346" s="143">
        <v>70</v>
      </c>
      <c r="E346" s="143" t="s">
        <v>1060</v>
      </c>
      <c r="F346" s="143">
        <v>4</v>
      </c>
      <c r="G346" s="143">
        <v>4</v>
      </c>
      <c r="H346" s="143" t="s">
        <v>287</v>
      </c>
      <c r="I346" s="143" t="s">
        <v>288</v>
      </c>
      <c r="J346" s="143">
        <v>2</v>
      </c>
      <c r="K346" s="143">
        <v>2</v>
      </c>
    </row>
    <row r="347" spans="1:11" x14ac:dyDescent="0.25">
      <c r="A347" s="143" t="s">
        <v>860</v>
      </c>
      <c r="B347" s="143" t="s">
        <v>847</v>
      </c>
      <c r="C347" s="143">
        <v>70</v>
      </c>
      <c r="D347" s="143">
        <v>70</v>
      </c>
      <c r="E347" s="143" t="s">
        <v>1060</v>
      </c>
      <c r="F347" s="143">
        <v>4</v>
      </c>
      <c r="G347" s="143">
        <v>4</v>
      </c>
      <c r="H347" s="143" t="s">
        <v>287</v>
      </c>
      <c r="I347" s="143" t="s">
        <v>288</v>
      </c>
      <c r="J347" s="143">
        <v>2</v>
      </c>
      <c r="K347" s="143">
        <v>2</v>
      </c>
    </row>
    <row r="348" spans="1:11" x14ac:dyDescent="0.25">
      <c r="A348" s="143" t="s">
        <v>858</v>
      </c>
      <c r="B348" s="143" t="s">
        <v>919</v>
      </c>
      <c r="C348" s="143">
        <v>70</v>
      </c>
      <c r="D348" s="143">
        <v>70</v>
      </c>
      <c r="E348" s="143" t="s">
        <v>1060</v>
      </c>
      <c r="F348" s="143">
        <v>4</v>
      </c>
      <c r="G348" s="143">
        <v>4</v>
      </c>
      <c r="H348" s="143" t="s">
        <v>287</v>
      </c>
      <c r="I348" s="143" t="s">
        <v>288</v>
      </c>
      <c r="J348" s="143">
        <v>2</v>
      </c>
      <c r="K348" s="143">
        <v>2</v>
      </c>
    </row>
    <row r="349" spans="1:11" x14ac:dyDescent="0.25">
      <c r="A349" s="143" t="s">
        <v>859</v>
      </c>
      <c r="B349" s="143" t="s">
        <v>919</v>
      </c>
      <c r="C349" s="143">
        <v>70</v>
      </c>
      <c r="D349" s="143">
        <v>70</v>
      </c>
      <c r="E349" s="143" t="s">
        <v>1060</v>
      </c>
      <c r="F349" s="143">
        <v>4</v>
      </c>
      <c r="G349" s="143">
        <v>4</v>
      </c>
      <c r="H349" s="143" t="s">
        <v>287</v>
      </c>
      <c r="I349" s="143" t="s">
        <v>288</v>
      </c>
      <c r="J349" s="143">
        <v>2</v>
      </c>
      <c r="K349" s="143">
        <v>2</v>
      </c>
    </row>
    <row r="350" spans="1:11" x14ac:dyDescent="0.25">
      <c r="A350" s="143" t="s">
        <v>860</v>
      </c>
      <c r="B350" s="143" t="s">
        <v>919</v>
      </c>
      <c r="C350" s="143">
        <v>70</v>
      </c>
      <c r="D350" s="143">
        <v>70</v>
      </c>
      <c r="E350" s="143" t="s">
        <v>1060</v>
      </c>
      <c r="F350" s="143">
        <v>4</v>
      </c>
      <c r="G350" s="143">
        <v>4</v>
      </c>
      <c r="H350" s="143" t="s">
        <v>287</v>
      </c>
      <c r="I350" s="143" t="s">
        <v>288</v>
      </c>
      <c r="J350" s="143">
        <v>2</v>
      </c>
      <c r="K350" s="143">
        <v>2</v>
      </c>
    </row>
    <row r="351" spans="1:11" x14ac:dyDescent="0.25">
      <c r="A351" s="143" t="s">
        <v>858</v>
      </c>
      <c r="B351" s="143" t="s">
        <v>920</v>
      </c>
      <c r="C351" s="143">
        <v>70</v>
      </c>
      <c r="D351" s="143">
        <v>70</v>
      </c>
      <c r="E351" s="143" t="s">
        <v>1060</v>
      </c>
      <c r="F351" s="143">
        <v>4</v>
      </c>
      <c r="G351" s="143">
        <v>4</v>
      </c>
      <c r="H351" s="143" t="s">
        <v>287</v>
      </c>
      <c r="I351" s="143" t="s">
        <v>288</v>
      </c>
      <c r="J351" s="143">
        <v>2</v>
      </c>
      <c r="K351" s="143">
        <v>2</v>
      </c>
    </row>
    <row r="352" spans="1:11" x14ac:dyDescent="0.25">
      <c r="A352" s="143" t="s">
        <v>859</v>
      </c>
      <c r="B352" s="143" t="s">
        <v>920</v>
      </c>
      <c r="C352" s="143">
        <v>70</v>
      </c>
      <c r="D352" s="143">
        <v>70</v>
      </c>
      <c r="E352" s="143" t="s">
        <v>1060</v>
      </c>
      <c r="F352" s="143">
        <v>4</v>
      </c>
      <c r="G352" s="143">
        <v>4</v>
      </c>
      <c r="H352" s="143" t="s">
        <v>287</v>
      </c>
      <c r="I352" s="143" t="s">
        <v>288</v>
      </c>
      <c r="J352" s="143">
        <v>2</v>
      </c>
      <c r="K352" s="143">
        <v>2</v>
      </c>
    </row>
    <row r="353" spans="1:11" x14ac:dyDescent="0.25">
      <c r="A353" s="143" t="s">
        <v>860</v>
      </c>
      <c r="B353" s="143" t="s">
        <v>920</v>
      </c>
      <c r="C353" s="143">
        <v>70</v>
      </c>
      <c r="D353" s="143">
        <v>70</v>
      </c>
      <c r="E353" s="143" t="s">
        <v>1060</v>
      </c>
      <c r="F353" s="143">
        <v>4</v>
      </c>
      <c r="G353" s="143">
        <v>4</v>
      </c>
      <c r="H353" s="143" t="s">
        <v>287</v>
      </c>
      <c r="I353" s="143" t="s">
        <v>288</v>
      </c>
      <c r="J353" s="143">
        <v>2</v>
      </c>
      <c r="K353" s="143">
        <v>2</v>
      </c>
    </row>
    <row r="354" spans="1:11" x14ac:dyDescent="0.25">
      <c r="A354" s="143" t="s">
        <v>858</v>
      </c>
      <c r="B354" s="143" t="s">
        <v>921</v>
      </c>
      <c r="C354" s="143">
        <v>70</v>
      </c>
      <c r="D354" s="143">
        <v>70</v>
      </c>
      <c r="E354" s="143" t="s">
        <v>1060</v>
      </c>
      <c r="F354" s="143">
        <v>4</v>
      </c>
      <c r="G354" s="143">
        <v>4</v>
      </c>
      <c r="H354" s="143" t="s">
        <v>287</v>
      </c>
      <c r="I354" s="143" t="s">
        <v>288</v>
      </c>
      <c r="J354" s="143">
        <v>2</v>
      </c>
      <c r="K354" s="143">
        <v>2</v>
      </c>
    </row>
    <row r="355" spans="1:11" x14ac:dyDescent="0.25">
      <c r="A355" s="143" t="s">
        <v>859</v>
      </c>
      <c r="B355" s="143" t="s">
        <v>921</v>
      </c>
      <c r="C355" s="143">
        <v>70</v>
      </c>
      <c r="D355" s="143">
        <v>70</v>
      </c>
      <c r="E355" s="143" t="s">
        <v>1060</v>
      </c>
      <c r="F355" s="143">
        <v>4</v>
      </c>
      <c r="G355" s="143">
        <v>4</v>
      </c>
      <c r="H355" s="143" t="s">
        <v>287</v>
      </c>
      <c r="I355" s="143" t="s">
        <v>288</v>
      </c>
      <c r="J355" s="143">
        <v>2</v>
      </c>
      <c r="K355" s="143">
        <v>2</v>
      </c>
    </row>
    <row r="356" spans="1:11" x14ac:dyDescent="0.25">
      <c r="A356" s="143" t="s">
        <v>860</v>
      </c>
      <c r="B356" s="143" t="s">
        <v>921</v>
      </c>
      <c r="C356" s="143">
        <v>70</v>
      </c>
      <c r="D356" s="143">
        <v>70</v>
      </c>
      <c r="E356" s="143" t="s">
        <v>1060</v>
      </c>
      <c r="F356" s="143">
        <v>4</v>
      </c>
      <c r="G356" s="143">
        <v>4</v>
      </c>
      <c r="H356" s="143" t="s">
        <v>287</v>
      </c>
      <c r="I356" s="143" t="s">
        <v>288</v>
      </c>
      <c r="J356" s="143">
        <v>2</v>
      </c>
      <c r="K356" s="143">
        <v>2</v>
      </c>
    </row>
    <row r="357" spans="1:11" x14ac:dyDescent="0.25">
      <c r="A357" s="143" t="s">
        <v>858</v>
      </c>
      <c r="B357" s="143" t="s">
        <v>922</v>
      </c>
      <c r="C357" s="144">
        <v>70</v>
      </c>
      <c r="D357" s="144">
        <v>70</v>
      </c>
      <c r="E357" s="143" t="s">
        <v>1060</v>
      </c>
      <c r="F357" s="143">
        <v>4</v>
      </c>
      <c r="G357" s="143">
        <v>4</v>
      </c>
      <c r="H357" s="143" t="s">
        <v>287</v>
      </c>
      <c r="I357" s="143" t="s">
        <v>288</v>
      </c>
      <c r="J357" s="143">
        <v>2</v>
      </c>
      <c r="K357" s="143">
        <v>2</v>
      </c>
    </row>
    <row r="358" spans="1:11" x14ac:dyDescent="0.25">
      <c r="A358" s="143" t="s">
        <v>859</v>
      </c>
      <c r="B358" s="143" t="s">
        <v>922</v>
      </c>
      <c r="C358" s="143">
        <v>70</v>
      </c>
      <c r="D358" s="143">
        <v>70</v>
      </c>
      <c r="E358" s="143" t="s">
        <v>1060</v>
      </c>
      <c r="F358" s="143">
        <v>4</v>
      </c>
      <c r="G358" s="143">
        <v>4</v>
      </c>
      <c r="H358" s="143" t="s">
        <v>287</v>
      </c>
      <c r="I358" s="143" t="s">
        <v>288</v>
      </c>
      <c r="J358" s="143">
        <v>2</v>
      </c>
      <c r="K358" s="143">
        <v>2</v>
      </c>
    </row>
    <row r="359" spans="1:11" x14ac:dyDescent="0.25">
      <c r="A359" s="143" t="s">
        <v>860</v>
      </c>
      <c r="B359" s="143" t="s">
        <v>922</v>
      </c>
      <c r="C359" s="143">
        <v>70</v>
      </c>
      <c r="D359" s="143">
        <v>70</v>
      </c>
      <c r="E359" s="143" t="s">
        <v>1060</v>
      </c>
      <c r="F359" s="143">
        <v>4</v>
      </c>
      <c r="G359" s="143">
        <v>4</v>
      </c>
      <c r="H359" s="143" t="s">
        <v>287</v>
      </c>
      <c r="I359" s="143" t="s">
        <v>288</v>
      </c>
      <c r="J359" s="143">
        <v>2</v>
      </c>
      <c r="K359" s="143">
        <v>2</v>
      </c>
    </row>
    <row r="360" spans="1:11" x14ac:dyDescent="0.25">
      <c r="A360" s="143" t="s">
        <v>858</v>
      </c>
      <c r="B360" s="143" t="s">
        <v>923</v>
      </c>
      <c r="C360" s="143">
        <v>70</v>
      </c>
      <c r="D360" s="143">
        <v>70</v>
      </c>
      <c r="E360" s="143" t="s">
        <v>1060</v>
      </c>
      <c r="F360" s="143">
        <v>4</v>
      </c>
      <c r="G360" s="143">
        <v>4</v>
      </c>
      <c r="H360" s="143" t="s">
        <v>287</v>
      </c>
      <c r="I360" s="143" t="s">
        <v>288</v>
      </c>
      <c r="J360" s="143">
        <v>2</v>
      </c>
      <c r="K360" s="143">
        <v>2</v>
      </c>
    </row>
    <row r="361" spans="1:11" x14ac:dyDescent="0.25">
      <c r="A361" s="143" t="s">
        <v>859</v>
      </c>
      <c r="B361" s="143" t="s">
        <v>923</v>
      </c>
      <c r="C361" s="143">
        <v>70</v>
      </c>
      <c r="D361" s="143">
        <v>70</v>
      </c>
      <c r="E361" s="143" t="s">
        <v>1060</v>
      </c>
      <c r="F361" s="143">
        <v>4</v>
      </c>
      <c r="G361" s="143">
        <v>4</v>
      </c>
      <c r="H361" s="143" t="s">
        <v>287</v>
      </c>
      <c r="I361" s="143" t="s">
        <v>288</v>
      </c>
      <c r="J361" s="143">
        <v>2</v>
      </c>
      <c r="K361" s="143">
        <v>2</v>
      </c>
    </row>
    <row r="362" spans="1:11" x14ac:dyDescent="0.25">
      <c r="A362" s="143" t="s">
        <v>860</v>
      </c>
      <c r="B362" s="143" t="s">
        <v>923</v>
      </c>
      <c r="C362" s="143">
        <v>70</v>
      </c>
      <c r="D362" s="143">
        <v>70</v>
      </c>
      <c r="E362" s="143" t="s">
        <v>1060</v>
      </c>
      <c r="F362" s="143">
        <v>4</v>
      </c>
      <c r="G362" s="143">
        <v>4</v>
      </c>
      <c r="H362" s="143" t="s">
        <v>287</v>
      </c>
      <c r="I362" s="143" t="s">
        <v>288</v>
      </c>
      <c r="J362" s="143">
        <v>2</v>
      </c>
      <c r="K362" s="143">
        <v>2</v>
      </c>
    </row>
    <row r="363" spans="1:11" x14ac:dyDescent="0.25">
      <c r="A363" s="143" t="s">
        <v>858</v>
      </c>
      <c r="B363" s="143" t="s">
        <v>924</v>
      </c>
      <c r="C363" s="143">
        <v>70</v>
      </c>
      <c r="D363" s="143">
        <v>70</v>
      </c>
      <c r="E363" s="143" t="s">
        <v>1060</v>
      </c>
      <c r="F363" s="143">
        <v>4</v>
      </c>
      <c r="G363" s="143">
        <v>4</v>
      </c>
      <c r="H363" s="143" t="s">
        <v>287</v>
      </c>
      <c r="I363" s="143" t="s">
        <v>288</v>
      </c>
      <c r="J363" s="143">
        <v>2</v>
      </c>
      <c r="K363" s="143">
        <v>2</v>
      </c>
    </row>
    <row r="364" spans="1:11" x14ac:dyDescent="0.25">
      <c r="A364" s="143" t="s">
        <v>859</v>
      </c>
      <c r="B364" s="143" t="s">
        <v>924</v>
      </c>
      <c r="C364" s="143">
        <v>70</v>
      </c>
      <c r="D364" s="143">
        <v>70</v>
      </c>
      <c r="E364" s="143" t="s">
        <v>1060</v>
      </c>
      <c r="F364" s="143">
        <v>4</v>
      </c>
      <c r="G364" s="143">
        <v>4</v>
      </c>
      <c r="H364" s="143" t="s">
        <v>287</v>
      </c>
      <c r="I364" s="143" t="s">
        <v>288</v>
      </c>
      <c r="J364" s="143">
        <v>2</v>
      </c>
      <c r="K364" s="143">
        <v>2</v>
      </c>
    </row>
    <row r="365" spans="1:11" x14ac:dyDescent="0.25">
      <c r="A365" s="143" t="s">
        <v>860</v>
      </c>
      <c r="B365" s="143" t="s">
        <v>924</v>
      </c>
      <c r="C365" s="143">
        <v>70</v>
      </c>
      <c r="D365" s="143">
        <v>70</v>
      </c>
      <c r="E365" s="143" t="s">
        <v>1060</v>
      </c>
      <c r="F365" s="143">
        <v>4</v>
      </c>
      <c r="G365" s="143">
        <v>4</v>
      </c>
      <c r="H365" s="143" t="s">
        <v>287</v>
      </c>
      <c r="I365" s="143" t="s">
        <v>288</v>
      </c>
      <c r="J365" s="143">
        <v>2</v>
      </c>
      <c r="K365" s="143">
        <v>2</v>
      </c>
    </row>
    <row r="366" spans="1:11" x14ac:dyDescent="0.25">
      <c r="A366" s="143" t="s">
        <v>895</v>
      </c>
      <c r="B366" s="143" t="s">
        <v>304</v>
      </c>
      <c r="C366" s="143">
        <v>90</v>
      </c>
      <c r="D366" s="143">
        <v>80</v>
      </c>
      <c r="E366" s="143" t="s">
        <v>1031</v>
      </c>
      <c r="F366" s="143">
        <v>5</v>
      </c>
      <c r="G366" s="143">
        <v>4</v>
      </c>
      <c r="H366" s="143" t="s">
        <v>287</v>
      </c>
      <c r="I366" s="143" t="s">
        <v>287</v>
      </c>
      <c r="J366" s="143">
        <v>2</v>
      </c>
      <c r="K366" s="143">
        <v>3</v>
      </c>
    </row>
    <row r="367" spans="1:11" x14ac:dyDescent="0.25">
      <c r="A367" s="143" t="s">
        <v>851</v>
      </c>
      <c r="B367" s="143" t="s">
        <v>304</v>
      </c>
      <c r="C367" s="143">
        <v>90</v>
      </c>
      <c r="D367" s="143">
        <v>80</v>
      </c>
      <c r="E367" s="143" t="s">
        <v>1031</v>
      </c>
      <c r="F367" s="143">
        <v>5</v>
      </c>
      <c r="G367" s="143">
        <v>4</v>
      </c>
      <c r="H367" s="143" t="s">
        <v>287</v>
      </c>
      <c r="I367" s="143" t="s">
        <v>288</v>
      </c>
      <c r="J367" s="143">
        <v>2</v>
      </c>
      <c r="K367" s="143">
        <v>3</v>
      </c>
    </row>
    <row r="368" spans="1:11" x14ac:dyDescent="0.25">
      <c r="A368" s="143" t="s">
        <v>852</v>
      </c>
      <c r="B368" s="143" t="s">
        <v>304</v>
      </c>
      <c r="C368" s="143">
        <v>90</v>
      </c>
      <c r="D368" s="143">
        <v>80</v>
      </c>
      <c r="E368" s="143" t="s">
        <v>1031</v>
      </c>
      <c r="F368" s="143">
        <v>5</v>
      </c>
      <c r="G368" s="143">
        <v>4</v>
      </c>
      <c r="H368" s="143" t="s">
        <v>287</v>
      </c>
      <c r="I368" s="143" t="s">
        <v>288</v>
      </c>
      <c r="J368" s="143">
        <v>2</v>
      </c>
      <c r="K368" s="143">
        <v>3</v>
      </c>
    </row>
    <row r="369" spans="1:11" x14ac:dyDescent="0.25">
      <c r="A369" s="143" t="s">
        <v>853</v>
      </c>
      <c r="B369" s="143" t="s">
        <v>304</v>
      </c>
      <c r="C369" s="143">
        <v>90</v>
      </c>
      <c r="D369" s="143">
        <v>80</v>
      </c>
      <c r="E369" s="143" t="s">
        <v>1031</v>
      </c>
      <c r="F369" s="143">
        <v>5</v>
      </c>
      <c r="G369" s="143">
        <v>4</v>
      </c>
      <c r="H369" s="143" t="s">
        <v>287</v>
      </c>
      <c r="I369" s="143" t="s">
        <v>288</v>
      </c>
      <c r="J369" s="143">
        <v>2</v>
      </c>
      <c r="K369" s="143">
        <v>3</v>
      </c>
    </row>
    <row r="370" spans="1:11" x14ac:dyDescent="0.25">
      <c r="A370" s="143" t="s">
        <v>854</v>
      </c>
      <c r="B370" s="143" t="s">
        <v>304</v>
      </c>
      <c r="C370" s="143">
        <v>90</v>
      </c>
      <c r="D370" s="143">
        <v>80</v>
      </c>
      <c r="E370" s="143" t="s">
        <v>1031</v>
      </c>
      <c r="F370" s="143">
        <v>5</v>
      </c>
      <c r="G370" s="143">
        <v>4</v>
      </c>
      <c r="H370" s="143" t="s">
        <v>287</v>
      </c>
      <c r="I370" s="143" t="s">
        <v>288</v>
      </c>
      <c r="J370" s="143">
        <v>2</v>
      </c>
      <c r="K370" s="143">
        <v>3</v>
      </c>
    </row>
    <row r="371" spans="1:11" x14ac:dyDescent="0.25">
      <c r="A371" s="143" t="s">
        <v>855</v>
      </c>
      <c r="B371" s="143" t="s">
        <v>304</v>
      </c>
      <c r="C371" s="143">
        <v>90</v>
      </c>
      <c r="D371" s="143">
        <v>80</v>
      </c>
      <c r="E371" s="143" t="s">
        <v>1045</v>
      </c>
      <c r="F371" s="143">
        <v>5</v>
      </c>
      <c r="G371" s="143">
        <v>5</v>
      </c>
      <c r="H371" s="143" t="s">
        <v>287</v>
      </c>
      <c r="I371" s="143" t="s">
        <v>288</v>
      </c>
      <c r="J371" s="143">
        <v>2</v>
      </c>
      <c r="K371" s="143">
        <v>3</v>
      </c>
    </row>
    <row r="372" spans="1:11" x14ac:dyDescent="0.25">
      <c r="A372" s="143" t="s">
        <v>856</v>
      </c>
      <c r="B372" s="143" t="s">
        <v>304</v>
      </c>
      <c r="C372" s="144">
        <v>90</v>
      </c>
      <c r="D372" s="144">
        <v>80</v>
      </c>
      <c r="E372" s="143" t="s">
        <v>1040</v>
      </c>
      <c r="F372" s="143">
        <v>8</v>
      </c>
      <c r="G372" s="143">
        <v>7</v>
      </c>
      <c r="H372" s="143" t="s">
        <v>287</v>
      </c>
      <c r="I372" s="143" t="s">
        <v>288</v>
      </c>
      <c r="J372" s="143">
        <v>2</v>
      </c>
      <c r="K372" s="143">
        <v>3</v>
      </c>
    </row>
    <row r="373" spans="1:11" x14ac:dyDescent="0.25">
      <c r="A373" s="143" t="s">
        <v>857</v>
      </c>
      <c r="B373" s="143" t="s">
        <v>304</v>
      </c>
      <c r="C373" s="143">
        <v>90</v>
      </c>
      <c r="D373" s="143">
        <v>80</v>
      </c>
      <c r="E373" s="143" t="s">
        <v>1040</v>
      </c>
      <c r="F373" s="143">
        <v>8</v>
      </c>
      <c r="G373" s="143">
        <v>7</v>
      </c>
      <c r="H373" s="143" t="s">
        <v>287</v>
      </c>
      <c r="I373" s="143" t="s">
        <v>288</v>
      </c>
      <c r="J373" s="143">
        <v>2</v>
      </c>
      <c r="K373" s="143">
        <v>3</v>
      </c>
    </row>
    <row r="374" spans="1:11" x14ac:dyDescent="0.25">
      <c r="A374" s="143" t="s">
        <v>225</v>
      </c>
      <c r="B374" s="143" t="s">
        <v>304</v>
      </c>
      <c r="C374" s="143">
        <v>90</v>
      </c>
      <c r="D374" s="143">
        <v>80</v>
      </c>
      <c r="E374" s="143" t="s">
        <v>1061</v>
      </c>
      <c r="F374" s="143">
        <v>9</v>
      </c>
      <c r="G374" s="143">
        <v>8</v>
      </c>
      <c r="H374" s="143" t="s">
        <v>287</v>
      </c>
      <c r="I374" s="143" t="s">
        <v>288</v>
      </c>
      <c r="J374" s="143">
        <v>3</v>
      </c>
      <c r="K374" s="143">
        <v>3</v>
      </c>
    </row>
    <row r="375" spans="1:11" x14ac:dyDescent="0.25">
      <c r="A375" s="143" t="s">
        <v>226</v>
      </c>
      <c r="B375" s="143" t="s">
        <v>304</v>
      </c>
      <c r="C375" s="143">
        <v>100</v>
      </c>
      <c r="D375" s="143">
        <v>80</v>
      </c>
      <c r="E375" s="143" t="s">
        <v>1051</v>
      </c>
      <c r="F375" s="143">
        <v>9</v>
      </c>
      <c r="G375" s="143">
        <v>7</v>
      </c>
      <c r="H375" s="143" t="s">
        <v>287</v>
      </c>
      <c r="I375" s="143" t="s">
        <v>288</v>
      </c>
      <c r="J375" s="143">
        <v>2</v>
      </c>
      <c r="K375" s="143">
        <v>4</v>
      </c>
    </row>
    <row r="376" spans="1:11" x14ac:dyDescent="0.25">
      <c r="A376" s="143" t="s">
        <v>227</v>
      </c>
      <c r="B376" s="143" t="s">
        <v>304</v>
      </c>
      <c r="C376" s="143">
        <v>100</v>
      </c>
      <c r="D376" s="143">
        <v>80</v>
      </c>
      <c r="E376" s="143" t="s">
        <v>1041</v>
      </c>
      <c r="F376" s="143">
        <v>9</v>
      </c>
      <c r="G376" s="143">
        <v>8</v>
      </c>
      <c r="H376" s="143" t="s">
        <v>287</v>
      </c>
      <c r="I376" s="143" t="s">
        <v>288</v>
      </c>
      <c r="J376" s="143">
        <v>3</v>
      </c>
      <c r="K376" s="143">
        <v>4</v>
      </c>
    </row>
    <row r="377" spans="1:11" x14ac:dyDescent="0.25">
      <c r="A377" s="143" t="s">
        <v>858</v>
      </c>
      <c r="B377" s="143" t="s">
        <v>304</v>
      </c>
      <c r="C377" s="143">
        <v>120</v>
      </c>
      <c r="D377" s="143">
        <v>80</v>
      </c>
      <c r="E377" s="143" t="s">
        <v>1051</v>
      </c>
      <c r="F377" s="143">
        <v>10</v>
      </c>
      <c r="G377" s="143">
        <v>6</v>
      </c>
      <c r="H377" s="143" t="s">
        <v>287</v>
      </c>
      <c r="I377" s="143" t="s">
        <v>288</v>
      </c>
      <c r="J377" s="143">
        <v>2</v>
      </c>
      <c r="K377" s="143">
        <v>4</v>
      </c>
    </row>
    <row r="378" spans="1:11" x14ac:dyDescent="0.25">
      <c r="A378" s="143" t="s">
        <v>859</v>
      </c>
      <c r="B378" s="143" t="s">
        <v>304</v>
      </c>
      <c r="C378" s="143">
        <v>120</v>
      </c>
      <c r="D378" s="143">
        <v>80</v>
      </c>
      <c r="E378" s="143" t="s">
        <v>1038</v>
      </c>
      <c r="F378" s="143">
        <v>12</v>
      </c>
      <c r="G378" s="143">
        <v>8</v>
      </c>
      <c r="H378" s="143" t="s">
        <v>287</v>
      </c>
      <c r="I378" s="143" t="s">
        <v>288</v>
      </c>
      <c r="J378" s="143">
        <v>3</v>
      </c>
      <c r="K378" s="143">
        <v>5</v>
      </c>
    </row>
    <row r="379" spans="1:11" x14ac:dyDescent="0.25">
      <c r="A379" s="143" t="s">
        <v>860</v>
      </c>
      <c r="B379" s="143" t="s">
        <v>304</v>
      </c>
      <c r="C379" s="143">
        <v>130</v>
      </c>
      <c r="D379" s="143">
        <v>80</v>
      </c>
      <c r="E379" s="143" t="s">
        <v>1055</v>
      </c>
      <c r="F379" s="143">
        <v>14</v>
      </c>
      <c r="G379" s="143">
        <v>8</v>
      </c>
      <c r="H379" s="143" t="s">
        <v>287</v>
      </c>
      <c r="I379" s="143" t="s">
        <v>288</v>
      </c>
      <c r="J379" s="143">
        <v>3</v>
      </c>
      <c r="K379" s="143">
        <v>6</v>
      </c>
    </row>
    <row r="380" spans="1:11" x14ac:dyDescent="0.25">
      <c r="A380" s="143" t="s">
        <v>858</v>
      </c>
      <c r="B380" s="143" t="s">
        <v>925</v>
      </c>
      <c r="C380" s="143">
        <v>70</v>
      </c>
      <c r="D380" s="143">
        <v>70</v>
      </c>
      <c r="E380" s="143" t="s">
        <v>1060</v>
      </c>
      <c r="F380" s="143">
        <v>4</v>
      </c>
      <c r="G380" s="143">
        <v>4</v>
      </c>
      <c r="H380" s="143" t="s">
        <v>287</v>
      </c>
      <c r="I380" s="143" t="s">
        <v>288</v>
      </c>
      <c r="J380" s="143">
        <v>2</v>
      </c>
      <c r="K380" s="143">
        <v>2</v>
      </c>
    </row>
    <row r="381" spans="1:11" x14ac:dyDescent="0.25">
      <c r="A381" s="143" t="s">
        <v>859</v>
      </c>
      <c r="B381" s="143" t="s">
        <v>925</v>
      </c>
      <c r="C381" s="143">
        <v>70</v>
      </c>
      <c r="D381" s="143">
        <v>70</v>
      </c>
      <c r="E381" s="143" t="s">
        <v>1060</v>
      </c>
      <c r="F381" s="143">
        <v>4</v>
      </c>
      <c r="G381" s="143">
        <v>4</v>
      </c>
      <c r="H381" s="143" t="s">
        <v>287</v>
      </c>
      <c r="I381" s="143" t="s">
        <v>288</v>
      </c>
      <c r="J381" s="143">
        <v>2</v>
      </c>
      <c r="K381" s="143">
        <v>2</v>
      </c>
    </row>
    <row r="382" spans="1:11" x14ac:dyDescent="0.25">
      <c r="A382" s="143" t="s">
        <v>860</v>
      </c>
      <c r="B382" s="143" t="s">
        <v>925</v>
      </c>
      <c r="C382" s="143">
        <v>70</v>
      </c>
      <c r="D382" s="143">
        <v>70</v>
      </c>
      <c r="E382" s="143" t="s">
        <v>1060</v>
      </c>
      <c r="F382" s="143">
        <v>4</v>
      </c>
      <c r="G382" s="143">
        <v>4</v>
      </c>
      <c r="H382" s="143" t="s">
        <v>287</v>
      </c>
      <c r="I382" s="143" t="s">
        <v>288</v>
      </c>
      <c r="J382" s="143">
        <v>2</v>
      </c>
      <c r="K382" s="143">
        <v>2</v>
      </c>
    </row>
    <row r="383" spans="1:11" x14ac:dyDescent="0.25">
      <c r="A383" s="143" t="s">
        <v>858</v>
      </c>
      <c r="B383" s="143" t="s">
        <v>926</v>
      </c>
      <c r="C383" s="143">
        <v>70</v>
      </c>
      <c r="D383" s="143">
        <v>70</v>
      </c>
      <c r="E383" s="143" t="s">
        <v>1060</v>
      </c>
      <c r="F383" s="143">
        <v>4</v>
      </c>
      <c r="G383" s="143">
        <v>4</v>
      </c>
      <c r="H383" s="143" t="s">
        <v>287</v>
      </c>
      <c r="I383" s="143" t="s">
        <v>288</v>
      </c>
      <c r="J383" s="143">
        <v>2</v>
      </c>
      <c r="K383" s="143">
        <v>2</v>
      </c>
    </row>
    <row r="384" spans="1:11" x14ac:dyDescent="0.25">
      <c r="A384" s="143" t="s">
        <v>859</v>
      </c>
      <c r="B384" s="143" t="s">
        <v>926</v>
      </c>
      <c r="C384" s="144">
        <v>70</v>
      </c>
      <c r="D384" s="144">
        <v>70</v>
      </c>
      <c r="E384" s="143" t="s">
        <v>1060</v>
      </c>
      <c r="F384" s="143">
        <v>4</v>
      </c>
      <c r="G384" s="143">
        <v>4</v>
      </c>
      <c r="H384" s="143" t="s">
        <v>287</v>
      </c>
      <c r="I384" s="143" t="s">
        <v>288</v>
      </c>
      <c r="J384" s="143">
        <v>2</v>
      </c>
      <c r="K384" s="143">
        <v>2</v>
      </c>
    </row>
    <row r="385" spans="1:11" x14ac:dyDescent="0.25">
      <c r="A385" s="143" t="s">
        <v>860</v>
      </c>
      <c r="B385" s="143" t="s">
        <v>926</v>
      </c>
      <c r="C385" s="143">
        <v>70</v>
      </c>
      <c r="D385" s="143">
        <v>70</v>
      </c>
      <c r="E385" s="143" t="s">
        <v>1060</v>
      </c>
      <c r="F385" s="143">
        <v>4</v>
      </c>
      <c r="G385" s="143">
        <v>4</v>
      </c>
      <c r="H385" s="143" t="s">
        <v>287</v>
      </c>
      <c r="I385" s="143" t="s">
        <v>288</v>
      </c>
      <c r="J385" s="143">
        <v>2</v>
      </c>
      <c r="K385" s="143">
        <v>2</v>
      </c>
    </row>
    <row r="386" spans="1:11" x14ac:dyDescent="0.25">
      <c r="A386" s="143" t="s">
        <v>858</v>
      </c>
      <c r="B386" s="143" t="s">
        <v>927</v>
      </c>
      <c r="C386" s="143">
        <v>70</v>
      </c>
      <c r="D386" s="143">
        <v>70</v>
      </c>
      <c r="E386" s="143" t="s">
        <v>1060</v>
      </c>
      <c r="F386" s="143">
        <v>4</v>
      </c>
      <c r="G386" s="143">
        <v>4</v>
      </c>
      <c r="H386" s="143" t="s">
        <v>287</v>
      </c>
      <c r="I386" s="143" t="s">
        <v>288</v>
      </c>
      <c r="J386" s="143">
        <v>2</v>
      </c>
      <c r="K386" s="143">
        <v>2</v>
      </c>
    </row>
    <row r="387" spans="1:11" x14ac:dyDescent="0.25">
      <c r="A387" s="143" t="s">
        <v>859</v>
      </c>
      <c r="B387" s="143" t="s">
        <v>927</v>
      </c>
      <c r="C387" s="143">
        <v>70</v>
      </c>
      <c r="D387" s="143">
        <v>70</v>
      </c>
      <c r="E387" s="143" t="s">
        <v>1060</v>
      </c>
      <c r="F387" s="143">
        <v>4</v>
      </c>
      <c r="G387" s="143">
        <v>4</v>
      </c>
      <c r="H387" s="143" t="s">
        <v>287</v>
      </c>
      <c r="I387" s="143" t="s">
        <v>288</v>
      </c>
      <c r="J387" s="143">
        <v>2</v>
      </c>
      <c r="K387" s="143">
        <v>2</v>
      </c>
    </row>
    <row r="388" spans="1:11" x14ac:dyDescent="0.25">
      <c r="A388" s="143" t="s">
        <v>860</v>
      </c>
      <c r="B388" s="143" t="s">
        <v>927</v>
      </c>
      <c r="C388" s="143">
        <v>70</v>
      </c>
      <c r="D388" s="143">
        <v>70</v>
      </c>
      <c r="E388" s="143" t="s">
        <v>1060</v>
      </c>
      <c r="F388" s="143">
        <v>4</v>
      </c>
      <c r="G388" s="143">
        <v>4</v>
      </c>
      <c r="H388" s="143" t="s">
        <v>287</v>
      </c>
      <c r="I388" s="143" t="s">
        <v>288</v>
      </c>
      <c r="J388" s="143">
        <v>2</v>
      </c>
      <c r="K388" s="143">
        <v>2</v>
      </c>
    </row>
    <row r="389" spans="1:11" x14ac:dyDescent="0.25">
      <c r="A389" s="143" t="s">
        <v>858</v>
      </c>
      <c r="B389" s="143" t="s">
        <v>928</v>
      </c>
      <c r="C389" s="143">
        <v>70</v>
      </c>
      <c r="D389" s="143">
        <v>70</v>
      </c>
      <c r="E389" s="143" t="s">
        <v>1060</v>
      </c>
      <c r="F389" s="143">
        <v>4</v>
      </c>
      <c r="G389" s="143">
        <v>4</v>
      </c>
      <c r="H389" s="143" t="s">
        <v>287</v>
      </c>
      <c r="I389" s="143" t="s">
        <v>288</v>
      </c>
      <c r="J389" s="143">
        <v>2</v>
      </c>
      <c r="K389" s="143">
        <v>2</v>
      </c>
    </row>
    <row r="390" spans="1:11" x14ac:dyDescent="0.25">
      <c r="A390" s="143" t="s">
        <v>859</v>
      </c>
      <c r="B390" s="143" t="s">
        <v>928</v>
      </c>
      <c r="C390" s="144">
        <v>70</v>
      </c>
      <c r="D390" s="144">
        <v>70</v>
      </c>
      <c r="E390" s="143" t="s">
        <v>1060</v>
      </c>
      <c r="F390" s="143">
        <v>4</v>
      </c>
      <c r="G390" s="143">
        <v>4</v>
      </c>
      <c r="H390" s="143" t="s">
        <v>287</v>
      </c>
      <c r="I390" s="143" t="s">
        <v>288</v>
      </c>
      <c r="J390" s="143">
        <v>2</v>
      </c>
      <c r="K390" s="143">
        <v>2</v>
      </c>
    </row>
    <row r="391" spans="1:11" x14ac:dyDescent="0.25">
      <c r="A391" s="143" t="s">
        <v>860</v>
      </c>
      <c r="B391" s="143" t="s">
        <v>928</v>
      </c>
      <c r="C391" s="143">
        <v>70</v>
      </c>
      <c r="D391" s="143">
        <v>70</v>
      </c>
      <c r="E391" s="143" t="s">
        <v>1060</v>
      </c>
      <c r="F391" s="143">
        <v>4</v>
      </c>
      <c r="G391" s="143">
        <v>4</v>
      </c>
      <c r="H391" s="143" t="s">
        <v>287</v>
      </c>
      <c r="I391" s="143" t="s">
        <v>288</v>
      </c>
      <c r="J391" s="143">
        <v>2</v>
      </c>
      <c r="K391" s="143">
        <v>2</v>
      </c>
    </row>
    <row r="392" spans="1:11" x14ac:dyDescent="0.25">
      <c r="A392" s="143" t="s">
        <v>858</v>
      </c>
      <c r="B392" s="143" t="s">
        <v>929</v>
      </c>
      <c r="C392" s="143">
        <v>70</v>
      </c>
      <c r="D392" s="143">
        <v>70</v>
      </c>
      <c r="E392" s="143" t="s">
        <v>1060</v>
      </c>
      <c r="F392" s="143">
        <v>4</v>
      </c>
      <c r="G392" s="143">
        <v>4</v>
      </c>
      <c r="H392" s="143" t="s">
        <v>287</v>
      </c>
      <c r="I392" s="143" t="s">
        <v>288</v>
      </c>
      <c r="J392" s="143">
        <v>2</v>
      </c>
      <c r="K392" s="143">
        <v>2</v>
      </c>
    </row>
    <row r="393" spans="1:11" x14ac:dyDescent="0.25">
      <c r="A393" s="143" t="s">
        <v>859</v>
      </c>
      <c r="B393" s="143" t="s">
        <v>929</v>
      </c>
      <c r="C393" s="143">
        <v>70</v>
      </c>
      <c r="D393" s="143">
        <v>70</v>
      </c>
      <c r="E393" s="143" t="s">
        <v>1060</v>
      </c>
      <c r="F393" s="143">
        <v>4</v>
      </c>
      <c r="G393" s="143">
        <v>4</v>
      </c>
      <c r="H393" s="143" t="s">
        <v>287</v>
      </c>
      <c r="I393" s="143" t="s">
        <v>288</v>
      </c>
      <c r="J393" s="143">
        <v>2</v>
      </c>
      <c r="K393" s="143">
        <v>2</v>
      </c>
    </row>
    <row r="394" spans="1:11" x14ac:dyDescent="0.25">
      <c r="A394" s="143" t="s">
        <v>860</v>
      </c>
      <c r="B394" s="143" t="s">
        <v>929</v>
      </c>
      <c r="C394" s="143">
        <v>70</v>
      </c>
      <c r="D394" s="143">
        <v>70</v>
      </c>
      <c r="E394" s="143" t="s">
        <v>1060</v>
      </c>
      <c r="F394" s="143">
        <v>4</v>
      </c>
      <c r="G394" s="143">
        <v>4</v>
      </c>
      <c r="H394" s="143" t="s">
        <v>287</v>
      </c>
      <c r="I394" s="143" t="s">
        <v>288</v>
      </c>
      <c r="J394" s="143">
        <v>2</v>
      </c>
      <c r="K394" s="143">
        <v>2</v>
      </c>
    </row>
    <row r="395" spans="1:11" x14ac:dyDescent="0.25">
      <c r="A395" s="143" t="s">
        <v>858</v>
      </c>
      <c r="B395" s="143" t="s">
        <v>930</v>
      </c>
      <c r="C395" s="143">
        <v>70</v>
      </c>
      <c r="D395" s="143">
        <v>70</v>
      </c>
      <c r="E395" s="143" t="s">
        <v>1060</v>
      </c>
      <c r="F395" s="143">
        <v>4</v>
      </c>
      <c r="G395" s="143">
        <v>4</v>
      </c>
      <c r="H395" s="143" t="s">
        <v>287</v>
      </c>
      <c r="I395" s="143" t="s">
        <v>288</v>
      </c>
      <c r="J395" s="143">
        <v>2</v>
      </c>
      <c r="K395" s="143">
        <v>2</v>
      </c>
    </row>
    <row r="396" spans="1:11" x14ac:dyDescent="0.25">
      <c r="A396" s="143" t="s">
        <v>859</v>
      </c>
      <c r="B396" s="143" t="s">
        <v>930</v>
      </c>
      <c r="C396" s="143">
        <v>70</v>
      </c>
      <c r="D396" s="143">
        <v>70</v>
      </c>
      <c r="E396" s="143" t="s">
        <v>1060</v>
      </c>
      <c r="F396" s="143">
        <v>4</v>
      </c>
      <c r="G396" s="143">
        <v>4</v>
      </c>
      <c r="H396" s="143" t="s">
        <v>287</v>
      </c>
      <c r="I396" s="143" t="s">
        <v>288</v>
      </c>
      <c r="J396" s="143">
        <v>2</v>
      </c>
      <c r="K396" s="143">
        <v>2</v>
      </c>
    </row>
    <row r="397" spans="1:11" x14ac:dyDescent="0.25">
      <c r="A397" s="143" t="s">
        <v>860</v>
      </c>
      <c r="B397" s="143" t="s">
        <v>930</v>
      </c>
      <c r="C397" s="143">
        <v>70</v>
      </c>
      <c r="D397" s="143">
        <v>70</v>
      </c>
      <c r="E397" s="143" t="s">
        <v>1060</v>
      </c>
      <c r="F397" s="143">
        <v>4</v>
      </c>
      <c r="G397" s="143">
        <v>4</v>
      </c>
      <c r="H397" s="143" t="s">
        <v>287</v>
      </c>
      <c r="I397" s="143" t="s">
        <v>288</v>
      </c>
      <c r="J397" s="143">
        <v>2</v>
      </c>
      <c r="K397" s="143">
        <v>2</v>
      </c>
    </row>
    <row r="398" spans="1:11" x14ac:dyDescent="0.25">
      <c r="A398" s="143" t="s">
        <v>858</v>
      </c>
      <c r="B398" s="143" t="s">
        <v>931</v>
      </c>
      <c r="C398" s="144">
        <v>70</v>
      </c>
      <c r="D398" s="144">
        <v>70</v>
      </c>
      <c r="E398" s="143" t="s">
        <v>1060</v>
      </c>
      <c r="F398" s="143">
        <v>4</v>
      </c>
      <c r="G398" s="143">
        <v>4</v>
      </c>
      <c r="H398" s="143" t="s">
        <v>287</v>
      </c>
      <c r="I398" s="143" t="s">
        <v>288</v>
      </c>
      <c r="J398" s="143">
        <v>2</v>
      </c>
      <c r="K398" s="143">
        <v>2</v>
      </c>
    </row>
    <row r="399" spans="1:11" x14ac:dyDescent="0.25">
      <c r="A399" s="143" t="s">
        <v>859</v>
      </c>
      <c r="B399" s="143" t="s">
        <v>931</v>
      </c>
      <c r="C399" s="143">
        <v>70</v>
      </c>
      <c r="D399" s="143">
        <v>70</v>
      </c>
      <c r="E399" s="143" t="s">
        <v>1060</v>
      </c>
      <c r="F399" s="143">
        <v>4</v>
      </c>
      <c r="G399" s="143">
        <v>4</v>
      </c>
      <c r="H399" s="143" t="s">
        <v>287</v>
      </c>
      <c r="I399" s="143" t="s">
        <v>288</v>
      </c>
      <c r="J399" s="143">
        <v>2</v>
      </c>
      <c r="K399" s="143">
        <v>2</v>
      </c>
    </row>
    <row r="400" spans="1:11" x14ac:dyDescent="0.25">
      <c r="A400" s="143" t="s">
        <v>860</v>
      </c>
      <c r="B400" s="143" t="s">
        <v>931</v>
      </c>
      <c r="C400" s="143">
        <v>70</v>
      </c>
      <c r="D400" s="143">
        <v>70</v>
      </c>
      <c r="E400" s="143" t="s">
        <v>1060</v>
      </c>
      <c r="F400" s="143">
        <v>4</v>
      </c>
      <c r="G400" s="143">
        <v>4</v>
      </c>
      <c r="H400" s="143" t="s">
        <v>287</v>
      </c>
      <c r="I400" s="143" t="s">
        <v>288</v>
      </c>
      <c r="J400" s="143">
        <v>2</v>
      </c>
      <c r="K400" s="143">
        <v>2</v>
      </c>
    </row>
    <row r="401" spans="1:11" x14ac:dyDescent="0.25">
      <c r="A401" s="143" t="s">
        <v>858</v>
      </c>
      <c r="B401" s="143" t="s">
        <v>932</v>
      </c>
      <c r="C401" s="143">
        <v>70</v>
      </c>
      <c r="D401" s="143">
        <v>70</v>
      </c>
      <c r="E401" s="143" t="s">
        <v>1060</v>
      </c>
      <c r="F401" s="143">
        <v>4</v>
      </c>
      <c r="G401" s="143">
        <v>4</v>
      </c>
      <c r="H401" s="143" t="s">
        <v>287</v>
      </c>
      <c r="I401" s="143" t="s">
        <v>288</v>
      </c>
      <c r="J401" s="143">
        <v>2</v>
      </c>
      <c r="K401" s="143">
        <v>2</v>
      </c>
    </row>
    <row r="402" spans="1:11" x14ac:dyDescent="0.25">
      <c r="A402" s="143" t="s">
        <v>859</v>
      </c>
      <c r="B402" s="143" t="s">
        <v>932</v>
      </c>
      <c r="C402" s="143">
        <v>70</v>
      </c>
      <c r="D402" s="143">
        <v>70</v>
      </c>
      <c r="E402" s="143" t="s">
        <v>1060</v>
      </c>
      <c r="F402" s="143">
        <v>4</v>
      </c>
      <c r="G402" s="143">
        <v>4</v>
      </c>
      <c r="H402" s="143" t="s">
        <v>287</v>
      </c>
      <c r="I402" s="143" t="s">
        <v>288</v>
      </c>
      <c r="J402" s="143">
        <v>2</v>
      </c>
      <c r="K402" s="143">
        <v>2</v>
      </c>
    </row>
    <row r="403" spans="1:11" x14ac:dyDescent="0.25">
      <c r="A403" s="143" t="s">
        <v>860</v>
      </c>
      <c r="B403" s="143" t="s">
        <v>932</v>
      </c>
      <c r="C403" s="143">
        <v>70</v>
      </c>
      <c r="D403" s="143">
        <v>70</v>
      </c>
      <c r="E403" s="143" t="s">
        <v>1060</v>
      </c>
      <c r="F403" s="143">
        <v>4</v>
      </c>
      <c r="G403" s="143">
        <v>4</v>
      </c>
      <c r="H403" s="143" t="s">
        <v>287</v>
      </c>
      <c r="I403" s="143" t="s">
        <v>288</v>
      </c>
      <c r="J403" s="143">
        <v>2</v>
      </c>
      <c r="K403" s="143">
        <v>2</v>
      </c>
    </row>
    <row r="404" spans="1:11" x14ac:dyDescent="0.25">
      <c r="A404" s="143" t="s">
        <v>858</v>
      </c>
      <c r="B404" s="143" t="s">
        <v>933</v>
      </c>
      <c r="C404" s="143">
        <v>70</v>
      </c>
      <c r="D404" s="143">
        <v>70</v>
      </c>
      <c r="E404" s="143" t="s">
        <v>1060</v>
      </c>
      <c r="F404" s="143">
        <v>4</v>
      </c>
      <c r="G404" s="143">
        <v>4</v>
      </c>
      <c r="H404" s="143" t="s">
        <v>287</v>
      </c>
      <c r="I404" s="143" t="s">
        <v>288</v>
      </c>
      <c r="J404" s="143">
        <v>2</v>
      </c>
      <c r="K404" s="143">
        <v>2</v>
      </c>
    </row>
    <row r="405" spans="1:11" x14ac:dyDescent="0.25">
      <c r="A405" s="143" t="s">
        <v>859</v>
      </c>
      <c r="B405" s="143" t="s">
        <v>933</v>
      </c>
      <c r="C405" s="143">
        <v>70</v>
      </c>
      <c r="D405" s="143">
        <v>70</v>
      </c>
      <c r="E405" s="143" t="s">
        <v>1060</v>
      </c>
      <c r="F405" s="143">
        <v>4</v>
      </c>
      <c r="G405" s="143">
        <v>4</v>
      </c>
      <c r="H405" s="143" t="s">
        <v>287</v>
      </c>
      <c r="I405" s="143" t="s">
        <v>288</v>
      </c>
      <c r="J405" s="143">
        <v>2</v>
      </c>
      <c r="K405" s="143">
        <v>2</v>
      </c>
    </row>
    <row r="406" spans="1:11" x14ac:dyDescent="0.25">
      <c r="A406" s="143" t="s">
        <v>860</v>
      </c>
      <c r="B406" s="143" t="s">
        <v>933</v>
      </c>
      <c r="C406" s="143">
        <v>70</v>
      </c>
      <c r="D406" s="143">
        <v>70</v>
      </c>
      <c r="E406" s="143" t="s">
        <v>1060</v>
      </c>
      <c r="F406" s="143">
        <v>4</v>
      </c>
      <c r="G406" s="143">
        <v>4</v>
      </c>
      <c r="H406" s="143" t="s">
        <v>287</v>
      </c>
      <c r="I406" s="143" t="s">
        <v>288</v>
      </c>
      <c r="J406" s="143">
        <v>2</v>
      </c>
      <c r="K406" s="143">
        <v>2</v>
      </c>
    </row>
    <row r="407" spans="1:11" x14ac:dyDescent="0.25">
      <c r="A407" s="143" t="s">
        <v>858</v>
      </c>
      <c r="B407" s="143" t="s">
        <v>934</v>
      </c>
      <c r="C407" s="143">
        <v>70</v>
      </c>
      <c r="D407" s="143">
        <v>70</v>
      </c>
      <c r="E407" s="143" t="s">
        <v>1060</v>
      </c>
      <c r="F407" s="143">
        <v>4</v>
      </c>
      <c r="G407" s="143">
        <v>4</v>
      </c>
      <c r="H407" s="143" t="s">
        <v>287</v>
      </c>
      <c r="I407" s="143" t="s">
        <v>288</v>
      </c>
      <c r="J407" s="143">
        <v>2</v>
      </c>
      <c r="K407" s="143">
        <v>2</v>
      </c>
    </row>
    <row r="408" spans="1:11" x14ac:dyDescent="0.25">
      <c r="A408" s="143" t="s">
        <v>859</v>
      </c>
      <c r="B408" s="143" t="s">
        <v>934</v>
      </c>
      <c r="C408" s="143">
        <v>70</v>
      </c>
      <c r="D408" s="143">
        <v>70</v>
      </c>
      <c r="E408" s="143" t="s">
        <v>1060</v>
      </c>
      <c r="F408" s="143">
        <v>4</v>
      </c>
      <c r="G408" s="143">
        <v>4</v>
      </c>
      <c r="H408" s="143" t="s">
        <v>287</v>
      </c>
      <c r="I408" s="143" t="s">
        <v>288</v>
      </c>
      <c r="J408" s="143">
        <v>2</v>
      </c>
      <c r="K408" s="143">
        <v>2</v>
      </c>
    </row>
    <row r="409" spans="1:11" x14ac:dyDescent="0.25">
      <c r="A409" s="143" t="s">
        <v>860</v>
      </c>
      <c r="B409" s="143" t="s">
        <v>934</v>
      </c>
      <c r="C409" s="143">
        <v>70</v>
      </c>
      <c r="D409" s="143">
        <v>70</v>
      </c>
      <c r="E409" s="143" t="s">
        <v>1060</v>
      </c>
      <c r="F409" s="143">
        <v>4</v>
      </c>
      <c r="G409" s="143">
        <v>4</v>
      </c>
      <c r="H409" s="143" t="s">
        <v>287</v>
      </c>
      <c r="I409" s="143" t="s">
        <v>288</v>
      </c>
      <c r="J409" s="143">
        <v>2</v>
      </c>
      <c r="K409" s="143">
        <v>2</v>
      </c>
    </row>
    <row r="410" spans="1:11" x14ac:dyDescent="0.25">
      <c r="A410" s="143" t="s">
        <v>895</v>
      </c>
      <c r="B410" s="143" t="s">
        <v>305</v>
      </c>
      <c r="C410" s="143">
        <v>90</v>
      </c>
      <c r="D410" s="143">
        <v>80</v>
      </c>
      <c r="E410" s="143" t="s">
        <v>1031</v>
      </c>
      <c r="F410" s="143">
        <v>5</v>
      </c>
      <c r="G410" s="143">
        <v>4</v>
      </c>
      <c r="H410" s="143" t="s">
        <v>287</v>
      </c>
      <c r="I410" s="143" t="s">
        <v>288</v>
      </c>
      <c r="J410" s="143">
        <v>2</v>
      </c>
      <c r="K410" s="143">
        <v>3</v>
      </c>
    </row>
    <row r="411" spans="1:11" x14ac:dyDescent="0.25">
      <c r="A411" s="143" t="s">
        <v>851</v>
      </c>
      <c r="B411" s="143" t="s">
        <v>305</v>
      </c>
      <c r="C411" s="143">
        <v>90</v>
      </c>
      <c r="D411" s="143">
        <v>80</v>
      </c>
      <c r="E411" s="143" t="s">
        <v>1031</v>
      </c>
      <c r="F411" s="143">
        <v>5</v>
      </c>
      <c r="G411" s="143">
        <v>4</v>
      </c>
      <c r="H411" s="143" t="s">
        <v>287</v>
      </c>
      <c r="I411" s="143" t="s">
        <v>288</v>
      </c>
      <c r="J411" s="143">
        <v>2</v>
      </c>
      <c r="K411" s="143">
        <v>3</v>
      </c>
    </row>
    <row r="412" spans="1:11" x14ac:dyDescent="0.25">
      <c r="A412" s="143" t="s">
        <v>852</v>
      </c>
      <c r="B412" s="143" t="s">
        <v>305</v>
      </c>
      <c r="C412" s="143">
        <v>90</v>
      </c>
      <c r="D412" s="143">
        <v>80</v>
      </c>
      <c r="E412" s="143" t="s">
        <v>1031</v>
      </c>
      <c r="F412" s="143">
        <v>5</v>
      </c>
      <c r="G412" s="143">
        <v>4</v>
      </c>
      <c r="H412" s="143" t="s">
        <v>287</v>
      </c>
      <c r="I412" s="143" t="s">
        <v>288</v>
      </c>
      <c r="J412" s="143">
        <v>2</v>
      </c>
      <c r="K412" s="143">
        <v>3</v>
      </c>
    </row>
    <row r="413" spans="1:11" x14ac:dyDescent="0.25">
      <c r="A413" s="143" t="s">
        <v>853</v>
      </c>
      <c r="B413" s="143" t="s">
        <v>305</v>
      </c>
      <c r="C413" s="143">
        <v>90</v>
      </c>
      <c r="D413" s="143">
        <v>80</v>
      </c>
      <c r="E413" s="143" t="s">
        <v>1031</v>
      </c>
      <c r="F413" s="143">
        <v>5</v>
      </c>
      <c r="G413" s="143">
        <v>4</v>
      </c>
      <c r="H413" s="143" t="s">
        <v>287</v>
      </c>
      <c r="I413" s="143" t="s">
        <v>288</v>
      </c>
      <c r="J413" s="143">
        <v>2</v>
      </c>
      <c r="K413" s="143">
        <v>3</v>
      </c>
    </row>
    <row r="414" spans="1:11" x14ac:dyDescent="0.25">
      <c r="A414" s="143" t="s">
        <v>854</v>
      </c>
      <c r="B414" s="143" t="s">
        <v>305</v>
      </c>
      <c r="C414" s="144">
        <v>90</v>
      </c>
      <c r="D414" s="144">
        <v>80</v>
      </c>
      <c r="E414" s="144" t="s">
        <v>1031</v>
      </c>
      <c r="F414" s="144">
        <v>5</v>
      </c>
      <c r="G414" s="144">
        <v>4</v>
      </c>
      <c r="H414" s="144" t="s">
        <v>287</v>
      </c>
      <c r="I414" s="144" t="s">
        <v>288</v>
      </c>
      <c r="J414" s="144">
        <v>2</v>
      </c>
      <c r="K414" s="144">
        <v>3</v>
      </c>
    </row>
    <row r="415" spans="1:11" x14ac:dyDescent="0.25">
      <c r="A415" s="143" t="s">
        <v>855</v>
      </c>
      <c r="B415" s="143" t="s">
        <v>305</v>
      </c>
      <c r="C415" s="143">
        <v>90</v>
      </c>
      <c r="D415" s="143">
        <v>80</v>
      </c>
      <c r="E415" s="143" t="s">
        <v>1049</v>
      </c>
      <c r="F415" s="143">
        <v>6</v>
      </c>
      <c r="G415" s="143">
        <v>6</v>
      </c>
      <c r="H415" s="143" t="s">
        <v>287</v>
      </c>
      <c r="I415" s="143" t="s">
        <v>288</v>
      </c>
      <c r="J415" s="143">
        <v>2</v>
      </c>
      <c r="K415" s="143">
        <v>2</v>
      </c>
    </row>
    <row r="416" spans="1:11" x14ac:dyDescent="0.25">
      <c r="A416" s="143" t="s">
        <v>856</v>
      </c>
      <c r="B416" s="143" t="s">
        <v>305</v>
      </c>
      <c r="C416" s="143">
        <v>90</v>
      </c>
      <c r="D416" s="143">
        <v>80</v>
      </c>
      <c r="E416" s="143" t="s">
        <v>1050</v>
      </c>
      <c r="F416" s="143">
        <v>6</v>
      </c>
      <c r="G416" s="143">
        <v>6</v>
      </c>
      <c r="H416" s="143" t="s">
        <v>287</v>
      </c>
      <c r="I416" s="143" t="s">
        <v>288</v>
      </c>
      <c r="J416" s="143">
        <v>2</v>
      </c>
      <c r="K416" s="143">
        <v>2</v>
      </c>
    </row>
    <row r="417" spans="1:11" x14ac:dyDescent="0.25">
      <c r="A417" s="143" t="s">
        <v>857</v>
      </c>
      <c r="B417" s="143" t="s">
        <v>305</v>
      </c>
      <c r="C417" s="144">
        <v>90</v>
      </c>
      <c r="D417" s="144">
        <v>80</v>
      </c>
      <c r="E417" s="143" t="s">
        <v>1050</v>
      </c>
      <c r="F417" s="143">
        <v>6</v>
      </c>
      <c r="G417" s="143">
        <v>6</v>
      </c>
      <c r="H417" s="143" t="s">
        <v>287</v>
      </c>
      <c r="I417" s="143" t="s">
        <v>288</v>
      </c>
      <c r="J417" s="143">
        <v>2</v>
      </c>
      <c r="K417" s="143">
        <v>3</v>
      </c>
    </row>
    <row r="418" spans="1:11" x14ac:dyDescent="0.25">
      <c r="A418" s="143" t="s">
        <v>225</v>
      </c>
      <c r="B418" s="143" t="s">
        <v>305</v>
      </c>
      <c r="C418" s="143">
        <v>90</v>
      </c>
      <c r="D418" s="143">
        <v>80</v>
      </c>
      <c r="E418" s="143" t="s">
        <v>1046</v>
      </c>
      <c r="F418" s="143">
        <v>7</v>
      </c>
      <c r="G418" s="143">
        <v>7</v>
      </c>
      <c r="H418" s="143" t="s">
        <v>287</v>
      </c>
      <c r="I418" s="143" t="s">
        <v>288</v>
      </c>
      <c r="J418" s="143">
        <v>2</v>
      </c>
      <c r="K418" s="143">
        <v>3</v>
      </c>
    </row>
    <row r="419" spans="1:11" x14ac:dyDescent="0.25">
      <c r="A419" s="143" t="s">
        <v>226</v>
      </c>
      <c r="B419" s="143" t="s">
        <v>305</v>
      </c>
      <c r="C419" s="143">
        <v>100</v>
      </c>
      <c r="D419" s="143">
        <v>80</v>
      </c>
      <c r="E419" s="143" t="s">
        <v>1055</v>
      </c>
      <c r="F419" s="143">
        <v>12</v>
      </c>
      <c r="G419" s="143">
        <v>10</v>
      </c>
      <c r="H419" s="143" t="s">
        <v>287</v>
      </c>
      <c r="I419" s="143" t="s">
        <v>288</v>
      </c>
      <c r="J419" s="143">
        <v>4</v>
      </c>
      <c r="K419" s="143">
        <v>5</v>
      </c>
    </row>
    <row r="420" spans="1:11" x14ac:dyDescent="0.25">
      <c r="A420" s="143" t="s">
        <v>227</v>
      </c>
      <c r="B420" s="143" t="s">
        <v>305</v>
      </c>
      <c r="C420" s="143">
        <v>100</v>
      </c>
      <c r="D420" s="143">
        <v>80</v>
      </c>
      <c r="E420" s="143" t="s">
        <v>1055</v>
      </c>
      <c r="F420" s="143">
        <v>12</v>
      </c>
      <c r="G420" s="143">
        <v>10</v>
      </c>
      <c r="H420" s="143" t="s">
        <v>287</v>
      </c>
      <c r="I420" s="143" t="s">
        <v>288</v>
      </c>
      <c r="J420" s="143">
        <v>4</v>
      </c>
      <c r="K420" s="143">
        <v>5</v>
      </c>
    </row>
    <row r="421" spans="1:11" x14ac:dyDescent="0.25">
      <c r="A421" s="143" t="s">
        <v>858</v>
      </c>
      <c r="B421" s="143" t="s">
        <v>305</v>
      </c>
      <c r="C421" s="143">
        <v>120</v>
      </c>
      <c r="D421" s="143">
        <v>80</v>
      </c>
      <c r="E421" s="143" t="s">
        <v>1058</v>
      </c>
      <c r="F421" s="143">
        <v>14</v>
      </c>
      <c r="G421" s="143">
        <v>9</v>
      </c>
      <c r="H421" s="143" t="s">
        <v>287</v>
      </c>
      <c r="I421" s="143" t="s">
        <v>288</v>
      </c>
      <c r="J421" s="143">
        <v>3</v>
      </c>
      <c r="K421" s="143">
        <v>6</v>
      </c>
    </row>
    <row r="422" spans="1:11" x14ac:dyDescent="0.25">
      <c r="A422" s="143" t="s">
        <v>859</v>
      </c>
      <c r="B422" s="143" t="s">
        <v>305</v>
      </c>
      <c r="C422" s="143">
        <v>135</v>
      </c>
      <c r="D422" s="143">
        <v>80</v>
      </c>
      <c r="E422" s="143" t="s">
        <v>1058</v>
      </c>
      <c r="F422" s="143">
        <v>16</v>
      </c>
      <c r="G422" s="143">
        <v>9</v>
      </c>
      <c r="H422" s="143" t="s">
        <v>287</v>
      </c>
      <c r="I422" s="143" t="s">
        <v>288</v>
      </c>
      <c r="J422" s="143">
        <v>3</v>
      </c>
      <c r="K422" s="143">
        <v>7</v>
      </c>
    </row>
    <row r="423" spans="1:11" x14ac:dyDescent="0.25">
      <c r="A423" s="143" t="s">
        <v>860</v>
      </c>
      <c r="B423" s="143" t="s">
        <v>305</v>
      </c>
      <c r="C423" s="143">
        <v>145</v>
      </c>
      <c r="D423" s="143">
        <v>80</v>
      </c>
      <c r="E423" s="143" t="s">
        <v>1062</v>
      </c>
      <c r="F423" s="143">
        <v>17</v>
      </c>
      <c r="G423" s="143">
        <v>9</v>
      </c>
      <c r="H423" s="143" t="s">
        <v>287</v>
      </c>
      <c r="I423" s="143" t="s">
        <v>288</v>
      </c>
      <c r="J423" s="143">
        <v>3</v>
      </c>
      <c r="K423" s="143">
        <v>7</v>
      </c>
    </row>
    <row r="424" spans="1:11" x14ac:dyDescent="0.25">
      <c r="A424" s="143" t="s">
        <v>858</v>
      </c>
      <c r="B424" s="143" t="s">
        <v>935</v>
      </c>
      <c r="C424" s="144">
        <v>70</v>
      </c>
      <c r="D424" s="144">
        <v>70</v>
      </c>
      <c r="E424" s="143" t="s">
        <v>1060</v>
      </c>
      <c r="F424" s="143">
        <v>4</v>
      </c>
      <c r="G424" s="143">
        <v>4</v>
      </c>
      <c r="H424" s="143" t="s">
        <v>287</v>
      </c>
      <c r="I424" s="143" t="s">
        <v>288</v>
      </c>
      <c r="J424" s="143">
        <v>2</v>
      </c>
      <c r="K424" s="143">
        <v>2</v>
      </c>
    </row>
    <row r="425" spans="1:11" x14ac:dyDescent="0.25">
      <c r="A425" s="143" t="s">
        <v>859</v>
      </c>
      <c r="B425" s="143" t="s">
        <v>935</v>
      </c>
      <c r="C425" s="143">
        <v>70</v>
      </c>
      <c r="D425" s="143">
        <v>70</v>
      </c>
      <c r="E425" s="143" t="s">
        <v>1060</v>
      </c>
      <c r="F425" s="143">
        <v>4</v>
      </c>
      <c r="G425" s="143">
        <v>4</v>
      </c>
      <c r="H425" s="143" t="s">
        <v>287</v>
      </c>
      <c r="I425" s="143" t="s">
        <v>288</v>
      </c>
      <c r="J425" s="143">
        <v>2</v>
      </c>
      <c r="K425" s="143">
        <v>2</v>
      </c>
    </row>
    <row r="426" spans="1:11" x14ac:dyDescent="0.25">
      <c r="A426" s="143" t="s">
        <v>860</v>
      </c>
      <c r="B426" s="143" t="s">
        <v>935</v>
      </c>
      <c r="C426" s="143">
        <v>70</v>
      </c>
      <c r="D426" s="143">
        <v>70</v>
      </c>
      <c r="E426" s="143" t="s">
        <v>1060</v>
      </c>
      <c r="F426" s="143">
        <v>4</v>
      </c>
      <c r="G426" s="143">
        <v>4</v>
      </c>
      <c r="H426" s="143" t="s">
        <v>287</v>
      </c>
      <c r="I426" s="143" t="s">
        <v>288</v>
      </c>
      <c r="J426" s="143">
        <v>2</v>
      </c>
      <c r="K426" s="143">
        <v>2</v>
      </c>
    </row>
    <row r="427" spans="1:11" x14ac:dyDescent="0.25">
      <c r="A427" s="143" t="s">
        <v>895</v>
      </c>
      <c r="B427" s="143" t="s">
        <v>306</v>
      </c>
      <c r="C427" s="143">
        <v>90</v>
      </c>
      <c r="D427" s="143">
        <v>80</v>
      </c>
      <c r="E427" s="143" t="s">
        <v>1031</v>
      </c>
      <c r="F427" s="143">
        <v>5</v>
      </c>
      <c r="G427" s="143">
        <v>4</v>
      </c>
      <c r="H427" s="143" t="s">
        <v>287</v>
      </c>
      <c r="I427" s="143" t="s">
        <v>288</v>
      </c>
      <c r="J427" s="143">
        <v>2</v>
      </c>
      <c r="K427" s="143">
        <v>3</v>
      </c>
    </row>
    <row r="428" spans="1:11" x14ac:dyDescent="0.25">
      <c r="A428" s="143" t="s">
        <v>851</v>
      </c>
      <c r="B428" s="143" t="s">
        <v>306</v>
      </c>
      <c r="C428" s="143">
        <v>90</v>
      </c>
      <c r="D428" s="143">
        <v>80</v>
      </c>
      <c r="E428" s="143" t="s">
        <v>1031</v>
      </c>
      <c r="F428" s="143">
        <v>5</v>
      </c>
      <c r="G428" s="143">
        <v>4</v>
      </c>
      <c r="H428" s="143" t="s">
        <v>287</v>
      </c>
      <c r="I428" s="143" t="s">
        <v>288</v>
      </c>
      <c r="J428" s="143">
        <v>2</v>
      </c>
      <c r="K428" s="143">
        <v>3</v>
      </c>
    </row>
    <row r="429" spans="1:11" x14ac:dyDescent="0.25">
      <c r="A429" s="143" t="s">
        <v>852</v>
      </c>
      <c r="B429" s="143" t="s">
        <v>306</v>
      </c>
      <c r="C429" s="143">
        <v>90</v>
      </c>
      <c r="D429" s="143">
        <v>80</v>
      </c>
      <c r="E429" s="143" t="s">
        <v>1031</v>
      </c>
      <c r="F429" s="143">
        <v>5</v>
      </c>
      <c r="G429" s="143">
        <v>4</v>
      </c>
      <c r="H429" s="143" t="s">
        <v>287</v>
      </c>
      <c r="I429" s="143" t="s">
        <v>288</v>
      </c>
      <c r="J429" s="143">
        <v>2</v>
      </c>
      <c r="K429" s="143">
        <v>3</v>
      </c>
    </row>
    <row r="430" spans="1:11" x14ac:dyDescent="0.25">
      <c r="A430" s="143" t="s">
        <v>853</v>
      </c>
      <c r="B430" s="143" t="s">
        <v>306</v>
      </c>
      <c r="C430" s="143">
        <v>90</v>
      </c>
      <c r="D430" s="143">
        <v>80</v>
      </c>
      <c r="E430" s="143" t="s">
        <v>1031</v>
      </c>
      <c r="F430" s="143">
        <v>5</v>
      </c>
      <c r="G430" s="143">
        <v>4</v>
      </c>
      <c r="H430" s="143" t="s">
        <v>287</v>
      </c>
      <c r="I430" s="143" t="s">
        <v>288</v>
      </c>
      <c r="J430" s="143">
        <v>2</v>
      </c>
      <c r="K430" s="143">
        <v>3</v>
      </c>
    </row>
    <row r="431" spans="1:11" x14ac:dyDescent="0.25">
      <c r="A431" s="143" t="s">
        <v>854</v>
      </c>
      <c r="B431" s="143" t="s">
        <v>306</v>
      </c>
      <c r="C431" s="143">
        <v>90</v>
      </c>
      <c r="D431" s="143">
        <v>80</v>
      </c>
      <c r="E431" s="143" t="s">
        <v>1045</v>
      </c>
      <c r="F431" s="143">
        <v>5</v>
      </c>
      <c r="G431" s="143">
        <v>5</v>
      </c>
      <c r="H431" s="143" t="s">
        <v>287</v>
      </c>
      <c r="I431" s="143" t="s">
        <v>288</v>
      </c>
      <c r="J431" s="143">
        <v>2</v>
      </c>
      <c r="K431" s="143">
        <v>3</v>
      </c>
    </row>
    <row r="432" spans="1:11" x14ac:dyDescent="0.25">
      <c r="A432" s="143" t="s">
        <v>855</v>
      </c>
      <c r="B432" s="143" t="s">
        <v>306</v>
      </c>
      <c r="C432" s="143">
        <v>90</v>
      </c>
      <c r="D432" s="143">
        <v>80</v>
      </c>
      <c r="E432" s="143" t="s">
        <v>1035</v>
      </c>
      <c r="F432" s="143">
        <v>7</v>
      </c>
      <c r="G432" s="143">
        <v>7</v>
      </c>
      <c r="H432" s="143" t="s">
        <v>287</v>
      </c>
      <c r="I432" s="143" t="s">
        <v>288</v>
      </c>
      <c r="J432" s="143">
        <v>2</v>
      </c>
      <c r="K432" s="143">
        <v>2</v>
      </c>
    </row>
    <row r="433" spans="1:11" x14ac:dyDescent="0.25">
      <c r="A433" s="143" t="s">
        <v>856</v>
      </c>
      <c r="B433" s="143" t="s">
        <v>306</v>
      </c>
      <c r="C433" s="143">
        <v>90</v>
      </c>
      <c r="D433" s="143">
        <v>80</v>
      </c>
      <c r="E433" s="143" t="s">
        <v>1036</v>
      </c>
      <c r="F433" s="143">
        <v>7</v>
      </c>
      <c r="G433" s="143">
        <v>6</v>
      </c>
      <c r="H433" s="143" t="s">
        <v>287</v>
      </c>
      <c r="I433" s="143" t="s">
        <v>288</v>
      </c>
      <c r="J433" s="143">
        <v>2</v>
      </c>
      <c r="K433" s="143">
        <v>2</v>
      </c>
    </row>
    <row r="434" spans="1:11" x14ac:dyDescent="0.25">
      <c r="A434" s="143" t="s">
        <v>857</v>
      </c>
      <c r="B434" s="143" t="s">
        <v>306</v>
      </c>
      <c r="C434" s="143">
        <v>90</v>
      </c>
      <c r="D434" s="143">
        <v>80</v>
      </c>
      <c r="E434" s="143" t="s">
        <v>1036</v>
      </c>
      <c r="F434" s="143">
        <v>7</v>
      </c>
      <c r="G434" s="143">
        <v>6</v>
      </c>
      <c r="H434" s="143" t="s">
        <v>287</v>
      </c>
      <c r="I434" s="143" t="s">
        <v>288</v>
      </c>
      <c r="J434" s="143">
        <v>2</v>
      </c>
      <c r="K434" s="143">
        <v>3</v>
      </c>
    </row>
    <row r="435" spans="1:11" x14ac:dyDescent="0.25">
      <c r="A435" s="143" t="s">
        <v>225</v>
      </c>
      <c r="B435" s="143" t="s">
        <v>306</v>
      </c>
      <c r="C435" s="143">
        <v>90</v>
      </c>
      <c r="D435" s="143">
        <v>80</v>
      </c>
      <c r="E435" s="143" t="s">
        <v>1036</v>
      </c>
      <c r="F435" s="143">
        <v>7</v>
      </c>
      <c r="G435" s="143">
        <v>6</v>
      </c>
      <c r="H435" s="143" t="s">
        <v>287</v>
      </c>
      <c r="I435" s="143" t="s">
        <v>288</v>
      </c>
      <c r="J435" s="143">
        <v>2</v>
      </c>
      <c r="K435" s="143">
        <v>3</v>
      </c>
    </row>
    <row r="436" spans="1:11" x14ac:dyDescent="0.25">
      <c r="A436" s="143" t="s">
        <v>226</v>
      </c>
      <c r="B436" s="143" t="s">
        <v>306</v>
      </c>
      <c r="C436" s="143">
        <v>100</v>
      </c>
      <c r="D436" s="143">
        <v>80</v>
      </c>
      <c r="E436" s="143" t="s">
        <v>1052</v>
      </c>
      <c r="F436" s="143">
        <v>11</v>
      </c>
      <c r="G436" s="143">
        <v>8</v>
      </c>
      <c r="H436" s="143" t="s">
        <v>287</v>
      </c>
      <c r="I436" s="143" t="s">
        <v>288</v>
      </c>
      <c r="J436" s="143">
        <v>3</v>
      </c>
      <c r="K436" s="143">
        <v>4</v>
      </c>
    </row>
    <row r="437" spans="1:11" x14ac:dyDescent="0.25">
      <c r="A437" s="143" t="s">
        <v>227</v>
      </c>
      <c r="B437" s="143" t="s">
        <v>306</v>
      </c>
      <c r="C437" s="144">
        <v>100</v>
      </c>
      <c r="D437" s="144">
        <v>80</v>
      </c>
      <c r="E437" s="143" t="s">
        <v>1038</v>
      </c>
      <c r="F437" s="143">
        <v>11</v>
      </c>
      <c r="G437" s="143">
        <v>9</v>
      </c>
      <c r="H437" s="143" t="s">
        <v>287</v>
      </c>
      <c r="I437" s="143" t="s">
        <v>288</v>
      </c>
      <c r="J437" s="143">
        <v>3</v>
      </c>
      <c r="K437" s="143">
        <v>4</v>
      </c>
    </row>
    <row r="438" spans="1:11" x14ac:dyDescent="0.25">
      <c r="A438" s="143" t="s">
        <v>858</v>
      </c>
      <c r="B438" s="143" t="s">
        <v>306</v>
      </c>
      <c r="C438" s="144">
        <v>120</v>
      </c>
      <c r="D438" s="144">
        <v>80</v>
      </c>
      <c r="E438" s="143" t="s">
        <v>1052</v>
      </c>
      <c r="F438" s="143">
        <v>11</v>
      </c>
      <c r="G438" s="143">
        <v>8</v>
      </c>
      <c r="H438" s="143" t="s">
        <v>287</v>
      </c>
      <c r="I438" s="143" t="s">
        <v>288</v>
      </c>
      <c r="J438" s="143">
        <v>3</v>
      </c>
      <c r="K438" s="143">
        <v>4</v>
      </c>
    </row>
    <row r="439" spans="1:11" x14ac:dyDescent="0.25">
      <c r="A439" s="143" t="s">
        <v>859</v>
      </c>
      <c r="B439" s="143" t="s">
        <v>306</v>
      </c>
      <c r="C439" s="143">
        <v>120</v>
      </c>
      <c r="D439" s="143">
        <v>80</v>
      </c>
      <c r="E439" s="143" t="s">
        <v>1039</v>
      </c>
      <c r="F439" s="143">
        <v>13</v>
      </c>
      <c r="G439" s="143">
        <v>8</v>
      </c>
      <c r="H439" s="143" t="s">
        <v>287</v>
      </c>
      <c r="I439" s="143" t="s">
        <v>288</v>
      </c>
      <c r="J439" s="143">
        <v>3</v>
      </c>
      <c r="K439" s="143">
        <v>5</v>
      </c>
    </row>
    <row r="440" spans="1:11" x14ac:dyDescent="0.25">
      <c r="A440" s="143" t="s">
        <v>860</v>
      </c>
      <c r="B440" s="143" t="s">
        <v>306</v>
      </c>
      <c r="C440" s="143">
        <v>130</v>
      </c>
      <c r="D440" s="143">
        <v>80</v>
      </c>
      <c r="E440" s="143" t="s">
        <v>1055</v>
      </c>
      <c r="F440" s="143">
        <v>14</v>
      </c>
      <c r="G440" s="143">
        <v>8</v>
      </c>
      <c r="H440" s="143" t="s">
        <v>287</v>
      </c>
      <c r="I440" s="143" t="s">
        <v>288</v>
      </c>
      <c r="J440" s="143">
        <v>3</v>
      </c>
      <c r="K440" s="143">
        <v>6</v>
      </c>
    </row>
    <row r="441" spans="1:11" x14ac:dyDescent="0.25">
      <c r="A441" s="143" t="s">
        <v>289</v>
      </c>
      <c r="B441" s="143" t="s">
        <v>888</v>
      </c>
      <c r="C441" s="143">
        <v>100</v>
      </c>
      <c r="D441" s="143">
        <v>60</v>
      </c>
      <c r="E441" s="143" t="s">
        <v>1063</v>
      </c>
      <c r="F441" s="143">
        <v>5</v>
      </c>
      <c r="G441" s="143">
        <v>3</v>
      </c>
      <c r="H441" s="143" t="s">
        <v>287</v>
      </c>
      <c r="I441" s="143" t="s">
        <v>288</v>
      </c>
      <c r="J441" s="143">
        <v>1</v>
      </c>
      <c r="K441" s="143">
        <v>3</v>
      </c>
    </row>
    <row r="442" spans="1:11" x14ac:dyDescent="0.25">
      <c r="A442" s="143" t="s">
        <v>893</v>
      </c>
      <c r="B442" s="143" t="s">
        <v>888</v>
      </c>
      <c r="C442" s="143">
        <v>100</v>
      </c>
      <c r="D442" s="143">
        <v>60</v>
      </c>
      <c r="E442" s="143" t="s">
        <v>1063</v>
      </c>
      <c r="F442" s="143">
        <v>5</v>
      </c>
      <c r="G442" s="143">
        <v>3</v>
      </c>
      <c r="H442" s="143" t="s">
        <v>287</v>
      </c>
      <c r="I442" s="143" t="s">
        <v>288</v>
      </c>
      <c r="J442" s="143">
        <v>1</v>
      </c>
      <c r="K442" s="143">
        <v>3</v>
      </c>
    </row>
    <row r="443" spans="1:11" x14ac:dyDescent="0.25">
      <c r="A443" s="143" t="s">
        <v>894</v>
      </c>
      <c r="B443" s="143" t="s">
        <v>888</v>
      </c>
      <c r="C443" s="143">
        <v>100</v>
      </c>
      <c r="D443" s="143">
        <v>60</v>
      </c>
      <c r="E443" s="143" t="s">
        <v>1045</v>
      </c>
      <c r="F443" s="143">
        <v>6</v>
      </c>
      <c r="G443" s="143">
        <v>4</v>
      </c>
      <c r="H443" s="143" t="s">
        <v>287</v>
      </c>
      <c r="I443" s="143" t="s">
        <v>288</v>
      </c>
      <c r="J443" s="143">
        <v>1</v>
      </c>
      <c r="K443" s="143">
        <v>2</v>
      </c>
    </row>
    <row r="444" spans="1:11" x14ac:dyDescent="0.25">
      <c r="A444" s="143" t="s">
        <v>289</v>
      </c>
      <c r="B444" s="143" t="s">
        <v>892</v>
      </c>
      <c r="C444" s="143">
        <v>100</v>
      </c>
      <c r="D444" s="143">
        <v>60</v>
      </c>
      <c r="E444" s="143" t="s">
        <v>1063</v>
      </c>
      <c r="F444" s="143">
        <v>5</v>
      </c>
      <c r="G444" s="143">
        <v>3</v>
      </c>
      <c r="H444" s="143" t="s">
        <v>287</v>
      </c>
      <c r="I444" s="143" t="s">
        <v>288</v>
      </c>
      <c r="J444" s="143">
        <v>1</v>
      </c>
      <c r="K444" s="143">
        <v>3</v>
      </c>
    </row>
    <row r="445" spans="1:11" x14ac:dyDescent="0.25">
      <c r="A445" s="143" t="s">
        <v>893</v>
      </c>
      <c r="B445" s="143" t="s">
        <v>892</v>
      </c>
      <c r="C445" s="143">
        <v>100</v>
      </c>
      <c r="D445" s="143">
        <v>60</v>
      </c>
      <c r="E445" s="143" t="s">
        <v>1063</v>
      </c>
      <c r="F445" s="143">
        <v>5</v>
      </c>
      <c r="G445" s="143">
        <v>3</v>
      </c>
      <c r="H445" s="143" t="s">
        <v>287</v>
      </c>
      <c r="I445" s="143" t="s">
        <v>288</v>
      </c>
      <c r="J445" s="143">
        <v>1</v>
      </c>
      <c r="K445" s="143">
        <v>3</v>
      </c>
    </row>
    <row r="446" spans="1:11" x14ac:dyDescent="0.25">
      <c r="A446" s="143" t="s">
        <v>894</v>
      </c>
      <c r="B446" s="143" t="s">
        <v>892</v>
      </c>
      <c r="C446" s="143">
        <v>100</v>
      </c>
      <c r="D446" s="143">
        <v>60</v>
      </c>
      <c r="E446" s="143" t="s">
        <v>1045</v>
      </c>
      <c r="F446" s="143">
        <v>6</v>
      </c>
      <c r="G446" s="143">
        <v>4</v>
      </c>
      <c r="H446" s="143" t="s">
        <v>287</v>
      </c>
      <c r="I446" s="143" t="s">
        <v>288</v>
      </c>
      <c r="J446" s="143">
        <v>1</v>
      </c>
      <c r="K446" s="143">
        <v>2</v>
      </c>
    </row>
    <row r="447" spans="1:11" x14ac:dyDescent="0.25">
      <c r="A447" s="143" t="s">
        <v>289</v>
      </c>
      <c r="B447" s="143" t="s">
        <v>885</v>
      </c>
      <c r="C447" s="143">
        <v>100</v>
      </c>
      <c r="D447" s="143">
        <v>60</v>
      </c>
      <c r="E447" s="143" t="s">
        <v>1063</v>
      </c>
      <c r="F447" s="143">
        <v>5</v>
      </c>
      <c r="G447" s="143">
        <v>3</v>
      </c>
      <c r="H447" s="143" t="s">
        <v>287</v>
      </c>
      <c r="I447" s="143" t="s">
        <v>288</v>
      </c>
      <c r="J447" s="143">
        <v>1</v>
      </c>
      <c r="K447" s="143">
        <v>3</v>
      </c>
    </row>
    <row r="448" spans="1:11" x14ac:dyDescent="0.25">
      <c r="A448" s="143" t="s">
        <v>893</v>
      </c>
      <c r="B448" s="143" t="s">
        <v>885</v>
      </c>
      <c r="C448" s="144">
        <v>100</v>
      </c>
      <c r="D448" s="144">
        <v>60</v>
      </c>
      <c r="E448" s="143" t="s">
        <v>1063</v>
      </c>
      <c r="F448" s="143">
        <v>5</v>
      </c>
      <c r="G448" s="143">
        <v>3</v>
      </c>
      <c r="H448" s="143" t="s">
        <v>287</v>
      </c>
      <c r="I448" s="143" t="s">
        <v>288</v>
      </c>
      <c r="J448" s="143">
        <v>1</v>
      </c>
      <c r="K448" s="143">
        <v>3</v>
      </c>
    </row>
    <row r="449" spans="1:11" x14ac:dyDescent="0.25">
      <c r="A449" s="143" t="s">
        <v>894</v>
      </c>
      <c r="B449" s="143" t="s">
        <v>885</v>
      </c>
      <c r="C449" s="143">
        <v>100</v>
      </c>
      <c r="D449" s="143">
        <v>60</v>
      </c>
      <c r="E449" s="143" t="s">
        <v>1049</v>
      </c>
      <c r="F449" s="143">
        <v>7</v>
      </c>
      <c r="G449" s="143">
        <v>5</v>
      </c>
      <c r="H449" s="143" t="s">
        <v>287</v>
      </c>
      <c r="I449" s="143" t="s">
        <v>288</v>
      </c>
      <c r="J449" s="143">
        <v>1</v>
      </c>
      <c r="K449" s="143">
        <v>2</v>
      </c>
    </row>
    <row r="450" spans="1:11" x14ac:dyDescent="0.25">
      <c r="A450" s="143" t="s">
        <v>289</v>
      </c>
      <c r="B450" s="143" t="s">
        <v>891</v>
      </c>
      <c r="C450" s="143">
        <v>100</v>
      </c>
      <c r="D450" s="143">
        <v>60</v>
      </c>
      <c r="E450" s="143" t="s">
        <v>1063</v>
      </c>
      <c r="F450" s="143">
        <v>5</v>
      </c>
      <c r="G450" s="143">
        <v>3</v>
      </c>
      <c r="H450" s="143" t="s">
        <v>287</v>
      </c>
      <c r="I450" s="143" t="s">
        <v>288</v>
      </c>
      <c r="J450" s="143">
        <v>1</v>
      </c>
      <c r="K450" s="143">
        <v>3</v>
      </c>
    </row>
    <row r="451" spans="1:11" x14ac:dyDescent="0.25">
      <c r="A451" s="143" t="s">
        <v>893</v>
      </c>
      <c r="B451" s="143" t="s">
        <v>891</v>
      </c>
      <c r="C451" s="143">
        <v>100</v>
      </c>
      <c r="D451" s="143">
        <v>60</v>
      </c>
      <c r="E451" s="143" t="s">
        <v>1063</v>
      </c>
      <c r="F451" s="143">
        <v>5</v>
      </c>
      <c r="G451" s="143">
        <v>3</v>
      </c>
      <c r="H451" s="143" t="s">
        <v>287</v>
      </c>
      <c r="I451" s="143" t="s">
        <v>288</v>
      </c>
      <c r="J451" s="143">
        <v>1</v>
      </c>
      <c r="K451" s="143">
        <v>3</v>
      </c>
    </row>
    <row r="452" spans="1:11" x14ac:dyDescent="0.25">
      <c r="A452" s="143" t="s">
        <v>894</v>
      </c>
      <c r="B452" s="143" t="s">
        <v>891</v>
      </c>
      <c r="C452" s="144">
        <v>100</v>
      </c>
      <c r="D452" s="144">
        <v>60</v>
      </c>
      <c r="E452" s="144" t="s">
        <v>1031</v>
      </c>
      <c r="F452" s="144">
        <v>6</v>
      </c>
      <c r="G452" s="144">
        <v>3</v>
      </c>
      <c r="H452" s="144" t="s">
        <v>287</v>
      </c>
      <c r="I452" s="144" t="s">
        <v>288</v>
      </c>
      <c r="J452" s="144">
        <v>1</v>
      </c>
      <c r="K452" s="144">
        <v>2</v>
      </c>
    </row>
    <row r="453" spans="1:11" x14ac:dyDescent="0.25">
      <c r="A453" s="143" t="s">
        <v>289</v>
      </c>
      <c r="B453" s="143" t="s">
        <v>886</v>
      </c>
      <c r="C453" s="143">
        <v>100</v>
      </c>
      <c r="D453" s="143">
        <v>60</v>
      </c>
      <c r="E453" s="143" t="s">
        <v>1063</v>
      </c>
      <c r="F453" s="143">
        <v>5</v>
      </c>
      <c r="G453" s="143">
        <v>3</v>
      </c>
      <c r="H453" s="143" t="s">
        <v>287</v>
      </c>
      <c r="I453" s="143" t="s">
        <v>288</v>
      </c>
      <c r="J453" s="143">
        <v>1</v>
      </c>
      <c r="K453" s="143">
        <v>3</v>
      </c>
    </row>
    <row r="454" spans="1:11" x14ac:dyDescent="0.25">
      <c r="A454" s="143" t="s">
        <v>893</v>
      </c>
      <c r="B454" s="143" t="s">
        <v>886</v>
      </c>
      <c r="C454" s="143">
        <v>100</v>
      </c>
      <c r="D454" s="143">
        <v>60</v>
      </c>
      <c r="E454" s="143" t="s">
        <v>1063</v>
      </c>
      <c r="F454" s="143">
        <v>5</v>
      </c>
      <c r="G454" s="143">
        <v>3</v>
      </c>
      <c r="H454" s="143" t="s">
        <v>287</v>
      </c>
      <c r="I454" s="143" t="s">
        <v>288</v>
      </c>
      <c r="J454" s="143">
        <v>1</v>
      </c>
      <c r="K454" s="143">
        <v>3</v>
      </c>
    </row>
    <row r="455" spans="1:11" x14ac:dyDescent="0.25">
      <c r="A455" s="143" t="s">
        <v>894</v>
      </c>
      <c r="B455" s="143" t="s">
        <v>886</v>
      </c>
      <c r="C455" s="143">
        <v>100</v>
      </c>
      <c r="D455" s="143">
        <v>60</v>
      </c>
      <c r="E455" s="143" t="s">
        <v>1049</v>
      </c>
      <c r="F455" s="143">
        <v>7</v>
      </c>
      <c r="G455" s="143">
        <v>5</v>
      </c>
      <c r="H455" s="143" t="s">
        <v>287</v>
      </c>
      <c r="I455" s="143" t="s">
        <v>288</v>
      </c>
      <c r="J455" s="143">
        <v>1</v>
      </c>
      <c r="K455" s="143">
        <v>2</v>
      </c>
    </row>
    <row r="456" spans="1:11" x14ac:dyDescent="0.25">
      <c r="A456" s="143" t="s">
        <v>289</v>
      </c>
      <c r="B456" s="143" t="s">
        <v>890</v>
      </c>
      <c r="C456" s="143">
        <v>100</v>
      </c>
      <c r="D456" s="143">
        <v>60</v>
      </c>
      <c r="E456" s="143" t="s">
        <v>1063</v>
      </c>
      <c r="F456" s="143">
        <v>5</v>
      </c>
      <c r="G456" s="143">
        <v>3</v>
      </c>
      <c r="H456" s="143" t="s">
        <v>287</v>
      </c>
      <c r="I456" s="143" t="s">
        <v>288</v>
      </c>
      <c r="J456" s="143">
        <v>1</v>
      </c>
      <c r="K456" s="143">
        <v>3</v>
      </c>
    </row>
    <row r="457" spans="1:11" x14ac:dyDescent="0.25">
      <c r="A457" s="143" t="s">
        <v>893</v>
      </c>
      <c r="B457" s="143" t="s">
        <v>890</v>
      </c>
      <c r="C457" s="143">
        <v>100</v>
      </c>
      <c r="D457" s="143">
        <v>60</v>
      </c>
      <c r="E457" s="143" t="s">
        <v>1063</v>
      </c>
      <c r="F457" s="143">
        <v>5</v>
      </c>
      <c r="G457" s="143">
        <v>3</v>
      </c>
      <c r="H457" s="143" t="s">
        <v>287</v>
      </c>
      <c r="I457" s="143" t="s">
        <v>288</v>
      </c>
      <c r="J457" s="143">
        <v>1</v>
      </c>
      <c r="K457" s="143">
        <v>3</v>
      </c>
    </row>
    <row r="458" spans="1:11" x14ac:dyDescent="0.25">
      <c r="A458" s="143" t="s">
        <v>894</v>
      </c>
      <c r="B458" s="143" t="s">
        <v>890</v>
      </c>
      <c r="C458" s="143">
        <v>100</v>
      </c>
      <c r="D458" s="143">
        <v>60</v>
      </c>
      <c r="E458" s="143" t="s">
        <v>1031</v>
      </c>
      <c r="F458" s="143">
        <v>6</v>
      </c>
      <c r="G458" s="143">
        <v>3</v>
      </c>
      <c r="H458" s="143" t="s">
        <v>287</v>
      </c>
      <c r="I458" s="143" t="s">
        <v>290</v>
      </c>
      <c r="J458" s="143">
        <v>1</v>
      </c>
      <c r="K458" s="143">
        <v>2</v>
      </c>
    </row>
    <row r="459" spans="1:11" x14ac:dyDescent="0.25">
      <c r="A459" s="143" t="s">
        <v>289</v>
      </c>
      <c r="B459" s="143" t="s">
        <v>887</v>
      </c>
      <c r="C459" s="143">
        <v>100</v>
      </c>
      <c r="D459" s="143">
        <v>60</v>
      </c>
      <c r="E459" s="143" t="s">
        <v>1063</v>
      </c>
      <c r="F459" s="143">
        <v>5</v>
      </c>
      <c r="G459" s="143">
        <v>3</v>
      </c>
      <c r="H459" s="143" t="s">
        <v>287</v>
      </c>
      <c r="I459" s="143" t="s">
        <v>288</v>
      </c>
      <c r="J459" s="143">
        <v>1</v>
      </c>
      <c r="K459" s="143">
        <v>3</v>
      </c>
    </row>
    <row r="460" spans="1:11" x14ac:dyDescent="0.25">
      <c r="A460" s="143" t="s">
        <v>893</v>
      </c>
      <c r="B460" s="143" t="s">
        <v>887</v>
      </c>
      <c r="C460" s="143">
        <v>100</v>
      </c>
      <c r="D460" s="143">
        <v>60</v>
      </c>
      <c r="E460" s="143" t="s">
        <v>1063</v>
      </c>
      <c r="F460" s="143">
        <v>5</v>
      </c>
      <c r="G460" s="143">
        <v>3</v>
      </c>
      <c r="H460" s="143" t="s">
        <v>287</v>
      </c>
      <c r="I460" s="143" t="s">
        <v>288</v>
      </c>
      <c r="J460" s="143">
        <v>1</v>
      </c>
      <c r="K460" s="143">
        <v>3</v>
      </c>
    </row>
    <row r="461" spans="1:11" x14ac:dyDescent="0.25">
      <c r="A461" s="143" t="s">
        <v>894</v>
      </c>
      <c r="B461" s="143" t="s">
        <v>887</v>
      </c>
      <c r="C461" s="143">
        <v>100</v>
      </c>
      <c r="D461" s="143">
        <v>60</v>
      </c>
      <c r="E461" s="143" t="s">
        <v>1045</v>
      </c>
      <c r="F461" s="143">
        <v>6</v>
      </c>
      <c r="G461" s="143">
        <v>4</v>
      </c>
      <c r="H461" s="143" t="s">
        <v>287</v>
      </c>
      <c r="I461" s="143" t="s">
        <v>288</v>
      </c>
      <c r="J461" s="143">
        <v>1</v>
      </c>
      <c r="K461" s="143">
        <v>2</v>
      </c>
    </row>
    <row r="462" spans="1:11" x14ac:dyDescent="0.25">
      <c r="A462" s="143" t="s">
        <v>289</v>
      </c>
      <c r="B462" s="143" t="s">
        <v>889</v>
      </c>
      <c r="C462" s="143">
        <v>100</v>
      </c>
      <c r="D462" s="143">
        <v>60</v>
      </c>
      <c r="E462" s="143" t="s">
        <v>1063</v>
      </c>
      <c r="F462" s="143">
        <v>5</v>
      </c>
      <c r="G462" s="143">
        <v>3</v>
      </c>
      <c r="H462" s="143" t="s">
        <v>287</v>
      </c>
      <c r="I462" s="143" t="s">
        <v>288</v>
      </c>
      <c r="J462" s="143">
        <v>1</v>
      </c>
      <c r="K462" s="143">
        <v>3</v>
      </c>
    </row>
    <row r="463" spans="1:11" x14ac:dyDescent="0.25">
      <c r="A463" s="143" t="s">
        <v>893</v>
      </c>
      <c r="B463" s="143" t="s">
        <v>889</v>
      </c>
      <c r="C463" s="143">
        <v>100</v>
      </c>
      <c r="D463" s="143">
        <v>60</v>
      </c>
      <c r="E463" s="143" t="s">
        <v>1063</v>
      </c>
      <c r="F463" s="143">
        <v>5</v>
      </c>
      <c r="G463" s="143">
        <v>3</v>
      </c>
      <c r="H463" s="143" t="s">
        <v>287</v>
      </c>
      <c r="I463" s="143" t="s">
        <v>288</v>
      </c>
      <c r="J463" s="143">
        <v>1</v>
      </c>
      <c r="K463" s="143">
        <v>3</v>
      </c>
    </row>
    <row r="464" spans="1:11" x14ac:dyDescent="0.25">
      <c r="A464" s="143" t="s">
        <v>894</v>
      </c>
      <c r="B464" s="143" t="s">
        <v>889</v>
      </c>
      <c r="C464" s="143">
        <v>100</v>
      </c>
      <c r="D464" s="143">
        <v>60</v>
      </c>
      <c r="E464" s="143" t="s">
        <v>1031</v>
      </c>
      <c r="F464" s="143">
        <v>6</v>
      </c>
      <c r="G464" s="143">
        <v>3</v>
      </c>
      <c r="H464" s="143" t="s">
        <v>287</v>
      </c>
      <c r="I464" s="143" t="s">
        <v>288</v>
      </c>
      <c r="J464" s="143">
        <v>1</v>
      </c>
      <c r="K464" s="143">
        <v>2</v>
      </c>
    </row>
    <row r="465" spans="1:11" x14ac:dyDescent="0.25">
      <c r="A465" s="143" t="s">
        <v>895</v>
      </c>
      <c r="B465" s="143" t="s">
        <v>307</v>
      </c>
      <c r="C465" s="143">
        <v>90</v>
      </c>
      <c r="D465" s="143">
        <v>80</v>
      </c>
      <c r="E465" s="143" t="s">
        <v>1031</v>
      </c>
      <c r="F465" s="143">
        <v>5</v>
      </c>
      <c r="G465" s="143">
        <v>4</v>
      </c>
      <c r="H465" s="143" t="s">
        <v>287</v>
      </c>
      <c r="I465" s="143" t="s">
        <v>288</v>
      </c>
      <c r="J465" s="143">
        <v>2</v>
      </c>
      <c r="K465" s="143">
        <v>3</v>
      </c>
    </row>
    <row r="466" spans="1:11" x14ac:dyDescent="0.25">
      <c r="A466" s="143" t="s">
        <v>851</v>
      </c>
      <c r="B466" s="143" t="s">
        <v>307</v>
      </c>
      <c r="C466" s="143">
        <v>90</v>
      </c>
      <c r="D466" s="143">
        <v>80</v>
      </c>
      <c r="E466" s="143" t="s">
        <v>1031</v>
      </c>
      <c r="F466" s="143">
        <v>5</v>
      </c>
      <c r="G466" s="143">
        <v>4</v>
      </c>
      <c r="H466" s="143" t="s">
        <v>287</v>
      </c>
      <c r="I466" s="143" t="s">
        <v>288</v>
      </c>
      <c r="J466" s="143">
        <v>2</v>
      </c>
      <c r="K466" s="143">
        <v>3</v>
      </c>
    </row>
    <row r="467" spans="1:11" x14ac:dyDescent="0.25">
      <c r="A467" s="143" t="s">
        <v>852</v>
      </c>
      <c r="B467" s="143" t="s">
        <v>307</v>
      </c>
      <c r="C467" s="143">
        <v>90</v>
      </c>
      <c r="D467" s="143">
        <v>80</v>
      </c>
      <c r="E467" s="143" t="s">
        <v>1031</v>
      </c>
      <c r="F467" s="143">
        <v>5</v>
      </c>
      <c r="G467" s="143">
        <v>4</v>
      </c>
      <c r="H467" s="143" t="s">
        <v>287</v>
      </c>
      <c r="I467" s="143" t="s">
        <v>288</v>
      </c>
      <c r="J467" s="143">
        <v>2</v>
      </c>
      <c r="K467" s="143">
        <v>3</v>
      </c>
    </row>
    <row r="468" spans="1:11" x14ac:dyDescent="0.25">
      <c r="A468" s="143" t="s">
        <v>853</v>
      </c>
      <c r="B468" s="143" t="s">
        <v>307</v>
      </c>
      <c r="C468" s="143">
        <v>90</v>
      </c>
      <c r="D468" s="143">
        <v>80</v>
      </c>
      <c r="E468" s="143" t="s">
        <v>1031</v>
      </c>
      <c r="F468" s="143">
        <v>5</v>
      </c>
      <c r="G468" s="143">
        <v>4</v>
      </c>
      <c r="H468" s="143" t="s">
        <v>287</v>
      </c>
      <c r="I468" s="143" t="s">
        <v>288</v>
      </c>
      <c r="J468" s="143">
        <v>2</v>
      </c>
      <c r="K468" s="143">
        <v>3</v>
      </c>
    </row>
    <row r="469" spans="1:11" x14ac:dyDescent="0.25">
      <c r="A469" s="143" t="s">
        <v>854</v>
      </c>
      <c r="B469" s="143" t="s">
        <v>307</v>
      </c>
      <c r="C469" s="143">
        <v>90</v>
      </c>
      <c r="D469" s="143">
        <v>80</v>
      </c>
      <c r="E469" s="143" t="s">
        <v>1031</v>
      </c>
      <c r="F469" s="143">
        <v>5</v>
      </c>
      <c r="G469" s="143">
        <v>4</v>
      </c>
      <c r="H469" s="143" t="s">
        <v>287</v>
      </c>
      <c r="I469" s="143" t="s">
        <v>288</v>
      </c>
      <c r="J469" s="143">
        <v>2</v>
      </c>
      <c r="K469" s="143">
        <v>3</v>
      </c>
    </row>
    <row r="470" spans="1:11" x14ac:dyDescent="0.25">
      <c r="A470" s="143" t="s">
        <v>855</v>
      </c>
      <c r="B470" s="143" t="s">
        <v>307</v>
      </c>
      <c r="C470" s="143">
        <v>90</v>
      </c>
      <c r="D470" s="143">
        <v>80</v>
      </c>
      <c r="E470" s="143" t="s">
        <v>1031</v>
      </c>
      <c r="F470" s="143">
        <v>5</v>
      </c>
      <c r="G470" s="143">
        <v>4</v>
      </c>
      <c r="H470" s="143" t="s">
        <v>287</v>
      </c>
      <c r="I470" s="143" t="s">
        <v>288</v>
      </c>
      <c r="J470" s="143">
        <v>2</v>
      </c>
      <c r="K470" s="143">
        <v>3</v>
      </c>
    </row>
    <row r="471" spans="1:11" x14ac:dyDescent="0.25">
      <c r="A471" s="143" t="s">
        <v>856</v>
      </c>
      <c r="B471" s="143" t="s">
        <v>307</v>
      </c>
      <c r="C471" s="143">
        <v>90</v>
      </c>
      <c r="D471" s="143">
        <v>80</v>
      </c>
      <c r="E471" s="143" t="s">
        <v>1031</v>
      </c>
      <c r="F471" s="143">
        <v>5</v>
      </c>
      <c r="G471" s="143">
        <v>4</v>
      </c>
      <c r="H471" s="143" t="s">
        <v>287</v>
      </c>
      <c r="I471" s="143" t="s">
        <v>288</v>
      </c>
      <c r="J471" s="143">
        <v>2</v>
      </c>
      <c r="K471" s="143">
        <v>3</v>
      </c>
    </row>
    <row r="472" spans="1:11" x14ac:dyDescent="0.25">
      <c r="A472" s="143" t="s">
        <v>857</v>
      </c>
      <c r="B472" s="143" t="s">
        <v>307</v>
      </c>
      <c r="C472" s="143">
        <v>90</v>
      </c>
      <c r="D472" s="143">
        <v>80</v>
      </c>
      <c r="E472" s="143" t="s">
        <v>1031</v>
      </c>
      <c r="F472" s="143">
        <v>5</v>
      </c>
      <c r="G472" s="143">
        <v>4</v>
      </c>
      <c r="H472" s="143" t="s">
        <v>287</v>
      </c>
      <c r="I472" s="143" t="s">
        <v>288</v>
      </c>
      <c r="J472" s="143">
        <v>2</v>
      </c>
      <c r="K472" s="143">
        <v>3</v>
      </c>
    </row>
    <row r="473" spans="1:11" x14ac:dyDescent="0.25">
      <c r="A473" s="143" t="s">
        <v>225</v>
      </c>
      <c r="B473" s="143" t="s">
        <v>307</v>
      </c>
      <c r="C473" s="143">
        <v>90</v>
      </c>
      <c r="D473" s="143">
        <v>80</v>
      </c>
      <c r="E473" s="143" t="s">
        <v>1031</v>
      </c>
      <c r="F473" s="143">
        <v>5</v>
      </c>
      <c r="G473" s="143">
        <v>4</v>
      </c>
      <c r="H473" s="143" t="s">
        <v>287</v>
      </c>
      <c r="I473" s="143" t="s">
        <v>288</v>
      </c>
      <c r="J473" s="143">
        <v>2</v>
      </c>
      <c r="K473" s="143">
        <v>3</v>
      </c>
    </row>
    <row r="474" spans="1:11" x14ac:dyDescent="0.25">
      <c r="A474" s="143" t="s">
        <v>226</v>
      </c>
      <c r="B474" s="143" t="s">
        <v>307</v>
      </c>
      <c r="C474" s="143">
        <v>100</v>
      </c>
      <c r="D474" s="143">
        <v>80</v>
      </c>
      <c r="E474" s="143" t="s">
        <v>1032</v>
      </c>
      <c r="F474" s="143">
        <v>5</v>
      </c>
      <c r="G474" s="143">
        <v>4</v>
      </c>
      <c r="H474" s="143" t="s">
        <v>287</v>
      </c>
      <c r="I474" s="143" t="s">
        <v>288</v>
      </c>
      <c r="J474" s="143">
        <v>2</v>
      </c>
      <c r="K474" s="143">
        <v>3</v>
      </c>
    </row>
    <row r="475" spans="1:11" x14ac:dyDescent="0.25">
      <c r="A475" s="143" t="s">
        <v>227</v>
      </c>
      <c r="B475" s="143" t="s">
        <v>307</v>
      </c>
      <c r="C475" s="143">
        <v>100</v>
      </c>
      <c r="D475" s="143">
        <v>80</v>
      </c>
      <c r="E475" s="143" t="s">
        <v>1032</v>
      </c>
      <c r="F475" s="143">
        <v>5</v>
      </c>
      <c r="G475" s="143">
        <v>4</v>
      </c>
      <c r="H475" s="143" t="s">
        <v>287</v>
      </c>
      <c r="I475" s="143" t="s">
        <v>288</v>
      </c>
      <c r="J475" s="143">
        <v>2</v>
      </c>
      <c r="K475" s="143">
        <v>3</v>
      </c>
    </row>
    <row r="476" spans="1:11" x14ac:dyDescent="0.25">
      <c r="A476" s="143" t="s">
        <v>858</v>
      </c>
      <c r="B476" s="143" t="s">
        <v>307</v>
      </c>
      <c r="C476" s="143">
        <v>120</v>
      </c>
      <c r="D476" s="143">
        <v>80</v>
      </c>
      <c r="E476" s="143" t="s">
        <v>1033</v>
      </c>
      <c r="F476" s="143">
        <v>7</v>
      </c>
      <c r="G476" s="143">
        <v>4</v>
      </c>
      <c r="H476" s="143" t="s">
        <v>287</v>
      </c>
      <c r="I476" s="143" t="s">
        <v>288</v>
      </c>
      <c r="J476" s="143">
        <v>2</v>
      </c>
      <c r="K476" s="143">
        <v>5</v>
      </c>
    </row>
    <row r="477" spans="1:11" x14ac:dyDescent="0.25">
      <c r="A477" s="143" t="s">
        <v>859</v>
      </c>
      <c r="B477" s="143" t="s">
        <v>307</v>
      </c>
      <c r="C477" s="143">
        <v>120</v>
      </c>
      <c r="D477" s="143">
        <v>80</v>
      </c>
      <c r="E477" s="143" t="s">
        <v>1050</v>
      </c>
      <c r="F477" s="143">
        <v>7</v>
      </c>
      <c r="G477" s="143">
        <v>5</v>
      </c>
      <c r="H477" s="143" t="s">
        <v>287</v>
      </c>
      <c r="I477" s="143" t="s">
        <v>288</v>
      </c>
      <c r="J477" s="143">
        <v>1</v>
      </c>
      <c r="K477" s="143">
        <v>5</v>
      </c>
    </row>
    <row r="478" spans="1:11" x14ac:dyDescent="0.25">
      <c r="A478" s="143" t="s">
        <v>860</v>
      </c>
      <c r="B478" s="143" t="s">
        <v>307</v>
      </c>
      <c r="C478" s="143">
        <v>130</v>
      </c>
      <c r="D478" s="143">
        <v>80</v>
      </c>
      <c r="E478" s="143" t="s">
        <v>1036</v>
      </c>
      <c r="F478" s="143">
        <v>8</v>
      </c>
      <c r="G478" s="143">
        <v>5</v>
      </c>
      <c r="H478" s="143" t="s">
        <v>287</v>
      </c>
      <c r="I478" s="143" t="s">
        <v>288</v>
      </c>
      <c r="J478" s="143">
        <v>1</v>
      </c>
      <c r="K478" s="143">
        <v>3</v>
      </c>
    </row>
  </sheetData>
  <sortState xmlns:xlrd2="http://schemas.microsoft.com/office/spreadsheetml/2017/richdata2" ref="A3:K478">
    <sortCondition ref="B3"/>
  </sortState>
  <phoneticPr fontId="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3">
    <tabColor theme="4" tint="0.39997558519241921"/>
  </sheetPr>
  <dimension ref="A1:T90"/>
  <sheetViews>
    <sheetView topLeftCell="F1" workbookViewId="0">
      <selection activeCell="T7" sqref="T7:T10"/>
    </sheetView>
  </sheetViews>
  <sheetFormatPr defaultColWidth="9" defaultRowHeight="15.75" x14ac:dyDescent="0.25"/>
  <cols>
    <col min="1" max="14" width="9" style="143" customWidth="1"/>
    <col min="15" max="15" width="9" style="168" customWidth="1"/>
    <col min="16" max="17" width="9" style="167"/>
    <col min="18" max="18" width="8.625" style="94" customWidth="1"/>
    <col min="19" max="19" width="9" style="167"/>
    <col min="20" max="20" width="99.375" style="167" bestFit="1" customWidth="1"/>
    <col min="21" max="16384" width="9" style="167"/>
  </cols>
  <sheetData>
    <row r="1" spans="1:20" x14ac:dyDescent="0.25">
      <c r="A1" s="143" t="s">
        <v>424</v>
      </c>
      <c r="B1" s="143" t="s">
        <v>425</v>
      </c>
      <c r="C1" s="143" t="s">
        <v>426</v>
      </c>
      <c r="D1" s="143" t="s">
        <v>427</v>
      </c>
      <c r="E1" s="143" t="s">
        <v>428</v>
      </c>
      <c r="F1" s="143" t="s">
        <v>428</v>
      </c>
      <c r="I1" s="143" t="s">
        <v>429</v>
      </c>
      <c r="J1" s="143" t="s">
        <v>430</v>
      </c>
      <c r="M1" s="143" t="s">
        <v>431</v>
      </c>
      <c r="N1" s="143" t="s">
        <v>432</v>
      </c>
      <c r="O1" s="168" t="s">
        <v>291</v>
      </c>
      <c r="P1" s="167" t="s">
        <v>281</v>
      </c>
      <c r="R1" s="167">
        <f>SUM(S:S)</f>
        <v>0</v>
      </c>
      <c r="T1" s="167" t="s">
        <v>281</v>
      </c>
    </row>
    <row r="2" spans="1:20" x14ac:dyDescent="0.25">
      <c r="F2" s="143" t="s">
        <v>354</v>
      </c>
      <c r="G2" s="143" t="s">
        <v>353</v>
      </c>
      <c r="H2" s="143" t="s">
        <v>356</v>
      </c>
      <c r="J2" s="143" t="s">
        <v>354</v>
      </c>
      <c r="K2" s="143" t="s">
        <v>353</v>
      </c>
      <c r="L2" s="143" t="s">
        <v>356</v>
      </c>
    </row>
    <row r="3" spans="1:20" x14ac:dyDescent="0.25">
      <c r="A3" s="177" t="s">
        <v>1289</v>
      </c>
      <c r="B3" s="177" t="s">
        <v>1291</v>
      </c>
      <c r="C3" s="177">
        <v>60</v>
      </c>
      <c r="D3" s="177">
        <v>90</v>
      </c>
      <c r="E3" s="167" t="s">
        <v>433</v>
      </c>
      <c r="F3" s="167" t="s">
        <v>909</v>
      </c>
      <c r="G3" s="167" t="s">
        <v>905</v>
      </c>
      <c r="H3" s="167" t="s">
        <v>909</v>
      </c>
      <c r="I3" s="177" t="s">
        <v>902</v>
      </c>
      <c r="J3" s="177" t="s">
        <v>903</v>
      </c>
      <c r="K3" s="177" t="s">
        <v>903</v>
      </c>
      <c r="L3" s="177" t="s">
        <v>903</v>
      </c>
      <c r="M3" s="177">
        <v>830</v>
      </c>
      <c r="N3" s="177">
        <v>90</v>
      </c>
      <c r="O3" s="168" t="s">
        <v>1354</v>
      </c>
      <c r="R3" s="182" t="s">
        <v>1191</v>
      </c>
      <c r="S3" s="167" t="str">
        <f>IF(R3&lt;&gt;"",IF(R3&lt;&gt;T3,1,""),"")</f>
        <v/>
      </c>
      <c r="T3" s="177" t="s">
        <v>1191</v>
      </c>
    </row>
    <row r="4" spans="1:20" x14ac:dyDescent="0.25">
      <c r="A4" s="177"/>
      <c r="B4" s="177"/>
      <c r="C4" s="177"/>
      <c r="D4" s="177"/>
      <c r="E4" s="167" t="s">
        <v>434</v>
      </c>
      <c r="F4" s="167" t="s">
        <v>910</v>
      </c>
      <c r="G4" s="167">
        <v>0</v>
      </c>
      <c r="H4" s="167" t="s">
        <v>905</v>
      </c>
      <c r="I4" s="177"/>
      <c r="J4" s="177"/>
      <c r="K4" s="177"/>
      <c r="L4" s="177"/>
      <c r="M4" s="177"/>
      <c r="N4" s="177"/>
      <c r="R4" s="182"/>
      <c r="S4" s="167" t="str">
        <f>IF(R4&lt;&gt;"",IF(R4&lt;&gt;T4,1,""),"")</f>
        <v/>
      </c>
      <c r="T4" s="177"/>
    </row>
    <row r="5" spans="1:20" x14ac:dyDescent="0.25">
      <c r="A5" s="177"/>
      <c r="B5" s="177"/>
      <c r="C5" s="177"/>
      <c r="D5" s="177"/>
      <c r="E5" s="167" t="s">
        <v>433</v>
      </c>
      <c r="F5" s="167" t="s">
        <v>901</v>
      </c>
      <c r="G5" s="167">
        <v>0</v>
      </c>
      <c r="H5" s="167" t="s">
        <v>901</v>
      </c>
      <c r="I5" s="177"/>
      <c r="J5" s="177"/>
      <c r="K5" s="177"/>
      <c r="L5" s="177"/>
      <c r="M5" s="177"/>
      <c r="N5" s="177"/>
      <c r="R5" s="182"/>
      <c r="S5" s="167" t="str">
        <f>IF(R5&lt;&gt;"",IF(R5&lt;&gt;T5,1,""),"")</f>
        <v/>
      </c>
      <c r="T5" s="177"/>
    </row>
    <row r="6" spans="1:20" x14ac:dyDescent="0.25">
      <c r="A6" s="177"/>
      <c r="B6" s="177"/>
      <c r="C6" s="177"/>
      <c r="D6" s="177"/>
      <c r="E6" s="167" t="s">
        <v>434</v>
      </c>
      <c r="F6" s="167" t="s">
        <v>909</v>
      </c>
      <c r="G6" s="167" t="s">
        <v>906</v>
      </c>
      <c r="H6" s="167" t="s">
        <v>909</v>
      </c>
      <c r="I6" s="177"/>
      <c r="J6" s="177"/>
      <c r="K6" s="177"/>
      <c r="L6" s="177"/>
      <c r="M6" s="177"/>
      <c r="N6" s="177"/>
      <c r="R6" s="182"/>
      <c r="S6" s="167" t="str">
        <f>IF(R6&lt;&gt;"",IF(R6&lt;&gt;T6,1,""),"")</f>
        <v/>
      </c>
      <c r="T6" s="177"/>
    </row>
    <row r="7" spans="1:20" ht="15.75" customHeight="1" x14ac:dyDescent="0.25">
      <c r="A7" s="177" t="s">
        <v>1289</v>
      </c>
      <c r="B7" s="177" t="s">
        <v>1298</v>
      </c>
      <c r="C7" s="177">
        <v>60</v>
      </c>
      <c r="D7" s="177">
        <v>90</v>
      </c>
      <c r="E7" s="167" t="s">
        <v>433</v>
      </c>
      <c r="F7" s="167" t="s">
        <v>1292</v>
      </c>
      <c r="G7" s="167" t="s">
        <v>1292</v>
      </c>
      <c r="H7" s="167" t="s">
        <v>1292</v>
      </c>
      <c r="I7" s="177" t="s">
        <v>902</v>
      </c>
      <c r="J7" s="177" t="s">
        <v>903</v>
      </c>
      <c r="K7" s="177" t="s">
        <v>903</v>
      </c>
      <c r="L7" s="177" t="s">
        <v>903</v>
      </c>
      <c r="M7" s="177">
        <v>830</v>
      </c>
      <c r="N7" s="177">
        <v>90</v>
      </c>
      <c r="O7" s="168" t="s">
        <v>1295</v>
      </c>
      <c r="R7" s="184" t="s">
        <v>1294</v>
      </c>
      <c r="S7" s="167" t="str">
        <f>IF(R7&lt;&gt;"",IF(R7&lt;&gt;T7,1,""),"")</f>
        <v/>
      </c>
      <c r="T7" s="179" t="s">
        <v>1294</v>
      </c>
    </row>
    <row r="8" spans="1:20" x14ac:dyDescent="0.25">
      <c r="A8" s="177"/>
      <c r="B8" s="177"/>
      <c r="C8" s="177"/>
      <c r="D8" s="177"/>
      <c r="E8" s="167" t="s">
        <v>434</v>
      </c>
      <c r="F8" s="167">
        <v>0</v>
      </c>
      <c r="G8" s="167">
        <v>0</v>
      </c>
      <c r="H8" s="167">
        <v>0</v>
      </c>
      <c r="I8" s="177"/>
      <c r="J8" s="177"/>
      <c r="K8" s="177"/>
      <c r="L8" s="177"/>
      <c r="M8" s="177"/>
      <c r="N8" s="177"/>
      <c r="R8" s="182"/>
      <c r="S8" s="167" t="str">
        <f>IF(R8&lt;&gt;"",IF(R8&lt;&gt;T8,1,""),"")</f>
        <v/>
      </c>
      <c r="T8" s="177"/>
    </row>
    <row r="9" spans="1:20" x14ac:dyDescent="0.25">
      <c r="A9" s="177"/>
      <c r="B9" s="177"/>
      <c r="C9" s="177"/>
      <c r="D9" s="177"/>
      <c r="E9" s="167" t="s">
        <v>433</v>
      </c>
      <c r="F9" s="167">
        <v>0</v>
      </c>
      <c r="G9" s="167">
        <v>0</v>
      </c>
      <c r="H9" s="167">
        <v>0</v>
      </c>
      <c r="I9" s="177"/>
      <c r="J9" s="177"/>
      <c r="K9" s="177"/>
      <c r="L9" s="177"/>
      <c r="M9" s="177"/>
      <c r="N9" s="177"/>
      <c r="R9" s="182"/>
      <c r="S9" s="167" t="str">
        <f>IF(R9&lt;&gt;"",IF(R9&lt;&gt;T9,1,""),"")</f>
        <v/>
      </c>
      <c r="T9" s="177"/>
    </row>
    <row r="10" spans="1:20" x14ac:dyDescent="0.25">
      <c r="A10" s="177"/>
      <c r="B10" s="177"/>
      <c r="C10" s="177"/>
      <c r="D10" s="177"/>
      <c r="E10" s="167" t="s">
        <v>434</v>
      </c>
      <c r="F10" s="167" t="s">
        <v>1292</v>
      </c>
      <c r="G10" s="167" t="s">
        <v>1292</v>
      </c>
      <c r="H10" s="167" t="s">
        <v>1292</v>
      </c>
      <c r="I10" s="177"/>
      <c r="J10" s="177"/>
      <c r="K10" s="177"/>
      <c r="L10" s="177"/>
      <c r="M10" s="177"/>
      <c r="N10" s="177"/>
      <c r="R10" s="182"/>
      <c r="S10" s="167" t="str">
        <f>IF(R10&lt;&gt;"",IF(R10&lt;&gt;T10,1,""),"")</f>
        <v/>
      </c>
      <c r="T10" s="177"/>
    </row>
    <row r="11" spans="1:20" x14ac:dyDescent="0.25">
      <c r="A11" s="177" t="s">
        <v>1289</v>
      </c>
      <c r="B11" s="177" t="s">
        <v>1300</v>
      </c>
      <c r="C11" s="177">
        <v>60</v>
      </c>
      <c r="D11" s="177">
        <v>100</v>
      </c>
      <c r="E11" s="167" t="s">
        <v>433</v>
      </c>
      <c r="F11" s="167" t="s">
        <v>909</v>
      </c>
      <c r="G11" s="167" t="s">
        <v>905</v>
      </c>
      <c r="H11" s="167" t="s">
        <v>909</v>
      </c>
      <c r="I11" s="177" t="s">
        <v>902</v>
      </c>
      <c r="J11" s="177" t="s">
        <v>903</v>
      </c>
      <c r="K11" s="177" t="s">
        <v>903</v>
      </c>
      <c r="L11" s="177" t="s">
        <v>903</v>
      </c>
      <c r="M11" s="177">
        <v>830</v>
      </c>
      <c r="N11" s="177">
        <v>90</v>
      </c>
      <c r="O11" s="168" t="s">
        <v>1296</v>
      </c>
      <c r="R11" s="183" t="s">
        <v>1286</v>
      </c>
      <c r="S11" s="167" t="str">
        <f>IF(R11&lt;&gt;"",IF(R11&lt;&gt;T11,1,""),"")</f>
        <v/>
      </c>
      <c r="T11" s="178" t="s">
        <v>1286</v>
      </c>
    </row>
    <row r="12" spans="1:20" x14ac:dyDescent="0.25">
      <c r="A12" s="177"/>
      <c r="B12" s="177"/>
      <c r="C12" s="177"/>
      <c r="D12" s="177"/>
      <c r="E12" s="167" t="s">
        <v>434</v>
      </c>
      <c r="F12" s="167" t="s">
        <v>910</v>
      </c>
      <c r="G12" s="167">
        <v>0</v>
      </c>
      <c r="H12" s="167" t="s">
        <v>905</v>
      </c>
      <c r="I12" s="177"/>
      <c r="J12" s="177"/>
      <c r="K12" s="177"/>
      <c r="L12" s="177"/>
      <c r="M12" s="177"/>
      <c r="N12" s="177"/>
      <c r="R12" s="182"/>
      <c r="S12" s="167" t="str">
        <f>IF(R12&lt;&gt;"",IF(R12&lt;&gt;T12,1,""),"")</f>
        <v/>
      </c>
      <c r="T12" s="177"/>
    </row>
    <row r="13" spans="1:20" x14ac:dyDescent="0.25">
      <c r="A13" s="177"/>
      <c r="B13" s="177"/>
      <c r="C13" s="177"/>
      <c r="D13" s="177"/>
      <c r="E13" s="167" t="s">
        <v>433</v>
      </c>
      <c r="F13" s="167" t="s">
        <v>901</v>
      </c>
      <c r="G13" s="167">
        <v>0</v>
      </c>
      <c r="H13" s="167" t="s">
        <v>901</v>
      </c>
      <c r="I13" s="177"/>
      <c r="J13" s="177"/>
      <c r="K13" s="177"/>
      <c r="L13" s="177"/>
      <c r="M13" s="177"/>
      <c r="N13" s="177"/>
      <c r="R13" s="182"/>
      <c r="S13" s="167" t="str">
        <f>IF(R13&lt;&gt;"",IF(R13&lt;&gt;T13,1,""),"")</f>
        <v/>
      </c>
      <c r="T13" s="177"/>
    </row>
    <row r="14" spans="1:20" x14ac:dyDescent="0.25">
      <c r="A14" s="177"/>
      <c r="B14" s="177"/>
      <c r="C14" s="177"/>
      <c r="D14" s="177"/>
      <c r="E14" s="167" t="s">
        <v>434</v>
      </c>
      <c r="F14" s="167" t="s">
        <v>909</v>
      </c>
      <c r="G14" s="167" t="s">
        <v>906</v>
      </c>
      <c r="H14" s="167" t="s">
        <v>909</v>
      </c>
      <c r="I14" s="177"/>
      <c r="J14" s="177"/>
      <c r="K14" s="177"/>
      <c r="L14" s="177"/>
      <c r="M14" s="177"/>
      <c r="N14" s="177"/>
      <c r="R14" s="182"/>
      <c r="S14" s="167" t="str">
        <f>IF(R14&lt;&gt;"",IF(R14&lt;&gt;T14,1,""),"")</f>
        <v/>
      </c>
      <c r="T14" s="177"/>
    </row>
    <row r="15" spans="1:20" x14ac:dyDescent="0.25">
      <c r="A15" s="177" t="s">
        <v>1289</v>
      </c>
      <c r="B15" s="177" t="s">
        <v>1311</v>
      </c>
      <c r="C15" s="177">
        <v>60</v>
      </c>
      <c r="D15" s="177">
        <v>90</v>
      </c>
      <c r="E15" s="167" t="s">
        <v>433</v>
      </c>
      <c r="F15" s="167" t="s">
        <v>909</v>
      </c>
      <c r="G15" s="167" t="s">
        <v>905</v>
      </c>
      <c r="H15" s="167" t="s">
        <v>909</v>
      </c>
      <c r="I15" s="177" t="s">
        <v>902</v>
      </c>
      <c r="J15" s="177" t="s">
        <v>903</v>
      </c>
      <c r="K15" s="177" t="s">
        <v>903</v>
      </c>
      <c r="L15" s="177" t="s">
        <v>903</v>
      </c>
      <c r="M15" s="177">
        <v>400</v>
      </c>
      <c r="N15" s="177">
        <v>90</v>
      </c>
      <c r="O15" s="168" t="s">
        <v>1303</v>
      </c>
      <c r="R15" s="183" t="s">
        <v>1288</v>
      </c>
      <c r="S15" s="167" t="str">
        <f>IF(R15&lt;&gt;"",IF(R15&lt;&gt;T15,1,""),"")</f>
        <v/>
      </c>
      <c r="T15" s="178" t="s">
        <v>1288</v>
      </c>
    </row>
    <row r="16" spans="1:20" x14ac:dyDescent="0.25">
      <c r="A16" s="177"/>
      <c r="B16" s="177"/>
      <c r="C16" s="177"/>
      <c r="D16" s="177"/>
      <c r="E16" s="167" t="s">
        <v>434</v>
      </c>
      <c r="F16" s="167" t="s">
        <v>910</v>
      </c>
      <c r="G16" s="167">
        <v>0</v>
      </c>
      <c r="H16" s="167" t="s">
        <v>905</v>
      </c>
      <c r="I16" s="177"/>
      <c r="J16" s="177"/>
      <c r="K16" s="177"/>
      <c r="L16" s="177"/>
      <c r="M16" s="177"/>
      <c r="N16" s="177"/>
      <c r="R16" s="182"/>
      <c r="S16" s="167" t="str">
        <f>IF(R16&lt;&gt;"",IF(R16&lt;&gt;T16,1,""),"")</f>
        <v/>
      </c>
      <c r="T16" s="177"/>
    </row>
    <row r="17" spans="1:20" x14ac:dyDescent="0.25">
      <c r="A17" s="177"/>
      <c r="B17" s="177"/>
      <c r="C17" s="177"/>
      <c r="D17" s="177"/>
      <c r="E17" s="167" t="s">
        <v>433</v>
      </c>
      <c r="F17" s="167" t="s">
        <v>901</v>
      </c>
      <c r="G17" s="167">
        <v>0</v>
      </c>
      <c r="H17" s="167" t="s">
        <v>901</v>
      </c>
      <c r="I17" s="177"/>
      <c r="J17" s="177"/>
      <c r="K17" s="177"/>
      <c r="L17" s="177"/>
      <c r="M17" s="177"/>
      <c r="N17" s="177"/>
      <c r="R17" s="182"/>
      <c r="S17" s="167" t="str">
        <f>IF(R17&lt;&gt;"",IF(R17&lt;&gt;T17,1,""),"")</f>
        <v/>
      </c>
      <c r="T17" s="177"/>
    </row>
    <row r="18" spans="1:20" x14ac:dyDescent="0.25">
      <c r="A18" s="177"/>
      <c r="B18" s="177"/>
      <c r="C18" s="177"/>
      <c r="D18" s="177"/>
      <c r="E18" s="167" t="s">
        <v>434</v>
      </c>
      <c r="F18" s="167" t="s">
        <v>909</v>
      </c>
      <c r="G18" s="167" t="s">
        <v>906</v>
      </c>
      <c r="H18" s="167" t="s">
        <v>909</v>
      </c>
      <c r="I18" s="177"/>
      <c r="J18" s="177"/>
      <c r="K18" s="177"/>
      <c r="L18" s="177"/>
      <c r="M18" s="177"/>
      <c r="N18" s="177"/>
      <c r="R18" s="182"/>
      <c r="S18" s="167" t="str">
        <f>IF(R18&lt;&gt;"",IF(R18&lt;&gt;T18,1,""),"")</f>
        <v/>
      </c>
      <c r="T18" s="177"/>
    </row>
    <row r="19" spans="1:20" x14ac:dyDescent="0.25">
      <c r="A19" s="177" t="s">
        <v>1289</v>
      </c>
      <c r="B19" s="177" t="s">
        <v>1309</v>
      </c>
      <c r="C19" s="177">
        <v>60</v>
      </c>
      <c r="D19" s="177">
        <v>90</v>
      </c>
      <c r="E19" s="167" t="s">
        <v>433</v>
      </c>
      <c r="F19" s="167" t="s">
        <v>909</v>
      </c>
      <c r="G19" s="167" t="s">
        <v>905</v>
      </c>
      <c r="H19" s="167" t="s">
        <v>909</v>
      </c>
      <c r="I19" s="177" t="s">
        <v>902</v>
      </c>
      <c r="J19" s="181" t="s">
        <v>1313</v>
      </c>
      <c r="K19" s="177" t="s">
        <v>903</v>
      </c>
      <c r="L19" s="177" t="s">
        <v>903</v>
      </c>
      <c r="M19" s="177">
        <v>830</v>
      </c>
      <c r="N19" s="177">
        <v>90</v>
      </c>
      <c r="O19" s="168" t="s">
        <v>1307</v>
      </c>
      <c r="R19" s="183" t="s">
        <v>1314</v>
      </c>
      <c r="S19" s="167" t="str">
        <f>IF(R19&lt;&gt;"",IF(R19&lt;&gt;T19,1,""),"")</f>
        <v/>
      </c>
      <c r="T19" s="178" t="s">
        <v>1314</v>
      </c>
    </row>
    <row r="20" spans="1:20" x14ac:dyDescent="0.25">
      <c r="A20" s="177"/>
      <c r="B20" s="177"/>
      <c r="C20" s="177"/>
      <c r="D20" s="177"/>
      <c r="E20" s="167" t="s">
        <v>434</v>
      </c>
      <c r="F20" s="167" t="s">
        <v>910</v>
      </c>
      <c r="G20" s="167">
        <v>0</v>
      </c>
      <c r="H20" s="167" t="s">
        <v>905</v>
      </c>
      <c r="I20" s="177"/>
      <c r="J20" s="177"/>
      <c r="K20" s="177"/>
      <c r="L20" s="177"/>
      <c r="M20" s="177"/>
      <c r="N20" s="177"/>
      <c r="R20" s="182"/>
      <c r="S20" s="167" t="str">
        <f>IF(R20&lt;&gt;"",IF(R20&lt;&gt;T20,1,""),"")</f>
        <v/>
      </c>
      <c r="T20" s="177"/>
    </row>
    <row r="21" spans="1:20" x14ac:dyDescent="0.25">
      <c r="A21" s="177"/>
      <c r="B21" s="177"/>
      <c r="C21" s="177"/>
      <c r="D21" s="177"/>
      <c r="E21" s="167" t="s">
        <v>433</v>
      </c>
      <c r="F21" s="167" t="s">
        <v>901</v>
      </c>
      <c r="G21" s="167">
        <v>0</v>
      </c>
      <c r="H21" s="167" t="s">
        <v>901</v>
      </c>
      <c r="I21" s="177"/>
      <c r="J21" s="177"/>
      <c r="K21" s="177"/>
      <c r="L21" s="177"/>
      <c r="M21" s="177"/>
      <c r="N21" s="177"/>
      <c r="R21" s="182"/>
      <c r="S21" s="167" t="str">
        <f>IF(R21&lt;&gt;"",IF(R21&lt;&gt;T21,1,""),"")</f>
        <v/>
      </c>
      <c r="T21" s="177"/>
    </row>
    <row r="22" spans="1:20" x14ac:dyDescent="0.25">
      <c r="A22" s="177"/>
      <c r="B22" s="177"/>
      <c r="C22" s="177"/>
      <c r="D22" s="177"/>
      <c r="E22" s="167" t="s">
        <v>434</v>
      </c>
      <c r="F22" s="167" t="s">
        <v>909</v>
      </c>
      <c r="G22" s="167" t="s">
        <v>906</v>
      </c>
      <c r="H22" s="167" t="s">
        <v>909</v>
      </c>
      <c r="I22" s="177"/>
      <c r="J22" s="177"/>
      <c r="K22" s="177"/>
      <c r="L22" s="177"/>
      <c r="M22" s="177"/>
      <c r="N22" s="177"/>
      <c r="R22" s="182"/>
      <c r="S22" s="167" t="str">
        <f>IF(R22&lt;&gt;"",IF(R22&lt;&gt;T22,1,""),"")</f>
        <v/>
      </c>
      <c r="T22" s="177"/>
    </row>
    <row r="23" spans="1:20" x14ac:dyDescent="0.25">
      <c r="A23" s="177" t="s">
        <v>1289</v>
      </c>
      <c r="B23" s="177" t="s">
        <v>1316</v>
      </c>
      <c r="C23" s="177">
        <v>60</v>
      </c>
      <c r="D23" s="177">
        <v>90</v>
      </c>
      <c r="E23" s="167" t="s">
        <v>433</v>
      </c>
      <c r="F23" s="167" t="s">
        <v>1319</v>
      </c>
      <c r="G23" s="167" t="s">
        <v>905</v>
      </c>
      <c r="H23" s="167" t="s">
        <v>909</v>
      </c>
      <c r="I23" s="177" t="s">
        <v>902</v>
      </c>
      <c r="J23" s="177" t="s">
        <v>903</v>
      </c>
      <c r="K23" s="177" t="s">
        <v>903</v>
      </c>
      <c r="L23" s="177" t="s">
        <v>903</v>
      </c>
      <c r="M23" s="177">
        <v>830</v>
      </c>
      <c r="N23" s="177">
        <v>90</v>
      </c>
      <c r="O23" s="168" t="s">
        <v>1305</v>
      </c>
      <c r="R23" s="183" t="s">
        <v>1285</v>
      </c>
      <c r="S23" s="167" t="str">
        <f>IF(R23&lt;&gt;"",IF(R23&lt;&gt;T23,1,""),"")</f>
        <v/>
      </c>
      <c r="T23" s="178" t="s">
        <v>1285</v>
      </c>
    </row>
    <row r="24" spans="1:20" x14ac:dyDescent="0.25">
      <c r="A24" s="177"/>
      <c r="B24" s="177"/>
      <c r="C24" s="177"/>
      <c r="D24" s="177"/>
      <c r="E24" s="167" t="s">
        <v>434</v>
      </c>
      <c r="F24" s="167" t="s">
        <v>910</v>
      </c>
      <c r="G24" s="167">
        <v>0</v>
      </c>
      <c r="H24" s="167" t="s">
        <v>905</v>
      </c>
      <c r="I24" s="177"/>
      <c r="J24" s="177"/>
      <c r="K24" s="177"/>
      <c r="L24" s="177"/>
      <c r="M24" s="177"/>
      <c r="N24" s="177"/>
      <c r="R24" s="182"/>
      <c r="S24" s="167" t="str">
        <f>IF(R24&lt;&gt;"",IF(R24&lt;&gt;T24,1,""),"")</f>
        <v/>
      </c>
      <c r="T24" s="177"/>
    </row>
    <row r="25" spans="1:20" x14ac:dyDescent="0.25">
      <c r="A25" s="177"/>
      <c r="B25" s="177"/>
      <c r="C25" s="177"/>
      <c r="D25" s="177"/>
      <c r="E25" s="167" t="s">
        <v>433</v>
      </c>
      <c r="F25" s="167" t="s">
        <v>901</v>
      </c>
      <c r="G25" s="167">
        <v>0</v>
      </c>
      <c r="H25" s="167" t="s">
        <v>901</v>
      </c>
      <c r="I25" s="177"/>
      <c r="J25" s="177"/>
      <c r="K25" s="177"/>
      <c r="L25" s="177"/>
      <c r="M25" s="177"/>
      <c r="N25" s="177"/>
      <c r="R25" s="182"/>
      <c r="S25" s="167" t="str">
        <f>IF(R25&lt;&gt;"",IF(R25&lt;&gt;T25,1,""),"")</f>
        <v/>
      </c>
      <c r="T25" s="177"/>
    </row>
    <row r="26" spans="1:20" x14ac:dyDescent="0.25">
      <c r="A26" s="177"/>
      <c r="B26" s="177"/>
      <c r="C26" s="177"/>
      <c r="D26" s="177"/>
      <c r="E26" s="167" t="s">
        <v>434</v>
      </c>
      <c r="F26" s="167" t="s">
        <v>909</v>
      </c>
      <c r="G26" s="167" t="s">
        <v>906</v>
      </c>
      <c r="H26" s="167" t="s">
        <v>909</v>
      </c>
      <c r="I26" s="177"/>
      <c r="J26" s="177"/>
      <c r="K26" s="177"/>
      <c r="L26" s="177"/>
      <c r="M26" s="177"/>
      <c r="N26" s="177"/>
      <c r="R26" s="182"/>
      <c r="S26" s="167" t="str">
        <f>IF(R26&lt;&gt;"",IF(R26&lt;&gt;T26,1,""),"")</f>
        <v/>
      </c>
      <c r="T26" s="177"/>
    </row>
    <row r="27" spans="1:20" x14ac:dyDescent="0.25">
      <c r="A27" s="177" t="s">
        <v>1289</v>
      </c>
      <c r="B27" s="177" t="s">
        <v>1323</v>
      </c>
      <c r="C27" s="177">
        <v>30</v>
      </c>
      <c r="D27" s="177">
        <v>50</v>
      </c>
      <c r="E27" s="167" t="s">
        <v>433</v>
      </c>
      <c r="F27" s="167" t="s">
        <v>901</v>
      </c>
      <c r="G27" s="167" t="s">
        <v>1320</v>
      </c>
      <c r="H27" s="167" t="s">
        <v>901</v>
      </c>
      <c r="I27" s="177" t="s">
        <v>902</v>
      </c>
      <c r="J27" s="177" t="s">
        <v>903</v>
      </c>
      <c r="K27" s="177" t="s">
        <v>903</v>
      </c>
      <c r="L27" s="177" t="s">
        <v>903</v>
      </c>
      <c r="M27" s="177">
        <v>830</v>
      </c>
      <c r="N27" s="177">
        <v>90</v>
      </c>
      <c r="O27" s="168" t="s">
        <v>1325</v>
      </c>
      <c r="R27" s="183" t="s">
        <v>1321</v>
      </c>
      <c r="S27" s="167" t="str">
        <f>IF(R27&lt;&gt;"",IF(R27&lt;&gt;T27,1,""),"")</f>
        <v/>
      </c>
      <c r="T27" s="178" t="s">
        <v>1321</v>
      </c>
    </row>
    <row r="28" spans="1:20" x14ac:dyDescent="0.25">
      <c r="A28" s="177"/>
      <c r="B28" s="177"/>
      <c r="C28" s="177"/>
      <c r="D28" s="177"/>
      <c r="E28" s="167" t="s">
        <v>434</v>
      </c>
      <c r="F28" s="167">
        <v>0</v>
      </c>
      <c r="G28" s="167">
        <v>0</v>
      </c>
      <c r="H28" s="167">
        <v>0</v>
      </c>
      <c r="I28" s="177"/>
      <c r="J28" s="177"/>
      <c r="K28" s="177"/>
      <c r="L28" s="177"/>
      <c r="M28" s="177"/>
      <c r="N28" s="177"/>
      <c r="R28" s="182"/>
      <c r="S28" s="167" t="str">
        <f>IF(R28&lt;&gt;"",IF(R28&lt;&gt;T28,1,""),"")</f>
        <v/>
      </c>
      <c r="T28" s="177"/>
    </row>
    <row r="29" spans="1:20" x14ac:dyDescent="0.25">
      <c r="A29" s="177"/>
      <c r="B29" s="177"/>
      <c r="C29" s="177"/>
      <c r="D29" s="177"/>
      <c r="E29" s="167" t="s">
        <v>433</v>
      </c>
      <c r="F29" s="167">
        <v>0</v>
      </c>
      <c r="G29" s="167">
        <v>0</v>
      </c>
      <c r="H29" s="167">
        <v>0</v>
      </c>
      <c r="I29" s="177"/>
      <c r="J29" s="177"/>
      <c r="K29" s="177"/>
      <c r="L29" s="177"/>
      <c r="M29" s="177"/>
      <c r="N29" s="177"/>
      <c r="R29" s="182"/>
      <c r="S29" s="167" t="str">
        <f>IF(R29&lt;&gt;"",IF(R29&lt;&gt;T29,1,""),"")</f>
        <v/>
      </c>
      <c r="T29" s="177"/>
    </row>
    <row r="30" spans="1:20" x14ac:dyDescent="0.25">
      <c r="A30" s="177"/>
      <c r="B30" s="177"/>
      <c r="C30" s="177"/>
      <c r="D30" s="177"/>
      <c r="E30" s="167" t="s">
        <v>434</v>
      </c>
      <c r="F30" s="167" t="s">
        <v>901</v>
      </c>
      <c r="G30" s="167" t="s">
        <v>901</v>
      </c>
      <c r="H30" s="167" t="s">
        <v>901</v>
      </c>
      <c r="I30" s="177"/>
      <c r="J30" s="177"/>
      <c r="K30" s="177"/>
      <c r="L30" s="177"/>
      <c r="M30" s="177"/>
      <c r="N30" s="177"/>
      <c r="R30" s="182"/>
      <c r="S30" s="167" t="str">
        <f>IF(R30&lt;&gt;"",IF(R30&lt;&gt;T30,1,""),"")</f>
        <v/>
      </c>
      <c r="T30" s="177"/>
    </row>
    <row r="31" spans="1:20" x14ac:dyDescent="0.25">
      <c r="A31" s="177" t="s">
        <v>1289</v>
      </c>
      <c r="B31" s="177" t="s">
        <v>1333</v>
      </c>
      <c r="C31" s="177">
        <v>60</v>
      </c>
      <c r="D31" s="177">
        <v>90</v>
      </c>
      <c r="E31" s="167" t="s">
        <v>433</v>
      </c>
      <c r="F31" s="167" t="s">
        <v>1317</v>
      </c>
      <c r="G31" s="167" t="s">
        <v>905</v>
      </c>
      <c r="H31" s="167" t="s">
        <v>909</v>
      </c>
      <c r="I31" s="177" t="s">
        <v>902</v>
      </c>
      <c r="J31" s="177" t="s">
        <v>903</v>
      </c>
      <c r="K31" s="177" t="s">
        <v>903</v>
      </c>
      <c r="L31" s="177" t="s">
        <v>903</v>
      </c>
      <c r="M31" s="177">
        <v>830</v>
      </c>
      <c r="N31" s="177">
        <v>90</v>
      </c>
      <c r="O31" s="168" t="s">
        <v>1329</v>
      </c>
      <c r="R31" s="182" t="s">
        <v>1191</v>
      </c>
      <c r="S31" s="167" t="str">
        <f>IF(R31&lt;&gt;"",IF(R31&lt;&gt;T31,1,""),"")</f>
        <v/>
      </c>
      <c r="T31" s="177" t="s">
        <v>1191</v>
      </c>
    </row>
    <row r="32" spans="1:20" x14ac:dyDescent="0.25">
      <c r="A32" s="177"/>
      <c r="B32" s="177"/>
      <c r="C32" s="177"/>
      <c r="D32" s="177"/>
      <c r="E32" s="167" t="s">
        <v>434</v>
      </c>
      <c r="F32" s="167" t="s">
        <v>1317</v>
      </c>
      <c r="G32" s="167">
        <v>0</v>
      </c>
      <c r="H32" s="167" t="s">
        <v>905</v>
      </c>
      <c r="I32" s="177"/>
      <c r="J32" s="177"/>
      <c r="K32" s="177"/>
      <c r="L32" s="177"/>
      <c r="M32" s="177"/>
      <c r="N32" s="177"/>
      <c r="R32" s="182"/>
      <c r="S32" s="167" t="str">
        <f>IF(R32&lt;&gt;"",IF(R32&lt;&gt;T32,1,""),"")</f>
        <v/>
      </c>
      <c r="T32" s="177"/>
    </row>
    <row r="33" spans="1:20" x14ac:dyDescent="0.25">
      <c r="A33" s="177"/>
      <c r="B33" s="177"/>
      <c r="C33" s="177"/>
      <c r="D33" s="177"/>
      <c r="E33" s="167" t="s">
        <v>433</v>
      </c>
      <c r="F33" s="167" t="s">
        <v>901</v>
      </c>
      <c r="G33" s="167">
        <v>0</v>
      </c>
      <c r="H33" s="167" t="s">
        <v>901</v>
      </c>
      <c r="I33" s="177"/>
      <c r="J33" s="177"/>
      <c r="K33" s="177"/>
      <c r="L33" s="177"/>
      <c r="M33" s="177"/>
      <c r="N33" s="177"/>
      <c r="R33" s="182"/>
      <c r="S33" s="167" t="str">
        <f>IF(R33&lt;&gt;"",IF(R33&lt;&gt;T33,1,""),"")</f>
        <v/>
      </c>
      <c r="T33" s="177"/>
    </row>
    <row r="34" spans="1:20" x14ac:dyDescent="0.25">
      <c r="A34" s="177"/>
      <c r="B34" s="177"/>
      <c r="C34" s="177"/>
      <c r="D34" s="177"/>
      <c r="E34" s="167" t="s">
        <v>434</v>
      </c>
      <c r="F34" s="167" t="s">
        <v>909</v>
      </c>
      <c r="G34" s="167" t="s">
        <v>906</v>
      </c>
      <c r="H34" s="167" t="s">
        <v>909</v>
      </c>
      <c r="I34" s="177"/>
      <c r="J34" s="177"/>
      <c r="K34" s="177"/>
      <c r="L34" s="177"/>
      <c r="M34" s="177"/>
      <c r="N34" s="177"/>
      <c r="R34" s="182"/>
      <c r="S34" s="167" t="str">
        <f>IF(R34&lt;&gt;"",IF(R34&lt;&gt;T34,1,""),"")</f>
        <v/>
      </c>
      <c r="T34" s="177"/>
    </row>
    <row r="35" spans="1:20" x14ac:dyDescent="0.25">
      <c r="A35" s="177" t="s">
        <v>1330</v>
      </c>
      <c r="B35" s="177" t="s">
        <v>1333</v>
      </c>
      <c r="C35" s="177">
        <v>60</v>
      </c>
      <c r="D35" s="177">
        <v>90</v>
      </c>
      <c r="E35" s="167" t="s">
        <v>433</v>
      </c>
      <c r="F35" s="167" t="s">
        <v>1317</v>
      </c>
      <c r="G35" s="167" t="s">
        <v>1317</v>
      </c>
      <c r="H35" s="167" t="s">
        <v>1317</v>
      </c>
      <c r="I35" s="177" t="s">
        <v>902</v>
      </c>
      <c r="J35" s="177" t="s">
        <v>903</v>
      </c>
      <c r="K35" s="177" t="s">
        <v>903</v>
      </c>
      <c r="L35" s="177" t="s">
        <v>903</v>
      </c>
      <c r="M35" s="177">
        <v>830</v>
      </c>
      <c r="N35" s="177">
        <v>90</v>
      </c>
      <c r="O35" s="168" t="s">
        <v>1327</v>
      </c>
      <c r="R35" s="182" t="s">
        <v>1191</v>
      </c>
      <c r="S35" s="167" t="str">
        <f>IF(R35&lt;&gt;"",IF(R35&lt;&gt;T35,1,""),"")</f>
        <v/>
      </c>
      <c r="T35" s="177" t="s">
        <v>1191</v>
      </c>
    </row>
    <row r="36" spans="1:20" x14ac:dyDescent="0.25">
      <c r="A36" s="177"/>
      <c r="B36" s="177"/>
      <c r="C36" s="177"/>
      <c r="D36" s="177"/>
      <c r="E36" s="167" t="s">
        <v>434</v>
      </c>
      <c r="F36" s="167" t="s">
        <v>1317</v>
      </c>
      <c r="G36" s="167" t="s">
        <v>1317</v>
      </c>
      <c r="H36" s="167" t="s">
        <v>1317</v>
      </c>
      <c r="I36" s="177"/>
      <c r="J36" s="177"/>
      <c r="K36" s="177"/>
      <c r="L36" s="177"/>
      <c r="M36" s="177"/>
      <c r="N36" s="177"/>
      <c r="R36" s="182"/>
      <c r="S36" s="167" t="str">
        <f>IF(R36&lt;&gt;"",IF(R36&lt;&gt;T36,1,""),"")</f>
        <v/>
      </c>
      <c r="T36" s="177"/>
    </row>
    <row r="37" spans="1:20" x14ac:dyDescent="0.25">
      <c r="A37" s="177"/>
      <c r="B37" s="177"/>
      <c r="C37" s="177"/>
      <c r="D37" s="177"/>
      <c r="E37" s="167" t="s">
        <v>433</v>
      </c>
      <c r="F37" s="167" t="s">
        <v>1317</v>
      </c>
      <c r="G37" s="167" t="s">
        <v>1317</v>
      </c>
      <c r="H37" s="167" t="s">
        <v>1317</v>
      </c>
      <c r="I37" s="177"/>
      <c r="J37" s="177"/>
      <c r="K37" s="177"/>
      <c r="L37" s="177"/>
      <c r="M37" s="177"/>
      <c r="N37" s="177"/>
      <c r="R37" s="182"/>
      <c r="S37" s="167" t="str">
        <f>IF(R37&lt;&gt;"",IF(R37&lt;&gt;T37,1,""),"")</f>
        <v/>
      </c>
      <c r="T37" s="177"/>
    </row>
    <row r="38" spans="1:20" x14ac:dyDescent="0.25">
      <c r="A38" s="177"/>
      <c r="B38" s="177"/>
      <c r="C38" s="177"/>
      <c r="D38" s="177"/>
      <c r="E38" s="167" t="s">
        <v>434</v>
      </c>
      <c r="F38" s="167" t="s">
        <v>1317</v>
      </c>
      <c r="G38" s="167" t="s">
        <v>1317</v>
      </c>
      <c r="H38" s="167" t="s">
        <v>1317</v>
      </c>
      <c r="I38" s="177"/>
      <c r="J38" s="177"/>
      <c r="K38" s="177"/>
      <c r="L38" s="177"/>
      <c r="M38" s="177"/>
      <c r="N38" s="177"/>
      <c r="R38" s="182"/>
      <c r="S38" s="167" t="str">
        <f>IF(R38&lt;&gt;"",IF(R38&lt;&gt;T38,1,""),"")</f>
        <v/>
      </c>
      <c r="T38" s="177"/>
    </row>
    <row r="39" spans="1:20" x14ac:dyDescent="0.25">
      <c r="A39" s="177" t="s">
        <v>1330</v>
      </c>
      <c r="B39" s="177" t="s">
        <v>1337</v>
      </c>
      <c r="C39" s="177">
        <v>60</v>
      </c>
      <c r="D39" s="177">
        <v>80</v>
      </c>
      <c r="E39" s="167" t="s">
        <v>433</v>
      </c>
      <c r="F39" s="167" t="s">
        <v>1317</v>
      </c>
      <c r="G39" s="167" t="s">
        <v>1338</v>
      </c>
      <c r="H39" s="167" t="s">
        <v>909</v>
      </c>
      <c r="I39" s="177" t="s">
        <v>902</v>
      </c>
      <c r="J39" s="177" t="s">
        <v>903</v>
      </c>
      <c r="K39" s="177" t="s">
        <v>903</v>
      </c>
      <c r="L39" s="177" t="s">
        <v>903</v>
      </c>
      <c r="M39" s="177">
        <v>830</v>
      </c>
      <c r="N39" s="177">
        <v>90</v>
      </c>
      <c r="O39" s="168" t="s">
        <v>1335</v>
      </c>
      <c r="R39" s="183" t="s">
        <v>1345</v>
      </c>
      <c r="S39" s="167" t="str">
        <f>IF(R39&lt;&gt;"",IF(R39&lt;&gt;T39,1,""),"")</f>
        <v/>
      </c>
      <c r="T39" s="178" t="s">
        <v>1345</v>
      </c>
    </row>
    <row r="40" spans="1:20" x14ac:dyDescent="0.25">
      <c r="A40" s="177"/>
      <c r="B40" s="177"/>
      <c r="C40" s="177"/>
      <c r="D40" s="177"/>
      <c r="E40" s="167" t="s">
        <v>434</v>
      </c>
      <c r="F40" s="167" t="s">
        <v>1339</v>
      </c>
      <c r="G40" s="167">
        <v>0</v>
      </c>
      <c r="H40" s="167" t="s">
        <v>905</v>
      </c>
      <c r="I40" s="177"/>
      <c r="J40" s="177"/>
      <c r="K40" s="177"/>
      <c r="L40" s="177"/>
      <c r="M40" s="177"/>
      <c r="N40" s="177"/>
      <c r="R40" s="182"/>
      <c r="S40" s="167" t="str">
        <f>IF(R40&lt;&gt;"",IF(R40&lt;&gt;T40,1,""),"")</f>
        <v/>
      </c>
      <c r="T40" s="177"/>
    </row>
    <row r="41" spans="1:20" x14ac:dyDescent="0.25">
      <c r="A41" s="177"/>
      <c r="B41" s="177"/>
      <c r="C41" s="177"/>
      <c r="D41" s="177"/>
      <c r="E41" s="167" t="s">
        <v>433</v>
      </c>
      <c r="F41" s="167" t="s">
        <v>901</v>
      </c>
      <c r="G41" s="167">
        <v>0</v>
      </c>
      <c r="H41" s="167" t="s">
        <v>901</v>
      </c>
      <c r="I41" s="177"/>
      <c r="J41" s="177"/>
      <c r="K41" s="177"/>
      <c r="L41" s="177"/>
      <c r="M41" s="177"/>
      <c r="N41" s="177"/>
      <c r="R41" s="182"/>
      <c r="S41" s="167" t="str">
        <f>IF(R41&lt;&gt;"",IF(R41&lt;&gt;T41,1,""),"")</f>
        <v/>
      </c>
      <c r="T41" s="177"/>
    </row>
    <row r="42" spans="1:20" x14ac:dyDescent="0.25">
      <c r="A42" s="177"/>
      <c r="B42" s="177"/>
      <c r="C42" s="177"/>
      <c r="D42" s="177"/>
      <c r="E42" s="167" t="s">
        <v>434</v>
      </c>
      <c r="F42" s="167" t="s">
        <v>909</v>
      </c>
      <c r="G42" s="167" t="s">
        <v>906</v>
      </c>
      <c r="H42" s="167" t="s">
        <v>909</v>
      </c>
      <c r="I42" s="177"/>
      <c r="J42" s="177"/>
      <c r="K42" s="177"/>
      <c r="L42" s="177"/>
      <c r="M42" s="177"/>
      <c r="N42" s="177"/>
      <c r="R42" s="182"/>
      <c r="S42" s="167" t="str">
        <f>IF(R42&lt;&gt;"",IF(R42&lt;&gt;T42,1,""),"")</f>
        <v/>
      </c>
      <c r="T42" s="177"/>
    </row>
    <row r="43" spans="1:20" x14ac:dyDescent="0.25">
      <c r="A43" s="177" t="s">
        <v>1289</v>
      </c>
      <c r="B43" s="177" t="s">
        <v>1337</v>
      </c>
      <c r="C43" s="177">
        <v>60</v>
      </c>
      <c r="D43" s="177">
        <v>80</v>
      </c>
      <c r="E43" s="167" t="s">
        <v>433</v>
      </c>
      <c r="F43" s="167" t="s">
        <v>1317</v>
      </c>
      <c r="G43" s="167" t="s">
        <v>1338</v>
      </c>
      <c r="H43" s="167" t="s">
        <v>909</v>
      </c>
      <c r="I43" s="177" t="s">
        <v>902</v>
      </c>
      <c r="J43" s="177" t="s">
        <v>903</v>
      </c>
      <c r="K43" s="177" t="s">
        <v>903</v>
      </c>
      <c r="L43" s="177" t="s">
        <v>903</v>
      </c>
      <c r="M43" s="177">
        <v>830</v>
      </c>
      <c r="N43" s="177">
        <v>90</v>
      </c>
      <c r="O43" s="168" t="s">
        <v>1355</v>
      </c>
      <c r="R43" s="183" t="s">
        <v>1349</v>
      </c>
      <c r="S43" s="167" t="str">
        <f>IF(R43&lt;&gt;"",IF(R43&lt;&gt;T43,1,""),"")</f>
        <v/>
      </c>
      <c r="T43" s="178" t="s">
        <v>1349</v>
      </c>
    </row>
    <row r="44" spans="1:20" x14ac:dyDescent="0.25">
      <c r="A44" s="177"/>
      <c r="B44" s="177"/>
      <c r="C44" s="177"/>
      <c r="D44" s="177"/>
      <c r="E44" s="167" t="s">
        <v>434</v>
      </c>
      <c r="F44" s="167" t="s">
        <v>1339</v>
      </c>
      <c r="G44" s="167">
        <v>0</v>
      </c>
      <c r="H44" s="167" t="s">
        <v>905</v>
      </c>
      <c r="I44" s="177"/>
      <c r="J44" s="177"/>
      <c r="K44" s="177"/>
      <c r="L44" s="177"/>
      <c r="M44" s="177"/>
      <c r="N44" s="177"/>
      <c r="R44" s="182"/>
      <c r="S44" s="167" t="str">
        <f>IF(R44&lt;&gt;"",IF(R44&lt;&gt;T44,1,""),"")</f>
        <v/>
      </c>
      <c r="T44" s="177"/>
    </row>
    <row r="45" spans="1:20" x14ac:dyDescent="0.25">
      <c r="A45" s="177"/>
      <c r="B45" s="177"/>
      <c r="C45" s="177"/>
      <c r="D45" s="177"/>
      <c r="E45" s="167" t="s">
        <v>433</v>
      </c>
      <c r="F45" s="167" t="s">
        <v>901</v>
      </c>
      <c r="G45" s="167">
        <v>0</v>
      </c>
      <c r="H45" s="167" t="s">
        <v>901</v>
      </c>
      <c r="I45" s="177"/>
      <c r="J45" s="177"/>
      <c r="K45" s="177"/>
      <c r="L45" s="177"/>
      <c r="M45" s="177"/>
      <c r="N45" s="177"/>
      <c r="R45" s="182"/>
      <c r="S45" s="167" t="str">
        <f>IF(R45&lt;&gt;"",IF(R45&lt;&gt;T45,1,""),"")</f>
        <v/>
      </c>
      <c r="T45" s="177"/>
    </row>
    <row r="46" spans="1:20" x14ac:dyDescent="0.25">
      <c r="A46" s="177"/>
      <c r="B46" s="177"/>
      <c r="C46" s="177"/>
      <c r="D46" s="177"/>
      <c r="E46" s="167" t="s">
        <v>434</v>
      </c>
      <c r="F46" s="167" t="s">
        <v>909</v>
      </c>
      <c r="G46" s="167" t="s">
        <v>906</v>
      </c>
      <c r="H46" s="167" t="s">
        <v>909</v>
      </c>
      <c r="I46" s="177"/>
      <c r="J46" s="177"/>
      <c r="K46" s="177"/>
      <c r="L46" s="177"/>
      <c r="M46" s="177"/>
      <c r="N46" s="177"/>
      <c r="R46" s="182"/>
      <c r="S46" s="167" t="str">
        <f>IF(R46&lt;&gt;"",IF(R46&lt;&gt;T46,1,""),"")</f>
        <v/>
      </c>
      <c r="T46" s="177"/>
    </row>
    <row r="47" spans="1:20" x14ac:dyDescent="0.25">
      <c r="A47" s="177" t="s">
        <v>1289</v>
      </c>
      <c r="B47" s="177" t="s">
        <v>1351</v>
      </c>
      <c r="C47" s="177">
        <v>60</v>
      </c>
      <c r="D47" s="177">
        <v>90</v>
      </c>
      <c r="E47" s="167" t="s">
        <v>433</v>
      </c>
      <c r="F47" s="167" t="s">
        <v>909</v>
      </c>
      <c r="G47" s="167" t="s">
        <v>905</v>
      </c>
      <c r="H47" s="167" t="s">
        <v>909</v>
      </c>
      <c r="I47" s="177" t="s">
        <v>902</v>
      </c>
      <c r="J47" s="181" t="s">
        <v>1342</v>
      </c>
      <c r="K47" s="177" t="s">
        <v>903</v>
      </c>
      <c r="L47" s="177" t="s">
        <v>903</v>
      </c>
      <c r="M47" s="177">
        <v>830</v>
      </c>
      <c r="N47" s="177">
        <v>90</v>
      </c>
      <c r="O47" s="168" t="s">
        <v>1344</v>
      </c>
      <c r="R47" s="183" t="s">
        <v>1287</v>
      </c>
      <c r="S47" s="167" t="str">
        <f>IF(R47&lt;&gt;"",IF(R47&lt;&gt;T47,1,""),"")</f>
        <v/>
      </c>
      <c r="T47" s="178" t="s">
        <v>1287</v>
      </c>
    </row>
    <row r="48" spans="1:20" x14ac:dyDescent="0.25">
      <c r="A48" s="177"/>
      <c r="B48" s="177"/>
      <c r="C48" s="177"/>
      <c r="D48" s="177"/>
      <c r="E48" s="167" t="s">
        <v>434</v>
      </c>
      <c r="F48" s="167" t="s">
        <v>910</v>
      </c>
      <c r="G48" s="167">
        <v>0</v>
      </c>
      <c r="H48" s="167" t="s">
        <v>905</v>
      </c>
      <c r="I48" s="177"/>
      <c r="J48" s="177"/>
      <c r="K48" s="177"/>
      <c r="L48" s="177"/>
      <c r="M48" s="177"/>
      <c r="N48" s="177"/>
      <c r="R48" s="182"/>
      <c r="S48" s="167" t="str">
        <f>IF(R48&lt;&gt;"",IF(R48&lt;&gt;T48,1,""),"")</f>
        <v/>
      </c>
      <c r="T48" s="177"/>
    </row>
    <row r="49" spans="1:20" x14ac:dyDescent="0.25">
      <c r="A49" s="177"/>
      <c r="B49" s="177"/>
      <c r="C49" s="177"/>
      <c r="D49" s="177"/>
      <c r="E49" s="167" t="s">
        <v>433</v>
      </c>
      <c r="F49" s="167" t="s">
        <v>901</v>
      </c>
      <c r="G49" s="167">
        <v>0</v>
      </c>
      <c r="H49" s="167" t="s">
        <v>901</v>
      </c>
      <c r="I49" s="177"/>
      <c r="J49" s="177"/>
      <c r="K49" s="177"/>
      <c r="L49" s="177"/>
      <c r="M49" s="177"/>
      <c r="N49" s="177"/>
      <c r="R49" s="182"/>
      <c r="S49" s="167" t="str">
        <f>IF(R49&lt;&gt;"",IF(R49&lt;&gt;T49,1,""),"")</f>
        <v/>
      </c>
      <c r="T49" s="177"/>
    </row>
    <row r="50" spans="1:20" x14ac:dyDescent="0.25">
      <c r="A50" s="177"/>
      <c r="B50" s="177"/>
      <c r="C50" s="177"/>
      <c r="D50" s="177"/>
      <c r="E50" s="167" t="s">
        <v>434</v>
      </c>
      <c r="F50" s="167" t="s">
        <v>909</v>
      </c>
      <c r="G50" s="167" t="s">
        <v>906</v>
      </c>
      <c r="H50" s="167" t="s">
        <v>909</v>
      </c>
      <c r="I50" s="177"/>
      <c r="J50" s="177"/>
      <c r="K50" s="177"/>
      <c r="L50" s="177"/>
      <c r="M50" s="177"/>
      <c r="N50" s="177"/>
      <c r="R50" s="182"/>
      <c r="S50" s="167" t="str">
        <f>IF(R50&lt;&gt;"",IF(R50&lt;&gt;T50,1,""),"")</f>
        <v/>
      </c>
      <c r="T50" s="177"/>
    </row>
    <row r="51" spans="1:20" ht="15.75" customHeight="1" x14ac:dyDescent="0.25">
      <c r="A51" s="177" t="s">
        <v>1289</v>
      </c>
      <c r="B51" s="177" t="s">
        <v>1353</v>
      </c>
      <c r="C51" s="177">
        <v>60</v>
      </c>
      <c r="D51" s="177">
        <v>90</v>
      </c>
      <c r="E51" s="167" t="s">
        <v>433</v>
      </c>
      <c r="F51" s="167" t="s">
        <v>909</v>
      </c>
      <c r="G51" s="167" t="s">
        <v>905</v>
      </c>
      <c r="H51" s="167" t="s">
        <v>909</v>
      </c>
      <c r="I51" s="177" t="s">
        <v>902</v>
      </c>
      <c r="J51" s="181" t="s">
        <v>1348</v>
      </c>
      <c r="K51" s="177" t="s">
        <v>903</v>
      </c>
      <c r="L51" s="177" t="s">
        <v>903</v>
      </c>
      <c r="M51" s="177">
        <v>830</v>
      </c>
      <c r="N51" s="177">
        <v>90</v>
      </c>
      <c r="O51" s="168" t="s">
        <v>1347</v>
      </c>
      <c r="R51" s="184" t="s">
        <v>1331</v>
      </c>
      <c r="S51" s="167" t="str">
        <f>IF(R51&lt;&gt;"",IF(R51&lt;&gt;T51,1,""),"")</f>
        <v/>
      </c>
      <c r="T51" s="179" t="s">
        <v>1331</v>
      </c>
    </row>
    <row r="52" spans="1:20" x14ac:dyDescent="0.25">
      <c r="A52" s="177"/>
      <c r="B52" s="177"/>
      <c r="C52" s="177"/>
      <c r="D52" s="177"/>
      <c r="E52" s="167" t="s">
        <v>434</v>
      </c>
      <c r="F52" s="167" t="s">
        <v>910</v>
      </c>
      <c r="G52" s="167">
        <v>0</v>
      </c>
      <c r="H52" s="167" t="s">
        <v>905</v>
      </c>
      <c r="I52" s="177"/>
      <c r="J52" s="177"/>
      <c r="K52" s="177"/>
      <c r="L52" s="177"/>
      <c r="M52" s="177"/>
      <c r="N52" s="177"/>
      <c r="R52" s="182"/>
      <c r="S52" s="167" t="str">
        <f>IF(R52&lt;&gt;"",IF(R52&lt;&gt;T52,1,""),"")</f>
        <v/>
      </c>
      <c r="T52" s="177"/>
    </row>
    <row r="53" spans="1:20" x14ac:dyDescent="0.25">
      <c r="A53" s="177"/>
      <c r="B53" s="177"/>
      <c r="C53" s="177"/>
      <c r="D53" s="177"/>
      <c r="E53" s="167" t="s">
        <v>433</v>
      </c>
      <c r="F53" s="167" t="s">
        <v>901</v>
      </c>
      <c r="G53" s="167">
        <v>0</v>
      </c>
      <c r="H53" s="167" t="s">
        <v>901</v>
      </c>
      <c r="I53" s="177"/>
      <c r="J53" s="177"/>
      <c r="K53" s="177"/>
      <c r="L53" s="177"/>
      <c r="M53" s="177"/>
      <c r="N53" s="177"/>
      <c r="R53" s="182"/>
      <c r="S53" s="167" t="str">
        <f>IF(R53&lt;&gt;"",IF(R53&lt;&gt;T53,1,""),"")</f>
        <v/>
      </c>
      <c r="T53" s="177"/>
    </row>
    <row r="54" spans="1:20" x14ac:dyDescent="0.25">
      <c r="A54" s="177"/>
      <c r="B54" s="177"/>
      <c r="C54" s="177"/>
      <c r="D54" s="177"/>
      <c r="E54" s="167" t="s">
        <v>434</v>
      </c>
      <c r="F54" s="167" t="s">
        <v>909</v>
      </c>
      <c r="G54" s="167" t="s">
        <v>906</v>
      </c>
      <c r="H54" s="167" t="s">
        <v>909</v>
      </c>
      <c r="I54" s="177"/>
      <c r="J54" s="177"/>
      <c r="K54" s="177"/>
      <c r="L54" s="177"/>
      <c r="M54" s="177"/>
      <c r="N54" s="177"/>
      <c r="R54" s="182"/>
      <c r="S54" s="167" t="str">
        <f>IF(R54&lt;&gt;"",IF(R54&lt;&gt;T54,1,""),"")</f>
        <v/>
      </c>
      <c r="T54" s="177"/>
    </row>
    <row r="55" spans="1:20" x14ac:dyDescent="0.25">
      <c r="A55" s="177" t="s">
        <v>1289</v>
      </c>
      <c r="B55" s="177" t="s">
        <v>1359</v>
      </c>
      <c r="C55" s="177">
        <v>60</v>
      </c>
      <c r="D55" s="177">
        <v>90</v>
      </c>
      <c r="E55" s="167" t="s">
        <v>433</v>
      </c>
      <c r="F55" s="167" t="s">
        <v>909</v>
      </c>
      <c r="G55" s="167" t="s">
        <v>909</v>
      </c>
      <c r="H55" s="167" t="s">
        <v>909</v>
      </c>
      <c r="I55" s="177" t="s">
        <v>902</v>
      </c>
      <c r="J55" s="177" t="s">
        <v>903</v>
      </c>
      <c r="K55" s="177" t="s">
        <v>903</v>
      </c>
      <c r="L55" s="177" t="s">
        <v>903</v>
      </c>
      <c r="M55" s="177">
        <v>830</v>
      </c>
      <c r="N55" s="177">
        <v>90</v>
      </c>
      <c r="O55" s="176" t="s">
        <v>1357</v>
      </c>
      <c r="R55" s="183" t="s">
        <v>1340</v>
      </c>
      <c r="S55" s="167" t="str">
        <f>IF(R55&lt;&gt;"",IF(R55&lt;&gt;T55,1,""),"")</f>
        <v/>
      </c>
      <c r="T55" s="178" t="s">
        <v>1340</v>
      </c>
    </row>
    <row r="56" spans="1:20" x14ac:dyDescent="0.25">
      <c r="A56" s="177"/>
      <c r="B56" s="177"/>
      <c r="C56" s="177"/>
      <c r="D56" s="177"/>
      <c r="E56" s="167" t="s">
        <v>434</v>
      </c>
      <c r="F56" s="167" t="s">
        <v>901</v>
      </c>
      <c r="G56" s="167">
        <v>0</v>
      </c>
      <c r="H56" s="167" t="s">
        <v>901</v>
      </c>
      <c r="I56" s="177"/>
      <c r="J56" s="177"/>
      <c r="K56" s="177"/>
      <c r="L56" s="177"/>
      <c r="M56" s="177"/>
      <c r="N56" s="177"/>
      <c r="R56" s="182"/>
      <c r="S56" s="167" t="str">
        <f>IF(R56&lt;&gt;"",IF(R56&lt;&gt;T56,1,""),"")</f>
        <v/>
      </c>
      <c r="T56" s="177"/>
    </row>
    <row r="57" spans="1:20" x14ac:dyDescent="0.25">
      <c r="A57" s="177"/>
      <c r="B57" s="177"/>
      <c r="C57" s="177"/>
      <c r="D57" s="177"/>
      <c r="E57" s="167" t="s">
        <v>433</v>
      </c>
      <c r="F57" s="167" t="s">
        <v>901</v>
      </c>
      <c r="G57" s="167">
        <v>0</v>
      </c>
      <c r="H57" s="167" t="s">
        <v>901</v>
      </c>
      <c r="I57" s="177"/>
      <c r="J57" s="177"/>
      <c r="K57" s="177"/>
      <c r="L57" s="177"/>
      <c r="M57" s="177"/>
      <c r="N57" s="177"/>
      <c r="R57" s="182"/>
      <c r="S57" s="167" t="str">
        <f>IF(R57&lt;&gt;"",IF(R57&lt;&gt;T57,1,""),"")</f>
        <v/>
      </c>
      <c r="T57" s="177"/>
    </row>
    <row r="58" spans="1:20" x14ac:dyDescent="0.25">
      <c r="A58" s="177"/>
      <c r="B58" s="177"/>
      <c r="C58" s="177"/>
      <c r="D58" s="177"/>
      <c r="E58" s="167" t="s">
        <v>434</v>
      </c>
      <c r="F58" s="167" t="s">
        <v>909</v>
      </c>
      <c r="G58" s="167" t="s">
        <v>906</v>
      </c>
      <c r="H58" s="167" t="s">
        <v>909</v>
      </c>
      <c r="I58" s="177"/>
      <c r="J58" s="177"/>
      <c r="K58" s="177"/>
      <c r="L58" s="177"/>
      <c r="M58" s="177"/>
      <c r="N58" s="177"/>
      <c r="R58" s="182"/>
      <c r="S58" s="167" t="str">
        <f>IF(R58&lt;&gt;"",IF(R58&lt;&gt;T58,1,""),"")</f>
        <v/>
      </c>
      <c r="T58" s="177"/>
    </row>
    <row r="59" spans="1:20" x14ac:dyDescent="0.25">
      <c r="S59" s="167" t="str">
        <f>IF(R59&lt;&gt;"",IF(R59&lt;&gt;T59,1,""),"")</f>
        <v/>
      </c>
    </row>
    <row r="60" spans="1:20" x14ac:dyDescent="0.25">
      <c r="S60" s="167" t="str">
        <f>IF(R60&lt;&gt;"",IF(R60&lt;&gt;T60,1,""),"")</f>
        <v/>
      </c>
    </row>
    <row r="61" spans="1:20" x14ac:dyDescent="0.25">
      <c r="S61" s="167" t="str">
        <f>IF(R61&lt;&gt;"",IF(R61&lt;&gt;T61,1,""),"")</f>
        <v/>
      </c>
    </row>
    <row r="62" spans="1:20" x14ac:dyDescent="0.25">
      <c r="S62" s="167" t="str">
        <f>IF(R62&lt;&gt;"",IF(R62&lt;&gt;T62,1,""),"")</f>
        <v/>
      </c>
    </row>
    <row r="63" spans="1:20" x14ac:dyDescent="0.25">
      <c r="S63" s="167" t="str">
        <f>IF(R63&lt;&gt;"",IF(R63&lt;&gt;T63,1,""),"")</f>
        <v/>
      </c>
    </row>
    <row r="64" spans="1:20" x14ac:dyDescent="0.25">
      <c r="S64" s="167" t="str">
        <f>IF(R64&lt;&gt;"",IF(R64&lt;&gt;T64,1,""),"")</f>
        <v/>
      </c>
    </row>
    <row r="65" spans="19:19" x14ac:dyDescent="0.25">
      <c r="S65" s="167" t="str">
        <f>IF(R65&lt;&gt;"",IF(R65&lt;&gt;T65,1,""),"")</f>
        <v/>
      </c>
    </row>
    <row r="66" spans="19:19" x14ac:dyDescent="0.25">
      <c r="S66" s="167" t="str">
        <f>IF(R66&lt;&gt;"",IF(R66&lt;&gt;T66,1,""),"")</f>
        <v/>
      </c>
    </row>
    <row r="67" spans="19:19" x14ac:dyDescent="0.25">
      <c r="S67" s="167" t="str">
        <f>IF(R67&lt;&gt;"",IF(R67&lt;&gt;T67,1,""),"")</f>
        <v/>
      </c>
    </row>
    <row r="68" spans="19:19" x14ac:dyDescent="0.25">
      <c r="S68" s="167" t="str">
        <f>IF(R68&lt;&gt;"",IF(R68&lt;&gt;T68,1,""),"")</f>
        <v/>
      </c>
    </row>
    <row r="69" spans="19:19" x14ac:dyDescent="0.25">
      <c r="S69" s="167" t="str">
        <f>IF(R69&lt;&gt;"",IF(R69&lt;&gt;T69,1,""),"")</f>
        <v/>
      </c>
    </row>
    <row r="70" spans="19:19" x14ac:dyDescent="0.25">
      <c r="S70" s="167" t="str">
        <f>IF(R70&lt;&gt;"",IF(R70&lt;&gt;T70,1,""),"")</f>
        <v/>
      </c>
    </row>
    <row r="71" spans="19:19" x14ac:dyDescent="0.25">
      <c r="S71" s="167" t="str">
        <f>IF(R71&lt;&gt;"",IF(R71&lt;&gt;T71,1,""),"")</f>
        <v/>
      </c>
    </row>
    <row r="72" spans="19:19" x14ac:dyDescent="0.25">
      <c r="S72" s="167" t="str">
        <f>IF(R72&lt;&gt;"",IF(R72&lt;&gt;T72,1,""),"")</f>
        <v/>
      </c>
    </row>
    <row r="73" spans="19:19" x14ac:dyDescent="0.25">
      <c r="S73" s="167" t="str">
        <f>IF(R73&lt;&gt;"",IF(R73&lt;&gt;T73,1,""),"")</f>
        <v/>
      </c>
    </row>
    <row r="74" spans="19:19" x14ac:dyDescent="0.25">
      <c r="S74" s="167" t="str">
        <f>IF(R74&lt;&gt;"",IF(R74&lt;&gt;T74,1,""),"")</f>
        <v/>
      </c>
    </row>
    <row r="75" spans="19:19" x14ac:dyDescent="0.25">
      <c r="S75" s="167" t="str">
        <f>IF(R75&lt;&gt;"",IF(R75&lt;&gt;T75,1,""),"")</f>
        <v/>
      </c>
    </row>
    <row r="76" spans="19:19" x14ac:dyDescent="0.25">
      <c r="S76" s="167" t="str">
        <f>IF(R76&lt;&gt;"",IF(R76&lt;&gt;T76,1,""),"")</f>
        <v/>
      </c>
    </row>
    <row r="77" spans="19:19" x14ac:dyDescent="0.25">
      <c r="S77" s="167" t="str">
        <f>IF(R77&lt;&gt;"",IF(R77&lt;&gt;T77,1,""),"")</f>
        <v/>
      </c>
    </row>
    <row r="78" spans="19:19" x14ac:dyDescent="0.25">
      <c r="S78" s="167" t="str">
        <f>IF(R78&lt;&gt;"",IF(R78&lt;&gt;T78,1,""),"")</f>
        <v/>
      </c>
    </row>
    <row r="79" spans="19:19" x14ac:dyDescent="0.25">
      <c r="S79" s="167" t="str">
        <f>IF(R79&lt;&gt;"",IF(R79&lt;&gt;T79,1,""),"")</f>
        <v/>
      </c>
    </row>
    <row r="80" spans="19:19" x14ac:dyDescent="0.25">
      <c r="S80" s="167" t="str">
        <f>IF(R80&lt;&gt;"",IF(R80&lt;&gt;T80,1,""),"")</f>
        <v/>
      </c>
    </row>
    <row r="81" spans="19:19" x14ac:dyDescent="0.25">
      <c r="S81" s="167" t="str">
        <f>IF(R81&lt;&gt;"",IF(R81&lt;&gt;T81,1,""),"")</f>
        <v/>
      </c>
    </row>
    <row r="82" spans="19:19" x14ac:dyDescent="0.25">
      <c r="S82" s="167" t="str">
        <f>IF(R82&lt;&gt;"",IF(R82&lt;&gt;T82,1,""),"")</f>
        <v/>
      </c>
    </row>
    <row r="83" spans="19:19" x14ac:dyDescent="0.25">
      <c r="S83" s="167" t="str">
        <f>IF(R83&lt;&gt;"",IF(R83&lt;&gt;T83,1,""),"")</f>
        <v/>
      </c>
    </row>
    <row r="84" spans="19:19" x14ac:dyDescent="0.25">
      <c r="S84" s="167" t="str">
        <f>IF(R84&lt;&gt;"",IF(R84&lt;&gt;T84,1,""),"")</f>
        <v/>
      </c>
    </row>
    <row r="85" spans="19:19" x14ac:dyDescent="0.25">
      <c r="S85" s="167" t="str">
        <f>IF(R85&lt;&gt;"",IF(R85&lt;&gt;T85,1,""),"")</f>
        <v/>
      </c>
    </row>
    <row r="86" spans="19:19" x14ac:dyDescent="0.25">
      <c r="S86" s="167" t="str">
        <f>IF(R86&lt;&gt;"",IF(R86&lt;&gt;T86,1,""),"")</f>
        <v/>
      </c>
    </row>
    <row r="87" spans="19:19" x14ac:dyDescent="0.25">
      <c r="S87" s="167" t="str">
        <f>IF(R87&lt;&gt;"",IF(R87&lt;&gt;T87,1,""),"")</f>
        <v/>
      </c>
    </row>
    <row r="88" spans="19:19" x14ac:dyDescent="0.25">
      <c r="S88" s="167" t="str">
        <f>IF(R88&lt;&gt;"",IF(R88&lt;&gt;T88,1,""),"")</f>
        <v/>
      </c>
    </row>
    <row r="89" spans="19:19" x14ac:dyDescent="0.25">
      <c r="S89" s="167" t="str">
        <f>IF(R89&lt;&gt;"",IF(R89&lt;&gt;T89,1,""),"")</f>
        <v/>
      </c>
    </row>
    <row r="90" spans="19:19" x14ac:dyDescent="0.25">
      <c r="S90" s="167" t="str">
        <f>IF(R90&lt;&gt;"",IF(R90&lt;&gt;T90,1,""),"")</f>
        <v/>
      </c>
    </row>
  </sheetData>
  <mergeCells count="168">
    <mergeCell ref="R51:R54"/>
    <mergeCell ref="R55:R58"/>
    <mergeCell ref="R27:R30"/>
    <mergeCell ref="R31:R34"/>
    <mergeCell ref="R35:R38"/>
    <mergeCell ref="R39:R42"/>
    <mergeCell ref="R43:R46"/>
    <mergeCell ref="R47:R50"/>
    <mergeCell ref="R3:R6"/>
    <mergeCell ref="R7:R10"/>
    <mergeCell ref="R11:R14"/>
    <mergeCell ref="R15:R18"/>
    <mergeCell ref="R19:R22"/>
    <mergeCell ref="R23:R26"/>
    <mergeCell ref="T51:T54"/>
    <mergeCell ref="T55:T58"/>
    <mergeCell ref="T27:T30"/>
    <mergeCell ref="T31:T34"/>
    <mergeCell ref="T35:T38"/>
    <mergeCell ref="T39:T42"/>
    <mergeCell ref="T43:T46"/>
    <mergeCell ref="T47:T50"/>
    <mergeCell ref="K55:K58"/>
    <mergeCell ref="L55:L58"/>
    <mergeCell ref="M55:M58"/>
    <mergeCell ref="N55:N58"/>
    <mergeCell ref="T3:T6"/>
    <mergeCell ref="T7:T10"/>
    <mergeCell ref="T11:T14"/>
    <mergeCell ref="T15:T18"/>
    <mergeCell ref="T19:T22"/>
    <mergeCell ref="T23:T26"/>
    <mergeCell ref="K51:K54"/>
    <mergeCell ref="L51:L54"/>
    <mergeCell ref="M51:M54"/>
    <mergeCell ref="N51:N54"/>
    <mergeCell ref="A55:A58"/>
    <mergeCell ref="B55:B58"/>
    <mergeCell ref="C55:C58"/>
    <mergeCell ref="D55:D58"/>
    <mergeCell ref="I55:I58"/>
    <mergeCell ref="J55:J58"/>
    <mergeCell ref="K47:K50"/>
    <mergeCell ref="L47:L50"/>
    <mergeCell ref="M47:M50"/>
    <mergeCell ref="N47:N50"/>
    <mergeCell ref="A51:A54"/>
    <mergeCell ref="B51:B54"/>
    <mergeCell ref="C51:C54"/>
    <mergeCell ref="D51:D54"/>
    <mergeCell ref="I51:I54"/>
    <mergeCell ref="J51:J54"/>
    <mergeCell ref="K43:K46"/>
    <mergeCell ref="L43:L46"/>
    <mergeCell ref="M43:M46"/>
    <mergeCell ref="N43:N46"/>
    <mergeCell ref="A47:A50"/>
    <mergeCell ref="B47:B50"/>
    <mergeCell ref="C47:C50"/>
    <mergeCell ref="D47:D50"/>
    <mergeCell ref="I47:I50"/>
    <mergeCell ref="J47:J50"/>
    <mergeCell ref="K39:K42"/>
    <mergeCell ref="L39:L42"/>
    <mergeCell ref="M39:M42"/>
    <mergeCell ref="N39:N42"/>
    <mergeCell ref="A43:A46"/>
    <mergeCell ref="B43:B46"/>
    <mergeCell ref="C43:C46"/>
    <mergeCell ref="D43:D46"/>
    <mergeCell ref="I43:I46"/>
    <mergeCell ref="J43:J46"/>
    <mergeCell ref="K35:K38"/>
    <mergeCell ref="L35:L38"/>
    <mergeCell ref="M35:M38"/>
    <mergeCell ref="N35:N38"/>
    <mergeCell ref="A39:A42"/>
    <mergeCell ref="B39:B42"/>
    <mergeCell ref="C39:C42"/>
    <mergeCell ref="D39:D42"/>
    <mergeCell ref="I39:I42"/>
    <mergeCell ref="J39:J42"/>
    <mergeCell ref="K31:K34"/>
    <mergeCell ref="L31:L34"/>
    <mergeCell ref="M31:M34"/>
    <mergeCell ref="N31:N34"/>
    <mergeCell ref="A35:A38"/>
    <mergeCell ref="B35:B38"/>
    <mergeCell ref="C35:C38"/>
    <mergeCell ref="D35:D38"/>
    <mergeCell ref="I35:I38"/>
    <mergeCell ref="J35:J38"/>
    <mergeCell ref="K27:K30"/>
    <mergeCell ref="L27:L30"/>
    <mergeCell ref="M27:M30"/>
    <mergeCell ref="N27:N30"/>
    <mergeCell ref="A31:A34"/>
    <mergeCell ref="B31:B34"/>
    <mergeCell ref="C31:C34"/>
    <mergeCell ref="D31:D34"/>
    <mergeCell ref="I31:I34"/>
    <mergeCell ref="J31:J34"/>
    <mergeCell ref="K23:K26"/>
    <mergeCell ref="L23:L26"/>
    <mergeCell ref="M23:M26"/>
    <mergeCell ref="N23:N26"/>
    <mergeCell ref="A27:A30"/>
    <mergeCell ref="B27:B30"/>
    <mergeCell ref="C27:C30"/>
    <mergeCell ref="D27:D30"/>
    <mergeCell ref="I27:I30"/>
    <mergeCell ref="J27:J30"/>
    <mergeCell ref="K19:K22"/>
    <mergeCell ref="L19:L22"/>
    <mergeCell ref="M19:M22"/>
    <mergeCell ref="N19:N22"/>
    <mergeCell ref="A23:A26"/>
    <mergeCell ref="B23:B26"/>
    <mergeCell ref="C23:C26"/>
    <mergeCell ref="D23:D26"/>
    <mergeCell ref="I23:I26"/>
    <mergeCell ref="J23:J26"/>
    <mergeCell ref="K15:K18"/>
    <mergeCell ref="L15:L18"/>
    <mergeCell ref="M15:M18"/>
    <mergeCell ref="N15:N18"/>
    <mergeCell ref="A19:A22"/>
    <mergeCell ref="B19:B22"/>
    <mergeCell ref="C19:C22"/>
    <mergeCell ref="D19:D22"/>
    <mergeCell ref="I19:I22"/>
    <mergeCell ref="J19:J22"/>
    <mergeCell ref="K11:K14"/>
    <mergeCell ref="L11:L14"/>
    <mergeCell ref="M11:M14"/>
    <mergeCell ref="N11:N14"/>
    <mergeCell ref="A15:A18"/>
    <mergeCell ref="B15:B18"/>
    <mergeCell ref="C15:C18"/>
    <mergeCell ref="D15:D18"/>
    <mergeCell ref="I15:I18"/>
    <mergeCell ref="J15:J18"/>
    <mergeCell ref="K7:K10"/>
    <mergeCell ref="L7:L10"/>
    <mergeCell ref="M7:M10"/>
    <mergeCell ref="N7:N10"/>
    <mergeCell ref="A11:A14"/>
    <mergeCell ref="B11:B14"/>
    <mergeCell ref="C11:C14"/>
    <mergeCell ref="D11:D14"/>
    <mergeCell ref="I11:I14"/>
    <mergeCell ref="J11:J14"/>
    <mergeCell ref="K3:K6"/>
    <mergeCell ref="L3:L6"/>
    <mergeCell ref="M3:M6"/>
    <mergeCell ref="N3:N6"/>
    <mergeCell ref="A7:A10"/>
    <mergeCell ref="B7:B10"/>
    <mergeCell ref="C7:C10"/>
    <mergeCell ref="D7:D10"/>
    <mergeCell ref="I7:I10"/>
    <mergeCell ref="J7:J10"/>
    <mergeCell ref="A3:A6"/>
    <mergeCell ref="B3:B6"/>
    <mergeCell ref="C3:C6"/>
    <mergeCell ref="D3:D6"/>
    <mergeCell ref="I3:I6"/>
    <mergeCell ref="J3:J6"/>
  </mergeCells>
  <phoneticPr fontId="1" type="noConversion"/>
  <conditionalFormatting sqref="R1">
    <cfRule type="cellIs" dxfId="4" priority="1" operator="greaterThan">
      <formula>0</formula>
    </cfRule>
  </conditionalFormatting>
  <hyperlinks>
    <hyperlink ref="J19" r:id="rId1" xr:uid="{06A97C10-77D6-4ACD-BEF0-836E1ABF90D5}"/>
    <hyperlink ref="J47" r:id="rId2" xr:uid="{4667C0B5-4528-42AB-B3DA-681E108530F6}"/>
    <hyperlink ref="J51" r:id="rId3" xr:uid="{616CBA46-6D33-4C89-B052-7B048A9C73DB}"/>
  </hyperlinks>
  <pageMargins left="0.7" right="0.7" top="0.75" bottom="0.75" header="0.3" footer="0.3"/>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工作表8">
    <tabColor theme="4" tint="0.39997558519241921"/>
  </sheetPr>
  <dimension ref="A1:P634"/>
  <sheetViews>
    <sheetView tabSelected="1" workbookViewId="0">
      <selection activeCell="D12" sqref="D12"/>
    </sheetView>
  </sheetViews>
  <sheetFormatPr defaultColWidth="9" defaultRowHeight="15.75" x14ac:dyDescent="0.25"/>
  <cols>
    <col min="1" max="15" width="9" style="143" customWidth="1"/>
    <col min="16" max="33" width="9" style="5"/>
    <col min="34" max="34" width="13.375" style="5" bestFit="1" customWidth="1"/>
    <col min="35" max="16384" width="9" style="5"/>
  </cols>
  <sheetData>
    <row r="1" spans="1:16" x14ac:dyDescent="0.25">
      <c r="A1" s="143" t="s">
        <v>424</v>
      </c>
      <c r="B1" s="143" t="s">
        <v>425</v>
      </c>
      <c r="C1" s="143" t="s">
        <v>426</v>
      </c>
      <c r="D1" s="143" t="s">
        <v>427</v>
      </c>
      <c r="E1" s="143" t="s">
        <v>428</v>
      </c>
      <c r="F1" s="143" t="s">
        <v>428</v>
      </c>
      <c r="I1" s="143" t="s">
        <v>429</v>
      </c>
      <c r="J1" s="143" t="s">
        <v>430</v>
      </c>
      <c r="M1" s="143" t="s">
        <v>431</v>
      </c>
      <c r="N1" s="143" t="s">
        <v>432</v>
      </c>
      <c r="O1" s="143" t="s">
        <v>291</v>
      </c>
      <c r="P1" s="5" t="s">
        <v>281</v>
      </c>
    </row>
    <row r="2" spans="1:16" x14ac:dyDescent="0.25">
      <c r="F2" s="143" t="s">
        <v>354</v>
      </c>
      <c r="G2" s="143" t="s">
        <v>353</v>
      </c>
      <c r="H2" s="143" t="s">
        <v>356</v>
      </c>
      <c r="J2" s="143" t="s">
        <v>435</v>
      </c>
      <c r="K2" s="143" t="s">
        <v>353</v>
      </c>
      <c r="L2" s="143" t="s">
        <v>356</v>
      </c>
    </row>
    <row r="3" spans="1:16" x14ac:dyDescent="0.25">
      <c r="A3" s="177" t="s">
        <v>859</v>
      </c>
      <c r="B3" s="177" t="s">
        <v>1376</v>
      </c>
      <c r="C3" s="177">
        <v>40</v>
      </c>
      <c r="D3" s="177">
        <v>65</v>
      </c>
      <c r="E3" s="167" t="s">
        <v>433</v>
      </c>
      <c r="F3" s="167" t="s">
        <v>1377</v>
      </c>
      <c r="G3" s="167" t="s">
        <v>293</v>
      </c>
      <c r="H3" s="167" t="s">
        <v>967</v>
      </c>
      <c r="I3" s="177" t="s">
        <v>285</v>
      </c>
      <c r="J3" s="177" t="s">
        <v>914</v>
      </c>
      <c r="K3" s="177" t="s">
        <v>914</v>
      </c>
      <c r="L3" s="177" t="s">
        <v>914</v>
      </c>
      <c r="M3" s="177">
        <v>1260</v>
      </c>
      <c r="N3" s="177">
        <v>50</v>
      </c>
    </row>
    <row r="4" spans="1:16" x14ac:dyDescent="0.25">
      <c r="A4" s="177"/>
      <c r="B4" s="177"/>
      <c r="C4" s="177"/>
      <c r="D4" s="177"/>
      <c r="E4" s="167" t="s">
        <v>434</v>
      </c>
      <c r="F4" s="167">
        <v>0</v>
      </c>
      <c r="G4" s="167">
        <v>0</v>
      </c>
      <c r="H4" s="167" t="s">
        <v>293</v>
      </c>
      <c r="I4" s="177"/>
      <c r="J4" s="177"/>
      <c r="K4" s="177"/>
      <c r="L4" s="177"/>
      <c r="M4" s="177"/>
      <c r="N4" s="177"/>
    </row>
    <row r="5" spans="1:16" x14ac:dyDescent="0.25">
      <c r="A5" s="177"/>
      <c r="B5" s="177"/>
      <c r="C5" s="177"/>
      <c r="D5" s="177"/>
      <c r="E5" s="167" t="s">
        <v>433</v>
      </c>
      <c r="F5" s="167">
        <v>0</v>
      </c>
      <c r="G5" s="167">
        <v>0</v>
      </c>
      <c r="H5" s="167">
        <v>0</v>
      </c>
      <c r="I5" s="177"/>
      <c r="J5" s="177"/>
      <c r="K5" s="177"/>
      <c r="L5" s="177"/>
      <c r="M5" s="177"/>
      <c r="N5" s="177"/>
    </row>
    <row r="6" spans="1:16" x14ac:dyDescent="0.25">
      <c r="A6" s="177"/>
      <c r="B6" s="177"/>
      <c r="C6" s="177"/>
      <c r="D6" s="177"/>
      <c r="E6" s="167" t="s">
        <v>434</v>
      </c>
      <c r="F6" s="167" t="s">
        <v>294</v>
      </c>
      <c r="G6" s="167" t="s">
        <v>967</v>
      </c>
      <c r="H6" s="167" t="s">
        <v>967</v>
      </c>
      <c r="I6" s="177"/>
      <c r="J6" s="177"/>
      <c r="K6" s="177"/>
      <c r="L6" s="177"/>
      <c r="M6" s="177"/>
      <c r="N6" s="177"/>
    </row>
    <row r="7" spans="1:16" x14ac:dyDescent="0.25">
      <c r="A7" s="143" t="s">
        <v>851</v>
      </c>
      <c r="B7" s="143" t="s">
        <v>946</v>
      </c>
      <c r="C7" s="143">
        <v>40</v>
      </c>
      <c r="D7" s="143">
        <v>70</v>
      </c>
      <c r="E7" s="143" t="s">
        <v>433</v>
      </c>
      <c r="F7" s="143" t="s">
        <v>947</v>
      </c>
      <c r="G7" s="143" t="s">
        <v>944</v>
      </c>
      <c r="H7" s="143" t="s">
        <v>944</v>
      </c>
      <c r="I7" s="143" t="s">
        <v>285</v>
      </c>
      <c r="J7" s="143" t="s">
        <v>914</v>
      </c>
      <c r="K7" s="143" t="s">
        <v>914</v>
      </c>
      <c r="L7" s="143" t="s">
        <v>914</v>
      </c>
      <c r="M7" s="143">
        <v>830</v>
      </c>
      <c r="N7" s="143">
        <v>60</v>
      </c>
    </row>
    <row r="8" spans="1:16" x14ac:dyDescent="0.25">
      <c r="E8" s="143" t="s">
        <v>434</v>
      </c>
      <c r="F8" s="143">
        <v>0</v>
      </c>
      <c r="G8" s="143">
        <v>0</v>
      </c>
      <c r="H8" s="143">
        <v>0</v>
      </c>
    </row>
    <row r="9" spans="1:16" x14ac:dyDescent="0.25">
      <c r="E9" s="143" t="s">
        <v>433</v>
      </c>
      <c r="F9" s="143">
        <v>0</v>
      </c>
      <c r="G9" s="143">
        <v>0</v>
      </c>
      <c r="H9" s="143">
        <v>0</v>
      </c>
    </row>
    <row r="10" spans="1:16" x14ac:dyDescent="0.25">
      <c r="E10" s="143" t="s">
        <v>434</v>
      </c>
      <c r="F10" s="143" t="s">
        <v>293</v>
      </c>
      <c r="G10" s="143" t="s">
        <v>947</v>
      </c>
      <c r="H10" s="143" t="s">
        <v>947</v>
      </c>
    </row>
    <row r="11" spans="1:16" x14ac:dyDescent="0.25">
      <c r="A11" s="143" t="s">
        <v>851</v>
      </c>
      <c r="B11" s="143" t="s">
        <v>946</v>
      </c>
      <c r="C11" s="143">
        <v>40</v>
      </c>
      <c r="D11" s="143">
        <v>70</v>
      </c>
      <c r="E11" s="143" t="s">
        <v>433</v>
      </c>
      <c r="F11" s="143" t="s">
        <v>947</v>
      </c>
      <c r="G11" s="143" t="s">
        <v>944</v>
      </c>
      <c r="H11" s="143" t="s">
        <v>944</v>
      </c>
      <c r="I11" s="143" t="s">
        <v>285</v>
      </c>
      <c r="J11" s="143" t="s">
        <v>914</v>
      </c>
      <c r="K11" s="143" t="s">
        <v>914</v>
      </c>
      <c r="L11" s="143" t="s">
        <v>914</v>
      </c>
      <c r="M11" s="143">
        <v>830</v>
      </c>
      <c r="N11" s="143">
        <v>60</v>
      </c>
    </row>
    <row r="12" spans="1:16" x14ac:dyDescent="0.25">
      <c r="E12" s="143" t="s">
        <v>434</v>
      </c>
      <c r="F12" s="143">
        <v>0</v>
      </c>
      <c r="G12" s="143">
        <v>0</v>
      </c>
      <c r="H12" s="143">
        <v>0</v>
      </c>
    </row>
    <row r="13" spans="1:16" x14ac:dyDescent="0.25">
      <c r="E13" s="143" t="s">
        <v>433</v>
      </c>
      <c r="F13" s="143">
        <v>0</v>
      </c>
      <c r="G13" s="143">
        <v>0</v>
      </c>
      <c r="H13" s="143">
        <v>0</v>
      </c>
    </row>
    <row r="14" spans="1:16" x14ac:dyDescent="0.25">
      <c r="E14" s="143" t="s">
        <v>434</v>
      </c>
      <c r="F14" s="143" t="s">
        <v>293</v>
      </c>
      <c r="G14" s="143" t="s">
        <v>947</v>
      </c>
      <c r="H14" s="143" t="s">
        <v>947</v>
      </c>
    </row>
    <row r="15" spans="1:16" x14ac:dyDescent="0.25">
      <c r="A15" s="143" t="s">
        <v>851</v>
      </c>
      <c r="B15" s="143" t="s">
        <v>948</v>
      </c>
      <c r="C15" s="143">
        <v>40</v>
      </c>
      <c r="D15" s="143">
        <v>70</v>
      </c>
      <c r="E15" s="143" t="s">
        <v>433</v>
      </c>
      <c r="F15" s="143" t="s">
        <v>947</v>
      </c>
      <c r="G15" s="143" t="s">
        <v>944</v>
      </c>
      <c r="H15" s="143" t="s">
        <v>947</v>
      </c>
      <c r="I15" s="143" t="s">
        <v>285</v>
      </c>
      <c r="J15" s="143" t="s">
        <v>914</v>
      </c>
      <c r="K15" s="143" t="s">
        <v>914</v>
      </c>
      <c r="L15" s="143" t="s">
        <v>914</v>
      </c>
      <c r="M15" s="143">
        <v>830</v>
      </c>
      <c r="N15" s="143">
        <v>60</v>
      </c>
    </row>
    <row r="16" spans="1:16" x14ac:dyDescent="0.25">
      <c r="E16" s="143" t="s">
        <v>434</v>
      </c>
      <c r="F16" s="143">
        <v>0</v>
      </c>
      <c r="G16" s="143">
        <v>0</v>
      </c>
      <c r="H16" s="143">
        <v>0</v>
      </c>
    </row>
    <row r="17" spans="1:14" x14ac:dyDescent="0.25">
      <c r="E17" s="143" t="s">
        <v>433</v>
      </c>
      <c r="F17" s="143">
        <v>0</v>
      </c>
      <c r="G17" s="143">
        <v>0</v>
      </c>
      <c r="H17" s="143">
        <v>0</v>
      </c>
    </row>
    <row r="18" spans="1:14" x14ac:dyDescent="0.25">
      <c r="E18" s="143" t="s">
        <v>434</v>
      </c>
      <c r="F18" s="143" t="s">
        <v>293</v>
      </c>
      <c r="G18" s="143" t="s">
        <v>293</v>
      </c>
      <c r="H18" s="143" t="s">
        <v>293</v>
      </c>
    </row>
    <row r="19" spans="1:14" x14ac:dyDescent="0.25">
      <c r="A19" s="143" t="s">
        <v>851</v>
      </c>
      <c r="B19" s="143" t="s">
        <v>948</v>
      </c>
      <c r="C19" s="143">
        <v>40</v>
      </c>
      <c r="D19" s="143">
        <v>70</v>
      </c>
      <c r="E19" s="143" t="s">
        <v>433</v>
      </c>
      <c r="F19" s="143" t="s">
        <v>947</v>
      </c>
      <c r="G19" s="143" t="s">
        <v>944</v>
      </c>
      <c r="H19" s="143" t="s">
        <v>947</v>
      </c>
      <c r="I19" s="143" t="s">
        <v>285</v>
      </c>
      <c r="J19" s="143" t="s">
        <v>914</v>
      </c>
      <c r="K19" s="143" t="s">
        <v>914</v>
      </c>
      <c r="L19" s="143" t="s">
        <v>914</v>
      </c>
      <c r="M19" s="143">
        <v>830</v>
      </c>
      <c r="N19" s="143">
        <v>60</v>
      </c>
    </row>
    <row r="20" spans="1:14" x14ac:dyDescent="0.25">
      <c r="E20" s="143" t="s">
        <v>434</v>
      </c>
      <c r="F20" s="143">
        <v>0</v>
      </c>
      <c r="G20" s="143">
        <v>0</v>
      </c>
      <c r="H20" s="143">
        <v>0</v>
      </c>
    </row>
    <row r="21" spans="1:14" x14ac:dyDescent="0.25">
      <c r="E21" s="143" t="s">
        <v>433</v>
      </c>
      <c r="F21" s="143">
        <v>0</v>
      </c>
      <c r="G21" s="143">
        <v>0</v>
      </c>
      <c r="H21" s="143">
        <v>0</v>
      </c>
    </row>
    <row r="22" spans="1:14" x14ac:dyDescent="0.25">
      <c r="E22" s="143" t="s">
        <v>434</v>
      </c>
      <c r="F22" s="143" t="s">
        <v>293</v>
      </c>
      <c r="G22" s="143" t="s">
        <v>293</v>
      </c>
      <c r="H22" s="143" t="s">
        <v>293</v>
      </c>
    </row>
    <row r="23" spans="1:14" x14ac:dyDescent="0.25">
      <c r="A23" s="143" t="s">
        <v>851</v>
      </c>
      <c r="B23" s="143" t="s">
        <v>949</v>
      </c>
      <c r="C23" s="143">
        <v>40</v>
      </c>
      <c r="D23" s="143">
        <v>70</v>
      </c>
      <c r="E23" s="143" t="s">
        <v>433</v>
      </c>
      <c r="F23" s="143" t="s">
        <v>947</v>
      </c>
      <c r="G23" s="143" t="s">
        <v>944</v>
      </c>
      <c r="H23" s="143" t="s">
        <v>947</v>
      </c>
      <c r="I23" s="143" t="s">
        <v>285</v>
      </c>
      <c r="J23" s="143" t="s">
        <v>914</v>
      </c>
      <c r="K23" s="143" t="s">
        <v>914</v>
      </c>
      <c r="L23" s="143" t="s">
        <v>914</v>
      </c>
      <c r="M23" s="143">
        <v>830</v>
      </c>
      <c r="N23" s="143">
        <v>60</v>
      </c>
    </row>
    <row r="24" spans="1:14" x14ac:dyDescent="0.25">
      <c r="E24" s="143" t="s">
        <v>434</v>
      </c>
      <c r="F24" s="143">
        <v>0</v>
      </c>
      <c r="G24" s="143">
        <v>0</v>
      </c>
      <c r="H24" s="143">
        <v>0</v>
      </c>
    </row>
    <row r="25" spans="1:14" x14ac:dyDescent="0.25">
      <c r="E25" s="143" t="s">
        <v>433</v>
      </c>
      <c r="F25" s="143">
        <v>0</v>
      </c>
      <c r="G25" s="143">
        <v>0</v>
      </c>
      <c r="H25" s="143">
        <v>0</v>
      </c>
    </row>
    <row r="26" spans="1:14" x14ac:dyDescent="0.25">
      <c r="E26" s="143" t="s">
        <v>434</v>
      </c>
      <c r="F26" s="143" t="s">
        <v>293</v>
      </c>
      <c r="G26" s="143" t="s">
        <v>293</v>
      </c>
      <c r="H26" s="143" t="s">
        <v>293</v>
      </c>
    </row>
    <row r="27" spans="1:14" x14ac:dyDescent="0.25">
      <c r="A27" s="143" t="s">
        <v>851</v>
      </c>
      <c r="B27" s="143" t="s">
        <v>949</v>
      </c>
      <c r="C27" s="143">
        <v>40</v>
      </c>
      <c r="D27" s="143">
        <v>70</v>
      </c>
      <c r="E27" s="143" t="s">
        <v>433</v>
      </c>
      <c r="F27" s="143" t="s">
        <v>947</v>
      </c>
      <c r="G27" s="143" t="s">
        <v>944</v>
      </c>
      <c r="H27" s="143" t="s">
        <v>947</v>
      </c>
      <c r="I27" s="143" t="s">
        <v>285</v>
      </c>
      <c r="J27" s="143" t="s">
        <v>914</v>
      </c>
      <c r="K27" s="143" t="s">
        <v>914</v>
      </c>
      <c r="L27" s="143" t="s">
        <v>914</v>
      </c>
      <c r="M27" s="143">
        <v>830</v>
      </c>
      <c r="N27" s="143">
        <v>60</v>
      </c>
    </row>
    <row r="28" spans="1:14" x14ac:dyDescent="0.25">
      <c r="E28" s="143" t="s">
        <v>434</v>
      </c>
      <c r="F28" s="143">
        <v>0</v>
      </c>
      <c r="G28" s="143">
        <v>0</v>
      </c>
      <c r="H28" s="143">
        <v>0</v>
      </c>
    </row>
    <row r="29" spans="1:14" x14ac:dyDescent="0.25">
      <c r="E29" s="143" t="s">
        <v>433</v>
      </c>
      <c r="F29" s="143">
        <v>0</v>
      </c>
      <c r="G29" s="143">
        <v>0</v>
      </c>
      <c r="H29" s="143">
        <v>0</v>
      </c>
    </row>
    <row r="30" spans="1:14" x14ac:dyDescent="0.25">
      <c r="E30" s="143" t="s">
        <v>434</v>
      </c>
      <c r="F30" s="143" t="s">
        <v>293</v>
      </c>
      <c r="G30" s="143" t="s">
        <v>293</v>
      </c>
      <c r="H30" s="143" t="s">
        <v>293</v>
      </c>
    </row>
    <row r="31" spans="1:14" x14ac:dyDescent="0.25">
      <c r="A31" s="143" t="s">
        <v>851</v>
      </c>
      <c r="B31" s="143" t="s">
        <v>950</v>
      </c>
      <c r="C31" s="143">
        <v>40</v>
      </c>
      <c r="D31" s="143">
        <v>70</v>
      </c>
      <c r="E31" s="143" t="s">
        <v>433</v>
      </c>
      <c r="F31" s="143" t="s">
        <v>947</v>
      </c>
      <c r="G31" s="143" t="s">
        <v>944</v>
      </c>
      <c r="H31" s="143" t="s">
        <v>947</v>
      </c>
      <c r="I31" s="143" t="s">
        <v>285</v>
      </c>
      <c r="J31" s="143" t="s">
        <v>914</v>
      </c>
      <c r="K31" s="143" t="s">
        <v>914</v>
      </c>
      <c r="L31" s="143" t="s">
        <v>914</v>
      </c>
      <c r="M31" s="143">
        <v>830</v>
      </c>
      <c r="N31" s="143">
        <v>60</v>
      </c>
    </row>
    <row r="32" spans="1:14" x14ac:dyDescent="0.25">
      <c r="E32" s="143" t="s">
        <v>434</v>
      </c>
      <c r="F32" s="143">
        <v>0</v>
      </c>
      <c r="G32" s="143">
        <v>0</v>
      </c>
      <c r="H32" s="143">
        <v>0</v>
      </c>
    </row>
    <row r="33" spans="1:14" x14ac:dyDescent="0.25">
      <c r="E33" s="143" t="s">
        <v>433</v>
      </c>
      <c r="F33" s="143">
        <v>0</v>
      </c>
      <c r="G33" s="143">
        <v>0</v>
      </c>
      <c r="H33" s="143">
        <v>0</v>
      </c>
    </row>
    <row r="34" spans="1:14" x14ac:dyDescent="0.25">
      <c r="E34" s="143" t="s">
        <v>434</v>
      </c>
      <c r="F34" s="143" t="s">
        <v>293</v>
      </c>
      <c r="G34" s="143" t="s">
        <v>293</v>
      </c>
      <c r="H34" s="143" t="s">
        <v>293</v>
      </c>
    </row>
    <row r="35" spans="1:14" x14ac:dyDescent="0.25">
      <c r="A35" s="143" t="s">
        <v>851</v>
      </c>
      <c r="B35" s="143" t="s">
        <v>950</v>
      </c>
      <c r="C35" s="143">
        <v>40</v>
      </c>
      <c r="D35" s="143">
        <v>70</v>
      </c>
      <c r="E35" s="143" t="s">
        <v>433</v>
      </c>
      <c r="F35" s="143" t="s">
        <v>947</v>
      </c>
      <c r="G35" s="143" t="s">
        <v>944</v>
      </c>
      <c r="H35" s="143" t="s">
        <v>947</v>
      </c>
      <c r="I35" s="143" t="s">
        <v>285</v>
      </c>
      <c r="J35" s="143" t="s">
        <v>914</v>
      </c>
      <c r="K35" s="143" t="s">
        <v>914</v>
      </c>
      <c r="L35" s="143" t="s">
        <v>914</v>
      </c>
      <c r="M35" s="143">
        <v>830</v>
      </c>
      <c r="N35" s="143">
        <v>60</v>
      </c>
    </row>
    <row r="36" spans="1:14" x14ac:dyDescent="0.25">
      <c r="E36" s="143" t="s">
        <v>434</v>
      </c>
      <c r="F36" s="143">
        <v>0</v>
      </c>
      <c r="G36" s="143">
        <v>0</v>
      </c>
      <c r="H36" s="143">
        <v>0</v>
      </c>
    </row>
    <row r="37" spans="1:14" x14ac:dyDescent="0.25">
      <c r="E37" s="143" t="s">
        <v>433</v>
      </c>
      <c r="F37" s="143">
        <v>0</v>
      </c>
      <c r="G37" s="143">
        <v>0</v>
      </c>
      <c r="H37" s="143">
        <v>0</v>
      </c>
    </row>
    <row r="38" spans="1:14" x14ac:dyDescent="0.25">
      <c r="E38" s="143" t="s">
        <v>434</v>
      </c>
      <c r="F38" s="143" t="s">
        <v>293</v>
      </c>
      <c r="G38" s="143" t="s">
        <v>293</v>
      </c>
      <c r="H38" s="143" t="s">
        <v>293</v>
      </c>
    </row>
    <row r="39" spans="1:14" x14ac:dyDescent="0.25">
      <c r="A39" s="143" t="s">
        <v>851</v>
      </c>
      <c r="B39" s="143" t="s">
        <v>951</v>
      </c>
      <c r="C39" s="143">
        <v>40</v>
      </c>
      <c r="D39" s="143">
        <v>70</v>
      </c>
      <c r="E39" s="143" t="s">
        <v>433</v>
      </c>
      <c r="F39" s="143" t="s">
        <v>947</v>
      </c>
      <c r="G39" s="143" t="s">
        <v>944</v>
      </c>
      <c r="H39" s="143" t="s">
        <v>947</v>
      </c>
      <c r="I39" s="143" t="s">
        <v>285</v>
      </c>
      <c r="J39" s="143" t="s">
        <v>914</v>
      </c>
      <c r="K39" s="143" t="s">
        <v>914</v>
      </c>
      <c r="L39" s="143" t="s">
        <v>914</v>
      </c>
      <c r="M39" s="143">
        <v>830</v>
      </c>
      <c r="N39" s="143">
        <v>60</v>
      </c>
    </row>
    <row r="40" spans="1:14" x14ac:dyDescent="0.25">
      <c r="E40" s="143" t="s">
        <v>434</v>
      </c>
      <c r="F40" s="143">
        <v>0</v>
      </c>
      <c r="G40" s="143">
        <v>0</v>
      </c>
      <c r="H40" s="143">
        <v>0</v>
      </c>
    </row>
    <row r="41" spans="1:14" x14ac:dyDescent="0.25">
      <c r="E41" s="143" t="s">
        <v>433</v>
      </c>
      <c r="F41" s="143">
        <v>0</v>
      </c>
      <c r="G41" s="143">
        <v>0</v>
      </c>
      <c r="H41" s="143">
        <v>0</v>
      </c>
    </row>
    <row r="42" spans="1:14" x14ac:dyDescent="0.25">
      <c r="E42" s="143" t="s">
        <v>434</v>
      </c>
      <c r="F42" s="143" t="s">
        <v>293</v>
      </c>
      <c r="G42" s="143" t="s">
        <v>293</v>
      </c>
      <c r="H42" s="143" t="s">
        <v>293</v>
      </c>
    </row>
    <row r="43" spans="1:14" x14ac:dyDescent="0.25">
      <c r="A43" s="143" t="s">
        <v>851</v>
      </c>
      <c r="B43" s="143" t="s">
        <v>951</v>
      </c>
      <c r="C43" s="143">
        <v>40</v>
      </c>
      <c r="D43" s="143">
        <v>70</v>
      </c>
      <c r="E43" s="143" t="s">
        <v>433</v>
      </c>
      <c r="F43" s="143" t="s">
        <v>947</v>
      </c>
      <c r="G43" s="143" t="s">
        <v>944</v>
      </c>
      <c r="H43" s="143" t="s">
        <v>947</v>
      </c>
      <c r="I43" s="143" t="s">
        <v>285</v>
      </c>
      <c r="J43" s="143" t="s">
        <v>914</v>
      </c>
      <c r="K43" s="143" t="s">
        <v>914</v>
      </c>
      <c r="L43" s="143" t="s">
        <v>914</v>
      </c>
      <c r="M43" s="143">
        <v>830</v>
      </c>
      <c r="N43" s="143">
        <v>60</v>
      </c>
    </row>
    <row r="44" spans="1:14" x14ac:dyDescent="0.25">
      <c r="E44" s="143" t="s">
        <v>434</v>
      </c>
      <c r="F44" s="143">
        <v>0</v>
      </c>
      <c r="G44" s="143">
        <v>0</v>
      </c>
      <c r="H44" s="143">
        <v>0</v>
      </c>
    </row>
    <row r="45" spans="1:14" x14ac:dyDescent="0.25">
      <c r="E45" s="143" t="s">
        <v>433</v>
      </c>
      <c r="F45" s="143">
        <v>0</v>
      </c>
      <c r="G45" s="143">
        <v>0</v>
      </c>
      <c r="H45" s="143">
        <v>0</v>
      </c>
    </row>
    <row r="46" spans="1:14" x14ac:dyDescent="0.25">
      <c r="E46" s="143" t="s">
        <v>434</v>
      </c>
      <c r="F46" s="143" t="s">
        <v>293</v>
      </c>
      <c r="G46" s="143" t="s">
        <v>293</v>
      </c>
      <c r="H46" s="143" t="s">
        <v>293</v>
      </c>
    </row>
    <row r="47" spans="1:14" x14ac:dyDescent="0.25">
      <c r="A47" s="143" t="s">
        <v>851</v>
      </c>
      <c r="B47" s="143" t="s">
        <v>952</v>
      </c>
      <c r="C47" s="143">
        <v>40</v>
      </c>
      <c r="D47" s="143">
        <v>70</v>
      </c>
      <c r="E47" s="143" t="s">
        <v>433</v>
      </c>
      <c r="F47" s="143" t="s">
        <v>944</v>
      </c>
      <c r="G47" s="143" t="s">
        <v>944</v>
      </c>
      <c r="H47" s="143" t="s">
        <v>947</v>
      </c>
      <c r="I47" s="143" t="s">
        <v>285</v>
      </c>
      <c r="J47" s="143" t="s">
        <v>914</v>
      </c>
      <c r="K47" s="143" t="s">
        <v>914</v>
      </c>
      <c r="L47" s="143" t="s">
        <v>914</v>
      </c>
      <c r="M47" s="143">
        <v>830</v>
      </c>
      <c r="N47" s="143">
        <v>60</v>
      </c>
    </row>
    <row r="48" spans="1:14" x14ac:dyDescent="0.25">
      <c r="E48" s="143" t="s">
        <v>434</v>
      </c>
      <c r="F48" s="143">
        <v>0</v>
      </c>
      <c r="G48" s="143">
        <v>0</v>
      </c>
      <c r="H48" s="143">
        <v>0</v>
      </c>
    </row>
    <row r="49" spans="1:14" x14ac:dyDescent="0.25">
      <c r="E49" s="143" t="s">
        <v>433</v>
      </c>
      <c r="F49" s="143">
        <v>0</v>
      </c>
      <c r="G49" s="143">
        <v>0</v>
      </c>
      <c r="H49" s="143">
        <v>0</v>
      </c>
    </row>
    <row r="50" spans="1:14" x14ac:dyDescent="0.25">
      <c r="E50" s="143" t="s">
        <v>434</v>
      </c>
      <c r="F50" s="143" t="s">
        <v>293</v>
      </c>
      <c r="G50" s="143" t="s">
        <v>947</v>
      </c>
      <c r="H50" s="143" t="s">
        <v>293</v>
      </c>
    </row>
    <row r="51" spans="1:14" x14ac:dyDescent="0.25">
      <c r="A51" s="143" t="s">
        <v>851</v>
      </c>
      <c r="B51" s="143" t="s">
        <v>952</v>
      </c>
      <c r="C51" s="143">
        <v>40</v>
      </c>
      <c r="D51" s="143">
        <v>70</v>
      </c>
      <c r="E51" s="143" t="s">
        <v>433</v>
      </c>
      <c r="F51" s="143" t="s">
        <v>944</v>
      </c>
      <c r="G51" s="143" t="s">
        <v>944</v>
      </c>
      <c r="H51" s="143" t="s">
        <v>947</v>
      </c>
      <c r="I51" s="143" t="s">
        <v>285</v>
      </c>
      <c r="J51" s="143" t="s">
        <v>914</v>
      </c>
      <c r="K51" s="143" t="s">
        <v>914</v>
      </c>
      <c r="L51" s="143" t="s">
        <v>914</v>
      </c>
      <c r="M51" s="143">
        <v>830</v>
      </c>
      <c r="N51" s="143">
        <v>60</v>
      </c>
    </row>
    <row r="52" spans="1:14" x14ac:dyDescent="0.25">
      <c r="E52" s="143" t="s">
        <v>434</v>
      </c>
      <c r="F52" s="143">
        <v>0</v>
      </c>
      <c r="G52" s="143">
        <v>0</v>
      </c>
      <c r="H52" s="143">
        <v>0</v>
      </c>
    </row>
    <row r="53" spans="1:14" x14ac:dyDescent="0.25">
      <c r="E53" s="143" t="s">
        <v>433</v>
      </c>
      <c r="F53" s="143">
        <v>0</v>
      </c>
      <c r="G53" s="143">
        <v>0</v>
      </c>
      <c r="H53" s="143">
        <v>0</v>
      </c>
    </row>
    <row r="54" spans="1:14" x14ac:dyDescent="0.25">
      <c r="E54" s="143" t="s">
        <v>434</v>
      </c>
      <c r="F54" s="143" t="s">
        <v>293</v>
      </c>
      <c r="G54" s="143" t="s">
        <v>947</v>
      </c>
      <c r="H54" s="143" t="s">
        <v>293</v>
      </c>
    </row>
    <row r="55" spans="1:14" x14ac:dyDescent="0.25">
      <c r="A55" s="143" t="s">
        <v>851</v>
      </c>
      <c r="B55" s="143" t="s">
        <v>953</v>
      </c>
      <c r="C55" s="143">
        <v>40</v>
      </c>
      <c r="D55" s="143">
        <v>70</v>
      </c>
      <c r="E55" s="143" t="s">
        <v>433</v>
      </c>
      <c r="F55" s="143" t="s">
        <v>954</v>
      </c>
      <c r="G55" s="143" t="s">
        <v>944</v>
      </c>
      <c r="H55" s="143" t="s">
        <v>944</v>
      </c>
      <c r="I55" s="143" t="s">
        <v>285</v>
      </c>
      <c r="J55" s="143" t="s">
        <v>914</v>
      </c>
      <c r="K55" s="143" t="s">
        <v>914</v>
      </c>
      <c r="L55" s="143" t="s">
        <v>914</v>
      </c>
      <c r="M55" s="143">
        <v>830</v>
      </c>
      <c r="N55" s="143">
        <v>60</v>
      </c>
    </row>
    <row r="56" spans="1:14" x14ac:dyDescent="0.25">
      <c r="E56" s="143" t="s">
        <v>434</v>
      </c>
      <c r="F56" s="143">
        <v>0</v>
      </c>
      <c r="G56" s="143">
        <v>0</v>
      </c>
      <c r="H56" s="143">
        <v>0</v>
      </c>
    </row>
    <row r="57" spans="1:14" x14ac:dyDescent="0.25">
      <c r="E57" s="143" t="s">
        <v>433</v>
      </c>
      <c r="F57" s="143">
        <v>0</v>
      </c>
      <c r="G57" s="143">
        <v>0</v>
      </c>
      <c r="H57" s="143">
        <v>0</v>
      </c>
    </row>
    <row r="58" spans="1:14" x14ac:dyDescent="0.25">
      <c r="E58" s="143" t="s">
        <v>434</v>
      </c>
      <c r="F58" s="143" t="s">
        <v>293</v>
      </c>
      <c r="G58" s="143" t="s">
        <v>954</v>
      </c>
      <c r="H58" s="143" t="s">
        <v>947</v>
      </c>
    </row>
    <row r="59" spans="1:14" x14ac:dyDescent="0.25">
      <c r="A59" s="143" t="s">
        <v>851</v>
      </c>
      <c r="B59" s="143" t="s">
        <v>953</v>
      </c>
      <c r="C59" s="143">
        <v>40</v>
      </c>
      <c r="D59" s="143">
        <v>70</v>
      </c>
      <c r="E59" s="143" t="s">
        <v>433</v>
      </c>
      <c r="F59" s="143" t="s">
        <v>954</v>
      </c>
      <c r="G59" s="143" t="s">
        <v>944</v>
      </c>
      <c r="H59" s="143" t="s">
        <v>944</v>
      </c>
      <c r="I59" s="143" t="s">
        <v>285</v>
      </c>
      <c r="J59" s="143" t="s">
        <v>914</v>
      </c>
      <c r="K59" s="143" t="s">
        <v>914</v>
      </c>
      <c r="L59" s="143" t="s">
        <v>914</v>
      </c>
      <c r="M59" s="143">
        <v>830</v>
      </c>
      <c r="N59" s="143">
        <v>60</v>
      </c>
    </row>
    <row r="60" spans="1:14" x14ac:dyDescent="0.25">
      <c r="E60" s="143" t="s">
        <v>434</v>
      </c>
      <c r="F60" s="143">
        <v>0</v>
      </c>
      <c r="G60" s="143">
        <v>0</v>
      </c>
      <c r="H60" s="143">
        <v>0</v>
      </c>
    </row>
    <row r="61" spans="1:14" x14ac:dyDescent="0.25">
      <c r="E61" s="143" t="s">
        <v>433</v>
      </c>
      <c r="F61" s="143">
        <v>0</v>
      </c>
      <c r="G61" s="143">
        <v>0</v>
      </c>
      <c r="H61" s="143">
        <v>0</v>
      </c>
    </row>
    <row r="62" spans="1:14" x14ac:dyDescent="0.25">
      <c r="E62" s="143" t="s">
        <v>434</v>
      </c>
      <c r="F62" s="143" t="s">
        <v>293</v>
      </c>
      <c r="G62" s="143" t="s">
        <v>954</v>
      </c>
      <c r="H62" s="143" t="s">
        <v>947</v>
      </c>
    </row>
    <row r="63" spans="1:14" x14ac:dyDescent="0.25">
      <c r="A63" s="143" t="s">
        <v>851</v>
      </c>
      <c r="B63" s="143" t="s">
        <v>955</v>
      </c>
      <c r="C63" s="143">
        <v>40</v>
      </c>
      <c r="D63" s="143">
        <v>70</v>
      </c>
      <c r="E63" s="143" t="s">
        <v>433</v>
      </c>
      <c r="F63" s="143" t="s">
        <v>947</v>
      </c>
      <c r="G63" s="143" t="s">
        <v>944</v>
      </c>
      <c r="H63" s="143" t="s">
        <v>954</v>
      </c>
      <c r="I63" s="143" t="s">
        <v>285</v>
      </c>
      <c r="J63" s="143" t="s">
        <v>914</v>
      </c>
      <c r="K63" s="143" t="s">
        <v>914</v>
      </c>
      <c r="L63" s="143" t="s">
        <v>914</v>
      </c>
      <c r="M63" s="143">
        <v>830</v>
      </c>
      <c r="N63" s="143">
        <v>60</v>
      </c>
    </row>
    <row r="64" spans="1:14" x14ac:dyDescent="0.25">
      <c r="E64" s="143" t="s">
        <v>434</v>
      </c>
      <c r="F64" s="143">
        <v>0</v>
      </c>
      <c r="G64" s="143">
        <v>0</v>
      </c>
      <c r="H64" s="143">
        <v>0</v>
      </c>
    </row>
    <row r="65" spans="1:14" x14ac:dyDescent="0.25">
      <c r="E65" s="143" t="s">
        <v>433</v>
      </c>
      <c r="F65" s="143">
        <v>0</v>
      </c>
      <c r="G65" s="143">
        <v>0</v>
      </c>
      <c r="H65" s="143">
        <v>0</v>
      </c>
    </row>
    <row r="66" spans="1:14" x14ac:dyDescent="0.25">
      <c r="E66" s="143" t="s">
        <v>434</v>
      </c>
      <c r="F66" s="143" t="s">
        <v>293</v>
      </c>
      <c r="G66" s="143" t="s">
        <v>293</v>
      </c>
      <c r="H66" s="143" t="s">
        <v>293</v>
      </c>
    </row>
    <row r="67" spans="1:14" x14ac:dyDescent="0.25">
      <c r="A67" s="143" t="s">
        <v>851</v>
      </c>
      <c r="B67" s="143" t="s">
        <v>955</v>
      </c>
      <c r="C67" s="143">
        <v>40</v>
      </c>
      <c r="D67" s="143">
        <v>70</v>
      </c>
      <c r="E67" s="143" t="s">
        <v>433</v>
      </c>
      <c r="F67" s="143" t="s">
        <v>947</v>
      </c>
      <c r="G67" s="143" t="s">
        <v>944</v>
      </c>
      <c r="H67" s="143" t="s">
        <v>954</v>
      </c>
      <c r="I67" s="143" t="s">
        <v>285</v>
      </c>
      <c r="J67" s="143" t="s">
        <v>914</v>
      </c>
      <c r="K67" s="143" t="s">
        <v>914</v>
      </c>
      <c r="L67" s="143" t="s">
        <v>914</v>
      </c>
      <c r="M67" s="143">
        <v>830</v>
      </c>
      <c r="N67" s="143">
        <v>60</v>
      </c>
    </row>
    <row r="68" spans="1:14" x14ac:dyDescent="0.25">
      <c r="E68" s="143" t="s">
        <v>434</v>
      </c>
      <c r="F68" s="143">
        <v>0</v>
      </c>
      <c r="G68" s="143">
        <v>0</v>
      </c>
      <c r="H68" s="143">
        <v>0</v>
      </c>
    </row>
    <row r="69" spans="1:14" x14ac:dyDescent="0.25">
      <c r="E69" s="143" t="s">
        <v>433</v>
      </c>
      <c r="F69" s="143">
        <v>0</v>
      </c>
      <c r="G69" s="143">
        <v>0</v>
      </c>
      <c r="H69" s="143">
        <v>0</v>
      </c>
    </row>
    <row r="70" spans="1:14" x14ac:dyDescent="0.25">
      <c r="E70" s="143" t="s">
        <v>434</v>
      </c>
      <c r="F70" s="143" t="s">
        <v>293</v>
      </c>
      <c r="G70" s="143" t="s">
        <v>293</v>
      </c>
      <c r="H70" s="143" t="s">
        <v>293</v>
      </c>
    </row>
    <row r="71" spans="1:14" x14ac:dyDescent="0.25">
      <c r="A71" s="143" t="s">
        <v>851</v>
      </c>
      <c r="B71" s="143" t="s">
        <v>956</v>
      </c>
      <c r="C71" s="143">
        <v>40</v>
      </c>
      <c r="D71" s="143">
        <v>70</v>
      </c>
      <c r="E71" s="143" t="s">
        <v>433</v>
      </c>
      <c r="F71" s="143" t="s">
        <v>947</v>
      </c>
      <c r="G71" s="143" t="s">
        <v>944</v>
      </c>
      <c r="H71" s="143" t="s">
        <v>947</v>
      </c>
      <c r="I71" s="143" t="s">
        <v>285</v>
      </c>
      <c r="J71" s="143" t="s">
        <v>914</v>
      </c>
      <c r="K71" s="143" t="s">
        <v>914</v>
      </c>
      <c r="L71" s="143" t="s">
        <v>914</v>
      </c>
      <c r="M71" s="143">
        <v>830</v>
      </c>
      <c r="N71" s="143">
        <v>60</v>
      </c>
    </row>
    <row r="72" spans="1:14" x14ac:dyDescent="0.25">
      <c r="E72" s="143" t="s">
        <v>434</v>
      </c>
      <c r="F72" s="143">
        <v>0</v>
      </c>
      <c r="G72" s="143">
        <v>0</v>
      </c>
      <c r="H72" s="143">
        <v>0</v>
      </c>
    </row>
    <row r="73" spans="1:14" x14ac:dyDescent="0.25">
      <c r="E73" s="143" t="s">
        <v>433</v>
      </c>
      <c r="F73" s="143">
        <v>0</v>
      </c>
      <c r="G73" s="143">
        <v>0</v>
      </c>
      <c r="H73" s="143">
        <v>0</v>
      </c>
    </row>
    <row r="74" spans="1:14" x14ac:dyDescent="0.25">
      <c r="E74" s="143" t="s">
        <v>434</v>
      </c>
      <c r="F74" s="143" t="s">
        <v>293</v>
      </c>
      <c r="G74" s="143" t="s">
        <v>293</v>
      </c>
      <c r="H74" s="143" t="s">
        <v>293</v>
      </c>
    </row>
    <row r="75" spans="1:14" x14ac:dyDescent="0.25">
      <c r="A75" s="143" t="s">
        <v>851</v>
      </c>
      <c r="B75" s="143" t="s">
        <v>956</v>
      </c>
      <c r="C75" s="143">
        <v>40</v>
      </c>
      <c r="D75" s="143">
        <v>70</v>
      </c>
      <c r="E75" s="143" t="s">
        <v>433</v>
      </c>
      <c r="F75" s="143" t="s">
        <v>947</v>
      </c>
      <c r="G75" s="143" t="s">
        <v>944</v>
      </c>
      <c r="H75" s="143" t="s">
        <v>947</v>
      </c>
      <c r="I75" s="143" t="s">
        <v>285</v>
      </c>
      <c r="J75" s="143" t="s">
        <v>914</v>
      </c>
      <c r="K75" s="143" t="s">
        <v>914</v>
      </c>
      <c r="L75" s="143" t="s">
        <v>914</v>
      </c>
      <c r="M75" s="143">
        <v>830</v>
      </c>
      <c r="N75" s="143">
        <v>60</v>
      </c>
    </row>
    <row r="76" spans="1:14" x14ac:dyDescent="0.25">
      <c r="E76" s="143" t="s">
        <v>434</v>
      </c>
      <c r="F76" s="143">
        <v>0</v>
      </c>
      <c r="G76" s="143">
        <v>0</v>
      </c>
      <c r="H76" s="143">
        <v>0</v>
      </c>
    </row>
    <row r="77" spans="1:14" x14ac:dyDescent="0.25">
      <c r="E77" s="143" t="s">
        <v>433</v>
      </c>
      <c r="F77" s="143">
        <v>0</v>
      </c>
      <c r="G77" s="143">
        <v>0</v>
      </c>
      <c r="H77" s="143">
        <v>0</v>
      </c>
    </row>
    <row r="78" spans="1:14" x14ac:dyDescent="0.25">
      <c r="E78" s="143" t="s">
        <v>434</v>
      </c>
      <c r="F78" s="143" t="s">
        <v>293</v>
      </c>
      <c r="G78" s="143" t="s">
        <v>293</v>
      </c>
      <c r="H78" s="143" t="s">
        <v>293</v>
      </c>
    </row>
    <row r="79" spans="1:14" x14ac:dyDescent="0.25">
      <c r="A79" s="143" t="s">
        <v>851</v>
      </c>
      <c r="B79" s="143" t="s">
        <v>957</v>
      </c>
      <c r="C79" s="143">
        <v>40</v>
      </c>
      <c r="D79" s="143">
        <v>70</v>
      </c>
      <c r="E79" s="143" t="s">
        <v>433</v>
      </c>
      <c r="F79" s="143" t="s">
        <v>947</v>
      </c>
      <c r="G79" s="143" t="s">
        <v>944</v>
      </c>
      <c r="H79" s="143" t="s">
        <v>947</v>
      </c>
      <c r="I79" s="143" t="s">
        <v>285</v>
      </c>
      <c r="J79" s="143" t="s">
        <v>914</v>
      </c>
      <c r="K79" s="143" t="s">
        <v>914</v>
      </c>
      <c r="L79" s="143" t="s">
        <v>914</v>
      </c>
      <c r="M79" s="143">
        <v>830</v>
      </c>
      <c r="N79" s="143">
        <v>60</v>
      </c>
    </row>
    <row r="80" spans="1:14" x14ac:dyDescent="0.25">
      <c r="E80" s="143" t="s">
        <v>434</v>
      </c>
      <c r="F80" s="143">
        <v>0</v>
      </c>
      <c r="G80" s="143">
        <v>0</v>
      </c>
      <c r="H80" s="143">
        <v>0</v>
      </c>
    </row>
    <row r="81" spans="1:14" x14ac:dyDescent="0.25">
      <c r="E81" s="143" t="s">
        <v>433</v>
      </c>
      <c r="F81" s="143">
        <v>0</v>
      </c>
      <c r="G81" s="143">
        <v>0</v>
      </c>
      <c r="H81" s="143">
        <v>0</v>
      </c>
    </row>
    <row r="82" spans="1:14" x14ac:dyDescent="0.25">
      <c r="E82" s="143" t="s">
        <v>434</v>
      </c>
      <c r="F82" s="143" t="s">
        <v>293</v>
      </c>
      <c r="G82" s="143" t="s">
        <v>293</v>
      </c>
      <c r="H82" s="143" t="s">
        <v>293</v>
      </c>
    </row>
    <row r="83" spans="1:14" x14ac:dyDescent="0.25">
      <c r="A83" s="143" t="s">
        <v>851</v>
      </c>
      <c r="B83" s="143" t="s">
        <v>957</v>
      </c>
      <c r="C83" s="143">
        <v>40</v>
      </c>
      <c r="D83" s="143">
        <v>70</v>
      </c>
      <c r="E83" s="143" t="s">
        <v>433</v>
      </c>
      <c r="F83" s="143" t="s">
        <v>947</v>
      </c>
      <c r="G83" s="143" t="s">
        <v>944</v>
      </c>
      <c r="H83" s="143" t="s">
        <v>947</v>
      </c>
      <c r="I83" s="143" t="s">
        <v>285</v>
      </c>
      <c r="J83" s="143" t="s">
        <v>914</v>
      </c>
      <c r="K83" s="143" t="s">
        <v>914</v>
      </c>
      <c r="L83" s="143" t="s">
        <v>914</v>
      </c>
      <c r="M83" s="143">
        <v>830</v>
      </c>
      <c r="N83" s="143">
        <v>60</v>
      </c>
    </row>
    <row r="84" spans="1:14" x14ac:dyDescent="0.25">
      <c r="E84" s="143" t="s">
        <v>434</v>
      </c>
      <c r="F84" s="143">
        <v>0</v>
      </c>
      <c r="G84" s="143">
        <v>0</v>
      </c>
      <c r="H84" s="143">
        <v>0</v>
      </c>
    </row>
    <row r="85" spans="1:14" x14ac:dyDescent="0.25">
      <c r="E85" s="143" t="s">
        <v>433</v>
      </c>
      <c r="F85" s="143">
        <v>0</v>
      </c>
      <c r="G85" s="143">
        <v>0</v>
      </c>
      <c r="H85" s="143">
        <v>0</v>
      </c>
    </row>
    <row r="86" spans="1:14" x14ac:dyDescent="0.25">
      <c r="E86" s="143" t="s">
        <v>434</v>
      </c>
      <c r="F86" s="143" t="s">
        <v>293</v>
      </c>
      <c r="G86" s="143" t="s">
        <v>293</v>
      </c>
      <c r="H86" s="143" t="s">
        <v>293</v>
      </c>
    </row>
    <row r="87" spans="1:14" x14ac:dyDescent="0.25">
      <c r="A87" s="143" t="s">
        <v>851</v>
      </c>
      <c r="B87" s="143" t="s">
        <v>958</v>
      </c>
      <c r="C87" s="143">
        <v>40</v>
      </c>
      <c r="D87" s="143">
        <v>70</v>
      </c>
      <c r="E87" s="143" t="s">
        <v>433</v>
      </c>
      <c r="F87" s="143" t="s">
        <v>947</v>
      </c>
      <c r="G87" s="143" t="s">
        <v>944</v>
      </c>
      <c r="H87" s="143" t="s">
        <v>947</v>
      </c>
      <c r="I87" s="143" t="s">
        <v>285</v>
      </c>
      <c r="J87" s="143" t="s">
        <v>914</v>
      </c>
      <c r="K87" s="143" t="s">
        <v>914</v>
      </c>
      <c r="L87" s="143" t="s">
        <v>914</v>
      </c>
      <c r="M87" s="143">
        <v>830</v>
      </c>
      <c r="N87" s="143">
        <v>60</v>
      </c>
    </row>
    <row r="88" spans="1:14" x14ac:dyDescent="0.25">
      <c r="E88" s="143" t="s">
        <v>434</v>
      </c>
      <c r="F88" s="143">
        <v>0</v>
      </c>
      <c r="G88" s="143">
        <v>0</v>
      </c>
      <c r="H88" s="143">
        <v>0</v>
      </c>
    </row>
    <row r="89" spans="1:14" x14ac:dyDescent="0.25">
      <c r="E89" s="143" t="s">
        <v>433</v>
      </c>
      <c r="F89" s="143">
        <v>0</v>
      </c>
      <c r="G89" s="143">
        <v>0</v>
      </c>
      <c r="H89" s="143">
        <v>0</v>
      </c>
    </row>
    <row r="90" spans="1:14" x14ac:dyDescent="0.25">
      <c r="E90" s="143" t="s">
        <v>434</v>
      </c>
      <c r="F90" s="143" t="s">
        <v>293</v>
      </c>
      <c r="G90" s="143" t="s">
        <v>293</v>
      </c>
      <c r="H90" s="143" t="s">
        <v>293</v>
      </c>
    </row>
    <row r="91" spans="1:14" x14ac:dyDescent="0.25">
      <c r="A91" s="143" t="s">
        <v>851</v>
      </c>
      <c r="B91" s="143" t="s">
        <v>958</v>
      </c>
      <c r="C91" s="143">
        <v>40</v>
      </c>
      <c r="D91" s="143">
        <v>70</v>
      </c>
      <c r="E91" s="143" t="s">
        <v>433</v>
      </c>
      <c r="F91" s="143" t="s">
        <v>947</v>
      </c>
      <c r="G91" s="143" t="s">
        <v>944</v>
      </c>
      <c r="H91" s="143" t="s">
        <v>947</v>
      </c>
      <c r="I91" s="143" t="s">
        <v>285</v>
      </c>
      <c r="J91" s="143" t="s">
        <v>914</v>
      </c>
      <c r="K91" s="143" t="s">
        <v>914</v>
      </c>
      <c r="L91" s="143" t="s">
        <v>914</v>
      </c>
      <c r="M91" s="143">
        <v>830</v>
      </c>
      <c r="N91" s="143">
        <v>60</v>
      </c>
    </row>
    <row r="92" spans="1:14" x14ac:dyDescent="0.25">
      <c r="E92" s="143" t="s">
        <v>434</v>
      </c>
      <c r="F92" s="143">
        <v>0</v>
      </c>
      <c r="G92" s="143">
        <v>0</v>
      </c>
      <c r="H92" s="143">
        <v>0</v>
      </c>
    </row>
    <row r="93" spans="1:14" x14ac:dyDescent="0.25">
      <c r="E93" s="143" t="s">
        <v>433</v>
      </c>
      <c r="F93" s="143">
        <v>0</v>
      </c>
      <c r="G93" s="143">
        <v>0</v>
      </c>
      <c r="H93" s="143">
        <v>0</v>
      </c>
    </row>
    <row r="94" spans="1:14" x14ac:dyDescent="0.25">
      <c r="E94" s="143" t="s">
        <v>434</v>
      </c>
      <c r="F94" s="143" t="s">
        <v>293</v>
      </c>
      <c r="G94" s="143" t="s">
        <v>293</v>
      </c>
      <c r="H94" s="143" t="s">
        <v>293</v>
      </c>
    </row>
    <row r="95" spans="1:14" x14ac:dyDescent="0.25">
      <c r="A95" s="143" t="s">
        <v>851</v>
      </c>
      <c r="B95" s="143" t="s">
        <v>959</v>
      </c>
      <c r="C95" s="143">
        <v>40</v>
      </c>
      <c r="D95" s="143">
        <v>70</v>
      </c>
      <c r="E95" s="143" t="s">
        <v>433</v>
      </c>
      <c r="F95" s="143" t="s">
        <v>944</v>
      </c>
      <c r="G95" s="143" t="s">
        <v>944</v>
      </c>
      <c r="H95" s="143" t="s">
        <v>947</v>
      </c>
      <c r="I95" s="143" t="s">
        <v>285</v>
      </c>
      <c r="J95" s="143" t="s">
        <v>914</v>
      </c>
      <c r="K95" s="143" t="s">
        <v>914</v>
      </c>
      <c r="L95" s="143" t="s">
        <v>914</v>
      </c>
      <c r="M95" s="143">
        <v>830</v>
      </c>
      <c r="N95" s="143">
        <v>60</v>
      </c>
    </row>
    <row r="96" spans="1:14" x14ac:dyDescent="0.25">
      <c r="E96" s="143" t="s">
        <v>434</v>
      </c>
      <c r="F96" s="143">
        <v>0</v>
      </c>
      <c r="G96" s="143">
        <v>0</v>
      </c>
      <c r="H96" s="143">
        <v>0</v>
      </c>
    </row>
    <row r="97" spans="1:14" x14ac:dyDescent="0.25">
      <c r="E97" s="143" t="s">
        <v>433</v>
      </c>
      <c r="F97" s="143">
        <v>0</v>
      </c>
      <c r="G97" s="143">
        <v>0</v>
      </c>
      <c r="H97" s="143">
        <v>0</v>
      </c>
    </row>
    <row r="98" spans="1:14" x14ac:dyDescent="0.25">
      <c r="E98" s="143" t="s">
        <v>434</v>
      </c>
      <c r="F98" s="143" t="s">
        <v>947</v>
      </c>
      <c r="G98" s="143" t="s">
        <v>954</v>
      </c>
      <c r="H98" s="143" t="s">
        <v>293</v>
      </c>
    </row>
    <row r="99" spans="1:14" x14ac:dyDescent="0.25">
      <c r="A99" s="143" t="s">
        <v>851</v>
      </c>
      <c r="B99" s="143" t="s">
        <v>959</v>
      </c>
      <c r="C99" s="143">
        <v>40</v>
      </c>
      <c r="D99" s="143">
        <v>70</v>
      </c>
      <c r="E99" s="143" t="s">
        <v>433</v>
      </c>
      <c r="F99" s="143" t="s">
        <v>944</v>
      </c>
      <c r="G99" s="143" t="s">
        <v>944</v>
      </c>
      <c r="H99" s="143" t="s">
        <v>947</v>
      </c>
      <c r="I99" s="143" t="s">
        <v>285</v>
      </c>
      <c r="J99" s="143" t="s">
        <v>914</v>
      </c>
      <c r="K99" s="143" t="s">
        <v>914</v>
      </c>
      <c r="L99" s="143" t="s">
        <v>914</v>
      </c>
      <c r="M99" s="143">
        <v>830</v>
      </c>
      <c r="N99" s="143">
        <v>60</v>
      </c>
    </row>
    <row r="100" spans="1:14" x14ac:dyDescent="0.25">
      <c r="E100" s="143" t="s">
        <v>434</v>
      </c>
      <c r="F100" s="143">
        <v>0</v>
      </c>
      <c r="G100" s="143">
        <v>0</v>
      </c>
      <c r="H100" s="143">
        <v>0</v>
      </c>
    </row>
    <row r="101" spans="1:14" x14ac:dyDescent="0.25">
      <c r="E101" s="143" t="s">
        <v>433</v>
      </c>
      <c r="F101" s="143">
        <v>0</v>
      </c>
      <c r="G101" s="143">
        <v>0</v>
      </c>
      <c r="H101" s="143">
        <v>0</v>
      </c>
    </row>
    <row r="102" spans="1:14" x14ac:dyDescent="0.25">
      <c r="E102" s="143" t="s">
        <v>434</v>
      </c>
      <c r="F102" s="143" t="s">
        <v>947</v>
      </c>
      <c r="G102" s="143" t="s">
        <v>954</v>
      </c>
      <c r="H102" s="143" t="s">
        <v>293</v>
      </c>
    </row>
    <row r="103" spans="1:14" x14ac:dyDescent="0.25">
      <c r="A103" s="143" t="s">
        <v>851</v>
      </c>
      <c r="B103" s="143" t="s">
        <v>960</v>
      </c>
      <c r="C103" s="143">
        <v>40</v>
      </c>
      <c r="D103" s="143">
        <v>70</v>
      </c>
      <c r="E103" s="143" t="s">
        <v>433</v>
      </c>
      <c r="F103" s="143" t="s">
        <v>944</v>
      </c>
      <c r="G103" s="143" t="s">
        <v>944</v>
      </c>
      <c r="H103" s="143" t="s">
        <v>944</v>
      </c>
      <c r="I103" s="143" t="s">
        <v>285</v>
      </c>
      <c r="J103" s="143" t="s">
        <v>914</v>
      </c>
      <c r="K103" s="143" t="s">
        <v>914</v>
      </c>
      <c r="L103" s="143" t="s">
        <v>914</v>
      </c>
      <c r="M103" s="143">
        <v>830</v>
      </c>
      <c r="N103" s="143">
        <v>60</v>
      </c>
    </row>
    <row r="104" spans="1:14" x14ac:dyDescent="0.25">
      <c r="E104" s="143" t="s">
        <v>434</v>
      </c>
      <c r="F104" s="143">
        <v>0</v>
      </c>
      <c r="G104" s="143">
        <v>0</v>
      </c>
      <c r="H104" s="143">
        <v>0</v>
      </c>
    </row>
    <row r="105" spans="1:14" x14ac:dyDescent="0.25">
      <c r="E105" s="143" t="s">
        <v>433</v>
      </c>
      <c r="F105" s="143">
        <v>0</v>
      </c>
      <c r="G105" s="143" t="s">
        <v>944</v>
      </c>
      <c r="H105" s="143">
        <v>0</v>
      </c>
    </row>
    <row r="106" spans="1:14" x14ac:dyDescent="0.25">
      <c r="E106" s="143" t="s">
        <v>434</v>
      </c>
      <c r="F106" s="143" t="s">
        <v>294</v>
      </c>
      <c r="G106" s="143" t="s">
        <v>954</v>
      </c>
      <c r="H106" s="143" t="s">
        <v>294</v>
      </c>
    </row>
    <row r="107" spans="1:14" x14ac:dyDescent="0.25">
      <c r="A107" s="143" t="s">
        <v>851</v>
      </c>
      <c r="B107" s="143" t="s">
        <v>960</v>
      </c>
      <c r="C107" s="143">
        <v>40</v>
      </c>
      <c r="D107" s="143">
        <v>70</v>
      </c>
      <c r="E107" s="143" t="s">
        <v>433</v>
      </c>
      <c r="F107" s="143" t="s">
        <v>944</v>
      </c>
      <c r="G107" s="143" t="s">
        <v>944</v>
      </c>
      <c r="H107" s="143" t="s">
        <v>944</v>
      </c>
      <c r="I107" s="143" t="s">
        <v>285</v>
      </c>
      <c r="J107" s="143" t="s">
        <v>914</v>
      </c>
      <c r="K107" s="143" t="s">
        <v>914</v>
      </c>
      <c r="L107" s="143" t="s">
        <v>914</v>
      </c>
      <c r="M107" s="143">
        <v>830</v>
      </c>
      <c r="N107" s="143">
        <v>60</v>
      </c>
    </row>
    <row r="108" spans="1:14" x14ac:dyDescent="0.25">
      <c r="E108" s="143" t="s">
        <v>434</v>
      </c>
      <c r="F108" s="143">
        <v>0</v>
      </c>
      <c r="G108" s="143">
        <v>0</v>
      </c>
      <c r="H108" s="143">
        <v>0</v>
      </c>
    </row>
    <row r="109" spans="1:14" x14ac:dyDescent="0.25">
      <c r="E109" s="143" t="s">
        <v>433</v>
      </c>
      <c r="F109" s="143">
        <v>0</v>
      </c>
      <c r="G109" s="143" t="s">
        <v>944</v>
      </c>
      <c r="H109" s="143">
        <v>0</v>
      </c>
    </row>
    <row r="110" spans="1:14" x14ac:dyDescent="0.25">
      <c r="E110" s="143" t="s">
        <v>434</v>
      </c>
      <c r="F110" s="143" t="s">
        <v>294</v>
      </c>
      <c r="G110" s="143" t="s">
        <v>954</v>
      </c>
      <c r="H110" s="143" t="s">
        <v>294</v>
      </c>
    </row>
    <row r="111" spans="1:14" x14ac:dyDescent="0.25">
      <c r="A111" s="143" t="s">
        <v>851</v>
      </c>
      <c r="B111" s="143" t="s">
        <v>961</v>
      </c>
      <c r="C111" s="143">
        <v>40</v>
      </c>
      <c r="D111" s="143">
        <v>70</v>
      </c>
      <c r="E111" s="143" t="s">
        <v>433</v>
      </c>
      <c r="F111" s="143" t="s">
        <v>944</v>
      </c>
      <c r="G111" s="143" t="s">
        <v>944</v>
      </c>
      <c r="H111" s="143" t="s">
        <v>954</v>
      </c>
      <c r="I111" s="143" t="s">
        <v>285</v>
      </c>
      <c r="J111" s="143" t="s">
        <v>914</v>
      </c>
      <c r="K111" s="143" t="s">
        <v>914</v>
      </c>
      <c r="L111" s="143" t="s">
        <v>914</v>
      </c>
      <c r="M111" s="143">
        <v>830</v>
      </c>
      <c r="N111" s="143">
        <v>60</v>
      </c>
    </row>
    <row r="112" spans="1:14" x14ac:dyDescent="0.25">
      <c r="E112" s="143" t="s">
        <v>434</v>
      </c>
      <c r="F112" s="143">
        <v>0</v>
      </c>
      <c r="G112" s="143">
        <v>0</v>
      </c>
      <c r="H112" s="143">
        <v>0</v>
      </c>
    </row>
    <row r="113" spans="1:14" x14ac:dyDescent="0.25">
      <c r="E113" s="143" t="s">
        <v>433</v>
      </c>
      <c r="F113" s="143">
        <v>0</v>
      </c>
      <c r="G113" s="143">
        <v>0</v>
      </c>
      <c r="H113" s="143">
        <v>0</v>
      </c>
    </row>
    <row r="114" spans="1:14" x14ac:dyDescent="0.25">
      <c r="E114" s="143" t="s">
        <v>434</v>
      </c>
      <c r="F114" s="143" t="s">
        <v>947</v>
      </c>
      <c r="G114" s="143" t="s">
        <v>954</v>
      </c>
      <c r="H114" s="143" t="s">
        <v>293</v>
      </c>
    </row>
    <row r="115" spans="1:14" x14ac:dyDescent="0.25">
      <c r="A115" s="143" t="s">
        <v>851</v>
      </c>
      <c r="B115" s="143" t="s">
        <v>961</v>
      </c>
      <c r="C115" s="143">
        <v>40</v>
      </c>
      <c r="D115" s="143">
        <v>70</v>
      </c>
      <c r="E115" s="143" t="s">
        <v>433</v>
      </c>
      <c r="F115" s="143" t="s">
        <v>944</v>
      </c>
      <c r="G115" s="143" t="s">
        <v>944</v>
      </c>
      <c r="H115" s="143" t="s">
        <v>954</v>
      </c>
      <c r="I115" s="143" t="s">
        <v>285</v>
      </c>
      <c r="J115" s="143" t="s">
        <v>914</v>
      </c>
      <c r="K115" s="143" t="s">
        <v>914</v>
      </c>
      <c r="L115" s="143" t="s">
        <v>914</v>
      </c>
      <c r="M115" s="143">
        <v>830</v>
      </c>
      <c r="N115" s="143">
        <v>60</v>
      </c>
    </row>
    <row r="116" spans="1:14" x14ac:dyDescent="0.25">
      <c r="E116" s="143" t="s">
        <v>434</v>
      </c>
      <c r="F116" s="143">
        <v>0</v>
      </c>
      <c r="G116" s="143">
        <v>0</v>
      </c>
      <c r="H116" s="143">
        <v>0</v>
      </c>
    </row>
    <row r="117" spans="1:14" x14ac:dyDescent="0.25">
      <c r="E117" s="143" t="s">
        <v>433</v>
      </c>
      <c r="F117" s="143">
        <v>0</v>
      </c>
      <c r="G117" s="143">
        <v>0</v>
      </c>
      <c r="H117" s="143">
        <v>0</v>
      </c>
    </row>
    <row r="118" spans="1:14" x14ac:dyDescent="0.25">
      <c r="E118" s="143" t="s">
        <v>434</v>
      </c>
      <c r="F118" s="143" t="s">
        <v>947</v>
      </c>
      <c r="G118" s="143" t="s">
        <v>954</v>
      </c>
      <c r="H118" s="143" t="s">
        <v>293</v>
      </c>
    </row>
    <row r="119" spans="1:14" x14ac:dyDescent="0.25">
      <c r="A119" s="143" t="s">
        <v>851</v>
      </c>
      <c r="B119" s="143" t="s">
        <v>962</v>
      </c>
      <c r="C119" s="143">
        <v>40</v>
      </c>
      <c r="D119" s="143">
        <v>70</v>
      </c>
      <c r="E119" s="143" t="s">
        <v>433</v>
      </c>
      <c r="F119" s="143" t="s">
        <v>954</v>
      </c>
      <c r="G119" s="143" t="s">
        <v>944</v>
      </c>
      <c r="H119" s="143" t="s">
        <v>944</v>
      </c>
      <c r="I119" s="143" t="s">
        <v>285</v>
      </c>
      <c r="J119" s="143" t="s">
        <v>914</v>
      </c>
      <c r="K119" s="143" t="s">
        <v>914</v>
      </c>
      <c r="L119" s="143" t="s">
        <v>914</v>
      </c>
      <c r="M119" s="143">
        <v>830</v>
      </c>
      <c r="N119" s="143">
        <v>60</v>
      </c>
    </row>
    <row r="120" spans="1:14" x14ac:dyDescent="0.25">
      <c r="E120" s="143" t="s">
        <v>434</v>
      </c>
      <c r="F120" s="143">
        <v>0</v>
      </c>
      <c r="G120" s="143">
        <v>0</v>
      </c>
      <c r="H120" s="143">
        <v>0</v>
      </c>
    </row>
    <row r="121" spans="1:14" x14ac:dyDescent="0.25">
      <c r="E121" s="143" t="s">
        <v>433</v>
      </c>
      <c r="F121" s="143">
        <v>0</v>
      </c>
      <c r="G121" s="143">
        <v>0</v>
      </c>
      <c r="H121" s="143">
        <v>0</v>
      </c>
    </row>
    <row r="122" spans="1:14" x14ac:dyDescent="0.25">
      <c r="E122" s="143" t="s">
        <v>434</v>
      </c>
      <c r="F122" s="143" t="s">
        <v>293</v>
      </c>
      <c r="G122" s="143" t="s">
        <v>954</v>
      </c>
      <c r="H122" s="143" t="s">
        <v>947</v>
      </c>
    </row>
    <row r="123" spans="1:14" x14ac:dyDescent="0.25">
      <c r="A123" s="143" t="s">
        <v>851</v>
      </c>
      <c r="B123" s="143" t="s">
        <v>962</v>
      </c>
      <c r="C123" s="143">
        <v>40</v>
      </c>
      <c r="D123" s="143">
        <v>70</v>
      </c>
      <c r="E123" s="143" t="s">
        <v>433</v>
      </c>
      <c r="F123" s="143" t="s">
        <v>954</v>
      </c>
      <c r="G123" s="143" t="s">
        <v>944</v>
      </c>
      <c r="H123" s="143" t="s">
        <v>944</v>
      </c>
      <c r="I123" s="143" t="s">
        <v>285</v>
      </c>
      <c r="J123" s="143" t="s">
        <v>914</v>
      </c>
      <c r="K123" s="143" t="s">
        <v>914</v>
      </c>
      <c r="L123" s="143" t="s">
        <v>914</v>
      </c>
      <c r="M123" s="143">
        <v>830</v>
      </c>
      <c r="N123" s="143">
        <v>60</v>
      </c>
    </row>
    <row r="124" spans="1:14" x14ac:dyDescent="0.25">
      <c r="E124" s="143" t="s">
        <v>434</v>
      </c>
      <c r="F124" s="143">
        <v>0</v>
      </c>
      <c r="G124" s="143">
        <v>0</v>
      </c>
      <c r="H124" s="143">
        <v>0</v>
      </c>
    </row>
    <row r="125" spans="1:14" x14ac:dyDescent="0.25">
      <c r="E125" s="143" t="s">
        <v>433</v>
      </c>
      <c r="F125" s="143">
        <v>0</v>
      </c>
      <c r="G125" s="143">
        <v>0</v>
      </c>
      <c r="H125" s="143">
        <v>0</v>
      </c>
    </row>
    <row r="126" spans="1:14" x14ac:dyDescent="0.25">
      <c r="E126" s="143" t="s">
        <v>434</v>
      </c>
      <c r="F126" s="143" t="s">
        <v>293</v>
      </c>
      <c r="G126" s="143" t="s">
        <v>954</v>
      </c>
      <c r="H126" s="143" t="s">
        <v>947</v>
      </c>
    </row>
    <row r="127" spans="1:14" x14ac:dyDescent="0.25">
      <c r="A127" s="143" t="s">
        <v>851</v>
      </c>
      <c r="B127" s="143" t="s">
        <v>963</v>
      </c>
      <c r="C127" s="143">
        <v>40</v>
      </c>
      <c r="D127" s="143">
        <v>70</v>
      </c>
      <c r="E127" s="143" t="s">
        <v>433</v>
      </c>
      <c r="F127" s="143" t="s">
        <v>944</v>
      </c>
      <c r="G127" s="143" t="s">
        <v>944</v>
      </c>
      <c r="H127" s="143" t="s">
        <v>944</v>
      </c>
      <c r="I127" s="143" t="s">
        <v>285</v>
      </c>
      <c r="J127" s="143" t="s">
        <v>914</v>
      </c>
      <c r="K127" s="143" t="s">
        <v>914</v>
      </c>
      <c r="L127" s="143" t="s">
        <v>914</v>
      </c>
      <c r="M127" s="143">
        <v>830</v>
      </c>
      <c r="N127" s="143">
        <v>0</v>
      </c>
    </row>
    <row r="128" spans="1:14" x14ac:dyDescent="0.25">
      <c r="E128" s="143" t="s">
        <v>434</v>
      </c>
      <c r="F128" s="143">
        <v>0</v>
      </c>
      <c r="G128" s="143">
        <v>0</v>
      </c>
      <c r="H128" s="143">
        <v>0</v>
      </c>
    </row>
    <row r="129" spans="1:14" x14ac:dyDescent="0.25">
      <c r="E129" s="143" t="s">
        <v>433</v>
      </c>
      <c r="F129" s="143">
        <v>0</v>
      </c>
      <c r="G129" s="143">
        <v>0</v>
      </c>
      <c r="H129" s="143">
        <v>0</v>
      </c>
    </row>
    <row r="130" spans="1:14" x14ac:dyDescent="0.25">
      <c r="E130" s="143" t="s">
        <v>434</v>
      </c>
      <c r="F130" s="143" t="s">
        <v>954</v>
      </c>
      <c r="G130" s="143" t="s">
        <v>294</v>
      </c>
      <c r="H130" s="143" t="s">
        <v>954</v>
      </c>
    </row>
    <row r="131" spans="1:14" x14ac:dyDescent="0.25">
      <c r="A131" s="143" t="s">
        <v>851</v>
      </c>
      <c r="B131" s="143" t="s">
        <v>963</v>
      </c>
      <c r="C131" s="143">
        <v>40</v>
      </c>
      <c r="D131" s="143">
        <v>70</v>
      </c>
      <c r="E131" s="143" t="s">
        <v>433</v>
      </c>
      <c r="F131" s="143" t="s">
        <v>944</v>
      </c>
      <c r="G131" s="143" t="s">
        <v>944</v>
      </c>
      <c r="H131" s="143" t="s">
        <v>944</v>
      </c>
      <c r="I131" s="143" t="s">
        <v>285</v>
      </c>
      <c r="J131" s="143" t="s">
        <v>914</v>
      </c>
      <c r="K131" s="143" t="s">
        <v>914</v>
      </c>
      <c r="L131" s="143" t="s">
        <v>914</v>
      </c>
      <c r="M131" s="143">
        <v>830</v>
      </c>
      <c r="N131" s="143">
        <v>0</v>
      </c>
    </row>
    <row r="132" spans="1:14" x14ac:dyDescent="0.25">
      <c r="E132" s="143" t="s">
        <v>434</v>
      </c>
      <c r="F132" s="143">
        <v>0</v>
      </c>
      <c r="G132" s="143">
        <v>0</v>
      </c>
      <c r="H132" s="143">
        <v>0</v>
      </c>
    </row>
    <row r="133" spans="1:14" x14ac:dyDescent="0.25">
      <c r="E133" s="143" t="s">
        <v>433</v>
      </c>
      <c r="F133" s="143">
        <v>0</v>
      </c>
      <c r="G133" s="143">
        <v>0</v>
      </c>
      <c r="H133" s="143">
        <v>0</v>
      </c>
    </row>
    <row r="134" spans="1:14" x14ac:dyDescent="0.25">
      <c r="E134" s="143" t="s">
        <v>434</v>
      </c>
      <c r="F134" s="143" t="s">
        <v>954</v>
      </c>
      <c r="G134" s="143" t="s">
        <v>294</v>
      </c>
      <c r="H134" s="143" t="s">
        <v>954</v>
      </c>
    </row>
    <row r="135" spans="1:14" x14ac:dyDescent="0.25">
      <c r="A135" s="143" t="s">
        <v>851</v>
      </c>
      <c r="B135" s="143" t="s">
        <v>963</v>
      </c>
      <c r="C135" s="143">
        <v>40</v>
      </c>
      <c r="D135" s="143">
        <v>70</v>
      </c>
      <c r="E135" s="143" t="s">
        <v>433</v>
      </c>
      <c r="F135" s="143" t="s">
        <v>944</v>
      </c>
      <c r="G135" s="143" t="s">
        <v>944</v>
      </c>
      <c r="H135" s="143" t="s">
        <v>944</v>
      </c>
      <c r="I135" s="143" t="s">
        <v>285</v>
      </c>
      <c r="J135" s="143" t="s">
        <v>914</v>
      </c>
      <c r="K135" s="143" t="s">
        <v>914</v>
      </c>
      <c r="L135" s="143" t="s">
        <v>914</v>
      </c>
      <c r="M135" s="143">
        <v>830</v>
      </c>
      <c r="N135" s="143">
        <v>60</v>
      </c>
    </row>
    <row r="136" spans="1:14" x14ac:dyDescent="0.25">
      <c r="E136" s="143" t="s">
        <v>434</v>
      </c>
      <c r="F136" s="143">
        <v>0</v>
      </c>
      <c r="G136" s="143">
        <v>0</v>
      </c>
      <c r="H136" s="143">
        <v>0</v>
      </c>
    </row>
    <row r="137" spans="1:14" x14ac:dyDescent="0.25">
      <c r="E137" s="143" t="s">
        <v>433</v>
      </c>
      <c r="F137" s="143">
        <v>0</v>
      </c>
      <c r="G137" s="143">
        <v>0</v>
      </c>
      <c r="H137" s="143">
        <v>0</v>
      </c>
    </row>
    <row r="138" spans="1:14" x14ac:dyDescent="0.25">
      <c r="E138" s="143" t="s">
        <v>434</v>
      </c>
      <c r="F138" s="143" t="s">
        <v>954</v>
      </c>
      <c r="G138" s="143" t="s">
        <v>294</v>
      </c>
      <c r="H138" s="143" t="s">
        <v>954</v>
      </c>
    </row>
    <row r="139" spans="1:14" x14ac:dyDescent="0.25">
      <c r="A139" s="143" t="s">
        <v>851</v>
      </c>
      <c r="B139" s="143" t="s">
        <v>964</v>
      </c>
      <c r="C139" s="143">
        <v>40</v>
      </c>
      <c r="D139" s="143">
        <v>70</v>
      </c>
      <c r="E139" s="143" t="s">
        <v>433</v>
      </c>
      <c r="F139" s="143" t="s">
        <v>944</v>
      </c>
      <c r="G139" s="143" t="s">
        <v>944</v>
      </c>
      <c r="H139" s="143" t="s">
        <v>944</v>
      </c>
      <c r="I139" s="143" t="s">
        <v>285</v>
      </c>
      <c r="J139" s="143" t="s">
        <v>914</v>
      </c>
      <c r="K139" s="143" t="s">
        <v>914</v>
      </c>
      <c r="L139" s="143" t="s">
        <v>914</v>
      </c>
      <c r="M139" s="143">
        <v>830</v>
      </c>
      <c r="N139" s="143">
        <v>60</v>
      </c>
    </row>
    <row r="140" spans="1:14" x14ac:dyDescent="0.25">
      <c r="E140" s="143" t="s">
        <v>434</v>
      </c>
      <c r="F140" s="143">
        <v>0</v>
      </c>
      <c r="G140" s="143">
        <v>0</v>
      </c>
      <c r="H140" s="143">
        <v>0</v>
      </c>
    </row>
    <row r="141" spans="1:14" x14ac:dyDescent="0.25">
      <c r="E141" s="143" t="s">
        <v>433</v>
      </c>
      <c r="F141" s="143" t="s">
        <v>293</v>
      </c>
      <c r="G141" s="143" t="s">
        <v>954</v>
      </c>
      <c r="H141" s="143" t="s">
        <v>944</v>
      </c>
    </row>
    <row r="142" spans="1:14" x14ac:dyDescent="0.25">
      <c r="E142" s="143" t="s">
        <v>434</v>
      </c>
      <c r="F142" s="143" t="s">
        <v>294</v>
      </c>
      <c r="G142" s="143" t="s">
        <v>294</v>
      </c>
      <c r="H142" s="143" t="s">
        <v>294</v>
      </c>
    </row>
    <row r="143" spans="1:14" x14ac:dyDescent="0.25">
      <c r="A143" s="143" t="s">
        <v>851</v>
      </c>
      <c r="B143" s="143" t="s">
        <v>965</v>
      </c>
      <c r="C143" s="143">
        <v>40</v>
      </c>
      <c r="D143" s="143">
        <v>70</v>
      </c>
      <c r="E143" s="143" t="s">
        <v>433</v>
      </c>
      <c r="F143" s="143" t="s">
        <v>944</v>
      </c>
      <c r="G143" s="143" t="s">
        <v>944</v>
      </c>
      <c r="H143" s="143" t="s">
        <v>944</v>
      </c>
      <c r="I143" s="143" t="s">
        <v>285</v>
      </c>
      <c r="J143" s="143" t="s">
        <v>914</v>
      </c>
      <c r="K143" s="143" t="s">
        <v>914</v>
      </c>
      <c r="L143" s="143" t="s">
        <v>914</v>
      </c>
      <c r="M143" s="143">
        <v>563</v>
      </c>
      <c r="N143" s="143">
        <v>50</v>
      </c>
    </row>
    <row r="144" spans="1:14" x14ac:dyDescent="0.25">
      <c r="E144" s="143" t="s">
        <v>434</v>
      </c>
      <c r="F144" s="143">
        <v>0</v>
      </c>
      <c r="G144" s="143">
        <v>0</v>
      </c>
      <c r="H144" s="143">
        <v>0</v>
      </c>
    </row>
    <row r="145" spans="1:14" x14ac:dyDescent="0.25">
      <c r="E145" s="143" t="s">
        <v>433</v>
      </c>
      <c r="F145" s="143">
        <v>0</v>
      </c>
      <c r="G145" s="143">
        <v>0</v>
      </c>
      <c r="H145" s="143">
        <v>0</v>
      </c>
    </row>
    <row r="146" spans="1:14" x14ac:dyDescent="0.25">
      <c r="E146" s="143" t="s">
        <v>434</v>
      </c>
      <c r="F146" s="143" t="s">
        <v>293</v>
      </c>
      <c r="G146" s="143" t="s">
        <v>293</v>
      </c>
      <c r="H146" s="143" t="s">
        <v>293</v>
      </c>
    </row>
    <row r="147" spans="1:14" x14ac:dyDescent="0.25">
      <c r="A147" s="143" t="s">
        <v>851</v>
      </c>
      <c r="B147" s="143" t="s">
        <v>966</v>
      </c>
      <c r="C147" s="143">
        <v>40</v>
      </c>
      <c r="D147" s="143">
        <v>70</v>
      </c>
      <c r="E147" s="143" t="s">
        <v>433</v>
      </c>
      <c r="F147" s="143" t="s">
        <v>944</v>
      </c>
      <c r="G147" s="143" t="s">
        <v>944</v>
      </c>
      <c r="H147" s="143" t="s">
        <v>944</v>
      </c>
      <c r="I147" s="143" t="s">
        <v>285</v>
      </c>
      <c r="J147" s="143" t="s">
        <v>914</v>
      </c>
      <c r="K147" s="143" t="s">
        <v>914</v>
      </c>
      <c r="L147" s="143" t="s">
        <v>914</v>
      </c>
      <c r="M147" s="143">
        <v>538</v>
      </c>
      <c r="N147" s="143">
        <v>50</v>
      </c>
    </row>
    <row r="148" spans="1:14" x14ac:dyDescent="0.25">
      <c r="E148" s="143" t="s">
        <v>434</v>
      </c>
      <c r="F148" s="143">
        <v>0</v>
      </c>
      <c r="G148" s="143">
        <v>0</v>
      </c>
      <c r="H148" s="143">
        <v>0</v>
      </c>
    </row>
    <row r="149" spans="1:14" x14ac:dyDescent="0.25">
      <c r="E149" s="143" t="s">
        <v>433</v>
      </c>
      <c r="F149" s="143">
        <v>0</v>
      </c>
      <c r="G149" s="143">
        <v>0</v>
      </c>
      <c r="H149" s="143">
        <v>0</v>
      </c>
    </row>
    <row r="150" spans="1:14" x14ac:dyDescent="0.25">
      <c r="E150" s="143" t="s">
        <v>434</v>
      </c>
      <c r="F150" s="143" t="s">
        <v>293</v>
      </c>
      <c r="G150" s="143" t="s">
        <v>293</v>
      </c>
      <c r="H150" s="143" t="s">
        <v>293</v>
      </c>
    </row>
    <row r="151" spans="1:14" x14ac:dyDescent="0.25">
      <c r="A151" s="143" t="s">
        <v>858</v>
      </c>
      <c r="B151" s="143" t="s">
        <v>952</v>
      </c>
      <c r="C151" s="143">
        <v>40</v>
      </c>
      <c r="D151" s="143">
        <v>65</v>
      </c>
      <c r="E151" s="143" t="s">
        <v>433</v>
      </c>
      <c r="F151" s="143" t="s">
        <v>944</v>
      </c>
      <c r="G151" s="143" t="s">
        <v>293</v>
      </c>
      <c r="H151" s="143" t="s">
        <v>294</v>
      </c>
      <c r="I151" s="143" t="s">
        <v>285</v>
      </c>
      <c r="J151" s="143" t="s">
        <v>914</v>
      </c>
      <c r="K151" s="143" t="s">
        <v>914</v>
      </c>
      <c r="L151" s="143" t="s">
        <v>914</v>
      </c>
      <c r="M151" s="143">
        <v>830</v>
      </c>
      <c r="N151" s="143">
        <v>60</v>
      </c>
    </row>
    <row r="152" spans="1:14" x14ac:dyDescent="0.25">
      <c r="E152" s="143" t="s">
        <v>434</v>
      </c>
      <c r="F152" s="143">
        <v>0</v>
      </c>
      <c r="G152" s="143">
        <v>0</v>
      </c>
      <c r="H152" s="143" t="s">
        <v>944</v>
      </c>
    </row>
    <row r="153" spans="1:14" x14ac:dyDescent="0.25">
      <c r="E153" s="143" t="s">
        <v>433</v>
      </c>
      <c r="F153" s="143">
        <v>0</v>
      </c>
      <c r="G153" s="143">
        <v>0</v>
      </c>
      <c r="H153" s="143">
        <v>0</v>
      </c>
    </row>
    <row r="154" spans="1:14" x14ac:dyDescent="0.25">
      <c r="E154" s="143" t="s">
        <v>434</v>
      </c>
      <c r="F154" s="143" t="s">
        <v>947</v>
      </c>
      <c r="G154" s="143" t="s">
        <v>947</v>
      </c>
      <c r="H154" s="143" t="s">
        <v>293</v>
      </c>
    </row>
    <row r="155" spans="1:14" x14ac:dyDescent="0.25">
      <c r="A155" s="143" t="s">
        <v>858</v>
      </c>
      <c r="B155" s="143" t="s">
        <v>959</v>
      </c>
      <c r="C155" s="143">
        <v>40</v>
      </c>
      <c r="D155" s="143">
        <v>65</v>
      </c>
      <c r="E155" s="143" t="s">
        <v>433</v>
      </c>
      <c r="F155" s="143" t="s">
        <v>944</v>
      </c>
      <c r="G155" s="143" t="s">
        <v>293</v>
      </c>
      <c r="H155" s="143" t="s">
        <v>967</v>
      </c>
      <c r="I155" s="143" t="s">
        <v>285</v>
      </c>
      <c r="J155" s="143" t="s">
        <v>914</v>
      </c>
      <c r="K155" s="143" t="s">
        <v>914</v>
      </c>
      <c r="L155" s="143" t="s">
        <v>914</v>
      </c>
      <c r="M155" s="143">
        <v>830</v>
      </c>
      <c r="N155" s="143">
        <v>60</v>
      </c>
    </row>
    <row r="156" spans="1:14" x14ac:dyDescent="0.25">
      <c r="E156" s="143" t="s">
        <v>434</v>
      </c>
      <c r="F156" s="143">
        <v>0</v>
      </c>
      <c r="G156" s="143">
        <v>0</v>
      </c>
      <c r="H156" s="143">
        <v>0</v>
      </c>
    </row>
    <row r="157" spans="1:14" x14ac:dyDescent="0.25">
      <c r="E157" s="143" t="s">
        <v>433</v>
      </c>
      <c r="F157" s="143">
        <v>0</v>
      </c>
      <c r="G157" s="143">
        <v>0</v>
      </c>
      <c r="H157" s="143">
        <v>0</v>
      </c>
    </row>
    <row r="158" spans="1:14" x14ac:dyDescent="0.25">
      <c r="E158" s="143" t="s">
        <v>434</v>
      </c>
      <c r="F158" s="143" t="s">
        <v>293</v>
      </c>
      <c r="G158" s="143" t="s">
        <v>293</v>
      </c>
      <c r="H158" s="143" t="s">
        <v>293</v>
      </c>
    </row>
    <row r="159" spans="1:14" x14ac:dyDescent="0.25">
      <c r="A159" s="143" t="s">
        <v>858</v>
      </c>
      <c r="B159" s="143" t="s">
        <v>952</v>
      </c>
      <c r="C159" s="143">
        <v>40</v>
      </c>
      <c r="D159" s="143">
        <v>65</v>
      </c>
      <c r="E159" s="143" t="s">
        <v>433</v>
      </c>
      <c r="F159" s="143" t="s">
        <v>944</v>
      </c>
      <c r="G159" s="143" t="s">
        <v>293</v>
      </c>
      <c r="H159" s="143" t="s">
        <v>294</v>
      </c>
      <c r="I159" s="143" t="s">
        <v>285</v>
      </c>
      <c r="J159" s="143" t="s">
        <v>914</v>
      </c>
      <c r="K159" s="143" t="s">
        <v>914</v>
      </c>
      <c r="L159" s="143" t="s">
        <v>914</v>
      </c>
      <c r="M159" s="143">
        <v>830</v>
      </c>
      <c r="N159" s="143">
        <v>60</v>
      </c>
    </row>
    <row r="160" spans="1:14" x14ac:dyDescent="0.25">
      <c r="E160" s="143" t="s">
        <v>434</v>
      </c>
      <c r="F160" s="143">
        <v>0</v>
      </c>
      <c r="G160" s="143">
        <v>0</v>
      </c>
      <c r="H160" s="143" t="s">
        <v>944</v>
      </c>
    </row>
    <row r="161" spans="1:14" x14ac:dyDescent="0.25">
      <c r="E161" s="143" t="s">
        <v>433</v>
      </c>
      <c r="F161" s="143">
        <v>0</v>
      </c>
      <c r="G161" s="143">
        <v>0</v>
      </c>
      <c r="H161" s="143">
        <v>0</v>
      </c>
    </row>
    <row r="162" spans="1:14" x14ac:dyDescent="0.25">
      <c r="E162" s="143" t="s">
        <v>434</v>
      </c>
      <c r="F162" s="143" t="s">
        <v>947</v>
      </c>
      <c r="G162" s="143" t="s">
        <v>947</v>
      </c>
      <c r="H162" s="143" t="s">
        <v>293</v>
      </c>
    </row>
    <row r="163" spans="1:14" x14ac:dyDescent="0.25">
      <c r="A163" s="143" t="s">
        <v>858</v>
      </c>
      <c r="B163" s="143" t="s">
        <v>959</v>
      </c>
      <c r="C163" s="143">
        <v>40</v>
      </c>
      <c r="D163" s="143">
        <v>65</v>
      </c>
      <c r="E163" s="143" t="s">
        <v>433</v>
      </c>
      <c r="F163" s="143" t="s">
        <v>944</v>
      </c>
      <c r="G163" s="143" t="s">
        <v>293</v>
      </c>
      <c r="H163" s="143" t="s">
        <v>967</v>
      </c>
      <c r="I163" s="143" t="s">
        <v>285</v>
      </c>
      <c r="J163" s="143" t="s">
        <v>914</v>
      </c>
      <c r="K163" s="143" t="s">
        <v>914</v>
      </c>
      <c r="L163" s="143" t="s">
        <v>914</v>
      </c>
      <c r="M163" s="143">
        <v>830</v>
      </c>
      <c r="N163" s="143">
        <v>60</v>
      </c>
    </row>
    <row r="164" spans="1:14" x14ac:dyDescent="0.25">
      <c r="E164" s="143" t="s">
        <v>434</v>
      </c>
      <c r="F164" s="143">
        <v>0</v>
      </c>
      <c r="G164" s="143">
        <v>0</v>
      </c>
      <c r="H164" s="143">
        <v>0</v>
      </c>
    </row>
    <row r="165" spans="1:14" x14ac:dyDescent="0.25">
      <c r="E165" s="143" t="s">
        <v>433</v>
      </c>
      <c r="F165" s="143">
        <v>0</v>
      </c>
      <c r="G165" s="143">
        <v>0</v>
      </c>
      <c r="H165" s="143">
        <v>0</v>
      </c>
    </row>
    <row r="166" spans="1:14" x14ac:dyDescent="0.25">
      <c r="E166" s="143" t="s">
        <v>434</v>
      </c>
      <c r="F166" s="143" t="s">
        <v>293</v>
      </c>
      <c r="G166" s="143" t="s">
        <v>293</v>
      </c>
      <c r="H166" s="143" t="s">
        <v>293</v>
      </c>
    </row>
    <row r="167" spans="1:14" x14ac:dyDescent="0.25">
      <c r="A167" s="143" t="s">
        <v>858</v>
      </c>
      <c r="B167" s="143" t="s">
        <v>952</v>
      </c>
      <c r="C167" s="143">
        <v>40</v>
      </c>
      <c r="D167" s="143">
        <v>65</v>
      </c>
      <c r="E167" s="143" t="s">
        <v>433</v>
      </c>
      <c r="F167" s="143" t="s">
        <v>944</v>
      </c>
      <c r="G167" s="143" t="s">
        <v>293</v>
      </c>
      <c r="H167" s="143" t="s">
        <v>294</v>
      </c>
      <c r="I167" s="143" t="s">
        <v>285</v>
      </c>
      <c r="J167" s="143" t="s">
        <v>914</v>
      </c>
      <c r="K167" s="143" t="s">
        <v>914</v>
      </c>
      <c r="L167" s="143" t="s">
        <v>914</v>
      </c>
      <c r="M167" s="143">
        <v>830</v>
      </c>
      <c r="N167" s="143">
        <v>60</v>
      </c>
    </row>
    <row r="168" spans="1:14" x14ac:dyDescent="0.25">
      <c r="E168" s="143" t="s">
        <v>434</v>
      </c>
      <c r="F168" s="143">
        <v>0</v>
      </c>
      <c r="G168" s="143">
        <v>0</v>
      </c>
      <c r="H168" s="143" t="s">
        <v>944</v>
      </c>
    </row>
    <row r="169" spans="1:14" x14ac:dyDescent="0.25">
      <c r="E169" s="143" t="s">
        <v>433</v>
      </c>
      <c r="F169" s="143">
        <v>0</v>
      </c>
      <c r="G169" s="143">
        <v>0</v>
      </c>
      <c r="H169" s="143">
        <v>0</v>
      </c>
    </row>
    <row r="170" spans="1:14" x14ac:dyDescent="0.25">
      <c r="E170" s="143" t="s">
        <v>434</v>
      </c>
      <c r="F170" s="143" t="s">
        <v>947</v>
      </c>
      <c r="G170" s="143" t="s">
        <v>947</v>
      </c>
      <c r="H170" s="143" t="s">
        <v>293</v>
      </c>
    </row>
    <row r="171" spans="1:14" x14ac:dyDescent="0.25">
      <c r="A171" s="143" t="s">
        <v>858</v>
      </c>
      <c r="B171" s="143" t="s">
        <v>952</v>
      </c>
      <c r="C171" s="143">
        <v>40</v>
      </c>
      <c r="D171" s="143">
        <v>65</v>
      </c>
      <c r="E171" s="143" t="s">
        <v>433</v>
      </c>
      <c r="F171" s="143" t="s">
        <v>944</v>
      </c>
      <c r="G171" s="143" t="s">
        <v>293</v>
      </c>
      <c r="H171" s="143" t="s">
        <v>294</v>
      </c>
      <c r="I171" s="143" t="s">
        <v>285</v>
      </c>
      <c r="J171" s="143" t="s">
        <v>914</v>
      </c>
      <c r="K171" s="143" t="s">
        <v>914</v>
      </c>
      <c r="L171" s="143" t="s">
        <v>914</v>
      </c>
      <c r="M171" s="143">
        <v>830</v>
      </c>
      <c r="N171" s="143">
        <v>60</v>
      </c>
    </row>
    <row r="172" spans="1:14" x14ac:dyDescent="0.25">
      <c r="E172" s="143" t="s">
        <v>434</v>
      </c>
      <c r="F172" s="143">
        <v>0</v>
      </c>
      <c r="G172" s="143">
        <v>0</v>
      </c>
      <c r="H172" s="143" t="s">
        <v>944</v>
      </c>
    </row>
    <row r="173" spans="1:14" x14ac:dyDescent="0.25">
      <c r="E173" s="143" t="s">
        <v>433</v>
      </c>
      <c r="F173" s="143">
        <v>0</v>
      </c>
      <c r="G173" s="143">
        <v>0</v>
      </c>
      <c r="H173" s="143">
        <v>0</v>
      </c>
    </row>
    <row r="174" spans="1:14" x14ac:dyDescent="0.25">
      <c r="E174" s="143" t="s">
        <v>434</v>
      </c>
      <c r="F174" s="143" t="s">
        <v>947</v>
      </c>
      <c r="G174" s="143" t="s">
        <v>947</v>
      </c>
      <c r="H174" s="143" t="s">
        <v>293</v>
      </c>
    </row>
    <row r="175" spans="1:14" x14ac:dyDescent="0.25">
      <c r="A175" s="143" t="s">
        <v>858</v>
      </c>
      <c r="B175" s="143" t="s">
        <v>968</v>
      </c>
      <c r="C175" s="143">
        <v>40</v>
      </c>
      <c r="D175" s="143">
        <v>65</v>
      </c>
      <c r="E175" s="143" t="s">
        <v>433</v>
      </c>
      <c r="F175" s="143" t="s">
        <v>944</v>
      </c>
      <c r="G175" s="143" t="s">
        <v>293</v>
      </c>
      <c r="H175" s="143" t="s">
        <v>954</v>
      </c>
      <c r="I175" s="143" t="s">
        <v>285</v>
      </c>
      <c r="J175" s="143" t="s">
        <v>914</v>
      </c>
      <c r="K175" s="143" t="s">
        <v>914</v>
      </c>
      <c r="L175" s="143" t="s">
        <v>914</v>
      </c>
      <c r="M175" s="143">
        <v>830</v>
      </c>
      <c r="N175" s="143">
        <v>50</v>
      </c>
    </row>
    <row r="176" spans="1:14" x14ac:dyDescent="0.25">
      <c r="E176" s="143" t="s">
        <v>434</v>
      </c>
      <c r="F176" s="143">
        <v>0</v>
      </c>
      <c r="G176" s="143">
        <v>0</v>
      </c>
      <c r="H176" s="143">
        <v>0</v>
      </c>
    </row>
    <row r="177" spans="1:14" x14ac:dyDescent="0.25">
      <c r="E177" s="143" t="s">
        <v>433</v>
      </c>
      <c r="F177" s="143">
        <v>0</v>
      </c>
      <c r="G177" s="143">
        <v>0</v>
      </c>
      <c r="H177" s="143">
        <v>0</v>
      </c>
    </row>
    <row r="178" spans="1:14" x14ac:dyDescent="0.25">
      <c r="E178" s="143" t="s">
        <v>434</v>
      </c>
      <c r="F178" s="143" t="s">
        <v>954</v>
      </c>
      <c r="G178" s="143" t="s">
        <v>954</v>
      </c>
      <c r="H178" s="143" t="s">
        <v>293</v>
      </c>
    </row>
    <row r="179" spans="1:14" x14ac:dyDescent="0.25">
      <c r="A179" s="143" t="s">
        <v>858</v>
      </c>
      <c r="B179" s="143" t="s">
        <v>969</v>
      </c>
      <c r="C179" s="143">
        <v>40</v>
      </c>
      <c r="D179" s="143">
        <v>65</v>
      </c>
      <c r="E179" s="143" t="s">
        <v>433</v>
      </c>
      <c r="F179" s="143" t="s">
        <v>954</v>
      </c>
      <c r="G179" s="143" t="s">
        <v>293</v>
      </c>
      <c r="H179" s="143" t="s">
        <v>954</v>
      </c>
      <c r="I179" s="143" t="s">
        <v>285</v>
      </c>
      <c r="J179" s="143" t="s">
        <v>914</v>
      </c>
      <c r="K179" s="143" t="s">
        <v>914</v>
      </c>
      <c r="L179" s="143" t="s">
        <v>914</v>
      </c>
      <c r="M179" s="143">
        <v>830</v>
      </c>
      <c r="N179" s="143">
        <v>50</v>
      </c>
    </row>
    <row r="180" spans="1:14" x14ac:dyDescent="0.25">
      <c r="E180" s="143" t="s">
        <v>434</v>
      </c>
      <c r="F180" s="143">
        <v>0</v>
      </c>
      <c r="G180" s="143">
        <v>0</v>
      </c>
      <c r="H180" s="143">
        <v>0</v>
      </c>
    </row>
    <row r="181" spans="1:14" x14ac:dyDescent="0.25">
      <c r="E181" s="143" t="s">
        <v>433</v>
      </c>
      <c r="F181" s="143">
        <v>0</v>
      </c>
      <c r="G181" s="143">
        <v>0</v>
      </c>
      <c r="H181" s="143">
        <v>0</v>
      </c>
    </row>
    <row r="182" spans="1:14" x14ac:dyDescent="0.25">
      <c r="E182" s="143" t="s">
        <v>434</v>
      </c>
      <c r="F182" s="143" t="s">
        <v>293</v>
      </c>
      <c r="G182" s="143" t="s">
        <v>947</v>
      </c>
      <c r="H182" s="143" t="s">
        <v>293</v>
      </c>
    </row>
    <row r="183" spans="1:14" x14ac:dyDescent="0.25">
      <c r="A183" s="143" t="s">
        <v>858</v>
      </c>
      <c r="B183" s="143" t="s">
        <v>970</v>
      </c>
      <c r="C183" s="143">
        <v>40</v>
      </c>
      <c r="D183" s="143">
        <v>65</v>
      </c>
      <c r="E183" s="143" t="s">
        <v>433</v>
      </c>
      <c r="F183" s="143" t="s">
        <v>954</v>
      </c>
      <c r="G183" s="143" t="s">
        <v>293</v>
      </c>
      <c r="H183" s="143" t="s">
        <v>954</v>
      </c>
      <c r="I183" s="143" t="s">
        <v>285</v>
      </c>
      <c r="J183" s="143" t="s">
        <v>914</v>
      </c>
      <c r="K183" s="143" t="s">
        <v>914</v>
      </c>
      <c r="L183" s="143" t="s">
        <v>914</v>
      </c>
      <c r="M183" s="143">
        <v>830</v>
      </c>
      <c r="N183" s="143">
        <v>50</v>
      </c>
    </row>
    <row r="184" spans="1:14" x14ac:dyDescent="0.25">
      <c r="E184" s="143" t="s">
        <v>434</v>
      </c>
      <c r="F184" s="143">
        <v>0</v>
      </c>
      <c r="G184" s="143">
        <v>0</v>
      </c>
      <c r="H184" s="143">
        <v>0</v>
      </c>
    </row>
    <row r="185" spans="1:14" x14ac:dyDescent="0.25">
      <c r="E185" s="143" t="s">
        <v>433</v>
      </c>
      <c r="F185" s="143">
        <v>0</v>
      </c>
      <c r="G185" s="143">
        <v>0</v>
      </c>
      <c r="H185" s="143">
        <v>0</v>
      </c>
    </row>
    <row r="186" spans="1:14" x14ac:dyDescent="0.25">
      <c r="E186" s="143" t="s">
        <v>434</v>
      </c>
      <c r="F186" s="143" t="s">
        <v>293</v>
      </c>
      <c r="G186" s="143" t="s">
        <v>947</v>
      </c>
      <c r="H186" s="143" t="s">
        <v>293</v>
      </c>
    </row>
    <row r="187" spans="1:14" x14ac:dyDescent="0.25">
      <c r="A187" s="143" t="s">
        <v>858</v>
      </c>
      <c r="B187" s="143" t="s">
        <v>971</v>
      </c>
      <c r="C187" s="143">
        <v>40</v>
      </c>
      <c r="D187" s="143">
        <v>65</v>
      </c>
      <c r="E187" s="143" t="s">
        <v>433</v>
      </c>
      <c r="F187" s="143" t="s">
        <v>954</v>
      </c>
      <c r="G187" s="143" t="s">
        <v>293</v>
      </c>
      <c r="H187" s="143" t="s">
        <v>954</v>
      </c>
      <c r="I187" s="143" t="s">
        <v>285</v>
      </c>
      <c r="J187" s="143" t="s">
        <v>914</v>
      </c>
      <c r="K187" s="143" t="s">
        <v>914</v>
      </c>
      <c r="L187" s="143" t="s">
        <v>914</v>
      </c>
      <c r="M187" s="143">
        <v>830</v>
      </c>
      <c r="N187" s="143">
        <v>50</v>
      </c>
    </row>
    <row r="188" spans="1:14" x14ac:dyDescent="0.25">
      <c r="E188" s="143" t="s">
        <v>434</v>
      </c>
      <c r="F188" s="143">
        <v>0</v>
      </c>
      <c r="G188" s="143">
        <v>0</v>
      </c>
      <c r="H188" s="143">
        <v>0</v>
      </c>
    </row>
    <row r="189" spans="1:14" x14ac:dyDescent="0.25">
      <c r="E189" s="143" t="s">
        <v>433</v>
      </c>
      <c r="F189" s="143">
        <v>0</v>
      </c>
      <c r="G189" s="143">
        <v>0</v>
      </c>
      <c r="H189" s="143">
        <v>0</v>
      </c>
    </row>
    <row r="190" spans="1:14" x14ac:dyDescent="0.25">
      <c r="E190" s="143" t="s">
        <v>434</v>
      </c>
      <c r="F190" s="143" t="s">
        <v>293</v>
      </c>
      <c r="G190" s="143" t="s">
        <v>947</v>
      </c>
      <c r="H190" s="143" t="s">
        <v>293</v>
      </c>
    </row>
    <row r="191" spans="1:14" x14ac:dyDescent="0.25">
      <c r="A191" s="143" t="s">
        <v>858</v>
      </c>
      <c r="B191" s="143" t="s">
        <v>972</v>
      </c>
      <c r="C191" s="143">
        <v>40</v>
      </c>
      <c r="D191" s="143">
        <v>65</v>
      </c>
      <c r="E191" s="143" t="s">
        <v>433</v>
      </c>
      <c r="F191" s="143" t="s">
        <v>954</v>
      </c>
      <c r="G191" s="143" t="s">
        <v>293</v>
      </c>
      <c r="H191" s="143" t="s">
        <v>954</v>
      </c>
      <c r="I191" s="143" t="s">
        <v>285</v>
      </c>
      <c r="J191" s="143" t="s">
        <v>914</v>
      </c>
      <c r="K191" s="143" t="s">
        <v>914</v>
      </c>
      <c r="L191" s="143" t="s">
        <v>914</v>
      </c>
      <c r="M191" s="143">
        <v>830</v>
      </c>
      <c r="N191" s="143">
        <v>50</v>
      </c>
    </row>
    <row r="192" spans="1:14" x14ac:dyDescent="0.25">
      <c r="E192" s="143" t="s">
        <v>434</v>
      </c>
      <c r="F192" s="143">
        <v>0</v>
      </c>
      <c r="G192" s="143">
        <v>0</v>
      </c>
      <c r="H192" s="143">
        <v>0</v>
      </c>
    </row>
    <row r="193" spans="1:14" x14ac:dyDescent="0.25">
      <c r="E193" s="143" t="s">
        <v>433</v>
      </c>
      <c r="F193" s="143">
        <v>0</v>
      </c>
      <c r="G193" s="143">
        <v>0</v>
      </c>
      <c r="H193" s="143">
        <v>0</v>
      </c>
    </row>
    <row r="194" spans="1:14" x14ac:dyDescent="0.25">
      <c r="E194" s="143" t="s">
        <v>434</v>
      </c>
      <c r="F194" s="143" t="s">
        <v>293</v>
      </c>
      <c r="G194" s="143" t="s">
        <v>947</v>
      </c>
      <c r="H194" s="143" t="s">
        <v>293</v>
      </c>
    </row>
    <row r="195" spans="1:14" x14ac:dyDescent="0.25">
      <c r="A195" s="143" t="s">
        <v>858</v>
      </c>
      <c r="B195" s="143" t="s">
        <v>973</v>
      </c>
      <c r="C195" s="143">
        <v>40</v>
      </c>
      <c r="D195" s="143">
        <v>65</v>
      </c>
      <c r="E195" s="143" t="s">
        <v>433</v>
      </c>
      <c r="F195" s="143" t="s">
        <v>954</v>
      </c>
      <c r="G195" s="143" t="s">
        <v>293</v>
      </c>
      <c r="H195" s="143" t="s">
        <v>944</v>
      </c>
      <c r="I195" s="143" t="s">
        <v>285</v>
      </c>
      <c r="J195" s="143" t="s">
        <v>914</v>
      </c>
      <c r="K195" s="143" t="s">
        <v>914</v>
      </c>
      <c r="L195" s="143" t="s">
        <v>914</v>
      </c>
      <c r="M195" s="143">
        <v>830</v>
      </c>
      <c r="N195" s="143">
        <v>50</v>
      </c>
    </row>
    <row r="196" spans="1:14" x14ac:dyDescent="0.25">
      <c r="E196" s="143" t="s">
        <v>434</v>
      </c>
      <c r="F196" s="143">
        <v>0</v>
      </c>
      <c r="G196" s="143">
        <v>0</v>
      </c>
      <c r="H196" s="143">
        <v>0</v>
      </c>
    </row>
    <row r="197" spans="1:14" x14ac:dyDescent="0.25">
      <c r="E197" s="143" t="s">
        <v>433</v>
      </c>
      <c r="F197" s="143">
        <v>0</v>
      </c>
      <c r="G197" s="143">
        <v>0</v>
      </c>
      <c r="H197" s="143">
        <v>0</v>
      </c>
    </row>
    <row r="198" spans="1:14" x14ac:dyDescent="0.25">
      <c r="E198" s="143" t="s">
        <v>434</v>
      </c>
      <c r="F198" s="143" t="s">
        <v>293</v>
      </c>
      <c r="G198" s="143" t="s">
        <v>947</v>
      </c>
      <c r="H198" s="143" t="s">
        <v>947</v>
      </c>
    </row>
    <row r="199" spans="1:14" x14ac:dyDescent="0.25">
      <c r="A199" s="143" t="s">
        <v>858</v>
      </c>
      <c r="B199" s="143" t="s">
        <v>951</v>
      </c>
      <c r="C199" s="143">
        <v>40</v>
      </c>
      <c r="D199" s="143">
        <v>65</v>
      </c>
      <c r="E199" s="143" t="s">
        <v>433</v>
      </c>
      <c r="F199" s="143" t="s">
        <v>294</v>
      </c>
      <c r="G199" s="143" t="s">
        <v>293</v>
      </c>
      <c r="H199" s="143" t="s">
        <v>967</v>
      </c>
      <c r="I199" s="143" t="s">
        <v>285</v>
      </c>
      <c r="J199" s="143" t="s">
        <v>914</v>
      </c>
      <c r="K199" s="143" t="s">
        <v>914</v>
      </c>
      <c r="L199" s="143" t="s">
        <v>914</v>
      </c>
      <c r="M199" s="143">
        <v>1070</v>
      </c>
      <c r="N199" s="143">
        <v>50</v>
      </c>
    </row>
    <row r="200" spans="1:14" x14ac:dyDescent="0.25">
      <c r="E200" s="143" t="s">
        <v>434</v>
      </c>
      <c r="F200" s="143" t="s">
        <v>944</v>
      </c>
      <c r="G200" s="143">
        <v>0</v>
      </c>
      <c r="H200" s="143" t="s">
        <v>293</v>
      </c>
    </row>
    <row r="201" spans="1:14" x14ac:dyDescent="0.25">
      <c r="E201" s="143" t="s">
        <v>433</v>
      </c>
      <c r="F201" s="143">
        <v>0</v>
      </c>
      <c r="G201" s="143">
        <v>0</v>
      </c>
      <c r="H201" s="143">
        <v>0</v>
      </c>
    </row>
    <row r="202" spans="1:14" x14ac:dyDescent="0.25">
      <c r="E202" s="143" t="s">
        <v>434</v>
      </c>
      <c r="F202" s="143" t="s">
        <v>294</v>
      </c>
      <c r="G202" s="143" t="s">
        <v>294</v>
      </c>
      <c r="H202" s="143" t="s">
        <v>294</v>
      </c>
    </row>
    <row r="203" spans="1:14" x14ac:dyDescent="0.25">
      <c r="A203" s="143" t="s">
        <v>858</v>
      </c>
      <c r="B203" s="143" t="s">
        <v>958</v>
      </c>
      <c r="C203" s="143">
        <v>40</v>
      </c>
      <c r="D203" s="143">
        <v>65</v>
      </c>
      <c r="E203" s="143" t="s">
        <v>433</v>
      </c>
      <c r="F203" s="143" t="s">
        <v>967</v>
      </c>
      <c r="G203" s="143" t="s">
        <v>293</v>
      </c>
      <c r="H203" s="143" t="s">
        <v>294</v>
      </c>
      <c r="I203" s="143" t="s">
        <v>285</v>
      </c>
      <c r="J203" s="143" t="s">
        <v>913</v>
      </c>
      <c r="K203" s="143" t="s">
        <v>913</v>
      </c>
      <c r="L203" s="143" t="s">
        <v>913</v>
      </c>
      <c r="M203" s="143">
        <v>1070</v>
      </c>
      <c r="N203" s="143">
        <v>50</v>
      </c>
    </row>
    <row r="204" spans="1:14" x14ac:dyDescent="0.25">
      <c r="E204" s="143" t="s">
        <v>434</v>
      </c>
      <c r="F204" s="143">
        <v>0</v>
      </c>
      <c r="G204" s="143">
        <v>0</v>
      </c>
      <c r="H204" s="143" t="s">
        <v>944</v>
      </c>
    </row>
    <row r="205" spans="1:14" x14ac:dyDescent="0.25">
      <c r="E205" s="143" t="s">
        <v>433</v>
      </c>
      <c r="F205" s="143">
        <v>0</v>
      </c>
      <c r="G205" s="143">
        <v>0</v>
      </c>
      <c r="H205" s="143">
        <v>0</v>
      </c>
    </row>
    <row r="206" spans="1:14" x14ac:dyDescent="0.25">
      <c r="E206" s="143" t="s">
        <v>434</v>
      </c>
      <c r="F206" s="143" t="s">
        <v>954</v>
      </c>
      <c r="G206" s="143" t="s">
        <v>954</v>
      </c>
      <c r="H206" s="143" t="s">
        <v>954</v>
      </c>
    </row>
    <row r="207" spans="1:14" x14ac:dyDescent="0.25">
      <c r="A207" s="143" t="s">
        <v>858</v>
      </c>
      <c r="B207" s="143" t="s">
        <v>951</v>
      </c>
      <c r="C207" s="143">
        <v>40</v>
      </c>
      <c r="D207" s="143">
        <v>65</v>
      </c>
      <c r="E207" s="143" t="s">
        <v>433</v>
      </c>
      <c r="F207" s="143" t="s">
        <v>294</v>
      </c>
      <c r="G207" s="143" t="s">
        <v>293</v>
      </c>
      <c r="H207" s="143" t="s">
        <v>967</v>
      </c>
      <c r="I207" s="143" t="s">
        <v>285</v>
      </c>
      <c r="J207" s="143" t="s">
        <v>914</v>
      </c>
      <c r="K207" s="143" t="s">
        <v>914</v>
      </c>
      <c r="L207" s="143" t="s">
        <v>914</v>
      </c>
      <c r="M207" s="143">
        <v>1070</v>
      </c>
      <c r="N207" s="143">
        <v>50</v>
      </c>
    </row>
    <row r="208" spans="1:14" x14ac:dyDescent="0.25">
      <c r="E208" s="143" t="s">
        <v>434</v>
      </c>
      <c r="F208" s="143" t="s">
        <v>944</v>
      </c>
      <c r="G208" s="143">
        <v>0</v>
      </c>
      <c r="H208" s="143" t="s">
        <v>293</v>
      </c>
    </row>
    <row r="209" spans="1:14" x14ac:dyDescent="0.25">
      <c r="E209" s="143" t="s">
        <v>433</v>
      </c>
      <c r="F209" s="143">
        <v>0</v>
      </c>
      <c r="G209" s="143">
        <v>0</v>
      </c>
      <c r="H209" s="143">
        <v>0</v>
      </c>
    </row>
    <row r="210" spans="1:14" x14ac:dyDescent="0.25">
      <c r="E210" s="143" t="s">
        <v>434</v>
      </c>
      <c r="F210" s="143" t="s">
        <v>294</v>
      </c>
      <c r="G210" s="143" t="s">
        <v>294</v>
      </c>
      <c r="H210" s="143" t="s">
        <v>294</v>
      </c>
    </row>
    <row r="211" spans="1:14" x14ac:dyDescent="0.25">
      <c r="A211" s="143" t="s">
        <v>858</v>
      </c>
      <c r="B211" s="143" t="s">
        <v>958</v>
      </c>
      <c r="C211" s="143">
        <v>40</v>
      </c>
      <c r="D211" s="143">
        <v>65</v>
      </c>
      <c r="E211" s="143" t="s">
        <v>433</v>
      </c>
      <c r="F211" s="143" t="s">
        <v>967</v>
      </c>
      <c r="G211" s="143" t="s">
        <v>293</v>
      </c>
      <c r="H211" s="143" t="s">
        <v>294</v>
      </c>
      <c r="I211" s="143" t="s">
        <v>285</v>
      </c>
      <c r="J211" s="143" t="s">
        <v>913</v>
      </c>
      <c r="K211" s="143" t="s">
        <v>913</v>
      </c>
      <c r="L211" s="143" t="s">
        <v>913</v>
      </c>
      <c r="M211" s="143">
        <v>1070</v>
      </c>
      <c r="N211" s="143">
        <v>50</v>
      </c>
    </row>
    <row r="212" spans="1:14" x14ac:dyDescent="0.25">
      <c r="E212" s="143" t="s">
        <v>434</v>
      </c>
      <c r="F212" s="143">
        <v>0</v>
      </c>
      <c r="G212" s="143">
        <v>0</v>
      </c>
      <c r="H212" s="143" t="s">
        <v>944</v>
      </c>
    </row>
    <row r="213" spans="1:14" x14ac:dyDescent="0.25">
      <c r="E213" s="143" t="s">
        <v>433</v>
      </c>
      <c r="F213" s="143">
        <v>0</v>
      </c>
      <c r="G213" s="143">
        <v>0</v>
      </c>
      <c r="H213" s="143">
        <v>0</v>
      </c>
    </row>
    <row r="214" spans="1:14" x14ac:dyDescent="0.25">
      <c r="E214" s="143" t="s">
        <v>434</v>
      </c>
      <c r="F214" s="143" t="s">
        <v>954</v>
      </c>
      <c r="G214" s="143" t="s">
        <v>954</v>
      </c>
      <c r="H214" s="143" t="s">
        <v>954</v>
      </c>
    </row>
    <row r="215" spans="1:14" x14ac:dyDescent="0.25">
      <c r="A215" s="143" t="s">
        <v>858</v>
      </c>
      <c r="B215" s="143" t="s">
        <v>951</v>
      </c>
      <c r="C215" s="143">
        <v>40</v>
      </c>
      <c r="D215" s="143">
        <v>65</v>
      </c>
      <c r="E215" s="143" t="s">
        <v>433</v>
      </c>
      <c r="F215" s="143" t="s">
        <v>294</v>
      </c>
      <c r="G215" s="143" t="s">
        <v>293</v>
      </c>
      <c r="H215" s="143" t="s">
        <v>967</v>
      </c>
      <c r="I215" s="143" t="s">
        <v>285</v>
      </c>
      <c r="J215" s="143" t="s">
        <v>914</v>
      </c>
      <c r="K215" s="143" t="s">
        <v>914</v>
      </c>
      <c r="L215" s="143" t="s">
        <v>914</v>
      </c>
      <c r="M215" s="143">
        <v>1070</v>
      </c>
      <c r="N215" s="143">
        <v>50</v>
      </c>
    </row>
    <row r="216" spans="1:14" x14ac:dyDescent="0.25">
      <c r="E216" s="143" t="s">
        <v>434</v>
      </c>
      <c r="F216" s="143" t="s">
        <v>944</v>
      </c>
      <c r="G216" s="143">
        <v>0</v>
      </c>
      <c r="H216" s="143" t="s">
        <v>293</v>
      </c>
    </row>
    <row r="217" spans="1:14" x14ac:dyDescent="0.25">
      <c r="E217" s="143" t="s">
        <v>433</v>
      </c>
      <c r="F217" s="143">
        <v>0</v>
      </c>
      <c r="G217" s="143">
        <v>0</v>
      </c>
      <c r="H217" s="143">
        <v>0</v>
      </c>
    </row>
    <row r="218" spans="1:14" x14ac:dyDescent="0.25">
      <c r="E218" s="143" t="s">
        <v>434</v>
      </c>
      <c r="F218" s="143" t="s">
        <v>294</v>
      </c>
      <c r="G218" s="143" t="s">
        <v>294</v>
      </c>
      <c r="H218" s="143" t="s">
        <v>294</v>
      </c>
    </row>
    <row r="219" spans="1:14" x14ac:dyDescent="0.25">
      <c r="A219" s="143" t="s">
        <v>858</v>
      </c>
      <c r="B219" s="143" t="s">
        <v>951</v>
      </c>
      <c r="C219" s="143">
        <v>40</v>
      </c>
      <c r="D219" s="143">
        <v>65</v>
      </c>
      <c r="E219" s="143" t="s">
        <v>433</v>
      </c>
      <c r="F219" s="143" t="s">
        <v>294</v>
      </c>
      <c r="G219" s="143" t="s">
        <v>293</v>
      </c>
      <c r="H219" s="143" t="s">
        <v>967</v>
      </c>
      <c r="I219" s="143" t="s">
        <v>285</v>
      </c>
      <c r="J219" s="143" t="s">
        <v>914</v>
      </c>
      <c r="K219" s="143" t="s">
        <v>914</v>
      </c>
      <c r="L219" s="143" t="s">
        <v>914</v>
      </c>
      <c r="M219" s="143">
        <v>1070</v>
      </c>
      <c r="N219" s="143">
        <v>50</v>
      </c>
    </row>
    <row r="220" spans="1:14" x14ac:dyDescent="0.25">
      <c r="E220" s="143" t="s">
        <v>434</v>
      </c>
      <c r="F220" s="143" t="s">
        <v>944</v>
      </c>
      <c r="G220" s="143">
        <v>0</v>
      </c>
      <c r="H220" s="143" t="s">
        <v>293</v>
      </c>
    </row>
    <row r="221" spans="1:14" x14ac:dyDescent="0.25">
      <c r="E221" s="143" t="s">
        <v>433</v>
      </c>
      <c r="F221" s="143">
        <v>0</v>
      </c>
      <c r="G221" s="143">
        <v>0</v>
      </c>
      <c r="H221" s="143">
        <v>0</v>
      </c>
    </row>
    <row r="222" spans="1:14" x14ac:dyDescent="0.25">
      <c r="E222" s="143" t="s">
        <v>434</v>
      </c>
      <c r="F222" s="143" t="s">
        <v>294</v>
      </c>
      <c r="G222" s="143" t="s">
        <v>294</v>
      </c>
      <c r="H222" s="143" t="s">
        <v>294</v>
      </c>
    </row>
    <row r="223" spans="1:14" x14ac:dyDescent="0.25">
      <c r="A223" s="143" t="s">
        <v>858</v>
      </c>
      <c r="B223" s="143" t="s">
        <v>968</v>
      </c>
      <c r="C223" s="143">
        <v>40</v>
      </c>
      <c r="D223" s="143">
        <v>65</v>
      </c>
      <c r="E223" s="143" t="s">
        <v>433</v>
      </c>
      <c r="F223" s="143" t="s">
        <v>944</v>
      </c>
      <c r="G223" s="143" t="s">
        <v>293</v>
      </c>
      <c r="H223" s="143" t="s">
        <v>954</v>
      </c>
      <c r="I223" s="143" t="s">
        <v>285</v>
      </c>
      <c r="J223" s="143" t="s">
        <v>914</v>
      </c>
      <c r="K223" s="143" t="s">
        <v>914</v>
      </c>
      <c r="L223" s="143" t="s">
        <v>914</v>
      </c>
      <c r="M223" s="143">
        <v>830</v>
      </c>
      <c r="N223" s="143">
        <v>50</v>
      </c>
    </row>
    <row r="224" spans="1:14" x14ac:dyDescent="0.25">
      <c r="E224" s="143" t="s">
        <v>434</v>
      </c>
      <c r="F224" s="143">
        <v>0</v>
      </c>
      <c r="G224" s="143">
        <v>0</v>
      </c>
      <c r="H224" s="143">
        <v>0</v>
      </c>
    </row>
    <row r="225" spans="1:14" x14ac:dyDescent="0.25">
      <c r="E225" s="143" t="s">
        <v>433</v>
      </c>
      <c r="F225" s="143">
        <v>0</v>
      </c>
      <c r="G225" s="143">
        <v>0</v>
      </c>
      <c r="H225" s="143">
        <v>0</v>
      </c>
    </row>
    <row r="226" spans="1:14" x14ac:dyDescent="0.25">
      <c r="E226" s="143" t="s">
        <v>434</v>
      </c>
      <c r="F226" s="143" t="s">
        <v>954</v>
      </c>
      <c r="G226" s="143" t="s">
        <v>954</v>
      </c>
      <c r="H226" s="143" t="s">
        <v>293</v>
      </c>
    </row>
    <row r="227" spans="1:14" x14ac:dyDescent="0.25">
      <c r="A227" s="143" t="s">
        <v>858</v>
      </c>
      <c r="B227" s="143" t="s">
        <v>969</v>
      </c>
      <c r="C227" s="143">
        <v>40</v>
      </c>
      <c r="D227" s="143">
        <v>65</v>
      </c>
      <c r="E227" s="143" t="s">
        <v>433</v>
      </c>
      <c r="F227" s="143" t="s">
        <v>954</v>
      </c>
      <c r="G227" s="143" t="s">
        <v>293</v>
      </c>
      <c r="H227" s="143" t="s">
        <v>954</v>
      </c>
      <c r="I227" s="143" t="s">
        <v>285</v>
      </c>
      <c r="J227" s="143" t="s">
        <v>914</v>
      </c>
      <c r="K227" s="143" t="s">
        <v>914</v>
      </c>
      <c r="L227" s="143" t="s">
        <v>914</v>
      </c>
      <c r="M227" s="143">
        <v>830</v>
      </c>
      <c r="N227" s="143">
        <v>50</v>
      </c>
    </row>
    <row r="228" spans="1:14" x14ac:dyDescent="0.25">
      <c r="E228" s="143" t="s">
        <v>434</v>
      </c>
      <c r="F228" s="143">
        <v>0</v>
      </c>
      <c r="G228" s="143">
        <v>0</v>
      </c>
      <c r="H228" s="143">
        <v>0</v>
      </c>
    </row>
    <row r="229" spans="1:14" x14ac:dyDescent="0.25">
      <c r="E229" s="143" t="s">
        <v>433</v>
      </c>
      <c r="F229" s="143">
        <v>0</v>
      </c>
      <c r="G229" s="143">
        <v>0</v>
      </c>
      <c r="H229" s="143">
        <v>0</v>
      </c>
    </row>
    <row r="230" spans="1:14" x14ac:dyDescent="0.25">
      <c r="E230" s="143" t="s">
        <v>434</v>
      </c>
      <c r="F230" s="143" t="s">
        <v>293</v>
      </c>
      <c r="G230" s="143" t="s">
        <v>947</v>
      </c>
      <c r="H230" s="143" t="s">
        <v>293</v>
      </c>
    </row>
    <row r="231" spans="1:14" x14ac:dyDescent="0.25">
      <c r="A231" s="143" t="s">
        <v>858</v>
      </c>
      <c r="B231" s="143" t="s">
        <v>970</v>
      </c>
      <c r="C231" s="143">
        <v>40</v>
      </c>
      <c r="D231" s="143">
        <v>65</v>
      </c>
      <c r="E231" s="143" t="s">
        <v>433</v>
      </c>
      <c r="F231" s="143" t="s">
        <v>954</v>
      </c>
      <c r="G231" s="143" t="s">
        <v>293</v>
      </c>
      <c r="H231" s="143" t="s">
        <v>954</v>
      </c>
      <c r="I231" s="143" t="s">
        <v>285</v>
      </c>
      <c r="J231" s="143" t="s">
        <v>914</v>
      </c>
      <c r="K231" s="143" t="s">
        <v>914</v>
      </c>
      <c r="L231" s="143" t="s">
        <v>914</v>
      </c>
      <c r="M231" s="143">
        <v>830</v>
      </c>
      <c r="N231" s="143">
        <v>50</v>
      </c>
    </row>
    <row r="232" spans="1:14" x14ac:dyDescent="0.25">
      <c r="E232" s="143" t="s">
        <v>434</v>
      </c>
      <c r="F232" s="143">
        <v>0</v>
      </c>
      <c r="G232" s="143">
        <v>0</v>
      </c>
      <c r="H232" s="143">
        <v>0</v>
      </c>
    </row>
    <row r="233" spans="1:14" x14ac:dyDescent="0.25">
      <c r="E233" s="143" t="s">
        <v>433</v>
      </c>
      <c r="F233" s="143">
        <v>0</v>
      </c>
      <c r="G233" s="143">
        <v>0</v>
      </c>
      <c r="H233" s="143">
        <v>0</v>
      </c>
    </row>
    <row r="234" spans="1:14" x14ac:dyDescent="0.25">
      <c r="E234" s="143" t="s">
        <v>434</v>
      </c>
      <c r="F234" s="143" t="s">
        <v>293</v>
      </c>
      <c r="G234" s="143" t="s">
        <v>947</v>
      </c>
      <c r="H234" s="143" t="s">
        <v>293</v>
      </c>
    </row>
    <row r="235" spans="1:14" x14ac:dyDescent="0.25">
      <c r="A235" s="143" t="s">
        <v>858</v>
      </c>
      <c r="B235" s="143" t="s">
        <v>971</v>
      </c>
      <c r="C235" s="143">
        <v>40</v>
      </c>
      <c r="D235" s="143">
        <v>65</v>
      </c>
      <c r="E235" s="143" t="s">
        <v>433</v>
      </c>
      <c r="F235" s="143" t="s">
        <v>954</v>
      </c>
      <c r="G235" s="143" t="s">
        <v>293</v>
      </c>
      <c r="H235" s="143" t="s">
        <v>954</v>
      </c>
      <c r="I235" s="143" t="s">
        <v>285</v>
      </c>
      <c r="J235" s="143" t="s">
        <v>914</v>
      </c>
      <c r="K235" s="143" t="s">
        <v>914</v>
      </c>
      <c r="L235" s="143" t="s">
        <v>914</v>
      </c>
      <c r="M235" s="143">
        <v>830</v>
      </c>
      <c r="N235" s="143">
        <v>50</v>
      </c>
    </row>
    <row r="236" spans="1:14" x14ac:dyDescent="0.25">
      <c r="E236" s="143" t="s">
        <v>434</v>
      </c>
      <c r="F236" s="143">
        <v>0</v>
      </c>
      <c r="G236" s="143">
        <v>0</v>
      </c>
      <c r="H236" s="143">
        <v>0</v>
      </c>
    </row>
    <row r="237" spans="1:14" x14ac:dyDescent="0.25">
      <c r="E237" s="143" t="s">
        <v>433</v>
      </c>
      <c r="F237" s="143">
        <v>0</v>
      </c>
      <c r="G237" s="143">
        <v>0</v>
      </c>
      <c r="H237" s="143">
        <v>0</v>
      </c>
    </row>
    <row r="238" spans="1:14" x14ac:dyDescent="0.25">
      <c r="E238" s="143" t="s">
        <v>434</v>
      </c>
      <c r="F238" s="143" t="s">
        <v>293</v>
      </c>
      <c r="G238" s="143" t="s">
        <v>947</v>
      </c>
      <c r="H238" s="143" t="s">
        <v>293</v>
      </c>
    </row>
    <row r="239" spans="1:14" x14ac:dyDescent="0.25">
      <c r="A239" s="143" t="s">
        <v>858</v>
      </c>
      <c r="B239" s="143" t="s">
        <v>972</v>
      </c>
      <c r="C239" s="143">
        <v>40</v>
      </c>
      <c r="D239" s="143">
        <v>65</v>
      </c>
      <c r="E239" s="143" t="s">
        <v>433</v>
      </c>
      <c r="F239" s="143" t="s">
        <v>954</v>
      </c>
      <c r="G239" s="143" t="s">
        <v>293</v>
      </c>
      <c r="H239" s="143" t="s">
        <v>954</v>
      </c>
      <c r="I239" s="143" t="s">
        <v>285</v>
      </c>
      <c r="J239" s="143" t="s">
        <v>914</v>
      </c>
      <c r="K239" s="143" t="s">
        <v>914</v>
      </c>
      <c r="L239" s="143" t="s">
        <v>914</v>
      </c>
      <c r="M239" s="143">
        <v>830</v>
      </c>
      <c r="N239" s="143">
        <v>50</v>
      </c>
    </row>
    <row r="240" spans="1:14" x14ac:dyDescent="0.25">
      <c r="E240" s="143" t="s">
        <v>434</v>
      </c>
      <c r="F240" s="143">
        <v>0</v>
      </c>
      <c r="G240" s="143">
        <v>0</v>
      </c>
      <c r="H240" s="143">
        <v>0</v>
      </c>
    </row>
    <row r="241" spans="1:14" x14ac:dyDescent="0.25">
      <c r="E241" s="143" t="s">
        <v>433</v>
      </c>
      <c r="F241" s="143">
        <v>0</v>
      </c>
      <c r="G241" s="143">
        <v>0</v>
      </c>
      <c r="H241" s="143">
        <v>0</v>
      </c>
    </row>
    <row r="242" spans="1:14" x14ac:dyDescent="0.25">
      <c r="E242" s="143" t="s">
        <v>434</v>
      </c>
      <c r="F242" s="143" t="s">
        <v>293</v>
      </c>
      <c r="G242" s="143" t="s">
        <v>947</v>
      </c>
      <c r="H242" s="143" t="s">
        <v>293</v>
      </c>
    </row>
    <row r="243" spans="1:14" x14ac:dyDescent="0.25">
      <c r="A243" s="143" t="s">
        <v>858</v>
      </c>
      <c r="B243" s="143" t="s">
        <v>973</v>
      </c>
      <c r="C243" s="143">
        <v>40</v>
      </c>
      <c r="D243" s="143">
        <v>65</v>
      </c>
      <c r="E243" s="143" t="s">
        <v>433</v>
      </c>
      <c r="F243" s="143" t="s">
        <v>954</v>
      </c>
      <c r="G243" s="143" t="s">
        <v>293</v>
      </c>
      <c r="H243" s="143" t="s">
        <v>944</v>
      </c>
      <c r="I243" s="143" t="s">
        <v>285</v>
      </c>
      <c r="J243" s="143" t="s">
        <v>914</v>
      </c>
      <c r="K243" s="143" t="s">
        <v>914</v>
      </c>
      <c r="L243" s="143" t="s">
        <v>914</v>
      </c>
      <c r="M243" s="143">
        <v>830</v>
      </c>
      <c r="N243" s="143">
        <v>50</v>
      </c>
    </row>
    <row r="244" spans="1:14" x14ac:dyDescent="0.25">
      <c r="E244" s="143" t="s">
        <v>434</v>
      </c>
      <c r="F244" s="143">
        <v>0</v>
      </c>
      <c r="G244" s="143">
        <v>0</v>
      </c>
      <c r="H244" s="143">
        <v>0</v>
      </c>
    </row>
    <row r="245" spans="1:14" x14ac:dyDescent="0.25">
      <c r="E245" s="143" t="s">
        <v>433</v>
      </c>
      <c r="F245" s="143">
        <v>0</v>
      </c>
      <c r="G245" s="143">
        <v>0</v>
      </c>
      <c r="H245" s="143">
        <v>0</v>
      </c>
    </row>
    <row r="246" spans="1:14" x14ac:dyDescent="0.25">
      <c r="E246" s="143" t="s">
        <v>434</v>
      </c>
      <c r="F246" s="143" t="s">
        <v>293</v>
      </c>
      <c r="G246" s="143" t="s">
        <v>947</v>
      </c>
      <c r="H246" s="143" t="s">
        <v>947</v>
      </c>
    </row>
    <row r="247" spans="1:14" x14ac:dyDescent="0.25">
      <c r="A247" s="143" t="s">
        <v>858</v>
      </c>
      <c r="B247" s="143" t="s">
        <v>950</v>
      </c>
      <c r="C247" s="143">
        <v>40</v>
      </c>
      <c r="D247" s="143">
        <v>65</v>
      </c>
      <c r="E247" s="143" t="s">
        <v>433</v>
      </c>
      <c r="F247" s="143" t="s">
        <v>967</v>
      </c>
      <c r="G247" s="143" t="s">
        <v>293</v>
      </c>
      <c r="H247" s="143" t="s">
        <v>967</v>
      </c>
      <c r="I247" s="143" t="s">
        <v>285</v>
      </c>
      <c r="J247" s="143" t="s">
        <v>913</v>
      </c>
      <c r="K247" s="143" t="s">
        <v>913</v>
      </c>
      <c r="L247" s="143" t="s">
        <v>913</v>
      </c>
      <c r="M247" s="143">
        <v>1100</v>
      </c>
      <c r="N247" s="143">
        <v>50</v>
      </c>
    </row>
    <row r="248" spans="1:14" x14ac:dyDescent="0.25">
      <c r="E248" s="143" t="s">
        <v>434</v>
      </c>
      <c r="F248" s="143" t="s">
        <v>293</v>
      </c>
      <c r="G248" s="143">
        <v>0</v>
      </c>
      <c r="H248" s="143" t="s">
        <v>954</v>
      </c>
    </row>
    <row r="249" spans="1:14" x14ac:dyDescent="0.25">
      <c r="E249" s="143" t="s">
        <v>433</v>
      </c>
      <c r="F249" s="143">
        <v>0</v>
      </c>
      <c r="G249" s="143" t="s">
        <v>944</v>
      </c>
      <c r="H249" s="143">
        <v>0</v>
      </c>
    </row>
    <row r="250" spans="1:14" x14ac:dyDescent="0.25">
      <c r="E250" s="143" t="s">
        <v>434</v>
      </c>
      <c r="F250" s="143" t="s">
        <v>294</v>
      </c>
      <c r="G250" s="143" t="s">
        <v>294</v>
      </c>
      <c r="H250" s="143" t="s">
        <v>967</v>
      </c>
    </row>
    <row r="251" spans="1:14" x14ac:dyDescent="0.25">
      <c r="A251" s="143" t="s">
        <v>858</v>
      </c>
      <c r="B251" s="143" t="s">
        <v>950</v>
      </c>
      <c r="C251" s="143">
        <v>40</v>
      </c>
      <c r="D251" s="143">
        <v>65</v>
      </c>
      <c r="E251" s="143" t="s">
        <v>433</v>
      </c>
      <c r="F251" s="143" t="s">
        <v>967</v>
      </c>
      <c r="G251" s="143" t="s">
        <v>293</v>
      </c>
      <c r="H251" s="143" t="s">
        <v>967</v>
      </c>
      <c r="I251" s="143" t="s">
        <v>285</v>
      </c>
      <c r="J251" s="143" t="s">
        <v>913</v>
      </c>
      <c r="K251" s="143" t="s">
        <v>913</v>
      </c>
      <c r="L251" s="143" t="s">
        <v>913</v>
      </c>
      <c r="M251" s="143">
        <v>1100</v>
      </c>
      <c r="N251" s="143">
        <v>50</v>
      </c>
    </row>
    <row r="252" spans="1:14" x14ac:dyDescent="0.25">
      <c r="E252" s="143" t="s">
        <v>434</v>
      </c>
      <c r="F252" s="143" t="s">
        <v>293</v>
      </c>
      <c r="G252" s="143">
        <v>0</v>
      </c>
      <c r="H252" s="143" t="s">
        <v>954</v>
      </c>
    </row>
    <row r="253" spans="1:14" x14ac:dyDescent="0.25">
      <c r="E253" s="143" t="s">
        <v>433</v>
      </c>
      <c r="F253" s="143">
        <v>0</v>
      </c>
      <c r="G253" s="143" t="s">
        <v>944</v>
      </c>
      <c r="H253" s="143">
        <v>0</v>
      </c>
    </row>
    <row r="254" spans="1:14" x14ac:dyDescent="0.25">
      <c r="E254" s="143" t="s">
        <v>434</v>
      </c>
      <c r="F254" s="143" t="s">
        <v>294</v>
      </c>
      <c r="G254" s="143" t="s">
        <v>294</v>
      </c>
      <c r="H254" s="143" t="s">
        <v>967</v>
      </c>
    </row>
    <row r="255" spans="1:14" x14ac:dyDescent="0.25">
      <c r="A255" s="143" t="s">
        <v>858</v>
      </c>
      <c r="B255" s="143" t="s">
        <v>950</v>
      </c>
      <c r="C255" s="143">
        <v>40</v>
      </c>
      <c r="D255" s="143">
        <v>65</v>
      </c>
      <c r="E255" s="143" t="s">
        <v>433</v>
      </c>
      <c r="F255" s="143" t="s">
        <v>967</v>
      </c>
      <c r="G255" s="143" t="s">
        <v>293</v>
      </c>
      <c r="H255" s="143" t="s">
        <v>967</v>
      </c>
      <c r="I255" s="143" t="s">
        <v>285</v>
      </c>
      <c r="J255" s="143" t="s">
        <v>913</v>
      </c>
      <c r="K255" s="143" t="s">
        <v>913</v>
      </c>
      <c r="L255" s="143" t="s">
        <v>913</v>
      </c>
      <c r="M255" s="143">
        <v>1100</v>
      </c>
      <c r="N255" s="143">
        <v>50</v>
      </c>
    </row>
    <row r="256" spans="1:14" x14ac:dyDescent="0.25">
      <c r="E256" s="143" t="s">
        <v>434</v>
      </c>
      <c r="F256" s="143" t="s">
        <v>293</v>
      </c>
      <c r="G256" s="143">
        <v>0</v>
      </c>
      <c r="H256" s="143" t="s">
        <v>954</v>
      </c>
    </row>
    <row r="257" spans="1:14" x14ac:dyDescent="0.25">
      <c r="E257" s="143" t="s">
        <v>433</v>
      </c>
      <c r="F257" s="143">
        <v>0</v>
      </c>
      <c r="G257" s="143" t="s">
        <v>944</v>
      </c>
      <c r="H257" s="143">
        <v>0</v>
      </c>
    </row>
    <row r="258" spans="1:14" x14ac:dyDescent="0.25">
      <c r="E258" s="143" t="s">
        <v>434</v>
      </c>
      <c r="F258" s="143" t="s">
        <v>294</v>
      </c>
      <c r="G258" s="143" t="s">
        <v>294</v>
      </c>
      <c r="H258" s="143" t="s">
        <v>967</v>
      </c>
    </row>
    <row r="259" spans="1:14" x14ac:dyDescent="0.25">
      <c r="A259" s="143" t="s">
        <v>858</v>
      </c>
      <c r="B259" s="143" t="s">
        <v>950</v>
      </c>
      <c r="C259" s="143">
        <v>40</v>
      </c>
      <c r="D259" s="143">
        <v>65</v>
      </c>
      <c r="E259" s="143" t="s">
        <v>433</v>
      </c>
      <c r="F259" s="143" t="s">
        <v>967</v>
      </c>
      <c r="G259" s="143" t="s">
        <v>293</v>
      </c>
      <c r="H259" s="143" t="s">
        <v>967</v>
      </c>
      <c r="I259" s="143" t="s">
        <v>285</v>
      </c>
      <c r="J259" s="143" t="s">
        <v>913</v>
      </c>
      <c r="K259" s="143" t="s">
        <v>913</v>
      </c>
      <c r="L259" s="143" t="s">
        <v>913</v>
      </c>
      <c r="M259" s="143">
        <v>1100</v>
      </c>
      <c r="N259" s="143">
        <v>50</v>
      </c>
    </row>
    <row r="260" spans="1:14" x14ac:dyDescent="0.25">
      <c r="E260" s="143" t="s">
        <v>434</v>
      </c>
      <c r="F260" s="143" t="s">
        <v>293</v>
      </c>
      <c r="G260" s="143">
        <v>0</v>
      </c>
      <c r="H260" s="143" t="s">
        <v>954</v>
      </c>
    </row>
    <row r="261" spans="1:14" x14ac:dyDescent="0.25">
      <c r="E261" s="143" t="s">
        <v>433</v>
      </c>
      <c r="F261" s="143">
        <v>0</v>
      </c>
      <c r="G261" s="143" t="s">
        <v>944</v>
      </c>
      <c r="H261" s="143">
        <v>0</v>
      </c>
    </row>
    <row r="262" spans="1:14" x14ac:dyDescent="0.25">
      <c r="E262" s="143" t="s">
        <v>434</v>
      </c>
      <c r="F262" s="143" t="s">
        <v>294</v>
      </c>
      <c r="G262" s="143" t="s">
        <v>294</v>
      </c>
      <c r="H262" s="143" t="s">
        <v>967</v>
      </c>
    </row>
    <row r="263" spans="1:14" x14ac:dyDescent="0.25">
      <c r="A263" s="143" t="s">
        <v>858</v>
      </c>
      <c r="B263" s="143" t="s">
        <v>974</v>
      </c>
      <c r="C263" s="143">
        <v>40</v>
      </c>
      <c r="D263" s="143">
        <v>65</v>
      </c>
      <c r="E263" s="143" t="s">
        <v>433</v>
      </c>
      <c r="F263" s="143" t="s">
        <v>293</v>
      </c>
      <c r="G263" s="143" t="s">
        <v>293</v>
      </c>
      <c r="H263" s="143" t="s">
        <v>293</v>
      </c>
      <c r="I263" s="143" t="s">
        <v>285</v>
      </c>
      <c r="J263" s="143" t="s">
        <v>914</v>
      </c>
      <c r="K263" s="143" t="s">
        <v>914</v>
      </c>
      <c r="L263" s="143" t="s">
        <v>914</v>
      </c>
      <c r="M263" s="143">
        <v>830</v>
      </c>
      <c r="N263" s="143">
        <v>50</v>
      </c>
    </row>
    <row r="264" spans="1:14" x14ac:dyDescent="0.25">
      <c r="E264" s="143" t="s">
        <v>434</v>
      </c>
      <c r="F264" s="143">
        <v>0</v>
      </c>
      <c r="G264" s="143">
        <v>0</v>
      </c>
      <c r="H264" s="143">
        <v>0</v>
      </c>
    </row>
    <row r="265" spans="1:14" x14ac:dyDescent="0.25">
      <c r="E265" s="143" t="s">
        <v>433</v>
      </c>
      <c r="F265" s="143">
        <v>0</v>
      </c>
      <c r="G265" s="143">
        <v>0</v>
      </c>
      <c r="H265" s="143">
        <v>0</v>
      </c>
    </row>
    <row r="266" spans="1:14" x14ac:dyDescent="0.25">
      <c r="E266" s="143" t="s">
        <v>434</v>
      </c>
      <c r="F266" s="143" t="s">
        <v>293</v>
      </c>
      <c r="G266" s="143" t="s">
        <v>293</v>
      </c>
      <c r="H266" s="143" t="s">
        <v>293</v>
      </c>
    </row>
    <row r="267" spans="1:14" x14ac:dyDescent="0.25">
      <c r="A267" s="143" t="s">
        <v>858</v>
      </c>
      <c r="B267" s="143" t="s">
        <v>975</v>
      </c>
      <c r="C267" s="143">
        <v>40</v>
      </c>
      <c r="D267" s="143">
        <v>65</v>
      </c>
      <c r="E267" s="143" t="s">
        <v>433</v>
      </c>
      <c r="F267" s="143" t="s">
        <v>954</v>
      </c>
      <c r="G267" s="143" t="s">
        <v>293</v>
      </c>
      <c r="H267" s="143" t="s">
        <v>954</v>
      </c>
      <c r="I267" s="143" t="s">
        <v>285</v>
      </c>
      <c r="J267" s="143" t="s">
        <v>914</v>
      </c>
      <c r="K267" s="143" t="s">
        <v>914</v>
      </c>
      <c r="L267" s="143" t="s">
        <v>914</v>
      </c>
      <c r="M267" s="143">
        <v>830</v>
      </c>
      <c r="N267" s="143">
        <v>50</v>
      </c>
    </row>
    <row r="268" spans="1:14" x14ac:dyDescent="0.25">
      <c r="E268" s="143" t="s">
        <v>434</v>
      </c>
      <c r="F268" s="143">
        <v>0</v>
      </c>
      <c r="G268" s="143">
        <v>0</v>
      </c>
      <c r="H268" s="143">
        <v>0</v>
      </c>
    </row>
    <row r="269" spans="1:14" x14ac:dyDescent="0.25">
      <c r="E269" s="143" t="s">
        <v>433</v>
      </c>
      <c r="F269" s="143">
        <v>0</v>
      </c>
      <c r="G269" s="143">
        <v>0</v>
      </c>
      <c r="H269" s="143">
        <v>0</v>
      </c>
    </row>
    <row r="270" spans="1:14" x14ac:dyDescent="0.25">
      <c r="E270" s="143" t="s">
        <v>434</v>
      </c>
      <c r="F270" s="143" t="s">
        <v>293</v>
      </c>
      <c r="G270" s="143" t="s">
        <v>947</v>
      </c>
      <c r="H270" s="143" t="s">
        <v>293</v>
      </c>
    </row>
    <row r="271" spans="1:14" x14ac:dyDescent="0.25">
      <c r="A271" s="143" t="s">
        <v>858</v>
      </c>
      <c r="B271" s="143" t="s">
        <v>976</v>
      </c>
      <c r="C271" s="143">
        <v>40</v>
      </c>
      <c r="D271" s="143">
        <v>65</v>
      </c>
      <c r="E271" s="143" t="s">
        <v>433</v>
      </c>
      <c r="F271" s="143" t="s">
        <v>954</v>
      </c>
      <c r="G271" s="143" t="s">
        <v>293</v>
      </c>
      <c r="H271" s="143" t="s">
        <v>954</v>
      </c>
      <c r="I271" s="143" t="s">
        <v>285</v>
      </c>
      <c r="J271" s="143" t="s">
        <v>914</v>
      </c>
      <c r="K271" s="143" t="s">
        <v>914</v>
      </c>
      <c r="L271" s="143" t="s">
        <v>914</v>
      </c>
      <c r="M271" s="143">
        <v>830</v>
      </c>
      <c r="N271" s="143">
        <v>50</v>
      </c>
    </row>
    <row r="272" spans="1:14" x14ac:dyDescent="0.25">
      <c r="E272" s="143" t="s">
        <v>434</v>
      </c>
      <c r="F272" s="143">
        <v>0</v>
      </c>
      <c r="G272" s="143">
        <v>0</v>
      </c>
      <c r="H272" s="143">
        <v>0</v>
      </c>
    </row>
    <row r="273" spans="1:14" x14ac:dyDescent="0.25">
      <c r="E273" s="143" t="s">
        <v>433</v>
      </c>
      <c r="F273" s="143">
        <v>0</v>
      </c>
      <c r="G273" s="143">
        <v>0</v>
      </c>
      <c r="H273" s="143">
        <v>0</v>
      </c>
    </row>
    <row r="274" spans="1:14" x14ac:dyDescent="0.25">
      <c r="E274" s="143" t="s">
        <v>434</v>
      </c>
      <c r="F274" s="143" t="s">
        <v>293</v>
      </c>
      <c r="G274" s="143" t="s">
        <v>947</v>
      </c>
      <c r="H274" s="143" t="s">
        <v>293</v>
      </c>
    </row>
    <row r="275" spans="1:14" x14ac:dyDescent="0.25">
      <c r="A275" s="143" t="s">
        <v>858</v>
      </c>
      <c r="B275" s="143" t="s">
        <v>977</v>
      </c>
      <c r="C275" s="143">
        <v>40</v>
      </c>
      <c r="D275" s="143">
        <v>65</v>
      </c>
      <c r="E275" s="143" t="s">
        <v>433</v>
      </c>
      <c r="F275" s="143" t="s">
        <v>954</v>
      </c>
      <c r="G275" s="143" t="s">
        <v>293</v>
      </c>
      <c r="H275" s="143" t="s">
        <v>954</v>
      </c>
      <c r="I275" s="143" t="s">
        <v>285</v>
      </c>
      <c r="J275" s="143" t="s">
        <v>914</v>
      </c>
      <c r="K275" s="143" t="s">
        <v>914</v>
      </c>
      <c r="L275" s="143" t="s">
        <v>914</v>
      </c>
      <c r="M275" s="143">
        <v>830</v>
      </c>
      <c r="N275" s="143">
        <v>50</v>
      </c>
    </row>
    <row r="276" spans="1:14" x14ac:dyDescent="0.25">
      <c r="E276" s="143" t="s">
        <v>434</v>
      </c>
      <c r="F276" s="143">
        <v>0</v>
      </c>
      <c r="G276" s="143">
        <v>0</v>
      </c>
      <c r="H276" s="143">
        <v>0</v>
      </c>
    </row>
    <row r="277" spans="1:14" x14ac:dyDescent="0.25">
      <c r="E277" s="143" t="s">
        <v>433</v>
      </c>
      <c r="F277" s="143">
        <v>0</v>
      </c>
      <c r="G277" s="143">
        <v>0</v>
      </c>
      <c r="H277" s="143">
        <v>0</v>
      </c>
    </row>
    <row r="278" spans="1:14" x14ac:dyDescent="0.25">
      <c r="E278" s="143" t="s">
        <v>434</v>
      </c>
      <c r="F278" s="143" t="s">
        <v>293</v>
      </c>
      <c r="G278" s="143" t="s">
        <v>947</v>
      </c>
      <c r="H278" s="143" t="s">
        <v>293</v>
      </c>
    </row>
    <row r="279" spans="1:14" x14ac:dyDescent="0.25">
      <c r="A279" s="143" t="s">
        <v>858</v>
      </c>
      <c r="B279" s="143" t="s">
        <v>978</v>
      </c>
      <c r="C279" s="143">
        <v>40</v>
      </c>
      <c r="D279" s="143">
        <v>65</v>
      </c>
      <c r="E279" s="143" t="s">
        <v>433</v>
      </c>
      <c r="F279" s="143" t="s">
        <v>954</v>
      </c>
      <c r="G279" s="143" t="s">
        <v>293</v>
      </c>
      <c r="H279" s="143" t="s">
        <v>944</v>
      </c>
      <c r="I279" s="143" t="s">
        <v>285</v>
      </c>
      <c r="J279" s="143" t="s">
        <v>914</v>
      </c>
      <c r="K279" s="143" t="s">
        <v>914</v>
      </c>
      <c r="L279" s="143" t="s">
        <v>914</v>
      </c>
      <c r="M279" s="143">
        <v>830</v>
      </c>
      <c r="N279" s="143">
        <v>50</v>
      </c>
    </row>
    <row r="280" spans="1:14" x14ac:dyDescent="0.25">
      <c r="E280" s="143" t="s">
        <v>434</v>
      </c>
      <c r="F280" s="143">
        <v>0</v>
      </c>
      <c r="G280" s="143">
        <v>0</v>
      </c>
      <c r="H280" s="143">
        <v>0</v>
      </c>
    </row>
    <row r="281" spans="1:14" x14ac:dyDescent="0.25">
      <c r="E281" s="143" t="s">
        <v>433</v>
      </c>
      <c r="F281" s="143">
        <v>0</v>
      </c>
      <c r="G281" s="143">
        <v>0</v>
      </c>
      <c r="H281" s="143">
        <v>0</v>
      </c>
    </row>
    <row r="282" spans="1:14" x14ac:dyDescent="0.25">
      <c r="E282" s="143" t="s">
        <v>434</v>
      </c>
      <c r="F282" s="143" t="s">
        <v>293</v>
      </c>
      <c r="G282" s="143" t="s">
        <v>947</v>
      </c>
      <c r="H282" s="143" t="s">
        <v>947</v>
      </c>
    </row>
    <row r="283" spans="1:14" x14ac:dyDescent="0.25">
      <c r="A283" s="143" t="s">
        <v>858</v>
      </c>
      <c r="B283" s="143" t="s">
        <v>960</v>
      </c>
      <c r="C283" s="143">
        <v>40</v>
      </c>
      <c r="D283" s="143">
        <v>65</v>
      </c>
      <c r="E283" s="143" t="s">
        <v>433</v>
      </c>
      <c r="F283" s="143" t="s">
        <v>967</v>
      </c>
      <c r="G283" s="143" t="s">
        <v>293</v>
      </c>
      <c r="H283" s="143" t="s">
        <v>944</v>
      </c>
      <c r="I283" s="143" t="s">
        <v>285</v>
      </c>
      <c r="J283" s="143" t="s">
        <v>979</v>
      </c>
      <c r="K283" s="143" t="s">
        <v>979</v>
      </c>
      <c r="L283" s="143" t="s">
        <v>979</v>
      </c>
      <c r="M283" s="143">
        <v>990</v>
      </c>
      <c r="N283" s="143">
        <v>50</v>
      </c>
    </row>
    <row r="284" spans="1:14" x14ac:dyDescent="0.25">
      <c r="E284" s="143" t="s">
        <v>434</v>
      </c>
      <c r="F284" s="143" t="s">
        <v>947</v>
      </c>
      <c r="G284" s="143">
        <v>0</v>
      </c>
      <c r="H284" s="143">
        <v>0</v>
      </c>
    </row>
    <row r="285" spans="1:14" x14ac:dyDescent="0.25">
      <c r="E285" s="143" t="s">
        <v>433</v>
      </c>
      <c r="F285" s="143">
        <v>0</v>
      </c>
      <c r="G285" s="143" t="s">
        <v>944</v>
      </c>
      <c r="H285" s="143" t="s">
        <v>944</v>
      </c>
    </row>
    <row r="286" spans="1:14" x14ac:dyDescent="0.25">
      <c r="E286" s="143" t="s">
        <v>434</v>
      </c>
      <c r="F286" s="143" t="s">
        <v>294</v>
      </c>
      <c r="G286" s="143" t="s">
        <v>294</v>
      </c>
      <c r="H286" s="143" t="s">
        <v>294</v>
      </c>
    </row>
    <row r="287" spans="1:14" x14ac:dyDescent="0.25">
      <c r="A287" s="143" t="s">
        <v>858</v>
      </c>
      <c r="B287" s="143" t="s">
        <v>964</v>
      </c>
      <c r="C287" s="143">
        <v>40</v>
      </c>
      <c r="D287" s="143">
        <v>65</v>
      </c>
      <c r="E287" s="143" t="s">
        <v>433</v>
      </c>
      <c r="F287" s="143" t="s">
        <v>967</v>
      </c>
      <c r="G287" s="143" t="s">
        <v>293</v>
      </c>
      <c r="H287" s="143" t="s">
        <v>944</v>
      </c>
      <c r="I287" s="143" t="s">
        <v>285</v>
      </c>
      <c r="J287" s="143" t="s">
        <v>979</v>
      </c>
      <c r="K287" s="143" t="s">
        <v>979</v>
      </c>
      <c r="L287" s="143" t="s">
        <v>979</v>
      </c>
      <c r="M287" s="143">
        <v>990</v>
      </c>
      <c r="N287" s="143">
        <v>50</v>
      </c>
    </row>
    <row r="288" spans="1:14" x14ac:dyDescent="0.25">
      <c r="E288" s="143" t="s">
        <v>434</v>
      </c>
      <c r="F288" s="143" t="s">
        <v>293</v>
      </c>
      <c r="G288" s="143">
        <v>0</v>
      </c>
      <c r="H288" s="143">
        <v>0</v>
      </c>
    </row>
    <row r="289" spans="1:14" x14ac:dyDescent="0.25">
      <c r="E289" s="143" t="s">
        <v>433</v>
      </c>
      <c r="F289" s="143">
        <v>0</v>
      </c>
      <c r="G289" s="143" t="s">
        <v>944</v>
      </c>
      <c r="H289" s="143" t="s">
        <v>944</v>
      </c>
    </row>
    <row r="290" spans="1:14" x14ac:dyDescent="0.25">
      <c r="E290" s="143" t="s">
        <v>434</v>
      </c>
      <c r="F290" s="143" t="s">
        <v>294</v>
      </c>
      <c r="G290" s="143" t="s">
        <v>294</v>
      </c>
      <c r="H290" s="143" t="s">
        <v>294</v>
      </c>
    </row>
    <row r="291" spans="1:14" x14ac:dyDescent="0.25">
      <c r="A291" s="143" t="s">
        <v>858</v>
      </c>
      <c r="B291" s="143" t="s">
        <v>965</v>
      </c>
      <c r="C291" s="143">
        <v>40</v>
      </c>
      <c r="D291" s="143">
        <v>65</v>
      </c>
      <c r="E291" s="143" t="s">
        <v>433</v>
      </c>
      <c r="F291" s="143" t="s">
        <v>967</v>
      </c>
      <c r="G291" s="143" t="s">
        <v>293</v>
      </c>
      <c r="H291" s="143" t="s">
        <v>944</v>
      </c>
      <c r="I291" s="143" t="s">
        <v>285</v>
      </c>
      <c r="J291" s="143" t="s">
        <v>979</v>
      </c>
      <c r="K291" s="143" t="s">
        <v>979</v>
      </c>
      <c r="L291" s="143" t="s">
        <v>979</v>
      </c>
      <c r="M291" s="143">
        <v>990</v>
      </c>
      <c r="N291" s="143">
        <v>50</v>
      </c>
    </row>
    <row r="292" spans="1:14" x14ac:dyDescent="0.25">
      <c r="E292" s="143" t="s">
        <v>434</v>
      </c>
      <c r="F292" s="143" t="s">
        <v>954</v>
      </c>
      <c r="G292" s="143">
        <v>0</v>
      </c>
      <c r="H292" s="143">
        <v>0</v>
      </c>
    </row>
    <row r="293" spans="1:14" x14ac:dyDescent="0.25">
      <c r="E293" s="143" t="s">
        <v>433</v>
      </c>
      <c r="F293" s="143">
        <v>0</v>
      </c>
      <c r="G293" s="143" t="s">
        <v>944</v>
      </c>
      <c r="H293" s="143" t="s">
        <v>944</v>
      </c>
    </row>
    <row r="294" spans="1:14" x14ac:dyDescent="0.25">
      <c r="E294" s="143" t="s">
        <v>434</v>
      </c>
      <c r="F294" s="143" t="s">
        <v>967</v>
      </c>
      <c r="G294" s="143" t="s">
        <v>967</v>
      </c>
      <c r="H294" s="143" t="s">
        <v>967</v>
      </c>
    </row>
    <row r="295" spans="1:14" x14ac:dyDescent="0.25">
      <c r="A295" s="143" t="s">
        <v>858</v>
      </c>
      <c r="B295" s="143" t="s">
        <v>965</v>
      </c>
      <c r="C295" s="143">
        <v>40</v>
      </c>
      <c r="D295" s="143">
        <v>65</v>
      </c>
      <c r="E295" s="143" t="s">
        <v>433</v>
      </c>
      <c r="F295" s="143" t="s">
        <v>967</v>
      </c>
      <c r="G295" s="143" t="s">
        <v>293</v>
      </c>
      <c r="H295" s="143" t="s">
        <v>944</v>
      </c>
      <c r="I295" s="143" t="s">
        <v>285</v>
      </c>
      <c r="J295" s="143" t="s">
        <v>979</v>
      </c>
      <c r="K295" s="143" t="s">
        <v>979</v>
      </c>
      <c r="L295" s="143" t="s">
        <v>979</v>
      </c>
      <c r="M295" s="143">
        <v>990</v>
      </c>
      <c r="N295" s="143">
        <v>50</v>
      </c>
    </row>
    <row r="296" spans="1:14" x14ac:dyDescent="0.25">
      <c r="E296" s="143" t="s">
        <v>434</v>
      </c>
      <c r="F296" s="143" t="s">
        <v>954</v>
      </c>
      <c r="G296" s="143">
        <v>0</v>
      </c>
      <c r="H296" s="143">
        <v>0</v>
      </c>
    </row>
    <row r="297" spans="1:14" x14ac:dyDescent="0.25">
      <c r="E297" s="143" t="s">
        <v>433</v>
      </c>
      <c r="F297" s="143">
        <v>0</v>
      </c>
      <c r="G297" s="143" t="s">
        <v>944</v>
      </c>
      <c r="H297" s="143" t="s">
        <v>944</v>
      </c>
    </row>
    <row r="298" spans="1:14" x14ac:dyDescent="0.25">
      <c r="E298" s="143" t="s">
        <v>434</v>
      </c>
      <c r="F298" s="143" t="s">
        <v>967</v>
      </c>
      <c r="G298" s="143" t="s">
        <v>967</v>
      </c>
      <c r="H298" s="143" t="s">
        <v>967</v>
      </c>
    </row>
    <row r="299" spans="1:14" x14ac:dyDescent="0.25">
      <c r="A299" s="143" t="s">
        <v>858</v>
      </c>
      <c r="B299" s="143" t="s">
        <v>965</v>
      </c>
      <c r="C299" s="143">
        <v>40</v>
      </c>
      <c r="D299" s="143">
        <v>65</v>
      </c>
      <c r="E299" s="143" t="s">
        <v>433</v>
      </c>
      <c r="F299" s="143" t="s">
        <v>967</v>
      </c>
      <c r="G299" s="143" t="s">
        <v>293</v>
      </c>
      <c r="H299" s="143" t="s">
        <v>944</v>
      </c>
      <c r="I299" s="143" t="s">
        <v>285</v>
      </c>
      <c r="J299" s="143" t="s">
        <v>979</v>
      </c>
      <c r="K299" s="143" t="s">
        <v>979</v>
      </c>
      <c r="L299" s="143" t="s">
        <v>979</v>
      </c>
      <c r="M299" s="143">
        <v>990</v>
      </c>
      <c r="N299" s="143">
        <v>50</v>
      </c>
    </row>
    <row r="300" spans="1:14" x14ac:dyDescent="0.25">
      <c r="E300" s="143" t="s">
        <v>434</v>
      </c>
      <c r="F300" s="143" t="s">
        <v>954</v>
      </c>
      <c r="G300" s="143">
        <v>0</v>
      </c>
      <c r="H300" s="143">
        <v>0</v>
      </c>
    </row>
    <row r="301" spans="1:14" x14ac:dyDescent="0.25">
      <c r="E301" s="143" t="s">
        <v>433</v>
      </c>
      <c r="F301" s="143">
        <v>0</v>
      </c>
      <c r="G301" s="143" t="s">
        <v>944</v>
      </c>
      <c r="H301" s="143" t="s">
        <v>944</v>
      </c>
    </row>
    <row r="302" spans="1:14" x14ac:dyDescent="0.25">
      <c r="E302" s="143" t="s">
        <v>434</v>
      </c>
      <c r="F302" s="143" t="s">
        <v>967</v>
      </c>
      <c r="G302" s="143" t="s">
        <v>967</v>
      </c>
      <c r="H302" s="143" t="s">
        <v>967</v>
      </c>
    </row>
    <row r="303" spans="1:14" x14ac:dyDescent="0.25">
      <c r="A303" s="143" t="s">
        <v>858</v>
      </c>
      <c r="B303" s="143" t="s">
        <v>965</v>
      </c>
      <c r="C303" s="143">
        <v>40</v>
      </c>
      <c r="D303" s="143">
        <v>65</v>
      </c>
      <c r="E303" s="143" t="s">
        <v>433</v>
      </c>
      <c r="F303" s="143" t="s">
        <v>967</v>
      </c>
      <c r="G303" s="143" t="s">
        <v>293</v>
      </c>
      <c r="H303" s="143" t="s">
        <v>944</v>
      </c>
      <c r="I303" s="143" t="s">
        <v>285</v>
      </c>
      <c r="J303" s="143" t="s">
        <v>979</v>
      </c>
      <c r="K303" s="143" t="s">
        <v>979</v>
      </c>
      <c r="L303" s="143" t="s">
        <v>979</v>
      </c>
      <c r="M303" s="143">
        <v>990</v>
      </c>
      <c r="N303" s="143">
        <v>50</v>
      </c>
    </row>
    <row r="304" spans="1:14" x14ac:dyDescent="0.25">
      <c r="E304" s="143" t="s">
        <v>434</v>
      </c>
      <c r="F304" s="143" t="s">
        <v>954</v>
      </c>
      <c r="G304" s="143">
        <v>0</v>
      </c>
      <c r="H304" s="143">
        <v>0</v>
      </c>
    </row>
    <row r="305" spans="1:14" x14ac:dyDescent="0.25">
      <c r="E305" s="143" t="s">
        <v>433</v>
      </c>
      <c r="F305" s="143">
        <v>0</v>
      </c>
      <c r="G305" s="143" t="s">
        <v>944</v>
      </c>
      <c r="H305" s="143" t="s">
        <v>944</v>
      </c>
    </row>
    <row r="306" spans="1:14" x14ac:dyDescent="0.25">
      <c r="E306" s="143" t="s">
        <v>434</v>
      </c>
      <c r="F306" s="143" t="s">
        <v>967</v>
      </c>
      <c r="G306" s="143" t="s">
        <v>967</v>
      </c>
      <c r="H306" s="143" t="s">
        <v>967</v>
      </c>
    </row>
    <row r="307" spans="1:14" x14ac:dyDescent="0.25">
      <c r="A307" s="143" t="s">
        <v>858</v>
      </c>
      <c r="B307" s="143" t="s">
        <v>980</v>
      </c>
      <c r="C307" s="143">
        <v>40</v>
      </c>
      <c r="D307" s="143">
        <v>65</v>
      </c>
      <c r="E307" s="143" t="s">
        <v>433</v>
      </c>
      <c r="F307" s="143" t="s">
        <v>944</v>
      </c>
      <c r="G307" s="143" t="s">
        <v>293</v>
      </c>
      <c r="H307" s="143" t="s">
        <v>967</v>
      </c>
      <c r="I307" s="143" t="s">
        <v>285</v>
      </c>
      <c r="J307" s="143" t="s">
        <v>914</v>
      </c>
      <c r="K307" s="143" t="s">
        <v>914</v>
      </c>
      <c r="L307" s="143" t="s">
        <v>914</v>
      </c>
      <c r="M307" s="143">
        <v>830</v>
      </c>
      <c r="N307" s="143">
        <v>50</v>
      </c>
    </row>
    <row r="308" spans="1:14" x14ac:dyDescent="0.25">
      <c r="E308" s="143" t="s">
        <v>434</v>
      </c>
      <c r="F308" s="143">
        <v>0</v>
      </c>
      <c r="G308" s="143">
        <v>0</v>
      </c>
      <c r="H308" s="143" t="s">
        <v>944</v>
      </c>
    </row>
    <row r="309" spans="1:14" x14ac:dyDescent="0.25">
      <c r="E309" s="143" t="s">
        <v>433</v>
      </c>
      <c r="F309" s="143">
        <v>0</v>
      </c>
      <c r="G309" s="143" t="s">
        <v>944</v>
      </c>
      <c r="H309" s="143">
        <v>0</v>
      </c>
    </row>
    <row r="310" spans="1:14" x14ac:dyDescent="0.25">
      <c r="E310" s="143" t="s">
        <v>434</v>
      </c>
      <c r="F310" s="143" t="s">
        <v>967</v>
      </c>
      <c r="G310" s="143" t="s">
        <v>967</v>
      </c>
      <c r="H310" s="143" t="s">
        <v>294</v>
      </c>
    </row>
    <row r="311" spans="1:14" x14ac:dyDescent="0.25">
      <c r="A311" s="143" t="s">
        <v>858</v>
      </c>
      <c r="B311" s="143" t="s">
        <v>981</v>
      </c>
      <c r="C311" s="143">
        <v>40</v>
      </c>
      <c r="D311" s="143">
        <v>65</v>
      </c>
      <c r="E311" s="143" t="s">
        <v>433</v>
      </c>
      <c r="F311" s="143" t="s">
        <v>967</v>
      </c>
      <c r="G311" s="143" t="s">
        <v>293</v>
      </c>
      <c r="H311" s="143" t="s">
        <v>967</v>
      </c>
      <c r="I311" s="143" t="s">
        <v>285</v>
      </c>
      <c r="J311" s="143" t="s">
        <v>286</v>
      </c>
      <c r="K311" s="143" t="s">
        <v>286</v>
      </c>
      <c r="L311" s="143" t="s">
        <v>286</v>
      </c>
      <c r="M311" s="143">
        <v>830</v>
      </c>
      <c r="N311" s="143">
        <v>50</v>
      </c>
    </row>
    <row r="312" spans="1:14" x14ac:dyDescent="0.25">
      <c r="E312" s="143" t="s">
        <v>434</v>
      </c>
      <c r="F312" s="143" t="s">
        <v>944</v>
      </c>
      <c r="G312" s="143">
        <v>0</v>
      </c>
      <c r="H312" s="143" t="s">
        <v>944</v>
      </c>
    </row>
    <row r="313" spans="1:14" x14ac:dyDescent="0.25">
      <c r="E313" s="143" t="s">
        <v>433</v>
      </c>
      <c r="F313" s="143">
        <v>0</v>
      </c>
      <c r="G313" s="143" t="s">
        <v>944</v>
      </c>
      <c r="H313" s="143">
        <v>0</v>
      </c>
    </row>
    <row r="314" spans="1:14" x14ac:dyDescent="0.25">
      <c r="E314" s="143" t="s">
        <v>434</v>
      </c>
      <c r="F314" s="143" t="s">
        <v>954</v>
      </c>
      <c r="G314" s="143" t="s">
        <v>294</v>
      </c>
      <c r="H314" s="143" t="s">
        <v>954</v>
      </c>
    </row>
    <row r="315" spans="1:14" x14ac:dyDescent="0.25">
      <c r="A315" s="143" t="s">
        <v>858</v>
      </c>
      <c r="B315" s="143" t="s">
        <v>982</v>
      </c>
      <c r="C315" s="143">
        <v>40</v>
      </c>
      <c r="D315" s="143">
        <v>65</v>
      </c>
      <c r="E315" s="143" t="s">
        <v>433</v>
      </c>
      <c r="F315" s="143" t="s">
        <v>967</v>
      </c>
      <c r="G315" s="143" t="s">
        <v>293</v>
      </c>
      <c r="H315" s="143" t="s">
        <v>967</v>
      </c>
      <c r="I315" s="143" t="s">
        <v>285</v>
      </c>
      <c r="J315" s="143" t="s">
        <v>286</v>
      </c>
      <c r="K315" s="143" t="s">
        <v>286</v>
      </c>
      <c r="L315" s="143" t="s">
        <v>286</v>
      </c>
      <c r="M315" s="143">
        <v>830</v>
      </c>
      <c r="N315" s="143">
        <v>50</v>
      </c>
    </row>
    <row r="316" spans="1:14" x14ac:dyDescent="0.25">
      <c r="E316" s="143" t="s">
        <v>434</v>
      </c>
      <c r="F316" s="143" t="s">
        <v>944</v>
      </c>
      <c r="G316" s="143">
        <v>0</v>
      </c>
      <c r="H316" s="143" t="s">
        <v>944</v>
      </c>
    </row>
    <row r="317" spans="1:14" x14ac:dyDescent="0.25">
      <c r="E317" s="143" t="s">
        <v>433</v>
      </c>
      <c r="F317" s="143">
        <v>0</v>
      </c>
      <c r="G317" s="143" t="s">
        <v>944</v>
      </c>
      <c r="H317" s="143">
        <v>0</v>
      </c>
    </row>
    <row r="318" spans="1:14" x14ac:dyDescent="0.25">
      <c r="E318" s="143" t="s">
        <v>434</v>
      </c>
      <c r="F318" s="143" t="s">
        <v>954</v>
      </c>
      <c r="G318" s="143" t="s">
        <v>294</v>
      </c>
      <c r="H318" s="143" t="s">
        <v>954</v>
      </c>
    </row>
    <row r="319" spans="1:14" x14ac:dyDescent="0.25">
      <c r="A319" s="143" t="s">
        <v>858</v>
      </c>
      <c r="B319" s="143" t="s">
        <v>983</v>
      </c>
      <c r="C319" s="143">
        <v>40</v>
      </c>
      <c r="D319" s="143">
        <v>65</v>
      </c>
      <c r="E319" s="143" t="s">
        <v>433</v>
      </c>
      <c r="F319" s="143" t="s">
        <v>967</v>
      </c>
      <c r="G319" s="143" t="s">
        <v>293</v>
      </c>
      <c r="H319" s="143" t="s">
        <v>967</v>
      </c>
      <c r="I319" s="143" t="s">
        <v>285</v>
      </c>
      <c r="J319" s="143" t="s">
        <v>286</v>
      </c>
      <c r="K319" s="143" t="s">
        <v>286</v>
      </c>
      <c r="L319" s="143" t="s">
        <v>286</v>
      </c>
      <c r="M319" s="143">
        <v>830</v>
      </c>
      <c r="N319" s="143">
        <v>50</v>
      </c>
    </row>
    <row r="320" spans="1:14" x14ac:dyDescent="0.25">
      <c r="E320" s="143" t="s">
        <v>434</v>
      </c>
      <c r="F320" s="143" t="s">
        <v>944</v>
      </c>
      <c r="G320" s="143">
        <v>0</v>
      </c>
      <c r="H320" s="143" t="s">
        <v>293</v>
      </c>
    </row>
    <row r="321" spans="1:14" x14ac:dyDescent="0.25">
      <c r="E321" s="143" t="s">
        <v>433</v>
      </c>
      <c r="F321" s="143">
        <v>0</v>
      </c>
      <c r="G321" s="143" t="s">
        <v>944</v>
      </c>
      <c r="H321" s="143">
        <v>0</v>
      </c>
    </row>
    <row r="322" spans="1:14" x14ac:dyDescent="0.25">
      <c r="E322" s="143" t="s">
        <v>434</v>
      </c>
      <c r="F322" s="143" t="s">
        <v>954</v>
      </c>
      <c r="G322" s="143" t="s">
        <v>294</v>
      </c>
      <c r="H322" s="143" t="s">
        <v>954</v>
      </c>
    </row>
    <row r="323" spans="1:14" x14ac:dyDescent="0.25">
      <c r="A323" s="143" t="s">
        <v>858</v>
      </c>
      <c r="B323" s="143" t="s">
        <v>984</v>
      </c>
      <c r="C323" s="143">
        <v>40</v>
      </c>
      <c r="D323" s="143">
        <v>65</v>
      </c>
      <c r="E323" s="143" t="s">
        <v>433</v>
      </c>
      <c r="F323" s="143" t="s">
        <v>967</v>
      </c>
      <c r="G323" s="143" t="s">
        <v>293</v>
      </c>
      <c r="H323" s="143" t="s">
        <v>944</v>
      </c>
      <c r="I323" s="143" t="s">
        <v>285</v>
      </c>
      <c r="J323" s="143" t="s">
        <v>979</v>
      </c>
      <c r="K323" s="143" t="s">
        <v>979</v>
      </c>
      <c r="L323" s="143" t="s">
        <v>979</v>
      </c>
      <c r="M323" s="143">
        <v>830</v>
      </c>
      <c r="N323" s="143">
        <v>50</v>
      </c>
    </row>
    <row r="324" spans="1:14" x14ac:dyDescent="0.25">
      <c r="E324" s="143" t="s">
        <v>434</v>
      </c>
      <c r="F324" s="143" t="s">
        <v>293</v>
      </c>
      <c r="G324" s="143">
        <v>0</v>
      </c>
      <c r="H324" s="143">
        <v>0</v>
      </c>
    </row>
    <row r="325" spans="1:14" x14ac:dyDescent="0.25">
      <c r="E325" s="143" t="s">
        <v>433</v>
      </c>
      <c r="F325" s="143">
        <v>0</v>
      </c>
      <c r="G325" s="143" t="s">
        <v>944</v>
      </c>
      <c r="H325" s="143">
        <v>0</v>
      </c>
    </row>
    <row r="326" spans="1:14" x14ac:dyDescent="0.25">
      <c r="E326" s="143" t="s">
        <v>434</v>
      </c>
      <c r="F326" s="143" t="s">
        <v>954</v>
      </c>
      <c r="G326" s="143" t="s">
        <v>294</v>
      </c>
      <c r="H326" s="143" t="s">
        <v>967</v>
      </c>
    </row>
    <row r="327" spans="1:14" x14ac:dyDescent="0.25">
      <c r="A327" s="143" t="s">
        <v>858</v>
      </c>
      <c r="B327" s="143" t="s">
        <v>985</v>
      </c>
      <c r="C327" s="143">
        <v>40</v>
      </c>
      <c r="D327" s="143">
        <v>65</v>
      </c>
      <c r="E327" s="143" t="s">
        <v>433</v>
      </c>
      <c r="F327" s="143" t="s">
        <v>967</v>
      </c>
      <c r="G327" s="143" t="s">
        <v>293</v>
      </c>
      <c r="H327" s="143" t="s">
        <v>967</v>
      </c>
      <c r="I327" s="143" t="s">
        <v>285</v>
      </c>
      <c r="J327" s="143" t="s">
        <v>918</v>
      </c>
      <c r="K327" s="143" t="s">
        <v>918</v>
      </c>
      <c r="L327" s="143" t="s">
        <v>918</v>
      </c>
      <c r="M327" s="143">
        <v>830</v>
      </c>
      <c r="N327" s="143">
        <v>140</v>
      </c>
    </row>
    <row r="328" spans="1:14" x14ac:dyDescent="0.25">
      <c r="E328" s="143" t="s">
        <v>434</v>
      </c>
      <c r="F328" s="143" t="s">
        <v>954</v>
      </c>
      <c r="G328" s="143">
        <v>0</v>
      </c>
      <c r="H328" s="143" t="s">
        <v>954</v>
      </c>
    </row>
    <row r="329" spans="1:14" x14ac:dyDescent="0.25">
      <c r="E329" s="143" t="s">
        <v>433</v>
      </c>
      <c r="F329" s="143" t="s">
        <v>954</v>
      </c>
      <c r="G329" s="143" t="s">
        <v>967</v>
      </c>
      <c r="H329" s="143" t="s">
        <v>954</v>
      </c>
    </row>
    <row r="330" spans="1:14" x14ac:dyDescent="0.25">
      <c r="E330" s="143" t="s">
        <v>434</v>
      </c>
      <c r="F330" s="143" t="s">
        <v>967</v>
      </c>
      <c r="G330" s="143" t="s">
        <v>967</v>
      </c>
      <c r="H330" s="143" t="s">
        <v>967</v>
      </c>
    </row>
    <row r="331" spans="1:14" x14ac:dyDescent="0.25">
      <c r="A331" s="143" t="s">
        <v>858</v>
      </c>
      <c r="B331" s="143" t="s">
        <v>985</v>
      </c>
      <c r="C331" s="143">
        <v>40</v>
      </c>
      <c r="D331" s="143">
        <v>65</v>
      </c>
      <c r="E331" s="143" t="s">
        <v>433</v>
      </c>
      <c r="F331" s="143" t="s">
        <v>967</v>
      </c>
      <c r="G331" s="143" t="s">
        <v>293</v>
      </c>
      <c r="H331" s="143" t="s">
        <v>967</v>
      </c>
      <c r="I331" s="143" t="s">
        <v>285</v>
      </c>
      <c r="J331" s="143" t="s">
        <v>918</v>
      </c>
      <c r="K331" s="143" t="s">
        <v>918</v>
      </c>
      <c r="L331" s="143" t="s">
        <v>918</v>
      </c>
      <c r="M331" s="143">
        <v>830</v>
      </c>
      <c r="N331" s="143">
        <v>140</v>
      </c>
    </row>
    <row r="332" spans="1:14" x14ac:dyDescent="0.25">
      <c r="E332" s="143" t="s">
        <v>434</v>
      </c>
      <c r="F332" s="143" t="s">
        <v>954</v>
      </c>
      <c r="G332" s="143">
        <v>0</v>
      </c>
      <c r="H332" s="143" t="s">
        <v>954</v>
      </c>
    </row>
    <row r="333" spans="1:14" x14ac:dyDescent="0.25">
      <c r="E333" s="143" t="s">
        <v>433</v>
      </c>
      <c r="F333" s="143" t="s">
        <v>954</v>
      </c>
      <c r="G333" s="143" t="s">
        <v>967</v>
      </c>
      <c r="H333" s="143" t="s">
        <v>954</v>
      </c>
    </row>
    <row r="334" spans="1:14" x14ac:dyDescent="0.25">
      <c r="E334" s="143" t="s">
        <v>434</v>
      </c>
      <c r="F334" s="143" t="s">
        <v>967</v>
      </c>
      <c r="G334" s="143" t="s">
        <v>967</v>
      </c>
      <c r="H334" s="143" t="s">
        <v>967</v>
      </c>
    </row>
    <row r="335" spans="1:14" x14ac:dyDescent="0.25">
      <c r="A335" s="143" t="s">
        <v>858</v>
      </c>
      <c r="B335" s="143" t="s">
        <v>985</v>
      </c>
      <c r="C335" s="143">
        <v>40</v>
      </c>
      <c r="D335" s="143">
        <v>65</v>
      </c>
      <c r="E335" s="143" t="s">
        <v>433</v>
      </c>
      <c r="F335" s="143" t="s">
        <v>967</v>
      </c>
      <c r="G335" s="143" t="s">
        <v>293</v>
      </c>
      <c r="H335" s="143" t="s">
        <v>967</v>
      </c>
      <c r="I335" s="143" t="s">
        <v>285</v>
      </c>
      <c r="J335" s="143" t="s">
        <v>918</v>
      </c>
      <c r="K335" s="143" t="s">
        <v>918</v>
      </c>
      <c r="L335" s="143" t="s">
        <v>918</v>
      </c>
      <c r="M335" s="143">
        <v>830</v>
      </c>
      <c r="N335" s="143">
        <v>140</v>
      </c>
    </row>
    <row r="336" spans="1:14" x14ac:dyDescent="0.25">
      <c r="E336" s="143" t="s">
        <v>434</v>
      </c>
      <c r="F336" s="143" t="s">
        <v>954</v>
      </c>
      <c r="G336" s="143">
        <v>0</v>
      </c>
      <c r="H336" s="143" t="s">
        <v>954</v>
      </c>
    </row>
    <row r="337" spans="1:14" x14ac:dyDescent="0.25">
      <c r="E337" s="143" t="s">
        <v>433</v>
      </c>
      <c r="F337" s="143" t="s">
        <v>954</v>
      </c>
      <c r="G337" s="143" t="s">
        <v>967</v>
      </c>
      <c r="H337" s="143" t="s">
        <v>954</v>
      </c>
    </row>
    <row r="338" spans="1:14" x14ac:dyDescent="0.25">
      <c r="E338" s="143" t="s">
        <v>434</v>
      </c>
      <c r="F338" s="143" t="s">
        <v>967</v>
      </c>
      <c r="G338" s="143" t="s">
        <v>967</v>
      </c>
      <c r="H338" s="143" t="s">
        <v>967</v>
      </c>
    </row>
    <row r="339" spans="1:14" x14ac:dyDescent="0.25">
      <c r="A339" s="143" t="s">
        <v>858</v>
      </c>
      <c r="B339" s="143" t="s">
        <v>985</v>
      </c>
      <c r="C339" s="143">
        <v>40</v>
      </c>
      <c r="D339" s="143">
        <v>65</v>
      </c>
      <c r="E339" s="143" t="s">
        <v>433</v>
      </c>
      <c r="F339" s="143" t="s">
        <v>967</v>
      </c>
      <c r="G339" s="143" t="s">
        <v>293</v>
      </c>
      <c r="H339" s="143" t="s">
        <v>967</v>
      </c>
      <c r="I339" s="143" t="s">
        <v>285</v>
      </c>
      <c r="J339" s="143" t="s">
        <v>918</v>
      </c>
      <c r="K339" s="143" t="s">
        <v>918</v>
      </c>
      <c r="L339" s="143" t="s">
        <v>918</v>
      </c>
      <c r="M339" s="143">
        <v>830</v>
      </c>
      <c r="N339" s="143">
        <v>140</v>
      </c>
    </row>
    <row r="340" spans="1:14" x14ac:dyDescent="0.25">
      <c r="E340" s="143" t="s">
        <v>434</v>
      </c>
      <c r="F340" s="143" t="s">
        <v>954</v>
      </c>
      <c r="G340" s="143">
        <v>0</v>
      </c>
      <c r="H340" s="143" t="s">
        <v>954</v>
      </c>
    </row>
    <row r="341" spans="1:14" x14ac:dyDescent="0.25">
      <c r="E341" s="143" t="s">
        <v>433</v>
      </c>
      <c r="F341" s="143" t="s">
        <v>954</v>
      </c>
      <c r="G341" s="143" t="s">
        <v>967</v>
      </c>
      <c r="H341" s="143" t="s">
        <v>954</v>
      </c>
    </row>
    <row r="342" spans="1:14" x14ac:dyDescent="0.25">
      <c r="E342" s="143" t="s">
        <v>434</v>
      </c>
      <c r="F342" s="143" t="s">
        <v>967</v>
      </c>
      <c r="G342" s="143" t="s">
        <v>967</v>
      </c>
      <c r="H342" s="143" t="s">
        <v>967</v>
      </c>
    </row>
    <row r="343" spans="1:14" x14ac:dyDescent="0.25">
      <c r="A343" s="143" t="s">
        <v>858</v>
      </c>
      <c r="B343" s="143" t="s">
        <v>985</v>
      </c>
      <c r="C343" s="143">
        <v>40</v>
      </c>
      <c r="D343" s="143">
        <v>65</v>
      </c>
      <c r="E343" s="143" t="s">
        <v>433</v>
      </c>
      <c r="F343" s="143" t="s">
        <v>967</v>
      </c>
      <c r="G343" s="143" t="s">
        <v>293</v>
      </c>
      <c r="H343" s="143" t="s">
        <v>967</v>
      </c>
      <c r="I343" s="143" t="s">
        <v>285</v>
      </c>
      <c r="J343" s="143" t="s">
        <v>918</v>
      </c>
      <c r="K343" s="143" t="s">
        <v>918</v>
      </c>
      <c r="L343" s="143" t="s">
        <v>918</v>
      </c>
      <c r="M343" s="143">
        <v>830</v>
      </c>
      <c r="N343" s="143">
        <v>140</v>
      </c>
    </row>
    <row r="344" spans="1:14" x14ac:dyDescent="0.25">
      <c r="E344" s="143" t="s">
        <v>434</v>
      </c>
      <c r="F344" s="143" t="s">
        <v>954</v>
      </c>
      <c r="G344" s="143">
        <v>0</v>
      </c>
      <c r="H344" s="143" t="s">
        <v>954</v>
      </c>
    </row>
    <row r="345" spans="1:14" x14ac:dyDescent="0.25">
      <c r="E345" s="143" t="s">
        <v>433</v>
      </c>
      <c r="F345" s="143" t="s">
        <v>954</v>
      </c>
      <c r="G345" s="143" t="s">
        <v>967</v>
      </c>
      <c r="H345" s="143" t="s">
        <v>954</v>
      </c>
    </row>
    <row r="346" spans="1:14" x14ac:dyDescent="0.25">
      <c r="E346" s="143" t="s">
        <v>434</v>
      </c>
      <c r="F346" s="143" t="s">
        <v>967</v>
      </c>
      <c r="G346" s="143" t="s">
        <v>967</v>
      </c>
      <c r="H346" s="143" t="s">
        <v>967</v>
      </c>
    </row>
    <row r="347" spans="1:14" x14ac:dyDescent="0.25">
      <c r="A347" s="143" t="s">
        <v>858</v>
      </c>
      <c r="B347" s="143" t="s">
        <v>985</v>
      </c>
      <c r="C347" s="143">
        <v>40</v>
      </c>
      <c r="D347" s="143">
        <v>65</v>
      </c>
      <c r="E347" s="143" t="s">
        <v>433</v>
      </c>
      <c r="F347" s="143" t="s">
        <v>967</v>
      </c>
      <c r="G347" s="143" t="s">
        <v>293</v>
      </c>
      <c r="H347" s="143" t="s">
        <v>967</v>
      </c>
      <c r="I347" s="143" t="s">
        <v>285</v>
      </c>
      <c r="J347" s="143" t="s">
        <v>918</v>
      </c>
      <c r="K347" s="143" t="s">
        <v>918</v>
      </c>
      <c r="L347" s="143" t="s">
        <v>918</v>
      </c>
      <c r="M347" s="143">
        <v>830</v>
      </c>
      <c r="N347" s="143">
        <v>140</v>
      </c>
    </row>
    <row r="348" spans="1:14" x14ac:dyDescent="0.25">
      <c r="E348" s="143" t="s">
        <v>434</v>
      </c>
      <c r="F348" s="143" t="s">
        <v>954</v>
      </c>
      <c r="G348" s="143">
        <v>0</v>
      </c>
      <c r="H348" s="143" t="s">
        <v>954</v>
      </c>
    </row>
    <row r="349" spans="1:14" x14ac:dyDescent="0.25">
      <c r="E349" s="143" t="s">
        <v>433</v>
      </c>
      <c r="F349" s="143" t="s">
        <v>954</v>
      </c>
      <c r="G349" s="143" t="s">
        <v>967</v>
      </c>
      <c r="H349" s="143" t="s">
        <v>954</v>
      </c>
    </row>
    <row r="350" spans="1:14" x14ac:dyDescent="0.25">
      <c r="E350" s="143" t="s">
        <v>434</v>
      </c>
      <c r="F350" s="143" t="s">
        <v>967</v>
      </c>
      <c r="G350" s="143" t="s">
        <v>967</v>
      </c>
      <c r="H350" s="143" t="s">
        <v>967</v>
      </c>
    </row>
    <row r="351" spans="1:14" x14ac:dyDescent="0.25">
      <c r="A351" s="143" t="s">
        <v>858</v>
      </c>
      <c r="B351" s="143" t="s">
        <v>985</v>
      </c>
      <c r="C351" s="143">
        <v>40</v>
      </c>
      <c r="D351" s="143">
        <v>65</v>
      </c>
      <c r="E351" s="143" t="s">
        <v>433</v>
      </c>
      <c r="F351" s="143" t="s">
        <v>967</v>
      </c>
      <c r="G351" s="143" t="s">
        <v>293</v>
      </c>
      <c r="H351" s="143" t="s">
        <v>967</v>
      </c>
      <c r="I351" s="143" t="s">
        <v>285</v>
      </c>
      <c r="J351" s="143" t="s">
        <v>918</v>
      </c>
      <c r="K351" s="143" t="s">
        <v>918</v>
      </c>
      <c r="L351" s="143" t="s">
        <v>918</v>
      </c>
      <c r="M351" s="143">
        <v>830</v>
      </c>
      <c r="N351" s="143">
        <v>140</v>
      </c>
    </row>
    <row r="352" spans="1:14" x14ac:dyDescent="0.25">
      <c r="E352" s="143" t="s">
        <v>434</v>
      </c>
      <c r="F352" s="143" t="s">
        <v>954</v>
      </c>
      <c r="G352" s="143">
        <v>0</v>
      </c>
      <c r="H352" s="143" t="s">
        <v>954</v>
      </c>
    </row>
    <row r="353" spans="1:14" x14ac:dyDescent="0.25">
      <c r="E353" s="143" t="s">
        <v>433</v>
      </c>
      <c r="F353" s="143" t="s">
        <v>954</v>
      </c>
      <c r="G353" s="143" t="s">
        <v>967</v>
      </c>
      <c r="H353" s="143" t="s">
        <v>954</v>
      </c>
    </row>
    <row r="354" spans="1:14" x14ac:dyDescent="0.25">
      <c r="E354" s="143" t="s">
        <v>434</v>
      </c>
      <c r="F354" s="143" t="s">
        <v>967</v>
      </c>
      <c r="G354" s="143" t="s">
        <v>967</v>
      </c>
      <c r="H354" s="143" t="s">
        <v>967</v>
      </c>
    </row>
    <row r="355" spans="1:14" x14ac:dyDescent="0.25">
      <c r="A355" s="143" t="s">
        <v>858</v>
      </c>
      <c r="B355" s="143" t="s">
        <v>985</v>
      </c>
      <c r="C355" s="143">
        <v>40</v>
      </c>
      <c r="D355" s="143">
        <v>65</v>
      </c>
      <c r="E355" s="143" t="s">
        <v>433</v>
      </c>
      <c r="F355" s="143" t="s">
        <v>967</v>
      </c>
      <c r="G355" s="143" t="s">
        <v>293</v>
      </c>
      <c r="H355" s="143" t="s">
        <v>967</v>
      </c>
      <c r="I355" s="143" t="s">
        <v>285</v>
      </c>
      <c r="J355" s="143" t="s">
        <v>918</v>
      </c>
      <c r="K355" s="143" t="s">
        <v>918</v>
      </c>
      <c r="L355" s="143" t="s">
        <v>918</v>
      </c>
      <c r="M355" s="143">
        <v>830</v>
      </c>
      <c r="N355" s="143">
        <v>140</v>
      </c>
    </row>
    <row r="356" spans="1:14" x14ac:dyDescent="0.25">
      <c r="E356" s="143" t="s">
        <v>434</v>
      </c>
      <c r="F356" s="143" t="s">
        <v>954</v>
      </c>
      <c r="G356" s="143">
        <v>0</v>
      </c>
      <c r="H356" s="143" t="s">
        <v>954</v>
      </c>
    </row>
    <row r="357" spans="1:14" x14ac:dyDescent="0.25">
      <c r="E357" s="143" t="s">
        <v>433</v>
      </c>
      <c r="F357" s="143" t="s">
        <v>954</v>
      </c>
      <c r="G357" s="143" t="s">
        <v>967</v>
      </c>
      <c r="H357" s="143" t="s">
        <v>954</v>
      </c>
    </row>
    <row r="358" spans="1:14" x14ac:dyDescent="0.25">
      <c r="E358" s="143" t="s">
        <v>434</v>
      </c>
      <c r="F358" s="143" t="s">
        <v>967</v>
      </c>
      <c r="G358" s="143" t="s">
        <v>967</v>
      </c>
      <c r="H358" s="143" t="s">
        <v>967</v>
      </c>
    </row>
    <row r="359" spans="1:14" x14ac:dyDescent="0.25">
      <c r="A359" s="143" t="s">
        <v>858</v>
      </c>
      <c r="B359" s="143" t="s">
        <v>985</v>
      </c>
      <c r="C359" s="143">
        <v>40</v>
      </c>
      <c r="D359" s="143">
        <v>65</v>
      </c>
      <c r="E359" s="143" t="s">
        <v>433</v>
      </c>
      <c r="F359" s="143" t="s">
        <v>967</v>
      </c>
      <c r="G359" s="143" t="s">
        <v>293</v>
      </c>
      <c r="H359" s="143" t="s">
        <v>967</v>
      </c>
      <c r="I359" s="143" t="s">
        <v>285</v>
      </c>
      <c r="J359" s="143" t="s">
        <v>918</v>
      </c>
      <c r="K359" s="143" t="s">
        <v>918</v>
      </c>
      <c r="L359" s="143" t="s">
        <v>918</v>
      </c>
      <c r="M359" s="143">
        <v>830</v>
      </c>
      <c r="N359" s="143">
        <v>140</v>
      </c>
    </row>
    <row r="360" spans="1:14" x14ac:dyDescent="0.25">
      <c r="E360" s="143" t="s">
        <v>434</v>
      </c>
      <c r="F360" s="143" t="s">
        <v>954</v>
      </c>
      <c r="G360" s="143">
        <v>0</v>
      </c>
      <c r="H360" s="143" t="s">
        <v>954</v>
      </c>
    </row>
    <row r="361" spans="1:14" x14ac:dyDescent="0.25">
      <c r="E361" s="143" t="s">
        <v>433</v>
      </c>
      <c r="F361" s="143" t="s">
        <v>954</v>
      </c>
      <c r="G361" s="143" t="s">
        <v>967</v>
      </c>
      <c r="H361" s="143" t="s">
        <v>954</v>
      </c>
    </row>
    <row r="362" spans="1:14" x14ac:dyDescent="0.25">
      <c r="E362" s="143" t="s">
        <v>434</v>
      </c>
      <c r="F362" s="143" t="s">
        <v>967</v>
      </c>
      <c r="G362" s="143" t="s">
        <v>967</v>
      </c>
      <c r="H362" s="143" t="s">
        <v>967</v>
      </c>
    </row>
    <row r="363" spans="1:14" x14ac:dyDescent="0.25">
      <c r="A363" s="143" t="s">
        <v>858</v>
      </c>
      <c r="B363" s="143" t="s">
        <v>985</v>
      </c>
      <c r="C363" s="143">
        <v>40</v>
      </c>
      <c r="D363" s="143">
        <v>65</v>
      </c>
      <c r="E363" s="143" t="s">
        <v>433</v>
      </c>
      <c r="F363" s="143" t="s">
        <v>967</v>
      </c>
      <c r="G363" s="143" t="s">
        <v>293</v>
      </c>
      <c r="H363" s="143" t="s">
        <v>967</v>
      </c>
      <c r="I363" s="143" t="s">
        <v>285</v>
      </c>
      <c r="J363" s="143" t="s">
        <v>918</v>
      </c>
      <c r="K363" s="143" t="s">
        <v>918</v>
      </c>
      <c r="L363" s="143" t="s">
        <v>918</v>
      </c>
      <c r="M363" s="143">
        <v>830</v>
      </c>
      <c r="N363" s="143">
        <v>140</v>
      </c>
    </row>
    <row r="364" spans="1:14" x14ac:dyDescent="0.25">
      <c r="E364" s="143" t="s">
        <v>434</v>
      </c>
      <c r="F364" s="143" t="s">
        <v>954</v>
      </c>
      <c r="G364" s="143">
        <v>0</v>
      </c>
      <c r="H364" s="143" t="s">
        <v>954</v>
      </c>
    </row>
    <row r="365" spans="1:14" x14ac:dyDescent="0.25">
      <c r="E365" s="143" t="s">
        <v>433</v>
      </c>
      <c r="F365" s="143" t="s">
        <v>954</v>
      </c>
      <c r="G365" s="143" t="s">
        <v>967</v>
      </c>
      <c r="H365" s="143" t="s">
        <v>954</v>
      </c>
    </row>
    <row r="366" spans="1:14" x14ac:dyDescent="0.25">
      <c r="E366" s="143" t="s">
        <v>434</v>
      </c>
      <c r="F366" s="143" t="s">
        <v>967</v>
      </c>
      <c r="G366" s="143" t="s">
        <v>967</v>
      </c>
      <c r="H366" s="143" t="s">
        <v>967</v>
      </c>
    </row>
    <row r="367" spans="1:14" x14ac:dyDescent="0.25">
      <c r="A367" s="143" t="s">
        <v>858</v>
      </c>
      <c r="B367" s="143" t="s">
        <v>985</v>
      </c>
      <c r="C367" s="143">
        <v>40</v>
      </c>
      <c r="D367" s="143">
        <v>65</v>
      </c>
      <c r="E367" s="143" t="s">
        <v>433</v>
      </c>
      <c r="F367" s="143" t="s">
        <v>967</v>
      </c>
      <c r="G367" s="143" t="s">
        <v>293</v>
      </c>
      <c r="H367" s="143" t="s">
        <v>967</v>
      </c>
      <c r="I367" s="143" t="s">
        <v>285</v>
      </c>
      <c r="J367" s="143" t="s">
        <v>918</v>
      </c>
      <c r="K367" s="143" t="s">
        <v>918</v>
      </c>
      <c r="L367" s="143" t="s">
        <v>918</v>
      </c>
      <c r="M367" s="143">
        <v>830</v>
      </c>
      <c r="N367" s="143">
        <v>140</v>
      </c>
    </row>
    <row r="368" spans="1:14" x14ac:dyDescent="0.25">
      <c r="E368" s="143" t="s">
        <v>434</v>
      </c>
      <c r="F368" s="143" t="s">
        <v>954</v>
      </c>
      <c r="G368" s="143">
        <v>0</v>
      </c>
      <c r="H368" s="143" t="s">
        <v>954</v>
      </c>
    </row>
    <row r="369" spans="1:14" x14ac:dyDescent="0.25">
      <c r="E369" s="143" t="s">
        <v>433</v>
      </c>
      <c r="F369" s="143" t="s">
        <v>954</v>
      </c>
      <c r="G369" s="143" t="s">
        <v>967</v>
      </c>
      <c r="H369" s="143" t="s">
        <v>954</v>
      </c>
    </row>
    <row r="370" spans="1:14" x14ac:dyDescent="0.25">
      <c r="E370" s="143" t="s">
        <v>434</v>
      </c>
      <c r="F370" s="143" t="s">
        <v>967</v>
      </c>
      <c r="G370" s="143" t="s">
        <v>967</v>
      </c>
      <c r="H370" s="143" t="s">
        <v>967</v>
      </c>
    </row>
    <row r="371" spans="1:14" x14ac:dyDescent="0.25">
      <c r="A371" s="143" t="s">
        <v>858</v>
      </c>
      <c r="B371" s="143" t="s">
        <v>985</v>
      </c>
      <c r="C371" s="143">
        <v>40</v>
      </c>
      <c r="D371" s="143">
        <v>65</v>
      </c>
      <c r="E371" s="143" t="s">
        <v>433</v>
      </c>
      <c r="F371" s="143" t="s">
        <v>967</v>
      </c>
      <c r="G371" s="143" t="s">
        <v>293</v>
      </c>
      <c r="H371" s="143" t="s">
        <v>967</v>
      </c>
      <c r="I371" s="143" t="s">
        <v>285</v>
      </c>
      <c r="J371" s="143" t="s">
        <v>918</v>
      </c>
      <c r="K371" s="143" t="s">
        <v>918</v>
      </c>
      <c r="L371" s="143" t="s">
        <v>918</v>
      </c>
      <c r="M371" s="143">
        <v>830</v>
      </c>
      <c r="N371" s="143">
        <v>140</v>
      </c>
    </row>
    <row r="372" spans="1:14" x14ac:dyDescent="0.25">
      <c r="E372" s="143" t="s">
        <v>434</v>
      </c>
      <c r="F372" s="143" t="s">
        <v>954</v>
      </c>
      <c r="G372" s="143">
        <v>0</v>
      </c>
      <c r="H372" s="143" t="s">
        <v>954</v>
      </c>
    </row>
    <row r="373" spans="1:14" x14ac:dyDescent="0.25">
      <c r="E373" s="143" t="s">
        <v>433</v>
      </c>
      <c r="F373" s="143" t="s">
        <v>954</v>
      </c>
      <c r="G373" s="143" t="s">
        <v>967</v>
      </c>
      <c r="H373" s="143" t="s">
        <v>954</v>
      </c>
    </row>
    <row r="374" spans="1:14" x14ac:dyDescent="0.25">
      <c r="E374" s="143" t="s">
        <v>434</v>
      </c>
      <c r="F374" s="143" t="s">
        <v>967</v>
      </c>
      <c r="G374" s="143" t="s">
        <v>967</v>
      </c>
      <c r="H374" s="143" t="s">
        <v>967</v>
      </c>
    </row>
    <row r="375" spans="1:14" x14ac:dyDescent="0.25">
      <c r="A375" s="143" t="s">
        <v>858</v>
      </c>
      <c r="B375" s="143" t="s">
        <v>986</v>
      </c>
      <c r="C375" s="143">
        <v>40</v>
      </c>
      <c r="D375" s="143">
        <v>65</v>
      </c>
      <c r="E375" s="143" t="s">
        <v>433</v>
      </c>
      <c r="F375" s="143" t="s">
        <v>944</v>
      </c>
      <c r="G375" s="143" t="s">
        <v>293</v>
      </c>
      <c r="H375" s="143" t="s">
        <v>967</v>
      </c>
      <c r="I375" s="143" t="s">
        <v>285</v>
      </c>
      <c r="J375" s="143" t="s">
        <v>914</v>
      </c>
      <c r="K375" s="143" t="s">
        <v>914</v>
      </c>
      <c r="L375" s="143" t="s">
        <v>914</v>
      </c>
      <c r="M375" s="143">
        <v>710</v>
      </c>
      <c r="N375" s="143">
        <v>50</v>
      </c>
    </row>
    <row r="376" spans="1:14" x14ac:dyDescent="0.25">
      <c r="E376" s="143" t="s">
        <v>434</v>
      </c>
      <c r="F376" s="143">
        <v>0</v>
      </c>
      <c r="G376" s="143">
        <v>0</v>
      </c>
      <c r="H376" s="143">
        <v>0</v>
      </c>
    </row>
    <row r="377" spans="1:14" x14ac:dyDescent="0.25">
      <c r="E377" s="143" t="s">
        <v>433</v>
      </c>
      <c r="F377" s="143">
        <v>0</v>
      </c>
      <c r="G377" s="143">
        <v>0</v>
      </c>
      <c r="H377" s="143">
        <v>0</v>
      </c>
    </row>
    <row r="378" spans="1:14" x14ac:dyDescent="0.25">
      <c r="E378" s="143" t="s">
        <v>434</v>
      </c>
      <c r="F378" s="143" t="s">
        <v>954</v>
      </c>
      <c r="G378" s="143" t="s">
        <v>294</v>
      </c>
      <c r="H378" s="143" t="s">
        <v>954</v>
      </c>
    </row>
    <row r="379" spans="1:14" x14ac:dyDescent="0.25">
      <c r="A379" s="143" t="s">
        <v>858</v>
      </c>
      <c r="B379" s="143" t="s">
        <v>987</v>
      </c>
      <c r="C379" s="143">
        <v>40</v>
      </c>
      <c r="D379" s="143">
        <v>65</v>
      </c>
      <c r="E379" s="143" t="s">
        <v>433</v>
      </c>
      <c r="F379" s="143" t="s">
        <v>967</v>
      </c>
      <c r="G379" s="143" t="s">
        <v>293</v>
      </c>
      <c r="H379" s="143" t="s">
        <v>967</v>
      </c>
      <c r="I379" s="143" t="s">
        <v>285</v>
      </c>
      <c r="J379" s="143" t="s">
        <v>914</v>
      </c>
      <c r="K379" s="143" t="s">
        <v>914</v>
      </c>
      <c r="L379" s="143" t="s">
        <v>914</v>
      </c>
      <c r="M379" s="143">
        <v>830</v>
      </c>
      <c r="N379" s="143">
        <v>50</v>
      </c>
    </row>
    <row r="380" spans="1:14" x14ac:dyDescent="0.25">
      <c r="E380" s="143" t="s">
        <v>434</v>
      </c>
      <c r="F380" s="143">
        <v>0</v>
      </c>
      <c r="G380" s="143">
        <v>0</v>
      </c>
      <c r="H380" s="143" t="s">
        <v>947</v>
      </c>
    </row>
    <row r="381" spans="1:14" x14ac:dyDescent="0.25">
      <c r="E381" s="143" t="s">
        <v>433</v>
      </c>
      <c r="F381" s="143">
        <v>0</v>
      </c>
      <c r="G381" s="143">
        <v>0</v>
      </c>
      <c r="H381" s="143">
        <v>0</v>
      </c>
    </row>
    <row r="382" spans="1:14" x14ac:dyDescent="0.25">
      <c r="E382" s="143" t="s">
        <v>434</v>
      </c>
      <c r="F382" s="143" t="s">
        <v>954</v>
      </c>
      <c r="G382" s="143" t="s">
        <v>294</v>
      </c>
      <c r="H382" s="143" t="s">
        <v>947</v>
      </c>
    </row>
    <row r="383" spans="1:14" x14ac:dyDescent="0.25">
      <c r="A383" s="143" t="s">
        <v>858</v>
      </c>
      <c r="B383" s="143" t="s">
        <v>988</v>
      </c>
      <c r="C383" s="143">
        <v>40</v>
      </c>
      <c r="D383" s="143">
        <v>65</v>
      </c>
      <c r="E383" s="143" t="s">
        <v>433</v>
      </c>
      <c r="F383" s="143" t="s">
        <v>912</v>
      </c>
      <c r="G383" s="143" t="s">
        <v>915</v>
      </c>
      <c r="H383" s="143" t="s">
        <v>912</v>
      </c>
      <c r="I383" s="143" t="s">
        <v>285</v>
      </c>
      <c r="J383" s="143" t="s">
        <v>979</v>
      </c>
      <c r="K383" s="143" t="s">
        <v>979</v>
      </c>
      <c r="L383" s="143" t="s">
        <v>979</v>
      </c>
      <c r="M383" s="143">
        <v>1070</v>
      </c>
      <c r="N383" s="143">
        <v>50</v>
      </c>
    </row>
    <row r="384" spans="1:14" x14ac:dyDescent="0.25">
      <c r="E384" s="143" t="s">
        <v>434</v>
      </c>
      <c r="F384" s="143" t="s">
        <v>915</v>
      </c>
      <c r="G384" s="143">
        <v>0</v>
      </c>
      <c r="H384" s="143" t="s">
        <v>917</v>
      </c>
    </row>
    <row r="385" spans="1:14" x14ac:dyDescent="0.25">
      <c r="E385" s="143" t="s">
        <v>433</v>
      </c>
      <c r="F385" s="143" t="s">
        <v>293</v>
      </c>
      <c r="G385" s="143" t="s">
        <v>294</v>
      </c>
      <c r="H385" s="143" t="s">
        <v>293</v>
      </c>
    </row>
    <row r="386" spans="1:14" x14ac:dyDescent="0.25">
      <c r="E386" s="143" t="s">
        <v>434</v>
      </c>
      <c r="F386" s="143" t="s">
        <v>967</v>
      </c>
      <c r="G386" s="143" t="s">
        <v>967</v>
      </c>
      <c r="H386" s="143" t="s">
        <v>967</v>
      </c>
    </row>
    <row r="387" spans="1:14" x14ac:dyDescent="0.25">
      <c r="A387" s="143" t="s">
        <v>858</v>
      </c>
      <c r="B387" s="143" t="s">
        <v>989</v>
      </c>
      <c r="C387" s="143">
        <v>40</v>
      </c>
      <c r="D387" s="143">
        <v>65</v>
      </c>
      <c r="E387" s="143" t="s">
        <v>433</v>
      </c>
      <c r="F387" s="143" t="s">
        <v>912</v>
      </c>
      <c r="G387" s="143" t="s">
        <v>915</v>
      </c>
      <c r="H387" s="143" t="s">
        <v>912</v>
      </c>
      <c r="I387" s="143" t="s">
        <v>285</v>
      </c>
      <c r="J387" s="143" t="s">
        <v>979</v>
      </c>
      <c r="K387" s="143" t="s">
        <v>979</v>
      </c>
      <c r="L387" s="143" t="s">
        <v>979</v>
      </c>
      <c r="M387" s="143">
        <v>1100</v>
      </c>
      <c r="N387" s="143">
        <v>50</v>
      </c>
    </row>
    <row r="388" spans="1:14" x14ac:dyDescent="0.25">
      <c r="E388" s="143" t="s">
        <v>434</v>
      </c>
      <c r="F388" s="143" t="s">
        <v>917</v>
      </c>
      <c r="G388" s="143">
        <v>0</v>
      </c>
      <c r="H388" s="143" t="s">
        <v>916</v>
      </c>
    </row>
    <row r="389" spans="1:14" x14ac:dyDescent="0.25">
      <c r="E389" s="143" t="s">
        <v>433</v>
      </c>
      <c r="F389" s="143" t="s">
        <v>293</v>
      </c>
      <c r="G389" s="143" t="s">
        <v>294</v>
      </c>
      <c r="H389" s="143" t="s">
        <v>293</v>
      </c>
    </row>
    <row r="390" spans="1:14" x14ac:dyDescent="0.25">
      <c r="E390" s="143" t="s">
        <v>434</v>
      </c>
      <c r="F390" s="143" t="s">
        <v>967</v>
      </c>
      <c r="G390" s="143" t="s">
        <v>967</v>
      </c>
      <c r="H390" s="143" t="s">
        <v>967</v>
      </c>
    </row>
    <row r="391" spans="1:14" x14ac:dyDescent="0.25">
      <c r="A391" s="143" t="s">
        <v>858</v>
      </c>
      <c r="B391" s="143" t="s">
        <v>990</v>
      </c>
      <c r="C391" s="143">
        <v>40</v>
      </c>
      <c r="D391" s="143">
        <v>65</v>
      </c>
      <c r="E391" s="143" t="s">
        <v>433</v>
      </c>
      <c r="F391" s="143" t="s">
        <v>912</v>
      </c>
      <c r="G391" s="143" t="s">
        <v>915</v>
      </c>
      <c r="H391" s="143" t="s">
        <v>915</v>
      </c>
      <c r="I391" s="143" t="s">
        <v>285</v>
      </c>
      <c r="J391" s="143" t="s">
        <v>918</v>
      </c>
      <c r="K391" s="143" t="s">
        <v>918</v>
      </c>
      <c r="L391" s="143" t="s">
        <v>918</v>
      </c>
      <c r="M391" s="143">
        <v>990</v>
      </c>
      <c r="N391" s="143">
        <v>50</v>
      </c>
    </row>
    <row r="392" spans="1:14" x14ac:dyDescent="0.25">
      <c r="E392" s="143" t="s">
        <v>434</v>
      </c>
      <c r="F392" s="143" t="s">
        <v>916</v>
      </c>
      <c r="G392" s="143">
        <v>0</v>
      </c>
      <c r="H392" s="143">
        <v>0</v>
      </c>
    </row>
    <row r="393" spans="1:14" x14ac:dyDescent="0.25">
      <c r="E393" s="143" t="s">
        <v>433</v>
      </c>
      <c r="F393" s="143" t="s">
        <v>944</v>
      </c>
      <c r="G393" s="143" t="s">
        <v>954</v>
      </c>
      <c r="H393" s="143" t="s">
        <v>947</v>
      </c>
    </row>
    <row r="394" spans="1:14" x14ac:dyDescent="0.25">
      <c r="E394" s="143" t="s">
        <v>434</v>
      </c>
      <c r="F394" s="143" t="s">
        <v>294</v>
      </c>
      <c r="G394" s="143" t="s">
        <v>967</v>
      </c>
      <c r="H394" s="143" t="s">
        <v>967</v>
      </c>
    </row>
    <row r="395" spans="1:14" x14ac:dyDescent="0.25">
      <c r="A395" s="143" t="s">
        <v>859</v>
      </c>
      <c r="B395" s="143" t="s">
        <v>968</v>
      </c>
      <c r="C395" s="143">
        <v>40</v>
      </c>
      <c r="D395" s="143">
        <v>65</v>
      </c>
      <c r="E395" s="143" t="s">
        <v>433</v>
      </c>
      <c r="F395" s="143" t="s">
        <v>944</v>
      </c>
      <c r="G395" s="143" t="s">
        <v>293</v>
      </c>
      <c r="H395" s="143" t="s">
        <v>967</v>
      </c>
      <c r="I395" s="143" t="s">
        <v>902</v>
      </c>
      <c r="J395" s="143" t="s">
        <v>914</v>
      </c>
      <c r="K395" s="143" t="s">
        <v>914</v>
      </c>
      <c r="L395" s="143" t="s">
        <v>914</v>
      </c>
      <c r="M395" s="143">
        <v>830</v>
      </c>
      <c r="N395" s="143">
        <v>50</v>
      </c>
    </row>
    <row r="396" spans="1:14" x14ac:dyDescent="0.25">
      <c r="E396" s="143" t="s">
        <v>434</v>
      </c>
      <c r="F396" s="143">
        <v>0</v>
      </c>
      <c r="G396" s="143">
        <v>0</v>
      </c>
      <c r="H396" s="143">
        <v>0</v>
      </c>
    </row>
    <row r="397" spans="1:14" x14ac:dyDescent="0.25">
      <c r="E397" s="143" t="s">
        <v>433</v>
      </c>
      <c r="F397" s="143">
        <v>0</v>
      </c>
      <c r="G397" s="143" t="s">
        <v>944</v>
      </c>
      <c r="H397" s="143">
        <v>0</v>
      </c>
    </row>
    <row r="398" spans="1:14" x14ac:dyDescent="0.25">
      <c r="E398" s="143" t="s">
        <v>434</v>
      </c>
      <c r="F398" s="143" t="s">
        <v>967</v>
      </c>
      <c r="G398" s="143" t="s">
        <v>967</v>
      </c>
      <c r="H398" s="143" t="s">
        <v>954</v>
      </c>
    </row>
    <row r="399" spans="1:14" x14ac:dyDescent="0.25">
      <c r="A399" s="143" t="s">
        <v>859</v>
      </c>
      <c r="B399" s="143" t="s">
        <v>969</v>
      </c>
      <c r="C399" s="143">
        <v>40</v>
      </c>
      <c r="D399" s="143">
        <v>65</v>
      </c>
      <c r="E399" s="143" t="s">
        <v>433</v>
      </c>
      <c r="F399" s="143" t="s">
        <v>967</v>
      </c>
      <c r="G399" s="143" t="s">
        <v>293</v>
      </c>
      <c r="H399" s="143" t="s">
        <v>294</v>
      </c>
      <c r="I399" s="143" t="s">
        <v>902</v>
      </c>
      <c r="J399" s="143" t="s">
        <v>913</v>
      </c>
      <c r="K399" s="143" t="s">
        <v>913</v>
      </c>
      <c r="L399" s="143" t="s">
        <v>913</v>
      </c>
      <c r="M399" s="143">
        <v>830</v>
      </c>
      <c r="N399" s="143">
        <v>50</v>
      </c>
    </row>
    <row r="400" spans="1:14" x14ac:dyDescent="0.25">
      <c r="E400" s="143" t="s">
        <v>434</v>
      </c>
      <c r="F400" s="143">
        <v>0</v>
      </c>
      <c r="G400" s="143">
        <v>0</v>
      </c>
      <c r="H400" s="143" t="s">
        <v>944</v>
      </c>
    </row>
    <row r="401" spans="1:14" x14ac:dyDescent="0.25">
      <c r="E401" s="143" t="s">
        <v>433</v>
      </c>
      <c r="F401" s="143">
        <v>0</v>
      </c>
      <c r="G401" s="143">
        <v>0</v>
      </c>
      <c r="H401" s="143">
        <v>0</v>
      </c>
    </row>
    <row r="402" spans="1:14" x14ac:dyDescent="0.25">
      <c r="E402" s="143" t="s">
        <v>434</v>
      </c>
      <c r="F402" s="143" t="s">
        <v>954</v>
      </c>
      <c r="G402" s="143" t="s">
        <v>967</v>
      </c>
      <c r="H402" s="143" t="s">
        <v>947</v>
      </c>
    </row>
    <row r="403" spans="1:14" x14ac:dyDescent="0.25">
      <c r="A403" s="143" t="s">
        <v>859</v>
      </c>
      <c r="B403" s="143" t="s">
        <v>970</v>
      </c>
      <c r="C403" s="143">
        <v>40</v>
      </c>
      <c r="D403" s="143">
        <v>65</v>
      </c>
      <c r="E403" s="143" t="s">
        <v>433</v>
      </c>
      <c r="F403" s="143" t="s">
        <v>294</v>
      </c>
      <c r="G403" s="143" t="s">
        <v>293</v>
      </c>
      <c r="H403" s="143" t="s">
        <v>967</v>
      </c>
      <c r="I403" s="143" t="s">
        <v>902</v>
      </c>
      <c r="J403" s="143" t="s">
        <v>913</v>
      </c>
      <c r="K403" s="143" t="s">
        <v>913</v>
      </c>
      <c r="L403" s="143" t="s">
        <v>913</v>
      </c>
      <c r="M403" s="143">
        <v>830</v>
      </c>
      <c r="N403" s="143">
        <v>50</v>
      </c>
    </row>
    <row r="404" spans="1:14" x14ac:dyDescent="0.25">
      <c r="E404" s="143" t="s">
        <v>434</v>
      </c>
      <c r="F404" s="143" t="s">
        <v>944</v>
      </c>
      <c r="G404" s="143">
        <v>0</v>
      </c>
      <c r="H404" s="143">
        <v>0</v>
      </c>
    </row>
    <row r="405" spans="1:14" x14ac:dyDescent="0.25">
      <c r="E405" s="143" t="s">
        <v>433</v>
      </c>
      <c r="F405" s="143">
        <v>0</v>
      </c>
      <c r="G405" s="143">
        <v>0</v>
      </c>
      <c r="H405" s="143">
        <v>0</v>
      </c>
    </row>
    <row r="406" spans="1:14" x14ac:dyDescent="0.25">
      <c r="E406" s="143" t="s">
        <v>434</v>
      </c>
      <c r="F406" s="143" t="s">
        <v>947</v>
      </c>
      <c r="G406" s="143" t="s">
        <v>967</v>
      </c>
      <c r="H406" s="143" t="s">
        <v>947</v>
      </c>
    </row>
    <row r="407" spans="1:14" x14ac:dyDescent="0.25">
      <c r="A407" s="143" t="s">
        <v>859</v>
      </c>
      <c r="B407" s="143" t="s">
        <v>971</v>
      </c>
      <c r="C407" s="143">
        <v>40</v>
      </c>
      <c r="D407" s="143">
        <v>65</v>
      </c>
      <c r="E407" s="143" t="s">
        <v>433</v>
      </c>
      <c r="F407" s="143" t="s">
        <v>967</v>
      </c>
      <c r="G407" s="143" t="s">
        <v>293</v>
      </c>
      <c r="H407" s="143" t="s">
        <v>294</v>
      </c>
      <c r="I407" s="143" t="s">
        <v>902</v>
      </c>
      <c r="J407" s="143" t="s">
        <v>913</v>
      </c>
      <c r="K407" s="143" t="s">
        <v>913</v>
      </c>
      <c r="L407" s="143" t="s">
        <v>913</v>
      </c>
      <c r="M407" s="143">
        <v>830</v>
      </c>
      <c r="N407" s="143">
        <v>50</v>
      </c>
    </row>
    <row r="408" spans="1:14" x14ac:dyDescent="0.25">
      <c r="E408" s="143" t="s">
        <v>434</v>
      </c>
      <c r="F408" s="143">
        <v>0</v>
      </c>
      <c r="G408" s="143">
        <v>0</v>
      </c>
      <c r="H408" s="143" t="s">
        <v>944</v>
      </c>
    </row>
    <row r="409" spans="1:14" x14ac:dyDescent="0.25">
      <c r="E409" s="143" t="s">
        <v>433</v>
      </c>
      <c r="F409" s="143">
        <v>0</v>
      </c>
      <c r="G409" s="143">
        <v>0</v>
      </c>
      <c r="H409" s="143">
        <v>0</v>
      </c>
    </row>
    <row r="410" spans="1:14" x14ac:dyDescent="0.25">
      <c r="E410" s="143" t="s">
        <v>434</v>
      </c>
      <c r="F410" s="143" t="s">
        <v>947</v>
      </c>
      <c r="G410" s="143" t="s">
        <v>967</v>
      </c>
      <c r="H410" s="143" t="s">
        <v>947</v>
      </c>
    </row>
    <row r="411" spans="1:14" x14ac:dyDescent="0.25">
      <c r="A411" s="143" t="s">
        <v>859</v>
      </c>
      <c r="B411" s="143" t="s">
        <v>972</v>
      </c>
      <c r="C411" s="143">
        <v>40</v>
      </c>
      <c r="D411" s="143">
        <v>65</v>
      </c>
      <c r="E411" s="143" t="s">
        <v>433</v>
      </c>
      <c r="F411" s="143" t="s">
        <v>294</v>
      </c>
      <c r="G411" s="143" t="s">
        <v>293</v>
      </c>
      <c r="H411" s="143" t="s">
        <v>954</v>
      </c>
      <c r="I411" s="143" t="s">
        <v>902</v>
      </c>
      <c r="J411" s="143" t="s">
        <v>913</v>
      </c>
      <c r="K411" s="143" t="s">
        <v>913</v>
      </c>
      <c r="L411" s="143" t="s">
        <v>913</v>
      </c>
      <c r="M411" s="143">
        <v>830</v>
      </c>
      <c r="N411" s="143">
        <v>50</v>
      </c>
    </row>
    <row r="412" spans="1:14" x14ac:dyDescent="0.25">
      <c r="E412" s="143" t="s">
        <v>434</v>
      </c>
      <c r="F412" s="143" t="s">
        <v>944</v>
      </c>
      <c r="G412" s="143">
        <v>0</v>
      </c>
      <c r="H412" s="143">
        <v>0</v>
      </c>
    </row>
    <row r="413" spans="1:14" x14ac:dyDescent="0.25">
      <c r="E413" s="143" t="s">
        <v>433</v>
      </c>
      <c r="F413" s="143">
        <v>0</v>
      </c>
      <c r="G413" s="143">
        <v>0</v>
      </c>
      <c r="H413" s="143">
        <v>0</v>
      </c>
    </row>
    <row r="414" spans="1:14" x14ac:dyDescent="0.25">
      <c r="E414" s="143" t="s">
        <v>434</v>
      </c>
      <c r="F414" s="143" t="s">
        <v>947</v>
      </c>
      <c r="G414" s="143" t="s">
        <v>967</v>
      </c>
      <c r="H414" s="143" t="s">
        <v>954</v>
      </c>
    </row>
    <row r="415" spans="1:14" x14ac:dyDescent="0.25">
      <c r="A415" s="143" t="s">
        <v>859</v>
      </c>
      <c r="B415" s="143" t="s">
        <v>973</v>
      </c>
      <c r="C415" s="143">
        <v>40</v>
      </c>
      <c r="D415" s="143">
        <v>65</v>
      </c>
      <c r="E415" s="143" t="s">
        <v>433</v>
      </c>
      <c r="F415" s="143" t="s">
        <v>917</v>
      </c>
      <c r="G415" s="143" t="s">
        <v>915</v>
      </c>
      <c r="H415" s="143" t="s">
        <v>912</v>
      </c>
      <c r="I415" s="143" t="s">
        <v>902</v>
      </c>
      <c r="J415" s="143" t="s">
        <v>914</v>
      </c>
      <c r="K415" s="143" t="s">
        <v>914</v>
      </c>
      <c r="L415" s="143" t="s">
        <v>914</v>
      </c>
      <c r="M415" s="143">
        <v>830</v>
      </c>
      <c r="N415" s="143">
        <v>50</v>
      </c>
    </row>
    <row r="416" spans="1:14" x14ac:dyDescent="0.25">
      <c r="E416" s="143" t="s">
        <v>434</v>
      </c>
      <c r="F416" s="143">
        <v>0</v>
      </c>
      <c r="G416" s="143">
        <v>0</v>
      </c>
      <c r="H416" s="143" t="s">
        <v>916</v>
      </c>
    </row>
    <row r="417" spans="1:14" x14ac:dyDescent="0.25">
      <c r="E417" s="143" t="s">
        <v>433</v>
      </c>
      <c r="F417" s="143">
        <v>0</v>
      </c>
      <c r="G417" s="143" t="s">
        <v>944</v>
      </c>
      <c r="H417" s="143">
        <v>0</v>
      </c>
    </row>
    <row r="418" spans="1:14" x14ac:dyDescent="0.25">
      <c r="E418" s="143" t="s">
        <v>434</v>
      </c>
      <c r="F418" s="143" t="s">
        <v>954</v>
      </c>
      <c r="G418" s="143" t="s">
        <v>967</v>
      </c>
      <c r="H418" s="143" t="s">
        <v>293</v>
      </c>
    </row>
    <row r="419" spans="1:14" x14ac:dyDescent="0.25">
      <c r="A419" s="143" t="s">
        <v>859</v>
      </c>
      <c r="B419" s="143" t="s">
        <v>952</v>
      </c>
      <c r="C419" s="143">
        <v>40</v>
      </c>
      <c r="D419" s="143">
        <v>65</v>
      </c>
      <c r="E419" s="143" t="s">
        <v>433</v>
      </c>
      <c r="F419" s="143" t="s">
        <v>944</v>
      </c>
      <c r="G419" s="143" t="s">
        <v>293</v>
      </c>
      <c r="H419" s="143" t="s">
        <v>967</v>
      </c>
      <c r="I419" s="143" t="s">
        <v>285</v>
      </c>
      <c r="J419" s="143" t="s">
        <v>914</v>
      </c>
      <c r="K419" s="143" t="s">
        <v>914</v>
      </c>
      <c r="L419" s="143" t="s">
        <v>914</v>
      </c>
      <c r="M419" s="143">
        <v>1260</v>
      </c>
      <c r="N419" s="143">
        <v>50</v>
      </c>
    </row>
    <row r="420" spans="1:14" x14ac:dyDescent="0.25">
      <c r="E420" s="143" t="s">
        <v>434</v>
      </c>
      <c r="F420" s="143">
        <v>0</v>
      </c>
      <c r="G420" s="143">
        <v>0</v>
      </c>
      <c r="H420" s="143" t="s">
        <v>293</v>
      </c>
    </row>
    <row r="421" spans="1:14" x14ac:dyDescent="0.25">
      <c r="E421" s="143" t="s">
        <v>433</v>
      </c>
      <c r="F421" s="143">
        <v>0</v>
      </c>
      <c r="G421" s="143">
        <v>0</v>
      </c>
      <c r="H421" s="143">
        <v>0</v>
      </c>
    </row>
    <row r="422" spans="1:14" x14ac:dyDescent="0.25">
      <c r="E422" s="143" t="s">
        <v>434</v>
      </c>
      <c r="F422" s="143" t="s">
        <v>294</v>
      </c>
      <c r="G422" s="143" t="s">
        <v>967</v>
      </c>
      <c r="H422" s="143" t="s">
        <v>967</v>
      </c>
    </row>
    <row r="423" spans="1:14" x14ac:dyDescent="0.25">
      <c r="A423" s="143" t="s">
        <v>859</v>
      </c>
      <c r="B423" s="143" t="s">
        <v>951</v>
      </c>
      <c r="C423" s="143">
        <v>40</v>
      </c>
      <c r="D423" s="143">
        <v>65</v>
      </c>
      <c r="E423" s="143" t="s">
        <v>433</v>
      </c>
      <c r="F423" s="143" t="s">
        <v>967</v>
      </c>
      <c r="G423" s="143" t="s">
        <v>293</v>
      </c>
      <c r="H423" s="143" t="s">
        <v>967</v>
      </c>
      <c r="I423" s="143" t="s">
        <v>285</v>
      </c>
      <c r="J423" s="143" t="s">
        <v>914</v>
      </c>
      <c r="K423" s="143" t="s">
        <v>914</v>
      </c>
      <c r="L423" s="143" t="s">
        <v>914</v>
      </c>
      <c r="M423" s="143">
        <v>830</v>
      </c>
      <c r="N423" s="143">
        <v>50</v>
      </c>
    </row>
    <row r="424" spans="1:14" x14ac:dyDescent="0.25">
      <c r="E424" s="143" t="s">
        <v>434</v>
      </c>
      <c r="F424" s="143" t="s">
        <v>293</v>
      </c>
      <c r="G424" s="143">
        <v>0</v>
      </c>
      <c r="H424" s="143" t="s">
        <v>293</v>
      </c>
    </row>
    <row r="425" spans="1:14" x14ac:dyDescent="0.25">
      <c r="E425" s="143" t="s">
        <v>433</v>
      </c>
      <c r="F425" s="143">
        <v>0</v>
      </c>
      <c r="G425" s="143">
        <v>0</v>
      </c>
      <c r="H425" s="143">
        <v>0</v>
      </c>
    </row>
    <row r="426" spans="1:14" x14ac:dyDescent="0.25">
      <c r="E426" s="143" t="s">
        <v>434</v>
      </c>
      <c r="F426" s="143" t="s">
        <v>967</v>
      </c>
      <c r="G426" s="143" t="s">
        <v>967</v>
      </c>
      <c r="H426" s="143" t="s">
        <v>967</v>
      </c>
    </row>
    <row r="427" spans="1:14" x14ac:dyDescent="0.25">
      <c r="A427" s="143" t="s">
        <v>859</v>
      </c>
      <c r="B427" s="143" t="s">
        <v>952</v>
      </c>
      <c r="C427" s="143">
        <v>40</v>
      </c>
      <c r="D427" s="143">
        <v>65</v>
      </c>
      <c r="E427" s="143" t="s">
        <v>433</v>
      </c>
      <c r="F427" s="143" t="s">
        <v>944</v>
      </c>
      <c r="G427" s="143" t="s">
        <v>293</v>
      </c>
      <c r="H427" s="143" t="s">
        <v>967</v>
      </c>
      <c r="I427" s="143" t="s">
        <v>285</v>
      </c>
      <c r="J427" s="143" t="s">
        <v>914</v>
      </c>
      <c r="K427" s="143" t="s">
        <v>914</v>
      </c>
      <c r="L427" s="143" t="s">
        <v>914</v>
      </c>
      <c r="M427" s="143">
        <v>1260</v>
      </c>
      <c r="N427" s="143">
        <v>50</v>
      </c>
    </row>
    <row r="428" spans="1:14" x14ac:dyDescent="0.25">
      <c r="E428" s="143" t="s">
        <v>434</v>
      </c>
      <c r="F428" s="143">
        <v>0</v>
      </c>
      <c r="G428" s="143">
        <v>0</v>
      </c>
      <c r="H428" s="143" t="s">
        <v>293</v>
      </c>
    </row>
    <row r="429" spans="1:14" x14ac:dyDescent="0.25">
      <c r="E429" s="143" t="s">
        <v>433</v>
      </c>
      <c r="F429" s="143">
        <v>0</v>
      </c>
      <c r="G429" s="143">
        <v>0</v>
      </c>
      <c r="H429" s="143">
        <v>0</v>
      </c>
    </row>
    <row r="430" spans="1:14" x14ac:dyDescent="0.25">
      <c r="E430" s="143" t="s">
        <v>434</v>
      </c>
      <c r="F430" s="143" t="s">
        <v>294</v>
      </c>
      <c r="G430" s="143" t="s">
        <v>967</v>
      </c>
      <c r="H430" s="143" t="s">
        <v>967</v>
      </c>
    </row>
    <row r="431" spans="1:14" x14ac:dyDescent="0.25">
      <c r="A431" s="143" t="s">
        <v>859</v>
      </c>
      <c r="B431" s="143" t="s">
        <v>951</v>
      </c>
      <c r="C431" s="143">
        <v>40</v>
      </c>
      <c r="D431" s="143">
        <v>65</v>
      </c>
      <c r="E431" s="143" t="s">
        <v>433</v>
      </c>
      <c r="F431" s="143" t="s">
        <v>967</v>
      </c>
      <c r="G431" s="143" t="s">
        <v>293</v>
      </c>
      <c r="H431" s="143" t="s">
        <v>967</v>
      </c>
      <c r="I431" s="143" t="s">
        <v>285</v>
      </c>
      <c r="J431" s="143" t="s">
        <v>914</v>
      </c>
      <c r="K431" s="143" t="s">
        <v>914</v>
      </c>
      <c r="L431" s="143" t="s">
        <v>914</v>
      </c>
      <c r="M431" s="143">
        <v>830</v>
      </c>
      <c r="N431" s="143">
        <v>50</v>
      </c>
    </row>
    <row r="432" spans="1:14" x14ac:dyDescent="0.25">
      <c r="E432" s="143" t="s">
        <v>434</v>
      </c>
      <c r="F432" s="143" t="s">
        <v>293</v>
      </c>
      <c r="G432" s="143">
        <v>0</v>
      </c>
      <c r="H432" s="143" t="s">
        <v>293</v>
      </c>
    </row>
    <row r="433" spans="1:14" x14ac:dyDescent="0.25">
      <c r="E433" s="143" t="s">
        <v>433</v>
      </c>
      <c r="F433" s="143">
        <v>0</v>
      </c>
      <c r="G433" s="143">
        <v>0</v>
      </c>
      <c r="H433" s="143">
        <v>0</v>
      </c>
    </row>
    <row r="434" spans="1:14" x14ac:dyDescent="0.25">
      <c r="E434" s="143" t="s">
        <v>434</v>
      </c>
      <c r="F434" s="143" t="s">
        <v>967</v>
      </c>
      <c r="G434" s="143" t="s">
        <v>967</v>
      </c>
      <c r="H434" s="143" t="s">
        <v>967</v>
      </c>
    </row>
    <row r="435" spans="1:14" x14ac:dyDescent="0.25">
      <c r="A435" s="143" t="s">
        <v>859</v>
      </c>
      <c r="B435" s="143" t="s">
        <v>951</v>
      </c>
      <c r="C435" s="143">
        <v>40</v>
      </c>
      <c r="D435" s="143">
        <v>65</v>
      </c>
      <c r="E435" s="143" t="s">
        <v>433</v>
      </c>
      <c r="F435" s="143" t="s">
        <v>967</v>
      </c>
      <c r="G435" s="143" t="s">
        <v>293</v>
      </c>
      <c r="H435" s="143" t="s">
        <v>967</v>
      </c>
      <c r="I435" s="143" t="s">
        <v>285</v>
      </c>
      <c r="J435" s="143" t="s">
        <v>914</v>
      </c>
      <c r="K435" s="143" t="s">
        <v>914</v>
      </c>
      <c r="L435" s="143" t="s">
        <v>914</v>
      </c>
      <c r="M435" s="143">
        <v>1260</v>
      </c>
      <c r="N435" s="143">
        <v>50</v>
      </c>
    </row>
    <row r="436" spans="1:14" x14ac:dyDescent="0.25">
      <c r="E436" s="143" t="s">
        <v>434</v>
      </c>
      <c r="F436" s="143" t="s">
        <v>293</v>
      </c>
      <c r="G436" s="143">
        <v>0</v>
      </c>
      <c r="H436" s="143" t="s">
        <v>293</v>
      </c>
    </row>
    <row r="437" spans="1:14" x14ac:dyDescent="0.25">
      <c r="E437" s="143" t="s">
        <v>433</v>
      </c>
      <c r="F437" s="143">
        <v>0</v>
      </c>
      <c r="G437" s="143">
        <v>0</v>
      </c>
      <c r="H437" s="143">
        <v>0</v>
      </c>
    </row>
    <row r="438" spans="1:14" x14ac:dyDescent="0.25">
      <c r="E438" s="143" t="s">
        <v>434</v>
      </c>
      <c r="F438" s="143" t="s">
        <v>967</v>
      </c>
      <c r="G438" s="143" t="s">
        <v>967</v>
      </c>
      <c r="H438" s="143" t="s">
        <v>967</v>
      </c>
    </row>
    <row r="439" spans="1:14" x14ac:dyDescent="0.25">
      <c r="A439" s="143" t="s">
        <v>859</v>
      </c>
      <c r="B439" s="143" t="s">
        <v>958</v>
      </c>
      <c r="C439" s="143">
        <v>40</v>
      </c>
      <c r="D439" s="143">
        <v>65</v>
      </c>
      <c r="E439" s="143" t="s">
        <v>433</v>
      </c>
      <c r="F439" s="143" t="s">
        <v>967</v>
      </c>
      <c r="G439" s="143" t="s">
        <v>293</v>
      </c>
      <c r="H439" s="143" t="s">
        <v>294</v>
      </c>
      <c r="I439" s="143" t="s">
        <v>285</v>
      </c>
      <c r="J439" s="143" t="s">
        <v>914</v>
      </c>
      <c r="K439" s="143" t="s">
        <v>914</v>
      </c>
      <c r="L439" s="143" t="s">
        <v>914</v>
      </c>
      <c r="M439" s="143">
        <v>830</v>
      </c>
      <c r="N439" s="143">
        <v>50</v>
      </c>
    </row>
    <row r="440" spans="1:14" x14ac:dyDescent="0.25">
      <c r="E440" s="143" t="s">
        <v>434</v>
      </c>
      <c r="F440" s="143" t="s">
        <v>293</v>
      </c>
      <c r="G440" s="143">
        <v>0</v>
      </c>
      <c r="H440" s="143">
        <v>0</v>
      </c>
    </row>
    <row r="441" spans="1:14" x14ac:dyDescent="0.25">
      <c r="E441" s="143" t="s">
        <v>433</v>
      </c>
      <c r="F441" s="143">
        <v>0</v>
      </c>
      <c r="G441" s="143">
        <v>0</v>
      </c>
      <c r="H441" s="143">
        <v>0</v>
      </c>
    </row>
    <row r="442" spans="1:14" x14ac:dyDescent="0.25">
      <c r="E442" s="143" t="s">
        <v>434</v>
      </c>
      <c r="F442" s="143" t="s">
        <v>293</v>
      </c>
      <c r="G442" s="143" t="s">
        <v>947</v>
      </c>
      <c r="H442" s="143" t="s">
        <v>293</v>
      </c>
    </row>
    <row r="443" spans="1:14" x14ac:dyDescent="0.25">
      <c r="A443" s="143" t="s">
        <v>859</v>
      </c>
      <c r="B443" s="143" t="s">
        <v>952</v>
      </c>
      <c r="C443" s="143">
        <v>40</v>
      </c>
      <c r="D443" s="143">
        <v>65</v>
      </c>
      <c r="E443" s="143" t="s">
        <v>433</v>
      </c>
      <c r="F443" s="143" t="s">
        <v>944</v>
      </c>
      <c r="G443" s="143" t="s">
        <v>293</v>
      </c>
      <c r="H443" s="143" t="s">
        <v>967</v>
      </c>
      <c r="I443" s="143" t="s">
        <v>285</v>
      </c>
      <c r="J443" s="143" t="s">
        <v>914</v>
      </c>
      <c r="K443" s="143" t="s">
        <v>914</v>
      </c>
      <c r="L443" s="143" t="s">
        <v>914</v>
      </c>
      <c r="M443" s="143">
        <v>1260</v>
      </c>
      <c r="N443" s="143">
        <v>50</v>
      </c>
    </row>
    <row r="444" spans="1:14" x14ac:dyDescent="0.25">
      <c r="E444" s="143" t="s">
        <v>434</v>
      </c>
      <c r="F444" s="143">
        <v>0</v>
      </c>
      <c r="G444" s="143">
        <v>0</v>
      </c>
      <c r="H444" s="143" t="s">
        <v>293</v>
      </c>
    </row>
    <row r="445" spans="1:14" x14ac:dyDescent="0.25">
      <c r="E445" s="143" t="s">
        <v>433</v>
      </c>
      <c r="F445" s="143">
        <v>0</v>
      </c>
      <c r="G445" s="143">
        <v>0</v>
      </c>
      <c r="H445" s="143">
        <v>0</v>
      </c>
    </row>
    <row r="446" spans="1:14" x14ac:dyDescent="0.25">
      <c r="E446" s="143" t="s">
        <v>434</v>
      </c>
      <c r="F446" s="143" t="s">
        <v>294</v>
      </c>
      <c r="G446" s="143" t="s">
        <v>967</v>
      </c>
      <c r="H446" s="143" t="s">
        <v>967</v>
      </c>
    </row>
    <row r="447" spans="1:14" x14ac:dyDescent="0.25">
      <c r="A447" s="143" t="s">
        <v>859</v>
      </c>
      <c r="B447" s="143" t="s">
        <v>951</v>
      </c>
      <c r="C447" s="143">
        <v>40</v>
      </c>
      <c r="D447" s="143">
        <v>65</v>
      </c>
      <c r="E447" s="143" t="s">
        <v>433</v>
      </c>
      <c r="F447" s="143" t="s">
        <v>967</v>
      </c>
      <c r="G447" s="143" t="s">
        <v>293</v>
      </c>
      <c r="H447" s="143" t="s">
        <v>967</v>
      </c>
      <c r="I447" s="143" t="s">
        <v>285</v>
      </c>
      <c r="J447" s="143" t="s">
        <v>914</v>
      </c>
      <c r="K447" s="143" t="s">
        <v>914</v>
      </c>
      <c r="L447" s="143" t="s">
        <v>914</v>
      </c>
      <c r="M447" s="143">
        <v>830</v>
      </c>
      <c r="N447" s="143">
        <v>50</v>
      </c>
    </row>
    <row r="448" spans="1:14" x14ac:dyDescent="0.25">
      <c r="E448" s="143" t="s">
        <v>434</v>
      </c>
      <c r="F448" s="143" t="s">
        <v>293</v>
      </c>
      <c r="G448" s="143">
        <v>0</v>
      </c>
      <c r="H448" s="143" t="s">
        <v>293</v>
      </c>
    </row>
    <row r="449" spans="1:14" x14ac:dyDescent="0.25">
      <c r="E449" s="143" t="s">
        <v>433</v>
      </c>
      <c r="F449" s="143">
        <v>0</v>
      </c>
      <c r="G449" s="143">
        <v>0</v>
      </c>
      <c r="H449" s="143">
        <v>0</v>
      </c>
    </row>
    <row r="450" spans="1:14" x14ac:dyDescent="0.25">
      <c r="E450" s="143" t="s">
        <v>434</v>
      </c>
      <c r="F450" s="143" t="s">
        <v>967</v>
      </c>
      <c r="G450" s="143" t="s">
        <v>967</v>
      </c>
      <c r="H450" s="143" t="s">
        <v>967</v>
      </c>
    </row>
    <row r="451" spans="1:14" x14ac:dyDescent="0.25">
      <c r="A451" s="143" t="s">
        <v>859</v>
      </c>
      <c r="B451" s="143" t="s">
        <v>951</v>
      </c>
      <c r="C451" s="143">
        <v>40</v>
      </c>
      <c r="D451" s="143">
        <v>65</v>
      </c>
      <c r="E451" s="143" t="s">
        <v>433</v>
      </c>
      <c r="F451" s="143" t="s">
        <v>967</v>
      </c>
      <c r="G451" s="143" t="s">
        <v>293</v>
      </c>
      <c r="H451" s="143" t="s">
        <v>967</v>
      </c>
      <c r="I451" s="143" t="s">
        <v>285</v>
      </c>
      <c r="J451" s="143" t="s">
        <v>914</v>
      </c>
      <c r="K451" s="143" t="s">
        <v>914</v>
      </c>
      <c r="L451" s="143" t="s">
        <v>914</v>
      </c>
      <c r="M451" s="143">
        <v>1260</v>
      </c>
      <c r="N451" s="143">
        <v>50</v>
      </c>
    </row>
    <row r="452" spans="1:14" x14ac:dyDescent="0.25">
      <c r="E452" s="143" t="s">
        <v>434</v>
      </c>
      <c r="F452" s="143" t="s">
        <v>293</v>
      </c>
      <c r="G452" s="143">
        <v>0</v>
      </c>
      <c r="H452" s="143" t="s">
        <v>293</v>
      </c>
    </row>
    <row r="453" spans="1:14" x14ac:dyDescent="0.25">
      <c r="E453" s="143" t="s">
        <v>433</v>
      </c>
      <c r="F453" s="143">
        <v>0</v>
      </c>
      <c r="G453" s="143">
        <v>0</v>
      </c>
      <c r="H453" s="143">
        <v>0</v>
      </c>
    </row>
    <row r="454" spans="1:14" x14ac:dyDescent="0.25">
      <c r="E454" s="143" t="s">
        <v>434</v>
      </c>
      <c r="F454" s="143" t="s">
        <v>967</v>
      </c>
      <c r="G454" s="143" t="s">
        <v>967</v>
      </c>
      <c r="H454" s="143" t="s">
        <v>967</v>
      </c>
    </row>
    <row r="455" spans="1:14" x14ac:dyDescent="0.25">
      <c r="A455" s="143" t="s">
        <v>859</v>
      </c>
      <c r="B455" s="143" t="s">
        <v>958</v>
      </c>
      <c r="C455" s="143">
        <v>40</v>
      </c>
      <c r="D455" s="143">
        <v>65</v>
      </c>
      <c r="E455" s="143" t="s">
        <v>433</v>
      </c>
      <c r="F455" s="143" t="s">
        <v>967</v>
      </c>
      <c r="G455" s="143" t="s">
        <v>293</v>
      </c>
      <c r="H455" s="143" t="s">
        <v>294</v>
      </c>
      <c r="I455" s="143" t="s">
        <v>285</v>
      </c>
      <c r="J455" s="143" t="s">
        <v>914</v>
      </c>
      <c r="K455" s="143" t="s">
        <v>914</v>
      </c>
      <c r="L455" s="143" t="s">
        <v>914</v>
      </c>
      <c r="M455" s="143">
        <v>830</v>
      </c>
      <c r="N455" s="143">
        <v>50</v>
      </c>
    </row>
    <row r="456" spans="1:14" x14ac:dyDescent="0.25">
      <c r="E456" s="143" t="s">
        <v>434</v>
      </c>
      <c r="F456" s="143" t="s">
        <v>293</v>
      </c>
      <c r="G456" s="143">
        <v>0</v>
      </c>
      <c r="H456" s="143">
        <v>0</v>
      </c>
    </row>
    <row r="457" spans="1:14" x14ac:dyDescent="0.25">
      <c r="E457" s="143" t="s">
        <v>433</v>
      </c>
      <c r="F457" s="143">
        <v>0</v>
      </c>
      <c r="G457" s="143">
        <v>0</v>
      </c>
      <c r="H457" s="143">
        <v>0</v>
      </c>
    </row>
    <row r="458" spans="1:14" x14ac:dyDescent="0.25">
      <c r="E458" s="143" t="s">
        <v>434</v>
      </c>
      <c r="F458" s="143" t="s">
        <v>293</v>
      </c>
      <c r="G458" s="143" t="s">
        <v>947</v>
      </c>
      <c r="H458" s="143" t="s">
        <v>293</v>
      </c>
    </row>
    <row r="459" spans="1:14" x14ac:dyDescent="0.25">
      <c r="A459" s="143" t="s">
        <v>859</v>
      </c>
      <c r="B459" s="143" t="s">
        <v>951</v>
      </c>
      <c r="C459" s="143">
        <v>40</v>
      </c>
      <c r="D459" s="143">
        <v>65</v>
      </c>
      <c r="E459" s="143" t="s">
        <v>433</v>
      </c>
      <c r="F459" s="143" t="s">
        <v>967</v>
      </c>
      <c r="G459" s="143" t="s">
        <v>293</v>
      </c>
      <c r="H459" s="143" t="s">
        <v>967</v>
      </c>
      <c r="I459" s="143" t="s">
        <v>285</v>
      </c>
      <c r="J459" s="143" t="s">
        <v>914</v>
      </c>
      <c r="K459" s="143" t="s">
        <v>914</v>
      </c>
      <c r="L459" s="143" t="s">
        <v>914</v>
      </c>
      <c r="M459" s="143">
        <v>1260</v>
      </c>
      <c r="N459" s="143">
        <v>50</v>
      </c>
    </row>
    <row r="460" spans="1:14" x14ac:dyDescent="0.25">
      <c r="E460" s="143" t="s">
        <v>434</v>
      </c>
      <c r="F460" s="143" t="s">
        <v>293</v>
      </c>
      <c r="G460" s="143">
        <v>0</v>
      </c>
      <c r="H460" s="143" t="s">
        <v>293</v>
      </c>
    </row>
    <row r="461" spans="1:14" x14ac:dyDescent="0.25">
      <c r="E461" s="143" t="s">
        <v>433</v>
      </c>
      <c r="F461" s="143">
        <v>0</v>
      </c>
      <c r="G461" s="143">
        <v>0</v>
      </c>
      <c r="H461" s="143">
        <v>0</v>
      </c>
    </row>
    <row r="462" spans="1:14" x14ac:dyDescent="0.25">
      <c r="E462" s="143" t="s">
        <v>434</v>
      </c>
      <c r="F462" s="143" t="s">
        <v>967</v>
      </c>
      <c r="G462" s="143" t="s">
        <v>967</v>
      </c>
      <c r="H462" s="143" t="s">
        <v>967</v>
      </c>
    </row>
    <row r="463" spans="1:14" x14ac:dyDescent="0.25">
      <c r="A463" s="143" t="s">
        <v>859</v>
      </c>
      <c r="B463" s="143" t="s">
        <v>958</v>
      </c>
      <c r="C463" s="143">
        <v>40</v>
      </c>
      <c r="D463" s="143">
        <v>65</v>
      </c>
      <c r="E463" s="143" t="s">
        <v>433</v>
      </c>
      <c r="F463" s="143" t="s">
        <v>967</v>
      </c>
      <c r="G463" s="143" t="s">
        <v>293</v>
      </c>
      <c r="H463" s="143" t="s">
        <v>294</v>
      </c>
      <c r="I463" s="143" t="s">
        <v>285</v>
      </c>
      <c r="J463" s="143" t="s">
        <v>914</v>
      </c>
      <c r="K463" s="143" t="s">
        <v>914</v>
      </c>
      <c r="L463" s="143" t="s">
        <v>914</v>
      </c>
      <c r="M463" s="143">
        <v>830</v>
      </c>
      <c r="N463" s="143">
        <v>50</v>
      </c>
    </row>
    <row r="464" spans="1:14" x14ac:dyDescent="0.25">
      <c r="E464" s="143" t="s">
        <v>434</v>
      </c>
      <c r="F464" s="143" t="s">
        <v>293</v>
      </c>
      <c r="G464" s="143">
        <v>0</v>
      </c>
      <c r="H464" s="143">
        <v>0</v>
      </c>
    </row>
    <row r="465" spans="1:14" x14ac:dyDescent="0.25">
      <c r="E465" s="143" t="s">
        <v>433</v>
      </c>
      <c r="F465" s="143">
        <v>0</v>
      </c>
      <c r="G465" s="143">
        <v>0</v>
      </c>
      <c r="H465" s="143">
        <v>0</v>
      </c>
    </row>
    <row r="466" spans="1:14" x14ac:dyDescent="0.25">
      <c r="E466" s="143" t="s">
        <v>434</v>
      </c>
      <c r="F466" s="143" t="s">
        <v>293</v>
      </c>
      <c r="G466" s="143" t="s">
        <v>947</v>
      </c>
      <c r="H466" s="143" t="s">
        <v>293</v>
      </c>
    </row>
    <row r="467" spans="1:14" x14ac:dyDescent="0.25">
      <c r="A467" s="143" t="s">
        <v>859</v>
      </c>
      <c r="B467" s="143" t="s">
        <v>974</v>
      </c>
      <c r="C467" s="143">
        <v>40</v>
      </c>
      <c r="D467" s="143">
        <v>65</v>
      </c>
      <c r="E467" s="143" t="s">
        <v>433</v>
      </c>
      <c r="F467" s="143" t="s">
        <v>944</v>
      </c>
      <c r="G467" s="143" t="s">
        <v>293</v>
      </c>
      <c r="H467" s="143" t="s">
        <v>954</v>
      </c>
      <c r="I467" s="143" t="s">
        <v>902</v>
      </c>
      <c r="J467" s="143" t="s">
        <v>914</v>
      </c>
      <c r="K467" s="143" t="s">
        <v>914</v>
      </c>
      <c r="L467" s="143" t="s">
        <v>914</v>
      </c>
      <c r="M467" s="143">
        <v>830</v>
      </c>
      <c r="N467" s="143">
        <v>50</v>
      </c>
    </row>
    <row r="468" spans="1:14" x14ac:dyDescent="0.25">
      <c r="E468" s="143" t="s">
        <v>434</v>
      </c>
      <c r="F468" s="143">
        <v>0</v>
      </c>
      <c r="G468" s="143">
        <v>0</v>
      </c>
      <c r="H468" s="143">
        <v>0</v>
      </c>
    </row>
    <row r="469" spans="1:14" x14ac:dyDescent="0.25">
      <c r="E469" s="143" t="s">
        <v>433</v>
      </c>
      <c r="F469" s="143">
        <v>0</v>
      </c>
      <c r="G469" s="143">
        <v>0</v>
      </c>
      <c r="H469" s="143">
        <v>0</v>
      </c>
    </row>
    <row r="470" spans="1:14" x14ac:dyDescent="0.25">
      <c r="E470" s="143" t="s">
        <v>434</v>
      </c>
      <c r="F470" s="143" t="s">
        <v>947</v>
      </c>
      <c r="G470" s="143" t="s">
        <v>954</v>
      </c>
      <c r="H470" s="143" t="s">
        <v>293</v>
      </c>
    </row>
    <row r="471" spans="1:14" x14ac:dyDescent="0.25">
      <c r="A471" s="143" t="s">
        <v>859</v>
      </c>
      <c r="B471" s="143" t="s">
        <v>991</v>
      </c>
      <c r="C471" s="143">
        <v>40</v>
      </c>
      <c r="D471" s="143">
        <v>65</v>
      </c>
      <c r="E471" s="143" t="s">
        <v>433</v>
      </c>
      <c r="F471" s="143" t="s">
        <v>954</v>
      </c>
      <c r="G471" s="143" t="s">
        <v>293</v>
      </c>
      <c r="H471" s="143" t="s">
        <v>954</v>
      </c>
      <c r="I471" s="143" t="s">
        <v>902</v>
      </c>
      <c r="J471" s="143" t="s">
        <v>914</v>
      </c>
      <c r="K471" s="143" t="s">
        <v>914</v>
      </c>
      <c r="L471" s="143" t="s">
        <v>914</v>
      </c>
      <c r="M471" s="143">
        <v>830</v>
      </c>
      <c r="N471" s="143">
        <v>50</v>
      </c>
    </row>
    <row r="472" spans="1:14" x14ac:dyDescent="0.25">
      <c r="E472" s="143" t="s">
        <v>434</v>
      </c>
      <c r="F472" s="143">
        <v>0</v>
      </c>
      <c r="G472" s="143">
        <v>0</v>
      </c>
      <c r="H472" s="143">
        <v>0</v>
      </c>
    </row>
    <row r="473" spans="1:14" x14ac:dyDescent="0.25">
      <c r="E473" s="143" t="s">
        <v>433</v>
      </c>
      <c r="F473" s="143">
        <v>0</v>
      </c>
      <c r="G473" s="143">
        <v>0</v>
      </c>
      <c r="H473" s="143">
        <v>0</v>
      </c>
    </row>
    <row r="474" spans="1:14" x14ac:dyDescent="0.25">
      <c r="E474" s="143" t="s">
        <v>434</v>
      </c>
      <c r="F474" s="143" t="s">
        <v>293</v>
      </c>
      <c r="G474" s="143" t="s">
        <v>947</v>
      </c>
      <c r="H474" s="143" t="s">
        <v>293</v>
      </c>
    </row>
    <row r="475" spans="1:14" x14ac:dyDescent="0.25">
      <c r="A475" s="143" t="s">
        <v>859</v>
      </c>
      <c r="B475" s="143" t="s">
        <v>992</v>
      </c>
      <c r="C475" s="143">
        <v>40</v>
      </c>
      <c r="D475" s="143">
        <v>65</v>
      </c>
      <c r="E475" s="143" t="s">
        <v>433</v>
      </c>
      <c r="F475" s="143" t="s">
        <v>954</v>
      </c>
      <c r="G475" s="143" t="s">
        <v>293</v>
      </c>
      <c r="H475" s="143" t="s">
        <v>954</v>
      </c>
      <c r="I475" s="143" t="s">
        <v>902</v>
      </c>
      <c r="J475" s="143" t="s">
        <v>914</v>
      </c>
      <c r="K475" s="143" t="s">
        <v>914</v>
      </c>
      <c r="L475" s="143" t="s">
        <v>914</v>
      </c>
      <c r="M475" s="143">
        <v>830</v>
      </c>
      <c r="N475" s="143">
        <v>50</v>
      </c>
    </row>
    <row r="476" spans="1:14" x14ac:dyDescent="0.25">
      <c r="E476" s="143" t="s">
        <v>434</v>
      </c>
      <c r="F476" s="143">
        <v>0</v>
      </c>
      <c r="G476" s="143">
        <v>0</v>
      </c>
      <c r="H476" s="143">
        <v>0</v>
      </c>
    </row>
    <row r="477" spans="1:14" x14ac:dyDescent="0.25">
      <c r="E477" s="143" t="s">
        <v>433</v>
      </c>
      <c r="F477" s="143">
        <v>0</v>
      </c>
      <c r="G477" s="143">
        <v>0</v>
      </c>
      <c r="H477" s="143">
        <v>0</v>
      </c>
    </row>
    <row r="478" spans="1:14" x14ac:dyDescent="0.25">
      <c r="E478" s="143" t="s">
        <v>434</v>
      </c>
      <c r="F478" s="143" t="s">
        <v>293</v>
      </c>
      <c r="G478" s="143" t="s">
        <v>947</v>
      </c>
      <c r="H478" s="143" t="s">
        <v>293</v>
      </c>
    </row>
    <row r="479" spans="1:14" x14ac:dyDescent="0.25">
      <c r="A479" s="143" t="s">
        <v>859</v>
      </c>
      <c r="B479" s="143" t="s">
        <v>993</v>
      </c>
      <c r="C479" s="143">
        <v>40</v>
      </c>
      <c r="D479" s="143">
        <v>65</v>
      </c>
      <c r="E479" s="143" t="s">
        <v>433</v>
      </c>
      <c r="F479" s="143" t="s">
        <v>954</v>
      </c>
      <c r="G479" s="143" t="s">
        <v>293</v>
      </c>
      <c r="H479" s="143" t="s">
        <v>954</v>
      </c>
      <c r="I479" s="143" t="s">
        <v>902</v>
      </c>
      <c r="J479" s="143" t="s">
        <v>914</v>
      </c>
      <c r="K479" s="143" t="s">
        <v>914</v>
      </c>
      <c r="L479" s="143" t="s">
        <v>914</v>
      </c>
      <c r="M479" s="143">
        <v>830</v>
      </c>
      <c r="N479" s="143">
        <v>50</v>
      </c>
    </row>
    <row r="480" spans="1:14" x14ac:dyDescent="0.25">
      <c r="E480" s="143" t="s">
        <v>434</v>
      </c>
      <c r="F480" s="143">
        <v>0</v>
      </c>
      <c r="G480" s="143">
        <v>0</v>
      </c>
      <c r="H480" s="143">
        <v>0</v>
      </c>
    </row>
    <row r="481" spans="1:14" x14ac:dyDescent="0.25">
      <c r="E481" s="143" t="s">
        <v>433</v>
      </c>
      <c r="F481" s="143">
        <v>0</v>
      </c>
      <c r="G481" s="143">
        <v>0</v>
      </c>
      <c r="H481" s="143">
        <v>0</v>
      </c>
    </row>
    <row r="482" spans="1:14" x14ac:dyDescent="0.25">
      <c r="E482" s="143" t="s">
        <v>434</v>
      </c>
      <c r="F482" s="143" t="s">
        <v>293</v>
      </c>
      <c r="G482" s="143" t="s">
        <v>947</v>
      </c>
      <c r="H482" s="143" t="s">
        <v>293</v>
      </c>
    </row>
    <row r="483" spans="1:14" x14ac:dyDescent="0.25">
      <c r="A483" s="143" t="s">
        <v>859</v>
      </c>
      <c r="B483" s="143" t="s">
        <v>994</v>
      </c>
      <c r="C483" s="143">
        <v>40</v>
      </c>
      <c r="D483" s="143">
        <v>65</v>
      </c>
      <c r="E483" s="143" t="s">
        <v>433</v>
      </c>
      <c r="F483" s="143" t="s">
        <v>954</v>
      </c>
      <c r="G483" s="143" t="s">
        <v>293</v>
      </c>
      <c r="H483" s="143" t="s">
        <v>954</v>
      </c>
      <c r="I483" s="143" t="s">
        <v>902</v>
      </c>
      <c r="J483" s="143" t="s">
        <v>914</v>
      </c>
      <c r="K483" s="143" t="s">
        <v>914</v>
      </c>
      <c r="L483" s="143" t="s">
        <v>914</v>
      </c>
      <c r="M483" s="143">
        <v>830</v>
      </c>
      <c r="N483" s="143">
        <v>50</v>
      </c>
    </row>
    <row r="484" spans="1:14" x14ac:dyDescent="0.25">
      <c r="E484" s="143" t="s">
        <v>434</v>
      </c>
      <c r="F484" s="143">
        <v>0</v>
      </c>
      <c r="G484" s="143">
        <v>0</v>
      </c>
      <c r="H484" s="143">
        <v>0</v>
      </c>
    </row>
    <row r="485" spans="1:14" x14ac:dyDescent="0.25">
      <c r="E485" s="143" t="s">
        <v>433</v>
      </c>
      <c r="F485" s="143">
        <v>0</v>
      </c>
      <c r="G485" s="143">
        <v>0</v>
      </c>
      <c r="H485" s="143">
        <v>0</v>
      </c>
    </row>
    <row r="486" spans="1:14" x14ac:dyDescent="0.25">
      <c r="E486" s="143" t="s">
        <v>434</v>
      </c>
      <c r="F486" s="143" t="s">
        <v>293</v>
      </c>
      <c r="G486" s="143" t="s">
        <v>947</v>
      </c>
      <c r="H486" s="143" t="s">
        <v>293</v>
      </c>
    </row>
    <row r="487" spans="1:14" x14ac:dyDescent="0.25">
      <c r="A487" s="143" t="s">
        <v>859</v>
      </c>
      <c r="B487" s="143" t="s">
        <v>995</v>
      </c>
      <c r="C487" s="143">
        <v>40</v>
      </c>
      <c r="D487" s="143">
        <v>65</v>
      </c>
      <c r="E487" s="143" t="s">
        <v>433</v>
      </c>
      <c r="F487" s="143" t="s">
        <v>954</v>
      </c>
      <c r="G487" s="143" t="s">
        <v>293</v>
      </c>
      <c r="H487" s="143" t="s">
        <v>293</v>
      </c>
      <c r="I487" s="143" t="s">
        <v>902</v>
      </c>
      <c r="J487" s="143" t="s">
        <v>914</v>
      </c>
      <c r="K487" s="143" t="s">
        <v>914</v>
      </c>
      <c r="L487" s="143" t="s">
        <v>914</v>
      </c>
      <c r="M487" s="143">
        <v>830</v>
      </c>
      <c r="N487" s="143">
        <v>50</v>
      </c>
    </row>
    <row r="488" spans="1:14" x14ac:dyDescent="0.25">
      <c r="E488" s="143" t="s">
        <v>434</v>
      </c>
      <c r="F488" s="143">
        <v>0</v>
      </c>
      <c r="G488" s="143">
        <v>0</v>
      </c>
      <c r="H488" s="143">
        <v>0</v>
      </c>
    </row>
    <row r="489" spans="1:14" x14ac:dyDescent="0.25">
      <c r="E489" s="143" t="s">
        <v>433</v>
      </c>
      <c r="F489" s="143">
        <v>0</v>
      </c>
      <c r="G489" s="143">
        <v>0</v>
      </c>
      <c r="H489" s="143">
        <v>0</v>
      </c>
    </row>
    <row r="490" spans="1:14" x14ac:dyDescent="0.25">
      <c r="E490" s="143" t="s">
        <v>434</v>
      </c>
      <c r="F490" s="143" t="s">
        <v>293</v>
      </c>
      <c r="G490" s="143" t="s">
        <v>947</v>
      </c>
      <c r="H490" s="143" t="s">
        <v>293</v>
      </c>
    </row>
    <row r="491" spans="1:14" x14ac:dyDescent="0.25">
      <c r="A491" s="143" t="s">
        <v>859</v>
      </c>
      <c r="B491" s="143" t="s">
        <v>996</v>
      </c>
      <c r="C491" s="143">
        <v>40</v>
      </c>
      <c r="D491" s="143">
        <v>65</v>
      </c>
      <c r="E491" s="143" t="s">
        <v>433</v>
      </c>
      <c r="F491" s="143" t="s">
        <v>293</v>
      </c>
      <c r="G491" s="143" t="s">
        <v>293</v>
      </c>
      <c r="H491" s="143" t="s">
        <v>944</v>
      </c>
      <c r="I491" s="143" t="s">
        <v>285</v>
      </c>
      <c r="J491" s="143" t="s">
        <v>914</v>
      </c>
      <c r="K491" s="143" t="s">
        <v>914</v>
      </c>
      <c r="L491" s="143" t="s">
        <v>914</v>
      </c>
      <c r="M491" s="143">
        <v>575</v>
      </c>
      <c r="N491" s="143">
        <v>50</v>
      </c>
    </row>
    <row r="492" spans="1:14" x14ac:dyDescent="0.25">
      <c r="E492" s="143" t="s">
        <v>434</v>
      </c>
      <c r="F492" s="143">
        <v>0</v>
      </c>
      <c r="G492" s="143">
        <v>0</v>
      </c>
      <c r="H492" s="143">
        <v>0</v>
      </c>
    </row>
    <row r="493" spans="1:14" x14ac:dyDescent="0.25">
      <c r="E493" s="143" t="s">
        <v>433</v>
      </c>
      <c r="F493" s="143">
        <v>0</v>
      </c>
      <c r="G493" s="143">
        <v>0</v>
      </c>
      <c r="H493" s="143">
        <v>0</v>
      </c>
    </row>
    <row r="494" spans="1:14" x14ac:dyDescent="0.25">
      <c r="E494" s="143" t="s">
        <v>434</v>
      </c>
      <c r="F494" s="143" t="s">
        <v>293</v>
      </c>
      <c r="G494" s="143" t="s">
        <v>947</v>
      </c>
      <c r="H494" s="143" t="s">
        <v>293</v>
      </c>
    </row>
    <row r="495" spans="1:14" x14ac:dyDescent="0.25">
      <c r="A495" s="143" t="s">
        <v>859</v>
      </c>
      <c r="B495" s="143" t="s">
        <v>950</v>
      </c>
      <c r="C495" s="143">
        <v>40</v>
      </c>
      <c r="D495" s="143">
        <v>65</v>
      </c>
      <c r="E495" s="143" t="s">
        <v>433</v>
      </c>
      <c r="F495" s="143" t="s">
        <v>294</v>
      </c>
      <c r="G495" s="143" t="s">
        <v>293</v>
      </c>
      <c r="H495" s="143" t="s">
        <v>967</v>
      </c>
      <c r="I495" s="143" t="s">
        <v>285</v>
      </c>
      <c r="J495" s="143" t="s">
        <v>914</v>
      </c>
      <c r="K495" s="143" t="s">
        <v>914</v>
      </c>
      <c r="L495" s="143" t="s">
        <v>914</v>
      </c>
      <c r="M495" s="143">
        <v>1070</v>
      </c>
      <c r="N495" s="143">
        <v>50</v>
      </c>
    </row>
    <row r="496" spans="1:14" x14ac:dyDescent="0.25">
      <c r="E496" s="143" t="s">
        <v>434</v>
      </c>
      <c r="F496" s="143">
        <v>0</v>
      </c>
      <c r="G496" s="143">
        <v>0</v>
      </c>
      <c r="H496" s="143" t="s">
        <v>944</v>
      </c>
    </row>
    <row r="497" spans="1:14" x14ac:dyDescent="0.25">
      <c r="E497" s="143" t="s">
        <v>433</v>
      </c>
      <c r="F497" s="143">
        <v>0</v>
      </c>
      <c r="G497" s="143">
        <v>0</v>
      </c>
      <c r="H497" s="143">
        <v>0</v>
      </c>
    </row>
    <row r="498" spans="1:14" x14ac:dyDescent="0.25">
      <c r="E498" s="143" t="s">
        <v>434</v>
      </c>
      <c r="F498" s="143" t="s">
        <v>954</v>
      </c>
      <c r="G498" s="143" t="s">
        <v>294</v>
      </c>
      <c r="H498" s="143" t="s">
        <v>954</v>
      </c>
    </row>
    <row r="499" spans="1:14" x14ac:dyDescent="0.25">
      <c r="A499" s="143" t="s">
        <v>859</v>
      </c>
      <c r="B499" s="143" t="s">
        <v>950</v>
      </c>
      <c r="C499" s="143">
        <v>40</v>
      </c>
      <c r="D499" s="143">
        <v>65</v>
      </c>
      <c r="E499" s="143" t="s">
        <v>433</v>
      </c>
      <c r="F499" s="143" t="s">
        <v>294</v>
      </c>
      <c r="G499" s="143" t="s">
        <v>293</v>
      </c>
      <c r="H499" s="143" t="s">
        <v>967</v>
      </c>
      <c r="I499" s="143" t="s">
        <v>285</v>
      </c>
      <c r="J499" s="143" t="s">
        <v>914</v>
      </c>
      <c r="K499" s="143" t="s">
        <v>914</v>
      </c>
      <c r="L499" s="143" t="s">
        <v>914</v>
      </c>
      <c r="M499" s="143">
        <v>1070</v>
      </c>
      <c r="N499" s="143">
        <v>50</v>
      </c>
    </row>
    <row r="500" spans="1:14" x14ac:dyDescent="0.25">
      <c r="E500" s="143" t="s">
        <v>434</v>
      </c>
      <c r="F500" s="143">
        <v>0</v>
      </c>
      <c r="G500" s="143">
        <v>0</v>
      </c>
      <c r="H500" s="143" t="s">
        <v>944</v>
      </c>
    </row>
    <row r="501" spans="1:14" x14ac:dyDescent="0.25">
      <c r="E501" s="143" t="s">
        <v>433</v>
      </c>
      <c r="F501" s="143">
        <v>0</v>
      </c>
      <c r="G501" s="143">
        <v>0</v>
      </c>
      <c r="H501" s="143">
        <v>0</v>
      </c>
    </row>
    <row r="502" spans="1:14" x14ac:dyDescent="0.25">
      <c r="E502" s="143" t="s">
        <v>434</v>
      </c>
      <c r="F502" s="143" t="s">
        <v>954</v>
      </c>
      <c r="G502" s="143" t="s">
        <v>294</v>
      </c>
      <c r="H502" s="143" t="s">
        <v>954</v>
      </c>
    </row>
    <row r="503" spans="1:14" x14ac:dyDescent="0.25">
      <c r="A503" s="143" t="s">
        <v>859</v>
      </c>
      <c r="B503" s="143" t="s">
        <v>957</v>
      </c>
      <c r="C503" s="143">
        <v>40</v>
      </c>
      <c r="D503" s="143">
        <v>65</v>
      </c>
      <c r="E503" s="143" t="s">
        <v>433</v>
      </c>
      <c r="F503" s="143" t="s">
        <v>294</v>
      </c>
      <c r="G503" s="143" t="s">
        <v>293</v>
      </c>
      <c r="H503" s="143" t="s">
        <v>967</v>
      </c>
      <c r="I503" s="143" t="s">
        <v>285</v>
      </c>
      <c r="J503" s="143" t="s">
        <v>914</v>
      </c>
      <c r="K503" s="143" t="s">
        <v>914</v>
      </c>
      <c r="L503" s="143" t="s">
        <v>914</v>
      </c>
      <c r="M503" s="143">
        <v>1070</v>
      </c>
      <c r="N503" s="143">
        <v>50</v>
      </c>
    </row>
    <row r="504" spans="1:14" x14ac:dyDescent="0.25">
      <c r="E504" s="143" t="s">
        <v>434</v>
      </c>
      <c r="F504" s="143">
        <v>0</v>
      </c>
      <c r="G504" s="143">
        <v>0</v>
      </c>
      <c r="H504" s="143" t="s">
        <v>944</v>
      </c>
    </row>
    <row r="505" spans="1:14" x14ac:dyDescent="0.25">
      <c r="E505" s="143" t="s">
        <v>433</v>
      </c>
      <c r="F505" s="143">
        <v>0</v>
      </c>
      <c r="G505" s="143">
        <v>0</v>
      </c>
      <c r="H505" s="143">
        <v>0</v>
      </c>
    </row>
    <row r="506" spans="1:14" x14ac:dyDescent="0.25">
      <c r="E506" s="143" t="s">
        <v>434</v>
      </c>
      <c r="F506" s="143" t="s">
        <v>954</v>
      </c>
      <c r="G506" s="143" t="s">
        <v>294</v>
      </c>
      <c r="H506" s="143" t="s">
        <v>954</v>
      </c>
    </row>
    <row r="507" spans="1:14" x14ac:dyDescent="0.25">
      <c r="A507" s="143" t="s">
        <v>859</v>
      </c>
      <c r="B507" s="143" t="s">
        <v>950</v>
      </c>
      <c r="C507" s="143">
        <v>40</v>
      </c>
      <c r="D507" s="143">
        <v>65</v>
      </c>
      <c r="E507" s="143" t="s">
        <v>433</v>
      </c>
      <c r="F507" s="143" t="s">
        <v>294</v>
      </c>
      <c r="G507" s="143" t="s">
        <v>293</v>
      </c>
      <c r="H507" s="143" t="s">
        <v>967</v>
      </c>
      <c r="I507" s="143" t="s">
        <v>285</v>
      </c>
      <c r="J507" s="143" t="s">
        <v>914</v>
      </c>
      <c r="K507" s="143" t="s">
        <v>914</v>
      </c>
      <c r="L507" s="143" t="s">
        <v>914</v>
      </c>
      <c r="M507" s="143">
        <v>1070</v>
      </c>
      <c r="N507" s="143">
        <v>50</v>
      </c>
    </row>
    <row r="508" spans="1:14" x14ac:dyDescent="0.25">
      <c r="E508" s="143" t="s">
        <v>434</v>
      </c>
      <c r="F508" s="143">
        <v>0</v>
      </c>
      <c r="G508" s="143">
        <v>0</v>
      </c>
      <c r="H508" s="143" t="s">
        <v>944</v>
      </c>
    </row>
    <row r="509" spans="1:14" x14ac:dyDescent="0.25">
      <c r="E509" s="143" t="s">
        <v>433</v>
      </c>
      <c r="F509" s="143">
        <v>0</v>
      </c>
      <c r="G509" s="143">
        <v>0</v>
      </c>
      <c r="H509" s="143">
        <v>0</v>
      </c>
    </row>
    <row r="510" spans="1:14" x14ac:dyDescent="0.25">
      <c r="E510" s="143" t="s">
        <v>434</v>
      </c>
      <c r="F510" s="143" t="s">
        <v>954</v>
      </c>
      <c r="G510" s="143" t="s">
        <v>294</v>
      </c>
      <c r="H510" s="143" t="s">
        <v>954</v>
      </c>
    </row>
    <row r="511" spans="1:14" x14ac:dyDescent="0.25">
      <c r="A511" s="143" t="s">
        <v>859</v>
      </c>
      <c r="B511" s="143" t="s">
        <v>957</v>
      </c>
      <c r="C511" s="143">
        <v>40</v>
      </c>
      <c r="D511" s="143">
        <v>65</v>
      </c>
      <c r="E511" s="143" t="s">
        <v>433</v>
      </c>
      <c r="F511" s="143" t="s">
        <v>294</v>
      </c>
      <c r="G511" s="143" t="s">
        <v>293</v>
      </c>
      <c r="H511" s="143" t="s">
        <v>967</v>
      </c>
      <c r="I511" s="143" t="s">
        <v>285</v>
      </c>
      <c r="J511" s="143" t="s">
        <v>914</v>
      </c>
      <c r="K511" s="143" t="s">
        <v>914</v>
      </c>
      <c r="L511" s="143" t="s">
        <v>914</v>
      </c>
      <c r="M511" s="143">
        <v>1070</v>
      </c>
      <c r="N511" s="143">
        <v>50</v>
      </c>
    </row>
    <row r="512" spans="1:14" x14ac:dyDescent="0.25">
      <c r="E512" s="143" t="s">
        <v>434</v>
      </c>
      <c r="F512" s="143">
        <v>0</v>
      </c>
      <c r="G512" s="143">
        <v>0</v>
      </c>
      <c r="H512" s="143" t="s">
        <v>944</v>
      </c>
    </row>
    <row r="513" spans="1:14" x14ac:dyDescent="0.25">
      <c r="E513" s="143" t="s">
        <v>433</v>
      </c>
      <c r="F513" s="143">
        <v>0</v>
      </c>
      <c r="G513" s="143">
        <v>0</v>
      </c>
      <c r="H513" s="143">
        <v>0</v>
      </c>
    </row>
    <row r="514" spans="1:14" x14ac:dyDescent="0.25">
      <c r="E514" s="143" t="s">
        <v>434</v>
      </c>
      <c r="F514" s="143" t="s">
        <v>954</v>
      </c>
      <c r="G514" s="143" t="s">
        <v>294</v>
      </c>
      <c r="H514" s="143" t="s">
        <v>954</v>
      </c>
    </row>
    <row r="515" spans="1:14" x14ac:dyDescent="0.25">
      <c r="A515" s="143" t="s">
        <v>859</v>
      </c>
      <c r="B515" s="143" t="s">
        <v>957</v>
      </c>
      <c r="C515" s="143">
        <v>40</v>
      </c>
      <c r="D515" s="143">
        <v>65</v>
      </c>
      <c r="E515" s="143" t="s">
        <v>433</v>
      </c>
      <c r="F515" s="143" t="s">
        <v>294</v>
      </c>
      <c r="G515" s="143" t="s">
        <v>293</v>
      </c>
      <c r="H515" s="143" t="s">
        <v>967</v>
      </c>
      <c r="I515" s="143" t="s">
        <v>285</v>
      </c>
      <c r="J515" s="143" t="s">
        <v>914</v>
      </c>
      <c r="K515" s="143" t="s">
        <v>914</v>
      </c>
      <c r="L515" s="143" t="s">
        <v>914</v>
      </c>
      <c r="M515" s="143">
        <v>1070</v>
      </c>
      <c r="N515" s="143">
        <v>50</v>
      </c>
    </row>
    <row r="516" spans="1:14" x14ac:dyDescent="0.25">
      <c r="E516" s="143" t="s">
        <v>434</v>
      </c>
      <c r="F516" s="143">
        <v>0</v>
      </c>
      <c r="G516" s="143">
        <v>0</v>
      </c>
      <c r="H516" s="143" t="s">
        <v>944</v>
      </c>
    </row>
    <row r="517" spans="1:14" x14ac:dyDescent="0.25">
      <c r="E517" s="143" t="s">
        <v>433</v>
      </c>
      <c r="F517" s="143">
        <v>0</v>
      </c>
      <c r="G517" s="143">
        <v>0</v>
      </c>
      <c r="H517" s="143">
        <v>0</v>
      </c>
    </row>
    <row r="518" spans="1:14" x14ac:dyDescent="0.25">
      <c r="E518" s="143" t="s">
        <v>434</v>
      </c>
      <c r="F518" s="143" t="s">
        <v>954</v>
      </c>
      <c r="G518" s="143" t="s">
        <v>294</v>
      </c>
      <c r="H518" s="143" t="s">
        <v>954</v>
      </c>
    </row>
    <row r="519" spans="1:14" x14ac:dyDescent="0.25">
      <c r="A519" s="143" t="s">
        <v>859</v>
      </c>
      <c r="B519" s="143" t="s">
        <v>974</v>
      </c>
      <c r="C519" s="143">
        <v>40</v>
      </c>
      <c r="D519" s="143">
        <v>65</v>
      </c>
      <c r="E519" s="143" t="s">
        <v>433</v>
      </c>
      <c r="F519" s="143" t="s">
        <v>944</v>
      </c>
      <c r="G519" s="143" t="s">
        <v>293</v>
      </c>
      <c r="H519" s="143" t="s">
        <v>954</v>
      </c>
      <c r="I519" s="143" t="s">
        <v>902</v>
      </c>
      <c r="J519" s="143" t="s">
        <v>914</v>
      </c>
      <c r="K519" s="143" t="s">
        <v>914</v>
      </c>
      <c r="L519" s="143" t="s">
        <v>914</v>
      </c>
      <c r="M519" s="143">
        <v>830</v>
      </c>
      <c r="N519" s="143">
        <v>50</v>
      </c>
    </row>
    <row r="520" spans="1:14" x14ac:dyDescent="0.25">
      <c r="E520" s="143" t="s">
        <v>434</v>
      </c>
      <c r="F520" s="143">
        <v>0</v>
      </c>
      <c r="G520" s="143">
        <v>0</v>
      </c>
      <c r="H520" s="143">
        <v>0</v>
      </c>
    </row>
    <row r="521" spans="1:14" x14ac:dyDescent="0.25">
      <c r="E521" s="143" t="s">
        <v>433</v>
      </c>
      <c r="F521" s="143">
        <v>0</v>
      </c>
      <c r="G521" s="143">
        <v>0</v>
      </c>
      <c r="H521" s="143">
        <v>0</v>
      </c>
    </row>
    <row r="522" spans="1:14" x14ac:dyDescent="0.25">
      <c r="E522" s="143" t="s">
        <v>434</v>
      </c>
      <c r="F522" s="143" t="s">
        <v>947</v>
      </c>
      <c r="G522" s="143" t="s">
        <v>954</v>
      </c>
      <c r="H522" s="143" t="s">
        <v>293</v>
      </c>
    </row>
    <row r="523" spans="1:14" x14ac:dyDescent="0.25">
      <c r="A523" s="143" t="s">
        <v>859</v>
      </c>
      <c r="B523" s="143" t="s">
        <v>991</v>
      </c>
      <c r="C523" s="143">
        <v>40</v>
      </c>
      <c r="D523" s="143">
        <v>65</v>
      </c>
      <c r="E523" s="143" t="s">
        <v>433</v>
      </c>
      <c r="F523" s="143" t="s">
        <v>954</v>
      </c>
      <c r="G523" s="143" t="s">
        <v>293</v>
      </c>
      <c r="H523" s="143" t="s">
        <v>954</v>
      </c>
      <c r="I523" s="143" t="s">
        <v>902</v>
      </c>
      <c r="J523" s="143" t="s">
        <v>914</v>
      </c>
      <c r="K523" s="143" t="s">
        <v>914</v>
      </c>
      <c r="L523" s="143" t="s">
        <v>914</v>
      </c>
      <c r="M523" s="143">
        <v>830</v>
      </c>
      <c r="N523" s="143">
        <v>50</v>
      </c>
    </row>
    <row r="524" spans="1:14" x14ac:dyDescent="0.25">
      <c r="E524" s="143" t="s">
        <v>434</v>
      </c>
      <c r="F524" s="143">
        <v>0</v>
      </c>
      <c r="G524" s="143">
        <v>0</v>
      </c>
      <c r="H524" s="143">
        <v>0</v>
      </c>
    </row>
    <row r="525" spans="1:14" x14ac:dyDescent="0.25">
      <c r="E525" s="143" t="s">
        <v>433</v>
      </c>
      <c r="F525" s="143">
        <v>0</v>
      </c>
      <c r="G525" s="143">
        <v>0</v>
      </c>
      <c r="H525" s="143">
        <v>0</v>
      </c>
    </row>
    <row r="526" spans="1:14" x14ac:dyDescent="0.25">
      <c r="E526" s="143" t="s">
        <v>434</v>
      </c>
      <c r="F526" s="143" t="s">
        <v>293</v>
      </c>
      <c r="G526" s="143" t="s">
        <v>947</v>
      </c>
      <c r="H526" s="143" t="s">
        <v>293</v>
      </c>
    </row>
    <row r="527" spans="1:14" x14ac:dyDescent="0.25">
      <c r="A527" s="143" t="s">
        <v>859</v>
      </c>
      <c r="B527" s="143" t="s">
        <v>992</v>
      </c>
      <c r="C527" s="143">
        <v>40</v>
      </c>
      <c r="D527" s="143">
        <v>65</v>
      </c>
      <c r="E527" s="143" t="s">
        <v>433</v>
      </c>
      <c r="F527" s="143" t="s">
        <v>954</v>
      </c>
      <c r="G527" s="143" t="s">
        <v>293</v>
      </c>
      <c r="H527" s="143" t="s">
        <v>954</v>
      </c>
      <c r="I527" s="143" t="s">
        <v>902</v>
      </c>
      <c r="J527" s="143" t="s">
        <v>914</v>
      </c>
      <c r="K527" s="143" t="s">
        <v>914</v>
      </c>
      <c r="L527" s="143" t="s">
        <v>914</v>
      </c>
      <c r="M527" s="143">
        <v>830</v>
      </c>
      <c r="N527" s="143">
        <v>50</v>
      </c>
    </row>
    <row r="528" spans="1:14" x14ac:dyDescent="0.25">
      <c r="E528" s="143" t="s">
        <v>434</v>
      </c>
      <c r="F528" s="143">
        <v>0</v>
      </c>
      <c r="G528" s="143">
        <v>0</v>
      </c>
      <c r="H528" s="143">
        <v>0</v>
      </c>
    </row>
    <row r="529" spans="1:14" x14ac:dyDescent="0.25">
      <c r="E529" s="143" t="s">
        <v>433</v>
      </c>
      <c r="F529" s="143">
        <v>0</v>
      </c>
      <c r="G529" s="143">
        <v>0</v>
      </c>
      <c r="H529" s="143">
        <v>0</v>
      </c>
    </row>
    <row r="530" spans="1:14" x14ac:dyDescent="0.25">
      <c r="E530" s="143" t="s">
        <v>434</v>
      </c>
      <c r="F530" s="143" t="s">
        <v>293</v>
      </c>
      <c r="G530" s="143" t="s">
        <v>947</v>
      </c>
      <c r="H530" s="143" t="s">
        <v>293</v>
      </c>
    </row>
    <row r="531" spans="1:14" x14ac:dyDescent="0.25">
      <c r="A531" s="143" t="s">
        <v>859</v>
      </c>
      <c r="B531" s="143" t="s">
        <v>993</v>
      </c>
      <c r="C531" s="143">
        <v>40</v>
      </c>
      <c r="D531" s="143">
        <v>65</v>
      </c>
      <c r="E531" s="143" t="s">
        <v>433</v>
      </c>
      <c r="F531" s="143" t="s">
        <v>954</v>
      </c>
      <c r="G531" s="143" t="s">
        <v>293</v>
      </c>
      <c r="H531" s="143" t="s">
        <v>954</v>
      </c>
      <c r="I531" s="143" t="s">
        <v>902</v>
      </c>
      <c r="J531" s="143" t="s">
        <v>914</v>
      </c>
      <c r="K531" s="143" t="s">
        <v>914</v>
      </c>
      <c r="L531" s="143" t="s">
        <v>914</v>
      </c>
      <c r="M531" s="143">
        <v>830</v>
      </c>
      <c r="N531" s="143">
        <v>50</v>
      </c>
    </row>
    <row r="532" spans="1:14" x14ac:dyDescent="0.25">
      <c r="E532" s="143" t="s">
        <v>434</v>
      </c>
      <c r="F532" s="143">
        <v>0</v>
      </c>
      <c r="G532" s="143">
        <v>0</v>
      </c>
      <c r="H532" s="143">
        <v>0</v>
      </c>
    </row>
    <row r="533" spans="1:14" x14ac:dyDescent="0.25">
      <c r="E533" s="143" t="s">
        <v>433</v>
      </c>
      <c r="F533" s="143">
        <v>0</v>
      </c>
      <c r="G533" s="143">
        <v>0</v>
      </c>
      <c r="H533" s="143">
        <v>0</v>
      </c>
    </row>
    <row r="534" spans="1:14" x14ac:dyDescent="0.25">
      <c r="E534" s="143" t="s">
        <v>434</v>
      </c>
      <c r="F534" s="143" t="s">
        <v>293</v>
      </c>
      <c r="G534" s="143" t="s">
        <v>947</v>
      </c>
      <c r="H534" s="143" t="s">
        <v>293</v>
      </c>
    </row>
    <row r="535" spans="1:14" x14ac:dyDescent="0.25">
      <c r="A535" s="143" t="s">
        <v>859</v>
      </c>
      <c r="B535" s="143" t="s">
        <v>994</v>
      </c>
      <c r="C535" s="143">
        <v>40</v>
      </c>
      <c r="D535" s="143">
        <v>65</v>
      </c>
      <c r="E535" s="143" t="s">
        <v>433</v>
      </c>
      <c r="F535" s="143" t="s">
        <v>954</v>
      </c>
      <c r="G535" s="143" t="s">
        <v>293</v>
      </c>
      <c r="H535" s="143" t="s">
        <v>954</v>
      </c>
      <c r="I535" s="143" t="s">
        <v>902</v>
      </c>
      <c r="J535" s="143" t="s">
        <v>914</v>
      </c>
      <c r="K535" s="143" t="s">
        <v>914</v>
      </c>
      <c r="L535" s="143" t="s">
        <v>914</v>
      </c>
      <c r="M535" s="143">
        <v>830</v>
      </c>
      <c r="N535" s="143">
        <v>50</v>
      </c>
    </row>
    <row r="536" spans="1:14" x14ac:dyDescent="0.25">
      <c r="E536" s="143" t="s">
        <v>434</v>
      </c>
      <c r="F536" s="143">
        <v>0</v>
      </c>
      <c r="G536" s="143">
        <v>0</v>
      </c>
      <c r="H536" s="143">
        <v>0</v>
      </c>
    </row>
    <row r="537" spans="1:14" x14ac:dyDescent="0.25">
      <c r="E537" s="143" t="s">
        <v>433</v>
      </c>
      <c r="F537" s="143">
        <v>0</v>
      </c>
      <c r="G537" s="143">
        <v>0</v>
      </c>
      <c r="H537" s="143">
        <v>0</v>
      </c>
    </row>
    <row r="538" spans="1:14" x14ac:dyDescent="0.25">
      <c r="E538" s="143" t="s">
        <v>434</v>
      </c>
      <c r="F538" s="143" t="s">
        <v>293</v>
      </c>
      <c r="G538" s="143" t="s">
        <v>947</v>
      </c>
      <c r="H538" s="143" t="s">
        <v>293</v>
      </c>
    </row>
    <row r="539" spans="1:14" x14ac:dyDescent="0.25">
      <c r="A539" s="143" t="s">
        <v>859</v>
      </c>
      <c r="B539" s="143" t="s">
        <v>995</v>
      </c>
      <c r="C539" s="143">
        <v>40</v>
      </c>
      <c r="D539" s="143">
        <v>65</v>
      </c>
      <c r="E539" s="143" t="s">
        <v>433</v>
      </c>
      <c r="F539" s="143" t="s">
        <v>954</v>
      </c>
      <c r="G539" s="143" t="s">
        <v>293</v>
      </c>
      <c r="H539" s="143" t="s">
        <v>293</v>
      </c>
      <c r="I539" s="143" t="s">
        <v>902</v>
      </c>
      <c r="J539" s="143" t="s">
        <v>914</v>
      </c>
      <c r="K539" s="143" t="s">
        <v>914</v>
      </c>
      <c r="L539" s="143" t="s">
        <v>914</v>
      </c>
      <c r="M539" s="143">
        <v>830</v>
      </c>
      <c r="N539" s="143">
        <v>50</v>
      </c>
    </row>
    <row r="540" spans="1:14" x14ac:dyDescent="0.25">
      <c r="E540" s="143" t="s">
        <v>434</v>
      </c>
      <c r="F540" s="143">
        <v>0</v>
      </c>
      <c r="G540" s="143">
        <v>0</v>
      </c>
      <c r="H540" s="143">
        <v>0</v>
      </c>
    </row>
    <row r="541" spans="1:14" x14ac:dyDescent="0.25">
      <c r="E541" s="143" t="s">
        <v>433</v>
      </c>
      <c r="F541" s="143">
        <v>0</v>
      </c>
      <c r="G541" s="143">
        <v>0</v>
      </c>
      <c r="H541" s="143">
        <v>0</v>
      </c>
    </row>
    <row r="542" spans="1:14" x14ac:dyDescent="0.25">
      <c r="E542" s="143" t="s">
        <v>434</v>
      </c>
      <c r="F542" s="143" t="s">
        <v>293</v>
      </c>
      <c r="G542" s="143" t="s">
        <v>947</v>
      </c>
      <c r="H542" s="143" t="s">
        <v>293</v>
      </c>
    </row>
    <row r="543" spans="1:14" x14ac:dyDescent="0.25">
      <c r="A543" s="143" t="s">
        <v>859</v>
      </c>
      <c r="B543" s="143" t="s">
        <v>996</v>
      </c>
      <c r="C543" s="143">
        <v>40</v>
      </c>
      <c r="D543" s="143">
        <v>65</v>
      </c>
      <c r="E543" s="143" t="s">
        <v>433</v>
      </c>
      <c r="F543" s="143" t="s">
        <v>293</v>
      </c>
      <c r="G543" s="143" t="s">
        <v>293</v>
      </c>
      <c r="H543" s="143" t="s">
        <v>944</v>
      </c>
      <c r="I543" s="143" t="s">
        <v>285</v>
      </c>
      <c r="J543" s="143" t="s">
        <v>914</v>
      </c>
      <c r="K543" s="143" t="s">
        <v>914</v>
      </c>
      <c r="L543" s="143" t="s">
        <v>914</v>
      </c>
      <c r="M543" s="143">
        <v>575</v>
      </c>
      <c r="N543" s="143">
        <v>50</v>
      </c>
    </row>
    <row r="544" spans="1:14" x14ac:dyDescent="0.25">
      <c r="E544" s="143" t="s">
        <v>434</v>
      </c>
      <c r="F544" s="143">
        <v>0</v>
      </c>
      <c r="G544" s="143">
        <v>0</v>
      </c>
      <c r="H544" s="143">
        <v>0</v>
      </c>
    </row>
    <row r="545" spans="1:14" x14ac:dyDescent="0.25">
      <c r="E545" s="143" t="s">
        <v>433</v>
      </c>
      <c r="F545" s="143">
        <v>0</v>
      </c>
      <c r="G545" s="143">
        <v>0</v>
      </c>
      <c r="H545" s="143">
        <v>0</v>
      </c>
    </row>
    <row r="546" spans="1:14" x14ac:dyDescent="0.25">
      <c r="E546" s="143" t="s">
        <v>434</v>
      </c>
      <c r="F546" s="143" t="s">
        <v>293</v>
      </c>
      <c r="G546" s="143" t="s">
        <v>947</v>
      </c>
      <c r="H546" s="143" t="s">
        <v>293</v>
      </c>
    </row>
    <row r="547" spans="1:14" x14ac:dyDescent="0.25">
      <c r="A547" s="143" t="s">
        <v>859</v>
      </c>
      <c r="B547" s="143" t="s">
        <v>997</v>
      </c>
      <c r="C547" s="143">
        <v>40</v>
      </c>
      <c r="D547" s="143">
        <v>65</v>
      </c>
      <c r="E547" s="143" t="s">
        <v>433</v>
      </c>
      <c r="F547" s="143" t="s">
        <v>294</v>
      </c>
      <c r="G547" s="143" t="s">
        <v>293</v>
      </c>
      <c r="H547" s="143" t="s">
        <v>294</v>
      </c>
      <c r="I547" s="143" t="s">
        <v>285</v>
      </c>
      <c r="J547" s="143" t="s">
        <v>913</v>
      </c>
      <c r="K547" s="143" t="s">
        <v>913</v>
      </c>
      <c r="L547" s="143" t="s">
        <v>913</v>
      </c>
      <c r="M547" s="143">
        <v>1100</v>
      </c>
      <c r="N547" s="143">
        <v>50</v>
      </c>
    </row>
    <row r="548" spans="1:14" x14ac:dyDescent="0.25">
      <c r="E548" s="143" t="s">
        <v>434</v>
      </c>
      <c r="F548" s="143" t="s">
        <v>944</v>
      </c>
      <c r="G548" s="143">
        <v>0</v>
      </c>
      <c r="H548" s="143" t="s">
        <v>944</v>
      </c>
    </row>
    <row r="549" spans="1:14" x14ac:dyDescent="0.25">
      <c r="E549" s="143" t="s">
        <v>433</v>
      </c>
      <c r="F549" s="143">
        <v>0</v>
      </c>
      <c r="G549" s="143">
        <v>0</v>
      </c>
      <c r="H549" s="143">
        <v>0</v>
      </c>
    </row>
    <row r="550" spans="1:14" x14ac:dyDescent="0.25">
      <c r="E550" s="143" t="s">
        <v>434</v>
      </c>
      <c r="F550" s="143" t="s">
        <v>954</v>
      </c>
      <c r="G550" s="143" t="s">
        <v>294</v>
      </c>
      <c r="H550" s="143" t="s">
        <v>954</v>
      </c>
    </row>
    <row r="551" spans="1:14" x14ac:dyDescent="0.25">
      <c r="A551" s="143" t="s">
        <v>859</v>
      </c>
      <c r="B551" s="143" t="s">
        <v>956</v>
      </c>
      <c r="C551" s="143">
        <v>40</v>
      </c>
      <c r="D551" s="143">
        <v>65</v>
      </c>
      <c r="E551" s="143" t="s">
        <v>433</v>
      </c>
      <c r="F551" s="143" t="s">
        <v>967</v>
      </c>
      <c r="G551" s="143" t="s">
        <v>293</v>
      </c>
      <c r="H551" s="143" t="s">
        <v>294</v>
      </c>
      <c r="I551" s="143" t="s">
        <v>285</v>
      </c>
      <c r="J551" s="143" t="s">
        <v>914</v>
      </c>
      <c r="K551" s="143" t="s">
        <v>914</v>
      </c>
      <c r="L551" s="143" t="s">
        <v>914</v>
      </c>
      <c r="M551" s="143">
        <v>1100</v>
      </c>
      <c r="N551" s="143">
        <v>50</v>
      </c>
    </row>
    <row r="552" spans="1:14" x14ac:dyDescent="0.25">
      <c r="E552" s="143" t="s">
        <v>434</v>
      </c>
      <c r="F552" s="143" t="s">
        <v>944</v>
      </c>
      <c r="G552" s="143">
        <v>0</v>
      </c>
      <c r="H552" s="143" t="s">
        <v>944</v>
      </c>
    </row>
    <row r="553" spans="1:14" x14ac:dyDescent="0.25">
      <c r="E553" s="143" t="s">
        <v>433</v>
      </c>
      <c r="F553" s="143">
        <v>0</v>
      </c>
      <c r="G553" s="143">
        <v>0</v>
      </c>
      <c r="H553" s="143">
        <v>0</v>
      </c>
    </row>
    <row r="554" spans="1:14" x14ac:dyDescent="0.25">
      <c r="E554" s="143" t="s">
        <v>434</v>
      </c>
      <c r="F554" s="143" t="s">
        <v>954</v>
      </c>
      <c r="G554" s="143" t="s">
        <v>294</v>
      </c>
      <c r="H554" s="143" t="s">
        <v>954</v>
      </c>
    </row>
    <row r="555" spans="1:14" x14ac:dyDescent="0.25">
      <c r="A555" s="143" t="s">
        <v>859</v>
      </c>
      <c r="B555" s="143" t="s">
        <v>956</v>
      </c>
      <c r="C555" s="143">
        <v>40</v>
      </c>
      <c r="D555" s="143">
        <v>65</v>
      </c>
      <c r="E555" s="143" t="s">
        <v>433</v>
      </c>
      <c r="F555" s="143" t="s">
        <v>967</v>
      </c>
      <c r="G555" s="143" t="s">
        <v>293</v>
      </c>
      <c r="H555" s="143" t="s">
        <v>294</v>
      </c>
      <c r="I555" s="143" t="s">
        <v>285</v>
      </c>
      <c r="J555" s="143" t="s">
        <v>914</v>
      </c>
      <c r="K555" s="143" t="s">
        <v>914</v>
      </c>
      <c r="L555" s="143" t="s">
        <v>914</v>
      </c>
      <c r="M555" s="143">
        <v>1100</v>
      </c>
      <c r="N555" s="143">
        <v>50</v>
      </c>
    </row>
    <row r="556" spans="1:14" x14ac:dyDescent="0.25">
      <c r="E556" s="143" t="s">
        <v>434</v>
      </c>
      <c r="F556" s="143" t="s">
        <v>944</v>
      </c>
      <c r="G556" s="143">
        <v>0</v>
      </c>
      <c r="H556" s="143" t="s">
        <v>944</v>
      </c>
    </row>
    <row r="557" spans="1:14" x14ac:dyDescent="0.25">
      <c r="E557" s="143" t="s">
        <v>433</v>
      </c>
      <c r="F557" s="143">
        <v>0</v>
      </c>
      <c r="G557" s="143">
        <v>0</v>
      </c>
      <c r="H557" s="143">
        <v>0</v>
      </c>
    </row>
    <row r="558" spans="1:14" x14ac:dyDescent="0.25">
      <c r="E558" s="143" t="s">
        <v>434</v>
      </c>
      <c r="F558" s="143" t="s">
        <v>954</v>
      </c>
      <c r="G558" s="143" t="s">
        <v>294</v>
      </c>
      <c r="H558" s="143" t="s">
        <v>954</v>
      </c>
    </row>
    <row r="559" spans="1:14" x14ac:dyDescent="0.25">
      <c r="A559" s="143" t="s">
        <v>859</v>
      </c>
      <c r="B559" s="143" t="s">
        <v>956</v>
      </c>
      <c r="C559" s="143">
        <v>40</v>
      </c>
      <c r="D559" s="143">
        <v>65</v>
      </c>
      <c r="E559" s="143" t="s">
        <v>433</v>
      </c>
      <c r="F559" s="143" t="s">
        <v>967</v>
      </c>
      <c r="G559" s="143" t="s">
        <v>293</v>
      </c>
      <c r="H559" s="143" t="s">
        <v>294</v>
      </c>
      <c r="I559" s="143" t="s">
        <v>285</v>
      </c>
      <c r="J559" s="143" t="s">
        <v>914</v>
      </c>
      <c r="K559" s="143" t="s">
        <v>914</v>
      </c>
      <c r="L559" s="143" t="s">
        <v>914</v>
      </c>
      <c r="M559" s="143">
        <v>1100</v>
      </c>
      <c r="N559" s="143">
        <v>50</v>
      </c>
    </row>
    <row r="560" spans="1:14" x14ac:dyDescent="0.25">
      <c r="E560" s="143" t="s">
        <v>434</v>
      </c>
      <c r="F560" s="143" t="s">
        <v>944</v>
      </c>
      <c r="G560" s="143">
        <v>0</v>
      </c>
      <c r="H560" s="143" t="s">
        <v>944</v>
      </c>
    </row>
    <row r="561" spans="1:14" x14ac:dyDescent="0.25">
      <c r="E561" s="143" t="s">
        <v>433</v>
      </c>
      <c r="F561" s="143">
        <v>0</v>
      </c>
      <c r="G561" s="143">
        <v>0</v>
      </c>
      <c r="H561" s="143">
        <v>0</v>
      </c>
    </row>
    <row r="562" spans="1:14" x14ac:dyDescent="0.25">
      <c r="E562" s="143" t="s">
        <v>434</v>
      </c>
      <c r="F562" s="143" t="s">
        <v>954</v>
      </c>
      <c r="G562" s="143" t="s">
        <v>294</v>
      </c>
      <c r="H562" s="143" t="s">
        <v>954</v>
      </c>
    </row>
    <row r="563" spans="1:14" x14ac:dyDescent="0.25">
      <c r="A563" s="143" t="s">
        <v>859</v>
      </c>
      <c r="B563" s="143" t="s">
        <v>998</v>
      </c>
      <c r="C563" s="143">
        <v>40</v>
      </c>
      <c r="D563" s="143">
        <v>65</v>
      </c>
      <c r="E563" s="143" t="s">
        <v>433</v>
      </c>
      <c r="F563" s="143" t="s">
        <v>944</v>
      </c>
      <c r="G563" s="143" t="s">
        <v>293</v>
      </c>
      <c r="H563" s="143" t="s">
        <v>954</v>
      </c>
      <c r="I563" s="143" t="s">
        <v>285</v>
      </c>
      <c r="J563" s="143" t="s">
        <v>914</v>
      </c>
      <c r="K563" s="143" t="s">
        <v>914</v>
      </c>
      <c r="L563" s="143" t="s">
        <v>914</v>
      </c>
      <c r="M563" s="143">
        <v>830</v>
      </c>
      <c r="N563" s="143">
        <v>50</v>
      </c>
    </row>
    <row r="564" spans="1:14" x14ac:dyDescent="0.25">
      <c r="E564" s="143" t="s">
        <v>434</v>
      </c>
      <c r="F564" s="143">
        <v>0</v>
      </c>
      <c r="G564" s="143">
        <v>0</v>
      </c>
      <c r="H564" s="143">
        <v>0</v>
      </c>
    </row>
    <row r="565" spans="1:14" x14ac:dyDescent="0.25">
      <c r="E565" s="143" t="s">
        <v>433</v>
      </c>
      <c r="F565" s="143">
        <v>0</v>
      </c>
      <c r="G565" s="143">
        <v>0</v>
      </c>
      <c r="H565" s="143">
        <v>0</v>
      </c>
    </row>
    <row r="566" spans="1:14" x14ac:dyDescent="0.25">
      <c r="E566" s="143" t="s">
        <v>434</v>
      </c>
      <c r="F566" s="143" t="s">
        <v>954</v>
      </c>
      <c r="G566" s="143" t="s">
        <v>294</v>
      </c>
      <c r="H566" s="143" t="s">
        <v>947</v>
      </c>
    </row>
    <row r="567" spans="1:14" x14ac:dyDescent="0.25">
      <c r="A567" s="143" t="s">
        <v>859</v>
      </c>
      <c r="B567" s="143" t="s">
        <v>999</v>
      </c>
      <c r="C567" s="143">
        <v>40</v>
      </c>
      <c r="D567" s="143">
        <v>65</v>
      </c>
      <c r="E567" s="143" t="s">
        <v>433</v>
      </c>
      <c r="F567" s="143" t="s">
        <v>954</v>
      </c>
      <c r="G567" s="143" t="s">
        <v>293</v>
      </c>
      <c r="H567" s="143" t="s">
        <v>954</v>
      </c>
      <c r="I567" s="143" t="s">
        <v>285</v>
      </c>
      <c r="J567" s="143" t="s">
        <v>914</v>
      </c>
      <c r="K567" s="143" t="s">
        <v>914</v>
      </c>
      <c r="L567" s="143" t="s">
        <v>914</v>
      </c>
      <c r="M567" s="143">
        <v>830</v>
      </c>
      <c r="N567" s="143">
        <v>50</v>
      </c>
    </row>
    <row r="568" spans="1:14" x14ac:dyDescent="0.25">
      <c r="E568" s="143" t="s">
        <v>434</v>
      </c>
      <c r="F568" s="143">
        <v>0</v>
      </c>
      <c r="G568" s="143">
        <v>0</v>
      </c>
      <c r="H568" s="143">
        <v>0</v>
      </c>
    </row>
    <row r="569" spans="1:14" x14ac:dyDescent="0.25">
      <c r="E569" s="143" t="s">
        <v>433</v>
      </c>
      <c r="F569" s="143">
        <v>0</v>
      </c>
      <c r="G569" s="143">
        <v>0</v>
      </c>
      <c r="H569" s="143">
        <v>0</v>
      </c>
    </row>
    <row r="570" spans="1:14" x14ac:dyDescent="0.25">
      <c r="E570" s="143" t="s">
        <v>434</v>
      </c>
      <c r="F570" s="143" t="s">
        <v>947</v>
      </c>
      <c r="G570" s="143" t="s">
        <v>947</v>
      </c>
      <c r="H570" s="143" t="s">
        <v>293</v>
      </c>
    </row>
    <row r="571" spans="1:14" x14ac:dyDescent="0.25">
      <c r="A571" s="143" t="s">
        <v>859</v>
      </c>
      <c r="B571" s="143" t="s">
        <v>1000</v>
      </c>
      <c r="C571" s="143">
        <v>40</v>
      </c>
      <c r="D571" s="143">
        <v>65</v>
      </c>
      <c r="E571" s="143" t="s">
        <v>433</v>
      </c>
      <c r="F571" s="143" t="s">
        <v>954</v>
      </c>
      <c r="G571" s="143" t="s">
        <v>293</v>
      </c>
      <c r="H571" s="143" t="s">
        <v>954</v>
      </c>
      <c r="I571" s="143" t="s">
        <v>285</v>
      </c>
      <c r="J571" s="143" t="s">
        <v>914</v>
      </c>
      <c r="K571" s="143" t="s">
        <v>914</v>
      </c>
      <c r="L571" s="143" t="s">
        <v>914</v>
      </c>
      <c r="M571" s="143">
        <v>830</v>
      </c>
      <c r="N571" s="143">
        <v>50</v>
      </c>
    </row>
    <row r="572" spans="1:14" x14ac:dyDescent="0.25">
      <c r="E572" s="143" t="s">
        <v>434</v>
      </c>
      <c r="F572" s="143">
        <v>0</v>
      </c>
      <c r="G572" s="143">
        <v>0</v>
      </c>
      <c r="H572" s="143">
        <v>0</v>
      </c>
    </row>
    <row r="573" spans="1:14" x14ac:dyDescent="0.25">
      <c r="E573" s="143" t="s">
        <v>433</v>
      </c>
      <c r="F573" s="143">
        <v>0</v>
      </c>
      <c r="G573" s="143">
        <v>0</v>
      </c>
      <c r="H573" s="143">
        <v>0</v>
      </c>
    </row>
    <row r="574" spans="1:14" x14ac:dyDescent="0.25">
      <c r="E574" s="143" t="s">
        <v>434</v>
      </c>
      <c r="F574" s="143" t="s">
        <v>293</v>
      </c>
      <c r="G574" s="143" t="s">
        <v>947</v>
      </c>
      <c r="H574" s="143" t="s">
        <v>293</v>
      </c>
    </row>
    <row r="575" spans="1:14" x14ac:dyDescent="0.25">
      <c r="A575" s="143" t="s">
        <v>859</v>
      </c>
      <c r="B575" s="143" t="s">
        <v>976</v>
      </c>
      <c r="C575" s="143">
        <v>40</v>
      </c>
      <c r="D575" s="143">
        <v>65</v>
      </c>
      <c r="E575" s="143" t="s">
        <v>433</v>
      </c>
      <c r="F575" s="143" t="s">
        <v>954</v>
      </c>
      <c r="G575" s="143" t="s">
        <v>293</v>
      </c>
      <c r="H575" s="143" t="s">
        <v>954</v>
      </c>
      <c r="I575" s="143" t="s">
        <v>285</v>
      </c>
      <c r="J575" s="143" t="s">
        <v>914</v>
      </c>
      <c r="K575" s="143" t="s">
        <v>914</v>
      </c>
      <c r="L575" s="143" t="s">
        <v>914</v>
      </c>
      <c r="M575" s="143">
        <v>830</v>
      </c>
      <c r="N575" s="143">
        <v>50</v>
      </c>
    </row>
    <row r="576" spans="1:14" x14ac:dyDescent="0.25">
      <c r="E576" s="143" t="s">
        <v>434</v>
      </c>
      <c r="F576" s="143">
        <v>0</v>
      </c>
      <c r="G576" s="143">
        <v>0</v>
      </c>
      <c r="H576" s="143">
        <v>0</v>
      </c>
    </row>
    <row r="577" spans="1:14" x14ac:dyDescent="0.25">
      <c r="E577" s="143" t="s">
        <v>433</v>
      </c>
      <c r="F577" s="143">
        <v>0</v>
      </c>
      <c r="G577" s="143">
        <v>0</v>
      </c>
      <c r="H577" s="143">
        <v>0</v>
      </c>
    </row>
    <row r="578" spans="1:14" x14ac:dyDescent="0.25">
      <c r="E578" s="143" t="s">
        <v>434</v>
      </c>
      <c r="F578" s="143" t="s">
        <v>293</v>
      </c>
      <c r="G578" s="143" t="s">
        <v>947</v>
      </c>
      <c r="H578" s="143" t="s">
        <v>293</v>
      </c>
    </row>
    <row r="579" spans="1:14" x14ac:dyDescent="0.25">
      <c r="A579" s="143" t="s">
        <v>859</v>
      </c>
      <c r="B579" s="143" t="s">
        <v>977</v>
      </c>
      <c r="C579" s="143">
        <v>40</v>
      </c>
      <c r="D579" s="143">
        <v>65</v>
      </c>
      <c r="E579" s="143" t="s">
        <v>433</v>
      </c>
      <c r="F579" s="143" t="s">
        <v>954</v>
      </c>
      <c r="G579" s="143" t="s">
        <v>293</v>
      </c>
      <c r="H579" s="143" t="s">
        <v>954</v>
      </c>
      <c r="I579" s="143" t="s">
        <v>285</v>
      </c>
      <c r="J579" s="143" t="s">
        <v>914</v>
      </c>
      <c r="K579" s="143" t="s">
        <v>914</v>
      </c>
      <c r="L579" s="143" t="s">
        <v>914</v>
      </c>
      <c r="M579" s="143">
        <v>830</v>
      </c>
      <c r="N579" s="143">
        <v>50</v>
      </c>
    </row>
    <row r="580" spans="1:14" x14ac:dyDescent="0.25">
      <c r="E580" s="143" t="s">
        <v>434</v>
      </c>
      <c r="F580" s="143">
        <v>0</v>
      </c>
      <c r="G580" s="143">
        <v>0</v>
      </c>
      <c r="H580" s="143">
        <v>0</v>
      </c>
    </row>
    <row r="581" spans="1:14" x14ac:dyDescent="0.25">
      <c r="E581" s="143" t="s">
        <v>433</v>
      </c>
      <c r="F581" s="143">
        <v>0</v>
      </c>
      <c r="G581" s="143">
        <v>0</v>
      </c>
      <c r="H581" s="143">
        <v>0</v>
      </c>
    </row>
    <row r="582" spans="1:14" x14ac:dyDescent="0.25">
      <c r="E582" s="143" t="s">
        <v>434</v>
      </c>
      <c r="F582" s="143" t="s">
        <v>293</v>
      </c>
      <c r="G582" s="143" t="s">
        <v>947</v>
      </c>
      <c r="H582" s="143" t="s">
        <v>293</v>
      </c>
    </row>
    <row r="583" spans="1:14" x14ac:dyDescent="0.25">
      <c r="A583" s="143" t="s">
        <v>859</v>
      </c>
      <c r="B583" s="143" t="s">
        <v>978</v>
      </c>
      <c r="C583" s="143">
        <v>40</v>
      </c>
      <c r="D583" s="143">
        <v>65</v>
      </c>
      <c r="E583" s="143" t="s">
        <v>433</v>
      </c>
      <c r="F583" s="143" t="s">
        <v>954</v>
      </c>
      <c r="G583" s="143" t="s">
        <v>293</v>
      </c>
      <c r="H583" s="143" t="s">
        <v>293</v>
      </c>
      <c r="I583" s="143" t="s">
        <v>285</v>
      </c>
      <c r="J583" s="143" t="s">
        <v>914</v>
      </c>
      <c r="K583" s="143" t="s">
        <v>914</v>
      </c>
      <c r="L583" s="143" t="s">
        <v>914</v>
      </c>
      <c r="M583" s="143">
        <v>830</v>
      </c>
      <c r="N583" s="143">
        <v>50</v>
      </c>
    </row>
    <row r="584" spans="1:14" x14ac:dyDescent="0.25">
      <c r="E584" s="143" t="s">
        <v>434</v>
      </c>
      <c r="F584" s="143">
        <v>0</v>
      </c>
      <c r="G584" s="143">
        <v>0</v>
      </c>
      <c r="H584" s="143">
        <v>0</v>
      </c>
    </row>
    <row r="585" spans="1:14" x14ac:dyDescent="0.25">
      <c r="E585" s="143" t="s">
        <v>433</v>
      </c>
      <c r="F585" s="143">
        <v>0</v>
      </c>
      <c r="G585" s="143">
        <v>0</v>
      </c>
      <c r="H585" s="143">
        <v>0</v>
      </c>
    </row>
    <row r="586" spans="1:14" x14ac:dyDescent="0.25">
      <c r="E586" s="143" t="s">
        <v>434</v>
      </c>
      <c r="F586" s="143" t="s">
        <v>293</v>
      </c>
      <c r="G586" s="143" t="s">
        <v>947</v>
      </c>
      <c r="H586" s="143" t="s">
        <v>293</v>
      </c>
    </row>
    <row r="587" spans="1:14" x14ac:dyDescent="0.25">
      <c r="A587" s="143" t="s">
        <v>859</v>
      </c>
      <c r="B587" s="143" t="s">
        <v>1001</v>
      </c>
      <c r="C587" s="143">
        <v>40</v>
      </c>
      <c r="D587" s="143">
        <v>65</v>
      </c>
      <c r="E587" s="143" t="s">
        <v>433</v>
      </c>
      <c r="F587" s="143" t="s">
        <v>293</v>
      </c>
      <c r="G587" s="143" t="s">
        <v>293</v>
      </c>
      <c r="H587" s="143" t="s">
        <v>944</v>
      </c>
      <c r="I587" s="143" t="s">
        <v>285</v>
      </c>
      <c r="J587" s="143" t="s">
        <v>914</v>
      </c>
      <c r="K587" s="143" t="s">
        <v>914</v>
      </c>
      <c r="L587" s="143" t="s">
        <v>914</v>
      </c>
      <c r="M587" s="143">
        <v>575</v>
      </c>
      <c r="N587" s="143">
        <v>50</v>
      </c>
    </row>
    <row r="588" spans="1:14" x14ac:dyDescent="0.25">
      <c r="E588" s="143" t="s">
        <v>434</v>
      </c>
      <c r="F588" s="143">
        <v>0</v>
      </c>
      <c r="G588" s="143">
        <v>0</v>
      </c>
      <c r="H588" s="143">
        <v>0</v>
      </c>
    </row>
    <row r="589" spans="1:14" x14ac:dyDescent="0.25">
      <c r="E589" s="143" t="s">
        <v>433</v>
      </c>
      <c r="F589" s="143">
        <v>0</v>
      </c>
      <c r="G589" s="143">
        <v>0</v>
      </c>
      <c r="H589" s="143">
        <v>0</v>
      </c>
    </row>
    <row r="590" spans="1:14" x14ac:dyDescent="0.25">
      <c r="E590" s="143" t="s">
        <v>434</v>
      </c>
      <c r="F590" s="143" t="s">
        <v>293</v>
      </c>
      <c r="G590" s="143" t="s">
        <v>947</v>
      </c>
      <c r="H590" s="143" t="s">
        <v>293</v>
      </c>
    </row>
    <row r="591" spans="1:14" x14ac:dyDescent="0.25">
      <c r="A591" s="143" t="s">
        <v>859</v>
      </c>
      <c r="B591" s="143" t="s">
        <v>1002</v>
      </c>
      <c r="C591" s="143">
        <v>40</v>
      </c>
      <c r="D591" s="143">
        <v>65</v>
      </c>
      <c r="E591" s="143" t="s">
        <v>433</v>
      </c>
      <c r="F591" s="143" t="s">
        <v>294</v>
      </c>
      <c r="G591" s="143" t="s">
        <v>293</v>
      </c>
      <c r="H591" s="143" t="s">
        <v>944</v>
      </c>
      <c r="I591" s="143" t="s">
        <v>285</v>
      </c>
      <c r="J591" s="143" t="s">
        <v>913</v>
      </c>
      <c r="K591" s="143" t="s">
        <v>913</v>
      </c>
      <c r="L591" s="143" t="s">
        <v>913</v>
      </c>
      <c r="M591" s="143">
        <v>990</v>
      </c>
      <c r="N591" s="143">
        <v>50</v>
      </c>
    </row>
    <row r="592" spans="1:14" x14ac:dyDescent="0.25">
      <c r="E592" s="143" t="s">
        <v>434</v>
      </c>
      <c r="F592" s="143" t="s">
        <v>944</v>
      </c>
      <c r="G592" s="143">
        <v>0</v>
      </c>
      <c r="H592" s="143">
        <v>0</v>
      </c>
    </row>
    <row r="593" spans="1:14" x14ac:dyDescent="0.25">
      <c r="E593" s="143" t="s">
        <v>433</v>
      </c>
      <c r="F593" s="143">
        <v>0</v>
      </c>
      <c r="G593" s="143">
        <v>0</v>
      </c>
      <c r="H593" s="143">
        <v>0</v>
      </c>
    </row>
    <row r="594" spans="1:14" x14ac:dyDescent="0.25">
      <c r="E594" s="143" t="s">
        <v>434</v>
      </c>
      <c r="F594" s="143" t="s">
        <v>954</v>
      </c>
      <c r="G594" s="143" t="s">
        <v>954</v>
      </c>
      <c r="H594" s="143" t="s">
        <v>954</v>
      </c>
    </row>
    <row r="595" spans="1:14" x14ac:dyDescent="0.25">
      <c r="A595" s="143" t="s">
        <v>859</v>
      </c>
      <c r="B595" s="143" t="s">
        <v>955</v>
      </c>
      <c r="C595" s="143">
        <v>40</v>
      </c>
      <c r="D595" s="143">
        <v>65</v>
      </c>
      <c r="E595" s="143" t="s">
        <v>433</v>
      </c>
      <c r="F595" s="143" t="s">
        <v>294</v>
      </c>
      <c r="G595" s="143" t="s">
        <v>293</v>
      </c>
      <c r="H595" s="143" t="s">
        <v>944</v>
      </c>
      <c r="I595" s="143" t="s">
        <v>285</v>
      </c>
      <c r="J595" s="143" t="s">
        <v>914</v>
      </c>
      <c r="K595" s="143" t="s">
        <v>914</v>
      </c>
      <c r="L595" s="143" t="s">
        <v>914</v>
      </c>
      <c r="M595" s="143">
        <v>990</v>
      </c>
      <c r="N595" s="143">
        <v>50</v>
      </c>
    </row>
    <row r="596" spans="1:14" x14ac:dyDescent="0.25">
      <c r="E596" s="143" t="s">
        <v>434</v>
      </c>
      <c r="F596" s="143" t="s">
        <v>944</v>
      </c>
      <c r="G596" s="143">
        <v>0</v>
      </c>
      <c r="H596" s="143">
        <v>0</v>
      </c>
    </row>
    <row r="597" spans="1:14" x14ac:dyDescent="0.25">
      <c r="E597" s="143" t="s">
        <v>433</v>
      </c>
      <c r="F597" s="143">
        <v>0</v>
      </c>
      <c r="G597" s="143">
        <v>0</v>
      </c>
      <c r="H597" s="143">
        <v>0</v>
      </c>
    </row>
    <row r="598" spans="1:14" x14ac:dyDescent="0.25">
      <c r="E598" s="143" t="s">
        <v>434</v>
      </c>
      <c r="F598" s="143" t="s">
        <v>954</v>
      </c>
      <c r="G598" s="143" t="s">
        <v>954</v>
      </c>
      <c r="H598" s="143" t="s">
        <v>954</v>
      </c>
    </row>
    <row r="599" spans="1:14" x14ac:dyDescent="0.25">
      <c r="A599" s="143" t="s">
        <v>859</v>
      </c>
      <c r="B599" s="143" t="s">
        <v>964</v>
      </c>
      <c r="C599" s="143">
        <v>40</v>
      </c>
      <c r="D599" s="143">
        <v>65</v>
      </c>
      <c r="E599" s="143" t="s">
        <v>433</v>
      </c>
      <c r="F599" s="143" t="s">
        <v>294</v>
      </c>
      <c r="G599" s="143" t="s">
        <v>293</v>
      </c>
      <c r="H599" s="143" t="s">
        <v>944</v>
      </c>
      <c r="I599" s="143" t="s">
        <v>285</v>
      </c>
      <c r="J599" s="143" t="s">
        <v>914</v>
      </c>
      <c r="K599" s="143" t="s">
        <v>914</v>
      </c>
      <c r="L599" s="143" t="s">
        <v>914</v>
      </c>
      <c r="M599" s="143">
        <v>990</v>
      </c>
      <c r="N599" s="143">
        <v>50</v>
      </c>
    </row>
    <row r="600" spans="1:14" x14ac:dyDescent="0.25">
      <c r="E600" s="143" t="s">
        <v>434</v>
      </c>
      <c r="F600" s="143" t="s">
        <v>944</v>
      </c>
      <c r="G600" s="143">
        <v>0</v>
      </c>
      <c r="H600" s="143">
        <v>0</v>
      </c>
    </row>
    <row r="601" spans="1:14" x14ac:dyDescent="0.25">
      <c r="E601" s="143" t="s">
        <v>433</v>
      </c>
      <c r="F601" s="143">
        <v>0</v>
      </c>
      <c r="G601" s="143">
        <v>0</v>
      </c>
      <c r="H601" s="143">
        <v>0</v>
      </c>
    </row>
    <row r="602" spans="1:14" x14ac:dyDescent="0.25">
      <c r="E602" s="143" t="s">
        <v>434</v>
      </c>
      <c r="F602" s="143" t="s">
        <v>293</v>
      </c>
      <c r="G602" s="143" t="s">
        <v>954</v>
      </c>
      <c r="H602" s="143" t="s">
        <v>954</v>
      </c>
    </row>
    <row r="603" spans="1:14" x14ac:dyDescent="0.25">
      <c r="A603" s="143" t="s">
        <v>859</v>
      </c>
      <c r="B603" s="143" t="s">
        <v>955</v>
      </c>
      <c r="C603" s="143">
        <v>40</v>
      </c>
      <c r="D603" s="143">
        <v>65</v>
      </c>
      <c r="E603" s="143" t="s">
        <v>433</v>
      </c>
      <c r="F603" s="143" t="s">
        <v>294</v>
      </c>
      <c r="G603" s="143" t="s">
        <v>293</v>
      </c>
      <c r="H603" s="143" t="s">
        <v>944</v>
      </c>
      <c r="I603" s="143" t="s">
        <v>285</v>
      </c>
      <c r="J603" s="143" t="s">
        <v>914</v>
      </c>
      <c r="K603" s="143" t="s">
        <v>914</v>
      </c>
      <c r="L603" s="143" t="s">
        <v>914</v>
      </c>
      <c r="M603" s="143">
        <v>990</v>
      </c>
      <c r="N603" s="143">
        <v>50</v>
      </c>
    </row>
    <row r="604" spans="1:14" x14ac:dyDescent="0.25">
      <c r="E604" s="143" t="s">
        <v>434</v>
      </c>
      <c r="F604" s="143" t="s">
        <v>944</v>
      </c>
      <c r="G604" s="143">
        <v>0</v>
      </c>
      <c r="H604" s="143">
        <v>0</v>
      </c>
    </row>
    <row r="605" spans="1:14" x14ac:dyDescent="0.25">
      <c r="E605" s="143" t="s">
        <v>433</v>
      </c>
      <c r="F605" s="143">
        <v>0</v>
      </c>
      <c r="G605" s="143">
        <v>0</v>
      </c>
      <c r="H605" s="143">
        <v>0</v>
      </c>
    </row>
    <row r="606" spans="1:14" x14ac:dyDescent="0.25">
      <c r="E606" s="143" t="s">
        <v>434</v>
      </c>
      <c r="F606" s="143" t="s">
        <v>954</v>
      </c>
      <c r="G606" s="143" t="s">
        <v>954</v>
      </c>
      <c r="H606" s="143" t="s">
        <v>954</v>
      </c>
    </row>
    <row r="607" spans="1:14" x14ac:dyDescent="0.25">
      <c r="A607" s="143" t="s">
        <v>859</v>
      </c>
      <c r="B607" s="143" t="s">
        <v>955</v>
      </c>
      <c r="C607" s="143">
        <v>40</v>
      </c>
      <c r="D607" s="143">
        <v>65</v>
      </c>
      <c r="E607" s="143" t="s">
        <v>433</v>
      </c>
      <c r="F607" s="143" t="s">
        <v>294</v>
      </c>
      <c r="G607" s="143" t="s">
        <v>293</v>
      </c>
      <c r="H607" s="143" t="s">
        <v>944</v>
      </c>
      <c r="I607" s="143" t="s">
        <v>285</v>
      </c>
      <c r="J607" s="143" t="s">
        <v>914</v>
      </c>
      <c r="K607" s="143" t="s">
        <v>914</v>
      </c>
      <c r="L607" s="143" t="s">
        <v>914</v>
      </c>
      <c r="M607" s="143">
        <v>990</v>
      </c>
      <c r="N607" s="143">
        <v>50</v>
      </c>
    </row>
    <row r="608" spans="1:14" x14ac:dyDescent="0.25">
      <c r="E608" s="143" t="s">
        <v>434</v>
      </c>
      <c r="F608" s="143" t="s">
        <v>944</v>
      </c>
      <c r="G608" s="143">
        <v>0</v>
      </c>
      <c r="H608" s="143">
        <v>0</v>
      </c>
    </row>
    <row r="609" spans="1:14" x14ac:dyDescent="0.25">
      <c r="E609" s="143" t="s">
        <v>433</v>
      </c>
      <c r="F609" s="143">
        <v>0</v>
      </c>
      <c r="G609" s="143">
        <v>0</v>
      </c>
      <c r="H609" s="143">
        <v>0</v>
      </c>
    </row>
    <row r="610" spans="1:14" x14ac:dyDescent="0.25">
      <c r="E610" s="143" t="s">
        <v>434</v>
      </c>
      <c r="F610" s="143" t="s">
        <v>954</v>
      </c>
      <c r="G610" s="143" t="s">
        <v>954</v>
      </c>
      <c r="H610" s="143" t="s">
        <v>954</v>
      </c>
    </row>
    <row r="611" spans="1:14" x14ac:dyDescent="0.25">
      <c r="A611" s="143" t="s">
        <v>859</v>
      </c>
      <c r="B611" s="143" t="s">
        <v>1003</v>
      </c>
      <c r="C611" s="143">
        <v>40</v>
      </c>
      <c r="D611" s="143">
        <v>65</v>
      </c>
      <c r="E611" s="143" t="s">
        <v>433</v>
      </c>
      <c r="F611" s="143" t="s">
        <v>293</v>
      </c>
      <c r="G611" s="143" t="s">
        <v>293</v>
      </c>
      <c r="H611" s="143" t="s">
        <v>294</v>
      </c>
      <c r="I611" s="143" t="s">
        <v>285</v>
      </c>
      <c r="J611" s="143" t="s">
        <v>914</v>
      </c>
      <c r="K611" s="143" t="s">
        <v>914</v>
      </c>
      <c r="L611" s="143" t="s">
        <v>914</v>
      </c>
      <c r="M611" s="143">
        <v>830</v>
      </c>
      <c r="N611" s="143">
        <v>50</v>
      </c>
    </row>
    <row r="612" spans="1:14" x14ac:dyDescent="0.25">
      <c r="E612" s="143" t="s">
        <v>434</v>
      </c>
      <c r="F612" s="143">
        <v>0</v>
      </c>
      <c r="G612" s="143">
        <v>0</v>
      </c>
      <c r="H612" s="143">
        <v>0</v>
      </c>
    </row>
    <row r="613" spans="1:14" x14ac:dyDescent="0.25">
      <c r="E613" s="143" t="s">
        <v>433</v>
      </c>
      <c r="F613" s="143">
        <v>0</v>
      </c>
      <c r="G613" s="143">
        <v>0</v>
      </c>
      <c r="H613" s="143">
        <v>0</v>
      </c>
    </row>
    <row r="614" spans="1:14" x14ac:dyDescent="0.25">
      <c r="E614" s="143" t="s">
        <v>434</v>
      </c>
      <c r="F614" s="143" t="s">
        <v>947</v>
      </c>
      <c r="G614" s="143" t="s">
        <v>954</v>
      </c>
      <c r="H614" s="143" t="s">
        <v>293</v>
      </c>
    </row>
    <row r="615" spans="1:14" x14ac:dyDescent="0.25">
      <c r="A615" s="143" t="s">
        <v>859</v>
      </c>
      <c r="B615" s="143" t="s">
        <v>1004</v>
      </c>
      <c r="C615" s="143">
        <v>40</v>
      </c>
      <c r="D615" s="143">
        <v>65</v>
      </c>
      <c r="E615" s="143" t="s">
        <v>433</v>
      </c>
      <c r="F615" s="143" t="s">
        <v>294</v>
      </c>
      <c r="G615" s="143" t="s">
        <v>293</v>
      </c>
      <c r="H615" s="143" t="s">
        <v>954</v>
      </c>
      <c r="I615" s="143" t="s">
        <v>285</v>
      </c>
      <c r="J615" s="143" t="s">
        <v>914</v>
      </c>
      <c r="K615" s="143" t="s">
        <v>914</v>
      </c>
      <c r="L615" s="143" t="s">
        <v>914</v>
      </c>
      <c r="M615" s="143">
        <v>830</v>
      </c>
      <c r="N615" s="143">
        <v>50</v>
      </c>
    </row>
    <row r="616" spans="1:14" x14ac:dyDescent="0.25">
      <c r="E616" s="143" t="s">
        <v>434</v>
      </c>
      <c r="F616" s="143">
        <v>0</v>
      </c>
      <c r="G616" s="143">
        <v>0</v>
      </c>
      <c r="H616" s="143">
        <v>0</v>
      </c>
    </row>
    <row r="617" spans="1:14" x14ac:dyDescent="0.25">
      <c r="E617" s="143" t="s">
        <v>433</v>
      </c>
      <c r="F617" s="143">
        <v>0</v>
      </c>
      <c r="G617" s="143">
        <v>0</v>
      </c>
      <c r="H617" s="143">
        <v>0</v>
      </c>
    </row>
    <row r="618" spans="1:14" x14ac:dyDescent="0.25">
      <c r="E618" s="143" t="s">
        <v>434</v>
      </c>
      <c r="F618" s="143" t="s">
        <v>293</v>
      </c>
      <c r="G618" s="143" t="s">
        <v>947</v>
      </c>
      <c r="H618" s="143" t="s">
        <v>293</v>
      </c>
    </row>
    <row r="619" spans="1:14" x14ac:dyDescent="0.25">
      <c r="A619" s="143" t="s">
        <v>859</v>
      </c>
      <c r="B619" s="143" t="s">
        <v>1005</v>
      </c>
      <c r="C619" s="143">
        <v>40</v>
      </c>
      <c r="D619" s="143">
        <v>65</v>
      </c>
      <c r="E619" s="143" t="s">
        <v>433</v>
      </c>
      <c r="F619" s="143" t="s">
        <v>954</v>
      </c>
      <c r="G619" s="143" t="s">
        <v>293</v>
      </c>
      <c r="H619" s="143" t="s">
        <v>954</v>
      </c>
      <c r="I619" s="143" t="s">
        <v>285</v>
      </c>
      <c r="J619" s="143" t="s">
        <v>914</v>
      </c>
      <c r="K619" s="143" t="s">
        <v>914</v>
      </c>
      <c r="L619" s="143" t="s">
        <v>914</v>
      </c>
      <c r="M619" s="143">
        <v>830</v>
      </c>
      <c r="N619" s="143">
        <v>50</v>
      </c>
    </row>
    <row r="620" spans="1:14" x14ac:dyDescent="0.25">
      <c r="E620" s="143" t="s">
        <v>434</v>
      </c>
      <c r="F620" s="143">
        <v>0</v>
      </c>
      <c r="G620" s="143">
        <v>0</v>
      </c>
      <c r="H620" s="143">
        <v>0</v>
      </c>
    </row>
    <row r="621" spans="1:14" x14ac:dyDescent="0.25">
      <c r="E621" s="143" t="s">
        <v>433</v>
      </c>
      <c r="F621" s="143">
        <v>0</v>
      </c>
      <c r="G621" s="143">
        <v>0</v>
      </c>
      <c r="H621" s="143">
        <v>0</v>
      </c>
    </row>
    <row r="622" spans="1:14" x14ac:dyDescent="0.25">
      <c r="E622" s="143" t="s">
        <v>434</v>
      </c>
      <c r="F622" s="143" t="s">
        <v>293</v>
      </c>
      <c r="G622" s="143" t="s">
        <v>954</v>
      </c>
      <c r="H622" s="143" t="s">
        <v>293</v>
      </c>
    </row>
    <row r="623" spans="1:14" x14ac:dyDescent="0.25">
      <c r="A623" s="143" t="s">
        <v>859</v>
      </c>
      <c r="B623" s="143" t="s">
        <v>1006</v>
      </c>
      <c r="C623" s="143">
        <v>40</v>
      </c>
      <c r="D623" s="143">
        <v>65</v>
      </c>
      <c r="E623" s="143" t="s">
        <v>433</v>
      </c>
      <c r="F623" s="143" t="s">
        <v>954</v>
      </c>
      <c r="G623" s="143" t="s">
        <v>293</v>
      </c>
      <c r="H623" s="143" t="s">
        <v>294</v>
      </c>
      <c r="I623" s="143" t="s">
        <v>285</v>
      </c>
      <c r="J623" s="143" t="s">
        <v>914</v>
      </c>
      <c r="K623" s="143" t="s">
        <v>914</v>
      </c>
      <c r="L623" s="143" t="s">
        <v>914</v>
      </c>
      <c r="M623" s="143">
        <v>830</v>
      </c>
      <c r="N623" s="143">
        <v>50</v>
      </c>
    </row>
    <row r="624" spans="1:14" x14ac:dyDescent="0.25">
      <c r="E624" s="143" t="s">
        <v>434</v>
      </c>
      <c r="F624" s="143">
        <v>0</v>
      </c>
      <c r="G624" s="143">
        <v>0</v>
      </c>
      <c r="H624" s="143">
        <v>0</v>
      </c>
    </row>
    <row r="625" spans="1:14" x14ac:dyDescent="0.25">
      <c r="E625" s="143" t="s">
        <v>433</v>
      </c>
      <c r="F625" s="143">
        <v>0</v>
      </c>
      <c r="G625" s="143">
        <v>0</v>
      </c>
      <c r="H625" s="143">
        <v>0</v>
      </c>
    </row>
    <row r="626" spans="1:14" x14ac:dyDescent="0.25">
      <c r="E626" s="143" t="s">
        <v>434</v>
      </c>
      <c r="F626" s="143" t="s">
        <v>293</v>
      </c>
      <c r="G626" s="143" t="s">
        <v>947</v>
      </c>
      <c r="H626" s="143" t="s">
        <v>293</v>
      </c>
    </row>
    <row r="627" spans="1:14" x14ac:dyDescent="0.25">
      <c r="A627" s="143" t="s">
        <v>859</v>
      </c>
      <c r="B627" s="143" t="s">
        <v>1007</v>
      </c>
      <c r="C627" s="143">
        <v>40</v>
      </c>
      <c r="D627" s="143">
        <v>65</v>
      </c>
      <c r="E627" s="143" t="s">
        <v>433</v>
      </c>
      <c r="F627" s="143" t="s">
        <v>294</v>
      </c>
      <c r="G627" s="143" t="s">
        <v>293</v>
      </c>
      <c r="H627" s="143" t="s">
        <v>947</v>
      </c>
      <c r="I627" s="143" t="s">
        <v>285</v>
      </c>
      <c r="J627" s="143" t="s">
        <v>914</v>
      </c>
      <c r="K627" s="143" t="s">
        <v>914</v>
      </c>
      <c r="L627" s="143" t="s">
        <v>914</v>
      </c>
      <c r="M627" s="143">
        <v>830</v>
      </c>
      <c r="N627" s="143">
        <v>50</v>
      </c>
    </row>
    <row r="628" spans="1:14" x14ac:dyDescent="0.25">
      <c r="E628" s="143" t="s">
        <v>434</v>
      </c>
      <c r="F628" s="143">
        <v>0</v>
      </c>
      <c r="G628" s="143">
        <v>0</v>
      </c>
      <c r="H628" s="143">
        <v>0</v>
      </c>
    </row>
    <row r="629" spans="1:14" x14ac:dyDescent="0.25">
      <c r="E629" s="143" t="s">
        <v>433</v>
      </c>
      <c r="F629" s="143">
        <v>0</v>
      </c>
      <c r="G629" s="143">
        <v>0</v>
      </c>
      <c r="H629" s="143">
        <v>0</v>
      </c>
    </row>
    <row r="630" spans="1:14" x14ac:dyDescent="0.25">
      <c r="E630" s="143" t="s">
        <v>434</v>
      </c>
      <c r="F630" s="143" t="s">
        <v>293</v>
      </c>
      <c r="G630" s="143" t="s">
        <v>947</v>
      </c>
      <c r="H630" s="143" t="s">
        <v>293</v>
      </c>
    </row>
    <row r="631" spans="1:14" x14ac:dyDescent="0.25">
      <c r="A631" s="143" t="s">
        <v>859</v>
      </c>
      <c r="B631" s="143" t="s">
        <v>1008</v>
      </c>
      <c r="C631" s="143">
        <v>40</v>
      </c>
      <c r="D631" s="143">
        <v>65</v>
      </c>
      <c r="E631" s="143" t="s">
        <v>433</v>
      </c>
      <c r="F631" s="143" t="s">
        <v>947</v>
      </c>
      <c r="G631" s="143" t="s">
        <v>293</v>
      </c>
      <c r="H631" s="143" t="s">
        <v>944</v>
      </c>
      <c r="I631" s="143" t="s">
        <v>285</v>
      </c>
      <c r="J631" s="143" t="s">
        <v>914</v>
      </c>
      <c r="K631" s="143" t="s">
        <v>914</v>
      </c>
      <c r="L631" s="143" t="s">
        <v>914</v>
      </c>
      <c r="M631" s="143">
        <v>575</v>
      </c>
      <c r="N631" s="143">
        <v>50</v>
      </c>
    </row>
    <row r="632" spans="1:14" x14ac:dyDescent="0.25">
      <c r="E632" s="143" t="s">
        <v>434</v>
      </c>
      <c r="F632" s="143">
        <v>0</v>
      </c>
      <c r="G632" s="143">
        <v>0</v>
      </c>
      <c r="H632" s="143">
        <v>0</v>
      </c>
    </row>
    <row r="633" spans="1:14" x14ac:dyDescent="0.25">
      <c r="E633" s="143" t="s">
        <v>433</v>
      </c>
      <c r="F633" s="143">
        <v>0</v>
      </c>
      <c r="G633" s="143">
        <v>0</v>
      </c>
      <c r="H633" s="143">
        <v>0</v>
      </c>
    </row>
    <row r="634" spans="1:14" x14ac:dyDescent="0.25">
      <c r="E634" s="143" t="s">
        <v>434</v>
      </c>
      <c r="F634" s="143" t="s">
        <v>293</v>
      </c>
      <c r="G634" s="143" t="s">
        <v>293</v>
      </c>
      <c r="H634" s="143" t="s">
        <v>293</v>
      </c>
    </row>
  </sheetData>
  <mergeCells count="10">
    <mergeCell ref="K3:K6"/>
    <mergeCell ref="L3:L6"/>
    <mergeCell ref="M3:M6"/>
    <mergeCell ref="N3:N6"/>
    <mergeCell ref="A3:A6"/>
    <mergeCell ref="B3:B6"/>
    <mergeCell ref="C3:C6"/>
    <mergeCell ref="D3:D6"/>
    <mergeCell ref="I3:I6"/>
    <mergeCell ref="J3:J6"/>
  </mergeCells>
  <phoneticPr fontId="1" type="noConversion"/>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工作表5">
    <tabColor theme="4" tint="0.39997558519241921"/>
  </sheetPr>
  <dimension ref="A1:T90"/>
  <sheetViews>
    <sheetView topLeftCell="E1" workbookViewId="0">
      <selection activeCell="R7" sqref="R7:R10"/>
    </sheetView>
  </sheetViews>
  <sheetFormatPr defaultColWidth="9" defaultRowHeight="16.5" x14ac:dyDescent="0.25"/>
  <cols>
    <col min="1" max="14" width="9" style="143" customWidth="1"/>
    <col min="15" max="15" width="25.5" style="168" bestFit="1" customWidth="1"/>
    <col min="18" max="18" width="9.875" style="94" customWidth="1"/>
    <col min="19" max="19" width="9" style="167"/>
    <col min="20" max="20" width="67.875" style="167" bestFit="1" customWidth="1"/>
    <col min="21" max="16384" width="9" style="167"/>
  </cols>
  <sheetData>
    <row r="1" spans="1:20" ht="15.75" x14ac:dyDescent="0.25">
      <c r="A1" s="143" t="s">
        <v>424</v>
      </c>
      <c r="B1" s="143" t="s">
        <v>425</v>
      </c>
      <c r="C1" s="143" t="s">
        <v>426</v>
      </c>
      <c r="D1" s="143" t="s">
        <v>427</v>
      </c>
      <c r="E1" s="143" t="s">
        <v>428</v>
      </c>
      <c r="F1" s="143" t="s">
        <v>428</v>
      </c>
      <c r="I1" s="143" t="s">
        <v>429</v>
      </c>
      <c r="J1" s="143" t="s">
        <v>430</v>
      </c>
      <c r="M1" s="143" t="s">
        <v>431</v>
      </c>
      <c r="N1" s="143" t="s">
        <v>432</v>
      </c>
      <c r="O1" s="168" t="s">
        <v>291</v>
      </c>
      <c r="P1" s="167" t="s">
        <v>281</v>
      </c>
      <c r="Q1" s="167"/>
      <c r="R1" s="167">
        <f>SUM(S:S)</f>
        <v>0</v>
      </c>
      <c r="T1" s="167" t="s">
        <v>281</v>
      </c>
    </row>
    <row r="2" spans="1:20" x14ac:dyDescent="0.25">
      <c r="F2" s="143" t="s">
        <v>354</v>
      </c>
      <c r="G2" s="143" t="s">
        <v>353</v>
      </c>
      <c r="H2" s="143" t="s">
        <v>356</v>
      </c>
      <c r="J2" s="143" t="s">
        <v>354</v>
      </c>
      <c r="K2" s="143" t="s">
        <v>353</v>
      </c>
      <c r="L2" s="143" t="s">
        <v>356</v>
      </c>
    </row>
    <row r="3" spans="1:20" ht="16.149999999999999" customHeight="1" x14ac:dyDescent="0.25">
      <c r="A3" s="143" t="s">
        <v>861</v>
      </c>
      <c r="B3" s="167" t="s">
        <v>1215</v>
      </c>
      <c r="C3" s="143">
        <v>70</v>
      </c>
      <c r="D3" s="143">
        <v>200</v>
      </c>
      <c r="E3" s="143" t="s">
        <v>433</v>
      </c>
      <c r="F3" s="143" t="s">
        <v>909</v>
      </c>
      <c r="G3" s="143" t="s">
        <v>909</v>
      </c>
      <c r="H3" s="143" t="s">
        <v>909</v>
      </c>
      <c r="I3" s="143" t="s">
        <v>1010</v>
      </c>
      <c r="J3" s="143" t="s">
        <v>1173</v>
      </c>
      <c r="K3" s="143" t="s">
        <v>937</v>
      </c>
      <c r="L3" s="143" t="s">
        <v>937</v>
      </c>
      <c r="M3" s="143">
        <v>830</v>
      </c>
      <c r="N3" s="143">
        <v>0</v>
      </c>
      <c r="O3" s="168" t="s">
        <v>1200</v>
      </c>
      <c r="R3" s="182" t="s">
        <v>1191</v>
      </c>
      <c r="S3" s="167" t="str">
        <f>IF(R3&lt;&gt;"",IF(R3&lt;&gt;T3,1,""),"")</f>
        <v/>
      </c>
      <c r="T3" s="177" t="s">
        <v>1191</v>
      </c>
    </row>
    <row r="4" spans="1:20" x14ac:dyDescent="0.25">
      <c r="B4" s="167" t="s">
        <v>1204</v>
      </c>
      <c r="E4" s="143" t="s">
        <v>434</v>
      </c>
      <c r="F4" s="143">
        <v>0</v>
      </c>
      <c r="G4" s="143" t="s">
        <v>1174</v>
      </c>
      <c r="H4" s="143">
        <v>0</v>
      </c>
      <c r="R4" s="182"/>
      <c r="S4" s="167" t="str">
        <f>IF(R4&lt;&gt;"",IF(R4&lt;&gt;T4,1,""),"")</f>
        <v/>
      </c>
      <c r="T4" s="177"/>
    </row>
    <row r="5" spans="1:20" x14ac:dyDescent="0.25">
      <c r="B5" s="167" t="s">
        <v>1204</v>
      </c>
      <c r="E5" s="143" t="s">
        <v>433</v>
      </c>
      <c r="F5" s="143" t="s">
        <v>909</v>
      </c>
      <c r="G5" s="143">
        <v>0</v>
      </c>
      <c r="H5" s="143" t="s">
        <v>906</v>
      </c>
      <c r="R5" s="182"/>
      <c r="S5" s="167" t="str">
        <f>IF(R5&lt;&gt;"",IF(R5&lt;&gt;T5,1,""),"")</f>
        <v/>
      </c>
      <c r="T5" s="177"/>
    </row>
    <row r="6" spans="1:20" x14ac:dyDescent="0.25">
      <c r="B6" s="167" t="s">
        <v>1204</v>
      </c>
      <c r="E6" s="143" t="s">
        <v>434</v>
      </c>
      <c r="F6" s="143" t="s">
        <v>909</v>
      </c>
      <c r="G6" s="143" t="s">
        <v>909</v>
      </c>
      <c r="H6" s="143" t="s">
        <v>909</v>
      </c>
      <c r="R6" s="182"/>
      <c r="S6" s="167" t="str">
        <f>IF(R6&lt;&gt;"",IF(R6&lt;&gt;T6,1,""),"")</f>
        <v/>
      </c>
      <c r="T6" s="177"/>
    </row>
    <row r="7" spans="1:20" ht="16.149999999999999" customHeight="1" x14ac:dyDescent="0.25">
      <c r="A7" s="143" t="s">
        <v>861</v>
      </c>
      <c r="B7" s="167" t="s">
        <v>1203</v>
      </c>
      <c r="C7" s="143">
        <v>70</v>
      </c>
      <c r="D7" s="143">
        <v>200</v>
      </c>
      <c r="E7" s="143" t="s">
        <v>433</v>
      </c>
      <c r="F7" s="143" t="s">
        <v>909</v>
      </c>
      <c r="G7" s="143" t="s">
        <v>909</v>
      </c>
      <c r="H7" s="143" t="s">
        <v>909</v>
      </c>
      <c r="I7" s="143" t="s">
        <v>1010</v>
      </c>
      <c r="J7" s="143" t="s">
        <v>1169</v>
      </c>
      <c r="K7" s="143" t="s">
        <v>937</v>
      </c>
      <c r="L7" s="143" t="s">
        <v>937</v>
      </c>
      <c r="M7" s="143">
        <v>830</v>
      </c>
      <c r="N7" s="143">
        <v>0</v>
      </c>
      <c r="O7" s="94" t="s">
        <v>1216</v>
      </c>
      <c r="R7" s="183" t="s">
        <v>1267</v>
      </c>
      <c r="S7" s="167" t="str">
        <f>IF(R7&lt;&gt;"",IF(R7&lt;&gt;T7,1,""),"")</f>
        <v/>
      </c>
      <c r="T7" s="178" t="s">
        <v>1267</v>
      </c>
    </row>
    <row r="8" spans="1:20" x14ac:dyDescent="0.25">
      <c r="B8" s="167" t="s">
        <v>1204</v>
      </c>
      <c r="E8" s="143" t="s">
        <v>434</v>
      </c>
      <c r="F8" s="143">
        <v>0</v>
      </c>
      <c r="G8" s="143" t="s">
        <v>1174</v>
      </c>
      <c r="H8" s="143">
        <v>0</v>
      </c>
      <c r="O8" s="94" t="s">
        <v>1204</v>
      </c>
      <c r="R8" s="182"/>
      <c r="S8" s="167" t="str">
        <f>IF(R8&lt;&gt;"",IF(R8&lt;&gt;T8,1,""),"")</f>
        <v/>
      </c>
      <c r="T8" s="177"/>
    </row>
    <row r="9" spans="1:20" x14ac:dyDescent="0.25">
      <c r="B9" s="167" t="s">
        <v>1204</v>
      </c>
      <c r="E9" s="143" t="s">
        <v>433</v>
      </c>
      <c r="F9" s="143" t="s">
        <v>909</v>
      </c>
      <c r="G9" s="143">
        <v>0</v>
      </c>
      <c r="H9" s="143" t="s">
        <v>906</v>
      </c>
      <c r="O9" s="94" t="s">
        <v>1204</v>
      </c>
      <c r="R9" s="182"/>
      <c r="S9" s="167" t="str">
        <f>IF(R9&lt;&gt;"",IF(R9&lt;&gt;T9,1,""),"")</f>
        <v/>
      </c>
      <c r="T9" s="177"/>
    </row>
    <row r="10" spans="1:20" x14ac:dyDescent="0.25">
      <c r="B10" s="167" t="s">
        <v>1204</v>
      </c>
      <c r="E10" s="143" t="s">
        <v>434</v>
      </c>
      <c r="F10" s="143" t="s">
        <v>909</v>
      </c>
      <c r="G10" s="143" t="s">
        <v>909</v>
      </c>
      <c r="H10" s="143" t="s">
        <v>909</v>
      </c>
      <c r="O10" s="94" t="s">
        <v>1204</v>
      </c>
      <c r="R10" s="182"/>
      <c r="S10" s="167" t="str">
        <f>IF(R10&lt;&gt;"",IF(R10&lt;&gt;T10,1,""),"")</f>
        <v/>
      </c>
      <c r="T10" s="177"/>
    </row>
    <row r="11" spans="1:20" ht="16.5" customHeight="1" x14ac:dyDescent="0.25">
      <c r="A11" s="143" t="s">
        <v>861</v>
      </c>
      <c r="B11" s="167" t="s">
        <v>1205</v>
      </c>
      <c r="C11" s="143">
        <v>70</v>
      </c>
      <c r="D11" s="143">
        <v>200</v>
      </c>
      <c r="E11" s="143" t="s">
        <v>433</v>
      </c>
      <c r="F11" s="143" t="s">
        <v>909</v>
      </c>
      <c r="G11" s="143" t="s">
        <v>909</v>
      </c>
      <c r="H11" s="143" t="s">
        <v>909</v>
      </c>
      <c r="I11" s="143" t="s">
        <v>1170</v>
      </c>
      <c r="J11" s="143" t="s">
        <v>903</v>
      </c>
      <c r="K11" s="143" t="s">
        <v>903</v>
      </c>
      <c r="L11" s="143" t="s">
        <v>903</v>
      </c>
      <c r="M11" s="143">
        <v>830</v>
      </c>
      <c r="N11" s="143">
        <v>0</v>
      </c>
      <c r="O11" s="94" t="s">
        <v>1217</v>
      </c>
      <c r="R11" s="183" t="s">
        <v>1258</v>
      </c>
      <c r="S11" s="167" t="str">
        <f>IF(R11&lt;&gt;"",IF(R11&lt;&gt;T11,1,""),"")</f>
        <v/>
      </c>
      <c r="T11" s="178" t="s">
        <v>1258</v>
      </c>
    </row>
    <row r="12" spans="1:20" x14ac:dyDescent="0.25">
      <c r="B12" s="167" t="s">
        <v>1204</v>
      </c>
      <c r="E12" s="143" t="s">
        <v>434</v>
      </c>
      <c r="F12" s="143">
        <v>0</v>
      </c>
      <c r="G12" s="143" t="s">
        <v>1174</v>
      </c>
      <c r="H12" s="143">
        <v>0</v>
      </c>
      <c r="O12" s="94" t="s">
        <v>1204</v>
      </c>
      <c r="R12" s="182"/>
      <c r="S12" s="167" t="str">
        <f>IF(R12&lt;&gt;"",IF(R12&lt;&gt;T12,1,""),"")</f>
        <v/>
      </c>
      <c r="T12" s="177"/>
    </row>
    <row r="13" spans="1:20" x14ac:dyDescent="0.25">
      <c r="B13" s="167" t="s">
        <v>1204</v>
      </c>
      <c r="E13" s="143" t="s">
        <v>433</v>
      </c>
      <c r="F13" s="143" t="s">
        <v>909</v>
      </c>
      <c r="G13" s="143">
        <v>0</v>
      </c>
      <c r="H13" s="143" t="s">
        <v>906</v>
      </c>
      <c r="O13" s="94" t="s">
        <v>1204</v>
      </c>
      <c r="R13" s="182"/>
      <c r="S13" s="167" t="str">
        <f>IF(R13&lt;&gt;"",IF(R13&lt;&gt;T13,1,""),"")</f>
        <v/>
      </c>
      <c r="T13" s="177"/>
    </row>
    <row r="14" spans="1:20" x14ac:dyDescent="0.25">
      <c r="B14" s="167" t="s">
        <v>1204</v>
      </c>
      <c r="E14" s="143" t="s">
        <v>434</v>
      </c>
      <c r="F14" s="143" t="s">
        <v>909</v>
      </c>
      <c r="G14" s="143" t="s">
        <v>909</v>
      </c>
      <c r="H14" s="143" t="s">
        <v>909</v>
      </c>
      <c r="O14" s="94" t="s">
        <v>1204</v>
      </c>
      <c r="R14" s="182"/>
      <c r="S14" s="167" t="str">
        <f>IF(R14&lt;&gt;"",IF(R14&lt;&gt;T14,1,""),"")</f>
        <v/>
      </c>
      <c r="T14" s="177"/>
    </row>
    <row r="15" spans="1:20" ht="16.5" customHeight="1" x14ac:dyDescent="0.25">
      <c r="A15" s="143" t="s">
        <v>861</v>
      </c>
      <c r="B15" s="167" t="s">
        <v>1205</v>
      </c>
      <c r="C15" s="143">
        <v>70</v>
      </c>
      <c r="D15" s="143">
        <v>200</v>
      </c>
      <c r="E15" s="143" t="s">
        <v>433</v>
      </c>
      <c r="F15" s="143" t="s">
        <v>909</v>
      </c>
      <c r="G15" s="143" t="s">
        <v>909</v>
      </c>
      <c r="H15" s="143" t="s">
        <v>909</v>
      </c>
      <c r="I15" s="143" t="s">
        <v>1171</v>
      </c>
      <c r="J15" s="143" t="s">
        <v>903</v>
      </c>
      <c r="K15" s="143" t="s">
        <v>903</v>
      </c>
      <c r="L15" s="143" t="s">
        <v>903</v>
      </c>
      <c r="M15" s="143">
        <v>830</v>
      </c>
      <c r="N15" s="143">
        <v>0</v>
      </c>
      <c r="O15" s="94" t="s">
        <v>1218</v>
      </c>
      <c r="R15" s="183" t="s">
        <v>1258</v>
      </c>
      <c r="S15" s="167" t="str">
        <f>IF(R15&lt;&gt;"",IF(R15&lt;&gt;T15,1,""),"")</f>
        <v/>
      </c>
      <c r="T15" s="178" t="s">
        <v>1258</v>
      </c>
    </row>
    <row r="16" spans="1:20" x14ac:dyDescent="0.25">
      <c r="B16" s="167" t="s">
        <v>1204</v>
      </c>
      <c r="E16" s="143" t="s">
        <v>434</v>
      </c>
      <c r="F16" s="143">
        <v>0</v>
      </c>
      <c r="G16" s="143" t="s">
        <v>1174</v>
      </c>
      <c r="H16" s="143">
        <v>0</v>
      </c>
      <c r="O16" s="94" t="s">
        <v>1204</v>
      </c>
      <c r="R16" s="182"/>
      <c r="S16" s="167" t="str">
        <f>IF(R16&lt;&gt;"",IF(R16&lt;&gt;T16,1,""),"")</f>
        <v/>
      </c>
      <c r="T16" s="177"/>
    </row>
    <row r="17" spans="1:20" x14ac:dyDescent="0.25">
      <c r="B17" s="167" t="s">
        <v>1204</v>
      </c>
      <c r="E17" s="143" t="s">
        <v>433</v>
      </c>
      <c r="F17" s="143" t="s">
        <v>909</v>
      </c>
      <c r="G17" s="143">
        <v>0</v>
      </c>
      <c r="H17" s="143" t="s">
        <v>906</v>
      </c>
      <c r="O17" s="94" t="s">
        <v>1204</v>
      </c>
      <c r="R17" s="182"/>
      <c r="S17" s="167" t="str">
        <f>IF(R17&lt;&gt;"",IF(R17&lt;&gt;T17,1,""),"")</f>
        <v/>
      </c>
      <c r="T17" s="177"/>
    </row>
    <row r="18" spans="1:20" x14ac:dyDescent="0.25">
      <c r="B18" s="167" t="s">
        <v>1204</v>
      </c>
      <c r="E18" s="143" t="s">
        <v>434</v>
      </c>
      <c r="F18" s="143" t="s">
        <v>909</v>
      </c>
      <c r="G18" s="143" t="s">
        <v>909</v>
      </c>
      <c r="H18" s="143" t="s">
        <v>909</v>
      </c>
      <c r="O18" s="94" t="s">
        <v>1204</v>
      </c>
      <c r="R18" s="182"/>
      <c r="S18" s="167" t="str">
        <f>IF(R18&lt;&gt;"",IF(R18&lt;&gt;T18,1,""),"")</f>
        <v/>
      </c>
      <c r="T18" s="177"/>
    </row>
    <row r="19" spans="1:20" ht="16.5" customHeight="1" x14ac:dyDescent="0.25">
      <c r="A19" s="143" t="s">
        <v>861</v>
      </c>
      <c r="B19" s="167" t="s">
        <v>1205</v>
      </c>
      <c r="C19" s="143">
        <v>70</v>
      </c>
      <c r="D19" s="143">
        <v>200</v>
      </c>
      <c r="E19" s="143" t="s">
        <v>433</v>
      </c>
      <c r="F19" s="143" t="s">
        <v>909</v>
      </c>
      <c r="G19" s="143" t="s">
        <v>909</v>
      </c>
      <c r="H19" s="143" t="s">
        <v>909</v>
      </c>
      <c r="I19" s="143" t="s">
        <v>1172</v>
      </c>
      <c r="J19" s="143" t="s">
        <v>903</v>
      </c>
      <c r="K19" s="143" t="s">
        <v>903</v>
      </c>
      <c r="L19" s="143" t="s">
        <v>903</v>
      </c>
      <c r="M19" s="143">
        <v>830</v>
      </c>
      <c r="N19" s="143">
        <v>0</v>
      </c>
      <c r="O19" s="94" t="s">
        <v>1219</v>
      </c>
      <c r="R19" s="183" t="s">
        <v>1258</v>
      </c>
      <c r="S19" s="167" t="str">
        <f>IF(R19&lt;&gt;"",IF(R19&lt;&gt;T19,1,""),"")</f>
        <v/>
      </c>
      <c r="T19" s="178" t="s">
        <v>1258</v>
      </c>
    </row>
    <row r="20" spans="1:20" x14ac:dyDescent="0.25">
      <c r="B20" s="167" t="s">
        <v>1204</v>
      </c>
      <c r="E20" s="143" t="s">
        <v>434</v>
      </c>
      <c r="F20" s="143">
        <v>0</v>
      </c>
      <c r="G20" s="143" t="s">
        <v>1174</v>
      </c>
      <c r="H20" s="143">
        <v>0</v>
      </c>
      <c r="O20" s="94" t="s">
        <v>1204</v>
      </c>
      <c r="R20" s="182"/>
      <c r="S20" s="167" t="str">
        <f>IF(R20&lt;&gt;"",IF(R20&lt;&gt;T20,1,""),"")</f>
        <v/>
      </c>
      <c r="T20" s="177"/>
    </row>
    <row r="21" spans="1:20" x14ac:dyDescent="0.25">
      <c r="B21" s="167" t="s">
        <v>1204</v>
      </c>
      <c r="E21" s="143" t="s">
        <v>433</v>
      </c>
      <c r="F21" s="143" t="s">
        <v>909</v>
      </c>
      <c r="G21" s="143">
        <v>0</v>
      </c>
      <c r="H21" s="143" t="s">
        <v>906</v>
      </c>
      <c r="O21" s="94" t="s">
        <v>1204</v>
      </c>
      <c r="R21" s="182"/>
      <c r="S21" s="167" t="str">
        <f>IF(R21&lt;&gt;"",IF(R21&lt;&gt;T21,1,""),"")</f>
        <v/>
      </c>
      <c r="T21" s="177"/>
    </row>
    <row r="22" spans="1:20" x14ac:dyDescent="0.25">
      <c r="B22" s="167" t="s">
        <v>1204</v>
      </c>
      <c r="E22" s="143" t="s">
        <v>434</v>
      </c>
      <c r="F22" s="143" t="s">
        <v>909</v>
      </c>
      <c r="G22" s="143" t="s">
        <v>909</v>
      </c>
      <c r="H22" s="143" t="s">
        <v>909</v>
      </c>
      <c r="O22" s="94" t="s">
        <v>1204</v>
      </c>
      <c r="R22" s="182"/>
      <c r="S22" s="167" t="str">
        <f>IF(R22&lt;&gt;"",IF(R22&lt;&gt;T22,1,""),"")</f>
        <v/>
      </c>
      <c r="T22" s="177"/>
    </row>
    <row r="23" spans="1:20" ht="16.5" customHeight="1" x14ac:dyDescent="0.25">
      <c r="A23" s="143" t="s">
        <v>861</v>
      </c>
      <c r="B23" s="167" t="s">
        <v>1205</v>
      </c>
      <c r="C23" s="143">
        <v>70</v>
      </c>
      <c r="D23" s="143">
        <v>200</v>
      </c>
      <c r="E23" s="143" t="s">
        <v>433</v>
      </c>
      <c r="F23" s="143" t="s">
        <v>909</v>
      </c>
      <c r="G23" s="143" t="s">
        <v>909</v>
      </c>
      <c r="H23" s="143" t="s">
        <v>909</v>
      </c>
      <c r="I23" s="143" t="s">
        <v>1175</v>
      </c>
      <c r="J23" s="143" t="s">
        <v>903</v>
      </c>
      <c r="K23" s="143" t="s">
        <v>903</v>
      </c>
      <c r="L23" s="143" t="s">
        <v>903</v>
      </c>
      <c r="M23" s="143">
        <v>830</v>
      </c>
      <c r="N23" s="143">
        <v>0</v>
      </c>
      <c r="O23" s="94" t="s">
        <v>1220</v>
      </c>
      <c r="R23" s="183" t="s">
        <v>1258</v>
      </c>
      <c r="S23" s="167" t="str">
        <f>IF(R23&lt;&gt;"",IF(R23&lt;&gt;T23,1,""),"")</f>
        <v/>
      </c>
      <c r="T23" s="178" t="s">
        <v>1258</v>
      </c>
    </row>
    <row r="24" spans="1:20" x14ac:dyDescent="0.25">
      <c r="B24" s="167" t="s">
        <v>1204</v>
      </c>
      <c r="E24" s="143" t="s">
        <v>434</v>
      </c>
      <c r="F24" s="143">
        <v>0</v>
      </c>
      <c r="G24" s="143" t="s">
        <v>1174</v>
      </c>
      <c r="H24" s="143">
        <v>0</v>
      </c>
      <c r="O24" s="94" t="s">
        <v>1204</v>
      </c>
      <c r="R24" s="182"/>
      <c r="S24" s="167" t="str">
        <f>IF(R24&lt;&gt;"",IF(R24&lt;&gt;T24,1,""),"")</f>
        <v/>
      </c>
      <c r="T24" s="177"/>
    </row>
    <row r="25" spans="1:20" x14ac:dyDescent="0.25">
      <c r="B25" s="167" t="s">
        <v>1204</v>
      </c>
      <c r="E25" s="143" t="s">
        <v>433</v>
      </c>
      <c r="F25" s="143" t="s">
        <v>909</v>
      </c>
      <c r="G25" s="143">
        <v>0</v>
      </c>
      <c r="H25" s="143" t="s">
        <v>906</v>
      </c>
      <c r="O25" s="94" t="s">
        <v>1204</v>
      </c>
      <c r="R25" s="182"/>
      <c r="S25" s="167" t="str">
        <f>IF(R25&lt;&gt;"",IF(R25&lt;&gt;T25,1,""),"")</f>
        <v/>
      </c>
      <c r="T25" s="177"/>
    </row>
    <row r="26" spans="1:20" x14ac:dyDescent="0.25">
      <c r="B26" s="167" t="s">
        <v>1204</v>
      </c>
      <c r="E26" s="143" t="s">
        <v>434</v>
      </c>
      <c r="F26" s="143" t="s">
        <v>909</v>
      </c>
      <c r="G26" s="143" t="s">
        <v>909</v>
      </c>
      <c r="H26" s="143" t="s">
        <v>909</v>
      </c>
      <c r="O26" s="94" t="s">
        <v>1204</v>
      </c>
      <c r="R26" s="182"/>
      <c r="S26" s="167" t="str">
        <f>IF(R26&lt;&gt;"",IF(R26&lt;&gt;T26,1,""),"")</f>
        <v/>
      </c>
      <c r="T26" s="177"/>
    </row>
    <row r="27" spans="1:20" ht="16.5" customHeight="1" x14ac:dyDescent="0.25">
      <c r="A27" s="143" t="s">
        <v>861</v>
      </c>
      <c r="B27" s="167" t="s">
        <v>1206</v>
      </c>
      <c r="C27" s="143">
        <v>50</v>
      </c>
      <c r="D27" s="143">
        <v>100</v>
      </c>
      <c r="E27" s="143" t="s">
        <v>433</v>
      </c>
      <c r="F27" s="143" t="s">
        <v>909</v>
      </c>
      <c r="G27" s="143" t="s">
        <v>909</v>
      </c>
      <c r="H27" s="143" t="s">
        <v>909</v>
      </c>
      <c r="I27" s="143" t="s">
        <v>1176</v>
      </c>
      <c r="J27" s="143" t="s">
        <v>903</v>
      </c>
      <c r="K27" s="143" t="s">
        <v>903</v>
      </c>
      <c r="L27" s="143" t="s">
        <v>903</v>
      </c>
      <c r="M27" s="143">
        <v>830</v>
      </c>
      <c r="N27" s="143">
        <v>0</v>
      </c>
      <c r="O27" s="94" t="s">
        <v>1221</v>
      </c>
      <c r="R27" s="183" t="s">
        <v>1259</v>
      </c>
      <c r="S27" s="167" t="str">
        <f>IF(R27&lt;&gt;"",IF(R27&lt;&gt;T27,1,""),"")</f>
        <v/>
      </c>
      <c r="T27" s="178" t="s">
        <v>1259</v>
      </c>
    </row>
    <row r="28" spans="1:20" x14ac:dyDescent="0.25">
      <c r="B28" s="167" t="s">
        <v>1204</v>
      </c>
      <c r="E28" s="143" t="s">
        <v>434</v>
      </c>
      <c r="F28" s="143">
        <v>0</v>
      </c>
      <c r="G28" s="143" t="s">
        <v>1174</v>
      </c>
      <c r="H28" s="143">
        <v>0</v>
      </c>
      <c r="O28" s="94" t="s">
        <v>1204</v>
      </c>
      <c r="R28" s="182"/>
      <c r="S28" s="167" t="str">
        <f>IF(R28&lt;&gt;"",IF(R28&lt;&gt;T28,1,""),"")</f>
        <v/>
      </c>
      <c r="T28" s="177"/>
    </row>
    <row r="29" spans="1:20" x14ac:dyDescent="0.25">
      <c r="B29" s="167" t="s">
        <v>1204</v>
      </c>
      <c r="E29" s="143" t="s">
        <v>433</v>
      </c>
      <c r="F29" s="143" t="s">
        <v>909</v>
      </c>
      <c r="G29" s="143">
        <v>0</v>
      </c>
      <c r="H29" s="143" t="s">
        <v>906</v>
      </c>
      <c r="O29" s="94" t="s">
        <v>1204</v>
      </c>
      <c r="R29" s="182"/>
      <c r="S29" s="167" t="str">
        <f>IF(R29&lt;&gt;"",IF(R29&lt;&gt;T29,1,""),"")</f>
        <v/>
      </c>
      <c r="T29" s="177"/>
    </row>
    <row r="30" spans="1:20" x14ac:dyDescent="0.25">
      <c r="B30" s="167" t="s">
        <v>1204</v>
      </c>
      <c r="E30" s="143" t="s">
        <v>434</v>
      </c>
      <c r="F30" s="143" t="s">
        <v>909</v>
      </c>
      <c r="G30" s="143" t="s">
        <v>909</v>
      </c>
      <c r="H30" s="143" t="s">
        <v>909</v>
      </c>
      <c r="O30" s="94" t="s">
        <v>1204</v>
      </c>
      <c r="R30" s="182"/>
      <c r="S30" s="167" t="str">
        <f>IF(R30&lt;&gt;"",IF(R30&lt;&gt;T30,1,""),"")</f>
        <v/>
      </c>
      <c r="T30" s="177"/>
    </row>
    <row r="31" spans="1:20" ht="16.5" customHeight="1" x14ac:dyDescent="0.25">
      <c r="A31" s="143" t="s">
        <v>861</v>
      </c>
      <c r="B31" s="167" t="s">
        <v>1206</v>
      </c>
      <c r="C31" s="143">
        <v>50</v>
      </c>
      <c r="D31" s="143">
        <v>100</v>
      </c>
      <c r="E31" s="143" t="s">
        <v>433</v>
      </c>
      <c r="F31" s="143" t="s">
        <v>909</v>
      </c>
      <c r="G31" s="143" t="s">
        <v>909</v>
      </c>
      <c r="H31" s="143" t="s">
        <v>909</v>
      </c>
      <c r="I31" s="143" t="s">
        <v>1178</v>
      </c>
      <c r="J31" s="143" t="s">
        <v>903</v>
      </c>
      <c r="K31" s="143" t="s">
        <v>903</v>
      </c>
      <c r="L31" s="143" t="s">
        <v>903</v>
      </c>
      <c r="M31" s="143">
        <v>830</v>
      </c>
      <c r="N31" s="143">
        <v>0</v>
      </c>
      <c r="O31" s="94" t="s">
        <v>1222</v>
      </c>
      <c r="R31" s="183" t="s">
        <v>1259</v>
      </c>
      <c r="S31" s="167" t="str">
        <f>IF(R31&lt;&gt;"",IF(R31&lt;&gt;T31,1,""),"")</f>
        <v/>
      </c>
      <c r="T31" s="178" t="s">
        <v>1259</v>
      </c>
    </row>
    <row r="32" spans="1:20" x14ac:dyDescent="0.25">
      <c r="B32" s="167" t="s">
        <v>1204</v>
      </c>
      <c r="E32" s="143" t="s">
        <v>434</v>
      </c>
      <c r="F32" s="143">
        <v>0</v>
      </c>
      <c r="G32" s="143" t="s">
        <v>1174</v>
      </c>
      <c r="H32" s="143">
        <v>0</v>
      </c>
      <c r="O32" s="94" t="s">
        <v>1204</v>
      </c>
      <c r="R32" s="182"/>
      <c r="S32" s="167" t="str">
        <f>IF(R32&lt;&gt;"",IF(R32&lt;&gt;T32,1,""),"")</f>
        <v/>
      </c>
      <c r="T32" s="177"/>
    </row>
    <row r="33" spans="1:20" x14ac:dyDescent="0.25">
      <c r="B33" s="167" t="s">
        <v>1204</v>
      </c>
      <c r="E33" s="143" t="s">
        <v>433</v>
      </c>
      <c r="F33" s="143" t="s">
        <v>909</v>
      </c>
      <c r="G33" s="143">
        <v>0</v>
      </c>
      <c r="H33" s="143" t="s">
        <v>906</v>
      </c>
      <c r="O33" s="94" t="s">
        <v>1204</v>
      </c>
      <c r="R33" s="182"/>
      <c r="S33" s="167" t="str">
        <f>IF(R33&lt;&gt;"",IF(R33&lt;&gt;T33,1,""),"")</f>
        <v/>
      </c>
      <c r="T33" s="177"/>
    </row>
    <row r="34" spans="1:20" x14ac:dyDescent="0.25">
      <c r="B34" s="167" t="s">
        <v>1204</v>
      </c>
      <c r="E34" s="143" t="s">
        <v>434</v>
      </c>
      <c r="F34" s="143" t="s">
        <v>909</v>
      </c>
      <c r="G34" s="143" t="s">
        <v>909</v>
      </c>
      <c r="H34" s="143" t="s">
        <v>909</v>
      </c>
      <c r="O34" s="94" t="s">
        <v>1204</v>
      </c>
      <c r="R34" s="182"/>
      <c r="S34" s="167" t="str">
        <f>IF(R34&lt;&gt;"",IF(R34&lt;&gt;T34,1,""),"")</f>
        <v/>
      </c>
      <c r="T34" s="177"/>
    </row>
    <row r="35" spans="1:20" ht="16.5" customHeight="1" x14ac:dyDescent="0.25">
      <c r="A35" s="143" t="s">
        <v>861</v>
      </c>
      <c r="B35" s="167" t="s">
        <v>1206</v>
      </c>
      <c r="C35" s="143">
        <v>70</v>
      </c>
      <c r="D35" s="143">
        <v>200</v>
      </c>
      <c r="E35" s="143" t="s">
        <v>433</v>
      </c>
      <c r="F35" s="143" t="s">
        <v>909</v>
      </c>
      <c r="G35" s="143" t="s">
        <v>909</v>
      </c>
      <c r="H35" s="143" t="s">
        <v>909</v>
      </c>
      <c r="I35" s="143" t="s">
        <v>1177</v>
      </c>
      <c r="J35" s="143" t="s">
        <v>903</v>
      </c>
      <c r="K35" s="143" t="s">
        <v>903</v>
      </c>
      <c r="L35" s="143" t="s">
        <v>903</v>
      </c>
      <c r="M35" s="143">
        <v>830</v>
      </c>
      <c r="N35" s="143">
        <v>0</v>
      </c>
      <c r="O35" s="94" t="s">
        <v>1223</v>
      </c>
      <c r="R35" s="183" t="s">
        <v>1259</v>
      </c>
      <c r="S35" s="167" t="str">
        <f>IF(R35&lt;&gt;"",IF(R35&lt;&gt;T35,1,""),"")</f>
        <v/>
      </c>
      <c r="T35" s="178" t="s">
        <v>1259</v>
      </c>
    </row>
    <row r="36" spans="1:20" x14ac:dyDescent="0.25">
      <c r="B36" s="167" t="s">
        <v>1204</v>
      </c>
      <c r="E36" s="143" t="s">
        <v>434</v>
      </c>
      <c r="F36" s="143">
        <v>0</v>
      </c>
      <c r="G36" s="143" t="s">
        <v>1174</v>
      </c>
      <c r="H36" s="143">
        <v>0</v>
      </c>
      <c r="O36" s="94" t="s">
        <v>1204</v>
      </c>
      <c r="R36" s="182"/>
      <c r="S36" s="167" t="str">
        <f>IF(R36&lt;&gt;"",IF(R36&lt;&gt;T36,1,""),"")</f>
        <v/>
      </c>
      <c r="T36" s="177"/>
    </row>
    <row r="37" spans="1:20" x14ac:dyDescent="0.25">
      <c r="B37" s="167" t="s">
        <v>1204</v>
      </c>
      <c r="E37" s="143" t="s">
        <v>433</v>
      </c>
      <c r="F37" s="143" t="s">
        <v>909</v>
      </c>
      <c r="G37" s="143">
        <v>0</v>
      </c>
      <c r="H37" s="143" t="s">
        <v>906</v>
      </c>
      <c r="O37" s="94" t="s">
        <v>1204</v>
      </c>
      <c r="R37" s="182"/>
      <c r="S37" s="167" t="str">
        <f>IF(R37&lt;&gt;"",IF(R37&lt;&gt;T37,1,""),"")</f>
        <v/>
      </c>
      <c r="T37" s="177"/>
    </row>
    <row r="38" spans="1:20" x14ac:dyDescent="0.25">
      <c r="B38" s="167" t="s">
        <v>1204</v>
      </c>
      <c r="E38" s="143" t="s">
        <v>434</v>
      </c>
      <c r="F38" s="143" t="s">
        <v>909</v>
      </c>
      <c r="G38" s="143" t="s">
        <v>909</v>
      </c>
      <c r="H38" s="143" t="s">
        <v>909</v>
      </c>
      <c r="O38" s="94" t="s">
        <v>1204</v>
      </c>
      <c r="R38" s="182"/>
      <c r="S38" s="167" t="str">
        <f>IF(R38&lt;&gt;"",IF(R38&lt;&gt;T38,1,""),"")</f>
        <v/>
      </c>
      <c r="T38" s="177"/>
    </row>
    <row r="39" spans="1:20" ht="16.5" customHeight="1" x14ac:dyDescent="0.25">
      <c r="A39" s="143" t="s">
        <v>861</v>
      </c>
      <c r="B39" s="167" t="s">
        <v>1207</v>
      </c>
      <c r="C39" s="143">
        <v>70</v>
      </c>
      <c r="D39" s="143">
        <v>200</v>
      </c>
      <c r="E39" s="143" t="s">
        <v>433</v>
      </c>
      <c r="F39" s="143" t="s">
        <v>1179</v>
      </c>
      <c r="G39" s="143" t="s">
        <v>909</v>
      </c>
      <c r="H39" s="143" t="s">
        <v>909</v>
      </c>
      <c r="I39" s="143" t="s">
        <v>936</v>
      </c>
      <c r="J39" s="143" t="s">
        <v>903</v>
      </c>
      <c r="K39" s="143" t="s">
        <v>903</v>
      </c>
      <c r="L39" s="143" t="s">
        <v>903</v>
      </c>
      <c r="M39" s="143">
        <v>830</v>
      </c>
      <c r="N39" s="143">
        <v>0</v>
      </c>
      <c r="O39" s="94" t="s">
        <v>1224</v>
      </c>
      <c r="R39" s="183" t="s">
        <v>1270</v>
      </c>
      <c r="S39" s="167" t="str">
        <f>IF(R39&lt;&gt;"",IF(R39&lt;&gt;T39,1,""),"")</f>
        <v/>
      </c>
      <c r="T39" s="178" t="s">
        <v>1270</v>
      </c>
    </row>
    <row r="40" spans="1:20" x14ac:dyDescent="0.25">
      <c r="B40" s="167" t="s">
        <v>1204</v>
      </c>
      <c r="E40" s="143" t="s">
        <v>434</v>
      </c>
      <c r="F40" s="143">
        <v>0</v>
      </c>
      <c r="G40" s="143" t="s">
        <v>1174</v>
      </c>
      <c r="H40" s="143">
        <v>0</v>
      </c>
      <c r="O40" s="94" t="s">
        <v>1204</v>
      </c>
      <c r="R40" s="182"/>
      <c r="S40" s="167" t="str">
        <f>IF(R40&lt;&gt;"",IF(R40&lt;&gt;T40,1,""),"")</f>
        <v/>
      </c>
      <c r="T40" s="177"/>
    </row>
    <row r="41" spans="1:20" x14ac:dyDescent="0.25">
      <c r="B41" s="167" t="s">
        <v>1204</v>
      </c>
      <c r="E41" s="143" t="s">
        <v>433</v>
      </c>
      <c r="F41" s="143" t="s">
        <v>909</v>
      </c>
      <c r="G41" s="143">
        <v>0</v>
      </c>
      <c r="H41" s="143" t="s">
        <v>906</v>
      </c>
      <c r="O41" s="94" t="s">
        <v>1204</v>
      </c>
      <c r="R41" s="182"/>
      <c r="S41" s="167" t="str">
        <f>IF(R41&lt;&gt;"",IF(R41&lt;&gt;T41,1,""),"")</f>
        <v/>
      </c>
      <c r="T41" s="177"/>
    </row>
    <row r="42" spans="1:20" x14ac:dyDescent="0.25">
      <c r="B42" s="167" t="s">
        <v>1204</v>
      </c>
      <c r="E42" s="143" t="s">
        <v>434</v>
      </c>
      <c r="F42" s="143" t="s">
        <v>909</v>
      </c>
      <c r="G42" s="143" t="s">
        <v>909</v>
      </c>
      <c r="H42" s="143" t="s">
        <v>909</v>
      </c>
      <c r="O42" s="94" t="s">
        <v>1204</v>
      </c>
      <c r="R42" s="182"/>
      <c r="S42" s="167" t="str">
        <f>IF(R42&lt;&gt;"",IF(R42&lt;&gt;T42,1,""),"")</f>
        <v/>
      </c>
      <c r="T42" s="177"/>
    </row>
    <row r="43" spans="1:20" ht="16.5" customHeight="1" x14ac:dyDescent="0.25">
      <c r="A43" s="143" t="s">
        <v>861</v>
      </c>
      <c r="B43" s="167" t="s">
        <v>1208</v>
      </c>
      <c r="C43" s="143">
        <v>70</v>
      </c>
      <c r="D43" s="143">
        <v>200</v>
      </c>
      <c r="E43" s="143" t="s">
        <v>433</v>
      </c>
      <c r="F43" s="143" t="s">
        <v>909</v>
      </c>
      <c r="G43" s="143" t="s">
        <v>909</v>
      </c>
      <c r="H43" s="143" t="s">
        <v>909</v>
      </c>
      <c r="I43" s="143" t="s">
        <v>936</v>
      </c>
      <c r="J43" s="143" t="s">
        <v>903</v>
      </c>
      <c r="K43" s="143" t="s">
        <v>903</v>
      </c>
      <c r="L43" s="143" t="s">
        <v>903</v>
      </c>
      <c r="M43" s="143">
        <v>830</v>
      </c>
      <c r="N43" s="143">
        <v>0</v>
      </c>
      <c r="O43" s="94" t="s">
        <v>1225</v>
      </c>
      <c r="R43" s="183" t="s">
        <v>1271</v>
      </c>
      <c r="S43" s="167" t="str">
        <f>IF(R43&lt;&gt;"",IF(R43&lt;&gt;T43,1,""),"")</f>
        <v/>
      </c>
      <c r="T43" s="178" t="s">
        <v>1271</v>
      </c>
    </row>
    <row r="44" spans="1:20" x14ac:dyDescent="0.25">
      <c r="B44" s="167" t="s">
        <v>1204</v>
      </c>
      <c r="E44" s="143" t="s">
        <v>434</v>
      </c>
      <c r="F44" s="143">
        <v>0</v>
      </c>
      <c r="G44" s="143" t="s">
        <v>1174</v>
      </c>
      <c r="H44" s="143">
        <v>0</v>
      </c>
      <c r="O44" s="94" t="s">
        <v>1204</v>
      </c>
      <c r="R44" s="182"/>
      <c r="S44" s="167" t="str">
        <f>IF(R44&lt;&gt;"",IF(R44&lt;&gt;T44,1,""),"")</f>
        <v/>
      </c>
      <c r="T44" s="177"/>
    </row>
    <row r="45" spans="1:20" x14ac:dyDescent="0.25">
      <c r="B45" s="167" t="s">
        <v>1204</v>
      </c>
      <c r="E45" s="143" t="s">
        <v>433</v>
      </c>
      <c r="F45" s="143" t="s">
        <v>909</v>
      </c>
      <c r="G45" s="143">
        <v>0</v>
      </c>
      <c r="H45" s="143" t="s">
        <v>906</v>
      </c>
      <c r="O45" s="94" t="s">
        <v>1204</v>
      </c>
      <c r="R45" s="182"/>
      <c r="S45" s="167" t="str">
        <f>IF(R45&lt;&gt;"",IF(R45&lt;&gt;T45,1,""),"")</f>
        <v/>
      </c>
      <c r="T45" s="177"/>
    </row>
    <row r="46" spans="1:20" x14ac:dyDescent="0.25">
      <c r="B46" s="167" t="s">
        <v>1204</v>
      </c>
      <c r="E46" s="143" t="s">
        <v>434</v>
      </c>
      <c r="F46" s="143" t="s">
        <v>909</v>
      </c>
      <c r="G46" s="143" t="s">
        <v>1179</v>
      </c>
      <c r="H46" s="143" t="s">
        <v>909</v>
      </c>
      <c r="O46" s="94" t="s">
        <v>1204</v>
      </c>
      <c r="R46" s="182"/>
      <c r="S46" s="167" t="str">
        <f>IF(R46&lt;&gt;"",IF(R46&lt;&gt;T46,1,""),"")</f>
        <v/>
      </c>
      <c r="T46" s="177"/>
    </row>
    <row r="47" spans="1:20" ht="16.5" customHeight="1" x14ac:dyDescent="0.25">
      <c r="A47" s="143" t="s">
        <v>1180</v>
      </c>
      <c r="B47" s="167" t="s">
        <v>1209</v>
      </c>
      <c r="C47" s="143">
        <v>70</v>
      </c>
      <c r="D47" s="143">
        <v>170</v>
      </c>
      <c r="E47" s="143" t="s">
        <v>433</v>
      </c>
      <c r="F47" s="143" t="s">
        <v>1229</v>
      </c>
      <c r="G47" s="143" t="s">
        <v>909</v>
      </c>
      <c r="H47" s="143" t="s">
        <v>1229</v>
      </c>
      <c r="I47" s="143" t="s">
        <v>1230</v>
      </c>
      <c r="J47" s="143" t="s">
        <v>903</v>
      </c>
      <c r="K47" s="143" t="s">
        <v>903</v>
      </c>
      <c r="L47" s="143" t="s">
        <v>903</v>
      </c>
      <c r="M47" s="143">
        <v>830</v>
      </c>
      <c r="N47" s="143">
        <v>0</v>
      </c>
      <c r="O47" s="94" t="s">
        <v>1226</v>
      </c>
      <c r="R47" s="183" t="s">
        <v>1268</v>
      </c>
      <c r="S47" s="167" t="str">
        <f>IF(R47&lt;&gt;"",IF(R47&lt;&gt;T47,1,""),"")</f>
        <v/>
      </c>
      <c r="T47" s="178" t="s">
        <v>1268</v>
      </c>
    </row>
    <row r="48" spans="1:20" x14ac:dyDescent="0.25">
      <c r="B48" s="167" t="s">
        <v>1204</v>
      </c>
      <c r="E48" s="143" t="s">
        <v>434</v>
      </c>
      <c r="F48" s="143">
        <v>0</v>
      </c>
      <c r="G48" s="143" t="s">
        <v>1181</v>
      </c>
      <c r="H48" s="143">
        <v>0</v>
      </c>
      <c r="O48" s="94" t="s">
        <v>1204</v>
      </c>
      <c r="R48" s="182"/>
      <c r="S48" s="167" t="str">
        <f>IF(R48&lt;&gt;"",IF(R48&lt;&gt;T48,1,""),"")</f>
        <v/>
      </c>
      <c r="T48" s="177"/>
    </row>
    <row r="49" spans="1:20" x14ac:dyDescent="0.25">
      <c r="B49" s="167" t="s">
        <v>1204</v>
      </c>
      <c r="E49" s="143" t="s">
        <v>433</v>
      </c>
      <c r="F49" s="143" t="s">
        <v>909</v>
      </c>
      <c r="G49" s="143">
        <v>0</v>
      </c>
      <c r="H49" s="143" t="s">
        <v>906</v>
      </c>
      <c r="O49" s="94" t="s">
        <v>1204</v>
      </c>
      <c r="R49" s="182"/>
      <c r="S49" s="167" t="str">
        <f>IF(R49&lt;&gt;"",IF(R49&lt;&gt;T49,1,""),"")</f>
        <v/>
      </c>
      <c r="T49" s="177"/>
    </row>
    <row r="50" spans="1:20" x14ac:dyDescent="0.25">
      <c r="B50" s="167" t="s">
        <v>1204</v>
      </c>
      <c r="E50" s="143" t="s">
        <v>434</v>
      </c>
      <c r="F50" s="143" t="s">
        <v>909</v>
      </c>
      <c r="G50" s="143" t="s">
        <v>909</v>
      </c>
      <c r="H50" s="143" t="s">
        <v>909</v>
      </c>
      <c r="O50" s="94" t="s">
        <v>1204</v>
      </c>
      <c r="R50" s="182"/>
      <c r="S50" s="167" t="str">
        <f>IF(R50&lt;&gt;"",IF(R50&lt;&gt;T50,1,""),"")</f>
        <v/>
      </c>
      <c r="T50" s="177"/>
    </row>
    <row r="51" spans="1:20" ht="16.5" customHeight="1" x14ac:dyDescent="0.25">
      <c r="A51" s="143" t="s">
        <v>1180</v>
      </c>
      <c r="B51" s="167" t="s">
        <v>1210</v>
      </c>
      <c r="C51" s="143">
        <v>70</v>
      </c>
      <c r="D51" s="143">
        <v>150</v>
      </c>
      <c r="E51" s="143" t="s">
        <v>433</v>
      </c>
      <c r="F51" s="143" t="s">
        <v>1228</v>
      </c>
      <c r="G51" s="143" t="s">
        <v>909</v>
      </c>
      <c r="H51" s="143" t="s">
        <v>1228</v>
      </c>
      <c r="I51" s="143" t="s">
        <v>1231</v>
      </c>
      <c r="J51" s="143" t="s">
        <v>903</v>
      </c>
      <c r="K51" s="143" t="s">
        <v>903</v>
      </c>
      <c r="L51" s="143" t="s">
        <v>903</v>
      </c>
      <c r="M51" s="143">
        <v>830</v>
      </c>
      <c r="N51" s="143">
        <v>0</v>
      </c>
      <c r="O51" s="94" t="s">
        <v>1227</v>
      </c>
      <c r="R51" s="183" t="s">
        <v>1269</v>
      </c>
      <c r="S51" s="167" t="str">
        <f>IF(R51&lt;&gt;"",IF(R51&lt;&gt;T51,1,""),"")</f>
        <v/>
      </c>
      <c r="T51" s="178" t="s">
        <v>1269</v>
      </c>
    </row>
    <row r="52" spans="1:20" x14ac:dyDescent="0.25">
      <c r="B52" s="167" t="s">
        <v>1204</v>
      </c>
      <c r="E52" s="143" t="s">
        <v>434</v>
      </c>
      <c r="F52" s="143">
        <v>0</v>
      </c>
      <c r="G52" s="143" t="s">
        <v>1182</v>
      </c>
      <c r="H52" s="143">
        <v>0</v>
      </c>
      <c r="R52" s="182"/>
      <c r="S52" s="167" t="str">
        <f>IF(R52&lt;&gt;"",IF(R52&lt;&gt;T52,1,""),"")</f>
        <v/>
      </c>
      <c r="T52" s="177"/>
    </row>
    <row r="53" spans="1:20" x14ac:dyDescent="0.25">
      <c r="B53" s="167" t="s">
        <v>1204</v>
      </c>
      <c r="E53" s="143" t="s">
        <v>433</v>
      </c>
      <c r="F53" s="143" t="s">
        <v>909</v>
      </c>
      <c r="G53" s="143">
        <v>0</v>
      </c>
      <c r="H53" s="143" t="s">
        <v>906</v>
      </c>
      <c r="R53" s="182"/>
      <c r="S53" s="167" t="str">
        <f>IF(R53&lt;&gt;"",IF(R53&lt;&gt;T53,1,""),"")</f>
        <v/>
      </c>
      <c r="T53" s="177"/>
    </row>
    <row r="54" spans="1:20" x14ac:dyDescent="0.25">
      <c r="B54" s="167" t="s">
        <v>1204</v>
      </c>
      <c r="E54" s="143" t="s">
        <v>434</v>
      </c>
      <c r="F54" s="143" t="s">
        <v>909</v>
      </c>
      <c r="G54" s="143" t="s">
        <v>909</v>
      </c>
      <c r="H54" s="143" t="s">
        <v>909</v>
      </c>
      <c r="R54" s="182"/>
      <c r="S54" s="167" t="str">
        <f>IF(R54&lt;&gt;"",IF(R54&lt;&gt;T54,1,""),"")</f>
        <v/>
      </c>
      <c r="T54" s="177"/>
    </row>
    <row r="55" spans="1:20" ht="16.5" customHeight="1" x14ac:dyDescent="0.25">
      <c r="A55" s="143" t="s">
        <v>861</v>
      </c>
      <c r="B55" s="167" t="s">
        <v>1211</v>
      </c>
      <c r="C55" s="143">
        <v>60</v>
      </c>
      <c r="D55" s="143">
        <v>120</v>
      </c>
      <c r="E55" s="143" t="s">
        <v>433</v>
      </c>
      <c r="F55" s="143" t="s">
        <v>909</v>
      </c>
      <c r="G55" s="143" t="s">
        <v>1197</v>
      </c>
      <c r="H55" s="143" t="s">
        <v>909</v>
      </c>
      <c r="I55" s="143" t="s">
        <v>1172</v>
      </c>
      <c r="J55" s="143" t="s">
        <v>1173</v>
      </c>
      <c r="K55" s="143" t="s">
        <v>937</v>
      </c>
      <c r="L55" s="143" t="s">
        <v>937</v>
      </c>
      <c r="M55" s="143">
        <v>830</v>
      </c>
      <c r="N55" s="143">
        <v>0</v>
      </c>
      <c r="O55" s="168" t="s">
        <v>1193</v>
      </c>
      <c r="R55" s="183" t="s">
        <v>1272</v>
      </c>
      <c r="S55" s="167" t="str">
        <f>IF(R55&lt;&gt;"",IF(R55&lt;&gt;T55,1,""),"")</f>
        <v/>
      </c>
      <c r="T55" s="178" t="s">
        <v>1272</v>
      </c>
    </row>
    <row r="56" spans="1:20" x14ac:dyDescent="0.25">
      <c r="B56" s="167" t="s">
        <v>1204</v>
      </c>
      <c r="E56" s="143" t="s">
        <v>434</v>
      </c>
      <c r="F56" s="143">
        <v>0</v>
      </c>
      <c r="G56" s="143" t="s">
        <v>1197</v>
      </c>
      <c r="H56" s="143">
        <v>0</v>
      </c>
      <c r="R56" s="182"/>
      <c r="S56" s="167" t="str">
        <f>IF(R56&lt;&gt;"",IF(R56&lt;&gt;T56,1,""),"")</f>
        <v/>
      </c>
      <c r="T56" s="177"/>
    </row>
    <row r="57" spans="1:20" x14ac:dyDescent="0.25">
      <c r="B57" s="167" t="s">
        <v>1204</v>
      </c>
      <c r="E57" s="143" t="s">
        <v>433</v>
      </c>
      <c r="F57" s="143" t="s">
        <v>1194</v>
      </c>
      <c r="G57" s="143">
        <v>0</v>
      </c>
      <c r="H57" s="143" t="s">
        <v>1194</v>
      </c>
      <c r="R57" s="182"/>
      <c r="S57" s="167" t="str">
        <f>IF(R57&lt;&gt;"",IF(R57&lt;&gt;T57,1,""),"")</f>
        <v/>
      </c>
      <c r="T57" s="177"/>
    </row>
    <row r="58" spans="1:20" x14ac:dyDescent="0.25">
      <c r="B58" s="167" t="s">
        <v>1204</v>
      </c>
      <c r="E58" s="143" t="s">
        <v>434</v>
      </c>
      <c r="F58" s="143" t="s">
        <v>909</v>
      </c>
      <c r="G58" s="143" t="s">
        <v>909</v>
      </c>
      <c r="H58" s="143" t="s">
        <v>909</v>
      </c>
      <c r="R58" s="182"/>
      <c r="S58" s="167" t="str">
        <f>IF(R58&lt;&gt;"",IF(R58&lt;&gt;T58,1,""),"")</f>
        <v/>
      </c>
      <c r="T58" s="177"/>
    </row>
    <row r="59" spans="1:20" ht="16.5" customHeight="1" x14ac:dyDescent="0.25">
      <c r="A59" s="143" t="s">
        <v>861</v>
      </c>
      <c r="B59" s="167" t="s">
        <v>1212</v>
      </c>
      <c r="C59" s="143">
        <v>60</v>
      </c>
      <c r="D59" s="143">
        <v>120</v>
      </c>
      <c r="E59" s="143" t="s">
        <v>433</v>
      </c>
      <c r="F59" s="143" t="s">
        <v>909</v>
      </c>
      <c r="G59" s="143" t="s">
        <v>909</v>
      </c>
      <c r="H59" s="143" t="s">
        <v>909</v>
      </c>
      <c r="I59" s="143" t="s">
        <v>1172</v>
      </c>
      <c r="J59" s="143" t="s">
        <v>1173</v>
      </c>
      <c r="K59" s="143" t="s">
        <v>937</v>
      </c>
      <c r="L59" s="143" t="s">
        <v>937</v>
      </c>
      <c r="M59" s="143">
        <v>830</v>
      </c>
      <c r="N59" s="143">
        <v>0</v>
      </c>
      <c r="O59" s="168" t="s">
        <v>1199</v>
      </c>
      <c r="R59" s="183" t="s">
        <v>1273</v>
      </c>
      <c r="S59" s="167" t="str">
        <f>IF(R59&lt;&gt;"",IF(R59&lt;&gt;T59,1,""),"")</f>
        <v/>
      </c>
      <c r="T59" s="178" t="s">
        <v>1273</v>
      </c>
    </row>
    <row r="60" spans="1:20" x14ac:dyDescent="0.25">
      <c r="B60" s="167" t="s">
        <v>1204</v>
      </c>
      <c r="E60" s="143" t="s">
        <v>434</v>
      </c>
      <c r="F60" s="143">
        <v>0</v>
      </c>
      <c r="G60" s="143" t="s">
        <v>1174</v>
      </c>
      <c r="H60" s="143">
        <v>0</v>
      </c>
      <c r="R60" s="182"/>
      <c r="S60" s="167" t="str">
        <f>IF(R60&lt;&gt;"",IF(R60&lt;&gt;T60,1,""),"")</f>
        <v/>
      </c>
      <c r="T60" s="177"/>
    </row>
    <row r="61" spans="1:20" x14ac:dyDescent="0.25">
      <c r="B61" s="167" t="s">
        <v>1204</v>
      </c>
      <c r="E61" s="143" t="s">
        <v>433</v>
      </c>
      <c r="F61" s="143" t="s">
        <v>1197</v>
      </c>
      <c r="G61" s="143">
        <v>0</v>
      </c>
      <c r="H61" s="143" t="s">
        <v>1194</v>
      </c>
      <c r="R61" s="182"/>
      <c r="S61" s="167" t="str">
        <f>IF(R61&lt;&gt;"",IF(R61&lt;&gt;T61,1,""),"")</f>
        <v/>
      </c>
      <c r="T61" s="177"/>
    </row>
    <row r="62" spans="1:20" x14ac:dyDescent="0.25">
      <c r="B62" s="167" t="s">
        <v>1204</v>
      </c>
      <c r="E62" s="143" t="s">
        <v>434</v>
      </c>
      <c r="F62" s="143" t="s">
        <v>1197</v>
      </c>
      <c r="G62" s="143" t="s">
        <v>909</v>
      </c>
      <c r="H62" s="143" t="s">
        <v>909</v>
      </c>
      <c r="R62" s="182"/>
      <c r="S62" s="167" t="str">
        <f>IF(R62&lt;&gt;"",IF(R62&lt;&gt;T62,1,""),"")</f>
        <v/>
      </c>
      <c r="T62" s="177"/>
    </row>
    <row r="63" spans="1:20" ht="16.5" customHeight="1" x14ac:dyDescent="0.25">
      <c r="A63" s="143" t="s">
        <v>861</v>
      </c>
      <c r="B63" s="167" t="s">
        <v>1213</v>
      </c>
      <c r="C63" s="143">
        <v>70</v>
      </c>
      <c r="D63" s="143">
        <v>200</v>
      </c>
      <c r="E63" s="143" t="s">
        <v>433</v>
      </c>
      <c r="F63" s="143" t="s">
        <v>909</v>
      </c>
      <c r="G63" s="143" t="s">
        <v>909</v>
      </c>
      <c r="H63" s="143" t="s">
        <v>909</v>
      </c>
      <c r="I63" s="143" t="s">
        <v>1010</v>
      </c>
      <c r="J63" s="143" t="s">
        <v>1173</v>
      </c>
      <c r="K63" s="143" t="s">
        <v>937</v>
      </c>
      <c r="L63" s="143" t="s">
        <v>937</v>
      </c>
      <c r="M63" s="143">
        <v>830</v>
      </c>
      <c r="N63" s="143">
        <v>0</v>
      </c>
      <c r="O63" s="168" t="s">
        <v>1202</v>
      </c>
      <c r="R63" s="183" t="s">
        <v>1276</v>
      </c>
      <c r="S63" s="167" t="str">
        <f>IF(R63&lt;&gt;"",IF(R63&lt;&gt;T63,1,""),"")</f>
        <v/>
      </c>
      <c r="T63" s="178" t="s">
        <v>1276</v>
      </c>
    </row>
    <row r="64" spans="1:20" x14ac:dyDescent="0.25">
      <c r="E64" s="143" t="s">
        <v>434</v>
      </c>
      <c r="F64" s="143">
        <v>0</v>
      </c>
      <c r="G64" s="143" t="s">
        <v>1174</v>
      </c>
      <c r="H64" s="143">
        <v>0</v>
      </c>
      <c r="R64" s="182"/>
      <c r="S64" s="167" t="str">
        <f>IF(R64&lt;&gt;"",IF(R64&lt;&gt;T64,1,""),"")</f>
        <v/>
      </c>
      <c r="T64" s="177"/>
    </row>
    <row r="65" spans="1:20" x14ac:dyDescent="0.25">
      <c r="E65" s="143" t="s">
        <v>433</v>
      </c>
      <c r="F65" s="143" t="s">
        <v>909</v>
      </c>
      <c r="G65" s="143" t="s">
        <v>1174</v>
      </c>
      <c r="H65" s="143" t="s">
        <v>906</v>
      </c>
      <c r="R65" s="182"/>
      <c r="S65" s="167" t="str">
        <f>IF(R65&lt;&gt;"",IF(R65&lt;&gt;T65,1,""),"")</f>
        <v/>
      </c>
      <c r="T65" s="177"/>
    </row>
    <row r="66" spans="1:20" x14ac:dyDescent="0.25">
      <c r="E66" s="143" t="s">
        <v>434</v>
      </c>
      <c r="F66" s="143" t="s">
        <v>909</v>
      </c>
      <c r="G66" s="143" t="s">
        <v>909</v>
      </c>
      <c r="H66" s="143" t="s">
        <v>909</v>
      </c>
      <c r="R66" s="182"/>
      <c r="S66" s="167" t="str">
        <f>IF(R66&lt;&gt;"",IF(R66&lt;&gt;T66,1,""),"")</f>
        <v/>
      </c>
      <c r="T66" s="177"/>
    </row>
    <row r="67" spans="1:20" x14ac:dyDescent="0.25">
      <c r="A67" s="143" t="s">
        <v>861</v>
      </c>
      <c r="B67" s="167" t="s">
        <v>1213</v>
      </c>
      <c r="C67" s="143">
        <v>70</v>
      </c>
      <c r="D67" s="143">
        <v>200</v>
      </c>
      <c r="E67" s="143" t="s">
        <v>433</v>
      </c>
      <c r="F67" s="143" t="s">
        <v>909</v>
      </c>
      <c r="G67" s="143" t="s">
        <v>909</v>
      </c>
      <c r="H67" s="143" t="s">
        <v>909</v>
      </c>
      <c r="I67" s="143" t="s">
        <v>1010</v>
      </c>
      <c r="J67" s="143" t="s">
        <v>1173</v>
      </c>
      <c r="K67" s="143" t="s">
        <v>937</v>
      </c>
      <c r="L67" s="143" t="s">
        <v>937</v>
      </c>
      <c r="M67" s="143">
        <v>300</v>
      </c>
      <c r="N67" s="143">
        <v>0</v>
      </c>
      <c r="O67" s="168" t="s">
        <v>1249</v>
      </c>
      <c r="R67" s="182" t="s">
        <v>1191</v>
      </c>
      <c r="S67" s="167" t="str">
        <f>IF(R67&lt;&gt;"",IF(R67&lt;&gt;T67,1,""),"")</f>
        <v/>
      </c>
      <c r="T67" s="177" t="s">
        <v>1191</v>
      </c>
    </row>
    <row r="68" spans="1:20" x14ac:dyDescent="0.25">
      <c r="E68" s="143" t="s">
        <v>434</v>
      </c>
      <c r="F68" s="143">
        <v>0</v>
      </c>
      <c r="G68" s="143" t="s">
        <v>1174</v>
      </c>
      <c r="H68" s="143">
        <v>0</v>
      </c>
      <c r="R68" s="182"/>
      <c r="S68" s="167" t="str">
        <f>IF(R68&lt;&gt;"",IF(R68&lt;&gt;T68,1,""),"")</f>
        <v/>
      </c>
      <c r="T68" s="177"/>
    </row>
    <row r="69" spans="1:20" x14ac:dyDescent="0.25">
      <c r="E69" s="143" t="s">
        <v>433</v>
      </c>
      <c r="F69" s="143" t="s">
        <v>909</v>
      </c>
      <c r="G69" s="143" t="s">
        <v>1174</v>
      </c>
      <c r="H69" s="143" t="s">
        <v>906</v>
      </c>
      <c r="R69" s="182"/>
      <c r="S69" s="167" t="str">
        <f>IF(R69&lt;&gt;"",IF(R69&lt;&gt;T69,1,""),"")</f>
        <v/>
      </c>
      <c r="T69" s="177"/>
    </row>
    <row r="70" spans="1:20" x14ac:dyDescent="0.25">
      <c r="E70" s="143" t="s">
        <v>434</v>
      </c>
      <c r="F70" s="143" t="s">
        <v>909</v>
      </c>
      <c r="G70" s="143" t="s">
        <v>909</v>
      </c>
      <c r="H70" s="143" t="s">
        <v>909</v>
      </c>
      <c r="R70" s="182"/>
      <c r="S70" s="167" t="str">
        <f>IF(R70&lt;&gt;"",IF(R70&lt;&gt;T70,1,""),"")</f>
        <v/>
      </c>
      <c r="T70" s="177"/>
    </row>
    <row r="71" spans="1:20" x14ac:dyDescent="0.25">
      <c r="A71" s="143" t="s">
        <v>861</v>
      </c>
      <c r="B71" s="167" t="s">
        <v>1213</v>
      </c>
      <c r="C71" s="143">
        <v>35</v>
      </c>
      <c r="D71" s="143">
        <v>100</v>
      </c>
      <c r="E71" s="143" t="s">
        <v>433</v>
      </c>
      <c r="F71" s="143" t="s">
        <v>909</v>
      </c>
      <c r="G71" s="143" t="s">
        <v>909</v>
      </c>
      <c r="H71" s="143" t="s">
        <v>909</v>
      </c>
      <c r="I71" s="143" t="s">
        <v>1196</v>
      </c>
      <c r="J71" s="143" t="s">
        <v>1173</v>
      </c>
      <c r="K71" s="143" t="s">
        <v>937</v>
      </c>
      <c r="L71" s="143" t="s">
        <v>937</v>
      </c>
      <c r="M71" s="143">
        <v>830</v>
      </c>
      <c r="N71" s="143">
        <v>0</v>
      </c>
      <c r="O71" s="168" t="s">
        <v>1250</v>
      </c>
      <c r="R71" s="182" t="s">
        <v>1191</v>
      </c>
      <c r="S71" s="167" t="str">
        <f>IF(R71&lt;&gt;"",IF(R71&lt;&gt;T71,1,""),"")</f>
        <v/>
      </c>
      <c r="T71" s="177" t="s">
        <v>1191</v>
      </c>
    </row>
    <row r="72" spans="1:20" x14ac:dyDescent="0.25">
      <c r="E72" s="143" t="s">
        <v>434</v>
      </c>
      <c r="F72" s="143">
        <v>0</v>
      </c>
      <c r="G72" s="143" t="s">
        <v>1174</v>
      </c>
      <c r="H72" s="143">
        <v>0</v>
      </c>
      <c r="R72" s="182"/>
      <c r="S72" s="167" t="str">
        <f>IF(R72&lt;&gt;"",IF(R72&lt;&gt;T72,1,""),"")</f>
        <v/>
      </c>
      <c r="T72" s="177"/>
    </row>
    <row r="73" spans="1:20" x14ac:dyDescent="0.25">
      <c r="E73" s="143" t="s">
        <v>433</v>
      </c>
      <c r="F73" s="143">
        <v>0</v>
      </c>
      <c r="G73" s="143">
        <v>0</v>
      </c>
      <c r="H73" s="143">
        <v>0</v>
      </c>
      <c r="R73" s="182"/>
      <c r="S73" s="167" t="str">
        <f>IF(R73&lt;&gt;"",IF(R73&lt;&gt;T73,1,""),"")</f>
        <v/>
      </c>
      <c r="T73" s="177"/>
    </row>
    <row r="74" spans="1:20" x14ac:dyDescent="0.25">
      <c r="E74" s="143" t="s">
        <v>434</v>
      </c>
      <c r="F74" s="143" t="s">
        <v>909</v>
      </c>
      <c r="G74" s="143" t="s">
        <v>1236</v>
      </c>
      <c r="H74" s="143" t="s">
        <v>909</v>
      </c>
      <c r="R74" s="182"/>
      <c r="S74" s="167" t="str">
        <f>IF(R74&lt;&gt;"",IF(R74&lt;&gt;T74,1,""),"")</f>
        <v/>
      </c>
      <c r="T74" s="177"/>
    </row>
    <row r="75" spans="1:20" ht="16.5" customHeight="1" x14ac:dyDescent="0.25">
      <c r="A75" s="143" t="s">
        <v>861</v>
      </c>
      <c r="B75" s="167" t="s">
        <v>1233</v>
      </c>
      <c r="C75" s="143">
        <v>70</v>
      </c>
      <c r="D75" s="143">
        <v>200</v>
      </c>
      <c r="E75" s="143" t="s">
        <v>433</v>
      </c>
      <c r="F75" s="143" t="s">
        <v>909</v>
      </c>
      <c r="G75" s="143" t="s">
        <v>909</v>
      </c>
      <c r="H75" s="143" t="s">
        <v>909</v>
      </c>
      <c r="I75" s="143" t="s">
        <v>1010</v>
      </c>
      <c r="J75" s="143" t="s">
        <v>1173</v>
      </c>
      <c r="K75" s="143" t="s">
        <v>937</v>
      </c>
      <c r="L75" s="143" t="s">
        <v>937</v>
      </c>
      <c r="M75" s="143">
        <v>830</v>
      </c>
      <c r="N75" s="143">
        <v>0</v>
      </c>
      <c r="O75" s="168" t="s">
        <v>1235</v>
      </c>
      <c r="R75" s="183" t="s">
        <v>1360</v>
      </c>
      <c r="S75" s="167" t="str">
        <f>IF(R75&lt;&gt;"",IF(R75&lt;&gt;T75,1,""),"")</f>
        <v/>
      </c>
      <c r="T75" s="178" t="s">
        <v>1360</v>
      </c>
    </row>
    <row r="76" spans="1:20" x14ac:dyDescent="0.25">
      <c r="B76" s="167" t="s">
        <v>1204</v>
      </c>
      <c r="E76" s="143" t="s">
        <v>434</v>
      </c>
      <c r="F76" s="143" t="s">
        <v>1174</v>
      </c>
      <c r="G76" s="143" t="s">
        <v>1174</v>
      </c>
      <c r="H76" s="143">
        <v>0</v>
      </c>
      <c r="R76" s="182"/>
      <c r="S76" s="167" t="str">
        <f>IF(R76&lt;&gt;"",IF(R76&lt;&gt;T76,1,""),"")</f>
        <v/>
      </c>
      <c r="T76" s="177"/>
    </row>
    <row r="77" spans="1:20" x14ac:dyDescent="0.25">
      <c r="B77" s="167" t="s">
        <v>1204</v>
      </c>
      <c r="E77" s="143" t="s">
        <v>433</v>
      </c>
      <c r="F77" s="143" t="s">
        <v>909</v>
      </c>
      <c r="G77" s="143">
        <v>0</v>
      </c>
      <c r="H77" s="143" t="s">
        <v>906</v>
      </c>
      <c r="R77" s="182"/>
      <c r="S77" s="167" t="str">
        <f>IF(R77&lt;&gt;"",IF(R77&lt;&gt;T77,1,""),"")</f>
        <v/>
      </c>
      <c r="T77" s="177"/>
    </row>
    <row r="78" spans="1:20" x14ac:dyDescent="0.25">
      <c r="B78" s="167" t="s">
        <v>1204</v>
      </c>
      <c r="E78" s="143" t="s">
        <v>434</v>
      </c>
      <c r="F78" s="143" t="s">
        <v>909</v>
      </c>
      <c r="G78" s="143" t="s">
        <v>909</v>
      </c>
      <c r="H78" s="143" t="s">
        <v>909</v>
      </c>
      <c r="R78" s="182"/>
      <c r="S78" s="167" t="str">
        <f>IF(R78&lt;&gt;"",IF(R78&lt;&gt;T78,1,""),"")</f>
        <v/>
      </c>
      <c r="T78" s="177"/>
    </row>
    <row r="79" spans="1:20" ht="16.5" customHeight="1" x14ac:dyDescent="0.25">
      <c r="A79" s="143" t="s">
        <v>861</v>
      </c>
      <c r="B79" s="167" t="s">
        <v>1244</v>
      </c>
      <c r="C79" s="143">
        <v>70</v>
      </c>
      <c r="D79" s="143">
        <v>200</v>
      </c>
      <c r="E79" s="143" t="s">
        <v>433</v>
      </c>
      <c r="F79" s="143" t="s">
        <v>909</v>
      </c>
      <c r="G79" s="143" t="s">
        <v>909</v>
      </c>
      <c r="H79" s="143" t="s">
        <v>909</v>
      </c>
      <c r="I79" s="143" t="s">
        <v>1010</v>
      </c>
      <c r="J79" s="143" t="s">
        <v>1173</v>
      </c>
      <c r="K79" s="143" t="s">
        <v>937</v>
      </c>
      <c r="L79" s="143" t="s">
        <v>937</v>
      </c>
      <c r="M79" s="143">
        <v>830</v>
      </c>
      <c r="N79" s="143">
        <v>0</v>
      </c>
      <c r="O79" s="168" t="s">
        <v>1240</v>
      </c>
      <c r="R79" s="183" t="s">
        <v>1361</v>
      </c>
      <c r="S79" s="167" t="str">
        <f>IF(R79&lt;&gt;"",IF(R79&lt;&gt;T79,1,""),"")</f>
        <v/>
      </c>
      <c r="T79" s="178" t="s">
        <v>1361</v>
      </c>
    </row>
    <row r="80" spans="1:20" x14ac:dyDescent="0.25">
      <c r="B80" s="167" t="s">
        <v>1204</v>
      </c>
      <c r="E80" s="143" t="s">
        <v>434</v>
      </c>
      <c r="F80" s="143">
        <v>0</v>
      </c>
      <c r="G80" s="143" t="s">
        <v>1174</v>
      </c>
      <c r="H80" s="143" t="s">
        <v>1174</v>
      </c>
      <c r="R80" s="182"/>
      <c r="S80" s="167" t="str">
        <f>IF(R80&lt;&gt;"",IF(R80&lt;&gt;T80,1,""),"")</f>
        <v/>
      </c>
      <c r="T80" s="177"/>
    </row>
    <row r="81" spans="1:20" x14ac:dyDescent="0.25">
      <c r="B81" s="167" t="s">
        <v>1204</v>
      </c>
      <c r="E81" s="143" t="s">
        <v>433</v>
      </c>
      <c r="F81" s="143" t="s">
        <v>909</v>
      </c>
      <c r="G81" s="143">
        <v>0</v>
      </c>
      <c r="H81" s="143" t="s">
        <v>906</v>
      </c>
      <c r="R81" s="182"/>
      <c r="S81" s="167" t="str">
        <f>IF(R81&lt;&gt;"",IF(R81&lt;&gt;T81,1,""),"")</f>
        <v/>
      </c>
      <c r="T81" s="177"/>
    </row>
    <row r="82" spans="1:20" x14ac:dyDescent="0.25">
      <c r="B82" s="167" t="s">
        <v>1204</v>
      </c>
      <c r="E82" s="143" t="s">
        <v>434</v>
      </c>
      <c r="F82" s="143" t="s">
        <v>909</v>
      </c>
      <c r="G82" s="143" t="s">
        <v>909</v>
      </c>
      <c r="H82" s="143" t="s">
        <v>909</v>
      </c>
      <c r="R82" s="182"/>
      <c r="S82" s="167" t="str">
        <f>IF(R82&lt;&gt;"",IF(R82&lt;&gt;T82,1,""),"")</f>
        <v/>
      </c>
      <c r="T82" s="177"/>
    </row>
    <row r="83" spans="1:20" ht="16.5" customHeight="1" x14ac:dyDescent="0.25">
      <c r="A83" s="143" t="s">
        <v>861</v>
      </c>
      <c r="B83" s="167" t="s">
        <v>1246</v>
      </c>
      <c r="C83" s="143">
        <v>70</v>
      </c>
      <c r="D83" s="143">
        <v>200</v>
      </c>
      <c r="E83" s="143" t="s">
        <v>433</v>
      </c>
      <c r="F83" s="143" t="s">
        <v>909</v>
      </c>
      <c r="G83" s="143" t="s">
        <v>909</v>
      </c>
      <c r="H83" s="143" t="s">
        <v>909</v>
      </c>
      <c r="I83" s="143" t="s">
        <v>1010</v>
      </c>
      <c r="J83" s="180" t="s">
        <v>1248</v>
      </c>
      <c r="K83" s="143" t="s">
        <v>937</v>
      </c>
      <c r="L83" s="143" t="s">
        <v>937</v>
      </c>
      <c r="M83" s="143">
        <v>830</v>
      </c>
      <c r="N83" s="143">
        <v>0</v>
      </c>
      <c r="O83" s="168" t="s">
        <v>1242</v>
      </c>
      <c r="R83" s="183" t="s">
        <v>1362</v>
      </c>
      <c r="S83" s="167" t="str">
        <f>IF(R83&lt;&gt;"",IF(R83&lt;&gt;T83,1,""),"")</f>
        <v/>
      </c>
      <c r="T83" s="178" t="s">
        <v>1362</v>
      </c>
    </row>
    <row r="84" spans="1:20" x14ac:dyDescent="0.25">
      <c r="B84" s="167" t="s">
        <v>1204</v>
      </c>
      <c r="E84" s="143" t="s">
        <v>434</v>
      </c>
      <c r="F84" s="143">
        <v>0</v>
      </c>
      <c r="G84" s="143" t="s">
        <v>1174</v>
      </c>
      <c r="H84" s="143">
        <v>0</v>
      </c>
      <c r="R84" s="182"/>
      <c r="S84" s="167" t="str">
        <f>IF(R84&lt;&gt;"",IF(R84&lt;&gt;T84,1,""),"")</f>
        <v/>
      </c>
      <c r="T84" s="177"/>
    </row>
    <row r="85" spans="1:20" x14ac:dyDescent="0.25">
      <c r="B85" s="167" t="s">
        <v>1204</v>
      </c>
      <c r="E85" s="143" t="s">
        <v>433</v>
      </c>
      <c r="F85" s="143" t="s">
        <v>909</v>
      </c>
      <c r="G85" s="143">
        <v>0</v>
      </c>
      <c r="H85" s="143" t="s">
        <v>906</v>
      </c>
      <c r="R85" s="182"/>
      <c r="S85" s="167" t="str">
        <f>IF(R85&lt;&gt;"",IF(R85&lt;&gt;T85,1,""),"")</f>
        <v/>
      </c>
      <c r="T85" s="177"/>
    </row>
    <row r="86" spans="1:20" x14ac:dyDescent="0.25">
      <c r="B86" s="167" t="s">
        <v>1204</v>
      </c>
      <c r="E86" s="143" t="s">
        <v>434</v>
      </c>
      <c r="F86" s="143" t="s">
        <v>909</v>
      </c>
      <c r="G86" s="143" t="s">
        <v>909</v>
      </c>
      <c r="H86" s="143" t="s">
        <v>909</v>
      </c>
      <c r="R86" s="182"/>
      <c r="S86" s="167" t="str">
        <f>IF(R86&lt;&gt;"",IF(R86&lt;&gt;T86,1,""),"")</f>
        <v/>
      </c>
      <c r="T86" s="177"/>
    </row>
    <row r="87" spans="1:20" ht="16.5" customHeight="1" x14ac:dyDescent="0.25">
      <c r="A87" s="143" t="s">
        <v>861</v>
      </c>
      <c r="B87" s="167" t="s">
        <v>1257</v>
      </c>
      <c r="C87" s="143">
        <v>70</v>
      </c>
      <c r="D87" s="143">
        <v>200</v>
      </c>
      <c r="E87" s="143" t="s">
        <v>433</v>
      </c>
      <c r="F87" s="143" t="s">
        <v>909</v>
      </c>
      <c r="G87" s="143" t="s">
        <v>909</v>
      </c>
      <c r="H87" s="143" t="s">
        <v>909</v>
      </c>
      <c r="I87" s="143" t="s">
        <v>1010</v>
      </c>
      <c r="J87" s="143" t="s">
        <v>1173</v>
      </c>
      <c r="K87" s="143" t="s">
        <v>937</v>
      </c>
      <c r="L87" s="180" t="s">
        <v>1255</v>
      </c>
      <c r="M87" s="143">
        <v>830</v>
      </c>
      <c r="N87" s="143">
        <v>0</v>
      </c>
      <c r="O87" s="168" t="s">
        <v>1252</v>
      </c>
      <c r="R87" s="183" t="s">
        <v>1363</v>
      </c>
      <c r="S87" s="167" t="str">
        <f>IF(R87&lt;&gt;"",IF(R87&lt;&gt;T87,1,""),"")</f>
        <v/>
      </c>
      <c r="T87" s="178" t="s">
        <v>1363</v>
      </c>
    </row>
    <row r="88" spans="1:20" x14ac:dyDescent="0.25">
      <c r="B88" s="167" t="s">
        <v>1204</v>
      </c>
      <c r="E88" s="143" t="s">
        <v>434</v>
      </c>
      <c r="F88" s="143">
        <v>0</v>
      </c>
      <c r="G88" s="143" t="s">
        <v>1174</v>
      </c>
      <c r="H88" s="143">
        <v>0</v>
      </c>
      <c r="R88" s="182"/>
      <c r="S88" s="167" t="str">
        <f>IF(R88&lt;&gt;"",IF(R88&lt;&gt;T88,1,""),"")</f>
        <v/>
      </c>
      <c r="T88" s="177"/>
    </row>
    <row r="89" spans="1:20" x14ac:dyDescent="0.25">
      <c r="B89" s="167" t="s">
        <v>1204</v>
      </c>
      <c r="E89" s="143" t="s">
        <v>433</v>
      </c>
      <c r="F89" s="143" t="s">
        <v>909</v>
      </c>
      <c r="G89" s="143">
        <v>0</v>
      </c>
      <c r="H89" s="143" t="s">
        <v>906</v>
      </c>
      <c r="R89" s="182"/>
      <c r="S89" s="167" t="str">
        <f>IF(R89&lt;&gt;"",IF(R89&lt;&gt;T89,1,""),"")</f>
        <v/>
      </c>
      <c r="T89" s="177"/>
    </row>
    <row r="90" spans="1:20" x14ac:dyDescent="0.25">
      <c r="B90" s="167" t="s">
        <v>1204</v>
      </c>
      <c r="E90" s="143" t="s">
        <v>434</v>
      </c>
      <c r="F90" s="143" t="s">
        <v>909</v>
      </c>
      <c r="G90" s="143" t="s">
        <v>909</v>
      </c>
      <c r="H90" s="143" t="s">
        <v>909</v>
      </c>
      <c r="R90" s="182"/>
      <c r="S90" s="167" t="str">
        <f>IF(R90&lt;&gt;"",IF(R90&lt;&gt;T90,1,""),"")</f>
        <v/>
      </c>
      <c r="T90" s="177"/>
    </row>
  </sheetData>
  <mergeCells count="44">
    <mergeCell ref="T67:T70"/>
    <mergeCell ref="T71:T74"/>
    <mergeCell ref="T75:T78"/>
    <mergeCell ref="T79:T82"/>
    <mergeCell ref="T83:T86"/>
    <mergeCell ref="T87:T90"/>
    <mergeCell ref="T43:T46"/>
    <mergeCell ref="T47:T50"/>
    <mergeCell ref="T51:T54"/>
    <mergeCell ref="T55:T58"/>
    <mergeCell ref="T59:T62"/>
    <mergeCell ref="T63:T66"/>
    <mergeCell ref="T19:T22"/>
    <mergeCell ref="T23:T26"/>
    <mergeCell ref="T27:T30"/>
    <mergeCell ref="T31:T34"/>
    <mergeCell ref="T35:T38"/>
    <mergeCell ref="T39:T42"/>
    <mergeCell ref="R15:R18"/>
    <mergeCell ref="R11:R14"/>
    <mergeCell ref="R7:R10"/>
    <mergeCell ref="R3:R6"/>
    <mergeCell ref="T3:T6"/>
    <mergeCell ref="T7:T10"/>
    <mergeCell ref="T11:T14"/>
    <mergeCell ref="T15:T18"/>
    <mergeCell ref="R75:R78"/>
    <mergeCell ref="R79:R82"/>
    <mergeCell ref="R83:R86"/>
    <mergeCell ref="R87:R90"/>
    <mergeCell ref="R23:R26"/>
    <mergeCell ref="R19:R22"/>
    <mergeCell ref="R51:R54"/>
    <mergeCell ref="R55:R58"/>
    <mergeCell ref="R59:R62"/>
    <mergeCell ref="R63:R66"/>
    <mergeCell ref="R67:R70"/>
    <mergeCell ref="R71:R74"/>
    <mergeCell ref="R27:R30"/>
    <mergeCell ref="R31:R34"/>
    <mergeCell ref="R35:R38"/>
    <mergeCell ref="R39:R42"/>
    <mergeCell ref="R43:R46"/>
    <mergeCell ref="R47:R50"/>
  </mergeCells>
  <phoneticPr fontId="1" type="noConversion"/>
  <conditionalFormatting sqref="R1">
    <cfRule type="cellIs" dxfId="1" priority="1" operator="greaterThan">
      <formula>0</formula>
    </cfRule>
  </conditionalFormatting>
  <hyperlinks>
    <hyperlink ref="J7" r:id="rId1" xr:uid="{00000000-0004-0000-0400-000001000000}"/>
    <hyperlink ref="J3" r:id="rId2" xr:uid="{00000000-0004-0000-0400-000000000000}"/>
    <hyperlink ref="J55" r:id="rId3" xr:uid="{7945932D-FFC5-4EA3-A37C-85D1DF266CBE}"/>
    <hyperlink ref="J59" r:id="rId4" xr:uid="{13ECFD1F-9833-4656-B93F-D15429726239}"/>
    <hyperlink ref="J63" r:id="rId5" xr:uid="{60B93EA1-F969-4DC4-9F19-3841B8F466E6}"/>
    <hyperlink ref="J75" r:id="rId6" xr:uid="{FD543F18-CB18-4269-9467-707A931CB864}"/>
    <hyperlink ref="J71" r:id="rId7" xr:uid="{1AAA0D39-721F-4E87-B183-BBDD50E908A4}"/>
    <hyperlink ref="J67" r:id="rId8" xr:uid="{98D233CA-7C99-4366-A467-D68D745D0502}"/>
    <hyperlink ref="J79" r:id="rId9" xr:uid="{C5756645-AD2D-4A46-8B71-2A82C3B4A220}"/>
    <hyperlink ref="J83" r:id="rId10" xr:uid="{37AA401F-1323-422B-98F0-6CCBED4F1E0C}"/>
    <hyperlink ref="J87" r:id="rId11" xr:uid="{8E53DA51-B993-4065-982C-8E694E576339}"/>
    <hyperlink ref="L87" r:id="rId12" xr:uid="{784A9BE8-A986-44D8-8558-BF82FE379859}"/>
  </hyperlinks>
  <pageMargins left="0.7" right="0.7" top="0.75" bottom="0.75" header="0.3" footer="0.3"/>
  <pageSetup paperSize="9" orientation="portrait" verticalDpi="0" r:id="rId13"/>
  <legacyDrawing r:id="rId14"/>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工作表1">
    <tabColor theme="9" tint="0.39997558519241921"/>
  </sheetPr>
  <dimension ref="A1:M206"/>
  <sheetViews>
    <sheetView topLeftCell="A46" zoomScaleNormal="100" workbookViewId="0">
      <selection activeCell="H31" sqref="H31"/>
    </sheetView>
  </sheetViews>
  <sheetFormatPr defaultColWidth="9" defaultRowHeight="18.75" x14ac:dyDescent="0.25"/>
  <cols>
    <col min="1" max="1" width="9" style="22"/>
    <col min="2" max="2" width="12.25" style="92" customWidth="1"/>
    <col min="3" max="3" width="6.875" style="167" customWidth="1"/>
    <col min="4" max="4" width="10.75" style="24" customWidth="1"/>
    <col min="5" max="5" width="11.625" style="25" customWidth="1"/>
    <col min="6" max="6" width="11.625" style="26" customWidth="1"/>
    <col min="7" max="7" width="20.625" style="27" customWidth="1"/>
    <col min="8" max="8" width="12.625" style="14" customWidth="1"/>
    <col min="9" max="9" width="15.25" style="14" customWidth="1"/>
    <col min="10" max="10" width="11.625" style="14" customWidth="1"/>
    <col min="11" max="11" width="24.75" style="28" customWidth="1"/>
    <col min="12" max="12" width="70.75" style="29" customWidth="1"/>
    <col min="13" max="13" width="98.625" style="30" bestFit="1" customWidth="1"/>
    <col min="14" max="14" width="9" style="6"/>
    <col min="15" max="15" width="17.375" style="6" customWidth="1"/>
    <col min="16" max="16384" width="9" style="6"/>
  </cols>
  <sheetData>
    <row r="1" spans="1:13" ht="15.75" x14ac:dyDescent="0.25">
      <c r="A1" s="14" t="s">
        <v>222</v>
      </c>
      <c r="B1" s="15">
        <v>43029</v>
      </c>
      <c r="C1" s="14"/>
    </row>
    <row r="2" spans="1:13" ht="15.75" x14ac:dyDescent="0.25">
      <c r="A2" s="14" t="s">
        <v>223</v>
      </c>
      <c r="B2" s="14"/>
      <c r="C2" s="14"/>
    </row>
    <row r="3" spans="1:13" ht="21" x14ac:dyDescent="0.25">
      <c r="A3" s="14" t="s">
        <v>224</v>
      </c>
      <c r="B3" s="14"/>
      <c r="C3" s="31">
        <f>SUM(D4:F4)</f>
        <v>60</v>
      </c>
      <c r="D3" s="32"/>
      <c r="E3" s="33"/>
      <c r="F3" s="34"/>
    </row>
    <row r="4" spans="1:13" ht="21.75" thickBot="1" x14ac:dyDescent="0.3">
      <c r="B4" s="23"/>
      <c r="C4" s="31"/>
      <c r="D4" s="32">
        <f>SUM(D6:D128)</f>
        <v>48</v>
      </c>
      <c r="E4" s="33">
        <f>SUM(E6:E128)</f>
        <v>12</v>
      </c>
      <c r="F4" s="34">
        <f>SUM(F6:F128)</f>
        <v>0</v>
      </c>
    </row>
    <row r="5" spans="1:13" x14ac:dyDescent="0.25">
      <c r="B5" s="35" t="s">
        <v>191</v>
      </c>
      <c r="C5" s="36" t="s">
        <v>192</v>
      </c>
      <c r="D5" s="37" t="s">
        <v>193</v>
      </c>
      <c r="E5" s="38" t="s">
        <v>194</v>
      </c>
      <c r="F5" s="39" t="s">
        <v>195</v>
      </c>
      <c r="G5" s="40" t="s">
        <v>196</v>
      </c>
      <c r="H5" s="41" t="s">
        <v>197</v>
      </c>
      <c r="I5" s="41" t="s">
        <v>197</v>
      </c>
      <c r="J5" s="41" t="s">
        <v>197</v>
      </c>
      <c r="K5" s="42" t="s">
        <v>198</v>
      </c>
      <c r="L5" s="43" t="s">
        <v>199</v>
      </c>
      <c r="M5" s="44" t="s">
        <v>209</v>
      </c>
    </row>
    <row r="6" spans="1:13" ht="19.5" thickBot="1" x14ac:dyDescent="0.3">
      <c r="B6" s="45" t="s">
        <v>442</v>
      </c>
      <c r="C6" s="46" t="s">
        <v>208</v>
      </c>
      <c r="D6" s="47" t="s">
        <v>338</v>
      </c>
      <c r="E6" s="48" t="s">
        <v>339</v>
      </c>
      <c r="F6" s="49" t="s">
        <v>340</v>
      </c>
      <c r="G6" s="50"/>
      <c r="H6" s="51"/>
      <c r="I6" s="51"/>
      <c r="J6" s="51"/>
      <c r="K6" s="52"/>
      <c r="L6" s="53"/>
      <c r="M6" s="54"/>
    </row>
    <row r="7" spans="1:13" x14ac:dyDescent="0.25">
      <c r="B7" s="55"/>
      <c r="C7" s="56"/>
      <c r="D7" s="57"/>
      <c r="E7" s="58"/>
      <c r="F7" s="59"/>
      <c r="G7" s="60"/>
      <c r="H7" s="61"/>
      <c r="I7" s="61"/>
      <c r="J7" s="61"/>
      <c r="K7" s="62"/>
      <c r="L7" s="63"/>
      <c r="M7" s="64"/>
    </row>
    <row r="8" spans="1:13" x14ac:dyDescent="0.25">
      <c r="B8" s="55"/>
      <c r="C8" s="65" t="s">
        <v>321</v>
      </c>
      <c r="D8" s="66">
        <v>1</v>
      </c>
      <c r="E8" s="67"/>
      <c r="F8" s="68"/>
      <c r="G8" s="69" t="s">
        <v>322</v>
      </c>
      <c r="H8" s="70" t="s">
        <v>341</v>
      </c>
      <c r="I8" s="71"/>
      <c r="J8" s="71" t="s">
        <v>342</v>
      </c>
      <c r="K8" s="72" t="s">
        <v>343</v>
      </c>
      <c r="L8" s="73" t="s">
        <v>1167</v>
      </c>
      <c r="M8" s="74" t="s">
        <v>1260</v>
      </c>
    </row>
    <row r="9" spans="1:13" x14ac:dyDescent="0.25">
      <c r="B9" s="55"/>
      <c r="C9" s="65" t="s">
        <v>319</v>
      </c>
      <c r="D9" s="66">
        <v>1</v>
      </c>
      <c r="E9" s="67"/>
      <c r="F9" s="68"/>
      <c r="G9" s="69" t="s">
        <v>322</v>
      </c>
      <c r="H9" s="70" t="s">
        <v>341</v>
      </c>
      <c r="I9" s="71"/>
      <c r="J9" s="71" t="s">
        <v>344</v>
      </c>
      <c r="K9" s="72" t="s">
        <v>343</v>
      </c>
      <c r="L9" s="75" t="s">
        <v>1168</v>
      </c>
      <c r="M9" s="76" t="s">
        <v>1277</v>
      </c>
    </row>
    <row r="10" spans="1:13" x14ac:dyDescent="0.25">
      <c r="B10" s="55"/>
      <c r="C10" s="65" t="s">
        <v>320</v>
      </c>
      <c r="D10" s="66"/>
      <c r="E10" s="67">
        <v>1</v>
      </c>
      <c r="F10" s="68"/>
      <c r="G10" s="69" t="s">
        <v>322</v>
      </c>
      <c r="H10" s="70" t="s">
        <v>341</v>
      </c>
      <c r="I10" s="71"/>
      <c r="J10" s="71" t="s">
        <v>344</v>
      </c>
      <c r="K10" s="72" t="s">
        <v>345</v>
      </c>
      <c r="L10" s="75" t="s">
        <v>807</v>
      </c>
      <c r="M10" s="76" t="s">
        <v>1261</v>
      </c>
    </row>
    <row r="11" spans="1:13" x14ac:dyDescent="0.25">
      <c r="B11" s="55"/>
      <c r="C11" s="65" t="s">
        <v>8</v>
      </c>
      <c r="D11" s="66">
        <v>1</v>
      </c>
      <c r="E11" s="67"/>
      <c r="F11" s="68"/>
      <c r="G11" s="69" t="s">
        <v>322</v>
      </c>
      <c r="H11" s="70" t="s">
        <v>346</v>
      </c>
      <c r="I11" s="70"/>
      <c r="J11" s="70" t="s">
        <v>347</v>
      </c>
      <c r="K11" s="72" t="s">
        <v>348</v>
      </c>
      <c r="L11" s="75" t="s">
        <v>349</v>
      </c>
      <c r="M11" s="76" t="s">
        <v>1274</v>
      </c>
    </row>
    <row r="12" spans="1:13" x14ac:dyDescent="0.25">
      <c r="B12" s="55"/>
      <c r="C12" s="65" t="s">
        <v>9</v>
      </c>
      <c r="D12" s="66">
        <v>1</v>
      </c>
      <c r="E12" s="67"/>
      <c r="F12" s="68"/>
      <c r="G12" s="69" t="s">
        <v>322</v>
      </c>
      <c r="H12" s="70" t="s">
        <v>346</v>
      </c>
      <c r="I12" s="70"/>
      <c r="J12" s="70" t="s">
        <v>350</v>
      </c>
      <c r="K12" s="72" t="s">
        <v>348</v>
      </c>
      <c r="L12" s="75" t="s">
        <v>808</v>
      </c>
      <c r="M12" s="76" t="s">
        <v>1275</v>
      </c>
    </row>
    <row r="13" spans="1:13" x14ac:dyDescent="0.25">
      <c r="B13" s="55"/>
      <c r="C13" s="65" t="s">
        <v>10</v>
      </c>
      <c r="D13" s="66">
        <v>1</v>
      </c>
      <c r="E13" s="67"/>
      <c r="F13" s="68"/>
      <c r="G13" s="69" t="s">
        <v>322</v>
      </c>
      <c r="H13" s="70"/>
      <c r="I13" s="70" t="s">
        <v>809</v>
      </c>
      <c r="J13" s="71"/>
      <c r="K13" s="72" t="s">
        <v>345</v>
      </c>
      <c r="L13" s="75" t="s">
        <v>351</v>
      </c>
      <c r="M13" s="76" t="s">
        <v>1262</v>
      </c>
    </row>
    <row r="14" spans="1:13" x14ac:dyDescent="0.25">
      <c r="B14" s="55"/>
      <c r="C14" s="65" t="s">
        <v>11</v>
      </c>
      <c r="D14" s="66">
        <v>1</v>
      </c>
      <c r="E14" s="67"/>
      <c r="F14" s="68"/>
      <c r="G14" s="69" t="s">
        <v>322</v>
      </c>
      <c r="H14" s="70"/>
      <c r="I14" s="70" t="s">
        <v>809</v>
      </c>
      <c r="J14" s="71"/>
      <c r="K14" s="72" t="s">
        <v>348</v>
      </c>
      <c r="L14" s="75" t="s">
        <v>1263</v>
      </c>
      <c r="M14" s="76" t="s">
        <v>1264</v>
      </c>
    </row>
    <row r="15" spans="1:13" x14ac:dyDescent="0.25">
      <c r="B15" s="55"/>
      <c r="C15" s="65" t="s">
        <v>12</v>
      </c>
      <c r="D15" s="66">
        <v>1</v>
      </c>
      <c r="E15" s="67"/>
      <c r="F15" s="68"/>
      <c r="G15" s="69" t="s">
        <v>322</v>
      </c>
      <c r="H15" s="70" t="s">
        <v>346</v>
      </c>
      <c r="I15" s="70"/>
      <c r="J15" s="70" t="s">
        <v>347</v>
      </c>
      <c r="K15" s="72" t="s">
        <v>345</v>
      </c>
      <c r="L15" s="75" t="s">
        <v>1183</v>
      </c>
      <c r="M15" s="76" t="s">
        <v>1278</v>
      </c>
    </row>
    <row r="16" spans="1:13" x14ac:dyDescent="0.25">
      <c r="B16" s="55"/>
      <c r="C16" s="65" t="s">
        <v>13</v>
      </c>
      <c r="D16" s="66">
        <v>1</v>
      </c>
      <c r="E16" s="67"/>
      <c r="F16" s="68"/>
      <c r="G16" s="69" t="s">
        <v>322</v>
      </c>
      <c r="H16" s="70" t="s">
        <v>346</v>
      </c>
      <c r="I16" s="70"/>
      <c r="J16" s="70" t="s">
        <v>350</v>
      </c>
      <c r="K16" s="72" t="s">
        <v>345</v>
      </c>
      <c r="L16" s="75" t="s">
        <v>352</v>
      </c>
      <c r="M16" s="76" t="s">
        <v>1279</v>
      </c>
    </row>
    <row r="17" spans="2:13" x14ac:dyDescent="0.25">
      <c r="B17" s="55"/>
      <c r="C17" s="65" t="s">
        <v>14</v>
      </c>
      <c r="D17" s="66"/>
      <c r="E17" s="67">
        <v>1</v>
      </c>
      <c r="F17" s="68"/>
      <c r="G17" s="69" t="s">
        <v>322</v>
      </c>
      <c r="H17" s="70" t="s">
        <v>346</v>
      </c>
      <c r="I17" s="70" t="s">
        <v>353</v>
      </c>
      <c r="J17" s="70" t="s">
        <v>350</v>
      </c>
      <c r="K17" s="72" t="s">
        <v>345</v>
      </c>
      <c r="L17" s="75" t="s">
        <v>1184</v>
      </c>
      <c r="M17" s="76" t="s">
        <v>1280</v>
      </c>
    </row>
    <row r="18" spans="2:13" x14ac:dyDescent="0.25">
      <c r="B18" s="55"/>
      <c r="C18" s="65" t="s">
        <v>15</v>
      </c>
      <c r="D18" s="66"/>
      <c r="E18" s="67">
        <v>1</v>
      </c>
      <c r="F18" s="68"/>
      <c r="G18" s="69" t="s">
        <v>322</v>
      </c>
      <c r="H18" s="70" t="s">
        <v>346</v>
      </c>
      <c r="I18" s="14" t="s">
        <v>354</v>
      </c>
      <c r="J18" s="70" t="s">
        <v>347</v>
      </c>
      <c r="K18" s="72" t="s">
        <v>345</v>
      </c>
      <c r="L18" s="75" t="s">
        <v>355</v>
      </c>
      <c r="M18" s="76" t="s">
        <v>1281</v>
      </c>
    </row>
    <row r="19" spans="2:13" x14ac:dyDescent="0.25">
      <c r="B19" s="55"/>
      <c r="C19" s="65" t="s">
        <v>16</v>
      </c>
      <c r="D19" s="66"/>
      <c r="E19" s="67">
        <v>1</v>
      </c>
      <c r="F19" s="68"/>
      <c r="G19" s="69" t="s">
        <v>322</v>
      </c>
      <c r="H19" s="70" t="s">
        <v>346</v>
      </c>
      <c r="I19" s="70" t="s">
        <v>356</v>
      </c>
      <c r="J19" s="70" t="s">
        <v>347</v>
      </c>
      <c r="K19" s="72" t="s">
        <v>345</v>
      </c>
      <c r="L19" s="75" t="s">
        <v>355</v>
      </c>
      <c r="M19" s="76" t="s">
        <v>1282</v>
      </c>
    </row>
    <row r="20" spans="2:13" x14ac:dyDescent="0.25">
      <c r="B20" s="55"/>
      <c r="C20" s="65" t="s">
        <v>17</v>
      </c>
      <c r="D20" s="66">
        <v>1</v>
      </c>
      <c r="E20" s="67">
        <v>1</v>
      </c>
      <c r="F20" s="68"/>
      <c r="G20" s="69" t="s">
        <v>322</v>
      </c>
      <c r="H20" s="70"/>
      <c r="I20" s="71" t="s">
        <v>357</v>
      </c>
      <c r="J20" s="71"/>
      <c r="K20" s="72" t="s">
        <v>348</v>
      </c>
      <c r="L20" s="75" t="s">
        <v>1185</v>
      </c>
      <c r="M20" s="76" t="s">
        <v>1283</v>
      </c>
    </row>
    <row r="21" spans="2:13" x14ac:dyDescent="0.25">
      <c r="B21" s="55"/>
      <c r="C21" s="65" t="s">
        <v>18</v>
      </c>
      <c r="D21" s="66">
        <v>1</v>
      </c>
      <c r="E21" s="67">
        <v>1</v>
      </c>
      <c r="F21" s="68"/>
      <c r="G21" s="69" t="s">
        <v>322</v>
      </c>
      <c r="H21" s="71"/>
      <c r="I21" s="71" t="s">
        <v>357</v>
      </c>
      <c r="J21" s="71"/>
      <c r="K21" s="72" t="s">
        <v>345</v>
      </c>
      <c r="L21" s="75" t="s">
        <v>359</v>
      </c>
      <c r="M21" s="76" t="s">
        <v>1284</v>
      </c>
    </row>
    <row r="22" spans="2:13" ht="19.5" thickBot="1" x14ac:dyDescent="0.3">
      <c r="B22" s="55"/>
      <c r="C22" s="4"/>
      <c r="D22" s="66"/>
      <c r="E22" s="67"/>
      <c r="F22" s="68"/>
      <c r="G22" s="77"/>
      <c r="H22" s="70"/>
      <c r="I22" s="70"/>
      <c r="J22" s="70"/>
      <c r="K22" s="78"/>
      <c r="L22" s="73"/>
      <c r="M22" s="74"/>
    </row>
    <row r="23" spans="2:13" x14ac:dyDescent="0.25">
      <c r="B23" s="35" t="s">
        <v>191</v>
      </c>
      <c r="C23" s="36" t="s">
        <v>192</v>
      </c>
      <c r="D23" s="37" t="s">
        <v>193</v>
      </c>
      <c r="E23" s="38" t="s">
        <v>194</v>
      </c>
      <c r="F23" s="39" t="s">
        <v>195</v>
      </c>
      <c r="G23" s="40" t="s">
        <v>196</v>
      </c>
      <c r="H23" s="41" t="s">
        <v>197</v>
      </c>
      <c r="I23" s="41" t="s">
        <v>197</v>
      </c>
      <c r="J23" s="41" t="s">
        <v>197</v>
      </c>
      <c r="K23" s="42" t="s">
        <v>198</v>
      </c>
      <c r="L23" s="43" t="s">
        <v>199</v>
      </c>
      <c r="M23" s="44" t="s">
        <v>209</v>
      </c>
    </row>
    <row r="24" spans="2:13" ht="19.5" thickBot="1" x14ac:dyDescent="0.3">
      <c r="B24" s="45" t="s">
        <v>360</v>
      </c>
      <c r="C24" s="46" t="s">
        <v>207</v>
      </c>
      <c r="D24" s="47" t="s">
        <v>338</v>
      </c>
      <c r="E24" s="48" t="s">
        <v>339</v>
      </c>
      <c r="F24" s="49" t="s">
        <v>340</v>
      </c>
      <c r="G24" s="50"/>
      <c r="H24" s="51"/>
      <c r="I24" s="51"/>
      <c r="J24" s="51"/>
      <c r="K24" s="52"/>
      <c r="L24" s="53"/>
      <c r="M24" s="54"/>
    </row>
    <row r="25" spans="2:13" x14ac:dyDescent="0.25">
      <c r="B25" s="55"/>
      <c r="C25" s="65"/>
      <c r="D25" s="66"/>
      <c r="E25" s="67"/>
      <c r="F25" s="68"/>
      <c r="G25" s="77"/>
      <c r="H25" s="70"/>
      <c r="I25" s="70"/>
      <c r="J25" s="70"/>
      <c r="K25" s="78"/>
      <c r="L25" s="73"/>
      <c r="M25" s="74"/>
    </row>
    <row r="26" spans="2:13" x14ac:dyDescent="0.25">
      <c r="B26" s="55"/>
      <c r="C26" s="65" t="s">
        <v>334</v>
      </c>
      <c r="D26" s="66">
        <v>1</v>
      </c>
      <c r="E26" s="67"/>
      <c r="F26" s="68"/>
      <c r="G26" s="69" t="s">
        <v>322</v>
      </c>
      <c r="H26" s="70" t="s">
        <v>346</v>
      </c>
      <c r="I26" s="70" t="s">
        <v>354</v>
      </c>
      <c r="J26" s="70" t="s">
        <v>347</v>
      </c>
      <c r="K26" s="72" t="s">
        <v>343</v>
      </c>
      <c r="L26" s="73" t="s">
        <v>363</v>
      </c>
      <c r="M26" s="74" t="s">
        <v>364</v>
      </c>
    </row>
    <row r="27" spans="2:13" x14ac:dyDescent="0.25">
      <c r="B27" s="55"/>
      <c r="C27" s="65" t="s">
        <v>258</v>
      </c>
      <c r="D27" s="66">
        <v>1</v>
      </c>
      <c r="E27" s="67"/>
      <c r="F27" s="68"/>
      <c r="G27" s="69" t="s">
        <v>322</v>
      </c>
      <c r="H27" s="70" t="s">
        <v>346</v>
      </c>
      <c r="I27" s="70" t="s">
        <v>353</v>
      </c>
      <c r="J27" s="70" t="s">
        <v>347</v>
      </c>
      <c r="K27" s="72" t="s">
        <v>343</v>
      </c>
      <c r="L27" s="73" t="s">
        <v>363</v>
      </c>
      <c r="M27" s="74" t="s">
        <v>810</v>
      </c>
    </row>
    <row r="28" spans="2:13" x14ac:dyDescent="0.25">
      <c r="B28" s="55"/>
      <c r="C28" s="65" t="s">
        <v>20</v>
      </c>
      <c r="D28" s="66">
        <v>1</v>
      </c>
      <c r="E28" s="67"/>
      <c r="F28" s="68"/>
      <c r="G28" s="69" t="s">
        <v>322</v>
      </c>
      <c r="H28" s="70" t="s">
        <v>346</v>
      </c>
      <c r="I28" s="70" t="s">
        <v>356</v>
      </c>
      <c r="J28" s="70" t="s">
        <v>347</v>
      </c>
      <c r="K28" s="72" t="s">
        <v>343</v>
      </c>
      <c r="L28" s="73" t="s">
        <v>363</v>
      </c>
      <c r="M28" s="74" t="s">
        <v>365</v>
      </c>
    </row>
    <row r="29" spans="2:13" x14ac:dyDescent="0.25">
      <c r="B29" s="55"/>
      <c r="C29" s="65" t="s">
        <v>21</v>
      </c>
      <c r="D29" s="66">
        <v>1</v>
      </c>
      <c r="E29" s="67"/>
      <c r="F29" s="68"/>
      <c r="G29" s="69" t="s">
        <v>322</v>
      </c>
      <c r="H29" s="70" t="s">
        <v>346</v>
      </c>
      <c r="I29" s="70" t="s">
        <v>354</v>
      </c>
      <c r="J29" s="70" t="s">
        <v>350</v>
      </c>
      <c r="K29" s="72" t="s">
        <v>343</v>
      </c>
      <c r="L29" s="73" t="s">
        <v>363</v>
      </c>
      <c r="M29" s="74" t="s">
        <v>367</v>
      </c>
    </row>
    <row r="30" spans="2:13" x14ac:dyDescent="0.25">
      <c r="B30" s="55"/>
      <c r="C30" s="65" t="s">
        <v>22</v>
      </c>
      <c r="D30" s="66">
        <v>1</v>
      </c>
      <c r="E30" s="67"/>
      <c r="F30" s="68"/>
      <c r="G30" s="69" t="s">
        <v>322</v>
      </c>
      <c r="H30" s="70" t="s">
        <v>346</v>
      </c>
      <c r="I30" s="70" t="s">
        <v>353</v>
      </c>
      <c r="J30" s="70" t="s">
        <v>350</v>
      </c>
      <c r="K30" s="72" t="s">
        <v>343</v>
      </c>
      <c r="L30" s="73" t="s">
        <v>363</v>
      </c>
      <c r="M30" s="74" t="s">
        <v>368</v>
      </c>
    </row>
    <row r="31" spans="2:13" x14ac:dyDescent="0.25">
      <c r="B31" s="55"/>
      <c r="C31" s="65" t="s">
        <v>23</v>
      </c>
      <c r="D31" s="66">
        <v>1</v>
      </c>
      <c r="E31" s="67"/>
      <c r="F31" s="68"/>
      <c r="G31" s="69" t="s">
        <v>322</v>
      </c>
      <c r="H31" s="70" t="s">
        <v>346</v>
      </c>
      <c r="I31" s="70" t="s">
        <v>356</v>
      </c>
      <c r="J31" s="70" t="s">
        <v>350</v>
      </c>
      <c r="K31" s="72" t="s">
        <v>343</v>
      </c>
      <c r="L31" s="73" t="s">
        <v>363</v>
      </c>
      <c r="M31" s="74" t="s">
        <v>811</v>
      </c>
    </row>
    <row r="32" spans="2:13" x14ac:dyDescent="0.25">
      <c r="B32" s="55"/>
      <c r="C32" s="65" t="s">
        <v>24</v>
      </c>
      <c r="D32" s="66">
        <v>1</v>
      </c>
      <c r="E32" s="67"/>
      <c r="F32" s="68"/>
      <c r="G32" s="69" t="s">
        <v>322</v>
      </c>
      <c r="H32" s="70"/>
      <c r="I32" s="70" t="s">
        <v>812</v>
      </c>
      <c r="J32" s="70"/>
      <c r="K32" s="72" t="s">
        <v>345</v>
      </c>
      <c r="L32" s="73" t="s">
        <v>369</v>
      </c>
      <c r="M32" s="74" t="s">
        <v>813</v>
      </c>
    </row>
    <row r="33" spans="2:13" x14ac:dyDescent="0.25">
      <c r="B33" s="55"/>
      <c r="C33" s="65" t="s">
        <v>25</v>
      </c>
      <c r="D33" s="66">
        <v>1</v>
      </c>
      <c r="E33" s="67"/>
      <c r="F33" s="68"/>
      <c r="G33" s="69" t="s">
        <v>322</v>
      </c>
      <c r="H33" s="70" t="s">
        <v>341</v>
      </c>
      <c r="I33" s="70"/>
      <c r="J33" s="70"/>
      <c r="K33" s="72"/>
      <c r="L33" s="73" t="s">
        <v>370</v>
      </c>
      <c r="M33" s="74" t="s">
        <v>814</v>
      </c>
    </row>
    <row r="34" spans="2:13" x14ac:dyDescent="0.25">
      <c r="B34" s="55"/>
      <c r="C34" s="65" t="s">
        <v>26</v>
      </c>
      <c r="D34" s="66">
        <v>1</v>
      </c>
      <c r="E34" s="67"/>
      <c r="F34" s="68"/>
      <c r="G34" s="69" t="s">
        <v>322</v>
      </c>
      <c r="H34" s="70"/>
      <c r="I34" s="71" t="s">
        <v>342</v>
      </c>
      <c r="J34" s="70"/>
      <c r="K34" s="78" t="s">
        <v>372</v>
      </c>
      <c r="L34" s="73" t="s">
        <v>373</v>
      </c>
      <c r="M34" s="74" t="s">
        <v>815</v>
      </c>
    </row>
    <row r="35" spans="2:13" x14ac:dyDescent="0.25">
      <c r="B35" s="55"/>
      <c r="C35" s="65" t="s">
        <v>27</v>
      </c>
      <c r="D35" s="66">
        <v>1</v>
      </c>
      <c r="E35" s="67"/>
      <c r="F35" s="68"/>
      <c r="G35" s="69" t="s">
        <v>322</v>
      </c>
      <c r="H35" s="70"/>
      <c r="I35" s="70" t="s">
        <v>374</v>
      </c>
      <c r="J35" s="70"/>
      <c r="K35" s="72" t="s">
        <v>345</v>
      </c>
      <c r="L35" s="73" t="s">
        <v>375</v>
      </c>
      <c r="M35" s="74" t="s">
        <v>376</v>
      </c>
    </row>
    <row r="36" spans="2:13" x14ac:dyDescent="0.25">
      <c r="B36" s="55"/>
      <c r="C36" s="65" t="s">
        <v>28</v>
      </c>
      <c r="D36" s="66">
        <v>1</v>
      </c>
      <c r="E36" s="67"/>
      <c r="F36" s="68"/>
      <c r="G36" s="69" t="s">
        <v>322</v>
      </c>
      <c r="H36" s="70"/>
      <c r="I36" s="70" t="s">
        <v>374</v>
      </c>
      <c r="J36" s="70"/>
      <c r="K36" s="72" t="s">
        <v>343</v>
      </c>
      <c r="L36" s="73" t="s">
        <v>377</v>
      </c>
      <c r="M36" s="74" t="s">
        <v>816</v>
      </c>
    </row>
    <row r="37" spans="2:13" x14ac:dyDescent="0.25">
      <c r="B37" s="55"/>
      <c r="C37" s="65" t="s">
        <v>29</v>
      </c>
      <c r="D37" s="66">
        <v>1</v>
      </c>
      <c r="E37" s="67"/>
      <c r="F37" s="68"/>
      <c r="G37" s="69" t="s">
        <v>378</v>
      </c>
      <c r="H37" s="70" t="s">
        <v>346</v>
      </c>
      <c r="I37" s="70" t="s">
        <v>354</v>
      </c>
      <c r="J37" s="70" t="s">
        <v>347</v>
      </c>
      <c r="K37" s="72" t="s">
        <v>345</v>
      </c>
      <c r="L37" s="73" t="s">
        <v>379</v>
      </c>
      <c r="M37" s="74" t="s">
        <v>817</v>
      </c>
    </row>
    <row r="38" spans="2:13" x14ac:dyDescent="0.25">
      <c r="B38" s="55"/>
      <c r="C38" s="65" t="s">
        <v>30</v>
      </c>
      <c r="D38" s="66">
        <v>1</v>
      </c>
      <c r="E38" s="67"/>
      <c r="F38" s="68"/>
      <c r="G38" s="69" t="s">
        <v>378</v>
      </c>
      <c r="H38" s="70" t="s">
        <v>346</v>
      </c>
      <c r="I38" s="70" t="s">
        <v>353</v>
      </c>
      <c r="J38" s="70" t="s">
        <v>347</v>
      </c>
      <c r="K38" s="72" t="s">
        <v>345</v>
      </c>
      <c r="L38" s="73" t="s">
        <v>379</v>
      </c>
      <c r="M38" s="74" t="s">
        <v>818</v>
      </c>
    </row>
    <row r="39" spans="2:13" x14ac:dyDescent="0.25">
      <c r="B39" s="55"/>
      <c r="C39" s="65" t="s">
        <v>31</v>
      </c>
      <c r="D39" s="66">
        <v>1</v>
      </c>
      <c r="E39" s="67"/>
      <c r="F39" s="68"/>
      <c r="G39" s="69" t="s">
        <v>378</v>
      </c>
      <c r="H39" s="70" t="s">
        <v>346</v>
      </c>
      <c r="I39" s="70" t="s">
        <v>356</v>
      </c>
      <c r="J39" s="70" t="s">
        <v>347</v>
      </c>
      <c r="K39" s="72" t="s">
        <v>345</v>
      </c>
      <c r="L39" s="73" t="s">
        <v>379</v>
      </c>
      <c r="M39" s="74" t="s">
        <v>380</v>
      </c>
    </row>
    <row r="40" spans="2:13" x14ac:dyDescent="0.25">
      <c r="B40" s="55"/>
      <c r="C40" s="65" t="s">
        <v>32</v>
      </c>
      <c r="D40" s="66">
        <v>1</v>
      </c>
      <c r="E40" s="67"/>
      <c r="F40" s="68"/>
      <c r="G40" s="69" t="s">
        <v>378</v>
      </c>
      <c r="H40" s="70" t="s">
        <v>346</v>
      </c>
      <c r="I40" s="70" t="s">
        <v>354</v>
      </c>
      <c r="J40" s="70" t="s">
        <v>350</v>
      </c>
      <c r="K40" s="72" t="s">
        <v>345</v>
      </c>
      <c r="L40" s="73" t="s">
        <v>379</v>
      </c>
      <c r="M40" s="74" t="s">
        <v>819</v>
      </c>
    </row>
    <row r="41" spans="2:13" x14ac:dyDescent="0.25">
      <c r="B41" s="55"/>
      <c r="C41" s="65" t="s">
        <v>80</v>
      </c>
      <c r="D41" s="66">
        <v>1</v>
      </c>
      <c r="E41" s="67"/>
      <c r="F41" s="68"/>
      <c r="G41" s="69" t="s">
        <v>378</v>
      </c>
      <c r="H41" s="70" t="s">
        <v>346</v>
      </c>
      <c r="I41" s="70" t="s">
        <v>353</v>
      </c>
      <c r="J41" s="70" t="s">
        <v>350</v>
      </c>
      <c r="K41" s="72" t="s">
        <v>345</v>
      </c>
      <c r="L41" s="73" t="s">
        <v>379</v>
      </c>
      <c r="M41" s="74" t="s">
        <v>381</v>
      </c>
    </row>
    <row r="42" spans="2:13" x14ac:dyDescent="0.25">
      <c r="B42" s="55"/>
      <c r="C42" s="65" t="s">
        <v>81</v>
      </c>
      <c r="D42" s="66">
        <v>1</v>
      </c>
      <c r="E42" s="67"/>
      <c r="F42" s="68"/>
      <c r="G42" s="69" t="s">
        <v>378</v>
      </c>
      <c r="H42" s="70" t="s">
        <v>346</v>
      </c>
      <c r="I42" s="70" t="s">
        <v>356</v>
      </c>
      <c r="J42" s="70" t="s">
        <v>350</v>
      </c>
      <c r="K42" s="72" t="s">
        <v>345</v>
      </c>
      <c r="L42" s="73" t="s">
        <v>379</v>
      </c>
      <c r="M42" s="74" t="s">
        <v>820</v>
      </c>
    </row>
    <row r="43" spans="2:13" x14ac:dyDescent="0.25">
      <c r="B43" s="55"/>
      <c r="C43" s="65" t="s">
        <v>82</v>
      </c>
      <c r="D43" s="66">
        <v>1</v>
      </c>
      <c r="E43" s="67"/>
      <c r="F43" s="68"/>
      <c r="G43" s="69" t="s">
        <v>378</v>
      </c>
      <c r="H43" s="70" t="s">
        <v>346</v>
      </c>
      <c r="I43" s="70"/>
      <c r="J43" s="70"/>
      <c r="K43" s="72" t="s">
        <v>348</v>
      </c>
      <c r="L43" s="73" t="s">
        <v>382</v>
      </c>
      <c r="M43" s="74" t="s">
        <v>383</v>
      </c>
    </row>
    <row r="44" spans="2:13" x14ac:dyDescent="0.25">
      <c r="B44" s="55"/>
      <c r="C44" s="65" t="s">
        <v>83</v>
      </c>
      <c r="D44" s="66">
        <v>1</v>
      </c>
      <c r="E44" s="67">
        <v>1</v>
      </c>
      <c r="F44" s="68"/>
      <c r="G44" s="69" t="s">
        <v>322</v>
      </c>
      <c r="H44" s="70"/>
      <c r="I44" s="71" t="s">
        <v>357</v>
      </c>
      <c r="J44" s="71"/>
      <c r="K44" s="72" t="s">
        <v>348</v>
      </c>
      <c r="L44" s="75" t="s">
        <v>358</v>
      </c>
      <c r="M44" s="74" t="s">
        <v>384</v>
      </c>
    </row>
    <row r="45" spans="2:13" x14ac:dyDescent="0.25">
      <c r="B45" s="55"/>
      <c r="C45" s="65" t="s">
        <v>102</v>
      </c>
      <c r="D45" s="66">
        <v>1</v>
      </c>
      <c r="E45" s="67">
        <v>1</v>
      </c>
      <c r="F45" s="68"/>
      <c r="G45" s="69" t="s">
        <v>322</v>
      </c>
      <c r="H45" s="71"/>
      <c r="I45" s="71" t="s">
        <v>357</v>
      </c>
      <c r="J45" s="71"/>
      <c r="K45" s="72" t="s">
        <v>345</v>
      </c>
      <c r="L45" s="75" t="s">
        <v>359</v>
      </c>
      <c r="M45" s="74" t="s">
        <v>821</v>
      </c>
    </row>
    <row r="46" spans="2:13" x14ac:dyDescent="0.25">
      <c r="B46" s="55"/>
      <c r="C46" s="65" t="s">
        <v>103</v>
      </c>
      <c r="D46" s="66"/>
      <c r="E46" s="67">
        <v>1</v>
      </c>
      <c r="F46" s="68"/>
      <c r="G46" s="69" t="s">
        <v>322</v>
      </c>
      <c r="H46" s="70" t="s">
        <v>346</v>
      </c>
      <c r="I46" s="70" t="s">
        <v>353</v>
      </c>
      <c r="J46" s="70" t="s">
        <v>347</v>
      </c>
      <c r="K46" s="72" t="s">
        <v>345</v>
      </c>
      <c r="L46" s="73" t="s">
        <v>385</v>
      </c>
      <c r="M46" s="74" t="s">
        <v>386</v>
      </c>
    </row>
    <row r="47" spans="2:13" ht="19.5" thickBot="1" x14ac:dyDescent="0.3">
      <c r="B47" s="55"/>
      <c r="C47" s="65"/>
      <c r="D47" s="66"/>
      <c r="E47" s="67"/>
      <c r="F47" s="68"/>
      <c r="G47" s="77"/>
      <c r="H47" s="70"/>
      <c r="I47" s="70"/>
      <c r="J47" s="70"/>
      <c r="K47" s="78"/>
      <c r="L47" s="73"/>
      <c r="M47" s="79"/>
    </row>
    <row r="48" spans="2:13" x14ac:dyDescent="0.25">
      <c r="B48" s="35" t="s">
        <v>191</v>
      </c>
      <c r="C48" s="36" t="s">
        <v>192</v>
      </c>
      <c r="D48" s="37" t="s">
        <v>193</v>
      </c>
      <c r="E48" s="38" t="s">
        <v>194</v>
      </c>
      <c r="F48" s="39" t="s">
        <v>195</v>
      </c>
      <c r="G48" s="40" t="s">
        <v>196</v>
      </c>
      <c r="H48" s="41" t="s">
        <v>197</v>
      </c>
      <c r="I48" s="41" t="s">
        <v>197</v>
      </c>
      <c r="J48" s="41" t="s">
        <v>197</v>
      </c>
      <c r="K48" s="42" t="s">
        <v>198</v>
      </c>
      <c r="L48" s="43" t="s">
        <v>199</v>
      </c>
      <c r="M48" s="44" t="s">
        <v>209</v>
      </c>
    </row>
    <row r="49" spans="2:13" ht="19.5" thickBot="1" x14ac:dyDescent="0.3">
      <c r="B49" s="45" t="s">
        <v>595</v>
      </c>
      <c r="C49" s="46" t="s">
        <v>206</v>
      </c>
      <c r="D49" s="47" t="s">
        <v>338</v>
      </c>
      <c r="E49" s="48" t="s">
        <v>339</v>
      </c>
      <c r="F49" s="49" t="s">
        <v>340</v>
      </c>
      <c r="G49" s="50"/>
      <c r="H49" s="51"/>
      <c r="I49" s="51"/>
      <c r="J49" s="51"/>
      <c r="K49" s="52"/>
      <c r="L49" s="53"/>
      <c r="M49" s="54"/>
    </row>
    <row r="50" spans="2:13" x14ac:dyDescent="0.25">
      <c r="B50" s="55"/>
      <c r="C50" s="65"/>
      <c r="D50" s="66"/>
      <c r="E50" s="67"/>
      <c r="F50" s="68"/>
      <c r="G50" s="77"/>
      <c r="H50" s="70"/>
      <c r="I50" s="70"/>
      <c r="J50" s="70"/>
      <c r="K50" s="78"/>
      <c r="L50" s="73"/>
      <c r="M50" s="74"/>
    </row>
    <row r="51" spans="2:13" x14ac:dyDescent="0.25">
      <c r="B51" s="55"/>
      <c r="C51" s="65" t="s">
        <v>326</v>
      </c>
      <c r="D51" s="66">
        <v>1</v>
      </c>
      <c r="E51" s="67"/>
      <c r="F51" s="68"/>
      <c r="G51" s="69" t="s">
        <v>322</v>
      </c>
      <c r="H51" s="70" t="s">
        <v>346</v>
      </c>
      <c r="I51" s="70" t="s">
        <v>354</v>
      </c>
      <c r="J51" s="70" t="s">
        <v>347</v>
      </c>
      <c r="K51" s="72" t="s">
        <v>343</v>
      </c>
      <c r="L51" s="73" t="s">
        <v>363</v>
      </c>
      <c r="M51" s="74" t="s">
        <v>387</v>
      </c>
    </row>
    <row r="52" spans="2:13" x14ac:dyDescent="0.25">
      <c r="B52" s="55"/>
      <c r="C52" s="65" t="s">
        <v>327</v>
      </c>
      <c r="D52" s="66">
        <v>1</v>
      </c>
      <c r="E52" s="67"/>
      <c r="F52" s="68"/>
      <c r="G52" s="69" t="s">
        <v>322</v>
      </c>
      <c r="H52" s="70" t="s">
        <v>346</v>
      </c>
      <c r="I52" s="70" t="s">
        <v>353</v>
      </c>
      <c r="J52" s="70" t="s">
        <v>347</v>
      </c>
      <c r="K52" s="72" t="s">
        <v>343</v>
      </c>
      <c r="L52" s="73" t="s">
        <v>363</v>
      </c>
      <c r="M52" s="74" t="s">
        <v>388</v>
      </c>
    </row>
    <row r="53" spans="2:13" x14ac:dyDescent="0.25">
      <c r="B53" s="55"/>
      <c r="C53" s="65" t="s">
        <v>33</v>
      </c>
      <c r="D53" s="66">
        <v>1</v>
      </c>
      <c r="E53" s="67"/>
      <c r="F53" s="68"/>
      <c r="G53" s="69" t="s">
        <v>322</v>
      </c>
      <c r="H53" s="70" t="s">
        <v>346</v>
      </c>
      <c r="I53" s="70" t="s">
        <v>356</v>
      </c>
      <c r="J53" s="70" t="s">
        <v>347</v>
      </c>
      <c r="K53" s="72" t="s">
        <v>343</v>
      </c>
      <c r="L53" s="73" t="s">
        <v>363</v>
      </c>
      <c r="M53" s="74" t="s">
        <v>389</v>
      </c>
    </row>
    <row r="54" spans="2:13" x14ac:dyDescent="0.25">
      <c r="B54" s="55"/>
      <c r="C54" s="65" t="s">
        <v>328</v>
      </c>
      <c r="D54" s="66">
        <v>1</v>
      </c>
      <c r="E54" s="67"/>
      <c r="F54" s="68"/>
      <c r="G54" s="69" t="s">
        <v>322</v>
      </c>
      <c r="H54" s="70" t="s">
        <v>346</v>
      </c>
      <c r="I54" s="70" t="s">
        <v>354</v>
      </c>
      <c r="J54" s="70" t="s">
        <v>350</v>
      </c>
      <c r="K54" s="72" t="s">
        <v>343</v>
      </c>
      <c r="L54" s="73" t="s">
        <v>363</v>
      </c>
      <c r="M54" s="74" t="s">
        <v>390</v>
      </c>
    </row>
    <row r="55" spans="2:13" x14ac:dyDescent="0.25">
      <c r="B55" s="55"/>
      <c r="C55" s="65" t="s">
        <v>34</v>
      </c>
      <c r="D55" s="66">
        <v>1</v>
      </c>
      <c r="E55" s="67"/>
      <c r="F55" s="68"/>
      <c r="G55" s="69" t="s">
        <v>322</v>
      </c>
      <c r="H55" s="70" t="s">
        <v>346</v>
      </c>
      <c r="I55" s="70" t="s">
        <v>353</v>
      </c>
      <c r="J55" s="70" t="s">
        <v>350</v>
      </c>
      <c r="K55" s="72" t="s">
        <v>343</v>
      </c>
      <c r="L55" s="73" t="s">
        <v>363</v>
      </c>
      <c r="M55" s="74" t="s">
        <v>391</v>
      </c>
    </row>
    <row r="56" spans="2:13" x14ac:dyDescent="0.25">
      <c r="B56" s="55"/>
      <c r="C56" s="65" t="s">
        <v>35</v>
      </c>
      <c r="D56" s="66">
        <v>1</v>
      </c>
      <c r="E56" s="67"/>
      <c r="F56" s="68"/>
      <c r="G56" s="69" t="s">
        <v>322</v>
      </c>
      <c r="H56" s="70" t="s">
        <v>346</v>
      </c>
      <c r="I56" s="70" t="s">
        <v>356</v>
      </c>
      <c r="J56" s="70" t="s">
        <v>350</v>
      </c>
      <c r="K56" s="72" t="s">
        <v>343</v>
      </c>
      <c r="L56" s="73" t="s">
        <v>363</v>
      </c>
      <c r="M56" s="74" t="s">
        <v>392</v>
      </c>
    </row>
    <row r="57" spans="2:13" x14ac:dyDescent="0.25">
      <c r="B57" s="55"/>
      <c r="C57" s="65" t="s">
        <v>329</v>
      </c>
      <c r="D57" s="66">
        <v>1</v>
      </c>
      <c r="E57" s="67"/>
      <c r="F57" s="68"/>
      <c r="G57" s="69" t="s">
        <v>322</v>
      </c>
      <c r="H57" s="70"/>
      <c r="I57" s="70" t="s">
        <v>812</v>
      </c>
      <c r="J57" s="70"/>
      <c r="K57" s="72" t="s">
        <v>345</v>
      </c>
      <c r="L57" s="73" t="s">
        <v>369</v>
      </c>
      <c r="M57" s="74" t="s">
        <v>393</v>
      </c>
    </row>
    <row r="58" spans="2:13" x14ac:dyDescent="0.25">
      <c r="B58" s="55"/>
      <c r="C58" s="65" t="s">
        <v>36</v>
      </c>
      <c r="D58" s="66">
        <v>1</v>
      </c>
      <c r="E58" s="67"/>
      <c r="F58" s="68"/>
      <c r="G58" s="69" t="s">
        <v>322</v>
      </c>
      <c r="H58" s="70"/>
      <c r="I58" s="70" t="s">
        <v>374</v>
      </c>
      <c r="J58" s="70"/>
      <c r="K58" s="72" t="s">
        <v>345</v>
      </c>
      <c r="L58" s="73" t="s">
        <v>375</v>
      </c>
      <c r="M58" s="74" t="s">
        <v>394</v>
      </c>
    </row>
    <row r="59" spans="2:13" x14ac:dyDescent="0.25">
      <c r="B59" s="55"/>
      <c r="C59" s="65" t="s">
        <v>330</v>
      </c>
      <c r="D59" s="66">
        <v>1</v>
      </c>
      <c r="E59" s="67"/>
      <c r="F59" s="68"/>
      <c r="G59" s="69" t="s">
        <v>322</v>
      </c>
      <c r="H59" s="70"/>
      <c r="I59" s="70" t="s">
        <v>374</v>
      </c>
      <c r="J59" s="70"/>
      <c r="K59" s="72" t="s">
        <v>343</v>
      </c>
      <c r="L59" s="73" t="s">
        <v>377</v>
      </c>
      <c r="M59" s="74" t="s">
        <v>822</v>
      </c>
    </row>
    <row r="60" spans="2:13" x14ac:dyDescent="0.25">
      <c r="B60" s="55"/>
      <c r="C60" s="65" t="s">
        <v>331</v>
      </c>
      <c r="D60" s="66">
        <v>1</v>
      </c>
      <c r="E60" s="67"/>
      <c r="F60" s="68"/>
      <c r="G60" s="69" t="s">
        <v>322</v>
      </c>
      <c r="H60" s="70" t="s">
        <v>346</v>
      </c>
      <c r="I60" s="70"/>
      <c r="J60" s="70" t="s">
        <v>347</v>
      </c>
      <c r="K60" s="72" t="s">
        <v>345</v>
      </c>
      <c r="L60" s="73" t="s">
        <v>395</v>
      </c>
      <c r="M60" s="74" t="s">
        <v>396</v>
      </c>
    </row>
    <row r="61" spans="2:13" x14ac:dyDescent="0.25">
      <c r="B61" s="55"/>
      <c r="C61" s="65" t="s">
        <v>332</v>
      </c>
      <c r="D61" s="66">
        <v>1</v>
      </c>
      <c r="E61" s="67"/>
      <c r="F61" s="68"/>
      <c r="G61" s="69" t="s">
        <v>322</v>
      </c>
      <c r="H61" s="70" t="s">
        <v>346</v>
      </c>
      <c r="I61" s="70"/>
      <c r="J61" s="70" t="s">
        <v>350</v>
      </c>
      <c r="K61" s="72" t="s">
        <v>345</v>
      </c>
      <c r="L61" s="73" t="s">
        <v>395</v>
      </c>
      <c r="M61" s="74" t="s">
        <v>397</v>
      </c>
    </row>
    <row r="62" spans="2:13" x14ac:dyDescent="0.25">
      <c r="B62" s="55"/>
      <c r="C62" s="65" t="s">
        <v>333</v>
      </c>
      <c r="D62" s="66">
        <v>1</v>
      </c>
      <c r="E62" s="58"/>
      <c r="F62" s="59"/>
      <c r="G62" s="69" t="s">
        <v>322</v>
      </c>
      <c r="H62" s="61"/>
      <c r="I62" s="70" t="s">
        <v>398</v>
      </c>
      <c r="J62" s="61"/>
      <c r="K62" s="72" t="s">
        <v>343</v>
      </c>
      <c r="L62" s="73" t="s">
        <v>399</v>
      </c>
      <c r="M62" s="74" t="s">
        <v>823</v>
      </c>
    </row>
    <row r="63" spans="2:13" ht="19.5" thickBot="1" x14ac:dyDescent="0.3">
      <c r="B63" s="55"/>
      <c r="C63" s="4"/>
      <c r="D63" s="66"/>
      <c r="E63" s="67"/>
      <c r="F63" s="68"/>
      <c r="G63" s="77"/>
      <c r="H63" s="70"/>
      <c r="I63" s="70"/>
      <c r="J63" s="70"/>
      <c r="K63" s="78"/>
      <c r="L63" s="73"/>
      <c r="M63" s="74"/>
    </row>
    <row r="64" spans="2:13" x14ac:dyDescent="0.25">
      <c r="B64" s="35" t="s">
        <v>191</v>
      </c>
      <c r="C64" s="36" t="s">
        <v>192</v>
      </c>
      <c r="D64" s="37" t="s">
        <v>193</v>
      </c>
      <c r="E64" s="38" t="s">
        <v>194</v>
      </c>
      <c r="F64" s="39" t="s">
        <v>195</v>
      </c>
      <c r="G64" s="40" t="s">
        <v>196</v>
      </c>
      <c r="H64" s="41" t="s">
        <v>197</v>
      </c>
      <c r="I64" s="41" t="s">
        <v>197</v>
      </c>
      <c r="J64" s="41" t="s">
        <v>197</v>
      </c>
      <c r="K64" s="42" t="s">
        <v>198</v>
      </c>
      <c r="L64" s="43" t="s">
        <v>199</v>
      </c>
      <c r="M64" s="44" t="s">
        <v>209</v>
      </c>
    </row>
    <row r="65" spans="2:13" ht="19.5" thickBot="1" x14ac:dyDescent="0.3">
      <c r="B65" s="45" t="s">
        <v>621</v>
      </c>
      <c r="C65" s="46" t="s">
        <v>323</v>
      </c>
      <c r="D65" s="47" t="s">
        <v>338</v>
      </c>
      <c r="E65" s="48" t="s">
        <v>339</v>
      </c>
      <c r="F65" s="49" t="s">
        <v>340</v>
      </c>
      <c r="G65" s="50"/>
      <c r="H65" s="51"/>
      <c r="I65" s="51"/>
      <c r="J65" s="51"/>
      <c r="K65" s="52"/>
      <c r="L65" s="53"/>
      <c r="M65" s="54"/>
    </row>
    <row r="66" spans="2:13" x14ac:dyDescent="0.25">
      <c r="B66" s="55"/>
      <c r="C66" s="4"/>
      <c r="D66" s="66"/>
      <c r="E66" s="67"/>
      <c r="F66" s="68"/>
      <c r="G66" s="77"/>
      <c r="H66" s="70"/>
      <c r="I66" s="70"/>
      <c r="J66" s="70"/>
      <c r="K66" s="78"/>
      <c r="L66" s="73"/>
      <c r="M66" s="79"/>
    </row>
    <row r="67" spans="2:13" x14ac:dyDescent="0.25">
      <c r="B67" s="55"/>
      <c r="C67" s="65" t="s">
        <v>335</v>
      </c>
      <c r="D67" s="66">
        <v>1</v>
      </c>
      <c r="E67" s="67">
        <v>1</v>
      </c>
      <c r="F67" s="68"/>
      <c r="G67" s="69" t="s">
        <v>322</v>
      </c>
      <c r="H67" s="70"/>
      <c r="I67" s="70" t="s">
        <v>404</v>
      </c>
      <c r="J67" s="70"/>
      <c r="K67" s="78" t="s">
        <v>402</v>
      </c>
      <c r="L67" s="73" t="s">
        <v>403</v>
      </c>
      <c r="M67" s="80" t="s">
        <v>1265</v>
      </c>
    </row>
    <row r="68" spans="2:13" x14ac:dyDescent="0.25">
      <c r="B68" s="55"/>
      <c r="C68" s="65" t="s">
        <v>336</v>
      </c>
      <c r="D68" s="66">
        <v>1</v>
      </c>
      <c r="E68" s="67">
        <v>1</v>
      </c>
      <c r="F68" s="68"/>
      <c r="G68" s="69" t="s">
        <v>322</v>
      </c>
      <c r="H68" s="70"/>
      <c r="I68" s="70" t="s">
        <v>404</v>
      </c>
      <c r="J68" s="70"/>
      <c r="K68" s="78" t="s">
        <v>647</v>
      </c>
      <c r="L68" s="73" t="s">
        <v>648</v>
      </c>
      <c r="M68" s="80" t="s">
        <v>1266</v>
      </c>
    </row>
    <row r="69" spans="2:13" x14ac:dyDescent="0.25">
      <c r="B69" s="55"/>
      <c r="C69" s="65" t="s">
        <v>337</v>
      </c>
      <c r="D69" s="66">
        <v>1</v>
      </c>
      <c r="E69" s="67"/>
      <c r="F69" s="68"/>
      <c r="G69" s="69" t="s">
        <v>322</v>
      </c>
      <c r="H69" s="70"/>
      <c r="I69" s="71" t="s">
        <v>342</v>
      </c>
      <c r="J69" s="70"/>
      <c r="K69" s="78" t="s">
        <v>405</v>
      </c>
      <c r="L69" s="73" t="s">
        <v>406</v>
      </c>
      <c r="M69" s="80" t="s">
        <v>839</v>
      </c>
    </row>
    <row r="70" spans="2:13" x14ac:dyDescent="0.25">
      <c r="B70" s="55"/>
      <c r="C70" s="65" t="s">
        <v>39</v>
      </c>
      <c r="D70" s="66">
        <v>1</v>
      </c>
      <c r="E70" s="67"/>
      <c r="F70" s="68"/>
      <c r="G70" s="69" t="s">
        <v>322</v>
      </c>
      <c r="H70" s="70"/>
      <c r="I70" s="71" t="s">
        <v>342</v>
      </c>
      <c r="J70" s="70"/>
      <c r="K70" s="78" t="s">
        <v>405</v>
      </c>
      <c r="L70" s="73" t="s">
        <v>406</v>
      </c>
      <c r="M70" s="80" t="s">
        <v>840</v>
      </c>
    </row>
    <row r="71" spans="2:13" x14ac:dyDescent="0.25">
      <c r="B71" s="55"/>
      <c r="C71" s="65" t="s">
        <v>40</v>
      </c>
      <c r="D71" s="66"/>
      <c r="E71" s="67">
        <v>1</v>
      </c>
      <c r="F71" s="68"/>
      <c r="G71" s="69" t="s">
        <v>824</v>
      </c>
      <c r="H71" s="70"/>
      <c r="I71" s="70" t="s">
        <v>404</v>
      </c>
      <c r="J71" s="70"/>
      <c r="K71" s="78" t="s">
        <v>372</v>
      </c>
      <c r="L71" s="73" t="s">
        <v>407</v>
      </c>
      <c r="M71" s="79" t="s">
        <v>841</v>
      </c>
    </row>
    <row r="72" spans="2:13" x14ac:dyDescent="0.25">
      <c r="B72" s="55"/>
      <c r="C72" s="65" t="s">
        <v>41</v>
      </c>
      <c r="D72" s="66">
        <v>1</v>
      </c>
      <c r="E72" s="67"/>
      <c r="F72" s="68"/>
      <c r="G72" s="69" t="s">
        <v>79</v>
      </c>
      <c r="H72" s="70"/>
      <c r="I72" s="70" t="s">
        <v>665</v>
      </c>
      <c r="J72" s="70"/>
      <c r="K72" s="78" t="s">
        <v>405</v>
      </c>
      <c r="L72" s="73" t="s">
        <v>825</v>
      </c>
      <c r="M72" s="79" t="s">
        <v>842</v>
      </c>
    </row>
    <row r="73" spans="2:13" x14ac:dyDescent="0.25">
      <c r="B73" s="55"/>
      <c r="C73" s="65" t="s">
        <v>42</v>
      </c>
      <c r="D73" s="66">
        <v>1</v>
      </c>
      <c r="E73" s="67"/>
      <c r="F73" s="68"/>
      <c r="G73" s="69" t="s">
        <v>79</v>
      </c>
      <c r="H73" s="70"/>
      <c r="I73" s="70" t="s">
        <v>665</v>
      </c>
      <c r="J73" s="70"/>
      <c r="K73" s="78" t="s">
        <v>405</v>
      </c>
      <c r="L73" s="73" t="s">
        <v>826</v>
      </c>
      <c r="M73" s="79" t="s">
        <v>843</v>
      </c>
    </row>
    <row r="74" spans="2:13" x14ac:dyDescent="0.25">
      <c r="B74" s="55"/>
      <c r="C74" s="4"/>
      <c r="D74" s="66"/>
      <c r="E74" s="67"/>
      <c r="F74" s="68"/>
      <c r="G74" s="77"/>
      <c r="H74" s="70"/>
      <c r="I74" s="70"/>
      <c r="J74" s="70"/>
      <c r="K74" s="78"/>
      <c r="L74" s="73"/>
      <c r="M74" s="79"/>
    </row>
    <row r="75" spans="2:13" x14ac:dyDescent="0.25">
      <c r="B75" s="55"/>
      <c r="C75" s="4"/>
      <c r="D75" s="66"/>
      <c r="E75" s="67"/>
      <c r="F75" s="68"/>
      <c r="G75" s="77"/>
      <c r="H75" s="70"/>
      <c r="I75" s="70"/>
      <c r="J75" s="70"/>
      <c r="K75" s="78"/>
      <c r="L75" s="73"/>
      <c r="M75" s="79"/>
    </row>
    <row r="76" spans="2:13" x14ac:dyDescent="0.25">
      <c r="B76" s="55"/>
      <c r="C76" s="4"/>
      <c r="D76" s="66"/>
      <c r="E76" s="67"/>
      <c r="F76" s="68"/>
      <c r="G76" s="77"/>
      <c r="H76" s="70"/>
      <c r="I76" s="70"/>
      <c r="J76" s="70"/>
      <c r="K76" s="78"/>
      <c r="L76" s="73"/>
      <c r="M76" s="79"/>
    </row>
    <row r="77" spans="2:13" x14ac:dyDescent="0.25">
      <c r="B77" s="55"/>
      <c r="C77" s="4"/>
      <c r="D77" s="66"/>
      <c r="E77" s="67"/>
      <c r="F77" s="68"/>
      <c r="G77" s="77"/>
      <c r="H77" s="70"/>
      <c r="I77" s="70"/>
      <c r="J77" s="70"/>
      <c r="K77" s="78"/>
      <c r="L77" s="73"/>
      <c r="M77" s="79"/>
    </row>
    <row r="78" spans="2:13" ht="19.5" thickBot="1" x14ac:dyDescent="0.3">
      <c r="B78" s="55"/>
      <c r="C78" s="4"/>
      <c r="D78" s="66"/>
      <c r="E78" s="67"/>
      <c r="F78" s="68"/>
      <c r="G78" s="77"/>
      <c r="H78" s="70"/>
      <c r="I78" s="70"/>
      <c r="J78" s="70"/>
      <c r="K78" s="78"/>
      <c r="L78" s="73"/>
      <c r="M78" s="79"/>
    </row>
    <row r="79" spans="2:13" x14ac:dyDescent="0.25">
      <c r="B79" s="35" t="s">
        <v>210</v>
      </c>
      <c r="C79" s="36" t="s">
        <v>211</v>
      </c>
      <c r="D79" s="37" t="s">
        <v>212</v>
      </c>
      <c r="E79" s="38" t="s">
        <v>213</v>
      </c>
      <c r="F79" s="39" t="s">
        <v>214</v>
      </c>
      <c r="G79" s="40" t="s">
        <v>215</v>
      </c>
      <c r="H79" s="41" t="s">
        <v>216</v>
      </c>
      <c r="I79" s="41" t="s">
        <v>216</v>
      </c>
      <c r="J79" s="41" t="s">
        <v>216</v>
      </c>
      <c r="K79" s="42" t="s">
        <v>217</v>
      </c>
      <c r="L79" s="43" t="s">
        <v>218</v>
      </c>
      <c r="M79" s="44" t="s">
        <v>209</v>
      </c>
    </row>
    <row r="80" spans="2:13" ht="19.5" thickBot="1" x14ac:dyDescent="0.3">
      <c r="B80" s="45" t="s">
        <v>408</v>
      </c>
      <c r="C80" s="46" t="s">
        <v>219</v>
      </c>
      <c r="D80" s="47" t="s">
        <v>338</v>
      </c>
      <c r="E80" s="48" t="s">
        <v>339</v>
      </c>
      <c r="F80" s="49" t="s">
        <v>340</v>
      </c>
      <c r="G80" s="50"/>
      <c r="H80" s="51"/>
      <c r="I80" s="51"/>
      <c r="J80" s="51"/>
      <c r="K80" s="52"/>
      <c r="L80" s="53"/>
      <c r="M80" s="54"/>
    </row>
    <row r="81" spans="2:13" ht="19.5" thickBot="1" x14ac:dyDescent="0.3">
      <c r="B81" s="81"/>
      <c r="C81" s="82"/>
      <c r="D81" s="83"/>
      <c r="E81" s="84"/>
      <c r="F81" s="85"/>
      <c r="G81" s="86"/>
      <c r="H81" s="87"/>
      <c r="I81" s="87"/>
      <c r="J81" s="87"/>
      <c r="K81" s="88"/>
      <c r="L81" s="89"/>
      <c r="M81" s="90"/>
    </row>
    <row r="82" spans="2:13" x14ac:dyDescent="0.25">
      <c r="B82" s="35" t="s">
        <v>6</v>
      </c>
      <c r="C82" s="36" t="s">
        <v>4</v>
      </c>
      <c r="D82" s="37" t="s">
        <v>76</v>
      </c>
      <c r="E82" s="38" t="s">
        <v>77</v>
      </c>
      <c r="F82" s="39" t="s">
        <v>78</v>
      </c>
      <c r="G82" s="40" t="s">
        <v>75</v>
      </c>
      <c r="H82" s="41" t="s">
        <v>5</v>
      </c>
      <c r="I82" s="41" t="s">
        <v>5</v>
      </c>
      <c r="J82" s="41" t="s">
        <v>5</v>
      </c>
      <c r="K82" s="42" t="s">
        <v>3</v>
      </c>
      <c r="L82" s="43" t="s">
        <v>7</v>
      </c>
      <c r="M82" s="44" t="s">
        <v>209</v>
      </c>
    </row>
    <row r="83" spans="2:13" ht="19.5" thickBot="1" x14ac:dyDescent="0.3">
      <c r="B83" s="45" t="s">
        <v>409</v>
      </c>
      <c r="C83" s="46" t="s">
        <v>65</v>
      </c>
      <c r="D83" s="47" t="s">
        <v>338</v>
      </c>
      <c r="E83" s="48" t="s">
        <v>339</v>
      </c>
      <c r="F83" s="49" t="s">
        <v>340</v>
      </c>
      <c r="G83" s="50"/>
      <c r="H83" s="51"/>
      <c r="I83" s="51"/>
      <c r="J83" s="51"/>
      <c r="K83" s="52"/>
      <c r="L83" s="53"/>
      <c r="M83" s="54"/>
    </row>
    <row r="84" spans="2:13" ht="17.25" customHeight="1" thickBot="1" x14ac:dyDescent="0.3">
      <c r="B84" s="55"/>
      <c r="C84" s="4"/>
      <c r="D84" s="66"/>
      <c r="E84" s="67"/>
      <c r="F84" s="68"/>
      <c r="G84" s="77"/>
      <c r="H84" s="70"/>
      <c r="I84" s="70"/>
      <c r="J84" s="70"/>
      <c r="K84" s="78"/>
      <c r="L84" s="73"/>
      <c r="M84" s="79"/>
    </row>
    <row r="85" spans="2:13" x14ac:dyDescent="0.25">
      <c r="B85" s="35" t="s">
        <v>191</v>
      </c>
      <c r="C85" s="36" t="s">
        <v>192</v>
      </c>
      <c r="D85" s="37" t="s">
        <v>193</v>
      </c>
      <c r="E85" s="38" t="s">
        <v>194</v>
      </c>
      <c r="F85" s="39" t="s">
        <v>195</v>
      </c>
      <c r="G85" s="40" t="s">
        <v>196</v>
      </c>
      <c r="H85" s="41" t="s">
        <v>197</v>
      </c>
      <c r="I85" s="41" t="s">
        <v>197</v>
      </c>
      <c r="J85" s="41" t="s">
        <v>197</v>
      </c>
      <c r="K85" s="42" t="s">
        <v>198</v>
      </c>
      <c r="L85" s="43" t="s">
        <v>199</v>
      </c>
      <c r="M85" s="44" t="s">
        <v>209</v>
      </c>
    </row>
    <row r="86" spans="2:13" ht="19.5" thickBot="1" x14ac:dyDescent="0.3">
      <c r="B86" s="45" t="s">
        <v>705</v>
      </c>
      <c r="C86" s="46" t="s">
        <v>324</v>
      </c>
      <c r="D86" s="47" t="s">
        <v>338</v>
      </c>
      <c r="E86" s="48" t="s">
        <v>339</v>
      </c>
      <c r="F86" s="49" t="s">
        <v>340</v>
      </c>
      <c r="G86" s="50"/>
      <c r="H86" s="51"/>
      <c r="I86" s="51"/>
      <c r="J86" s="51"/>
      <c r="K86" s="52"/>
      <c r="L86" s="53"/>
      <c r="M86" s="54"/>
    </row>
    <row r="87" spans="2:13" ht="19.5" thickBot="1" x14ac:dyDescent="0.3">
      <c r="B87" s="55"/>
      <c r="C87" s="4"/>
      <c r="D87" s="66"/>
      <c r="E87" s="67"/>
      <c r="F87" s="68"/>
      <c r="G87" s="77"/>
      <c r="H87" s="70"/>
      <c r="I87" s="70"/>
      <c r="J87" s="70"/>
      <c r="K87" s="78"/>
      <c r="L87" s="73"/>
      <c r="M87" s="79"/>
    </row>
    <row r="88" spans="2:13" x14ac:dyDescent="0.25">
      <c r="B88" s="35" t="s">
        <v>191</v>
      </c>
      <c r="C88" s="36" t="s">
        <v>192</v>
      </c>
      <c r="D88" s="37" t="s">
        <v>193</v>
      </c>
      <c r="E88" s="38" t="s">
        <v>194</v>
      </c>
      <c r="F88" s="39" t="s">
        <v>195</v>
      </c>
      <c r="G88" s="40" t="s">
        <v>196</v>
      </c>
      <c r="H88" s="41" t="s">
        <v>197</v>
      </c>
      <c r="I88" s="41" t="s">
        <v>197</v>
      </c>
      <c r="J88" s="41" t="s">
        <v>197</v>
      </c>
      <c r="K88" s="42" t="s">
        <v>198</v>
      </c>
      <c r="L88" s="43" t="s">
        <v>199</v>
      </c>
      <c r="M88" s="44" t="s">
        <v>209</v>
      </c>
    </row>
    <row r="89" spans="2:13" ht="19.5" thickBot="1" x14ac:dyDescent="0.3">
      <c r="B89" s="45" t="s">
        <v>413</v>
      </c>
      <c r="C89" s="46" t="s">
        <v>325</v>
      </c>
      <c r="D89" s="47" t="s">
        <v>338</v>
      </c>
      <c r="E89" s="48" t="s">
        <v>339</v>
      </c>
      <c r="F89" s="49" t="s">
        <v>340</v>
      </c>
      <c r="G89" s="50"/>
      <c r="H89" s="51"/>
      <c r="I89" s="51"/>
      <c r="J89" s="51"/>
      <c r="K89" s="52"/>
      <c r="L89" s="53"/>
      <c r="M89" s="54"/>
    </row>
    <row r="90" spans="2:13" ht="19.5" thickBot="1" x14ac:dyDescent="0.3">
      <c r="B90" s="55"/>
      <c r="C90" s="4"/>
      <c r="D90" s="66"/>
      <c r="E90" s="67"/>
      <c r="F90" s="68"/>
      <c r="G90" s="77"/>
      <c r="H90" s="70"/>
      <c r="I90" s="70"/>
      <c r="J90" s="70"/>
      <c r="K90" s="78"/>
      <c r="L90" s="73"/>
      <c r="M90" s="79"/>
    </row>
    <row r="91" spans="2:13" x14ac:dyDescent="0.25">
      <c r="B91" s="35" t="s">
        <v>191</v>
      </c>
      <c r="C91" s="36" t="s">
        <v>192</v>
      </c>
      <c r="D91" s="37" t="s">
        <v>414</v>
      </c>
      <c r="E91" s="38" t="s">
        <v>414</v>
      </c>
      <c r="F91" s="39" t="s">
        <v>414</v>
      </c>
      <c r="G91" s="40" t="s">
        <v>196</v>
      </c>
      <c r="H91" s="41" t="s">
        <v>197</v>
      </c>
      <c r="I91" s="41" t="s">
        <v>197</v>
      </c>
      <c r="J91" s="41" t="s">
        <v>197</v>
      </c>
      <c r="K91" s="42" t="s">
        <v>198</v>
      </c>
      <c r="L91" s="43" t="s">
        <v>199</v>
      </c>
      <c r="M91" s="44" t="s">
        <v>209</v>
      </c>
    </row>
    <row r="92" spans="2:13" ht="19.5" thickBot="1" x14ac:dyDescent="0.3">
      <c r="B92" s="45" t="s">
        <v>732</v>
      </c>
      <c r="C92" s="46" t="s">
        <v>202</v>
      </c>
      <c r="D92" s="47" t="s">
        <v>338</v>
      </c>
      <c r="E92" s="48" t="s">
        <v>339</v>
      </c>
      <c r="F92" s="49" t="s">
        <v>340</v>
      </c>
      <c r="G92" s="50"/>
      <c r="H92" s="51"/>
      <c r="I92" s="51"/>
      <c r="J92" s="51"/>
      <c r="K92" s="52"/>
      <c r="L92" s="53"/>
      <c r="M92" s="54"/>
    </row>
    <row r="93" spans="2:13" ht="19.5" thickBot="1" x14ac:dyDescent="0.3">
      <c r="B93" s="55"/>
      <c r="C93" s="4"/>
      <c r="D93" s="66"/>
      <c r="E93" s="67"/>
      <c r="F93" s="68"/>
      <c r="G93" s="77"/>
      <c r="H93" s="70"/>
      <c r="I93" s="70"/>
      <c r="J93" s="70"/>
      <c r="K93" s="78"/>
      <c r="L93" s="73"/>
      <c r="M93" s="79"/>
    </row>
    <row r="94" spans="2:13" x14ac:dyDescent="0.25">
      <c r="B94" s="35" t="s">
        <v>191</v>
      </c>
      <c r="C94" s="36" t="s">
        <v>192</v>
      </c>
      <c r="D94" s="37" t="s">
        <v>414</v>
      </c>
      <c r="E94" s="38" t="s">
        <v>414</v>
      </c>
      <c r="F94" s="39" t="s">
        <v>414</v>
      </c>
      <c r="G94" s="40" t="s">
        <v>196</v>
      </c>
      <c r="H94" s="41" t="s">
        <v>197</v>
      </c>
      <c r="I94" s="41" t="s">
        <v>197</v>
      </c>
      <c r="J94" s="41" t="s">
        <v>197</v>
      </c>
      <c r="K94" s="42" t="s">
        <v>198</v>
      </c>
      <c r="L94" s="43" t="s">
        <v>199</v>
      </c>
      <c r="M94" s="44" t="s">
        <v>209</v>
      </c>
    </row>
    <row r="95" spans="2:13" ht="19.5" thickBot="1" x14ac:dyDescent="0.3">
      <c r="B95" s="45" t="s">
        <v>759</v>
      </c>
      <c r="C95" s="46" t="s">
        <v>203</v>
      </c>
      <c r="D95" s="47" t="s">
        <v>338</v>
      </c>
      <c r="E95" s="48" t="s">
        <v>339</v>
      </c>
      <c r="F95" s="49" t="s">
        <v>340</v>
      </c>
      <c r="G95" s="50"/>
      <c r="H95" s="51"/>
      <c r="I95" s="51"/>
      <c r="J95" s="51"/>
      <c r="K95" s="52"/>
      <c r="L95" s="53"/>
      <c r="M95" s="54"/>
    </row>
    <row r="96" spans="2:13" ht="19.5" thickBot="1" x14ac:dyDescent="0.3">
      <c r="B96" s="55"/>
      <c r="C96" s="65"/>
      <c r="D96" s="66"/>
      <c r="E96" s="67"/>
      <c r="F96" s="68"/>
      <c r="G96" s="77"/>
      <c r="H96" s="70"/>
      <c r="I96" s="70"/>
      <c r="J96" s="70"/>
      <c r="K96" s="78"/>
      <c r="L96" s="73"/>
      <c r="M96" s="79"/>
    </row>
    <row r="97" spans="2:13" x14ac:dyDescent="0.25">
      <c r="B97" s="35" t="s">
        <v>191</v>
      </c>
      <c r="C97" s="36" t="s">
        <v>192</v>
      </c>
      <c r="D97" s="37" t="s">
        <v>414</v>
      </c>
      <c r="E97" s="38" t="s">
        <v>414</v>
      </c>
      <c r="F97" s="39" t="s">
        <v>414</v>
      </c>
      <c r="G97" s="40" t="s">
        <v>196</v>
      </c>
      <c r="H97" s="41" t="s">
        <v>197</v>
      </c>
      <c r="I97" s="41" t="s">
        <v>197</v>
      </c>
      <c r="J97" s="41" t="s">
        <v>197</v>
      </c>
      <c r="K97" s="42" t="s">
        <v>198</v>
      </c>
      <c r="L97" s="43" t="s">
        <v>199</v>
      </c>
      <c r="M97" s="44" t="s">
        <v>209</v>
      </c>
    </row>
    <row r="98" spans="2:13" ht="19.5" thickBot="1" x14ac:dyDescent="0.3">
      <c r="B98" s="45" t="s">
        <v>775</v>
      </c>
      <c r="C98" s="46" t="s">
        <v>204</v>
      </c>
      <c r="D98" s="47" t="s">
        <v>338</v>
      </c>
      <c r="E98" s="48" t="s">
        <v>339</v>
      </c>
      <c r="F98" s="49" t="s">
        <v>340</v>
      </c>
      <c r="G98" s="50"/>
      <c r="H98" s="51"/>
      <c r="I98" s="51"/>
      <c r="J98" s="51"/>
      <c r="K98" s="52"/>
      <c r="L98" s="53"/>
      <c r="M98" s="54"/>
    </row>
    <row r="99" spans="2:13" ht="19.5" thickBot="1" x14ac:dyDescent="0.3">
      <c r="B99" s="81"/>
      <c r="C99" s="91"/>
      <c r="D99" s="83"/>
      <c r="E99" s="84"/>
      <c r="F99" s="85"/>
      <c r="G99" s="86"/>
      <c r="H99" s="87"/>
      <c r="I99" s="87"/>
      <c r="J99" s="87"/>
      <c r="K99" s="88"/>
      <c r="L99" s="89"/>
      <c r="M99" s="90"/>
    </row>
    <row r="100" spans="2:13" x14ac:dyDescent="0.25">
      <c r="B100" s="35" t="s">
        <v>6</v>
      </c>
      <c r="C100" s="36" t="s">
        <v>4</v>
      </c>
      <c r="D100" s="37" t="s">
        <v>414</v>
      </c>
      <c r="E100" s="38" t="s">
        <v>414</v>
      </c>
      <c r="F100" s="39" t="s">
        <v>414</v>
      </c>
      <c r="G100" s="40" t="s">
        <v>75</v>
      </c>
      <c r="H100" s="41" t="s">
        <v>5</v>
      </c>
      <c r="I100" s="41" t="s">
        <v>5</v>
      </c>
      <c r="J100" s="41" t="s">
        <v>5</v>
      </c>
      <c r="K100" s="42" t="s">
        <v>3</v>
      </c>
      <c r="L100" s="43" t="s">
        <v>7</v>
      </c>
      <c r="M100" s="44" t="s">
        <v>209</v>
      </c>
    </row>
    <row r="101" spans="2:13" ht="19.5" thickBot="1" x14ac:dyDescent="0.3">
      <c r="B101" s="45" t="s">
        <v>792</v>
      </c>
      <c r="C101" s="46" t="s">
        <v>156</v>
      </c>
      <c r="D101" s="47" t="s">
        <v>338</v>
      </c>
      <c r="E101" s="48" t="s">
        <v>339</v>
      </c>
      <c r="F101" s="49" t="s">
        <v>340</v>
      </c>
      <c r="G101" s="50"/>
      <c r="H101" s="51"/>
      <c r="I101" s="51"/>
      <c r="J101" s="51"/>
      <c r="K101" s="52"/>
      <c r="L101" s="53"/>
      <c r="M101" s="54"/>
    </row>
    <row r="102" spans="2:13" ht="15.6" customHeight="1" thickBot="1" x14ac:dyDescent="0.3">
      <c r="B102" s="81"/>
      <c r="C102" s="82"/>
      <c r="D102" s="83"/>
      <c r="E102" s="84"/>
      <c r="F102" s="85"/>
      <c r="G102" s="86"/>
      <c r="H102" s="87"/>
      <c r="I102" s="87"/>
      <c r="J102" s="87"/>
      <c r="K102" s="88"/>
      <c r="L102" s="89"/>
      <c r="M102" s="90"/>
    </row>
    <row r="103" spans="2:13" x14ac:dyDescent="0.25">
      <c r="B103" s="35" t="s">
        <v>6</v>
      </c>
      <c r="C103" s="36" t="s">
        <v>4</v>
      </c>
      <c r="D103" s="37" t="s">
        <v>414</v>
      </c>
      <c r="E103" s="38" t="s">
        <v>414</v>
      </c>
      <c r="F103" s="39" t="s">
        <v>414</v>
      </c>
      <c r="G103" s="40" t="s">
        <v>75</v>
      </c>
      <c r="H103" s="41" t="s">
        <v>5</v>
      </c>
      <c r="I103" s="41" t="s">
        <v>5</v>
      </c>
      <c r="J103" s="41" t="s">
        <v>5</v>
      </c>
      <c r="K103" s="42" t="s">
        <v>3</v>
      </c>
      <c r="L103" s="43" t="s">
        <v>7</v>
      </c>
      <c r="M103" s="44" t="s">
        <v>209</v>
      </c>
    </row>
    <row r="104" spans="2:13" ht="19.5" thickBot="1" x14ac:dyDescent="0.3">
      <c r="B104" s="45" t="s">
        <v>418</v>
      </c>
      <c r="C104" s="46" t="s">
        <v>171</v>
      </c>
      <c r="D104" s="47" t="s">
        <v>338</v>
      </c>
      <c r="E104" s="48" t="s">
        <v>339</v>
      </c>
      <c r="F104" s="49" t="s">
        <v>340</v>
      </c>
      <c r="G104" s="50"/>
      <c r="H104" s="51"/>
      <c r="I104" s="51"/>
      <c r="J104" s="51"/>
      <c r="K104" s="52"/>
      <c r="L104" s="53"/>
      <c r="M104" s="54"/>
    </row>
    <row r="105" spans="2:13" x14ac:dyDescent="0.25">
      <c r="B105" s="55"/>
      <c r="C105" s="4"/>
      <c r="D105" s="66"/>
      <c r="E105" s="67"/>
      <c r="F105" s="68"/>
      <c r="G105" s="77"/>
      <c r="H105" s="70"/>
      <c r="I105" s="70"/>
      <c r="J105" s="70"/>
      <c r="K105" s="78"/>
      <c r="L105" s="73"/>
      <c r="M105" s="79"/>
    </row>
    <row r="106" spans="2:13" x14ac:dyDescent="0.25">
      <c r="B106" s="55"/>
      <c r="C106" s="4"/>
      <c r="D106" s="66"/>
      <c r="E106" s="67"/>
      <c r="F106" s="68"/>
      <c r="G106" s="77"/>
      <c r="H106" s="70"/>
      <c r="I106" s="70"/>
      <c r="J106" s="70"/>
      <c r="K106" s="78"/>
      <c r="L106" s="73"/>
      <c r="M106" s="79"/>
    </row>
    <row r="107" spans="2:13" x14ac:dyDescent="0.25">
      <c r="B107" s="55"/>
      <c r="C107" s="4"/>
      <c r="D107" s="66"/>
      <c r="E107" s="67"/>
      <c r="F107" s="68"/>
      <c r="G107" s="77"/>
      <c r="H107" s="70"/>
      <c r="I107" s="70"/>
      <c r="J107" s="70"/>
      <c r="K107" s="78"/>
      <c r="L107" s="73"/>
      <c r="M107" s="79"/>
    </row>
    <row r="108" spans="2:13" x14ac:dyDescent="0.25">
      <c r="B108" s="55"/>
      <c r="C108" s="4"/>
      <c r="D108" s="66"/>
      <c r="E108" s="67"/>
      <c r="F108" s="68"/>
      <c r="G108" s="77"/>
      <c r="H108" s="70"/>
      <c r="I108" s="70"/>
      <c r="J108" s="70"/>
      <c r="K108" s="78"/>
      <c r="L108" s="73"/>
      <c r="M108" s="79"/>
    </row>
    <row r="109" spans="2:13" x14ac:dyDescent="0.25">
      <c r="L109" s="93"/>
    </row>
    <row r="110" spans="2:13" x14ac:dyDescent="0.25">
      <c r="L110" s="93"/>
    </row>
    <row r="111" spans="2:13" x14ac:dyDescent="0.25">
      <c r="L111" s="93"/>
    </row>
    <row r="112" spans="2:13" x14ac:dyDescent="0.25">
      <c r="L112" s="93"/>
    </row>
    <row r="113" spans="12:12" x14ac:dyDescent="0.25">
      <c r="L113" s="93"/>
    </row>
    <row r="114" spans="12:12" x14ac:dyDescent="0.25">
      <c r="L114" s="93"/>
    </row>
    <row r="115" spans="12:12" x14ac:dyDescent="0.25">
      <c r="L115" s="93"/>
    </row>
    <row r="116" spans="12:12" x14ac:dyDescent="0.25">
      <c r="L116" s="93"/>
    </row>
    <row r="117" spans="12:12" x14ac:dyDescent="0.25">
      <c r="L117" s="93"/>
    </row>
    <row r="118" spans="12:12" x14ac:dyDescent="0.25">
      <c r="L118" s="93"/>
    </row>
    <row r="119" spans="12:12" x14ac:dyDescent="0.25">
      <c r="L119" s="93"/>
    </row>
    <row r="120" spans="12:12" x14ac:dyDescent="0.25">
      <c r="L120" s="93"/>
    </row>
    <row r="121" spans="12:12" x14ac:dyDescent="0.25">
      <c r="L121" s="93"/>
    </row>
    <row r="122" spans="12:12" x14ac:dyDescent="0.25">
      <c r="L122" s="93"/>
    </row>
    <row r="123" spans="12:12" x14ac:dyDescent="0.25">
      <c r="L123" s="93"/>
    </row>
    <row r="124" spans="12:12" x14ac:dyDescent="0.25">
      <c r="L124" s="93"/>
    </row>
    <row r="125" spans="12:12" x14ac:dyDescent="0.25">
      <c r="L125" s="93"/>
    </row>
    <row r="126" spans="12:12" x14ac:dyDescent="0.25">
      <c r="L126" s="93"/>
    </row>
    <row r="127" spans="12:12" x14ac:dyDescent="0.25">
      <c r="L127" s="93"/>
    </row>
    <row r="128" spans="12:12" x14ac:dyDescent="0.25">
      <c r="L128" s="93"/>
    </row>
    <row r="129" spans="12:12" x14ac:dyDescent="0.25">
      <c r="L129" s="93"/>
    </row>
    <row r="130" spans="12:12" x14ac:dyDescent="0.25">
      <c r="L130" s="93"/>
    </row>
    <row r="131" spans="12:12" x14ac:dyDescent="0.25">
      <c r="L131" s="93"/>
    </row>
    <row r="132" spans="12:12" x14ac:dyDescent="0.25">
      <c r="L132" s="93"/>
    </row>
    <row r="133" spans="12:12" x14ac:dyDescent="0.25">
      <c r="L133" s="93"/>
    </row>
    <row r="134" spans="12:12" x14ac:dyDescent="0.25">
      <c r="L134" s="93"/>
    </row>
    <row r="135" spans="12:12" x14ac:dyDescent="0.25">
      <c r="L135" s="93"/>
    </row>
    <row r="136" spans="12:12" x14ac:dyDescent="0.25">
      <c r="L136" s="93"/>
    </row>
    <row r="137" spans="12:12" x14ac:dyDescent="0.25">
      <c r="L137" s="93"/>
    </row>
    <row r="138" spans="12:12" x14ac:dyDescent="0.25">
      <c r="L138" s="93"/>
    </row>
    <row r="139" spans="12:12" x14ac:dyDescent="0.25">
      <c r="L139" s="93"/>
    </row>
    <row r="140" spans="12:12" x14ac:dyDescent="0.25">
      <c r="L140" s="93"/>
    </row>
    <row r="141" spans="12:12" x14ac:dyDescent="0.25">
      <c r="L141" s="93"/>
    </row>
    <row r="142" spans="12:12" x14ac:dyDescent="0.25">
      <c r="L142" s="93"/>
    </row>
    <row r="143" spans="12:12" x14ac:dyDescent="0.25">
      <c r="L143" s="93"/>
    </row>
    <row r="144" spans="12:12" x14ac:dyDescent="0.25">
      <c r="L144" s="93"/>
    </row>
    <row r="145" spans="12:12" x14ac:dyDescent="0.25">
      <c r="L145" s="93"/>
    </row>
    <row r="146" spans="12:12" x14ac:dyDescent="0.25">
      <c r="L146" s="93"/>
    </row>
    <row r="147" spans="12:12" x14ac:dyDescent="0.25">
      <c r="L147" s="93"/>
    </row>
    <row r="148" spans="12:12" x14ac:dyDescent="0.25">
      <c r="L148" s="93"/>
    </row>
    <row r="149" spans="12:12" x14ac:dyDescent="0.25">
      <c r="L149" s="93"/>
    </row>
    <row r="150" spans="12:12" x14ac:dyDescent="0.25">
      <c r="L150" s="93"/>
    </row>
    <row r="151" spans="12:12" x14ac:dyDescent="0.25">
      <c r="L151" s="93"/>
    </row>
    <row r="152" spans="12:12" x14ac:dyDescent="0.25">
      <c r="L152" s="93"/>
    </row>
    <row r="153" spans="12:12" x14ac:dyDescent="0.25">
      <c r="L153" s="93"/>
    </row>
    <row r="154" spans="12:12" x14ac:dyDescent="0.25">
      <c r="L154" s="93"/>
    </row>
    <row r="155" spans="12:12" x14ac:dyDescent="0.25">
      <c r="L155" s="93"/>
    </row>
    <row r="156" spans="12:12" x14ac:dyDescent="0.25">
      <c r="L156" s="93"/>
    </row>
    <row r="157" spans="12:12" x14ac:dyDescent="0.25">
      <c r="L157" s="93"/>
    </row>
    <row r="158" spans="12:12" x14ac:dyDescent="0.25">
      <c r="L158" s="93"/>
    </row>
    <row r="159" spans="12:12" x14ac:dyDescent="0.25">
      <c r="L159" s="93"/>
    </row>
    <row r="160" spans="12:12" x14ac:dyDescent="0.25">
      <c r="L160" s="93"/>
    </row>
    <row r="161" spans="12:12" x14ac:dyDescent="0.25">
      <c r="L161" s="93"/>
    </row>
    <row r="162" spans="12:12" x14ac:dyDescent="0.25">
      <c r="L162" s="93"/>
    </row>
    <row r="163" spans="12:12" x14ac:dyDescent="0.25">
      <c r="L163" s="93"/>
    </row>
    <row r="164" spans="12:12" x14ac:dyDescent="0.25">
      <c r="L164" s="93"/>
    </row>
    <row r="165" spans="12:12" x14ac:dyDescent="0.25">
      <c r="L165" s="93"/>
    </row>
    <row r="166" spans="12:12" x14ac:dyDescent="0.25">
      <c r="L166" s="93"/>
    </row>
    <row r="167" spans="12:12" x14ac:dyDescent="0.25">
      <c r="L167" s="93"/>
    </row>
    <row r="168" spans="12:12" x14ac:dyDescent="0.25">
      <c r="L168" s="93"/>
    </row>
    <row r="169" spans="12:12" x14ac:dyDescent="0.25">
      <c r="L169" s="93"/>
    </row>
    <row r="170" spans="12:12" x14ac:dyDescent="0.25">
      <c r="L170" s="93"/>
    </row>
    <row r="171" spans="12:12" x14ac:dyDescent="0.25">
      <c r="L171" s="93"/>
    </row>
    <row r="172" spans="12:12" x14ac:dyDescent="0.25">
      <c r="L172" s="93"/>
    </row>
    <row r="173" spans="12:12" x14ac:dyDescent="0.25">
      <c r="L173" s="93"/>
    </row>
    <row r="174" spans="12:12" x14ac:dyDescent="0.25">
      <c r="L174" s="93"/>
    </row>
    <row r="175" spans="12:12" x14ac:dyDescent="0.25">
      <c r="L175" s="93"/>
    </row>
    <row r="176" spans="12:12" x14ac:dyDescent="0.25">
      <c r="L176" s="93"/>
    </row>
    <row r="177" spans="12:12" x14ac:dyDescent="0.25">
      <c r="L177" s="93"/>
    </row>
    <row r="178" spans="12:12" x14ac:dyDescent="0.25">
      <c r="L178" s="93"/>
    </row>
    <row r="179" spans="12:12" x14ac:dyDescent="0.25">
      <c r="L179" s="93"/>
    </row>
    <row r="180" spans="12:12" x14ac:dyDescent="0.25">
      <c r="L180" s="93"/>
    </row>
    <row r="181" spans="12:12" x14ac:dyDescent="0.25">
      <c r="L181" s="93"/>
    </row>
    <row r="182" spans="12:12" x14ac:dyDescent="0.25">
      <c r="L182" s="93"/>
    </row>
    <row r="183" spans="12:12" x14ac:dyDescent="0.25">
      <c r="L183" s="93"/>
    </row>
    <row r="184" spans="12:12" x14ac:dyDescent="0.25">
      <c r="L184" s="93"/>
    </row>
    <row r="185" spans="12:12" x14ac:dyDescent="0.25">
      <c r="L185" s="93"/>
    </row>
    <row r="186" spans="12:12" x14ac:dyDescent="0.25">
      <c r="L186" s="93"/>
    </row>
    <row r="187" spans="12:12" x14ac:dyDescent="0.25">
      <c r="L187" s="93"/>
    </row>
    <row r="188" spans="12:12" x14ac:dyDescent="0.25">
      <c r="L188" s="93"/>
    </row>
    <row r="189" spans="12:12" x14ac:dyDescent="0.25">
      <c r="L189" s="93"/>
    </row>
    <row r="190" spans="12:12" x14ac:dyDescent="0.25">
      <c r="L190" s="93"/>
    </row>
    <row r="191" spans="12:12" x14ac:dyDescent="0.25">
      <c r="L191" s="93"/>
    </row>
    <row r="192" spans="12:12" x14ac:dyDescent="0.25">
      <c r="L192" s="93"/>
    </row>
    <row r="193" spans="12:12" x14ac:dyDescent="0.25">
      <c r="L193" s="93"/>
    </row>
    <row r="194" spans="12:12" x14ac:dyDescent="0.25">
      <c r="L194" s="93"/>
    </row>
    <row r="195" spans="12:12" x14ac:dyDescent="0.25">
      <c r="L195" s="93"/>
    </row>
    <row r="196" spans="12:12" x14ac:dyDescent="0.25">
      <c r="L196" s="93"/>
    </row>
    <row r="197" spans="12:12" x14ac:dyDescent="0.25">
      <c r="L197" s="93"/>
    </row>
    <row r="198" spans="12:12" x14ac:dyDescent="0.25">
      <c r="L198" s="93"/>
    </row>
    <row r="199" spans="12:12" x14ac:dyDescent="0.25">
      <c r="L199" s="93"/>
    </row>
    <row r="200" spans="12:12" x14ac:dyDescent="0.25">
      <c r="L200" s="93"/>
    </row>
    <row r="201" spans="12:12" x14ac:dyDescent="0.25">
      <c r="L201" s="93"/>
    </row>
    <row r="202" spans="12:12" x14ac:dyDescent="0.25">
      <c r="L202" s="93"/>
    </row>
    <row r="203" spans="12:12" x14ac:dyDescent="0.25">
      <c r="L203" s="93"/>
    </row>
    <row r="204" spans="12:12" x14ac:dyDescent="0.25">
      <c r="L204" s="93"/>
    </row>
    <row r="205" spans="12:12" x14ac:dyDescent="0.25">
      <c r="L205" s="93"/>
    </row>
    <row r="206" spans="12:12" x14ac:dyDescent="0.25">
      <c r="L206" s="93"/>
    </row>
  </sheetData>
  <phoneticPr fontId="1" type="noConversion"/>
  <pageMargins left="0.35" right="0.36" top="0.62" bottom="0.48" header="0.31496062992125984" footer="0.31496062992125984"/>
  <pageSetup paperSize="9" scale="70" orientation="landscape" r:id="rId1"/>
  <headerFooter>
    <oddFooter>第 &amp;P 頁，共 &amp;N 頁</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工作表13">
    <tabColor theme="6" tint="0.39997558519241921"/>
  </sheetPr>
  <dimension ref="B2:J200"/>
  <sheetViews>
    <sheetView workbookViewId="0">
      <selection activeCell="G16" sqref="G16"/>
    </sheetView>
  </sheetViews>
  <sheetFormatPr defaultColWidth="8.625" defaultRowHeight="15.75" x14ac:dyDescent="0.25"/>
  <cols>
    <col min="1" max="1" width="8.625" style="145"/>
    <col min="2" max="2" width="13.625" style="146" customWidth="1"/>
    <col min="3" max="4" width="8.625" style="146"/>
    <col min="5" max="16384" width="8.625" style="145"/>
  </cols>
  <sheetData>
    <row r="2" spans="2:5" x14ac:dyDescent="0.25">
      <c r="B2" s="145" t="s">
        <v>837</v>
      </c>
      <c r="C2" s="140" t="s">
        <v>836</v>
      </c>
    </row>
    <row r="3" spans="2:5" x14ac:dyDescent="0.25">
      <c r="B3" s="145" t="s">
        <v>838</v>
      </c>
      <c r="C3" s="147" t="s">
        <v>1162</v>
      </c>
    </row>
    <row r="4" spans="2:5" x14ac:dyDescent="0.25">
      <c r="C4" s="146" t="s">
        <v>1016</v>
      </c>
    </row>
    <row r="5" spans="2:5" x14ac:dyDescent="0.25">
      <c r="B5" s="148"/>
    </row>
    <row r="6" spans="2:5" s="150" customFormat="1" ht="16.5" thickBot="1" x14ac:dyDescent="0.3">
      <c r="B6" s="149"/>
      <c r="C6" s="149"/>
      <c r="D6" s="149"/>
    </row>
    <row r="7" spans="2:5" ht="16.5" thickTop="1" x14ac:dyDescent="0.25"/>
    <row r="8" spans="2:5" x14ac:dyDescent="0.25">
      <c r="B8" s="151">
        <v>43314</v>
      </c>
      <c r="C8" s="146" t="s">
        <v>1162</v>
      </c>
      <c r="D8" s="146">
        <v>1</v>
      </c>
      <c r="E8" s="145" t="s">
        <v>1163</v>
      </c>
    </row>
    <row r="10" spans="2:5" x14ac:dyDescent="0.25">
      <c r="C10" s="145" t="s">
        <v>1151</v>
      </c>
    </row>
    <row r="11" spans="2:5" x14ac:dyDescent="0.25">
      <c r="C11" s="145"/>
      <c r="D11" s="146">
        <v>1</v>
      </c>
      <c r="E11" s="145" t="s">
        <v>1165</v>
      </c>
    </row>
    <row r="12" spans="2:5" x14ac:dyDescent="0.25">
      <c r="D12" s="146">
        <v>2</v>
      </c>
      <c r="E12" s="165" t="s">
        <v>1166</v>
      </c>
    </row>
    <row r="13" spans="2:5" s="155" customFormat="1" x14ac:dyDescent="0.25">
      <c r="B13" s="154"/>
      <c r="C13" s="154"/>
      <c r="D13" s="154"/>
    </row>
    <row r="14" spans="2:5" x14ac:dyDescent="0.25">
      <c r="B14" s="151">
        <v>43313</v>
      </c>
      <c r="C14" s="146" t="s">
        <v>1157</v>
      </c>
      <c r="D14" s="146">
        <v>1</v>
      </c>
      <c r="E14" s="145" t="s">
        <v>1158</v>
      </c>
    </row>
    <row r="15" spans="2:5" x14ac:dyDescent="0.25">
      <c r="D15" s="146">
        <v>2</v>
      </c>
      <c r="E15" s="145" t="s">
        <v>1160</v>
      </c>
    </row>
    <row r="16" spans="2:5" x14ac:dyDescent="0.25">
      <c r="D16" s="146">
        <v>3</v>
      </c>
      <c r="E16" s="145" t="s">
        <v>1161</v>
      </c>
    </row>
    <row r="17" spans="2:5" s="155" customFormat="1" x14ac:dyDescent="0.25">
      <c r="B17" s="154"/>
      <c r="C17" s="154"/>
      <c r="D17" s="154"/>
    </row>
    <row r="18" spans="2:5" x14ac:dyDescent="0.25">
      <c r="B18" s="151">
        <v>43312</v>
      </c>
      <c r="C18" s="146" t="s">
        <v>1145</v>
      </c>
      <c r="D18" s="146">
        <v>1</v>
      </c>
      <c r="E18" s="145" t="s">
        <v>1152</v>
      </c>
    </row>
    <row r="19" spans="2:5" x14ac:dyDescent="0.25">
      <c r="D19" s="146">
        <v>2</v>
      </c>
      <c r="E19" s="145" t="s">
        <v>1140</v>
      </c>
    </row>
    <row r="20" spans="2:5" x14ac:dyDescent="0.25">
      <c r="D20" s="146">
        <v>3</v>
      </c>
      <c r="E20" s="145" t="s">
        <v>1146</v>
      </c>
    </row>
    <row r="21" spans="2:5" x14ac:dyDescent="0.25">
      <c r="D21" s="146">
        <v>4</v>
      </c>
      <c r="E21" s="145" t="s">
        <v>1141</v>
      </c>
    </row>
    <row r="22" spans="2:5" x14ac:dyDescent="0.25">
      <c r="D22" s="146">
        <v>5</v>
      </c>
      <c r="E22" s="145" t="s">
        <v>1142</v>
      </c>
    </row>
    <row r="23" spans="2:5" x14ac:dyDescent="0.25">
      <c r="D23" s="146">
        <v>6</v>
      </c>
      <c r="E23" s="145" t="s">
        <v>1147</v>
      </c>
    </row>
    <row r="24" spans="2:5" x14ac:dyDescent="0.25">
      <c r="D24" s="146">
        <v>7</v>
      </c>
      <c r="E24" s="145" t="s">
        <v>1148</v>
      </c>
    </row>
    <row r="25" spans="2:5" x14ac:dyDescent="0.25">
      <c r="D25" s="146">
        <v>8</v>
      </c>
      <c r="E25" s="145" t="s">
        <v>1149</v>
      </c>
    </row>
    <row r="26" spans="2:5" x14ac:dyDescent="0.25">
      <c r="D26" s="146">
        <v>9</v>
      </c>
      <c r="E26" s="145" t="s">
        <v>1150</v>
      </c>
    </row>
    <row r="27" spans="2:5" x14ac:dyDescent="0.25">
      <c r="D27" s="146">
        <v>10</v>
      </c>
      <c r="E27" s="145" t="s">
        <v>1164</v>
      </c>
    </row>
    <row r="29" spans="2:5" x14ac:dyDescent="0.25">
      <c r="E29" s="145" t="s">
        <v>1151</v>
      </c>
    </row>
    <row r="30" spans="2:5" x14ac:dyDescent="0.25">
      <c r="D30" s="146">
        <v>1</v>
      </c>
      <c r="E30" s="145" t="s">
        <v>1153</v>
      </c>
    </row>
    <row r="31" spans="2:5" s="155" customFormat="1" x14ac:dyDescent="0.25">
      <c r="B31" s="154"/>
      <c r="C31" s="154"/>
      <c r="D31" s="154"/>
    </row>
    <row r="32" spans="2:5" x14ac:dyDescent="0.25">
      <c r="B32" s="151">
        <v>43283</v>
      </c>
      <c r="C32" s="146" t="s">
        <v>1028</v>
      </c>
      <c r="D32" s="146">
        <v>1</v>
      </c>
      <c r="E32" s="145" t="s">
        <v>1029</v>
      </c>
    </row>
    <row r="33" spans="2:5" x14ac:dyDescent="0.25">
      <c r="D33" s="146">
        <v>2</v>
      </c>
      <c r="E33" s="145" t="s">
        <v>1030</v>
      </c>
    </row>
    <row r="34" spans="2:5" s="155" customFormat="1" x14ac:dyDescent="0.25">
      <c r="B34" s="154"/>
      <c r="C34" s="154"/>
      <c r="D34" s="154"/>
    </row>
    <row r="35" spans="2:5" x14ac:dyDescent="0.25">
      <c r="B35" s="151">
        <v>43280</v>
      </c>
      <c r="C35" s="146" t="s">
        <v>1015</v>
      </c>
      <c r="D35" s="146">
        <v>1</v>
      </c>
      <c r="E35" s="145" t="s">
        <v>1017</v>
      </c>
    </row>
    <row r="36" spans="2:5" s="153" customFormat="1" x14ac:dyDescent="0.25">
      <c r="B36" s="152"/>
      <c r="C36" s="152"/>
      <c r="D36" s="152"/>
    </row>
    <row r="37" spans="2:5" s="155" customFormat="1" x14ac:dyDescent="0.25">
      <c r="B37" s="154"/>
      <c r="C37" s="154"/>
      <c r="D37" s="154"/>
    </row>
    <row r="38" spans="2:5" x14ac:dyDescent="0.25">
      <c r="C38" s="146">
        <v>2.1</v>
      </c>
      <c r="D38" s="142">
        <v>1</v>
      </c>
      <c r="E38" s="139" t="s">
        <v>1014</v>
      </c>
    </row>
    <row r="39" spans="2:5" x14ac:dyDescent="0.25">
      <c r="D39" s="142">
        <v>2</v>
      </c>
      <c r="E39" s="139" t="s">
        <v>1011</v>
      </c>
    </row>
    <row r="40" spans="2:5" x14ac:dyDescent="0.25">
      <c r="D40" s="142">
        <v>3</v>
      </c>
      <c r="E40" s="139" t="s">
        <v>1012</v>
      </c>
    </row>
    <row r="41" spans="2:5" x14ac:dyDescent="0.25">
      <c r="D41" s="142">
        <v>4</v>
      </c>
      <c r="E41" s="139" t="s">
        <v>1013</v>
      </c>
    </row>
    <row r="43" spans="2:5" s="155" customFormat="1" x14ac:dyDescent="0.25">
      <c r="B43" s="154"/>
      <c r="C43" s="154"/>
      <c r="D43" s="154"/>
    </row>
    <row r="44" spans="2:5" x14ac:dyDescent="0.25">
      <c r="C44" s="146">
        <v>1.4</v>
      </c>
      <c r="D44" s="142">
        <v>1</v>
      </c>
      <c r="E44" s="139" t="s">
        <v>880</v>
      </c>
    </row>
    <row r="45" spans="2:5" x14ac:dyDescent="0.25">
      <c r="D45" s="142">
        <v>2</v>
      </c>
      <c r="E45" s="139" t="s">
        <v>882</v>
      </c>
    </row>
    <row r="46" spans="2:5" x14ac:dyDescent="0.25">
      <c r="D46" s="142">
        <v>3</v>
      </c>
      <c r="E46" s="139" t="s">
        <v>883</v>
      </c>
    </row>
    <row r="47" spans="2:5" x14ac:dyDescent="0.25">
      <c r="D47" s="142">
        <v>4</v>
      </c>
      <c r="E47" s="139" t="s">
        <v>884</v>
      </c>
    </row>
    <row r="49" spans="2:10" s="155" customFormat="1" x14ac:dyDescent="0.25">
      <c r="B49" s="154"/>
      <c r="C49" s="154"/>
      <c r="D49" s="154"/>
    </row>
    <row r="50" spans="2:10" x14ac:dyDescent="0.25">
      <c r="C50" s="146">
        <v>1.23</v>
      </c>
      <c r="D50" s="146">
        <v>1</v>
      </c>
      <c r="E50" s="139" t="s">
        <v>1023</v>
      </c>
      <c r="F50" s="139"/>
      <c r="G50" s="139"/>
      <c r="H50" s="139"/>
      <c r="I50" s="139"/>
      <c r="J50" s="139"/>
    </row>
    <row r="51" spans="2:10" x14ac:dyDescent="0.25">
      <c r="E51" s="139"/>
      <c r="F51" s="139"/>
      <c r="G51" s="139"/>
      <c r="H51" s="139"/>
      <c r="I51" s="139"/>
      <c r="J51" s="139"/>
    </row>
    <row r="52" spans="2:10" x14ac:dyDescent="0.25">
      <c r="E52" s="139"/>
      <c r="F52" s="139"/>
      <c r="G52" s="139"/>
      <c r="H52" s="139"/>
      <c r="I52" s="139"/>
      <c r="J52" s="139"/>
    </row>
    <row r="53" spans="2:10" x14ac:dyDescent="0.25">
      <c r="E53" s="139"/>
      <c r="F53" s="139"/>
      <c r="G53" s="139"/>
      <c r="H53" s="139"/>
      <c r="I53" s="139"/>
      <c r="J53" s="139"/>
    </row>
    <row r="54" spans="2:10" s="155" customFormat="1" x14ac:dyDescent="0.25">
      <c r="B54" s="154"/>
      <c r="C54" s="154"/>
      <c r="D54" s="154"/>
      <c r="E54" s="141"/>
      <c r="F54" s="141"/>
      <c r="G54" s="141"/>
      <c r="H54" s="141"/>
      <c r="I54" s="141"/>
      <c r="J54" s="141"/>
    </row>
    <row r="55" spans="2:10" x14ac:dyDescent="0.25">
      <c r="C55" s="146">
        <v>1.22</v>
      </c>
      <c r="D55" s="146">
        <v>1</v>
      </c>
      <c r="E55" s="139" t="s">
        <v>1018</v>
      </c>
    </row>
    <row r="57" spans="2:10" s="155" customFormat="1" x14ac:dyDescent="0.25">
      <c r="B57" s="154"/>
      <c r="C57" s="154"/>
      <c r="D57" s="154"/>
    </row>
    <row r="58" spans="2:10" x14ac:dyDescent="0.25">
      <c r="C58" s="146">
        <v>1.21</v>
      </c>
      <c r="D58" s="146">
        <v>1</v>
      </c>
      <c r="E58" s="139" t="s">
        <v>1019</v>
      </c>
    </row>
    <row r="59" spans="2:10" x14ac:dyDescent="0.25">
      <c r="D59" s="146">
        <v>2</v>
      </c>
      <c r="E59" s="139" t="s">
        <v>1024</v>
      </c>
    </row>
    <row r="61" spans="2:10" s="155" customFormat="1" x14ac:dyDescent="0.25">
      <c r="B61" s="154"/>
      <c r="C61" s="154"/>
      <c r="D61" s="154"/>
    </row>
    <row r="62" spans="2:10" x14ac:dyDescent="0.25">
      <c r="C62" s="146">
        <v>1.19</v>
      </c>
      <c r="D62" s="146">
        <v>1</v>
      </c>
      <c r="E62" s="139" t="s">
        <v>1025</v>
      </c>
    </row>
    <row r="72" spans="4:5" x14ac:dyDescent="0.25">
      <c r="D72" s="146">
        <v>2</v>
      </c>
      <c r="E72" s="139" t="s">
        <v>1020</v>
      </c>
    </row>
    <row r="91" spans="4:5" x14ac:dyDescent="0.25">
      <c r="D91" s="146">
        <v>3</v>
      </c>
      <c r="E91" s="139" t="s">
        <v>1026</v>
      </c>
    </row>
    <row r="92" spans="4:5" x14ac:dyDescent="0.25">
      <c r="D92" s="146">
        <v>4</v>
      </c>
      <c r="E92" s="139" t="s">
        <v>1021</v>
      </c>
    </row>
    <row r="134" spans="4:5" x14ac:dyDescent="0.25">
      <c r="D134" s="146">
        <v>5</v>
      </c>
      <c r="E134" s="139" t="s">
        <v>1022</v>
      </c>
    </row>
    <row r="200" spans="4:5" x14ac:dyDescent="0.25">
      <c r="D200" s="146">
        <v>6</v>
      </c>
      <c r="E200" s="139" t="s">
        <v>1027</v>
      </c>
    </row>
  </sheetData>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工作表19">
    <tabColor theme="9" tint="0.39997558519241921"/>
  </sheetPr>
  <dimension ref="A1:B2"/>
  <sheetViews>
    <sheetView workbookViewId="0">
      <selection activeCell="B7" sqref="B7"/>
    </sheetView>
  </sheetViews>
  <sheetFormatPr defaultRowHeight="15.75" x14ac:dyDescent="0.25"/>
  <cols>
    <col min="1" max="1" width="9" style="167"/>
    <col min="2" max="2" width="52.25" style="163" customWidth="1"/>
    <col min="3" max="16384" width="9" style="6"/>
  </cols>
  <sheetData>
    <row r="1" spans="1:2" x14ac:dyDescent="0.25">
      <c r="A1" s="167" t="s">
        <v>1154</v>
      </c>
      <c r="B1" s="164" t="s">
        <v>1155</v>
      </c>
    </row>
    <row r="2" spans="1:2" x14ac:dyDescent="0.25">
      <c r="B2" s="166"/>
    </row>
  </sheetData>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工作表4"/>
  <dimension ref="A1:E478"/>
  <sheetViews>
    <sheetView workbookViewId="0">
      <selection activeCell="K18" sqref="K18"/>
    </sheetView>
  </sheetViews>
  <sheetFormatPr defaultColWidth="9" defaultRowHeight="15.75" x14ac:dyDescent="0.25"/>
  <cols>
    <col min="1" max="4" width="9" style="4"/>
    <col min="5" max="5" width="9" style="13"/>
    <col min="6" max="16384" width="9" style="6"/>
  </cols>
  <sheetData>
    <row r="1" spans="1:5" x14ac:dyDescent="0.25">
      <c r="A1" s="4" t="s">
        <v>1064</v>
      </c>
      <c r="B1" s="4" t="s">
        <v>1133</v>
      </c>
      <c r="C1" s="4" t="s">
        <v>1065</v>
      </c>
      <c r="D1" s="4" t="s">
        <v>1066</v>
      </c>
    </row>
    <row r="2" spans="1:5" x14ac:dyDescent="0.25">
      <c r="C2" s="4" t="s">
        <v>1067</v>
      </c>
      <c r="D2" s="4" t="s">
        <v>1067</v>
      </c>
    </row>
    <row r="3" spans="1:5" x14ac:dyDescent="0.25">
      <c r="A3" s="4" t="s">
        <v>940</v>
      </c>
      <c r="B3" s="4" t="s">
        <v>1068</v>
      </c>
      <c r="C3" s="4">
        <v>90</v>
      </c>
      <c r="D3" s="4">
        <v>80</v>
      </c>
      <c r="E3" s="13">
        <v>9.8972222222222205E-3</v>
      </c>
    </row>
    <row r="4" spans="1:5" x14ac:dyDescent="0.25">
      <c r="A4" s="4" t="s">
        <v>1069</v>
      </c>
      <c r="B4" s="4" t="s">
        <v>1068</v>
      </c>
      <c r="C4" s="4">
        <v>90</v>
      </c>
      <c r="D4" s="4">
        <v>80</v>
      </c>
      <c r="E4" s="13">
        <v>9.8972222222222205E-3</v>
      </c>
    </row>
    <row r="5" spans="1:5" x14ac:dyDescent="0.25">
      <c r="A5" s="4" t="s">
        <v>1070</v>
      </c>
      <c r="B5" s="4" t="s">
        <v>1068</v>
      </c>
      <c r="C5" s="4">
        <v>90</v>
      </c>
      <c r="D5" s="4">
        <v>80</v>
      </c>
      <c r="E5" s="13">
        <v>9.8972222222222205E-3</v>
      </c>
    </row>
    <row r="6" spans="1:5" x14ac:dyDescent="0.25">
      <c r="A6" s="4" t="s">
        <v>1071</v>
      </c>
      <c r="B6" s="4" t="s">
        <v>1068</v>
      </c>
      <c r="C6" s="4">
        <v>90</v>
      </c>
      <c r="D6" s="4">
        <v>80</v>
      </c>
      <c r="E6" s="13">
        <v>9.8972222222222205E-3</v>
      </c>
    </row>
    <row r="7" spans="1:5" x14ac:dyDescent="0.25">
      <c r="A7" s="4" t="s">
        <v>1072</v>
      </c>
      <c r="B7" s="4" t="s">
        <v>1068</v>
      </c>
      <c r="C7" s="4">
        <v>90</v>
      </c>
      <c r="D7" s="4">
        <v>80</v>
      </c>
      <c r="E7" s="13">
        <v>9.8972222222222205E-3</v>
      </c>
    </row>
    <row r="8" spans="1:5" x14ac:dyDescent="0.25">
      <c r="A8" s="4" t="s">
        <v>1073</v>
      </c>
      <c r="B8" s="4" t="s">
        <v>1068</v>
      </c>
      <c r="C8" s="4">
        <v>90</v>
      </c>
      <c r="D8" s="4">
        <v>80</v>
      </c>
      <c r="E8" s="13">
        <v>9.8972222222222205E-3</v>
      </c>
    </row>
    <row r="9" spans="1:5" x14ac:dyDescent="0.25">
      <c r="A9" s="4" t="s">
        <v>1074</v>
      </c>
      <c r="B9" s="4" t="s">
        <v>1068</v>
      </c>
      <c r="C9" s="4">
        <v>90</v>
      </c>
      <c r="D9" s="4">
        <v>80</v>
      </c>
      <c r="E9" s="13">
        <v>9.8972222222222205E-3</v>
      </c>
    </row>
    <row r="10" spans="1:5" x14ac:dyDescent="0.25">
      <c r="A10" s="4" t="s">
        <v>1075</v>
      </c>
      <c r="B10" s="4" t="s">
        <v>1068</v>
      </c>
      <c r="C10" s="4">
        <v>90</v>
      </c>
      <c r="D10" s="4">
        <v>80</v>
      </c>
      <c r="E10" s="13">
        <v>9.8972222222222205E-3</v>
      </c>
    </row>
    <row r="11" spans="1:5" x14ac:dyDescent="0.25">
      <c r="A11" s="4" t="s">
        <v>1076</v>
      </c>
      <c r="B11" s="4" t="s">
        <v>1068</v>
      </c>
      <c r="C11" s="4">
        <v>90</v>
      </c>
      <c r="D11" s="4">
        <v>80</v>
      </c>
      <c r="E11" s="13">
        <v>9.8972222222222205E-3</v>
      </c>
    </row>
    <row r="12" spans="1:5" x14ac:dyDescent="0.25">
      <c r="A12" s="4" t="s">
        <v>1077</v>
      </c>
      <c r="B12" s="4" t="s">
        <v>1068</v>
      </c>
      <c r="C12" s="4">
        <v>100</v>
      </c>
      <c r="D12" s="4">
        <v>80</v>
      </c>
      <c r="E12" s="13">
        <v>1.43325E-2</v>
      </c>
    </row>
    <row r="13" spans="1:5" x14ac:dyDescent="0.25">
      <c r="A13" s="4" t="s">
        <v>1078</v>
      </c>
      <c r="B13" s="4" t="s">
        <v>1068</v>
      </c>
      <c r="C13" s="4">
        <v>100</v>
      </c>
      <c r="D13" s="4">
        <v>80</v>
      </c>
      <c r="E13" s="13">
        <v>1.8427499999999999E-2</v>
      </c>
    </row>
    <row r="14" spans="1:5" x14ac:dyDescent="0.25">
      <c r="A14" s="4" t="s">
        <v>0</v>
      </c>
      <c r="B14" s="4" t="s">
        <v>1068</v>
      </c>
      <c r="C14" s="4">
        <v>120</v>
      </c>
      <c r="D14" s="4">
        <v>80</v>
      </c>
      <c r="E14" s="13">
        <v>1.5356249999999998E-2</v>
      </c>
    </row>
    <row r="15" spans="1:5" x14ac:dyDescent="0.25">
      <c r="A15" s="4" t="s">
        <v>228</v>
      </c>
      <c r="B15" s="4" t="s">
        <v>1068</v>
      </c>
      <c r="C15" s="4">
        <v>120</v>
      </c>
      <c r="D15" s="4">
        <v>80</v>
      </c>
      <c r="E15" s="13">
        <v>1.194375E-2</v>
      </c>
    </row>
    <row r="16" spans="1:5" x14ac:dyDescent="0.25">
      <c r="A16" s="4" t="s">
        <v>1079</v>
      </c>
      <c r="B16" s="4" t="s">
        <v>1068</v>
      </c>
      <c r="C16" s="4">
        <v>130</v>
      </c>
      <c r="D16" s="4">
        <v>80</v>
      </c>
      <c r="E16" s="13">
        <v>1.26E-2</v>
      </c>
    </row>
    <row r="17" spans="1:5" x14ac:dyDescent="0.25">
      <c r="A17" s="4" t="s">
        <v>940</v>
      </c>
      <c r="B17" s="4" t="s">
        <v>844</v>
      </c>
      <c r="C17" s="4">
        <v>90</v>
      </c>
      <c r="D17" s="4">
        <v>80</v>
      </c>
      <c r="E17" s="13">
        <v>9.8972222222222205E-3</v>
      </c>
    </row>
    <row r="18" spans="1:5" x14ac:dyDescent="0.25">
      <c r="A18" s="4" t="s">
        <v>1069</v>
      </c>
      <c r="B18" s="4" t="s">
        <v>844</v>
      </c>
      <c r="C18" s="4">
        <v>90</v>
      </c>
      <c r="D18" s="4">
        <v>80</v>
      </c>
      <c r="E18" s="13">
        <v>9.8972222222222205E-3</v>
      </c>
    </row>
    <row r="19" spans="1:5" x14ac:dyDescent="0.25">
      <c r="A19" s="4" t="s">
        <v>1070</v>
      </c>
      <c r="B19" s="4" t="s">
        <v>844</v>
      </c>
      <c r="C19" s="4">
        <v>90</v>
      </c>
      <c r="D19" s="4">
        <v>80</v>
      </c>
      <c r="E19" s="13">
        <v>9.8972222222222205E-3</v>
      </c>
    </row>
    <row r="20" spans="1:5" x14ac:dyDescent="0.25">
      <c r="A20" s="4" t="s">
        <v>1071</v>
      </c>
      <c r="B20" s="4" t="s">
        <v>844</v>
      </c>
      <c r="C20" s="4">
        <v>90</v>
      </c>
      <c r="D20" s="4">
        <v>80</v>
      </c>
      <c r="E20" s="13">
        <v>9.8972222222222205E-3</v>
      </c>
    </row>
    <row r="21" spans="1:5" x14ac:dyDescent="0.25">
      <c r="A21" s="4" t="s">
        <v>1072</v>
      </c>
      <c r="B21" s="4" t="s">
        <v>844</v>
      </c>
      <c r="C21" s="4">
        <v>90</v>
      </c>
      <c r="D21" s="4">
        <v>80</v>
      </c>
      <c r="E21" s="13">
        <v>9.8972222222222205E-3</v>
      </c>
    </row>
    <row r="22" spans="1:5" x14ac:dyDescent="0.25">
      <c r="A22" s="4" t="s">
        <v>1073</v>
      </c>
      <c r="B22" s="4" t="s">
        <v>844</v>
      </c>
      <c r="C22" s="4">
        <v>90</v>
      </c>
      <c r="D22" s="4">
        <v>80</v>
      </c>
      <c r="E22" s="13">
        <v>9.8972222222222205E-3</v>
      </c>
    </row>
    <row r="23" spans="1:5" x14ac:dyDescent="0.25">
      <c r="A23" s="4" t="s">
        <v>1074</v>
      </c>
      <c r="B23" s="4" t="s">
        <v>844</v>
      </c>
      <c r="C23" s="4">
        <v>90</v>
      </c>
      <c r="D23" s="4">
        <v>80</v>
      </c>
      <c r="E23" s="13">
        <v>1.6966666666666665E-2</v>
      </c>
    </row>
    <row r="24" spans="1:5" x14ac:dyDescent="0.25">
      <c r="A24" s="4" t="s">
        <v>1075</v>
      </c>
      <c r="B24" s="4" t="s">
        <v>844</v>
      </c>
      <c r="C24" s="4">
        <v>90</v>
      </c>
      <c r="D24" s="4">
        <v>80</v>
      </c>
      <c r="E24" s="13">
        <v>1.6966666666666665E-2</v>
      </c>
    </row>
    <row r="25" spans="1:5" x14ac:dyDescent="0.25">
      <c r="A25" s="4" t="s">
        <v>1076</v>
      </c>
      <c r="B25" s="4" t="s">
        <v>844</v>
      </c>
      <c r="C25" s="4">
        <v>90</v>
      </c>
      <c r="D25" s="4">
        <v>80</v>
      </c>
      <c r="E25" s="13">
        <v>1.6966666666666665E-2</v>
      </c>
    </row>
    <row r="26" spans="1:5" x14ac:dyDescent="0.25">
      <c r="A26" s="4" t="s">
        <v>1077</v>
      </c>
      <c r="B26" s="4" t="s">
        <v>844</v>
      </c>
      <c r="C26" s="4">
        <v>100</v>
      </c>
      <c r="D26" s="4">
        <v>80</v>
      </c>
      <c r="E26" s="13">
        <v>2.2522499999999997E-2</v>
      </c>
    </row>
    <row r="27" spans="1:5" x14ac:dyDescent="0.25">
      <c r="A27" s="4" t="s">
        <v>1078</v>
      </c>
      <c r="B27" s="4" t="s">
        <v>844</v>
      </c>
      <c r="C27" s="4">
        <v>100</v>
      </c>
      <c r="D27" s="4">
        <v>80</v>
      </c>
      <c r="E27" s="13">
        <v>2.6617499999999999E-2</v>
      </c>
    </row>
    <row r="28" spans="1:5" x14ac:dyDescent="0.25">
      <c r="A28" s="4" t="s">
        <v>0</v>
      </c>
      <c r="B28" s="4" t="s">
        <v>844</v>
      </c>
      <c r="C28" s="4">
        <v>120</v>
      </c>
      <c r="D28" s="4">
        <v>80</v>
      </c>
      <c r="E28" s="13">
        <v>2.218125E-2</v>
      </c>
    </row>
    <row r="29" spans="1:5" x14ac:dyDescent="0.25">
      <c r="A29" s="4" t="s">
        <v>228</v>
      </c>
      <c r="B29" s="4" t="s">
        <v>844</v>
      </c>
      <c r="C29" s="4">
        <v>120</v>
      </c>
      <c r="D29" s="4">
        <v>80</v>
      </c>
      <c r="E29" s="13">
        <v>3.0712499999999997E-2</v>
      </c>
    </row>
    <row r="30" spans="1:5" x14ac:dyDescent="0.25">
      <c r="A30" s="4" t="s">
        <v>1079</v>
      </c>
      <c r="B30" s="4" t="s">
        <v>844</v>
      </c>
      <c r="C30" s="4">
        <v>130</v>
      </c>
      <c r="D30" s="4">
        <v>80</v>
      </c>
      <c r="E30" s="13">
        <v>2.9924999999999997E-2</v>
      </c>
    </row>
    <row r="31" spans="1:5" x14ac:dyDescent="0.25">
      <c r="A31" s="4" t="s">
        <v>940</v>
      </c>
      <c r="B31" s="4" t="s">
        <v>1080</v>
      </c>
      <c r="C31" s="4">
        <v>90</v>
      </c>
      <c r="D31" s="4">
        <v>80</v>
      </c>
      <c r="E31" s="13">
        <v>9.8972222222222205E-3</v>
      </c>
    </row>
    <row r="32" spans="1:5" x14ac:dyDescent="0.25">
      <c r="A32" s="4" t="s">
        <v>1069</v>
      </c>
      <c r="B32" s="4" t="s">
        <v>1080</v>
      </c>
      <c r="C32" s="4">
        <v>90</v>
      </c>
      <c r="D32" s="4">
        <v>80</v>
      </c>
      <c r="E32" s="13">
        <v>9.8972222222222205E-3</v>
      </c>
    </row>
    <row r="33" spans="1:5" x14ac:dyDescent="0.25">
      <c r="A33" s="4" t="s">
        <v>1070</v>
      </c>
      <c r="B33" s="4" t="s">
        <v>1080</v>
      </c>
      <c r="C33" s="4">
        <v>90</v>
      </c>
      <c r="D33" s="4">
        <v>80</v>
      </c>
      <c r="E33" s="13">
        <v>9.8972222222222205E-3</v>
      </c>
    </row>
    <row r="34" spans="1:5" x14ac:dyDescent="0.25">
      <c r="A34" s="4" t="s">
        <v>1071</v>
      </c>
      <c r="B34" s="4" t="s">
        <v>1080</v>
      </c>
      <c r="C34" s="4">
        <v>90</v>
      </c>
      <c r="D34" s="4">
        <v>80</v>
      </c>
      <c r="E34" s="13">
        <v>9.8972222222222205E-3</v>
      </c>
    </row>
    <row r="35" spans="1:5" x14ac:dyDescent="0.25">
      <c r="A35" s="4" t="s">
        <v>1072</v>
      </c>
      <c r="B35" s="4" t="s">
        <v>1080</v>
      </c>
      <c r="C35" s="4">
        <v>90</v>
      </c>
      <c r="D35" s="4">
        <v>80</v>
      </c>
      <c r="E35" s="13">
        <v>9.8972222222222205E-3</v>
      </c>
    </row>
    <row r="36" spans="1:5" x14ac:dyDescent="0.25">
      <c r="A36" s="4" t="s">
        <v>1073</v>
      </c>
      <c r="B36" s="4" t="s">
        <v>1080</v>
      </c>
      <c r="C36" s="4">
        <v>90</v>
      </c>
      <c r="D36" s="4">
        <v>80</v>
      </c>
      <c r="E36" s="13">
        <v>1.8380555555555556E-2</v>
      </c>
    </row>
    <row r="37" spans="1:5" x14ac:dyDescent="0.25">
      <c r="A37" s="4" t="s">
        <v>1074</v>
      </c>
      <c r="B37" s="4" t="s">
        <v>1080</v>
      </c>
      <c r="C37" s="4">
        <v>90</v>
      </c>
      <c r="D37" s="4">
        <v>80</v>
      </c>
      <c r="E37" s="13">
        <v>2.9575000000000001E-2</v>
      </c>
    </row>
    <row r="38" spans="1:5" x14ac:dyDescent="0.25">
      <c r="A38" s="4" t="s">
        <v>1075</v>
      </c>
      <c r="B38" s="4" t="s">
        <v>1080</v>
      </c>
      <c r="C38" s="4">
        <v>90</v>
      </c>
      <c r="D38" s="4">
        <v>80</v>
      </c>
      <c r="E38" s="13">
        <v>2.9575000000000001E-2</v>
      </c>
    </row>
    <row r="39" spans="1:5" x14ac:dyDescent="0.25">
      <c r="A39" s="4" t="s">
        <v>1076</v>
      </c>
      <c r="B39" s="4" t="s">
        <v>1080</v>
      </c>
      <c r="C39" s="4">
        <v>90</v>
      </c>
      <c r="D39" s="4">
        <v>80</v>
      </c>
      <c r="E39" s="13">
        <v>3.4124999999999996E-2</v>
      </c>
    </row>
    <row r="40" spans="1:5" x14ac:dyDescent="0.25">
      <c r="A40" s="4" t="s">
        <v>1077</v>
      </c>
      <c r="B40" s="4" t="s">
        <v>1080</v>
      </c>
      <c r="C40" s="4">
        <v>100</v>
      </c>
      <c r="D40" s="4">
        <v>80</v>
      </c>
      <c r="E40" s="13">
        <v>3.6854999999999999E-2</v>
      </c>
    </row>
    <row r="41" spans="1:5" x14ac:dyDescent="0.25">
      <c r="A41" s="4" t="s">
        <v>1078</v>
      </c>
      <c r="B41" s="4" t="s">
        <v>1080</v>
      </c>
      <c r="C41" s="4">
        <v>100</v>
      </c>
      <c r="D41" s="4">
        <v>80</v>
      </c>
      <c r="E41" s="13">
        <v>4.2997499999999994E-2</v>
      </c>
    </row>
    <row r="42" spans="1:5" x14ac:dyDescent="0.25">
      <c r="A42" s="4" t="s">
        <v>0</v>
      </c>
      <c r="B42" s="4" t="s">
        <v>1080</v>
      </c>
      <c r="C42" s="4">
        <v>120</v>
      </c>
      <c r="D42" s="4">
        <v>80</v>
      </c>
      <c r="E42" s="13">
        <v>4.6068749999999999E-2</v>
      </c>
    </row>
    <row r="43" spans="1:5" x14ac:dyDescent="0.25">
      <c r="A43" s="4" t="s">
        <v>228</v>
      </c>
      <c r="B43" s="4" t="s">
        <v>1080</v>
      </c>
      <c r="C43" s="4">
        <v>135</v>
      </c>
      <c r="D43" s="4">
        <v>80</v>
      </c>
      <c r="E43" s="13">
        <v>4.095E-2</v>
      </c>
    </row>
    <row r="44" spans="1:5" x14ac:dyDescent="0.25">
      <c r="A44" s="4" t="s">
        <v>1079</v>
      </c>
      <c r="B44" s="4" t="s">
        <v>1080</v>
      </c>
      <c r="C44" s="4">
        <v>145</v>
      </c>
      <c r="D44" s="4">
        <v>80</v>
      </c>
      <c r="E44" s="13">
        <v>4.095E-2</v>
      </c>
    </row>
    <row r="45" spans="1:5" x14ac:dyDescent="0.25">
      <c r="A45" s="4" t="s">
        <v>940</v>
      </c>
      <c r="B45" s="4" t="s">
        <v>845</v>
      </c>
      <c r="C45" s="4">
        <v>90</v>
      </c>
      <c r="D45" s="4">
        <v>80</v>
      </c>
      <c r="E45" s="13">
        <v>9.8972222222222205E-3</v>
      </c>
    </row>
    <row r="46" spans="1:5" x14ac:dyDescent="0.25">
      <c r="A46" s="4" t="s">
        <v>1069</v>
      </c>
      <c r="B46" s="4" t="s">
        <v>845</v>
      </c>
      <c r="C46" s="4">
        <v>90</v>
      </c>
      <c r="D46" s="4">
        <v>80</v>
      </c>
      <c r="E46" s="13">
        <v>9.8972222222222205E-3</v>
      </c>
    </row>
    <row r="47" spans="1:5" x14ac:dyDescent="0.25">
      <c r="A47" s="4" t="s">
        <v>1070</v>
      </c>
      <c r="B47" s="4" t="s">
        <v>845</v>
      </c>
      <c r="C47" s="4">
        <v>90</v>
      </c>
      <c r="D47" s="4">
        <v>80</v>
      </c>
      <c r="E47" s="13">
        <v>9.8972222222222205E-3</v>
      </c>
    </row>
    <row r="48" spans="1:5" x14ac:dyDescent="0.25">
      <c r="A48" s="4" t="s">
        <v>1071</v>
      </c>
      <c r="B48" s="4" t="s">
        <v>845</v>
      </c>
      <c r="C48" s="4">
        <v>90</v>
      </c>
      <c r="D48" s="4">
        <v>80</v>
      </c>
      <c r="E48" s="13">
        <v>9.8972222222222205E-3</v>
      </c>
    </row>
    <row r="49" spans="1:5" x14ac:dyDescent="0.25">
      <c r="A49" s="4" t="s">
        <v>1072</v>
      </c>
      <c r="B49" s="4" t="s">
        <v>845</v>
      </c>
      <c r="C49" s="4">
        <v>90</v>
      </c>
      <c r="D49" s="4">
        <v>80</v>
      </c>
      <c r="E49" s="13">
        <v>1.131111111111111E-2</v>
      </c>
    </row>
    <row r="50" spans="1:5" x14ac:dyDescent="0.25">
      <c r="A50" s="4" t="s">
        <v>1073</v>
      </c>
      <c r="B50" s="4" t="s">
        <v>845</v>
      </c>
      <c r="C50" s="4">
        <v>90</v>
      </c>
      <c r="D50" s="4">
        <v>80</v>
      </c>
      <c r="E50" s="13">
        <v>1.8380555555555556E-2</v>
      </c>
    </row>
    <row r="51" spans="1:5" x14ac:dyDescent="0.25">
      <c r="A51" s="4" t="s">
        <v>1074</v>
      </c>
      <c r="B51" s="4" t="s">
        <v>845</v>
      </c>
      <c r="C51" s="4">
        <v>90</v>
      </c>
      <c r="D51" s="4">
        <v>80</v>
      </c>
      <c r="E51" s="13">
        <v>2.7300000000000001E-2</v>
      </c>
    </row>
    <row r="52" spans="1:5" x14ac:dyDescent="0.25">
      <c r="A52" s="4" t="s">
        <v>1075</v>
      </c>
      <c r="B52" s="4" t="s">
        <v>845</v>
      </c>
      <c r="C52" s="4">
        <v>90</v>
      </c>
      <c r="D52" s="4">
        <v>80</v>
      </c>
      <c r="E52" s="13">
        <v>2.7300000000000001E-2</v>
      </c>
    </row>
    <row r="53" spans="1:5" x14ac:dyDescent="0.25">
      <c r="A53" s="4" t="s">
        <v>1076</v>
      </c>
      <c r="B53" s="4" t="s">
        <v>845</v>
      </c>
      <c r="C53" s="4">
        <v>90</v>
      </c>
      <c r="D53" s="4">
        <v>80</v>
      </c>
      <c r="E53" s="13">
        <v>2.7300000000000001E-2</v>
      </c>
    </row>
    <row r="54" spans="1:5" x14ac:dyDescent="0.25">
      <c r="A54" s="4" t="s">
        <v>1077</v>
      </c>
      <c r="B54" s="4" t="s">
        <v>845</v>
      </c>
      <c r="C54" s="4">
        <v>100</v>
      </c>
      <c r="D54" s="4">
        <v>80</v>
      </c>
      <c r="E54" s="13">
        <v>3.2759999999999997E-2</v>
      </c>
    </row>
    <row r="55" spans="1:5" x14ac:dyDescent="0.25">
      <c r="A55" s="4" t="s">
        <v>1078</v>
      </c>
      <c r="B55" s="4" t="s">
        <v>845</v>
      </c>
      <c r="C55" s="4">
        <v>100</v>
      </c>
      <c r="D55" s="4">
        <v>80</v>
      </c>
      <c r="E55" s="13">
        <v>3.89025E-2</v>
      </c>
    </row>
    <row r="56" spans="1:5" x14ac:dyDescent="0.25">
      <c r="A56" s="4" t="s">
        <v>0</v>
      </c>
      <c r="B56" s="4" t="s">
        <v>845</v>
      </c>
      <c r="C56" s="4">
        <v>120</v>
      </c>
      <c r="D56" s="4">
        <v>80</v>
      </c>
      <c r="E56" s="13">
        <v>3.5831249999999995E-2</v>
      </c>
    </row>
    <row r="57" spans="1:5" x14ac:dyDescent="0.25">
      <c r="A57" s="4" t="s">
        <v>228</v>
      </c>
      <c r="B57" s="4" t="s">
        <v>845</v>
      </c>
      <c r="C57" s="4">
        <v>120</v>
      </c>
      <c r="D57" s="4">
        <v>80</v>
      </c>
      <c r="E57" s="13">
        <v>4.265625E-2</v>
      </c>
    </row>
    <row r="58" spans="1:5" x14ac:dyDescent="0.25">
      <c r="A58" s="4" t="s">
        <v>1079</v>
      </c>
      <c r="B58" s="4" t="s">
        <v>845</v>
      </c>
      <c r="C58" s="4">
        <v>130</v>
      </c>
      <c r="D58" s="4">
        <v>80</v>
      </c>
      <c r="E58" s="13">
        <v>4.2525E-2</v>
      </c>
    </row>
    <row r="59" spans="1:5" x14ac:dyDescent="0.25">
      <c r="A59" s="4" t="s">
        <v>940</v>
      </c>
      <c r="B59" s="4" t="s">
        <v>1081</v>
      </c>
      <c r="C59" s="4">
        <v>90</v>
      </c>
      <c r="D59" s="4">
        <v>80</v>
      </c>
      <c r="E59" s="13">
        <v>9.8972222222222205E-3</v>
      </c>
    </row>
    <row r="60" spans="1:5" x14ac:dyDescent="0.25">
      <c r="A60" s="4" t="s">
        <v>1069</v>
      </c>
      <c r="B60" s="4" t="s">
        <v>1081</v>
      </c>
      <c r="C60" s="4">
        <v>90</v>
      </c>
      <c r="D60" s="4">
        <v>80</v>
      </c>
      <c r="E60" s="13">
        <v>9.8972222222222205E-3</v>
      </c>
    </row>
    <row r="61" spans="1:5" x14ac:dyDescent="0.25">
      <c r="A61" s="4" t="s">
        <v>1070</v>
      </c>
      <c r="B61" s="4" t="s">
        <v>1081</v>
      </c>
      <c r="C61" s="4">
        <v>90</v>
      </c>
      <c r="D61" s="4">
        <v>80</v>
      </c>
      <c r="E61" s="13">
        <v>9.8972222222222205E-3</v>
      </c>
    </row>
    <row r="62" spans="1:5" x14ac:dyDescent="0.25">
      <c r="A62" s="4" t="s">
        <v>1071</v>
      </c>
      <c r="B62" s="4" t="s">
        <v>1081</v>
      </c>
      <c r="C62" s="4">
        <v>90</v>
      </c>
      <c r="D62" s="4">
        <v>80</v>
      </c>
      <c r="E62" s="13">
        <v>9.8972222222222205E-3</v>
      </c>
    </row>
    <row r="63" spans="1:5" x14ac:dyDescent="0.25">
      <c r="A63" s="4" t="s">
        <v>1072</v>
      </c>
      <c r="B63" s="4" t="s">
        <v>1081</v>
      </c>
      <c r="C63" s="4">
        <v>90</v>
      </c>
      <c r="D63" s="4">
        <v>80</v>
      </c>
      <c r="E63" s="13">
        <v>9.8972222222222205E-3</v>
      </c>
    </row>
    <row r="64" spans="1:5" x14ac:dyDescent="0.25">
      <c r="A64" s="4" t="s">
        <v>1073</v>
      </c>
      <c r="B64" s="4" t="s">
        <v>1081</v>
      </c>
      <c r="C64" s="4">
        <v>90</v>
      </c>
      <c r="D64" s="4">
        <v>80</v>
      </c>
      <c r="E64" s="13">
        <v>9.8972222222222205E-3</v>
      </c>
    </row>
    <row r="65" spans="1:5" x14ac:dyDescent="0.25">
      <c r="A65" s="4" t="s">
        <v>1074</v>
      </c>
      <c r="B65" s="4" t="s">
        <v>1081</v>
      </c>
      <c r="C65" s="4">
        <v>90</v>
      </c>
      <c r="D65" s="4">
        <v>80</v>
      </c>
      <c r="E65" s="13">
        <v>9.8972222222222205E-3</v>
      </c>
    </row>
    <row r="66" spans="1:5" x14ac:dyDescent="0.25">
      <c r="A66" s="4" t="s">
        <v>1075</v>
      </c>
      <c r="B66" s="4" t="s">
        <v>1081</v>
      </c>
      <c r="C66" s="4">
        <v>90</v>
      </c>
      <c r="D66" s="4">
        <v>80</v>
      </c>
      <c r="E66" s="13">
        <v>9.8972222222222205E-3</v>
      </c>
    </row>
    <row r="67" spans="1:5" x14ac:dyDescent="0.25">
      <c r="A67" s="4" t="s">
        <v>1076</v>
      </c>
      <c r="B67" s="4" t="s">
        <v>1081</v>
      </c>
      <c r="C67" s="4">
        <v>90</v>
      </c>
      <c r="D67" s="4">
        <v>80</v>
      </c>
      <c r="E67" s="13">
        <v>9.8972222222222205E-3</v>
      </c>
    </row>
    <row r="68" spans="1:5" x14ac:dyDescent="0.25">
      <c r="A68" s="4" t="s">
        <v>1077</v>
      </c>
      <c r="B68" s="4" t="s">
        <v>1081</v>
      </c>
      <c r="C68" s="4">
        <v>100</v>
      </c>
      <c r="D68" s="4">
        <v>80</v>
      </c>
      <c r="E68" s="13">
        <v>1.43325E-2</v>
      </c>
    </row>
    <row r="69" spans="1:5" x14ac:dyDescent="0.25">
      <c r="A69" s="4" t="s">
        <v>1078</v>
      </c>
      <c r="B69" s="4" t="s">
        <v>1081</v>
      </c>
      <c r="C69" s="4">
        <v>100</v>
      </c>
      <c r="D69" s="4">
        <v>80</v>
      </c>
      <c r="E69" s="13">
        <v>1.43325E-2</v>
      </c>
    </row>
    <row r="70" spans="1:5" x14ac:dyDescent="0.25">
      <c r="A70" s="4" t="s">
        <v>0</v>
      </c>
      <c r="B70" s="4" t="s">
        <v>1081</v>
      </c>
      <c r="C70" s="4">
        <v>120</v>
      </c>
      <c r="D70" s="4">
        <v>80</v>
      </c>
      <c r="E70" s="13">
        <v>1.5356249999999998E-2</v>
      </c>
    </row>
    <row r="71" spans="1:5" x14ac:dyDescent="0.25">
      <c r="A71" s="4" t="s">
        <v>228</v>
      </c>
      <c r="B71" s="4" t="s">
        <v>1081</v>
      </c>
      <c r="C71" s="4">
        <v>120</v>
      </c>
      <c r="D71" s="4">
        <v>80</v>
      </c>
      <c r="E71" s="13">
        <v>1.5356249999999998E-2</v>
      </c>
    </row>
    <row r="72" spans="1:5" x14ac:dyDescent="0.25">
      <c r="A72" s="4" t="s">
        <v>1079</v>
      </c>
      <c r="B72" s="4" t="s">
        <v>1081</v>
      </c>
      <c r="C72" s="4">
        <v>130</v>
      </c>
      <c r="D72" s="4">
        <v>80</v>
      </c>
      <c r="E72" s="13">
        <v>1.7324999999999997E-2</v>
      </c>
    </row>
    <row r="73" spans="1:5" x14ac:dyDescent="0.25">
      <c r="A73" s="4" t="s">
        <v>940</v>
      </c>
      <c r="B73" s="4" t="s">
        <v>1082</v>
      </c>
      <c r="C73" s="4">
        <v>90</v>
      </c>
      <c r="D73" s="4">
        <v>80</v>
      </c>
      <c r="E73" s="13">
        <v>9.8972222222222205E-3</v>
      </c>
    </row>
    <row r="74" spans="1:5" x14ac:dyDescent="0.25">
      <c r="A74" s="4" t="s">
        <v>1069</v>
      </c>
      <c r="B74" s="4" t="s">
        <v>1082</v>
      </c>
      <c r="C74" s="4">
        <v>90</v>
      </c>
      <c r="D74" s="4">
        <v>80</v>
      </c>
      <c r="E74" s="13">
        <v>9.8972222222222205E-3</v>
      </c>
    </row>
    <row r="75" spans="1:5" x14ac:dyDescent="0.25">
      <c r="A75" s="4" t="s">
        <v>1070</v>
      </c>
      <c r="B75" s="4" t="s">
        <v>1082</v>
      </c>
      <c r="C75" s="4">
        <v>90</v>
      </c>
      <c r="D75" s="4">
        <v>80</v>
      </c>
      <c r="E75" s="13">
        <v>9.8972222222222205E-3</v>
      </c>
    </row>
    <row r="76" spans="1:5" x14ac:dyDescent="0.25">
      <c r="A76" s="4" t="s">
        <v>1071</v>
      </c>
      <c r="B76" s="4" t="s">
        <v>1082</v>
      </c>
      <c r="C76" s="4">
        <v>90</v>
      </c>
      <c r="D76" s="4">
        <v>80</v>
      </c>
      <c r="E76" s="13">
        <v>9.8972222222222205E-3</v>
      </c>
    </row>
    <row r="77" spans="1:5" x14ac:dyDescent="0.25">
      <c r="A77" s="4" t="s">
        <v>1072</v>
      </c>
      <c r="B77" s="4" t="s">
        <v>1082</v>
      </c>
      <c r="C77" s="4">
        <v>90</v>
      </c>
      <c r="D77" s="4">
        <v>80</v>
      </c>
      <c r="E77" s="13">
        <v>9.8972222222222205E-3</v>
      </c>
    </row>
    <row r="78" spans="1:5" x14ac:dyDescent="0.25">
      <c r="A78" s="4" t="s">
        <v>1073</v>
      </c>
      <c r="B78" s="4" t="s">
        <v>1082</v>
      </c>
      <c r="C78" s="4">
        <v>90</v>
      </c>
      <c r="D78" s="4">
        <v>80</v>
      </c>
      <c r="E78" s="13">
        <v>9.8972222222222205E-3</v>
      </c>
    </row>
    <row r="79" spans="1:5" x14ac:dyDescent="0.25">
      <c r="A79" s="4" t="s">
        <v>1074</v>
      </c>
      <c r="B79" s="4" t="s">
        <v>1082</v>
      </c>
      <c r="C79" s="4">
        <v>90</v>
      </c>
      <c r="D79" s="4">
        <v>80</v>
      </c>
      <c r="E79" s="13">
        <v>1.4138888888888888E-2</v>
      </c>
    </row>
    <row r="80" spans="1:5" x14ac:dyDescent="0.25">
      <c r="A80" s="4" t="s">
        <v>1075</v>
      </c>
      <c r="B80" s="4" t="s">
        <v>1082</v>
      </c>
      <c r="C80" s="4">
        <v>90</v>
      </c>
      <c r="D80" s="4">
        <v>80</v>
      </c>
      <c r="E80" s="13">
        <v>1.4138888888888888E-2</v>
      </c>
    </row>
    <row r="81" spans="1:5" x14ac:dyDescent="0.25">
      <c r="A81" s="4" t="s">
        <v>1076</v>
      </c>
      <c r="B81" s="4" t="s">
        <v>1082</v>
      </c>
      <c r="C81" s="4">
        <v>90</v>
      </c>
      <c r="D81" s="4">
        <v>80</v>
      </c>
      <c r="E81" s="13">
        <v>1.4138888888888888E-2</v>
      </c>
    </row>
    <row r="82" spans="1:5" x14ac:dyDescent="0.25">
      <c r="A82" s="4" t="s">
        <v>1077</v>
      </c>
      <c r="B82" s="4" t="s">
        <v>1082</v>
      </c>
      <c r="C82" s="4">
        <v>100</v>
      </c>
      <c r="D82" s="4">
        <v>80</v>
      </c>
      <c r="E82" s="13">
        <v>2.0474999999999997E-2</v>
      </c>
    </row>
    <row r="83" spans="1:5" x14ac:dyDescent="0.25">
      <c r="A83" s="4" t="s">
        <v>1078</v>
      </c>
      <c r="B83" s="4" t="s">
        <v>1082</v>
      </c>
      <c r="C83" s="4">
        <v>100</v>
      </c>
      <c r="D83" s="4">
        <v>80</v>
      </c>
      <c r="E83" s="13">
        <v>2.4570000000000002E-2</v>
      </c>
    </row>
    <row r="84" spans="1:5" x14ac:dyDescent="0.25">
      <c r="A84" s="4" t="s">
        <v>0</v>
      </c>
      <c r="B84" s="4" t="s">
        <v>1082</v>
      </c>
      <c r="C84" s="4">
        <v>120</v>
      </c>
      <c r="D84" s="4">
        <v>80</v>
      </c>
      <c r="E84" s="13">
        <v>2.218125E-2</v>
      </c>
    </row>
    <row r="85" spans="1:5" x14ac:dyDescent="0.25">
      <c r="A85" s="4" t="s">
        <v>228</v>
      </c>
      <c r="B85" s="4" t="s">
        <v>1082</v>
      </c>
      <c r="C85" s="4">
        <v>120</v>
      </c>
      <c r="D85" s="4">
        <v>80</v>
      </c>
      <c r="E85" s="13">
        <v>3.0712499999999997E-2</v>
      </c>
    </row>
    <row r="86" spans="1:5" x14ac:dyDescent="0.25">
      <c r="A86" s="4" t="s">
        <v>1079</v>
      </c>
      <c r="B86" s="4" t="s">
        <v>1082</v>
      </c>
      <c r="C86" s="4">
        <v>130</v>
      </c>
      <c r="D86" s="4">
        <v>80</v>
      </c>
      <c r="E86" s="13">
        <v>2.9924999999999997E-2</v>
      </c>
    </row>
    <row r="87" spans="1:5" x14ac:dyDescent="0.25">
      <c r="A87" s="4" t="s">
        <v>940</v>
      </c>
      <c r="B87" s="4" t="s">
        <v>846</v>
      </c>
      <c r="C87" s="4">
        <v>90</v>
      </c>
      <c r="D87" s="4">
        <v>90</v>
      </c>
      <c r="E87" s="13">
        <v>1.0054320987654321E-2</v>
      </c>
    </row>
    <row r="88" spans="1:5" x14ac:dyDescent="0.25">
      <c r="A88" s="4" t="s">
        <v>1069</v>
      </c>
      <c r="B88" s="4" t="s">
        <v>846</v>
      </c>
      <c r="C88" s="4">
        <v>90</v>
      </c>
      <c r="D88" s="4">
        <v>90</v>
      </c>
      <c r="E88" s="13">
        <v>1.0054320987654321E-2</v>
      </c>
    </row>
    <row r="89" spans="1:5" x14ac:dyDescent="0.25">
      <c r="A89" s="4" t="s">
        <v>1070</v>
      </c>
      <c r="B89" s="4" t="s">
        <v>846</v>
      </c>
      <c r="C89" s="4">
        <v>90</v>
      </c>
      <c r="D89" s="4">
        <v>90</v>
      </c>
      <c r="E89" s="13">
        <v>1.0054320987654321E-2</v>
      </c>
    </row>
    <row r="90" spans="1:5" x14ac:dyDescent="0.25">
      <c r="A90" s="4" t="s">
        <v>1071</v>
      </c>
      <c r="B90" s="4" t="s">
        <v>846</v>
      </c>
      <c r="C90" s="4">
        <v>90</v>
      </c>
      <c r="D90" s="4">
        <v>90</v>
      </c>
      <c r="E90" s="13">
        <v>1.0054320987654321E-2</v>
      </c>
    </row>
    <row r="91" spans="1:5" x14ac:dyDescent="0.25">
      <c r="A91" s="4" t="s">
        <v>1072</v>
      </c>
      <c r="B91" s="4" t="s">
        <v>846</v>
      </c>
      <c r="C91" s="4">
        <v>90</v>
      </c>
      <c r="D91" s="4">
        <v>90</v>
      </c>
      <c r="E91" s="13">
        <v>1.0054320987654321E-2</v>
      </c>
    </row>
    <row r="92" spans="1:5" x14ac:dyDescent="0.25">
      <c r="A92" s="4" t="s">
        <v>1073</v>
      </c>
      <c r="B92" s="4" t="s">
        <v>846</v>
      </c>
      <c r="C92" s="4">
        <v>90</v>
      </c>
      <c r="D92" s="4">
        <v>90</v>
      </c>
      <c r="E92" s="13">
        <v>1.508148148148148E-2</v>
      </c>
    </row>
    <row r="93" spans="1:5" x14ac:dyDescent="0.25">
      <c r="A93" s="4" t="s">
        <v>1074</v>
      </c>
      <c r="B93" s="4" t="s">
        <v>846</v>
      </c>
      <c r="C93" s="4">
        <v>90</v>
      </c>
      <c r="D93" s="4">
        <v>90</v>
      </c>
      <c r="E93" s="13">
        <v>2.4266666666666666E-2</v>
      </c>
    </row>
    <row r="94" spans="1:5" x14ac:dyDescent="0.25">
      <c r="A94" s="4" t="s">
        <v>1075</v>
      </c>
      <c r="B94" s="4" t="s">
        <v>846</v>
      </c>
      <c r="C94" s="4">
        <v>90</v>
      </c>
      <c r="D94" s="4">
        <v>90</v>
      </c>
      <c r="E94" s="13">
        <v>2.4266666666666666E-2</v>
      </c>
    </row>
    <row r="95" spans="1:5" x14ac:dyDescent="0.25">
      <c r="A95" s="4" t="s">
        <v>1076</v>
      </c>
      <c r="B95" s="4" t="s">
        <v>846</v>
      </c>
      <c r="C95" s="4">
        <v>90</v>
      </c>
      <c r="D95" s="4">
        <v>90</v>
      </c>
      <c r="E95" s="13">
        <v>2.831111111111111E-2</v>
      </c>
    </row>
    <row r="96" spans="1:5" x14ac:dyDescent="0.25">
      <c r="A96" s="4" t="s">
        <v>1077</v>
      </c>
      <c r="B96" s="4" t="s">
        <v>846</v>
      </c>
      <c r="C96" s="4">
        <v>100</v>
      </c>
      <c r="D96" s="4">
        <v>90</v>
      </c>
      <c r="E96" s="13">
        <v>3.0939999999999999E-2</v>
      </c>
    </row>
    <row r="97" spans="1:5" x14ac:dyDescent="0.25">
      <c r="A97" s="4" t="s">
        <v>1078</v>
      </c>
      <c r="B97" s="4" t="s">
        <v>846</v>
      </c>
      <c r="C97" s="4">
        <v>100</v>
      </c>
      <c r="D97" s="4">
        <v>90</v>
      </c>
      <c r="E97" s="13">
        <v>4.0039999999999992E-2</v>
      </c>
    </row>
    <row r="98" spans="1:5" x14ac:dyDescent="0.25">
      <c r="A98" s="4" t="s">
        <v>0</v>
      </c>
      <c r="B98" s="4" t="s">
        <v>846</v>
      </c>
      <c r="C98" s="4">
        <v>120</v>
      </c>
      <c r="D98" s="4">
        <v>80</v>
      </c>
      <c r="E98" s="13">
        <v>4.6068749999999999E-2</v>
      </c>
    </row>
    <row r="99" spans="1:5" x14ac:dyDescent="0.25">
      <c r="A99" s="4" t="s">
        <v>228</v>
      </c>
      <c r="B99" s="4" t="s">
        <v>846</v>
      </c>
      <c r="C99" s="4">
        <v>135</v>
      </c>
      <c r="D99" s="4">
        <v>80</v>
      </c>
      <c r="E99" s="13">
        <v>4.095E-2</v>
      </c>
    </row>
    <row r="100" spans="1:5" x14ac:dyDescent="0.25">
      <c r="A100" s="4" t="s">
        <v>1079</v>
      </c>
      <c r="B100" s="4" t="s">
        <v>846</v>
      </c>
      <c r="C100" s="4">
        <v>145</v>
      </c>
      <c r="D100" s="4">
        <v>80</v>
      </c>
      <c r="E100" s="13">
        <v>4.095E-2</v>
      </c>
    </row>
    <row r="101" spans="1:5" x14ac:dyDescent="0.25">
      <c r="A101" s="4" t="s">
        <v>940</v>
      </c>
      <c r="B101" s="4" t="s">
        <v>1083</v>
      </c>
      <c r="C101" s="4">
        <v>90</v>
      </c>
      <c r="D101" s="4">
        <v>80</v>
      </c>
      <c r="E101" s="13">
        <v>9.8972222222222205E-3</v>
      </c>
    </row>
    <row r="102" spans="1:5" x14ac:dyDescent="0.25">
      <c r="A102" s="4" t="s">
        <v>1069</v>
      </c>
      <c r="B102" s="4" t="s">
        <v>1083</v>
      </c>
      <c r="C102" s="4">
        <v>90</v>
      </c>
      <c r="D102" s="4">
        <v>80</v>
      </c>
      <c r="E102" s="13">
        <v>9.8972222222222205E-3</v>
      </c>
    </row>
    <row r="103" spans="1:5" x14ac:dyDescent="0.25">
      <c r="A103" s="4" t="s">
        <v>1070</v>
      </c>
      <c r="B103" s="4" t="s">
        <v>1083</v>
      </c>
      <c r="C103" s="4">
        <v>90</v>
      </c>
      <c r="D103" s="4">
        <v>80</v>
      </c>
      <c r="E103" s="13">
        <v>9.8972222222222205E-3</v>
      </c>
    </row>
    <row r="104" spans="1:5" x14ac:dyDescent="0.25">
      <c r="A104" s="4" t="s">
        <v>1071</v>
      </c>
      <c r="B104" s="4" t="s">
        <v>1083</v>
      </c>
      <c r="C104" s="4">
        <v>90</v>
      </c>
      <c r="D104" s="4">
        <v>80</v>
      </c>
      <c r="E104" s="13">
        <v>9.8972222222222205E-3</v>
      </c>
    </row>
    <row r="105" spans="1:5" x14ac:dyDescent="0.25">
      <c r="A105" s="4" t="s">
        <v>1072</v>
      </c>
      <c r="B105" s="4" t="s">
        <v>1083</v>
      </c>
      <c r="C105" s="4">
        <v>90</v>
      </c>
      <c r="D105" s="4">
        <v>80</v>
      </c>
      <c r="E105" s="13">
        <v>9.8972222222222205E-3</v>
      </c>
    </row>
    <row r="106" spans="1:5" x14ac:dyDescent="0.25">
      <c r="A106" s="4" t="s">
        <v>1073</v>
      </c>
      <c r="B106" s="4" t="s">
        <v>1083</v>
      </c>
      <c r="C106" s="4">
        <v>90</v>
      </c>
      <c r="D106" s="4">
        <v>80</v>
      </c>
      <c r="E106" s="13">
        <v>1.6966666666666665E-2</v>
      </c>
    </row>
    <row r="107" spans="1:5" x14ac:dyDescent="0.25">
      <c r="A107" s="4" t="s">
        <v>1074</v>
      </c>
      <c r="B107" s="4" t="s">
        <v>1083</v>
      </c>
      <c r="C107" s="4">
        <v>90</v>
      </c>
      <c r="D107" s="4">
        <v>80</v>
      </c>
      <c r="E107" s="13">
        <v>2.5024999999999999E-2</v>
      </c>
    </row>
    <row r="108" spans="1:5" x14ac:dyDescent="0.25">
      <c r="A108" s="4" t="s">
        <v>1075</v>
      </c>
      <c r="B108" s="4" t="s">
        <v>1083</v>
      </c>
      <c r="C108" s="4">
        <v>90</v>
      </c>
      <c r="D108" s="4">
        <v>80</v>
      </c>
      <c r="E108" s="13">
        <v>2.5024999999999999E-2</v>
      </c>
    </row>
    <row r="109" spans="1:5" x14ac:dyDescent="0.25">
      <c r="A109" s="4" t="s">
        <v>1076</v>
      </c>
      <c r="B109" s="4" t="s">
        <v>1083</v>
      </c>
      <c r="C109" s="4">
        <v>90</v>
      </c>
      <c r="D109" s="4">
        <v>80</v>
      </c>
      <c r="E109" s="13">
        <v>2.5024999999999999E-2</v>
      </c>
    </row>
    <row r="110" spans="1:5" x14ac:dyDescent="0.25">
      <c r="A110" s="4" t="s">
        <v>1077</v>
      </c>
      <c r="B110" s="4" t="s">
        <v>1083</v>
      </c>
      <c r="C110" s="4">
        <v>100</v>
      </c>
      <c r="D110" s="4">
        <v>80</v>
      </c>
      <c r="E110" s="13">
        <v>3.4807499999999998E-2</v>
      </c>
    </row>
    <row r="111" spans="1:5" x14ac:dyDescent="0.25">
      <c r="A111" s="4" t="s">
        <v>1078</v>
      </c>
      <c r="B111" s="4" t="s">
        <v>1083</v>
      </c>
      <c r="C111" s="4">
        <v>100</v>
      </c>
      <c r="D111" s="4">
        <v>80</v>
      </c>
      <c r="E111" s="13">
        <v>3.6854999999999999E-2</v>
      </c>
    </row>
    <row r="112" spans="1:5" x14ac:dyDescent="0.25">
      <c r="A112" s="4" t="s">
        <v>0</v>
      </c>
      <c r="B112" s="4" t="s">
        <v>1083</v>
      </c>
      <c r="C112" s="4">
        <v>100</v>
      </c>
      <c r="D112" s="4">
        <v>110</v>
      </c>
      <c r="E112" s="13">
        <v>2.2336363636363637E-2</v>
      </c>
    </row>
    <row r="113" spans="1:5" x14ac:dyDescent="0.25">
      <c r="A113" s="4" t="s">
        <v>228</v>
      </c>
      <c r="B113" s="4" t="s">
        <v>1083</v>
      </c>
      <c r="C113" s="4">
        <v>100</v>
      </c>
      <c r="D113" s="4">
        <v>110</v>
      </c>
      <c r="E113" s="13">
        <v>2.8292727272727271E-2</v>
      </c>
    </row>
    <row r="114" spans="1:5" x14ac:dyDescent="0.25">
      <c r="A114" s="4" t="s">
        <v>1079</v>
      </c>
      <c r="B114" s="4" t="s">
        <v>1083</v>
      </c>
      <c r="C114" s="4">
        <v>100</v>
      </c>
      <c r="D114" s="4">
        <v>110</v>
      </c>
      <c r="E114" s="13">
        <v>3.7227272727272727E-2</v>
      </c>
    </row>
    <row r="115" spans="1:5" x14ac:dyDescent="0.25">
      <c r="A115" s="4" t="s">
        <v>940</v>
      </c>
      <c r="B115" s="4" t="s">
        <v>1084</v>
      </c>
      <c r="C115" s="4">
        <v>90</v>
      </c>
      <c r="D115" s="4">
        <v>80</v>
      </c>
      <c r="E115" s="13">
        <v>9.8972222222222205E-3</v>
      </c>
    </row>
    <row r="116" spans="1:5" x14ac:dyDescent="0.25">
      <c r="A116" s="4" t="s">
        <v>1069</v>
      </c>
      <c r="B116" s="4" t="s">
        <v>1084</v>
      </c>
      <c r="C116" s="4">
        <v>90</v>
      </c>
      <c r="D116" s="4">
        <v>80</v>
      </c>
      <c r="E116" s="13">
        <v>9.8972222222222205E-3</v>
      </c>
    </row>
    <row r="117" spans="1:5" x14ac:dyDescent="0.25">
      <c r="A117" s="4" t="s">
        <v>1070</v>
      </c>
      <c r="B117" s="4" t="s">
        <v>1084</v>
      </c>
      <c r="C117" s="4">
        <v>90</v>
      </c>
      <c r="D117" s="4">
        <v>80</v>
      </c>
      <c r="E117" s="13">
        <v>9.8972222222222205E-3</v>
      </c>
    </row>
    <row r="118" spans="1:5" x14ac:dyDescent="0.25">
      <c r="A118" s="4" t="s">
        <v>1071</v>
      </c>
      <c r="B118" s="4" t="s">
        <v>1084</v>
      </c>
      <c r="C118" s="4">
        <v>90</v>
      </c>
      <c r="D118" s="4">
        <v>80</v>
      </c>
      <c r="E118" s="13">
        <v>9.8972222222222205E-3</v>
      </c>
    </row>
    <row r="119" spans="1:5" x14ac:dyDescent="0.25">
      <c r="A119" s="4" t="s">
        <v>1072</v>
      </c>
      <c r="B119" s="4" t="s">
        <v>1084</v>
      </c>
      <c r="C119" s="4">
        <v>90</v>
      </c>
      <c r="D119" s="4">
        <v>80</v>
      </c>
      <c r="E119" s="13">
        <v>9.8972222222222205E-3</v>
      </c>
    </row>
    <row r="120" spans="1:5" x14ac:dyDescent="0.25">
      <c r="A120" s="4" t="s">
        <v>1073</v>
      </c>
      <c r="B120" s="4" t="s">
        <v>1084</v>
      </c>
      <c r="C120" s="4">
        <v>90</v>
      </c>
      <c r="D120" s="4">
        <v>80</v>
      </c>
      <c r="E120" s="13">
        <v>9.8972222222222205E-3</v>
      </c>
    </row>
    <row r="121" spans="1:5" x14ac:dyDescent="0.25">
      <c r="A121" s="4" t="s">
        <v>1074</v>
      </c>
      <c r="B121" s="4" t="s">
        <v>1084</v>
      </c>
      <c r="C121" s="4">
        <v>90</v>
      </c>
      <c r="D121" s="4">
        <v>80</v>
      </c>
      <c r="E121" s="13">
        <v>9.8972222222222205E-3</v>
      </c>
    </row>
    <row r="122" spans="1:5" x14ac:dyDescent="0.25">
      <c r="A122" s="4" t="s">
        <v>1075</v>
      </c>
      <c r="B122" s="4" t="s">
        <v>1084</v>
      </c>
      <c r="C122" s="4">
        <v>90</v>
      </c>
      <c r="D122" s="4">
        <v>80</v>
      </c>
      <c r="E122" s="13">
        <v>9.8972222222222205E-3</v>
      </c>
    </row>
    <row r="123" spans="1:5" x14ac:dyDescent="0.25">
      <c r="A123" s="4" t="s">
        <v>1076</v>
      </c>
      <c r="B123" s="4" t="s">
        <v>1084</v>
      </c>
      <c r="C123" s="4">
        <v>90</v>
      </c>
      <c r="D123" s="4">
        <v>80</v>
      </c>
      <c r="E123" s="13">
        <v>9.8972222222222205E-3</v>
      </c>
    </row>
    <row r="124" spans="1:5" x14ac:dyDescent="0.25">
      <c r="A124" s="4" t="s">
        <v>1077</v>
      </c>
      <c r="B124" s="4" t="s">
        <v>1084</v>
      </c>
      <c r="C124" s="4">
        <v>100</v>
      </c>
      <c r="D124" s="4">
        <v>80</v>
      </c>
      <c r="E124" s="13">
        <v>1.43325E-2</v>
      </c>
    </row>
    <row r="125" spans="1:5" x14ac:dyDescent="0.25">
      <c r="A125" s="4" t="s">
        <v>1078</v>
      </c>
      <c r="B125" s="4" t="s">
        <v>1084</v>
      </c>
      <c r="C125" s="4">
        <v>100</v>
      </c>
      <c r="D125" s="4">
        <v>80</v>
      </c>
      <c r="E125" s="13">
        <v>1.43325E-2</v>
      </c>
    </row>
    <row r="126" spans="1:5" x14ac:dyDescent="0.25">
      <c r="A126" s="4" t="s">
        <v>0</v>
      </c>
      <c r="B126" s="4" t="s">
        <v>1084</v>
      </c>
      <c r="C126" s="4">
        <v>120</v>
      </c>
      <c r="D126" s="4">
        <v>80</v>
      </c>
      <c r="E126" s="13">
        <v>1.7062499999999998E-2</v>
      </c>
    </row>
    <row r="127" spans="1:5" x14ac:dyDescent="0.25">
      <c r="A127" s="4" t="s">
        <v>228</v>
      </c>
      <c r="B127" s="4" t="s">
        <v>1084</v>
      </c>
      <c r="C127" s="4">
        <v>120</v>
      </c>
      <c r="D127" s="4">
        <v>80</v>
      </c>
      <c r="E127" s="13">
        <v>1.7062499999999998E-2</v>
      </c>
    </row>
    <row r="128" spans="1:5" x14ac:dyDescent="0.25">
      <c r="A128" s="4" t="s">
        <v>1079</v>
      </c>
      <c r="B128" s="4" t="s">
        <v>1084</v>
      </c>
      <c r="C128" s="4">
        <v>130</v>
      </c>
      <c r="D128" s="4">
        <v>80</v>
      </c>
      <c r="E128" s="13">
        <v>1.7324999999999997E-2</v>
      </c>
    </row>
    <row r="129" spans="1:5" x14ac:dyDescent="0.25">
      <c r="A129" s="4" t="s">
        <v>940</v>
      </c>
      <c r="B129" s="4" t="s">
        <v>1085</v>
      </c>
      <c r="C129" s="4">
        <v>90</v>
      </c>
      <c r="D129" s="4">
        <v>80</v>
      </c>
      <c r="E129" s="13">
        <v>9.8972222222222205E-3</v>
      </c>
    </row>
    <row r="130" spans="1:5" x14ac:dyDescent="0.25">
      <c r="A130" s="4" t="s">
        <v>1069</v>
      </c>
      <c r="B130" s="4" t="s">
        <v>1085</v>
      </c>
      <c r="C130" s="4">
        <v>90</v>
      </c>
      <c r="D130" s="4">
        <v>80</v>
      </c>
      <c r="E130" s="13">
        <v>9.8972222222222205E-3</v>
      </c>
    </row>
    <row r="131" spans="1:5" x14ac:dyDescent="0.25">
      <c r="A131" s="4" t="s">
        <v>1070</v>
      </c>
      <c r="B131" s="4" t="s">
        <v>1085</v>
      </c>
      <c r="C131" s="4">
        <v>90</v>
      </c>
      <c r="D131" s="4">
        <v>80</v>
      </c>
      <c r="E131" s="13">
        <v>9.8972222222222205E-3</v>
      </c>
    </row>
    <row r="132" spans="1:5" x14ac:dyDescent="0.25">
      <c r="A132" s="4" t="s">
        <v>1071</v>
      </c>
      <c r="B132" s="4" t="s">
        <v>1085</v>
      </c>
      <c r="C132" s="4">
        <v>90</v>
      </c>
      <c r="D132" s="4">
        <v>80</v>
      </c>
      <c r="E132" s="13">
        <v>9.8972222222222205E-3</v>
      </c>
    </row>
    <row r="133" spans="1:5" x14ac:dyDescent="0.25">
      <c r="A133" s="4" t="s">
        <v>1072</v>
      </c>
      <c r="B133" s="4" t="s">
        <v>1085</v>
      </c>
      <c r="C133" s="4">
        <v>90</v>
      </c>
      <c r="D133" s="4">
        <v>80</v>
      </c>
      <c r="E133" s="13">
        <v>9.8972222222222205E-3</v>
      </c>
    </row>
    <row r="134" spans="1:5" x14ac:dyDescent="0.25">
      <c r="A134" s="4" t="s">
        <v>1073</v>
      </c>
      <c r="B134" s="4" t="s">
        <v>1085</v>
      </c>
      <c r="C134" s="4">
        <v>90</v>
      </c>
      <c r="D134" s="4">
        <v>80</v>
      </c>
      <c r="E134" s="13">
        <v>9.8972222222222205E-3</v>
      </c>
    </row>
    <row r="135" spans="1:5" x14ac:dyDescent="0.25">
      <c r="A135" s="4" t="s">
        <v>1074</v>
      </c>
      <c r="B135" s="4" t="s">
        <v>1085</v>
      </c>
      <c r="C135" s="4">
        <v>90</v>
      </c>
      <c r="D135" s="4">
        <v>80</v>
      </c>
      <c r="E135" s="13">
        <v>1.5552777777777776E-2</v>
      </c>
    </row>
    <row r="136" spans="1:5" x14ac:dyDescent="0.25">
      <c r="A136" s="4" t="s">
        <v>1075</v>
      </c>
      <c r="B136" s="4" t="s">
        <v>1085</v>
      </c>
      <c r="C136" s="4">
        <v>90</v>
      </c>
      <c r="D136" s="4">
        <v>80</v>
      </c>
      <c r="E136" s="13">
        <v>1.5552777777777776E-2</v>
      </c>
    </row>
    <row r="137" spans="1:5" x14ac:dyDescent="0.25">
      <c r="A137" s="4" t="s">
        <v>1076</v>
      </c>
      <c r="B137" s="4" t="s">
        <v>1085</v>
      </c>
      <c r="C137" s="4">
        <v>90</v>
      </c>
      <c r="D137" s="4">
        <v>80</v>
      </c>
      <c r="E137" s="13">
        <v>1.5552777777777776E-2</v>
      </c>
    </row>
    <row r="138" spans="1:5" x14ac:dyDescent="0.25">
      <c r="A138" s="4" t="s">
        <v>1077</v>
      </c>
      <c r="B138" s="4" t="s">
        <v>1085</v>
      </c>
      <c r="C138" s="4">
        <v>100</v>
      </c>
      <c r="D138" s="4">
        <v>80</v>
      </c>
      <c r="E138" s="13">
        <v>2.4570000000000002E-2</v>
      </c>
    </row>
    <row r="139" spans="1:5" x14ac:dyDescent="0.25">
      <c r="A139" s="4" t="s">
        <v>1078</v>
      </c>
      <c r="B139" s="4" t="s">
        <v>1085</v>
      </c>
      <c r="C139" s="4">
        <v>100</v>
      </c>
      <c r="D139" s="4">
        <v>80</v>
      </c>
      <c r="E139" s="13">
        <v>3.07125E-2</v>
      </c>
    </row>
    <row r="140" spans="1:5" x14ac:dyDescent="0.25">
      <c r="A140" s="4" t="s">
        <v>0</v>
      </c>
      <c r="B140" s="4" t="s">
        <v>1085</v>
      </c>
      <c r="C140" s="4">
        <v>120</v>
      </c>
      <c r="D140" s="4">
        <v>80</v>
      </c>
      <c r="E140" s="13">
        <v>2.218125E-2</v>
      </c>
    </row>
    <row r="141" spans="1:5" x14ac:dyDescent="0.25">
      <c r="A141" s="4" t="s">
        <v>228</v>
      </c>
      <c r="B141" s="4" t="s">
        <v>1085</v>
      </c>
      <c r="C141" s="4">
        <v>120</v>
      </c>
      <c r="D141" s="4">
        <v>80</v>
      </c>
      <c r="E141" s="13">
        <v>3.0712499999999997E-2</v>
      </c>
    </row>
    <row r="142" spans="1:5" x14ac:dyDescent="0.25">
      <c r="A142" s="4" t="s">
        <v>1079</v>
      </c>
      <c r="B142" s="4" t="s">
        <v>1085</v>
      </c>
      <c r="C142" s="4">
        <v>130</v>
      </c>
      <c r="D142" s="4">
        <v>80</v>
      </c>
      <c r="E142" s="13">
        <v>2.9924999999999997E-2</v>
      </c>
    </row>
    <row r="143" spans="1:5" x14ac:dyDescent="0.25">
      <c r="A143" s="4" t="s">
        <v>940</v>
      </c>
      <c r="B143" s="4" t="s">
        <v>1086</v>
      </c>
      <c r="C143" s="4">
        <v>90</v>
      </c>
      <c r="D143" s="4">
        <v>80</v>
      </c>
      <c r="E143" s="13">
        <v>9.8972222222222205E-3</v>
      </c>
    </row>
    <row r="144" spans="1:5" x14ac:dyDescent="0.25">
      <c r="A144" s="4" t="s">
        <v>1069</v>
      </c>
      <c r="B144" s="4" t="s">
        <v>1086</v>
      </c>
      <c r="C144" s="4">
        <v>90</v>
      </c>
      <c r="D144" s="4">
        <v>80</v>
      </c>
      <c r="E144" s="13">
        <v>9.8972222222222205E-3</v>
      </c>
    </row>
    <row r="145" spans="1:5" x14ac:dyDescent="0.25">
      <c r="A145" s="4" t="s">
        <v>1070</v>
      </c>
      <c r="B145" s="4" t="s">
        <v>1086</v>
      </c>
      <c r="C145" s="4">
        <v>90</v>
      </c>
      <c r="D145" s="4">
        <v>80</v>
      </c>
      <c r="E145" s="13">
        <v>9.8972222222222205E-3</v>
      </c>
    </row>
    <row r="146" spans="1:5" x14ac:dyDescent="0.25">
      <c r="A146" s="4" t="s">
        <v>1071</v>
      </c>
      <c r="B146" s="4" t="s">
        <v>1086</v>
      </c>
      <c r="C146" s="4">
        <v>90</v>
      </c>
      <c r="D146" s="4">
        <v>80</v>
      </c>
      <c r="E146" s="13">
        <v>9.8972222222222205E-3</v>
      </c>
    </row>
    <row r="147" spans="1:5" x14ac:dyDescent="0.25">
      <c r="A147" s="4" t="s">
        <v>1072</v>
      </c>
      <c r="B147" s="4" t="s">
        <v>1086</v>
      </c>
      <c r="C147" s="4">
        <v>90</v>
      </c>
      <c r="D147" s="4">
        <v>80</v>
      </c>
      <c r="E147" s="13">
        <v>9.8972222222222205E-3</v>
      </c>
    </row>
    <row r="148" spans="1:5" x14ac:dyDescent="0.25">
      <c r="A148" s="4" t="s">
        <v>1073</v>
      </c>
      <c r="B148" s="4" t="s">
        <v>1086</v>
      </c>
      <c r="C148" s="4">
        <v>90</v>
      </c>
      <c r="D148" s="4">
        <v>80</v>
      </c>
      <c r="E148" s="13">
        <v>9.8972222222222205E-3</v>
      </c>
    </row>
    <row r="149" spans="1:5" x14ac:dyDescent="0.25">
      <c r="A149" s="4" t="s">
        <v>1074</v>
      </c>
      <c r="B149" s="4" t="s">
        <v>1086</v>
      </c>
      <c r="C149" s="4">
        <v>90</v>
      </c>
      <c r="D149" s="4">
        <v>80</v>
      </c>
      <c r="E149" s="13">
        <v>2.0474999999999997E-2</v>
      </c>
    </row>
    <row r="150" spans="1:5" x14ac:dyDescent="0.25">
      <c r="A150" s="4" t="s">
        <v>1075</v>
      </c>
      <c r="B150" s="4" t="s">
        <v>1086</v>
      </c>
      <c r="C150" s="4">
        <v>90</v>
      </c>
      <c r="D150" s="4">
        <v>80</v>
      </c>
      <c r="E150" s="13">
        <v>2.0474999999999997E-2</v>
      </c>
    </row>
    <row r="151" spans="1:5" x14ac:dyDescent="0.25">
      <c r="A151" s="4" t="s">
        <v>1076</v>
      </c>
      <c r="B151" s="4" t="s">
        <v>1086</v>
      </c>
      <c r="C151" s="4">
        <v>90</v>
      </c>
      <c r="D151" s="4">
        <v>80</v>
      </c>
      <c r="E151" s="13">
        <v>2.7300000000000001E-2</v>
      </c>
    </row>
    <row r="152" spans="1:5" x14ac:dyDescent="0.25">
      <c r="A152" s="4" t="s">
        <v>1077</v>
      </c>
      <c r="B152" s="4" t="s">
        <v>1086</v>
      </c>
      <c r="C152" s="4">
        <v>100</v>
      </c>
      <c r="D152" s="4">
        <v>80</v>
      </c>
      <c r="E152" s="13">
        <v>4.0949999999999993E-2</v>
      </c>
    </row>
    <row r="153" spans="1:5" x14ac:dyDescent="0.25">
      <c r="A153" s="4" t="s">
        <v>1078</v>
      </c>
      <c r="B153" s="4" t="s">
        <v>1086</v>
      </c>
      <c r="C153" s="4">
        <v>100</v>
      </c>
      <c r="D153" s="4">
        <v>80</v>
      </c>
      <c r="E153" s="13">
        <v>4.0949999999999993E-2</v>
      </c>
    </row>
    <row r="154" spans="1:5" x14ac:dyDescent="0.25">
      <c r="A154" s="4" t="s">
        <v>0</v>
      </c>
      <c r="B154" s="4" t="s">
        <v>1086</v>
      </c>
      <c r="C154" s="4">
        <v>120</v>
      </c>
      <c r="D154" s="4">
        <v>80</v>
      </c>
      <c r="E154" s="13">
        <v>3.5831249999999995E-2</v>
      </c>
    </row>
    <row r="155" spans="1:5" x14ac:dyDescent="0.25">
      <c r="A155" s="4" t="s">
        <v>228</v>
      </c>
      <c r="B155" s="4" t="s">
        <v>1086</v>
      </c>
      <c r="C155" s="4">
        <v>135</v>
      </c>
      <c r="D155" s="4">
        <v>80</v>
      </c>
      <c r="E155" s="13">
        <v>3.1849999999999996E-2</v>
      </c>
    </row>
    <row r="156" spans="1:5" x14ac:dyDescent="0.25">
      <c r="A156" s="4" t="s">
        <v>1079</v>
      </c>
      <c r="B156" s="4" t="s">
        <v>1086</v>
      </c>
      <c r="C156" s="4">
        <v>145</v>
      </c>
      <c r="D156" s="4">
        <v>80</v>
      </c>
      <c r="E156" s="13">
        <v>3.3889655172413796E-2</v>
      </c>
    </row>
    <row r="157" spans="1:5" x14ac:dyDescent="0.25">
      <c r="A157" s="4" t="s">
        <v>940</v>
      </c>
      <c r="B157" s="4" t="s">
        <v>1087</v>
      </c>
      <c r="C157" s="4">
        <v>90</v>
      </c>
      <c r="D157" s="4">
        <v>80</v>
      </c>
      <c r="E157" s="13">
        <v>9.8972222222222205E-3</v>
      </c>
    </row>
    <row r="158" spans="1:5" x14ac:dyDescent="0.25">
      <c r="A158" s="4" t="s">
        <v>1069</v>
      </c>
      <c r="B158" s="4" t="s">
        <v>1087</v>
      </c>
      <c r="C158" s="4">
        <v>90</v>
      </c>
      <c r="D158" s="4">
        <v>80</v>
      </c>
      <c r="E158" s="13">
        <v>9.8972222222222205E-3</v>
      </c>
    </row>
    <row r="159" spans="1:5" x14ac:dyDescent="0.25">
      <c r="A159" s="4" t="s">
        <v>1070</v>
      </c>
      <c r="B159" s="4" t="s">
        <v>1087</v>
      </c>
      <c r="C159" s="4">
        <v>90</v>
      </c>
      <c r="D159" s="4">
        <v>80</v>
      </c>
      <c r="E159" s="13">
        <v>9.8972222222222205E-3</v>
      </c>
    </row>
    <row r="160" spans="1:5" x14ac:dyDescent="0.25">
      <c r="A160" s="4" t="s">
        <v>1071</v>
      </c>
      <c r="B160" s="4" t="s">
        <v>1087</v>
      </c>
      <c r="C160" s="4">
        <v>90</v>
      </c>
      <c r="D160" s="4">
        <v>80</v>
      </c>
      <c r="E160" s="13">
        <v>9.8972222222222205E-3</v>
      </c>
    </row>
    <row r="161" spans="1:5" x14ac:dyDescent="0.25">
      <c r="A161" s="4" t="s">
        <v>1072</v>
      </c>
      <c r="B161" s="4" t="s">
        <v>1087</v>
      </c>
      <c r="C161" s="4">
        <v>90</v>
      </c>
      <c r="D161" s="4">
        <v>80</v>
      </c>
      <c r="E161" s="13">
        <v>9.8972222222222205E-3</v>
      </c>
    </row>
    <row r="162" spans="1:5" x14ac:dyDescent="0.25">
      <c r="A162" s="4" t="s">
        <v>1073</v>
      </c>
      <c r="B162" s="4" t="s">
        <v>1087</v>
      </c>
      <c r="C162" s="4">
        <v>90</v>
      </c>
      <c r="D162" s="4">
        <v>80</v>
      </c>
      <c r="E162" s="13">
        <v>9.8972222222222205E-3</v>
      </c>
    </row>
    <row r="163" spans="1:5" x14ac:dyDescent="0.25">
      <c r="A163" s="4" t="s">
        <v>1074</v>
      </c>
      <c r="B163" s="4" t="s">
        <v>1087</v>
      </c>
      <c r="C163" s="4">
        <v>90</v>
      </c>
      <c r="D163" s="4">
        <v>80</v>
      </c>
      <c r="E163" s="13">
        <v>1.131111111111111E-2</v>
      </c>
    </row>
    <row r="164" spans="1:5" x14ac:dyDescent="0.25">
      <c r="A164" s="4" t="s">
        <v>1075</v>
      </c>
      <c r="B164" s="4" t="s">
        <v>1087</v>
      </c>
      <c r="C164" s="4">
        <v>90</v>
      </c>
      <c r="D164" s="4">
        <v>80</v>
      </c>
      <c r="E164" s="13">
        <v>9.8972222222222205E-3</v>
      </c>
    </row>
    <row r="165" spans="1:5" x14ac:dyDescent="0.25">
      <c r="A165" s="4" t="s">
        <v>1076</v>
      </c>
      <c r="B165" s="4" t="s">
        <v>1087</v>
      </c>
      <c r="C165" s="4">
        <v>90</v>
      </c>
      <c r="D165" s="4">
        <v>80</v>
      </c>
      <c r="E165" s="13">
        <v>1.131111111111111E-2</v>
      </c>
    </row>
    <row r="166" spans="1:5" x14ac:dyDescent="0.25">
      <c r="A166" s="4" t="s">
        <v>1077</v>
      </c>
      <c r="B166" s="4" t="s">
        <v>1087</v>
      </c>
      <c r="C166" s="4">
        <v>100</v>
      </c>
      <c r="D166" s="4">
        <v>80</v>
      </c>
      <c r="E166" s="13">
        <v>1.6379999999999999E-2</v>
      </c>
    </row>
    <row r="167" spans="1:5" x14ac:dyDescent="0.25">
      <c r="A167" s="4" t="s">
        <v>1078</v>
      </c>
      <c r="B167" s="4" t="s">
        <v>1087</v>
      </c>
      <c r="C167" s="4">
        <v>100</v>
      </c>
      <c r="D167" s="4">
        <v>80</v>
      </c>
      <c r="E167" s="13">
        <v>3.07125E-2</v>
      </c>
    </row>
    <row r="168" spans="1:5" x14ac:dyDescent="0.25">
      <c r="A168" s="4" t="s">
        <v>0</v>
      </c>
      <c r="B168" s="4" t="s">
        <v>1087</v>
      </c>
      <c r="C168" s="4">
        <v>120</v>
      </c>
      <c r="D168" s="4">
        <v>80</v>
      </c>
      <c r="E168" s="13">
        <v>1.3649999999999999E-2</v>
      </c>
    </row>
    <row r="169" spans="1:5" x14ac:dyDescent="0.25">
      <c r="A169" s="4" t="s">
        <v>228</v>
      </c>
      <c r="B169" s="4" t="s">
        <v>1087</v>
      </c>
      <c r="C169" s="4">
        <v>120</v>
      </c>
      <c r="D169" s="4">
        <v>80</v>
      </c>
      <c r="E169" s="13">
        <v>1.194375E-2</v>
      </c>
    </row>
    <row r="170" spans="1:5" x14ac:dyDescent="0.25">
      <c r="A170" s="4" t="s">
        <v>1079</v>
      </c>
      <c r="B170" s="4" t="s">
        <v>1087</v>
      </c>
      <c r="C170" s="4">
        <v>130</v>
      </c>
      <c r="D170" s="4">
        <v>80</v>
      </c>
      <c r="E170" s="13">
        <v>1.26E-2</v>
      </c>
    </row>
    <row r="171" spans="1:5" x14ac:dyDescent="0.25">
      <c r="A171" s="4" t="s">
        <v>940</v>
      </c>
      <c r="B171" s="4" t="s">
        <v>1088</v>
      </c>
      <c r="C171" s="4">
        <v>90</v>
      </c>
      <c r="D171" s="4">
        <v>80</v>
      </c>
      <c r="E171" s="13">
        <v>9.8972222222222205E-3</v>
      </c>
    </row>
    <row r="172" spans="1:5" x14ac:dyDescent="0.25">
      <c r="A172" s="4" t="s">
        <v>1069</v>
      </c>
      <c r="B172" s="4" t="s">
        <v>1088</v>
      </c>
      <c r="C172" s="4">
        <v>90</v>
      </c>
      <c r="D172" s="4">
        <v>80</v>
      </c>
      <c r="E172" s="13">
        <v>9.8972222222222205E-3</v>
      </c>
    </row>
    <row r="173" spans="1:5" x14ac:dyDescent="0.25">
      <c r="A173" s="4" t="s">
        <v>1070</v>
      </c>
      <c r="B173" s="4" t="s">
        <v>1088</v>
      </c>
      <c r="C173" s="4">
        <v>90</v>
      </c>
      <c r="D173" s="4">
        <v>80</v>
      </c>
      <c r="E173" s="13">
        <v>9.8972222222222205E-3</v>
      </c>
    </row>
    <row r="174" spans="1:5" x14ac:dyDescent="0.25">
      <c r="A174" s="4" t="s">
        <v>1071</v>
      </c>
      <c r="B174" s="4" t="s">
        <v>1088</v>
      </c>
      <c r="C174" s="4">
        <v>90</v>
      </c>
      <c r="D174" s="4">
        <v>80</v>
      </c>
      <c r="E174" s="13">
        <v>9.8972222222222205E-3</v>
      </c>
    </row>
    <row r="175" spans="1:5" x14ac:dyDescent="0.25">
      <c r="A175" s="4" t="s">
        <v>1072</v>
      </c>
      <c r="B175" s="4" t="s">
        <v>1088</v>
      </c>
      <c r="C175" s="4">
        <v>90</v>
      </c>
      <c r="D175" s="4">
        <v>80</v>
      </c>
      <c r="E175" s="13">
        <v>9.8972222222222205E-3</v>
      </c>
    </row>
    <row r="176" spans="1:5" x14ac:dyDescent="0.25">
      <c r="A176" s="4" t="s">
        <v>1073</v>
      </c>
      <c r="B176" s="4" t="s">
        <v>1088</v>
      </c>
      <c r="C176" s="4">
        <v>90</v>
      </c>
      <c r="D176" s="4">
        <v>80</v>
      </c>
      <c r="E176" s="13">
        <v>1.4138888888888888E-2</v>
      </c>
    </row>
    <row r="177" spans="1:5" x14ac:dyDescent="0.25">
      <c r="A177" s="4" t="s">
        <v>1074</v>
      </c>
      <c r="B177" s="4" t="s">
        <v>1088</v>
      </c>
      <c r="C177" s="4">
        <v>90</v>
      </c>
      <c r="D177" s="4">
        <v>80</v>
      </c>
      <c r="E177" s="13">
        <v>1.9794444444444441E-2</v>
      </c>
    </row>
    <row r="178" spans="1:5" x14ac:dyDescent="0.25">
      <c r="A178" s="4" t="s">
        <v>1075</v>
      </c>
      <c r="B178" s="4" t="s">
        <v>1088</v>
      </c>
      <c r="C178" s="4">
        <v>90</v>
      </c>
      <c r="D178" s="4">
        <v>80</v>
      </c>
      <c r="E178" s="13">
        <v>1.9794444444444441E-2</v>
      </c>
    </row>
    <row r="179" spans="1:5" x14ac:dyDescent="0.25">
      <c r="A179" s="4" t="s">
        <v>1076</v>
      </c>
      <c r="B179" s="4" t="s">
        <v>1088</v>
      </c>
      <c r="C179" s="4">
        <v>90</v>
      </c>
      <c r="D179" s="4">
        <v>80</v>
      </c>
      <c r="E179" s="13">
        <v>1.9794444444444441E-2</v>
      </c>
    </row>
    <row r="180" spans="1:5" x14ac:dyDescent="0.25">
      <c r="A180" s="4" t="s">
        <v>1077</v>
      </c>
      <c r="B180" s="4" t="s">
        <v>1088</v>
      </c>
      <c r="C180" s="4">
        <v>100</v>
      </c>
      <c r="D180" s="4">
        <v>80</v>
      </c>
      <c r="E180" s="13">
        <v>3.6854999999999999E-2</v>
      </c>
    </row>
    <row r="181" spans="1:5" x14ac:dyDescent="0.25">
      <c r="A181" s="4" t="s">
        <v>1078</v>
      </c>
      <c r="B181" s="4" t="s">
        <v>1088</v>
      </c>
      <c r="C181" s="4">
        <v>100</v>
      </c>
      <c r="D181" s="4">
        <v>80</v>
      </c>
      <c r="E181" s="13">
        <v>3.6854999999999999E-2</v>
      </c>
    </row>
    <row r="182" spans="1:5" x14ac:dyDescent="0.25">
      <c r="A182" s="4" t="s">
        <v>0</v>
      </c>
      <c r="B182" s="4" t="s">
        <v>1088</v>
      </c>
      <c r="C182" s="4">
        <v>100</v>
      </c>
      <c r="D182" s="4">
        <v>110</v>
      </c>
      <c r="E182" s="13">
        <v>1.6379999999999999E-2</v>
      </c>
    </row>
    <row r="183" spans="1:5" x14ac:dyDescent="0.25">
      <c r="A183" s="4" t="s">
        <v>228</v>
      </c>
      <c r="B183" s="4" t="s">
        <v>1088</v>
      </c>
      <c r="C183" s="4">
        <v>100</v>
      </c>
      <c r="D183" s="4">
        <v>110</v>
      </c>
      <c r="E183" s="13">
        <v>1.7869090909090911E-2</v>
      </c>
    </row>
    <row r="184" spans="1:5" x14ac:dyDescent="0.25">
      <c r="A184" s="4" t="s">
        <v>1079</v>
      </c>
      <c r="B184" s="4" t="s">
        <v>1088</v>
      </c>
      <c r="C184" s="4">
        <v>100</v>
      </c>
      <c r="D184" s="4">
        <v>110</v>
      </c>
      <c r="E184" s="13">
        <v>2.5314545454545454E-2</v>
      </c>
    </row>
    <row r="185" spans="1:5" x14ac:dyDescent="0.25">
      <c r="A185" s="4" t="s">
        <v>940</v>
      </c>
      <c r="B185" s="4" t="s">
        <v>1089</v>
      </c>
      <c r="C185" s="4">
        <v>90</v>
      </c>
      <c r="D185" s="4">
        <v>80</v>
      </c>
      <c r="E185" s="13">
        <v>9.8972222222222205E-3</v>
      </c>
    </row>
    <row r="186" spans="1:5" x14ac:dyDescent="0.25">
      <c r="A186" s="4" t="s">
        <v>1069</v>
      </c>
      <c r="B186" s="4" t="s">
        <v>1089</v>
      </c>
      <c r="C186" s="4">
        <v>90</v>
      </c>
      <c r="D186" s="4">
        <v>80</v>
      </c>
      <c r="E186" s="13">
        <v>9.8972222222222205E-3</v>
      </c>
    </row>
    <row r="187" spans="1:5" x14ac:dyDescent="0.25">
      <c r="A187" s="4" t="s">
        <v>1070</v>
      </c>
      <c r="B187" s="4" t="s">
        <v>1089</v>
      </c>
      <c r="C187" s="4">
        <v>90</v>
      </c>
      <c r="D187" s="4">
        <v>80</v>
      </c>
      <c r="E187" s="13">
        <v>9.8972222222222205E-3</v>
      </c>
    </row>
    <row r="188" spans="1:5" x14ac:dyDescent="0.25">
      <c r="A188" s="4" t="s">
        <v>1071</v>
      </c>
      <c r="B188" s="4" t="s">
        <v>1089</v>
      </c>
      <c r="C188" s="4">
        <v>90</v>
      </c>
      <c r="D188" s="4">
        <v>80</v>
      </c>
      <c r="E188" s="13">
        <v>9.8972222222222205E-3</v>
      </c>
    </row>
    <row r="189" spans="1:5" x14ac:dyDescent="0.25">
      <c r="A189" s="4" t="s">
        <v>1072</v>
      </c>
      <c r="B189" s="4" t="s">
        <v>1089</v>
      </c>
      <c r="C189" s="4">
        <v>90</v>
      </c>
      <c r="D189" s="4">
        <v>80</v>
      </c>
      <c r="E189" s="13">
        <v>9.8972222222222205E-3</v>
      </c>
    </row>
    <row r="190" spans="1:5" x14ac:dyDescent="0.25">
      <c r="A190" s="4" t="s">
        <v>1073</v>
      </c>
      <c r="B190" s="4" t="s">
        <v>1089</v>
      </c>
      <c r="C190" s="4">
        <v>90</v>
      </c>
      <c r="D190" s="4">
        <v>80</v>
      </c>
      <c r="E190" s="13">
        <v>9.8972222222222205E-3</v>
      </c>
    </row>
    <row r="191" spans="1:5" x14ac:dyDescent="0.25">
      <c r="A191" s="4" t="s">
        <v>1074</v>
      </c>
      <c r="B191" s="4" t="s">
        <v>1089</v>
      </c>
      <c r="C191" s="4">
        <v>90</v>
      </c>
      <c r="D191" s="4">
        <v>80</v>
      </c>
      <c r="E191" s="13">
        <v>9.8972222222222205E-3</v>
      </c>
    </row>
    <row r="192" spans="1:5" x14ac:dyDescent="0.25">
      <c r="A192" s="4" t="s">
        <v>1075</v>
      </c>
      <c r="B192" s="4" t="s">
        <v>1089</v>
      </c>
      <c r="C192" s="4">
        <v>90</v>
      </c>
      <c r="D192" s="4">
        <v>80</v>
      </c>
      <c r="E192" s="13">
        <v>9.8972222222222205E-3</v>
      </c>
    </row>
    <row r="193" spans="1:5" x14ac:dyDescent="0.25">
      <c r="A193" s="4" t="s">
        <v>1076</v>
      </c>
      <c r="B193" s="4" t="s">
        <v>1089</v>
      </c>
      <c r="C193" s="4">
        <v>90</v>
      </c>
      <c r="D193" s="4">
        <v>80</v>
      </c>
      <c r="E193" s="13">
        <v>9.8972222222222205E-3</v>
      </c>
    </row>
    <row r="194" spans="1:5" x14ac:dyDescent="0.25">
      <c r="A194" s="4" t="s">
        <v>1077</v>
      </c>
      <c r="B194" s="4" t="s">
        <v>1089</v>
      </c>
      <c r="C194" s="4">
        <v>100</v>
      </c>
      <c r="D194" s="4">
        <v>80</v>
      </c>
      <c r="E194" s="13">
        <v>1.6379999999999999E-2</v>
      </c>
    </row>
    <row r="195" spans="1:5" x14ac:dyDescent="0.25">
      <c r="A195" s="4" t="s">
        <v>1078</v>
      </c>
      <c r="B195" s="4" t="s">
        <v>1089</v>
      </c>
      <c r="C195" s="4">
        <v>100</v>
      </c>
      <c r="D195" s="4">
        <v>80</v>
      </c>
      <c r="E195" s="13">
        <v>2.0474999999999997E-2</v>
      </c>
    </row>
    <row r="196" spans="1:5" x14ac:dyDescent="0.25">
      <c r="A196" s="4" t="s">
        <v>0</v>
      </c>
      <c r="B196" s="4" t="s">
        <v>1089</v>
      </c>
      <c r="C196" s="4">
        <v>120</v>
      </c>
      <c r="D196" s="4">
        <v>80</v>
      </c>
      <c r="E196" s="13">
        <v>2.0475E-2</v>
      </c>
    </row>
    <row r="197" spans="1:5" x14ac:dyDescent="0.25">
      <c r="A197" s="4" t="s">
        <v>228</v>
      </c>
      <c r="B197" s="4" t="s">
        <v>1089</v>
      </c>
      <c r="C197" s="4">
        <v>120</v>
      </c>
      <c r="D197" s="4">
        <v>80</v>
      </c>
      <c r="E197" s="13">
        <v>1.7062499999999998E-2</v>
      </c>
    </row>
    <row r="198" spans="1:5" x14ac:dyDescent="0.25">
      <c r="A198" s="4" t="s">
        <v>1079</v>
      </c>
      <c r="B198" s="4" t="s">
        <v>1089</v>
      </c>
      <c r="C198" s="4">
        <v>130</v>
      </c>
      <c r="D198" s="4">
        <v>80</v>
      </c>
      <c r="E198" s="13">
        <v>1.7324999999999997E-2</v>
      </c>
    </row>
    <row r="199" spans="1:5" x14ac:dyDescent="0.25">
      <c r="A199" s="4" t="s">
        <v>940</v>
      </c>
      <c r="B199" s="4" t="s">
        <v>1090</v>
      </c>
      <c r="C199" s="4">
        <v>90</v>
      </c>
      <c r="D199" s="4">
        <v>80</v>
      </c>
      <c r="E199" s="13">
        <v>9.8972222222222205E-3</v>
      </c>
    </row>
    <row r="200" spans="1:5" x14ac:dyDescent="0.25">
      <c r="A200" s="4" t="s">
        <v>1069</v>
      </c>
      <c r="B200" s="4" t="s">
        <v>1090</v>
      </c>
      <c r="C200" s="4">
        <v>90</v>
      </c>
      <c r="D200" s="4">
        <v>80</v>
      </c>
      <c r="E200" s="13">
        <v>9.8972222222222205E-3</v>
      </c>
    </row>
    <row r="201" spans="1:5" x14ac:dyDescent="0.25">
      <c r="A201" s="4" t="s">
        <v>1070</v>
      </c>
      <c r="B201" s="4" t="s">
        <v>1090</v>
      </c>
      <c r="C201" s="4">
        <v>90</v>
      </c>
      <c r="D201" s="4">
        <v>80</v>
      </c>
      <c r="E201" s="13">
        <v>9.8972222222222205E-3</v>
      </c>
    </row>
    <row r="202" spans="1:5" x14ac:dyDescent="0.25">
      <c r="A202" s="4" t="s">
        <v>1071</v>
      </c>
      <c r="B202" s="4" t="s">
        <v>1090</v>
      </c>
      <c r="C202" s="4">
        <v>90</v>
      </c>
      <c r="D202" s="4">
        <v>80</v>
      </c>
      <c r="E202" s="13">
        <v>9.8972222222222205E-3</v>
      </c>
    </row>
    <row r="203" spans="1:5" x14ac:dyDescent="0.25">
      <c r="A203" s="4" t="s">
        <v>1072</v>
      </c>
      <c r="B203" s="4" t="s">
        <v>1090</v>
      </c>
      <c r="C203" s="4">
        <v>90</v>
      </c>
      <c r="D203" s="4">
        <v>80</v>
      </c>
      <c r="E203" s="13">
        <v>9.8972222222222205E-3</v>
      </c>
    </row>
    <row r="204" spans="1:5" x14ac:dyDescent="0.25">
      <c r="A204" s="4" t="s">
        <v>1073</v>
      </c>
      <c r="B204" s="4" t="s">
        <v>1090</v>
      </c>
      <c r="C204" s="4">
        <v>90</v>
      </c>
      <c r="D204" s="4">
        <v>80</v>
      </c>
      <c r="E204" s="13">
        <v>9.8972222222222205E-3</v>
      </c>
    </row>
    <row r="205" spans="1:5" x14ac:dyDescent="0.25">
      <c r="A205" s="4" t="s">
        <v>1074</v>
      </c>
      <c r="B205" s="4" t="s">
        <v>1090</v>
      </c>
      <c r="C205" s="4">
        <v>90</v>
      </c>
      <c r="D205" s="4">
        <v>80</v>
      </c>
      <c r="E205" s="13">
        <v>1.6966666666666665E-2</v>
      </c>
    </row>
    <row r="206" spans="1:5" x14ac:dyDescent="0.25">
      <c r="A206" s="4" t="s">
        <v>1075</v>
      </c>
      <c r="B206" s="4" t="s">
        <v>1090</v>
      </c>
      <c r="C206" s="4">
        <v>90</v>
      </c>
      <c r="D206" s="4">
        <v>80</v>
      </c>
      <c r="E206" s="13">
        <v>1.6966666666666665E-2</v>
      </c>
    </row>
    <row r="207" spans="1:5" x14ac:dyDescent="0.25">
      <c r="A207" s="4" t="s">
        <v>1076</v>
      </c>
      <c r="B207" s="4" t="s">
        <v>1090</v>
      </c>
      <c r="C207" s="4">
        <v>90</v>
      </c>
      <c r="D207" s="4">
        <v>80</v>
      </c>
      <c r="E207" s="13">
        <v>1.6966666666666665E-2</v>
      </c>
    </row>
    <row r="208" spans="1:5" x14ac:dyDescent="0.25">
      <c r="A208" s="4" t="s">
        <v>1077</v>
      </c>
      <c r="B208" s="4" t="s">
        <v>1090</v>
      </c>
      <c r="C208" s="4">
        <v>100</v>
      </c>
      <c r="D208" s="4">
        <v>80</v>
      </c>
      <c r="E208" s="13">
        <v>2.8665E-2</v>
      </c>
    </row>
    <row r="209" spans="1:5" x14ac:dyDescent="0.25">
      <c r="A209" s="4" t="s">
        <v>1078</v>
      </c>
      <c r="B209" s="4" t="s">
        <v>1090</v>
      </c>
      <c r="C209" s="4">
        <v>100</v>
      </c>
      <c r="D209" s="4">
        <v>80</v>
      </c>
      <c r="E209" s="13">
        <v>3.6854999999999999E-2</v>
      </c>
    </row>
    <row r="210" spans="1:5" x14ac:dyDescent="0.25">
      <c r="A210" s="4" t="s">
        <v>0</v>
      </c>
      <c r="B210" s="4" t="s">
        <v>1090</v>
      </c>
      <c r="C210" s="4">
        <v>120</v>
      </c>
      <c r="D210" s="4">
        <v>80</v>
      </c>
      <c r="E210" s="13">
        <v>2.5593749999999998E-2</v>
      </c>
    </row>
    <row r="211" spans="1:5" x14ac:dyDescent="0.25">
      <c r="A211" s="4" t="s">
        <v>228</v>
      </c>
      <c r="B211" s="4" t="s">
        <v>1090</v>
      </c>
      <c r="C211" s="4">
        <v>120</v>
      </c>
      <c r="D211" s="4">
        <v>80</v>
      </c>
      <c r="E211" s="13">
        <v>3.0712499999999997E-2</v>
      </c>
    </row>
    <row r="212" spans="1:5" x14ac:dyDescent="0.25">
      <c r="A212" s="4" t="s">
        <v>1079</v>
      </c>
      <c r="B212" s="4" t="s">
        <v>1090</v>
      </c>
      <c r="C212" s="4">
        <v>130</v>
      </c>
      <c r="D212" s="4">
        <v>80</v>
      </c>
      <c r="E212" s="13">
        <v>2.9924999999999997E-2</v>
      </c>
    </row>
    <row r="213" spans="1:5" x14ac:dyDescent="0.25">
      <c r="A213" s="4" t="s">
        <v>940</v>
      </c>
      <c r="B213" s="4" t="s">
        <v>1091</v>
      </c>
      <c r="C213" s="4">
        <v>90</v>
      </c>
      <c r="D213" s="4">
        <v>80</v>
      </c>
      <c r="E213" s="13">
        <v>9.8972222222222205E-3</v>
      </c>
    </row>
    <row r="214" spans="1:5" x14ac:dyDescent="0.25">
      <c r="A214" s="4" t="s">
        <v>1069</v>
      </c>
      <c r="B214" s="4" t="s">
        <v>1091</v>
      </c>
      <c r="C214" s="4">
        <v>90</v>
      </c>
      <c r="D214" s="4">
        <v>80</v>
      </c>
      <c r="E214" s="13">
        <v>9.8972222222222205E-3</v>
      </c>
    </row>
    <row r="215" spans="1:5" x14ac:dyDescent="0.25">
      <c r="A215" s="4" t="s">
        <v>1070</v>
      </c>
      <c r="B215" s="4" t="s">
        <v>1091</v>
      </c>
      <c r="C215" s="4">
        <v>90</v>
      </c>
      <c r="D215" s="4">
        <v>80</v>
      </c>
      <c r="E215" s="13">
        <v>9.8972222222222205E-3</v>
      </c>
    </row>
    <row r="216" spans="1:5" x14ac:dyDescent="0.25">
      <c r="A216" s="4" t="s">
        <v>1071</v>
      </c>
      <c r="B216" s="4" t="s">
        <v>1091</v>
      </c>
      <c r="C216" s="4">
        <v>90</v>
      </c>
      <c r="D216" s="4">
        <v>80</v>
      </c>
      <c r="E216" s="13">
        <v>9.8972222222222205E-3</v>
      </c>
    </row>
    <row r="217" spans="1:5" x14ac:dyDescent="0.25">
      <c r="A217" s="4" t="s">
        <v>1072</v>
      </c>
      <c r="B217" s="4" t="s">
        <v>1091</v>
      </c>
      <c r="C217" s="4">
        <v>90</v>
      </c>
      <c r="D217" s="4">
        <v>80</v>
      </c>
      <c r="E217" s="13">
        <v>9.8972222222222205E-3</v>
      </c>
    </row>
    <row r="218" spans="1:5" x14ac:dyDescent="0.25">
      <c r="A218" s="4" t="s">
        <v>1073</v>
      </c>
      <c r="B218" s="4" t="s">
        <v>1091</v>
      </c>
      <c r="C218" s="4">
        <v>90</v>
      </c>
      <c r="D218" s="4">
        <v>80</v>
      </c>
      <c r="E218" s="13">
        <v>9.8972222222222205E-3</v>
      </c>
    </row>
    <row r="219" spans="1:5" x14ac:dyDescent="0.25">
      <c r="A219" s="4" t="s">
        <v>1074</v>
      </c>
      <c r="B219" s="4" t="s">
        <v>1091</v>
      </c>
      <c r="C219" s="4">
        <v>90</v>
      </c>
      <c r="D219" s="4">
        <v>80</v>
      </c>
      <c r="E219" s="13">
        <v>1.8380555555555556E-2</v>
      </c>
    </row>
    <row r="220" spans="1:5" x14ac:dyDescent="0.25">
      <c r="A220" s="4" t="s">
        <v>1075</v>
      </c>
      <c r="B220" s="4" t="s">
        <v>1091</v>
      </c>
      <c r="C220" s="4">
        <v>90</v>
      </c>
      <c r="D220" s="4">
        <v>80</v>
      </c>
      <c r="E220" s="13">
        <v>1.8380555555555556E-2</v>
      </c>
    </row>
    <row r="221" spans="1:5" x14ac:dyDescent="0.25">
      <c r="A221" s="4" t="s">
        <v>1076</v>
      </c>
      <c r="B221" s="4" t="s">
        <v>1091</v>
      </c>
      <c r="C221" s="4">
        <v>90</v>
      </c>
      <c r="D221" s="4">
        <v>80</v>
      </c>
      <c r="E221" s="13">
        <v>1.8380555555555556E-2</v>
      </c>
    </row>
    <row r="222" spans="1:5" x14ac:dyDescent="0.25">
      <c r="A222" s="4" t="s">
        <v>1077</v>
      </c>
      <c r="B222" s="4" t="s">
        <v>1091</v>
      </c>
      <c r="C222" s="4">
        <v>100</v>
      </c>
      <c r="D222" s="4">
        <v>80</v>
      </c>
      <c r="E222" s="13">
        <v>3.89025E-2</v>
      </c>
    </row>
    <row r="223" spans="1:5" x14ac:dyDescent="0.25">
      <c r="A223" s="4" t="s">
        <v>1078</v>
      </c>
      <c r="B223" s="4" t="s">
        <v>1091</v>
      </c>
      <c r="C223" s="4">
        <v>100</v>
      </c>
      <c r="D223" s="4">
        <v>80</v>
      </c>
      <c r="E223" s="13">
        <v>3.89025E-2</v>
      </c>
    </row>
    <row r="224" spans="1:5" x14ac:dyDescent="0.25">
      <c r="A224" s="4" t="s">
        <v>0</v>
      </c>
      <c r="B224" s="4" t="s">
        <v>1091</v>
      </c>
      <c r="C224" s="4">
        <v>120</v>
      </c>
      <c r="D224" s="4">
        <v>80</v>
      </c>
      <c r="E224" s="13">
        <v>2.9006249999999997E-2</v>
      </c>
    </row>
    <row r="225" spans="1:5" x14ac:dyDescent="0.25">
      <c r="A225" s="4" t="s">
        <v>228</v>
      </c>
      <c r="B225" s="4" t="s">
        <v>1091</v>
      </c>
      <c r="C225" s="4">
        <v>120</v>
      </c>
      <c r="D225" s="4">
        <v>80</v>
      </c>
      <c r="E225" s="13">
        <v>3.9243749999999994E-2</v>
      </c>
    </row>
    <row r="226" spans="1:5" x14ac:dyDescent="0.25">
      <c r="A226" s="4" t="s">
        <v>1079</v>
      </c>
      <c r="B226" s="4" t="s">
        <v>1091</v>
      </c>
      <c r="C226" s="4">
        <v>130</v>
      </c>
      <c r="D226" s="4">
        <v>80</v>
      </c>
      <c r="E226" s="13">
        <v>3.9375E-2</v>
      </c>
    </row>
    <row r="227" spans="1:5" x14ac:dyDescent="0.25">
      <c r="A227" s="4" t="s">
        <v>940</v>
      </c>
      <c r="B227" s="4" t="s">
        <v>1092</v>
      </c>
      <c r="C227" s="4">
        <v>90</v>
      </c>
      <c r="D227" s="4">
        <v>80</v>
      </c>
      <c r="E227" s="13">
        <v>9.8972222222222205E-3</v>
      </c>
    </row>
    <row r="228" spans="1:5" x14ac:dyDescent="0.25">
      <c r="A228" s="4" t="s">
        <v>1069</v>
      </c>
      <c r="B228" s="4" t="s">
        <v>1092</v>
      </c>
      <c r="C228" s="4">
        <v>90</v>
      </c>
      <c r="D228" s="4">
        <v>80</v>
      </c>
      <c r="E228" s="13">
        <v>9.8972222222222205E-3</v>
      </c>
    </row>
    <row r="229" spans="1:5" x14ac:dyDescent="0.25">
      <c r="A229" s="4" t="s">
        <v>1070</v>
      </c>
      <c r="B229" s="4" t="s">
        <v>1092</v>
      </c>
      <c r="C229" s="4">
        <v>90</v>
      </c>
      <c r="D229" s="4">
        <v>80</v>
      </c>
      <c r="E229" s="13">
        <v>9.8972222222222205E-3</v>
      </c>
    </row>
    <row r="230" spans="1:5" x14ac:dyDescent="0.25">
      <c r="A230" s="4" t="s">
        <v>1071</v>
      </c>
      <c r="B230" s="4" t="s">
        <v>1092</v>
      </c>
      <c r="C230" s="4">
        <v>90</v>
      </c>
      <c r="D230" s="4">
        <v>80</v>
      </c>
      <c r="E230" s="13">
        <v>9.8972222222222205E-3</v>
      </c>
    </row>
    <row r="231" spans="1:5" x14ac:dyDescent="0.25">
      <c r="A231" s="4" t="s">
        <v>1072</v>
      </c>
      <c r="B231" s="4" t="s">
        <v>1092</v>
      </c>
      <c r="C231" s="4">
        <v>90</v>
      </c>
      <c r="D231" s="4">
        <v>80</v>
      </c>
      <c r="E231" s="13">
        <v>9.8972222222222205E-3</v>
      </c>
    </row>
    <row r="232" spans="1:5" x14ac:dyDescent="0.25">
      <c r="A232" s="4" t="s">
        <v>1073</v>
      </c>
      <c r="B232" s="4" t="s">
        <v>1092</v>
      </c>
      <c r="C232" s="4">
        <v>90</v>
      </c>
      <c r="D232" s="4">
        <v>80</v>
      </c>
      <c r="E232" s="13">
        <v>1.2725E-2</v>
      </c>
    </row>
    <row r="233" spans="1:5" x14ac:dyDescent="0.25">
      <c r="A233" s="4" t="s">
        <v>1074</v>
      </c>
      <c r="B233" s="4" t="s">
        <v>1092</v>
      </c>
      <c r="C233" s="4">
        <v>90</v>
      </c>
      <c r="D233" s="4">
        <v>80</v>
      </c>
      <c r="E233" s="13">
        <v>1.8380555555555556E-2</v>
      </c>
    </row>
    <row r="234" spans="1:5" x14ac:dyDescent="0.25">
      <c r="A234" s="4" t="s">
        <v>1075</v>
      </c>
      <c r="B234" s="4" t="s">
        <v>1092</v>
      </c>
      <c r="C234" s="4">
        <v>90</v>
      </c>
      <c r="D234" s="4">
        <v>80</v>
      </c>
      <c r="E234" s="13">
        <v>1.8380555555555556E-2</v>
      </c>
    </row>
    <row r="235" spans="1:5" x14ac:dyDescent="0.25">
      <c r="A235" s="4" t="s">
        <v>1076</v>
      </c>
      <c r="B235" s="4" t="s">
        <v>1092</v>
      </c>
      <c r="C235" s="4">
        <v>90</v>
      </c>
      <c r="D235" s="4">
        <v>80</v>
      </c>
      <c r="E235" s="13">
        <v>1.9794444444444441E-2</v>
      </c>
    </row>
    <row r="236" spans="1:5" x14ac:dyDescent="0.25">
      <c r="A236" s="4" t="s">
        <v>1077</v>
      </c>
      <c r="B236" s="4" t="s">
        <v>1092</v>
      </c>
      <c r="C236" s="4">
        <v>100</v>
      </c>
      <c r="D236" s="4">
        <v>80</v>
      </c>
      <c r="E236" s="13">
        <v>1.43325E-2</v>
      </c>
    </row>
    <row r="237" spans="1:5" x14ac:dyDescent="0.25">
      <c r="A237" s="4" t="s">
        <v>1078</v>
      </c>
      <c r="B237" s="4" t="s">
        <v>1092</v>
      </c>
      <c r="C237" s="4">
        <v>100</v>
      </c>
      <c r="D237" s="4">
        <v>80</v>
      </c>
      <c r="E237" s="13">
        <v>2.0474999999999997E-2</v>
      </c>
    </row>
    <row r="238" spans="1:5" x14ac:dyDescent="0.25">
      <c r="A238" s="4" t="s">
        <v>0</v>
      </c>
      <c r="B238" s="4" t="s">
        <v>1092</v>
      </c>
      <c r="C238" s="4">
        <v>120</v>
      </c>
      <c r="D238" s="4">
        <v>80</v>
      </c>
      <c r="E238" s="13">
        <v>1.194375E-2</v>
      </c>
    </row>
    <row r="239" spans="1:5" x14ac:dyDescent="0.25">
      <c r="A239" s="4" t="s">
        <v>228</v>
      </c>
      <c r="B239" s="4" t="s">
        <v>1092</v>
      </c>
      <c r="C239" s="4">
        <v>120</v>
      </c>
      <c r="D239" s="4">
        <v>80</v>
      </c>
      <c r="E239" s="13">
        <v>1.3649999999999999E-2</v>
      </c>
    </row>
    <row r="240" spans="1:5" x14ac:dyDescent="0.25">
      <c r="A240" s="4" t="s">
        <v>1079</v>
      </c>
      <c r="B240" s="4" t="s">
        <v>1092</v>
      </c>
      <c r="C240" s="4">
        <v>130</v>
      </c>
      <c r="D240" s="4">
        <v>80</v>
      </c>
      <c r="E240" s="13">
        <v>1.5749999999999997E-2</v>
      </c>
    </row>
    <row r="241" spans="1:5" x14ac:dyDescent="0.25">
      <c r="A241" s="4" t="s">
        <v>940</v>
      </c>
      <c r="B241" s="4" t="s">
        <v>1093</v>
      </c>
      <c r="C241" s="4">
        <v>90</v>
      </c>
      <c r="D241" s="4">
        <v>80</v>
      </c>
      <c r="E241" s="13">
        <v>9.8972222222222205E-3</v>
      </c>
    </row>
    <row r="242" spans="1:5" x14ac:dyDescent="0.25">
      <c r="A242" s="4" t="s">
        <v>1069</v>
      </c>
      <c r="B242" s="4" t="s">
        <v>1093</v>
      </c>
      <c r="C242" s="4">
        <v>90</v>
      </c>
      <c r="D242" s="4">
        <v>80</v>
      </c>
      <c r="E242" s="13">
        <v>9.8972222222222205E-3</v>
      </c>
    </row>
    <row r="243" spans="1:5" x14ac:dyDescent="0.25">
      <c r="A243" s="4" t="s">
        <v>1070</v>
      </c>
      <c r="B243" s="4" t="s">
        <v>1093</v>
      </c>
      <c r="C243" s="4">
        <v>90</v>
      </c>
      <c r="D243" s="4">
        <v>80</v>
      </c>
      <c r="E243" s="13">
        <v>9.8972222222222205E-3</v>
      </c>
    </row>
    <row r="244" spans="1:5" x14ac:dyDescent="0.25">
      <c r="A244" s="4" t="s">
        <v>1071</v>
      </c>
      <c r="B244" s="4" t="s">
        <v>1093</v>
      </c>
      <c r="C244" s="4">
        <v>90</v>
      </c>
      <c r="D244" s="4">
        <v>80</v>
      </c>
      <c r="E244" s="13">
        <v>9.8972222222222205E-3</v>
      </c>
    </row>
    <row r="245" spans="1:5" x14ac:dyDescent="0.25">
      <c r="A245" s="4" t="s">
        <v>1072</v>
      </c>
      <c r="B245" s="4" t="s">
        <v>1093</v>
      </c>
      <c r="C245" s="4">
        <v>90</v>
      </c>
      <c r="D245" s="4">
        <v>80</v>
      </c>
      <c r="E245" s="13">
        <v>9.8972222222222205E-3</v>
      </c>
    </row>
    <row r="246" spans="1:5" x14ac:dyDescent="0.25">
      <c r="A246" s="4" t="s">
        <v>1073</v>
      </c>
      <c r="B246" s="4" t="s">
        <v>1093</v>
      </c>
      <c r="C246" s="4">
        <v>90</v>
      </c>
      <c r="D246" s="4">
        <v>80</v>
      </c>
      <c r="E246" s="13">
        <v>9.8972222222222205E-3</v>
      </c>
    </row>
    <row r="247" spans="1:5" x14ac:dyDescent="0.25">
      <c r="A247" s="4" t="s">
        <v>1074</v>
      </c>
      <c r="B247" s="4" t="s">
        <v>1093</v>
      </c>
      <c r="C247" s="4">
        <v>90</v>
      </c>
      <c r="D247" s="4">
        <v>80</v>
      </c>
      <c r="E247" s="13">
        <v>9.8972222222222205E-3</v>
      </c>
    </row>
    <row r="248" spans="1:5" x14ac:dyDescent="0.25">
      <c r="A248" s="4" t="s">
        <v>1075</v>
      </c>
      <c r="B248" s="4" t="s">
        <v>1093</v>
      </c>
      <c r="C248" s="4">
        <v>90</v>
      </c>
      <c r="D248" s="4">
        <v>80</v>
      </c>
      <c r="E248" s="13">
        <v>9.8972222222222205E-3</v>
      </c>
    </row>
    <row r="249" spans="1:5" x14ac:dyDescent="0.25">
      <c r="A249" s="4" t="s">
        <v>1076</v>
      </c>
      <c r="B249" s="4" t="s">
        <v>1093</v>
      </c>
      <c r="C249" s="4">
        <v>90</v>
      </c>
      <c r="D249" s="4">
        <v>80</v>
      </c>
      <c r="E249" s="13">
        <v>9.8972222222222205E-3</v>
      </c>
    </row>
    <row r="250" spans="1:5" x14ac:dyDescent="0.25">
      <c r="A250" s="4" t="s">
        <v>1077</v>
      </c>
      <c r="B250" s="4" t="s">
        <v>1093</v>
      </c>
      <c r="C250" s="4">
        <v>100</v>
      </c>
      <c r="D250" s="4">
        <v>80</v>
      </c>
      <c r="E250" s="13">
        <v>1.43325E-2</v>
      </c>
    </row>
    <row r="251" spans="1:5" x14ac:dyDescent="0.25">
      <c r="A251" s="4" t="s">
        <v>1078</v>
      </c>
      <c r="B251" s="4" t="s">
        <v>1093</v>
      </c>
      <c r="C251" s="4">
        <v>100</v>
      </c>
      <c r="D251" s="4">
        <v>80</v>
      </c>
      <c r="E251" s="13">
        <v>1.8427499999999999E-2</v>
      </c>
    </row>
    <row r="252" spans="1:5" x14ac:dyDescent="0.25">
      <c r="A252" s="4" t="s">
        <v>0</v>
      </c>
      <c r="B252" s="4" t="s">
        <v>1093</v>
      </c>
      <c r="C252" s="4">
        <v>100</v>
      </c>
      <c r="D252" s="4">
        <v>110</v>
      </c>
      <c r="E252" s="13">
        <v>1.935818181818182E-2</v>
      </c>
    </row>
    <row r="253" spans="1:5" x14ac:dyDescent="0.25">
      <c r="A253" s="4" t="s">
        <v>228</v>
      </c>
      <c r="B253" s="4" t="s">
        <v>1093</v>
      </c>
      <c r="C253" s="4">
        <v>100</v>
      </c>
      <c r="D253" s="4">
        <v>110</v>
      </c>
      <c r="E253" s="13">
        <v>1.1912727272727273E-2</v>
      </c>
    </row>
    <row r="254" spans="1:5" x14ac:dyDescent="0.25">
      <c r="A254" s="4" t="s">
        <v>1079</v>
      </c>
      <c r="B254" s="4" t="s">
        <v>1093</v>
      </c>
      <c r="C254" s="4">
        <v>100</v>
      </c>
      <c r="D254" s="4">
        <v>110</v>
      </c>
      <c r="E254" s="13">
        <v>1.1912727272727273E-2</v>
      </c>
    </row>
    <row r="255" spans="1:5" x14ac:dyDescent="0.25">
      <c r="A255" s="4" t="s">
        <v>940</v>
      </c>
      <c r="B255" s="4" t="s">
        <v>1094</v>
      </c>
      <c r="C255" s="4">
        <v>90</v>
      </c>
      <c r="D255" s="4">
        <v>80</v>
      </c>
      <c r="E255" s="13">
        <v>9.8972222222222205E-3</v>
      </c>
    </row>
    <row r="256" spans="1:5" x14ac:dyDescent="0.25">
      <c r="A256" s="4" t="s">
        <v>1069</v>
      </c>
      <c r="B256" s="4" t="s">
        <v>1094</v>
      </c>
      <c r="C256" s="4">
        <v>90</v>
      </c>
      <c r="D256" s="4">
        <v>80</v>
      </c>
      <c r="E256" s="13">
        <v>9.8972222222222205E-3</v>
      </c>
    </row>
    <row r="257" spans="1:5" x14ac:dyDescent="0.25">
      <c r="A257" s="4" t="s">
        <v>1070</v>
      </c>
      <c r="B257" s="4" t="s">
        <v>1094</v>
      </c>
      <c r="C257" s="4">
        <v>90</v>
      </c>
      <c r="D257" s="4">
        <v>80</v>
      </c>
      <c r="E257" s="13">
        <v>9.8972222222222205E-3</v>
      </c>
    </row>
    <row r="258" spans="1:5" x14ac:dyDescent="0.25">
      <c r="A258" s="4" t="s">
        <v>1071</v>
      </c>
      <c r="B258" s="4" t="s">
        <v>1094</v>
      </c>
      <c r="C258" s="4">
        <v>90</v>
      </c>
      <c r="D258" s="4">
        <v>80</v>
      </c>
      <c r="E258" s="13">
        <v>9.8972222222222205E-3</v>
      </c>
    </row>
    <row r="259" spans="1:5" x14ac:dyDescent="0.25">
      <c r="A259" s="4" t="s">
        <v>1072</v>
      </c>
      <c r="B259" s="4" t="s">
        <v>1094</v>
      </c>
      <c r="C259" s="4">
        <v>90</v>
      </c>
      <c r="D259" s="4">
        <v>80</v>
      </c>
      <c r="E259" s="13">
        <v>9.8972222222222205E-3</v>
      </c>
    </row>
    <row r="260" spans="1:5" x14ac:dyDescent="0.25">
      <c r="A260" s="4" t="s">
        <v>1073</v>
      </c>
      <c r="B260" s="4" t="s">
        <v>1094</v>
      </c>
      <c r="C260" s="4">
        <v>90</v>
      </c>
      <c r="D260" s="4">
        <v>80</v>
      </c>
      <c r="E260" s="13">
        <v>9.8972222222222205E-3</v>
      </c>
    </row>
    <row r="261" spans="1:5" x14ac:dyDescent="0.25">
      <c r="A261" s="4" t="s">
        <v>1074</v>
      </c>
      <c r="B261" s="4" t="s">
        <v>1094</v>
      </c>
      <c r="C261" s="4">
        <v>90</v>
      </c>
      <c r="D261" s="4">
        <v>80</v>
      </c>
      <c r="E261" s="13">
        <v>9.8972222222222205E-3</v>
      </c>
    </row>
    <row r="262" spans="1:5" x14ac:dyDescent="0.25">
      <c r="A262" s="4" t="s">
        <v>1075</v>
      </c>
      <c r="B262" s="4" t="s">
        <v>1094</v>
      </c>
      <c r="C262" s="4">
        <v>90</v>
      </c>
      <c r="D262" s="4">
        <v>80</v>
      </c>
      <c r="E262" s="13">
        <v>9.8972222222222205E-3</v>
      </c>
    </row>
    <row r="263" spans="1:5" x14ac:dyDescent="0.25">
      <c r="A263" s="4" t="s">
        <v>1076</v>
      </c>
      <c r="B263" s="4" t="s">
        <v>1094</v>
      </c>
      <c r="C263" s="4">
        <v>90</v>
      </c>
      <c r="D263" s="4">
        <v>80</v>
      </c>
      <c r="E263" s="13">
        <v>9.8972222222222205E-3</v>
      </c>
    </row>
    <row r="264" spans="1:5" x14ac:dyDescent="0.25">
      <c r="A264" s="4" t="s">
        <v>1077</v>
      </c>
      <c r="B264" s="4" t="s">
        <v>1094</v>
      </c>
      <c r="C264" s="4">
        <v>100</v>
      </c>
      <c r="D264" s="4">
        <v>80</v>
      </c>
      <c r="E264" s="13">
        <v>1.8427499999999999E-2</v>
      </c>
    </row>
    <row r="265" spans="1:5" x14ac:dyDescent="0.25">
      <c r="A265" s="4" t="s">
        <v>1078</v>
      </c>
      <c r="B265" s="4" t="s">
        <v>1094</v>
      </c>
      <c r="C265" s="4">
        <v>100</v>
      </c>
      <c r="D265" s="4">
        <v>80</v>
      </c>
      <c r="E265" s="13">
        <v>2.4570000000000002E-2</v>
      </c>
    </row>
    <row r="266" spans="1:5" x14ac:dyDescent="0.25">
      <c r="A266" s="4" t="s">
        <v>0</v>
      </c>
      <c r="B266" s="4" t="s">
        <v>1094</v>
      </c>
      <c r="C266" s="4">
        <v>100</v>
      </c>
      <c r="D266" s="4">
        <v>110</v>
      </c>
      <c r="E266" s="13">
        <v>1.1912727272727273E-2</v>
      </c>
    </row>
    <row r="267" spans="1:5" x14ac:dyDescent="0.25">
      <c r="A267" s="4" t="s">
        <v>228</v>
      </c>
      <c r="B267" s="4" t="s">
        <v>1094</v>
      </c>
      <c r="C267" s="4">
        <v>100</v>
      </c>
      <c r="D267" s="4">
        <v>110</v>
      </c>
      <c r="E267" s="13">
        <v>1.1912727272727273E-2</v>
      </c>
    </row>
    <row r="268" spans="1:5" x14ac:dyDescent="0.25">
      <c r="A268" s="4" t="s">
        <v>1079</v>
      </c>
      <c r="B268" s="4" t="s">
        <v>1094</v>
      </c>
      <c r="C268" s="4">
        <v>100</v>
      </c>
      <c r="D268" s="4">
        <v>110</v>
      </c>
      <c r="E268" s="13">
        <v>1.1912727272727273E-2</v>
      </c>
    </row>
    <row r="269" spans="1:5" x14ac:dyDescent="0.25">
      <c r="A269" s="4" t="s">
        <v>940</v>
      </c>
      <c r="B269" s="4" t="s">
        <v>1095</v>
      </c>
      <c r="C269" s="4">
        <v>90</v>
      </c>
      <c r="D269" s="4">
        <v>80</v>
      </c>
      <c r="E269" s="13">
        <v>9.8972222222222205E-3</v>
      </c>
    </row>
    <row r="270" spans="1:5" x14ac:dyDescent="0.25">
      <c r="A270" s="4" t="s">
        <v>1069</v>
      </c>
      <c r="B270" s="4" t="s">
        <v>1095</v>
      </c>
      <c r="C270" s="4">
        <v>90</v>
      </c>
      <c r="D270" s="4">
        <v>80</v>
      </c>
      <c r="E270" s="13">
        <v>9.8972222222222205E-3</v>
      </c>
    </row>
    <row r="271" spans="1:5" x14ac:dyDescent="0.25">
      <c r="A271" s="4" t="s">
        <v>1070</v>
      </c>
      <c r="B271" s="4" t="s">
        <v>1095</v>
      </c>
      <c r="C271" s="4">
        <v>90</v>
      </c>
      <c r="D271" s="4">
        <v>80</v>
      </c>
      <c r="E271" s="13">
        <v>9.8972222222222205E-3</v>
      </c>
    </row>
    <row r="272" spans="1:5" x14ac:dyDescent="0.25">
      <c r="A272" s="4" t="s">
        <v>1071</v>
      </c>
      <c r="B272" s="4" t="s">
        <v>1095</v>
      </c>
      <c r="C272" s="4">
        <v>90</v>
      </c>
      <c r="D272" s="4">
        <v>80</v>
      </c>
      <c r="E272" s="13">
        <v>9.8972222222222205E-3</v>
      </c>
    </row>
    <row r="273" spans="1:5" x14ac:dyDescent="0.25">
      <c r="A273" s="4" t="s">
        <v>1072</v>
      </c>
      <c r="B273" s="4" t="s">
        <v>1095</v>
      </c>
      <c r="C273" s="4">
        <v>90</v>
      </c>
      <c r="D273" s="4">
        <v>80</v>
      </c>
      <c r="E273" s="13">
        <v>9.8972222222222205E-3</v>
      </c>
    </row>
    <row r="274" spans="1:5" x14ac:dyDescent="0.25">
      <c r="A274" s="4" t="s">
        <v>1073</v>
      </c>
      <c r="B274" s="4" t="s">
        <v>1095</v>
      </c>
      <c r="C274" s="4">
        <v>90</v>
      </c>
      <c r="D274" s="4">
        <v>80</v>
      </c>
      <c r="E274" s="13">
        <v>9.8972222222222205E-3</v>
      </c>
    </row>
    <row r="275" spans="1:5" x14ac:dyDescent="0.25">
      <c r="A275" s="4" t="s">
        <v>1074</v>
      </c>
      <c r="B275" s="4" t="s">
        <v>1095</v>
      </c>
      <c r="C275" s="4">
        <v>90</v>
      </c>
      <c r="D275" s="4">
        <v>80</v>
      </c>
      <c r="E275" s="13">
        <v>9.8972222222222205E-3</v>
      </c>
    </row>
    <row r="276" spans="1:5" x14ac:dyDescent="0.25">
      <c r="A276" s="4" t="s">
        <v>1075</v>
      </c>
      <c r="B276" s="4" t="s">
        <v>1095</v>
      </c>
      <c r="C276" s="4">
        <v>90</v>
      </c>
      <c r="D276" s="4">
        <v>80</v>
      </c>
      <c r="E276" s="13">
        <v>9.8972222222222205E-3</v>
      </c>
    </row>
    <row r="277" spans="1:5" x14ac:dyDescent="0.25">
      <c r="A277" s="4" t="s">
        <v>1076</v>
      </c>
      <c r="B277" s="4" t="s">
        <v>1095</v>
      </c>
      <c r="C277" s="4">
        <v>90</v>
      </c>
      <c r="D277" s="4">
        <v>80</v>
      </c>
      <c r="E277" s="13">
        <v>9.8972222222222205E-3</v>
      </c>
    </row>
    <row r="278" spans="1:5" x14ac:dyDescent="0.25">
      <c r="A278" s="4" t="s">
        <v>1077</v>
      </c>
      <c r="B278" s="4" t="s">
        <v>1095</v>
      </c>
      <c r="C278" s="4">
        <v>100</v>
      </c>
      <c r="D278" s="4">
        <v>80</v>
      </c>
      <c r="E278" s="13">
        <v>1.43325E-2</v>
      </c>
    </row>
    <row r="279" spans="1:5" x14ac:dyDescent="0.25">
      <c r="A279" s="4" t="s">
        <v>1078</v>
      </c>
      <c r="B279" s="4" t="s">
        <v>1095</v>
      </c>
      <c r="C279" s="4">
        <v>100</v>
      </c>
      <c r="D279" s="4">
        <v>80</v>
      </c>
      <c r="E279" s="13">
        <v>2.8665E-2</v>
      </c>
    </row>
    <row r="280" spans="1:5" x14ac:dyDescent="0.25">
      <c r="A280" s="4" t="s">
        <v>0</v>
      </c>
      <c r="B280" s="4" t="s">
        <v>1095</v>
      </c>
      <c r="C280" s="4">
        <v>100</v>
      </c>
      <c r="D280" s="4">
        <v>110</v>
      </c>
      <c r="E280" s="13">
        <v>1.1912727272727273E-2</v>
      </c>
    </row>
    <row r="281" spans="1:5" x14ac:dyDescent="0.25">
      <c r="A281" s="4" t="s">
        <v>228</v>
      </c>
      <c r="B281" s="4" t="s">
        <v>1095</v>
      </c>
      <c r="C281" s="4">
        <v>100</v>
      </c>
      <c r="D281" s="4">
        <v>110</v>
      </c>
      <c r="E281" s="13">
        <v>1.1912727272727273E-2</v>
      </c>
    </row>
    <row r="282" spans="1:5" x14ac:dyDescent="0.25">
      <c r="A282" s="4" t="s">
        <v>1079</v>
      </c>
      <c r="B282" s="4" t="s">
        <v>1095</v>
      </c>
      <c r="C282" s="4">
        <v>100</v>
      </c>
      <c r="D282" s="4">
        <v>110</v>
      </c>
      <c r="E282" s="13">
        <v>1.1912727272727273E-2</v>
      </c>
    </row>
    <row r="283" spans="1:5" x14ac:dyDescent="0.25">
      <c r="A283" s="4" t="s">
        <v>940</v>
      </c>
      <c r="B283" s="4" t="s">
        <v>1096</v>
      </c>
      <c r="C283" s="4">
        <v>90</v>
      </c>
      <c r="D283" s="4">
        <v>80</v>
      </c>
      <c r="E283" s="13">
        <v>9.8972222222222205E-3</v>
      </c>
    </row>
    <row r="284" spans="1:5" x14ac:dyDescent="0.25">
      <c r="A284" s="4" t="s">
        <v>1069</v>
      </c>
      <c r="B284" s="4" t="s">
        <v>1096</v>
      </c>
      <c r="C284" s="4">
        <v>90</v>
      </c>
      <c r="D284" s="4">
        <v>80</v>
      </c>
      <c r="E284" s="13">
        <v>9.8972222222222205E-3</v>
      </c>
    </row>
    <row r="285" spans="1:5" x14ac:dyDescent="0.25">
      <c r="A285" s="4" t="s">
        <v>1070</v>
      </c>
      <c r="B285" s="4" t="s">
        <v>1096</v>
      </c>
      <c r="C285" s="4">
        <v>90</v>
      </c>
      <c r="D285" s="4">
        <v>80</v>
      </c>
      <c r="E285" s="13">
        <v>9.8972222222222205E-3</v>
      </c>
    </row>
    <row r="286" spans="1:5" x14ac:dyDescent="0.25">
      <c r="A286" s="4" t="s">
        <v>1071</v>
      </c>
      <c r="B286" s="4" t="s">
        <v>1096</v>
      </c>
      <c r="C286" s="4">
        <v>90</v>
      </c>
      <c r="D286" s="4">
        <v>80</v>
      </c>
      <c r="E286" s="13">
        <v>9.8972222222222205E-3</v>
      </c>
    </row>
    <row r="287" spans="1:5" x14ac:dyDescent="0.25">
      <c r="A287" s="4" t="s">
        <v>1072</v>
      </c>
      <c r="B287" s="4" t="s">
        <v>1096</v>
      </c>
      <c r="C287" s="4">
        <v>90</v>
      </c>
      <c r="D287" s="4">
        <v>80</v>
      </c>
      <c r="E287" s="13">
        <v>9.8972222222222205E-3</v>
      </c>
    </row>
    <row r="288" spans="1:5" x14ac:dyDescent="0.25">
      <c r="A288" s="4" t="s">
        <v>1073</v>
      </c>
      <c r="B288" s="4" t="s">
        <v>1096</v>
      </c>
      <c r="C288" s="4">
        <v>90</v>
      </c>
      <c r="D288" s="4">
        <v>80</v>
      </c>
      <c r="E288" s="13">
        <v>9.8972222222222205E-3</v>
      </c>
    </row>
    <row r="289" spans="1:5" x14ac:dyDescent="0.25">
      <c r="A289" s="4" t="s">
        <v>1074</v>
      </c>
      <c r="B289" s="4" t="s">
        <v>1096</v>
      </c>
      <c r="C289" s="4">
        <v>90</v>
      </c>
      <c r="D289" s="4">
        <v>80</v>
      </c>
      <c r="E289" s="13">
        <v>9.8972222222222205E-3</v>
      </c>
    </row>
    <row r="290" spans="1:5" x14ac:dyDescent="0.25">
      <c r="A290" s="4" t="s">
        <v>1075</v>
      </c>
      <c r="B290" s="4" t="s">
        <v>1096</v>
      </c>
      <c r="C290" s="4">
        <v>90</v>
      </c>
      <c r="D290" s="4">
        <v>80</v>
      </c>
      <c r="E290" s="13">
        <v>9.8972222222222205E-3</v>
      </c>
    </row>
    <row r="291" spans="1:5" x14ac:dyDescent="0.25">
      <c r="A291" s="4" t="s">
        <v>1076</v>
      </c>
      <c r="B291" s="4" t="s">
        <v>1096</v>
      </c>
      <c r="C291" s="4">
        <v>90</v>
      </c>
      <c r="D291" s="4">
        <v>80</v>
      </c>
      <c r="E291" s="13">
        <v>9.8972222222222205E-3</v>
      </c>
    </row>
    <row r="292" spans="1:5" x14ac:dyDescent="0.25">
      <c r="A292" s="4" t="s">
        <v>1077</v>
      </c>
      <c r="B292" s="4" t="s">
        <v>1096</v>
      </c>
      <c r="C292" s="4">
        <v>100</v>
      </c>
      <c r="D292" s="4">
        <v>80</v>
      </c>
      <c r="E292" s="13">
        <v>1.43325E-2</v>
      </c>
    </row>
    <row r="293" spans="1:5" x14ac:dyDescent="0.25">
      <c r="A293" s="4" t="s">
        <v>1078</v>
      </c>
      <c r="B293" s="4" t="s">
        <v>1096</v>
      </c>
      <c r="C293" s="4">
        <v>100</v>
      </c>
      <c r="D293" s="4">
        <v>80</v>
      </c>
      <c r="E293" s="13">
        <v>1.8427499999999999E-2</v>
      </c>
    </row>
    <row r="294" spans="1:5" x14ac:dyDescent="0.25">
      <c r="A294" s="4" t="s">
        <v>0</v>
      </c>
      <c r="B294" s="4" t="s">
        <v>1096</v>
      </c>
      <c r="C294" s="4">
        <v>100</v>
      </c>
      <c r="D294" s="4">
        <v>110</v>
      </c>
      <c r="E294" s="13">
        <v>1.1912727272727273E-2</v>
      </c>
    </row>
    <row r="295" spans="1:5" x14ac:dyDescent="0.25">
      <c r="A295" s="4" t="s">
        <v>228</v>
      </c>
      <c r="B295" s="4" t="s">
        <v>1096</v>
      </c>
      <c r="C295" s="4">
        <v>100</v>
      </c>
      <c r="D295" s="4">
        <v>110</v>
      </c>
      <c r="E295" s="13">
        <v>1.1912727272727273E-2</v>
      </c>
    </row>
    <row r="296" spans="1:5" x14ac:dyDescent="0.25">
      <c r="A296" s="4" t="s">
        <v>1079</v>
      </c>
      <c r="B296" s="4" t="s">
        <v>1096</v>
      </c>
      <c r="C296" s="4">
        <v>100</v>
      </c>
      <c r="D296" s="4">
        <v>110</v>
      </c>
      <c r="E296" s="13">
        <v>1.1912727272727273E-2</v>
      </c>
    </row>
    <row r="297" spans="1:5" x14ac:dyDescent="0.25">
      <c r="A297" s="4" t="s">
        <v>940</v>
      </c>
      <c r="B297" s="4" t="s">
        <v>1097</v>
      </c>
      <c r="C297" s="4">
        <v>90</v>
      </c>
      <c r="D297" s="4">
        <v>80</v>
      </c>
      <c r="E297" s="13">
        <v>9.8972222222222205E-3</v>
      </c>
    </row>
    <row r="298" spans="1:5" x14ac:dyDescent="0.25">
      <c r="A298" s="4" t="s">
        <v>1069</v>
      </c>
      <c r="B298" s="4" t="s">
        <v>1097</v>
      </c>
      <c r="C298" s="4">
        <v>90</v>
      </c>
      <c r="D298" s="4">
        <v>80</v>
      </c>
      <c r="E298" s="13">
        <v>9.8972222222222205E-3</v>
      </c>
    </row>
    <row r="299" spans="1:5" x14ac:dyDescent="0.25">
      <c r="A299" s="4" t="s">
        <v>1070</v>
      </c>
      <c r="B299" s="4" t="s">
        <v>1097</v>
      </c>
      <c r="C299" s="4">
        <v>90</v>
      </c>
      <c r="D299" s="4">
        <v>80</v>
      </c>
      <c r="E299" s="13">
        <v>9.8972222222222205E-3</v>
      </c>
    </row>
    <row r="300" spans="1:5" x14ac:dyDescent="0.25">
      <c r="A300" s="4" t="s">
        <v>1071</v>
      </c>
      <c r="B300" s="4" t="s">
        <v>1097</v>
      </c>
      <c r="C300" s="4">
        <v>90</v>
      </c>
      <c r="D300" s="4">
        <v>80</v>
      </c>
      <c r="E300" s="13">
        <v>9.8972222222222205E-3</v>
      </c>
    </row>
    <row r="301" spans="1:5" x14ac:dyDescent="0.25">
      <c r="A301" s="4" t="s">
        <v>1072</v>
      </c>
      <c r="B301" s="4" t="s">
        <v>1097</v>
      </c>
      <c r="C301" s="4">
        <v>90</v>
      </c>
      <c r="D301" s="4">
        <v>80</v>
      </c>
      <c r="E301" s="13">
        <v>9.8972222222222205E-3</v>
      </c>
    </row>
    <row r="302" spans="1:5" x14ac:dyDescent="0.25">
      <c r="A302" s="4" t="s">
        <v>1073</v>
      </c>
      <c r="B302" s="4" t="s">
        <v>1097</v>
      </c>
      <c r="C302" s="4">
        <v>90</v>
      </c>
      <c r="D302" s="4">
        <v>80</v>
      </c>
      <c r="E302" s="13">
        <v>9.8972222222222205E-3</v>
      </c>
    </row>
    <row r="303" spans="1:5" x14ac:dyDescent="0.25">
      <c r="A303" s="4" t="s">
        <v>1074</v>
      </c>
      <c r="B303" s="4" t="s">
        <v>1097</v>
      </c>
      <c r="C303" s="4">
        <v>90</v>
      </c>
      <c r="D303" s="4">
        <v>80</v>
      </c>
      <c r="E303" s="13">
        <v>9.8972222222222205E-3</v>
      </c>
    </row>
    <row r="304" spans="1:5" x14ac:dyDescent="0.25">
      <c r="A304" s="4" t="s">
        <v>1075</v>
      </c>
      <c r="B304" s="4" t="s">
        <v>1097</v>
      </c>
      <c r="C304" s="4">
        <v>90</v>
      </c>
      <c r="D304" s="4">
        <v>80</v>
      </c>
      <c r="E304" s="13">
        <v>9.8972222222222205E-3</v>
      </c>
    </row>
    <row r="305" spans="1:5" x14ac:dyDescent="0.25">
      <c r="A305" s="4" t="s">
        <v>1076</v>
      </c>
      <c r="B305" s="4" t="s">
        <v>1097</v>
      </c>
      <c r="C305" s="4">
        <v>90</v>
      </c>
      <c r="D305" s="4">
        <v>80</v>
      </c>
      <c r="E305" s="13">
        <v>9.8972222222222205E-3</v>
      </c>
    </row>
    <row r="306" spans="1:5" x14ac:dyDescent="0.25">
      <c r="A306" s="4" t="s">
        <v>1077</v>
      </c>
      <c r="B306" s="4" t="s">
        <v>1097</v>
      </c>
      <c r="C306" s="4">
        <v>100</v>
      </c>
      <c r="D306" s="4">
        <v>80</v>
      </c>
      <c r="E306" s="13">
        <v>1.43325E-2</v>
      </c>
    </row>
    <row r="307" spans="1:5" x14ac:dyDescent="0.25">
      <c r="A307" s="4" t="s">
        <v>1078</v>
      </c>
      <c r="B307" s="4" t="s">
        <v>1097</v>
      </c>
      <c r="C307" s="4">
        <v>100</v>
      </c>
      <c r="D307" s="4">
        <v>80</v>
      </c>
      <c r="E307" s="13">
        <v>3.07125E-2</v>
      </c>
    </row>
    <row r="308" spans="1:5" x14ac:dyDescent="0.25">
      <c r="A308" s="4" t="s">
        <v>0</v>
      </c>
      <c r="B308" s="4" t="s">
        <v>1097</v>
      </c>
      <c r="C308" s="4">
        <v>120</v>
      </c>
      <c r="D308" s="4">
        <v>80</v>
      </c>
      <c r="E308" s="13">
        <v>1.3649999999999999E-2</v>
      </c>
    </row>
    <row r="309" spans="1:5" x14ac:dyDescent="0.25">
      <c r="A309" s="4" t="s">
        <v>228</v>
      </c>
      <c r="B309" s="4" t="s">
        <v>1097</v>
      </c>
      <c r="C309" s="4">
        <v>120</v>
      </c>
      <c r="D309" s="4">
        <v>80</v>
      </c>
      <c r="E309" s="13">
        <v>1.194375E-2</v>
      </c>
    </row>
    <row r="310" spans="1:5" x14ac:dyDescent="0.25">
      <c r="A310" s="4" t="s">
        <v>1079</v>
      </c>
      <c r="B310" s="4" t="s">
        <v>1097</v>
      </c>
      <c r="C310" s="4">
        <v>130</v>
      </c>
      <c r="D310" s="4">
        <v>80</v>
      </c>
      <c r="E310" s="13">
        <v>1.26E-2</v>
      </c>
    </row>
    <row r="311" spans="1:5" x14ac:dyDescent="0.25">
      <c r="A311" s="4" t="s">
        <v>940</v>
      </c>
      <c r="B311" s="4" t="s">
        <v>1098</v>
      </c>
      <c r="C311" s="4">
        <v>90</v>
      </c>
      <c r="D311" s="4">
        <v>80</v>
      </c>
      <c r="E311" s="13">
        <v>9.8972222222222205E-3</v>
      </c>
    </row>
    <row r="312" spans="1:5" x14ac:dyDescent="0.25">
      <c r="A312" s="4" t="s">
        <v>1069</v>
      </c>
      <c r="B312" s="4" t="s">
        <v>1098</v>
      </c>
      <c r="C312" s="4">
        <v>90</v>
      </c>
      <c r="D312" s="4">
        <v>80</v>
      </c>
      <c r="E312" s="13">
        <v>9.8972222222222205E-3</v>
      </c>
    </row>
    <row r="313" spans="1:5" x14ac:dyDescent="0.25">
      <c r="A313" s="4" t="s">
        <v>1070</v>
      </c>
      <c r="B313" s="4" t="s">
        <v>1098</v>
      </c>
      <c r="C313" s="4">
        <v>90</v>
      </c>
      <c r="D313" s="4">
        <v>80</v>
      </c>
      <c r="E313" s="13">
        <v>9.8972222222222205E-3</v>
      </c>
    </row>
    <row r="314" spans="1:5" x14ac:dyDescent="0.25">
      <c r="A314" s="4" t="s">
        <v>1071</v>
      </c>
      <c r="B314" s="4" t="s">
        <v>1098</v>
      </c>
      <c r="C314" s="4">
        <v>90</v>
      </c>
      <c r="D314" s="4">
        <v>80</v>
      </c>
      <c r="E314" s="13">
        <v>9.8972222222222205E-3</v>
      </c>
    </row>
    <row r="315" spans="1:5" x14ac:dyDescent="0.25">
      <c r="A315" s="4" t="s">
        <v>1072</v>
      </c>
      <c r="B315" s="4" t="s">
        <v>1098</v>
      </c>
      <c r="C315" s="4">
        <v>90</v>
      </c>
      <c r="D315" s="4">
        <v>80</v>
      </c>
      <c r="E315" s="13">
        <v>9.8972222222222205E-3</v>
      </c>
    </row>
    <row r="316" spans="1:5" x14ac:dyDescent="0.25">
      <c r="A316" s="4" t="s">
        <v>1073</v>
      </c>
      <c r="B316" s="4" t="s">
        <v>1098</v>
      </c>
      <c r="C316" s="4">
        <v>90</v>
      </c>
      <c r="D316" s="4">
        <v>80</v>
      </c>
      <c r="E316" s="13">
        <v>9.8972222222222205E-3</v>
      </c>
    </row>
    <row r="317" spans="1:5" x14ac:dyDescent="0.25">
      <c r="A317" s="4" t="s">
        <v>1074</v>
      </c>
      <c r="B317" s="4" t="s">
        <v>1098</v>
      </c>
      <c r="C317" s="4">
        <v>90</v>
      </c>
      <c r="D317" s="4">
        <v>80</v>
      </c>
      <c r="E317" s="13">
        <v>9.8972222222222205E-3</v>
      </c>
    </row>
    <row r="318" spans="1:5" x14ac:dyDescent="0.25">
      <c r="A318" s="4" t="s">
        <v>1075</v>
      </c>
      <c r="B318" s="4" t="s">
        <v>1098</v>
      </c>
      <c r="C318" s="4">
        <v>90</v>
      </c>
      <c r="D318" s="4">
        <v>80</v>
      </c>
      <c r="E318" s="13">
        <v>9.8972222222222205E-3</v>
      </c>
    </row>
    <row r="319" spans="1:5" x14ac:dyDescent="0.25">
      <c r="A319" s="4" t="s">
        <v>1076</v>
      </c>
      <c r="B319" s="4" t="s">
        <v>1098</v>
      </c>
      <c r="C319" s="4">
        <v>90</v>
      </c>
      <c r="D319" s="4">
        <v>80</v>
      </c>
      <c r="E319" s="13">
        <v>9.8972222222222205E-3</v>
      </c>
    </row>
    <row r="320" spans="1:5" x14ac:dyDescent="0.25">
      <c r="A320" s="4" t="s">
        <v>1077</v>
      </c>
      <c r="B320" s="4" t="s">
        <v>1098</v>
      </c>
      <c r="C320" s="4">
        <v>100</v>
      </c>
      <c r="D320" s="4">
        <v>80</v>
      </c>
      <c r="E320" s="13">
        <v>1.43325E-2</v>
      </c>
    </row>
    <row r="321" spans="1:5" x14ac:dyDescent="0.25">
      <c r="A321" s="4" t="s">
        <v>1078</v>
      </c>
      <c r="B321" s="4" t="s">
        <v>1098</v>
      </c>
      <c r="C321" s="4">
        <v>100</v>
      </c>
      <c r="D321" s="4">
        <v>80</v>
      </c>
      <c r="E321" s="13">
        <v>3.2759999999999997E-2</v>
      </c>
    </row>
    <row r="322" spans="1:5" x14ac:dyDescent="0.25">
      <c r="A322" s="4" t="s">
        <v>0</v>
      </c>
      <c r="B322" s="4" t="s">
        <v>1098</v>
      </c>
      <c r="C322" s="4">
        <v>120</v>
      </c>
      <c r="D322" s="4">
        <v>80</v>
      </c>
      <c r="E322" s="13">
        <v>1.7062499999999998E-2</v>
      </c>
    </row>
    <row r="323" spans="1:5" x14ac:dyDescent="0.25">
      <c r="A323" s="4" t="s">
        <v>228</v>
      </c>
      <c r="B323" s="4" t="s">
        <v>1098</v>
      </c>
      <c r="C323" s="4">
        <v>120</v>
      </c>
      <c r="D323" s="4">
        <v>80</v>
      </c>
      <c r="E323" s="13">
        <v>1.194375E-2</v>
      </c>
    </row>
    <row r="324" spans="1:5" x14ac:dyDescent="0.25">
      <c r="A324" s="4" t="s">
        <v>1079</v>
      </c>
      <c r="B324" s="4" t="s">
        <v>1098</v>
      </c>
      <c r="C324" s="4">
        <v>130</v>
      </c>
      <c r="D324" s="4">
        <v>80</v>
      </c>
      <c r="E324" s="13">
        <v>1.26E-2</v>
      </c>
    </row>
    <row r="325" spans="1:5" x14ac:dyDescent="0.25">
      <c r="A325" s="4" t="s">
        <v>940</v>
      </c>
      <c r="B325" s="4" t="s">
        <v>1099</v>
      </c>
      <c r="C325" s="4">
        <v>90</v>
      </c>
      <c r="D325" s="4">
        <v>80</v>
      </c>
      <c r="E325" s="13">
        <v>9.8972222222222205E-3</v>
      </c>
    </row>
    <row r="326" spans="1:5" x14ac:dyDescent="0.25">
      <c r="A326" s="4" t="s">
        <v>1069</v>
      </c>
      <c r="B326" s="4" t="s">
        <v>1099</v>
      </c>
      <c r="C326" s="4">
        <v>90</v>
      </c>
      <c r="D326" s="4">
        <v>80</v>
      </c>
      <c r="E326" s="13">
        <v>9.8972222222222205E-3</v>
      </c>
    </row>
    <row r="327" spans="1:5" x14ac:dyDescent="0.25">
      <c r="A327" s="4" t="s">
        <v>1070</v>
      </c>
      <c r="B327" s="4" t="s">
        <v>1099</v>
      </c>
      <c r="C327" s="4">
        <v>90</v>
      </c>
      <c r="D327" s="4">
        <v>80</v>
      </c>
      <c r="E327" s="13">
        <v>9.8972222222222205E-3</v>
      </c>
    </row>
    <row r="328" spans="1:5" x14ac:dyDescent="0.25">
      <c r="A328" s="4" t="s">
        <v>1071</v>
      </c>
      <c r="B328" s="4" t="s">
        <v>1099</v>
      </c>
      <c r="C328" s="4">
        <v>90</v>
      </c>
      <c r="D328" s="4">
        <v>80</v>
      </c>
      <c r="E328" s="13">
        <v>9.8972222222222205E-3</v>
      </c>
    </row>
    <row r="329" spans="1:5" x14ac:dyDescent="0.25">
      <c r="A329" s="4" t="s">
        <v>1072</v>
      </c>
      <c r="B329" s="4" t="s">
        <v>1099</v>
      </c>
      <c r="C329" s="4">
        <v>90</v>
      </c>
      <c r="D329" s="4">
        <v>80</v>
      </c>
      <c r="E329" s="13">
        <v>9.8972222222222205E-3</v>
      </c>
    </row>
    <row r="330" spans="1:5" x14ac:dyDescent="0.25">
      <c r="A330" s="4" t="s">
        <v>1073</v>
      </c>
      <c r="B330" s="4" t="s">
        <v>1099</v>
      </c>
      <c r="C330" s="4">
        <v>90</v>
      </c>
      <c r="D330" s="4">
        <v>80</v>
      </c>
      <c r="E330" s="13">
        <v>9.8972222222222205E-3</v>
      </c>
    </row>
    <row r="331" spans="1:5" x14ac:dyDescent="0.25">
      <c r="A331" s="4" t="s">
        <v>1074</v>
      </c>
      <c r="B331" s="4" t="s">
        <v>1099</v>
      </c>
      <c r="C331" s="4">
        <v>90</v>
      </c>
      <c r="D331" s="4">
        <v>80</v>
      </c>
      <c r="E331" s="13">
        <v>9.8972222222222205E-3</v>
      </c>
    </row>
    <row r="332" spans="1:5" x14ac:dyDescent="0.25">
      <c r="A332" s="4" t="s">
        <v>1075</v>
      </c>
      <c r="B332" s="4" t="s">
        <v>1099</v>
      </c>
      <c r="C332" s="4">
        <v>90</v>
      </c>
      <c r="D332" s="4">
        <v>80</v>
      </c>
      <c r="E332" s="13">
        <v>9.8972222222222205E-3</v>
      </c>
    </row>
    <row r="333" spans="1:5" x14ac:dyDescent="0.25">
      <c r="A333" s="4" t="s">
        <v>1076</v>
      </c>
      <c r="B333" s="4" t="s">
        <v>1099</v>
      </c>
      <c r="C333" s="4">
        <v>90</v>
      </c>
      <c r="D333" s="4">
        <v>80</v>
      </c>
      <c r="E333" s="13">
        <v>9.8972222222222205E-3</v>
      </c>
    </row>
    <row r="334" spans="1:5" x14ac:dyDescent="0.25">
      <c r="A334" s="4" t="s">
        <v>1077</v>
      </c>
      <c r="B334" s="4" t="s">
        <v>1099</v>
      </c>
      <c r="C334" s="4">
        <v>100</v>
      </c>
      <c r="D334" s="4">
        <v>80</v>
      </c>
      <c r="E334" s="13">
        <v>1.6379999999999999E-2</v>
      </c>
    </row>
    <row r="335" spans="1:5" x14ac:dyDescent="0.25">
      <c r="A335" s="4" t="s">
        <v>1078</v>
      </c>
      <c r="B335" s="4" t="s">
        <v>1099</v>
      </c>
      <c r="C335" s="4">
        <v>100</v>
      </c>
      <c r="D335" s="4">
        <v>80</v>
      </c>
      <c r="E335" s="13">
        <v>1.43325E-2</v>
      </c>
    </row>
    <row r="336" spans="1:5" x14ac:dyDescent="0.25">
      <c r="A336" s="4" t="s">
        <v>0</v>
      </c>
      <c r="B336" s="4" t="s">
        <v>1099</v>
      </c>
      <c r="C336" s="4">
        <v>120</v>
      </c>
      <c r="D336" s="4">
        <v>80</v>
      </c>
      <c r="E336" s="13">
        <v>1.7062499999999998E-2</v>
      </c>
    </row>
    <row r="337" spans="1:5" x14ac:dyDescent="0.25">
      <c r="A337" s="4" t="s">
        <v>228</v>
      </c>
      <c r="B337" s="4" t="s">
        <v>1099</v>
      </c>
      <c r="C337" s="4">
        <v>120</v>
      </c>
      <c r="D337" s="4">
        <v>80</v>
      </c>
      <c r="E337" s="13">
        <v>1.8768749999999997E-2</v>
      </c>
    </row>
    <row r="338" spans="1:5" x14ac:dyDescent="0.25">
      <c r="A338" s="4" t="s">
        <v>1079</v>
      </c>
      <c r="B338" s="4" t="s">
        <v>1099</v>
      </c>
      <c r="C338" s="4">
        <v>130</v>
      </c>
      <c r="D338" s="4">
        <v>80</v>
      </c>
      <c r="E338" s="13">
        <v>1.89E-2</v>
      </c>
    </row>
    <row r="339" spans="1:5" x14ac:dyDescent="0.25">
      <c r="A339" s="4" t="s">
        <v>0</v>
      </c>
      <c r="B339" s="4" t="s">
        <v>1100</v>
      </c>
      <c r="C339" s="4">
        <v>70</v>
      </c>
      <c r="D339" s="4">
        <v>70</v>
      </c>
      <c r="E339" s="13">
        <v>2.0057142857142857E-2</v>
      </c>
    </row>
    <row r="340" spans="1:5" x14ac:dyDescent="0.25">
      <c r="A340" s="4" t="s">
        <v>228</v>
      </c>
      <c r="B340" s="4" t="s">
        <v>1100</v>
      </c>
      <c r="C340" s="4">
        <v>70</v>
      </c>
      <c r="D340" s="4">
        <v>70</v>
      </c>
      <c r="E340" s="13">
        <v>2.0057142857142857E-2</v>
      </c>
    </row>
    <row r="341" spans="1:5" x14ac:dyDescent="0.25">
      <c r="A341" s="4" t="s">
        <v>1079</v>
      </c>
      <c r="B341" s="4" t="s">
        <v>1100</v>
      </c>
      <c r="C341" s="4">
        <v>70</v>
      </c>
      <c r="D341" s="4">
        <v>70</v>
      </c>
      <c r="E341" s="13">
        <v>2.0057142857142857E-2</v>
      </c>
    </row>
    <row r="342" spans="1:5" x14ac:dyDescent="0.25">
      <c r="A342" s="4" t="s">
        <v>0</v>
      </c>
      <c r="B342" s="4" t="s">
        <v>1101</v>
      </c>
      <c r="C342" s="4">
        <v>70</v>
      </c>
      <c r="D342" s="4">
        <v>70</v>
      </c>
      <c r="E342" s="13">
        <v>2.0057142857142857E-2</v>
      </c>
    </row>
    <row r="343" spans="1:5" x14ac:dyDescent="0.25">
      <c r="A343" s="4" t="s">
        <v>228</v>
      </c>
      <c r="B343" s="4" t="s">
        <v>1101</v>
      </c>
      <c r="C343" s="4">
        <v>70</v>
      </c>
      <c r="D343" s="4">
        <v>70</v>
      </c>
      <c r="E343" s="13">
        <v>2.0057142857142857E-2</v>
      </c>
    </row>
    <row r="344" spans="1:5" x14ac:dyDescent="0.25">
      <c r="A344" s="4" t="s">
        <v>1079</v>
      </c>
      <c r="B344" s="4" t="s">
        <v>1101</v>
      </c>
      <c r="C344" s="4">
        <v>70</v>
      </c>
      <c r="D344" s="4">
        <v>70</v>
      </c>
      <c r="E344" s="13">
        <v>2.0057142857142857E-2</v>
      </c>
    </row>
    <row r="345" spans="1:5" x14ac:dyDescent="0.25">
      <c r="A345" s="4" t="s">
        <v>0</v>
      </c>
      <c r="B345" s="4" t="s">
        <v>1102</v>
      </c>
      <c r="C345" s="4">
        <v>70</v>
      </c>
      <c r="D345" s="4">
        <v>70</v>
      </c>
      <c r="E345" s="13">
        <v>2.0057142857142857E-2</v>
      </c>
    </row>
    <row r="346" spans="1:5" x14ac:dyDescent="0.25">
      <c r="A346" s="4" t="s">
        <v>228</v>
      </c>
      <c r="B346" s="4" t="s">
        <v>1102</v>
      </c>
      <c r="C346" s="4">
        <v>70</v>
      </c>
      <c r="D346" s="4">
        <v>70</v>
      </c>
      <c r="E346" s="13">
        <v>2.0057142857142857E-2</v>
      </c>
    </row>
    <row r="347" spans="1:5" x14ac:dyDescent="0.25">
      <c r="A347" s="4" t="s">
        <v>1079</v>
      </c>
      <c r="B347" s="4" t="s">
        <v>1102</v>
      </c>
      <c r="C347" s="4">
        <v>70</v>
      </c>
      <c r="D347" s="4">
        <v>70</v>
      </c>
      <c r="E347" s="13">
        <v>2.0057142857142857E-2</v>
      </c>
    </row>
    <row r="348" spans="1:5" x14ac:dyDescent="0.25">
      <c r="A348" s="4" t="s">
        <v>0</v>
      </c>
      <c r="B348" s="4" t="s">
        <v>1103</v>
      </c>
      <c r="C348" s="4">
        <v>70</v>
      </c>
      <c r="D348" s="4">
        <v>70</v>
      </c>
      <c r="E348" s="13">
        <v>2.0057142857142857E-2</v>
      </c>
    </row>
    <row r="349" spans="1:5" x14ac:dyDescent="0.25">
      <c r="A349" s="4" t="s">
        <v>228</v>
      </c>
      <c r="B349" s="4" t="s">
        <v>1103</v>
      </c>
      <c r="C349" s="4">
        <v>70</v>
      </c>
      <c r="D349" s="4">
        <v>70</v>
      </c>
      <c r="E349" s="13">
        <v>2.0057142857142857E-2</v>
      </c>
    </row>
    <row r="350" spans="1:5" x14ac:dyDescent="0.25">
      <c r="A350" s="4" t="s">
        <v>1079</v>
      </c>
      <c r="B350" s="4" t="s">
        <v>1103</v>
      </c>
      <c r="C350" s="4">
        <v>70</v>
      </c>
      <c r="D350" s="4">
        <v>70</v>
      </c>
      <c r="E350" s="13">
        <v>2.0057142857142857E-2</v>
      </c>
    </row>
    <row r="351" spans="1:5" x14ac:dyDescent="0.25">
      <c r="A351" s="4" t="s">
        <v>0</v>
      </c>
      <c r="B351" s="4" t="s">
        <v>1104</v>
      </c>
      <c r="C351" s="4">
        <v>70</v>
      </c>
      <c r="D351" s="4">
        <v>70</v>
      </c>
      <c r="E351" s="13">
        <v>2.0057142857142857E-2</v>
      </c>
    </row>
    <row r="352" spans="1:5" x14ac:dyDescent="0.25">
      <c r="A352" s="4" t="s">
        <v>228</v>
      </c>
      <c r="B352" s="4" t="s">
        <v>1104</v>
      </c>
      <c r="C352" s="4">
        <v>70</v>
      </c>
      <c r="D352" s="4">
        <v>70</v>
      </c>
      <c r="E352" s="13">
        <v>2.0057142857142857E-2</v>
      </c>
    </row>
    <row r="353" spans="1:5" x14ac:dyDescent="0.25">
      <c r="A353" s="4" t="s">
        <v>1079</v>
      </c>
      <c r="B353" s="4" t="s">
        <v>1104</v>
      </c>
      <c r="C353" s="4">
        <v>70</v>
      </c>
      <c r="D353" s="4">
        <v>70</v>
      </c>
      <c r="E353" s="13">
        <v>2.0057142857142857E-2</v>
      </c>
    </row>
    <row r="354" spans="1:5" x14ac:dyDescent="0.25">
      <c r="A354" s="4" t="s">
        <v>0</v>
      </c>
      <c r="B354" s="4" t="s">
        <v>1105</v>
      </c>
      <c r="C354" s="4">
        <v>70</v>
      </c>
      <c r="D354" s="4">
        <v>70</v>
      </c>
      <c r="E354" s="13">
        <v>2.0057142857142857E-2</v>
      </c>
    </row>
    <row r="355" spans="1:5" x14ac:dyDescent="0.25">
      <c r="A355" s="4" t="s">
        <v>228</v>
      </c>
      <c r="B355" s="4" t="s">
        <v>1105</v>
      </c>
      <c r="C355" s="4">
        <v>70</v>
      </c>
      <c r="D355" s="4">
        <v>70</v>
      </c>
      <c r="E355" s="13">
        <v>2.0057142857142857E-2</v>
      </c>
    </row>
    <row r="356" spans="1:5" x14ac:dyDescent="0.25">
      <c r="A356" s="4" t="s">
        <v>1079</v>
      </c>
      <c r="B356" s="4" t="s">
        <v>1105</v>
      </c>
      <c r="C356" s="4">
        <v>70</v>
      </c>
      <c r="D356" s="4">
        <v>70</v>
      </c>
      <c r="E356" s="13">
        <v>2.0057142857142857E-2</v>
      </c>
    </row>
    <row r="357" spans="1:5" x14ac:dyDescent="0.25">
      <c r="A357" s="4" t="s">
        <v>0</v>
      </c>
      <c r="B357" s="4" t="s">
        <v>1106</v>
      </c>
      <c r="C357" s="4">
        <v>70</v>
      </c>
      <c r="D357" s="4">
        <v>70</v>
      </c>
      <c r="E357" s="13">
        <v>2.0057142857142857E-2</v>
      </c>
    </row>
    <row r="358" spans="1:5" x14ac:dyDescent="0.25">
      <c r="A358" s="4" t="s">
        <v>228</v>
      </c>
      <c r="B358" s="4" t="s">
        <v>1106</v>
      </c>
      <c r="C358" s="4">
        <v>70</v>
      </c>
      <c r="D358" s="4">
        <v>70</v>
      </c>
      <c r="E358" s="13">
        <v>2.0057142857142857E-2</v>
      </c>
    </row>
    <row r="359" spans="1:5" x14ac:dyDescent="0.25">
      <c r="A359" s="4" t="s">
        <v>1079</v>
      </c>
      <c r="B359" s="4" t="s">
        <v>1106</v>
      </c>
      <c r="C359" s="4">
        <v>70</v>
      </c>
      <c r="D359" s="4">
        <v>70</v>
      </c>
      <c r="E359" s="13">
        <v>2.0057142857142857E-2</v>
      </c>
    </row>
    <row r="360" spans="1:5" x14ac:dyDescent="0.25">
      <c r="A360" s="4" t="s">
        <v>0</v>
      </c>
      <c r="B360" s="4" t="s">
        <v>1107</v>
      </c>
      <c r="C360" s="4">
        <v>70</v>
      </c>
      <c r="D360" s="4">
        <v>70</v>
      </c>
      <c r="E360" s="13">
        <v>2.0057142857142857E-2</v>
      </c>
    </row>
    <row r="361" spans="1:5" x14ac:dyDescent="0.25">
      <c r="A361" s="4" t="s">
        <v>228</v>
      </c>
      <c r="B361" s="4" t="s">
        <v>1107</v>
      </c>
      <c r="C361" s="4">
        <v>70</v>
      </c>
      <c r="D361" s="4">
        <v>70</v>
      </c>
      <c r="E361" s="13">
        <v>2.0057142857142857E-2</v>
      </c>
    </row>
    <row r="362" spans="1:5" x14ac:dyDescent="0.25">
      <c r="A362" s="4" t="s">
        <v>1079</v>
      </c>
      <c r="B362" s="4" t="s">
        <v>1107</v>
      </c>
      <c r="C362" s="4">
        <v>70</v>
      </c>
      <c r="D362" s="4">
        <v>70</v>
      </c>
      <c r="E362" s="13">
        <v>2.0057142857142857E-2</v>
      </c>
    </row>
    <row r="363" spans="1:5" x14ac:dyDescent="0.25">
      <c r="A363" s="4" t="s">
        <v>0</v>
      </c>
      <c r="B363" s="4" t="s">
        <v>1108</v>
      </c>
      <c r="C363" s="4">
        <v>70</v>
      </c>
      <c r="D363" s="4">
        <v>70</v>
      </c>
      <c r="E363" s="13">
        <v>2.0057142857142857E-2</v>
      </c>
    </row>
    <row r="364" spans="1:5" x14ac:dyDescent="0.25">
      <c r="A364" s="4" t="s">
        <v>228</v>
      </c>
      <c r="B364" s="4" t="s">
        <v>1108</v>
      </c>
      <c r="C364" s="4">
        <v>70</v>
      </c>
      <c r="D364" s="4">
        <v>70</v>
      </c>
      <c r="E364" s="13">
        <v>2.0057142857142857E-2</v>
      </c>
    </row>
    <row r="365" spans="1:5" x14ac:dyDescent="0.25">
      <c r="A365" s="4" t="s">
        <v>1079</v>
      </c>
      <c r="B365" s="4" t="s">
        <v>1108</v>
      </c>
      <c r="C365" s="4">
        <v>70</v>
      </c>
      <c r="D365" s="4">
        <v>70</v>
      </c>
      <c r="E365" s="13">
        <v>2.0057142857142857E-2</v>
      </c>
    </row>
    <row r="366" spans="1:5" x14ac:dyDescent="0.25">
      <c r="A366" s="4" t="s">
        <v>940</v>
      </c>
      <c r="B366" s="4" t="s">
        <v>1109</v>
      </c>
      <c r="C366" s="4">
        <v>90</v>
      </c>
      <c r="D366" s="4">
        <v>80</v>
      </c>
      <c r="E366" s="13">
        <v>9.8972222222222205E-3</v>
      </c>
    </row>
    <row r="367" spans="1:5" x14ac:dyDescent="0.25">
      <c r="A367" s="4" t="s">
        <v>1069</v>
      </c>
      <c r="B367" s="4" t="s">
        <v>1109</v>
      </c>
      <c r="C367" s="4">
        <v>90</v>
      </c>
      <c r="D367" s="4">
        <v>80</v>
      </c>
      <c r="E367" s="13">
        <v>9.8972222222222205E-3</v>
      </c>
    </row>
    <row r="368" spans="1:5" x14ac:dyDescent="0.25">
      <c r="A368" s="4" t="s">
        <v>1070</v>
      </c>
      <c r="B368" s="4" t="s">
        <v>1109</v>
      </c>
      <c r="C368" s="4">
        <v>90</v>
      </c>
      <c r="D368" s="4">
        <v>80</v>
      </c>
      <c r="E368" s="13">
        <v>9.8972222222222205E-3</v>
      </c>
    </row>
    <row r="369" spans="1:5" x14ac:dyDescent="0.25">
      <c r="A369" s="4" t="s">
        <v>1071</v>
      </c>
      <c r="B369" s="4" t="s">
        <v>1109</v>
      </c>
      <c r="C369" s="4">
        <v>90</v>
      </c>
      <c r="D369" s="4">
        <v>80</v>
      </c>
      <c r="E369" s="13">
        <v>9.8972222222222205E-3</v>
      </c>
    </row>
    <row r="370" spans="1:5" x14ac:dyDescent="0.25">
      <c r="A370" s="4" t="s">
        <v>1072</v>
      </c>
      <c r="B370" s="4" t="s">
        <v>1109</v>
      </c>
      <c r="C370" s="4">
        <v>90</v>
      </c>
      <c r="D370" s="4">
        <v>80</v>
      </c>
      <c r="E370" s="13">
        <v>9.8972222222222205E-3</v>
      </c>
    </row>
    <row r="371" spans="1:5" x14ac:dyDescent="0.25">
      <c r="A371" s="4" t="s">
        <v>1073</v>
      </c>
      <c r="B371" s="4" t="s">
        <v>1109</v>
      </c>
      <c r="C371" s="4">
        <v>90</v>
      </c>
      <c r="D371" s="4">
        <v>80</v>
      </c>
      <c r="E371" s="13">
        <v>1.131111111111111E-2</v>
      </c>
    </row>
    <row r="372" spans="1:5" x14ac:dyDescent="0.25">
      <c r="A372" s="4" t="s">
        <v>1074</v>
      </c>
      <c r="B372" s="4" t="s">
        <v>1109</v>
      </c>
      <c r="C372" s="4">
        <v>90</v>
      </c>
      <c r="D372" s="4">
        <v>80</v>
      </c>
      <c r="E372" s="13">
        <v>1.8380555555555556E-2</v>
      </c>
    </row>
    <row r="373" spans="1:5" x14ac:dyDescent="0.25">
      <c r="A373" s="4" t="s">
        <v>1075</v>
      </c>
      <c r="B373" s="4" t="s">
        <v>1109</v>
      </c>
      <c r="C373" s="4">
        <v>90</v>
      </c>
      <c r="D373" s="4">
        <v>80</v>
      </c>
      <c r="E373" s="13">
        <v>1.8380555555555556E-2</v>
      </c>
    </row>
    <row r="374" spans="1:5" x14ac:dyDescent="0.25">
      <c r="A374" s="4" t="s">
        <v>1076</v>
      </c>
      <c r="B374" s="4" t="s">
        <v>1109</v>
      </c>
      <c r="C374" s="4">
        <v>90</v>
      </c>
      <c r="D374" s="4">
        <v>80</v>
      </c>
      <c r="E374" s="13">
        <v>2.1208333333333333E-2</v>
      </c>
    </row>
    <row r="375" spans="1:5" x14ac:dyDescent="0.25">
      <c r="A375" s="4" t="s">
        <v>1077</v>
      </c>
      <c r="B375" s="4" t="s">
        <v>1109</v>
      </c>
      <c r="C375" s="4">
        <v>100</v>
      </c>
      <c r="D375" s="4">
        <v>80</v>
      </c>
      <c r="E375" s="13">
        <v>2.8665E-2</v>
      </c>
    </row>
    <row r="376" spans="1:5" x14ac:dyDescent="0.25">
      <c r="A376" s="4" t="s">
        <v>1078</v>
      </c>
      <c r="B376" s="4" t="s">
        <v>1109</v>
      </c>
      <c r="C376" s="4">
        <v>100</v>
      </c>
      <c r="D376" s="4">
        <v>80</v>
      </c>
      <c r="E376" s="13">
        <v>3.07125E-2</v>
      </c>
    </row>
    <row r="377" spans="1:5" x14ac:dyDescent="0.25">
      <c r="A377" s="4" t="s">
        <v>0</v>
      </c>
      <c r="B377" s="4" t="s">
        <v>1109</v>
      </c>
      <c r="C377" s="4">
        <v>120</v>
      </c>
      <c r="D377" s="4">
        <v>80</v>
      </c>
      <c r="E377" s="13">
        <v>2.3887499999999999E-2</v>
      </c>
    </row>
    <row r="378" spans="1:5" x14ac:dyDescent="0.25">
      <c r="A378" s="4" t="s">
        <v>228</v>
      </c>
      <c r="B378" s="4" t="s">
        <v>1109</v>
      </c>
      <c r="C378" s="4">
        <v>120</v>
      </c>
      <c r="D378" s="4">
        <v>80</v>
      </c>
      <c r="E378" s="13">
        <v>3.0712499999999997E-2</v>
      </c>
    </row>
    <row r="379" spans="1:5" x14ac:dyDescent="0.25">
      <c r="A379" s="4" t="s">
        <v>1079</v>
      </c>
      <c r="B379" s="4" t="s">
        <v>1109</v>
      </c>
      <c r="C379" s="4">
        <v>130</v>
      </c>
      <c r="D379" s="4">
        <v>80</v>
      </c>
      <c r="E379" s="13">
        <v>3.1499999999999993E-2</v>
      </c>
    </row>
    <row r="380" spans="1:5" x14ac:dyDescent="0.25">
      <c r="A380" s="4" t="s">
        <v>0</v>
      </c>
      <c r="B380" s="4" t="s">
        <v>1110</v>
      </c>
      <c r="C380" s="4">
        <v>70</v>
      </c>
      <c r="D380" s="4">
        <v>70</v>
      </c>
      <c r="E380" s="13">
        <v>2.0057142857142857E-2</v>
      </c>
    </row>
    <row r="381" spans="1:5" x14ac:dyDescent="0.25">
      <c r="A381" s="4" t="s">
        <v>228</v>
      </c>
      <c r="B381" s="4" t="s">
        <v>1110</v>
      </c>
      <c r="C381" s="4">
        <v>70</v>
      </c>
      <c r="D381" s="4">
        <v>70</v>
      </c>
      <c r="E381" s="13">
        <v>2.0057142857142857E-2</v>
      </c>
    </row>
    <row r="382" spans="1:5" x14ac:dyDescent="0.25">
      <c r="A382" s="4" t="s">
        <v>1079</v>
      </c>
      <c r="B382" s="4" t="s">
        <v>1110</v>
      </c>
      <c r="C382" s="4">
        <v>70</v>
      </c>
      <c r="D382" s="4">
        <v>70</v>
      </c>
      <c r="E382" s="13">
        <v>2.0057142857142857E-2</v>
      </c>
    </row>
    <row r="383" spans="1:5" x14ac:dyDescent="0.25">
      <c r="A383" s="4" t="s">
        <v>0</v>
      </c>
      <c r="B383" s="4" t="s">
        <v>1111</v>
      </c>
      <c r="C383" s="4">
        <v>70</v>
      </c>
      <c r="D383" s="4">
        <v>70</v>
      </c>
      <c r="E383" s="13">
        <v>2.0057142857142857E-2</v>
      </c>
    </row>
    <row r="384" spans="1:5" x14ac:dyDescent="0.25">
      <c r="A384" s="4" t="s">
        <v>228</v>
      </c>
      <c r="B384" s="4" t="s">
        <v>1111</v>
      </c>
      <c r="C384" s="4">
        <v>70</v>
      </c>
      <c r="D384" s="4">
        <v>70</v>
      </c>
      <c r="E384" s="13">
        <v>2.0057142857142857E-2</v>
      </c>
    </row>
    <row r="385" spans="1:5" x14ac:dyDescent="0.25">
      <c r="A385" s="4" t="s">
        <v>1079</v>
      </c>
      <c r="B385" s="4" t="s">
        <v>1111</v>
      </c>
      <c r="C385" s="4">
        <v>70</v>
      </c>
      <c r="D385" s="4">
        <v>70</v>
      </c>
      <c r="E385" s="13">
        <v>2.0057142857142857E-2</v>
      </c>
    </row>
    <row r="386" spans="1:5" x14ac:dyDescent="0.25">
      <c r="A386" s="4" t="s">
        <v>0</v>
      </c>
      <c r="B386" s="4" t="s">
        <v>1112</v>
      </c>
      <c r="C386" s="4">
        <v>70</v>
      </c>
      <c r="D386" s="4">
        <v>70</v>
      </c>
      <c r="E386" s="13">
        <v>2.0057142857142857E-2</v>
      </c>
    </row>
    <row r="387" spans="1:5" x14ac:dyDescent="0.25">
      <c r="A387" s="4" t="s">
        <v>228</v>
      </c>
      <c r="B387" s="4" t="s">
        <v>1112</v>
      </c>
      <c r="C387" s="4">
        <v>70</v>
      </c>
      <c r="D387" s="4">
        <v>70</v>
      </c>
      <c r="E387" s="13">
        <v>2.0057142857142857E-2</v>
      </c>
    </row>
    <row r="388" spans="1:5" x14ac:dyDescent="0.25">
      <c r="A388" s="4" t="s">
        <v>1079</v>
      </c>
      <c r="B388" s="4" t="s">
        <v>1112</v>
      </c>
      <c r="C388" s="4">
        <v>70</v>
      </c>
      <c r="D388" s="4">
        <v>70</v>
      </c>
      <c r="E388" s="13">
        <v>2.0057142857142857E-2</v>
      </c>
    </row>
    <row r="389" spans="1:5" x14ac:dyDescent="0.25">
      <c r="A389" s="4" t="s">
        <v>0</v>
      </c>
      <c r="B389" s="4" t="s">
        <v>1113</v>
      </c>
      <c r="C389" s="4">
        <v>70</v>
      </c>
      <c r="D389" s="4">
        <v>70</v>
      </c>
      <c r="E389" s="13">
        <v>2.0057142857142857E-2</v>
      </c>
    </row>
    <row r="390" spans="1:5" x14ac:dyDescent="0.25">
      <c r="A390" s="4" t="s">
        <v>228</v>
      </c>
      <c r="B390" s="4" t="s">
        <v>1113</v>
      </c>
      <c r="C390" s="4">
        <v>70</v>
      </c>
      <c r="D390" s="4">
        <v>70</v>
      </c>
      <c r="E390" s="13">
        <v>2.0057142857142857E-2</v>
      </c>
    </row>
    <row r="391" spans="1:5" x14ac:dyDescent="0.25">
      <c r="A391" s="4" t="s">
        <v>1079</v>
      </c>
      <c r="B391" s="4" t="s">
        <v>1113</v>
      </c>
      <c r="C391" s="4">
        <v>70</v>
      </c>
      <c r="D391" s="4">
        <v>70</v>
      </c>
      <c r="E391" s="13">
        <v>2.0057142857142857E-2</v>
      </c>
    </row>
    <row r="392" spans="1:5" x14ac:dyDescent="0.25">
      <c r="A392" s="4" t="s">
        <v>0</v>
      </c>
      <c r="B392" s="4" t="s">
        <v>1114</v>
      </c>
      <c r="C392" s="4">
        <v>70</v>
      </c>
      <c r="D392" s="4">
        <v>70</v>
      </c>
      <c r="E392" s="13">
        <v>2.0057142857142857E-2</v>
      </c>
    </row>
    <row r="393" spans="1:5" x14ac:dyDescent="0.25">
      <c r="A393" s="4" t="s">
        <v>228</v>
      </c>
      <c r="B393" s="4" t="s">
        <v>1114</v>
      </c>
      <c r="C393" s="4">
        <v>70</v>
      </c>
      <c r="D393" s="4">
        <v>70</v>
      </c>
      <c r="E393" s="13">
        <v>2.0057142857142857E-2</v>
      </c>
    </row>
    <row r="394" spans="1:5" x14ac:dyDescent="0.25">
      <c r="A394" s="4" t="s">
        <v>1079</v>
      </c>
      <c r="B394" s="4" t="s">
        <v>1114</v>
      </c>
      <c r="C394" s="4">
        <v>70</v>
      </c>
      <c r="D394" s="4">
        <v>70</v>
      </c>
      <c r="E394" s="13">
        <v>2.0057142857142857E-2</v>
      </c>
    </row>
    <row r="395" spans="1:5" x14ac:dyDescent="0.25">
      <c r="A395" s="4" t="s">
        <v>0</v>
      </c>
      <c r="B395" s="4" t="s">
        <v>1115</v>
      </c>
      <c r="C395" s="4">
        <v>70</v>
      </c>
      <c r="D395" s="4">
        <v>70</v>
      </c>
      <c r="E395" s="13">
        <v>2.0057142857142857E-2</v>
      </c>
    </row>
    <row r="396" spans="1:5" x14ac:dyDescent="0.25">
      <c r="A396" s="4" t="s">
        <v>228</v>
      </c>
      <c r="B396" s="4" t="s">
        <v>1115</v>
      </c>
      <c r="C396" s="4">
        <v>70</v>
      </c>
      <c r="D396" s="4">
        <v>70</v>
      </c>
      <c r="E396" s="13">
        <v>2.0057142857142857E-2</v>
      </c>
    </row>
    <row r="397" spans="1:5" x14ac:dyDescent="0.25">
      <c r="A397" s="4" t="s">
        <v>1079</v>
      </c>
      <c r="B397" s="4" t="s">
        <v>1115</v>
      </c>
      <c r="C397" s="4">
        <v>70</v>
      </c>
      <c r="D397" s="4">
        <v>70</v>
      </c>
      <c r="E397" s="13">
        <v>2.0057142857142857E-2</v>
      </c>
    </row>
    <row r="398" spans="1:5" x14ac:dyDescent="0.25">
      <c r="A398" s="4" t="s">
        <v>0</v>
      </c>
      <c r="B398" s="4" t="s">
        <v>1116</v>
      </c>
      <c r="C398" s="4">
        <v>70</v>
      </c>
      <c r="D398" s="4">
        <v>70</v>
      </c>
      <c r="E398" s="13">
        <v>2.0057142857142857E-2</v>
      </c>
    </row>
    <row r="399" spans="1:5" x14ac:dyDescent="0.25">
      <c r="A399" s="4" t="s">
        <v>228</v>
      </c>
      <c r="B399" s="4" t="s">
        <v>1116</v>
      </c>
      <c r="C399" s="4">
        <v>70</v>
      </c>
      <c r="D399" s="4">
        <v>70</v>
      </c>
      <c r="E399" s="13">
        <v>2.0057142857142857E-2</v>
      </c>
    </row>
    <row r="400" spans="1:5" x14ac:dyDescent="0.25">
      <c r="A400" s="4" t="s">
        <v>1079</v>
      </c>
      <c r="B400" s="4" t="s">
        <v>1116</v>
      </c>
      <c r="C400" s="4">
        <v>70</v>
      </c>
      <c r="D400" s="4">
        <v>70</v>
      </c>
      <c r="E400" s="13">
        <v>2.0057142857142857E-2</v>
      </c>
    </row>
    <row r="401" spans="1:5" x14ac:dyDescent="0.25">
      <c r="A401" s="4" t="s">
        <v>0</v>
      </c>
      <c r="B401" s="4" t="s">
        <v>1117</v>
      </c>
      <c r="C401" s="4">
        <v>70</v>
      </c>
      <c r="D401" s="4">
        <v>70</v>
      </c>
      <c r="E401" s="13">
        <v>2.0057142857142857E-2</v>
      </c>
    </row>
    <row r="402" spans="1:5" x14ac:dyDescent="0.25">
      <c r="A402" s="4" t="s">
        <v>228</v>
      </c>
      <c r="B402" s="4" t="s">
        <v>1117</v>
      </c>
      <c r="C402" s="4">
        <v>70</v>
      </c>
      <c r="D402" s="4">
        <v>70</v>
      </c>
      <c r="E402" s="13">
        <v>2.0057142857142857E-2</v>
      </c>
    </row>
    <row r="403" spans="1:5" x14ac:dyDescent="0.25">
      <c r="A403" s="4" t="s">
        <v>1079</v>
      </c>
      <c r="B403" s="4" t="s">
        <v>1117</v>
      </c>
      <c r="C403" s="4">
        <v>70</v>
      </c>
      <c r="D403" s="4">
        <v>70</v>
      </c>
      <c r="E403" s="13">
        <v>2.0057142857142857E-2</v>
      </c>
    </row>
    <row r="404" spans="1:5" x14ac:dyDescent="0.25">
      <c r="A404" s="4" t="s">
        <v>0</v>
      </c>
      <c r="B404" s="4" t="s">
        <v>1118</v>
      </c>
      <c r="C404" s="4">
        <v>70</v>
      </c>
      <c r="D404" s="4">
        <v>70</v>
      </c>
      <c r="E404" s="13">
        <v>2.0057142857142857E-2</v>
      </c>
    </row>
    <row r="405" spans="1:5" x14ac:dyDescent="0.25">
      <c r="A405" s="4" t="s">
        <v>228</v>
      </c>
      <c r="B405" s="4" t="s">
        <v>1118</v>
      </c>
      <c r="C405" s="4">
        <v>70</v>
      </c>
      <c r="D405" s="4">
        <v>70</v>
      </c>
      <c r="E405" s="13">
        <v>2.0057142857142857E-2</v>
      </c>
    </row>
    <row r="406" spans="1:5" x14ac:dyDescent="0.25">
      <c r="A406" s="4" t="s">
        <v>1079</v>
      </c>
      <c r="B406" s="4" t="s">
        <v>1118</v>
      </c>
      <c r="C406" s="4">
        <v>70</v>
      </c>
      <c r="D406" s="4">
        <v>70</v>
      </c>
      <c r="E406" s="13">
        <v>2.0057142857142857E-2</v>
      </c>
    </row>
    <row r="407" spans="1:5" x14ac:dyDescent="0.25">
      <c r="A407" s="4" t="s">
        <v>0</v>
      </c>
      <c r="B407" s="4" t="s">
        <v>1119</v>
      </c>
      <c r="C407" s="4">
        <v>70</v>
      </c>
      <c r="D407" s="4">
        <v>70</v>
      </c>
      <c r="E407" s="13">
        <v>2.0057142857142857E-2</v>
      </c>
    </row>
    <row r="408" spans="1:5" x14ac:dyDescent="0.25">
      <c r="A408" s="4" t="s">
        <v>228</v>
      </c>
      <c r="B408" s="4" t="s">
        <v>1119</v>
      </c>
      <c r="C408" s="4">
        <v>70</v>
      </c>
      <c r="D408" s="4">
        <v>70</v>
      </c>
      <c r="E408" s="13">
        <v>2.0057142857142857E-2</v>
      </c>
    </row>
    <row r="409" spans="1:5" x14ac:dyDescent="0.25">
      <c r="A409" s="4" t="s">
        <v>1079</v>
      </c>
      <c r="B409" s="4" t="s">
        <v>1119</v>
      </c>
      <c r="C409" s="4">
        <v>70</v>
      </c>
      <c r="D409" s="4">
        <v>70</v>
      </c>
      <c r="E409" s="13">
        <v>2.0057142857142857E-2</v>
      </c>
    </row>
    <row r="410" spans="1:5" x14ac:dyDescent="0.25">
      <c r="A410" s="4" t="s">
        <v>940</v>
      </c>
      <c r="B410" s="4" t="s">
        <v>1120</v>
      </c>
      <c r="C410" s="4">
        <v>90</v>
      </c>
      <c r="D410" s="4">
        <v>80</v>
      </c>
      <c r="E410" s="13">
        <v>9.8972222222222205E-3</v>
      </c>
    </row>
    <row r="411" spans="1:5" x14ac:dyDescent="0.25">
      <c r="A411" s="4" t="s">
        <v>1069</v>
      </c>
      <c r="B411" s="4" t="s">
        <v>1120</v>
      </c>
      <c r="C411" s="4">
        <v>90</v>
      </c>
      <c r="D411" s="4">
        <v>80</v>
      </c>
      <c r="E411" s="13">
        <v>9.8972222222222205E-3</v>
      </c>
    </row>
    <row r="412" spans="1:5" x14ac:dyDescent="0.25">
      <c r="A412" s="4" t="s">
        <v>1070</v>
      </c>
      <c r="B412" s="4" t="s">
        <v>1120</v>
      </c>
      <c r="C412" s="4">
        <v>90</v>
      </c>
      <c r="D412" s="4">
        <v>80</v>
      </c>
      <c r="E412" s="13">
        <v>9.8972222222222205E-3</v>
      </c>
    </row>
    <row r="413" spans="1:5" x14ac:dyDescent="0.25">
      <c r="A413" s="4" t="s">
        <v>1071</v>
      </c>
      <c r="B413" s="4" t="s">
        <v>1120</v>
      </c>
      <c r="C413" s="4">
        <v>90</v>
      </c>
      <c r="D413" s="4">
        <v>80</v>
      </c>
      <c r="E413" s="13">
        <v>9.8972222222222205E-3</v>
      </c>
    </row>
    <row r="414" spans="1:5" x14ac:dyDescent="0.25">
      <c r="A414" s="4" t="s">
        <v>1072</v>
      </c>
      <c r="B414" s="4" t="s">
        <v>1120</v>
      </c>
      <c r="C414" s="4">
        <v>90</v>
      </c>
      <c r="D414" s="4">
        <v>80</v>
      </c>
      <c r="E414" s="13">
        <v>9.8972222222222205E-3</v>
      </c>
    </row>
    <row r="415" spans="1:5" x14ac:dyDescent="0.25">
      <c r="A415" s="4" t="s">
        <v>1073</v>
      </c>
      <c r="B415" s="4" t="s">
        <v>1120</v>
      </c>
      <c r="C415" s="4">
        <v>90</v>
      </c>
      <c r="D415" s="4">
        <v>80</v>
      </c>
      <c r="E415" s="13">
        <v>1.4138888888888888E-2</v>
      </c>
    </row>
    <row r="416" spans="1:5" x14ac:dyDescent="0.25">
      <c r="A416" s="4" t="s">
        <v>1074</v>
      </c>
      <c r="B416" s="4" t="s">
        <v>1120</v>
      </c>
      <c r="C416" s="4">
        <v>90</v>
      </c>
      <c r="D416" s="4">
        <v>80</v>
      </c>
      <c r="E416" s="13">
        <v>2.2749999999999996E-2</v>
      </c>
    </row>
    <row r="417" spans="1:5" x14ac:dyDescent="0.25">
      <c r="A417" s="4" t="s">
        <v>1075</v>
      </c>
      <c r="B417" s="4" t="s">
        <v>1120</v>
      </c>
      <c r="C417" s="4">
        <v>90</v>
      </c>
      <c r="D417" s="4">
        <v>80</v>
      </c>
      <c r="E417" s="13">
        <v>2.2749999999999996E-2</v>
      </c>
    </row>
    <row r="418" spans="1:5" x14ac:dyDescent="0.25">
      <c r="A418" s="4" t="s">
        <v>1076</v>
      </c>
      <c r="B418" s="4" t="s">
        <v>1120</v>
      </c>
      <c r="C418" s="4">
        <v>90</v>
      </c>
      <c r="D418" s="4">
        <v>80</v>
      </c>
      <c r="E418" s="13">
        <v>2.7300000000000001E-2</v>
      </c>
    </row>
    <row r="419" spans="1:5" x14ac:dyDescent="0.25">
      <c r="A419" s="4" t="s">
        <v>1077</v>
      </c>
      <c r="B419" s="4" t="s">
        <v>1120</v>
      </c>
      <c r="C419" s="4">
        <v>100</v>
      </c>
      <c r="D419" s="4">
        <v>80</v>
      </c>
      <c r="E419" s="13">
        <v>4.0949999999999993E-2</v>
      </c>
    </row>
    <row r="420" spans="1:5" x14ac:dyDescent="0.25">
      <c r="A420" s="4" t="s">
        <v>1078</v>
      </c>
      <c r="B420" s="4" t="s">
        <v>1120</v>
      </c>
      <c r="C420" s="4">
        <v>100</v>
      </c>
      <c r="D420" s="4">
        <v>80</v>
      </c>
      <c r="E420" s="13">
        <v>4.0949999999999993E-2</v>
      </c>
    </row>
    <row r="421" spans="1:5" x14ac:dyDescent="0.25">
      <c r="A421" s="4" t="s">
        <v>0</v>
      </c>
      <c r="B421" s="4" t="s">
        <v>1120</v>
      </c>
      <c r="C421" s="4">
        <v>120</v>
      </c>
      <c r="D421" s="4">
        <v>80</v>
      </c>
      <c r="E421" s="13">
        <v>3.9243749999999994E-2</v>
      </c>
    </row>
    <row r="422" spans="1:5" x14ac:dyDescent="0.25">
      <c r="A422" s="4" t="s">
        <v>228</v>
      </c>
      <c r="B422" s="4" t="s">
        <v>1120</v>
      </c>
      <c r="C422" s="4">
        <v>135</v>
      </c>
      <c r="D422" s="4">
        <v>80</v>
      </c>
      <c r="E422" s="13">
        <v>3.4883333333333329E-2</v>
      </c>
    </row>
    <row r="423" spans="1:5" x14ac:dyDescent="0.25">
      <c r="A423" s="4" t="s">
        <v>1079</v>
      </c>
      <c r="B423" s="4" t="s">
        <v>1120</v>
      </c>
      <c r="C423" s="4">
        <v>145</v>
      </c>
      <c r="D423" s="4">
        <v>80</v>
      </c>
      <c r="E423" s="13">
        <v>3.6713793103448272E-2</v>
      </c>
    </row>
    <row r="424" spans="1:5" x14ac:dyDescent="0.25">
      <c r="A424" s="4" t="s">
        <v>0</v>
      </c>
      <c r="B424" s="4" t="s">
        <v>1121</v>
      </c>
      <c r="C424" s="4">
        <v>70</v>
      </c>
      <c r="D424" s="4">
        <v>70</v>
      </c>
      <c r="E424" s="13">
        <v>2.0057142857142857E-2</v>
      </c>
    </row>
    <row r="425" spans="1:5" x14ac:dyDescent="0.25">
      <c r="A425" s="4" t="s">
        <v>228</v>
      </c>
      <c r="B425" s="4" t="s">
        <v>1121</v>
      </c>
      <c r="C425" s="4">
        <v>70</v>
      </c>
      <c r="D425" s="4">
        <v>70</v>
      </c>
      <c r="E425" s="13">
        <v>2.0057142857142857E-2</v>
      </c>
    </row>
    <row r="426" spans="1:5" x14ac:dyDescent="0.25">
      <c r="A426" s="4" t="s">
        <v>1079</v>
      </c>
      <c r="B426" s="4" t="s">
        <v>1121</v>
      </c>
      <c r="C426" s="4">
        <v>70</v>
      </c>
      <c r="D426" s="4">
        <v>70</v>
      </c>
      <c r="E426" s="13">
        <v>2.0057142857142857E-2</v>
      </c>
    </row>
    <row r="427" spans="1:5" x14ac:dyDescent="0.25">
      <c r="A427" s="4" t="s">
        <v>940</v>
      </c>
      <c r="B427" s="4" t="s">
        <v>1122</v>
      </c>
      <c r="C427" s="4">
        <v>90</v>
      </c>
      <c r="D427" s="4">
        <v>80</v>
      </c>
      <c r="E427" s="13">
        <v>9.8972222222222205E-3</v>
      </c>
    </row>
    <row r="428" spans="1:5" x14ac:dyDescent="0.25">
      <c r="A428" s="4" t="s">
        <v>1069</v>
      </c>
      <c r="B428" s="4" t="s">
        <v>1122</v>
      </c>
      <c r="C428" s="4">
        <v>90</v>
      </c>
      <c r="D428" s="4">
        <v>80</v>
      </c>
      <c r="E428" s="13">
        <v>9.8972222222222205E-3</v>
      </c>
    </row>
    <row r="429" spans="1:5" x14ac:dyDescent="0.25">
      <c r="A429" s="4" t="s">
        <v>1070</v>
      </c>
      <c r="B429" s="4" t="s">
        <v>1122</v>
      </c>
      <c r="C429" s="4">
        <v>90</v>
      </c>
      <c r="D429" s="4">
        <v>80</v>
      </c>
      <c r="E429" s="13">
        <v>9.8972222222222205E-3</v>
      </c>
    </row>
    <row r="430" spans="1:5" x14ac:dyDescent="0.25">
      <c r="A430" s="4" t="s">
        <v>1071</v>
      </c>
      <c r="B430" s="4" t="s">
        <v>1122</v>
      </c>
      <c r="C430" s="4">
        <v>90</v>
      </c>
      <c r="D430" s="4">
        <v>80</v>
      </c>
      <c r="E430" s="13">
        <v>9.8972222222222205E-3</v>
      </c>
    </row>
    <row r="431" spans="1:5" x14ac:dyDescent="0.25">
      <c r="A431" s="4" t="s">
        <v>1072</v>
      </c>
      <c r="B431" s="4" t="s">
        <v>1122</v>
      </c>
      <c r="C431" s="4">
        <v>90</v>
      </c>
      <c r="D431" s="4">
        <v>80</v>
      </c>
      <c r="E431" s="13">
        <v>1.131111111111111E-2</v>
      </c>
    </row>
    <row r="432" spans="1:5" x14ac:dyDescent="0.25">
      <c r="A432" s="4" t="s">
        <v>1073</v>
      </c>
      <c r="B432" s="4" t="s">
        <v>1122</v>
      </c>
      <c r="C432" s="4">
        <v>90</v>
      </c>
      <c r="D432" s="4">
        <v>80</v>
      </c>
      <c r="E432" s="13">
        <v>1.6966666666666665E-2</v>
      </c>
    </row>
    <row r="433" spans="1:5" x14ac:dyDescent="0.25">
      <c r="A433" s="4" t="s">
        <v>1074</v>
      </c>
      <c r="B433" s="4" t="s">
        <v>1122</v>
      </c>
      <c r="C433" s="4">
        <v>90</v>
      </c>
      <c r="D433" s="4">
        <v>80</v>
      </c>
      <c r="E433" s="13">
        <v>2.5024999999999999E-2</v>
      </c>
    </row>
    <row r="434" spans="1:5" x14ac:dyDescent="0.25">
      <c r="A434" s="4" t="s">
        <v>1075</v>
      </c>
      <c r="B434" s="4" t="s">
        <v>1122</v>
      </c>
      <c r="C434" s="4">
        <v>90</v>
      </c>
      <c r="D434" s="4">
        <v>80</v>
      </c>
      <c r="E434" s="13">
        <v>2.5024999999999999E-2</v>
      </c>
    </row>
    <row r="435" spans="1:5" x14ac:dyDescent="0.25">
      <c r="A435" s="4" t="s">
        <v>1076</v>
      </c>
      <c r="B435" s="4" t="s">
        <v>1122</v>
      </c>
      <c r="C435" s="4">
        <v>90</v>
      </c>
      <c r="D435" s="4">
        <v>80</v>
      </c>
      <c r="E435" s="13">
        <v>2.5024999999999999E-2</v>
      </c>
    </row>
    <row r="436" spans="1:5" x14ac:dyDescent="0.25">
      <c r="A436" s="4" t="s">
        <v>1077</v>
      </c>
      <c r="B436" s="4" t="s">
        <v>1122</v>
      </c>
      <c r="C436" s="4">
        <v>100</v>
      </c>
      <c r="D436" s="4">
        <v>80</v>
      </c>
      <c r="E436" s="13">
        <v>3.4807499999999998E-2</v>
      </c>
    </row>
    <row r="437" spans="1:5" x14ac:dyDescent="0.25">
      <c r="A437" s="4" t="s">
        <v>1078</v>
      </c>
      <c r="B437" s="4" t="s">
        <v>1122</v>
      </c>
      <c r="C437" s="4">
        <v>100</v>
      </c>
      <c r="D437" s="4">
        <v>80</v>
      </c>
      <c r="E437" s="13">
        <v>3.6854999999999999E-2</v>
      </c>
    </row>
    <row r="438" spans="1:5" x14ac:dyDescent="0.25">
      <c r="A438" s="4" t="s">
        <v>0</v>
      </c>
      <c r="B438" s="4" t="s">
        <v>1122</v>
      </c>
      <c r="C438" s="4">
        <v>120</v>
      </c>
      <c r="D438" s="4">
        <v>80</v>
      </c>
      <c r="E438" s="13">
        <v>2.9006249999999997E-2</v>
      </c>
    </row>
    <row r="439" spans="1:5" x14ac:dyDescent="0.25">
      <c r="A439" s="4" t="s">
        <v>228</v>
      </c>
      <c r="B439" s="4" t="s">
        <v>1122</v>
      </c>
      <c r="C439" s="4">
        <v>120</v>
      </c>
      <c r="D439" s="4">
        <v>80</v>
      </c>
      <c r="E439" s="13">
        <v>3.2418749999999996E-2</v>
      </c>
    </row>
    <row r="440" spans="1:5" x14ac:dyDescent="0.25">
      <c r="A440" s="4" t="s">
        <v>1079</v>
      </c>
      <c r="B440" s="4" t="s">
        <v>1122</v>
      </c>
      <c r="C440" s="4">
        <v>130</v>
      </c>
      <c r="D440" s="4">
        <v>80</v>
      </c>
      <c r="E440" s="13">
        <v>3.1499999999999993E-2</v>
      </c>
    </row>
    <row r="441" spans="1:5" x14ac:dyDescent="0.25">
      <c r="A441" s="4" t="s">
        <v>292</v>
      </c>
      <c r="B441" s="4" t="s">
        <v>1123</v>
      </c>
      <c r="C441" s="4">
        <v>100</v>
      </c>
      <c r="D441" s="4">
        <v>60</v>
      </c>
      <c r="E441" s="13">
        <v>1.018E-2</v>
      </c>
    </row>
    <row r="442" spans="1:5" x14ac:dyDescent="0.25">
      <c r="A442" s="4" t="s">
        <v>942</v>
      </c>
      <c r="B442" s="4" t="s">
        <v>1123</v>
      </c>
      <c r="C442" s="4">
        <v>100</v>
      </c>
      <c r="D442" s="4">
        <v>60</v>
      </c>
      <c r="E442" s="13">
        <v>1.018E-2</v>
      </c>
    </row>
    <row r="443" spans="1:5" x14ac:dyDescent="0.25">
      <c r="A443" s="4" t="s">
        <v>941</v>
      </c>
      <c r="B443" s="4" t="s">
        <v>1123</v>
      </c>
      <c r="C443" s="4">
        <v>100</v>
      </c>
      <c r="D443" s="4">
        <v>60</v>
      </c>
      <c r="E443" s="13">
        <v>1.3573333333333333E-2</v>
      </c>
    </row>
    <row r="444" spans="1:5" x14ac:dyDescent="0.25">
      <c r="A444" s="4" t="s">
        <v>292</v>
      </c>
      <c r="B444" s="4" t="s">
        <v>1124</v>
      </c>
      <c r="C444" s="4">
        <v>100</v>
      </c>
      <c r="D444" s="4">
        <v>60</v>
      </c>
      <c r="E444" s="13">
        <v>1.018E-2</v>
      </c>
    </row>
    <row r="445" spans="1:5" x14ac:dyDescent="0.25">
      <c r="A445" s="4" t="s">
        <v>942</v>
      </c>
      <c r="B445" s="4" t="s">
        <v>1124</v>
      </c>
      <c r="C445" s="4">
        <v>100</v>
      </c>
      <c r="D445" s="4">
        <v>60</v>
      </c>
      <c r="E445" s="13">
        <v>1.018E-2</v>
      </c>
    </row>
    <row r="446" spans="1:5" x14ac:dyDescent="0.25">
      <c r="A446" s="4" t="s">
        <v>941</v>
      </c>
      <c r="B446" s="4" t="s">
        <v>1124</v>
      </c>
      <c r="C446" s="4">
        <v>100</v>
      </c>
      <c r="D446" s="4">
        <v>60</v>
      </c>
      <c r="E446" s="13">
        <v>1.3573333333333333E-2</v>
      </c>
    </row>
    <row r="447" spans="1:5" x14ac:dyDescent="0.25">
      <c r="A447" s="4" t="s">
        <v>292</v>
      </c>
      <c r="B447" s="4" t="s">
        <v>1125</v>
      </c>
      <c r="C447" s="4">
        <v>100</v>
      </c>
      <c r="D447" s="4">
        <v>60</v>
      </c>
      <c r="E447" s="13">
        <v>1.018E-2</v>
      </c>
    </row>
    <row r="448" spans="1:5" x14ac:dyDescent="0.25">
      <c r="A448" s="4" t="s">
        <v>942</v>
      </c>
      <c r="B448" s="4" t="s">
        <v>1125</v>
      </c>
      <c r="C448" s="4">
        <v>100</v>
      </c>
      <c r="D448" s="4">
        <v>60</v>
      </c>
      <c r="E448" s="13">
        <v>1.018E-2</v>
      </c>
    </row>
    <row r="449" spans="1:5" x14ac:dyDescent="0.25">
      <c r="A449" s="4" t="s">
        <v>941</v>
      </c>
      <c r="B449" s="4" t="s">
        <v>1125</v>
      </c>
      <c r="C449" s="4">
        <v>100</v>
      </c>
      <c r="D449" s="4">
        <v>60</v>
      </c>
      <c r="E449" s="13">
        <v>1.6966666666666665E-2</v>
      </c>
    </row>
    <row r="450" spans="1:5" x14ac:dyDescent="0.25">
      <c r="A450" s="4" t="s">
        <v>292</v>
      </c>
      <c r="B450" s="4" t="s">
        <v>1126</v>
      </c>
      <c r="C450" s="4">
        <v>100</v>
      </c>
      <c r="D450" s="4">
        <v>60</v>
      </c>
      <c r="E450" s="13">
        <v>1.018E-2</v>
      </c>
    </row>
    <row r="451" spans="1:5" x14ac:dyDescent="0.25">
      <c r="A451" s="4" t="s">
        <v>942</v>
      </c>
      <c r="B451" s="4" t="s">
        <v>1126</v>
      </c>
      <c r="C451" s="4">
        <v>100</v>
      </c>
      <c r="D451" s="4">
        <v>60</v>
      </c>
      <c r="E451" s="13">
        <v>1.018E-2</v>
      </c>
    </row>
    <row r="452" spans="1:5" x14ac:dyDescent="0.25">
      <c r="A452" s="4" t="s">
        <v>941</v>
      </c>
      <c r="B452" s="4" t="s">
        <v>1126</v>
      </c>
      <c r="C452" s="4">
        <v>100</v>
      </c>
      <c r="D452" s="4">
        <v>60</v>
      </c>
      <c r="E452" s="13">
        <v>1.1876666666666666E-2</v>
      </c>
    </row>
    <row r="453" spans="1:5" x14ac:dyDescent="0.25">
      <c r="A453" s="4" t="s">
        <v>292</v>
      </c>
      <c r="B453" s="4" t="s">
        <v>1127</v>
      </c>
      <c r="C453" s="4">
        <v>100</v>
      </c>
      <c r="D453" s="4">
        <v>60</v>
      </c>
      <c r="E453" s="13">
        <v>1.018E-2</v>
      </c>
    </row>
    <row r="454" spans="1:5" x14ac:dyDescent="0.25">
      <c r="A454" s="4" t="s">
        <v>942</v>
      </c>
      <c r="B454" s="4" t="s">
        <v>1127</v>
      </c>
      <c r="C454" s="4">
        <v>100</v>
      </c>
      <c r="D454" s="4">
        <v>60</v>
      </c>
      <c r="E454" s="13">
        <v>1.018E-2</v>
      </c>
    </row>
    <row r="455" spans="1:5" x14ac:dyDescent="0.25">
      <c r="A455" s="4" t="s">
        <v>941</v>
      </c>
      <c r="B455" s="4" t="s">
        <v>1127</v>
      </c>
      <c r="C455" s="4">
        <v>100</v>
      </c>
      <c r="D455" s="4">
        <v>60</v>
      </c>
      <c r="E455" s="13">
        <v>1.6966666666666665E-2</v>
      </c>
    </row>
    <row r="456" spans="1:5" x14ac:dyDescent="0.25">
      <c r="A456" s="4" t="s">
        <v>292</v>
      </c>
      <c r="B456" s="4" t="s">
        <v>1128</v>
      </c>
      <c r="C456" s="4">
        <v>100</v>
      </c>
      <c r="D456" s="4">
        <v>60</v>
      </c>
      <c r="E456" s="13">
        <v>1.018E-2</v>
      </c>
    </row>
    <row r="457" spans="1:5" x14ac:dyDescent="0.25">
      <c r="A457" s="4" t="s">
        <v>942</v>
      </c>
      <c r="B457" s="4" t="s">
        <v>1128</v>
      </c>
      <c r="C457" s="4">
        <v>100</v>
      </c>
      <c r="D457" s="4">
        <v>60</v>
      </c>
      <c r="E457" s="13">
        <v>1.018E-2</v>
      </c>
    </row>
    <row r="458" spans="1:5" x14ac:dyDescent="0.25">
      <c r="A458" s="4" t="s">
        <v>941</v>
      </c>
      <c r="B458" s="4" t="s">
        <v>1128</v>
      </c>
      <c r="C458" s="4">
        <v>100</v>
      </c>
      <c r="D458" s="4">
        <v>60</v>
      </c>
      <c r="E458" s="13">
        <v>1.1876666666666666E-2</v>
      </c>
    </row>
    <row r="459" spans="1:5" x14ac:dyDescent="0.25">
      <c r="A459" s="4" t="s">
        <v>292</v>
      </c>
      <c r="B459" s="4" t="s">
        <v>1129</v>
      </c>
      <c r="C459" s="4">
        <v>100</v>
      </c>
      <c r="D459" s="4">
        <v>60</v>
      </c>
      <c r="E459" s="13">
        <v>1.018E-2</v>
      </c>
    </row>
    <row r="460" spans="1:5" x14ac:dyDescent="0.25">
      <c r="A460" s="4" t="s">
        <v>942</v>
      </c>
      <c r="B460" s="4" t="s">
        <v>1129</v>
      </c>
      <c r="C460" s="4">
        <v>100</v>
      </c>
      <c r="D460" s="4">
        <v>60</v>
      </c>
      <c r="E460" s="13">
        <v>1.018E-2</v>
      </c>
    </row>
    <row r="461" spans="1:5" x14ac:dyDescent="0.25">
      <c r="A461" s="4" t="s">
        <v>941</v>
      </c>
      <c r="B461" s="4" t="s">
        <v>1129</v>
      </c>
      <c r="C461" s="4">
        <v>100</v>
      </c>
      <c r="D461" s="4">
        <v>60</v>
      </c>
      <c r="E461" s="13">
        <v>1.3573333333333333E-2</v>
      </c>
    </row>
    <row r="462" spans="1:5" x14ac:dyDescent="0.25">
      <c r="A462" s="4" t="s">
        <v>292</v>
      </c>
      <c r="B462" s="4" t="s">
        <v>1130</v>
      </c>
      <c r="C462" s="4">
        <v>100</v>
      </c>
      <c r="D462" s="4">
        <v>60</v>
      </c>
      <c r="E462" s="13">
        <v>1.018E-2</v>
      </c>
    </row>
    <row r="463" spans="1:5" x14ac:dyDescent="0.25">
      <c r="A463" s="4" t="s">
        <v>942</v>
      </c>
      <c r="B463" s="4" t="s">
        <v>1130</v>
      </c>
      <c r="C463" s="4">
        <v>100</v>
      </c>
      <c r="D463" s="4">
        <v>60</v>
      </c>
      <c r="E463" s="13">
        <v>1.018E-2</v>
      </c>
    </row>
    <row r="464" spans="1:5" x14ac:dyDescent="0.25">
      <c r="A464" s="4" t="s">
        <v>941</v>
      </c>
      <c r="B464" s="4" t="s">
        <v>1130</v>
      </c>
      <c r="C464" s="4">
        <v>100</v>
      </c>
      <c r="D464" s="4">
        <v>60</v>
      </c>
      <c r="E464" s="13">
        <v>1.1876666666666666E-2</v>
      </c>
    </row>
    <row r="465" spans="1:5" x14ac:dyDescent="0.25">
      <c r="A465" s="4" t="s">
        <v>940</v>
      </c>
      <c r="B465" s="4" t="s">
        <v>1131</v>
      </c>
      <c r="C465" s="4">
        <v>90</v>
      </c>
      <c r="D465" s="4">
        <v>80</v>
      </c>
      <c r="E465" s="13">
        <v>9.8972222222222205E-3</v>
      </c>
    </row>
    <row r="466" spans="1:5" x14ac:dyDescent="0.25">
      <c r="A466" s="4" t="s">
        <v>1069</v>
      </c>
      <c r="B466" s="4" t="s">
        <v>1131</v>
      </c>
      <c r="C466" s="4">
        <v>90</v>
      </c>
      <c r="D466" s="4">
        <v>80</v>
      </c>
      <c r="E466" s="13">
        <v>9.8972222222222205E-3</v>
      </c>
    </row>
    <row r="467" spans="1:5" x14ac:dyDescent="0.25">
      <c r="A467" s="4" t="s">
        <v>1070</v>
      </c>
      <c r="B467" s="4" t="s">
        <v>1131</v>
      </c>
      <c r="C467" s="4">
        <v>90</v>
      </c>
      <c r="D467" s="4">
        <v>80</v>
      </c>
      <c r="E467" s="13">
        <v>9.8972222222222205E-3</v>
      </c>
    </row>
    <row r="468" spans="1:5" x14ac:dyDescent="0.25">
      <c r="A468" s="4" t="s">
        <v>1071</v>
      </c>
      <c r="B468" s="4" t="s">
        <v>1131</v>
      </c>
      <c r="C468" s="4">
        <v>90</v>
      </c>
      <c r="D468" s="4">
        <v>80</v>
      </c>
      <c r="E468" s="13">
        <v>9.8972222222222205E-3</v>
      </c>
    </row>
    <row r="469" spans="1:5" x14ac:dyDescent="0.25">
      <c r="A469" s="4" t="s">
        <v>1072</v>
      </c>
      <c r="B469" s="4" t="s">
        <v>1131</v>
      </c>
      <c r="C469" s="4">
        <v>90</v>
      </c>
      <c r="D469" s="4">
        <v>80</v>
      </c>
      <c r="E469" s="13">
        <v>9.8972222222222205E-3</v>
      </c>
    </row>
    <row r="470" spans="1:5" x14ac:dyDescent="0.25">
      <c r="A470" s="4" t="s">
        <v>1073</v>
      </c>
      <c r="B470" s="4" t="s">
        <v>1131</v>
      </c>
      <c r="C470" s="4">
        <v>90</v>
      </c>
      <c r="D470" s="4">
        <v>80</v>
      </c>
      <c r="E470" s="13">
        <v>9.8972222222222205E-3</v>
      </c>
    </row>
    <row r="471" spans="1:5" x14ac:dyDescent="0.25">
      <c r="A471" s="4" t="s">
        <v>1074</v>
      </c>
      <c r="B471" s="4" t="s">
        <v>1131</v>
      </c>
      <c r="C471" s="4">
        <v>90</v>
      </c>
      <c r="D471" s="4">
        <v>80</v>
      </c>
      <c r="E471" s="13">
        <v>9.8972222222222205E-3</v>
      </c>
    </row>
    <row r="472" spans="1:5" x14ac:dyDescent="0.25">
      <c r="A472" s="4" t="s">
        <v>1075</v>
      </c>
      <c r="B472" s="4" t="s">
        <v>1131</v>
      </c>
      <c r="C472" s="4">
        <v>90</v>
      </c>
      <c r="D472" s="4">
        <v>80</v>
      </c>
      <c r="E472" s="13">
        <v>9.8972222222222205E-3</v>
      </c>
    </row>
    <row r="473" spans="1:5" x14ac:dyDescent="0.25">
      <c r="A473" s="4" t="s">
        <v>1076</v>
      </c>
      <c r="B473" s="4" t="s">
        <v>1131</v>
      </c>
      <c r="C473" s="4">
        <v>90</v>
      </c>
      <c r="D473" s="4">
        <v>80</v>
      </c>
      <c r="E473" s="13">
        <v>9.8972222222222205E-3</v>
      </c>
    </row>
    <row r="474" spans="1:5" x14ac:dyDescent="0.25">
      <c r="A474" s="4" t="s">
        <v>1077</v>
      </c>
      <c r="B474" s="4" t="s">
        <v>1131</v>
      </c>
      <c r="C474" s="4">
        <v>100</v>
      </c>
      <c r="D474" s="4">
        <v>80</v>
      </c>
      <c r="E474" s="13">
        <v>1.43325E-2</v>
      </c>
    </row>
    <row r="475" spans="1:5" x14ac:dyDescent="0.25">
      <c r="A475" s="4" t="s">
        <v>1078</v>
      </c>
      <c r="B475" s="4" t="s">
        <v>1131</v>
      </c>
      <c r="C475" s="4">
        <v>100</v>
      </c>
      <c r="D475" s="4">
        <v>80</v>
      </c>
      <c r="E475" s="13">
        <v>1.43325E-2</v>
      </c>
    </row>
    <row r="476" spans="1:5" x14ac:dyDescent="0.25">
      <c r="A476" s="4" t="s">
        <v>0</v>
      </c>
      <c r="B476" s="4" t="s">
        <v>1131</v>
      </c>
      <c r="C476" s="4">
        <v>120</v>
      </c>
      <c r="D476" s="4">
        <v>80</v>
      </c>
      <c r="E476" s="13">
        <v>1.5356249999999998E-2</v>
      </c>
    </row>
    <row r="477" spans="1:5" x14ac:dyDescent="0.25">
      <c r="A477" s="4" t="s">
        <v>228</v>
      </c>
      <c r="B477" s="4" t="s">
        <v>1131</v>
      </c>
      <c r="C477" s="4">
        <v>120</v>
      </c>
      <c r="D477" s="4">
        <v>80</v>
      </c>
      <c r="E477" s="13">
        <v>1.7062499999999998E-2</v>
      </c>
    </row>
    <row r="478" spans="1:5" x14ac:dyDescent="0.25">
      <c r="A478" s="4" t="s">
        <v>1079</v>
      </c>
      <c r="B478" s="4" t="s">
        <v>1131</v>
      </c>
      <c r="C478" s="4">
        <v>130</v>
      </c>
      <c r="D478" s="4">
        <v>80</v>
      </c>
      <c r="E478" s="13">
        <v>1.7324999999999997E-2</v>
      </c>
    </row>
  </sheetData>
  <phoneticPr fontId="1" type="noConversion"/>
  <conditionalFormatting sqref="E1:E1048576">
    <cfRule type="colorScale" priority="1">
      <colorScale>
        <cfvo type="min"/>
        <cfvo type="max"/>
        <color rgb="FFFCFCFF"/>
        <color rgb="FF63BE7B"/>
      </colorScale>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工作表7"/>
  <dimension ref="A1:L14"/>
  <sheetViews>
    <sheetView workbookViewId="0">
      <selection activeCell="G12" sqref="G12"/>
    </sheetView>
  </sheetViews>
  <sheetFormatPr defaultColWidth="9" defaultRowHeight="15.75" x14ac:dyDescent="0.25"/>
  <cols>
    <col min="1" max="1" width="9" style="5"/>
    <col min="2" max="4" width="9" style="5" customWidth="1"/>
    <col min="5" max="5" width="9" style="5"/>
    <col min="6" max="7" width="9" style="5" customWidth="1"/>
    <col min="8" max="8" width="9" style="5"/>
    <col min="9" max="10" width="9" style="5" customWidth="1"/>
    <col min="11" max="11" width="9" style="5"/>
    <col min="12" max="12" width="9" style="5" customWidth="1"/>
    <col min="13" max="16384" width="9" style="5"/>
  </cols>
  <sheetData>
    <row r="1" spans="1:12" x14ac:dyDescent="0.25">
      <c r="A1" s="4" t="s">
        <v>436</v>
      </c>
      <c r="B1" s="173" t="s">
        <v>830</v>
      </c>
      <c r="C1" s="175"/>
      <c r="D1" s="173" t="s">
        <v>828</v>
      </c>
      <c r="E1" s="174"/>
      <c r="F1" s="175"/>
      <c r="G1" s="173" t="s">
        <v>438</v>
      </c>
      <c r="H1" s="174"/>
      <c r="I1" s="175"/>
      <c r="J1" s="173" t="s">
        <v>827</v>
      </c>
      <c r="K1" s="174"/>
      <c r="L1" s="175"/>
    </row>
    <row r="2" spans="1:12" x14ac:dyDescent="0.25">
      <c r="A2" s="4"/>
      <c r="B2" s="4" t="s">
        <v>831</v>
      </c>
      <c r="C2" s="4" t="s">
        <v>832</v>
      </c>
      <c r="D2" s="4" t="s">
        <v>423</v>
      </c>
      <c r="E2" s="4" t="s">
        <v>439</v>
      </c>
      <c r="F2" s="4" t="s">
        <v>437</v>
      </c>
      <c r="G2" s="4" t="s">
        <v>829</v>
      </c>
      <c r="H2" s="4" t="s">
        <v>833</v>
      </c>
      <c r="I2" s="4" t="s">
        <v>834</v>
      </c>
      <c r="J2" s="4" t="s">
        <v>423</v>
      </c>
      <c r="K2" s="4" t="s">
        <v>835</v>
      </c>
      <c r="L2" s="4" t="s">
        <v>437</v>
      </c>
    </row>
    <row r="3" spans="1:12" x14ac:dyDescent="0.25">
      <c r="A3" s="4" t="s">
        <v>229</v>
      </c>
      <c r="B3" s="13"/>
      <c r="C3" s="13"/>
      <c r="D3" s="13"/>
      <c r="E3" s="13"/>
      <c r="F3" s="13">
        <v>0.16545718432510886</v>
      </c>
      <c r="G3" s="13"/>
      <c r="H3" s="13"/>
      <c r="I3" s="13">
        <v>1</v>
      </c>
      <c r="J3" s="13"/>
      <c r="K3" s="13"/>
      <c r="L3" s="13"/>
    </row>
    <row r="4" spans="1:12" x14ac:dyDescent="0.25">
      <c r="A4" s="4" t="s">
        <v>232</v>
      </c>
      <c r="B4" s="13"/>
      <c r="C4" s="13">
        <v>1</v>
      </c>
      <c r="D4" s="13"/>
      <c r="E4" s="13">
        <v>1</v>
      </c>
      <c r="F4" s="13">
        <v>0.83454281567489119</v>
      </c>
      <c r="G4" s="13"/>
      <c r="H4" s="13">
        <v>1</v>
      </c>
      <c r="I4" s="13"/>
      <c r="J4" s="13"/>
      <c r="K4" s="13">
        <v>1</v>
      </c>
      <c r="L4" s="13">
        <v>1</v>
      </c>
    </row>
    <row r="5" spans="1:12" x14ac:dyDescent="0.25">
      <c r="A5" s="4" t="s">
        <v>235</v>
      </c>
      <c r="B5" s="13"/>
      <c r="C5" s="13"/>
      <c r="D5" s="13"/>
      <c r="E5" s="13"/>
      <c r="F5" s="13"/>
      <c r="G5" s="13"/>
      <c r="H5" s="13"/>
      <c r="I5" s="13"/>
      <c r="J5" s="13"/>
      <c r="K5" s="13"/>
      <c r="L5" s="13"/>
    </row>
    <row r="6" spans="1:12" x14ac:dyDescent="0.25">
      <c r="A6" s="4" t="s">
        <v>238</v>
      </c>
      <c r="B6" s="13"/>
      <c r="C6" s="13"/>
      <c r="D6" s="13"/>
      <c r="E6" s="13"/>
      <c r="F6" s="13"/>
      <c r="G6" s="13">
        <v>0.98409893992932862</v>
      </c>
      <c r="H6" s="13"/>
      <c r="I6" s="13"/>
      <c r="J6" s="13"/>
      <c r="K6" s="13"/>
      <c r="L6" s="13"/>
    </row>
    <row r="7" spans="1:12" x14ac:dyDescent="0.25">
      <c r="A7" s="4" t="s">
        <v>241</v>
      </c>
      <c r="B7" s="13"/>
      <c r="C7" s="13"/>
      <c r="D7" s="13">
        <v>8.1195792581657128E-2</v>
      </c>
      <c r="E7" s="13"/>
      <c r="F7" s="13"/>
      <c r="G7" s="13">
        <v>1.5901060070671401E-2</v>
      </c>
      <c r="H7" s="13"/>
      <c r="I7" s="13"/>
      <c r="J7" s="13">
        <v>7.3800738007380072E-3</v>
      </c>
      <c r="K7" s="13"/>
      <c r="L7" s="13"/>
    </row>
    <row r="8" spans="1:12" x14ac:dyDescent="0.25">
      <c r="A8" s="4" t="s">
        <v>244</v>
      </c>
      <c r="B8" s="13">
        <v>0.5357142857142857</v>
      </c>
      <c r="C8" s="13"/>
      <c r="D8" s="13">
        <v>0.9188042074183429</v>
      </c>
      <c r="E8" s="13"/>
      <c r="F8" s="13"/>
      <c r="G8" s="13"/>
      <c r="H8" s="13"/>
      <c r="I8" s="13"/>
      <c r="J8" s="13">
        <v>0.88314883148831491</v>
      </c>
      <c r="K8" s="13"/>
      <c r="L8" s="13"/>
    </row>
    <row r="9" spans="1:12" x14ac:dyDescent="0.25">
      <c r="A9" s="4" t="s">
        <v>247</v>
      </c>
      <c r="B9" s="13"/>
      <c r="C9" s="13"/>
      <c r="D9" s="13"/>
      <c r="E9" s="13"/>
      <c r="F9" s="13"/>
      <c r="G9" s="13"/>
      <c r="H9" s="13"/>
      <c r="I9" s="13"/>
      <c r="J9" s="13"/>
      <c r="K9" s="13"/>
      <c r="L9" s="13"/>
    </row>
    <row r="10" spans="1:12" x14ac:dyDescent="0.25">
      <c r="A10" s="4" t="s">
        <v>230</v>
      </c>
      <c r="B10" s="13">
        <v>0.4642857142857143</v>
      </c>
      <c r="C10" s="13"/>
      <c r="D10" s="13"/>
      <c r="E10" s="13"/>
      <c r="F10" s="13"/>
      <c r="G10" s="13"/>
      <c r="H10" s="13"/>
      <c r="I10" s="13"/>
      <c r="J10" s="13">
        <v>0.10947109471094711</v>
      </c>
      <c r="K10" s="13"/>
      <c r="L10" s="13"/>
    </row>
    <row r="11" spans="1:12" x14ac:dyDescent="0.25">
      <c r="A11" s="4" t="s">
        <v>250</v>
      </c>
      <c r="B11" s="13"/>
      <c r="C11" s="13"/>
      <c r="D11" s="13"/>
      <c r="E11" s="13"/>
      <c r="F11" s="13"/>
      <c r="G11" s="13"/>
      <c r="H11" s="13"/>
      <c r="I11" s="13"/>
      <c r="J11" s="13"/>
      <c r="K11" s="13"/>
      <c r="L11" s="13"/>
    </row>
    <row r="12" spans="1:12" x14ac:dyDescent="0.25">
      <c r="A12" s="4" t="s">
        <v>252</v>
      </c>
      <c r="B12" s="13"/>
      <c r="C12" s="13"/>
      <c r="D12" s="13"/>
      <c r="E12" s="13"/>
      <c r="F12" s="13"/>
      <c r="G12" s="13"/>
      <c r="H12" s="13"/>
      <c r="I12" s="13"/>
      <c r="J12" s="13"/>
      <c r="K12" s="13"/>
      <c r="L12" s="13"/>
    </row>
    <row r="13" spans="1:12" x14ac:dyDescent="0.25">
      <c r="A13" s="4" t="s">
        <v>254</v>
      </c>
      <c r="B13" s="13"/>
      <c r="C13" s="13"/>
      <c r="D13" s="13"/>
      <c r="E13" s="13"/>
      <c r="F13" s="13"/>
      <c r="G13" s="13"/>
      <c r="H13" s="13"/>
      <c r="I13" s="13"/>
      <c r="J13" s="13"/>
      <c r="K13" s="13"/>
      <c r="L13" s="13"/>
    </row>
    <row r="14" spans="1:12" x14ac:dyDescent="0.25">
      <c r="A14" s="4" t="s">
        <v>256</v>
      </c>
      <c r="B14" s="13"/>
      <c r="C14" s="13"/>
      <c r="D14" s="13"/>
      <c r="E14" s="13"/>
      <c r="F14" s="13"/>
      <c r="G14" s="13"/>
      <c r="H14" s="13"/>
      <c r="I14" s="13"/>
      <c r="J14" s="13"/>
      <c r="K14" s="13"/>
      <c r="L14" s="13"/>
    </row>
  </sheetData>
  <mergeCells count="4">
    <mergeCell ref="D1:F1"/>
    <mergeCell ref="B1:C1"/>
    <mergeCell ref="G1:I1"/>
    <mergeCell ref="J1:L1"/>
  </mergeCells>
  <phoneticPr fontId="1" type="noConversion"/>
  <conditionalFormatting sqref="B3:B14">
    <cfRule type="colorScale" priority="11">
      <colorScale>
        <cfvo type="min"/>
        <cfvo type="percentile" val="50"/>
        <cfvo type="max"/>
        <color rgb="FFF8696B"/>
        <color rgb="FFFCFCFF"/>
        <color rgb="FF5A8AC6"/>
      </colorScale>
    </cfRule>
  </conditionalFormatting>
  <conditionalFormatting sqref="C3:C14">
    <cfRule type="colorScale" priority="10">
      <colorScale>
        <cfvo type="min"/>
        <cfvo type="percentile" val="50"/>
        <cfvo type="max"/>
        <color rgb="FFF8696B"/>
        <color rgb="FFFCFCFF"/>
        <color rgb="FF5A8AC6"/>
      </colorScale>
    </cfRule>
  </conditionalFormatting>
  <conditionalFormatting sqref="D3:D14">
    <cfRule type="colorScale" priority="9">
      <colorScale>
        <cfvo type="min"/>
        <cfvo type="percentile" val="50"/>
        <cfvo type="max"/>
        <color rgb="FFF8696B"/>
        <color rgb="FFFCFCFF"/>
        <color rgb="FF5A8AC6"/>
      </colorScale>
    </cfRule>
  </conditionalFormatting>
  <conditionalFormatting sqref="E3:E14">
    <cfRule type="colorScale" priority="8">
      <colorScale>
        <cfvo type="min"/>
        <cfvo type="percentile" val="50"/>
        <cfvo type="max"/>
        <color rgb="FFF8696B"/>
        <color rgb="FFFCFCFF"/>
        <color rgb="FF5A8AC6"/>
      </colorScale>
    </cfRule>
  </conditionalFormatting>
  <conditionalFormatting sqref="F3:F14">
    <cfRule type="colorScale" priority="7">
      <colorScale>
        <cfvo type="min"/>
        <cfvo type="percentile" val="50"/>
        <cfvo type="max"/>
        <color rgb="FFF8696B"/>
        <color rgb="FFFCFCFF"/>
        <color rgb="FF5A8AC6"/>
      </colorScale>
    </cfRule>
  </conditionalFormatting>
  <conditionalFormatting sqref="G3:G14">
    <cfRule type="colorScale" priority="6">
      <colorScale>
        <cfvo type="min"/>
        <cfvo type="percentile" val="50"/>
        <cfvo type="max"/>
        <color rgb="FFF8696B"/>
        <color rgb="FFFCFCFF"/>
        <color rgb="FF5A8AC6"/>
      </colorScale>
    </cfRule>
  </conditionalFormatting>
  <conditionalFormatting sqref="H3:H14">
    <cfRule type="colorScale" priority="5">
      <colorScale>
        <cfvo type="min"/>
        <cfvo type="percentile" val="50"/>
        <cfvo type="max"/>
        <color rgb="FFF8696B"/>
        <color rgb="FFFCFCFF"/>
        <color rgb="FF5A8AC6"/>
      </colorScale>
    </cfRule>
  </conditionalFormatting>
  <conditionalFormatting sqref="I3:I14">
    <cfRule type="colorScale" priority="4">
      <colorScale>
        <cfvo type="min"/>
        <cfvo type="percentile" val="50"/>
        <cfvo type="max"/>
        <color rgb="FFF8696B"/>
        <color rgb="FFFCFCFF"/>
        <color rgb="FF5A8AC6"/>
      </colorScale>
    </cfRule>
  </conditionalFormatting>
  <conditionalFormatting sqref="J3:J14">
    <cfRule type="colorScale" priority="3">
      <colorScale>
        <cfvo type="min"/>
        <cfvo type="percentile" val="50"/>
        <cfvo type="max"/>
        <color rgb="FFF8696B"/>
        <color rgb="FFFCFCFF"/>
        <color rgb="FF5A8AC6"/>
      </colorScale>
    </cfRule>
  </conditionalFormatting>
  <conditionalFormatting sqref="K3:K14">
    <cfRule type="colorScale" priority="2">
      <colorScale>
        <cfvo type="min"/>
        <cfvo type="percentile" val="50"/>
        <cfvo type="max"/>
        <color rgb="FFF8696B"/>
        <color rgb="FFFCFCFF"/>
        <color rgb="FF5A8AC6"/>
      </colorScale>
    </cfRule>
  </conditionalFormatting>
  <conditionalFormatting sqref="L3:L14">
    <cfRule type="colorScale" priority="1">
      <colorScale>
        <cfvo type="min"/>
        <cfvo type="percentile" val="50"/>
        <cfvo type="max"/>
        <color rgb="FFF8696B"/>
        <color rgb="FFFCFCFF"/>
        <color rgb="FF5A8AC6"/>
      </colorScale>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工作表10"/>
  <dimension ref="A1:J13"/>
  <sheetViews>
    <sheetView workbookViewId="0">
      <selection activeCell="J7" sqref="J7"/>
    </sheetView>
  </sheetViews>
  <sheetFormatPr defaultColWidth="9" defaultRowHeight="15.75" x14ac:dyDescent="0.25"/>
  <cols>
    <col min="1" max="1" width="9.75" style="1" bestFit="1" customWidth="1"/>
    <col min="2" max="2" width="15.75" style="3" bestFit="1" customWidth="1"/>
    <col min="3" max="3" width="14.125" style="3" bestFit="1" customWidth="1"/>
    <col min="4" max="4" width="15.375" style="3" bestFit="1" customWidth="1"/>
    <col min="5" max="5" width="12.625" style="3" bestFit="1" customWidth="1"/>
    <col min="6" max="6" width="13.875" style="3" bestFit="1" customWidth="1"/>
    <col min="7" max="7" width="13.875" style="1" bestFit="1" customWidth="1"/>
    <col min="8" max="8" width="14.625" style="3" bestFit="1" customWidth="1"/>
    <col min="9" max="9" width="16.875" style="3" bestFit="1" customWidth="1"/>
    <col min="10" max="10" width="19.75" style="1" bestFit="1" customWidth="1"/>
    <col min="11" max="16384" width="9" style="3"/>
  </cols>
  <sheetData>
    <row r="1" spans="1:10" x14ac:dyDescent="0.25">
      <c r="A1" s="1" t="s">
        <v>273</v>
      </c>
      <c r="B1" s="2" t="s">
        <v>274</v>
      </c>
      <c r="C1" s="3" t="s">
        <v>275</v>
      </c>
      <c r="D1" s="3" t="s">
        <v>276</v>
      </c>
      <c r="E1" s="3" t="s">
        <v>277</v>
      </c>
      <c r="F1" s="3" t="s">
        <v>278</v>
      </c>
      <c r="G1" s="1" t="s">
        <v>440</v>
      </c>
      <c r="H1" s="3" t="s">
        <v>279</v>
      </c>
      <c r="I1" s="3" t="s">
        <v>280</v>
      </c>
      <c r="J1" s="1" t="s">
        <v>441</v>
      </c>
    </row>
    <row r="2" spans="1:10" x14ac:dyDescent="0.25">
      <c r="A2" s="1" t="s">
        <v>229</v>
      </c>
      <c r="B2" s="3" t="s">
        <v>230</v>
      </c>
      <c r="C2" s="3">
        <v>0.376</v>
      </c>
      <c r="D2" s="3">
        <v>0.56100000000000005</v>
      </c>
      <c r="E2" s="3" t="s">
        <v>231</v>
      </c>
      <c r="F2" s="3">
        <v>9.5250000000000004</v>
      </c>
      <c r="G2" s="1">
        <f>F2/10</f>
        <v>0.95250000000000001</v>
      </c>
      <c r="H2" s="3">
        <v>0.11</v>
      </c>
      <c r="I2" s="3">
        <v>71</v>
      </c>
      <c r="J2" s="1">
        <f>I2/100</f>
        <v>0.71</v>
      </c>
    </row>
    <row r="3" spans="1:10" x14ac:dyDescent="0.25">
      <c r="A3" s="1" t="s">
        <v>232</v>
      </c>
      <c r="B3" s="3" t="s">
        <v>233</v>
      </c>
      <c r="C3" s="3">
        <v>0.66800000000000004</v>
      </c>
      <c r="D3" s="3">
        <v>0.996</v>
      </c>
      <c r="E3" s="3" t="s">
        <v>234</v>
      </c>
      <c r="F3" s="3">
        <v>12.7</v>
      </c>
      <c r="G3" s="1">
        <f t="shared" ref="G3:G13" si="0">F3/10</f>
        <v>1.27</v>
      </c>
      <c r="H3" s="3">
        <v>0.2</v>
      </c>
      <c r="I3" s="3">
        <v>127</v>
      </c>
      <c r="J3" s="1">
        <f t="shared" ref="J3:J13" si="1">I3/100</f>
        <v>1.27</v>
      </c>
    </row>
    <row r="4" spans="1:10" x14ac:dyDescent="0.25">
      <c r="A4" s="1" t="s">
        <v>235</v>
      </c>
      <c r="B4" s="3" t="s">
        <v>236</v>
      </c>
      <c r="C4" s="3">
        <v>1.0429999999999999</v>
      </c>
      <c r="D4" s="3">
        <v>1.556</v>
      </c>
      <c r="E4" s="3" t="s">
        <v>237</v>
      </c>
      <c r="F4" s="3">
        <v>15.875</v>
      </c>
      <c r="G4" s="1">
        <f t="shared" si="0"/>
        <v>1.5874999999999999</v>
      </c>
      <c r="H4" s="3">
        <v>0.31</v>
      </c>
      <c r="I4" s="3">
        <v>200</v>
      </c>
      <c r="J4" s="1">
        <f t="shared" si="1"/>
        <v>2</v>
      </c>
    </row>
    <row r="5" spans="1:10" x14ac:dyDescent="0.25">
      <c r="A5" s="1" t="s">
        <v>238</v>
      </c>
      <c r="B5" s="3" t="s">
        <v>239</v>
      </c>
      <c r="C5" s="3">
        <v>1.502</v>
      </c>
      <c r="D5" s="3">
        <v>2.2400000000000002</v>
      </c>
      <c r="E5" s="3" t="s">
        <v>240</v>
      </c>
      <c r="F5" s="3">
        <v>19.05</v>
      </c>
      <c r="G5" s="1">
        <f t="shared" si="0"/>
        <v>1.905</v>
      </c>
      <c r="H5" s="3">
        <v>0.44</v>
      </c>
      <c r="I5" s="3">
        <v>284</v>
      </c>
      <c r="J5" s="1">
        <f t="shared" si="1"/>
        <v>2.84</v>
      </c>
    </row>
    <row r="6" spans="1:10" x14ac:dyDescent="0.25">
      <c r="A6" s="1" t="s">
        <v>241</v>
      </c>
      <c r="B6" s="3" t="s">
        <v>242</v>
      </c>
      <c r="C6" s="3">
        <v>2.044</v>
      </c>
      <c r="D6" s="3">
        <v>3.0489999999999999</v>
      </c>
      <c r="E6" s="3" t="s">
        <v>243</v>
      </c>
      <c r="F6" s="3">
        <v>22.225000000000001</v>
      </c>
      <c r="G6" s="1">
        <f t="shared" si="0"/>
        <v>2.2225000000000001</v>
      </c>
      <c r="H6" s="3">
        <v>0.6</v>
      </c>
      <c r="I6" s="3">
        <v>387</v>
      </c>
      <c r="J6" s="1">
        <f t="shared" si="1"/>
        <v>3.87</v>
      </c>
    </row>
    <row r="7" spans="1:10" x14ac:dyDescent="0.25">
      <c r="A7" s="1" t="s">
        <v>244</v>
      </c>
      <c r="B7" s="3" t="s">
        <v>245</v>
      </c>
      <c r="C7" s="3">
        <v>2.67</v>
      </c>
      <c r="D7" s="3">
        <v>3.9820000000000002</v>
      </c>
      <c r="E7" s="3" t="s">
        <v>246</v>
      </c>
      <c r="F7" s="3">
        <v>25.4</v>
      </c>
      <c r="G7" s="1">
        <f t="shared" si="0"/>
        <v>2.54</v>
      </c>
      <c r="H7" s="3">
        <v>0.79</v>
      </c>
      <c r="I7" s="3">
        <v>509</v>
      </c>
      <c r="J7" s="1">
        <f t="shared" si="1"/>
        <v>5.09</v>
      </c>
    </row>
    <row r="8" spans="1:10" x14ac:dyDescent="0.25">
      <c r="A8" s="1" t="s">
        <v>247</v>
      </c>
      <c r="B8" s="3" t="s">
        <v>248</v>
      </c>
      <c r="C8" s="3">
        <v>3.4</v>
      </c>
      <c r="D8" s="3">
        <v>5.0709999999999997</v>
      </c>
      <c r="E8" s="3">
        <v>1.1279999999999999</v>
      </c>
      <c r="F8" s="3">
        <v>28.65</v>
      </c>
      <c r="G8" s="1">
        <f t="shared" si="0"/>
        <v>2.8649999999999998</v>
      </c>
      <c r="H8" s="3">
        <v>1</v>
      </c>
      <c r="I8" s="3">
        <v>645</v>
      </c>
      <c r="J8" s="1">
        <f t="shared" si="1"/>
        <v>6.45</v>
      </c>
    </row>
    <row r="9" spans="1:10" x14ac:dyDescent="0.25">
      <c r="A9" s="1" t="s">
        <v>230</v>
      </c>
      <c r="B9" s="3" t="s">
        <v>249</v>
      </c>
      <c r="C9" s="3">
        <v>4.3029999999999999</v>
      </c>
      <c r="D9" s="3">
        <v>6.4180000000000001</v>
      </c>
      <c r="E9" s="3">
        <v>1.27</v>
      </c>
      <c r="F9" s="3">
        <v>32.26</v>
      </c>
      <c r="G9" s="1">
        <f t="shared" si="0"/>
        <v>3.226</v>
      </c>
      <c r="H9" s="3">
        <v>1.27</v>
      </c>
      <c r="I9" s="3">
        <v>819</v>
      </c>
      <c r="J9" s="1">
        <f t="shared" si="1"/>
        <v>8.19</v>
      </c>
    </row>
    <row r="10" spans="1:10" x14ac:dyDescent="0.25">
      <c r="A10" s="1" t="s">
        <v>250</v>
      </c>
      <c r="B10" s="3" t="s">
        <v>251</v>
      </c>
      <c r="C10" s="3">
        <v>5.3129999999999997</v>
      </c>
      <c r="D10" s="3">
        <v>7.9240000000000004</v>
      </c>
      <c r="E10" s="3">
        <v>1.41</v>
      </c>
      <c r="F10" s="3">
        <v>35.81</v>
      </c>
      <c r="G10" s="1">
        <f t="shared" si="0"/>
        <v>3.5810000000000004</v>
      </c>
      <c r="H10" s="3">
        <v>1.56</v>
      </c>
      <c r="I10" s="3">
        <v>1006</v>
      </c>
      <c r="J10" s="1">
        <f t="shared" si="1"/>
        <v>10.06</v>
      </c>
    </row>
    <row r="11" spans="1:10" x14ac:dyDescent="0.25">
      <c r="A11" s="1" t="s">
        <v>252</v>
      </c>
      <c r="B11" s="3" t="s">
        <v>253</v>
      </c>
      <c r="C11" s="3">
        <v>6.4240000000000004</v>
      </c>
      <c r="D11" s="3">
        <v>9.6189999999999998</v>
      </c>
      <c r="E11" s="3">
        <v>1.5</v>
      </c>
      <c r="F11" s="3">
        <v>38.1</v>
      </c>
      <c r="G11" s="1">
        <f t="shared" si="0"/>
        <v>3.81</v>
      </c>
      <c r="H11" s="3">
        <v>1.76</v>
      </c>
      <c r="I11" s="3">
        <v>1140</v>
      </c>
      <c r="J11" s="1">
        <f t="shared" si="1"/>
        <v>11.4</v>
      </c>
    </row>
    <row r="12" spans="1:10" x14ac:dyDescent="0.25">
      <c r="A12" s="1" t="s">
        <v>254</v>
      </c>
      <c r="B12" s="3" t="s">
        <v>255</v>
      </c>
      <c r="C12" s="3">
        <v>7.65</v>
      </c>
      <c r="D12" s="3">
        <v>11.41</v>
      </c>
      <c r="E12" s="3">
        <v>1.6930000000000001</v>
      </c>
      <c r="F12" s="3">
        <v>43</v>
      </c>
      <c r="G12" s="1">
        <f t="shared" si="0"/>
        <v>4.3</v>
      </c>
      <c r="H12" s="3">
        <v>2.25</v>
      </c>
      <c r="I12" s="3">
        <v>1452</v>
      </c>
      <c r="J12" s="1">
        <f t="shared" si="1"/>
        <v>14.52</v>
      </c>
    </row>
    <row r="13" spans="1:10" x14ac:dyDescent="0.25">
      <c r="A13" s="1" t="s">
        <v>256</v>
      </c>
      <c r="B13" s="3" t="s">
        <v>257</v>
      </c>
      <c r="C13" s="3">
        <v>13.6</v>
      </c>
      <c r="D13" s="3">
        <v>20.283999999999999</v>
      </c>
      <c r="E13" s="3">
        <v>2.2570000000000001</v>
      </c>
      <c r="F13" s="3">
        <v>57.33</v>
      </c>
      <c r="G13" s="1">
        <f t="shared" si="0"/>
        <v>5.7329999999999997</v>
      </c>
      <c r="H13" s="3">
        <v>4</v>
      </c>
      <c r="I13" s="3">
        <v>2581</v>
      </c>
      <c r="J13" s="1">
        <f t="shared" si="1"/>
        <v>25.81</v>
      </c>
    </row>
  </sheetData>
  <sheetProtection algorithmName="SHA-512" hashValue="Oxpxagovgqv0OFlloH5Y8jmnj/6t0fzCLQQNPkDGJ5PT7JIMr6xh/sZiquIO+2gC4cDEEJu6SyCjd8X5EKzZGA==" saltValue="4I1ucQFSSV38ZLKHW83/Ow==" spinCount="100000" sheet="1" objects="1" scenarios="1"/>
  <phoneticPr fontId="1"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工作表6"/>
  <dimension ref="A2:T261"/>
  <sheetViews>
    <sheetView topLeftCell="A4" zoomScaleNormal="100" workbookViewId="0">
      <selection activeCell="L21" sqref="L21"/>
    </sheetView>
  </sheetViews>
  <sheetFormatPr defaultColWidth="9" defaultRowHeight="18.75" x14ac:dyDescent="0.25"/>
  <cols>
    <col min="1" max="1" width="9" style="6"/>
    <col min="2" max="2" width="12.25" style="92" customWidth="1"/>
    <col min="3" max="3" width="6.875" style="5" customWidth="1"/>
    <col min="4" max="4" width="10.75" style="24" customWidth="1"/>
    <col min="5" max="5" width="11.625" style="25" customWidth="1"/>
    <col min="6" max="6" width="11.625" style="26" customWidth="1"/>
    <col min="7" max="7" width="20.625" style="27" customWidth="1"/>
    <col min="8" max="8" width="12.625" style="5" customWidth="1"/>
    <col min="9" max="9" width="15.25" style="5" customWidth="1"/>
    <col min="10" max="10" width="11.625" style="5" customWidth="1"/>
    <col min="11" max="11" width="24.75" style="28" customWidth="1"/>
    <col min="12" max="12" width="40.125" style="95" customWidth="1"/>
    <col min="13" max="13" width="40.375" style="96" customWidth="1"/>
    <col min="14" max="14" width="9" style="6"/>
    <col min="15" max="15" width="17.375" style="6" customWidth="1"/>
    <col min="16" max="16384" width="9" style="6"/>
  </cols>
  <sheetData>
    <row r="2" spans="1:17" ht="15.75" x14ac:dyDescent="0.25">
      <c r="A2" s="6" t="s">
        <v>1</v>
      </c>
      <c r="B2" s="94" t="s">
        <v>2</v>
      </c>
    </row>
    <row r="3" spans="1:17" ht="21" x14ac:dyDescent="0.25">
      <c r="C3" s="97">
        <f>SUM(D4:F4)</f>
        <v>182</v>
      </c>
      <c r="D3" s="32"/>
      <c r="E3" s="33"/>
      <c r="F3" s="34"/>
    </row>
    <row r="4" spans="1:17" ht="21.75" thickBot="1" x14ac:dyDescent="0.3">
      <c r="C4" s="97"/>
      <c r="D4" s="32">
        <f>SUM(D6:D281)</f>
        <v>79</v>
      </c>
      <c r="E4" s="33">
        <f>SUM(E6:E281)</f>
        <v>61</v>
      </c>
      <c r="F4" s="34">
        <f>SUM(F6:F281)</f>
        <v>42</v>
      </c>
    </row>
    <row r="5" spans="1:17" x14ac:dyDescent="0.25">
      <c r="B5" s="35" t="s">
        <v>191</v>
      </c>
      <c r="C5" s="36" t="s">
        <v>192</v>
      </c>
      <c r="D5" s="37" t="s">
        <v>76</v>
      </c>
      <c r="E5" s="38" t="s">
        <v>77</v>
      </c>
      <c r="F5" s="39" t="s">
        <v>78</v>
      </c>
      <c r="G5" s="40" t="s">
        <v>75</v>
      </c>
      <c r="H5" s="36" t="s">
        <v>5</v>
      </c>
      <c r="I5" s="36" t="s">
        <v>5</v>
      </c>
      <c r="J5" s="36" t="s">
        <v>5</v>
      </c>
      <c r="K5" s="42" t="s">
        <v>3</v>
      </c>
      <c r="L5" s="98" t="s">
        <v>7</v>
      </c>
      <c r="M5" s="99" t="s">
        <v>209</v>
      </c>
    </row>
    <row r="6" spans="1:17" ht="19.5" thickBot="1" x14ac:dyDescent="0.3">
      <c r="B6" s="45" t="s">
        <v>442</v>
      </c>
      <c r="C6" s="46" t="s">
        <v>208</v>
      </c>
      <c r="D6" s="47" t="s">
        <v>410</v>
      </c>
      <c r="E6" s="48" t="s">
        <v>339</v>
      </c>
      <c r="F6" s="49" t="s">
        <v>362</v>
      </c>
      <c r="G6" s="50"/>
      <c r="H6" s="100"/>
      <c r="I6" s="100"/>
      <c r="J6" s="100"/>
      <c r="K6" s="52"/>
      <c r="L6" s="101"/>
      <c r="M6" s="102"/>
    </row>
    <row r="7" spans="1:17" x14ac:dyDescent="0.25">
      <c r="B7" s="55"/>
      <c r="C7" s="56"/>
      <c r="D7" s="57"/>
      <c r="E7" s="58"/>
      <c r="F7" s="59"/>
      <c r="G7" s="60"/>
      <c r="H7" s="103"/>
      <c r="I7" s="103"/>
      <c r="J7" s="103"/>
      <c r="K7" s="62"/>
      <c r="L7" s="63"/>
      <c r="M7" s="104"/>
    </row>
    <row r="8" spans="1:17" x14ac:dyDescent="0.25">
      <c r="B8" s="55"/>
      <c r="C8" s="65"/>
      <c r="D8" s="66"/>
      <c r="E8" s="67"/>
      <c r="F8" s="68"/>
      <c r="G8" s="69"/>
      <c r="H8" s="4"/>
      <c r="I8" s="4"/>
      <c r="J8" s="4"/>
      <c r="K8" s="78"/>
      <c r="L8" s="105"/>
      <c r="M8" s="106"/>
    </row>
    <row r="9" spans="1:17" x14ac:dyDescent="0.25">
      <c r="B9" s="55"/>
      <c r="C9" s="65"/>
      <c r="D9" s="66"/>
      <c r="E9" s="67"/>
      <c r="F9" s="68"/>
      <c r="G9" s="107"/>
      <c r="H9" s="108"/>
      <c r="I9" s="108"/>
      <c r="J9" s="108"/>
      <c r="K9" s="72"/>
      <c r="L9" s="109"/>
      <c r="M9" s="110"/>
    </row>
    <row r="10" spans="1:17" x14ac:dyDescent="0.25">
      <c r="B10" s="55"/>
      <c r="C10" s="56" t="s">
        <v>8</v>
      </c>
      <c r="D10" s="57">
        <v>1</v>
      </c>
      <c r="E10" s="58"/>
      <c r="F10" s="59"/>
      <c r="G10" s="107" t="s">
        <v>79</v>
      </c>
      <c r="H10" s="108" t="s">
        <v>443</v>
      </c>
      <c r="I10" s="108" t="s">
        <v>444</v>
      </c>
      <c r="J10" s="108" t="s">
        <v>283</v>
      </c>
      <c r="K10" s="72" t="s">
        <v>366</v>
      </c>
      <c r="L10" s="109" t="s">
        <v>445</v>
      </c>
      <c r="M10" s="110" t="str">
        <f t="shared" ref="M10:M25" si="0">CONCATENATE(O10,P10,Q10)</f>
        <v>請確認是否符合 短梁側筋 規定</v>
      </c>
      <c r="O10" s="6" t="s">
        <v>446</v>
      </c>
      <c r="P10" s="6" t="str">
        <f t="shared" ref="P10:P24" si="1">I10</f>
        <v>短梁側筋</v>
      </c>
      <c r="Q10" s="6" t="s">
        <v>447</v>
      </c>
    </row>
    <row r="11" spans="1:17" x14ac:dyDescent="0.25">
      <c r="B11" s="55"/>
      <c r="C11" s="56" t="s">
        <v>9</v>
      </c>
      <c r="D11" s="57"/>
      <c r="E11" s="58"/>
      <c r="F11" s="59"/>
      <c r="G11" s="107" t="s">
        <v>79</v>
      </c>
      <c r="H11" s="108" t="s">
        <v>443</v>
      </c>
      <c r="I11" s="108"/>
      <c r="J11" s="108"/>
      <c r="K11" s="72"/>
      <c r="L11" s="109"/>
      <c r="M11" s="110"/>
    </row>
    <row r="12" spans="1:17" x14ac:dyDescent="0.25">
      <c r="B12" s="55"/>
      <c r="C12" s="56" t="s">
        <v>10</v>
      </c>
      <c r="D12" s="57"/>
      <c r="E12" s="58"/>
      <c r="F12" s="59"/>
      <c r="G12" s="107"/>
      <c r="H12" s="108" t="s">
        <v>443</v>
      </c>
      <c r="I12" s="108"/>
      <c r="J12" s="111"/>
      <c r="K12" s="72"/>
      <c r="L12" s="109"/>
      <c r="M12" s="110"/>
    </row>
    <row r="13" spans="1:17" x14ac:dyDescent="0.25">
      <c r="B13" s="55"/>
      <c r="C13" s="56" t="s">
        <v>11</v>
      </c>
      <c r="D13" s="57">
        <v>1</v>
      </c>
      <c r="E13" s="58"/>
      <c r="F13" s="59"/>
      <c r="G13" s="107" t="s">
        <v>79</v>
      </c>
      <c r="H13" s="108" t="s">
        <v>443</v>
      </c>
      <c r="I13" s="108" t="s">
        <v>448</v>
      </c>
      <c r="J13" s="108" t="s">
        <v>284</v>
      </c>
      <c r="K13" s="72" t="s">
        <v>366</v>
      </c>
      <c r="L13" s="109" t="s">
        <v>449</v>
      </c>
      <c r="M13" s="110" t="str">
        <f t="shared" si="0"/>
        <v>請確認是否符合 短梁箍筋 規定</v>
      </c>
      <c r="O13" s="6" t="s">
        <v>450</v>
      </c>
      <c r="P13" s="6" t="str">
        <f t="shared" si="1"/>
        <v>短梁箍筋</v>
      </c>
      <c r="Q13" s="6" t="s">
        <v>451</v>
      </c>
    </row>
    <row r="14" spans="1:17" x14ac:dyDescent="0.25">
      <c r="B14" s="55"/>
      <c r="C14" s="65" t="s">
        <v>12</v>
      </c>
      <c r="D14" s="66"/>
      <c r="E14" s="67"/>
      <c r="F14" s="68"/>
      <c r="G14" s="107" t="s">
        <v>79</v>
      </c>
      <c r="H14" s="108" t="s">
        <v>443</v>
      </c>
      <c r="I14" s="108"/>
      <c r="J14" s="108"/>
      <c r="K14" s="72"/>
      <c r="L14" s="109"/>
      <c r="M14" s="110"/>
    </row>
    <row r="15" spans="1:17" x14ac:dyDescent="0.25">
      <c r="B15" s="55"/>
      <c r="C15" s="56" t="s">
        <v>13</v>
      </c>
      <c r="D15" s="57">
        <v>1</v>
      </c>
      <c r="E15" s="58"/>
      <c r="F15" s="59"/>
      <c r="G15" s="107" t="s">
        <v>79</v>
      </c>
      <c r="H15" s="108" t="s">
        <v>452</v>
      </c>
      <c r="I15" s="108" t="s">
        <v>453</v>
      </c>
      <c r="J15" s="108"/>
      <c r="K15" s="72" t="s">
        <v>454</v>
      </c>
      <c r="L15" s="109" t="s">
        <v>455</v>
      </c>
      <c r="M15" s="110" t="str">
        <f t="shared" si="0"/>
        <v>請確認是否符合 上層筋 規定</v>
      </c>
      <c r="O15" s="6" t="s">
        <v>450</v>
      </c>
      <c r="P15" s="6" t="str">
        <f t="shared" si="1"/>
        <v>上層筋</v>
      </c>
      <c r="Q15" s="6" t="s">
        <v>456</v>
      </c>
    </row>
    <row r="16" spans="1:17" x14ac:dyDescent="0.25">
      <c r="B16" s="55"/>
      <c r="C16" s="65" t="s">
        <v>14</v>
      </c>
      <c r="D16" s="66"/>
      <c r="E16" s="67">
        <v>1</v>
      </c>
      <c r="F16" s="68">
        <v>1</v>
      </c>
      <c r="G16" s="107" t="s">
        <v>79</v>
      </c>
      <c r="H16" s="108" t="s">
        <v>443</v>
      </c>
      <c r="I16" s="108" t="s">
        <v>457</v>
      </c>
      <c r="J16" s="108"/>
      <c r="K16" s="72" t="s">
        <v>458</v>
      </c>
      <c r="L16" s="109" t="s">
        <v>459</v>
      </c>
      <c r="M16" s="110" t="str">
        <f t="shared" si="0"/>
        <v>請確認是否符合 上層筋 規定</v>
      </c>
      <c r="O16" s="6" t="s">
        <v>450</v>
      </c>
      <c r="P16" s="6" t="str">
        <f t="shared" si="1"/>
        <v>上層筋</v>
      </c>
      <c r="Q16" s="6" t="s">
        <v>447</v>
      </c>
    </row>
    <row r="17" spans="2:17" x14ac:dyDescent="0.25">
      <c r="B17" s="55"/>
      <c r="C17" s="65" t="s">
        <v>15</v>
      </c>
      <c r="D17" s="66">
        <v>1</v>
      </c>
      <c r="E17" s="67"/>
      <c r="F17" s="68"/>
      <c r="G17" s="107" t="s">
        <v>79</v>
      </c>
      <c r="H17" s="108"/>
      <c r="I17" s="108"/>
      <c r="J17" s="108"/>
      <c r="K17" s="72"/>
      <c r="L17" s="109"/>
      <c r="M17" s="110"/>
      <c r="O17" s="6" t="s">
        <v>450</v>
      </c>
      <c r="P17" s="6">
        <f t="shared" si="1"/>
        <v>0</v>
      </c>
      <c r="Q17" s="6" t="s">
        <v>447</v>
      </c>
    </row>
    <row r="18" spans="2:17" x14ac:dyDescent="0.25">
      <c r="B18" s="55"/>
      <c r="C18" s="65" t="s">
        <v>16</v>
      </c>
      <c r="D18" s="66"/>
      <c r="E18" s="67"/>
      <c r="F18" s="68"/>
      <c r="G18" s="107"/>
      <c r="H18" s="108" t="s">
        <v>452</v>
      </c>
      <c r="I18" s="108"/>
      <c r="J18" s="108"/>
      <c r="K18" s="72"/>
      <c r="L18" s="109"/>
      <c r="M18" s="110"/>
    </row>
    <row r="19" spans="2:17" x14ac:dyDescent="0.25">
      <c r="B19" s="55"/>
      <c r="C19" s="56" t="s">
        <v>17</v>
      </c>
      <c r="D19" s="57">
        <v>1</v>
      </c>
      <c r="E19" s="58"/>
      <c r="F19" s="59"/>
      <c r="G19" s="107" t="s">
        <v>79</v>
      </c>
      <c r="H19" s="108" t="s">
        <v>460</v>
      </c>
      <c r="I19" s="108" t="s">
        <v>461</v>
      </c>
      <c r="J19" s="108"/>
      <c r="K19" s="72" t="s">
        <v>454</v>
      </c>
      <c r="L19" s="109" t="s">
        <v>462</v>
      </c>
      <c r="M19" s="110" t="str">
        <f t="shared" si="0"/>
        <v>請確認是否符合 下層筋 規定</v>
      </c>
      <c r="O19" s="6" t="s">
        <v>450</v>
      </c>
      <c r="P19" s="6" t="str">
        <f t="shared" si="1"/>
        <v>下層筋</v>
      </c>
      <c r="Q19" s="6" t="s">
        <v>463</v>
      </c>
    </row>
    <row r="20" spans="2:17" x14ac:dyDescent="0.25">
      <c r="B20" s="55"/>
      <c r="C20" s="65" t="s">
        <v>18</v>
      </c>
      <c r="D20" s="66"/>
      <c r="E20" s="67">
        <v>1</v>
      </c>
      <c r="F20" s="68">
        <v>1</v>
      </c>
      <c r="G20" s="107" t="s">
        <v>79</v>
      </c>
      <c r="H20" s="108" t="s">
        <v>443</v>
      </c>
      <c r="I20" s="108" t="s">
        <v>464</v>
      </c>
      <c r="J20" s="108"/>
      <c r="K20" s="72" t="s">
        <v>465</v>
      </c>
      <c r="L20" s="109" t="s">
        <v>459</v>
      </c>
      <c r="M20" s="110" t="str">
        <f t="shared" si="0"/>
        <v>請確認是否符合 下層筋 規定</v>
      </c>
      <c r="O20" s="6" t="s">
        <v>466</v>
      </c>
      <c r="P20" s="6" t="str">
        <f t="shared" si="1"/>
        <v>下層筋</v>
      </c>
      <c r="Q20" s="6" t="s">
        <v>447</v>
      </c>
    </row>
    <row r="21" spans="2:17" x14ac:dyDescent="0.25">
      <c r="B21" s="55"/>
      <c r="C21" s="65" t="s">
        <v>112</v>
      </c>
      <c r="D21" s="66">
        <v>1</v>
      </c>
      <c r="E21" s="67"/>
      <c r="F21" s="68"/>
      <c r="G21" s="107" t="s">
        <v>79</v>
      </c>
      <c r="H21" s="108" t="s">
        <v>443</v>
      </c>
      <c r="I21" s="108" t="s">
        <v>461</v>
      </c>
      <c r="J21" s="108"/>
      <c r="K21" s="72" t="s">
        <v>467</v>
      </c>
      <c r="L21" s="109" t="s">
        <v>468</v>
      </c>
      <c r="M21" s="110" t="str">
        <f t="shared" si="0"/>
        <v>請確認是否符合 下層筋 規定</v>
      </c>
      <c r="O21" s="6" t="s">
        <v>466</v>
      </c>
      <c r="P21" s="6" t="str">
        <f t="shared" si="1"/>
        <v>下層筋</v>
      </c>
      <c r="Q21" s="6" t="s">
        <v>456</v>
      </c>
    </row>
    <row r="22" spans="2:17" x14ac:dyDescent="0.25">
      <c r="B22" s="55"/>
      <c r="C22" s="65" t="s">
        <v>113</v>
      </c>
      <c r="D22" s="66"/>
      <c r="E22" s="67"/>
      <c r="F22" s="68"/>
      <c r="G22" s="107" t="s">
        <v>79</v>
      </c>
      <c r="H22" s="108" t="s">
        <v>443</v>
      </c>
      <c r="I22" s="108"/>
      <c r="J22" s="108"/>
      <c r="K22" s="72"/>
      <c r="L22" s="109"/>
      <c r="M22" s="110" t="str">
        <f t="shared" si="0"/>
        <v/>
      </c>
    </row>
    <row r="23" spans="2:17" x14ac:dyDescent="0.25">
      <c r="B23" s="55"/>
      <c r="C23" s="65" t="s">
        <v>114</v>
      </c>
      <c r="D23" s="66">
        <v>1</v>
      </c>
      <c r="E23" s="67"/>
      <c r="F23" s="68"/>
      <c r="G23" s="107" t="s">
        <v>79</v>
      </c>
      <c r="H23" s="108" t="s">
        <v>469</v>
      </c>
      <c r="I23" s="108" t="s">
        <v>371</v>
      </c>
      <c r="J23" s="108"/>
      <c r="K23" s="72" t="s">
        <v>345</v>
      </c>
      <c r="L23" s="109" t="s">
        <v>470</v>
      </c>
      <c r="M23" s="110" t="str">
        <f t="shared" si="0"/>
        <v>請確認是否符合 箍筋 規定</v>
      </c>
      <c r="O23" s="6" t="s">
        <v>450</v>
      </c>
      <c r="P23" s="6" t="str">
        <f t="shared" si="1"/>
        <v>箍筋</v>
      </c>
      <c r="Q23" s="6" t="s">
        <v>456</v>
      </c>
    </row>
    <row r="24" spans="2:17" x14ac:dyDescent="0.25">
      <c r="B24" s="55"/>
      <c r="C24" s="56" t="s">
        <v>115</v>
      </c>
      <c r="D24" s="57">
        <v>1</v>
      </c>
      <c r="E24" s="58"/>
      <c r="F24" s="59"/>
      <c r="G24" s="107" t="s">
        <v>79</v>
      </c>
      <c r="H24" s="108" t="s">
        <v>443</v>
      </c>
      <c r="I24" s="108" t="s">
        <v>371</v>
      </c>
      <c r="J24" s="108"/>
      <c r="K24" s="72" t="s">
        <v>471</v>
      </c>
      <c r="L24" s="109" t="s">
        <v>472</v>
      </c>
      <c r="M24" s="110" t="str">
        <f t="shared" si="0"/>
        <v>請確認是否符合 箍筋 規定</v>
      </c>
      <c r="O24" s="6" t="s">
        <v>450</v>
      </c>
      <c r="P24" s="6" t="str">
        <f t="shared" si="1"/>
        <v>箍筋</v>
      </c>
      <c r="Q24" s="6" t="s">
        <v>473</v>
      </c>
    </row>
    <row r="25" spans="2:17" ht="18.600000000000001" customHeight="1" x14ac:dyDescent="0.25">
      <c r="B25" s="55"/>
      <c r="C25" s="65" t="s">
        <v>116</v>
      </c>
      <c r="D25" s="66"/>
      <c r="E25" s="67"/>
      <c r="F25" s="68"/>
      <c r="G25" s="107" t="s">
        <v>79</v>
      </c>
      <c r="H25" s="108"/>
      <c r="I25" s="108"/>
      <c r="J25" s="108"/>
      <c r="K25" s="72"/>
      <c r="L25" s="109"/>
      <c r="M25" s="110" t="str">
        <f t="shared" si="0"/>
        <v/>
      </c>
    </row>
    <row r="26" spans="2:17" x14ac:dyDescent="0.25">
      <c r="B26" s="55"/>
      <c r="C26" s="65" t="s">
        <v>117</v>
      </c>
      <c r="D26" s="66"/>
      <c r="E26" s="67"/>
      <c r="F26" s="68"/>
      <c r="G26" s="107" t="s">
        <v>79</v>
      </c>
      <c r="H26" s="108"/>
      <c r="I26" s="108"/>
      <c r="J26" s="108"/>
      <c r="K26" s="72"/>
      <c r="L26" s="109"/>
      <c r="M26" s="112"/>
    </row>
    <row r="27" spans="2:17" x14ac:dyDescent="0.25">
      <c r="B27" s="55"/>
      <c r="C27" s="65" t="s">
        <v>118</v>
      </c>
      <c r="D27" s="113"/>
      <c r="E27" s="67">
        <v>1</v>
      </c>
      <c r="F27" s="114"/>
      <c r="G27" s="107" t="s">
        <v>79</v>
      </c>
      <c r="H27" s="115" t="s">
        <v>474</v>
      </c>
      <c r="I27" s="108" t="s">
        <v>475</v>
      </c>
      <c r="J27" s="108"/>
      <c r="K27" s="72" t="s">
        <v>476</v>
      </c>
      <c r="L27" s="109" t="s">
        <v>477</v>
      </c>
      <c r="M27" s="112" t="s">
        <v>478</v>
      </c>
    </row>
    <row r="28" spans="2:17" x14ac:dyDescent="0.25">
      <c r="B28" s="55"/>
      <c r="C28" s="65" t="s">
        <v>119</v>
      </c>
      <c r="D28" s="113"/>
      <c r="E28" s="67">
        <v>1</v>
      </c>
      <c r="F28" s="114"/>
      <c r="G28" s="107" t="s">
        <v>79</v>
      </c>
      <c r="H28" s="115" t="s">
        <v>479</v>
      </c>
      <c r="I28" s="108" t="s">
        <v>371</v>
      </c>
      <c r="J28" s="108"/>
      <c r="K28" s="72" t="s">
        <v>480</v>
      </c>
      <c r="L28" s="109" t="s">
        <v>477</v>
      </c>
      <c r="M28" s="112" t="s">
        <v>477</v>
      </c>
    </row>
    <row r="29" spans="2:17" x14ac:dyDescent="0.25">
      <c r="B29" s="55"/>
      <c r="C29" s="65" t="s">
        <v>120</v>
      </c>
      <c r="D29" s="66"/>
      <c r="E29" s="67"/>
      <c r="F29" s="68"/>
      <c r="G29" s="107" t="s">
        <v>79</v>
      </c>
      <c r="H29" s="108"/>
      <c r="I29" s="108"/>
      <c r="J29" s="108"/>
      <c r="K29" s="72"/>
      <c r="L29" s="109"/>
      <c r="M29" s="112"/>
    </row>
    <row r="30" spans="2:17" x14ac:dyDescent="0.25">
      <c r="B30" s="55"/>
      <c r="C30" s="56" t="s">
        <v>121</v>
      </c>
      <c r="D30" s="57"/>
      <c r="E30" s="58">
        <v>1</v>
      </c>
      <c r="F30" s="59"/>
      <c r="G30" s="107" t="s">
        <v>79</v>
      </c>
      <c r="H30" s="108"/>
      <c r="I30" s="108"/>
      <c r="J30" s="108"/>
      <c r="K30" s="72"/>
      <c r="L30" s="109"/>
      <c r="M30" s="112"/>
    </row>
    <row r="31" spans="2:17" x14ac:dyDescent="0.25">
      <c r="B31" s="55"/>
      <c r="C31" s="56" t="s">
        <v>122</v>
      </c>
      <c r="D31" s="57">
        <v>1</v>
      </c>
      <c r="E31" s="58"/>
      <c r="F31" s="59"/>
      <c r="G31" s="107" t="s">
        <v>79</v>
      </c>
      <c r="H31" s="108" t="s">
        <v>481</v>
      </c>
      <c r="I31" s="108" t="s">
        <v>482</v>
      </c>
      <c r="J31" s="108"/>
      <c r="K31" s="72" t="s">
        <v>483</v>
      </c>
      <c r="L31" s="109" t="s">
        <v>445</v>
      </c>
      <c r="M31" s="112" t="s">
        <v>445</v>
      </c>
    </row>
    <row r="32" spans="2:17" x14ac:dyDescent="0.25">
      <c r="B32" s="55"/>
      <c r="C32" s="65" t="s">
        <v>123</v>
      </c>
      <c r="D32" s="66"/>
      <c r="E32" s="67"/>
      <c r="F32" s="68"/>
      <c r="G32" s="107"/>
      <c r="H32" s="108" t="s">
        <v>481</v>
      </c>
      <c r="I32" s="108"/>
      <c r="J32" s="108"/>
      <c r="K32" s="72"/>
      <c r="L32" s="109"/>
      <c r="M32" s="112"/>
    </row>
    <row r="33" spans="2:13" x14ac:dyDescent="0.25">
      <c r="B33" s="55"/>
      <c r="C33" s="65" t="s">
        <v>124</v>
      </c>
      <c r="D33" s="66"/>
      <c r="E33" s="67">
        <v>1</v>
      </c>
      <c r="F33" s="68">
        <v>1</v>
      </c>
      <c r="G33" s="69" t="s">
        <v>79</v>
      </c>
      <c r="H33" s="4" t="s">
        <v>484</v>
      </c>
      <c r="I33" s="4" t="s">
        <v>485</v>
      </c>
      <c r="J33" s="4"/>
      <c r="K33" s="78" t="s">
        <v>486</v>
      </c>
      <c r="L33" s="105" t="s">
        <v>220</v>
      </c>
      <c r="M33" s="106" t="s">
        <v>487</v>
      </c>
    </row>
    <row r="34" spans="2:13" x14ac:dyDescent="0.25">
      <c r="B34" s="55"/>
      <c r="C34" s="65" t="s">
        <v>125</v>
      </c>
      <c r="D34" s="66">
        <v>1</v>
      </c>
      <c r="E34" s="67"/>
      <c r="F34" s="68"/>
      <c r="G34" s="69" t="s">
        <v>79</v>
      </c>
      <c r="H34" s="4" t="s">
        <v>484</v>
      </c>
      <c r="I34" s="4" t="s">
        <v>488</v>
      </c>
      <c r="J34" s="4"/>
      <c r="K34" s="78" t="s">
        <v>489</v>
      </c>
      <c r="L34" s="105" t="s">
        <v>490</v>
      </c>
      <c r="M34" s="106" t="s">
        <v>491</v>
      </c>
    </row>
    <row r="35" spans="2:13" x14ac:dyDescent="0.25">
      <c r="B35" s="55"/>
      <c r="C35" s="65" t="s">
        <v>172</v>
      </c>
      <c r="D35" s="66"/>
      <c r="E35" s="67"/>
      <c r="F35" s="68"/>
      <c r="G35" s="69"/>
      <c r="H35" s="4" t="s">
        <v>484</v>
      </c>
      <c r="I35" s="4"/>
      <c r="J35" s="4"/>
      <c r="K35" s="78"/>
      <c r="L35" s="105"/>
      <c r="M35" s="106"/>
    </row>
    <row r="36" spans="2:13" x14ac:dyDescent="0.25">
      <c r="B36" s="55"/>
      <c r="C36" s="65" t="s">
        <v>173</v>
      </c>
      <c r="D36" s="66">
        <v>1</v>
      </c>
      <c r="E36" s="67"/>
      <c r="F36" s="68"/>
      <c r="G36" s="69" t="s">
        <v>79</v>
      </c>
      <c r="H36" s="103" t="s">
        <v>492</v>
      </c>
      <c r="I36" s="103" t="s">
        <v>493</v>
      </c>
      <c r="J36" s="103"/>
      <c r="K36" s="62" t="s">
        <v>494</v>
      </c>
      <c r="L36" s="116" t="s">
        <v>495</v>
      </c>
      <c r="M36" s="106" t="s">
        <v>496</v>
      </c>
    </row>
    <row r="37" spans="2:13" x14ac:dyDescent="0.25">
      <c r="B37" s="55"/>
      <c r="C37" s="65" t="s">
        <v>174</v>
      </c>
      <c r="D37" s="66">
        <v>1</v>
      </c>
      <c r="E37" s="67"/>
      <c r="F37" s="68"/>
      <c r="G37" s="69" t="s">
        <v>79</v>
      </c>
      <c r="H37" s="103" t="s">
        <v>497</v>
      </c>
      <c r="I37" s="103" t="s">
        <v>493</v>
      </c>
      <c r="J37" s="103"/>
      <c r="K37" s="62" t="s">
        <v>498</v>
      </c>
      <c r="L37" s="116" t="s">
        <v>499</v>
      </c>
      <c r="M37" s="106" t="s">
        <v>491</v>
      </c>
    </row>
    <row r="38" spans="2:13" x14ac:dyDescent="0.25">
      <c r="B38" s="55"/>
      <c r="C38" s="65" t="s">
        <v>175</v>
      </c>
      <c r="D38" s="66"/>
      <c r="E38" s="67"/>
      <c r="F38" s="68"/>
      <c r="G38" s="69"/>
      <c r="H38" s="4" t="s">
        <v>484</v>
      </c>
      <c r="I38" s="4"/>
      <c r="J38" s="4"/>
      <c r="K38" s="78"/>
      <c r="L38" s="105"/>
      <c r="M38" s="106"/>
    </row>
    <row r="39" spans="2:13" x14ac:dyDescent="0.25">
      <c r="B39" s="55"/>
      <c r="C39" s="65" t="s">
        <v>176</v>
      </c>
      <c r="D39" s="66">
        <v>1</v>
      </c>
      <c r="E39" s="67"/>
      <c r="F39" s="68"/>
      <c r="G39" s="69" t="s">
        <v>79</v>
      </c>
      <c r="H39" s="4" t="s">
        <v>484</v>
      </c>
      <c r="I39" s="4" t="s">
        <v>437</v>
      </c>
      <c r="J39" s="4"/>
      <c r="K39" s="78" t="s">
        <v>486</v>
      </c>
      <c r="L39" s="105" t="s">
        <v>487</v>
      </c>
      <c r="M39" s="106" t="s">
        <v>487</v>
      </c>
    </row>
    <row r="40" spans="2:13" x14ac:dyDescent="0.25">
      <c r="B40" s="55"/>
      <c r="C40" s="65" t="s">
        <v>177</v>
      </c>
      <c r="D40" s="66">
        <v>1</v>
      </c>
      <c r="E40" s="67"/>
      <c r="F40" s="68"/>
      <c r="G40" s="69" t="s">
        <v>79</v>
      </c>
      <c r="H40" s="4" t="s">
        <v>484</v>
      </c>
      <c r="I40" s="4" t="s">
        <v>437</v>
      </c>
      <c r="J40" s="4"/>
      <c r="K40" s="78" t="s">
        <v>489</v>
      </c>
      <c r="L40" s="105" t="s">
        <v>500</v>
      </c>
      <c r="M40" s="106" t="s">
        <v>500</v>
      </c>
    </row>
    <row r="41" spans="2:13" x14ac:dyDescent="0.25">
      <c r="B41" s="55"/>
      <c r="C41" s="65" t="s">
        <v>178</v>
      </c>
      <c r="D41" s="66"/>
      <c r="E41" s="67"/>
      <c r="F41" s="68"/>
      <c r="G41" s="69"/>
      <c r="H41" s="4" t="s">
        <v>501</v>
      </c>
      <c r="I41" s="4"/>
      <c r="J41" s="4"/>
      <c r="K41" s="78"/>
      <c r="L41" s="105"/>
      <c r="M41" s="106"/>
    </row>
    <row r="42" spans="2:13" x14ac:dyDescent="0.25">
      <c r="B42" s="55"/>
      <c r="C42" s="65" t="s">
        <v>179</v>
      </c>
      <c r="D42" s="66">
        <v>1</v>
      </c>
      <c r="E42" s="67"/>
      <c r="F42" s="68"/>
      <c r="G42" s="69" t="s">
        <v>79</v>
      </c>
      <c r="H42" s="4" t="s">
        <v>484</v>
      </c>
      <c r="I42" s="4" t="s">
        <v>502</v>
      </c>
      <c r="J42" s="4"/>
      <c r="K42" s="78" t="s">
        <v>486</v>
      </c>
      <c r="L42" s="105" t="s">
        <v>503</v>
      </c>
      <c r="M42" s="106" t="s">
        <v>504</v>
      </c>
    </row>
    <row r="43" spans="2:13" x14ac:dyDescent="0.25">
      <c r="B43" s="55"/>
      <c r="C43" s="65" t="s">
        <v>180</v>
      </c>
      <c r="D43" s="66"/>
      <c r="E43" s="67">
        <v>1</v>
      </c>
      <c r="F43" s="68">
        <v>1</v>
      </c>
      <c r="G43" s="69" t="s">
        <v>79</v>
      </c>
      <c r="H43" s="4" t="s">
        <v>484</v>
      </c>
      <c r="I43" s="4" t="s">
        <v>505</v>
      </c>
      <c r="J43" s="4"/>
      <c r="K43" s="78" t="s">
        <v>506</v>
      </c>
      <c r="L43" s="105" t="s">
        <v>507</v>
      </c>
      <c r="M43" s="106" t="s">
        <v>508</v>
      </c>
    </row>
    <row r="44" spans="2:13" x14ac:dyDescent="0.25">
      <c r="B44" s="55"/>
      <c r="C44" s="65" t="s">
        <v>181</v>
      </c>
      <c r="D44" s="66">
        <v>1</v>
      </c>
      <c r="E44" s="67"/>
      <c r="F44" s="68"/>
      <c r="G44" s="69" t="s">
        <v>79</v>
      </c>
      <c r="H44" s="103" t="s">
        <v>497</v>
      </c>
      <c r="I44" s="103" t="s">
        <v>509</v>
      </c>
      <c r="J44" s="103"/>
      <c r="K44" s="62" t="s">
        <v>510</v>
      </c>
      <c r="L44" s="116" t="s">
        <v>511</v>
      </c>
      <c r="M44" s="106" t="s">
        <v>512</v>
      </c>
    </row>
    <row r="45" spans="2:13" x14ac:dyDescent="0.25">
      <c r="B45" s="55"/>
      <c r="C45" s="65" t="s">
        <v>182</v>
      </c>
      <c r="D45" s="66"/>
      <c r="E45" s="67"/>
      <c r="F45" s="68"/>
      <c r="G45" s="69"/>
      <c r="H45" s="4" t="s">
        <v>484</v>
      </c>
      <c r="I45" s="4"/>
      <c r="J45" s="4"/>
      <c r="K45" s="78"/>
      <c r="L45" s="105"/>
      <c r="M45" s="106"/>
    </row>
    <row r="46" spans="2:13" x14ac:dyDescent="0.25">
      <c r="B46" s="55"/>
      <c r="C46" s="65" t="s">
        <v>183</v>
      </c>
      <c r="D46" s="66">
        <v>1</v>
      </c>
      <c r="E46" s="67"/>
      <c r="F46" s="68"/>
      <c r="G46" s="69" t="s">
        <v>79</v>
      </c>
      <c r="H46" s="4" t="s">
        <v>513</v>
      </c>
      <c r="I46" s="4" t="s">
        <v>514</v>
      </c>
      <c r="J46" s="4"/>
      <c r="K46" s="78" t="s">
        <v>486</v>
      </c>
      <c r="L46" s="105" t="s">
        <v>515</v>
      </c>
      <c r="M46" s="106" t="s">
        <v>515</v>
      </c>
    </row>
    <row r="47" spans="2:13" x14ac:dyDescent="0.25">
      <c r="B47" s="55"/>
      <c r="C47" s="65" t="s">
        <v>184</v>
      </c>
      <c r="D47" s="66"/>
      <c r="E47" s="67">
        <v>1</v>
      </c>
      <c r="F47" s="68">
        <v>1</v>
      </c>
      <c r="G47" s="69" t="s">
        <v>79</v>
      </c>
      <c r="H47" s="4" t="s">
        <v>516</v>
      </c>
      <c r="I47" s="4" t="s">
        <v>517</v>
      </c>
      <c r="J47" s="4"/>
      <c r="K47" s="78" t="s">
        <v>489</v>
      </c>
      <c r="L47" s="105" t="s">
        <v>508</v>
      </c>
      <c r="M47" s="106" t="s">
        <v>518</v>
      </c>
    </row>
    <row r="48" spans="2:13" x14ac:dyDescent="0.25">
      <c r="B48" s="55"/>
      <c r="C48" s="65" t="s">
        <v>185</v>
      </c>
      <c r="D48" s="66">
        <v>1</v>
      </c>
      <c r="E48" s="67"/>
      <c r="F48" s="68"/>
      <c r="G48" s="69" t="s">
        <v>79</v>
      </c>
      <c r="H48" s="4" t="s">
        <v>484</v>
      </c>
      <c r="I48" s="4" t="s">
        <v>514</v>
      </c>
      <c r="J48" s="4"/>
      <c r="K48" s="78" t="s">
        <v>519</v>
      </c>
      <c r="L48" s="105" t="s">
        <v>520</v>
      </c>
      <c r="M48" s="106" t="s">
        <v>521</v>
      </c>
    </row>
    <row r="49" spans="2:19" x14ac:dyDescent="0.25">
      <c r="B49" s="55"/>
      <c r="C49" s="65" t="s">
        <v>186</v>
      </c>
      <c r="D49" s="66"/>
      <c r="E49" s="67"/>
      <c r="F49" s="68"/>
      <c r="G49" s="69"/>
      <c r="H49" s="4"/>
      <c r="I49" s="4"/>
      <c r="J49" s="4"/>
      <c r="K49" s="78"/>
      <c r="L49" s="105"/>
      <c r="M49" s="106"/>
    </row>
    <row r="50" spans="2:19" ht="18.600000000000001" customHeight="1" x14ac:dyDescent="0.25">
      <c r="B50" s="55"/>
      <c r="C50" s="65" t="s">
        <v>187</v>
      </c>
      <c r="D50" s="66"/>
      <c r="E50" s="67"/>
      <c r="F50" s="68"/>
      <c r="G50" s="69"/>
      <c r="H50" s="4"/>
      <c r="I50" s="4"/>
      <c r="J50" s="4"/>
      <c r="K50" s="78"/>
      <c r="L50" s="105"/>
      <c r="M50" s="106"/>
    </row>
    <row r="51" spans="2:19" x14ac:dyDescent="0.25">
      <c r="B51" s="55"/>
      <c r="C51" s="65" t="s">
        <v>188</v>
      </c>
      <c r="D51" s="66"/>
      <c r="E51" s="67"/>
      <c r="F51" s="68"/>
      <c r="G51" s="69"/>
      <c r="H51" s="4"/>
      <c r="I51" s="4"/>
      <c r="J51" s="4"/>
      <c r="K51" s="78"/>
      <c r="L51" s="105"/>
      <c r="M51" s="106"/>
    </row>
    <row r="52" spans="2:19" ht="19.5" thickBot="1" x14ac:dyDescent="0.3">
      <c r="B52" s="55"/>
      <c r="C52" s="4"/>
      <c r="D52" s="66"/>
      <c r="E52" s="67"/>
      <c r="F52" s="68"/>
      <c r="G52" s="77"/>
      <c r="H52" s="4"/>
      <c r="I52" s="4"/>
      <c r="J52" s="4"/>
      <c r="K52" s="78"/>
      <c r="L52" s="73"/>
      <c r="M52" s="117"/>
    </row>
    <row r="53" spans="2:19" x14ac:dyDescent="0.25">
      <c r="B53" s="35" t="s">
        <v>191</v>
      </c>
      <c r="C53" s="36" t="s">
        <v>192</v>
      </c>
      <c r="D53" s="37" t="s">
        <v>76</v>
      </c>
      <c r="E53" s="38" t="s">
        <v>77</v>
      </c>
      <c r="F53" s="39" t="s">
        <v>78</v>
      </c>
      <c r="G53" s="40" t="s">
        <v>75</v>
      </c>
      <c r="H53" s="36" t="s">
        <v>5</v>
      </c>
      <c r="I53" s="36" t="s">
        <v>5</v>
      </c>
      <c r="J53" s="36" t="s">
        <v>5</v>
      </c>
      <c r="K53" s="42" t="s">
        <v>3</v>
      </c>
      <c r="L53" s="98" t="s">
        <v>7</v>
      </c>
      <c r="M53" s="99" t="s">
        <v>209</v>
      </c>
    </row>
    <row r="54" spans="2:19" ht="19.5" thickBot="1" x14ac:dyDescent="0.3">
      <c r="B54" s="45" t="s">
        <v>522</v>
      </c>
      <c r="C54" s="46" t="s">
        <v>207</v>
      </c>
      <c r="D54" s="47" t="s">
        <v>523</v>
      </c>
      <c r="E54" s="48" t="s">
        <v>339</v>
      </c>
      <c r="F54" s="49" t="s">
        <v>362</v>
      </c>
      <c r="G54" s="50"/>
      <c r="H54" s="100"/>
      <c r="I54" s="100"/>
      <c r="J54" s="100"/>
      <c r="K54" s="52"/>
      <c r="L54" s="101"/>
      <c r="M54" s="102"/>
    </row>
    <row r="55" spans="2:19" x14ac:dyDescent="0.25">
      <c r="B55" s="55"/>
      <c r="C55" s="65" t="s">
        <v>19</v>
      </c>
      <c r="D55" s="66"/>
      <c r="E55" s="67"/>
      <c r="F55" s="68"/>
      <c r="G55" s="77"/>
      <c r="H55" s="4"/>
      <c r="I55" s="4"/>
      <c r="J55" s="4"/>
      <c r="K55" s="78"/>
      <c r="L55" s="118"/>
      <c r="M55" s="119"/>
    </row>
    <row r="56" spans="2:19" x14ac:dyDescent="0.25">
      <c r="B56" s="55"/>
      <c r="C56" s="56" t="s">
        <v>258</v>
      </c>
      <c r="D56" s="57">
        <v>1</v>
      </c>
      <c r="E56" s="58"/>
      <c r="F56" s="59"/>
      <c r="G56" s="120" t="s">
        <v>524</v>
      </c>
      <c r="H56" s="103"/>
      <c r="I56" s="103"/>
      <c r="J56" s="103"/>
      <c r="K56" s="62" t="s">
        <v>86</v>
      </c>
      <c r="L56" s="121"/>
      <c r="M56" s="122" t="s">
        <v>525</v>
      </c>
    </row>
    <row r="57" spans="2:19" x14ac:dyDescent="0.25">
      <c r="B57" s="55"/>
      <c r="C57" s="56" t="s">
        <v>20</v>
      </c>
      <c r="D57" s="57">
        <v>1</v>
      </c>
      <c r="E57" s="58"/>
      <c r="F57" s="59"/>
      <c r="G57" s="120" t="s">
        <v>526</v>
      </c>
      <c r="H57" s="103"/>
      <c r="I57" s="103"/>
      <c r="J57" s="103"/>
      <c r="K57" s="62" t="s">
        <v>527</v>
      </c>
      <c r="L57" s="121"/>
      <c r="M57" s="122"/>
    </row>
    <row r="58" spans="2:19" x14ac:dyDescent="0.25">
      <c r="B58" s="55"/>
      <c r="C58" s="65" t="s">
        <v>21</v>
      </c>
      <c r="D58" s="66">
        <v>1</v>
      </c>
      <c r="E58" s="67"/>
      <c r="F58" s="68"/>
      <c r="G58" s="77"/>
      <c r="H58" s="4"/>
      <c r="I58" s="4"/>
      <c r="J58" s="4"/>
      <c r="K58" s="78"/>
      <c r="L58" s="118"/>
      <c r="M58" s="119"/>
    </row>
    <row r="59" spans="2:19" x14ac:dyDescent="0.25">
      <c r="B59" s="55"/>
      <c r="C59" s="65" t="s">
        <v>22</v>
      </c>
      <c r="D59" s="66">
        <v>1</v>
      </c>
      <c r="E59" s="67"/>
      <c r="F59" s="68"/>
      <c r="G59" s="77" t="s">
        <v>190</v>
      </c>
      <c r="H59" s="4" t="s">
        <v>346</v>
      </c>
      <c r="I59" s="4" t="s">
        <v>354</v>
      </c>
      <c r="J59" s="4" t="s">
        <v>347</v>
      </c>
      <c r="K59" s="78" t="s">
        <v>486</v>
      </c>
      <c r="L59" s="123" t="s">
        <v>528</v>
      </c>
      <c r="M59" s="124" t="str">
        <f>CONCATENATE(O59,P59,Q59,R59,S59)</f>
        <v>請確認是否符合 左端上層筋下限 規定</v>
      </c>
      <c r="N59" s="6" t="str">
        <f>C59</f>
        <v>0205</v>
      </c>
      <c r="O59" s="6" t="s">
        <v>450</v>
      </c>
      <c r="P59" s="6" t="str">
        <f t="shared" ref="P59:Q62" si="2">I59</f>
        <v>左端</v>
      </c>
      <c r="Q59" s="6" t="str">
        <f t="shared" si="2"/>
        <v>上層筋</v>
      </c>
      <c r="R59" s="6" t="s">
        <v>529</v>
      </c>
      <c r="S59" s="6" t="s">
        <v>447</v>
      </c>
    </row>
    <row r="60" spans="2:19" x14ac:dyDescent="0.25">
      <c r="B60" s="55"/>
      <c r="C60" s="65" t="s">
        <v>23</v>
      </c>
      <c r="D60" s="66"/>
      <c r="E60" s="67"/>
      <c r="F60" s="68">
        <v>1</v>
      </c>
      <c r="G60" s="77" t="s">
        <v>190</v>
      </c>
      <c r="H60" s="4" t="s">
        <v>346</v>
      </c>
      <c r="I60" s="4" t="s">
        <v>354</v>
      </c>
      <c r="J60" s="4" t="s">
        <v>347</v>
      </c>
      <c r="K60" s="78" t="s">
        <v>530</v>
      </c>
      <c r="L60" s="123" t="s">
        <v>531</v>
      </c>
      <c r="M60" s="124" t="str">
        <f>CONCATENATE(O60,P60,Q60,R60,S60)</f>
        <v>請確認是否符合 左端上層筋上限 規定</v>
      </c>
      <c r="N60" s="6" t="str">
        <f t="shared" ref="N60:N107" si="3">C60</f>
        <v>0206</v>
      </c>
      <c r="O60" s="6" t="s">
        <v>450</v>
      </c>
      <c r="P60" s="6" t="str">
        <f t="shared" si="2"/>
        <v>左端</v>
      </c>
      <c r="Q60" s="6" t="str">
        <f t="shared" si="2"/>
        <v>上層筋</v>
      </c>
      <c r="R60" s="6" t="s">
        <v>532</v>
      </c>
      <c r="S60" s="6" t="s">
        <v>447</v>
      </c>
    </row>
    <row r="61" spans="2:19" x14ac:dyDescent="0.25">
      <c r="B61" s="55"/>
      <c r="C61" s="65" t="s">
        <v>24</v>
      </c>
      <c r="D61" s="66">
        <v>1</v>
      </c>
      <c r="E61" s="67"/>
      <c r="F61" s="68"/>
      <c r="G61" s="77" t="s">
        <v>190</v>
      </c>
      <c r="H61" s="4" t="s">
        <v>346</v>
      </c>
      <c r="I61" s="4" t="s">
        <v>356</v>
      </c>
      <c r="J61" s="4" t="s">
        <v>347</v>
      </c>
      <c r="K61" s="78" t="s">
        <v>486</v>
      </c>
      <c r="L61" s="123" t="s">
        <v>528</v>
      </c>
      <c r="M61" s="124" t="str">
        <f>CONCATENATE(O61,P61,Q61,R61,S61)</f>
        <v>請確認是否符合 右端上層筋下限 規定</v>
      </c>
      <c r="N61" s="6" t="str">
        <f t="shared" si="3"/>
        <v>0207</v>
      </c>
      <c r="O61" s="6" t="s">
        <v>446</v>
      </c>
      <c r="P61" s="6" t="str">
        <f t="shared" si="2"/>
        <v>右端</v>
      </c>
      <c r="Q61" s="6" t="str">
        <f t="shared" si="2"/>
        <v>上層筋</v>
      </c>
      <c r="R61" s="6" t="s">
        <v>405</v>
      </c>
      <c r="S61" s="6" t="s">
        <v>447</v>
      </c>
    </row>
    <row r="62" spans="2:19" x14ac:dyDescent="0.25">
      <c r="B62" s="55"/>
      <c r="C62" s="65" t="s">
        <v>25</v>
      </c>
      <c r="D62" s="66"/>
      <c r="E62" s="67"/>
      <c r="F62" s="68">
        <v>1</v>
      </c>
      <c r="G62" s="77" t="s">
        <v>190</v>
      </c>
      <c r="H62" s="4" t="s">
        <v>346</v>
      </c>
      <c r="I62" s="4" t="s">
        <v>356</v>
      </c>
      <c r="J62" s="4" t="s">
        <v>347</v>
      </c>
      <c r="K62" s="78" t="s">
        <v>533</v>
      </c>
      <c r="L62" s="123" t="s">
        <v>534</v>
      </c>
      <c r="M62" s="124" t="str">
        <f>CONCATENATE(O62,P62,Q62,R62,S62)</f>
        <v>請確認是否符合 右端上層筋上限 規定</v>
      </c>
      <c r="N62" s="6" t="str">
        <f t="shared" si="3"/>
        <v>0208</v>
      </c>
      <c r="O62" s="6" t="s">
        <v>450</v>
      </c>
      <c r="P62" s="6" t="str">
        <f t="shared" si="2"/>
        <v>右端</v>
      </c>
      <c r="Q62" s="6" t="str">
        <f t="shared" si="2"/>
        <v>上層筋</v>
      </c>
      <c r="R62" s="6" t="s">
        <v>372</v>
      </c>
      <c r="S62" s="6" t="s">
        <v>447</v>
      </c>
    </row>
    <row r="63" spans="2:19" x14ac:dyDescent="0.25">
      <c r="B63" s="55"/>
      <c r="C63" s="65" t="s">
        <v>26</v>
      </c>
      <c r="D63" s="66"/>
      <c r="E63" s="67"/>
      <c r="F63" s="68"/>
      <c r="G63" s="77" t="s">
        <v>190</v>
      </c>
      <c r="H63" s="4"/>
      <c r="I63" s="4"/>
      <c r="J63" s="4"/>
      <c r="K63" s="78"/>
      <c r="L63" s="123"/>
      <c r="M63" s="124"/>
      <c r="N63" s="6" t="str">
        <f t="shared" si="3"/>
        <v>0209</v>
      </c>
    </row>
    <row r="64" spans="2:19" x14ac:dyDescent="0.25">
      <c r="B64" s="55"/>
      <c r="C64" s="65" t="s">
        <v>27</v>
      </c>
      <c r="D64" s="66">
        <v>1</v>
      </c>
      <c r="E64" s="67"/>
      <c r="F64" s="68"/>
      <c r="G64" s="77" t="s">
        <v>190</v>
      </c>
      <c r="H64" s="4" t="s">
        <v>346</v>
      </c>
      <c r="I64" s="4" t="s">
        <v>354</v>
      </c>
      <c r="J64" s="4" t="s">
        <v>350</v>
      </c>
      <c r="K64" s="78" t="s">
        <v>486</v>
      </c>
      <c r="L64" s="123" t="s">
        <v>528</v>
      </c>
      <c r="M64" s="124" t="str">
        <f>CONCATENATE(O64,P64,Q64,R64,S64)</f>
        <v>請確認是否符合 左端下層筋下限 規定</v>
      </c>
      <c r="N64" s="6" t="str">
        <f t="shared" si="3"/>
        <v>0210</v>
      </c>
      <c r="O64" s="6" t="s">
        <v>450</v>
      </c>
      <c r="P64" s="6" t="str">
        <f t="shared" ref="P64:Q67" si="4">I64</f>
        <v>左端</v>
      </c>
      <c r="Q64" s="6" t="str">
        <f t="shared" si="4"/>
        <v>下層筋</v>
      </c>
      <c r="R64" s="6" t="s">
        <v>405</v>
      </c>
      <c r="S64" s="6" t="s">
        <v>447</v>
      </c>
    </row>
    <row r="65" spans="2:19" x14ac:dyDescent="0.25">
      <c r="B65" s="55"/>
      <c r="C65" s="65" t="s">
        <v>28</v>
      </c>
      <c r="D65" s="66"/>
      <c r="E65" s="67"/>
      <c r="F65" s="68">
        <v>1</v>
      </c>
      <c r="G65" s="77" t="s">
        <v>190</v>
      </c>
      <c r="H65" s="4" t="s">
        <v>346</v>
      </c>
      <c r="I65" s="4" t="s">
        <v>354</v>
      </c>
      <c r="J65" s="4" t="s">
        <v>350</v>
      </c>
      <c r="K65" s="78" t="s">
        <v>506</v>
      </c>
      <c r="L65" s="123" t="s">
        <v>535</v>
      </c>
      <c r="M65" s="124" t="str">
        <f>CONCATENATE(O65,P65,Q65,R65,S65)</f>
        <v>請確認是否符合 左端下層筋上限 規定</v>
      </c>
      <c r="N65" s="6" t="str">
        <f t="shared" si="3"/>
        <v>0211</v>
      </c>
      <c r="O65" s="6" t="s">
        <v>536</v>
      </c>
      <c r="P65" s="6" t="str">
        <f t="shared" si="4"/>
        <v>左端</v>
      </c>
      <c r="Q65" s="6" t="str">
        <f t="shared" si="4"/>
        <v>下層筋</v>
      </c>
      <c r="R65" s="6" t="s">
        <v>537</v>
      </c>
      <c r="S65" s="6" t="s">
        <v>447</v>
      </c>
    </row>
    <row r="66" spans="2:19" x14ac:dyDescent="0.25">
      <c r="B66" s="55"/>
      <c r="C66" s="65" t="s">
        <v>29</v>
      </c>
      <c r="D66" s="66">
        <v>1</v>
      </c>
      <c r="E66" s="67"/>
      <c r="F66" s="68"/>
      <c r="G66" s="77" t="s">
        <v>190</v>
      </c>
      <c r="H66" s="4" t="s">
        <v>346</v>
      </c>
      <c r="I66" s="4" t="s">
        <v>356</v>
      </c>
      <c r="J66" s="4" t="s">
        <v>350</v>
      </c>
      <c r="K66" s="78" t="s">
        <v>538</v>
      </c>
      <c r="L66" s="123" t="s">
        <v>539</v>
      </c>
      <c r="M66" s="124" t="str">
        <f>CONCATENATE(O66,P66,Q66,R66,S66)</f>
        <v>請確認是否符合 右端下層筋下限 規定</v>
      </c>
      <c r="N66" s="6" t="str">
        <f t="shared" si="3"/>
        <v>0212</v>
      </c>
      <c r="O66" s="6" t="s">
        <v>536</v>
      </c>
      <c r="P66" s="6" t="str">
        <f t="shared" si="4"/>
        <v>右端</v>
      </c>
      <c r="Q66" s="6" t="str">
        <f t="shared" si="4"/>
        <v>下層筋</v>
      </c>
      <c r="R66" s="6" t="s">
        <v>540</v>
      </c>
      <c r="S66" s="6" t="s">
        <v>447</v>
      </c>
    </row>
    <row r="67" spans="2:19" x14ac:dyDescent="0.25">
      <c r="B67" s="55"/>
      <c r="C67" s="65" t="s">
        <v>30</v>
      </c>
      <c r="D67" s="66"/>
      <c r="E67" s="67"/>
      <c r="F67" s="68">
        <v>1</v>
      </c>
      <c r="G67" s="77" t="s">
        <v>190</v>
      </c>
      <c r="H67" s="4" t="s">
        <v>346</v>
      </c>
      <c r="I67" s="4" t="s">
        <v>356</v>
      </c>
      <c r="J67" s="4" t="s">
        <v>350</v>
      </c>
      <c r="K67" s="78" t="s">
        <v>541</v>
      </c>
      <c r="L67" s="123" t="s">
        <v>542</v>
      </c>
      <c r="M67" s="124" t="str">
        <f>CONCATENATE(O67,P67,Q67,R67,S67)</f>
        <v>請確認是否符合 右端下層筋上限 規定</v>
      </c>
      <c r="N67" s="6" t="str">
        <f t="shared" si="3"/>
        <v>0213</v>
      </c>
      <c r="O67" s="6" t="s">
        <v>543</v>
      </c>
      <c r="P67" s="6" t="str">
        <f t="shared" si="4"/>
        <v>右端</v>
      </c>
      <c r="Q67" s="6" t="str">
        <f t="shared" si="4"/>
        <v>下層筋</v>
      </c>
      <c r="R67" s="6" t="s">
        <v>532</v>
      </c>
      <c r="S67" s="6" t="s">
        <v>544</v>
      </c>
    </row>
    <row r="68" spans="2:19" x14ac:dyDescent="0.25">
      <c r="B68" s="55"/>
      <c r="C68" s="65" t="s">
        <v>31</v>
      </c>
      <c r="D68" s="66"/>
      <c r="E68" s="67"/>
      <c r="F68" s="68"/>
      <c r="G68" s="77" t="s">
        <v>190</v>
      </c>
      <c r="H68" s="4"/>
      <c r="I68" s="4"/>
      <c r="J68" s="4"/>
      <c r="K68" s="78"/>
      <c r="L68" s="123"/>
      <c r="M68" s="124"/>
      <c r="N68" s="6" t="str">
        <f t="shared" si="3"/>
        <v>0214</v>
      </c>
    </row>
    <row r="69" spans="2:19" x14ac:dyDescent="0.25">
      <c r="B69" s="55"/>
      <c r="C69" s="65" t="s">
        <v>32</v>
      </c>
      <c r="D69" s="66">
        <v>1</v>
      </c>
      <c r="E69" s="67"/>
      <c r="F69" s="68"/>
      <c r="G69" s="77" t="s">
        <v>190</v>
      </c>
      <c r="H69" s="4" t="s">
        <v>346</v>
      </c>
      <c r="I69" s="4" t="s">
        <v>353</v>
      </c>
      <c r="J69" s="4" t="s">
        <v>347</v>
      </c>
      <c r="K69" s="78" t="s">
        <v>538</v>
      </c>
      <c r="L69" s="123" t="s">
        <v>545</v>
      </c>
      <c r="M69" s="124" t="str">
        <f>CONCATENATE(O69,P69,Q69,R69,S69)</f>
        <v>請確認是否符合 中央上層筋下限 規定</v>
      </c>
      <c r="N69" s="6" t="str">
        <f t="shared" si="3"/>
        <v>0215</v>
      </c>
      <c r="O69" s="6" t="s">
        <v>536</v>
      </c>
      <c r="P69" s="6" t="str">
        <f t="shared" ref="P69:Q72" si="5">I69</f>
        <v>中央</v>
      </c>
      <c r="Q69" s="6" t="str">
        <f t="shared" si="5"/>
        <v>上層筋</v>
      </c>
      <c r="R69" s="6" t="s">
        <v>546</v>
      </c>
      <c r="S69" s="6" t="s">
        <v>547</v>
      </c>
    </row>
    <row r="70" spans="2:19" x14ac:dyDescent="0.25">
      <c r="B70" s="55"/>
      <c r="C70" s="65" t="s">
        <v>80</v>
      </c>
      <c r="D70" s="66"/>
      <c r="E70" s="67">
        <v>1</v>
      </c>
      <c r="F70" s="68"/>
      <c r="G70" s="77" t="s">
        <v>190</v>
      </c>
      <c r="H70" s="4" t="s">
        <v>346</v>
      </c>
      <c r="I70" s="4" t="s">
        <v>353</v>
      </c>
      <c r="J70" s="4" t="s">
        <v>347</v>
      </c>
      <c r="K70" s="78" t="s">
        <v>548</v>
      </c>
      <c r="L70" s="123" t="s">
        <v>549</v>
      </c>
      <c r="M70" s="124" t="str">
        <f>CONCATENATE(O70,P70,Q70,R70,S70)</f>
        <v>請確認是否符合 中央上層筋相對鋼筋量 規定</v>
      </c>
      <c r="N70" s="6" t="str">
        <f t="shared" si="3"/>
        <v>0216</v>
      </c>
      <c r="O70" s="6" t="s">
        <v>550</v>
      </c>
      <c r="P70" s="6" t="str">
        <f t="shared" si="5"/>
        <v>中央</v>
      </c>
      <c r="Q70" s="6" t="str">
        <f t="shared" si="5"/>
        <v>上層筋</v>
      </c>
      <c r="R70" s="6" t="str">
        <f>K70</f>
        <v>相對鋼筋量</v>
      </c>
      <c r="S70" s="6" t="s">
        <v>451</v>
      </c>
    </row>
    <row r="71" spans="2:19" x14ac:dyDescent="0.25">
      <c r="B71" s="55"/>
      <c r="C71" s="65" t="s">
        <v>81</v>
      </c>
      <c r="D71" s="66"/>
      <c r="E71" s="67"/>
      <c r="F71" s="68"/>
      <c r="G71" s="77" t="s">
        <v>189</v>
      </c>
      <c r="H71" s="4" t="s">
        <v>346</v>
      </c>
      <c r="I71" s="4" t="s">
        <v>353</v>
      </c>
      <c r="J71" s="4" t="s">
        <v>350</v>
      </c>
      <c r="K71" s="78" t="s">
        <v>551</v>
      </c>
      <c r="L71" s="123" t="s">
        <v>552</v>
      </c>
      <c r="M71" s="124" t="s">
        <v>553</v>
      </c>
    </row>
    <row r="72" spans="2:19" x14ac:dyDescent="0.25">
      <c r="B72" s="55"/>
      <c r="C72" s="65" t="s">
        <v>81</v>
      </c>
      <c r="D72" s="66">
        <v>1</v>
      </c>
      <c r="E72" s="67"/>
      <c r="F72" s="68">
        <v>1</v>
      </c>
      <c r="G72" s="77" t="s">
        <v>190</v>
      </c>
      <c r="H72" s="4" t="s">
        <v>346</v>
      </c>
      <c r="I72" s="4" t="s">
        <v>353</v>
      </c>
      <c r="J72" s="4" t="s">
        <v>350</v>
      </c>
      <c r="K72" s="78" t="s">
        <v>489</v>
      </c>
      <c r="L72" s="123" t="s">
        <v>542</v>
      </c>
      <c r="M72" s="124" t="str">
        <f>CONCATENATE(O72,P72,Q72,R72,S72)</f>
        <v>請確認是否符合 中央下層筋上限 規定</v>
      </c>
      <c r="N72" s="6" t="str">
        <f t="shared" si="3"/>
        <v>0217</v>
      </c>
      <c r="O72" s="6" t="s">
        <v>550</v>
      </c>
      <c r="P72" s="6" t="str">
        <f t="shared" si="5"/>
        <v>中央</v>
      </c>
      <c r="Q72" s="6" t="str">
        <f t="shared" si="5"/>
        <v>下層筋</v>
      </c>
      <c r="R72" s="6" t="s">
        <v>554</v>
      </c>
      <c r="S72" s="6" t="s">
        <v>447</v>
      </c>
    </row>
    <row r="73" spans="2:19" x14ac:dyDescent="0.25">
      <c r="B73" s="55"/>
      <c r="C73" s="65" t="s">
        <v>82</v>
      </c>
      <c r="D73" s="66"/>
      <c r="E73" s="67"/>
      <c r="F73" s="68"/>
      <c r="G73" s="77"/>
      <c r="H73" s="4"/>
      <c r="I73" s="4"/>
      <c r="J73" s="4"/>
      <c r="K73" s="78"/>
      <c r="L73" s="123"/>
      <c r="M73" s="124"/>
      <c r="N73" s="6" t="str">
        <f t="shared" si="3"/>
        <v>0218</v>
      </c>
    </row>
    <row r="74" spans="2:19" x14ac:dyDescent="0.25">
      <c r="B74" s="55"/>
      <c r="C74" s="56" t="s">
        <v>83</v>
      </c>
      <c r="D74" s="57">
        <v>1</v>
      </c>
      <c r="E74" s="58"/>
      <c r="F74" s="59"/>
      <c r="G74" s="120" t="s">
        <v>555</v>
      </c>
      <c r="H74" s="103" t="s">
        <v>556</v>
      </c>
      <c r="I74" s="103" t="s">
        <v>557</v>
      </c>
      <c r="J74" s="103" t="s">
        <v>558</v>
      </c>
      <c r="K74" s="62" t="s">
        <v>559</v>
      </c>
      <c r="L74" s="125" t="s">
        <v>560</v>
      </c>
      <c r="M74" s="126" t="str">
        <f>CONCATENATE(O74,P74,Q74,R74,S74)</f>
        <v>請確認是否符合 左端上層筋下限 規定</v>
      </c>
      <c r="N74" s="6" t="str">
        <f t="shared" si="3"/>
        <v>0219</v>
      </c>
      <c r="O74" s="6" t="s">
        <v>450</v>
      </c>
      <c r="P74" s="6" t="str">
        <f t="shared" ref="P74:Q77" si="6">I74</f>
        <v>左端</v>
      </c>
      <c r="Q74" s="6" t="str">
        <f t="shared" si="6"/>
        <v>上層筋</v>
      </c>
      <c r="R74" s="6" t="s">
        <v>561</v>
      </c>
      <c r="S74" s="6" t="s">
        <v>447</v>
      </c>
    </row>
    <row r="75" spans="2:19" x14ac:dyDescent="0.25">
      <c r="B75" s="55"/>
      <c r="C75" s="56" t="s">
        <v>102</v>
      </c>
      <c r="D75" s="57"/>
      <c r="E75" s="58"/>
      <c r="F75" s="59">
        <v>1</v>
      </c>
      <c r="G75" s="120" t="s">
        <v>562</v>
      </c>
      <c r="H75" s="103" t="s">
        <v>556</v>
      </c>
      <c r="I75" s="103" t="s">
        <v>557</v>
      </c>
      <c r="J75" s="103" t="s">
        <v>558</v>
      </c>
      <c r="K75" s="62" t="s">
        <v>563</v>
      </c>
      <c r="L75" s="125" t="s">
        <v>564</v>
      </c>
      <c r="M75" s="126" t="str">
        <f>CONCATENATE(O75,P75,Q75,R75,S75)</f>
        <v>請確認是否符合 左端上層筋上限 規定</v>
      </c>
      <c r="N75" s="6" t="str">
        <f t="shared" si="3"/>
        <v>0220</v>
      </c>
      <c r="O75" s="6" t="s">
        <v>450</v>
      </c>
      <c r="P75" s="6" t="str">
        <f t="shared" si="6"/>
        <v>左端</v>
      </c>
      <c r="Q75" s="6" t="str">
        <f t="shared" si="6"/>
        <v>上層筋</v>
      </c>
      <c r="R75" s="6" t="s">
        <v>372</v>
      </c>
      <c r="S75" s="6" t="s">
        <v>447</v>
      </c>
    </row>
    <row r="76" spans="2:19" x14ac:dyDescent="0.25">
      <c r="B76" s="55"/>
      <c r="C76" s="56" t="s">
        <v>103</v>
      </c>
      <c r="D76" s="57">
        <v>1</v>
      </c>
      <c r="E76" s="58"/>
      <c r="F76" s="59"/>
      <c r="G76" s="120" t="s">
        <v>562</v>
      </c>
      <c r="H76" s="103" t="s">
        <v>556</v>
      </c>
      <c r="I76" s="103" t="s">
        <v>565</v>
      </c>
      <c r="J76" s="103" t="s">
        <v>558</v>
      </c>
      <c r="K76" s="62" t="s">
        <v>566</v>
      </c>
      <c r="L76" s="125" t="s">
        <v>567</v>
      </c>
      <c r="M76" s="126" t="str">
        <f>CONCATENATE(O76,P76,Q76,R76,S76)</f>
        <v>請確認是否符合 右端上層筋下限 規定</v>
      </c>
      <c r="N76" s="6" t="str">
        <f t="shared" si="3"/>
        <v>0221</v>
      </c>
      <c r="O76" s="6" t="s">
        <v>550</v>
      </c>
      <c r="P76" s="6" t="str">
        <f t="shared" si="6"/>
        <v>右端</v>
      </c>
      <c r="Q76" s="6" t="str">
        <f t="shared" si="6"/>
        <v>上層筋</v>
      </c>
      <c r="R76" s="6" t="s">
        <v>561</v>
      </c>
      <c r="S76" s="6" t="s">
        <v>568</v>
      </c>
    </row>
    <row r="77" spans="2:19" x14ac:dyDescent="0.25">
      <c r="B77" s="55"/>
      <c r="C77" s="56" t="s">
        <v>104</v>
      </c>
      <c r="D77" s="57"/>
      <c r="E77" s="58"/>
      <c r="F77" s="59">
        <v>1</v>
      </c>
      <c r="G77" s="120" t="s">
        <v>569</v>
      </c>
      <c r="H77" s="103" t="s">
        <v>556</v>
      </c>
      <c r="I77" s="103" t="s">
        <v>565</v>
      </c>
      <c r="J77" s="103" t="s">
        <v>558</v>
      </c>
      <c r="K77" s="62" t="s">
        <v>570</v>
      </c>
      <c r="L77" s="125" t="s">
        <v>571</v>
      </c>
      <c r="M77" s="126" t="str">
        <f>CONCATENATE(O77,P77,Q77,R77,S77)</f>
        <v>請確認是否符合 右端上層筋上限 規定</v>
      </c>
      <c r="N77" s="6" t="str">
        <f t="shared" si="3"/>
        <v>0222</v>
      </c>
      <c r="O77" s="6" t="s">
        <v>450</v>
      </c>
      <c r="P77" s="6" t="str">
        <f t="shared" si="6"/>
        <v>右端</v>
      </c>
      <c r="Q77" s="6" t="str">
        <f t="shared" si="6"/>
        <v>上層筋</v>
      </c>
      <c r="R77" s="6" t="s">
        <v>572</v>
      </c>
      <c r="S77" s="6" t="s">
        <v>573</v>
      </c>
    </row>
    <row r="78" spans="2:19" x14ac:dyDescent="0.25">
      <c r="B78" s="55"/>
      <c r="C78" s="56" t="s">
        <v>105</v>
      </c>
      <c r="D78" s="57"/>
      <c r="E78" s="58"/>
      <c r="F78" s="59"/>
      <c r="G78" s="120" t="s">
        <v>569</v>
      </c>
      <c r="H78" s="103"/>
      <c r="I78" s="103"/>
      <c r="J78" s="103"/>
      <c r="K78" s="62"/>
      <c r="L78" s="125"/>
      <c r="M78" s="126"/>
      <c r="N78" s="6" t="str">
        <f t="shared" si="3"/>
        <v>0223</v>
      </c>
    </row>
    <row r="79" spans="2:19" x14ac:dyDescent="0.25">
      <c r="B79" s="55"/>
      <c r="C79" s="56" t="s">
        <v>106</v>
      </c>
      <c r="D79" s="57">
        <v>1</v>
      </c>
      <c r="E79" s="58"/>
      <c r="F79" s="59"/>
      <c r="G79" s="120" t="s">
        <v>574</v>
      </c>
      <c r="H79" s="103" t="s">
        <v>556</v>
      </c>
      <c r="I79" s="103" t="s">
        <v>557</v>
      </c>
      <c r="J79" s="103" t="s">
        <v>575</v>
      </c>
      <c r="K79" s="62" t="s">
        <v>494</v>
      </c>
      <c r="L79" s="125" t="s">
        <v>560</v>
      </c>
      <c r="M79" s="126" t="str">
        <f>CONCATENATE(O79,P79,Q79,R79,S79)</f>
        <v>請確認是否符合 左端下層筋下限 規定</v>
      </c>
      <c r="N79" s="6" t="str">
        <f t="shared" si="3"/>
        <v>0224</v>
      </c>
      <c r="O79" s="6" t="s">
        <v>536</v>
      </c>
      <c r="P79" s="6" t="str">
        <f t="shared" ref="P79:Q82" si="7">I79</f>
        <v>左端</v>
      </c>
      <c r="Q79" s="6" t="str">
        <f t="shared" si="7"/>
        <v>下層筋</v>
      </c>
      <c r="R79" s="6" t="s">
        <v>546</v>
      </c>
      <c r="S79" s="6" t="s">
        <v>447</v>
      </c>
    </row>
    <row r="80" spans="2:19" x14ac:dyDescent="0.25">
      <c r="B80" s="55"/>
      <c r="C80" s="56" t="s">
        <v>107</v>
      </c>
      <c r="D80" s="57"/>
      <c r="E80" s="58"/>
      <c r="F80" s="59">
        <v>1</v>
      </c>
      <c r="G80" s="120" t="s">
        <v>569</v>
      </c>
      <c r="H80" s="103" t="s">
        <v>556</v>
      </c>
      <c r="I80" s="103" t="s">
        <v>557</v>
      </c>
      <c r="J80" s="103" t="s">
        <v>575</v>
      </c>
      <c r="K80" s="62" t="s">
        <v>563</v>
      </c>
      <c r="L80" s="125" t="s">
        <v>576</v>
      </c>
      <c r="M80" s="126" t="str">
        <f>CONCATENATE(O80,P80,Q80,R80,S80)</f>
        <v>請確認是否符合 左端下層筋上限 規定</v>
      </c>
      <c r="N80" s="6" t="str">
        <f t="shared" si="3"/>
        <v>0225</v>
      </c>
      <c r="O80" s="6" t="s">
        <v>536</v>
      </c>
      <c r="P80" s="6" t="str">
        <f t="shared" si="7"/>
        <v>左端</v>
      </c>
      <c r="Q80" s="6" t="str">
        <f t="shared" si="7"/>
        <v>下層筋</v>
      </c>
      <c r="R80" s="6" t="s">
        <v>554</v>
      </c>
      <c r="S80" s="6" t="s">
        <v>547</v>
      </c>
    </row>
    <row r="81" spans="2:19" x14ac:dyDescent="0.25">
      <c r="B81" s="55"/>
      <c r="C81" s="56" t="s">
        <v>108</v>
      </c>
      <c r="D81" s="57">
        <v>1</v>
      </c>
      <c r="E81" s="58"/>
      <c r="F81" s="59"/>
      <c r="G81" s="120" t="s">
        <v>555</v>
      </c>
      <c r="H81" s="103" t="s">
        <v>556</v>
      </c>
      <c r="I81" s="103" t="s">
        <v>565</v>
      </c>
      <c r="J81" s="103" t="s">
        <v>575</v>
      </c>
      <c r="K81" s="62" t="s">
        <v>566</v>
      </c>
      <c r="L81" s="125" t="s">
        <v>560</v>
      </c>
      <c r="M81" s="126" t="str">
        <f>CONCATENATE(O81,P81,Q81,R81,S81)</f>
        <v>請確認是否符合 右端下層筋下限 規定</v>
      </c>
      <c r="N81" s="6" t="str">
        <f t="shared" si="3"/>
        <v>0226</v>
      </c>
      <c r="O81" s="6" t="s">
        <v>536</v>
      </c>
      <c r="P81" s="6" t="str">
        <f t="shared" si="7"/>
        <v>右端</v>
      </c>
      <c r="Q81" s="6" t="str">
        <f t="shared" si="7"/>
        <v>下層筋</v>
      </c>
      <c r="R81" s="6" t="s">
        <v>561</v>
      </c>
      <c r="S81" s="6" t="s">
        <v>547</v>
      </c>
    </row>
    <row r="82" spans="2:19" x14ac:dyDescent="0.25">
      <c r="B82" s="55"/>
      <c r="C82" s="56" t="s">
        <v>109</v>
      </c>
      <c r="D82" s="57"/>
      <c r="E82" s="58"/>
      <c r="F82" s="59">
        <v>1</v>
      </c>
      <c r="G82" s="120" t="s">
        <v>562</v>
      </c>
      <c r="H82" s="103" t="s">
        <v>556</v>
      </c>
      <c r="I82" s="103" t="s">
        <v>565</v>
      </c>
      <c r="J82" s="103" t="s">
        <v>575</v>
      </c>
      <c r="K82" s="62" t="s">
        <v>570</v>
      </c>
      <c r="L82" s="125" t="s">
        <v>576</v>
      </c>
      <c r="M82" s="126" t="str">
        <f>CONCATENATE(O82,P82,Q82,R82,S82)</f>
        <v>請確認是否符合 右端下層筋上限 規定</v>
      </c>
      <c r="N82" s="6" t="str">
        <f t="shared" si="3"/>
        <v>0227</v>
      </c>
      <c r="O82" s="6" t="s">
        <v>577</v>
      </c>
      <c r="P82" s="6" t="str">
        <f t="shared" si="7"/>
        <v>右端</v>
      </c>
      <c r="Q82" s="6" t="str">
        <f t="shared" si="7"/>
        <v>下層筋</v>
      </c>
      <c r="R82" s="6" t="s">
        <v>372</v>
      </c>
      <c r="S82" s="6" t="s">
        <v>547</v>
      </c>
    </row>
    <row r="83" spans="2:19" x14ac:dyDescent="0.25">
      <c r="B83" s="55"/>
      <c r="C83" s="56" t="s">
        <v>259</v>
      </c>
      <c r="D83" s="57"/>
      <c r="E83" s="58"/>
      <c r="F83" s="59"/>
      <c r="G83" s="120" t="s">
        <v>569</v>
      </c>
      <c r="H83" s="103"/>
      <c r="I83" s="103"/>
      <c r="J83" s="103"/>
      <c r="K83" s="62"/>
      <c r="L83" s="125"/>
      <c r="M83" s="126"/>
      <c r="N83" s="6" t="str">
        <f t="shared" si="3"/>
        <v>0228</v>
      </c>
    </row>
    <row r="84" spans="2:19" x14ac:dyDescent="0.25">
      <c r="B84" s="55"/>
      <c r="C84" s="56" t="s">
        <v>260</v>
      </c>
      <c r="D84" s="57">
        <v>1</v>
      </c>
      <c r="E84" s="58"/>
      <c r="F84" s="59"/>
      <c r="G84" s="120" t="s">
        <v>562</v>
      </c>
      <c r="H84" s="103" t="s">
        <v>556</v>
      </c>
      <c r="I84" s="103" t="s">
        <v>578</v>
      </c>
      <c r="J84" s="103" t="s">
        <v>558</v>
      </c>
      <c r="K84" s="62" t="s">
        <v>579</v>
      </c>
      <c r="L84" s="125" t="s">
        <v>580</v>
      </c>
      <c r="M84" s="126" t="str">
        <f>CONCATENATE(O84,P84,Q84,R84,S84)</f>
        <v>請確認是否符合 中央上層筋下限 規定</v>
      </c>
      <c r="N84" s="6" t="str">
        <f t="shared" si="3"/>
        <v>0229</v>
      </c>
      <c r="O84" s="6" t="s">
        <v>450</v>
      </c>
      <c r="P84" s="6" t="str">
        <f>I84</f>
        <v>中央</v>
      </c>
      <c r="Q84" s="6" t="str">
        <f t="shared" ref="Q84:R86" si="8">J84</f>
        <v>上層筋</v>
      </c>
      <c r="R84" s="6" t="s">
        <v>405</v>
      </c>
      <c r="S84" s="6" t="s">
        <v>568</v>
      </c>
    </row>
    <row r="85" spans="2:19" x14ac:dyDescent="0.25">
      <c r="B85" s="55"/>
      <c r="C85" s="56" t="s">
        <v>261</v>
      </c>
      <c r="D85" s="57">
        <v>1</v>
      </c>
      <c r="E85" s="58"/>
      <c r="F85" s="59">
        <v>1</v>
      </c>
      <c r="G85" s="120" t="s">
        <v>569</v>
      </c>
      <c r="H85" s="103" t="s">
        <v>556</v>
      </c>
      <c r="I85" s="103" t="s">
        <v>578</v>
      </c>
      <c r="J85" s="103" t="s">
        <v>558</v>
      </c>
      <c r="K85" s="62" t="s">
        <v>581</v>
      </c>
      <c r="L85" s="125" t="s">
        <v>582</v>
      </c>
      <c r="M85" s="126" t="str">
        <f>CONCATENATE(O85,P85,Q85,R85,S85)</f>
        <v>請確認是否符合 中央上層筋相對鋼筋量 規定</v>
      </c>
      <c r="N85" s="6" t="str">
        <f t="shared" si="3"/>
        <v>0230</v>
      </c>
      <c r="O85" s="6" t="s">
        <v>536</v>
      </c>
      <c r="P85" s="6" t="str">
        <f>I85</f>
        <v>中央</v>
      </c>
      <c r="Q85" s="6" t="str">
        <f t="shared" si="8"/>
        <v>上層筋</v>
      </c>
      <c r="R85" s="6" t="str">
        <f t="shared" si="8"/>
        <v>相對鋼筋量</v>
      </c>
      <c r="S85" s="6" t="s">
        <v>568</v>
      </c>
    </row>
    <row r="86" spans="2:19" x14ac:dyDescent="0.25">
      <c r="B86" s="55"/>
      <c r="C86" s="56" t="s">
        <v>262</v>
      </c>
      <c r="D86" s="57">
        <v>1</v>
      </c>
      <c r="E86" s="58"/>
      <c r="F86" s="59">
        <v>1</v>
      </c>
      <c r="G86" s="120" t="s">
        <v>569</v>
      </c>
      <c r="H86" s="103" t="s">
        <v>556</v>
      </c>
      <c r="I86" s="103" t="s">
        <v>578</v>
      </c>
      <c r="J86" s="103" t="s">
        <v>575</v>
      </c>
      <c r="K86" s="62" t="s">
        <v>563</v>
      </c>
      <c r="L86" s="125" t="s">
        <v>583</v>
      </c>
      <c r="M86" s="126" t="str">
        <f>CONCATENATE(O86,P86,Q86,R86,S86)</f>
        <v>請確認是否符合 中央下層筋上限 規定</v>
      </c>
      <c r="N86" s="6" t="str">
        <f t="shared" si="3"/>
        <v>0231</v>
      </c>
      <c r="O86" s="6" t="s">
        <v>536</v>
      </c>
      <c r="P86" s="6" t="str">
        <f>I86</f>
        <v>中央</v>
      </c>
      <c r="Q86" s="6" t="str">
        <f t="shared" si="8"/>
        <v>下層筋</v>
      </c>
      <c r="R86" s="6" t="s">
        <v>554</v>
      </c>
      <c r="S86" s="6" t="s">
        <v>568</v>
      </c>
    </row>
    <row r="87" spans="2:19" x14ac:dyDescent="0.25">
      <c r="B87" s="55"/>
      <c r="C87" s="65" t="s">
        <v>263</v>
      </c>
      <c r="D87" s="66"/>
      <c r="E87" s="67"/>
      <c r="F87" s="68"/>
      <c r="G87" s="77"/>
      <c r="H87" s="4"/>
      <c r="I87" s="4"/>
      <c r="J87" s="4"/>
      <c r="K87" s="78"/>
      <c r="L87" s="123"/>
      <c r="M87" s="124"/>
      <c r="N87" s="6" t="str">
        <f t="shared" si="3"/>
        <v>0232</v>
      </c>
    </row>
    <row r="88" spans="2:19" x14ac:dyDescent="0.25">
      <c r="B88" s="55"/>
      <c r="C88" s="65" t="s">
        <v>264</v>
      </c>
      <c r="D88" s="66"/>
      <c r="E88" s="67"/>
      <c r="F88" s="68"/>
      <c r="G88" s="77"/>
      <c r="H88" s="4"/>
      <c r="I88" s="4"/>
      <c r="J88" s="4"/>
      <c r="K88" s="78"/>
      <c r="L88" s="118"/>
      <c r="M88" s="119"/>
      <c r="N88" s="6" t="str">
        <f t="shared" si="3"/>
        <v>0233</v>
      </c>
    </row>
    <row r="89" spans="2:19" x14ac:dyDescent="0.25">
      <c r="B89" s="55"/>
      <c r="C89" s="65" t="s">
        <v>265</v>
      </c>
      <c r="D89" s="66">
        <v>1</v>
      </c>
      <c r="E89" s="67"/>
      <c r="F89" s="68"/>
      <c r="G89" s="77" t="s">
        <v>189</v>
      </c>
      <c r="H89" s="4"/>
      <c r="I89" s="4" t="s">
        <v>374</v>
      </c>
      <c r="J89" s="4"/>
      <c r="K89" s="78" t="s">
        <v>584</v>
      </c>
      <c r="L89" s="123" t="s">
        <v>585</v>
      </c>
      <c r="M89" s="124" t="str">
        <f>CONCATENATE(O89,P89,Q89,R89)</f>
        <v>請確認是否符合 單排支數下限 規定</v>
      </c>
      <c r="N89" s="6" t="str">
        <f t="shared" si="3"/>
        <v>0234</v>
      </c>
      <c r="O89" s="6" t="s">
        <v>450</v>
      </c>
      <c r="P89" s="6" t="str">
        <f>I89</f>
        <v>單排支數</v>
      </c>
      <c r="Q89" s="6" t="s">
        <v>540</v>
      </c>
      <c r="R89" s="6" t="s">
        <v>568</v>
      </c>
    </row>
    <row r="90" spans="2:19" x14ac:dyDescent="0.25">
      <c r="B90" s="55"/>
      <c r="C90" s="65" t="s">
        <v>266</v>
      </c>
      <c r="D90" s="66"/>
      <c r="E90" s="67">
        <v>1</v>
      </c>
      <c r="F90" s="68">
        <v>1</v>
      </c>
      <c r="G90" s="77" t="s">
        <v>189</v>
      </c>
      <c r="H90" s="4"/>
      <c r="I90" s="4" t="s">
        <v>374</v>
      </c>
      <c r="J90" s="4"/>
      <c r="K90" s="78" t="s">
        <v>586</v>
      </c>
      <c r="L90" s="123" t="s">
        <v>587</v>
      </c>
      <c r="M90" s="124" t="str">
        <f>CONCATENATE(O90,P90,Q90,R90)</f>
        <v>請確認是否符合 單排支數上限 規定</v>
      </c>
      <c r="N90" s="6" t="str">
        <f t="shared" si="3"/>
        <v>0235</v>
      </c>
      <c r="O90" s="6" t="s">
        <v>550</v>
      </c>
      <c r="P90" s="6" t="str">
        <f>I90</f>
        <v>單排支數</v>
      </c>
      <c r="Q90" s="6" t="s">
        <v>572</v>
      </c>
      <c r="R90" s="6" t="s">
        <v>451</v>
      </c>
    </row>
    <row r="91" spans="2:19" x14ac:dyDescent="0.25">
      <c r="B91" s="55"/>
      <c r="C91" s="65" t="s">
        <v>267</v>
      </c>
      <c r="D91" s="66">
        <v>1</v>
      </c>
      <c r="E91" s="67"/>
      <c r="F91" s="68"/>
      <c r="G91" s="77" t="s">
        <v>189</v>
      </c>
      <c r="H91" s="4"/>
      <c r="I91" s="4"/>
      <c r="J91" s="4"/>
      <c r="K91" s="78"/>
      <c r="L91" s="118"/>
      <c r="M91" s="119"/>
      <c r="N91" s="6" t="str">
        <f t="shared" si="3"/>
        <v>0236</v>
      </c>
    </row>
    <row r="92" spans="2:19" x14ac:dyDescent="0.25">
      <c r="B92" s="55"/>
      <c r="C92" s="65" t="s">
        <v>268</v>
      </c>
      <c r="D92" s="66">
        <v>1</v>
      </c>
      <c r="E92" s="67">
        <v>1</v>
      </c>
      <c r="F92" s="68">
        <v>1</v>
      </c>
      <c r="G92" s="77" t="s">
        <v>189</v>
      </c>
      <c r="H92" s="4"/>
      <c r="I92" s="4" t="s">
        <v>588</v>
      </c>
      <c r="J92" s="4"/>
      <c r="K92" s="78" t="s">
        <v>589</v>
      </c>
      <c r="L92" s="118" t="s">
        <v>590</v>
      </c>
      <c r="M92" s="124" t="str">
        <f>CONCATENATE(O92,P92,Q92,R92)</f>
        <v>請確認是否符合 箍筋間距下限 規定</v>
      </c>
      <c r="N92" s="6" t="str">
        <f t="shared" si="3"/>
        <v>0237</v>
      </c>
      <c r="O92" s="6" t="s">
        <v>450</v>
      </c>
      <c r="P92" s="6" t="str">
        <f>I92</f>
        <v>箍筋間距</v>
      </c>
      <c r="Q92" s="6" t="s">
        <v>591</v>
      </c>
      <c r="R92" s="6" t="s">
        <v>568</v>
      </c>
    </row>
    <row r="93" spans="2:19" x14ac:dyDescent="0.25">
      <c r="B93" s="55"/>
      <c r="C93" s="65" t="s">
        <v>269</v>
      </c>
      <c r="D93" s="66">
        <v>1</v>
      </c>
      <c r="E93" s="67">
        <v>1</v>
      </c>
      <c r="F93" s="68"/>
      <c r="G93" s="77" t="s">
        <v>189</v>
      </c>
      <c r="H93" s="4"/>
      <c r="I93" s="4" t="s">
        <v>588</v>
      </c>
      <c r="J93" s="4"/>
      <c r="K93" s="78" t="s">
        <v>592</v>
      </c>
      <c r="L93" s="118" t="s">
        <v>593</v>
      </c>
      <c r="M93" s="124" t="str">
        <f>CONCATENATE(O93,P93,Q93,R93)</f>
        <v>請確認是否符合 箍筋間距上限 規定</v>
      </c>
      <c r="N93" s="6" t="str">
        <f t="shared" si="3"/>
        <v>0238</v>
      </c>
      <c r="O93" s="6" t="s">
        <v>550</v>
      </c>
      <c r="P93" s="6" t="str">
        <f>I93</f>
        <v>箍筋間距</v>
      </c>
      <c r="Q93" s="6" t="s">
        <v>572</v>
      </c>
      <c r="R93" s="6" t="s">
        <v>568</v>
      </c>
    </row>
    <row r="94" spans="2:19" x14ac:dyDescent="0.25">
      <c r="B94" s="55"/>
      <c r="C94" s="65" t="s">
        <v>270</v>
      </c>
      <c r="D94" s="66">
        <v>1</v>
      </c>
      <c r="E94" s="67"/>
      <c r="F94" s="68"/>
      <c r="G94" s="77" t="s">
        <v>189</v>
      </c>
      <c r="H94" s="4"/>
      <c r="I94" s="4"/>
      <c r="J94" s="4"/>
      <c r="K94" s="78"/>
      <c r="L94" s="118"/>
      <c r="M94" s="119"/>
      <c r="N94" s="6" t="str">
        <f t="shared" si="3"/>
        <v>0239</v>
      </c>
    </row>
    <row r="95" spans="2:19" x14ac:dyDescent="0.25">
      <c r="B95" s="55"/>
      <c r="C95" s="65" t="s">
        <v>271</v>
      </c>
      <c r="D95" s="66">
        <v>1</v>
      </c>
      <c r="E95" s="67"/>
      <c r="F95" s="68"/>
      <c r="G95" s="77" t="s">
        <v>189</v>
      </c>
      <c r="H95" s="4"/>
      <c r="I95" s="4" t="s">
        <v>594</v>
      </c>
      <c r="J95" s="4"/>
      <c r="K95" s="78" t="s">
        <v>486</v>
      </c>
      <c r="L95" s="118" t="s">
        <v>87</v>
      </c>
      <c r="M95" s="124" t="str">
        <f>CONCATENATE(O95,P95,Q95,R95)</f>
        <v>請確認是否符合 剪力鋼筋量下限 規定</v>
      </c>
      <c r="N95" s="6" t="str">
        <f t="shared" si="3"/>
        <v>0240</v>
      </c>
      <c r="O95" s="6" t="s">
        <v>550</v>
      </c>
      <c r="P95" s="6" t="str">
        <f>I95</f>
        <v>剪力鋼筋量</v>
      </c>
      <c r="Q95" s="6" t="s">
        <v>540</v>
      </c>
      <c r="R95" s="6" t="s">
        <v>447</v>
      </c>
    </row>
    <row r="96" spans="2:19" x14ac:dyDescent="0.25">
      <c r="B96" s="55"/>
      <c r="C96" s="65" t="s">
        <v>272</v>
      </c>
      <c r="D96" s="66">
        <v>1</v>
      </c>
      <c r="E96" s="67">
        <v>1</v>
      </c>
      <c r="F96" s="68">
        <v>1</v>
      </c>
      <c r="G96" s="77" t="s">
        <v>189</v>
      </c>
      <c r="H96" s="4"/>
      <c r="I96" s="4" t="s">
        <v>594</v>
      </c>
      <c r="J96" s="4"/>
      <c r="K96" s="78" t="s">
        <v>592</v>
      </c>
      <c r="L96" s="118" t="s">
        <v>84</v>
      </c>
      <c r="M96" s="124" t="str">
        <f>CONCATENATE(O96,P96,Q96,R96)</f>
        <v>請確認是否符合 剪力鋼筋量上限 規定</v>
      </c>
      <c r="N96" s="6" t="str">
        <f t="shared" si="3"/>
        <v>0241</v>
      </c>
      <c r="O96" s="6" t="s">
        <v>450</v>
      </c>
      <c r="P96" s="6" t="str">
        <f>I96</f>
        <v>剪力鋼筋量</v>
      </c>
      <c r="Q96" s="6" t="s">
        <v>554</v>
      </c>
      <c r="R96" s="6" t="s">
        <v>447</v>
      </c>
    </row>
    <row r="97" spans="2:19" ht="19.5" thickBot="1" x14ac:dyDescent="0.3">
      <c r="B97" s="55"/>
      <c r="C97" s="65"/>
      <c r="D97" s="66"/>
      <c r="E97" s="67"/>
      <c r="F97" s="68"/>
      <c r="G97" s="77"/>
      <c r="H97" s="4"/>
      <c r="I97" s="4"/>
      <c r="J97" s="4"/>
      <c r="K97" s="78"/>
      <c r="L97" s="118"/>
      <c r="M97" s="119"/>
      <c r="N97" s="6">
        <f t="shared" si="3"/>
        <v>0</v>
      </c>
    </row>
    <row r="98" spans="2:19" x14ac:dyDescent="0.25">
      <c r="B98" s="35" t="s">
        <v>191</v>
      </c>
      <c r="C98" s="36" t="s">
        <v>192</v>
      </c>
      <c r="D98" s="37" t="s">
        <v>76</v>
      </c>
      <c r="E98" s="38" t="s">
        <v>77</v>
      </c>
      <c r="F98" s="39" t="s">
        <v>78</v>
      </c>
      <c r="G98" s="40" t="s">
        <v>75</v>
      </c>
      <c r="H98" s="36" t="s">
        <v>5</v>
      </c>
      <c r="I98" s="36" t="s">
        <v>5</v>
      </c>
      <c r="J98" s="36" t="s">
        <v>5</v>
      </c>
      <c r="K98" s="42" t="s">
        <v>3</v>
      </c>
      <c r="L98" s="98" t="s">
        <v>7</v>
      </c>
      <c r="M98" s="99" t="s">
        <v>209</v>
      </c>
      <c r="N98" s="6" t="str">
        <f t="shared" si="3"/>
        <v>#</v>
      </c>
    </row>
    <row r="99" spans="2:19" ht="19.5" thickBot="1" x14ac:dyDescent="0.3">
      <c r="B99" s="45" t="s">
        <v>595</v>
      </c>
      <c r="C99" s="46" t="s">
        <v>206</v>
      </c>
      <c r="D99" s="47" t="s">
        <v>596</v>
      </c>
      <c r="E99" s="48" t="s">
        <v>339</v>
      </c>
      <c r="F99" s="49" t="s">
        <v>597</v>
      </c>
      <c r="G99" s="50"/>
      <c r="H99" s="100"/>
      <c r="I99" s="100"/>
      <c r="J99" s="100"/>
      <c r="K99" s="52"/>
      <c r="L99" s="101"/>
      <c r="M99" s="102"/>
      <c r="N99" s="6" t="str">
        <f t="shared" si="3"/>
        <v>0300</v>
      </c>
    </row>
    <row r="100" spans="2:19" x14ac:dyDescent="0.25">
      <c r="B100" s="55"/>
      <c r="C100" s="65"/>
      <c r="D100" s="66"/>
      <c r="E100" s="67"/>
      <c r="F100" s="68"/>
      <c r="G100" s="77"/>
      <c r="H100" s="4"/>
      <c r="I100" s="4"/>
      <c r="J100" s="4"/>
      <c r="K100" s="78"/>
      <c r="L100" s="73"/>
      <c r="M100" s="117"/>
      <c r="N100" s="6">
        <f t="shared" si="3"/>
        <v>0</v>
      </c>
    </row>
    <row r="101" spans="2:19" x14ac:dyDescent="0.25">
      <c r="B101" s="55"/>
      <c r="C101" s="56"/>
      <c r="D101" s="57"/>
      <c r="E101" s="58"/>
      <c r="F101" s="59"/>
      <c r="G101" s="120"/>
      <c r="H101" s="103"/>
      <c r="I101" s="103"/>
      <c r="J101" s="103"/>
      <c r="K101" s="62"/>
      <c r="L101" s="116"/>
      <c r="M101" s="126"/>
      <c r="N101" s="6">
        <f t="shared" si="3"/>
        <v>0</v>
      </c>
      <c r="O101" s="6" t="s">
        <v>536</v>
      </c>
      <c r="P101" s="6">
        <f>I101</f>
        <v>0</v>
      </c>
      <c r="Q101" s="6" t="s">
        <v>591</v>
      </c>
      <c r="R101" s="6" t="s">
        <v>447</v>
      </c>
    </row>
    <row r="102" spans="2:19" x14ac:dyDescent="0.25">
      <c r="B102" s="55"/>
      <c r="C102" s="56" t="s">
        <v>33</v>
      </c>
      <c r="D102" s="57">
        <v>1</v>
      </c>
      <c r="E102" s="58"/>
      <c r="F102" s="59">
        <v>1</v>
      </c>
      <c r="G102" s="120" t="s">
        <v>598</v>
      </c>
      <c r="H102" s="103"/>
      <c r="I102" s="103" t="s">
        <v>556</v>
      </c>
      <c r="J102" s="103"/>
      <c r="K102" s="62" t="s">
        <v>599</v>
      </c>
      <c r="L102" s="116" t="s">
        <v>600</v>
      </c>
      <c r="M102" s="126" t="str">
        <f>CONCATENATE(O102,P102,Q102,R102)</f>
        <v>請確認是否符合 主筋比上限 規定</v>
      </c>
      <c r="N102" s="6" t="str">
        <f t="shared" si="3"/>
        <v>0303</v>
      </c>
      <c r="O102" s="6" t="s">
        <v>601</v>
      </c>
      <c r="P102" s="6" t="str">
        <f>I102</f>
        <v>主筋比</v>
      </c>
      <c r="Q102" s="6" t="s">
        <v>572</v>
      </c>
      <c r="R102" s="6" t="s">
        <v>447</v>
      </c>
    </row>
    <row r="103" spans="2:19" x14ac:dyDescent="0.25">
      <c r="B103" s="55"/>
      <c r="C103" s="65"/>
      <c r="D103" s="66"/>
      <c r="E103" s="67"/>
      <c r="F103" s="68"/>
      <c r="G103" s="77"/>
      <c r="H103" s="4"/>
      <c r="I103" s="4"/>
      <c r="J103" s="4"/>
      <c r="K103" s="78"/>
      <c r="L103" s="105"/>
      <c r="M103" s="106"/>
      <c r="N103" s="6">
        <f t="shared" si="3"/>
        <v>0</v>
      </c>
    </row>
    <row r="104" spans="2:19" x14ac:dyDescent="0.25">
      <c r="B104" s="55"/>
      <c r="C104" s="65" t="s">
        <v>34</v>
      </c>
      <c r="D104" s="66">
        <v>1</v>
      </c>
      <c r="E104" s="67">
        <v>1</v>
      </c>
      <c r="F104" s="68"/>
      <c r="G104" s="77" t="s">
        <v>602</v>
      </c>
      <c r="H104" s="4"/>
      <c r="I104" s="4" t="s">
        <v>603</v>
      </c>
      <c r="J104" s="4"/>
      <c r="K104" s="78" t="s">
        <v>584</v>
      </c>
      <c r="L104" s="123" t="s">
        <v>604</v>
      </c>
      <c r="M104" s="124" t="s">
        <v>605</v>
      </c>
      <c r="N104" s="6" t="str">
        <f t="shared" si="3"/>
        <v>0305</v>
      </c>
    </row>
    <row r="105" spans="2:19" x14ac:dyDescent="0.25">
      <c r="B105" s="55"/>
      <c r="C105" s="65" t="s">
        <v>35</v>
      </c>
      <c r="D105" s="66">
        <v>1</v>
      </c>
      <c r="E105" s="67">
        <v>1</v>
      </c>
      <c r="F105" s="68"/>
      <c r="G105" s="77" t="s">
        <v>606</v>
      </c>
      <c r="H105" s="4"/>
      <c r="I105" s="4" t="s">
        <v>607</v>
      </c>
      <c r="J105" s="4"/>
      <c r="K105" s="78" t="s">
        <v>608</v>
      </c>
      <c r="L105" s="123" t="s">
        <v>587</v>
      </c>
      <c r="M105" s="124" t="s">
        <v>609</v>
      </c>
      <c r="N105" s="6" t="str">
        <f t="shared" si="3"/>
        <v>0306</v>
      </c>
    </row>
    <row r="106" spans="2:19" x14ac:dyDescent="0.25">
      <c r="B106" s="55"/>
      <c r="C106" s="65"/>
      <c r="D106" s="66"/>
      <c r="E106" s="67"/>
      <c r="F106" s="68"/>
      <c r="G106" s="77"/>
      <c r="H106" s="4"/>
      <c r="I106" s="4"/>
      <c r="J106" s="4"/>
      <c r="K106" s="78"/>
      <c r="L106" s="118"/>
      <c r="M106" s="119"/>
      <c r="N106" s="6">
        <f t="shared" si="3"/>
        <v>0</v>
      </c>
    </row>
    <row r="107" spans="2:19" x14ac:dyDescent="0.25">
      <c r="B107" s="55"/>
      <c r="C107" s="65" t="s">
        <v>36</v>
      </c>
      <c r="D107" s="66">
        <v>1</v>
      </c>
      <c r="E107" s="67"/>
      <c r="F107" s="68"/>
      <c r="G107" s="77" t="s">
        <v>610</v>
      </c>
      <c r="H107" s="4"/>
      <c r="I107" s="4"/>
      <c r="J107" s="4"/>
      <c r="K107" s="78" t="s">
        <v>611</v>
      </c>
      <c r="L107" s="118" t="s">
        <v>612</v>
      </c>
      <c r="M107" s="119" t="s">
        <v>613</v>
      </c>
      <c r="N107" s="6" t="str">
        <f t="shared" si="3"/>
        <v>0308</v>
      </c>
    </row>
    <row r="108" spans="2:19" x14ac:dyDescent="0.25">
      <c r="B108" s="55"/>
      <c r="C108" s="65"/>
      <c r="D108" s="66"/>
      <c r="E108" s="67"/>
      <c r="F108" s="68"/>
      <c r="G108" s="77"/>
      <c r="H108" s="4"/>
      <c r="I108" s="4"/>
      <c r="J108" s="4"/>
      <c r="K108" s="78"/>
      <c r="L108" s="118"/>
      <c r="M108" s="119"/>
    </row>
    <row r="109" spans="2:19" x14ac:dyDescent="0.25">
      <c r="B109" s="55"/>
      <c r="C109" s="65" t="s">
        <v>22</v>
      </c>
      <c r="D109" s="66">
        <v>1</v>
      </c>
      <c r="E109" s="67"/>
      <c r="F109" s="68"/>
      <c r="G109" s="77" t="s">
        <v>282</v>
      </c>
      <c r="H109" s="4" t="s">
        <v>346</v>
      </c>
      <c r="I109" s="4" t="s">
        <v>354</v>
      </c>
      <c r="J109" s="4" t="s">
        <v>347</v>
      </c>
      <c r="K109" s="78" t="s">
        <v>551</v>
      </c>
      <c r="L109" s="118" t="s">
        <v>552</v>
      </c>
      <c r="M109" s="119" t="s">
        <v>614</v>
      </c>
    </row>
    <row r="110" spans="2:19" x14ac:dyDescent="0.25">
      <c r="B110" s="55"/>
      <c r="C110" s="65"/>
      <c r="D110" s="66"/>
      <c r="E110" s="67"/>
      <c r="F110" s="68"/>
      <c r="G110" s="77"/>
      <c r="H110" s="4"/>
      <c r="I110" s="4"/>
      <c r="J110" s="4"/>
      <c r="K110" s="78"/>
      <c r="L110" s="123"/>
      <c r="M110" s="124"/>
      <c r="N110" s="6">
        <f t="shared" ref="N110:N122" si="9">C110</f>
        <v>0</v>
      </c>
      <c r="O110" s="6" t="s">
        <v>550</v>
      </c>
      <c r="P110" s="6">
        <f t="shared" ref="P110:Q113" si="10">I110</f>
        <v>0</v>
      </c>
      <c r="Q110" s="6">
        <f t="shared" si="10"/>
        <v>0</v>
      </c>
      <c r="R110" s="6" t="s">
        <v>540</v>
      </c>
      <c r="S110" s="6" t="s">
        <v>447</v>
      </c>
    </row>
    <row r="111" spans="2:19" x14ac:dyDescent="0.25">
      <c r="B111" s="55"/>
      <c r="C111" s="65" t="s">
        <v>24</v>
      </c>
      <c r="D111" s="66">
        <v>1</v>
      </c>
      <c r="E111" s="67"/>
      <c r="F111" s="68"/>
      <c r="G111" s="77" t="s">
        <v>282</v>
      </c>
      <c r="H111" s="4" t="s">
        <v>346</v>
      </c>
      <c r="I111" s="4" t="s">
        <v>356</v>
      </c>
      <c r="J111" s="4" t="s">
        <v>347</v>
      </c>
      <c r="K111" s="78" t="s">
        <v>551</v>
      </c>
      <c r="L111" s="123" t="s">
        <v>552</v>
      </c>
      <c r="M111" s="124" t="s">
        <v>615</v>
      </c>
      <c r="N111" s="6" t="str">
        <f t="shared" si="9"/>
        <v>0207</v>
      </c>
      <c r="O111" s="6" t="s">
        <v>536</v>
      </c>
      <c r="P111" s="6" t="str">
        <f t="shared" si="10"/>
        <v>右端</v>
      </c>
      <c r="Q111" s="6" t="str">
        <f t="shared" si="10"/>
        <v>上層筋</v>
      </c>
      <c r="R111" s="6" t="s">
        <v>537</v>
      </c>
      <c r="S111" s="6" t="s">
        <v>447</v>
      </c>
    </row>
    <row r="112" spans="2:19" x14ac:dyDescent="0.25">
      <c r="B112" s="55"/>
      <c r="C112" s="65"/>
      <c r="D112" s="66"/>
      <c r="E112" s="67"/>
      <c r="F112" s="68"/>
      <c r="G112" s="77"/>
      <c r="H112" s="4"/>
      <c r="I112" s="4"/>
      <c r="J112" s="4"/>
      <c r="K112" s="78"/>
      <c r="L112" s="123"/>
      <c r="M112" s="124"/>
      <c r="N112" s="6">
        <f t="shared" si="9"/>
        <v>0</v>
      </c>
      <c r="O112" s="6" t="s">
        <v>550</v>
      </c>
      <c r="P112" s="6">
        <f t="shared" si="10"/>
        <v>0</v>
      </c>
      <c r="Q112" s="6">
        <f t="shared" si="10"/>
        <v>0</v>
      </c>
      <c r="R112" s="6" t="s">
        <v>405</v>
      </c>
      <c r="S112" s="6" t="s">
        <v>568</v>
      </c>
    </row>
    <row r="113" spans="2:19" x14ac:dyDescent="0.25">
      <c r="B113" s="55"/>
      <c r="C113" s="65" t="s">
        <v>26</v>
      </c>
      <c r="D113" s="66"/>
      <c r="E113" s="67"/>
      <c r="F113" s="68"/>
      <c r="G113" s="77" t="s">
        <v>282</v>
      </c>
      <c r="H113" s="4"/>
      <c r="I113" s="4"/>
      <c r="J113" s="4"/>
      <c r="K113" s="78"/>
      <c r="L113" s="123"/>
      <c r="M113" s="124"/>
      <c r="N113" s="6" t="str">
        <f t="shared" si="9"/>
        <v>0209</v>
      </c>
      <c r="O113" s="6" t="s">
        <v>450</v>
      </c>
      <c r="P113" s="6">
        <f t="shared" si="10"/>
        <v>0</v>
      </c>
      <c r="Q113" s="6">
        <f t="shared" si="10"/>
        <v>0</v>
      </c>
      <c r="R113" s="6" t="s">
        <v>572</v>
      </c>
      <c r="S113" s="6" t="s">
        <v>456</v>
      </c>
    </row>
    <row r="114" spans="2:19" x14ac:dyDescent="0.25">
      <c r="B114" s="55"/>
      <c r="C114" s="65" t="s">
        <v>27</v>
      </c>
      <c r="D114" s="66">
        <v>1</v>
      </c>
      <c r="E114" s="67"/>
      <c r="F114" s="68"/>
      <c r="G114" s="77" t="s">
        <v>282</v>
      </c>
      <c r="H114" s="4" t="s">
        <v>346</v>
      </c>
      <c r="I114" s="4" t="s">
        <v>354</v>
      </c>
      <c r="J114" s="4" t="s">
        <v>350</v>
      </c>
      <c r="K114" s="78" t="s">
        <v>551</v>
      </c>
      <c r="L114" s="123" t="s">
        <v>552</v>
      </c>
      <c r="M114" s="124" t="s">
        <v>616</v>
      </c>
      <c r="N114" s="6" t="str">
        <f t="shared" si="9"/>
        <v>0210</v>
      </c>
    </row>
    <row r="115" spans="2:19" x14ac:dyDescent="0.25">
      <c r="B115" s="55"/>
      <c r="C115" s="65"/>
      <c r="D115" s="66"/>
      <c r="E115" s="67"/>
      <c r="F115" s="68"/>
      <c r="G115" s="77"/>
      <c r="H115" s="4"/>
      <c r="I115" s="4"/>
      <c r="J115" s="4"/>
      <c r="K115" s="78"/>
      <c r="L115" s="123"/>
      <c r="M115" s="124"/>
      <c r="N115" s="6">
        <f t="shared" si="9"/>
        <v>0</v>
      </c>
      <c r="O115" s="6" t="s">
        <v>450</v>
      </c>
      <c r="P115" s="6">
        <f t="shared" ref="P115:Q118" si="11">I115</f>
        <v>0</v>
      </c>
      <c r="Q115" s="6">
        <f t="shared" si="11"/>
        <v>0</v>
      </c>
      <c r="R115" s="6" t="s">
        <v>405</v>
      </c>
      <c r="S115" s="6" t="s">
        <v>447</v>
      </c>
    </row>
    <row r="116" spans="2:19" x14ac:dyDescent="0.25">
      <c r="B116" s="55"/>
      <c r="C116" s="65" t="s">
        <v>29</v>
      </c>
      <c r="D116" s="66">
        <v>1</v>
      </c>
      <c r="E116" s="67"/>
      <c r="F116" s="68"/>
      <c r="G116" s="77" t="s">
        <v>282</v>
      </c>
      <c r="H116" s="4" t="s">
        <v>346</v>
      </c>
      <c r="I116" s="4" t="s">
        <v>356</v>
      </c>
      <c r="J116" s="4" t="s">
        <v>350</v>
      </c>
      <c r="K116" s="78" t="s">
        <v>551</v>
      </c>
      <c r="L116" s="123" t="s">
        <v>552</v>
      </c>
      <c r="M116" s="124" t="s">
        <v>617</v>
      </c>
      <c r="N116" s="6" t="str">
        <f t="shared" si="9"/>
        <v>0212</v>
      </c>
      <c r="O116" s="6" t="s">
        <v>536</v>
      </c>
      <c r="P116" s="6" t="str">
        <f t="shared" si="11"/>
        <v>右端</v>
      </c>
      <c r="Q116" s="6" t="str">
        <f t="shared" si="11"/>
        <v>下層筋</v>
      </c>
      <c r="R116" s="6" t="s">
        <v>372</v>
      </c>
      <c r="S116" s="6" t="s">
        <v>618</v>
      </c>
    </row>
    <row r="117" spans="2:19" x14ac:dyDescent="0.25">
      <c r="B117" s="55"/>
      <c r="C117" s="65"/>
      <c r="D117" s="66"/>
      <c r="E117" s="67"/>
      <c r="F117" s="68"/>
      <c r="G117" s="77"/>
      <c r="H117" s="4"/>
      <c r="I117" s="4"/>
      <c r="J117" s="4"/>
      <c r="K117" s="78"/>
      <c r="L117" s="123"/>
      <c r="M117" s="124"/>
      <c r="N117" s="6">
        <f t="shared" si="9"/>
        <v>0</v>
      </c>
      <c r="O117" s="6" t="s">
        <v>619</v>
      </c>
      <c r="P117" s="6">
        <f t="shared" si="11"/>
        <v>0</v>
      </c>
      <c r="Q117" s="6">
        <f t="shared" si="11"/>
        <v>0</v>
      </c>
      <c r="R117" s="6" t="s">
        <v>405</v>
      </c>
      <c r="S117" s="6" t="s">
        <v>547</v>
      </c>
    </row>
    <row r="118" spans="2:19" x14ac:dyDescent="0.25">
      <c r="B118" s="55"/>
      <c r="C118" s="65" t="s">
        <v>31</v>
      </c>
      <c r="D118" s="66"/>
      <c r="E118" s="67"/>
      <c r="F118" s="68"/>
      <c r="G118" s="77" t="s">
        <v>282</v>
      </c>
      <c r="H118" s="4"/>
      <c r="I118" s="4"/>
      <c r="J118" s="4"/>
      <c r="K118" s="78"/>
      <c r="L118" s="123"/>
      <c r="M118" s="124"/>
      <c r="N118" s="6" t="str">
        <f t="shared" si="9"/>
        <v>0214</v>
      </c>
      <c r="O118" s="6" t="s">
        <v>450</v>
      </c>
      <c r="P118" s="6">
        <f t="shared" si="11"/>
        <v>0</v>
      </c>
      <c r="Q118" s="6">
        <f t="shared" si="11"/>
        <v>0</v>
      </c>
      <c r="R118" s="6" t="s">
        <v>572</v>
      </c>
      <c r="S118" s="6" t="s">
        <v>620</v>
      </c>
    </row>
    <row r="119" spans="2:19" x14ac:dyDescent="0.25">
      <c r="B119" s="55"/>
      <c r="C119" s="65" t="s">
        <v>32</v>
      </c>
      <c r="D119" s="66">
        <v>1</v>
      </c>
      <c r="E119" s="67"/>
      <c r="F119" s="68"/>
      <c r="G119" s="77" t="s">
        <v>282</v>
      </c>
      <c r="H119" s="4" t="s">
        <v>346</v>
      </c>
      <c r="I119" s="4" t="s">
        <v>353</v>
      </c>
      <c r="J119" s="4" t="s">
        <v>347</v>
      </c>
      <c r="K119" s="78" t="s">
        <v>551</v>
      </c>
      <c r="L119" s="123" t="s">
        <v>552</v>
      </c>
      <c r="M119" s="124" t="s">
        <v>553</v>
      </c>
      <c r="N119" s="6" t="str">
        <f t="shared" si="9"/>
        <v>0215</v>
      </c>
    </row>
    <row r="120" spans="2:19" x14ac:dyDescent="0.25">
      <c r="B120" s="55"/>
      <c r="C120" s="65"/>
      <c r="D120" s="66"/>
      <c r="E120" s="67"/>
      <c r="F120" s="68"/>
      <c r="G120" s="77"/>
      <c r="H120" s="4"/>
      <c r="I120" s="4"/>
      <c r="J120" s="4"/>
      <c r="K120" s="78"/>
      <c r="L120" s="123"/>
      <c r="M120" s="124"/>
      <c r="N120" s="6">
        <f t="shared" si="9"/>
        <v>0</v>
      </c>
      <c r="O120" s="6" t="s">
        <v>536</v>
      </c>
      <c r="P120" s="6">
        <f>I120</f>
        <v>0</v>
      </c>
      <c r="Q120" s="6">
        <f t="shared" ref="Q120:R122" si="12">J120</f>
        <v>0</v>
      </c>
      <c r="R120" s="6" t="s">
        <v>540</v>
      </c>
      <c r="S120" s="6" t="s">
        <v>447</v>
      </c>
    </row>
    <row r="121" spans="2:19" x14ac:dyDescent="0.25">
      <c r="B121" s="55"/>
      <c r="C121" s="65" t="s">
        <v>81</v>
      </c>
      <c r="D121" s="66"/>
      <c r="E121" s="67"/>
      <c r="F121" s="68"/>
      <c r="G121" s="77" t="s">
        <v>282</v>
      </c>
      <c r="H121" s="4" t="s">
        <v>346</v>
      </c>
      <c r="I121" s="4" t="s">
        <v>353</v>
      </c>
      <c r="J121" s="4" t="s">
        <v>350</v>
      </c>
      <c r="K121" s="78" t="s">
        <v>551</v>
      </c>
      <c r="L121" s="123" t="s">
        <v>552</v>
      </c>
      <c r="M121" s="124" t="s">
        <v>553</v>
      </c>
      <c r="N121" s="6" t="str">
        <f t="shared" si="9"/>
        <v>0217</v>
      </c>
      <c r="O121" s="6" t="s">
        <v>450</v>
      </c>
      <c r="P121" s="6" t="str">
        <f>I121</f>
        <v>中央</v>
      </c>
      <c r="Q121" s="6" t="str">
        <f t="shared" si="12"/>
        <v>下層筋</v>
      </c>
      <c r="R121" s="6" t="str">
        <f t="shared" si="12"/>
        <v>最小</v>
      </c>
      <c r="S121" s="6" t="s">
        <v>568</v>
      </c>
    </row>
    <row r="122" spans="2:19" x14ac:dyDescent="0.25">
      <c r="B122" s="55"/>
      <c r="C122" s="65"/>
      <c r="D122" s="66"/>
      <c r="E122" s="67"/>
      <c r="F122" s="68"/>
      <c r="G122" s="77"/>
      <c r="H122" s="4"/>
      <c r="I122" s="4"/>
      <c r="J122" s="4"/>
      <c r="K122" s="78"/>
      <c r="L122" s="123"/>
      <c r="M122" s="124"/>
      <c r="N122" s="6">
        <f t="shared" si="9"/>
        <v>0</v>
      </c>
      <c r="O122" s="6" t="s">
        <v>450</v>
      </c>
      <c r="P122" s="6">
        <f>I122</f>
        <v>0</v>
      </c>
      <c r="Q122" s="6">
        <f t="shared" si="12"/>
        <v>0</v>
      </c>
      <c r="R122" s="6" t="s">
        <v>372</v>
      </c>
      <c r="S122" s="6" t="s">
        <v>447</v>
      </c>
    </row>
    <row r="123" spans="2:19" ht="19.5" thickBot="1" x14ac:dyDescent="0.3">
      <c r="B123" s="55"/>
      <c r="C123" s="4"/>
      <c r="D123" s="66"/>
      <c r="E123" s="67"/>
      <c r="F123" s="68"/>
      <c r="G123" s="77"/>
      <c r="H123" s="4"/>
      <c r="I123" s="4"/>
      <c r="J123" s="4"/>
      <c r="K123" s="78"/>
      <c r="L123" s="118"/>
      <c r="M123" s="119"/>
    </row>
    <row r="124" spans="2:19" x14ac:dyDescent="0.25">
      <c r="B124" s="35" t="s">
        <v>191</v>
      </c>
      <c r="C124" s="36" t="s">
        <v>192</v>
      </c>
      <c r="D124" s="37" t="s">
        <v>76</v>
      </c>
      <c r="E124" s="38" t="s">
        <v>77</v>
      </c>
      <c r="F124" s="39" t="s">
        <v>78</v>
      </c>
      <c r="G124" s="40" t="s">
        <v>75</v>
      </c>
      <c r="H124" s="36" t="s">
        <v>5</v>
      </c>
      <c r="I124" s="36" t="s">
        <v>5</v>
      </c>
      <c r="J124" s="36" t="s">
        <v>5</v>
      </c>
      <c r="K124" s="42" t="s">
        <v>3</v>
      </c>
      <c r="L124" s="98" t="s">
        <v>7</v>
      </c>
      <c r="M124" s="99" t="s">
        <v>209</v>
      </c>
    </row>
    <row r="125" spans="2:19" ht="19.5" thickBot="1" x14ac:dyDescent="0.3">
      <c r="B125" s="45" t="s">
        <v>621</v>
      </c>
      <c r="C125" s="46" t="s">
        <v>205</v>
      </c>
      <c r="D125" s="47" t="s">
        <v>410</v>
      </c>
      <c r="E125" s="48" t="s">
        <v>400</v>
      </c>
      <c r="F125" s="49" t="s">
        <v>362</v>
      </c>
      <c r="G125" s="50"/>
      <c r="H125" s="100"/>
      <c r="I125" s="100"/>
      <c r="J125" s="100"/>
      <c r="K125" s="52"/>
      <c r="L125" s="101"/>
      <c r="M125" s="102"/>
    </row>
    <row r="126" spans="2:19" x14ac:dyDescent="0.25">
      <c r="B126" s="55"/>
      <c r="C126" s="65" t="s">
        <v>37</v>
      </c>
      <c r="D126" s="66"/>
      <c r="E126" s="67">
        <v>1</v>
      </c>
      <c r="F126" s="68"/>
      <c r="G126" s="77" t="s">
        <v>622</v>
      </c>
      <c r="H126" s="4"/>
      <c r="I126" s="4" t="s">
        <v>404</v>
      </c>
      <c r="J126" s="4"/>
      <c r="K126" s="78" t="s">
        <v>486</v>
      </c>
      <c r="L126" s="118" t="s">
        <v>623</v>
      </c>
      <c r="M126" s="124" t="str">
        <f>CONCATENATE(O126,P126,Q126,R126)</f>
        <v>請確認是否符合 鋼筋比下限 規定</v>
      </c>
      <c r="O126" s="6" t="s">
        <v>536</v>
      </c>
      <c r="P126" s="6" t="str">
        <f>I126</f>
        <v>鋼筋比</v>
      </c>
      <c r="Q126" s="6" t="s">
        <v>624</v>
      </c>
      <c r="R126" s="6" t="s">
        <v>547</v>
      </c>
    </row>
    <row r="127" spans="2:19" x14ac:dyDescent="0.25">
      <c r="B127" s="55"/>
      <c r="C127" s="65" t="s">
        <v>38</v>
      </c>
      <c r="D127" s="66">
        <v>1</v>
      </c>
      <c r="E127" s="67">
        <v>1</v>
      </c>
      <c r="F127" s="68">
        <v>1</v>
      </c>
      <c r="G127" s="77" t="s">
        <v>625</v>
      </c>
      <c r="H127" s="4"/>
      <c r="I127" s="4" t="s">
        <v>626</v>
      </c>
      <c r="J127" s="4"/>
      <c r="K127" s="78" t="s">
        <v>592</v>
      </c>
      <c r="L127" s="118" t="s">
        <v>627</v>
      </c>
      <c r="M127" s="124" t="str">
        <f>CONCATENATE(O127,P127,Q127,R127)</f>
        <v>請確認是否符合 鋼筋比上限 規定</v>
      </c>
      <c r="O127" s="6" t="s">
        <v>628</v>
      </c>
      <c r="P127" s="6" t="str">
        <f>I127</f>
        <v>鋼筋比</v>
      </c>
      <c r="Q127" s="6" t="s">
        <v>532</v>
      </c>
      <c r="R127" s="6" t="s">
        <v>568</v>
      </c>
    </row>
    <row r="128" spans="2:19" x14ac:dyDescent="0.25">
      <c r="B128" s="55"/>
      <c r="C128" s="65" t="s">
        <v>39</v>
      </c>
      <c r="D128" s="66"/>
      <c r="E128" s="67"/>
      <c r="F128" s="68"/>
      <c r="G128" s="77"/>
      <c r="H128" s="4"/>
      <c r="I128" s="4"/>
      <c r="J128" s="4"/>
      <c r="K128" s="78"/>
      <c r="L128" s="118"/>
      <c r="M128" s="119"/>
    </row>
    <row r="129" spans="2:18" x14ac:dyDescent="0.25">
      <c r="B129" s="55"/>
      <c r="C129" s="65" t="s">
        <v>40</v>
      </c>
      <c r="D129" s="66"/>
      <c r="E129" s="67">
        <v>1</v>
      </c>
      <c r="F129" s="68"/>
      <c r="G129" s="77" t="s">
        <v>629</v>
      </c>
      <c r="H129" s="4"/>
      <c r="I129" s="4" t="s">
        <v>626</v>
      </c>
      <c r="J129" s="4"/>
      <c r="K129" s="78" t="s">
        <v>630</v>
      </c>
      <c r="L129" s="118" t="s">
        <v>631</v>
      </c>
      <c r="M129" s="124" t="str">
        <f>CONCATENATE(O129,P129)</f>
        <v>請確認 尺寸是否過大</v>
      </c>
      <c r="O129" s="6" t="s">
        <v>632</v>
      </c>
      <c r="P129" s="6" t="str">
        <f>K129</f>
        <v>尺寸是否過大</v>
      </c>
    </row>
    <row r="130" spans="2:18" x14ac:dyDescent="0.25">
      <c r="B130" s="55"/>
      <c r="C130" s="65" t="s">
        <v>40</v>
      </c>
      <c r="D130" s="66"/>
      <c r="E130" s="67">
        <v>1</v>
      </c>
      <c r="F130" s="68"/>
      <c r="G130" s="77" t="s">
        <v>629</v>
      </c>
      <c r="H130" s="4"/>
      <c r="I130" s="4" t="s">
        <v>633</v>
      </c>
      <c r="J130" s="4"/>
      <c r="K130" s="78" t="s">
        <v>486</v>
      </c>
      <c r="L130" s="118" t="s">
        <v>623</v>
      </c>
      <c r="M130" s="124" t="str">
        <f>CONCATENATE(O130,P130,Q130,R130)</f>
        <v>請確認是否符合 鋼筋比下限 規定</v>
      </c>
      <c r="O130" s="6" t="s">
        <v>550</v>
      </c>
      <c r="P130" s="6" t="str">
        <f>I130</f>
        <v>鋼筋比</v>
      </c>
      <c r="Q130" s="6" t="s">
        <v>540</v>
      </c>
      <c r="R130" s="6" t="s">
        <v>547</v>
      </c>
    </row>
    <row r="131" spans="2:18" x14ac:dyDescent="0.25">
      <c r="B131" s="55"/>
      <c r="C131" s="65" t="s">
        <v>41</v>
      </c>
      <c r="D131" s="66">
        <v>1</v>
      </c>
      <c r="E131" s="67">
        <v>1</v>
      </c>
      <c r="F131" s="68">
        <v>1</v>
      </c>
      <c r="G131" s="77" t="s">
        <v>634</v>
      </c>
      <c r="H131" s="4"/>
      <c r="I131" s="4" t="s">
        <v>404</v>
      </c>
      <c r="J131" s="4"/>
      <c r="K131" s="78" t="s">
        <v>586</v>
      </c>
      <c r="L131" s="118" t="s">
        <v>635</v>
      </c>
      <c r="M131" s="124" t="str">
        <f>CONCATENATE(O131,P131,Q131,R131)</f>
        <v>請確認是否符合 鋼筋比上限 規定</v>
      </c>
      <c r="O131" s="6" t="s">
        <v>450</v>
      </c>
      <c r="P131" s="6" t="str">
        <f>I131</f>
        <v>鋼筋比</v>
      </c>
      <c r="Q131" s="6" t="s">
        <v>372</v>
      </c>
      <c r="R131" s="6" t="s">
        <v>447</v>
      </c>
    </row>
    <row r="132" spans="2:18" x14ac:dyDescent="0.25">
      <c r="B132" s="55"/>
      <c r="C132" s="65" t="s">
        <v>42</v>
      </c>
      <c r="D132" s="66"/>
      <c r="E132" s="67"/>
      <c r="F132" s="68"/>
      <c r="G132" s="77"/>
      <c r="H132" s="4"/>
      <c r="I132" s="4"/>
      <c r="J132" s="4"/>
      <c r="K132" s="78"/>
      <c r="L132" s="118"/>
      <c r="M132" s="124"/>
    </row>
    <row r="133" spans="2:18" x14ac:dyDescent="0.25">
      <c r="B133" s="55"/>
      <c r="C133" s="65" t="s">
        <v>43</v>
      </c>
      <c r="D133" s="66"/>
      <c r="E133" s="67">
        <v>1</v>
      </c>
      <c r="F133" s="68"/>
      <c r="G133" s="77" t="s">
        <v>636</v>
      </c>
      <c r="H133" s="4"/>
      <c r="I133" s="4" t="s">
        <v>637</v>
      </c>
      <c r="J133" s="4"/>
      <c r="K133" s="78" t="s">
        <v>630</v>
      </c>
      <c r="L133" s="118" t="s">
        <v>638</v>
      </c>
      <c r="M133" s="124" t="str">
        <f>CONCATENATE(O133,P133)</f>
        <v>請確認 尺寸是否過大</v>
      </c>
      <c r="O133" s="6" t="s">
        <v>632</v>
      </c>
      <c r="P133" s="6" t="str">
        <f>K133</f>
        <v>尺寸是否過大</v>
      </c>
    </row>
    <row r="134" spans="2:18" x14ac:dyDescent="0.25">
      <c r="B134" s="55"/>
      <c r="C134" s="65" t="s">
        <v>43</v>
      </c>
      <c r="D134" s="66">
        <v>1</v>
      </c>
      <c r="E134" s="67"/>
      <c r="F134" s="68"/>
      <c r="G134" s="77" t="s">
        <v>639</v>
      </c>
      <c r="H134" s="4"/>
      <c r="I134" s="4" t="s">
        <v>626</v>
      </c>
      <c r="J134" s="4"/>
      <c r="K134" s="78" t="s">
        <v>640</v>
      </c>
      <c r="L134" s="118" t="s">
        <v>641</v>
      </c>
      <c r="M134" s="124" t="str">
        <f>CONCATENATE(O134,P134,Q134,R134)</f>
        <v>請確認是否符合 鋼筋比下限 規定</v>
      </c>
      <c r="O134" s="6" t="s">
        <v>450</v>
      </c>
      <c r="P134" s="6" t="str">
        <f>I134</f>
        <v>鋼筋比</v>
      </c>
      <c r="Q134" s="6" t="s">
        <v>405</v>
      </c>
      <c r="R134" s="6" t="s">
        <v>568</v>
      </c>
    </row>
    <row r="135" spans="2:18" x14ac:dyDescent="0.25">
      <c r="B135" s="55"/>
      <c r="C135" s="65" t="s">
        <v>44</v>
      </c>
      <c r="D135" s="66"/>
      <c r="E135" s="67">
        <v>1</v>
      </c>
      <c r="F135" s="68"/>
      <c r="G135" s="77" t="s">
        <v>642</v>
      </c>
      <c r="H135" s="4"/>
      <c r="I135" s="4" t="s">
        <v>404</v>
      </c>
      <c r="J135" s="4"/>
      <c r="K135" s="78" t="s">
        <v>489</v>
      </c>
      <c r="L135" s="118" t="s">
        <v>643</v>
      </c>
      <c r="M135" s="124" t="str">
        <f>CONCATENATE(O135,P135,Q135,R135)</f>
        <v>請確認是否符合 鋼筋比上限 規定</v>
      </c>
      <c r="O135" s="6" t="s">
        <v>536</v>
      </c>
      <c r="P135" s="6" t="str">
        <f>I135</f>
        <v>鋼筋比</v>
      </c>
      <c r="Q135" s="6" t="s">
        <v>554</v>
      </c>
      <c r="R135" s="6" t="s">
        <v>568</v>
      </c>
    </row>
    <row r="136" spans="2:18" x14ac:dyDescent="0.25">
      <c r="B136" s="55"/>
      <c r="C136" s="65" t="s">
        <v>45</v>
      </c>
      <c r="D136" s="66"/>
      <c r="E136" s="67"/>
      <c r="F136" s="68"/>
      <c r="G136" s="77"/>
      <c r="H136" s="4"/>
      <c r="I136" s="4"/>
      <c r="J136" s="4"/>
      <c r="K136" s="78"/>
      <c r="L136" s="118"/>
      <c r="M136" s="119"/>
    </row>
    <row r="137" spans="2:18" x14ac:dyDescent="0.25">
      <c r="B137" s="55"/>
      <c r="C137" s="65" t="s">
        <v>46</v>
      </c>
      <c r="D137" s="66">
        <v>1</v>
      </c>
      <c r="E137" s="67">
        <v>1</v>
      </c>
      <c r="F137" s="68"/>
      <c r="G137" s="77" t="s">
        <v>644</v>
      </c>
      <c r="H137" s="4"/>
      <c r="I137" s="4" t="s">
        <v>404</v>
      </c>
      <c r="J137" s="4"/>
      <c r="K137" s="78" t="s">
        <v>402</v>
      </c>
      <c r="L137" s="118" t="s">
        <v>403</v>
      </c>
      <c r="M137" s="124" t="str">
        <f>CONCATENATE(O137,P137)</f>
        <v>請確認 上層柱主筋量漸縮是否過大</v>
      </c>
      <c r="O137" s="6" t="s">
        <v>632</v>
      </c>
      <c r="P137" s="6" t="s">
        <v>645</v>
      </c>
    </row>
    <row r="138" spans="2:18" x14ac:dyDescent="0.25">
      <c r="B138" s="55"/>
      <c r="C138" s="65" t="s">
        <v>47</v>
      </c>
      <c r="D138" s="66">
        <v>1</v>
      </c>
      <c r="E138" s="67">
        <v>1</v>
      </c>
      <c r="F138" s="68"/>
      <c r="G138" s="77" t="s">
        <v>646</v>
      </c>
      <c r="H138" s="4"/>
      <c r="I138" s="4" t="s">
        <v>404</v>
      </c>
      <c r="J138" s="4"/>
      <c r="K138" s="78" t="s">
        <v>647</v>
      </c>
      <c r="L138" s="118" t="s">
        <v>648</v>
      </c>
      <c r="M138" s="124" t="str">
        <f>CONCATENATE(O138,P138)</f>
        <v>請確認 本層柱主筋量漸縮是否過大</v>
      </c>
      <c r="O138" s="6" t="s">
        <v>649</v>
      </c>
      <c r="P138" s="6" t="s">
        <v>650</v>
      </c>
    </row>
    <row r="139" spans="2:18" x14ac:dyDescent="0.25">
      <c r="B139" s="55"/>
      <c r="C139" s="65" t="s">
        <v>48</v>
      </c>
      <c r="D139" s="66"/>
      <c r="E139" s="67">
        <v>1</v>
      </c>
      <c r="F139" s="68"/>
      <c r="G139" s="77" t="s">
        <v>651</v>
      </c>
      <c r="H139" s="4"/>
      <c r="I139" s="4" t="s">
        <v>404</v>
      </c>
      <c r="J139" s="4"/>
      <c r="K139" s="78" t="s">
        <v>652</v>
      </c>
      <c r="L139" s="118" t="s">
        <v>653</v>
      </c>
      <c r="M139" s="124" t="str">
        <f>CONCATENATE(O139,P139)</f>
        <v>請確認 下層柱主筋量是否配置過多</v>
      </c>
      <c r="O139" s="6" t="s">
        <v>654</v>
      </c>
      <c r="P139" s="6" t="s">
        <v>655</v>
      </c>
    </row>
    <row r="140" spans="2:18" x14ac:dyDescent="0.25">
      <c r="B140" s="55"/>
      <c r="C140" s="65" t="s">
        <v>49</v>
      </c>
      <c r="D140" s="66"/>
      <c r="E140" s="67"/>
      <c r="F140" s="68"/>
      <c r="G140" s="77"/>
      <c r="H140" s="4"/>
      <c r="I140" s="4"/>
      <c r="J140" s="4"/>
      <c r="K140" s="78"/>
      <c r="L140" s="118"/>
      <c r="M140" s="119"/>
    </row>
    <row r="141" spans="2:18" x14ac:dyDescent="0.25">
      <c r="B141" s="55"/>
      <c r="C141" s="65" t="s">
        <v>50</v>
      </c>
      <c r="D141" s="66">
        <v>1</v>
      </c>
      <c r="E141" s="67">
        <v>1</v>
      </c>
      <c r="F141" s="68"/>
      <c r="G141" s="77" t="s">
        <v>656</v>
      </c>
      <c r="H141" s="4"/>
      <c r="I141" s="4" t="s">
        <v>657</v>
      </c>
      <c r="J141" s="4"/>
      <c r="K141" s="78" t="s">
        <v>658</v>
      </c>
      <c r="L141" s="118"/>
      <c r="M141" s="124" t="str">
        <f>CONCATENATE(O141,P141,Q141,R141)</f>
        <v>請確認是否符合 圍束段柱箍筋間距 規定</v>
      </c>
      <c r="O141" s="6" t="s">
        <v>450</v>
      </c>
      <c r="P141" s="6" t="str">
        <f>K141</f>
        <v>圍束段</v>
      </c>
      <c r="Q141" s="6" t="s">
        <v>659</v>
      </c>
      <c r="R141" s="6" t="s">
        <v>447</v>
      </c>
    </row>
    <row r="142" spans="2:18" x14ac:dyDescent="0.25">
      <c r="B142" s="55"/>
      <c r="C142" s="65" t="s">
        <v>51</v>
      </c>
      <c r="D142" s="66">
        <v>1</v>
      </c>
      <c r="E142" s="67">
        <v>1</v>
      </c>
      <c r="F142" s="68"/>
      <c r="G142" s="77" t="s">
        <v>644</v>
      </c>
      <c r="H142" s="4"/>
      <c r="I142" s="4" t="s">
        <v>660</v>
      </c>
      <c r="J142" s="4"/>
      <c r="K142" s="78" t="s">
        <v>661</v>
      </c>
      <c r="L142" s="118"/>
      <c r="M142" s="124" t="str">
        <f>CONCATENATE(O142,P142,Q142,R142)</f>
        <v>請確認是否符合 非圍束段柱箍筋間距 規定</v>
      </c>
      <c r="O142" s="6" t="s">
        <v>536</v>
      </c>
      <c r="P142" s="6" t="str">
        <f>K142</f>
        <v>非圍束段</v>
      </c>
      <c r="Q142" s="6" t="s">
        <v>662</v>
      </c>
      <c r="R142" s="6" t="s">
        <v>447</v>
      </c>
    </row>
    <row r="143" spans="2:18" x14ac:dyDescent="0.25">
      <c r="B143" s="55"/>
      <c r="C143" s="65" t="s">
        <v>52</v>
      </c>
      <c r="D143" s="66">
        <v>1</v>
      </c>
      <c r="E143" s="67">
        <v>1</v>
      </c>
      <c r="F143" s="68"/>
      <c r="G143" s="77" t="s">
        <v>663</v>
      </c>
      <c r="H143" s="4"/>
      <c r="I143" s="4" t="s">
        <v>657</v>
      </c>
      <c r="J143" s="4"/>
      <c r="K143" s="78" t="s">
        <v>0</v>
      </c>
      <c r="L143" s="118" t="s">
        <v>664</v>
      </c>
      <c r="M143" s="124" t="str">
        <f>CONCATENATE(O143,P143,Q143,R143)</f>
        <v>請確認是否符合 1F柱箍筋間距 規定</v>
      </c>
      <c r="O143" s="6" t="s">
        <v>550</v>
      </c>
      <c r="P143" s="6" t="str">
        <f>K143</f>
        <v>1F</v>
      </c>
      <c r="Q143" s="6" t="s">
        <v>659</v>
      </c>
      <c r="R143" s="6" t="s">
        <v>447</v>
      </c>
    </row>
    <row r="144" spans="2:18" x14ac:dyDescent="0.25">
      <c r="B144" s="55"/>
      <c r="C144" s="65" t="s">
        <v>53</v>
      </c>
      <c r="D144" s="66"/>
      <c r="E144" s="67"/>
      <c r="F144" s="68"/>
      <c r="G144" s="77"/>
      <c r="H144" s="4"/>
      <c r="I144" s="4"/>
      <c r="J144" s="4"/>
      <c r="K144" s="78"/>
      <c r="L144" s="118"/>
      <c r="M144" s="119"/>
    </row>
    <row r="145" spans="2:18" x14ac:dyDescent="0.25">
      <c r="B145" s="55"/>
      <c r="C145" s="65" t="s">
        <v>110</v>
      </c>
      <c r="D145" s="66">
        <v>1</v>
      </c>
      <c r="E145" s="67"/>
      <c r="F145" s="68"/>
      <c r="G145" s="77" t="s">
        <v>656</v>
      </c>
      <c r="H145" s="4"/>
      <c r="I145" s="4" t="s">
        <v>665</v>
      </c>
      <c r="J145" s="4"/>
      <c r="K145" s="78" t="s">
        <v>666</v>
      </c>
      <c r="L145" s="118" t="s">
        <v>667</v>
      </c>
      <c r="M145" s="124" t="str">
        <f>CONCATENATE(O145,P145,Q145,R145)</f>
        <v>請確認是否符合 繫筋隔根勾 規定</v>
      </c>
      <c r="O145" s="6" t="s">
        <v>536</v>
      </c>
      <c r="P145" s="6" t="str">
        <f>I145</f>
        <v>繫筋</v>
      </c>
      <c r="Q145" s="6" t="str">
        <f>K145</f>
        <v>隔根勾</v>
      </c>
      <c r="R145" s="6" t="s">
        <v>547</v>
      </c>
    </row>
    <row r="146" spans="2:18" x14ac:dyDescent="0.25">
      <c r="B146" s="55"/>
      <c r="C146" s="65" t="s">
        <v>111</v>
      </c>
      <c r="D146" s="66"/>
      <c r="E146" s="67"/>
      <c r="F146" s="68"/>
      <c r="G146" s="77"/>
      <c r="H146" s="4"/>
      <c r="I146" s="4"/>
      <c r="J146" s="4"/>
      <c r="K146" s="78"/>
      <c r="L146" s="118"/>
      <c r="M146" s="119"/>
    </row>
    <row r="147" spans="2:18" x14ac:dyDescent="0.25">
      <c r="B147" s="55"/>
      <c r="C147" s="65" t="s">
        <v>221</v>
      </c>
      <c r="D147" s="66">
        <v>1</v>
      </c>
      <c r="E147" s="67"/>
      <c r="F147" s="68">
        <v>1</v>
      </c>
      <c r="G147" s="77" t="s">
        <v>668</v>
      </c>
      <c r="H147" s="4"/>
      <c r="I147" s="4"/>
      <c r="J147" s="4"/>
      <c r="K147" s="78"/>
      <c r="L147" s="118"/>
      <c r="M147" s="119"/>
    </row>
    <row r="148" spans="2:18" x14ac:dyDescent="0.25">
      <c r="B148" s="55"/>
      <c r="C148" s="4"/>
      <c r="D148" s="66"/>
      <c r="E148" s="67"/>
      <c r="F148" s="68"/>
      <c r="G148" s="77"/>
      <c r="H148" s="4"/>
      <c r="I148" s="4"/>
      <c r="J148" s="4"/>
      <c r="K148" s="78"/>
      <c r="L148" s="118"/>
      <c r="M148" s="119"/>
    </row>
    <row r="149" spans="2:18" ht="19.5" thickBot="1" x14ac:dyDescent="0.3">
      <c r="B149" s="55"/>
      <c r="C149" s="4"/>
      <c r="D149" s="66"/>
      <c r="E149" s="67"/>
      <c r="F149" s="68"/>
      <c r="G149" s="77"/>
      <c r="H149" s="4"/>
      <c r="I149" s="4"/>
      <c r="J149" s="4"/>
      <c r="K149" s="78"/>
      <c r="L149" s="118"/>
      <c r="M149" s="119"/>
    </row>
    <row r="150" spans="2:18" x14ac:dyDescent="0.25">
      <c r="B150" s="35" t="s">
        <v>6</v>
      </c>
      <c r="C150" s="36" t="s">
        <v>4</v>
      </c>
      <c r="D150" s="37" t="s">
        <v>76</v>
      </c>
      <c r="E150" s="38" t="s">
        <v>77</v>
      </c>
      <c r="F150" s="39" t="s">
        <v>78</v>
      </c>
      <c r="G150" s="40" t="s">
        <v>75</v>
      </c>
      <c r="H150" s="36" t="s">
        <v>5</v>
      </c>
      <c r="I150" s="36" t="s">
        <v>5</v>
      </c>
      <c r="J150" s="36" t="s">
        <v>5</v>
      </c>
      <c r="K150" s="42" t="s">
        <v>3</v>
      </c>
      <c r="L150" s="98" t="s">
        <v>7</v>
      </c>
      <c r="M150" s="99" t="s">
        <v>209</v>
      </c>
    </row>
    <row r="151" spans="2:18" ht="19.5" thickBot="1" x14ac:dyDescent="0.3">
      <c r="B151" s="45" t="s">
        <v>408</v>
      </c>
      <c r="C151" s="46" t="s">
        <v>219</v>
      </c>
      <c r="D151" s="47" t="s">
        <v>410</v>
      </c>
      <c r="E151" s="48" t="s">
        <v>411</v>
      </c>
      <c r="F151" s="49" t="s">
        <v>362</v>
      </c>
      <c r="G151" s="50"/>
      <c r="H151" s="100"/>
      <c r="I151" s="100"/>
      <c r="J151" s="100"/>
      <c r="K151" s="52"/>
      <c r="L151" s="101"/>
      <c r="M151" s="102"/>
    </row>
    <row r="152" spans="2:18" x14ac:dyDescent="0.25">
      <c r="B152" s="55"/>
      <c r="C152" s="65" t="s">
        <v>54</v>
      </c>
      <c r="D152" s="66"/>
      <c r="E152" s="67"/>
      <c r="F152" s="68"/>
      <c r="G152" s="77"/>
      <c r="H152" s="4"/>
      <c r="I152" s="4"/>
      <c r="J152" s="4"/>
      <c r="K152" s="78"/>
      <c r="L152" s="118"/>
      <c r="M152" s="119"/>
    </row>
    <row r="153" spans="2:18" x14ac:dyDescent="0.25">
      <c r="B153" s="55"/>
      <c r="C153" s="65" t="s">
        <v>55</v>
      </c>
      <c r="D153" s="66">
        <v>1</v>
      </c>
      <c r="E153" s="67">
        <v>1</v>
      </c>
      <c r="F153" s="68"/>
      <c r="G153" s="77" t="s">
        <v>644</v>
      </c>
      <c r="H153" s="4"/>
      <c r="I153" s="4" t="s">
        <v>637</v>
      </c>
      <c r="J153" s="4"/>
      <c r="K153" s="78" t="s">
        <v>589</v>
      </c>
      <c r="L153" s="118" t="s">
        <v>669</v>
      </c>
      <c r="M153" s="124" t="str">
        <f>CONCATENATE(O153,P153,Q153,R153)</f>
        <v>請確認是否符合 鋼筋比下限 規定</v>
      </c>
      <c r="O153" s="6" t="s">
        <v>536</v>
      </c>
      <c r="P153" s="6" t="str">
        <f>I153</f>
        <v>鋼筋比</v>
      </c>
      <c r="Q153" s="6" t="s">
        <v>624</v>
      </c>
      <c r="R153" s="6" t="s">
        <v>568</v>
      </c>
    </row>
    <row r="154" spans="2:18" x14ac:dyDescent="0.25">
      <c r="B154" s="55"/>
      <c r="C154" s="65" t="s">
        <v>56</v>
      </c>
      <c r="D154" s="66"/>
      <c r="E154" s="67">
        <v>1</v>
      </c>
      <c r="F154" s="68">
        <v>1</v>
      </c>
      <c r="G154" s="77" t="s">
        <v>644</v>
      </c>
      <c r="H154" s="4"/>
      <c r="I154" s="4" t="s">
        <v>404</v>
      </c>
      <c r="J154" s="4"/>
      <c r="K154" s="78" t="s">
        <v>489</v>
      </c>
      <c r="L154" s="118" t="s">
        <v>670</v>
      </c>
      <c r="M154" s="124" t="str">
        <f>CONCATENATE(O154,P154,Q154,R154)</f>
        <v>請確認是否符合 鋼筋比上限 規定</v>
      </c>
      <c r="O154" s="6" t="s">
        <v>550</v>
      </c>
      <c r="P154" s="6" t="str">
        <f>I154</f>
        <v>鋼筋比</v>
      </c>
      <c r="Q154" s="6" t="s">
        <v>671</v>
      </c>
      <c r="R154" s="6" t="s">
        <v>547</v>
      </c>
    </row>
    <row r="155" spans="2:18" x14ac:dyDescent="0.25">
      <c r="B155" s="55"/>
      <c r="C155" s="65" t="s">
        <v>57</v>
      </c>
      <c r="D155" s="66"/>
      <c r="E155" s="67"/>
      <c r="F155" s="68"/>
      <c r="G155" s="77"/>
      <c r="H155" s="4"/>
      <c r="I155" s="4"/>
      <c r="J155" s="4"/>
      <c r="K155" s="78"/>
      <c r="L155" s="118"/>
      <c r="M155" s="119"/>
    </row>
    <row r="156" spans="2:18" x14ac:dyDescent="0.25">
      <c r="B156" s="55"/>
      <c r="C156" s="65" t="s">
        <v>58</v>
      </c>
      <c r="D156" s="66">
        <v>1</v>
      </c>
      <c r="E156" s="67">
        <v>1</v>
      </c>
      <c r="F156" s="68"/>
      <c r="G156" s="77" t="s">
        <v>672</v>
      </c>
      <c r="H156" s="4"/>
      <c r="I156" s="4" t="s">
        <v>673</v>
      </c>
      <c r="J156" s="4"/>
      <c r="K156" s="78" t="s">
        <v>589</v>
      </c>
      <c r="L156" s="118" t="s">
        <v>674</v>
      </c>
      <c r="M156" s="124" t="str">
        <f>CONCATENATE(O156,P156,Q156,R156)</f>
        <v>請確認是否符合 鋼筋比下限 規定</v>
      </c>
      <c r="O156" s="6" t="s">
        <v>577</v>
      </c>
      <c r="P156" s="6" t="str">
        <f>I156</f>
        <v>鋼筋比</v>
      </c>
      <c r="Q156" s="6" t="s">
        <v>540</v>
      </c>
      <c r="R156" s="6" t="s">
        <v>447</v>
      </c>
    </row>
    <row r="157" spans="2:18" x14ac:dyDescent="0.25">
      <c r="B157" s="55"/>
      <c r="C157" s="65" t="s">
        <v>59</v>
      </c>
      <c r="D157" s="66"/>
      <c r="E157" s="67">
        <v>1</v>
      </c>
      <c r="F157" s="68">
        <v>1</v>
      </c>
      <c r="G157" s="77" t="s">
        <v>672</v>
      </c>
      <c r="H157" s="4"/>
      <c r="I157" s="4" t="s">
        <v>626</v>
      </c>
      <c r="J157" s="4"/>
      <c r="K157" s="78" t="s">
        <v>586</v>
      </c>
      <c r="L157" s="118" t="s">
        <v>675</v>
      </c>
      <c r="M157" s="124" t="str">
        <f>CONCATENATE(O157,P157,Q157,R157)</f>
        <v>請確認是否符合 鋼筋比上限 規定</v>
      </c>
      <c r="O157" s="6" t="s">
        <v>550</v>
      </c>
      <c r="P157" s="6" t="str">
        <f>I157</f>
        <v>鋼筋比</v>
      </c>
      <c r="Q157" s="6" t="s">
        <v>572</v>
      </c>
      <c r="R157" s="6" t="s">
        <v>568</v>
      </c>
    </row>
    <row r="158" spans="2:18" x14ac:dyDescent="0.25">
      <c r="B158" s="55"/>
      <c r="C158" s="65" t="s">
        <v>60</v>
      </c>
      <c r="D158" s="66"/>
      <c r="E158" s="67"/>
      <c r="F158" s="68"/>
      <c r="G158" s="77"/>
      <c r="H158" s="4"/>
      <c r="I158" s="4"/>
      <c r="J158" s="4"/>
      <c r="K158" s="78"/>
      <c r="L158" s="118"/>
      <c r="M158" s="119"/>
    </row>
    <row r="159" spans="2:18" x14ac:dyDescent="0.25">
      <c r="B159" s="55"/>
      <c r="C159" s="65" t="s">
        <v>61</v>
      </c>
      <c r="D159" s="66">
        <v>1</v>
      </c>
      <c r="E159" s="67">
        <v>1</v>
      </c>
      <c r="F159" s="68"/>
      <c r="G159" s="77" t="s">
        <v>644</v>
      </c>
      <c r="H159" s="4"/>
      <c r="I159" s="4" t="s">
        <v>676</v>
      </c>
      <c r="J159" s="4"/>
      <c r="K159" s="78"/>
      <c r="L159" s="118"/>
      <c r="M159" s="119"/>
    </row>
    <row r="160" spans="2:18" x14ac:dyDescent="0.25">
      <c r="B160" s="55"/>
      <c r="C160" s="65" t="s">
        <v>62</v>
      </c>
      <c r="D160" s="66"/>
      <c r="E160" s="67"/>
      <c r="F160" s="68"/>
      <c r="G160" s="77"/>
      <c r="H160" s="4"/>
      <c r="I160" s="4"/>
      <c r="J160" s="4"/>
      <c r="K160" s="78"/>
      <c r="L160" s="118"/>
      <c r="M160" s="119"/>
    </row>
    <row r="161" spans="2:18" x14ac:dyDescent="0.25">
      <c r="B161" s="55"/>
      <c r="C161" s="65" t="s">
        <v>63</v>
      </c>
      <c r="D161" s="66">
        <v>1</v>
      </c>
      <c r="E161" s="67">
        <v>1</v>
      </c>
      <c r="F161" s="68"/>
      <c r="G161" s="77" t="s">
        <v>677</v>
      </c>
      <c r="H161" s="4"/>
      <c r="I161" s="4" t="s">
        <v>678</v>
      </c>
      <c r="J161" s="4"/>
      <c r="K161" s="78"/>
      <c r="L161" s="118"/>
      <c r="M161" s="119"/>
    </row>
    <row r="162" spans="2:18" x14ac:dyDescent="0.25">
      <c r="B162" s="55"/>
      <c r="C162" s="65" t="s">
        <v>64</v>
      </c>
      <c r="D162" s="66"/>
      <c r="E162" s="67"/>
      <c r="F162" s="68"/>
      <c r="G162" s="77"/>
      <c r="H162" s="4"/>
      <c r="I162" s="4"/>
      <c r="J162" s="4"/>
      <c r="K162" s="78"/>
      <c r="L162" s="118"/>
      <c r="M162" s="119"/>
    </row>
    <row r="163" spans="2:18" ht="19.5" thickBot="1" x14ac:dyDescent="0.3">
      <c r="B163" s="81"/>
      <c r="C163" s="82"/>
      <c r="D163" s="83"/>
      <c r="E163" s="84"/>
      <c r="F163" s="85"/>
      <c r="G163" s="86"/>
      <c r="H163" s="82"/>
      <c r="I163" s="82"/>
      <c r="J163" s="82"/>
      <c r="K163" s="88"/>
      <c r="L163" s="127"/>
      <c r="M163" s="128"/>
    </row>
    <row r="164" spans="2:18" x14ac:dyDescent="0.25">
      <c r="B164" s="35" t="s">
        <v>6</v>
      </c>
      <c r="C164" s="36" t="s">
        <v>4</v>
      </c>
      <c r="D164" s="37" t="s">
        <v>76</v>
      </c>
      <c r="E164" s="38" t="s">
        <v>77</v>
      </c>
      <c r="F164" s="39" t="s">
        <v>78</v>
      </c>
      <c r="G164" s="40" t="s">
        <v>75</v>
      </c>
      <c r="H164" s="36" t="s">
        <v>5</v>
      </c>
      <c r="I164" s="36" t="s">
        <v>5</v>
      </c>
      <c r="J164" s="36" t="s">
        <v>5</v>
      </c>
      <c r="K164" s="42" t="s">
        <v>3</v>
      </c>
      <c r="L164" s="98" t="s">
        <v>7</v>
      </c>
      <c r="M164" s="99" t="s">
        <v>209</v>
      </c>
    </row>
    <row r="165" spans="2:18" ht="19.5" thickBot="1" x14ac:dyDescent="0.3">
      <c r="B165" s="45" t="s">
        <v>679</v>
      </c>
      <c r="C165" s="46" t="s">
        <v>65</v>
      </c>
      <c r="D165" s="47" t="s">
        <v>680</v>
      </c>
      <c r="E165" s="48" t="s">
        <v>411</v>
      </c>
      <c r="F165" s="49" t="s">
        <v>412</v>
      </c>
      <c r="G165" s="50"/>
      <c r="H165" s="100"/>
      <c r="I165" s="100"/>
      <c r="J165" s="100"/>
      <c r="K165" s="52"/>
      <c r="L165" s="101"/>
      <c r="M165" s="102"/>
    </row>
    <row r="166" spans="2:18" ht="17.25" customHeight="1" x14ac:dyDescent="0.25">
      <c r="B166" s="129"/>
      <c r="C166" s="130" t="s">
        <v>66</v>
      </c>
      <c r="D166" s="131"/>
      <c r="E166" s="132">
        <v>1</v>
      </c>
      <c r="F166" s="133"/>
      <c r="G166" s="134" t="s">
        <v>681</v>
      </c>
      <c r="H166" s="135"/>
      <c r="I166" s="135" t="s">
        <v>682</v>
      </c>
      <c r="J166" s="135"/>
      <c r="K166" s="136" t="s">
        <v>683</v>
      </c>
      <c r="L166" s="137" t="s">
        <v>684</v>
      </c>
      <c r="M166" s="124" t="str">
        <f>CONCATENATE(O166,P166,Q166,R166)</f>
        <v>請確認是否符合 間距下限 規定</v>
      </c>
      <c r="O166" s="6" t="s">
        <v>628</v>
      </c>
      <c r="P166" s="6" t="str">
        <f>I166</f>
        <v>間距</v>
      </c>
      <c r="Q166" s="6" t="s">
        <v>405</v>
      </c>
      <c r="R166" s="6" t="s">
        <v>568</v>
      </c>
    </row>
    <row r="167" spans="2:18" ht="17.25" customHeight="1" x14ac:dyDescent="0.25">
      <c r="B167" s="55"/>
      <c r="C167" s="65" t="s">
        <v>67</v>
      </c>
      <c r="D167" s="66">
        <v>1</v>
      </c>
      <c r="E167" s="67"/>
      <c r="F167" s="68"/>
      <c r="G167" s="77" t="s">
        <v>681</v>
      </c>
      <c r="H167" s="4"/>
      <c r="I167" s="4" t="s">
        <v>685</v>
      </c>
      <c r="J167" s="4"/>
      <c r="K167" s="78" t="s">
        <v>586</v>
      </c>
      <c r="L167" s="118" t="s">
        <v>686</v>
      </c>
      <c r="M167" s="124" t="str">
        <f>CONCATENATE(O167,P167,Q167,R167)</f>
        <v>請確認是否符合 間距上限 規定</v>
      </c>
      <c r="O167" s="6" t="s">
        <v>536</v>
      </c>
      <c r="P167" s="6" t="str">
        <f>I167</f>
        <v>間距</v>
      </c>
      <c r="Q167" s="6" t="s">
        <v>372</v>
      </c>
      <c r="R167" s="6" t="s">
        <v>447</v>
      </c>
    </row>
    <row r="168" spans="2:18" ht="17.25" customHeight="1" x14ac:dyDescent="0.25">
      <c r="B168" s="55"/>
      <c r="C168" s="65" t="s">
        <v>68</v>
      </c>
      <c r="D168" s="66"/>
      <c r="E168" s="67">
        <v>1</v>
      </c>
      <c r="F168" s="68"/>
      <c r="G168" s="77" t="s">
        <v>687</v>
      </c>
      <c r="H168" s="4"/>
      <c r="I168" s="4" t="s">
        <v>688</v>
      </c>
      <c r="J168" s="4"/>
      <c r="K168" s="78" t="s">
        <v>689</v>
      </c>
      <c r="L168" s="118" t="s">
        <v>690</v>
      </c>
      <c r="M168" s="124" t="str">
        <f>CONCATENATE(O168,P168,Q168)</f>
        <v>請確認 上層筋是否有斷筋</v>
      </c>
      <c r="O168" s="6" t="s">
        <v>654</v>
      </c>
      <c r="P168" s="6" t="str">
        <f>I168</f>
        <v>上層筋</v>
      </c>
      <c r="Q168" s="6" t="str">
        <f>K168</f>
        <v>是否有斷筋</v>
      </c>
    </row>
    <row r="169" spans="2:18" ht="17.25" customHeight="1" x14ac:dyDescent="0.25">
      <c r="B169" s="55"/>
      <c r="C169" s="65" t="s">
        <v>69</v>
      </c>
      <c r="D169" s="66"/>
      <c r="E169" s="67">
        <v>1</v>
      </c>
      <c r="F169" s="68"/>
      <c r="G169" s="77" t="s">
        <v>691</v>
      </c>
      <c r="H169" s="4"/>
      <c r="I169" s="4" t="s">
        <v>517</v>
      </c>
      <c r="J169" s="4"/>
      <c r="K169" s="78" t="s">
        <v>692</v>
      </c>
      <c r="L169" s="118" t="s">
        <v>693</v>
      </c>
      <c r="M169" s="124" t="str">
        <f>CONCATENATE(O169,P169,Q169)</f>
        <v>請確認 下層筋是否有斷筋</v>
      </c>
      <c r="O169" s="6" t="s">
        <v>654</v>
      </c>
      <c r="P169" s="6" t="str">
        <f>I169</f>
        <v>下層筋</v>
      </c>
      <c r="Q169" s="6" t="str">
        <f>K169</f>
        <v>是否有斷筋</v>
      </c>
    </row>
    <row r="170" spans="2:18" ht="17.25" customHeight="1" x14ac:dyDescent="0.25">
      <c r="B170" s="55"/>
      <c r="C170" s="65" t="s">
        <v>70</v>
      </c>
      <c r="D170" s="66"/>
      <c r="E170" s="67"/>
      <c r="F170" s="68"/>
      <c r="G170" s="77"/>
      <c r="H170" s="4"/>
      <c r="I170" s="4"/>
      <c r="J170" s="4"/>
      <c r="K170" s="78"/>
      <c r="L170" s="118"/>
      <c r="M170" s="119"/>
    </row>
    <row r="171" spans="2:18" ht="17.25" customHeight="1" x14ac:dyDescent="0.25">
      <c r="B171" s="55"/>
      <c r="C171" s="65" t="s">
        <v>71</v>
      </c>
      <c r="D171" s="66"/>
      <c r="E171" s="67"/>
      <c r="F171" s="68"/>
      <c r="G171" s="77" t="s">
        <v>629</v>
      </c>
      <c r="H171" s="4"/>
      <c r="I171" s="4" t="s">
        <v>694</v>
      </c>
      <c r="J171" s="4"/>
      <c r="K171" s="78" t="s">
        <v>584</v>
      </c>
      <c r="L171" s="118" t="s">
        <v>695</v>
      </c>
      <c r="M171" s="124" t="str">
        <f>CONCATENATE(O171,P171,Q171,R171)</f>
        <v>請確認 最小號數 規定</v>
      </c>
      <c r="O171" s="6" t="s">
        <v>654</v>
      </c>
      <c r="P171" s="6" t="str">
        <f>K171</f>
        <v>最小</v>
      </c>
      <c r="Q171" s="6" t="str">
        <f>I171</f>
        <v>號數</v>
      </c>
      <c r="R171" s="6" t="s">
        <v>447</v>
      </c>
    </row>
    <row r="172" spans="2:18" ht="17.25" customHeight="1" x14ac:dyDescent="0.25">
      <c r="B172" s="55"/>
      <c r="C172" s="65" t="s">
        <v>71</v>
      </c>
      <c r="D172" s="66"/>
      <c r="E172" s="67"/>
      <c r="F172" s="68"/>
      <c r="G172" s="77" t="s">
        <v>634</v>
      </c>
      <c r="H172" s="4"/>
      <c r="I172" s="4" t="s">
        <v>694</v>
      </c>
      <c r="J172" s="4"/>
      <c r="K172" s="78" t="s">
        <v>586</v>
      </c>
      <c r="L172" s="118" t="s">
        <v>696</v>
      </c>
      <c r="M172" s="124" t="str">
        <f>CONCATENATE(O172,P172,Q172,R172)</f>
        <v>請確認 最大號數 規定</v>
      </c>
      <c r="O172" s="6" t="s">
        <v>632</v>
      </c>
      <c r="P172" s="6" t="str">
        <f>K172</f>
        <v>最大</v>
      </c>
      <c r="Q172" s="6" t="str">
        <f>I172</f>
        <v>號數</v>
      </c>
      <c r="R172" s="6" t="s">
        <v>547</v>
      </c>
    </row>
    <row r="173" spans="2:18" ht="17.25" customHeight="1" x14ac:dyDescent="0.25">
      <c r="B173" s="55"/>
      <c r="C173" s="65" t="s">
        <v>72</v>
      </c>
      <c r="D173" s="66"/>
      <c r="E173" s="67">
        <v>1</v>
      </c>
      <c r="F173" s="68"/>
      <c r="G173" s="77" t="s">
        <v>629</v>
      </c>
      <c r="H173" s="4"/>
      <c r="I173" s="4" t="s">
        <v>682</v>
      </c>
      <c r="J173" s="4"/>
      <c r="K173" s="78" t="s">
        <v>486</v>
      </c>
      <c r="L173" s="118" t="s">
        <v>697</v>
      </c>
      <c r="M173" s="124" t="str">
        <f>CONCATENATE(O173,P173,Q173,R173)</f>
        <v>請確認是否符合 間距下限 規定</v>
      </c>
      <c r="O173" s="6" t="s">
        <v>550</v>
      </c>
      <c r="P173" s="6" t="str">
        <f>I173</f>
        <v>間距</v>
      </c>
      <c r="Q173" s="6" t="s">
        <v>405</v>
      </c>
      <c r="R173" s="6" t="s">
        <v>568</v>
      </c>
    </row>
    <row r="174" spans="2:18" ht="17.25" customHeight="1" x14ac:dyDescent="0.25">
      <c r="B174" s="55"/>
      <c r="C174" s="65" t="s">
        <v>73</v>
      </c>
      <c r="D174" s="66">
        <v>1</v>
      </c>
      <c r="E174" s="67"/>
      <c r="F174" s="68"/>
      <c r="G174" s="77" t="s">
        <v>698</v>
      </c>
      <c r="H174" s="4"/>
      <c r="I174" s="4" t="s">
        <v>682</v>
      </c>
      <c r="J174" s="4"/>
      <c r="K174" s="78" t="s">
        <v>699</v>
      </c>
      <c r="L174" s="118" t="s">
        <v>700</v>
      </c>
      <c r="M174" s="124" t="str">
        <f>CONCATENATE(O174,P174,Q174,R174)</f>
        <v>請確認是否符合 間距上限 規定</v>
      </c>
      <c r="O174" s="6" t="s">
        <v>450</v>
      </c>
      <c r="P174" s="6" t="str">
        <f>I174</f>
        <v>間距</v>
      </c>
      <c r="Q174" s="6" t="s">
        <v>372</v>
      </c>
      <c r="R174" s="6" t="s">
        <v>547</v>
      </c>
    </row>
    <row r="175" spans="2:18" ht="17.25" customHeight="1" x14ac:dyDescent="0.25">
      <c r="B175" s="55"/>
      <c r="C175" s="65" t="s">
        <v>74</v>
      </c>
      <c r="D175" s="66"/>
      <c r="E175" s="67">
        <v>1</v>
      </c>
      <c r="F175" s="68"/>
      <c r="G175" s="77" t="s">
        <v>634</v>
      </c>
      <c r="H175" s="4"/>
      <c r="I175" s="4" t="s">
        <v>701</v>
      </c>
      <c r="J175" s="4"/>
      <c r="K175" s="78" t="s">
        <v>702</v>
      </c>
      <c r="L175" s="118" t="s">
        <v>703</v>
      </c>
      <c r="M175" s="124" t="str">
        <f>CONCATENATE(O175,P175,Q175)</f>
        <v>請確認 上層筋是否有斷筋</v>
      </c>
      <c r="O175" s="6" t="s">
        <v>632</v>
      </c>
      <c r="P175" s="6" t="str">
        <f>I175</f>
        <v>上層筋</v>
      </c>
      <c r="Q175" s="6" t="str">
        <f>K175</f>
        <v>是否有斷筋</v>
      </c>
    </row>
    <row r="176" spans="2:18" ht="17.25" customHeight="1" x14ac:dyDescent="0.25">
      <c r="B176" s="55"/>
      <c r="C176" s="65" t="s">
        <v>72</v>
      </c>
      <c r="D176" s="66"/>
      <c r="E176" s="67">
        <v>1</v>
      </c>
      <c r="F176" s="68"/>
      <c r="G176" s="77" t="s">
        <v>629</v>
      </c>
      <c r="H176" s="4"/>
      <c r="I176" s="4" t="s">
        <v>517</v>
      </c>
      <c r="J176" s="4"/>
      <c r="K176" s="78" t="s">
        <v>689</v>
      </c>
      <c r="L176" s="118" t="s">
        <v>704</v>
      </c>
      <c r="M176" s="124" t="str">
        <f>CONCATENATE(O176,P176,Q176)</f>
        <v>請確認 下層筋是否有斷筋</v>
      </c>
      <c r="O176" s="6" t="s">
        <v>654</v>
      </c>
      <c r="P176" s="6" t="str">
        <f>I176</f>
        <v>下層筋</v>
      </c>
      <c r="Q176" s="6" t="str">
        <f>K176</f>
        <v>是否有斷筋</v>
      </c>
    </row>
    <row r="177" spans="2:18" ht="17.25" customHeight="1" thickBot="1" x14ac:dyDescent="0.3">
      <c r="B177" s="55"/>
      <c r="C177" s="4"/>
      <c r="D177" s="66"/>
      <c r="E177" s="67"/>
      <c r="F177" s="68"/>
      <c r="G177" s="77"/>
      <c r="H177" s="4"/>
      <c r="I177" s="4"/>
      <c r="J177" s="4"/>
      <c r="K177" s="78"/>
      <c r="L177" s="118"/>
      <c r="M177" s="119"/>
    </row>
    <row r="178" spans="2:18" x14ac:dyDescent="0.25">
      <c r="B178" s="35" t="s">
        <v>191</v>
      </c>
      <c r="C178" s="36" t="s">
        <v>192</v>
      </c>
      <c r="D178" s="37" t="s">
        <v>76</v>
      </c>
      <c r="E178" s="38" t="s">
        <v>77</v>
      </c>
      <c r="F178" s="39" t="s">
        <v>78</v>
      </c>
      <c r="G178" s="40" t="s">
        <v>75</v>
      </c>
      <c r="H178" s="36" t="s">
        <v>5</v>
      </c>
      <c r="I178" s="36" t="s">
        <v>5</v>
      </c>
      <c r="J178" s="36" t="s">
        <v>5</v>
      </c>
      <c r="K178" s="42" t="s">
        <v>3</v>
      </c>
      <c r="L178" s="98" t="s">
        <v>7</v>
      </c>
      <c r="M178" s="99" t="s">
        <v>209</v>
      </c>
    </row>
    <row r="179" spans="2:18" ht="19.5" thickBot="1" x14ac:dyDescent="0.3">
      <c r="B179" s="45" t="s">
        <v>705</v>
      </c>
      <c r="C179" s="46" t="s">
        <v>200</v>
      </c>
      <c r="D179" s="47" t="s">
        <v>361</v>
      </c>
      <c r="E179" s="48" t="s">
        <v>411</v>
      </c>
      <c r="F179" s="49" t="s">
        <v>412</v>
      </c>
      <c r="G179" s="50"/>
      <c r="H179" s="100"/>
      <c r="I179" s="100"/>
      <c r="J179" s="100"/>
      <c r="K179" s="52"/>
      <c r="L179" s="101"/>
      <c r="M179" s="102"/>
    </row>
    <row r="180" spans="2:18" x14ac:dyDescent="0.25">
      <c r="B180" s="55"/>
      <c r="C180" s="65" t="s">
        <v>85</v>
      </c>
      <c r="D180" s="66"/>
      <c r="E180" s="67"/>
      <c r="F180" s="68">
        <v>1</v>
      </c>
      <c r="G180" s="77" t="s">
        <v>706</v>
      </c>
      <c r="H180" s="4"/>
      <c r="I180" s="4" t="s">
        <v>682</v>
      </c>
      <c r="J180" s="4"/>
      <c r="K180" s="78" t="s">
        <v>589</v>
      </c>
      <c r="L180" s="105" t="s">
        <v>707</v>
      </c>
      <c r="M180" s="124" t="str">
        <f>CONCATENATE(O180,P180,Q180,R180)</f>
        <v>請確認是否符合 間距下限 規定</v>
      </c>
      <c r="O180" s="6" t="s">
        <v>450</v>
      </c>
      <c r="P180" s="6" t="str">
        <f>I180</f>
        <v>間距</v>
      </c>
      <c r="Q180" s="6" t="s">
        <v>540</v>
      </c>
      <c r="R180" s="6" t="s">
        <v>568</v>
      </c>
    </row>
    <row r="181" spans="2:18" x14ac:dyDescent="0.25">
      <c r="B181" s="55"/>
      <c r="C181" s="65" t="s">
        <v>88</v>
      </c>
      <c r="D181" s="66">
        <v>1</v>
      </c>
      <c r="E181" s="67"/>
      <c r="F181" s="68"/>
      <c r="G181" s="77" t="s">
        <v>701</v>
      </c>
      <c r="H181" s="4"/>
      <c r="I181" s="4" t="s">
        <v>708</v>
      </c>
      <c r="J181" s="4"/>
      <c r="K181" s="78" t="s">
        <v>586</v>
      </c>
      <c r="L181" s="105" t="s">
        <v>709</v>
      </c>
      <c r="M181" s="124" t="str">
        <f>CONCATENATE(O181,P181,Q181,R181)</f>
        <v>請確認是否符合 間距上限 規定</v>
      </c>
      <c r="O181" s="6" t="s">
        <v>550</v>
      </c>
      <c r="P181" s="6" t="str">
        <f>I181</f>
        <v>間距</v>
      </c>
      <c r="Q181" s="6" t="s">
        <v>372</v>
      </c>
      <c r="R181" s="6" t="s">
        <v>547</v>
      </c>
    </row>
    <row r="182" spans="2:18" x14ac:dyDescent="0.25">
      <c r="B182" s="55"/>
      <c r="C182" s="65" t="s">
        <v>89</v>
      </c>
      <c r="D182" s="66"/>
      <c r="E182" s="67"/>
      <c r="F182" s="68">
        <v>1</v>
      </c>
      <c r="G182" s="120" t="s">
        <v>710</v>
      </c>
      <c r="H182" s="4"/>
      <c r="I182" s="4" t="s">
        <v>682</v>
      </c>
      <c r="J182" s="4"/>
      <c r="K182" s="78" t="s">
        <v>589</v>
      </c>
      <c r="L182" s="105" t="s">
        <v>707</v>
      </c>
      <c r="M182" s="124" t="str">
        <f>CONCATENATE(O182,P182,Q182,R182)</f>
        <v>請確認是否符合 間距下限 規定</v>
      </c>
      <c r="O182" s="6" t="s">
        <v>536</v>
      </c>
      <c r="P182" s="6" t="str">
        <f>I182</f>
        <v>間距</v>
      </c>
      <c r="Q182" s="6" t="s">
        <v>405</v>
      </c>
      <c r="R182" s="6" t="s">
        <v>447</v>
      </c>
    </row>
    <row r="183" spans="2:18" x14ac:dyDescent="0.25">
      <c r="B183" s="55"/>
      <c r="C183" s="65" t="s">
        <v>90</v>
      </c>
      <c r="D183" s="66">
        <v>1</v>
      </c>
      <c r="E183" s="67"/>
      <c r="F183" s="68"/>
      <c r="G183" s="120" t="s">
        <v>711</v>
      </c>
      <c r="H183" s="4"/>
      <c r="I183" s="4" t="s">
        <v>708</v>
      </c>
      <c r="J183" s="4"/>
      <c r="K183" s="78" t="s">
        <v>489</v>
      </c>
      <c r="L183" s="105" t="s">
        <v>712</v>
      </c>
      <c r="M183" s="124" t="str">
        <f>CONCATENATE(O183,P183,Q183,R183)</f>
        <v>請確認是否符合 間距上限 規定</v>
      </c>
      <c r="O183" s="6" t="s">
        <v>550</v>
      </c>
      <c r="P183" s="6" t="str">
        <f>I183</f>
        <v>間距</v>
      </c>
      <c r="Q183" s="6" t="s">
        <v>372</v>
      </c>
      <c r="R183" s="6" t="s">
        <v>447</v>
      </c>
    </row>
    <row r="184" spans="2:18" x14ac:dyDescent="0.25">
      <c r="B184" s="55"/>
      <c r="C184" s="65" t="s">
        <v>91</v>
      </c>
      <c r="D184" s="66"/>
      <c r="E184" s="67">
        <v>1</v>
      </c>
      <c r="F184" s="68"/>
      <c r="G184" s="77" t="s">
        <v>701</v>
      </c>
      <c r="H184" s="4"/>
      <c r="I184" s="4" t="s">
        <v>713</v>
      </c>
      <c r="J184" s="4"/>
      <c r="K184" s="78" t="s">
        <v>714</v>
      </c>
      <c r="L184" s="105" t="s">
        <v>715</v>
      </c>
      <c r="M184" s="124" t="str">
        <f>CONCATENATE(O184,P184,Q184)</f>
        <v>請確認 上層筋是否有斷筋</v>
      </c>
      <c r="O184" s="6" t="s">
        <v>649</v>
      </c>
      <c r="P184" s="6" t="s">
        <v>347</v>
      </c>
      <c r="Q184" s="6" t="s">
        <v>716</v>
      </c>
    </row>
    <row r="185" spans="2:18" x14ac:dyDescent="0.25">
      <c r="B185" s="55"/>
      <c r="C185" s="65" t="s">
        <v>90</v>
      </c>
      <c r="D185" s="66"/>
      <c r="E185" s="67">
        <v>1</v>
      </c>
      <c r="F185" s="68"/>
      <c r="G185" s="120" t="s">
        <v>717</v>
      </c>
      <c r="H185" s="4"/>
      <c r="I185" s="4" t="s">
        <v>718</v>
      </c>
      <c r="J185" s="4"/>
      <c r="K185" s="78" t="s">
        <v>719</v>
      </c>
      <c r="L185" s="118" t="s">
        <v>720</v>
      </c>
      <c r="M185" s="124" t="str">
        <f>CONCATENATE(O185,P185,Q185)</f>
        <v>請確認 下層筋是否有斷筋</v>
      </c>
      <c r="O185" s="6" t="s">
        <v>632</v>
      </c>
      <c r="P185" s="6" t="s">
        <v>350</v>
      </c>
      <c r="Q185" s="6" t="s">
        <v>716</v>
      </c>
    </row>
    <row r="186" spans="2:18" ht="19.5" thickBot="1" x14ac:dyDescent="0.3">
      <c r="B186" s="55"/>
      <c r="C186" s="4"/>
      <c r="D186" s="66"/>
      <c r="E186" s="67"/>
      <c r="F186" s="68"/>
      <c r="G186" s="77"/>
      <c r="H186" s="4"/>
      <c r="I186" s="4"/>
      <c r="J186" s="4"/>
      <c r="K186" s="78"/>
      <c r="L186" s="118"/>
      <c r="M186" s="119"/>
    </row>
    <row r="187" spans="2:18" x14ac:dyDescent="0.25">
      <c r="B187" s="35" t="s">
        <v>191</v>
      </c>
      <c r="C187" s="36" t="s">
        <v>192</v>
      </c>
      <c r="D187" s="37" t="s">
        <v>76</v>
      </c>
      <c r="E187" s="38" t="s">
        <v>77</v>
      </c>
      <c r="F187" s="39" t="s">
        <v>78</v>
      </c>
      <c r="G187" s="40" t="s">
        <v>75</v>
      </c>
      <c r="H187" s="36" t="s">
        <v>5</v>
      </c>
      <c r="I187" s="36" t="s">
        <v>5</v>
      </c>
      <c r="J187" s="36" t="s">
        <v>5</v>
      </c>
      <c r="K187" s="42" t="s">
        <v>3</v>
      </c>
      <c r="L187" s="98" t="s">
        <v>7</v>
      </c>
      <c r="M187" s="99" t="s">
        <v>209</v>
      </c>
    </row>
    <row r="188" spans="2:18" ht="19.5" thickBot="1" x14ac:dyDescent="0.3">
      <c r="B188" s="45" t="s">
        <v>721</v>
      </c>
      <c r="C188" s="46" t="s">
        <v>201</v>
      </c>
      <c r="D188" s="47" t="s">
        <v>417</v>
      </c>
      <c r="E188" s="48" t="s">
        <v>411</v>
      </c>
      <c r="F188" s="49" t="s">
        <v>412</v>
      </c>
      <c r="G188" s="50"/>
      <c r="H188" s="100"/>
      <c r="I188" s="100"/>
      <c r="J188" s="100"/>
      <c r="K188" s="52"/>
      <c r="L188" s="101"/>
      <c r="M188" s="102"/>
    </row>
    <row r="189" spans="2:18" x14ac:dyDescent="0.25">
      <c r="B189" s="55"/>
      <c r="C189" s="65" t="s">
        <v>92</v>
      </c>
      <c r="D189" s="66"/>
      <c r="E189" s="67"/>
      <c r="F189" s="68">
        <v>1</v>
      </c>
      <c r="G189" s="77" t="s">
        <v>706</v>
      </c>
      <c r="H189" s="4"/>
      <c r="I189" s="4" t="s">
        <v>685</v>
      </c>
      <c r="J189" s="4"/>
      <c r="K189" s="78" t="s">
        <v>589</v>
      </c>
      <c r="L189" s="105" t="s">
        <v>722</v>
      </c>
      <c r="M189" s="124" t="str">
        <f>CONCATENATE(O189,P189,Q189,R189)</f>
        <v>請確認是否符合 間距下限 規定</v>
      </c>
      <c r="O189" s="6" t="s">
        <v>628</v>
      </c>
      <c r="P189" s="6" t="str">
        <f>I189</f>
        <v>間距</v>
      </c>
      <c r="Q189" s="6" t="s">
        <v>540</v>
      </c>
      <c r="R189" s="6" t="s">
        <v>547</v>
      </c>
    </row>
    <row r="190" spans="2:18" x14ac:dyDescent="0.25">
      <c r="B190" s="55"/>
      <c r="C190" s="65" t="s">
        <v>93</v>
      </c>
      <c r="D190" s="66">
        <v>1</v>
      </c>
      <c r="E190" s="67"/>
      <c r="F190" s="68"/>
      <c r="G190" s="77" t="s">
        <v>701</v>
      </c>
      <c r="H190" s="4"/>
      <c r="I190" s="4" t="s">
        <v>723</v>
      </c>
      <c r="J190" s="4"/>
      <c r="K190" s="78" t="s">
        <v>586</v>
      </c>
      <c r="L190" s="105" t="s">
        <v>724</v>
      </c>
      <c r="M190" s="124" t="str">
        <f>CONCATENATE(O190,P190,Q190,R190)</f>
        <v>請確認是否符合 間距上限 規定</v>
      </c>
      <c r="O190" s="6" t="s">
        <v>450</v>
      </c>
      <c r="P190" s="6" t="str">
        <f>I190</f>
        <v>間距</v>
      </c>
      <c r="Q190" s="6" t="s">
        <v>572</v>
      </c>
      <c r="R190" s="6" t="s">
        <v>447</v>
      </c>
    </row>
    <row r="191" spans="2:18" x14ac:dyDescent="0.25">
      <c r="B191" s="55"/>
      <c r="C191" s="65" t="s">
        <v>94</v>
      </c>
      <c r="D191" s="66"/>
      <c r="E191" s="67"/>
      <c r="F191" s="68"/>
      <c r="G191" s="77"/>
      <c r="H191" s="4"/>
      <c r="I191" s="4"/>
      <c r="J191" s="4"/>
      <c r="K191" s="78"/>
      <c r="L191" s="105"/>
      <c r="M191" s="106"/>
    </row>
    <row r="192" spans="2:18" x14ac:dyDescent="0.25">
      <c r="B192" s="55"/>
      <c r="C192" s="65" t="s">
        <v>95</v>
      </c>
      <c r="D192" s="66"/>
      <c r="E192" s="67"/>
      <c r="F192" s="68">
        <v>1</v>
      </c>
      <c r="G192" s="120" t="s">
        <v>725</v>
      </c>
      <c r="H192" s="4"/>
      <c r="I192" s="4" t="s">
        <v>708</v>
      </c>
      <c r="J192" s="4"/>
      <c r="K192" s="78" t="s">
        <v>640</v>
      </c>
      <c r="L192" s="105" t="s">
        <v>707</v>
      </c>
      <c r="M192" s="124" t="str">
        <f>CONCATENATE(O192,P192,Q192,R192)</f>
        <v>請確認是否符合 間距下限 規定</v>
      </c>
      <c r="O192" s="6" t="s">
        <v>536</v>
      </c>
      <c r="P192" s="6" t="str">
        <f>I192</f>
        <v>間距</v>
      </c>
      <c r="Q192" s="6" t="s">
        <v>405</v>
      </c>
      <c r="R192" s="6" t="s">
        <v>447</v>
      </c>
    </row>
    <row r="193" spans="2:19" x14ac:dyDescent="0.25">
      <c r="B193" s="55"/>
      <c r="C193" s="65" t="s">
        <v>96</v>
      </c>
      <c r="D193" s="66">
        <v>1</v>
      </c>
      <c r="E193" s="67"/>
      <c r="F193" s="68"/>
      <c r="G193" s="120" t="s">
        <v>726</v>
      </c>
      <c r="H193" s="4"/>
      <c r="I193" s="4" t="s">
        <v>685</v>
      </c>
      <c r="J193" s="4"/>
      <c r="K193" s="78" t="s">
        <v>699</v>
      </c>
      <c r="L193" s="105" t="s">
        <v>724</v>
      </c>
      <c r="M193" s="124" t="str">
        <f>CONCATENATE(O193,P193,Q193,R193)</f>
        <v>請確認是否符合 間距上限 規定</v>
      </c>
      <c r="O193" s="6" t="s">
        <v>536</v>
      </c>
      <c r="P193" s="6" t="str">
        <f>I193</f>
        <v>間距</v>
      </c>
      <c r="Q193" s="6" t="s">
        <v>572</v>
      </c>
      <c r="R193" s="6" t="s">
        <v>547</v>
      </c>
    </row>
    <row r="194" spans="2:19" x14ac:dyDescent="0.25">
      <c r="B194" s="55"/>
      <c r="C194" s="65" t="s">
        <v>97</v>
      </c>
      <c r="D194" s="66"/>
      <c r="E194" s="67"/>
      <c r="F194" s="68"/>
      <c r="G194" s="120"/>
      <c r="H194" s="4"/>
      <c r="I194" s="4"/>
      <c r="J194" s="4"/>
      <c r="K194" s="78"/>
      <c r="L194" s="105"/>
      <c r="M194" s="106"/>
    </row>
    <row r="195" spans="2:19" x14ac:dyDescent="0.25">
      <c r="B195" s="55"/>
      <c r="C195" s="65" t="s">
        <v>98</v>
      </c>
      <c r="D195" s="66"/>
      <c r="E195" s="67"/>
      <c r="F195" s="68">
        <v>1</v>
      </c>
      <c r="G195" s="120" t="s">
        <v>717</v>
      </c>
      <c r="H195" s="4"/>
      <c r="I195" s="4" t="s">
        <v>713</v>
      </c>
      <c r="J195" s="4"/>
      <c r="K195" s="78" t="s">
        <v>727</v>
      </c>
      <c r="L195" s="105" t="s">
        <v>728</v>
      </c>
      <c r="M195" s="124" t="str">
        <f>CONCATENATE(O195,P195,Q195)</f>
        <v>請確認 上層筋是否有斷筋</v>
      </c>
      <c r="O195" s="6" t="s">
        <v>632</v>
      </c>
      <c r="P195" s="6" t="s">
        <v>347</v>
      </c>
      <c r="Q195" s="6" t="s">
        <v>716</v>
      </c>
    </row>
    <row r="196" spans="2:19" x14ac:dyDescent="0.25">
      <c r="B196" s="55"/>
      <c r="C196" s="65" t="s">
        <v>99</v>
      </c>
      <c r="D196" s="66"/>
      <c r="E196" s="67"/>
      <c r="F196" s="68"/>
      <c r="G196" s="120"/>
      <c r="H196" s="4"/>
      <c r="I196" s="4"/>
      <c r="J196" s="4"/>
      <c r="K196" s="78"/>
      <c r="L196" s="105"/>
      <c r="M196" s="106"/>
    </row>
    <row r="197" spans="2:19" x14ac:dyDescent="0.25">
      <c r="B197" s="55"/>
      <c r="C197" s="65" t="s">
        <v>100</v>
      </c>
      <c r="D197" s="66"/>
      <c r="E197" s="67">
        <v>1</v>
      </c>
      <c r="F197" s="68">
        <v>1</v>
      </c>
      <c r="G197" s="77" t="s">
        <v>701</v>
      </c>
      <c r="H197" s="4"/>
      <c r="I197" s="4" t="s">
        <v>729</v>
      </c>
      <c r="J197" s="4"/>
      <c r="K197" s="78" t="s">
        <v>730</v>
      </c>
      <c r="L197" s="105" t="s">
        <v>731</v>
      </c>
      <c r="M197" s="106"/>
    </row>
    <row r="198" spans="2:19" x14ac:dyDescent="0.25">
      <c r="B198" s="55"/>
      <c r="C198" s="65" t="s">
        <v>101</v>
      </c>
      <c r="D198" s="66"/>
      <c r="E198" s="67"/>
      <c r="F198" s="68"/>
      <c r="G198" s="77"/>
      <c r="H198" s="4"/>
      <c r="I198" s="4"/>
      <c r="J198" s="4"/>
      <c r="K198" s="78"/>
      <c r="L198" s="105"/>
      <c r="M198" s="106"/>
    </row>
    <row r="199" spans="2:19" ht="19.5" thickBot="1" x14ac:dyDescent="0.3">
      <c r="B199" s="55"/>
      <c r="C199" s="4"/>
      <c r="D199" s="66"/>
      <c r="E199" s="67"/>
      <c r="F199" s="68"/>
      <c r="G199" s="77"/>
      <c r="H199" s="4"/>
      <c r="I199" s="4"/>
      <c r="J199" s="4"/>
      <c r="K199" s="78"/>
      <c r="L199" s="118"/>
      <c r="M199" s="119"/>
    </row>
    <row r="200" spans="2:19" x14ac:dyDescent="0.25">
      <c r="B200" s="35" t="s">
        <v>191</v>
      </c>
      <c r="C200" s="36" t="s">
        <v>192</v>
      </c>
      <c r="D200" s="37" t="s">
        <v>415</v>
      </c>
      <c r="E200" s="38" t="s">
        <v>414</v>
      </c>
      <c r="F200" s="39" t="s">
        <v>416</v>
      </c>
      <c r="G200" s="40" t="s">
        <v>75</v>
      </c>
      <c r="H200" s="36" t="s">
        <v>5</v>
      </c>
      <c r="I200" s="36" t="s">
        <v>5</v>
      </c>
      <c r="J200" s="36" t="s">
        <v>5</v>
      </c>
      <c r="K200" s="42" t="s">
        <v>3</v>
      </c>
      <c r="L200" s="98" t="s">
        <v>7</v>
      </c>
      <c r="M200" s="99" t="s">
        <v>209</v>
      </c>
    </row>
    <row r="201" spans="2:19" ht="19.5" thickBot="1" x14ac:dyDescent="0.3">
      <c r="B201" s="45" t="s">
        <v>732</v>
      </c>
      <c r="C201" s="46" t="s">
        <v>202</v>
      </c>
      <c r="D201" s="47" t="s">
        <v>361</v>
      </c>
      <c r="E201" s="48" t="s">
        <v>400</v>
      </c>
      <c r="F201" s="49" t="s">
        <v>412</v>
      </c>
      <c r="G201" s="50"/>
      <c r="H201" s="100"/>
      <c r="I201" s="100"/>
      <c r="J201" s="100"/>
      <c r="K201" s="52"/>
      <c r="L201" s="101"/>
      <c r="M201" s="102"/>
    </row>
    <row r="202" spans="2:19" x14ac:dyDescent="0.25">
      <c r="B202" s="55"/>
      <c r="C202" s="65" t="s">
        <v>126</v>
      </c>
      <c r="D202" s="66">
        <v>1</v>
      </c>
      <c r="E202" s="67"/>
      <c r="F202" s="68"/>
      <c r="G202" s="77" t="s">
        <v>733</v>
      </c>
      <c r="H202" s="4" t="s">
        <v>734</v>
      </c>
      <c r="I202" s="4" t="s">
        <v>735</v>
      </c>
      <c r="J202" s="4" t="s">
        <v>736</v>
      </c>
      <c r="K202" s="78" t="s">
        <v>486</v>
      </c>
      <c r="L202" s="105" t="s">
        <v>737</v>
      </c>
      <c r="M202" s="124" t="str">
        <f>CONCATENATE(O202,P202,Q202,R202,S202)</f>
        <v>請確認是否符合 水平筋間距下限 規定</v>
      </c>
      <c r="O202" s="6" t="s">
        <v>536</v>
      </c>
      <c r="P202" s="6" t="str">
        <f>I202</f>
        <v>水平筋</v>
      </c>
      <c r="Q202" s="6" t="s">
        <v>708</v>
      </c>
      <c r="R202" s="6" t="s">
        <v>540</v>
      </c>
      <c r="S202" s="6" t="s">
        <v>738</v>
      </c>
    </row>
    <row r="203" spans="2:19" x14ac:dyDescent="0.25">
      <c r="B203" s="55"/>
      <c r="C203" s="65" t="s">
        <v>127</v>
      </c>
      <c r="D203" s="66">
        <v>1</v>
      </c>
      <c r="E203" s="67"/>
      <c r="F203" s="68"/>
      <c r="G203" s="77" t="s">
        <v>739</v>
      </c>
      <c r="H203" s="103" t="s">
        <v>740</v>
      </c>
      <c r="I203" s="4" t="s">
        <v>741</v>
      </c>
      <c r="J203" s="4" t="s">
        <v>742</v>
      </c>
      <c r="K203" s="78" t="s">
        <v>589</v>
      </c>
      <c r="L203" s="105" t="s">
        <v>743</v>
      </c>
      <c r="M203" s="124" t="str">
        <f>CONCATENATE(O203,P203,Q203,R203,S203)</f>
        <v>請確認是否符合 水平筋間距下限 規定</v>
      </c>
      <c r="O203" s="6" t="s">
        <v>744</v>
      </c>
      <c r="P203" s="6" t="str">
        <f>I203</f>
        <v>水平筋</v>
      </c>
      <c r="Q203" s="6" t="s">
        <v>682</v>
      </c>
      <c r="R203" s="6" t="s">
        <v>745</v>
      </c>
      <c r="S203" s="6" t="s">
        <v>447</v>
      </c>
    </row>
    <row r="204" spans="2:19" x14ac:dyDescent="0.25">
      <c r="B204" s="55"/>
      <c r="C204" s="65" t="s">
        <v>128</v>
      </c>
      <c r="D204" s="66"/>
      <c r="E204" s="67">
        <v>1</v>
      </c>
      <c r="F204" s="68">
        <v>1</v>
      </c>
      <c r="G204" s="77" t="s">
        <v>739</v>
      </c>
      <c r="H204" s="4" t="s">
        <v>746</v>
      </c>
      <c r="I204" s="4" t="s">
        <v>735</v>
      </c>
      <c r="J204" s="4" t="s">
        <v>742</v>
      </c>
      <c r="K204" s="78" t="s">
        <v>489</v>
      </c>
      <c r="L204" s="118" t="s">
        <v>84</v>
      </c>
      <c r="M204" s="124" t="str">
        <f>CONCATENATE(O204,P204,Q204,R204,S204)</f>
        <v>請確認是否符合 水平筋間距上限 規定</v>
      </c>
      <c r="O204" s="6" t="s">
        <v>536</v>
      </c>
      <c r="P204" s="6" t="str">
        <f>I204</f>
        <v>水平筋</v>
      </c>
      <c r="Q204" s="6" t="s">
        <v>682</v>
      </c>
      <c r="R204" s="6" t="s">
        <v>747</v>
      </c>
      <c r="S204" s="6" t="s">
        <v>447</v>
      </c>
    </row>
    <row r="205" spans="2:19" x14ac:dyDescent="0.25">
      <c r="B205" s="55"/>
      <c r="C205" s="65" t="s">
        <v>129</v>
      </c>
      <c r="D205" s="66"/>
      <c r="E205" s="67">
        <v>1</v>
      </c>
      <c r="F205" s="68">
        <v>1</v>
      </c>
      <c r="G205" s="77" t="s">
        <v>748</v>
      </c>
      <c r="H205" s="103" t="s">
        <v>740</v>
      </c>
      <c r="I205" s="4" t="s">
        <v>749</v>
      </c>
      <c r="J205" s="4" t="s">
        <v>750</v>
      </c>
      <c r="K205" s="78" t="s">
        <v>489</v>
      </c>
      <c r="L205" s="118" t="s">
        <v>84</v>
      </c>
      <c r="M205" s="124" t="str">
        <f>CONCATENATE(O205,P205,Q205,R205,S205)</f>
        <v>請確認是否符合 水平筋間距上限 規定</v>
      </c>
      <c r="O205" s="6" t="s">
        <v>450</v>
      </c>
      <c r="P205" s="6" t="str">
        <f>I205</f>
        <v>水平筋</v>
      </c>
      <c r="Q205" s="6" t="s">
        <v>708</v>
      </c>
      <c r="R205" s="6" t="s">
        <v>572</v>
      </c>
      <c r="S205" s="6" t="s">
        <v>447</v>
      </c>
    </row>
    <row r="206" spans="2:19" x14ac:dyDescent="0.25">
      <c r="B206" s="55"/>
      <c r="C206" s="65" t="s">
        <v>130</v>
      </c>
      <c r="D206" s="66"/>
      <c r="E206" s="67">
        <v>1</v>
      </c>
      <c r="F206" s="68"/>
      <c r="G206" s="77" t="s">
        <v>751</v>
      </c>
      <c r="H206" s="4" t="s">
        <v>734</v>
      </c>
      <c r="I206" s="4" t="s">
        <v>752</v>
      </c>
      <c r="J206" s="4" t="s">
        <v>753</v>
      </c>
      <c r="K206" s="78" t="s">
        <v>689</v>
      </c>
      <c r="L206" s="118" t="s">
        <v>754</v>
      </c>
      <c r="M206" s="124" t="str">
        <f>CONCATENATE(O206,P206,Q206,R206)</f>
        <v>請確認 外側垂直筋是否有斷筋</v>
      </c>
      <c r="O206" s="6" t="s">
        <v>755</v>
      </c>
      <c r="P206" s="6" t="str">
        <f>H206</f>
        <v>外側</v>
      </c>
      <c r="Q206" s="6" t="str">
        <f>I206</f>
        <v>垂直筋</v>
      </c>
      <c r="R206" s="6" t="s">
        <v>716</v>
      </c>
    </row>
    <row r="207" spans="2:19" x14ac:dyDescent="0.25">
      <c r="B207" s="55"/>
      <c r="C207" s="65" t="s">
        <v>131</v>
      </c>
      <c r="D207" s="66"/>
      <c r="E207" s="67">
        <v>1</v>
      </c>
      <c r="F207" s="68"/>
      <c r="G207" s="77" t="s">
        <v>739</v>
      </c>
      <c r="H207" s="103" t="s">
        <v>756</v>
      </c>
      <c r="I207" s="4" t="s">
        <v>752</v>
      </c>
      <c r="J207" s="4" t="s">
        <v>750</v>
      </c>
      <c r="K207" s="78" t="s">
        <v>702</v>
      </c>
      <c r="L207" s="118" t="s">
        <v>757</v>
      </c>
      <c r="M207" s="124" t="str">
        <f>CONCATENATE(O207,P207,Q207,R207)</f>
        <v>請確認 內側垂直筋是否有斷筋</v>
      </c>
      <c r="O207" s="6" t="s">
        <v>758</v>
      </c>
      <c r="P207" s="6" t="str">
        <f>H207</f>
        <v>內側</v>
      </c>
      <c r="Q207" s="6" t="str">
        <f>I207</f>
        <v>垂直筋</v>
      </c>
      <c r="R207" s="6" t="s">
        <v>716</v>
      </c>
    </row>
    <row r="208" spans="2:19" ht="19.5" thickBot="1" x14ac:dyDescent="0.3">
      <c r="B208" s="55"/>
      <c r="C208" s="4"/>
      <c r="D208" s="66"/>
      <c r="E208" s="67"/>
      <c r="F208" s="68"/>
      <c r="G208" s="77"/>
      <c r="H208" s="4"/>
      <c r="I208" s="4"/>
      <c r="J208" s="4"/>
      <c r="K208" s="78"/>
      <c r="L208" s="118"/>
      <c r="M208" s="119"/>
    </row>
    <row r="209" spans="2:19" x14ac:dyDescent="0.25">
      <c r="B209" s="35" t="s">
        <v>191</v>
      </c>
      <c r="C209" s="36" t="s">
        <v>192</v>
      </c>
      <c r="D209" s="37" t="s">
        <v>415</v>
      </c>
      <c r="E209" s="38" t="s">
        <v>415</v>
      </c>
      <c r="F209" s="39" t="s">
        <v>414</v>
      </c>
      <c r="G209" s="40" t="s">
        <v>75</v>
      </c>
      <c r="H209" s="36" t="s">
        <v>5</v>
      </c>
      <c r="I209" s="36" t="s">
        <v>5</v>
      </c>
      <c r="J209" s="36" t="s">
        <v>5</v>
      </c>
      <c r="K209" s="42" t="s">
        <v>3</v>
      </c>
      <c r="L209" s="98" t="s">
        <v>7</v>
      </c>
      <c r="M209" s="99" t="s">
        <v>209</v>
      </c>
    </row>
    <row r="210" spans="2:19" ht="19.5" thickBot="1" x14ac:dyDescent="0.3">
      <c r="B210" s="45" t="s">
        <v>759</v>
      </c>
      <c r="C210" s="46" t="s">
        <v>203</v>
      </c>
      <c r="D210" s="47" t="s">
        <v>361</v>
      </c>
      <c r="E210" s="48" t="s">
        <v>339</v>
      </c>
      <c r="F210" s="49" t="s">
        <v>412</v>
      </c>
      <c r="G210" s="50"/>
      <c r="H210" s="100"/>
      <c r="I210" s="100"/>
      <c r="J210" s="100"/>
      <c r="K210" s="52"/>
      <c r="L210" s="101"/>
      <c r="M210" s="102"/>
    </row>
    <row r="211" spans="2:19" x14ac:dyDescent="0.25">
      <c r="B211" s="55"/>
      <c r="C211" s="65" t="s">
        <v>137</v>
      </c>
      <c r="D211" s="66">
        <v>1</v>
      </c>
      <c r="E211" s="67"/>
      <c r="F211" s="68"/>
      <c r="G211" s="77" t="s">
        <v>760</v>
      </c>
      <c r="H211" s="4"/>
      <c r="I211" s="4" t="s">
        <v>741</v>
      </c>
      <c r="J211" s="4" t="s">
        <v>761</v>
      </c>
      <c r="K211" s="78" t="s">
        <v>584</v>
      </c>
      <c r="L211" s="105" t="s">
        <v>762</v>
      </c>
      <c r="M211" s="124" t="str">
        <f>CONCATENATE(O211,P211,Q211,R211,S211)</f>
        <v>請確認是否符合 水平筋間距下限 規定</v>
      </c>
      <c r="O211" s="6" t="s">
        <v>763</v>
      </c>
      <c r="P211" s="6" t="str">
        <f>I211</f>
        <v>水平筋</v>
      </c>
      <c r="Q211" s="6" t="s">
        <v>682</v>
      </c>
      <c r="R211" s="6" t="s">
        <v>405</v>
      </c>
      <c r="S211" s="6" t="s">
        <v>764</v>
      </c>
    </row>
    <row r="212" spans="2:19" x14ac:dyDescent="0.25">
      <c r="B212" s="55"/>
      <c r="C212" s="65" t="s">
        <v>138</v>
      </c>
      <c r="D212" s="66"/>
      <c r="E212" s="67">
        <v>1</v>
      </c>
      <c r="F212" s="68">
        <v>1</v>
      </c>
      <c r="G212" s="77" t="s">
        <v>765</v>
      </c>
      <c r="H212" s="4"/>
      <c r="I212" s="4" t="s">
        <v>766</v>
      </c>
      <c r="J212" s="4" t="s">
        <v>753</v>
      </c>
      <c r="K212" s="78" t="s">
        <v>592</v>
      </c>
      <c r="L212" s="118" t="s">
        <v>84</v>
      </c>
      <c r="M212" s="124" t="str">
        <f>CONCATENATE(O212,P212,Q212,R212,S212)</f>
        <v>請確認是否符合 水平筋間距下限 規定</v>
      </c>
      <c r="O212" s="6" t="s">
        <v>536</v>
      </c>
      <c r="P212" s="6" t="str">
        <f>I212</f>
        <v>水平筋</v>
      </c>
      <c r="Q212" s="6" t="s">
        <v>767</v>
      </c>
      <c r="R212" s="6" t="s">
        <v>405</v>
      </c>
      <c r="S212" s="6" t="s">
        <v>568</v>
      </c>
    </row>
    <row r="213" spans="2:19" x14ac:dyDescent="0.25">
      <c r="B213" s="55"/>
      <c r="C213" s="65" t="s">
        <v>132</v>
      </c>
      <c r="D213" s="66">
        <v>1</v>
      </c>
      <c r="E213" s="67"/>
      <c r="F213" s="68"/>
      <c r="G213" s="77" t="s">
        <v>749</v>
      </c>
      <c r="H213" s="4"/>
      <c r="I213" s="4" t="s">
        <v>752</v>
      </c>
      <c r="J213" s="4" t="s">
        <v>753</v>
      </c>
      <c r="K213" s="78" t="s">
        <v>486</v>
      </c>
      <c r="L213" s="105" t="s">
        <v>768</v>
      </c>
      <c r="M213" s="124" t="str">
        <f>CONCATENATE(O213,P213,Q213,R213,S213)</f>
        <v>請確認是否符合 垂直筋間距下限 規定</v>
      </c>
      <c r="O213" s="6" t="s">
        <v>628</v>
      </c>
      <c r="P213" s="6" t="str">
        <f>I213</f>
        <v>垂直筋</v>
      </c>
      <c r="Q213" s="6" t="s">
        <v>682</v>
      </c>
      <c r="R213" s="6" t="s">
        <v>540</v>
      </c>
      <c r="S213" s="6" t="s">
        <v>447</v>
      </c>
    </row>
    <row r="214" spans="2:19" x14ac:dyDescent="0.25">
      <c r="B214" s="55"/>
      <c r="C214" s="65" t="s">
        <v>133</v>
      </c>
      <c r="D214" s="66"/>
      <c r="E214" s="67">
        <v>1</v>
      </c>
      <c r="F214" s="68">
        <v>1</v>
      </c>
      <c r="G214" s="77" t="s">
        <v>752</v>
      </c>
      <c r="H214" s="4"/>
      <c r="I214" s="4" t="s">
        <v>752</v>
      </c>
      <c r="J214" s="4" t="s">
        <v>769</v>
      </c>
      <c r="K214" s="78" t="s">
        <v>592</v>
      </c>
      <c r="L214" s="118" t="s">
        <v>84</v>
      </c>
      <c r="M214" s="124" t="str">
        <f>CONCATENATE(O214,P214,Q214,R214,S214)</f>
        <v>請確認是否符合 垂直筋間距下限 規定</v>
      </c>
      <c r="O214" s="6" t="s">
        <v>628</v>
      </c>
      <c r="P214" s="6" t="str">
        <f>I214</f>
        <v>垂直筋</v>
      </c>
      <c r="Q214" s="6" t="s">
        <v>685</v>
      </c>
      <c r="R214" s="6" t="s">
        <v>745</v>
      </c>
      <c r="S214" s="6" t="s">
        <v>447</v>
      </c>
    </row>
    <row r="215" spans="2:19" x14ac:dyDescent="0.25">
      <c r="B215" s="55"/>
      <c r="C215" s="65" t="s">
        <v>134</v>
      </c>
      <c r="D215" s="66"/>
      <c r="E215" s="67"/>
      <c r="F215" s="68"/>
      <c r="G215" s="77"/>
      <c r="H215" s="4"/>
      <c r="I215" s="4"/>
      <c r="J215" s="4"/>
      <c r="K215" s="78"/>
      <c r="L215" s="118"/>
      <c r="M215" s="119"/>
    </row>
    <row r="216" spans="2:19" x14ac:dyDescent="0.25">
      <c r="B216" s="55"/>
      <c r="C216" s="65" t="s">
        <v>135</v>
      </c>
      <c r="D216" s="66">
        <v>1</v>
      </c>
      <c r="E216" s="67"/>
      <c r="F216" s="68"/>
      <c r="G216" s="77" t="s">
        <v>770</v>
      </c>
      <c r="H216" s="4" t="s">
        <v>771</v>
      </c>
      <c r="I216" s="4"/>
      <c r="J216" s="4"/>
      <c r="K216" s="78" t="s">
        <v>640</v>
      </c>
      <c r="L216" s="105" t="s">
        <v>772</v>
      </c>
      <c r="M216" s="124" t="str">
        <f>CONCATENATE(O216,P216,Q216,R216,S216)</f>
        <v>請確認 拐頭主筋量下限 規定</v>
      </c>
      <c r="O216" s="6" t="s">
        <v>755</v>
      </c>
      <c r="P216" s="6" t="str">
        <f>G216</f>
        <v>拐頭</v>
      </c>
      <c r="Q216" s="6" t="str">
        <f>H216</f>
        <v>主筋量</v>
      </c>
      <c r="R216" s="6" t="s">
        <v>561</v>
      </c>
      <c r="S216" s="6" t="s">
        <v>738</v>
      </c>
    </row>
    <row r="217" spans="2:19" x14ac:dyDescent="0.25">
      <c r="B217" s="55"/>
      <c r="C217" s="65" t="s">
        <v>146</v>
      </c>
      <c r="D217" s="66"/>
      <c r="E217" s="67">
        <v>1</v>
      </c>
      <c r="F217" s="68">
        <v>1</v>
      </c>
      <c r="G217" s="77" t="s">
        <v>770</v>
      </c>
      <c r="H217" s="4" t="s">
        <v>773</v>
      </c>
      <c r="I217" s="4"/>
      <c r="J217" s="4"/>
      <c r="K217" s="78" t="s">
        <v>586</v>
      </c>
      <c r="L217" s="105" t="s">
        <v>774</v>
      </c>
      <c r="M217" s="124" t="str">
        <f>CONCATENATE(O217,P217,Q217,R217,S217)</f>
        <v>請確認 拐頭主筋量上限 規定</v>
      </c>
      <c r="O217" s="6" t="s">
        <v>654</v>
      </c>
      <c r="P217" s="6" t="str">
        <f>G217</f>
        <v>拐頭</v>
      </c>
      <c r="Q217" s="6" t="str">
        <f>H217</f>
        <v>主筋量</v>
      </c>
      <c r="R217" s="6" t="s">
        <v>572</v>
      </c>
      <c r="S217" s="6" t="s">
        <v>568</v>
      </c>
    </row>
    <row r="218" spans="2:19" x14ac:dyDescent="0.25">
      <c r="B218" s="55"/>
      <c r="C218" s="65" t="s">
        <v>147</v>
      </c>
      <c r="D218" s="66"/>
      <c r="E218" s="67"/>
      <c r="F218" s="68"/>
      <c r="G218" s="77"/>
      <c r="H218" s="4"/>
      <c r="I218" s="4"/>
      <c r="J218" s="4"/>
      <c r="K218" s="78"/>
      <c r="L218" s="118"/>
      <c r="M218" s="119"/>
    </row>
    <row r="219" spans="2:19" x14ac:dyDescent="0.25">
      <c r="B219" s="55"/>
      <c r="C219" s="65" t="s">
        <v>148</v>
      </c>
      <c r="D219" s="66"/>
      <c r="E219" s="67"/>
      <c r="F219" s="68"/>
      <c r="G219" s="77"/>
      <c r="H219" s="4"/>
      <c r="I219" s="4"/>
      <c r="J219" s="4"/>
      <c r="K219" s="78"/>
      <c r="L219" s="118"/>
      <c r="M219" s="119"/>
    </row>
    <row r="220" spans="2:19" x14ac:dyDescent="0.25">
      <c r="B220" s="55"/>
      <c r="C220" s="65" t="s">
        <v>149</v>
      </c>
      <c r="D220" s="66"/>
      <c r="E220" s="67"/>
      <c r="F220" s="68"/>
      <c r="G220" s="77"/>
      <c r="H220" s="4"/>
      <c r="I220" s="4"/>
      <c r="J220" s="4"/>
      <c r="K220" s="78"/>
      <c r="L220" s="118"/>
      <c r="M220" s="119"/>
    </row>
    <row r="221" spans="2:19" ht="19.5" thickBot="1" x14ac:dyDescent="0.3">
      <c r="B221" s="55"/>
      <c r="C221" s="65"/>
      <c r="D221" s="66"/>
      <c r="E221" s="67"/>
      <c r="F221" s="68"/>
      <c r="G221" s="77"/>
      <c r="H221" s="4"/>
      <c r="I221" s="4"/>
      <c r="J221" s="4"/>
      <c r="K221" s="78"/>
      <c r="L221" s="118"/>
      <c r="M221" s="119"/>
    </row>
    <row r="222" spans="2:19" x14ac:dyDescent="0.25">
      <c r="B222" s="35" t="s">
        <v>191</v>
      </c>
      <c r="C222" s="36" t="s">
        <v>192</v>
      </c>
      <c r="D222" s="37" t="s">
        <v>414</v>
      </c>
      <c r="E222" s="38" t="s">
        <v>415</v>
      </c>
      <c r="F222" s="39" t="s">
        <v>415</v>
      </c>
      <c r="G222" s="40" t="s">
        <v>75</v>
      </c>
      <c r="H222" s="36" t="s">
        <v>5</v>
      </c>
      <c r="I222" s="36" t="s">
        <v>5</v>
      </c>
      <c r="J222" s="36" t="s">
        <v>5</v>
      </c>
      <c r="K222" s="42" t="s">
        <v>3</v>
      </c>
      <c r="L222" s="98" t="s">
        <v>7</v>
      </c>
      <c r="M222" s="99" t="s">
        <v>209</v>
      </c>
    </row>
    <row r="223" spans="2:19" ht="19.5" thickBot="1" x14ac:dyDescent="0.3">
      <c r="B223" s="45" t="s">
        <v>775</v>
      </c>
      <c r="C223" s="46" t="s">
        <v>204</v>
      </c>
      <c r="D223" s="47" t="s">
        <v>410</v>
      </c>
      <c r="E223" s="48" t="s">
        <v>411</v>
      </c>
      <c r="F223" s="49" t="s">
        <v>401</v>
      </c>
      <c r="G223" s="50"/>
      <c r="H223" s="100"/>
      <c r="I223" s="100"/>
      <c r="J223" s="100"/>
      <c r="K223" s="52"/>
      <c r="L223" s="101"/>
      <c r="M223" s="102"/>
    </row>
    <row r="224" spans="2:19" x14ac:dyDescent="0.25">
      <c r="B224" s="55"/>
      <c r="C224" s="65" t="s">
        <v>136</v>
      </c>
      <c r="D224" s="66">
        <v>1</v>
      </c>
      <c r="E224" s="67"/>
      <c r="F224" s="68"/>
      <c r="G224" s="77" t="s">
        <v>776</v>
      </c>
      <c r="H224" s="4"/>
      <c r="I224" s="4"/>
      <c r="J224" s="4"/>
      <c r="K224" s="78" t="s">
        <v>777</v>
      </c>
      <c r="L224" s="118" t="s">
        <v>778</v>
      </c>
      <c r="M224" s="124" t="str">
        <f>CONCATENATE(O224,P224,Q224,R224)</f>
        <v>請確認 厚度與開挖深度比例 規定</v>
      </c>
      <c r="O224" s="6" t="s">
        <v>632</v>
      </c>
      <c r="P224" s="6" t="str">
        <f>G224</f>
        <v>厚度</v>
      </c>
      <c r="Q224" s="6" t="str">
        <f>K224</f>
        <v>與開挖深度比例</v>
      </c>
      <c r="R224" s="6" t="s">
        <v>568</v>
      </c>
    </row>
    <row r="225" spans="2:20" x14ac:dyDescent="0.25">
      <c r="B225" s="55"/>
      <c r="C225" s="65" t="s">
        <v>139</v>
      </c>
      <c r="D225" s="66"/>
      <c r="E225" s="67"/>
      <c r="F225" s="68"/>
      <c r="G225" s="77"/>
      <c r="H225" s="4"/>
      <c r="I225" s="4"/>
      <c r="J225" s="4"/>
      <c r="K225" s="78"/>
      <c r="L225" s="118"/>
      <c r="M225" s="119"/>
    </row>
    <row r="226" spans="2:20" x14ac:dyDescent="0.25">
      <c r="B226" s="55"/>
      <c r="C226" s="65" t="s">
        <v>140</v>
      </c>
      <c r="D226" s="66">
        <v>1</v>
      </c>
      <c r="E226" s="67"/>
      <c r="F226" s="68"/>
      <c r="G226" s="77" t="s">
        <v>752</v>
      </c>
      <c r="H226" s="4" t="s">
        <v>734</v>
      </c>
      <c r="I226" s="4"/>
      <c r="J226" s="4"/>
      <c r="K226" s="78" t="s">
        <v>589</v>
      </c>
      <c r="L226" s="105" t="s">
        <v>779</v>
      </c>
      <c r="M226" s="124" t="str">
        <f>CONCATENATE(O226,P226,Q226,R226,S226,T226)</f>
        <v>請確認是否符合 外側垂直筋鋼筋量下限 規定</v>
      </c>
      <c r="O226" s="6" t="s">
        <v>450</v>
      </c>
      <c r="P226" s="6" t="str">
        <f>H226</f>
        <v>外側</v>
      </c>
      <c r="Q226" s="6" t="str">
        <f>G226</f>
        <v>垂直筋</v>
      </c>
      <c r="R226" s="6" t="s">
        <v>753</v>
      </c>
      <c r="S226" s="6" t="s">
        <v>540</v>
      </c>
      <c r="T226" s="6" t="s">
        <v>456</v>
      </c>
    </row>
    <row r="227" spans="2:20" x14ac:dyDescent="0.25">
      <c r="B227" s="55"/>
      <c r="C227" s="65" t="s">
        <v>141</v>
      </c>
      <c r="D227" s="66"/>
      <c r="E227" s="67">
        <v>1</v>
      </c>
      <c r="F227" s="68">
        <v>1</v>
      </c>
      <c r="G227" s="77" t="s">
        <v>752</v>
      </c>
      <c r="H227" s="4" t="s">
        <v>746</v>
      </c>
      <c r="I227" s="4"/>
      <c r="J227" s="4"/>
      <c r="K227" s="78" t="s">
        <v>592</v>
      </c>
      <c r="L227" s="105" t="s">
        <v>780</v>
      </c>
      <c r="M227" s="124" t="str">
        <f>CONCATENATE(O227,P227,Q227,R227,S227,T227)</f>
        <v>請確認是否符合 外側垂直筋鋼筋量上限 規定</v>
      </c>
      <c r="O227" s="6" t="s">
        <v>450</v>
      </c>
      <c r="P227" s="6" t="str">
        <f>H227</f>
        <v>外側</v>
      </c>
      <c r="Q227" s="6" t="str">
        <f>G227</f>
        <v>垂直筋</v>
      </c>
      <c r="R227" s="6" t="s">
        <v>753</v>
      </c>
      <c r="S227" s="6" t="s">
        <v>537</v>
      </c>
      <c r="T227" s="6" t="s">
        <v>547</v>
      </c>
    </row>
    <row r="228" spans="2:20" x14ac:dyDescent="0.25">
      <c r="B228" s="55"/>
      <c r="C228" s="65" t="s">
        <v>142</v>
      </c>
      <c r="D228" s="66"/>
      <c r="E228" s="67">
        <v>1</v>
      </c>
      <c r="F228" s="68"/>
      <c r="G228" s="77" t="s">
        <v>765</v>
      </c>
      <c r="H228" s="4" t="s">
        <v>734</v>
      </c>
      <c r="I228" s="4"/>
      <c r="J228" s="4"/>
      <c r="K228" s="78" t="s">
        <v>692</v>
      </c>
      <c r="L228" s="118" t="s">
        <v>754</v>
      </c>
      <c r="M228" s="124" t="str">
        <f>CONCATENATE(O228,P228,Q228,R228)</f>
        <v>請確認 外側垂直筋是否有斷筋</v>
      </c>
      <c r="O228" s="6" t="s">
        <v>654</v>
      </c>
      <c r="P228" s="6" t="str">
        <f>H228</f>
        <v>外側</v>
      </c>
      <c r="Q228" s="6" t="str">
        <f>G228</f>
        <v>垂直筋</v>
      </c>
      <c r="R228" s="6" t="s">
        <v>716</v>
      </c>
    </row>
    <row r="229" spans="2:20" x14ac:dyDescent="0.25">
      <c r="B229" s="55"/>
      <c r="C229" s="65" t="s">
        <v>143</v>
      </c>
      <c r="D229" s="66"/>
      <c r="E229" s="67"/>
      <c r="F229" s="68"/>
      <c r="G229" s="77"/>
      <c r="H229" s="4"/>
      <c r="I229" s="4"/>
      <c r="J229" s="4"/>
      <c r="K229" s="78"/>
      <c r="L229" s="118"/>
      <c r="M229" s="119"/>
    </row>
    <row r="230" spans="2:20" x14ac:dyDescent="0.25">
      <c r="B230" s="55"/>
      <c r="C230" s="65" t="s">
        <v>144</v>
      </c>
      <c r="D230" s="66">
        <v>1</v>
      </c>
      <c r="E230" s="67"/>
      <c r="F230" s="68"/>
      <c r="G230" s="77" t="s">
        <v>765</v>
      </c>
      <c r="H230" s="103" t="s">
        <v>740</v>
      </c>
      <c r="I230" s="4"/>
      <c r="J230" s="4"/>
      <c r="K230" s="78" t="s">
        <v>486</v>
      </c>
      <c r="L230" s="105" t="s">
        <v>743</v>
      </c>
      <c r="M230" s="124" t="str">
        <f>CONCATENATE(O230,P230,Q230,R230,S230,T230)</f>
        <v>請確認是否符合 內側垂直筋鋼筋量下限 規定</v>
      </c>
      <c r="O230" s="6" t="s">
        <v>536</v>
      </c>
      <c r="P230" s="6" t="str">
        <f>H230</f>
        <v>內側</v>
      </c>
      <c r="Q230" s="6" t="str">
        <f>G230</f>
        <v>垂直筋</v>
      </c>
      <c r="R230" s="6" t="s">
        <v>750</v>
      </c>
      <c r="S230" s="6" t="s">
        <v>405</v>
      </c>
      <c r="T230" s="6" t="s">
        <v>764</v>
      </c>
    </row>
    <row r="231" spans="2:20" x14ac:dyDescent="0.25">
      <c r="B231" s="55"/>
      <c r="C231" s="65" t="s">
        <v>145</v>
      </c>
      <c r="D231" s="66"/>
      <c r="E231" s="67">
        <v>1</v>
      </c>
      <c r="F231" s="68">
        <v>1</v>
      </c>
      <c r="G231" s="77" t="s">
        <v>781</v>
      </c>
      <c r="H231" s="103" t="s">
        <v>782</v>
      </c>
      <c r="I231" s="4"/>
      <c r="J231" s="4"/>
      <c r="K231" s="78" t="s">
        <v>783</v>
      </c>
      <c r="L231" s="105" t="s">
        <v>737</v>
      </c>
      <c r="M231" s="124" t="str">
        <f>CONCATENATE(O231,P231,Q231,R231,S231,T231)</f>
        <v>請確認是否符合 內側垂直筋鋼筋量上限 規定</v>
      </c>
      <c r="O231" s="6" t="s">
        <v>450</v>
      </c>
      <c r="P231" s="6" t="str">
        <f>H231</f>
        <v>內側</v>
      </c>
      <c r="Q231" s="6" t="str">
        <f>G231</f>
        <v>垂直筋</v>
      </c>
      <c r="R231" s="6" t="s">
        <v>750</v>
      </c>
      <c r="S231" s="6" t="s">
        <v>572</v>
      </c>
      <c r="T231" s="6" t="s">
        <v>447</v>
      </c>
    </row>
    <row r="232" spans="2:20" x14ac:dyDescent="0.25">
      <c r="B232" s="55"/>
      <c r="C232" s="65" t="s">
        <v>150</v>
      </c>
      <c r="D232" s="66"/>
      <c r="E232" s="67">
        <v>1</v>
      </c>
      <c r="F232" s="68"/>
      <c r="G232" s="77" t="s">
        <v>784</v>
      </c>
      <c r="H232" s="103" t="s">
        <v>756</v>
      </c>
      <c r="I232" s="4"/>
      <c r="J232" s="4"/>
      <c r="K232" s="78" t="s">
        <v>702</v>
      </c>
      <c r="L232" s="118" t="s">
        <v>757</v>
      </c>
      <c r="M232" s="124" t="str">
        <f>CONCATENATE(O232,P232,Q232,R232)</f>
        <v>請確認 內側垂直筋是否有斷筋</v>
      </c>
      <c r="O232" s="6" t="s">
        <v>649</v>
      </c>
      <c r="P232" s="6" t="str">
        <f>H232</f>
        <v>內側</v>
      </c>
      <c r="Q232" s="6" t="str">
        <f>G232</f>
        <v>垂直筋</v>
      </c>
      <c r="R232" s="6" t="s">
        <v>716</v>
      </c>
    </row>
    <row r="233" spans="2:20" x14ac:dyDescent="0.25">
      <c r="B233" s="55"/>
      <c r="C233" s="65" t="s">
        <v>151</v>
      </c>
      <c r="D233" s="66"/>
      <c r="E233" s="67"/>
      <c r="F233" s="68"/>
      <c r="G233" s="77"/>
      <c r="H233" s="4"/>
      <c r="I233" s="4"/>
      <c r="J233" s="4"/>
      <c r="K233" s="78"/>
      <c r="L233" s="118"/>
      <c r="M233" s="119"/>
    </row>
    <row r="234" spans="2:20" ht="21" customHeight="1" x14ac:dyDescent="0.25">
      <c r="B234" s="55"/>
      <c r="C234" s="65" t="s">
        <v>152</v>
      </c>
      <c r="D234" s="66"/>
      <c r="E234" s="67"/>
      <c r="F234" s="68">
        <v>1</v>
      </c>
      <c r="G234" s="77" t="s">
        <v>785</v>
      </c>
      <c r="H234" s="4"/>
      <c r="I234" s="4"/>
      <c r="J234" s="4"/>
      <c r="K234" s="78" t="s">
        <v>786</v>
      </c>
      <c r="L234" s="118"/>
      <c r="M234" s="124" t="str">
        <f>CONCATENATE(O234,P234,Q234)</f>
        <v>請確認 水平剪力筋間距是否垂直筋間距相符</v>
      </c>
      <c r="O234" s="6" t="s">
        <v>632</v>
      </c>
      <c r="P234" s="6" t="str">
        <f>G234</f>
        <v>水平剪力筋</v>
      </c>
      <c r="Q234" s="6" t="str">
        <f>K234</f>
        <v>間距是否垂直筋間距相符</v>
      </c>
    </row>
    <row r="235" spans="2:20" x14ac:dyDescent="0.25">
      <c r="B235" s="55"/>
      <c r="C235" s="65" t="s">
        <v>153</v>
      </c>
      <c r="D235" s="66"/>
      <c r="E235" s="67">
        <v>1</v>
      </c>
      <c r="F235" s="68"/>
      <c r="G235" s="77" t="s">
        <v>785</v>
      </c>
      <c r="H235" s="4"/>
      <c r="I235" s="4"/>
      <c r="J235" s="4"/>
      <c r="K235" s="78" t="s">
        <v>787</v>
      </c>
      <c r="L235" s="118" t="s">
        <v>788</v>
      </c>
      <c r="M235" s="124" t="str">
        <f>CONCATENATE(O235,P235,Q235)</f>
        <v>請確認 水平剪力筋是否有斷筋</v>
      </c>
      <c r="O235" s="6" t="s">
        <v>632</v>
      </c>
      <c r="P235" s="6" t="str">
        <f>G235</f>
        <v>水平剪力筋</v>
      </c>
      <c r="Q235" s="6" t="s">
        <v>716</v>
      </c>
    </row>
    <row r="236" spans="2:20" x14ac:dyDescent="0.25">
      <c r="B236" s="55"/>
      <c r="C236" s="65" t="s">
        <v>154</v>
      </c>
      <c r="D236" s="66"/>
      <c r="E236" s="67"/>
      <c r="F236" s="68">
        <v>1</v>
      </c>
      <c r="G236" s="77" t="s">
        <v>789</v>
      </c>
      <c r="H236" s="4"/>
      <c r="I236" s="4"/>
      <c r="J236" s="4"/>
      <c r="K236" s="78" t="s">
        <v>786</v>
      </c>
      <c r="L236" s="118"/>
      <c r="M236" s="124" t="str">
        <f>CONCATENATE(O236,P236,Q236)</f>
        <v>請確認 垂直剪力筋間距是否垂直筋間距相符</v>
      </c>
      <c r="O236" s="6" t="s">
        <v>649</v>
      </c>
      <c r="P236" s="6" t="str">
        <f>G236</f>
        <v>垂直剪力筋</v>
      </c>
      <c r="Q236" s="6" t="str">
        <f>K236</f>
        <v>間距是否垂直筋間距相符</v>
      </c>
    </row>
    <row r="237" spans="2:20" x14ac:dyDescent="0.25">
      <c r="B237" s="55"/>
      <c r="C237" s="65" t="s">
        <v>155</v>
      </c>
      <c r="D237" s="66"/>
      <c r="E237" s="67">
        <v>1</v>
      </c>
      <c r="F237" s="68"/>
      <c r="G237" s="77" t="s">
        <v>790</v>
      </c>
      <c r="H237" s="4"/>
      <c r="I237" s="4"/>
      <c r="J237" s="4"/>
      <c r="K237" s="78" t="s">
        <v>689</v>
      </c>
      <c r="L237" s="118" t="s">
        <v>757</v>
      </c>
      <c r="M237" s="124" t="str">
        <f>CONCATENATE(O237,P237,Q237)</f>
        <v>請確認 垂直剪力筋是否有斷筋</v>
      </c>
      <c r="O237" s="6" t="s">
        <v>755</v>
      </c>
      <c r="P237" s="6" t="str">
        <f>G237</f>
        <v>垂直剪力筋</v>
      </c>
      <c r="Q237" s="6" t="s">
        <v>716</v>
      </c>
    </row>
    <row r="238" spans="2:20" ht="19.5" thickBot="1" x14ac:dyDescent="0.3">
      <c r="B238" s="81"/>
      <c r="C238" s="91"/>
      <c r="D238" s="83"/>
      <c r="E238" s="84"/>
      <c r="F238" s="85"/>
      <c r="G238" s="86"/>
      <c r="H238" s="82"/>
      <c r="I238" s="82"/>
      <c r="J238" s="82"/>
      <c r="K238" s="88"/>
      <c r="L238" s="127"/>
      <c r="M238" s="128"/>
    </row>
    <row r="239" spans="2:20" x14ac:dyDescent="0.25">
      <c r="B239" s="35" t="s">
        <v>6</v>
      </c>
      <c r="C239" s="36" t="s">
        <v>4</v>
      </c>
      <c r="D239" s="37" t="s">
        <v>791</v>
      </c>
      <c r="E239" s="38" t="s">
        <v>414</v>
      </c>
      <c r="F239" s="39" t="s">
        <v>416</v>
      </c>
      <c r="G239" s="40" t="s">
        <v>75</v>
      </c>
      <c r="H239" s="36" t="s">
        <v>5</v>
      </c>
      <c r="I239" s="36" t="s">
        <v>5</v>
      </c>
      <c r="J239" s="36" t="s">
        <v>5</v>
      </c>
      <c r="K239" s="42" t="s">
        <v>3</v>
      </c>
      <c r="L239" s="43" t="s">
        <v>7</v>
      </c>
      <c r="M239" s="99" t="s">
        <v>209</v>
      </c>
    </row>
    <row r="240" spans="2:20" ht="19.5" thickBot="1" x14ac:dyDescent="0.3">
      <c r="B240" s="45" t="s">
        <v>792</v>
      </c>
      <c r="C240" s="46" t="s">
        <v>156</v>
      </c>
      <c r="D240" s="47" t="s">
        <v>417</v>
      </c>
      <c r="E240" s="48" t="s">
        <v>339</v>
      </c>
      <c r="F240" s="49" t="s">
        <v>793</v>
      </c>
      <c r="G240" s="50"/>
      <c r="H240" s="100"/>
      <c r="I240" s="100"/>
      <c r="J240" s="100"/>
      <c r="K240" s="52"/>
      <c r="L240" s="53"/>
      <c r="M240" s="102"/>
    </row>
    <row r="241" spans="2:17" x14ac:dyDescent="0.25">
      <c r="B241" s="129"/>
      <c r="C241" s="130" t="s">
        <v>157</v>
      </c>
      <c r="D241" s="131">
        <v>1</v>
      </c>
      <c r="E241" s="132">
        <v>1</v>
      </c>
      <c r="F241" s="133"/>
      <c r="G241" s="134" t="s">
        <v>794</v>
      </c>
      <c r="H241" s="135"/>
      <c r="I241" s="135"/>
      <c r="J241" s="135"/>
      <c r="K241" s="136" t="s">
        <v>795</v>
      </c>
      <c r="L241" s="118" t="s">
        <v>796</v>
      </c>
      <c r="M241" s="138" t="s">
        <v>797</v>
      </c>
    </row>
    <row r="242" spans="2:17" x14ac:dyDescent="0.25">
      <c r="B242" s="55"/>
      <c r="C242" s="65" t="s">
        <v>158</v>
      </c>
      <c r="D242" s="66"/>
      <c r="E242" s="67"/>
      <c r="F242" s="68"/>
      <c r="G242" s="77"/>
      <c r="H242" s="4"/>
      <c r="I242" s="4"/>
      <c r="J242" s="4"/>
      <c r="K242" s="78"/>
      <c r="L242" s="118"/>
      <c r="M242" s="119"/>
    </row>
    <row r="243" spans="2:17" x14ac:dyDescent="0.25">
      <c r="B243" s="55"/>
      <c r="C243" s="65" t="s">
        <v>159</v>
      </c>
      <c r="D243" s="66"/>
      <c r="E243" s="67"/>
      <c r="F243" s="68">
        <v>1</v>
      </c>
      <c r="G243" s="77" t="s">
        <v>798</v>
      </c>
      <c r="H243" s="4"/>
      <c r="I243" s="4"/>
      <c r="J243" s="4"/>
      <c r="K243" s="78" t="s">
        <v>786</v>
      </c>
      <c r="L243" s="118"/>
      <c r="M243" s="124" t="str">
        <f>CONCATENATE(O243,P243,Q243)</f>
        <v>請確認 水平剪力筋間距是否垂直筋間距相符</v>
      </c>
      <c r="O243" s="6" t="s">
        <v>632</v>
      </c>
      <c r="P243" s="6" t="str">
        <f>G243</f>
        <v>水平剪力筋</v>
      </c>
      <c r="Q243" s="6" t="str">
        <f>K243</f>
        <v>間距是否垂直筋間距相符</v>
      </c>
    </row>
    <row r="244" spans="2:17" x14ac:dyDescent="0.25">
      <c r="B244" s="55"/>
      <c r="C244" s="65" t="s">
        <v>160</v>
      </c>
      <c r="D244" s="66"/>
      <c r="E244" s="67">
        <v>1</v>
      </c>
      <c r="F244" s="68"/>
      <c r="G244" s="77" t="s">
        <v>799</v>
      </c>
      <c r="H244" s="4"/>
      <c r="I244" s="4"/>
      <c r="J244" s="4"/>
      <c r="K244" s="78" t="s">
        <v>689</v>
      </c>
      <c r="L244" s="118" t="s">
        <v>757</v>
      </c>
      <c r="M244" s="124" t="str">
        <f>CONCATENATE(O244,P244,Q244)</f>
        <v>請確認 水平剪力筋是否有斷筋</v>
      </c>
      <c r="O244" s="6" t="s">
        <v>654</v>
      </c>
      <c r="P244" s="6" t="str">
        <f>G244</f>
        <v>水平剪力筋</v>
      </c>
      <c r="Q244" s="6" t="s">
        <v>716</v>
      </c>
    </row>
    <row r="245" spans="2:17" ht="21" customHeight="1" x14ac:dyDescent="0.25">
      <c r="B245" s="55"/>
      <c r="C245" s="65" t="s">
        <v>161</v>
      </c>
      <c r="D245" s="66"/>
      <c r="E245" s="67"/>
      <c r="F245" s="68">
        <v>1</v>
      </c>
      <c r="G245" s="77" t="s">
        <v>800</v>
      </c>
      <c r="H245" s="4"/>
      <c r="I245" s="4"/>
      <c r="J245" s="4"/>
      <c r="K245" s="78" t="s">
        <v>801</v>
      </c>
      <c r="L245" s="118"/>
      <c r="M245" s="124" t="str">
        <f>CONCATENATE(O245,P245,Q245)</f>
        <v>請確認 垂直剪力筋間距是否垂直筋間距相符</v>
      </c>
      <c r="O245" s="6" t="s">
        <v>649</v>
      </c>
      <c r="P245" s="6" t="str">
        <f>G245</f>
        <v>垂直剪力筋</v>
      </c>
      <c r="Q245" s="6" t="str">
        <f>K245</f>
        <v>間距是否垂直筋間距相符</v>
      </c>
    </row>
    <row r="246" spans="2:17" x14ac:dyDescent="0.25">
      <c r="B246" s="55"/>
      <c r="C246" s="65" t="s">
        <v>162</v>
      </c>
      <c r="D246" s="66"/>
      <c r="E246" s="67">
        <v>1</v>
      </c>
      <c r="F246" s="68"/>
      <c r="G246" s="77" t="s">
        <v>790</v>
      </c>
      <c r="H246" s="4"/>
      <c r="I246" s="4"/>
      <c r="J246" s="4"/>
      <c r="K246" s="78" t="s">
        <v>802</v>
      </c>
      <c r="L246" s="118" t="s">
        <v>788</v>
      </c>
      <c r="M246" s="124" t="str">
        <f>CONCATENATE(O246,P246,Q246)</f>
        <v>請確認 垂直剪力筋是否有斷筋</v>
      </c>
      <c r="O246" s="6" t="s">
        <v>632</v>
      </c>
      <c r="P246" s="6" t="str">
        <f>G246</f>
        <v>垂直剪力筋</v>
      </c>
      <c r="Q246" s="6" t="s">
        <v>716</v>
      </c>
    </row>
    <row r="247" spans="2:17" x14ac:dyDescent="0.25">
      <c r="B247" s="55"/>
      <c r="C247" s="65" t="s">
        <v>163</v>
      </c>
      <c r="D247" s="66"/>
      <c r="E247" s="67"/>
      <c r="F247" s="68"/>
      <c r="G247" s="77"/>
      <c r="H247" s="4"/>
      <c r="I247" s="4"/>
      <c r="J247" s="4"/>
      <c r="K247" s="78"/>
      <c r="L247" s="118"/>
      <c r="M247" s="119"/>
    </row>
    <row r="248" spans="2:17" x14ac:dyDescent="0.25">
      <c r="B248" s="55"/>
      <c r="C248" s="65" t="s">
        <v>164</v>
      </c>
      <c r="D248" s="66"/>
      <c r="E248" s="67"/>
      <c r="F248" s="68"/>
      <c r="G248" s="77"/>
      <c r="H248" s="4"/>
      <c r="I248" s="4"/>
      <c r="J248" s="4"/>
      <c r="K248" s="78"/>
      <c r="L248" s="118"/>
      <c r="M248" s="119"/>
    </row>
    <row r="249" spans="2:17" ht="15.6" customHeight="1" thickBot="1" x14ac:dyDescent="0.3">
      <c r="B249" s="81"/>
      <c r="C249" s="82"/>
      <c r="D249" s="83"/>
      <c r="E249" s="84"/>
      <c r="F249" s="85"/>
      <c r="G249" s="86"/>
      <c r="H249" s="82"/>
      <c r="I249" s="82"/>
      <c r="J249" s="82"/>
      <c r="K249" s="88"/>
      <c r="L249" s="127"/>
      <c r="M249" s="128"/>
    </row>
    <row r="250" spans="2:17" x14ac:dyDescent="0.25">
      <c r="B250" s="35" t="s">
        <v>6</v>
      </c>
      <c r="C250" s="36" t="s">
        <v>4</v>
      </c>
      <c r="D250" s="37" t="s">
        <v>416</v>
      </c>
      <c r="E250" s="38" t="s">
        <v>416</v>
      </c>
      <c r="F250" s="39" t="s">
        <v>803</v>
      </c>
      <c r="G250" s="40" t="s">
        <v>75</v>
      </c>
      <c r="H250" s="36" t="s">
        <v>5</v>
      </c>
      <c r="I250" s="36" t="s">
        <v>5</v>
      </c>
      <c r="J250" s="36" t="s">
        <v>5</v>
      </c>
      <c r="K250" s="42" t="s">
        <v>3</v>
      </c>
      <c r="L250" s="43" t="s">
        <v>7</v>
      </c>
      <c r="M250" s="99" t="s">
        <v>209</v>
      </c>
    </row>
    <row r="251" spans="2:17" ht="19.5" thickBot="1" x14ac:dyDescent="0.3">
      <c r="B251" s="45" t="s">
        <v>418</v>
      </c>
      <c r="C251" s="46" t="s">
        <v>171</v>
      </c>
      <c r="D251" s="47" t="s">
        <v>410</v>
      </c>
      <c r="E251" s="48" t="s">
        <v>804</v>
      </c>
      <c r="F251" s="49" t="s">
        <v>805</v>
      </c>
      <c r="G251" s="50"/>
      <c r="H251" s="100"/>
      <c r="I251" s="100"/>
      <c r="J251" s="100"/>
      <c r="K251" s="52"/>
      <c r="L251" s="53"/>
      <c r="M251" s="102"/>
    </row>
    <row r="252" spans="2:17" x14ac:dyDescent="0.25">
      <c r="B252" s="129"/>
      <c r="C252" s="130" t="s">
        <v>165</v>
      </c>
      <c r="D252" s="131"/>
      <c r="E252" s="132"/>
      <c r="F252" s="133"/>
      <c r="G252" s="134"/>
      <c r="H252" s="135"/>
      <c r="I252" s="135"/>
      <c r="J252" s="135"/>
      <c r="K252" s="136"/>
      <c r="L252" s="137"/>
      <c r="M252" s="138"/>
    </row>
    <row r="253" spans="2:17" x14ac:dyDescent="0.25">
      <c r="B253" s="55"/>
      <c r="C253" s="65" t="s">
        <v>166</v>
      </c>
      <c r="D253" s="66"/>
      <c r="E253" s="67">
        <v>1</v>
      </c>
      <c r="F253" s="68"/>
      <c r="G253" s="77" t="s">
        <v>765</v>
      </c>
      <c r="H253" s="4"/>
      <c r="I253" s="4"/>
      <c r="J253" s="4"/>
      <c r="K253" s="78" t="s">
        <v>692</v>
      </c>
      <c r="L253" s="118"/>
      <c r="M253" s="124" t="str">
        <f>CONCATENATE(O253,P253,Q253)</f>
        <v>請確認 垂直筋是否有斷筋</v>
      </c>
      <c r="O253" s="6" t="s">
        <v>755</v>
      </c>
      <c r="P253" s="6" t="str">
        <f>G253</f>
        <v>垂直筋</v>
      </c>
      <c r="Q253" s="6" t="s">
        <v>716</v>
      </c>
    </row>
    <row r="254" spans="2:17" x14ac:dyDescent="0.25">
      <c r="B254" s="55"/>
      <c r="C254" s="65" t="s">
        <v>167</v>
      </c>
      <c r="D254" s="66"/>
      <c r="E254" s="67"/>
      <c r="F254" s="68"/>
      <c r="G254" s="77"/>
      <c r="H254" s="4"/>
      <c r="I254" s="4"/>
      <c r="J254" s="4"/>
      <c r="K254" s="78"/>
      <c r="L254" s="118"/>
      <c r="M254" s="119"/>
    </row>
    <row r="255" spans="2:17" x14ac:dyDescent="0.25">
      <c r="B255" s="55"/>
      <c r="C255" s="65" t="s">
        <v>168</v>
      </c>
      <c r="D255" s="66"/>
      <c r="E255" s="67">
        <v>1</v>
      </c>
      <c r="F255" s="68"/>
      <c r="G255" s="77" t="s">
        <v>806</v>
      </c>
      <c r="H255" s="4"/>
      <c r="I255" s="4"/>
      <c r="J255" s="4"/>
      <c r="K255" s="78" t="s">
        <v>692</v>
      </c>
      <c r="L255" s="118"/>
      <c r="M255" s="124"/>
    </row>
    <row r="256" spans="2:17" x14ac:dyDescent="0.25">
      <c r="B256" s="55"/>
      <c r="C256" s="65" t="s">
        <v>169</v>
      </c>
      <c r="D256" s="66"/>
      <c r="E256" s="67"/>
      <c r="F256" s="68"/>
      <c r="G256" s="77"/>
      <c r="H256" s="4"/>
      <c r="I256" s="4"/>
      <c r="J256" s="4"/>
      <c r="K256" s="78"/>
      <c r="L256" s="118"/>
      <c r="M256" s="119"/>
    </row>
    <row r="257" spans="2:13" x14ac:dyDescent="0.25">
      <c r="B257" s="55"/>
      <c r="C257" s="65" t="s">
        <v>170</v>
      </c>
      <c r="D257" s="66"/>
      <c r="E257" s="67"/>
      <c r="F257" s="68"/>
      <c r="G257" s="77"/>
      <c r="H257" s="4"/>
      <c r="I257" s="4"/>
      <c r="J257" s="4"/>
      <c r="K257" s="78"/>
      <c r="L257" s="118"/>
      <c r="M257" s="119"/>
    </row>
    <row r="258" spans="2:13" x14ac:dyDescent="0.25">
      <c r="B258" s="55"/>
      <c r="C258" s="4"/>
      <c r="D258" s="66"/>
      <c r="E258" s="67"/>
      <c r="F258" s="68"/>
      <c r="G258" s="77"/>
      <c r="H258" s="4"/>
      <c r="I258" s="4"/>
      <c r="J258" s="4"/>
      <c r="K258" s="78"/>
      <c r="L258" s="118"/>
      <c r="M258" s="119"/>
    </row>
    <row r="259" spans="2:13" x14ac:dyDescent="0.25">
      <c r="B259" s="55"/>
      <c r="C259" s="4"/>
      <c r="D259" s="66"/>
      <c r="E259" s="67"/>
      <c r="F259" s="68"/>
      <c r="G259" s="77"/>
      <c r="H259" s="4"/>
      <c r="I259" s="4"/>
      <c r="J259" s="4"/>
      <c r="K259" s="78"/>
      <c r="L259" s="118"/>
      <c r="M259" s="119"/>
    </row>
    <row r="260" spans="2:13" x14ac:dyDescent="0.25">
      <c r="B260" s="55"/>
      <c r="C260" s="4"/>
      <c r="D260" s="66"/>
      <c r="E260" s="67"/>
      <c r="F260" s="68"/>
      <c r="G260" s="77"/>
      <c r="H260" s="4"/>
      <c r="I260" s="4"/>
      <c r="J260" s="4"/>
      <c r="K260" s="78"/>
      <c r="L260" s="118"/>
      <c r="M260" s="119"/>
    </row>
    <row r="261" spans="2:13" x14ac:dyDescent="0.25">
      <c r="B261" s="55"/>
      <c r="C261" s="4"/>
      <c r="D261" s="66"/>
      <c r="E261" s="67"/>
      <c r="F261" s="68"/>
      <c r="G261" s="77"/>
      <c r="H261" s="4"/>
      <c r="I261" s="4"/>
      <c r="J261" s="4"/>
      <c r="K261" s="78"/>
      <c r="L261" s="118"/>
      <c r="M261" s="119"/>
    </row>
  </sheetData>
  <phoneticPr fontId="1" type="noConversion"/>
  <pageMargins left="0.35" right="0.36" top="0.62" bottom="0.48" header="0.31496062992125984" footer="0.31496062992125984"/>
  <pageSetup paperSize="9" scale="70" orientation="landscape" r:id="rId1"/>
  <headerFooter>
    <oddFooter>第 &amp;P 頁，共 &amp;N 頁</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16</vt:i4>
      </vt:variant>
    </vt:vector>
  </HeadingPairs>
  <TitlesOfParts>
    <vt:vector size="16" baseType="lpstr">
      <vt:lpstr>General Information</vt:lpstr>
      <vt:lpstr>工作表124</vt:lpstr>
      <vt:lpstr>工作表123</vt:lpstr>
      <vt:lpstr>工作表122</vt:lpstr>
      <vt:lpstr>工作表121</vt:lpstr>
      <vt:lpstr>柱</vt:lpstr>
      <vt:lpstr>大梁</vt:lpstr>
      <vt:lpstr>小梁</vt:lpstr>
      <vt:lpstr>地梁</vt:lpstr>
      <vt:lpstr>Rule</vt:lpstr>
      <vt:lpstr>Release Notes</vt:lpstr>
      <vt:lpstr>Error</vt:lpstr>
      <vt:lpstr>柱鋼筋比</vt:lpstr>
      <vt:lpstr>鋼筋號數比</vt:lpstr>
      <vt:lpstr>Rebar Size</vt:lpstr>
      <vt:lpstr>Rule - old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bohao6</cp:lastModifiedBy>
  <cp:lastPrinted>2018-12-10T05:42:40Z</cp:lastPrinted>
  <dcterms:created xsi:type="dcterms:W3CDTF">2017-05-14T12:57:37Z</dcterms:created>
  <dcterms:modified xsi:type="dcterms:W3CDTF">2018-12-10T10:14:18Z</dcterms:modified>
</cp:coreProperties>
</file>