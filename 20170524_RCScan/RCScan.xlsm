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55E772B6-49E6-4448-9DE1-36A4D0EDF127}" xr6:coauthVersionLast="40" xr6:coauthVersionMax="40" xr10:uidLastSave="{00000000-0000-0000-0000-000000000000}"/>
  <bookViews>
    <workbookView xWindow="360" yWindow="135" windowWidth="18840" windowHeight="11190" activeTab="10" xr2:uid="{00000000-000D-0000-FFFF-FFFF00000000}"/>
  </bookViews>
  <sheets>
    <sheet name="General Information" sheetId="6" r:id="rId1"/>
    <sheet name="工作表15" sheetId="229" r:id="rId2"/>
    <sheet name="工作表14" sheetId="228" r:id="rId3"/>
    <sheet name="工作表13" sheetId="227" r:id="rId4"/>
    <sheet name="工作表12" sheetId="226" r:id="rId5"/>
    <sheet name="工作表11" sheetId="225" r:id="rId6"/>
    <sheet name="工作表10" sheetId="224" r:id="rId7"/>
    <sheet name="工作表9" sheetId="223" r:id="rId8"/>
    <sheet name="工作表8" sheetId="222" r:id="rId9"/>
    <sheet name="工作表7" sheetId="221" r:id="rId10"/>
    <sheet name="柱" sheetId="9" r:id="rId11"/>
    <sheet name="大梁" sheetId="16" r:id="rId12"/>
    <sheet name="小梁" sheetId="8" r:id="rId13"/>
    <sheet name="地梁" sheetId="11" r:id="rId14"/>
    <sheet name="Rule" sheetId="1" r:id="rId15"/>
    <sheet name="Release Notes" sheetId="19" r:id="rId16"/>
    <sheet name="Error" sheetId="27" r:id="rId17"/>
    <sheet name="柱鋼筋比" sheetId="13" r:id="rId18"/>
    <sheet name="鋼筋號數比" sheetId="14" r:id="rId19"/>
    <sheet name="Rebar Size" sheetId="10" r:id="rId20"/>
    <sheet name="Rule - old" sheetId="15" r:id="rId21"/>
  </sheets>
  <calcPr calcId="191029"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6" i="9" l="1"/>
  <c r="Q15" i="9"/>
  <c r="Q14" i="9"/>
  <c r="Q13" i="9"/>
  <c r="Q12" i="9"/>
  <c r="Q11" i="9"/>
  <c r="Q10" i="9"/>
  <c r="Q9" i="9"/>
  <c r="Q8" i="9"/>
  <c r="Q7" i="9"/>
  <c r="Q6" i="9"/>
  <c r="Q5" i="9"/>
  <c r="P1" i="9" s="1"/>
  <c r="Q4" i="9"/>
  <c r="Q3" i="9"/>
  <c r="S90" i="8" l="1"/>
  <c r="S89" i="8"/>
  <c r="S88" i="8"/>
  <c r="S87" i="8"/>
  <c r="S30" i="8"/>
  <c r="S29" i="8"/>
  <c r="S28" i="8"/>
  <c r="S27" i="8"/>
  <c r="S26" i="8"/>
  <c r="S25" i="8"/>
  <c r="S24" i="8"/>
  <c r="S23" i="8"/>
  <c r="S22" i="8"/>
  <c r="S21" i="8"/>
  <c r="S20" i="8"/>
  <c r="S19" i="8"/>
  <c r="S18" i="8"/>
  <c r="S17" i="8"/>
  <c r="S16" i="8"/>
  <c r="S15" i="8"/>
  <c r="S14" i="8"/>
  <c r="S13" i="8"/>
  <c r="S12" i="8"/>
  <c r="S11" i="8"/>
  <c r="S10" i="8"/>
  <c r="S9" i="8"/>
  <c r="S8" i="8"/>
  <c r="S7" i="8"/>
  <c r="S6" i="8"/>
  <c r="S5" i="8"/>
  <c r="S4" i="8"/>
  <c r="S3" i="8"/>
  <c r="R1" i="8" l="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S28" i="11"/>
  <c r="S27" i="11"/>
  <c r="S26" i="11"/>
  <c r="S25" i="11"/>
  <c r="S24" i="11"/>
  <c r="S23" i="11"/>
  <c r="S22" i="11"/>
  <c r="S21" i="11"/>
  <c r="S20" i="11"/>
  <c r="S19" i="11"/>
  <c r="S18" i="11"/>
  <c r="S17" i="11"/>
  <c r="S16" i="11"/>
  <c r="S15" i="11"/>
  <c r="S14" i="11"/>
  <c r="S13" i="11"/>
  <c r="S12" i="11"/>
  <c r="S11" i="11"/>
  <c r="S10" i="11"/>
  <c r="S9" i="11"/>
  <c r="S8" i="11"/>
  <c r="S7" i="11"/>
  <c r="S6" i="11"/>
  <c r="S5" i="11"/>
  <c r="S4" i="11"/>
  <c r="S3" i="11"/>
  <c r="R1" i="11" s="1"/>
  <c r="S90" i="16"/>
  <c r="S89" i="16"/>
  <c r="S88" i="16"/>
  <c r="S87" i="16"/>
  <c r="S86" i="16"/>
  <c r="S85" i="16"/>
  <c r="S84" i="16"/>
  <c r="S83" i="16"/>
  <c r="S82" i="16"/>
  <c r="S81" i="16"/>
  <c r="S80" i="16"/>
  <c r="S79" i="16"/>
  <c r="S78" i="16"/>
  <c r="S77" i="16"/>
  <c r="S76" i="16"/>
  <c r="S75" i="16"/>
  <c r="S74" i="16"/>
  <c r="S73" i="16"/>
  <c r="S72" i="16"/>
  <c r="S71" i="16"/>
  <c r="S70" i="16"/>
  <c r="S69" i="16"/>
  <c r="S68" i="16"/>
  <c r="S67" i="16"/>
  <c r="S66" i="16"/>
  <c r="S65" i="16"/>
  <c r="S64" i="16"/>
  <c r="S63" i="16"/>
  <c r="S62" i="16"/>
  <c r="S61" i="16"/>
  <c r="S60" i="16"/>
  <c r="S59" i="16"/>
  <c r="S58" i="16"/>
  <c r="S57" i="16"/>
  <c r="S56" i="16"/>
  <c r="S55" i="16"/>
  <c r="S54"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3" i="16"/>
  <c r="P253" i="15"/>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 r="R1"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<sst xmlns="http://schemas.openxmlformats.org/spreadsheetml/2006/main" count="5356" uniqueCount="1199">
  <si>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</si>
  <si>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</si>
  <si>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</si>
  <si>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</si>
  <si>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</si>
  <si>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</si>
  <si>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</si>
  <si>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</si>
  <si>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</si>
  <si>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</si>
  <si>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</si>
  <si>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</si>
  <si>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</si>
  <si>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</si>
  <si>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</si>
  <si>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</si>
  <si>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</si>
  <si>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</si>
  <si>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</si>
  <si>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</si>
  <si>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</si>
  <si>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</si>
  <si>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</si>
  <si>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</si>
  <si>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</si>
  <si>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</si>
  <si>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</si>
  <si>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</si>
  <si>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</si>
  <si>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</si>
  <si>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</si>
  <si>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</si>
  <si>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</si>
  <si>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</si>
  <si>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</si>
  <si>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</si>
  <si>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</si>
  <si>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</si>
  <si>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</si>
  <si>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</si>
  <si>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</si>
  <si>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</si>
  <si>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</si>
  <si>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</si>
  <si>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</si>
  <si>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</si>
  <si>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</si>
  <si>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</si>
  <si>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</si>
  <si>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</si>
  <si>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</si>
  <si>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</si>
  <si>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</si>
  <si>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</si>
  <si>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</si>
  <si>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</si>
  <si>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</si>
  <si>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</si>
  <si>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</si>
  <si>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</si>
  <si>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</si>
  <si>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</si>
  <si>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</si>
  <si>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</si>
  <si>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</si>
  <si>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</si>
  <si>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</si>
  <si>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</si>
  <si>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</si>
  <si>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</si>
  <si>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</si>
  <si>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</si>
  <si>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</si>
  <si>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</si>
  <si>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</si>
  <si>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</si>
  <si>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</si>
  <si>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</si>
  <si>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</si>
  <si>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</si>
  <si>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</si>
  <si>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</si>
  <si>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</si>
  <si>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</si>
  <si>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</si>
  <si>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</si>
  <si>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</si>
  <si>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</si>
  <si>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</si>
  <si>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</si>
  <si>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</si>
  <si>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</si>
  <si>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</si>
  <si>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</si>
  <si>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</si>
  <si>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</si>
  <si>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</si>
  <si>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</si>
  <si>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</si>
  <si>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</si>
  <si>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</si>
  <si>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</si>
  <si>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</si>
  <si>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</si>
  <si>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</si>
  <si>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</si>
  <si>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</si>
  <si>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</si>
  <si>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</si>
  <si>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</si>
  <si>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</si>
  <si>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</si>
  <si>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</si>
  <si>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</si>
  <si>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</si>
  <si>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</si>
  <si>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</si>
  <si>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</si>
  <si>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</si>
  <si>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</si>
  <si>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</si>
  <si>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</si>
  <si>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</si>
  <si>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</si>
  <si>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</si>
  <si>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</si>
  <si>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</si>
  <si>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</si>
  <si>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</si>
  <si>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</si>
  <si>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</si>
  <si>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</si>
  <si>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</si>
  <si>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</si>
  <si>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</si>
  <si>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</si>
  <si>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</si>
  <si>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</si>
  <si>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</si>
  <si>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</si>
  <si>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</si>
  <si>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</si>
  <si>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</si>
  <si>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</si>
  <si>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</si>
  <si>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</si>
  <si>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</si>
  <si>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</si>
  <si>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</si>
  <si>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</si>
  <si>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</si>
  <si>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</si>
  <si>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</si>
  <si>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</si>
  <si>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</si>
  <si>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</si>
  <si>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</si>
  <si>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</si>
  <si>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</si>
  <si>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</si>
  <si>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</si>
  <si>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</si>
  <si>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</si>
  <si>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</si>
  <si>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</si>
  <si>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</si>
  <si>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</si>
  <si>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</si>
  <si>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</si>
  <si>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</si>
  <si>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</si>
  <si>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</si>
  <si>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</si>
  <si>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</si>
  <si>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</si>
  <si>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</si>
  <si>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</si>
  <si>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</si>
  <si>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</si>
  <si>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</si>
  <si>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</si>
  <si>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</si>
  <si>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</si>
  <si>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</si>
  <si>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</si>
  <si>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</si>
  <si>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</si>
  <si>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</si>
  <si>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</si>
  <si>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</si>
  <si>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</si>
  <si>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</si>
  <si>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</si>
  <si>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</si>
  <si>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</si>
  <si>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</si>
  <si>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</si>
  <si>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</si>
  <si>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</si>
  <si>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</si>
  <si>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</si>
  <si>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</si>
  <si>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</si>
  <si>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</si>
  <si>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</si>
  <si>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</si>
  <si>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</si>
  <si>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</si>
  <si>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</si>
  <si>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</si>
  <si>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</si>
  <si>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</si>
  <si>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</si>
  <si>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</si>
  <si>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</si>
  <si>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</si>
  <si>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</si>
  <si>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</si>
  <si>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</si>
  <si>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</si>
  <si>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</si>
  <si>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</si>
  <si>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</si>
  <si>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</si>
  <si>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</si>
  <si>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</si>
  <si>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</si>
  <si>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</si>
  <si>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</si>
  <si>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</si>
  <si>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</si>
  <si>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</si>
  <si>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</si>
  <si>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</si>
  <si>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</si>
  <si>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</si>
  <si>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</si>
  <si>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</si>
  <si>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</si>
  <si>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</si>
  <si>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</si>
  <si>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</si>
  <si>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</si>
  <si>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</si>
  <si>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</si>
  <si>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</si>
  <si>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</si>
  <si>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</si>
  <si>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</si>
  <si>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</si>
  <si>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</si>
  <si>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</si>
  <si>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</si>
  <si>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</si>
  <si>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</si>
  <si>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</si>
  <si>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</si>
  <si>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</si>
  <si>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</si>
  <si>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</si>
  <si>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</si>
  <si>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</si>
  <si>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</si>
  <si>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</si>
  <si>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</si>
  <si>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</si>
  <si>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</si>
  <si>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</si>
  <si>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</si>
  <si>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</si>
  <si>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</si>
  <si>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</si>
  <si>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</si>
  <si>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</si>
  <si>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</si>
  <si>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</si>
  <si>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</si>
  <si>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</si>
  <si>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</si>
  <si>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</si>
  <si>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</si>
  <si>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</si>
  <si>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</si>
  <si>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</si>
  <si>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</si>
  <si>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</si>
  <si>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</si>
  <si>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</si>
  <si>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</si>
  <si>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</si>
  <si>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</si>
  <si>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</si>
  <si>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</si>
  <si>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</si>
  <si>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</si>
  <si>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</si>
  <si>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</si>
  <si>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</si>
  <si>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</si>
  <si>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</si>
  <si>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</si>
  <si>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</si>
  <si>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</si>
  <si>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</si>
  <si>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</si>
  <si>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</si>
  <si>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</si>
  <si>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</si>
  <si>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</si>
  <si>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</si>
  <si>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</si>
  <si>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</si>
  <si>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</si>
  <si>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</si>
  <si>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</si>
  <si>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</si>
  <si>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</si>
  <si>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</si>
  <si>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</si>
  <si>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</si>
  <si>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</si>
  <si>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</si>
  <si>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</si>
  <si>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</si>
  <si>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</si>
  <si>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</si>
  <si>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</si>
  <si>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</si>
  <si>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</si>
  <si>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</si>
  <si>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</si>
  <si>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</si>
  <si>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</si>
  <si>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</si>
  <si>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</si>
  <si>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</si>
  <si>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</si>
  <si>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</si>
  <si>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</si>
  <si>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</si>
  <si>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</si>
  <si>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</si>
  <si>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</si>
  <si>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</si>
  <si>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</si>
  <si>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</si>
  <si>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</si>
  <si>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</si>
  <si>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</si>
  <si>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</si>
  <si>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</si>
  <si>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</si>
  <si>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</si>
  <si>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</si>
  <si>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</si>
  <si>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</si>
  <si>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</si>
  <si>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</si>
  <si>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</si>
  <si>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</si>
  <si>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</si>
  <si>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</si>
  <si>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</si>
  <si>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</si>
  <si>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</si>
  <si>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</si>
  <si>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</si>
  <si>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</si>
  <si>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</si>
  <si>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</si>
  <si>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</si>
  <si>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</si>
  <si>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</si>
  <si>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</si>
  <si>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</si>
  <si>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</si>
  <si>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</si>
  <si>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</si>
  <si>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</si>
  <si>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</si>
  <si>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</si>
  <si>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</si>
  <si>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</si>
  <si>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</si>
  <si>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</si>
  <si>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</si>
  <si>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</si>
  <si>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</si>
  <si>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</si>
  <si>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</si>
  <si>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</si>
  <si>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</si>
  <si>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</si>
  <si>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</si>
  <si>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</si>
  <si>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</si>
  <si>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</si>
  <si>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</si>
  <si>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</si>
  <si>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</si>
  <si>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</si>
  <si>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</si>
  <si>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</si>
  <si>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</si>
  <si>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</si>
  <si>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</si>
  <si>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</si>
  <si>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</si>
  <si>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</si>
  <si>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</si>
  <si>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</si>
  <si>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</si>
  <si>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</si>
  <si>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</si>
  <si>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</si>
  <si>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</si>
  <si>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</si>
  <si>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</si>
  <si>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</si>
  <si>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</si>
  <si>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</si>
  <si>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</si>
  <si>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</si>
  <si>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</si>
  <si>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</si>
  <si>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</si>
  <si>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</si>
  <si>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</si>
  <si>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</si>
  <si>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</si>
  <si>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</si>
  <si>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</si>
  <si>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</si>
  <si>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</si>
  <si>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</si>
  <si>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</si>
  <si>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</si>
  <si>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</si>
  <si>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</si>
  <si>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</si>
  <si>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</si>
  <si>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</si>
  <si>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</si>
  <si>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</si>
  <si>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</si>
  <si>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</si>
  <si>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</si>
  <si>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</si>
  <si>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</si>
  <si>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</si>
  <si>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</si>
  <si>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</si>
  <si>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</si>
  <si>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</si>
  <si>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</si>
  <si>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</si>
  <si>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</si>
  <si>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</si>
  <si>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</si>
  <si>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</si>
  <si>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</si>
  <si>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</si>
  <si>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</si>
  <si>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</si>
  <si>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</si>
  <si>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</si>
  <si>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</si>
  <si>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</si>
  <si>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</si>
  <si>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</si>
  <si>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</si>
  <si>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</si>
  <si>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</si>
  <si>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</si>
  <si>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</si>
  <si>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</si>
  <si>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</si>
  <si>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</si>
  <si>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</si>
  <si>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</si>
  <si>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</si>
  <si>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</si>
  <si>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</si>
  <si>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</si>
  <si>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</si>
  <si>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</si>
  <si>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</si>
  <si>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</si>
  <si>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</si>
  <si>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</si>
  <si>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</si>
  <si>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</si>
  <si>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</si>
  <si>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</si>
  <si>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</si>
  <si>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</si>
  <si>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</si>
  <si>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</si>
  <si>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</si>
  <si>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</si>
  <si>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</si>
  <si>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</si>
  <si>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</si>
  <si>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</si>
  <si>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</si>
  <si>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</si>
  <si>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</si>
  <si>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</si>
  <si>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</si>
  <si>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</si>
  <si>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</si>
  <si>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</si>
  <si>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</si>
  <si>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</si>
  <si>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</si>
  <si>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</si>
  <si>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</si>
  <si>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</si>
  <si>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</si>
  <si>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</si>
  <si>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</si>
  <si>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</si>
  <si>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</si>
  <si>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</si>
  <si>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</si>
  <si>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</si>
  <si>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</si>
  <si>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</si>
  <si>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</si>
  <si>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</si>
  <si>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</si>
  <si>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</si>
  <si>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</si>
  <si>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</si>
  <si>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</si>
  <si>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</si>
  <si>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</si>
  <si>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</si>
  <si>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</si>
  <si>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</si>
  <si>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</si>
  <si>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</si>
  <si>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</si>
  <si>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</si>
  <si>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</si>
  <si>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</si>
  <si>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</si>
  <si>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</si>
  <si>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</si>
  <si>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</si>
  <si>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</si>
  <si>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</si>
  <si>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</si>
  <si>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</si>
  <si>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</si>
  <si>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</si>
  <si>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</si>
  <si>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</si>
  <si>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</si>
  <si>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</si>
  <si>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</si>
  <si>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</si>
  <si>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</si>
  <si>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</si>
  <si>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</si>
  <si>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</si>
  <si>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</si>
  <si>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</si>
  <si>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</si>
  <si>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</si>
  <si>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</si>
  <si>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</si>
  <si>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</si>
  <si>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</si>
  <si>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</si>
  <si>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</si>
  <si>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</si>
  <si>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</si>
  <si>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</si>
  <si>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</si>
  <si>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</si>
  <si>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</si>
  <si>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</si>
  <si>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</si>
  <si>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</si>
  <si>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</si>
  <si>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</si>
  <si>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</si>
  <si>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</si>
  <si>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</si>
  <si>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</si>
  <si>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</si>
  <si>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</si>
  <si>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</si>
  <si>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</si>
  <si>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</si>
  <si>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</si>
  <si>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</si>
  <si>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</si>
  <si>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</si>
  <si>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</si>
  <si>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</si>
  <si>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</si>
  <si>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</si>
  <si>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</si>
  <si>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</si>
  <si>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</si>
  <si>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</si>
  <si>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</si>
  <si>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</si>
  <si>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</si>
  <si>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</si>
  <si>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</si>
  <si>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</si>
  <si>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</si>
  <si>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</si>
  <si>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</si>
  <si>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</si>
  <si>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</si>
  <si>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</si>
  <si>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</si>
  <si>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</si>
  <si>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</si>
  <si>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</si>
  <si>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</si>
  <si>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</si>
  <si>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</si>
  <si>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</si>
  <si>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</si>
  <si>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</si>
  <si>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</si>
  <si>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</si>
  <si>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</si>
  <si>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</si>
  <si>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</si>
  <si>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</si>
  <si>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</si>
  <si>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</si>
  <si>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</si>
  <si>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</si>
  <si>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</si>
  <si>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</si>
  <si>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</si>
  <si>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</si>
  <si>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</si>
  <si>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</si>
  <si>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</si>
  <si>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</si>
  <si>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</si>
  <si>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</si>
  <si>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</si>
  <si>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</si>
  <si>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</si>
  <si>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</si>
  <si>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</si>
  <si>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</si>
  <si>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</si>
  <si>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</si>
  <si>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</si>
  <si>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</si>
  <si>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</si>
  <si>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</si>
  <si>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</si>
  <si>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</si>
  <si>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</si>
  <si>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</si>
  <si>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</si>
  <si>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</si>
  <si>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</si>
  <si>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</si>
  <si>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</si>
  <si>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</si>
  <si>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</si>
  <si>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</si>
  <si>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</si>
  <si>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</si>
  <si>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</si>
  <si>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</si>
  <si>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</si>
  <si>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</si>
  <si>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</si>
  <si>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</si>
  <si>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</si>
  <si>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</si>
  <si>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</si>
  <si>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</si>
  <si>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</si>
  <si>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</si>
  <si>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</si>
  <si>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</si>
  <si>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</si>
  <si>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</si>
  <si>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</si>
  <si>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</si>
  <si>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</si>
  <si>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</si>
  <si>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</si>
  <si>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</si>
  <si>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</si>
  <si>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</si>
  <si>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</si>
  <si>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</si>
  <si>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</si>
  <si>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</si>
  <si>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</si>
  <si>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</si>
  <si>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</si>
  <si>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</si>
  <si>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</si>
  <si>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</si>
  <si>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</si>
  <si>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</si>
  <si>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</si>
  <si>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</si>
  <si>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</si>
  <si>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</si>
  <si>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</si>
  <si>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</si>
  <si>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</si>
  <si>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</si>
  <si>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</si>
  <si>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</si>
  <si>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</si>
  <si>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</si>
  <si>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</si>
  <si>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</si>
  <si>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</si>
  <si>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</si>
  <si>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</si>
  <si>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</si>
  <si>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</si>
  <si>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</si>
  <si>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</si>
  <si>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</si>
  <si>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</si>
  <si>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</si>
  <si>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</si>
  <si>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</si>
  <si>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</si>
  <si>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</si>
  <si>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</si>
  <si>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</si>
  <si>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</si>
  <si>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</si>
  <si>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</si>
  <si>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</si>
  <si>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</si>
  <si>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</si>
  <si>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</si>
  <si>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</si>
  <si>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</si>
  <si>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</si>
  <si>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</si>
  <si>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</si>
  <si>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</si>
  <si>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</si>
  <si>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</si>
  <si>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</si>
  <si>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</si>
  <si>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</si>
  <si>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</si>
  <si>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</si>
  <si>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</si>
  <si>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</si>
  <si>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</si>
  <si>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</si>
  <si>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</si>
  <si>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</si>
  <si>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</si>
  <si>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</si>
  <si>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</si>
  <si>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</si>
  <si>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</si>
  <si>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</si>
  <si>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</si>
  <si>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</si>
  <si>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</si>
  <si>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</si>
  <si>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</si>
  <si>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</si>
  <si>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</si>
  <si>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</si>
  <si>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</si>
  <si>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</si>
  <si>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</si>
  <si>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</si>
  <si>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</si>
  <si>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</si>
  <si>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</si>
  <si>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</si>
  <si>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</si>
  <si>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</si>
  <si>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</si>
  <si>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</si>
  <si>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</si>
  <si>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</si>
  <si>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</si>
  <si>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</si>
  <si>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</si>
  <si>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</si>
  <si>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</si>
  <si>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</si>
  <si>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</si>
  <si>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</si>
  <si>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</si>
  <si>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</si>
  <si>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</si>
  <si>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</si>
  <si>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</si>
  <si>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</si>
  <si>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</si>
  <si>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</si>
  <si>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</si>
  <si>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</si>
  <si>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</si>
  <si>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</si>
  <si>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</si>
  <si>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</si>
  <si>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</si>
  <si>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</si>
  <si>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</si>
  <si>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</si>
  <si>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</si>
  <si>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</si>
  <si>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</si>
  <si>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</si>
  <si>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</si>
  <si>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</si>
  <si>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</si>
  <si>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</si>
  <si>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</si>
  <si>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</si>
  <si>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</si>
  <si>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</si>
  <si>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</si>
  <si>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</si>
  <si>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</si>
  <si>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</si>
  <si>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</si>
  <si>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</si>
  <si>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</si>
  <si>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</si>
  <si>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</si>
  <si>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</si>
  <si>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</si>
  <si>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</si>
  <si>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</si>
  <si>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</si>
  <si>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</si>
  <si>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</si>
  <si>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</si>
  <si>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</si>
  <si>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</si>
  <si>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</si>
  <si>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</si>
  <si>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</si>
  <si>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</si>
  <si>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</si>
  <si>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</si>
  <si>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</si>
  <si>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</si>
  <si>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</si>
  <si>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</si>
  <si>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</si>
  <si>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</si>
  <si>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</si>
  <si>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</si>
  <si>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</si>
  <si>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</si>
  <si>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</si>
  <si>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</si>
  <si>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</si>
  <si>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</si>
  <si>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</si>
  <si>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</si>
  <si>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</si>
  <si>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</si>
  <si>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</si>
  <si>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</si>
  <si>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</si>
  <si>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</si>
  <si>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</si>
  <si>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</si>
  <si>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</si>
  <si>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</si>
  <si>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</si>
  <si>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</si>
  <si>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</si>
  <si>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</si>
  <si>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</si>
  <si>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</si>
  <si>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</si>
  <si>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</si>
  <si>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</si>
  <si>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</si>
  <si>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</si>
  <si>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</si>
  <si>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</si>
  <si>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</si>
  <si>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</si>
  <si>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</si>
  <si>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</si>
  <si>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</si>
  <si>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</si>
  <si>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</si>
  <si>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</si>
  <si>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</si>
  <si>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</si>
  <si>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</si>
  <si>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</si>
  <si>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</si>
  <si>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</si>
  <si>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</si>
  <si>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</si>
  <si>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</si>
  <si>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</si>
  <si>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</si>
  <si>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</si>
  <si>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</si>
  <si>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</si>
  <si>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</si>
  <si>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</si>
  <si>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</si>
  <si>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</si>
  <si>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</si>
  <si>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</si>
  <si>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</si>
  <si>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</si>
  <si>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</si>
  <si>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</si>
  <si>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</si>
  <si>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</si>
  <si>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</si>
  <si>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</si>
  <si>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</si>
  <si>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</si>
  <si>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</si>
  <si>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</si>
  <si>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</si>
  <si>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</si>
  <si>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</si>
  <si>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</si>
  <si>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</si>
  <si>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</si>
  <si>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</si>
  <si>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</si>
  <si>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</si>
  <si>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</si>
  <si>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</si>
  <si>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</si>
  <si>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</si>
  <si>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</si>
  <si>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</si>
  <si>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</si>
  <si>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</si>
  <si>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</si>
  <si>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</si>
  <si>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</si>
  <si>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</si>
  <si>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</si>
  <si>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</si>
  <si>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</si>
  <si>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</si>
  <si>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</si>
  <si>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</si>
  <si>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</si>
  <si>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</si>
  <si>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</si>
  <si>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</si>
  <si>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</si>
  <si>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</si>
  <si>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</si>
  <si>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</si>
  <si>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</si>
  <si>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</si>
  <si>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</si>
  <si>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</si>
  <si>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</si>
  <si>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</si>
  <si>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</si>
  <si>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</si>
  <si>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</si>
  <si>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</si>
  <si>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</si>
  <si>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</si>
  <si>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</si>
  <si>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</si>
  <si>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</si>
  <si>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</si>
  <si>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</si>
  <si>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</si>
  <si>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</si>
  <si>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</si>
  <si>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</si>
  <si>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</si>
  <si>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</si>
  <si>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</si>
  <si>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</si>
  <si>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</si>
  <si>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</si>
  <si>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</si>
  <si>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</si>
  <si>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</si>
  <si>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</si>
  <si>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</si>
  <si>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</si>
  <si>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</si>
  <si>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</si>
  <si>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</si>
  <si>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</si>
  <si>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</si>
  <si>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</si>
  <si>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</si>
  <si>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</si>
  <si>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</si>
  <si>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</si>
  <si>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</si>
  <si>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</si>
  <si>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</si>
  <si>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</si>
  <si>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</si>
  <si>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</si>
  <si>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</si>
  <si>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</si>
  <si>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</si>
  <si>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</si>
  <si>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</si>
  <si>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</si>
  <si>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</si>
  <si>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</si>
  <si>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</si>
  <si>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</si>
  <si>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</si>
  <si>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</si>
  <si>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</si>
  <si>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</si>
  <si>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</si>
  <si>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</si>
  <si>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</si>
  <si>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</si>
  <si>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</si>
  <si>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</si>
  <si>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</si>
  <si>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</si>
  <si>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</si>
  <si>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</si>
  <si>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</si>
  <si>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</si>
  <si>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</si>
  <si>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</si>
  <si>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</si>
  <si>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</si>
  <si>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</si>
  <si>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</si>
  <si>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</si>
  <si>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</si>
  <si>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</si>
  <si>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</si>
  <si>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</si>
  <si>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</si>
  <si>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</si>
  <si>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</si>
  <si>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</si>
  <si>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</si>
  <si>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</si>
  <si>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</si>
  <si>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</si>
  <si>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</si>
  <si>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</si>
  <si>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</si>
  <si>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</si>
  <si>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</si>
  <si>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</si>
  <si>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</si>
  <si>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</si>
  <si>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</si>
  <si>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</si>
  <si>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</si>
  <si>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</si>
  <si>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</si>
  <si>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</si>
  <si>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</si>
  <si>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</si>
  <si>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</si>
  <si>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</si>
  <si>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</si>
  <si>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</si>
  <si>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</si>
  <si>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</si>
  <si>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</si>
  <si>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</si>
  <si>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</si>
  <si>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</si>
  <si>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</si>
  <si>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</si>
  <si>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</si>
  <si>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</si>
  <si>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</si>
  <si>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</si>
  <si>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</si>
  <si>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</si>
  <si>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</si>
  <si>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</si>
  <si>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</si>
  <si>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</si>
  <si>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</si>
  <si>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</si>
  <si>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</si>
  <si>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</si>
  <si>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</si>
  <si>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</si>
  <si>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</si>
  <si>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</si>
  <si>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</si>
  <si>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</si>
  <si>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</si>
  <si>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</si>
  <si>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</si>
  <si>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</si>
  <si>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</si>
  <si>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</si>
  <si>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</si>
  <si>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</si>
  <si>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</si>
  <si>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</si>
  <si>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</si>
  <si>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</si>
  <si>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</si>
  <si>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</si>
  <si>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</si>
  <si>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</si>
  <si>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</si>
  <si>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</si>
  <si>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</si>
  <si>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</si>
  <si>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</si>
  <si>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</si>
  <si>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</si>
  <si>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</si>
  <si>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</si>
  <si>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</si>
  <si>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</si>
  <si>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</si>
  <si>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</si>
  <si>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</si>
  <si>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</si>
  <si>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</si>
  <si>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</si>
  <si>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</si>
  <si>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</si>
  <si>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</si>
  <si>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</si>
  <si>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</si>
  <si>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</si>
  <si>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</si>
  <si>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</si>
  <si>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</si>
  <si>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</si>
  <si>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</si>
  <si>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</si>
  <si>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</si>
  <si>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</si>
  <si>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</si>
  <si>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</si>
  <si>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</si>
  <si>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</si>
  <si>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</si>
  <si>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</si>
  <si>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</si>
  <si>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</si>
  <si>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</si>
  <si>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</si>
  <si>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</si>
  <si>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</si>
  <si>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</si>
  <si>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</si>
  <si>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</si>
  <si>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</si>
  <si>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</si>
  <si>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</si>
  <si>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</si>
  <si>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</si>
  <si>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</si>
  <si>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</si>
  <si>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</si>
  <si>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</si>
  <si>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</si>
  <si>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</si>
  <si>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</si>
  <si>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</si>
  <si>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</si>
  <si>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</si>
  <si>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</si>
  <si>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</si>
  <si>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</si>
  <si>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</si>
  <si>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t>34-#8</t>
  </si>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</sst>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2"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
      <sz val="12"/>
      <color rgb="FF9C5700"/>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9" fillId="0" borderId="0" xfId="0" applyFont="1" applyBorder="1" applyAlignment="1">
      <alignment horizontal="left" vertical="center"/>
    </xf>
    <xf numFmtId="0" fontId="26" fillId="0" borderId="0" xfId="6" applyFont="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31" fillId="12" borderId="14" xfId="2"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7" fillId="14" borderId="0" xfId="4" applyFont="1" applyAlignment="1">
      <alignment horizontal="left" vertical="center" wrapText="1"/>
    </xf>
    <xf numFmtId="0" fontId="11" fillId="0" borderId="0" xfId="0" applyFont="1" applyAlignment="1">
      <alignment horizontal="left" vertical="center"/>
    </xf>
    <xf numFmtId="0" fontId="17" fillId="14" borderId="0" xfId="4" applyFont="1" applyAlignment="1">
      <alignment horizontal="left"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10" fontId="11" fillId="0" borderId="0" xfId="0" applyNumberFormat="1" applyFont="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left" vertical="center"/>
    </xf>
    <xf numFmtId="0" fontId="17" fillId="14" borderId="0" xfId="4" applyFont="1" applyAlignment="1">
      <alignment horizontal="left" vertical="center" wrapText="1"/>
    </xf>
    <xf numFmtId="0" fontId="17" fillId="14" borderId="0" xfId="4" applyFont="1" applyAlignment="1">
      <alignment horizontal="left" vertical="center"/>
    </xf>
    <xf numFmtId="0" fontId="17" fillId="14" borderId="0" xfId="4" applyFont="1" applyAlignment="1">
      <alignment horizontal="center" vertical="center" wrapText="1"/>
    </xf>
    <xf numFmtId="0" fontId="11" fillId="0" borderId="0" xfId="0" applyFont="1" applyAlignment="1">
      <alignment horizontal="center" vertical="center"/>
    </xf>
    <xf numFmtId="0" fontId="17" fillId="14" borderId="0" xfId="4" applyFont="1" applyAlignment="1">
      <alignment horizontal="center" vertical="center"/>
    </xf>
    <xf numFmtId="0" fontId="26" fillId="0" borderId="0" xfId="6" applyFont="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備註" xfId="1" builtinId="10"/>
    <cellStyle name="壞" xfId="4" builtinId="27"/>
    <cellStyle name="好" xfId="3" builtinId="26"/>
    <cellStyle name="百分比" xfId="5" builtinId="5"/>
    <cellStyle name="超連結" xfId="6"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3.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topLeftCell="C1" workbookViewId="0">
      <selection activeCell="G11" sqref="G11:H11"/>
    </sheetView>
  </sheetViews>
  <sheetFormatPr defaultColWidth="9" defaultRowHeight="15.75" x14ac:dyDescent="0.25"/>
  <cols>
    <col min="1" max="1" width="10.25" style="14" bestFit="1" customWidth="1"/>
    <col min="2" max="2" width="12.875" style="14" bestFit="1" customWidth="1"/>
    <col min="3" max="3" width="11.375" style="14" customWidth="1"/>
    <col min="4" max="4" width="16.375" style="10" customWidth="1"/>
    <col min="5" max="12" width="16.375" style="11" customWidth="1"/>
    <col min="13" max="13" width="16.375" style="12" customWidth="1"/>
    <col min="14" max="14" width="9" style="14"/>
    <col min="15" max="15" width="10.5" style="14" bestFit="1" customWidth="1"/>
    <col min="16" max="16" width="76.75" style="14" bestFit="1" customWidth="1"/>
    <col min="17" max="16384" width="9" style="14"/>
  </cols>
  <sheetData>
    <row r="1" spans="1:18" ht="18.75" thickBot="1" x14ac:dyDescent="0.3">
      <c r="A1" s="14" t="s">
        <v>222</v>
      </c>
      <c r="B1" s="15">
        <f ca="1">NOW()</f>
        <v>43445.518902083335</v>
      </c>
      <c r="C1" s="15"/>
      <c r="D1" s="7" t="s">
        <v>832</v>
      </c>
      <c r="E1" s="8" t="s">
        <v>1134</v>
      </c>
      <c r="F1" s="8" t="s">
        <v>1135</v>
      </c>
      <c r="G1" s="8" t="s">
        <v>1136</v>
      </c>
      <c r="H1" s="171" t="s">
        <v>1137</v>
      </c>
      <c r="I1" s="8" t="s">
        <v>1138</v>
      </c>
      <c r="J1" s="8" t="s">
        <v>1139</v>
      </c>
      <c r="K1" s="8" t="s">
        <v>1140</v>
      </c>
      <c r="L1" s="8" t="s">
        <v>1141</v>
      </c>
      <c r="M1" s="9" t="s">
        <v>1142</v>
      </c>
      <c r="O1" s="181" t="s">
        <v>393</v>
      </c>
      <c r="P1" s="182"/>
    </row>
    <row r="2" spans="1:18" ht="16.5" thickTop="1" x14ac:dyDescent="0.25">
      <c r="A2" s="14" t="s">
        <v>223</v>
      </c>
      <c r="D2" s="157" t="s">
        <v>288</v>
      </c>
      <c r="E2" s="158">
        <v>4200</v>
      </c>
      <c r="F2" s="158">
        <v>4200</v>
      </c>
      <c r="G2" s="158">
        <v>245</v>
      </c>
      <c r="H2" s="158">
        <v>245</v>
      </c>
      <c r="I2" s="158">
        <v>0.3</v>
      </c>
      <c r="J2" s="158">
        <v>0.3</v>
      </c>
      <c r="K2" s="158">
        <v>6</v>
      </c>
      <c r="L2" s="158">
        <v>0.15</v>
      </c>
      <c r="M2" s="159">
        <v>4</v>
      </c>
      <c r="O2" s="16">
        <v>1</v>
      </c>
      <c r="P2" s="20" t="s">
        <v>394</v>
      </c>
    </row>
    <row r="3" spans="1:18" x14ac:dyDescent="0.25">
      <c r="A3" s="14" t="s">
        <v>224</v>
      </c>
      <c r="D3" s="157" t="s">
        <v>862</v>
      </c>
      <c r="E3" s="158">
        <v>4200</v>
      </c>
      <c r="F3" s="158">
        <v>4200</v>
      </c>
      <c r="G3" s="158">
        <v>245</v>
      </c>
      <c r="H3" s="158">
        <v>245</v>
      </c>
      <c r="I3" s="158">
        <v>0.3</v>
      </c>
      <c r="J3" s="158">
        <v>0.3</v>
      </c>
      <c r="K3" s="158">
        <v>6</v>
      </c>
      <c r="L3" s="158">
        <v>0.15</v>
      </c>
      <c r="M3" s="159">
        <v>4</v>
      </c>
      <c r="O3" s="16">
        <v>2</v>
      </c>
      <c r="P3" s="20" t="s">
        <v>974</v>
      </c>
    </row>
    <row r="4" spans="1:18" x14ac:dyDescent="0.25">
      <c r="D4" s="157" t="s">
        <v>861</v>
      </c>
      <c r="E4" s="158">
        <v>4200</v>
      </c>
      <c r="F4" s="158">
        <v>4200</v>
      </c>
      <c r="G4" s="158">
        <v>245</v>
      </c>
      <c r="H4" s="158">
        <v>245</v>
      </c>
      <c r="I4" s="158">
        <v>0.3</v>
      </c>
      <c r="J4" s="158">
        <v>0.3</v>
      </c>
      <c r="K4" s="158">
        <v>6</v>
      </c>
      <c r="L4" s="158">
        <v>0.15</v>
      </c>
      <c r="M4" s="159">
        <v>4</v>
      </c>
      <c r="N4" s="16"/>
      <c r="O4" s="16">
        <v>3</v>
      </c>
      <c r="P4" s="20" t="s">
        <v>955</v>
      </c>
    </row>
    <row r="5" spans="1:18" x14ac:dyDescent="0.25">
      <c r="D5" s="157" t="s">
        <v>860</v>
      </c>
      <c r="E5" s="158">
        <v>4200</v>
      </c>
      <c r="F5" s="158">
        <v>4200</v>
      </c>
      <c r="G5" s="158">
        <v>280</v>
      </c>
      <c r="H5" s="158">
        <v>245</v>
      </c>
      <c r="I5" s="158">
        <v>0.3</v>
      </c>
      <c r="J5" s="158">
        <v>0.3</v>
      </c>
      <c r="K5" s="158">
        <v>6</v>
      </c>
      <c r="L5" s="158">
        <v>0.15</v>
      </c>
      <c r="M5" s="159">
        <v>4</v>
      </c>
      <c r="O5" s="16">
        <v>4</v>
      </c>
      <c r="P5" s="20" t="s">
        <v>961</v>
      </c>
      <c r="Q5" s="17"/>
      <c r="R5" s="17"/>
    </row>
    <row r="6" spans="1:18" x14ac:dyDescent="0.25">
      <c r="D6" s="157" t="s">
        <v>821</v>
      </c>
      <c r="E6" s="158">
        <v>4200</v>
      </c>
      <c r="F6" s="158">
        <v>4200</v>
      </c>
      <c r="G6" s="158">
        <v>245</v>
      </c>
      <c r="H6" s="158">
        <v>245</v>
      </c>
      <c r="I6" s="158">
        <v>0.15</v>
      </c>
      <c r="J6" s="158">
        <v>0.3</v>
      </c>
      <c r="K6" s="158">
        <v>6</v>
      </c>
      <c r="L6" s="158">
        <v>0.15</v>
      </c>
      <c r="M6" s="159">
        <v>4</v>
      </c>
      <c r="O6" s="19">
        <v>5</v>
      </c>
      <c r="P6" s="21" t="s">
        <v>395</v>
      </c>
    </row>
    <row r="7" spans="1:18" x14ac:dyDescent="0.25">
      <c r="D7" s="157" t="s">
        <v>822</v>
      </c>
      <c r="E7" s="158">
        <v>4200</v>
      </c>
      <c r="F7" s="158">
        <v>4200</v>
      </c>
      <c r="G7" s="158">
        <v>280</v>
      </c>
      <c r="H7" s="158">
        <v>280</v>
      </c>
      <c r="I7" s="158">
        <v>0.15</v>
      </c>
      <c r="J7" s="158">
        <v>0.3</v>
      </c>
      <c r="K7" s="158">
        <v>6</v>
      </c>
      <c r="L7" s="158">
        <v>0.15</v>
      </c>
      <c r="M7" s="159">
        <v>4</v>
      </c>
      <c r="O7" s="17"/>
      <c r="P7" s="18"/>
    </row>
    <row r="8" spans="1:18" ht="16.5" thickBot="1" x14ac:dyDescent="0.3">
      <c r="D8" s="157" t="s">
        <v>823</v>
      </c>
      <c r="E8" s="158">
        <v>4200</v>
      </c>
      <c r="F8" s="158">
        <v>4200</v>
      </c>
      <c r="G8" s="158">
        <v>280</v>
      </c>
      <c r="H8" s="158">
        <v>280</v>
      </c>
      <c r="I8" s="158">
        <v>0.15</v>
      </c>
      <c r="J8" s="158">
        <v>0.3</v>
      </c>
      <c r="K8" s="158">
        <v>6</v>
      </c>
      <c r="L8" s="158">
        <v>0.15</v>
      </c>
      <c r="M8" s="159">
        <v>4</v>
      </c>
      <c r="O8" s="183" t="s">
        <v>396</v>
      </c>
      <c r="P8" s="184"/>
    </row>
    <row r="9" spans="1:18" ht="16.5" thickTop="1" x14ac:dyDescent="0.25">
      <c r="D9" s="157" t="s">
        <v>824</v>
      </c>
      <c r="E9" s="158">
        <v>4200</v>
      </c>
      <c r="F9" s="158">
        <v>4200</v>
      </c>
      <c r="G9" s="158">
        <v>280</v>
      </c>
      <c r="H9" s="158">
        <v>280</v>
      </c>
      <c r="I9" s="158">
        <v>0.15</v>
      </c>
      <c r="J9" s="158">
        <v>0.3</v>
      </c>
      <c r="K9" s="158">
        <v>6</v>
      </c>
      <c r="L9" s="158">
        <v>0.15</v>
      </c>
      <c r="M9" s="159">
        <v>4</v>
      </c>
      <c r="O9" s="16">
        <v>1</v>
      </c>
      <c r="P9" s="20" t="s">
        <v>843</v>
      </c>
    </row>
    <row r="10" spans="1:18" x14ac:dyDescent="0.25">
      <c r="D10" s="157" t="s">
        <v>825</v>
      </c>
      <c r="E10" s="158">
        <v>4200</v>
      </c>
      <c r="F10" s="158">
        <v>4200</v>
      </c>
      <c r="G10" s="158">
        <v>280</v>
      </c>
      <c r="H10" s="158">
        <v>280</v>
      </c>
      <c r="I10" s="158">
        <v>0.15</v>
      </c>
      <c r="J10" s="158">
        <v>0.3</v>
      </c>
      <c r="K10" s="158">
        <v>6</v>
      </c>
      <c r="L10" s="158">
        <v>0.15</v>
      </c>
      <c r="M10" s="159">
        <v>4</v>
      </c>
      <c r="O10" s="16">
        <v>2</v>
      </c>
      <c r="P10" s="20" t="s">
        <v>962</v>
      </c>
    </row>
    <row r="11" spans="1:18" x14ac:dyDescent="0.25">
      <c r="D11" s="157" t="s">
        <v>826</v>
      </c>
      <c r="E11" s="158">
        <v>4200</v>
      </c>
      <c r="F11" s="158">
        <v>4200</v>
      </c>
      <c r="G11" s="158">
        <v>280</v>
      </c>
      <c r="H11" s="158">
        <v>280</v>
      </c>
      <c r="I11" s="158">
        <v>0.15</v>
      </c>
      <c r="J11" s="158">
        <v>0.3</v>
      </c>
      <c r="K11" s="158">
        <v>6</v>
      </c>
      <c r="L11" s="158">
        <v>0.15</v>
      </c>
      <c r="M11" s="159">
        <v>4</v>
      </c>
      <c r="O11" s="19">
        <v>3</v>
      </c>
      <c r="P11" s="21" t="s">
        <v>864</v>
      </c>
    </row>
    <row r="12" spans="1:18" x14ac:dyDescent="0.25">
      <c r="D12" s="157" t="s">
        <v>827</v>
      </c>
      <c r="E12" s="158">
        <v>4200</v>
      </c>
      <c r="F12" s="158">
        <v>4200</v>
      </c>
      <c r="G12" s="158">
        <v>350</v>
      </c>
      <c r="H12" s="158">
        <v>350</v>
      </c>
      <c r="I12" s="158">
        <v>0.15</v>
      </c>
      <c r="J12" s="158">
        <v>0.3</v>
      </c>
      <c r="K12" s="158">
        <v>6</v>
      </c>
      <c r="L12" s="158">
        <v>0.15</v>
      </c>
      <c r="M12" s="159">
        <v>4</v>
      </c>
    </row>
    <row r="13" spans="1:18" x14ac:dyDescent="0.25">
      <c r="D13" s="157" t="s">
        <v>225</v>
      </c>
      <c r="E13" s="158">
        <v>4200</v>
      </c>
      <c r="F13" s="158">
        <v>4200</v>
      </c>
      <c r="G13" s="158">
        <v>350</v>
      </c>
      <c r="H13" s="158">
        <v>350</v>
      </c>
      <c r="I13" s="158">
        <v>0.15</v>
      </c>
      <c r="J13" s="158">
        <v>0.3</v>
      </c>
      <c r="K13" s="158">
        <v>6</v>
      </c>
      <c r="L13" s="158">
        <v>0.15</v>
      </c>
      <c r="M13" s="159">
        <v>4</v>
      </c>
      <c r="O13" s="155" t="s">
        <v>956</v>
      </c>
      <c r="P13" s="160" t="s">
        <v>860</v>
      </c>
    </row>
    <row r="14" spans="1:18" x14ac:dyDescent="0.25">
      <c r="D14" s="157" t="s">
        <v>226</v>
      </c>
      <c r="E14" s="158">
        <v>4200</v>
      </c>
      <c r="F14" s="158">
        <v>4200</v>
      </c>
      <c r="G14" s="158">
        <v>350</v>
      </c>
      <c r="H14" s="158">
        <v>350</v>
      </c>
      <c r="I14" s="158">
        <v>0.15</v>
      </c>
      <c r="J14" s="158">
        <v>0.3</v>
      </c>
      <c r="K14" s="158">
        <v>6</v>
      </c>
      <c r="L14" s="158">
        <v>0.15</v>
      </c>
      <c r="M14" s="159">
        <v>4</v>
      </c>
      <c r="O14" s="156" t="s">
        <v>957</v>
      </c>
      <c r="P14" s="161" t="s">
        <v>0</v>
      </c>
    </row>
    <row r="15" spans="1:18" x14ac:dyDescent="0.25">
      <c r="D15" s="157" t="s">
        <v>227</v>
      </c>
      <c r="E15" s="158">
        <v>4200</v>
      </c>
      <c r="F15" s="158">
        <v>4200</v>
      </c>
      <c r="G15" s="158">
        <v>350</v>
      </c>
      <c r="H15" s="158">
        <v>350</v>
      </c>
      <c r="I15" s="158">
        <v>0.15</v>
      </c>
      <c r="J15" s="158">
        <v>0.3</v>
      </c>
      <c r="K15" s="158">
        <v>6</v>
      </c>
      <c r="L15" s="158">
        <v>0.15</v>
      </c>
      <c r="M15" s="159">
        <v>4</v>
      </c>
    </row>
    <row r="16" spans="1:18" x14ac:dyDescent="0.25">
      <c r="D16" s="157" t="s">
        <v>828</v>
      </c>
      <c r="E16" s="158">
        <v>4200</v>
      </c>
      <c r="F16" s="158">
        <v>4200</v>
      </c>
      <c r="G16" s="158">
        <v>350</v>
      </c>
      <c r="H16" s="158">
        <v>350</v>
      </c>
      <c r="I16" s="158">
        <v>0.3</v>
      </c>
      <c r="J16" s="158">
        <v>0.5</v>
      </c>
      <c r="K16" s="158">
        <v>6</v>
      </c>
      <c r="L16" s="158">
        <v>0.15</v>
      </c>
      <c r="M16" s="159">
        <v>4</v>
      </c>
    </row>
    <row r="17" spans="4:13" x14ac:dyDescent="0.25">
      <c r="D17" s="157" t="s">
        <v>829</v>
      </c>
      <c r="E17" s="158">
        <v>4200</v>
      </c>
      <c r="F17" s="158">
        <v>4200</v>
      </c>
      <c r="G17" s="158">
        <v>350</v>
      </c>
      <c r="H17" s="158">
        <v>350</v>
      </c>
      <c r="I17" s="158">
        <v>0.1</v>
      </c>
      <c r="J17" s="158">
        <v>0.5</v>
      </c>
      <c r="K17" s="158">
        <v>6</v>
      </c>
      <c r="L17" s="158">
        <v>0.15</v>
      </c>
      <c r="M17" s="159">
        <v>4</v>
      </c>
    </row>
    <row r="18" spans="4:13" x14ac:dyDescent="0.25">
      <c r="D18" s="157" t="s">
        <v>830</v>
      </c>
      <c r="E18" s="158">
        <v>4200</v>
      </c>
      <c r="F18" s="158">
        <v>4200</v>
      </c>
      <c r="G18" s="158">
        <v>350</v>
      </c>
      <c r="H18" s="158">
        <v>350</v>
      </c>
      <c r="I18" s="158">
        <v>0.1</v>
      </c>
      <c r="J18" s="158">
        <v>0.5</v>
      </c>
      <c r="K18" s="158">
        <v>6</v>
      </c>
      <c r="L18" s="158">
        <v>0.15</v>
      </c>
      <c r="M18" s="159">
        <v>4</v>
      </c>
    </row>
    <row r="19" spans="4:13" x14ac:dyDescent="0.25">
      <c r="D19" s="157" t="s">
        <v>831</v>
      </c>
      <c r="E19" s="158">
        <v>4200</v>
      </c>
      <c r="F19" s="158">
        <v>4200</v>
      </c>
      <c r="G19" s="158">
        <v>280</v>
      </c>
      <c r="H19" s="158">
        <v>350</v>
      </c>
      <c r="I19" s="158">
        <v>0.1</v>
      </c>
      <c r="J19" s="158">
        <v>0.5</v>
      </c>
      <c r="K19" s="158">
        <v>6</v>
      </c>
      <c r="L19" s="158">
        <v>0.15</v>
      </c>
      <c r="M19" s="159">
        <v>4</v>
      </c>
    </row>
    <row r="20" spans="4:13" x14ac:dyDescent="0.25">
      <c r="D20" s="157"/>
      <c r="E20" s="158"/>
      <c r="F20" s="158"/>
      <c r="G20" s="158"/>
      <c r="H20" s="158"/>
      <c r="I20" s="158"/>
      <c r="J20" s="158"/>
      <c r="K20" s="158"/>
      <c r="L20" s="158"/>
      <c r="M20" s="159"/>
    </row>
    <row r="21" spans="4:13" x14ac:dyDescent="0.25">
      <c r="D21" s="157"/>
      <c r="E21" s="158"/>
      <c r="F21" s="158"/>
      <c r="G21" s="158"/>
      <c r="H21" s="158"/>
      <c r="I21" s="158"/>
      <c r="J21" s="158"/>
      <c r="K21" s="158"/>
      <c r="L21" s="158"/>
      <c r="M21" s="159"/>
    </row>
    <row r="22" spans="4:13" x14ac:dyDescent="0.25">
      <c r="D22" s="157"/>
      <c r="E22" s="158"/>
      <c r="F22" s="158"/>
      <c r="G22" s="158"/>
      <c r="H22" s="158"/>
      <c r="I22" s="158"/>
      <c r="J22" s="158"/>
      <c r="K22" s="158"/>
      <c r="L22" s="158"/>
      <c r="M22" s="159"/>
    </row>
    <row r="23" spans="4:13" x14ac:dyDescent="0.25">
      <c r="D23" s="157"/>
      <c r="E23" s="158"/>
      <c r="F23" s="158"/>
      <c r="G23" s="158"/>
      <c r="H23" s="158"/>
      <c r="I23" s="158"/>
      <c r="J23" s="158"/>
      <c r="K23" s="158"/>
      <c r="L23" s="158"/>
      <c r="M23" s="159"/>
    </row>
    <row r="24" spans="4:13" x14ac:dyDescent="0.25">
      <c r="D24" s="157"/>
      <c r="E24" s="158"/>
      <c r="F24" s="158"/>
      <c r="G24" s="158"/>
      <c r="H24" s="158"/>
      <c r="I24" s="158"/>
      <c r="J24" s="158"/>
      <c r="K24" s="158"/>
      <c r="L24" s="158"/>
      <c r="M24" s="159"/>
    </row>
    <row r="25" spans="4:13" x14ac:dyDescent="0.25">
      <c r="D25" s="157"/>
      <c r="E25" s="158"/>
      <c r="F25" s="158"/>
      <c r="G25" s="158"/>
      <c r="H25" s="158"/>
      <c r="I25" s="158"/>
      <c r="J25" s="158"/>
      <c r="K25" s="158"/>
      <c r="L25" s="158"/>
      <c r="M25" s="159"/>
    </row>
    <row r="26" spans="4:13" x14ac:dyDescent="0.25">
      <c r="D26" s="157"/>
      <c r="E26" s="158"/>
      <c r="F26" s="158"/>
      <c r="G26" s="158"/>
      <c r="H26" s="158"/>
      <c r="I26" s="158"/>
      <c r="J26" s="158"/>
      <c r="K26" s="158"/>
      <c r="L26" s="158"/>
      <c r="M26" s="159"/>
    </row>
    <row r="27" spans="4:13" x14ac:dyDescent="0.25">
      <c r="D27" s="157"/>
      <c r="E27" s="158"/>
      <c r="F27" s="158"/>
      <c r="G27" s="158"/>
      <c r="H27" s="158"/>
      <c r="I27" s="158"/>
      <c r="J27" s="158"/>
      <c r="K27" s="158"/>
      <c r="L27" s="158"/>
      <c r="M27" s="159"/>
    </row>
    <row r="28" spans="4:13" x14ac:dyDescent="0.25">
      <c r="D28" s="157"/>
      <c r="E28" s="158"/>
      <c r="F28" s="158"/>
      <c r="G28" s="158"/>
      <c r="H28" s="158"/>
      <c r="I28" s="158"/>
      <c r="J28" s="158"/>
      <c r="K28" s="158"/>
      <c r="L28" s="158"/>
      <c r="M28" s="159"/>
    </row>
    <row r="29" spans="4:13" x14ac:dyDescent="0.25">
      <c r="D29" s="157"/>
      <c r="E29" s="158"/>
      <c r="F29" s="158"/>
      <c r="G29" s="158"/>
      <c r="H29" s="158"/>
      <c r="I29" s="158"/>
      <c r="J29" s="158"/>
      <c r="K29" s="158"/>
      <c r="L29" s="158"/>
      <c r="M29" s="159"/>
    </row>
    <row r="30" spans="4:13" x14ac:dyDescent="0.25">
      <c r="D30" s="157"/>
      <c r="E30" s="158"/>
      <c r="F30" s="158"/>
      <c r="G30" s="158"/>
      <c r="H30" s="158"/>
      <c r="I30" s="158"/>
      <c r="J30" s="158"/>
      <c r="K30" s="158"/>
      <c r="L30" s="158"/>
      <c r="M30" s="159"/>
    </row>
    <row r="31" spans="4:13" x14ac:dyDescent="0.25">
      <c r="D31" s="157"/>
      <c r="E31" s="158"/>
      <c r="F31" s="158"/>
      <c r="G31" s="158"/>
      <c r="H31" s="158"/>
      <c r="I31" s="158"/>
      <c r="J31" s="158"/>
      <c r="K31" s="158"/>
      <c r="L31" s="158"/>
      <c r="M31" s="159"/>
    </row>
    <row r="32" spans="4:13" x14ac:dyDescent="0.25">
      <c r="D32" s="157"/>
      <c r="E32" s="158"/>
      <c r="F32" s="158"/>
      <c r="G32" s="158"/>
      <c r="H32" s="158"/>
      <c r="I32" s="158"/>
      <c r="J32" s="158"/>
      <c r="K32" s="158"/>
      <c r="L32" s="158"/>
      <c r="M32" s="159"/>
    </row>
    <row r="33" spans="4:13" x14ac:dyDescent="0.25">
      <c r="D33" s="157"/>
      <c r="E33" s="158"/>
      <c r="F33" s="158"/>
      <c r="G33" s="158"/>
      <c r="H33" s="158"/>
      <c r="I33" s="158"/>
      <c r="J33" s="158"/>
      <c r="K33" s="158"/>
      <c r="L33" s="158"/>
      <c r="M33" s="159"/>
    </row>
    <row r="34" spans="4:13" x14ac:dyDescent="0.25">
      <c r="D34" s="157"/>
      <c r="E34" s="158"/>
      <c r="F34" s="158"/>
      <c r="G34" s="158"/>
      <c r="H34" s="158"/>
      <c r="I34" s="158"/>
      <c r="J34" s="158"/>
      <c r="K34" s="158"/>
      <c r="L34" s="158"/>
      <c r="M34" s="159"/>
    </row>
    <row r="35" spans="4:13" x14ac:dyDescent="0.25">
      <c r="D35" s="157"/>
      <c r="E35" s="158"/>
      <c r="F35" s="158"/>
      <c r="G35" s="158"/>
      <c r="H35" s="158"/>
      <c r="I35" s="158"/>
      <c r="J35" s="158"/>
      <c r="K35" s="158"/>
      <c r="L35" s="158"/>
      <c r="M35" s="159"/>
    </row>
    <row r="36" spans="4:13" x14ac:dyDescent="0.25">
      <c r="D36" s="157"/>
      <c r="E36" s="158"/>
      <c r="F36" s="158"/>
      <c r="G36" s="158"/>
      <c r="H36" s="158"/>
      <c r="I36" s="158"/>
      <c r="J36" s="158"/>
      <c r="K36" s="158"/>
      <c r="L36" s="158"/>
      <c r="M36" s="159"/>
    </row>
    <row r="37" spans="4:13" x14ac:dyDescent="0.25">
      <c r="D37" s="157"/>
      <c r="E37" s="158"/>
      <c r="F37" s="158"/>
      <c r="G37" s="158"/>
      <c r="H37" s="158"/>
      <c r="I37" s="158"/>
      <c r="J37" s="158"/>
      <c r="K37" s="158"/>
      <c r="L37" s="158"/>
      <c r="M37" s="159"/>
    </row>
    <row r="38" spans="4:13" x14ac:dyDescent="0.25">
      <c r="D38" s="157"/>
      <c r="E38" s="158"/>
      <c r="F38" s="158"/>
      <c r="G38" s="158"/>
      <c r="H38" s="158"/>
      <c r="I38" s="158"/>
      <c r="J38" s="158"/>
      <c r="K38" s="158"/>
      <c r="L38" s="158"/>
      <c r="M38" s="159"/>
    </row>
    <row r="39" spans="4:13" x14ac:dyDescent="0.25">
      <c r="D39" s="157"/>
      <c r="E39" s="158"/>
      <c r="F39" s="158"/>
      <c r="G39" s="158"/>
      <c r="H39" s="158"/>
      <c r="I39" s="158"/>
      <c r="J39" s="158"/>
      <c r="K39" s="158"/>
      <c r="L39" s="158"/>
      <c r="M39" s="159"/>
    </row>
    <row r="40" spans="4:13" x14ac:dyDescent="0.25">
      <c r="D40" s="157"/>
      <c r="E40" s="158"/>
      <c r="F40" s="158"/>
      <c r="G40" s="158"/>
      <c r="H40" s="158"/>
      <c r="I40" s="158"/>
      <c r="J40" s="158"/>
      <c r="K40" s="158"/>
      <c r="L40" s="158"/>
      <c r="M40" s="159"/>
    </row>
    <row r="41" spans="4:13" x14ac:dyDescent="0.25">
      <c r="D41" s="157"/>
      <c r="E41" s="158"/>
      <c r="F41" s="158"/>
      <c r="G41" s="158"/>
      <c r="H41" s="158"/>
      <c r="I41" s="158"/>
      <c r="J41" s="158"/>
      <c r="K41" s="158"/>
      <c r="L41" s="158"/>
      <c r="M41" s="159"/>
    </row>
    <row r="42" spans="4:13" x14ac:dyDescent="0.25">
      <c r="D42" s="157"/>
      <c r="E42" s="158"/>
      <c r="F42" s="158"/>
      <c r="G42" s="158"/>
      <c r="H42" s="158"/>
      <c r="I42" s="158"/>
      <c r="J42" s="158"/>
      <c r="K42" s="158"/>
      <c r="L42" s="158"/>
      <c r="M42" s="159"/>
    </row>
    <row r="43" spans="4:13" x14ac:dyDescent="0.25">
      <c r="D43" s="157"/>
      <c r="E43" s="158"/>
      <c r="F43" s="158"/>
      <c r="G43" s="158"/>
      <c r="H43" s="158"/>
      <c r="I43" s="158"/>
      <c r="J43" s="158"/>
      <c r="K43" s="158"/>
      <c r="L43" s="158"/>
      <c r="M43" s="159"/>
    </row>
    <row r="44" spans="4:13" x14ac:dyDescent="0.25">
      <c r="D44" s="157"/>
      <c r="E44" s="158"/>
      <c r="F44" s="158"/>
      <c r="G44" s="158"/>
      <c r="H44" s="158"/>
      <c r="I44" s="158"/>
      <c r="J44" s="158"/>
      <c r="K44" s="158"/>
      <c r="L44" s="158"/>
      <c r="M44" s="159"/>
    </row>
    <row r="45" spans="4:13" x14ac:dyDescent="0.25">
      <c r="D45" s="157"/>
      <c r="E45" s="158"/>
      <c r="F45" s="158"/>
      <c r="G45" s="158"/>
      <c r="H45" s="158"/>
      <c r="I45" s="158"/>
      <c r="J45" s="158"/>
      <c r="K45" s="158"/>
      <c r="L45" s="158"/>
      <c r="M45" s="159"/>
    </row>
    <row r="46" spans="4:13" x14ac:dyDescent="0.25">
      <c r="D46" s="157"/>
      <c r="E46" s="158"/>
      <c r="F46" s="158"/>
      <c r="G46" s="158"/>
      <c r="H46" s="158"/>
      <c r="I46" s="158"/>
      <c r="J46" s="158"/>
      <c r="K46" s="158"/>
      <c r="L46" s="158"/>
      <c r="M46" s="159"/>
    </row>
    <row r="47" spans="4:13" x14ac:dyDescent="0.25">
      <c r="D47" s="157"/>
      <c r="E47" s="158"/>
      <c r="F47" s="158"/>
      <c r="G47" s="158"/>
      <c r="H47" s="158"/>
      <c r="I47" s="158"/>
      <c r="J47" s="158"/>
      <c r="K47" s="158"/>
      <c r="L47" s="158"/>
      <c r="M47" s="159"/>
    </row>
    <row r="48" spans="4:13" x14ac:dyDescent="0.25">
      <c r="D48" s="157"/>
      <c r="E48" s="158"/>
      <c r="F48" s="158"/>
      <c r="G48" s="158"/>
      <c r="H48" s="158"/>
      <c r="I48" s="158"/>
      <c r="J48" s="158"/>
      <c r="K48" s="158"/>
      <c r="L48" s="158"/>
      <c r="M48" s="159"/>
    </row>
    <row r="49" spans="4:13" x14ac:dyDescent="0.25">
      <c r="D49" s="157"/>
      <c r="E49" s="158"/>
      <c r="F49" s="158"/>
      <c r="G49" s="158"/>
      <c r="H49" s="158"/>
      <c r="I49" s="158"/>
      <c r="J49" s="158"/>
      <c r="K49" s="158"/>
      <c r="L49" s="158"/>
      <c r="M49" s="159"/>
    </row>
    <row r="50" spans="4:13" x14ac:dyDescent="0.25">
      <c r="D50" s="157"/>
      <c r="E50" s="158"/>
      <c r="F50" s="158"/>
      <c r="G50" s="158"/>
      <c r="H50" s="158"/>
      <c r="I50" s="158"/>
      <c r="J50" s="158"/>
      <c r="K50" s="158"/>
      <c r="L50" s="158"/>
      <c r="M50" s="159"/>
    </row>
    <row r="51" spans="4:13" x14ac:dyDescent="0.25">
      <c r="D51" s="157"/>
      <c r="E51" s="158"/>
      <c r="F51" s="158"/>
      <c r="G51" s="158"/>
      <c r="H51" s="158"/>
      <c r="I51" s="158"/>
      <c r="J51" s="158"/>
      <c r="K51" s="158"/>
      <c r="L51" s="158"/>
      <c r="M51" s="159"/>
    </row>
    <row r="52" spans="4:13" x14ac:dyDescent="0.25">
      <c r="D52" s="157"/>
      <c r="E52" s="158"/>
      <c r="F52" s="158"/>
      <c r="G52" s="158"/>
      <c r="H52" s="158"/>
      <c r="I52" s="158"/>
      <c r="J52" s="158"/>
      <c r="K52" s="158"/>
      <c r="L52" s="158"/>
      <c r="M52" s="159"/>
    </row>
    <row r="53" spans="4:13" x14ac:dyDescent="0.25">
      <c r="D53" s="157"/>
      <c r="E53" s="158"/>
      <c r="F53" s="158"/>
      <c r="G53" s="158"/>
      <c r="H53" s="158"/>
      <c r="I53" s="158"/>
      <c r="J53" s="158"/>
      <c r="K53" s="158"/>
      <c r="L53" s="158"/>
      <c r="M53" s="159"/>
    </row>
    <row r="54" spans="4:13" x14ac:dyDescent="0.25">
      <c r="D54" s="157"/>
      <c r="E54" s="158"/>
      <c r="F54" s="158"/>
      <c r="G54" s="158"/>
      <c r="H54" s="158"/>
      <c r="I54" s="158"/>
      <c r="J54" s="158"/>
      <c r="K54" s="158"/>
      <c r="L54" s="158"/>
      <c r="M54" s="159"/>
    </row>
    <row r="55" spans="4:13" x14ac:dyDescent="0.25">
      <c r="D55" s="157"/>
      <c r="E55" s="158"/>
      <c r="F55" s="158"/>
      <c r="G55" s="158"/>
      <c r="H55" s="158"/>
      <c r="I55" s="158"/>
      <c r="J55" s="158"/>
      <c r="K55" s="158"/>
      <c r="L55" s="158"/>
      <c r="M55" s="159"/>
    </row>
    <row r="56" spans="4:13" x14ac:dyDescent="0.25">
      <c r="D56" s="157"/>
      <c r="E56" s="158"/>
      <c r="F56" s="158"/>
      <c r="G56" s="158"/>
      <c r="H56" s="158"/>
      <c r="I56" s="158"/>
      <c r="J56" s="158"/>
      <c r="K56" s="158"/>
      <c r="L56" s="158"/>
      <c r="M56" s="159"/>
    </row>
    <row r="57" spans="4:13" x14ac:dyDescent="0.25">
      <c r="D57" s="157"/>
      <c r="E57" s="158"/>
      <c r="F57" s="158"/>
      <c r="G57" s="158"/>
      <c r="H57" s="158"/>
      <c r="I57" s="158"/>
      <c r="J57" s="158"/>
      <c r="K57" s="158"/>
      <c r="L57" s="158"/>
      <c r="M57" s="159"/>
    </row>
    <row r="58" spans="4:13" x14ac:dyDescent="0.25">
      <c r="D58" s="157"/>
      <c r="E58" s="158"/>
      <c r="F58" s="158"/>
      <c r="G58" s="158"/>
      <c r="H58" s="158"/>
      <c r="I58" s="158"/>
      <c r="J58" s="158"/>
      <c r="K58" s="158"/>
      <c r="L58" s="158"/>
      <c r="M58" s="159"/>
    </row>
    <row r="59" spans="4:13" x14ac:dyDescent="0.25">
      <c r="D59" s="157"/>
      <c r="E59" s="158"/>
      <c r="F59" s="158"/>
      <c r="G59" s="158"/>
      <c r="H59" s="158"/>
      <c r="I59" s="158"/>
      <c r="J59" s="158"/>
      <c r="K59" s="158"/>
      <c r="L59" s="158"/>
      <c r="M59" s="159"/>
    </row>
    <row r="60" spans="4:13" x14ac:dyDescent="0.25">
      <c r="D60" s="157"/>
      <c r="E60" s="158"/>
      <c r="F60" s="158"/>
      <c r="G60" s="158"/>
      <c r="H60" s="158"/>
      <c r="I60" s="158"/>
      <c r="J60" s="158"/>
      <c r="K60" s="158"/>
      <c r="L60" s="158"/>
      <c r="M60" s="159"/>
    </row>
    <row r="61" spans="4:13" x14ac:dyDescent="0.25">
      <c r="D61" s="157"/>
      <c r="E61" s="158"/>
      <c r="F61" s="158"/>
      <c r="G61" s="158"/>
      <c r="H61" s="158"/>
      <c r="I61" s="158"/>
      <c r="J61" s="158"/>
      <c r="K61" s="158"/>
      <c r="L61" s="158"/>
      <c r="M61" s="159"/>
    </row>
    <row r="62" spans="4:13" x14ac:dyDescent="0.25">
      <c r="D62" s="157"/>
      <c r="E62" s="158"/>
      <c r="F62" s="158"/>
      <c r="G62" s="158"/>
      <c r="H62" s="158"/>
      <c r="I62" s="158"/>
      <c r="J62" s="158"/>
      <c r="K62" s="158"/>
      <c r="L62" s="158"/>
      <c r="M62" s="159"/>
    </row>
    <row r="63" spans="4:13" x14ac:dyDescent="0.25">
      <c r="D63" s="157"/>
      <c r="E63" s="158"/>
      <c r="F63" s="158"/>
      <c r="G63" s="158"/>
      <c r="H63" s="158"/>
      <c r="I63" s="158"/>
      <c r="J63" s="158"/>
      <c r="K63" s="158"/>
      <c r="L63" s="158"/>
      <c r="M63" s="159"/>
    </row>
    <row r="64" spans="4:13" x14ac:dyDescent="0.25">
      <c r="D64" s="157"/>
      <c r="E64" s="158"/>
      <c r="F64" s="158"/>
      <c r="G64" s="158"/>
      <c r="H64" s="158"/>
      <c r="I64" s="158"/>
      <c r="J64" s="158"/>
      <c r="K64" s="158"/>
      <c r="L64" s="158"/>
      <c r="M64" s="159"/>
    </row>
    <row r="65" spans="4:13" x14ac:dyDescent="0.25">
      <c r="D65" s="157"/>
      <c r="E65" s="158"/>
      <c r="F65" s="158"/>
      <c r="G65" s="158"/>
      <c r="H65" s="158"/>
      <c r="I65" s="158"/>
      <c r="J65" s="158"/>
      <c r="K65" s="158"/>
      <c r="L65" s="158"/>
      <c r="M65" s="159"/>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5243F-A040-4FCA-A9F9-A57C47BCAA3B}">
  <dimension ref="A1:N16"/>
  <sheetViews>
    <sheetView workbookViewId="0">
      <selection activeCell="A3" sqref="A3:L16"/>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x14ac:dyDescent="0.25">
      <c r="A10" s="172" t="s">
        <v>827</v>
      </c>
      <c r="B10" s="172" t="s">
        <v>291</v>
      </c>
      <c r="C10" s="172">
        <v>90</v>
      </c>
      <c r="D10" s="172">
        <v>80</v>
      </c>
      <c r="E10" s="172" t="s">
        <v>1174</v>
      </c>
      <c r="F10" s="172">
        <v>12</v>
      </c>
      <c r="G10" s="172">
        <v>5</v>
      </c>
      <c r="H10" s="172" t="s">
        <v>285</v>
      </c>
      <c r="I10" s="172" t="s">
        <v>286</v>
      </c>
      <c r="J10" s="172">
        <v>3</v>
      </c>
      <c r="K10" s="172">
        <v>3</v>
      </c>
      <c r="L10" s="172" t="s">
        <v>1187</v>
      </c>
      <c r="M10" s="174" t="s">
        <v>1198</v>
      </c>
      <c r="N10" s="180">
        <v>1.9794444444444441E-2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CF880-93E4-4740-9817-470BEAE72A3D}">
  <dimension ref="A1:N16"/>
  <sheetViews>
    <sheetView workbookViewId="0">
      <selection activeCell="M1" sqref="M1:M1048576"/>
    </sheetView>
  </sheetViews>
  <sheetFormatPr defaultRowHeight="15.75" x14ac:dyDescent="0.25"/>
  <cols>
    <col min="1" max="11" width="9" style="172"/>
    <col min="12" max="12" width="23.25" style="172" bestFit="1" customWidth="1"/>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x14ac:dyDescent="0.25">
      <c r="A10" s="172" t="s">
        <v>827</v>
      </c>
      <c r="B10" s="172" t="s">
        <v>291</v>
      </c>
      <c r="C10" s="172">
        <v>90</v>
      </c>
      <c r="D10" s="172">
        <v>80</v>
      </c>
      <c r="E10" s="172" t="s">
        <v>1174</v>
      </c>
      <c r="F10" s="172">
        <v>12</v>
      </c>
      <c r="G10" s="172">
        <v>5</v>
      </c>
      <c r="H10" s="172" t="s">
        <v>285</v>
      </c>
      <c r="I10" s="172" t="s">
        <v>286</v>
      </c>
      <c r="J10" s="172">
        <v>3</v>
      </c>
      <c r="K10" s="172">
        <v>3</v>
      </c>
      <c r="L10" s="172" t="s">
        <v>1187</v>
      </c>
      <c r="M10" s="174" t="s">
        <v>1198</v>
      </c>
      <c r="N10" s="180">
        <v>1.9794444444444441E-2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0DCEA-EA38-4B21-8A8E-83EC3B75A5B9}">
  <dimension ref="A1:N16"/>
  <sheetViews>
    <sheetView workbookViewId="0">
      <selection activeCell="M10" sqref="M10"/>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90</v>
      </c>
      <c r="D10" s="172">
        <v>80</v>
      </c>
      <c r="E10" s="172" t="s">
        <v>1196</v>
      </c>
      <c r="F10" s="172">
        <v>12</v>
      </c>
      <c r="G10" s="172">
        <v>5</v>
      </c>
      <c r="H10" s="172" t="s">
        <v>285</v>
      </c>
      <c r="I10" s="172" t="s">
        <v>286</v>
      </c>
      <c r="J10" s="172">
        <v>3</v>
      </c>
      <c r="K10" s="172">
        <v>3</v>
      </c>
      <c r="L10" s="172" t="s">
        <v>1187</v>
      </c>
      <c r="M10" s="173" t="s">
        <v>1197</v>
      </c>
      <c r="N10" s="180">
        <v>2.4036111111111112E-2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6288-FEE4-4679-B242-EFE471CE4FF7}">
  <dimension ref="A1:N16"/>
  <sheetViews>
    <sheetView workbookViewId="0"/>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x14ac:dyDescent="0.25">
      <c r="A10" s="172" t="s">
        <v>827</v>
      </c>
      <c r="B10" s="172" t="s">
        <v>291</v>
      </c>
      <c r="C10" s="172">
        <v>80</v>
      </c>
      <c r="D10" s="172">
        <v>80</v>
      </c>
      <c r="E10" s="172" t="s">
        <v>1173</v>
      </c>
      <c r="F10" s="172">
        <v>10</v>
      </c>
      <c r="G10" s="172">
        <v>5</v>
      </c>
      <c r="H10" s="172" t="s">
        <v>285</v>
      </c>
      <c r="I10" s="172" t="s">
        <v>286</v>
      </c>
      <c r="J10" s="172">
        <v>3</v>
      </c>
      <c r="K10" s="172">
        <v>3</v>
      </c>
      <c r="L10" s="172" t="s">
        <v>1187</v>
      </c>
      <c r="M10" s="172" t="s">
        <v>1004</v>
      </c>
      <c r="N10" s="180">
        <v>1.590625E-2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8BE3-0A9F-4E47-8C7D-2FB4E8DA8BB4}">
  <dimension ref="A1:N16"/>
  <sheetViews>
    <sheetView workbookViewId="0">
      <selection activeCell="K10" sqref="K10"/>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80</v>
      </c>
      <c r="D10" s="172">
        <v>80</v>
      </c>
      <c r="E10" s="172" t="s">
        <v>1173</v>
      </c>
      <c r="F10" s="172">
        <v>10</v>
      </c>
      <c r="G10" s="172">
        <v>5</v>
      </c>
      <c r="H10" s="172" t="s">
        <v>285</v>
      </c>
      <c r="I10" s="172" t="s">
        <v>286</v>
      </c>
      <c r="J10" s="172">
        <v>3</v>
      </c>
      <c r="K10" s="172">
        <v>2</v>
      </c>
      <c r="L10" s="172" t="s">
        <v>1187</v>
      </c>
      <c r="M10" s="173" t="s">
        <v>1193</v>
      </c>
      <c r="N10" s="180">
        <v>1.590625E-2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E3330-5FEC-4802-A628-EFDC89F31EB1}">
  <dimension ref="A1:N16"/>
  <sheetViews>
    <sheetView workbookViewId="0"/>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80</v>
      </c>
      <c r="D10" s="172">
        <v>80</v>
      </c>
      <c r="E10" s="172" t="s">
        <v>1173</v>
      </c>
      <c r="F10" s="172">
        <v>10</v>
      </c>
      <c r="G10" s="172">
        <v>4</v>
      </c>
      <c r="H10" s="172" t="s">
        <v>285</v>
      </c>
      <c r="I10" s="172" t="s">
        <v>286</v>
      </c>
      <c r="J10" s="172">
        <v>3</v>
      </c>
      <c r="K10" s="172">
        <v>2</v>
      </c>
      <c r="L10" s="172" t="s">
        <v>1187</v>
      </c>
      <c r="M10" s="173" t="s">
        <v>1193</v>
      </c>
      <c r="N10" s="180">
        <v>1.590625E-2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07A91-C233-4EC5-B689-7D58CA5C241F}">
  <dimension ref="A1:N16"/>
  <sheetViews>
    <sheetView workbookViewId="0">
      <selection activeCell="I15" sqref="I15"/>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80</v>
      </c>
      <c r="D10" s="172">
        <v>80</v>
      </c>
      <c r="E10" s="172" t="s">
        <v>1173</v>
      </c>
      <c r="F10" s="172">
        <v>10</v>
      </c>
      <c r="G10" s="172">
        <v>5</v>
      </c>
      <c r="H10" s="172" t="s">
        <v>285</v>
      </c>
      <c r="I10" s="172" t="s">
        <v>286</v>
      </c>
      <c r="J10" s="172">
        <v>3</v>
      </c>
      <c r="K10" s="172">
        <v>2</v>
      </c>
      <c r="L10" s="172" t="s">
        <v>1187</v>
      </c>
      <c r="M10" s="173" t="s">
        <v>1193</v>
      </c>
      <c r="N10" s="180">
        <v>1.590625E-2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5E9B1-F861-4408-BBD8-4572DE3DEDEC}">
  <dimension ref="A1:N16"/>
  <sheetViews>
    <sheetView workbookViewId="0">
      <selection activeCell="M10" sqref="M10"/>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90</v>
      </c>
      <c r="D10" s="172">
        <v>80</v>
      </c>
      <c r="E10" s="172" t="s">
        <v>1173</v>
      </c>
      <c r="F10" s="172">
        <v>10</v>
      </c>
      <c r="G10" s="172">
        <v>4</v>
      </c>
      <c r="H10" s="172" t="s">
        <v>285</v>
      </c>
      <c r="I10" s="172" t="s">
        <v>286</v>
      </c>
      <c r="J10" s="172">
        <v>3</v>
      </c>
      <c r="K10" s="172">
        <v>2</v>
      </c>
      <c r="L10" s="172" t="s">
        <v>1187</v>
      </c>
      <c r="M10" s="173" t="s">
        <v>1193</v>
      </c>
      <c r="N10" s="180">
        <v>1.4138888888888888E-2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907CE-AB06-485E-AF2D-405FAD41B5D7}">
  <dimension ref="A1:N16"/>
  <sheetViews>
    <sheetView workbookViewId="0">
      <selection activeCell="D14" sqref="D14"/>
    </sheetView>
  </sheetViews>
  <sheetFormatPr defaultRowHeight="15.75" x14ac:dyDescent="0.25"/>
  <cols>
    <col min="1" max="12" width="9" style="172"/>
    <col min="13" max="13" width="59.25" style="172" bestFit="1" customWidth="1"/>
    <col min="14" max="14" width="9" style="180"/>
    <col min="15" max="16384" width="9" style="172"/>
  </cols>
  <sheetData>
    <row r="1" spans="1:14" x14ac:dyDescent="0.25">
      <c r="A1" s="172" t="s">
        <v>292</v>
      </c>
      <c r="B1" s="172" t="s">
        <v>833</v>
      </c>
      <c r="C1" s="172" t="s">
        <v>834</v>
      </c>
      <c r="D1" s="172" t="s">
        <v>835</v>
      </c>
      <c r="E1" s="172" t="s">
        <v>1176</v>
      </c>
      <c r="H1" s="172" t="s">
        <v>836</v>
      </c>
      <c r="L1" s="172" t="s">
        <v>287</v>
      </c>
      <c r="M1" s="172" t="s">
        <v>1180</v>
      </c>
      <c r="N1" s="180" t="s">
        <v>1177</v>
      </c>
    </row>
    <row r="2" spans="1:14" x14ac:dyDescent="0.25">
      <c r="C2" s="172" t="s">
        <v>293</v>
      </c>
      <c r="D2" s="172" t="s">
        <v>293</v>
      </c>
      <c r="E2" s="172" t="s">
        <v>402</v>
      </c>
      <c r="F2" s="172" t="s">
        <v>837</v>
      </c>
      <c r="G2" s="172" t="s">
        <v>838</v>
      </c>
      <c r="H2" s="172" t="s">
        <v>839</v>
      </c>
      <c r="I2" s="172" t="s">
        <v>840</v>
      </c>
      <c r="J2" s="172" t="s">
        <v>841</v>
      </c>
      <c r="K2" s="172" t="s">
        <v>842</v>
      </c>
    </row>
    <row r="3" spans="1:14" x14ac:dyDescent="0.25">
      <c r="A3" s="172" t="s">
        <v>848</v>
      </c>
      <c r="B3" s="172" t="s">
        <v>291</v>
      </c>
      <c r="C3" s="172">
        <v>90</v>
      </c>
      <c r="D3" s="172">
        <v>80</v>
      </c>
      <c r="E3" s="172" t="s">
        <v>854</v>
      </c>
      <c r="F3" s="172">
        <v>5</v>
      </c>
      <c r="G3" s="172">
        <v>4</v>
      </c>
      <c r="H3" s="172" t="s">
        <v>285</v>
      </c>
      <c r="I3" s="172" t="s">
        <v>286</v>
      </c>
      <c r="J3" s="172">
        <v>2</v>
      </c>
      <c r="K3" s="172">
        <v>3</v>
      </c>
      <c r="L3" s="172" t="s">
        <v>1003</v>
      </c>
      <c r="M3" s="172" t="s">
        <v>1004</v>
      </c>
      <c r="N3" s="180">
        <v>5.6555555555555552E-3</v>
      </c>
    </row>
    <row r="4" spans="1:14" ht="31.5" x14ac:dyDescent="0.25">
      <c r="A4" s="172" t="s">
        <v>821</v>
      </c>
      <c r="B4" s="172" t="s">
        <v>291</v>
      </c>
      <c r="C4" s="172">
        <v>90</v>
      </c>
      <c r="D4" s="172">
        <v>80</v>
      </c>
      <c r="E4" s="172" t="s">
        <v>1173</v>
      </c>
      <c r="F4" s="172">
        <v>5</v>
      </c>
      <c r="G4" s="172">
        <v>4</v>
      </c>
      <c r="H4" s="172" t="s">
        <v>285</v>
      </c>
      <c r="I4" s="172" t="s">
        <v>286</v>
      </c>
      <c r="J4" s="172">
        <v>2</v>
      </c>
      <c r="K4" s="172">
        <v>3</v>
      </c>
      <c r="L4" s="172" t="s">
        <v>1189</v>
      </c>
      <c r="M4" s="173" t="s">
        <v>1190</v>
      </c>
      <c r="N4" s="180">
        <v>1.4138888888888888E-2</v>
      </c>
    </row>
    <row r="5" spans="1:14" x14ac:dyDescent="0.25">
      <c r="A5" s="172" t="s">
        <v>822</v>
      </c>
      <c r="B5" s="172" t="s">
        <v>291</v>
      </c>
      <c r="C5" s="172">
        <v>90</v>
      </c>
      <c r="D5" s="172">
        <v>80</v>
      </c>
      <c r="E5" s="172" t="s">
        <v>856</v>
      </c>
      <c r="F5" s="172">
        <v>5</v>
      </c>
      <c r="G5" s="172">
        <v>4</v>
      </c>
      <c r="H5" s="172" t="s">
        <v>285</v>
      </c>
      <c r="I5" s="172" t="s">
        <v>286</v>
      </c>
      <c r="J5" s="172">
        <v>2</v>
      </c>
      <c r="K5" s="172">
        <v>3</v>
      </c>
      <c r="L5" s="172" t="s">
        <v>1182</v>
      </c>
      <c r="M5" s="174" t="s">
        <v>1179</v>
      </c>
      <c r="N5" s="180">
        <v>9.8972222222222205E-3</v>
      </c>
    </row>
    <row r="6" spans="1:14" x14ac:dyDescent="0.25">
      <c r="A6" s="172" t="s">
        <v>823</v>
      </c>
      <c r="B6" s="172" t="s">
        <v>291</v>
      </c>
      <c r="C6" s="172">
        <v>90</v>
      </c>
      <c r="D6" s="172">
        <v>80</v>
      </c>
      <c r="E6" s="172" t="s">
        <v>1183</v>
      </c>
      <c r="F6" s="172">
        <v>5</v>
      </c>
      <c r="G6" s="172">
        <v>4</v>
      </c>
      <c r="H6" s="172" t="s">
        <v>286</v>
      </c>
      <c r="I6" s="172" t="s">
        <v>286</v>
      </c>
      <c r="J6" s="172">
        <v>2</v>
      </c>
      <c r="K6" s="172">
        <v>4</v>
      </c>
      <c r="L6" s="172" t="s">
        <v>1184</v>
      </c>
      <c r="M6" s="174" t="s">
        <v>1178</v>
      </c>
      <c r="N6" s="180">
        <v>6.3625000000000001E-3</v>
      </c>
    </row>
    <row r="7" spans="1:14" x14ac:dyDescent="0.25">
      <c r="A7" s="172" t="s">
        <v>824</v>
      </c>
      <c r="B7" s="172" t="s">
        <v>291</v>
      </c>
      <c r="C7" s="172">
        <v>90</v>
      </c>
      <c r="D7" s="172">
        <v>80</v>
      </c>
      <c r="E7" s="172" t="s">
        <v>856</v>
      </c>
      <c r="F7" s="172">
        <v>5</v>
      </c>
      <c r="G7" s="172">
        <v>4</v>
      </c>
      <c r="H7" s="172" t="s">
        <v>286</v>
      </c>
      <c r="I7" s="172" t="s">
        <v>286</v>
      </c>
      <c r="J7" s="172">
        <v>4</v>
      </c>
      <c r="K7" s="172">
        <v>3</v>
      </c>
      <c r="L7" s="172" t="s">
        <v>1185</v>
      </c>
      <c r="M7" s="174" t="s">
        <v>1188</v>
      </c>
      <c r="N7" s="180">
        <v>9.8972222222222205E-3</v>
      </c>
    </row>
    <row r="8" spans="1:14" x14ac:dyDescent="0.25">
      <c r="A8" s="172" t="s">
        <v>825</v>
      </c>
      <c r="B8" s="172" t="s">
        <v>291</v>
      </c>
      <c r="C8" s="172">
        <v>90</v>
      </c>
      <c r="D8" s="172">
        <v>80</v>
      </c>
      <c r="E8" s="172" t="s">
        <v>856</v>
      </c>
      <c r="F8" s="172">
        <v>5</v>
      </c>
      <c r="G8" s="172">
        <v>4</v>
      </c>
      <c r="H8" s="172" t="s">
        <v>285</v>
      </c>
      <c r="I8" s="172" t="s">
        <v>286</v>
      </c>
      <c r="J8" s="172">
        <v>2</v>
      </c>
      <c r="K8" s="172">
        <v>3</v>
      </c>
      <c r="L8" s="172" t="s">
        <v>1194</v>
      </c>
      <c r="M8" s="172" t="s">
        <v>1004</v>
      </c>
      <c r="N8" s="180">
        <v>9.8972222222222205E-3</v>
      </c>
    </row>
    <row r="9" spans="1:14" x14ac:dyDescent="0.25">
      <c r="A9" s="172" t="s">
        <v>826</v>
      </c>
      <c r="B9" s="172" t="s">
        <v>291</v>
      </c>
      <c r="C9" s="172">
        <v>90</v>
      </c>
      <c r="D9" s="172">
        <v>80</v>
      </c>
      <c r="E9" s="172" t="s">
        <v>1173</v>
      </c>
      <c r="F9" s="172">
        <v>5</v>
      </c>
      <c r="G9" s="172">
        <v>10</v>
      </c>
      <c r="H9" s="172" t="s">
        <v>285</v>
      </c>
      <c r="I9" s="172" t="s">
        <v>286</v>
      </c>
      <c r="J9" s="172">
        <v>2</v>
      </c>
      <c r="K9" s="172">
        <v>3</v>
      </c>
      <c r="L9" s="172" t="s">
        <v>1186</v>
      </c>
      <c r="M9" s="174" t="s">
        <v>1191</v>
      </c>
      <c r="N9" s="180">
        <v>1.4138888888888888E-2</v>
      </c>
    </row>
    <row r="10" spans="1:14" ht="31.5" x14ac:dyDescent="0.25">
      <c r="A10" s="172" t="s">
        <v>827</v>
      </c>
      <c r="B10" s="172" t="s">
        <v>291</v>
      </c>
      <c r="C10" s="172">
        <v>80</v>
      </c>
      <c r="D10" s="172">
        <v>80</v>
      </c>
      <c r="E10" s="172" t="s">
        <v>1173</v>
      </c>
      <c r="F10" s="172">
        <v>10</v>
      </c>
      <c r="G10" s="172">
        <v>4</v>
      </c>
      <c r="H10" s="172" t="s">
        <v>285</v>
      </c>
      <c r="I10" s="172" t="s">
        <v>286</v>
      </c>
      <c r="J10" s="172">
        <v>3</v>
      </c>
      <c r="K10" s="172">
        <v>2</v>
      </c>
      <c r="L10" s="172" t="s">
        <v>1187</v>
      </c>
      <c r="M10" s="173" t="s">
        <v>1193</v>
      </c>
      <c r="N10" s="180">
        <v>1.4138888888888888E-2</v>
      </c>
    </row>
    <row r="11" spans="1:14" x14ac:dyDescent="0.25">
      <c r="A11" s="172" t="s">
        <v>225</v>
      </c>
      <c r="B11" s="172" t="s">
        <v>291</v>
      </c>
      <c r="C11" s="172">
        <v>90</v>
      </c>
      <c r="D11" s="172">
        <v>80</v>
      </c>
      <c r="E11" s="172" t="s">
        <v>1171</v>
      </c>
      <c r="F11" s="172">
        <v>5</v>
      </c>
      <c r="G11" s="172">
        <v>5</v>
      </c>
      <c r="H11" s="172" t="s">
        <v>285</v>
      </c>
      <c r="I11" s="172" t="s">
        <v>286</v>
      </c>
      <c r="J11" s="172">
        <v>3</v>
      </c>
      <c r="K11" s="172">
        <v>3</v>
      </c>
      <c r="M11" s="172" t="s">
        <v>1004</v>
      </c>
      <c r="N11" s="180">
        <v>1.8199999999999997E-2</v>
      </c>
    </row>
    <row r="12" spans="1:14" x14ac:dyDescent="0.25">
      <c r="A12" s="172" t="s">
        <v>226</v>
      </c>
      <c r="B12" s="172" t="s">
        <v>291</v>
      </c>
      <c r="C12" s="172">
        <v>100</v>
      </c>
      <c r="D12" s="172">
        <v>80</v>
      </c>
      <c r="E12" s="172" t="s">
        <v>1192</v>
      </c>
      <c r="F12" s="172">
        <v>8</v>
      </c>
      <c r="G12" s="172">
        <v>6</v>
      </c>
      <c r="H12" s="172" t="s">
        <v>285</v>
      </c>
      <c r="I12" s="172" t="s">
        <v>286</v>
      </c>
      <c r="J12" s="172">
        <v>3</v>
      </c>
      <c r="K12" s="172">
        <v>4</v>
      </c>
      <c r="M12" s="172" t="s">
        <v>1004</v>
      </c>
      <c r="N12" s="180">
        <v>2.1498749999999997E-2</v>
      </c>
    </row>
    <row r="13" spans="1:14" x14ac:dyDescent="0.25">
      <c r="A13" s="172" t="s">
        <v>227</v>
      </c>
      <c r="B13" s="172" t="s">
        <v>291</v>
      </c>
      <c r="C13" s="172">
        <v>100</v>
      </c>
      <c r="D13" s="172">
        <v>80</v>
      </c>
      <c r="E13" s="172" t="s">
        <v>1172</v>
      </c>
      <c r="F13" s="172">
        <v>9</v>
      </c>
      <c r="G13" s="172">
        <v>8</v>
      </c>
      <c r="H13" s="172" t="s">
        <v>285</v>
      </c>
      <c r="I13" s="172" t="s">
        <v>286</v>
      </c>
      <c r="J13" s="172">
        <v>3</v>
      </c>
      <c r="K13" s="172">
        <v>4</v>
      </c>
      <c r="M13" s="172" t="s">
        <v>1004</v>
      </c>
      <c r="N13" s="180">
        <v>3.07125E-2</v>
      </c>
    </row>
    <row r="14" spans="1:14" x14ac:dyDescent="0.25">
      <c r="A14" s="172" t="s">
        <v>828</v>
      </c>
      <c r="B14" s="172" t="s">
        <v>291</v>
      </c>
      <c r="C14" s="172">
        <v>120</v>
      </c>
      <c r="D14" s="172">
        <v>80</v>
      </c>
      <c r="E14" s="172" t="s">
        <v>1192</v>
      </c>
      <c r="F14" s="172">
        <v>8</v>
      </c>
      <c r="G14" s="172">
        <v>6</v>
      </c>
      <c r="H14" s="172" t="s">
        <v>285</v>
      </c>
      <c r="I14" s="172" t="s">
        <v>286</v>
      </c>
      <c r="J14" s="172">
        <v>2</v>
      </c>
      <c r="K14" s="172">
        <v>4</v>
      </c>
      <c r="L14" s="172" t="s">
        <v>1195</v>
      </c>
      <c r="M14" s="172" t="s">
        <v>1004</v>
      </c>
      <c r="N14" s="180">
        <v>1.7915624999999998E-2</v>
      </c>
    </row>
    <row r="15" spans="1:14" x14ac:dyDescent="0.25">
      <c r="A15" s="172" t="s">
        <v>829</v>
      </c>
      <c r="B15" s="172" t="s">
        <v>291</v>
      </c>
      <c r="C15" s="172">
        <v>120</v>
      </c>
      <c r="D15" s="172">
        <v>80</v>
      </c>
      <c r="E15" s="172" t="s">
        <v>1170</v>
      </c>
      <c r="F15" s="172">
        <v>6</v>
      </c>
      <c r="G15" s="172">
        <v>5</v>
      </c>
      <c r="H15" s="172" t="s">
        <v>285</v>
      </c>
      <c r="I15" s="172" t="s">
        <v>286</v>
      </c>
      <c r="J15" s="172">
        <v>2</v>
      </c>
      <c r="K15" s="172">
        <v>3</v>
      </c>
      <c r="M15" s="172" t="s">
        <v>1004</v>
      </c>
      <c r="N15" s="180">
        <v>1.5356249999999998E-2</v>
      </c>
    </row>
    <row r="16" spans="1:14" x14ac:dyDescent="0.25">
      <c r="A16" s="172" t="s">
        <v>830</v>
      </c>
      <c r="B16" s="172" t="s">
        <v>291</v>
      </c>
      <c r="C16" s="172">
        <v>130</v>
      </c>
      <c r="D16" s="172">
        <v>80</v>
      </c>
      <c r="E16" s="172" t="s">
        <v>1171</v>
      </c>
      <c r="F16" s="172">
        <v>6</v>
      </c>
      <c r="G16" s="172">
        <v>4</v>
      </c>
      <c r="H16" s="172" t="s">
        <v>285</v>
      </c>
      <c r="I16" s="172" t="s">
        <v>286</v>
      </c>
      <c r="J16" s="172">
        <v>2</v>
      </c>
      <c r="K16" s="172">
        <v>4</v>
      </c>
      <c r="M16" s="172" t="s">
        <v>1004</v>
      </c>
      <c r="N16" s="18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R30"/>
  <sheetViews>
    <sheetView tabSelected="1" workbookViewId="0">
      <pane ySplit="2" topLeftCell="A3" activePane="bottomLeft" state="frozen"/>
      <selection activeCell="B4" sqref="B4"/>
      <selection pane="bottomLeft" activeCell="R8" sqref="R8"/>
    </sheetView>
  </sheetViews>
  <sheetFormatPr defaultColWidth="9" defaultRowHeight="15.75" x14ac:dyDescent="0.25"/>
  <cols>
    <col min="1" max="11" width="9" style="169"/>
    <col min="12" max="12" width="20.5" style="169" bestFit="1" customWidth="1"/>
    <col min="13" max="15" width="9" style="169"/>
    <col min="16" max="16" width="11.125" style="176" customWidth="1"/>
    <col min="17" max="17" width="9" style="169"/>
    <col min="18" max="18" width="59.25" style="172" bestFit="1" customWidth="1"/>
    <col min="19" max="16384" width="9" style="169"/>
  </cols>
  <sheetData>
    <row r="1" spans="1:18" x14ac:dyDescent="0.25">
      <c r="A1" s="169" t="s">
        <v>292</v>
      </c>
      <c r="B1" s="169" t="s">
        <v>833</v>
      </c>
      <c r="C1" s="169" t="s">
        <v>834</v>
      </c>
      <c r="D1" s="169" t="s">
        <v>835</v>
      </c>
      <c r="E1" s="169" t="s">
        <v>1176</v>
      </c>
      <c r="H1" s="169" t="s">
        <v>836</v>
      </c>
      <c r="L1" s="169" t="s">
        <v>287</v>
      </c>
      <c r="M1" s="169" t="s">
        <v>1181</v>
      </c>
      <c r="N1" s="169" t="s">
        <v>1177</v>
      </c>
      <c r="P1" s="176">
        <f>SUM(Q:Q)</f>
        <v>0</v>
      </c>
      <c r="Q1" s="172"/>
      <c r="R1" s="172" t="s">
        <v>1180</v>
      </c>
    </row>
    <row r="2" spans="1:18" x14ac:dyDescent="0.25">
      <c r="C2" s="169" t="s">
        <v>293</v>
      </c>
      <c r="D2" s="169" t="s">
        <v>293</v>
      </c>
      <c r="E2" s="169" t="s">
        <v>402</v>
      </c>
      <c r="F2" s="169" t="s">
        <v>837</v>
      </c>
      <c r="G2" s="169" t="s">
        <v>838</v>
      </c>
      <c r="H2" s="169" t="s">
        <v>839</v>
      </c>
      <c r="I2" s="169" t="s">
        <v>840</v>
      </c>
      <c r="J2" s="169" t="s">
        <v>841</v>
      </c>
      <c r="K2" s="169" t="s">
        <v>842</v>
      </c>
      <c r="Q2" s="172"/>
    </row>
    <row r="3" spans="1:18" x14ac:dyDescent="0.25">
      <c r="A3" s="172" t="s">
        <v>848</v>
      </c>
      <c r="B3" s="172" t="s">
        <v>291</v>
      </c>
      <c r="C3" s="172">
        <v>90</v>
      </c>
      <c r="D3" s="172">
        <v>80</v>
      </c>
      <c r="E3" s="172" t="s">
        <v>854</v>
      </c>
      <c r="F3" s="172">
        <v>5</v>
      </c>
      <c r="G3" s="172">
        <v>4</v>
      </c>
      <c r="H3" s="172" t="s">
        <v>285</v>
      </c>
      <c r="I3" s="172" t="s">
        <v>286</v>
      </c>
      <c r="J3" s="172">
        <v>2</v>
      </c>
      <c r="K3" s="172">
        <v>3</v>
      </c>
      <c r="L3" s="172" t="s">
        <v>1003</v>
      </c>
      <c r="P3" s="176" t="s">
        <v>1004</v>
      </c>
      <c r="Q3" s="172" t="str">
        <f t="shared" ref="Q3:Q30" si="0">IF(P3&lt;&gt;"",IF(P3&lt;&gt;R3,1,""),"")</f>
        <v/>
      </c>
      <c r="R3" s="172" t="s">
        <v>1004</v>
      </c>
    </row>
    <row r="4" spans="1:18" ht="31.5" x14ac:dyDescent="0.25">
      <c r="A4" s="172" t="s">
        <v>821</v>
      </c>
      <c r="B4" s="172" t="s">
        <v>291</v>
      </c>
      <c r="C4" s="172">
        <v>90</v>
      </c>
      <c r="D4" s="172">
        <v>80</v>
      </c>
      <c r="E4" s="172" t="s">
        <v>1173</v>
      </c>
      <c r="F4" s="172">
        <v>5</v>
      </c>
      <c r="G4" s="172">
        <v>4</v>
      </c>
      <c r="H4" s="172" t="s">
        <v>285</v>
      </c>
      <c r="I4" s="172" t="s">
        <v>286</v>
      </c>
      <c r="J4" s="172">
        <v>2</v>
      </c>
      <c r="K4" s="172">
        <v>3</v>
      </c>
      <c r="L4" s="172" t="s">
        <v>1189</v>
      </c>
      <c r="P4" s="175" t="s">
        <v>1190</v>
      </c>
      <c r="Q4" s="172" t="str">
        <f t="shared" si="0"/>
        <v/>
      </c>
      <c r="R4" s="173" t="s">
        <v>1190</v>
      </c>
    </row>
    <row r="5" spans="1:18" x14ac:dyDescent="0.25">
      <c r="A5" s="172" t="s">
        <v>822</v>
      </c>
      <c r="B5" s="172" t="s">
        <v>291</v>
      </c>
      <c r="C5" s="172">
        <v>90</v>
      </c>
      <c r="D5" s="172">
        <v>80</v>
      </c>
      <c r="E5" s="172" t="s">
        <v>856</v>
      </c>
      <c r="F5" s="172">
        <v>5</v>
      </c>
      <c r="G5" s="172">
        <v>4</v>
      </c>
      <c r="H5" s="172" t="s">
        <v>285</v>
      </c>
      <c r="I5" s="172" t="s">
        <v>286</v>
      </c>
      <c r="J5" s="172">
        <v>2</v>
      </c>
      <c r="K5" s="172">
        <v>3</v>
      </c>
      <c r="L5" s="172" t="s">
        <v>1182</v>
      </c>
      <c r="P5" s="177" t="s">
        <v>1179</v>
      </c>
      <c r="Q5" s="172" t="str">
        <f t="shared" si="0"/>
        <v/>
      </c>
      <c r="R5" s="174" t="s">
        <v>1179</v>
      </c>
    </row>
    <row r="6" spans="1:18" x14ac:dyDescent="0.25">
      <c r="A6" s="172" t="s">
        <v>823</v>
      </c>
      <c r="B6" s="172" t="s">
        <v>291</v>
      </c>
      <c r="C6" s="172">
        <v>90</v>
      </c>
      <c r="D6" s="172">
        <v>80</v>
      </c>
      <c r="E6" s="172" t="s">
        <v>1183</v>
      </c>
      <c r="F6" s="172">
        <v>5</v>
      </c>
      <c r="G6" s="172">
        <v>4</v>
      </c>
      <c r="H6" s="172" t="s">
        <v>286</v>
      </c>
      <c r="I6" s="172" t="s">
        <v>286</v>
      </c>
      <c r="J6" s="172">
        <v>2</v>
      </c>
      <c r="K6" s="172">
        <v>4</v>
      </c>
      <c r="L6" s="172" t="s">
        <v>1184</v>
      </c>
      <c r="P6" s="177" t="s">
        <v>1178</v>
      </c>
      <c r="Q6" s="172" t="str">
        <f t="shared" si="0"/>
        <v/>
      </c>
      <c r="R6" s="174" t="s">
        <v>1178</v>
      </c>
    </row>
    <row r="7" spans="1:18" x14ac:dyDescent="0.25">
      <c r="A7" s="172" t="s">
        <v>824</v>
      </c>
      <c r="B7" s="172" t="s">
        <v>291</v>
      </c>
      <c r="C7" s="172">
        <v>90</v>
      </c>
      <c r="D7" s="172">
        <v>80</v>
      </c>
      <c r="E7" s="172" t="s">
        <v>856</v>
      </c>
      <c r="F7" s="172">
        <v>5</v>
      </c>
      <c r="G7" s="172">
        <v>4</v>
      </c>
      <c r="H7" s="172" t="s">
        <v>286</v>
      </c>
      <c r="I7" s="172" t="s">
        <v>286</v>
      </c>
      <c r="J7" s="172">
        <v>4</v>
      </c>
      <c r="K7" s="172">
        <v>3</v>
      </c>
      <c r="L7" s="172" t="s">
        <v>1185</v>
      </c>
      <c r="P7" s="177" t="s">
        <v>1188</v>
      </c>
      <c r="Q7" s="172" t="str">
        <f t="shared" si="0"/>
        <v/>
      </c>
      <c r="R7" s="174" t="s">
        <v>1188</v>
      </c>
    </row>
    <row r="8" spans="1:18" x14ac:dyDescent="0.25">
      <c r="A8" s="172" t="s">
        <v>825</v>
      </c>
      <c r="B8" s="172" t="s">
        <v>291</v>
      </c>
      <c r="C8" s="172">
        <v>90</v>
      </c>
      <c r="D8" s="172">
        <v>80</v>
      </c>
      <c r="E8" s="172" t="s">
        <v>856</v>
      </c>
      <c r="F8" s="172">
        <v>5</v>
      </c>
      <c r="G8" s="172">
        <v>4</v>
      </c>
      <c r="H8" s="172" t="s">
        <v>285</v>
      </c>
      <c r="I8" s="172" t="s">
        <v>286</v>
      </c>
      <c r="J8" s="172">
        <v>2</v>
      </c>
      <c r="K8" s="172">
        <v>3</v>
      </c>
      <c r="L8" s="172" t="s">
        <v>1194</v>
      </c>
      <c r="P8" s="176" t="s">
        <v>1004</v>
      </c>
      <c r="Q8" s="172" t="str">
        <f t="shared" si="0"/>
        <v/>
      </c>
      <c r="R8" s="172" t="s">
        <v>1004</v>
      </c>
    </row>
    <row r="9" spans="1:18" x14ac:dyDescent="0.25">
      <c r="A9" s="172" t="s">
        <v>826</v>
      </c>
      <c r="B9" s="172" t="s">
        <v>291</v>
      </c>
      <c r="C9" s="172">
        <v>90</v>
      </c>
      <c r="D9" s="172">
        <v>80</v>
      </c>
      <c r="E9" s="172" t="s">
        <v>1173</v>
      </c>
      <c r="F9" s="172">
        <v>5</v>
      </c>
      <c r="G9" s="172">
        <v>10</v>
      </c>
      <c r="H9" s="172" t="s">
        <v>285</v>
      </c>
      <c r="I9" s="172" t="s">
        <v>286</v>
      </c>
      <c r="J9" s="172">
        <v>2</v>
      </c>
      <c r="K9" s="172">
        <v>3</v>
      </c>
      <c r="L9" s="172" t="s">
        <v>1186</v>
      </c>
      <c r="P9" s="177" t="s">
        <v>1191</v>
      </c>
      <c r="Q9" s="172" t="str">
        <f t="shared" si="0"/>
        <v/>
      </c>
      <c r="R9" s="174" t="s">
        <v>1191</v>
      </c>
    </row>
    <row r="10" spans="1:18" x14ac:dyDescent="0.25">
      <c r="A10" s="172" t="s">
        <v>827</v>
      </c>
      <c r="B10" s="172" t="s">
        <v>291</v>
      </c>
      <c r="C10" s="172">
        <v>90</v>
      </c>
      <c r="D10" s="172">
        <v>80</v>
      </c>
      <c r="E10" s="172" t="s">
        <v>1174</v>
      </c>
      <c r="F10" s="172">
        <v>12</v>
      </c>
      <c r="G10" s="172">
        <v>5</v>
      </c>
      <c r="H10" s="172" t="s">
        <v>285</v>
      </c>
      <c r="I10" s="172" t="s">
        <v>286</v>
      </c>
      <c r="J10" s="172">
        <v>3</v>
      </c>
      <c r="K10" s="172">
        <v>3</v>
      </c>
      <c r="L10" s="172" t="s">
        <v>1187</v>
      </c>
      <c r="P10" s="177" t="s">
        <v>1198</v>
      </c>
      <c r="Q10" s="172" t="str">
        <f t="shared" si="0"/>
        <v/>
      </c>
      <c r="R10" s="174" t="s">
        <v>1198</v>
      </c>
    </row>
    <row r="11" spans="1:18" x14ac:dyDescent="0.25">
      <c r="A11" s="172" t="s">
        <v>225</v>
      </c>
      <c r="B11" s="172" t="s">
        <v>291</v>
      </c>
      <c r="C11" s="172">
        <v>90</v>
      </c>
      <c r="D11" s="172">
        <v>80</v>
      </c>
      <c r="E11" s="172" t="s">
        <v>1171</v>
      </c>
      <c r="F11" s="172">
        <v>5</v>
      </c>
      <c r="G11" s="172">
        <v>5</v>
      </c>
      <c r="H11" s="172" t="s">
        <v>285</v>
      </c>
      <c r="I11" s="172" t="s">
        <v>286</v>
      </c>
      <c r="J11" s="172">
        <v>3</v>
      </c>
      <c r="K11" s="172">
        <v>3</v>
      </c>
      <c r="L11" s="172"/>
      <c r="P11" s="176" t="s">
        <v>1004</v>
      </c>
      <c r="Q11" s="172" t="str">
        <f t="shared" si="0"/>
        <v/>
      </c>
      <c r="R11" s="172" t="s">
        <v>1004</v>
      </c>
    </row>
    <row r="12" spans="1:18" x14ac:dyDescent="0.25">
      <c r="A12" s="172" t="s">
        <v>226</v>
      </c>
      <c r="B12" s="172" t="s">
        <v>291</v>
      </c>
      <c r="C12" s="172">
        <v>100</v>
      </c>
      <c r="D12" s="172">
        <v>80</v>
      </c>
      <c r="E12" s="172" t="s">
        <v>1192</v>
      </c>
      <c r="F12" s="172">
        <v>8</v>
      </c>
      <c r="G12" s="172">
        <v>6</v>
      </c>
      <c r="H12" s="172" t="s">
        <v>285</v>
      </c>
      <c r="I12" s="172" t="s">
        <v>286</v>
      </c>
      <c r="J12" s="172">
        <v>3</v>
      </c>
      <c r="K12" s="172">
        <v>4</v>
      </c>
      <c r="L12" s="172"/>
      <c r="P12" s="176" t="s">
        <v>1004</v>
      </c>
      <c r="Q12" s="172" t="str">
        <f t="shared" si="0"/>
        <v/>
      </c>
      <c r="R12" s="172" t="s">
        <v>1004</v>
      </c>
    </row>
    <row r="13" spans="1:18" x14ac:dyDescent="0.25">
      <c r="A13" s="172" t="s">
        <v>227</v>
      </c>
      <c r="B13" s="172" t="s">
        <v>291</v>
      </c>
      <c r="C13" s="172">
        <v>100</v>
      </c>
      <c r="D13" s="172">
        <v>80</v>
      </c>
      <c r="E13" s="172" t="s">
        <v>1172</v>
      </c>
      <c r="F13" s="172">
        <v>9</v>
      </c>
      <c r="G13" s="172">
        <v>8</v>
      </c>
      <c r="H13" s="172" t="s">
        <v>285</v>
      </c>
      <c r="I13" s="172" t="s">
        <v>286</v>
      </c>
      <c r="J13" s="172">
        <v>3</v>
      </c>
      <c r="K13" s="172">
        <v>4</v>
      </c>
      <c r="L13" s="172"/>
      <c r="P13" s="176" t="s">
        <v>1004</v>
      </c>
      <c r="Q13" s="172" t="str">
        <f t="shared" si="0"/>
        <v/>
      </c>
      <c r="R13" s="172" t="s">
        <v>1004</v>
      </c>
    </row>
    <row r="14" spans="1:18" x14ac:dyDescent="0.25">
      <c r="A14" s="172" t="s">
        <v>828</v>
      </c>
      <c r="B14" s="172" t="s">
        <v>291</v>
      </c>
      <c r="C14" s="172">
        <v>120</v>
      </c>
      <c r="D14" s="172">
        <v>80</v>
      </c>
      <c r="E14" s="172" t="s">
        <v>1192</v>
      </c>
      <c r="F14" s="172">
        <v>8</v>
      </c>
      <c r="G14" s="172">
        <v>6</v>
      </c>
      <c r="H14" s="172" t="s">
        <v>285</v>
      </c>
      <c r="I14" s="172" t="s">
        <v>286</v>
      </c>
      <c r="J14" s="172">
        <v>2</v>
      </c>
      <c r="K14" s="172">
        <v>4</v>
      </c>
      <c r="L14" s="172" t="s">
        <v>1195</v>
      </c>
      <c r="P14" s="176" t="s">
        <v>1004</v>
      </c>
      <c r="Q14" s="172" t="str">
        <f t="shared" si="0"/>
        <v/>
      </c>
      <c r="R14" s="172" t="s">
        <v>1004</v>
      </c>
    </row>
    <row r="15" spans="1:18" x14ac:dyDescent="0.25">
      <c r="A15" s="172" t="s">
        <v>829</v>
      </c>
      <c r="B15" s="172" t="s">
        <v>291</v>
      </c>
      <c r="C15" s="172">
        <v>120</v>
      </c>
      <c r="D15" s="172">
        <v>80</v>
      </c>
      <c r="E15" s="172" t="s">
        <v>1170</v>
      </c>
      <c r="F15" s="172">
        <v>6</v>
      </c>
      <c r="G15" s="172">
        <v>5</v>
      </c>
      <c r="H15" s="172" t="s">
        <v>285</v>
      </c>
      <c r="I15" s="172" t="s">
        <v>286</v>
      </c>
      <c r="J15" s="172">
        <v>2</v>
      </c>
      <c r="K15" s="172">
        <v>3</v>
      </c>
      <c r="L15" s="172"/>
      <c r="P15" s="176" t="s">
        <v>1004</v>
      </c>
      <c r="Q15" s="172" t="str">
        <f t="shared" si="0"/>
        <v/>
      </c>
      <c r="R15" s="172" t="s">
        <v>1004</v>
      </c>
    </row>
    <row r="16" spans="1:18" x14ac:dyDescent="0.25">
      <c r="A16" s="172" t="s">
        <v>830</v>
      </c>
      <c r="B16" s="172" t="s">
        <v>291</v>
      </c>
      <c r="C16" s="172">
        <v>130</v>
      </c>
      <c r="D16" s="172">
        <v>80</v>
      </c>
      <c r="E16" s="172" t="s">
        <v>1171</v>
      </c>
      <c r="F16" s="172">
        <v>6</v>
      </c>
      <c r="G16" s="172">
        <v>4</v>
      </c>
      <c r="H16" s="172" t="s">
        <v>285</v>
      </c>
      <c r="I16" s="172" t="s">
        <v>286</v>
      </c>
      <c r="J16" s="172">
        <v>2</v>
      </c>
      <c r="K16" s="172">
        <v>4</v>
      </c>
      <c r="L16" s="172"/>
      <c r="P16" s="176" t="s">
        <v>1004</v>
      </c>
      <c r="Q16" s="172" t="str">
        <f t="shared" si="0"/>
        <v/>
      </c>
      <c r="R16" s="172" t="s">
        <v>1004</v>
      </c>
    </row>
    <row r="17" spans="17:17" x14ac:dyDescent="0.25">
      <c r="Q17" s="172"/>
    </row>
    <row r="18" spans="17:17" x14ac:dyDescent="0.25">
      <c r="Q18" s="172"/>
    </row>
    <row r="19" spans="17:17" x14ac:dyDescent="0.25">
      <c r="Q19" s="172"/>
    </row>
    <row r="20" spans="17:17" x14ac:dyDescent="0.25">
      <c r="Q20" s="172"/>
    </row>
    <row r="21" spans="17:17" x14ac:dyDescent="0.25">
      <c r="Q21" s="172"/>
    </row>
    <row r="22" spans="17:17" x14ac:dyDescent="0.25">
      <c r="Q22" s="172"/>
    </row>
    <row r="23" spans="17:17" x14ac:dyDescent="0.25">
      <c r="Q23" s="172"/>
    </row>
    <row r="24" spans="17:17" x14ac:dyDescent="0.25">
      <c r="Q24" s="172"/>
    </row>
    <row r="25" spans="17:17" x14ac:dyDescent="0.25">
      <c r="Q25" s="172"/>
    </row>
    <row r="26" spans="17:17" x14ac:dyDescent="0.25">
      <c r="Q26" s="172"/>
    </row>
    <row r="27" spans="17:17" x14ac:dyDescent="0.25">
      <c r="Q27" s="172"/>
    </row>
    <row r="28" spans="17:17" x14ac:dyDescent="0.25">
      <c r="Q28" s="172"/>
    </row>
    <row r="29" spans="17:17" x14ac:dyDescent="0.25">
      <c r="Q29" s="172"/>
    </row>
    <row r="30" spans="17:17" x14ac:dyDescent="0.25">
      <c r="Q30" s="172"/>
    </row>
  </sheetData>
  <phoneticPr fontId="1" type="noConversion"/>
  <conditionalFormatting sqref="P1">
    <cfRule type="cellIs" dxfId="0" priority="1" operator="greaterThan">
      <formula>0</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T90"/>
  <sheetViews>
    <sheetView topLeftCell="H1" workbookViewId="0">
      <selection activeCell="R1" sqref="R1"/>
    </sheetView>
  </sheetViews>
  <sheetFormatPr defaultColWidth="9" defaultRowHeight="15.75" x14ac:dyDescent="0.25"/>
  <cols>
    <col min="1" max="14" width="9" style="143" customWidth="1"/>
    <col min="15" max="15" width="9" style="166" customWidth="1"/>
    <col min="16" max="17" width="9" style="169"/>
    <col min="18" max="18" width="8.625" style="170" customWidth="1"/>
    <col min="19" max="19" width="9" style="169"/>
    <col min="20" max="20" width="99.375" style="169" bestFit="1" customWidth="1"/>
    <col min="21" max="16384" width="9" style="169"/>
  </cols>
  <sheetData>
    <row r="1" spans="1:20" x14ac:dyDescent="0.25">
      <c r="A1" s="143" t="s">
        <v>398</v>
      </c>
      <c r="B1" s="143" t="s">
        <v>399</v>
      </c>
      <c r="C1" s="143" t="s">
        <v>400</v>
      </c>
      <c r="D1" s="143" t="s">
        <v>401</v>
      </c>
      <c r="E1" s="143" t="s">
        <v>402</v>
      </c>
      <c r="F1" s="143" t="s">
        <v>402</v>
      </c>
      <c r="I1" s="143" t="s">
        <v>403</v>
      </c>
      <c r="J1" s="143" t="s">
        <v>404</v>
      </c>
      <c r="M1" s="143" t="s">
        <v>405</v>
      </c>
      <c r="N1" s="143" t="s">
        <v>406</v>
      </c>
      <c r="O1" s="166" t="s">
        <v>287</v>
      </c>
      <c r="P1" s="169" t="s">
        <v>1181</v>
      </c>
      <c r="R1" s="169">
        <f>SUM(S:S)</f>
        <v>0</v>
      </c>
      <c r="T1" s="169" t="s">
        <v>1181</v>
      </c>
    </row>
    <row r="2" spans="1:20" x14ac:dyDescent="0.25">
      <c r="F2" s="143" t="s">
        <v>329</v>
      </c>
      <c r="G2" s="143" t="s">
        <v>328</v>
      </c>
      <c r="H2" s="143" t="s">
        <v>331</v>
      </c>
      <c r="J2" s="143" t="s">
        <v>329</v>
      </c>
      <c r="K2" s="143" t="s">
        <v>328</v>
      </c>
      <c r="L2" s="143" t="s">
        <v>331</v>
      </c>
    </row>
    <row r="3" spans="1:20" x14ac:dyDescent="0.25">
      <c r="A3" s="189" t="s">
        <v>1084</v>
      </c>
      <c r="B3" s="189" t="s">
        <v>1085</v>
      </c>
      <c r="C3" s="189">
        <v>60</v>
      </c>
      <c r="D3" s="189">
        <v>90</v>
      </c>
      <c r="E3" s="169" t="s">
        <v>407</v>
      </c>
      <c r="F3" s="169" t="s">
        <v>854</v>
      </c>
      <c r="G3" s="169" t="s">
        <v>852</v>
      </c>
      <c r="H3" s="169" t="s">
        <v>854</v>
      </c>
      <c r="I3" s="189" t="s">
        <v>850</v>
      </c>
      <c r="J3" s="189" t="s">
        <v>851</v>
      </c>
      <c r="K3" s="189" t="s">
        <v>851</v>
      </c>
      <c r="L3" s="189" t="s">
        <v>851</v>
      </c>
      <c r="M3" s="189">
        <v>830</v>
      </c>
      <c r="N3" s="189">
        <v>90</v>
      </c>
      <c r="O3" s="166" t="s">
        <v>1010</v>
      </c>
      <c r="R3" s="185" t="s">
        <v>1004</v>
      </c>
      <c r="S3" s="169" t="str">
        <f t="shared" ref="S3:S34" si="0">IF(R3&lt;&gt;"",IF(R3&lt;&gt;T3,1,""),"")</f>
        <v/>
      </c>
      <c r="T3" s="189" t="s">
        <v>1004</v>
      </c>
    </row>
    <row r="4" spans="1:20" x14ac:dyDescent="0.25">
      <c r="A4" s="189"/>
      <c r="B4" s="189"/>
      <c r="C4" s="189"/>
      <c r="D4" s="189"/>
      <c r="E4" s="169" t="s">
        <v>408</v>
      </c>
      <c r="F4" s="169" t="s">
        <v>855</v>
      </c>
      <c r="G4" s="169">
        <v>0</v>
      </c>
      <c r="H4" s="169" t="s">
        <v>852</v>
      </c>
      <c r="I4" s="189"/>
      <c r="J4" s="189"/>
      <c r="K4" s="189"/>
      <c r="L4" s="189"/>
      <c r="M4" s="189"/>
      <c r="N4" s="189"/>
      <c r="R4" s="185"/>
      <c r="S4" s="169" t="str">
        <f t="shared" si="0"/>
        <v/>
      </c>
      <c r="T4" s="189"/>
    </row>
    <row r="5" spans="1:20" x14ac:dyDescent="0.25">
      <c r="A5" s="189"/>
      <c r="B5" s="189"/>
      <c r="C5" s="189"/>
      <c r="D5" s="189"/>
      <c r="E5" s="169" t="s">
        <v>407</v>
      </c>
      <c r="F5" s="169" t="s">
        <v>849</v>
      </c>
      <c r="G5" s="169">
        <v>0</v>
      </c>
      <c r="H5" s="169" t="s">
        <v>849</v>
      </c>
      <c r="I5" s="189"/>
      <c r="J5" s="189"/>
      <c r="K5" s="189"/>
      <c r="L5" s="189"/>
      <c r="M5" s="189"/>
      <c r="N5" s="189"/>
      <c r="R5" s="185"/>
      <c r="S5" s="169" t="str">
        <f t="shared" si="0"/>
        <v/>
      </c>
      <c r="T5" s="189"/>
    </row>
    <row r="6" spans="1:20" x14ac:dyDescent="0.25">
      <c r="A6" s="189"/>
      <c r="B6" s="189"/>
      <c r="C6" s="189"/>
      <c r="D6" s="189"/>
      <c r="E6" s="169" t="s">
        <v>408</v>
      </c>
      <c r="F6" s="169" t="s">
        <v>854</v>
      </c>
      <c r="G6" s="169" t="s">
        <v>853</v>
      </c>
      <c r="H6" s="169" t="s">
        <v>854</v>
      </c>
      <c r="I6" s="189"/>
      <c r="J6" s="189"/>
      <c r="K6" s="189"/>
      <c r="L6" s="189"/>
      <c r="M6" s="189"/>
      <c r="N6" s="189"/>
      <c r="R6" s="185"/>
      <c r="S6" s="169" t="str">
        <f t="shared" si="0"/>
        <v/>
      </c>
      <c r="T6" s="189"/>
    </row>
    <row r="7" spans="1:20" ht="15.75" customHeight="1" x14ac:dyDescent="0.25">
      <c r="A7" s="189" t="s">
        <v>1084</v>
      </c>
      <c r="B7" s="189" t="s">
        <v>1090</v>
      </c>
      <c r="C7" s="189">
        <v>60</v>
      </c>
      <c r="D7" s="189">
        <v>90</v>
      </c>
      <c r="E7" s="169" t="s">
        <v>407</v>
      </c>
      <c r="F7" s="169" t="s">
        <v>1086</v>
      </c>
      <c r="G7" s="169" t="s">
        <v>1086</v>
      </c>
      <c r="H7" s="169" t="s">
        <v>1086</v>
      </c>
      <c r="I7" s="189" t="s">
        <v>850</v>
      </c>
      <c r="J7" s="189" t="s">
        <v>851</v>
      </c>
      <c r="K7" s="189" t="s">
        <v>851</v>
      </c>
      <c r="L7" s="189" t="s">
        <v>851</v>
      </c>
      <c r="M7" s="189">
        <v>830</v>
      </c>
      <c r="N7" s="189">
        <v>90</v>
      </c>
      <c r="O7" s="166" t="s">
        <v>1088</v>
      </c>
      <c r="R7" s="186" t="s">
        <v>1087</v>
      </c>
      <c r="S7" s="169" t="str">
        <f t="shared" si="0"/>
        <v/>
      </c>
      <c r="T7" s="188" t="s">
        <v>1087</v>
      </c>
    </row>
    <row r="8" spans="1:20" x14ac:dyDescent="0.25">
      <c r="A8" s="189"/>
      <c r="B8" s="189"/>
      <c r="C8" s="189"/>
      <c r="D8" s="189"/>
      <c r="E8" s="169" t="s">
        <v>408</v>
      </c>
      <c r="F8" s="169">
        <v>0</v>
      </c>
      <c r="G8" s="169">
        <v>0</v>
      </c>
      <c r="H8" s="169">
        <v>0</v>
      </c>
      <c r="I8" s="189"/>
      <c r="J8" s="189"/>
      <c r="K8" s="189"/>
      <c r="L8" s="189"/>
      <c r="M8" s="189"/>
      <c r="N8" s="189"/>
      <c r="R8" s="185"/>
      <c r="S8" s="169" t="str">
        <f t="shared" si="0"/>
        <v/>
      </c>
      <c r="T8" s="189"/>
    </row>
    <row r="9" spans="1:20" x14ac:dyDescent="0.25">
      <c r="A9" s="189"/>
      <c r="B9" s="189"/>
      <c r="C9" s="189"/>
      <c r="D9" s="189"/>
      <c r="E9" s="169" t="s">
        <v>407</v>
      </c>
      <c r="F9" s="169">
        <v>0</v>
      </c>
      <c r="G9" s="169">
        <v>0</v>
      </c>
      <c r="H9" s="169">
        <v>0</v>
      </c>
      <c r="I9" s="189"/>
      <c r="J9" s="189"/>
      <c r="K9" s="189"/>
      <c r="L9" s="189"/>
      <c r="M9" s="189"/>
      <c r="N9" s="189"/>
      <c r="R9" s="185"/>
      <c r="S9" s="169" t="str">
        <f t="shared" si="0"/>
        <v/>
      </c>
      <c r="T9" s="189"/>
    </row>
    <row r="10" spans="1:20" x14ac:dyDescent="0.25">
      <c r="A10" s="189"/>
      <c r="B10" s="189"/>
      <c r="C10" s="189"/>
      <c r="D10" s="189"/>
      <c r="E10" s="169" t="s">
        <v>408</v>
      </c>
      <c r="F10" s="169" t="s">
        <v>1086</v>
      </c>
      <c r="G10" s="169" t="s">
        <v>1086</v>
      </c>
      <c r="H10" s="169" t="s">
        <v>1086</v>
      </c>
      <c r="I10" s="189"/>
      <c r="J10" s="189"/>
      <c r="K10" s="189"/>
      <c r="L10" s="189"/>
      <c r="M10" s="189"/>
      <c r="N10" s="189"/>
      <c r="R10" s="185"/>
      <c r="S10" s="169" t="str">
        <f t="shared" si="0"/>
        <v/>
      </c>
      <c r="T10" s="189"/>
    </row>
    <row r="11" spans="1:20" x14ac:dyDescent="0.25">
      <c r="A11" s="189" t="s">
        <v>1084</v>
      </c>
      <c r="B11" s="189" t="s">
        <v>1091</v>
      </c>
      <c r="C11" s="189">
        <v>60</v>
      </c>
      <c r="D11" s="189">
        <v>100</v>
      </c>
      <c r="E11" s="169" t="s">
        <v>407</v>
      </c>
      <c r="F11" s="169" t="s">
        <v>854</v>
      </c>
      <c r="G11" s="169" t="s">
        <v>852</v>
      </c>
      <c r="H11" s="169" t="s">
        <v>854</v>
      </c>
      <c r="I11" s="189" t="s">
        <v>850</v>
      </c>
      <c r="J11" s="189" t="s">
        <v>851</v>
      </c>
      <c r="K11" s="189" t="s">
        <v>851</v>
      </c>
      <c r="L11" s="189" t="s">
        <v>851</v>
      </c>
      <c r="M11" s="189">
        <v>830</v>
      </c>
      <c r="N11" s="189">
        <v>90</v>
      </c>
      <c r="O11" s="166" t="s">
        <v>1089</v>
      </c>
      <c r="R11" s="187" t="s">
        <v>1081</v>
      </c>
      <c r="S11" s="169" t="str">
        <f t="shared" si="0"/>
        <v/>
      </c>
      <c r="T11" s="190" t="s">
        <v>1081</v>
      </c>
    </row>
    <row r="12" spans="1:20" x14ac:dyDescent="0.25">
      <c r="A12" s="189"/>
      <c r="B12" s="189"/>
      <c r="C12" s="189"/>
      <c r="D12" s="189"/>
      <c r="E12" s="169" t="s">
        <v>408</v>
      </c>
      <c r="F12" s="169" t="s">
        <v>855</v>
      </c>
      <c r="G12" s="169">
        <v>0</v>
      </c>
      <c r="H12" s="169" t="s">
        <v>852</v>
      </c>
      <c r="I12" s="189"/>
      <c r="J12" s="189"/>
      <c r="K12" s="189"/>
      <c r="L12" s="189"/>
      <c r="M12" s="189"/>
      <c r="N12" s="189"/>
      <c r="R12" s="185"/>
      <c r="S12" s="169" t="str">
        <f t="shared" si="0"/>
        <v/>
      </c>
      <c r="T12" s="189"/>
    </row>
    <row r="13" spans="1:20" x14ac:dyDescent="0.25">
      <c r="A13" s="189"/>
      <c r="B13" s="189"/>
      <c r="C13" s="189"/>
      <c r="D13" s="189"/>
      <c r="E13" s="169" t="s">
        <v>407</v>
      </c>
      <c r="F13" s="169" t="s">
        <v>849</v>
      </c>
      <c r="G13" s="169">
        <v>0</v>
      </c>
      <c r="H13" s="169" t="s">
        <v>849</v>
      </c>
      <c r="I13" s="189"/>
      <c r="J13" s="189"/>
      <c r="K13" s="189"/>
      <c r="L13" s="189"/>
      <c r="M13" s="189"/>
      <c r="N13" s="189"/>
      <c r="R13" s="185"/>
      <c r="S13" s="169" t="str">
        <f t="shared" si="0"/>
        <v/>
      </c>
      <c r="T13" s="189"/>
    </row>
    <row r="14" spans="1:20" x14ac:dyDescent="0.25">
      <c r="A14" s="189"/>
      <c r="B14" s="189"/>
      <c r="C14" s="189"/>
      <c r="D14" s="189"/>
      <c r="E14" s="169" t="s">
        <v>408</v>
      </c>
      <c r="F14" s="169" t="s">
        <v>854</v>
      </c>
      <c r="G14" s="169" t="s">
        <v>853</v>
      </c>
      <c r="H14" s="169" t="s">
        <v>854</v>
      </c>
      <c r="I14" s="189"/>
      <c r="J14" s="189"/>
      <c r="K14" s="189"/>
      <c r="L14" s="189"/>
      <c r="M14" s="189"/>
      <c r="N14" s="189"/>
      <c r="R14" s="185"/>
      <c r="S14" s="169" t="str">
        <f t="shared" si="0"/>
        <v/>
      </c>
      <c r="T14" s="189"/>
    </row>
    <row r="15" spans="1:20" x14ac:dyDescent="0.25">
      <c r="A15" s="189" t="s">
        <v>1084</v>
      </c>
      <c r="B15" s="189" t="s">
        <v>1096</v>
      </c>
      <c r="C15" s="189">
        <v>60</v>
      </c>
      <c r="D15" s="189">
        <v>90</v>
      </c>
      <c r="E15" s="169" t="s">
        <v>407</v>
      </c>
      <c r="F15" s="169" t="s">
        <v>854</v>
      </c>
      <c r="G15" s="169" t="s">
        <v>852</v>
      </c>
      <c r="H15" s="169" t="s">
        <v>854</v>
      </c>
      <c r="I15" s="189" t="s">
        <v>850</v>
      </c>
      <c r="J15" s="189" t="s">
        <v>851</v>
      </c>
      <c r="K15" s="189" t="s">
        <v>851</v>
      </c>
      <c r="L15" s="189" t="s">
        <v>851</v>
      </c>
      <c r="M15" s="189">
        <v>400</v>
      </c>
      <c r="N15" s="189">
        <v>90</v>
      </c>
      <c r="O15" s="166" t="s">
        <v>1092</v>
      </c>
      <c r="R15" s="187" t="s">
        <v>1083</v>
      </c>
      <c r="S15" s="169" t="str">
        <f t="shared" si="0"/>
        <v/>
      </c>
      <c r="T15" s="190" t="s">
        <v>1083</v>
      </c>
    </row>
    <row r="16" spans="1:20" x14ac:dyDescent="0.25">
      <c r="A16" s="189"/>
      <c r="B16" s="189"/>
      <c r="C16" s="189"/>
      <c r="D16" s="189"/>
      <c r="E16" s="169" t="s">
        <v>408</v>
      </c>
      <c r="F16" s="169" t="s">
        <v>855</v>
      </c>
      <c r="G16" s="169">
        <v>0</v>
      </c>
      <c r="H16" s="169" t="s">
        <v>852</v>
      </c>
      <c r="I16" s="189"/>
      <c r="J16" s="189"/>
      <c r="K16" s="189"/>
      <c r="L16" s="189"/>
      <c r="M16" s="189"/>
      <c r="N16" s="189"/>
      <c r="R16" s="185"/>
      <c r="S16" s="169" t="str">
        <f t="shared" si="0"/>
        <v/>
      </c>
      <c r="T16" s="189"/>
    </row>
    <row r="17" spans="1:20" x14ac:dyDescent="0.25">
      <c r="A17" s="189"/>
      <c r="B17" s="189"/>
      <c r="C17" s="189"/>
      <c r="D17" s="189"/>
      <c r="E17" s="169" t="s">
        <v>407</v>
      </c>
      <c r="F17" s="169" t="s">
        <v>849</v>
      </c>
      <c r="G17" s="169">
        <v>0</v>
      </c>
      <c r="H17" s="169" t="s">
        <v>849</v>
      </c>
      <c r="I17" s="189"/>
      <c r="J17" s="189"/>
      <c r="K17" s="189"/>
      <c r="L17" s="189"/>
      <c r="M17" s="189"/>
      <c r="N17" s="189"/>
      <c r="R17" s="185"/>
      <c r="S17" s="169" t="str">
        <f t="shared" si="0"/>
        <v/>
      </c>
      <c r="T17" s="189"/>
    </row>
    <row r="18" spans="1:20" x14ac:dyDescent="0.25">
      <c r="A18" s="189"/>
      <c r="B18" s="189"/>
      <c r="C18" s="189"/>
      <c r="D18" s="189"/>
      <c r="E18" s="169" t="s">
        <v>408</v>
      </c>
      <c r="F18" s="169" t="s">
        <v>854</v>
      </c>
      <c r="G18" s="169" t="s">
        <v>853</v>
      </c>
      <c r="H18" s="169" t="s">
        <v>854</v>
      </c>
      <c r="I18" s="189"/>
      <c r="J18" s="189"/>
      <c r="K18" s="189"/>
      <c r="L18" s="189"/>
      <c r="M18" s="189"/>
      <c r="N18" s="189"/>
      <c r="R18" s="185"/>
      <c r="S18" s="169" t="str">
        <f t="shared" si="0"/>
        <v/>
      </c>
      <c r="T18" s="189"/>
    </row>
    <row r="19" spans="1:20" x14ac:dyDescent="0.25">
      <c r="A19" s="189" t="s">
        <v>1084</v>
      </c>
      <c r="B19" s="189" t="s">
        <v>1095</v>
      </c>
      <c r="C19" s="189">
        <v>60</v>
      </c>
      <c r="D19" s="189">
        <v>90</v>
      </c>
      <c r="E19" s="169" t="s">
        <v>407</v>
      </c>
      <c r="F19" s="169" t="s">
        <v>854</v>
      </c>
      <c r="G19" s="169" t="s">
        <v>852</v>
      </c>
      <c r="H19" s="169" t="s">
        <v>854</v>
      </c>
      <c r="I19" s="189" t="s">
        <v>850</v>
      </c>
      <c r="J19" s="191" t="s">
        <v>1097</v>
      </c>
      <c r="K19" s="189" t="s">
        <v>851</v>
      </c>
      <c r="L19" s="189" t="s">
        <v>851</v>
      </c>
      <c r="M19" s="189">
        <v>830</v>
      </c>
      <c r="N19" s="189">
        <v>90</v>
      </c>
      <c r="O19" s="166" t="s">
        <v>1094</v>
      </c>
      <c r="R19" s="187" t="s">
        <v>1098</v>
      </c>
      <c r="S19" s="169" t="str">
        <f t="shared" si="0"/>
        <v/>
      </c>
      <c r="T19" s="190" t="s">
        <v>1098</v>
      </c>
    </row>
    <row r="20" spans="1:20" x14ac:dyDescent="0.25">
      <c r="A20" s="189"/>
      <c r="B20" s="189"/>
      <c r="C20" s="189"/>
      <c r="D20" s="189"/>
      <c r="E20" s="169" t="s">
        <v>408</v>
      </c>
      <c r="F20" s="169" t="s">
        <v>855</v>
      </c>
      <c r="G20" s="169">
        <v>0</v>
      </c>
      <c r="H20" s="169" t="s">
        <v>852</v>
      </c>
      <c r="I20" s="189"/>
      <c r="J20" s="189"/>
      <c r="K20" s="189"/>
      <c r="L20" s="189"/>
      <c r="M20" s="189"/>
      <c r="N20" s="189"/>
      <c r="R20" s="185"/>
      <c r="S20" s="169" t="str">
        <f t="shared" si="0"/>
        <v/>
      </c>
      <c r="T20" s="189"/>
    </row>
    <row r="21" spans="1:20" x14ac:dyDescent="0.25">
      <c r="A21" s="189"/>
      <c r="B21" s="189"/>
      <c r="C21" s="189"/>
      <c r="D21" s="189"/>
      <c r="E21" s="169" t="s">
        <v>407</v>
      </c>
      <c r="F21" s="169" t="s">
        <v>849</v>
      </c>
      <c r="G21" s="169">
        <v>0</v>
      </c>
      <c r="H21" s="169" t="s">
        <v>849</v>
      </c>
      <c r="I21" s="189"/>
      <c r="J21" s="189"/>
      <c r="K21" s="189"/>
      <c r="L21" s="189"/>
      <c r="M21" s="189"/>
      <c r="N21" s="189"/>
      <c r="R21" s="185"/>
      <c r="S21" s="169" t="str">
        <f t="shared" si="0"/>
        <v/>
      </c>
      <c r="T21" s="189"/>
    </row>
    <row r="22" spans="1:20" x14ac:dyDescent="0.25">
      <c r="A22" s="189"/>
      <c r="B22" s="189"/>
      <c r="C22" s="189"/>
      <c r="D22" s="189"/>
      <c r="E22" s="169" t="s">
        <v>408</v>
      </c>
      <c r="F22" s="169" t="s">
        <v>854</v>
      </c>
      <c r="G22" s="169" t="s">
        <v>853</v>
      </c>
      <c r="H22" s="169" t="s">
        <v>854</v>
      </c>
      <c r="I22" s="189"/>
      <c r="J22" s="189"/>
      <c r="K22" s="189"/>
      <c r="L22" s="189"/>
      <c r="M22" s="189"/>
      <c r="N22" s="189"/>
      <c r="R22" s="185"/>
      <c r="S22" s="169" t="str">
        <f t="shared" si="0"/>
        <v/>
      </c>
      <c r="T22" s="189"/>
    </row>
    <row r="23" spans="1:20" x14ac:dyDescent="0.25">
      <c r="A23" s="189" t="s">
        <v>1084</v>
      </c>
      <c r="B23" s="189" t="s">
        <v>1099</v>
      </c>
      <c r="C23" s="189">
        <v>60</v>
      </c>
      <c r="D23" s="189">
        <v>90</v>
      </c>
      <c r="E23" s="169" t="s">
        <v>407</v>
      </c>
      <c r="F23" s="169" t="s">
        <v>1101</v>
      </c>
      <c r="G23" s="169" t="s">
        <v>852</v>
      </c>
      <c r="H23" s="169" t="s">
        <v>854</v>
      </c>
      <c r="I23" s="189" t="s">
        <v>850</v>
      </c>
      <c r="J23" s="189" t="s">
        <v>851</v>
      </c>
      <c r="K23" s="189" t="s">
        <v>851</v>
      </c>
      <c r="L23" s="189" t="s">
        <v>851</v>
      </c>
      <c r="M23" s="189">
        <v>830</v>
      </c>
      <c r="N23" s="189">
        <v>90</v>
      </c>
      <c r="O23" s="166" t="s">
        <v>1093</v>
      </c>
      <c r="R23" s="187" t="s">
        <v>1080</v>
      </c>
      <c r="S23" s="169" t="str">
        <f t="shared" si="0"/>
        <v/>
      </c>
      <c r="T23" s="190" t="s">
        <v>1080</v>
      </c>
    </row>
    <row r="24" spans="1:20" x14ac:dyDescent="0.25">
      <c r="A24" s="189"/>
      <c r="B24" s="189"/>
      <c r="C24" s="189"/>
      <c r="D24" s="189"/>
      <c r="E24" s="169" t="s">
        <v>408</v>
      </c>
      <c r="F24" s="169" t="s">
        <v>855</v>
      </c>
      <c r="G24" s="169">
        <v>0</v>
      </c>
      <c r="H24" s="169" t="s">
        <v>852</v>
      </c>
      <c r="I24" s="189"/>
      <c r="J24" s="189"/>
      <c r="K24" s="189"/>
      <c r="L24" s="189"/>
      <c r="M24" s="189"/>
      <c r="N24" s="189"/>
      <c r="R24" s="185"/>
      <c r="S24" s="169" t="str">
        <f t="shared" si="0"/>
        <v/>
      </c>
      <c r="T24" s="189"/>
    </row>
    <row r="25" spans="1:20" x14ac:dyDescent="0.25">
      <c r="A25" s="189"/>
      <c r="B25" s="189"/>
      <c r="C25" s="189"/>
      <c r="D25" s="189"/>
      <c r="E25" s="169" t="s">
        <v>407</v>
      </c>
      <c r="F25" s="169" t="s">
        <v>849</v>
      </c>
      <c r="G25" s="169">
        <v>0</v>
      </c>
      <c r="H25" s="169" t="s">
        <v>849</v>
      </c>
      <c r="I25" s="189"/>
      <c r="J25" s="189"/>
      <c r="K25" s="189"/>
      <c r="L25" s="189"/>
      <c r="M25" s="189"/>
      <c r="N25" s="189"/>
      <c r="R25" s="185"/>
      <c r="S25" s="169" t="str">
        <f t="shared" si="0"/>
        <v/>
      </c>
      <c r="T25" s="189"/>
    </row>
    <row r="26" spans="1:20" x14ac:dyDescent="0.25">
      <c r="A26" s="189"/>
      <c r="B26" s="189"/>
      <c r="C26" s="189"/>
      <c r="D26" s="189"/>
      <c r="E26" s="169" t="s">
        <v>408</v>
      </c>
      <c r="F26" s="169" t="s">
        <v>854</v>
      </c>
      <c r="G26" s="169" t="s">
        <v>853</v>
      </c>
      <c r="H26" s="169" t="s">
        <v>854</v>
      </c>
      <c r="I26" s="189"/>
      <c r="J26" s="189"/>
      <c r="K26" s="189"/>
      <c r="L26" s="189"/>
      <c r="M26" s="189"/>
      <c r="N26" s="189"/>
      <c r="R26" s="185"/>
      <c r="S26" s="169" t="str">
        <f t="shared" si="0"/>
        <v/>
      </c>
      <c r="T26" s="189"/>
    </row>
    <row r="27" spans="1:20" x14ac:dyDescent="0.25">
      <c r="A27" s="189" t="s">
        <v>1084</v>
      </c>
      <c r="B27" s="189" t="s">
        <v>1104</v>
      </c>
      <c r="C27" s="189">
        <v>30</v>
      </c>
      <c r="D27" s="189">
        <v>50</v>
      </c>
      <c r="E27" s="169" t="s">
        <v>407</v>
      </c>
      <c r="F27" s="169" t="s">
        <v>849</v>
      </c>
      <c r="G27" s="169" t="s">
        <v>1102</v>
      </c>
      <c r="H27" s="169" t="s">
        <v>849</v>
      </c>
      <c r="I27" s="189" t="s">
        <v>850</v>
      </c>
      <c r="J27" s="189" t="s">
        <v>851</v>
      </c>
      <c r="K27" s="189" t="s">
        <v>851</v>
      </c>
      <c r="L27" s="189" t="s">
        <v>851</v>
      </c>
      <c r="M27" s="189">
        <v>830</v>
      </c>
      <c r="N27" s="189">
        <v>90</v>
      </c>
      <c r="O27" s="166" t="s">
        <v>1105</v>
      </c>
      <c r="R27" s="187" t="s">
        <v>1103</v>
      </c>
      <c r="S27" s="169" t="str">
        <f t="shared" si="0"/>
        <v/>
      </c>
      <c r="T27" s="190" t="s">
        <v>1103</v>
      </c>
    </row>
    <row r="28" spans="1:20" x14ac:dyDescent="0.25">
      <c r="A28" s="189"/>
      <c r="B28" s="189"/>
      <c r="C28" s="189"/>
      <c r="D28" s="189"/>
      <c r="E28" s="169" t="s">
        <v>408</v>
      </c>
      <c r="F28" s="169">
        <v>0</v>
      </c>
      <c r="G28" s="169">
        <v>0</v>
      </c>
      <c r="H28" s="169">
        <v>0</v>
      </c>
      <c r="I28" s="189"/>
      <c r="J28" s="189"/>
      <c r="K28" s="189"/>
      <c r="L28" s="189"/>
      <c r="M28" s="189"/>
      <c r="N28" s="189"/>
      <c r="R28" s="185"/>
      <c r="S28" s="169" t="str">
        <f t="shared" si="0"/>
        <v/>
      </c>
      <c r="T28" s="189"/>
    </row>
    <row r="29" spans="1:20" x14ac:dyDescent="0.25">
      <c r="A29" s="189"/>
      <c r="B29" s="189"/>
      <c r="C29" s="189"/>
      <c r="D29" s="189"/>
      <c r="E29" s="169" t="s">
        <v>407</v>
      </c>
      <c r="F29" s="169">
        <v>0</v>
      </c>
      <c r="G29" s="169">
        <v>0</v>
      </c>
      <c r="H29" s="169">
        <v>0</v>
      </c>
      <c r="I29" s="189"/>
      <c r="J29" s="189"/>
      <c r="K29" s="189"/>
      <c r="L29" s="189"/>
      <c r="M29" s="189"/>
      <c r="N29" s="189"/>
      <c r="R29" s="185"/>
      <c r="S29" s="169" t="str">
        <f t="shared" si="0"/>
        <v/>
      </c>
      <c r="T29" s="189"/>
    </row>
    <row r="30" spans="1:20" x14ac:dyDescent="0.25">
      <c r="A30" s="189"/>
      <c r="B30" s="189"/>
      <c r="C30" s="189"/>
      <c r="D30" s="189"/>
      <c r="E30" s="169" t="s">
        <v>408</v>
      </c>
      <c r="F30" s="169" t="s">
        <v>849</v>
      </c>
      <c r="G30" s="169" t="s">
        <v>849</v>
      </c>
      <c r="H30" s="169" t="s">
        <v>849</v>
      </c>
      <c r="I30" s="189"/>
      <c r="J30" s="189"/>
      <c r="K30" s="189"/>
      <c r="L30" s="189"/>
      <c r="M30" s="189"/>
      <c r="N30" s="189"/>
      <c r="R30" s="185"/>
      <c r="S30" s="169" t="str">
        <f t="shared" si="0"/>
        <v/>
      </c>
      <c r="T30" s="189"/>
    </row>
    <row r="31" spans="1:20" x14ac:dyDescent="0.25">
      <c r="A31" s="189" t="s">
        <v>1084</v>
      </c>
      <c r="B31" s="189" t="s">
        <v>1110</v>
      </c>
      <c r="C31" s="189">
        <v>60</v>
      </c>
      <c r="D31" s="189">
        <v>90</v>
      </c>
      <c r="E31" s="169" t="s">
        <v>407</v>
      </c>
      <c r="F31" s="169" t="s">
        <v>1100</v>
      </c>
      <c r="G31" s="169" t="s">
        <v>852</v>
      </c>
      <c r="H31" s="169" t="s">
        <v>854</v>
      </c>
      <c r="I31" s="189" t="s">
        <v>850</v>
      </c>
      <c r="J31" s="189" t="s">
        <v>851</v>
      </c>
      <c r="K31" s="189" t="s">
        <v>851</v>
      </c>
      <c r="L31" s="189" t="s">
        <v>851</v>
      </c>
      <c r="M31" s="189">
        <v>830</v>
      </c>
      <c r="N31" s="189">
        <v>90</v>
      </c>
      <c r="O31" s="166" t="s">
        <v>1107</v>
      </c>
      <c r="R31" s="185" t="s">
        <v>1004</v>
      </c>
      <c r="S31" s="169" t="str">
        <f t="shared" si="0"/>
        <v/>
      </c>
      <c r="T31" s="189" t="s">
        <v>1004</v>
      </c>
    </row>
    <row r="32" spans="1:20" x14ac:dyDescent="0.25">
      <c r="A32" s="189"/>
      <c r="B32" s="189"/>
      <c r="C32" s="189"/>
      <c r="D32" s="189"/>
      <c r="E32" s="169" t="s">
        <v>408</v>
      </c>
      <c r="F32" s="169" t="s">
        <v>1100</v>
      </c>
      <c r="G32" s="169">
        <v>0</v>
      </c>
      <c r="H32" s="169" t="s">
        <v>852</v>
      </c>
      <c r="I32" s="189"/>
      <c r="J32" s="189"/>
      <c r="K32" s="189"/>
      <c r="L32" s="189"/>
      <c r="M32" s="189"/>
      <c r="N32" s="189"/>
      <c r="R32" s="185"/>
      <c r="S32" s="169" t="str">
        <f t="shared" si="0"/>
        <v/>
      </c>
      <c r="T32" s="189"/>
    </row>
    <row r="33" spans="1:20" x14ac:dyDescent="0.25">
      <c r="A33" s="189"/>
      <c r="B33" s="189"/>
      <c r="C33" s="189"/>
      <c r="D33" s="189"/>
      <c r="E33" s="169" t="s">
        <v>407</v>
      </c>
      <c r="F33" s="169" t="s">
        <v>849</v>
      </c>
      <c r="G33" s="169">
        <v>0</v>
      </c>
      <c r="H33" s="169" t="s">
        <v>849</v>
      </c>
      <c r="I33" s="189"/>
      <c r="J33" s="189"/>
      <c r="K33" s="189"/>
      <c r="L33" s="189"/>
      <c r="M33" s="189"/>
      <c r="N33" s="189"/>
      <c r="R33" s="185"/>
      <c r="S33" s="169" t="str">
        <f t="shared" si="0"/>
        <v/>
      </c>
      <c r="T33" s="189"/>
    </row>
    <row r="34" spans="1:20" x14ac:dyDescent="0.25">
      <c r="A34" s="189"/>
      <c r="B34" s="189"/>
      <c r="C34" s="189"/>
      <c r="D34" s="189"/>
      <c r="E34" s="169" t="s">
        <v>408</v>
      </c>
      <c r="F34" s="169" t="s">
        <v>854</v>
      </c>
      <c r="G34" s="169" t="s">
        <v>853</v>
      </c>
      <c r="H34" s="169" t="s">
        <v>854</v>
      </c>
      <c r="I34" s="189"/>
      <c r="J34" s="189"/>
      <c r="K34" s="189"/>
      <c r="L34" s="189"/>
      <c r="M34" s="189"/>
      <c r="N34" s="189"/>
      <c r="R34" s="185"/>
      <c r="S34" s="169" t="str">
        <f t="shared" si="0"/>
        <v/>
      </c>
      <c r="T34" s="189"/>
    </row>
    <row r="35" spans="1:20" x14ac:dyDescent="0.25">
      <c r="A35" s="189" t="s">
        <v>1108</v>
      </c>
      <c r="B35" s="189" t="s">
        <v>1110</v>
      </c>
      <c r="C35" s="189">
        <v>60</v>
      </c>
      <c r="D35" s="189">
        <v>90</v>
      </c>
      <c r="E35" s="169" t="s">
        <v>407</v>
      </c>
      <c r="F35" s="169" t="s">
        <v>1100</v>
      </c>
      <c r="G35" s="169" t="s">
        <v>1100</v>
      </c>
      <c r="H35" s="169" t="s">
        <v>1100</v>
      </c>
      <c r="I35" s="189" t="s">
        <v>850</v>
      </c>
      <c r="J35" s="189" t="s">
        <v>851</v>
      </c>
      <c r="K35" s="189" t="s">
        <v>851</v>
      </c>
      <c r="L35" s="189" t="s">
        <v>851</v>
      </c>
      <c r="M35" s="189">
        <v>830</v>
      </c>
      <c r="N35" s="189">
        <v>90</v>
      </c>
      <c r="O35" s="166" t="s">
        <v>1106</v>
      </c>
      <c r="R35" s="185" t="s">
        <v>1004</v>
      </c>
      <c r="S35" s="169" t="str">
        <f t="shared" ref="S35:S66" si="1">IF(R35&lt;&gt;"",IF(R35&lt;&gt;T35,1,""),"")</f>
        <v/>
      </c>
      <c r="T35" s="189" t="s">
        <v>1004</v>
      </c>
    </row>
    <row r="36" spans="1:20" x14ac:dyDescent="0.25">
      <c r="A36" s="189"/>
      <c r="B36" s="189"/>
      <c r="C36" s="189"/>
      <c r="D36" s="189"/>
      <c r="E36" s="169" t="s">
        <v>408</v>
      </c>
      <c r="F36" s="169" t="s">
        <v>1100</v>
      </c>
      <c r="G36" s="169" t="s">
        <v>1100</v>
      </c>
      <c r="H36" s="169" t="s">
        <v>1100</v>
      </c>
      <c r="I36" s="189"/>
      <c r="J36" s="189"/>
      <c r="K36" s="189"/>
      <c r="L36" s="189"/>
      <c r="M36" s="189"/>
      <c r="N36" s="189"/>
      <c r="R36" s="185"/>
      <c r="S36" s="169" t="str">
        <f t="shared" si="1"/>
        <v/>
      </c>
      <c r="T36" s="189"/>
    </row>
    <row r="37" spans="1:20" x14ac:dyDescent="0.25">
      <c r="A37" s="189"/>
      <c r="B37" s="189"/>
      <c r="C37" s="189"/>
      <c r="D37" s="189"/>
      <c r="E37" s="169" t="s">
        <v>407</v>
      </c>
      <c r="F37" s="169" t="s">
        <v>1100</v>
      </c>
      <c r="G37" s="169" t="s">
        <v>1100</v>
      </c>
      <c r="H37" s="169" t="s">
        <v>1100</v>
      </c>
      <c r="I37" s="189"/>
      <c r="J37" s="189"/>
      <c r="K37" s="189"/>
      <c r="L37" s="189"/>
      <c r="M37" s="189"/>
      <c r="N37" s="189"/>
      <c r="R37" s="185"/>
      <c r="S37" s="169" t="str">
        <f t="shared" si="1"/>
        <v/>
      </c>
      <c r="T37" s="189"/>
    </row>
    <row r="38" spans="1:20" x14ac:dyDescent="0.25">
      <c r="A38" s="189"/>
      <c r="B38" s="189"/>
      <c r="C38" s="189"/>
      <c r="D38" s="189"/>
      <c r="E38" s="169" t="s">
        <v>408</v>
      </c>
      <c r="F38" s="169" t="s">
        <v>1100</v>
      </c>
      <c r="G38" s="169" t="s">
        <v>1100</v>
      </c>
      <c r="H38" s="169" t="s">
        <v>1100</v>
      </c>
      <c r="I38" s="189"/>
      <c r="J38" s="189"/>
      <c r="K38" s="189"/>
      <c r="L38" s="189"/>
      <c r="M38" s="189"/>
      <c r="N38" s="189"/>
      <c r="R38" s="185"/>
      <c r="S38" s="169" t="str">
        <f t="shared" si="1"/>
        <v/>
      </c>
      <c r="T38" s="189"/>
    </row>
    <row r="39" spans="1:20" x14ac:dyDescent="0.25">
      <c r="A39" s="189" t="s">
        <v>1108</v>
      </c>
      <c r="B39" s="189" t="s">
        <v>1112</v>
      </c>
      <c r="C39" s="189">
        <v>60</v>
      </c>
      <c r="D39" s="189">
        <v>80</v>
      </c>
      <c r="E39" s="169" t="s">
        <v>407</v>
      </c>
      <c r="F39" s="169" t="s">
        <v>1100</v>
      </c>
      <c r="G39" s="169" t="s">
        <v>1113</v>
      </c>
      <c r="H39" s="169" t="s">
        <v>854</v>
      </c>
      <c r="I39" s="189" t="s">
        <v>850</v>
      </c>
      <c r="J39" s="189" t="s">
        <v>851</v>
      </c>
      <c r="K39" s="189" t="s">
        <v>851</v>
      </c>
      <c r="L39" s="189" t="s">
        <v>851</v>
      </c>
      <c r="M39" s="189">
        <v>830</v>
      </c>
      <c r="N39" s="189">
        <v>90</v>
      </c>
      <c r="O39" s="166" t="s">
        <v>1111</v>
      </c>
      <c r="R39" s="187" t="s">
        <v>1118</v>
      </c>
      <c r="S39" s="169" t="str">
        <f t="shared" si="1"/>
        <v/>
      </c>
      <c r="T39" s="190" t="s">
        <v>1118</v>
      </c>
    </row>
    <row r="40" spans="1:20" x14ac:dyDescent="0.25">
      <c r="A40" s="189"/>
      <c r="B40" s="189"/>
      <c r="C40" s="189"/>
      <c r="D40" s="189"/>
      <c r="E40" s="169" t="s">
        <v>408</v>
      </c>
      <c r="F40" s="169" t="s">
        <v>1114</v>
      </c>
      <c r="G40" s="169">
        <v>0</v>
      </c>
      <c r="H40" s="169" t="s">
        <v>852</v>
      </c>
      <c r="I40" s="189"/>
      <c r="J40" s="189"/>
      <c r="K40" s="189"/>
      <c r="L40" s="189"/>
      <c r="M40" s="189"/>
      <c r="N40" s="189"/>
      <c r="R40" s="185"/>
      <c r="S40" s="169" t="str">
        <f t="shared" si="1"/>
        <v/>
      </c>
      <c r="T40" s="189"/>
    </row>
    <row r="41" spans="1:20" x14ac:dyDescent="0.25">
      <c r="A41" s="189"/>
      <c r="B41" s="189"/>
      <c r="C41" s="189"/>
      <c r="D41" s="189"/>
      <c r="E41" s="169" t="s">
        <v>407</v>
      </c>
      <c r="F41" s="169" t="s">
        <v>849</v>
      </c>
      <c r="G41" s="169">
        <v>0</v>
      </c>
      <c r="H41" s="169" t="s">
        <v>849</v>
      </c>
      <c r="I41" s="189"/>
      <c r="J41" s="189"/>
      <c r="K41" s="189"/>
      <c r="L41" s="189"/>
      <c r="M41" s="189"/>
      <c r="N41" s="189"/>
      <c r="R41" s="185"/>
      <c r="S41" s="169" t="str">
        <f t="shared" si="1"/>
        <v/>
      </c>
      <c r="T41" s="189"/>
    </row>
    <row r="42" spans="1:20" x14ac:dyDescent="0.25">
      <c r="A42" s="189"/>
      <c r="B42" s="189"/>
      <c r="C42" s="189"/>
      <c r="D42" s="189"/>
      <c r="E42" s="169" t="s">
        <v>408</v>
      </c>
      <c r="F42" s="169" t="s">
        <v>854</v>
      </c>
      <c r="G42" s="169" t="s">
        <v>853</v>
      </c>
      <c r="H42" s="169" t="s">
        <v>854</v>
      </c>
      <c r="I42" s="189"/>
      <c r="J42" s="189"/>
      <c r="K42" s="189"/>
      <c r="L42" s="189"/>
      <c r="M42" s="189"/>
      <c r="N42" s="189"/>
      <c r="R42" s="185"/>
      <c r="S42" s="169" t="str">
        <f t="shared" si="1"/>
        <v/>
      </c>
      <c r="T42" s="189"/>
    </row>
    <row r="43" spans="1:20" x14ac:dyDescent="0.25">
      <c r="A43" s="189" t="s">
        <v>1084</v>
      </c>
      <c r="B43" s="189" t="s">
        <v>1112</v>
      </c>
      <c r="C43" s="189">
        <v>60</v>
      </c>
      <c r="D43" s="189">
        <v>80</v>
      </c>
      <c r="E43" s="169" t="s">
        <v>407</v>
      </c>
      <c r="F43" s="169" t="s">
        <v>1100</v>
      </c>
      <c r="G43" s="169" t="s">
        <v>1113</v>
      </c>
      <c r="H43" s="169" t="s">
        <v>854</v>
      </c>
      <c r="I43" s="189" t="s">
        <v>850</v>
      </c>
      <c r="J43" s="189" t="s">
        <v>851</v>
      </c>
      <c r="K43" s="189" t="s">
        <v>851</v>
      </c>
      <c r="L43" s="189" t="s">
        <v>851</v>
      </c>
      <c r="M43" s="189">
        <v>830</v>
      </c>
      <c r="N43" s="189">
        <v>90</v>
      </c>
      <c r="O43" s="166" t="s">
        <v>1124</v>
      </c>
      <c r="R43" s="187" t="s">
        <v>1121</v>
      </c>
      <c r="S43" s="169" t="str">
        <f t="shared" si="1"/>
        <v/>
      </c>
      <c r="T43" s="190" t="s">
        <v>1121</v>
      </c>
    </row>
    <row r="44" spans="1:20" x14ac:dyDescent="0.25">
      <c r="A44" s="189"/>
      <c r="B44" s="189"/>
      <c r="C44" s="189"/>
      <c r="D44" s="189"/>
      <c r="E44" s="169" t="s">
        <v>408</v>
      </c>
      <c r="F44" s="169" t="s">
        <v>1114</v>
      </c>
      <c r="G44" s="169">
        <v>0</v>
      </c>
      <c r="H44" s="169" t="s">
        <v>852</v>
      </c>
      <c r="I44" s="189"/>
      <c r="J44" s="189"/>
      <c r="K44" s="189"/>
      <c r="L44" s="189"/>
      <c r="M44" s="189"/>
      <c r="N44" s="189"/>
      <c r="R44" s="185"/>
      <c r="S44" s="169" t="str">
        <f t="shared" si="1"/>
        <v/>
      </c>
      <c r="T44" s="189"/>
    </row>
    <row r="45" spans="1:20" x14ac:dyDescent="0.25">
      <c r="A45" s="189"/>
      <c r="B45" s="189"/>
      <c r="C45" s="189"/>
      <c r="D45" s="189"/>
      <c r="E45" s="169" t="s">
        <v>407</v>
      </c>
      <c r="F45" s="169" t="s">
        <v>849</v>
      </c>
      <c r="G45" s="169">
        <v>0</v>
      </c>
      <c r="H45" s="169" t="s">
        <v>849</v>
      </c>
      <c r="I45" s="189"/>
      <c r="J45" s="189"/>
      <c r="K45" s="189"/>
      <c r="L45" s="189"/>
      <c r="M45" s="189"/>
      <c r="N45" s="189"/>
      <c r="R45" s="185"/>
      <c r="S45" s="169" t="str">
        <f t="shared" si="1"/>
        <v/>
      </c>
      <c r="T45" s="189"/>
    </row>
    <row r="46" spans="1:20" x14ac:dyDescent="0.25">
      <c r="A46" s="189"/>
      <c r="B46" s="189"/>
      <c r="C46" s="189"/>
      <c r="D46" s="189"/>
      <c r="E46" s="169" t="s">
        <v>408</v>
      </c>
      <c r="F46" s="169" t="s">
        <v>854</v>
      </c>
      <c r="G46" s="169" t="s">
        <v>853</v>
      </c>
      <c r="H46" s="169" t="s">
        <v>854</v>
      </c>
      <c r="I46" s="189"/>
      <c r="J46" s="189"/>
      <c r="K46" s="189"/>
      <c r="L46" s="189"/>
      <c r="M46" s="189"/>
      <c r="N46" s="189"/>
      <c r="R46" s="185"/>
      <c r="S46" s="169" t="str">
        <f t="shared" si="1"/>
        <v/>
      </c>
      <c r="T46" s="189"/>
    </row>
    <row r="47" spans="1:20" x14ac:dyDescent="0.25">
      <c r="A47" s="189" t="s">
        <v>1084</v>
      </c>
      <c r="B47" s="189" t="s">
        <v>1122</v>
      </c>
      <c r="C47" s="189">
        <v>60</v>
      </c>
      <c r="D47" s="189">
        <v>90</v>
      </c>
      <c r="E47" s="169" t="s">
        <v>407</v>
      </c>
      <c r="F47" s="169" t="s">
        <v>854</v>
      </c>
      <c r="G47" s="169" t="s">
        <v>852</v>
      </c>
      <c r="H47" s="169" t="s">
        <v>854</v>
      </c>
      <c r="I47" s="189" t="s">
        <v>850</v>
      </c>
      <c r="J47" s="191" t="s">
        <v>1116</v>
      </c>
      <c r="K47" s="189" t="s">
        <v>851</v>
      </c>
      <c r="L47" s="189" t="s">
        <v>851</v>
      </c>
      <c r="M47" s="189">
        <v>830</v>
      </c>
      <c r="N47" s="189">
        <v>90</v>
      </c>
      <c r="O47" s="166" t="s">
        <v>1117</v>
      </c>
      <c r="R47" s="187" t="s">
        <v>1082</v>
      </c>
      <c r="S47" s="169" t="str">
        <f t="shared" si="1"/>
        <v/>
      </c>
      <c r="T47" s="190" t="s">
        <v>1082</v>
      </c>
    </row>
    <row r="48" spans="1:20" x14ac:dyDescent="0.25">
      <c r="A48" s="189"/>
      <c r="B48" s="189"/>
      <c r="C48" s="189"/>
      <c r="D48" s="189"/>
      <c r="E48" s="169" t="s">
        <v>408</v>
      </c>
      <c r="F48" s="169" t="s">
        <v>855</v>
      </c>
      <c r="G48" s="169">
        <v>0</v>
      </c>
      <c r="H48" s="169" t="s">
        <v>852</v>
      </c>
      <c r="I48" s="189"/>
      <c r="J48" s="189"/>
      <c r="K48" s="189"/>
      <c r="L48" s="189"/>
      <c r="M48" s="189"/>
      <c r="N48" s="189"/>
      <c r="R48" s="185"/>
      <c r="S48" s="169" t="str">
        <f t="shared" si="1"/>
        <v/>
      </c>
      <c r="T48" s="189"/>
    </row>
    <row r="49" spans="1:20" x14ac:dyDescent="0.25">
      <c r="A49" s="189"/>
      <c r="B49" s="189"/>
      <c r="C49" s="189"/>
      <c r="D49" s="189"/>
      <c r="E49" s="169" t="s">
        <v>407</v>
      </c>
      <c r="F49" s="169" t="s">
        <v>849</v>
      </c>
      <c r="G49" s="169">
        <v>0</v>
      </c>
      <c r="H49" s="169" t="s">
        <v>849</v>
      </c>
      <c r="I49" s="189"/>
      <c r="J49" s="189"/>
      <c r="K49" s="189"/>
      <c r="L49" s="189"/>
      <c r="M49" s="189"/>
      <c r="N49" s="189"/>
      <c r="R49" s="185"/>
      <c r="S49" s="169" t="str">
        <f t="shared" si="1"/>
        <v/>
      </c>
      <c r="T49" s="189"/>
    </row>
    <row r="50" spans="1:20" x14ac:dyDescent="0.25">
      <c r="A50" s="189"/>
      <c r="B50" s="189"/>
      <c r="C50" s="189"/>
      <c r="D50" s="189"/>
      <c r="E50" s="169" t="s">
        <v>408</v>
      </c>
      <c r="F50" s="169" t="s">
        <v>854</v>
      </c>
      <c r="G50" s="169" t="s">
        <v>853</v>
      </c>
      <c r="H50" s="169" t="s">
        <v>854</v>
      </c>
      <c r="I50" s="189"/>
      <c r="J50" s="189"/>
      <c r="K50" s="189"/>
      <c r="L50" s="189"/>
      <c r="M50" s="189"/>
      <c r="N50" s="189"/>
      <c r="R50" s="185"/>
      <c r="S50" s="169" t="str">
        <f t="shared" si="1"/>
        <v/>
      </c>
      <c r="T50" s="189"/>
    </row>
    <row r="51" spans="1:20" ht="15.75" customHeight="1" x14ac:dyDescent="0.25">
      <c r="A51" s="189" t="s">
        <v>1084</v>
      </c>
      <c r="B51" s="189" t="s">
        <v>1123</v>
      </c>
      <c r="C51" s="189">
        <v>60</v>
      </c>
      <c r="D51" s="189">
        <v>90</v>
      </c>
      <c r="E51" s="169" t="s">
        <v>407</v>
      </c>
      <c r="F51" s="169" t="s">
        <v>854</v>
      </c>
      <c r="G51" s="169" t="s">
        <v>852</v>
      </c>
      <c r="H51" s="169" t="s">
        <v>854</v>
      </c>
      <c r="I51" s="189" t="s">
        <v>850</v>
      </c>
      <c r="J51" s="191" t="s">
        <v>1120</v>
      </c>
      <c r="K51" s="189" t="s">
        <v>851</v>
      </c>
      <c r="L51" s="189" t="s">
        <v>851</v>
      </c>
      <c r="M51" s="189">
        <v>830</v>
      </c>
      <c r="N51" s="189">
        <v>90</v>
      </c>
      <c r="O51" s="166" t="s">
        <v>1119</v>
      </c>
      <c r="R51" s="186" t="s">
        <v>1109</v>
      </c>
      <c r="S51" s="169" t="str">
        <f t="shared" si="1"/>
        <v/>
      </c>
      <c r="T51" s="188" t="s">
        <v>1109</v>
      </c>
    </row>
    <row r="52" spans="1:20" x14ac:dyDescent="0.25">
      <c r="A52" s="189"/>
      <c r="B52" s="189"/>
      <c r="C52" s="189"/>
      <c r="D52" s="189"/>
      <c r="E52" s="169" t="s">
        <v>408</v>
      </c>
      <c r="F52" s="169" t="s">
        <v>855</v>
      </c>
      <c r="G52" s="169">
        <v>0</v>
      </c>
      <c r="H52" s="169" t="s">
        <v>852</v>
      </c>
      <c r="I52" s="189"/>
      <c r="J52" s="189"/>
      <c r="K52" s="189"/>
      <c r="L52" s="189"/>
      <c r="M52" s="189"/>
      <c r="N52" s="189"/>
      <c r="R52" s="185"/>
      <c r="S52" s="169" t="str">
        <f t="shared" si="1"/>
        <v/>
      </c>
      <c r="T52" s="189"/>
    </row>
    <row r="53" spans="1:20" x14ac:dyDescent="0.25">
      <c r="A53" s="189"/>
      <c r="B53" s="189"/>
      <c r="C53" s="189"/>
      <c r="D53" s="189"/>
      <c r="E53" s="169" t="s">
        <v>407</v>
      </c>
      <c r="F53" s="169" t="s">
        <v>849</v>
      </c>
      <c r="G53" s="169">
        <v>0</v>
      </c>
      <c r="H53" s="169" t="s">
        <v>849</v>
      </c>
      <c r="I53" s="189"/>
      <c r="J53" s="189"/>
      <c r="K53" s="189"/>
      <c r="L53" s="189"/>
      <c r="M53" s="189"/>
      <c r="N53" s="189"/>
      <c r="R53" s="185"/>
      <c r="S53" s="169" t="str">
        <f t="shared" si="1"/>
        <v/>
      </c>
      <c r="T53" s="189"/>
    </row>
    <row r="54" spans="1:20" x14ac:dyDescent="0.25">
      <c r="A54" s="189"/>
      <c r="B54" s="189"/>
      <c r="C54" s="189"/>
      <c r="D54" s="189"/>
      <c r="E54" s="169" t="s">
        <v>408</v>
      </c>
      <c r="F54" s="169" t="s">
        <v>854</v>
      </c>
      <c r="G54" s="169" t="s">
        <v>853</v>
      </c>
      <c r="H54" s="169" t="s">
        <v>854</v>
      </c>
      <c r="I54" s="189"/>
      <c r="J54" s="189"/>
      <c r="K54" s="189"/>
      <c r="L54" s="189"/>
      <c r="M54" s="189"/>
      <c r="N54" s="189"/>
      <c r="R54" s="185"/>
      <c r="S54" s="169" t="str">
        <f t="shared" si="1"/>
        <v/>
      </c>
      <c r="T54" s="189"/>
    </row>
    <row r="55" spans="1:20" x14ac:dyDescent="0.25">
      <c r="A55" s="189" t="s">
        <v>1084</v>
      </c>
      <c r="B55" s="189" t="s">
        <v>1126</v>
      </c>
      <c r="C55" s="189">
        <v>60</v>
      </c>
      <c r="D55" s="189">
        <v>90</v>
      </c>
      <c r="E55" s="169" t="s">
        <v>407</v>
      </c>
      <c r="F55" s="169" t="s">
        <v>854</v>
      </c>
      <c r="G55" s="169" t="s">
        <v>854</v>
      </c>
      <c r="H55" s="169" t="s">
        <v>854</v>
      </c>
      <c r="I55" s="189" t="s">
        <v>850</v>
      </c>
      <c r="J55" s="189" t="s">
        <v>851</v>
      </c>
      <c r="K55" s="189" t="s">
        <v>851</v>
      </c>
      <c r="L55" s="189" t="s">
        <v>851</v>
      </c>
      <c r="M55" s="189">
        <v>830</v>
      </c>
      <c r="N55" s="189">
        <v>90</v>
      </c>
      <c r="O55" s="166" t="s">
        <v>1125</v>
      </c>
      <c r="R55" s="187" t="s">
        <v>1115</v>
      </c>
      <c r="S55" s="169" t="str">
        <f t="shared" si="1"/>
        <v/>
      </c>
      <c r="T55" s="190" t="s">
        <v>1115</v>
      </c>
    </row>
    <row r="56" spans="1:20" x14ac:dyDescent="0.25">
      <c r="A56" s="189"/>
      <c r="B56" s="189"/>
      <c r="C56" s="189"/>
      <c r="D56" s="189"/>
      <c r="E56" s="169" t="s">
        <v>408</v>
      </c>
      <c r="F56" s="169" t="s">
        <v>849</v>
      </c>
      <c r="G56" s="169">
        <v>0</v>
      </c>
      <c r="H56" s="169" t="s">
        <v>849</v>
      </c>
      <c r="I56" s="189"/>
      <c r="J56" s="189"/>
      <c r="K56" s="189"/>
      <c r="L56" s="189"/>
      <c r="M56" s="189"/>
      <c r="N56" s="189"/>
      <c r="R56" s="185"/>
      <c r="S56" s="169" t="str">
        <f t="shared" si="1"/>
        <v/>
      </c>
      <c r="T56" s="189"/>
    </row>
    <row r="57" spans="1:20" x14ac:dyDescent="0.25">
      <c r="A57" s="189"/>
      <c r="B57" s="189"/>
      <c r="C57" s="189"/>
      <c r="D57" s="189"/>
      <c r="E57" s="169" t="s">
        <v>407</v>
      </c>
      <c r="F57" s="169" t="s">
        <v>849</v>
      </c>
      <c r="G57" s="169">
        <v>0</v>
      </c>
      <c r="H57" s="169" t="s">
        <v>849</v>
      </c>
      <c r="I57" s="189"/>
      <c r="J57" s="189"/>
      <c r="K57" s="189"/>
      <c r="L57" s="189"/>
      <c r="M57" s="189"/>
      <c r="N57" s="189"/>
      <c r="R57" s="185"/>
      <c r="S57" s="169" t="str">
        <f t="shared" si="1"/>
        <v/>
      </c>
      <c r="T57" s="189"/>
    </row>
    <row r="58" spans="1:20" x14ac:dyDescent="0.25">
      <c r="A58" s="189"/>
      <c r="B58" s="189"/>
      <c r="C58" s="189"/>
      <c r="D58" s="189"/>
      <c r="E58" s="169" t="s">
        <v>408</v>
      </c>
      <c r="F58" s="169" t="s">
        <v>854</v>
      </c>
      <c r="G58" s="169" t="s">
        <v>853</v>
      </c>
      <c r="H58" s="169" t="s">
        <v>854</v>
      </c>
      <c r="I58" s="189"/>
      <c r="J58" s="189"/>
      <c r="K58" s="189"/>
      <c r="L58" s="189"/>
      <c r="M58" s="189"/>
      <c r="N58" s="189"/>
      <c r="R58" s="185"/>
      <c r="S58" s="169" t="str">
        <f t="shared" si="1"/>
        <v/>
      </c>
      <c r="T58" s="189"/>
    </row>
    <row r="59" spans="1:20" x14ac:dyDescent="0.25">
      <c r="S59" s="169" t="str">
        <f t="shared" si="1"/>
        <v/>
      </c>
    </row>
    <row r="60" spans="1:20" x14ac:dyDescent="0.25">
      <c r="S60" s="169" t="str">
        <f t="shared" si="1"/>
        <v/>
      </c>
    </row>
    <row r="61" spans="1:20" x14ac:dyDescent="0.25">
      <c r="S61" s="169" t="str">
        <f t="shared" si="1"/>
        <v/>
      </c>
    </row>
    <row r="62" spans="1:20" x14ac:dyDescent="0.25">
      <c r="S62" s="169" t="str">
        <f t="shared" si="1"/>
        <v/>
      </c>
    </row>
    <row r="63" spans="1:20" x14ac:dyDescent="0.25">
      <c r="S63" s="169" t="str">
        <f t="shared" si="1"/>
        <v/>
      </c>
    </row>
    <row r="64" spans="1:20" x14ac:dyDescent="0.25">
      <c r="S64" s="169" t="str">
        <f t="shared" si="1"/>
        <v/>
      </c>
    </row>
    <row r="65" spans="19:19" x14ac:dyDescent="0.25">
      <c r="S65" s="169" t="str">
        <f t="shared" si="1"/>
        <v/>
      </c>
    </row>
    <row r="66" spans="19:19" x14ac:dyDescent="0.25">
      <c r="S66" s="169" t="str">
        <f t="shared" si="1"/>
        <v/>
      </c>
    </row>
    <row r="67" spans="19:19" x14ac:dyDescent="0.25">
      <c r="S67" s="169" t="str">
        <f t="shared" ref="S67:S90" si="2">IF(R67&lt;&gt;"",IF(R67&lt;&gt;T67,1,""),"")</f>
        <v/>
      </c>
    </row>
    <row r="68" spans="19:19" x14ac:dyDescent="0.25">
      <c r="S68" s="169" t="str">
        <f t="shared" si="2"/>
        <v/>
      </c>
    </row>
    <row r="69" spans="19:19" x14ac:dyDescent="0.25">
      <c r="S69" s="169" t="str">
        <f t="shared" si="2"/>
        <v/>
      </c>
    </row>
    <row r="70" spans="19:19" x14ac:dyDescent="0.25">
      <c r="S70" s="169" t="str">
        <f t="shared" si="2"/>
        <v/>
      </c>
    </row>
    <row r="71" spans="19:19" x14ac:dyDescent="0.25">
      <c r="S71" s="169" t="str">
        <f t="shared" si="2"/>
        <v/>
      </c>
    </row>
    <row r="72" spans="19:19" x14ac:dyDescent="0.25">
      <c r="S72" s="169" t="str">
        <f t="shared" si="2"/>
        <v/>
      </c>
    </row>
    <row r="73" spans="19:19" x14ac:dyDescent="0.25">
      <c r="S73" s="169" t="str">
        <f t="shared" si="2"/>
        <v/>
      </c>
    </row>
    <row r="74" spans="19:19" x14ac:dyDescent="0.25">
      <c r="S74" s="169" t="str">
        <f t="shared" si="2"/>
        <v/>
      </c>
    </row>
    <row r="75" spans="19:19" x14ac:dyDescent="0.25">
      <c r="S75" s="169" t="str">
        <f t="shared" si="2"/>
        <v/>
      </c>
    </row>
    <row r="76" spans="19:19" x14ac:dyDescent="0.25">
      <c r="S76" s="169" t="str">
        <f t="shared" si="2"/>
        <v/>
      </c>
    </row>
    <row r="77" spans="19:19" x14ac:dyDescent="0.25">
      <c r="S77" s="169" t="str">
        <f t="shared" si="2"/>
        <v/>
      </c>
    </row>
    <row r="78" spans="19:19" x14ac:dyDescent="0.25">
      <c r="S78" s="169" t="str">
        <f t="shared" si="2"/>
        <v/>
      </c>
    </row>
    <row r="79" spans="19:19" x14ac:dyDescent="0.25">
      <c r="S79" s="169" t="str">
        <f t="shared" si="2"/>
        <v/>
      </c>
    </row>
    <row r="80" spans="19:19" x14ac:dyDescent="0.25">
      <c r="S80" s="169" t="str">
        <f t="shared" si="2"/>
        <v/>
      </c>
    </row>
    <row r="81" spans="19:19" x14ac:dyDescent="0.25">
      <c r="S81" s="169" t="str">
        <f t="shared" si="2"/>
        <v/>
      </c>
    </row>
    <row r="82" spans="19:19" x14ac:dyDescent="0.25">
      <c r="S82" s="169" t="str">
        <f t="shared" si="2"/>
        <v/>
      </c>
    </row>
    <row r="83" spans="19:19" x14ac:dyDescent="0.25">
      <c r="S83" s="169" t="str">
        <f t="shared" si="2"/>
        <v/>
      </c>
    </row>
    <row r="84" spans="19:19" x14ac:dyDescent="0.25">
      <c r="S84" s="169" t="str">
        <f t="shared" si="2"/>
        <v/>
      </c>
    </row>
    <row r="85" spans="19:19" x14ac:dyDescent="0.25">
      <c r="S85" s="169" t="str">
        <f t="shared" si="2"/>
        <v/>
      </c>
    </row>
    <row r="86" spans="19:19" x14ac:dyDescent="0.25">
      <c r="S86" s="169" t="str">
        <f t="shared" si="2"/>
        <v/>
      </c>
    </row>
    <row r="87" spans="19:19" x14ac:dyDescent="0.25">
      <c r="S87" s="169" t="str">
        <f t="shared" si="2"/>
        <v/>
      </c>
    </row>
    <row r="88" spans="19:19" x14ac:dyDescent="0.25">
      <c r="S88" s="169" t="str">
        <f t="shared" si="2"/>
        <v/>
      </c>
    </row>
    <row r="89" spans="19:19" x14ac:dyDescent="0.25">
      <c r="S89" s="169" t="str">
        <f t="shared" si="2"/>
        <v/>
      </c>
    </row>
    <row r="90" spans="19:19" x14ac:dyDescent="0.25">
      <c r="S90" s="169" t="str">
        <f t="shared" si="2"/>
        <v/>
      </c>
    </row>
  </sheetData>
  <mergeCells count="168">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A31:A34"/>
    <mergeCell ref="B31:B34"/>
    <mergeCell ref="C31:C34"/>
    <mergeCell ref="D31:D34"/>
    <mergeCell ref="I31:I34"/>
    <mergeCell ref="J31:J34"/>
    <mergeCell ref="K23:K26"/>
    <mergeCell ref="L23:L26"/>
    <mergeCell ref="M23:M26"/>
    <mergeCell ref="A43:A46"/>
    <mergeCell ref="B43:B46"/>
    <mergeCell ref="C43:C46"/>
    <mergeCell ref="D43:D46"/>
    <mergeCell ref="I43:I46"/>
    <mergeCell ref="J43:J46"/>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C47:C50"/>
    <mergeCell ref="D47:D50"/>
    <mergeCell ref="I47:I50"/>
    <mergeCell ref="J47:J50"/>
    <mergeCell ref="N43:N46"/>
    <mergeCell ref="K39:K42"/>
    <mergeCell ref="L39:L42"/>
    <mergeCell ref="M39:M42"/>
    <mergeCell ref="N39:N42"/>
    <mergeCell ref="N35:N38"/>
    <mergeCell ref="K31:K34"/>
    <mergeCell ref="L31:L34"/>
    <mergeCell ref="M31:M34"/>
    <mergeCell ref="N31:N34"/>
    <mergeCell ref="K55:K58"/>
    <mergeCell ref="L55:L58"/>
    <mergeCell ref="M55:M58"/>
    <mergeCell ref="N55:N58"/>
    <mergeCell ref="K27:K30"/>
    <mergeCell ref="L27:L30"/>
    <mergeCell ref="M27:M30"/>
    <mergeCell ref="N27:N30"/>
    <mergeCell ref="R51:R54"/>
    <mergeCell ref="R55:R58"/>
    <mergeCell ref="R27:R30"/>
    <mergeCell ref="R31:R34"/>
    <mergeCell ref="R35:R38"/>
    <mergeCell ref="R39:R42"/>
    <mergeCell ref="R43:R46"/>
    <mergeCell ref="R47:R50"/>
    <mergeCell ref="K51:K54"/>
    <mergeCell ref="L51:L54"/>
    <mergeCell ref="M51:M54"/>
    <mergeCell ref="N51:N54"/>
    <mergeCell ref="N47:N50"/>
    <mergeCell ref="K43:K46"/>
    <mergeCell ref="L43:L46"/>
    <mergeCell ref="M43:M46"/>
    <mergeCell ref="R3:R6"/>
    <mergeCell ref="R7:R10"/>
    <mergeCell ref="R11:R14"/>
    <mergeCell ref="R15:R18"/>
    <mergeCell ref="R19:R22"/>
    <mergeCell ref="R23:R26"/>
    <mergeCell ref="T51:T54"/>
    <mergeCell ref="T55:T58"/>
    <mergeCell ref="T27:T30"/>
    <mergeCell ref="T31:T34"/>
    <mergeCell ref="T35:T38"/>
    <mergeCell ref="T39:T42"/>
    <mergeCell ref="T43:T46"/>
    <mergeCell ref="T47:T50"/>
    <mergeCell ref="T3:T6"/>
    <mergeCell ref="T7:T10"/>
    <mergeCell ref="T11:T14"/>
    <mergeCell ref="T15:T18"/>
    <mergeCell ref="T19:T22"/>
    <mergeCell ref="T23:T26"/>
  </mergeCells>
  <phoneticPr fontId="1" type="noConversion"/>
  <conditionalFormatting sqref="R1">
    <cfRule type="cellIs" dxfId="3" priority="1" operator="greaterThan">
      <formula>0</formula>
    </cfRule>
  </conditionalFormatting>
  <hyperlinks>
    <hyperlink ref="J19" r:id="rId1" xr:uid="{06A97C10-77D6-4ACD-BEF0-836E1ABF90D5}"/>
    <hyperlink ref="J47" r:id="rId2" xr:uid="{4667C0B5-4528-42AB-B3DA-681E108530F6}"/>
    <hyperlink ref="J51" r:id="rId3" xr:uid="{616CBA46-6D33-4C89-B052-7B048A9C73DB}"/>
  </hyperlinks>
  <pageMargins left="0.7" right="0.7" top="0.75" bottom="0.75" header="0.3" footer="0.3"/>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T90"/>
  <sheetViews>
    <sheetView topLeftCell="G1" workbookViewId="0">
      <selection activeCell="T1" sqref="T1"/>
    </sheetView>
  </sheetViews>
  <sheetFormatPr defaultColWidth="9" defaultRowHeight="15.75" x14ac:dyDescent="0.25"/>
  <cols>
    <col min="1" max="15" width="9" style="143" customWidth="1"/>
    <col min="16" max="17" width="9" style="169"/>
    <col min="18" max="18" width="8.25" style="169" customWidth="1"/>
    <col min="19" max="19" width="9" style="169"/>
    <col min="20" max="20" width="62" style="169" bestFit="1" customWidth="1"/>
    <col min="21" max="33" width="9" style="169"/>
    <col min="34" max="34" width="13.375" style="169" bestFit="1" customWidth="1"/>
    <col min="35" max="16384" width="9" style="169"/>
  </cols>
  <sheetData>
    <row r="1" spans="1:20" x14ac:dyDescent="0.25">
      <c r="A1" s="143" t="s">
        <v>398</v>
      </c>
      <c r="B1" s="143" t="s">
        <v>399</v>
      </c>
      <c r="C1" s="143" t="s">
        <v>400</v>
      </c>
      <c r="D1" s="143" t="s">
        <v>401</v>
      </c>
      <c r="E1" s="143" t="s">
        <v>402</v>
      </c>
      <c r="F1" s="143" t="s">
        <v>402</v>
      </c>
      <c r="I1" s="143" t="s">
        <v>403</v>
      </c>
      <c r="J1" s="143" t="s">
        <v>404</v>
      </c>
      <c r="M1" s="143" t="s">
        <v>405</v>
      </c>
      <c r="N1" s="143" t="s">
        <v>406</v>
      </c>
      <c r="O1" s="143" t="s">
        <v>287</v>
      </c>
      <c r="P1" s="169" t="s">
        <v>1181</v>
      </c>
      <c r="R1" s="169">
        <f>SUM(S:S)</f>
        <v>0</v>
      </c>
      <c r="T1" s="169" t="s">
        <v>1181</v>
      </c>
    </row>
    <row r="2" spans="1:20" x14ac:dyDescent="0.25">
      <c r="F2" s="143" t="s">
        <v>329</v>
      </c>
      <c r="G2" s="143" t="s">
        <v>328</v>
      </c>
      <c r="H2" s="143" t="s">
        <v>331</v>
      </c>
      <c r="J2" s="143" t="s">
        <v>409</v>
      </c>
      <c r="K2" s="143" t="s">
        <v>328</v>
      </c>
      <c r="L2" s="143" t="s">
        <v>331</v>
      </c>
    </row>
    <row r="3" spans="1:20" x14ac:dyDescent="0.25">
      <c r="A3" s="189" t="s">
        <v>1155</v>
      </c>
      <c r="B3" s="189" t="s">
        <v>1161</v>
      </c>
      <c r="C3" s="189">
        <v>40</v>
      </c>
      <c r="D3" s="189">
        <v>65</v>
      </c>
      <c r="E3" s="169" t="s">
        <v>407</v>
      </c>
      <c r="F3" s="169" t="s">
        <v>1133</v>
      </c>
      <c r="G3" s="169" t="s">
        <v>289</v>
      </c>
      <c r="H3" s="169" t="s">
        <v>863</v>
      </c>
      <c r="I3" s="189" t="s">
        <v>284</v>
      </c>
      <c r="J3" s="189" t="s">
        <v>857</v>
      </c>
      <c r="K3" s="189" t="s">
        <v>857</v>
      </c>
      <c r="L3" s="189" t="s">
        <v>857</v>
      </c>
      <c r="M3" s="189">
        <v>1260</v>
      </c>
      <c r="N3" s="189">
        <v>50</v>
      </c>
      <c r="O3" s="143" t="s">
        <v>1147</v>
      </c>
      <c r="R3" s="189" t="s">
        <v>1004</v>
      </c>
      <c r="S3" s="169" t="str">
        <f t="shared" ref="S3:S30" si="0">IF(R3&lt;&gt;"",IF(R3&lt;&gt;T3,1,""),"")</f>
        <v/>
      </c>
      <c r="T3" s="189" t="s">
        <v>1004</v>
      </c>
    </row>
    <row r="4" spans="1:20" x14ac:dyDescent="0.25">
      <c r="A4" s="189"/>
      <c r="B4" s="189"/>
      <c r="C4" s="189"/>
      <c r="D4" s="189"/>
      <c r="E4" s="169" t="s">
        <v>408</v>
      </c>
      <c r="F4" s="169">
        <v>0</v>
      </c>
      <c r="G4" s="169">
        <v>0</v>
      </c>
      <c r="H4" s="169" t="s">
        <v>1156</v>
      </c>
      <c r="I4" s="189"/>
      <c r="J4" s="189"/>
      <c r="K4" s="189"/>
      <c r="L4" s="189"/>
      <c r="M4" s="189"/>
      <c r="N4" s="189"/>
      <c r="R4" s="189"/>
      <c r="S4" s="169" t="str">
        <f t="shared" si="0"/>
        <v/>
      </c>
      <c r="T4" s="189"/>
    </row>
    <row r="5" spans="1:20" x14ac:dyDescent="0.25">
      <c r="A5" s="189"/>
      <c r="B5" s="189"/>
      <c r="C5" s="189"/>
      <c r="D5" s="189"/>
      <c r="E5" s="169" t="s">
        <v>407</v>
      </c>
      <c r="F5" s="169">
        <v>0</v>
      </c>
      <c r="G5" s="169">
        <v>0</v>
      </c>
      <c r="H5" s="169">
        <v>0</v>
      </c>
      <c r="I5" s="189"/>
      <c r="J5" s="189"/>
      <c r="K5" s="189"/>
      <c r="L5" s="189"/>
      <c r="M5" s="189"/>
      <c r="N5" s="189"/>
      <c r="R5" s="189"/>
      <c r="S5" s="169" t="str">
        <f t="shared" si="0"/>
        <v/>
      </c>
      <c r="T5" s="189"/>
    </row>
    <row r="6" spans="1:20" x14ac:dyDescent="0.25">
      <c r="A6" s="189"/>
      <c r="B6" s="189"/>
      <c r="C6" s="189"/>
      <c r="D6" s="189"/>
      <c r="E6" s="169" t="s">
        <v>408</v>
      </c>
      <c r="F6" s="169" t="s">
        <v>290</v>
      </c>
      <c r="G6" s="169" t="s">
        <v>863</v>
      </c>
      <c r="H6" s="169" t="s">
        <v>863</v>
      </c>
      <c r="I6" s="189"/>
      <c r="J6" s="189"/>
      <c r="K6" s="189"/>
      <c r="L6" s="189"/>
      <c r="M6" s="189"/>
      <c r="N6" s="189"/>
      <c r="R6" s="189"/>
      <c r="S6" s="169" t="str">
        <f t="shared" si="0"/>
        <v/>
      </c>
      <c r="T6" s="189"/>
    </row>
    <row r="7" spans="1:20" ht="15.75" customHeight="1" x14ac:dyDescent="0.25">
      <c r="A7" s="189" t="s">
        <v>1155</v>
      </c>
      <c r="B7" s="189" t="s">
        <v>1132</v>
      </c>
      <c r="C7" s="189">
        <v>40</v>
      </c>
      <c r="D7" s="189">
        <v>65</v>
      </c>
      <c r="E7" s="169" t="s">
        <v>407</v>
      </c>
      <c r="F7" s="169" t="s">
        <v>1143</v>
      </c>
      <c r="G7" s="169" t="s">
        <v>1144</v>
      </c>
      <c r="H7" s="169" t="s">
        <v>1144</v>
      </c>
      <c r="I7" s="189" t="s">
        <v>284</v>
      </c>
      <c r="J7" s="189" t="s">
        <v>857</v>
      </c>
      <c r="K7" s="189" t="s">
        <v>857</v>
      </c>
      <c r="L7" s="189" t="s">
        <v>857</v>
      </c>
      <c r="M7" s="189">
        <v>1260</v>
      </c>
      <c r="N7" s="189">
        <v>50</v>
      </c>
      <c r="O7" s="166" t="s">
        <v>1146</v>
      </c>
      <c r="R7" s="188" t="s">
        <v>1145</v>
      </c>
      <c r="S7" s="169" t="str">
        <f t="shared" si="0"/>
        <v/>
      </c>
      <c r="T7" s="188" t="s">
        <v>1145</v>
      </c>
    </row>
    <row r="8" spans="1:20" x14ac:dyDescent="0.25">
      <c r="A8" s="189"/>
      <c r="B8" s="189"/>
      <c r="C8" s="189"/>
      <c r="D8" s="189"/>
      <c r="E8" s="169" t="s">
        <v>408</v>
      </c>
      <c r="F8" s="169">
        <v>0</v>
      </c>
      <c r="G8" s="169">
        <v>0</v>
      </c>
      <c r="H8" s="169">
        <v>0</v>
      </c>
      <c r="I8" s="189"/>
      <c r="J8" s="189"/>
      <c r="K8" s="189"/>
      <c r="L8" s="189"/>
      <c r="M8" s="189"/>
      <c r="N8" s="189"/>
      <c r="R8" s="189"/>
      <c r="S8" s="169" t="str">
        <f t="shared" si="0"/>
        <v/>
      </c>
      <c r="T8" s="189"/>
    </row>
    <row r="9" spans="1:20" x14ac:dyDescent="0.25">
      <c r="A9" s="189"/>
      <c r="B9" s="189"/>
      <c r="C9" s="189"/>
      <c r="D9" s="189"/>
      <c r="E9" s="169" t="s">
        <v>407</v>
      </c>
      <c r="F9" s="169">
        <v>0</v>
      </c>
      <c r="G9" s="169">
        <v>0</v>
      </c>
      <c r="H9" s="169">
        <v>0</v>
      </c>
      <c r="I9" s="189"/>
      <c r="J9" s="189"/>
      <c r="K9" s="189"/>
      <c r="L9" s="189"/>
      <c r="M9" s="189"/>
      <c r="N9" s="189"/>
      <c r="R9" s="189"/>
      <c r="S9" s="169" t="str">
        <f t="shared" si="0"/>
        <v/>
      </c>
      <c r="T9" s="189"/>
    </row>
    <row r="10" spans="1:20" x14ac:dyDescent="0.25">
      <c r="A10" s="189"/>
      <c r="B10" s="189"/>
      <c r="C10" s="189"/>
      <c r="D10" s="189"/>
      <c r="E10" s="169" t="s">
        <v>408</v>
      </c>
      <c r="F10" s="169" t="s">
        <v>1144</v>
      </c>
      <c r="G10" s="169" t="s">
        <v>1144</v>
      </c>
      <c r="H10" s="169" t="s">
        <v>1144</v>
      </c>
      <c r="I10" s="189"/>
      <c r="J10" s="189"/>
      <c r="K10" s="189"/>
      <c r="L10" s="189"/>
      <c r="M10" s="189"/>
      <c r="N10" s="189"/>
      <c r="R10" s="189"/>
      <c r="S10" s="169" t="str">
        <f t="shared" si="0"/>
        <v/>
      </c>
      <c r="T10" s="189"/>
    </row>
    <row r="11" spans="1:20" x14ac:dyDescent="0.25">
      <c r="A11" s="189" t="s">
        <v>1155</v>
      </c>
      <c r="B11" s="189" t="s">
        <v>1162</v>
      </c>
      <c r="C11" s="189">
        <v>40</v>
      </c>
      <c r="D11" s="189">
        <v>95</v>
      </c>
      <c r="E11" s="169" t="s">
        <v>407</v>
      </c>
      <c r="F11" s="169" t="s">
        <v>290</v>
      </c>
      <c r="G11" s="169" t="s">
        <v>863</v>
      </c>
      <c r="H11" s="169" t="s">
        <v>863</v>
      </c>
      <c r="I11" s="189" t="s">
        <v>284</v>
      </c>
      <c r="J11" s="189" t="s">
        <v>857</v>
      </c>
      <c r="K11" s="189" t="s">
        <v>857</v>
      </c>
      <c r="L11" s="189" t="s">
        <v>857</v>
      </c>
      <c r="M11" s="189">
        <v>1260</v>
      </c>
      <c r="N11" s="189">
        <v>50</v>
      </c>
      <c r="O11" s="167" t="s">
        <v>1148</v>
      </c>
      <c r="R11" s="190" t="s">
        <v>1157</v>
      </c>
      <c r="S11" s="169" t="str">
        <f t="shared" si="0"/>
        <v/>
      </c>
      <c r="T11" s="190" t="s">
        <v>1157</v>
      </c>
    </row>
    <row r="12" spans="1:20" x14ac:dyDescent="0.25">
      <c r="A12" s="189"/>
      <c r="B12" s="189"/>
      <c r="C12" s="189"/>
      <c r="D12" s="189"/>
      <c r="E12" s="169" t="s">
        <v>408</v>
      </c>
      <c r="F12" s="169">
        <v>0</v>
      </c>
      <c r="G12" s="169">
        <v>0</v>
      </c>
      <c r="H12" s="169" t="s">
        <v>289</v>
      </c>
      <c r="I12" s="189"/>
      <c r="J12" s="189"/>
      <c r="K12" s="189"/>
      <c r="L12" s="189"/>
      <c r="M12" s="189"/>
      <c r="N12" s="189"/>
      <c r="R12" s="189"/>
      <c r="S12" s="169" t="str">
        <f t="shared" si="0"/>
        <v/>
      </c>
      <c r="T12" s="189"/>
    </row>
    <row r="13" spans="1:20" x14ac:dyDescent="0.25">
      <c r="A13" s="189"/>
      <c r="B13" s="189"/>
      <c r="C13" s="189"/>
      <c r="D13" s="189"/>
      <c r="E13" s="169" t="s">
        <v>407</v>
      </c>
      <c r="F13" s="169">
        <v>0</v>
      </c>
      <c r="G13" s="169">
        <v>0</v>
      </c>
      <c r="H13" s="169">
        <v>0</v>
      </c>
      <c r="I13" s="189"/>
      <c r="J13" s="189"/>
      <c r="K13" s="189"/>
      <c r="L13" s="189"/>
      <c r="M13" s="189"/>
      <c r="N13" s="189"/>
      <c r="R13" s="189"/>
      <c r="S13" s="169" t="str">
        <f t="shared" si="0"/>
        <v/>
      </c>
      <c r="T13" s="189"/>
    </row>
    <row r="14" spans="1:20" x14ac:dyDescent="0.25">
      <c r="A14" s="189"/>
      <c r="B14" s="189"/>
      <c r="C14" s="189"/>
      <c r="D14" s="189"/>
      <c r="E14" s="169" t="s">
        <v>408</v>
      </c>
      <c r="F14" s="169" t="s">
        <v>290</v>
      </c>
      <c r="G14" s="169" t="s">
        <v>863</v>
      </c>
      <c r="H14" s="169" t="s">
        <v>863</v>
      </c>
      <c r="I14" s="189"/>
      <c r="J14" s="189"/>
      <c r="K14" s="189"/>
      <c r="L14" s="189"/>
      <c r="M14" s="189"/>
      <c r="N14" s="189"/>
      <c r="R14" s="189"/>
      <c r="S14" s="169" t="str">
        <f t="shared" si="0"/>
        <v/>
      </c>
      <c r="T14" s="189"/>
    </row>
    <row r="15" spans="1:20" x14ac:dyDescent="0.25">
      <c r="A15" s="189" t="s">
        <v>1155</v>
      </c>
      <c r="B15" s="189" t="s">
        <v>1163</v>
      </c>
      <c r="C15" s="189">
        <v>40</v>
      </c>
      <c r="D15" s="189">
        <v>65</v>
      </c>
      <c r="E15" s="169" t="s">
        <v>407</v>
      </c>
      <c r="F15" s="169" t="s">
        <v>1150</v>
      </c>
      <c r="G15" s="169" t="s">
        <v>289</v>
      </c>
      <c r="H15" s="169" t="s">
        <v>863</v>
      </c>
      <c r="I15" s="189" t="s">
        <v>284</v>
      </c>
      <c r="J15" s="189" t="s">
        <v>857</v>
      </c>
      <c r="K15" s="189" t="s">
        <v>857</v>
      </c>
      <c r="L15" s="189" t="s">
        <v>857</v>
      </c>
      <c r="M15" s="189">
        <v>1260</v>
      </c>
      <c r="N15" s="189">
        <v>50</v>
      </c>
      <c r="O15" s="167" t="s">
        <v>1149</v>
      </c>
      <c r="R15" s="190" t="s">
        <v>1158</v>
      </c>
      <c r="S15" s="169" t="str">
        <f t="shared" si="0"/>
        <v/>
      </c>
      <c r="T15" s="190" t="s">
        <v>1158</v>
      </c>
    </row>
    <row r="16" spans="1:20" x14ac:dyDescent="0.25">
      <c r="A16" s="189"/>
      <c r="B16" s="189"/>
      <c r="C16" s="189"/>
      <c r="D16" s="189"/>
      <c r="E16" s="169" t="s">
        <v>408</v>
      </c>
      <c r="F16" s="169">
        <v>0</v>
      </c>
      <c r="G16" s="169">
        <v>0</v>
      </c>
      <c r="H16" s="169" t="s">
        <v>1156</v>
      </c>
      <c r="I16" s="189"/>
      <c r="J16" s="189"/>
      <c r="K16" s="189"/>
      <c r="L16" s="189"/>
      <c r="M16" s="189"/>
      <c r="N16" s="189"/>
      <c r="R16" s="189"/>
      <c r="S16" s="169" t="str">
        <f t="shared" si="0"/>
        <v/>
      </c>
      <c r="T16" s="189"/>
    </row>
    <row r="17" spans="1:20" x14ac:dyDescent="0.25">
      <c r="A17" s="189"/>
      <c r="B17" s="189"/>
      <c r="C17" s="189"/>
      <c r="D17" s="189"/>
      <c r="E17" s="169" t="s">
        <v>407</v>
      </c>
      <c r="F17" s="169">
        <v>0</v>
      </c>
      <c r="G17" s="169">
        <v>0</v>
      </c>
      <c r="H17" s="169">
        <v>0</v>
      </c>
      <c r="I17" s="189"/>
      <c r="J17" s="189"/>
      <c r="K17" s="189"/>
      <c r="L17" s="189"/>
      <c r="M17" s="189"/>
      <c r="N17" s="189"/>
      <c r="R17" s="189"/>
      <c r="S17" s="169" t="str">
        <f t="shared" si="0"/>
        <v/>
      </c>
      <c r="T17" s="189"/>
    </row>
    <row r="18" spans="1:20" x14ac:dyDescent="0.25">
      <c r="A18" s="189"/>
      <c r="B18" s="189"/>
      <c r="C18" s="189"/>
      <c r="D18" s="189"/>
      <c r="E18" s="169" t="s">
        <v>408</v>
      </c>
      <c r="F18" s="169" t="s">
        <v>290</v>
      </c>
      <c r="G18" s="169" t="s">
        <v>863</v>
      </c>
      <c r="H18" s="169" t="s">
        <v>863</v>
      </c>
      <c r="I18" s="189"/>
      <c r="J18" s="189"/>
      <c r="K18" s="189"/>
      <c r="L18" s="189"/>
      <c r="M18" s="189"/>
      <c r="N18" s="189"/>
      <c r="R18" s="189"/>
      <c r="S18" s="169" t="str">
        <f t="shared" si="0"/>
        <v/>
      </c>
      <c r="T18" s="189"/>
    </row>
    <row r="19" spans="1:20" ht="15.75" customHeight="1" x14ac:dyDescent="0.25">
      <c r="A19" s="189" t="s">
        <v>1155</v>
      </c>
      <c r="B19" s="189" t="s">
        <v>1164</v>
      </c>
      <c r="C19" s="189">
        <v>40</v>
      </c>
      <c r="D19" s="189">
        <v>65</v>
      </c>
      <c r="E19" s="169" t="s">
        <v>407</v>
      </c>
      <c r="F19" s="169" t="s">
        <v>1152</v>
      </c>
      <c r="G19" s="169" t="s">
        <v>289</v>
      </c>
      <c r="H19" s="169" t="s">
        <v>863</v>
      </c>
      <c r="I19" s="189" t="s">
        <v>284</v>
      </c>
      <c r="J19" s="189" t="s">
        <v>857</v>
      </c>
      <c r="K19" s="189" t="s">
        <v>857</v>
      </c>
      <c r="L19" s="189" t="s">
        <v>857</v>
      </c>
      <c r="M19" s="189">
        <v>1260</v>
      </c>
      <c r="N19" s="189">
        <v>50</v>
      </c>
      <c r="O19" s="167" t="s">
        <v>1151</v>
      </c>
      <c r="R19" s="188" t="s">
        <v>1159</v>
      </c>
      <c r="S19" s="169" t="str">
        <f t="shared" si="0"/>
        <v/>
      </c>
      <c r="T19" s="188" t="s">
        <v>1159</v>
      </c>
    </row>
    <row r="20" spans="1:20" x14ac:dyDescent="0.25">
      <c r="A20" s="189"/>
      <c r="B20" s="189"/>
      <c r="C20" s="189"/>
      <c r="D20" s="189"/>
      <c r="E20" s="169" t="s">
        <v>408</v>
      </c>
      <c r="F20" s="169">
        <v>0</v>
      </c>
      <c r="G20" s="169">
        <v>0</v>
      </c>
      <c r="H20" s="169" t="s">
        <v>1156</v>
      </c>
      <c r="I20" s="189"/>
      <c r="J20" s="189"/>
      <c r="K20" s="189"/>
      <c r="L20" s="189"/>
      <c r="M20" s="189"/>
      <c r="N20" s="189"/>
      <c r="R20" s="189"/>
      <c r="S20" s="169" t="str">
        <f t="shared" si="0"/>
        <v/>
      </c>
      <c r="T20" s="189"/>
    </row>
    <row r="21" spans="1:20" x14ac:dyDescent="0.25">
      <c r="A21" s="189"/>
      <c r="B21" s="189"/>
      <c r="C21" s="189"/>
      <c r="D21" s="189"/>
      <c r="E21" s="169" t="s">
        <v>407</v>
      </c>
      <c r="F21" s="169">
        <v>0</v>
      </c>
      <c r="G21" s="169">
        <v>0</v>
      </c>
      <c r="H21" s="169">
        <v>0</v>
      </c>
      <c r="I21" s="189"/>
      <c r="J21" s="189"/>
      <c r="K21" s="189"/>
      <c r="L21" s="189"/>
      <c r="M21" s="189"/>
      <c r="N21" s="189"/>
      <c r="R21" s="189"/>
      <c r="S21" s="169" t="str">
        <f t="shared" si="0"/>
        <v/>
      </c>
      <c r="T21" s="189"/>
    </row>
    <row r="22" spans="1:20" x14ac:dyDescent="0.25">
      <c r="A22" s="189"/>
      <c r="B22" s="189"/>
      <c r="C22" s="189"/>
      <c r="D22" s="189"/>
      <c r="E22" s="169" t="s">
        <v>408</v>
      </c>
      <c r="F22" s="169" t="s">
        <v>290</v>
      </c>
      <c r="G22" s="169" t="s">
        <v>863</v>
      </c>
      <c r="H22" s="169" t="s">
        <v>863</v>
      </c>
      <c r="I22" s="189"/>
      <c r="J22" s="189"/>
      <c r="K22" s="189"/>
      <c r="L22" s="189"/>
      <c r="M22" s="189"/>
      <c r="N22" s="189"/>
      <c r="R22" s="189"/>
      <c r="S22" s="169" t="str">
        <f t="shared" si="0"/>
        <v/>
      </c>
      <c r="T22" s="189"/>
    </row>
    <row r="23" spans="1:20" ht="15.75" customHeight="1" x14ac:dyDescent="0.25">
      <c r="A23" s="189" t="s">
        <v>1155</v>
      </c>
      <c r="B23" s="189" t="s">
        <v>1165</v>
      </c>
      <c r="C23" s="189">
        <v>40</v>
      </c>
      <c r="D23" s="189">
        <v>65</v>
      </c>
      <c r="E23" s="169" t="s">
        <v>407</v>
      </c>
      <c r="F23" s="169" t="s">
        <v>1160</v>
      </c>
      <c r="G23" s="169" t="s">
        <v>1160</v>
      </c>
      <c r="H23" s="169" t="s">
        <v>1167</v>
      </c>
      <c r="I23" s="189" t="s">
        <v>284</v>
      </c>
      <c r="J23" s="189" t="s">
        <v>857</v>
      </c>
      <c r="K23" s="189" t="s">
        <v>857</v>
      </c>
      <c r="L23" s="189" t="s">
        <v>857</v>
      </c>
      <c r="M23" s="189">
        <v>1260</v>
      </c>
      <c r="N23" s="189">
        <v>50</v>
      </c>
      <c r="O23" s="167" t="s">
        <v>1153</v>
      </c>
      <c r="R23" s="188" t="s">
        <v>1168</v>
      </c>
      <c r="S23" s="169" t="str">
        <f t="shared" si="0"/>
        <v/>
      </c>
      <c r="T23" s="188" t="s">
        <v>1168</v>
      </c>
    </row>
    <row r="24" spans="1:20" x14ac:dyDescent="0.25">
      <c r="A24" s="189"/>
      <c r="B24" s="189"/>
      <c r="C24" s="189"/>
      <c r="D24" s="189"/>
      <c r="E24" s="169" t="s">
        <v>408</v>
      </c>
      <c r="F24" s="169">
        <v>0</v>
      </c>
      <c r="G24" s="169">
        <v>0</v>
      </c>
      <c r="H24" s="169" t="s">
        <v>1167</v>
      </c>
      <c r="I24" s="189"/>
      <c r="J24" s="189"/>
      <c r="K24" s="189"/>
      <c r="L24" s="189"/>
      <c r="M24" s="189"/>
      <c r="N24" s="189"/>
      <c r="R24" s="189"/>
      <c r="S24" s="169" t="str">
        <f t="shared" si="0"/>
        <v/>
      </c>
      <c r="T24" s="189"/>
    </row>
    <row r="25" spans="1:20" x14ac:dyDescent="0.25">
      <c r="A25" s="189"/>
      <c r="B25" s="189"/>
      <c r="C25" s="189"/>
      <c r="D25" s="189"/>
      <c r="E25" s="169" t="s">
        <v>407</v>
      </c>
      <c r="F25" s="169">
        <v>0</v>
      </c>
      <c r="G25" s="169">
        <v>0</v>
      </c>
      <c r="H25" s="169" t="s">
        <v>1167</v>
      </c>
      <c r="I25" s="189"/>
      <c r="J25" s="189"/>
      <c r="K25" s="189"/>
      <c r="L25" s="189"/>
      <c r="M25" s="189"/>
      <c r="N25" s="189"/>
      <c r="R25" s="189"/>
      <c r="S25" s="169" t="str">
        <f t="shared" si="0"/>
        <v/>
      </c>
      <c r="T25" s="189"/>
    </row>
    <row r="26" spans="1:20" x14ac:dyDescent="0.25">
      <c r="A26" s="189"/>
      <c r="B26" s="189"/>
      <c r="C26" s="189"/>
      <c r="D26" s="189"/>
      <c r="E26" s="169" t="s">
        <v>408</v>
      </c>
      <c r="F26" s="169" t="s">
        <v>1160</v>
      </c>
      <c r="G26" s="169" t="s">
        <v>1160</v>
      </c>
      <c r="H26" s="169" t="s">
        <v>1167</v>
      </c>
      <c r="I26" s="189"/>
      <c r="J26" s="189"/>
      <c r="K26" s="189"/>
      <c r="L26" s="189"/>
      <c r="M26" s="189"/>
      <c r="N26" s="189"/>
      <c r="R26" s="189"/>
      <c r="S26" s="169" t="str">
        <f t="shared" si="0"/>
        <v/>
      </c>
      <c r="T26" s="189"/>
    </row>
    <row r="27" spans="1:20" x14ac:dyDescent="0.25">
      <c r="A27" s="189" t="s">
        <v>1155</v>
      </c>
      <c r="B27" s="189" t="s">
        <v>1166</v>
      </c>
      <c r="C27" s="189">
        <v>40</v>
      </c>
      <c r="D27" s="189">
        <v>65</v>
      </c>
      <c r="E27" s="169" t="s">
        <v>407</v>
      </c>
      <c r="F27" s="169" t="s">
        <v>1133</v>
      </c>
      <c r="G27" s="169" t="s">
        <v>289</v>
      </c>
      <c r="H27" s="169" t="s">
        <v>863</v>
      </c>
      <c r="I27" s="189" t="s">
        <v>284</v>
      </c>
      <c r="J27" s="189" t="s">
        <v>857</v>
      </c>
      <c r="K27" s="189" t="s">
        <v>857</v>
      </c>
      <c r="L27" s="189" t="s">
        <v>857</v>
      </c>
      <c r="M27" s="189">
        <v>1260</v>
      </c>
      <c r="N27" s="189">
        <v>50</v>
      </c>
      <c r="O27" s="167" t="s">
        <v>1154</v>
      </c>
      <c r="R27" s="190" t="s">
        <v>1131</v>
      </c>
      <c r="S27" s="169" t="str">
        <f t="shared" si="0"/>
        <v/>
      </c>
      <c r="T27" s="190" t="s">
        <v>1131</v>
      </c>
    </row>
    <row r="28" spans="1:20" x14ac:dyDescent="0.25">
      <c r="A28" s="189"/>
      <c r="B28" s="189"/>
      <c r="C28" s="189"/>
      <c r="D28" s="189"/>
      <c r="E28" s="169" t="s">
        <v>408</v>
      </c>
      <c r="F28" s="169">
        <v>0</v>
      </c>
      <c r="G28" s="169">
        <v>0</v>
      </c>
      <c r="H28" s="169">
        <v>0</v>
      </c>
      <c r="I28" s="189"/>
      <c r="J28" s="189"/>
      <c r="K28" s="189"/>
      <c r="L28" s="189"/>
      <c r="M28" s="189"/>
      <c r="N28" s="189"/>
      <c r="R28" s="189"/>
      <c r="S28" s="169" t="str">
        <f t="shared" si="0"/>
        <v/>
      </c>
      <c r="T28" s="189"/>
    </row>
    <row r="29" spans="1:20" x14ac:dyDescent="0.25">
      <c r="A29" s="189"/>
      <c r="B29" s="189"/>
      <c r="C29" s="189"/>
      <c r="D29" s="189"/>
      <c r="E29" s="169" t="s">
        <v>407</v>
      </c>
      <c r="F29" s="169">
        <v>0</v>
      </c>
      <c r="G29" s="169">
        <v>0</v>
      </c>
      <c r="H29" s="169">
        <v>0</v>
      </c>
      <c r="I29" s="189"/>
      <c r="J29" s="189"/>
      <c r="K29" s="189"/>
      <c r="L29" s="189"/>
      <c r="M29" s="189"/>
      <c r="N29" s="189"/>
      <c r="R29" s="189"/>
      <c r="S29" s="169" t="str">
        <f t="shared" si="0"/>
        <v/>
      </c>
      <c r="T29" s="189"/>
    </row>
    <row r="30" spans="1:20" x14ac:dyDescent="0.25">
      <c r="A30" s="189"/>
      <c r="B30" s="189"/>
      <c r="C30" s="189"/>
      <c r="D30" s="189"/>
      <c r="E30" s="169" t="s">
        <v>408</v>
      </c>
      <c r="F30" s="169" t="s">
        <v>290</v>
      </c>
      <c r="G30" s="169" t="s">
        <v>863</v>
      </c>
      <c r="H30" s="169" t="s">
        <v>863</v>
      </c>
      <c r="I30" s="189"/>
      <c r="J30" s="189"/>
      <c r="K30" s="189"/>
      <c r="L30" s="189"/>
      <c r="M30" s="189"/>
      <c r="N30" s="189"/>
      <c r="R30" s="189"/>
      <c r="S30" s="169" t="str">
        <f t="shared" si="0"/>
        <v/>
      </c>
      <c r="T30" s="189"/>
    </row>
    <row r="87" spans="19:19" x14ac:dyDescent="0.25">
      <c r="S87" s="169" t="str">
        <f t="shared" ref="S87:S90" si="1">IF(R87&lt;&gt;"",IF(R87&lt;&gt;T87,1,""),"")</f>
        <v/>
      </c>
    </row>
    <row r="88" spans="19:19" x14ac:dyDescent="0.25">
      <c r="S88" s="169" t="str">
        <f t="shared" si="1"/>
        <v/>
      </c>
    </row>
    <row r="89" spans="19:19" x14ac:dyDescent="0.25">
      <c r="S89" s="169" t="str">
        <f t="shared" si="1"/>
        <v/>
      </c>
    </row>
    <row r="90" spans="19:19" x14ac:dyDescent="0.25">
      <c r="S90" s="169" t="str">
        <f t="shared" si="1"/>
        <v/>
      </c>
    </row>
  </sheetData>
  <mergeCells count="84">
    <mergeCell ref="K3:K6"/>
    <mergeCell ref="L3:L6"/>
    <mergeCell ref="M3:M6"/>
    <mergeCell ref="N3:N6"/>
    <mergeCell ref="A3:A6"/>
    <mergeCell ref="B3:B6"/>
    <mergeCell ref="C3:C6"/>
    <mergeCell ref="D3:D6"/>
    <mergeCell ref="I3:I6"/>
    <mergeCell ref="J3:J6"/>
    <mergeCell ref="A7:A10"/>
    <mergeCell ref="B7:B10"/>
    <mergeCell ref="C7:C10"/>
    <mergeCell ref="D7:D10"/>
    <mergeCell ref="I7:I10"/>
    <mergeCell ref="J7:J10"/>
    <mergeCell ref="K7:K10"/>
    <mergeCell ref="L7:L10"/>
    <mergeCell ref="M7:M10"/>
    <mergeCell ref="N7:N10"/>
    <mergeCell ref="A11:A14"/>
    <mergeCell ref="B11:B14"/>
    <mergeCell ref="C11:C14"/>
    <mergeCell ref="D11:D14"/>
    <mergeCell ref="I11:I14"/>
    <mergeCell ref="J11:J14"/>
    <mergeCell ref="K11:K14"/>
    <mergeCell ref="L11:L14"/>
    <mergeCell ref="M11:M14"/>
    <mergeCell ref="N11:N14"/>
    <mergeCell ref="A15:A18"/>
    <mergeCell ref="B15:B18"/>
    <mergeCell ref="C15:C18"/>
    <mergeCell ref="D15:D18"/>
    <mergeCell ref="I15:I18"/>
    <mergeCell ref="J15:J18"/>
    <mergeCell ref="K15:K18"/>
    <mergeCell ref="L15:L18"/>
    <mergeCell ref="M15:M18"/>
    <mergeCell ref="N15:N18"/>
    <mergeCell ref="A19:A22"/>
    <mergeCell ref="B19:B22"/>
    <mergeCell ref="C19:C22"/>
    <mergeCell ref="D19:D22"/>
    <mergeCell ref="I19:I22"/>
    <mergeCell ref="J19:J22"/>
    <mergeCell ref="K19:K22"/>
    <mergeCell ref="L19:L22"/>
    <mergeCell ref="M19:M22"/>
    <mergeCell ref="N19:N22"/>
    <mergeCell ref="A23:A26"/>
    <mergeCell ref="B23:B26"/>
    <mergeCell ref="C23:C26"/>
    <mergeCell ref="D23:D26"/>
    <mergeCell ref="I23:I26"/>
    <mergeCell ref="J23:J26"/>
    <mergeCell ref="K23:K26"/>
    <mergeCell ref="L23:L26"/>
    <mergeCell ref="M23:M26"/>
    <mergeCell ref="N23:N26"/>
    <mergeCell ref="A27:A30"/>
    <mergeCell ref="B27:B30"/>
    <mergeCell ref="C27:C30"/>
    <mergeCell ref="D27:D30"/>
    <mergeCell ref="I27:I30"/>
    <mergeCell ref="J27:J30"/>
    <mergeCell ref="K27:K30"/>
    <mergeCell ref="L27:L30"/>
    <mergeCell ref="M27:M30"/>
    <mergeCell ref="N27:N30"/>
    <mergeCell ref="R23:R26"/>
    <mergeCell ref="R27:R30"/>
    <mergeCell ref="T3:T6"/>
    <mergeCell ref="T7:T10"/>
    <mergeCell ref="T11:T14"/>
    <mergeCell ref="T15:T18"/>
    <mergeCell ref="T19:T22"/>
    <mergeCell ref="T23:T26"/>
    <mergeCell ref="T27:T30"/>
    <mergeCell ref="R3:R6"/>
    <mergeCell ref="R7:R10"/>
    <mergeCell ref="R11:R14"/>
    <mergeCell ref="R15:R18"/>
    <mergeCell ref="R19:R22"/>
  </mergeCells>
  <phoneticPr fontId="1" type="noConversion"/>
  <conditionalFormatting sqref="R1">
    <cfRule type="cellIs" dxfId="2" priority="1" operator="greaterThan">
      <formula>0</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T90"/>
  <sheetViews>
    <sheetView topLeftCell="E1" workbookViewId="0">
      <selection activeCell="P6" sqref="P6"/>
    </sheetView>
  </sheetViews>
  <sheetFormatPr defaultColWidth="9" defaultRowHeight="16.5" x14ac:dyDescent="0.25"/>
  <cols>
    <col min="1" max="14" width="9" style="143" customWidth="1"/>
    <col min="15" max="15" width="25.5" style="166" bestFit="1" customWidth="1"/>
    <col min="18" max="18" width="9.875" style="94" customWidth="1"/>
    <col min="19" max="19" width="9" style="165"/>
    <col min="20" max="20" width="67.875" style="169" bestFit="1" customWidth="1"/>
    <col min="21" max="16384" width="9" style="165"/>
  </cols>
  <sheetData>
    <row r="1" spans="1:20" ht="15.75" x14ac:dyDescent="0.25">
      <c r="A1" s="143" t="s">
        <v>398</v>
      </c>
      <c r="B1" s="143" t="s">
        <v>399</v>
      </c>
      <c r="C1" s="143" t="s">
        <v>400</v>
      </c>
      <c r="D1" s="143" t="s">
        <v>401</v>
      </c>
      <c r="E1" s="143" t="s">
        <v>402</v>
      </c>
      <c r="F1" s="143" t="s">
        <v>402</v>
      </c>
      <c r="I1" s="143" t="s">
        <v>403</v>
      </c>
      <c r="J1" s="143" t="s">
        <v>404</v>
      </c>
      <c r="M1" s="143" t="s">
        <v>405</v>
      </c>
      <c r="N1" s="143" t="s">
        <v>406</v>
      </c>
      <c r="O1" s="166" t="s">
        <v>287</v>
      </c>
      <c r="P1" s="169" t="s">
        <v>1181</v>
      </c>
      <c r="Q1" s="165"/>
      <c r="R1" s="165">
        <f>SUM(S:S)</f>
        <v>0</v>
      </c>
      <c r="T1" s="169" t="s">
        <v>1181</v>
      </c>
    </row>
    <row r="2" spans="1:20" x14ac:dyDescent="0.25">
      <c r="F2" s="143" t="s">
        <v>329</v>
      </c>
      <c r="G2" s="143" t="s">
        <v>328</v>
      </c>
      <c r="H2" s="143" t="s">
        <v>331</v>
      </c>
      <c r="J2" s="143" t="s">
        <v>329</v>
      </c>
      <c r="K2" s="143" t="s">
        <v>328</v>
      </c>
      <c r="L2" s="143" t="s">
        <v>331</v>
      </c>
    </row>
    <row r="3" spans="1:20" ht="16.149999999999999" customHeight="1" x14ac:dyDescent="0.25">
      <c r="A3" s="143" t="s">
        <v>831</v>
      </c>
      <c r="B3" s="165" t="s">
        <v>1023</v>
      </c>
      <c r="C3" s="143">
        <v>70</v>
      </c>
      <c r="D3" s="143">
        <v>200</v>
      </c>
      <c r="E3" s="143" t="s">
        <v>407</v>
      </c>
      <c r="F3" s="143" t="s">
        <v>854</v>
      </c>
      <c r="G3" s="143" t="s">
        <v>854</v>
      </c>
      <c r="H3" s="143" t="s">
        <v>854</v>
      </c>
      <c r="I3" s="143" t="s">
        <v>865</v>
      </c>
      <c r="J3" s="143" t="s">
        <v>990</v>
      </c>
      <c r="K3" s="143" t="s">
        <v>859</v>
      </c>
      <c r="L3" s="143" t="s">
        <v>859</v>
      </c>
      <c r="M3" s="143">
        <v>830</v>
      </c>
      <c r="N3" s="143">
        <v>0</v>
      </c>
      <c r="O3" s="166" t="s">
        <v>1010</v>
      </c>
      <c r="R3" s="185" t="s">
        <v>1004</v>
      </c>
      <c r="S3" s="165" t="str">
        <f t="shared" ref="S3:S34" si="0">IF(R3&lt;&gt;"",IF(R3&lt;&gt;T3,1,""),"")</f>
        <v/>
      </c>
      <c r="T3" s="189" t="s">
        <v>1004</v>
      </c>
    </row>
    <row r="4" spans="1:20" x14ac:dyDescent="0.25">
      <c r="B4" s="165" t="s">
        <v>1013</v>
      </c>
      <c r="E4" s="143" t="s">
        <v>408</v>
      </c>
      <c r="F4" s="143">
        <v>0</v>
      </c>
      <c r="G4" s="143" t="s">
        <v>991</v>
      </c>
      <c r="H4" s="143">
        <v>0</v>
      </c>
      <c r="R4" s="185"/>
      <c r="S4" s="165" t="str">
        <f t="shared" si="0"/>
        <v/>
      </c>
      <c r="T4" s="189"/>
    </row>
    <row r="5" spans="1:20" x14ac:dyDescent="0.25">
      <c r="B5" s="165" t="s">
        <v>1013</v>
      </c>
      <c r="E5" s="143" t="s">
        <v>407</v>
      </c>
      <c r="F5" s="143" t="s">
        <v>854</v>
      </c>
      <c r="G5" s="143">
        <v>0</v>
      </c>
      <c r="H5" s="143" t="s">
        <v>853</v>
      </c>
      <c r="R5" s="185"/>
      <c r="S5" s="165" t="str">
        <f t="shared" si="0"/>
        <v/>
      </c>
      <c r="T5" s="189"/>
    </row>
    <row r="6" spans="1:20" x14ac:dyDescent="0.25">
      <c r="B6" s="165" t="s">
        <v>1013</v>
      </c>
      <c r="E6" s="143" t="s">
        <v>408</v>
      </c>
      <c r="F6" s="143" t="s">
        <v>854</v>
      </c>
      <c r="G6" s="143" t="s">
        <v>854</v>
      </c>
      <c r="H6" s="143" t="s">
        <v>854</v>
      </c>
      <c r="R6" s="185"/>
      <c r="S6" s="165" t="str">
        <f t="shared" si="0"/>
        <v/>
      </c>
      <c r="T6" s="189"/>
    </row>
    <row r="7" spans="1:20" ht="16.149999999999999" customHeight="1" x14ac:dyDescent="0.25">
      <c r="A7" s="143" t="s">
        <v>831</v>
      </c>
      <c r="B7" s="165" t="s">
        <v>1012</v>
      </c>
      <c r="C7" s="143">
        <v>70</v>
      </c>
      <c r="D7" s="143">
        <v>200</v>
      </c>
      <c r="E7" s="143" t="s">
        <v>407</v>
      </c>
      <c r="F7" s="143" t="s">
        <v>854</v>
      </c>
      <c r="G7" s="143" t="s">
        <v>854</v>
      </c>
      <c r="H7" s="143" t="s">
        <v>854</v>
      </c>
      <c r="I7" s="143" t="s">
        <v>865</v>
      </c>
      <c r="J7" s="143" t="s">
        <v>986</v>
      </c>
      <c r="K7" s="143" t="s">
        <v>859</v>
      </c>
      <c r="L7" s="143" t="s">
        <v>859</v>
      </c>
      <c r="M7" s="143">
        <v>830</v>
      </c>
      <c r="N7" s="143">
        <v>0</v>
      </c>
      <c r="O7" s="94" t="s">
        <v>1024</v>
      </c>
      <c r="R7" s="187" t="s">
        <v>1062</v>
      </c>
      <c r="S7" s="165" t="str">
        <f t="shared" si="0"/>
        <v/>
      </c>
      <c r="T7" s="190" t="s">
        <v>1062</v>
      </c>
    </row>
    <row r="8" spans="1:20" x14ac:dyDescent="0.25">
      <c r="B8" s="165" t="s">
        <v>1013</v>
      </c>
      <c r="E8" s="143" t="s">
        <v>408</v>
      </c>
      <c r="F8" s="143">
        <v>0</v>
      </c>
      <c r="G8" s="143" t="s">
        <v>991</v>
      </c>
      <c r="H8" s="143">
        <v>0</v>
      </c>
      <c r="O8" s="94" t="s">
        <v>1013</v>
      </c>
      <c r="R8" s="185"/>
      <c r="S8" s="165" t="str">
        <f t="shared" si="0"/>
        <v/>
      </c>
      <c r="T8" s="189"/>
    </row>
    <row r="9" spans="1:20" x14ac:dyDescent="0.25">
      <c r="B9" s="165" t="s">
        <v>1013</v>
      </c>
      <c r="E9" s="143" t="s">
        <v>407</v>
      </c>
      <c r="F9" s="143" t="s">
        <v>854</v>
      </c>
      <c r="G9" s="143">
        <v>0</v>
      </c>
      <c r="H9" s="143" t="s">
        <v>853</v>
      </c>
      <c r="O9" s="94" t="s">
        <v>1013</v>
      </c>
      <c r="R9" s="185"/>
      <c r="S9" s="165" t="str">
        <f t="shared" si="0"/>
        <v/>
      </c>
      <c r="T9" s="189"/>
    </row>
    <row r="10" spans="1:20" x14ac:dyDescent="0.25">
      <c r="B10" s="165" t="s">
        <v>1013</v>
      </c>
      <c r="E10" s="143" t="s">
        <v>408</v>
      </c>
      <c r="F10" s="143" t="s">
        <v>854</v>
      </c>
      <c r="G10" s="143" t="s">
        <v>854</v>
      </c>
      <c r="H10" s="143" t="s">
        <v>854</v>
      </c>
      <c r="O10" s="94" t="s">
        <v>1013</v>
      </c>
      <c r="R10" s="185"/>
      <c r="S10" s="165" t="str">
        <f t="shared" si="0"/>
        <v/>
      </c>
      <c r="T10" s="189"/>
    </row>
    <row r="11" spans="1:20" ht="16.5" customHeight="1" x14ac:dyDescent="0.25">
      <c r="A11" s="143" t="s">
        <v>831</v>
      </c>
      <c r="B11" s="165" t="s">
        <v>1014</v>
      </c>
      <c r="C11" s="143">
        <v>70</v>
      </c>
      <c r="D11" s="143">
        <v>200</v>
      </c>
      <c r="E11" s="143" t="s">
        <v>407</v>
      </c>
      <c r="F11" s="143" t="s">
        <v>854</v>
      </c>
      <c r="G11" s="143" t="s">
        <v>854</v>
      </c>
      <c r="H11" s="143" t="s">
        <v>854</v>
      </c>
      <c r="I11" s="143" t="s">
        <v>987</v>
      </c>
      <c r="J11" s="143" t="s">
        <v>851</v>
      </c>
      <c r="K11" s="143" t="s">
        <v>851</v>
      </c>
      <c r="L11" s="143" t="s">
        <v>851</v>
      </c>
      <c r="M11" s="143">
        <v>830</v>
      </c>
      <c r="N11" s="143">
        <v>0</v>
      </c>
      <c r="O11" s="94" t="s">
        <v>1025</v>
      </c>
      <c r="R11" s="187" t="s">
        <v>1053</v>
      </c>
      <c r="S11" s="165" t="str">
        <f t="shared" si="0"/>
        <v/>
      </c>
      <c r="T11" s="190" t="s">
        <v>1053</v>
      </c>
    </row>
    <row r="12" spans="1:20" x14ac:dyDescent="0.25">
      <c r="B12" s="165" t="s">
        <v>1013</v>
      </c>
      <c r="E12" s="143" t="s">
        <v>408</v>
      </c>
      <c r="F12" s="143">
        <v>0</v>
      </c>
      <c r="G12" s="143" t="s">
        <v>991</v>
      </c>
      <c r="H12" s="143">
        <v>0</v>
      </c>
      <c r="O12" s="94" t="s">
        <v>1013</v>
      </c>
      <c r="R12" s="185"/>
      <c r="S12" s="165" t="str">
        <f t="shared" si="0"/>
        <v/>
      </c>
      <c r="T12" s="189"/>
    </row>
    <row r="13" spans="1:20" x14ac:dyDescent="0.25">
      <c r="B13" s="165" t="s">
        <v>1013</v>
      </c>
      <c r="E13" s="143" t="s">
        <v>407</v>
      </c>
      <c r="F13" s="143" t="s">
        <v>854</v>
      </c>
      <c r="G13" s="143">
        <v>0</v>
      </c>
      <c r="H13" s="143" t="s">
        <v>853</v>
      </c>
      <c r="O13" s="94" t="s">
        <v>1013</v>
      </c>
      <c r="R13" s="185"/>
      <c r="S13" s="165" t="str">
        <f t="shared" si="0"/>
        <v/>
      </c>
      <c r="T13" s="189"/>
    </row>
    <row r="14" spans="1:20" x14ac:dyDescent="0.25">
      <c r="B14" s="165" t="s">
        <v>1013</v>
      </c>
      <c r="E14" s="143" t="s">
        <v>408</v>
      </c>
      <c r="F14" s="143" t="s">
        <v>854</v>
      </c>
      <c r="G14" s="143" t="s">
        <v>854</v>
      </c>
      <c r="H14" s="143" t="s">
        <v>854</v>
      </c>
      <c r="O14" s="94" t="s">
        <v>1013</v>
      </c>
      <c r="R14" s="185"/>
      <c r="S14" s="165" t="str">
        <f t="shared" si="0"/>
        <v/>
      </c>
      <c r="T14" s="189"/>
    </row>
    <row r="15" spans="1:20" ht="16.5" customHeight="1" x14ac:dyDescent="0.25">
      <c r="A15" s="143" t="s">
        <v>831</v>
      </c>
      <c r="B15" s="165" t="s">
        <v>1014</v>
      </c>
      <c r="C15" s="143">
        <v>70</v>
      </c>
      <c r="D15" s="143">
        <v>200</v>
      </c>
      <c r="E15" s="143" t="s">
        <v>407</v>
      </c>
      <c r="F15" s="143" t="s">
        <v>854</v>
      </c>
      <c r="G15" s="143" t="s">
        <v>854</v>
      </c>
      <c r="H15" s="143" t="s">
        <v>854</v>
      </c>
      <c r="I15" s="143" t="s">
        <v>988</v>
      </c>
      <c r="J15" s="143" t="s">
        <v>851</v>
      </c>
      <c r="K15" s="143" t="s">
        <v>851</v>
      </c>
      <c r="L15" s="143" t="s">
        <v>851</v>
      </c>
      <c r="M15" s="143">
        <v>830</v>
      </c>
      <c r="N15" s="143">
        <v>0</v>
      </c>
      <c r="O15" s="94" t="s">
        <v>1026</v>
      </c>
      <c r="R15" s="187" t="s">
        <v>1053</v>
      </c>
      <c r="S15" s="165" t="str">
        <f t="shared" si="0"/>
        <v/>
      </c>
      <c r="T15" s="190" t="s">
        <v>1053</v>
      </c>
    </row>
    <row r="16" spans="1:20" x14ac:dyDescent="0.25">
      <c r="B16" s="165" t="s">
        <v>1013</v>
      </c>
      <c r="E16" s="143" t="s">
        <v>408</v>
      </c>
      <c r="F16" s="143">
        <v>0</v>
      </c>
      <c r="G16" s="143" t="s">
        <v>991</v>
      </c>
      <c r="H16" s="143">
        <v>0</v>
      </c>
      <c r="O16" s="94" t="s">
        <v>1013</v>
      </c>
      <c r="R16" s="185"/>
      <c r="S16" s="165" t="str">
        <f t="shared" si="0"/>
        <v/>
      </c>
      <c r="T16" s="189"/>
    </row>
    <row r="17" spans="1:20" x14ac:dyDescent="0.25">
      <c r="B17" s="165" t="s">
        <v>1013</v>
      </c>
      <c r="E17" s="143" t="s">
        <v>407</v>
      </c>
      <c r="F17" s="143" t="s">
        <v>854</v>
      </c>
      <c r="G17" s="143">
        <v>0</v>
      </c>
      <c r="H17" s="143" t="s">
        <v>853</v>
      </c>
      <c r="O17" s="94" t="s">
        <v>1013</v>
      </c>
      <c r="R17" s="185"/>
      <c r="S17" s="165" t="str">
        <f t="shared" si="0"/>
        <v/>
      </c>
      <c r="T17" s="189"/>
    </row>
    <row r="18" spans="1:20" x14ac:dyDescent="0.25">
      <c r="B18" s="165" t="s">
        <v>1013</v>
      </c>
      <c r="E18" s="143" t="s">
        <v>408</v>
      </c>
      <c r="F18" s="143" t="s">
        <v>854</v>
      </c>
      <c r="G18" s="143" t="s">
        <v>854</v>
      </c>
      <c r="H18" s="143" t="s">
        <v>854</v>
      </c>
      <c r="O18" s="94" t="s">
        <v>1013</v>
      </c>
      <c r="R18" s="185"/>
      <c r="S18" s="165" t="str">
        <f t="shared" si="0"/>
        <v/>
      </c>
      <c r="T18" s="189"/>
    </row>
    <row r="19" spans="1:20" ht="16.5" customHeight="1" x14ac:dyDescent="0.25">
      <c r="A19" s="143" t="s">
        <v>831</v>
      </c>
      <c r="B19" s="165" t="s">
        <v>1014</v>
      </c>
      <c r="C19" s="143">
        <v>70</v>
      </c>
      <c r="D19" s="143">
        <v>200</v>
      </c>
      <c r="E19" s="143" t="s">
        <v>407</v>
      </c>
      <c r="F19" s="143" t="s">
        <v>854</v>
      </c>
      <c r="G19" s="143" t="s">
        <v>854</v>
      </c>
      <c r="H19" s="143" t="s">
        <v>854</v>
      </c>
      <c r="I19" s="143" t="s">
        <v>989</v>
      </c>
      <c r="J19" s="143" t="s">
        <v>851</v>
      </c>
      <c r="K19" s="143" t="s">
        <v>851</v>
      </c>
      <c r="L19" s="143" t="s">
        <v>851</v>
      </c>
      <c r="M19" s="143">
        <v>830</v>
      </c>
      <c r="N19" s="143">
        <v>0</v>
      </c>
      <c r="O19" s="94" t="s">
        <v>1027</v>
      </c>
      <c r="R19" s="187" t="s">
        <v>1053</v>
      </c>
      <c r="S19" s="165" t="str">
        <f t="shared" si="0"/>
        <v/>
      </c>
      <c r="T19" s="190" t="s">
        <v>1053</v>
      </c>
    </row>
    <row r="20" spans="1:20" x14ac:dyDescent="0.25">
      <c r="B20" s="165" t="s">
        <v>1013</v>
      </c>
      <c r="E20" s="143" t="s">
        <v>408</v>
      </c>
      <c r="F20" s="143">
        <v>0</v>
      </c>
      <c r="G20" s="143" t="s">
        <v>991</v>
      </c>
      <c r="H20" s="143">
        <v>0</v>
      </c>
      <c r="O20" s="94" t="s">
        <v>1013</v>
      </c>
      <c r="R20" s="185"/>
      <c r="S20" s="165" t="str">
        <f t="shared" si="0"/>
        <v/>
      </c>
      <c r="T20" s="189"/>
    </row>
    <row r="21" spans="1:20" x14ac:dyDescent="0.25">
      <c r="B21" s="165" t="s">
        <v>1013</v>
      </c>
      <c r="E21" s="143" t="s">
        <v>407</v>
      </c>
      <c r="F21" s="143" t="s">
        <v>854</v>
      </c>
      <c r="G21" s="143">
        <v>0</v>
      </c>
      <c r="H21" s="143" t="s">
        <v>853</v>
      </c>
      <c r="O21" s="94" t="s">
        <v>1013</v>
      </c>
      <c r="R21" s="185"/>
      <c r="S21" s="165" t="str">
        <f t="shared" si="0"/>
        <v/>
      </c>
      <c r="T21" s="189"/>
    </row>
    <row r="22" spans="1:20" x14ac:dyDescent="0.25">
      <c r="B22" s="165" t="s">
        <v>1013</v>
      </c>
      <c r="E22" s="143" t="s">
        <v>408</v>
      </c>
      <c r="F22" s="143" t="s">
        <v>854</v>
      </c>
      <c r="G22" s="143" t="s">
        <v>854</v>
      </c>
      <c r="H22" s="143" t="s">
        <v>854</v>
      </c>
      <c r="O22" s="94" t="s">
        <v>1013</v>
      </c>
      <c r="R22" s="185"/>
      <c r="S22" s="165" t="str">
        <f t="shared" si="0"/>
        <v/>
      </c>
      <c r="T22" s="189"/>
    </row>
    <row r="23" spans="1:20" ht="16.5" customHeight="1" x14ac:dyDescent="0.25">
      <c r="A23" s="143" t="s">
        <v>831</v>
      </c>
      <c r="B23" s="165" t="s">
        <v>1014</v>
      </c>
      <c r="C23" s="143">
        <v>70</v>
      </c>
      <c r="D23" s="143">
        <v>200</v>
      </c>
      <c r="E23" s="143" t="s">
        <v>407</v>
      </c>
      <c r="F23" s="143" t="s">
        <v>854</v>
      </c>
      <c r="G23" s="143" t="s">
        <v>854</v>
      </c>
      <c r="H23" s="143" t="s">
        <v>854</v>
      </c>
      <c r="I23" s="143" t="s">
        <v>992</v>
      </c>
      <c r="J23" s="143" t="s">
        <v>851</v>
      </c>
      <c r="K23" s="143" t="s">
        <v>851</v>
      </c>
      <c r="L23" s="143" t="s">
        <v>851</v>
      </c>
      <c r="M23" s="143">
        <v>830</v>
      </c>
      <c r="N23" s="143">
        <v>0</v>
      </c>
      <c r="O23" s="94" t="s">
        <v>1028</v>
      </c>
      <c r="R23" s="187" t="s">
        <v>1053</v>
      </c>
      <c r="S23" s="165" t="str">
        <f t="shared" si="0"/>
        <v/>
      </c>
      <c r="T23" s="190" t="s">
        <v>1053</v>
      </c>
    </row>
    <row r="24" spans="1:20" x14ac:dyDescent="0.25">
      <c r="B24" s="165" t="s">
        <v>1013</v>
      </c>
      <c r="E24" s="143" t="s">
        <v>408</v>
      </c>
      <c r="F24" s="143">
        <v>0</v>
      </c>
      <c r="G24" s="143" t="s">
        <v>991</v>
      </c>
      <c r="H24" s="143">
        <v>0</v>
      </c>
      <c r="O24" s="94" t="s">
        <v>1013</v>
      </c>
      <c r="R24" s="185"/>
      <c r="S24" s="165" t="str">
        <f t="shared" si="0"/>
        <v/>
      </c>
      <c r="T24" s="189"/>
    </row>
    <row r="25" spans="1:20" x14ac:dyDescent="0.25">
      <c r="B25" s="165" t="s">
        <v>1013</v>
      </c>
      <c r="E25" s="143" t="s">
        <v>407</v>
      </c>
      <c r="F25" s="143" t="s">
        <v>854</v>
      </c>
      <c r="G25" s="143">
        <v>0</v>
      </c>
      <c r="H25" s="143" t="s">
        <v>853</v>
      </c>
      <c r="O25" s="94" t="s">
        <v>1013</v>
      </c>
      <c r="R25" s="185"/>
      <c r="S25" s="165" t="str">
        <f t="shared" si="0"/>
        <v/>
      </c>
      <c r="T25" s="189"/>
    </row>
    <row r="26" spans="1:20" x14ac:dyDescent="0.25">
      <c r="B26" s="165" t="s">
        <v>1013</v>
      </c>
      <c r="E26" s="143" t="s">
        <v>408</v>
      </c>
      <c r="F26" s="143" t="s">
        <v>854</v>
      </c>
      <c r="G26" s="143" t="s">
        <v>854</v>
      </c>
      <c r="H26" s="143" t="s">
        <v>854</v>
      </c>
      <c r="O26" s="94" t="s">
        <v>1013</v>
      </c>
      <c r="R26" s="185"/>
      <c r="S26" s="165" t="str">
        <f t="shared" si="0"/>
        <v/>
      </c>
      <c r="T26" s="189"/>
    </row>
    <row r="27" spans="1:20" ht="16.5" customHeight="1" x14ac:dyDescent="0.25">
      <c r="A27" s="143" t="s">
        <v>831</v>
      </c>
      <c r="B27" s="165" t="s">
        <v>1015</v>
      </c>
      <c r="C27" s="143">
        <v>50</v>
      </c>
      <c r="D27" s="143">
        <v>100</v>
      </c>
      <c r="E27" s="143" t="s">
        <v>407</v>
      </c>
      <c r="F27" s="143" t="s">
        <v>854</v>
      </c>
      <c r="G27" s="143" t="s">
        <v>854</v>
      </c>
      <c r="H27" s="143" t="s">
        <v>854</v>
      </c>
      <c r="I27" s="143" t="s">
        <v>993</v>
      </c>
      <c r="J27" s="143" t="s">
        <v>851</v>
      </c>
      <c r="K27" s="143" t="s">
        <v>851</v>
      </c>
      <c r="L27" s="143" t="s">
        <v>851</v>
      </c>
      <c r="M27" s="143">
        <v>830</v>
      </c>
      <c r="N27" s="143">
        <v>0</v>
      </c>
      <c r="O27" s="94" t="s">
        <v>1029</v>
      </c>
      <c r="R27" s="187" t="s">
        <v>1054</v>
      </c>
      <c r="S27" s="165" t="str">
        <f t="shared" si="0"/>
        <v/>
      </c>
      <c r="T27" s="190" t="s">
        <v>1054</v>
      </c>
    </row>
    <row r="28" spans="1:20" x14ac:dyDescent="0.25">
      <c r="B28" s="165" t="s">
        <v>1013</v>
      </c>
      <c r="E28" s="143" t="s">
        <v>408</v>
      </c>
      <c r="F28" s="143">
        <v>0</v>
      </c>
      <c r="G28" s="143" t="s">
        <v>991</v>
      </c>
      <c r="H28" s="143">
        <v>0</v>
      </c>
      <c r="O28" s="94" t="s">
        <v>1013</v>
      </c>
      <c r="R28" s="185"/>
      <c r="S28" s="165" t="str">
        <f t="shared" si="0"/>
        <v/>
      </c>
      <c r="T28" s="189"/>
    </row>
    <row r="29" spans="1:20" x14ac:dyDescent="0.25">
      <c r="B29" s="165" t="s">
        <v>1013</v>
      </c>
      <c r="E29" s="143" t="s">
        <v>407</v>
      </c>
      <c r="F29" s="143" t="s">
        <v>854</v>
      </c>
      <c r="G29" s="143">
        <v>0</v>
      </c>
      <c r="H29" s="143" t="s">
        <v>853</v>
      </c>
      <c r="O29" s="94" t="s">
        <v>1013</v>
      </c>
      <c r="R29" s="185"/>
      <c r="S29" s="165" t="str">
        <f t="shared" si="0"/>
        <v/>
      </c>
      <c r="T29" s="189"/>
    </row>
    <row r="30" spans="1:20" x14ac:dyDescent="0.25">
      <c r="B30" s="165" t="s">
        <v>1013</v>
      </c>
      <c r="E30" s="143" t="s">
        <v>408</v>
      </c>
      <c r="F30" s="143" t="s">
        <v>854</v>
      </c>
      <c r="G30" s="143" t="s">
        <v>854</v>
      </c>
      <c r="H30" s="143" t="s">
        <v>854</v>
      </c>
      <c r="O30" s="94" t="s">
        <v>1013</v>
      </c>
      <c r="R30" s="185"/>
      <c r="S30" s="165" t="str">
        <f t="shared" si="0"/>
        <v/>
      </c>
      <c r="T30" s="189"/>
    </row>
    <row r="31" spans="1:20" ht="16.5" customHeight="1" x14ac:dyDescent="0.25">
      <c r="A31" s="143" t="s">
        <v>831</v>
      </c>
      <c r="B31" s="165" t="s">
        <v>1015</v>
      </c>
      <c r="C31" s="143">
        <v>50</v>
      </c>
      <c r="D31" s="143">
        <v>100</v>
      </c>
      <c r="E31" s="143" t="s">
        <v>407</v>
      </c>
      <c r="F31" s="143" t="s">
        <v>854</v>
      </c>
      <c r="G31" s="143" t="s">
        <v>854</v>
      </c>
      <c r="H31" s="143" t="s">
        <v>854</v>
      </c>
      <c r="I31" s="143" t="s">
        <v>995</v>
      </c>
      <c r="J31" s="143" t="s">
        <v>851</v>
      </c>
      <c r="K31" s="143" t="s">
        <v>851</v>
      </c>
      <c r="L31" s="143" t="s">
        <v>851</v>
      </c>
      <c r="M31" s="143">
        <v>830</v>
      </c>
      <c r="N31" s="143">
        <v>0</v>
      </c>
      <c r="O31" s="94" t="s">
        <v>1030</v>
      </c>
      <c r="R31" s="187" t="s">
        <v>1054</v>
      </c>
      <c r="S31" s="165" t="str">
        <f t="shared" si="0"/>
        <v/>
      </c>
      <c r="T31" s="190" t="s">
        <v>1054</v>
      </c>
    </row>
    <row r="32" spans="1:20" x14ac:dyDescent="0.25">
      <c r="B32" s="165" t="s">
        <v>1013</v>
      </c>
      <c r="E32" s="143" t="s">
        <v>408</v>
      </c>
      <c r="F32" s="143">
        <v>0</v>
      </c>
      <c r="G32" s="143" t="s">
        <v>991</v>
      </c>
      <c r="H32" s="143">
        <v>0</v>
      </c>
      <c r="O32" s="94" t="s">
        <v>1013</v>
      </c>
      <c r="R32" s="185"/>
      <c r="S32" s="165" t="str">
        <f t="shared" si="0"/>
        <v/>
      </c>
      <c r="T32" s="189"/>
    </row>
    <row r="33" spans="1:20" x14ac:dyDescent="0.25">
      <c r="B33" s="165" t="s">
        <v>1013</v>
      </c>
      <c r="E33" s="143" t="s">
        <v>407</v>
      </c>
      <c r="F33" s="143" t="s">
        <v>854</v>
      </c>
      <c r="G33" s="143">
        <v>0</v>
      </c>
      <c r="H33" s="143" t="s">
        <v>853</v>
      </c>
      <c r="O33" s="94" t="s">
        <v>1013</v>
      </c>
      <c r="R33" s="185"/>
      <c r="S33" s="165" t="str">
        <f t="shared" si="0"/>
        <v/>
      </c>
      <c r="T33" s="189"/>
    </row>
    <row r="34" spans="1:20" x14ac:dyDescent="0.25">
      <c r="B34" s="165" t="s">
        <v>1013</v>
      </c>
      <c r="E34" s="143" t="s">
        <v>408</v>
      </c>
      <c r="F34" s="143" t="s">
        <v>854</v>
      </c>
      <c r="G34" s="143" t="s">
        <v>854</v>
      </c>
      <c r="H34" s="143" t="s">
        <v>854</v>
      </c>
      <c r="O34" s="94" t="s">
        <v>1013</v>
      </c>
      <c r="R34" s="185"/>
      <c r="S34" s="165" t="str">
        <f t="shared" si="0"/>
        <v/>
      </c>
      <c r="T34" s="189"/>
    </row>
    <row r="35" spans="1:20" ht="16.5" customHeight="1" x14ac:dyDescent="0.25">
      <c r="A35" s="143" t="s">
        <v>831</v>
      </c>
      <c r="B35" s="165" t="s">
        <v>1015</v>
      </c>
      <c r="C35" s="143">
        <v>70</v>
      </c>
      <c r="D35" s="143">
        <v>200</v>
      </c>
      <c r="E35" s="143" t="s">
        <v>407</v>
      </c>
      <c r="F35" s="143" t="s">
        <v>854</v>
      </c>
      <c r="G35" s="143" t="s">
        <v>854</v>
      </c>
      <c r="H35" s="143" t="s">
        <v>854</v>
      </c>
      <c r="I35" s="143" t="s">
        <v>994</v>
      </c>
      <c r="J35" s="143" t="s">
        <v>851</v>
      </c>
      <c r="K35" s="143" t="s">
        <v>851</v>
      </c>
      <c r="L35" s="143" t="s">
        <v>851</v>
      </c>
      <c r="M35" s="143">
        <v>830</v>
      </c>
      <c r="N35" s="143">
        <v>0</v>
      </c>
      <c r="O35" s="94" t="s">
        <v>1031</v>
      </c>
      <c r="R35" s="187" t="s">
        <v>1054</v>
      </c>
      <c r="S35" s="165" t="str">
        <f t="shared" ref="S35:S66" si="1">IF(R35&lt;&gt;"",IF(R35&lt;&gt;T35,1,""),"")</f>
        <v/>
      </c>
      <c r="T35" s="190" t="s">
        <v>1054</v>
      </c>
    </row>
    <row r="36" spans="1:20" x14ac:dyDescent="0.25">
      <c r="B36" s="165" t="s">
        <v>1013</v>
      </c>
      <c r="E36" s="143" t="s">
        <v>408</v>
      </c>
      <c r="F36" s="143">
        <v>0</v>
      </c>
      <c r="G36" s="143" t="s">
        <v>991</v>
      </c>
      <c r="H36" s="143">
        <v>0</v>
      </c>
      <c r="O36" s="94" t="s">
        <v>1013</v>
      </c>
      <c r="R36" s="185"/>
      <c r="S36" s="165" t="str">
        <f t="shared" si="1"/>
        <v/>
      </c>
      <c r="T36" s="189"/>
    </row>
    <row r="37" spans="1:20" x14ac:dyDescent="0.25">
      <c r="B37" s="165" t="s">
        <v>1013</v>
      </c>
      <c r="E37" s="143" t="s">
        <v>407</v>
      </c>
      <c r="F37" s="143" t="s">
        <v>854</v>
      </c>
      <c r="G37" s="143">
        <v>0</v>
      </c>
      <c r="H37" s="143" t="s">
        <v>853</v>
      </c>
      <c r="O37" s="94" t="s">
        <v>1013</v>
      </c>
      <c r="R37" s="185"/>
      <c r="S37" s="165" t="str">
        <f t="shared" si="1"/>
        <v/>
      </c>
      <c r="T37" s="189"/>
    </row>
    <row r="38" spans="1:20" x14ac:dyDescent="0.25">
      <c r="B38" s="165" t="s">
        <v>1013</v>
      </c>
      <c r="E38" s="143" t="s">
        <v>408</v>
      </c>
      <c r="F38" s="143" t="s">
        <v>854</v>
      </c>
      <c r="G38" s="143" t="s">
        <v>854</v>
      </c>
      <c r="H38" s="143" t="s">
        <v>854</v>
      </c>
      <c r="O38" s="94" t="s">
        <v>1013</v>
      </c>
      <c r="R38" s="185"/>
      <c r="S38" s="165" t="str">
        <f t="shared" si="1"/>
        <v/>
      </c>
      <c r="T38" s="189"/>
    </row>
    <row r="39" spans="1:20" ht="16.5" customHeight="1" x14ac:dyDescent="0.25">
      <c r="A39" s="143" t="s">
        <v>831</v>
      </c>
      <c r="B39" s="165" t="s">
        <v>1016</v>
      </c>
      <c r="C39" s="143">
        <v>70</v>
      </c>
      <c r="D39" s="143">
        <v>200</v>
      </c>
      <c r="E39" s="143" t="s">
        <v>407</v>
      </c>
      <c r="F39" s="143" t="s">
        <v>996</v>
      </c>
      <c r="G39" s="143" t="s">
        <v>854</v>
      </c>
      <c r="H39" s="143" t="s">
        <v>854</v>
      </c>
      <c r="I39" s="143" t="s">
        <v>858</v>
      </c>
      <c r="J39" s="143" t="s">
        <v>851</v>
      </c>
      <c r="K39" s="143" t="s">
        <v>851</v>
      </c>
      <c r="L39" s="143" t="s">
        <v>851</v>
      </c>
      <c r="M39" s="143">
        <v>830</v>
      </c>
      <c r="N39" s="143">
        <v>0</v>
      </c>
      <c r="O39" s="94" t="s">
        <v>1032</v>
      </c>
      <c r="R39" s="187" t="s">
        <v>1065</v>
      </c>
      <c r="S39" s="165" t="str">
        <f t="shared" si="1"/>
        <v/>
      </c>
      <c r="T39" s="190" t="s">
        <v>1065</v>
      </c>
    </row>
    <row r="40" spans="1:20" x14ac:dyDescent="0.25">
      <c r="B40" s="165" t="s">
        <v>1013</v>
      </c>
      <c r="E40" s="143" t="s">
        <v>408</v>
      </c>
      <c r="F40" s="143">
        <v>0</v>
      </c>
      <c r="G40" s="143" t="s">
        <v>991</v>
      </c>
      <c r="H40" s="143">
        <v>0</v>
      </c>
      <c r="O40" s="94" t="s">
        <v>1013</v>
      </c>
      <c r="R40" s="185"/>
      <c r="S40" s="165" t="str">
        <f t="shared" si="1"/>
        <v/>
      </c>
      <c r="T40" s="189"/>
    </row>
    <row r="41" spans="1:20" x14ac:dyDescent="0.25">
      <c r="B41" s="165" t="s">
        <v>1013</v>
      </c>
      <c r="E41" s="143" t="s">
        <v>407</v>
      </c>
      <c r="F41" s="143" t="s">
        <v>854</v>
      </c>
      <c r="G41" s="143">
        <v>0</v>
      </c>
      <c r="H41" s="143" t="s">
        <v>853</v>
      </c>
      <c r="O41" s="94" t="s">
        <v>1013</v>
      </c>
      <c r="R41" s="185"/>
      <c r="S41" s="165" t="str">
        <f t="shared" si="1"/>
        <v/>
      </c>
      <c r="T41" s="189"/>
    </row>
    <row r="42" spans="1:20" x14ac:dyDescent="0.25">
      <c r="B42" s="165" t="s">
        <v>1013</v>
      </c>
      <c r="E42" s="143" t="s">
        <v>408</v>
      </c>
      <c r="F42" s="143" t="s">
        <v>854</v>
      </c>
      <c r="G42" s="143" t="s">
        <v>854</v>
      </c>
      <c r="H42" s="143" t="s">
        <v>854</v>
      </c>
      <c r="O42" s="94" t="s">
        <v>1013</v>
      </c>
      <c r="R42" s="185"/>
      <c r="S42" s="165" t="str">
        <f t="shared" si="1"/>
        <v/>
      </c>
      <c r="T42" s="189"/>
    </row>
    <row r="43" spans="1:20" ht="16.5" customHeight="1" x14ac:dyDescent="0.25">
      <c r="A43" s="143" t="s">
        <v>831</v>
      </c>
      <c r="B43" s="165" t="s">
        <v>1017</v>
      </c>
      <c r="C43" s="143">
        <v>70</v>
      </c>
      <c r="D43" s="143">
        <v>200</v>
      </c>
      <c r="E43" s="143" t="s">
        <v>407</v>
      </c>
      <c r="F43" s="143" t="s">
        <v>854</v>
      </c>
      <c r="G43" s="143" t="s">
        <v>854</v>
      </c>
      <c r="H43" s="143" t="s">
        <v>854</v>
      </c>
      <c r="I43" s="143" t="s">
        <v>858</v>
      </c>
      <c r="J43" s="143" t="s">
        <v>851</v>
      </c>
      <c r="K43" s="143" t="s">
        <v>851</v>
      </c>
      <c r="L43" s="143" t="s">
        <v>851</v>
      </c>
      <c r="M43" s="143">
        <v>830</v>
      </c>
      <c r="N43" s="143">
        <v>0</v>
      </c>
      <c r="O43" s="94" t="s">
        <v>1033</v>
      </c>
      <c r="R43" s="187" t="s">
        <v>1066</v>
      </c>
      <c r="S43" s="165" t="str">
        <f t="shared" si="1"/>
        <v/>
      </c>
      <c r="T43" s="190" t="s">
        <v>1066</v>
      </c>
    </row>
    <row r="44" spans="1:20" x14ac:dyDescent="0.25">
      <c r="B44" s="165" t="s">
        <v>1013</v>
      </c>
      <c r="E44" s="143" t="s">
        <v>408</v>
      </c>
      <c r="F44" s="143">
        <v>0</v>
      </c>
      <c r="G44" s="143" t="s">
        <v>991</v>
      </c>
      <c r="H44" s="143">
        <v>0</v>
      </c>
      <c r="O44" s="94" t="s">
        <v>1013</v>
      </c>
      <c r="R44" s="185"/>
      <c r="S44" s="165" t="str">
        <f t="shared" si="1"/>
        <v/>
      </c>
      <c r="T44" s="189"/>
    </row>
    <row r="45" spans="1:20" x14ac:dyDescent="0.25">
      <c r="B45" s="165" t="s">
        <v>1013</v>
      </c>
      <c r="E45" s="143" t="s">
        <v>407</v>
      </c>
      <c r="F45" s="143" t="s">
        <v>854</v>
      </c>
      <c r="G45" s="143">
        <v>0</v>
      </c>
      <c r="H45" s="143" t="s">
        <v>853</v>
      </c>
      <c r="O45" s="94" t="s">
        <v>1013</v>
      </c>
      <c r="R45" s="185"/>
      <c r="S45" s="165" t="str">
        <f t="shared" si="1"/>
        <v/>
      </c>
      <c r="T45" s="189"/>
    </row>
    <row r="46" spans="1:20" x14ac:dyDescent="0.25">
      <c r="B46" s="165" t="s">
        <v>1013</v>
      </c>
      <c r="E46" s="143" t="s">
        <v>408</v>
      </c>
      <c r="F46" s="143" t="s">
        <v>854</v>
      </c>
      <c r="G46" s="143" t="s">
        <v>996</v>
      </c>
      <c r="H46" s="143" t="s">
        <v>854</v>
      </c>
      <c r="O46" s="94" t="s">
        <v>1013</v>
      </c>
      <c r="R46" s="185"/>
      <c r="S46" s="165" t="str">
        <f t="shared" si="1"/>
        <v/>
      </c>
      <c r="T46" s="189"/>
    </row>
    <row r="47" spans="1:20" ht="16.5" customHeight="1" x14ac:dyDescent="0.25">
      <c r="A47" s="143" t="s">
        <v>997</v>
      </c>
      <c r="B47" s="165" t="s">
        <v>1018</v>
      </c>
      <c r="C47" s="143">
        <v>70</v>
      </c>
      <c r="D47" s="143">
        <v>170</v>
      </c>
      <c r="E47" s="143" t="s">
        <v>407</v>
      </c>
      <c r="F47" s="143" t="s">
        <v>1037</v>
      </c>
      <c r="G47" s="143" t="s">
        <v>854</v>
      </c>
      <c r="H47" s="143" t="s">
        <v>1037</v>
      </c>
      <c r="I47" s="143" t="s">
        <v>1038</v>
      </c>
      <c r="J47" s="143" t="s">
        <v>851</v>
      </c>
      <c r="K47" s="143" t="s">
        <v>851</v>
      </c>
      <c r="L47" s="143" t="s">
        <v>851</v>
      </c>
      <c r="M47" s="143">
        <v>830</v>
      </c>
      <c r="N47" s="143">
        <v>0</v>
      </c>
      <c r="O47" s="94" t="s">
        <v>1034</v>
      </c>
      <c r="R47" s="187" t="s">
        <v>1063</v>
      </c>
      <c r="S47" s="165" t="str">
        <f t="shared" si="1"/>
        <v/>
      </c>
      <c r="T47" s="190" t="s">
        <v>1063</v>
      </c>
    </row>
    <row r="48" spans="1:20" x14ac:dyDescent="0.25">
      <c r="B48" s="165" t="s">
        <v>1013</v>
      </c>
      <c r="E48" s="143" t="s">
        <v>408</v>
      </c>
      <c r="F48" s="143">
        <v>0</v>
      </c>
      <c r="G48" s="143" t="s">
        <v>998</v>
      </c>
      <c r="H48" s="143">
        <v>0</v>
      </c>
      <c r="O48" s="94" t="s">
        <v>1013</v>
      </c>
      <c r="R48" s="185"/>
      <c r="S48" s="165" t="str">
        <f t="shared" si="1"/>
        <v/>
      </c>
      <c r="T48" s="189"/>
    </row>
    <row r="49" spans="1:20" x14ac:dyDescent="0.25">
      <c r="B49" s="165" t="s">
        <v>1013</v>
      </c>
      <c r="E49" s="143" t="s">
        <v>407</v>
      </c>
      <c r="F49" s="143" t="s">
        <v>854</v>
      </c>
      <c r="G49" s="143">
        <v>0</v>
      </c>
      <c r="H49" s="143" t="s">
        <v>853</v>
      </c>
      <c r="O49" s="94" t="s">
        <v>1013</v>
      </c>
      <c r="R49" s="185"/>
      <c r="S49" s="165" t="str">
        <f t="shared" si="1"/>
        <v/>
      </c>
      <c r="T49" s="189"/>
    </row>
    <row r="50" spans="1:20" x14ac:dyDescent="0.25">
      <c r="B50" s="165" t="s">
        <v>1013</v>
      </c>
      <c r="E50" s="143" t="s">
        <v>408</v>
      </c>
      <c r="F50" s="143" t="s">
        <v>854</v>
      </c>
      <c r="G50" s="143" t="s">
        <v>854</v>
      </c>
      <c r="H50" s="143" t="s">
        <v>854</v>
      </c>
      <c r="O50" s="94" t="s">
        <v>1013</v>
      </c>
      <c r="R50" s="185"/>
      <c r="S50" s="165" t="str">
        <f t="shared" si="1"/>
        <v/>
      </c>
      <c r="T50" s="189"/>
    </row>
    <row r="51" spans="1:20" ht="16.5" customHeight="1" x14ac:dyDescent="0.25">
      <c r="A51" s="143" t="s">
        <v>997</v>
      </c>
      <c r="B51" s="165" t="s">
        <v>1019</v>
      </c>
      <c r="C51" s="143">
        <v>70</v>
      </c>
      <c r="D51" s="143">
        <v>150</v>
      </c>
      <c r="E51" s="143" t="s">
        <v>407</v>
      </c>
      <c r="F51" s="143" t="s">
        <v>1036</v>
      </c>
      <c r="G51" s="143" t="s">
        <v>854</v>
      </c>
      <c r="H51" s="143" t="s">
        <v>1036</v>
      </c>
      <c r="I51" s="143" t="s">
        <v>1039</v>
      </c>
      <c r="J51" s="143" t="s">
        <v>851</v>
      </c>
      <c r="K51" s="143" t="s">
        <v>851</v>
      </c>
      <c r="L51" s="143" t="s">
        <v>851</v>
      </c>
      <c r="M51" s="143">
        <v>830</v>
      </c>
      <c r="N51" s="143">
        <v>0</v>
      </c>
      <c r="O51" s="94" t="s">
        <v>1035</v>
      </c>
      <c r="R51" s="187" t="s">
        <v>1064</v>
      </c>
      <c r="S51" s="165" t="str">
        <f t="shared" si="1"/>
        <v/>
      </c>
      <c r="T51" s="190" t="s">
        <v>1064</v>
      </c>
    </row>
    <row r="52" spans="1:20" x14ac:dyDescent="0.25">
      <c r="B52" s="165" t="s">
        <v>1013</v>
      </c>
      <c r="E52" s="143" t="s">
        <v>408</v>
      </c>
      <c r="F52" s="143">
        <v>0</v>
      </c>
      <c r="G52" s="143" t="s">
        <v>999</v>
      </c>
      <c r="H52" s="143">
        <v>0</v>
      </c>
      <c r="R52" s="185"/>
      <c r="S52" s="165" t="str">
        <f t="shared" si="1"/>
        <v/>
      </c>
      <c r="T52" s="189"/>
    </row>
    <row r="53" spans="1:20" x14ac:dyDescent="0.25">
      <c r="B53" s="165" t="s">
        <v>1013</v>
      </c>
      <c r="E53" s="143" t="s">
        <v>407</v>
      </c>
      <c r="F53" s="143" t="s">
        <v>854</v>
      </c>
      <c r="G53" s="143">
        <v>0</v>
      </c>
      <c r="H53" s="143" t="s">
        <v>853</v>
      </c>
      <c r="R53" s="185"/>
      <c r="S53" s="165" t="str">
        <f t="shared" si="1"/>
        <v/>
      </c>
      <c r="T53" s="189"/>
    </row>
    <row r="54" spans="1:20" x14ac:dyDescent="0.25">
      <c r="B54" s="165" t="s">
        <v>1013</v>
      </c>
      <c r="E54" s="143" t="s">
        <v>408</v>
      </c>
      <c r="F54" s="143" t="s">
        <v>854</v>
      </c>
      <c r="G54" s="143" t="s">
        <v>854</v>
      </c>
      <c r="H54" s="143" t="s">
        <v>854</v>
      </c>
      <c r="R54" s="185"/>
      <c r="S54" s="165" t="str">
        <f t="shared" si="1"/>
        <v/>
      </c>
      <c r="T54" s="189"/>
    </row>
    <row r="55" spans="1:20" ht="16.5" customHeight="1" x14ac:dyDescent="0.25">
      <c r="A55" s="143" t="s">
        <v>831</v>
      </c>
      <c r="B55" s="165" t="s">
        <v>1020</v>
      </c>
      <c r="C55" s="143">
        <v>60</v>
      </c>
      <c r="D55" s="143">
        <v>120</v>
      </c>
      <c r="E55" s="143" t="s">
        <v>407</v>
      </c>
      <c r="F55" s="143" t="s">
        <v>854</v>
      </c>
      <c r="G55" s="143" t="s">
        <v>1008</v>
      </c>
      <c r="H55" s="143" t="s">
        <v>854</v>
      </c>
      <c r="I55" s="143" t="s">
        <v>989</v>
      </c>
      <c r="J55" s="143" t="s">
        <v>990</v>
      </c>
      <c r="K55" s="143" t="s">
        <v>859</v>
      </c>
      <c r="L55" s="143" t="s">
        <v>859</v>
      </c>
      <c r="M55" s="143">
        <v>830</v>
      </c>
      <c r="N55" s="143">
        <v>0</v>
      </c>
      <c r="O55" s="166" t="s">
        <v>1005</v>
      </c>
      <c r="R55" s="187" t="s">
        <v>1067</v>
      </c>
      <c r="S55" s="165" t="str">
        <f t="shared" si="1"/>
        <v/>
      </c>
      <c r="T55" s="190" t="s">
        <v>1067</v>
      </c>
    </row>
    <row r="56" spans="1:20" x14ac:dyDescent="0.25">
      <c r="B56" s="165" t="s">
        <v>1013</v>
      </c>
      <c r="E56" s="143" t="s">
        <v>408</v>
      </c>
      <c r="F56" s="143">
        <v>0</v>
      </c>
      <c r="G56" s="143" t="s">
        <v>1008</v>
      </c>
      <c r="H56" s="143">
        <v>0</v>
      </c>
      <c r="R56" s="185"/>
      <c r="S56" s="165" t="str">
        <f t="shared" si="1"/>
        <v/>
      </c>
      <c r="T56" s="189"/>
    </row>
    <row r="57" spans="1:20" x14ac:dyDescent="0.25">
      <c r="B57" s="165" t="s">
        <v>1013</v>
      </c>
      <c r="E57" s="143" t="s">
        <v>407</v>
      </c>
      <c r="F57" s="143" t="s">
        <v>1006</v>
      </c>
      <c r="G57" s="143">
        <v>0</v>
      </c>
      <c r="H57" s="143" t="s">
        <v>1006</v>
      </c>
      <c r="R57" s="185"/>
      <c r="S57" s="165" t="str">
        <f t="shared" si="1"/>
        <v/>
      </c>
      <c r="T57" s="189"/>
    </row>
    <row r="58" spans="1:20" x14ac:dyDescent="0.25">
      <c r="B58" s="165" t="s">
        <v>1013</v>
      </c>
      <c r="E58" s="143" t="s">
        <v>408</v>
      </c>
      <c r="F58" s="143" t="s">
        <v>854</v>
      </c>
      <c r="G58" s="143" t="s">
        <v>854</v>
      </c>
      <c r="H58" s="143" t="s">
        <v>854</v>
      </c>
      <c r="R58" s="185"/>
      <c r="S58" s="165" t="str">
        <f t="shared" si="1"/>
        <v/>
      </c>
      <c r="T58" s="189"/>
    </row>
    <row r="59" spans="1:20" ht="16.5" customHeight="1" x14ac:dyDescent="0.25">
      <c r="A59" s="143" t="s">
        <v>831</v>
      </c>
      <c r="B59" s="165" t="s">
        <v>1021</v>
      </c>
      <c r="C59" s="143">
        <v>60</v>
      </c>
      <c r="D59" s="143">
        <v>120</v>
      </c>
      <c r="E59" s="143" t="s">
        <v>407</v>
      </c>
      <c r="F59" s="143" t="s">
        <v>854</v>
      </c>
      <c r="G59" s="143" t="s">
        <v>854</v>
      </c>
      <c r="H59" s="143" t="s">
        <v>854</v>
      </c>
      <c r="I59" s="143" t="s">
        <v>989</v>
      </c>
      <c r="J59" s="143" t="s">
        <v>990</v>
      </c>
      <c r="K59" s="143" t="s">
        <v>859</v>
      </c>
      <c r="L59" s="143" t="s">
        <v>859</v>
      </c>
      <c r="M59" s="143">
        <v>830</v>
      </c>
      <c r="N59" s="143">
        <v>0</v>
      </c>
      <c r="O59" s="166" t="s">
        <v>1009</v>
      </c>
      <c r="R59" s="187" t="s">
        <v>1068</v>
      </c>
      <c r="S59" s="165" t="str">
        <f t="shared" si="1"/>
        <v/>
      </c>
      <c r="T59" s="190" t="s">
        <v>1068</v>
      </c>
    </row>
    <row r="60" spans="1:20" x14ac:dyDescent="0.25">
      <c r="B60" s="165" t="s">
        <v>1013</v>
      </c>
      <c r="E60" s="143" t="s">
        <v>408</v>
      </c>
      <c r="F60" s="143">
        <v>0</v>
      </c>
      <c r="G60" s="143" t="s">
        <v>991</v>
      </c>
      <c r="H60" s="143">
        <v>0</v>
      </c>
      <c r="R60" s="185"/>
      <c r="S60" s="165" t="str">
        <f t="shared" si="1"/>
        <v/>
      </c>
      <c r="T60" s="189"/>
    </row>
    <row r="61" spans="1:20" x14ac:dyDescent="0.25">
      <c r="B61" s="165" t="s">
        <v>1013</v>
      </c>
      <c r="E61" s="143" t="s">
        <v>407</v>
      </c>
      <c r="F61" s="143" t="s">
        <v>1008</v>
      </c>
      <c r="G61" s="143">
        <v>0</v>
      </c>
      <c r="H61" s="143" t="s">
        <v>1006</v>
      </c>
      <c r="R61" s="185"/>
      <c r="S61" s="165" t="str">
        <f t="shared" si="1"/>
        <v/>
      </c>
      <c r="T61" s="189"/>
    </row>
    <row r="62" spans="1:20" x14ac:dyDescent="0.25">
      <c r="B62" s="165" t="s">
        <v>1013</v>
      </c>
      <c r="E62" s="143" t="s">
        <v>408</v>
      </c>
      <c r="F62" s="143" t="s">
        <v>1008</v>
      </c>
      <c r="G62" s="143" t="s">
        <v>854</v>
      </c>
      <c r="H62" s="143" t="s">
        <v>854</v>
      </c>
      <c r="R62" s="185"/>
      <c r="S62" s="165" t="str">
        <f t="shared" si="1"/>
        <v/>
      </c>
      <c r="T62" s="189"/>
    </row>
    <row r="63" spans="1:20" ht="16.5" customHeight="1" x14ac:dyDescent="0.25">
      <c r="A63" s="143" t="s">
        <v>831</v>
      </c>
      <c r="B63" s="165" t="s">
        <v>1022</v>
      </c>
      <c r="C63" s="143">
        <v>70</v>
      </c>
      <c r="D63" s="143">
        <v>200</v>
      </c>
      <c r="E63" s="143" t="s">
        <v>407</v>
      </c>
      <c r="F63" s="143" t="s">
        <v>854</v>
      </c>
      <c r="G63" s="143" t="s">
        <v>854</v>
      </c>
      <c r="H63" s="143" t="s">
        <v>854</v>
      </c>
      <c r="I63" s="143" t="s">
        <v>865</v>
      </c>
      <c r="J63" s="143" t="s">
        <v>990</v>
      </c>
      <c r="K63" s="143" t="s">
        <v>859</v>
      </c>
      <c r="L63" s="143" t="s">
        <v>859</v>
      </c>
      <c r="M63" s="143">
        <v>830</v>
      </c>
      <c r="N63" s="143">
        <v>0</v>
      </c>
      <c r="O63" s="166" t="s">
        <v>1011</v>
      </c>
      <c r="R63" s="187" t="s">
        <v>1071</v>
      </c>
      <c r="S63" s="165" t="str">
        <f t="shared" si="1"/>
        <v/>
      </c>
      <c r="T63" s="190" t="s">
        <v>1071</v>
      </c>
    </row>
    <row r="64" spans="1:20" x14ac:dyDescent="0.25">
      <c r="E64" s="143" t="s">
        <v>408</v>
      </c>
      <c r="F64" s="143">
        <v>0</v>
      </c>
      <c r="G64" s="143" t="s">
        <v>991</v>
      </c>
      <c r="H64" s="143">
        <v>0</v>
      </c>
      <c r="R64" s="185"/>
      <c r="S64" s="165" t="str">
        <f t="shared" si="1"/>
        <v/>
      </c>
      <c r="T64" s="189"/>
    </row>
    <row r="65" spans="1:20" x14ac:dyDescent="0.25">
      <c r="E65" s="143" t="s">
        <v>407</v>
      </c>
      <c r="F65" s="143" t="s">
        <v>854</v>
      </c>
      <c r="G65" s="143" t="s">
        <v>991</v>
      </c>
      <c r="H65" s="143" t="s">
        <v>853</v>
      </c>
      <c r="R65" s="185"/>
      <c r="S65" s="165" t="str">
        <f t="shared" si="1"/>
        <v/>
      </c>
      <c r="T65" s="189"/>
    </row>
    <row r="66" spans="1:20" x14ac:dyDescent="0.25">
      <c r="E66" s="143" t="s">
        <v>408</v>
      </c>
      <c r="F66" s="143" t="s">
        <v>854</v>
      </c>
      <c r="G66" s="143" t="s">
        <v>854</v>
      </c>
      <c r="H66" s="143" t="s">
        <v>854</v>
      </c>
      <c r="R66" s="185"/>
      <c r="S66" s="165" t="str">
        <f t="shared" si="1"/>
        <v/>
      </c>
      <c r="T66" s="189"/>
    </row>
    <row r="67" spans="1:20" x14ac:dyDescent="0.25">
      <c r="A67" s="143" t="s">
        <v>831</v>
      </c>
      <c r="B67" s="165" t="s">
        <v>1022</v>
      </c>
      <c r="C67" s="143">
        <v>70</v>
      </c>
      <c r="D67" s="143">
        <v>200</v>
      </c>
      <c r="E67" s="143" t="s">
        <v>407</v>
      </c>
      <c r="F67" s="143" t="s">
        <v>854</v>
      </c>
      <c r="G67" s="143" t="s">
        <v>854</v>
      </c>
      <c r="H67" s="143" t="s">
        <v>854</v>
      </c>
      <c r="I67" s="143" t="s">
        <v>865</v>
      </c>
      <c r="J67" s="143" t="s">
        <v>990</v>
      </c>
      <c r="K67" s="143" t="s">
        <v>859</v>
      </c>
      <c r="L67" s="143" t="s">
        <v>859</v>
      </c>
      <c r="M67" s="143">
        <v>300</v>
      </c>
      <c r="N67" s="143">
        <v>0</v>
      </c>
      <c r="O67" s="166" t="s">
        <v>1048</v>
      </c>
      <c r="R67" s="185" t="s">
        <v>1004</v>
      </c>
      <c r="S67" s="165" t="str">
        <f t="shared" ref="S67:S90" si="2">IF(R67&lt;&gt;"",IF(R67&lt;&gt;T67,1,""),"")</f>
        <v/>
      </c>
      <c r="T67" s="189" t="s">
        <v>1004</v>
      </c>
    </row>
    <row r="68" spans="1:20" x14ac:dyDescent="0.25">
      <c r="E68" s="143" t="s">
        <v>408</v>
      </c>
      <c r="F68" s="143">
        <v>0</v>
      </c>
      <c r="G68" s="143" t="s">
        <v>991</v>
      </c>
      <c r="H68" s="143">
        <v>0</v>
      </c>
      <c r="R68" s="185"/>
      <c r="S68" s="165" t="str">
        <f t="shared" si="2"/>
        <v/>
      </c>
      <c r="T68" s="189"/>
    </row>
    <row r="69" spans="1:20" x14ac:dyDescent="0.25">
      <c r="E69" s="143" t="s">
        <v>407</v>
      </c>
      <c r="F69" s="143" t="s">
        <v>854</v>
      </c>
      <c r="G69" s="143" t="s">
        <v>991</v>
      </c>
      <c r="H69" s="143" t="s">
        <v>853</v>
      </c>
      <c r="R69" s="185"/>
      <c r="S69" s="165" t="str">
        <f t="shared" si="2"/>
        <v/>
      </c>
      <c r="T69" s="189"/>
    </row>
    <row r="70" spans="1:20" x14ac:dyDescent="0.25">
      <c r="E70" s="143" t="s">
        <v>408</v>
      </c>
      <c r="F70" s="143" t="s">
        <v>854</v>
      </c>
      <c r="G70" s="143" t="s">
        <v>854</v>
      </c>
      <c r="H70" s="143" t="s">
        <v>854</v>
      </c>
      <c r="R70" s="185"/>
      <c r="S70" s="165" t="str">
        <f t="shared" si="2"/>
        <v/>
      </c>
      <c r="T70" s="189"/>
    </row>
    <row r="71" spans="1:20" x14ac:dyDescent="0.25">
      <c r="A71" s="143" t="s">
        <v>831</v>
      </c>
      <c r="B71" s="165" t="s">
        <v>1022</v>
      </c>
      <c r="C71" s="143">
        <v>35</v>
      </c>
      <c r="D71" s="143">
        <v>100</v>
      </c>
      <c r="E71" s="143" t="s">
        <v>407</v>
      </c>
      <c r="F71" s="143" t="s">
        <v>854</v>
      </c>
      <c r="G71" s="143" t="s">
        <v>854</v>
      </c>
      <c r="H71" s="143" t="s">
        <v>854</v>
      </c>
      <c r="I71" s="143" t="s">
        <v>1007</v>
      </c>
      <c r="J71" s="143" t="s">
        <v>990</v>
      </c>
      <c r="K71" s="143" t="s">
        <v>859</v>
      </c>
      <c r="L71" s="143" t="s">
        <v>859</v>
      </c>
      <c r="M71" s="143">
        <v>830</v>
      </c>
      <c r="N71" s="143">
        <v>0</v>
      </c>
      <c r="O71" s="166" t="s">
        <v>1049</v>
      </c>
      <c r="R71" s="185" t="s">
        <v>1004</v>
      </c>
      <c r="S71" s="165" t="str">
        <f t="shared" si="2"/>
        <v/>
      </c>
      <c r="T71" s="189" t="s">
        <v>1004</v>
      </c>
    </row>
    <row r="72" spans="1:20" x14ac:dyDescent="0.25">
      <c r="E72" s="143" t="s">
        <v>408</v>
      </c>
      <c r="F72" s="143">
        <v>0</v>
      </c>
      <c r="G72" s="143" t="s">
        <v>991</v>
      </c>
      <c r="H72" s="143">
        <v>0</v>
      </c>
      <c r="R72" s="185"/>
      <c r="S72" s="165" t="str">
        <f t="shared" si="2"/>
        <v/>
      </c>
      <c r="T72" s="189"/>
    </row>
    <row r="73" spans="1:20" x14ac:dyDescent="0.25">
      <c r="E73" s="143" t="s">
        <v>407</v>
      </c>
      <c r="F73" s="143">
        <v>0</v>
      </c>
      <c r="G73" s="143">
        <v>0</v>
      </c>
      <c r="H73" s="143">
        <v>0</v>
      </c>
      <c r="R73" s="185"/>
      <c r="S73" s="165" t="str">
        <f t="shared" si="2"/>
        <v/>
      </c>
      <c r="T73" s="189"/>
    </row>
    <row r="74" spans="1:20" x14ac:dyDescent="0.25">
      <c r="E74" s="143" t="s">
        <v>408</v>
      </c>
      <c r="F74" s="143" t="s">
        <v>854</v>
      </c>
      <c r="G74" s="143" t="s">
        <v>1042</v>
      </c>
      <c r="H74" s="143" t="s">
        <v>854</v>
      </c>
      <c r="R74" s="185"/>
      <c r="S74" s="165" t="str">
        <f t="shared" si="2"/>
        <v/>
      </c>
      <c r="T74" s="189"/>
    </row>
    <row r="75" spans="1:20" ht="16.5" customHeight="1" x14ac:dyDescent="0.25">
      <c r="A75" s="143" t="s">
        <v>831</v>
      </c>
      <c r="B75" s="165" t="s">
        <v>1040</v>
      </c>
      <c r="C75" s="143">
        <v>70</v>
      </c>
      <c r="D75" s="143">
        <v>200</v>
      </c>
      <c r="E75" s="143" t="s">
        <v>407</v>
      </c>
      <c r="F75" s="143" t="s">
        <v>854</v>
      </c>
      <c r="G75" s="143" t="s">
        <v>854</v>
      </c>
      <c r="H75" s="143" t="s">
        <v>854</v>
      </c>
      <c r="I75" s="143" t="s">
        <v>865</v>
      </c>
      <c r="J75" s="143" t="s">
        <v>990</v>
      </c>
      <c r="K75" s="143" t="s">
        <v>859</v>
      </c>
      <c r="L75" s="143" t="s">
        <v>859</v>
      </c>
      <c r="M75" s="143">
        <v>830</v>
      </c>
      <c r="N75" s="143">
        <v>0</v>
      </c>
      <c r="O75" s="166" t="s">
        <v>1041</v>
      </c>
      <c r="R75" s="187" t="s">
        <v>1127</v>
      </c>
      <c r="S75" s="165" t="str">
        <f t="shared" si="2"/>
        <v/>
      </c>
      <c r="T75" s="190" t="s">
        <v>1127</v>
      </c>
    </row>
    <row r="76" spans="1:20" x14ac:dyDescent="0.25">
      <c r="B76" s="165" t="s">
        <v>1013</v>
      </c>
      <c r="E76" s="143" t="s">
        <v>408</v>
      </c>
      <c r="F76" s="143" t="s">
        <v>991</v>
      </c>
      <c r="G76" s="143" t="s">
        <v>991</v>
      </c>
      <c r="H76" s="143">
        <v>0</v>
      </c>
      <c r="R76" s="185"/>
      <c r="S76" s="165" t="str">
        <f t="shared" si="2"/>
        <v/>
      </c>
      <c r="T76" s="189"/>
    </row>
    <row r="77" spans="1:20" x14ac:dyDescent="0.25">
      <c r="B77" s="165" t="s">
        <v>1013</v>
      </c>
      <c r="E77" s="143" t="s">
        <v>407</v>
      </c>
      <c r="F77" s="143" t="s">
        <v>854</v>
      </c>
      <c r="G77" s="143">
        <v>0</v>
      </c>
      <c r="H77" s="143" t="s">
        <v>853</v>
      </c>
      <c r="R77" s="185"/>
      <c r="S77" s="165" t="str">
        <f t="shared" si="2"/>
        <v/>
      </c>
      <c r="T77" s="189"/>
    </row>
    <row r="78" spans="1:20" x14ac:dyDescent="0.25">
      <c r="B78" s="165" t="s">
        <v>1013</v>
      </c>
      <c r="E78" s="143" t="s">
        <v>408</v>
      </c>
      <c r="F78" s="143" t="s">
        <v>854</v>
      </c>
      <c r="G78" s="143" t="s">
        <v>854</v>
      </c>
      <c r="H78" s="143" t="s">
        <v>854</v>
      </c>
      <c r="R78" s="185"/>
      <c r="S78" s="165" t="str">
        <f t="shared" si="2"/>
        <v/>
      </c>
      <c r="T78" s="189"/>
    </row>
    <row r="79" spans="1:20" ht="16.5" customHeight="1" x14ac:dyDescent="0.25">
      <c r="A79" s="143" t="s">
        <v>831</v>
      </c>
      <c r="B79" s="165" t="s">
        <v>1045</v>
      </c>
      <c r="C79" s="143">
        <v>70</v>
      </c>
      <c r="D79" s="143">
        <v>200</v>
      </c>
      <c r="E79" s="143" t="s">
        <v>407</v>
      </c>
      <c r="F79" s="143" t="s">
        <v>854</v>
      </c>
      <c r="G79" s="143" t="s">
        <v>854</v>
      </c>
      <c r="H79" s="143" t="s">
        <v>854</v>
      </c>
      <c r="I79" s="143" t="s">
        <v>865</v>
      </c>
      <c r="J79" s="143" t="s">
        <v>990</v>
      </c>
      <c r="K79" s="143" t="s">
        <v>859</v>
      </c>
      <c r="L79" s="143" t="s">
        <v>859</v>
      </c>
      <c r="M79" s="143">
        <v>830</v>
      </c>
      <c r="N79" s="143">
        <v>0</v>
      </c>
      <c r="O79" s="166" t="s">
        <v>1043</v>
      </c>
      <c r="R79" s="187" t="s">
        <v>1128</v>
      </c>
      <c r="S79" s="165" t="str">
        <f t="shared" si="2"/>
        <v/>
      </c>
      <c r="T79" s="190" t="s">
        <v>1128</v>
      </c>
    </row>
    <row r="80" spans="1:20" x14ac:dyDescent="0.25">
      <c r="B80" s="165" t="s">
        <v>1013</v>
      </c>
      <c r="E80" s="143" t="s">
        <v>408</v>
      </c>
      <c r="F80" s="143">
        <v>0</v>
      </c>
      <c r="G80" s="143" t="s">
        <v>991</v>
      </c>
      <c r="H80" s="143" t="s">
        <v>991</v>
      </c>
      <c r="R80" s="185"/>
      <c r="S80" s="165" t="str">
        <f t="shared" si="2"/>
        <v/>
      </c>
      <c r="T80" s="189"/>
    </row>
    <row r="81" spans="1:20" x14ac:dyDescent="0.25">
      <c r="B81" s="165" t="s">
        <v>1013</v>
      </c>
      <c r="E81" s="143" t="s">
        <v>407</v>
      </c>
      <c r="F81" s="143" t="s">
        <v>854</v>
      </c>
      <c r="G81" s="143">
        <v>0</v>
      </c>
      <c r="H81" s="143" t="s">
        <v>853</v>
      </c>
      <c r="R81" s="185"/>
      <c r="S81" s="165" t="str">
        <f t="shared" si="2"/>
        <v/>
      </c>
      <c r="T81" s="189"/>
    </row>
    <row r="82" spans="1:20" x14ac:dyDescent="0.25">
      <c r="B82" s="165" t="s">
        <v>1013</v>
      </c>
      <c r="E82" s="143" t="s">
        <v>408</v>
      </c>
      <c r="F82" s="143" t="s">
        <v>854</v>
      </c>
      <c r="G82" s="143" t="s">
        <v>854</v>
      </c>
      <c r="H82" s="143" t="s">
        <v>854</v>
      </c>
      <c r="R82" s="185"/>
      <c r="S82" s="165" t="str">
        <f t="shared" si="2"/>
        <v/>
      </c>
      <c r="T82" s="189"/>
    </row>
    <row r="83" spans="1:20" ht="16.5" customHeight="1" x14ac:dyDescent="0.25">
      <c r="A83" s="143" t="s">
        <v>831</v>
      </c>
      <c r="B83" s="165" t="s">
        <v>1046</v>
      </c>
      <c r="C83" s="143">
        <v>70</v>
      </c>
      <c r="D83" s="143">
        <v>200</v>
      </c>
      <c r="E83" s="143" t="s">
        <v>407</v>
      </c>
      <c r="F83" s="143" t="s">
        <v>854</v>
      </c>
      <c r="G83" s="143" t="s">
        <v>854</v>
      </c>
      <c r="H83" s="143" t="s">
        <v>854</v>
      </c>
      <c r="I83" s="143" t="s">
        <v>865</v>
      </c>
      <c r="J83" s="168" t="s">
        <v>1047</v>
      </c>
      <c r="K83" s="143" t="s">
        <v>859</v>
      </c>
      <c r="L83" s="143" t="s">
        <v>859</v>
      </c>
      <c r="M83" s="143">
        <v>830</v>
      </c>
      <c r="N83" s="143">
        <v>0</v>
      </c>
      <c r="O83" s="166" t="s">
        <v>1044</v>
      </c>
      <c r="R83" s="187" t="s">
        <v>1129</v>
      </c>
      <c r="S83" s="165" t="str">
        <f t="shared" si="2"/>
        <v/>
      </c>
      <c r="T83" s="190" t="s">
        <v>1129</v>
      </c>
    </row>
    <row r="84" spans="1:20" x14ac:dyDescent="0.25">
      <c r="B84" s="165" t="s">
        <v>1013</v>
      </c>
      <c r="E84" s="143" t="s">
        <v>408</v>
      </c>
      <c r="F84" s="143">
        <v>0</v>
      </c>
      <c r="G84" s="143" t="s">
        <v>991</v>
      </c>
      <c r="H84" s="143">
        <v>0</v>
      </c>
      <c r="R84" s="185"/>
      <c r="S84" s="165" t="str">
        <f t="shared" si="2"/>
        <v/>
      </c>
      <c r="T84" s="189"/>
    </row>
    <row r="85" spans="1:20" x14ac:dyDescent="0.25">
      <c r="B85" s="165" t="s">
        <v>1013</v>
      </c>
      <c r="E85" s="143" t="s">
        <v>407</v>
      </c>
      <c r="F85" s="143" t="s">
        <v>854</v>
      </c>
      <c r="G85" s="143">
        <v>0</v>
      </c>
      <c r="H85" s="143" t="s">
        <v>853</v>
      </c>
      <c r="R85" s="185"/>
      <c r="S85" s="165" t="str">
        <f t="shared" si="2"/>
        <v/>
      </c>
      <c r="T85" s="189"/>
    </row>
    <row r="86" spans="1:20" x14ac:dyDescent="0.25">
      <c r="B86" s="165" t="s">
        <v>1013</v>
      </c>
      <c r="E86" s="143" t="s">
        <v>408</v>
      </c>
      <c r="F86" s="143" t="s">
        <v>854</v>
      </c>
      <c r="G86" s="143" t="s">
        <v>854</v>
      </c>
      <c r="H86" s="143" t="s">
        <v>854</v>
      </c>
      <c r="R86" s="185"/>
      <c r="S86" s="165" t="str">
        <f t="shared" si="2"/>
        <v/>
      </c>
      <c r="T86" s="189"/>
    </row>
    <row r="87" spans="1:20" ht="16.5" customHeight="1" x14ac:dyDescent="0.25">
      <c r="A87" s="143" t="s">
        <v>831</v>
      </c>
      <c r="B87" s="165" t="s">
        <v>1052</v>
      </c>
      <c r="C87" s="143">
        <v>70</v>
      </c>
      <c r="D87" s="143">
        <v>200</v>
      </c>
      <c r="E87" s="143" t="s">
        <v>407</v>
      </c>
      <c r="F87" s="143" t="s">
        <v>854</v>
      </c>
      <c r="G87" s="143" t="s">
        <v>854</v>
      </c>
      <c r="H87" s="143" t="s">
        <v>854</v>
      </c>
      <c r="I87" s="143" t="s">
        <v>865</v>
      </c>
      <c r="J87" s="143" t="s">
        <v>990</v>
      </c>
      <c r="K87" s="143" t="s">
        <v>859</v>
      </c>
      <c r="L87" s="168" t="s">
        <v>1051</v>
      </c>
      <c r="M87" s="143">
        <v>830</v>
      </c>
      <c r="N87" s="143">
        <v>0</v>
      </c>
      <c r="O87" s="166" t="s">
        <v>1050</v>
      </c>
      <c r="R87" s="187" t="s">
        <v>1130</v>
      </c>
      <c r="S87" s="165" t="str">
        <f t="shared" si="2"/>
        <v/>
      </c>
      <c r="T87" s="190" t="s">
        <v>1130</v>
      </c>
    </row>
    <row r="88" spans="1:20" x14ac:dyDescent="0.25">
      <c r="B88" s="165" t="s">
        <v>1013</v>
      </c>
      <c r="E88" s="143" t="s">
        <v>408</v>
      </c>
      <c r="F88" s="143">
        <v>0</v>
      </c>
      <c r="G88" s="143" t="s">
        <v>991</v>
      </c>
      <c r="H88" s="143">
        <v>0</v>
      </c>
      <c r="R88" s="185"/>
      <c r="S88" s="165" t="str">
        <f t="shared" si="2"/>
        <v/>
      </c>
      <c r="T88" s="189"/>
    </row>
    <row r="89" spans="1:20" x14ac:dyDescent="0.25">
      <c r="B89" s="165" t="s">
        <v>1013</v>
      </c>
      <c r="E89" s="143" t="s">
        <v>407</v>
      </c>
      <c r="F89" s="143" t="s">
        <v>854</v>
      </c>
      <c r="G89" s="143">
        <v>0</v>
      </c>
      <c r="H89" s="143" t="s">
        <v>853</v>
      </c>
      <c r="R89" s="185"/>
      <c r="S89" s="165" t="str">
        <f t="shared" si="2"/>
        <v/>
      </c>
      <c r="T89" s="189"/>
    </row>
    <row r="90" spans="1:20" x14ac:dyDescent="0.25">
      <c r="B90" s="165" t="s">
        <v>1013</v>
      </c>
      <c r="E90" s="143" t="s">
        <v>408</v>
      </c>
      <c r="F90" s="143" t="s">
        <v>854</v>
      </c>
      <c r="G90" s="143" t="s">
        <v>854</v>
      </c>
      <c r="H90" s="143" t="s">
        <v>854</v>
      </c>
      <c r="R90" s="185"/>
      <c r="S90" s="165" t="str">
        <f t="shared" si="2"/>
        <v/>
      </c>
      <c r="T90" s="189"/>
    </row>
  </sheetData>
  <mergeCells count="44">
    <mergeCell ref="R75:R78"/>
    <mergeCell ref="R79:R82"/>
    <mergeCell ref="R83:R86"/>
    <mergeCell ref="R87:R90"/>
    <mergeCell ref="R67:R70"/>
    <mergeCell ref="R71:R74"/>
    <mergeCell ref="R51:R54"/>
    <mergeCell ref="R55:R58"/>
    <mergeCell ref="R59:R62"/>
    <mergeCell ref="R63:R66"/>
    <mergeCell ref="R27:R30"/>
    <mergeCell ref="R31:R34"/>
    <mergeCell ref="R35:R38"/>
    <mergeCell ref="R39:R42"/>
    <mergeCell ref="R43:R46"/>
    <mergeCell ref="R47:R50"/>
    <mergeCell ref="T39:T42"/>
    <mergeCell ref="R15:R18"/>
    <mergeCell ref="R11:R14"/>
    <mergeCell ref="R7:R10"/>
    <mergeCell ref="R3:R6"/>
    <mergeCell ref="T3:T6"/>
    <mergeCell ref="T7:T10"/>
    <mergeCell ref="T11:T14"/>
    <mergeCell ref="T15:T18"/>
    <mergeCell ref="R19:R22"/>
    <mergeCell ref="T19:T22"/>
    <mergeCell ref="T23:T26"/>
    <mergeCell ref="T27:T30"/>
    <mergeCell ref="T31:T34"/>
    <mergeCell ref="T35:T38"/>
    <mergeCell ref="R23:R26"/>
    <mergeCell ref="T87:T90"/>
    <mergeCell ref="T43:T46"/>
    <mergeCell ref="T47:T50"/>
    <mergeCell ref="T51:T54"/>
    <mergeCell ref="T55:T58"/>
    <mergeCell ref="T59:T62"/>
    <mergeCell ref="T63:T66"/>
    <mergeCell ref="T67:T70"/>
    <mergeCell ref="T71:T74"/>
    <mergeCell ref="T75:T78"/>
    <mergeCell ref="T79:T82"/>
    <mergeCell ref="T83:T86"/>
  </mergeCells>
  <phoneticPr fontId="1" type="noConversion"/>
  <conditionalFormatting sqref="R1">
    <cfRule type="cellIs" dxfId="1" priority="1" operator="greaterThan">
      <formula>0</formula>
    </cfRule>
  </conditionalFormatting>
  <hyperlinks>
    <hyperlink ref="J7" r:id="rId1" xr:uid="{00000000-0004-0000-0400-000001000000}"/>
    <hyperlink ref="J3" r:id="rId2" xr:uid="{00000000-0004-0000-0400-000000000000}"/>
    <hyperlink ref="J55" r:id="rId3" xr:uid="{7945932D-FFC5-4EA3-A37C-85D1DF266CBE}"/>
    <hyperlink ref="J59" r:id="rId4" xr:uid="{13ECFD1F-9833-4656-B93F-D15429726239}"/>
    <hyperlink ref="J63" r:id="rId5" xr:uid="{60B93EA1-F969-4DC4-9F19-3841B8F466E6}"/>
    <hyperlink ref="J75" r:id="rId6" xr:uid="{FD543F18-CB18-4269-9467-707A931CB864}"/>
    <hyperlink ref="J71" r:id="rId7" xr:uid="{1AAA0D39-721F-4E87-B183-BBDD50E908A4}"/>
    <hyperlink ref="J67" r:id="rId8" xr:uid="{98D233CA-7C99-4366-A467-D68D745D0502}"/>
    <hyperlink ref="J79" r:id="rId9" xr:uid="{C5756645-AD2D-4A46-8B71-2A82C3B4A220}"/>
    <hyperlink ref="J83" r:id="rId10" xr:uid="{37AA401F-1323-422B-98F0-6CCBED4F1E0C}"/>
    <hyperlink ref="J87" r:id="rId11" xr:uid="{8E53DA51-B993-4065-982C-8E694E576339}"/>
    <hyperlink ref="L87" r:id="rId12" xr:uid="{784A9BE8-A986-44D8-8558-BF82FE379859}"/>
  </hyperlinks>
  <pageMargins left="0.7" right="0.7" top="0.75" bottom="0.75" header="0.3" footer="0.3"/>
  <pageSetup paperSize="9" orientation="portrait" verticalDpi="0" r:id="rId13"/>
  <legacyDrawing r:id="rId1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I55" zoomScaleNormal="100" workbookViewId="0">
      <selection activeCell="L61" sqref="L61"/>
    </sheetView>
  </sheetViews>
  <sheetFormatPr defaultColWidth="9" defaultRowHeight="18.75" x14ac:dyDescent="0.25"/>
  <cols>
    <col min="1" max="1" width="9" style="22"/>
    <col min="2" max="2" width="12.25" style="92" customWidth="1"/>
    <col min="3" max="3" width="6.875" style="16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8.625" style="30" bestFit="1"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416</v>
      </c>
      <c r="C6" s="46" t="s">
        <v>208</v>
      </c>
      <c r="D6" s="47" t="s">
        <v>313</v>
      </c>
      <c r="E6" s="48" t="s">
        <v>314</v>
      </c>
      <c r="F6" s="49" t="s">
        <v>315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296</v>
      </c>
      <c r="D8" s="66">
        <v>1</v>
      </c>
      <c r="E8" s="67"/>
      <c r="F8" s="68"/>
      <c r="G8" s="69" t="s">
        <v>297</v>
      </c>
      <c r="H8" s="70" t="s">
        <v>316</v>
      </c>
      <c r="I8" s="71"/>
      <c r="J8" s="71" t="s">
        <v>317</v>
      </c>
      <c r="K8" s="72" t="s">
        <v>318</v>
      </c>
      <c r="L8" s="73" t="s">
        <v>984</v>
      </c>
      <c r="M8" s="74" t="s">
        <v>1055</v>
      </c>
    </row>
    <row r="9" spans="1:13" x14ac:dyDescent="0.25">
      <c r="B9" s="55"/>
      <c r="C9" s="65" t="s">
        <v>294</v>
      </c>
      <c r="D9" s="66">
        <v>1</v>
      </c>
      <c r="E9" s="67"/>
      <c r="F9" s="68"/>
      <c r="G9" s="69" t="s">
        <v>297</v>
      </c>
      <c r="H9" s="70" t="s">
        <v>316</v>
      </c>
      <c r="I9" s="71"/>
      <c r="J9" s="71" t="s">
        <v>319</v>
      </c>
      <c r="K9" s="72" t="s">
        <v>318</v>
      </c>
      <c r="L9" s="75" t="s">
        <v>985</v>
      </c>
      <c r="M9" s="76" t="s">
        <v>1072</v>
      </c>
    </row>
    <row r="10" spans="1:13" x14ac:dyDescent="0.25">
      <c r="B10" s="55"/>
      <c r="C10" s="65" t="s">
        <v>295</v>
      </c>
      <c r="D10" s="66"/>
      <c r="E10" s="67">
        <v>1</v>
      </c>
      <c r="F10" s="68"/>
      <c r="G10" s="69" t="s">
        <v>297</v>
      </c>
      <c r="H10" s="70" t="s">
        <v>316</v>
      </c>
      <c r="I10" s="71"/>
      <c r="J10" s="71" t="s">
        <v>319</v>
      </c>
      <c r="K10" s="72" t="s">
        <v>320</v>
      </c>
      <c r="L10" s="75" t="s">
        <v>781</v>
      </c>
      <c r="M10" s="76" t="s">
        <v>1056</v>
      </c>
    </row>
    <row r="11" spans="1:13" x14ac:dyDescent="0.25">
      <c r="B11" s="55"/>
      <c r="C11" s="65" t="s">
        <v>8</v>
      </c>
      <c r="D11" s="66">
        <v>1</v>
      </c>
      <c r="E11" s="67"/>
      <c r="F11" s="68"/>
      <c r="G11" s="69" t="s">
        <v>297</v>
      </c>
      <c r="H11" s="70" t="s">
        <v>321</v>
      </c>
      <c r="I11" s="70"/>
      <c r="J11" s="70" t="s">
        <v>322</v>
      </c>
      <c r="K11" s="72" t="s">
        <v>323</v>
      </c>
      <c r="L11" s="75" t="s">
        <v>324</v>
      </c>
      <c r="M11" s="76" t="s">
        <v>1069</v>
      </c>
    </row>
    <row r="12" spans="1:13" x14ac:dyDescent="0.25">
      <c r="B12" s="55"/>
      <c r="C12" s="65" t="s">
        <v>9</v>
      </c>
      <c r="D12" s="66">
        <v>1</v>
      </c>
      <c r="E12" s="67"/>
      <c r="F12" s="68"/>
      <c r="G12" s="69" t="s">
        <v>297</v>
      </c>
      <c r="H12" s="70" t="s">
        <v>321</v>
      </c>
      <c r="I12" s="70"/>
      <c r="J12" s="70" t="s">
        <v>325</v>
      </c>
      <c r="K12" s="72" t="s">
        <v>323</v>
      </c>
      <c r="L12" s="75" t="s">
        <v>782</v>
      </c>
      <c r="M12" s="76" t="s">
        <v>1070</v>
      </c>
    </row>
    <row r="13" spans="1:13" x14ac:dyDescent="0.25">
      <c r="B13" s="55"/>
      <c r="C13" s="65" t="s">
        <v>10</v>
      </c>
      <c r="D13" s="66">
        <v>1</v>
      </c>
      <c r="E13" s="67"/>
      <c r="F13" s="68"/>
      <c r="G13" s="69" t="s">
        <v>297</v>
      </c>
      <c r="H13" s="70"/>
      <c r="I13" s="70" t="s">
        <v>783</v>
      </c>
      <c r="J13" s="71"/>
      <c r="K13" s="72" t="s">
        <v>320</v>
      </c>
      <c r="L13" s="75" t="s">
        <v>326</v>
      </c>
      <c r="M13" s="76" t="s">
        <v>1057</v>
      </c>
    </row>
    <row r="14" spans="1:13" x14ac:dyDescent="0.25">
      <c r="B14" s="55"/>
      <c r="C14" s="65" t="s">
        <v>11</v>
      </c>
      <c r="D14" s="66">
        <v>1</v>
      </c>
      <c r="E14" s="67"/>
      <c r="F14" s="68"/>
      <c r="G14" s="69" t="s">
        <v>297</v>
      </c>
      <c r="H14" s="70"/>
      <c r="I14" s="70" t="s">
        <v>783</v>
      </c>
      <c r="J14" s="71"/>
      <c r="K14" s="72" t="s">
        <v>323</v>
      </c>
      <c r="L14" s="75" t="s">
        <v>1058</v>
      </c>
      <c r="M14" s="76" t="s">
        <v>1059</v>
      </c>
    </row>
    <row r="15" spans="1:13" x14ac:dyDescent="0.25">
      <c r="B15" s="55"/>
      <c r="C15" s="65" t="s">
        <v>12</v>
      </c>
      <c r="D15" s="66">
        <v>1</v>
      </c>
      <c r="E15" s="67"/>
      <c r="F15" s="68"/>
      <c r="G15" s="69" t="s">
        <v>297</v>
      </c>
      <c r="H15" s="70" t="s">
        <v>321</v>
      </c>
      <c r="I15" s="70"/>
      <c r="J15" s="70" t="s">
        <v>322</v>
      </c>
      <c r="K15" s="72" t="s">
        <v>320</v>
      </c>
      <c r="L15" s="75" t="s">
        <v>1000</v>
      </c>
      <c r="M15" s="76" t="s">
        <v>1073</v>
      </c>
    </row>
    <row r="16" spans="1:13" x14ac:dyDescent="0.25">
      <c r="B16" s="55"/>
      <c r="C16" s="65" t="s">
        <v>13</v>
      </c>
      <c r="D16" s="66">
        <v>1</v>
      </c>
      <c r="E16" s="67"/>
      <c r="F16" s="68"/>
      <c r="G16" s="69" t="s">
        <v>297</v>
      </c>
      <c r="H16" s="70" t="s">
        <v>321</v>
      </c>
      <c r="I16" s="70"/>
      <c r="J16" s="70" t="s">
        <v>325</v>
      </c>
      <c r="K16" s="72" t="s">
        <v>320</v>
      </c>
      <c r="L16" s="75" t="s">
        <v>327</v>
      </c>
      <c r="M16" s="76" t="s">
        <v>1074</v>
      </c>
    </row>
    <row r="17" spans="2:13" x14ac:dyDescent="0.25">
      <c r="B17" s="55"/>
      <c r="C17" s="65" t="s">
        <v>14</v>
      </c>
      <c r="D17" s="66"/>
      <c r="E17" s="67">
        <v>1</v>
      </c>
      <c r="F17" s="68"/>
      <c r="G17" s="69" t="s">
        <v>297</v>
      </c>
      <c r="H17" s="70" t="s">
        <v>321</v>
      </c>
      <c r="I17" s="70" t="s">
        <v>328</v>
      </c>
      <c r="J17" s="70" t="s">
        <v>325</v>
      </c>
      <c r="K17" s="72" t="s">
        <v>320</v>
      </c>
      <c r="L17" s="75" t="s">
        <v>1001</v>
      </c>
      <c r="M17" s="76" t="s">
        <v>1075</v>
      </c>
    </row>
    <row r="18" spans="2:13" x14ac:dyDescent="0.25">
      <c r="B18" s="55"/>
      <c r="C18" s="65" t="s">
        <v>15</v>
      </c>
      <c r="D18" s="66"/>
      <c r="E18" s="67">
        <v>1</v>
      </c>
      <c r="F18" s="68"/>
      <c r="G18" s="69" t="s">
        <v>297</v>
      </c>
      <c r="H18" s="70" t="s">
        <v>321</v>
      </c>
      <c r="I18" s="14" t="s">
        <v>329</v>
      </c>
      <c r="J18" s="70" t="s">
        <v>322</v>
      </c>
      <c r="K18" s="72" t="s">
        <v>320</v>
      </c>
      <c r="L18" s="75" t="s">
        <v>330</v>
      </c>
      <c r="M18" s="76" t="s">
        <v>1076</v>
      </c>
    </row>
    <row r="19" spans="2:13" x14ac:dyDescent="0.25">
      <c r="B19" s="55"/>
      <c r="C19" s="65" t="s">
        <v>16</v>
      </c>
      <c r="D19" s="66"/>
      <c r="E19" s="67">
        <v>1</v>
      </c>
      <c r="F19" s="68"/>
      <c r="G19" s="69" t="s">
        <v>297</v>
      </c>
      <c r="H19" s="70" t="s">
        <v>321</v>
      </c>
      <c r="I19" s="70" t="s">
        <v>331</v>
      </c>
      <c r="J19" s="70" t="s">
        <v>322</v>
      </c>
      <c r="K19" s="72" t="s">
        <v>320</v>
      </c>
      <c r="L19" s="75" t="s">
        <v>330</v>
      </c>
      <c r="M19" s="76" t="s">
        <v>1077</v>
      </c>
    </row>
    <row r="20" spans="2:13" x14ac:dyDescent="0.25">
      <c r="B20" s="55"/>
      <c r="C20" s="65" t="s">
        <v>17</v>
      </c>
      <c r="D20" s="66">
        <v>1</v>
      </c>
      <c r="E20" s="67">
        <v>1</v>
      </c>
      <c r="F20" s="68"/>
      <c r="G20" s="69" t="s">
        <v>297</v>
      </c>
      <c r="H20" s="70"/>
      <c r="I20" s="71" t="s">
        <v>332</v>
      </c>
      <c r="J20" s="71"/>
      <c r="K20" s="72" t="s">
        <v>323</v>
      </c>
      <c r="L20" s="75" t="s">
        <v>1002</v>
      </c>
      <c r="M20" s="76" t="s">
        <v>1078</v>
      </c>
    </row>
    <row r="21" spans="2:13" x14ac:dyDescent="0.25">
      <c r="B21" s="55"/>
      <c r="C21" s="65" t="s">
        <v>18</v>
      </c>
      <c r="D21" s="66">
        <v>1</v>
      </c>
      <c r="E21" s="67">
        <v>1</v>
      </c>
      <c r="F21" s="68"/>
      <c r="G21" s="69" t="s">
        <v>297</v>
      </c>
      <c r="H21" s="71"/>
      <c r="I21" s="71" t="s">
        <v>332</v>
      </c>
      <c r="J21" s="71"/>
      <c r="K21" s="72" t="s">
        <v>320</v>
      </c>
      <c r="L21" s="75" t="s">
        <v>334</v>
      </c>
      <c r="M21" s="76" t="s">
        <v>1079</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335</v>
      </c>
      <c r="C24" s="46" t="s">
        <v>207</v>
      </c>
      <c r="D24" s="47" t="s">
        <v>313</v>
      </c>
      <c r="E24" s="48" t="s">
        <v>314</v>
      </c>
      <c r="F24" s="49" t="s">
        <v>315</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309</v>
      </c>
      <c r="D26" s="66">
        <v>1</v>
      </c>
      <c r="E26" s="67"/>
      <c r="F26" s="68"/>
      <c r="G26" s="69" t="s">
        <v>297</v>
      </c>
      <c r="H26" s="70" t="s">
        <v>321</v>
      </c>
      <c r="I26" s="70" t="s">
        <v>329</v>
      </c>
      <c r="J26" s="70" t="s">
        <v>322</v>
      </c>
      <c r="K26" s="72" t="s">
        <v>318</v>
      </c>
      <c r="L26" s="73" t="s">
        <v>338</v>
      </c>
      <c r="M26" s="74" t="s">
        <v>339</v>
      </c>
    </row>
    <row r="27" spans="2:13" x14ac:dyDescent="0.25">
      <c r="B27" s="55"/>
      <c r="C27" s="65" t="s">
        <v>258</v>
      </c>
      <c r="D27" s="66">
        <v>1</v>
      </c>
      <c r="E27" s="67"/>
      <c r="F27" s="68"/>
      <c r="G27" s="69" t="s">
        <v>297</v>
      </c>
      <c r="H27" s="70" t="s">
        <v>321</v>
      </c>
      <c r="I27" s="70" t="s">
        <v>328</v>
      </c>
      <c r="J27" s="70" t="s">
        <v>322</v>
      </c>
      <c r="K27" s="72" t="s">
        <v>318</v>
      </c>
      <c r="L27" s="73" t="s">
        <v>338</v>
      </c>
      <c r="M27" s="74" t="s">
        <v>784</v>
      </c>
    </row>
    <row r="28" spans="2:13" x14ac:dyDescent="0.25">
      <c r="B28" s="55"/>
      <c r="C28" s="65" t="s">
        <v>20</v>
      </c>
      <c r="D28" s="66">
        <v>1</v>
      </c>
      <c r="E28" s="67"/>
      <c r="F28" s="68"/>
      <c r="G28" s="69" t="s">
        <v>297</v>
      </c>
      <c r="H28" s="70" t="s">
        <v>321</v>
      </c>
      <c r="I28" s="70" t="s">
        <v>331</v>
      </c>
      <c r="J28" s="70" t="s">
        <v>322</v>
      </c>
      <c r="K28" s="72" t="s">
        <v>318</v>
      </c>
      <c r="L28" s="73" t="s">
        <v>338</v>
      </c>
      <c r="M28" s="74" t="s">
        <v>340</v>
      </c>
    </row>
    <row r="29" spans="2:13" x14ac:dyDescent="0.25">
      <c r="B29" s="55"/>
      <c r="C29" s="65" t="s">
        <v>21</v>
      </c>
      <c r="D29" s="66">
        <v>1</v>
      </c>
      <c r="E29" s="67"/>
      <c r="F29" s="68"/>
      <c r="G29" s="69" t="s">
        <v>297</v>
      </c>
      <c r="H29" s="70" t="s">
        <v>321</v>
      </c>
      <c r="I29" s="70" t="s">
        <v>329</v>
      </c>
      <c r="J29" s="70" t="s">
        <v>325</v>
      </c>
      <c r="K29" s="72" t="s">
        <v>318</v>
      </c>
      <c r="L29" s="73" t="s">
        <v>338</v>
      </c>
      <c r="M29" s="74" t="s">
        <v>342</v>
      </c>
    </row>
    <row r="30" spans="2:13" x14ac:dyDescent="0.25">
      <c r="B30" s="55"/>
      <c r="C30" s="65" t="s">
        <v>22</v>
      </c>
      <c r="D30" s="66">
        <v>1</v>
      </c>
      <c r="E30" s="67"/>
      <c r="F30" s="68"/>
      <c r="G30" s="69" t="s">
        <v>297</v>
      </c>
      <c r="H30" s="70" t="s">
        <v>321</v>
      </c>
      <c r="I30" s="70" t="s">
        <v>328</v>
      </c>
      <c r="J30" s="70" t="s">
        <v>325</v>
      </c>
      <c r="K30" s="72" t="s">
        <v>318</v>
      </c>
      <c r="L30" s="73" t="s">
        <v>338</v>
      </c>
      <c r="M30" s="74" t="s">
        <v>343</v>
      </c>
    </row>
    <row r="31" spans="2:13" x14ac:dyDescent="0.25">
      <c r="B31" s="55"/>
      <c r="C31" s="65" t="s">
        <v>23</v>
      </c>
      <c r="D31" s="66">
        <v>1</v>
      </c>
      <c r="E31" s="67"/>
      <c r="F31" s="68"/>
      <c r="G31" s="69" t="s">
        <v>297</v>
      </c>
      <c r="H31" s="70" t="s">
        <v>321</v>
      </c>
      <c r="I31" s="70" t="s">
        <v>331</v>
      </c>
      <c r="J31" s="70" t="s">
        <v>325</v>
      </c>
      <c r="K31" s="72" t="s">
        <v>318</v>
      </c>
      <c r="L31" s="73" t="s">
        <v>338</v>
      </c>
      <c r="M31" s="74" t="s">
        <v>785</v>
      </c>
    </row>
    <row r="32" spans="2:13" x14ac:dyDescent="0.25">
      <c r="B32" s="55"/>
      <c r="C32" s="65" t="s">
        <v>24</v>
      </c>
      <c r="D32" s="66">
        <v>1</v>
      </c>
      <c r="E32" s="67"/>
      <c r="F32" s="68"/>
      <c r="G32" s="69" t="s">
        <v>297</v>
      </c>
      <c r="H32" s="70"/>
      <c r="I32" s="70" t="s">
        <v>786</v>
      </c>
      <c r="J32" s="70"/>
      <c r="K32" s="72" t="s">
        <v>320</v>
      </c>
      <c r="L32" s="73" t="s">
        <v>344</v>
      </c>
      <c r="M32" s="74" t="s">
        <v>787</v>
      </c>
    </row>
    <row r="33" spans="2:13" x14ac:dyDescent="0.25">
      <c r="B33" s="55"/>
      <c r="C33" s="65" t="s">
        <v>25</v>
      </c>
      <c r="D33" s="66">
        <v>1</v>
      </c>
      <c r="E33" s="67"/>
      <c r="F33" s="68"/>
      <c r="G33" s="69" t="s">
        <v>297</v>
      </c>
      <c r="H33" s="70" t="s">
        <v>316</v>
      </c>
      <c r="I33" s="70"/>
      <c r="J33" s="70"/>
      <c r="K33" s="72"/>
      <c r="L33" s="73" t="s">
        <v>345</v>
      </c>
      <c r="M33" s="74" t="s">
        <v>788</v>
      </c>
    </row>
    <row r="34" spans="2:13" x14ac:dyDescent="0.25">
      <c r="B34" s="55"/>
      <c r="C34" s="65" t="s">
        <v>26</v>
      </c>
      <c r="D34" s="66">
        <v>1</v>
      </c>
      <c r="E34" s="67"/>
      <c r="F34" s="68"/>
      <c r="G34" s="69" t="s">
        <v>297</v>
      </c>
      <c r="H34" s="70"/>
      <c r="I34" s="71" t="s">
        <v>317</v>
      </c>
      <c r="J34" s="70"/>
      <c r="K34" s="78" t="s">
        <v>347</v>
      </c>
      <c r="L34" s="73" t="s">
        <v>348</v>
      </c>
      <c r="M34" s="74" t="s">
        <v>789</v>
      </c>
    </row>
    <row r="35" spans="2:13" x14ac:dyDescent="0.25">
      <c r="B35" s="55"/>
      <c r="C35" s="65" t="s">
        <v>27</v>
      </c>
      <c r="D35" s="66">
        <v>1</v>
      </c>
      <c r="E35" s="67"/>
      <c r="F35" s="68"/>
      <c r="G35" s="69" t="s">
        <v>297</v>
      </c>
      <c r="H35" s="70"/>
      <c r="I35" s="70" t="s">
        <v>349</v>
      </c>
      <c r="J35" s="70"/>
      <c r="K35" s="72" t="s">
        <v>320</v>
      </c>
      <c r="L35" s="73" t="s">
        <v>350</v>
      </c>
      <c r="M35" s="74" t="s">
        <v>351</v>
      </c>
    </row>
    <row r="36" spans="2:13" x14ac:dyDescent="0.25">
      <c r="B36" s="55"/>
      <c r="C36" s="65" t="s">
        <v>28</v>
      </c>
      <c r="D36" s="66">
        <v>1</v>
      </c>
      <c r="E36" s="67"/>
      <c r="F36" s="68"/>
      <c r="G36" s="69" t="s">
        <v>297</v>
      </c>
      <c r="H36" s="70"/>
      <c r="I36" s="70" t="s">
        <v>349</v>
      </c>
      <c r="J36" s="70"/>
      <c r="K36" s="72" t="s">
        <v>318</v>
      </c>
      <c r="L36" s="73" t="s">
        <v>352</v>
      </c>
      <c r="M36" s="74" t="s">
        <v>790</v>
      </c>
    </row>
    <row r="37" spans="2:13" x14ac:dyDescent="0.25">
      <c r="B37" s="55"/>
      <c r="C37" s="65" t="s">
        <v>29</v>
      </c>
      <c r="D37" s="66">
        <v>1</v>
      </c>
      <c r="E37" s="67"/>
      <c r="F37" s="68"/>
      <c r="G37" s="69" t="s">
        <v>353</v>
      </c>
      <c r="H37" s="70" t="s">
        <v>321</v>
      </c>
      <c r="I37" s="70" t="s">
        <v>329</v>
      </c>
      <c r="J37" s="70" t="s">
        <v>322</v>
      </c>
      <c r="K37" s="72" t="s">
        <v>320</v>
      </c>
      <c r="L37" s="73" t="s">
        <v>354</v>
      </c>
      <c r="M37" s="74" t="s">
        <v>791</v>
      </c>
    </row>
    <row r="38" spans="2:13" x14ac:dyDescent="0.25">
      <c r="B38" s="55"/>
      <c r="C38" s="65" t="s">
        <v>30</v>
      </c>
      <c r="D38" s="66">
        <v>1</v>
      </c>
      <c r="E38" s="67"/>
      <c r="F38" s="68"/>
      <c r="G38" s="69" t="s">
        <v>353</v>
      </c>
      <c r="H38" s="70" t="s">
        <v>321</v>
      </c>
      <c r="I38" s="70" t="s">
        <v>328</v>
      </c>
      <c r="J38" s="70" t="s">
        <v>322</v>
      </c>
      <c r="K38" s="72" t="s">
        <v>320</v>
      </c>
      <c r="L38" s="73" t="s">
        <v>354</v>
      </c>
      <c r="M38" s="74" t="s">
        <v>792</v>
      </c>
    </row>
    <row r="39" spans="2:13" x14ac:dyDescent="0.25">
      <c r="B39" s="55"/>
      <c r="C39" s="65" t="s">
        <v>31</v>
      </c>
      <c r="D39" s="66">
        <v>1</v>
      </c>
      <c r="E39" s="67"/>
      <c r="F39" s="68"/>
      <c r="G39" s="69" t="s">
        <v>353</v>
      </c>
      <c r="H39" s="70" t="s">
        <v>321</v>
      </c>
      <c r="I39" s="70" t="s">
        <v>331</v>
      </c>
      <c r="J39" s="70" t="s">
        <v>322</v>
      </c>
      <c r="K39" s="72" t="s">
        <v>320</v>
      </c>
      <c r="L39" s="73" t="s">
        <v>354</v>
      </c>
      <c r="M39" s="74" t="s">
        <v>355</v>
      </c>
    </row>
    <row r="40" spans="2:13" x14ac:dyDescent="0.25">
      <c r="B40" s="55"/>
      <c r="C40" s="65" t="s">
        <v>32</v>
      </c>
      <c r="D40" s="66">
        <v>1</v>
      </c>
      <c r="E40" s="67"/>
      <c r="F40" s="68"/>
      <c r="G40" s="69" t="s">
        <v>353</v>
      </c>
      <c r="H40" s="70" t="s">
        <v>321</v>
      </c>
      <c r="I40" s="70" t="s">
        <v>329</v>
      </c>
      <c r="J40" s="70" t="s">
        <v>325</v>
      </c>
      <c r="K40" s="72" t="s">
        <v>320</v>
      </c>
      <c r="L40" s="73" t="s">
        <v>354</v>
      </c>
      <c r="M40" s="74" t="s">
        <v>793</v>
      </c>
    </row>
    <row r="41" spans="2:13" x14ac:dyDescent="0.25">
      <c r="B41" s="55"/>
      <c r="C41" s="65" t="s">
        <v>80</v>
      </c>
      <c r="D41" s="66">
        <v>1</v>
      </c>
      <c r="E41" s="67"/>
      <c r="F41" s="68"/>
      <c r="G41" s="69" t="s">
        <v>353</v>
      </c>
      <c r="H41" s="70" t="s">
        <v>321</v>
      </c>
      <c r="I41" s="70" t="s">
        <v>328</v>
      </c>
      <c r="J41" s="70" t="s">
        <v>325</v>
      </c>
      <c r="K41" s="72" t="s">
        <v>320</v>
      </c>
      <c r="L41" s="73" t="s">
        <v>354</v>
      </c>
      <c r="M41" s="74" t="s">
        <v>356</v>
      </c>
    </row>
    <row r="42" spans="2:13" x14ac:dyDescent="0.25">
      <c r="B42" s="55"/>
      <c r="C42" s="65" t="s">
        <v>81</v>
      </c>
      <c r="D42" s="66">
        <v>1</v>
      </c>
      <c r="E42" s="67"/>
      <c r="F42" s="68"/>
      <c r="G42" s="69" t="s">
        <v>353</v>
      </c>
      <c r="H42" s="70" t="s">
        <v>321</v>
      </c>
      <c r="I42" s="70" t="s">
        <v>331</v>
      </c>
      <c r="J42" s="70" t="s">
        <v>325</v>
      </c>
      <c r="K42" s="72" t="s">
        <v>320</v>
      </c>
      <c r="L42" s="73" t="s">
        <v>354</v>
      </c>
      <c r="M42" s="74" t="s">
        <v>794</v>
      </c>
    </row>
    <row r="43" spans="2:13" x14ac:dyDescent="0.25">
      <c r="B43" s="55"/>
      <c r="C43" s="65" t="s">
        <v>82</v>
      </c>
      <c r="D43" s="66">
        <v>1</v>
      </c>
      <c r="E43" s="67"/>
      <c r="F43" s="68"/>
      <c r="G43" s="69" t="s">
        <v>353</v>
      </c>
      <c r="H43" s="70" t="s">
        <v>321</v>
      </c>
      <c r="I43" s="70"/>
      <c r="J43" s="70"/>
      <c r="K43" s="72" t="s">
        <v>323</v>
      </c>
      <c r="L43" s="73" t="s">
        <v>357</v>
      </c>
      <c r="M43" s="74" t="s">
        <v>358</v>
      </c>
    </row>
    <row r="44" spans="2:13" x14ac:dyDescent="0.25">
      <c r="B44" s="55"/>
      <c r="C44" s="65" t="s">
        <v>83</v>
      </c>
      <c r="D44" s="66">
        <v>1</v>
      </c>
      <c r="E44" s="67">
        <v>1</v>
      </c>
      <c r="F44" s="68"/>
      <c r="G44" s="69" t="s">
        <v>297</v>
      </c>
      <c r="H44" s="70"/>
      <c r="I44" s="71" t="s">
        <v>332</v>
      </c>
      <c r="J44" s="71"/>
      <c r="K44" s="72" t="s">
        <v>323</v>
      </c>
      <c r="L44" s="75" t="s">
        <v>333</v>
      </c>
      <c r="M44" s="74" t="s">
        <v>359</v>
      </c>
    </row>
    <row r="45" spans="2:13" x14ac:dyDescent="0.25">
      <c r="B45" s="55"/>
      <c r="C45" s="65" t="s">
        <v>102</v>
      </c>
      <c r="D45" s="66">
        <v>1</v>
      </c>
      <c r="E45" s="67">
        <v>1</v>
      </c>
      <c r="F45" s="68"/>
      <c r="G45" s="69" t="s">
        <v>297</v>
      </c>
      <c r="H45" s="71"/>
      <c r="I45" s="71" t="s">
        <v>332</v>
      </c>
      <c r="J45" s="71"/>
      <c r="K45" s="72" t="s">
        <v>320</v>
      </c>
      <c r="L45" s="75" t="s">
        <v>334</v>
      </c>
      <c r="M45" s="74" t="s">
        <v>795</v>
      </c>
    </row>
    <row r="46" spans="2:13" x14ac:dyDescent="0.25">
      <c r="B46" s="55"/>
      <c r="C46" s="65" t="s">
        <v>103</v>
      </c>
      <c r="D46" s="66"/>
      <c r="E46" s="67">
        <v>1</v>
      </c>
      <c r="F46" s="68"/>
      <c r="G46" s="69" t="s">
        <v>297</v>
      </c>
      <c r="H46" s="70" t="s">
        <v>321</v>
      </c>
      <c r="I46" s="70" t="s">
        <v>328</v>
      </c>
      <c r="J46" s="70" t="s">
        <v>322</v>
      </c>
      <c r="K46" s="72" t="s">
        <v>320</v>
      </c>
      <c r="L46" s="73" t="s">
        <v>360</v>
      </c>
      <c r="M46" s="74" t="s">
        <v>361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569</v>
      </c>
      <c r="C49" s="46" t="s">
        <v>206</v>
      </c>
      <c r="D49" s="47" t="s">
        <v>313</v>
      </c>
      <c r="E49" s="48" t="s">
        <v>314</v>
      </c>
      <c r="F49" s="49" t="s">
        <v>315</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301</v>
      </c>
      <c r="D51" s="66">
        <v>1</v>
      </c>
      <c r="E51" s="67"/>
      <c r="F51" s="68"/>
      <c r="G51" s="69" t="s">
        <v>297</v>
      </c>
      <c r="H51" s="70" t="s">
        <v>321</v>
      </c>
      <c r="I51" s="70" t="s">
        <v>329</v>
      </c>
      <c r="J51" s="70" t="s">
        <v>322</v>
      </c>
      <c r="K51" s="72" t="s">
        <v>318</v>
      </c>
      <c r="L51" s="73" t="s">
        <v>338</v>
      </c>
      <c r="M51" s="74" t="s">
        <v>362</v>
      </c>
    </row>
    <row r="52" spans="2:13" x14ac:dyDescent="0.25">
      <c r="B52" s="55"/>
      <c r="C52" s="65" t="s">
        <v>302</v>
      </c>
      <c r="D52" s="66">
        <v>1</v>
      </c>
      <c r="E52" s="67"/>
      <c r="F52" s="68"/>
      <c r="G52" s="69" t="s">
        <v>297</v>
      </c>
      <c r="H52" s="70" t="s">
        <v>321</v>
      </c>
      <c r="I52" s="70" t="s">
        <v>328</v>
      </c>
      <c r="J52" s="70" t="s">
        <v>322</v>
      </c>
      <c r="K52" s="72" t="s">
        <v>318</v>
      </c>
      <c r="L52" s="73" t="s">
        <v>338</v>
      </c>
      <c r="M52" s="74" t="s">
        <v>363</v>
      </c>
    </row>
    <row r="53" spans="2:13" x14ac:dyDescent="0.25">
      <c r="B53" s="55"/>
      <c r="C53" s="65" t="s">
        <v>33</v>
      </c>
      <c r="D53" s="66">
        <v>1</v>
      </c>
      <c r="E53" s="67"/>
      <c r="F53" s="68"/>
      <c r="G53" s="69" t="s">
        <v>297</v>
      </c>
      <c r="H53" s="70" t="s">
        <v>321</v>
      </c>
      <c r="I53" s="70" t="s">
        <v>331</v>
      </c>
      <c r="J53" s="70" t="s">
        <v>322</v>
      </c>
      <c r="K53" s="72" t="s">
        <v>318</v>
      </c>
      <c r="L53" s="73" t="s">
        <v>338</v>
      </c>
      <c r="M53" s="74" t="s">
        <v>364</v>
      </c>
    </row>
    <row r="54" spans="2:13" x14ac:dyDescent="0.25">
      <c r="B54" s="55"/>
      <c r="C54" s="65" t="s">
        <v>303</v>
      </c>
      <c r="D54" s="66">
        <v>1</v>
      </c>
      <c r="E54" s="67"/>
      <c r="F54" s="68"/>
      <c r="G54" s="69" t="s">
        <v>297</v>
      </c>
      <c r="H54" s="70" t="s">
        <v>321</v>
      </c>
      <c r="I54" s="70" t="s">
        <v>329</v>
      </c>
      <c r="J54" s="70" t="s">
        <v>325</v>
      </c>
      <c r="K54" s="72" t="s">
        <v>318</v>
      </c>
      <c r="L54" s="73" t="s">
        <v>338</v>
      </c>
      <c r="M54" s="74" t="s">
        <v>365</v>
      </c>
    </row>
    <row r="55" spans="2:13" x14ac:dyDescent="0.25">
      <c r="B55" s="55"/>
      <c r="C55" s="65" t="s">
        <v>34</v>
      </c>
      <c r="D55" s="66">
        <v>1</v>
      </c>
      <c r="E55" s="67"/>
      <c r="F55" s="68"/>
      <c r="G55" s="69" t="s">
        <v>297</v>
      </c>
      <c r="H55" s="70" t="s">
        <v>321</v>
      </c>
      <c r="I55" s="70" t="s">
        <v>328</v>
      </c>
      <c r="J55" s="70" t="s">
        <v>325</v>
      </c>
      <c r="K55" s="72" t="s">
        <v>318</v>
      </c>
      <c r="L55" s="73" t="s">
        <v>338</v>
      </c>
      <c r="M55" s="74" t="s">
        <v>366</v>
      </c>
    </row>
    <row r="56" spans="2:13" x14ac:dyDescent="0.25">
      <c r="B56" s="55"/>
      <c r="C56" s="65" t="s">
        <v>35</v>
      </c>
      <c r="D56" s="66">
        <v>1</v>
      </c>
      <c r="E56" s="67"/>
      <c r="F56" s="68"/>
      <c r="G56" s="69" t="s">
        <v>297</v>
      </c>
      <c r="H56" s="70" t="s">
        <v>321</v>
      </c>
      <c r="I56" s="70" t="s">
        <v>331</v>
      </c>
      <c r="J56" s="70" t="s">
        <v>325</v>
      </c>
      <c r="K56" s="72" t="s">
        <v>318</v>
      </c>
      <c r="L56" s="73" t="s">
        <v>338</v>
      </c>
      <c r="M56" s="74" t="s">
        <v>367</v>
      </c>
    </row>
    <row r="57" spans="2:13" x14ac:dyDescent="0.25">
      <c r="B57" s="55"/>
      <c r="C57" s="65" t="s">
        <v>304</v>
      </c>
      <c r="D57" s="66">
        <v>1</v>
      </c>
      <c r="E57" s="67"/>
      <c r="F57" s="68"/>
      <c r="G57" s="69" t="s">
        <v>297</v>
      </c>
      <c r="H57" s="70"/>
      <c r="I57" s="70" t="s">
        <v>786</v>
      </c>
      <c r="J57" s="70"/>
      <c r="K57" s="72" t="s">
        <v>320</v>
      </c>
      <c r="L57" s="73" t="s">
        <v>344</v>
      </c>
      <c r="M57" s="74" t="s">
        <v>368</v>
      </c>
    </row>
    <row r="58" spans="2:13" x14ac:dyDescent="0.25">
      <c r="B58" s="55"/>
      <c r="C58" s="65" t="s">
        <v>36</v>
      </c>
      <c r="D58" s="66">
        <v>1</v>
      </c>
      <c r="E58" s="67"/>
      <c r="F58" s="68"/>
      <c r="G58" s="69" t="s">
        <v>297</v>
      </c>
      <c r="H58" s="70"/>
      <c r="I58" s="70" t="s">
        <v>349</v>
      </c>
      <c r="J58" s="70"/>
      <c r="K58" s="72" t="s">
        <v>320</v>
      </c>
      <c r="L58" s="73" t="s">
        <v>350</v>
      </c>
      <c r="M58" s="74" t="s">
        <v>369</v>
      </c>
    </row>
    <row r="59" spans="2:13" x14ac:dyDescent="0.25">
      <c r="B59" s="55"/>
      <c r="C59" s="65" t="s">
        <v>305</v>
      </c>
      <c r="D59" s="66">
        <v>1</v>
      </c>
      <c r="E59" s="67"/>
      <c r="F59" s="68"/>
      <c r="G59" s="69" t="s">
        <v>297</v>
      </c>
      <c r="H59" s="70"/>
      <c r="I59" s="70" t="s">
        <v>349</v>
      </c>
      <c r="J59" s="70"/>
      <c r="K59" s="72" t="s">
        <v>318</v>
      </c>
      <c r="L59" s="73" t="s">
        <v>352</v>
      </c>
      <c r="M59" s="74" t="s">
        <v>796</v>
      </c>
    </row>
    <row r="60" spans="2:13" x14ac:dyDescent="0.25">
      <c r="B60" s="55"/>
      <c r="C60" s="65" t="s">
        <v>306</v>
      </c>
      <c r="D60" s="66">
        <v>1</v>
      </c>
      <c r="E60" s="67"/>
      <c r="F60" s="68"/>
      <c r="G60" s="69" t="s">
        <v>297</v>
      </c>
      <c r="H60" s="70" t="s">
        <v>321</v>
      </c>
      <c r="I60" s="70"/>
      <c r="J60" s="70" t="s">
        <v>322</v>
      </c>
      <c r="K60" s="72" t="s">
        <v>320</v>
      </c>
      <c r="L60" s="73" t="s">
        <v>370</v>
      </c>
      <c r="M60" s="74" t="s">
        <v>371</v>
      </c>
    </row>
    <row r="61" spans="2:13" x14ac:dyDescent="0.25">
      <c r="B61" s="55"/>
      <c r="C61" s="65" t="s">
        <v>307</v>
      </c>
      <c r="D61" s="66">
        <v>1</v>
      </c>
      <c r="E61" s="67"/>
      <c r="F61" s="68"/>
      <c r="G61" s="69" t="s">
        <v>297</v>
      </c>
      <c r="H61" s="70" t="s">
        <v>321</v>
      </c>
      <c r="I61" s="70"/>
      <c r="J61" s="70" t="s">
        <v>325</v>
      </c>
      <c r="K61" s="72" t="s">
        <v>320</v>
      </c>
      <c r="L61" s="73" t="s">
        <v>370</v>
      </c>
      <c r="M61" s="74" t="s">
        <v>372</v>
      </c>
    </row>
    <row r="62" spans="2:13" x14ac:dyDescent="0.25">
      <c r="B62" s="55"/>
      <c r="C62" s="65" t="s">
        <v>308</v>
      </c>
      <c r="D62" s="66">
        <v>1</v>
      </c>
      <c r="E62" s="58"/>
      <c r="F62" s="59"/>
      <c r="G62" s="69" t="s">
        <v>297</v>
      </c>
      <c r="H62" s="61"/>
      <c r="I62" s="70" t="s">
        <v>373</v>
      </c>
      <c r="J62" s="61"/>
      <c r="K62" s="72" t="s">
        <v>318</v>
      </c>
      <c r="L62" s="73" t="s">
        <v>374</v>
      </c>
      <c r="M62" s="74" t="s">
        <v>797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595</v>
      </c>
      <c r="C65" s="46" t="s">
        <v>298</v>
      </c>
      <c r="D65" s="47" t="s">
        <v>313</v>
      </c>
      <c r="E65" s="48" t="s">
        <v>314</v>
      </c>
      <c r="F65" s="49" t="s">
        <v>315</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310</v>
      </c>
      <c r="D67" s="66">
        <v>1</v>
      </c>
      <c r="E67" s="67">
        <v>1</v>
      </c>
      <c r="F67" s="68"/>
      <c r="G67" s="69" t="s">
        <v>297</v>
      </c>
      <c r="H67" s="70"/>
      <c r="I67" s="70" t="s">
        <v>379</v>
      </c>
      <c r="J67" s="70"/>
      <c r="K67" s="78" t="s">
        <v>377</v>
      </c>
      <c r="L67" s="73" t="s">
        <v>378</v>
      </c>
      <c r="M67" s="80" t="s">
        <v>1060</v>
      </c>
    </row>
    <row r="68" spans="2:13" x14ac:dyDescent="0.25">
      <c r="B68" s="55"/>
      <c r="C68" s="65" t="s">
        <v>311</v>
      </c>
      <c r="D68" s="66">
        <v>1</v>
      </c>
      <c r="E68" s="67">
        <v>1</v>
      </c>
      <c r="F68" s="68"/>
      <c r="G68" s="69" t="s">
        <v>297</v>
      </c>
      <c r="H68" s="70"/>
      <c r="I68" s="70" t="s">
        <v>379</v>
      </c>
      <c r="J68" s="70"/>
      <c r="K68" s="78" t="s">
        <v>621</v>
      </c>
      <c r="L68" s="73" t="s">
        <v>622</v>
      </c>
      <c r="M68" s="80" t="s">
        <v>1061</v>
      </c>
    </row>
    <row r="69" spans="2:13" x14ac:dyDescent="0.25">
      <c r="B69" s="55"/>
      <c r="C69" s="65" t="s">
        <v>312</v>
      </c>
      <c r="D69" s="66">
        <v>1</v>
      </c>
      <c r="E69" s="67"/>
      <c r="F69" s="68"/>
      <c r="G69" s="69" t="s">
        <v>297</v>
      </c>
      <c r="H69" s="70"/>
      <c r="I69" s="71" t="s">
        <v>317</v>
      </c>
      <c r="J69" s="70"/>
      <c r="K69" s="78" t="s">
        <v>380</v>
      </c>
      <c r="L69" s="178" t="s">
        <v>1169</v>
      </c>
      <c r="M69" s="80" t="s">
        <v>813</v>
      </c>
    </row>
    <row r="70" spans="2:13" x14ac:dyDescent="0.25">
      <c r="B70" s="55"/>
      <c r="C70" s="65" t="s">
        <v>39</v>
      </c>
      <c r="D70" s="66">
        <v>1</v>
      </c>
      <c r="E70" s="67"/>
      <c r="F70" s="68"/>
      <c r="G70" s="69" t="s">
        <v>297</v>
      </c>
      <c r="H70" s="70"/>
      <c r="I70" s="71" t="s">
        <v>317</v>
      </c>
      <c r="J70" s="70"/>
      <c r="K70" s="78" t="s">
        <v>380</v>
      </c>
      <c r="L70" s="73" t="s">
        <v>381</v>
      </c>
      <c r="M70" s="80" t="s">
        <v>814</v>
      </c>
    </row>
    <row r="71" spans="2:13" x14ac:dyDescent="0.25">
      <c r="B71" s="55"/>
      <c r="C71" s="65" t="s">
        <v>40</v>
      </c>
      <c r="D71" s="66"/>
      <c r="E71" s="67">
        <v>1</v>
      </c>
      <c r="F71" s="68"/>
      <c r="G71" s="69" t="s">
        <v>798</v>
      </c>
      <c r="H71" s="70"/>
      <c r="I71" s="70" t="s">
        <v>379</v>
      </c>
      <c r="J71" s="70"/>
      <c r="K71" s="78" t="s">
        <v>347</v>
      </c>
      <c r="L71" s="178" t="s">
        <v>1175</v>
      </c>
      <c r="M71" s="79" t="s">
        <v>815</v>
      </c>
    </row>
    <row r="72" spans="2:13" x14ac:dyDescent="0.25">
      <c r="B72" s="55"/>
      <c r="C72" s="65" t="s">
        <v>41</v>
      </c>
      <c r="D72" s="66">
        <v>1</v>
      </c>
      <c r="E72" s="67"/>
      <c r="F72" s="68"/>
      <c r="G72" s="69" t="s">
        <v>79</v>
      </c>
      <c r="H72" s="70"/>
      <c r="I72" s="70" t="s">
        <v>639</v>
      </c>
      <c r="J72" s="70"/>
      <c r="K72" s="78" t="s">
        <v>380</v>
      </c>
      <c r="L72" s="73" t="s">
        <v>799</v>
      </c>
      <c r="M72" s="179" t="s">
        <v>816</v>
      </c>
    </row>
    <row r="73" spans="2:13" x14ac:dyDescent="0.25">
      <c r="B73" s="55"/>
      <c r="C73" s="65" t="s">
        <v>42</v>
      </c>
      <c r="D73" s="66">
        <v>1</v>
      </c>
      <c r="E73" s="67"/>
      <c r="F73" s="68"/>
      <c r="G73" s="69" t="s">
        <v>79</v>
      </c>
      <c r="H73" s="70"/>
      <c r="I73" s="70" t="s">
        <v>639</v>
      </c>
      <c r="J73" s="70"/>
      <c r="K73" s="78" t="s">
        <v>380</v>
      </c>
      <c r="L73" s="73" t="s">
        <v>800</v>
      </c>
      <c r="M73" s="79" t="s">
        <v>817</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382</v>
      </c>
      <c r="C80" s="46" t="s">
        <v>219</v>
      </c>
      <c r="D80" s="47" t="s">
        <v>313</v>
      </c>
      <c r="E80" s="48" t="s">
        <v>314</v>
      </c>
      <c r="F80" s="49" t="s">
        <v>315</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383</v>
      </c>
      <c r="C83" s="46" t="s">
        <v>65</v>
      </c>
      <c r="D83" s="47" t="s">
        <v>313</v>
      </c>
      <c r="E83" s="48" t="s">
        <v>314</v>
      </c>
      <c r="F83" s="49" t="s">
        <v>315</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679</v>
      </c>
      <c r="C86" s="46" t="s">
        <v>299</v>
      </c>
      <c r="D86" s="47" t="s">
        <v>313</v>
      </c>
      <c r="E86" s="48" t="s">
        <v>314</v>
      </c>
      <c r="F86" s="49" t="s">
        <v>315</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387</v>
      </c>
      <c r="C89" s="46" t="s">
        <v>300</v>
      </c>
      <c r="D89" s="47" t="s">
        <v>313</v>
      </c>
      <c r="E89" s="48" t="s">
        <v>314</v>
      </c>
      <c r="F89" s="49" t="s">
        <v>315</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388</v>
      </c>
      <c r="E91" s="38" t="s">
        <v>388</v>
      </c>
      <c r="F91" s="39" t="s">
        <v>388</v>
      </c>
      <c r="G91" s="40" t="s">
        <v>196</v>
      </c>
      <c r="H91" s="41" t="s">
        <v>197</v>
      </c>
      <c r="I91" s="41" t="s">
        <v>197</v>
      </c>
      <c r="J91" s="41" t="s">
        <v>197</v>
      </c>
      <c r="K91" s="42" t="s">
        <v>198</v>
      </c>
      <c r="L91" s="43" t="s">
        <v>199</v>
      </c>
      <c r="M91" s="44" t="s">
        <v>209</v>
      </c>
    </row>
    <row r="92" spans="2:13" ht="19.5" thickBot="1" x14ac:dyDescent="0.3">
      <c r="B92" s="45" t="s">
        <v>706</v>
      </c>
      <c r="C92" s="46" t="s">
        <v>202</v>
      </c>
      <c r="D92" s="47" t="s">
        <v>313</v>
      </c>
      <c r="E92" s="48" t="s">
        <v>314</v>
      </c>
      <c r="F92" s="49" t="s">
        <v>315</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388</v>
      </c>
      <c r="E94" s="38" t="s">
        <v>388</v>
      </c>
      <c r="F94" s="39" t="s">
        <v>388</v>
      </c>
      <c r="G94" s="40" t="s">
        <v>196</v>
      </c>
      <c r="H94" s="41" t="s">
        <v>197</v>
      </c>
      <c r="I94" s="41" t="s">
        <v>197</v>
      </c>
      <c r="J94" s="41" t="s">
        <v>197</v>
      </c>
      <c r="K94" s="42" t="s">
        <v>198</v>
      </c>
      <c r="L94" s="43" t="s">
        <v>199</v>
      </c>
      <c r="M94" s="44" t="s">
        <v>209</v>
      </c>
    </row>
    <row r="95" spans="2:13" ht="19.5" thickBot="1" x14ac:dyDescent="0.3">
      <c r="B95" s="45" t="s">
        <v>733</v>
      </c>
      <c r="C95" s="46" t="s">
        <v>203</v>
      </c>
      <c r="D95" s="47" t="s">
        <v>313</v>
      </c>
      <c r="E95" s="48" t="s">
        <v>314</v>
      </c>
      <c r="F95" s="49" t="s">
        <v>315</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388</v>
      </c>
      <c r="E97" s="38" t="s">
        <v>388</v>
      </c>
      <c r="F97" s="39" t="s">
        <v>388</v>
      </c>
      <c r="G97" s="40" t="s">
        <v>196</v>
      </c>
      <c r="H97" s="41" t="s">
        <v>197</v>
      </c>
      <c r="I97" s="41" t="s">
        <v>197</v>
      </c>
      <c r="J97" s="41" t="s">
        <v>197</v>
      </c>
      <c r="K97" s="42" t="s">
        <v>198</v>
      </c>
      <c r="L97" s="43" t="s">
        <v>199</v>
      </c>
      <c r="M97" s="44" t="s">
        <v>209</v>
      </c>
    </row>
    <row r="98" spans="2:13" ht="19.5" thickBot="1" x14ac:dyDescent="0.3">
      <c r="B98" s="45" t="s">
        <v>749</v>
      </c>
      <c r="C98" s="46" t="s">
        <v>204</v>
      </c>
      <c r="D98" s="47" t="s">
        <v>313</v>
      </c>
      <c r="E98" s="48" t="s">
        <v>314</v>
      </c>
      <c r="F98" s="49" t="s">
        <v>315</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388</v>
      </c>
      <c r="E100" s="38" t="s">
        <v>388</v>
      </c>
      <c r="F100" s="39" t="s">
        <v>388</v>
      </c>
      <c r="G100" s="40" t="s">
        <v>75</v>
      </c>
      <c r="H100" s="41" t="s">
        <v>5</v>
      </c>
      <c r="I100" s="41" t="s">
        <v>5</v>
      </c>
      <c r="J100" s="41" t="s">
        <v>5</v>
      </c>
      <c r="K100" s="42" t="s">
        <v>3</v>
      </c>
      <c r="L100" s="43" t="s">
        <v>7</v>
      </c>
      <c r="M100" s="44" t="s">
        <v>209</v>
      </c>
    </row>
    <row r="101" spans="2:13" ht="19.5" thickBot="1" x14ac:dyDescent="0.3">
      <c r="B101" s="45" t="s">
        <v>766</v>
      </c>
      <c r="C101" s="46" t="s">
        <v>156</v>
      </c>
      <c r="D101" s="47" t="s">
        <v>313</v>
      </c>
      <c r="E101" s="48" t="s">
        <v>314</v>
      </c>
      <c r="F101" s="49" t="s">
        <v>315</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388</v>
      </c>
      <c r="E103" s="38" t="s">
        <v>388</v>
      </c>
      <c r="F103" s="39" t="s">
        <v>388</v>
      </c>
      <c r="G103" s="40" t="s">
        <v>75</v>
      </c>
      <c r="H103" s="41" t="s">
        <v>5</v>
      </c>
      <c r="I103" s="41" t="s">
        <v>5</v>
      </c>
      <c r="J103" s="41" t="s">
        <v>5</v>
      </c>
      <c r="K103" s="42" t="s">
        <v>3</v>
      </c>
      <c r="L103" s="43" t="s">
        <v>7</v>
      </c>
      <c r="M103" s="44" t="s">
        <v>209</v>
      </c>
    </row>
    <row r="104" spans="2:13" ht="19.5" thickBot="1" x14ac:dyDescent="0.3">
      <c r="B104" s="45" t="s">
        <v>392</v>
      </c>
      <c r="C104" s="46" t="s">
        <v>171</v>
      </c>
      <c r="D104" s="47" t="s">
        <v>313</v>
      </c>
      <c r="E104" s="48" t="s">
        <v>314</v>
      </c>
      <c r="F104" s="49" t="s">
        <v>315</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4"/>
    <col min="2" max="2" width="13.625" style="145" customWidth="1"/>
    <col min="3" max="4" width="8.625" style="145"/>
    <col min="5" max="16384" width="8.625" style="144"/>
  </cols>
  <sheetData>
    <row r="2" spans="2:5" x14ac:dyDescent="0.25">
      <c r="B2" s="144" t="s">
        <v>811</v>
      </c>
      <c r="C2" s="140" t="s">
        <v>810</v>
      </c>
    </row>
    <row r="3" spans="2:5" x14ac:dyDescent="0.25">
      <c r="B3" s="144" t="s">
        <v>812</v>
      </c>
      <c r="C3" s="146" t="s">
        <v>979</v>
      </c>
    </row>
    <row r="4" spans="2:5" x14ac:dyDescent="0.25">
      <c r="C4" s="145" t="s">
        <v>871</v>
      </c>
    </row>
    <row r="5" spans="2:5" x14ac:dyDescent="0.25">
      <c r="B5" s="147"/>
    </row>
    <row r="6" spans="2:5" s="149" customFormat="1" ht="16.5" thickBot="1" x14ac:dyDescent="0.3">
      <c r="B6" s="148"/>
      <c r="C6" s="148"/>
      <c r="D6" s="148"/>
    </row>
    <row r="7" spans="2:5" ht="16.5" thickTop="1" x14ac:dyDescent="0.25"/>
    <row r="8" spans="2:5" x14ac:dyDescent="0.25">
      <c r="B8" s="150">
        <v>43314</v>
      </c>
      <c r="C8" s="145" t="s">
        <v>979</v>
      </c>
      <c r="D8" s="145">
        <v>1</v>
      </c>
      <c r="E8" s="144" t="s">
        <v>980</v>
      </c>
    </row>
    <row r="10" spans="2:5" x14ac:dyDescent="0.25">
      <c r="C10" s="144" t="s">
        <v>969</v>
      </c>
    </row>
    <row r="11" spans="2:5" x14ac:dyDescent="0.25">
      <c r="C11" s="144"/>
      <c r="D11" s="145">
        <v>1</v>
      </c>
      <c r="E11" s="144" t="s">
        <v>982</v>
      </c>
    </row>
    <row r="12" spans="2:5" x14ac:dyDescent="0.25">
      <c r="D12" s="145">
        <v>2</v>
      </c>
      <c r="E12" s="163" t="s">
        <v>983</v>
      </c>
    </row>
    <row r="13" spans="2:5" s="154" customFormat="1" x14ac:dyDescent="0.25">
      <c r="B13" s="153"/>
      <c r="C13" s="153"/>
      <c r="D13" s="153"/>
    </row>
    <row r="14" spans="2:5" x14ac:dyDescent="0.25">
      <c r="B14" s="150">
        <v>43313</v>
      </c>
      <c r="C14" s="145" t="s">
        <v>975</v>
      </c>
      <c r="D14" s="145">
        <v>1</v>
      </c>
      <c r="E14" s="144" t="s">
        <v>976</v>
      </c>
    </row>
    <row r="15" spans="2:5" x14ac:dyDescent="0.25">
      <c r="D15" s="145">
        <v>2</v>
      </c>
      <c r="E15" s="144" t="s">
        <v>977</v>
      </c>
    </row>
    <row r="16" spans="2:5" x14ac:dyDescent="0.25">
      <c r="D16" s="145">
        <v>3</v>
      </c>
      <c r="E16" s="144" t="s">
        <v>978</v>
      </c>
    </row>
    <row r="17" spans="2:5" s="154" customFormat="1" x14ac:dyDescent="0.25">
      <c r="B17" s="153"/>
      <c r="C17" s="153"/>
      <c r="D17" s="153"/>
    </row>
    <row r="18" spans="2:5" x14ac:dyDescent="0.25">
      <c r="B18" s="150">
        <v>43312</v>
      </c>
      <c r="C18" s="145" t="s">
        <v>963</v>
      </c>
      <c r="D18" s="145">
        <v>1</v>
      </c>
      <c r="E18" s="144" t="s">
        <v>970</v>
      </c>
    </row>
    <row r="19" spans="2:5" x14ac:dyDescent="0.25">
      <c r="D19" s="145">
        <v>2</v>
      </c>
      <c r="E19" s="144" t="s">
        <v>958</v>
      </c>
    </row>
    <row r="20" spans="2:5" x14ac:dyDescent="0.25">
      <c r="D20" s="145">
        <v>3</v>
      </c>
      <c r="E20" s="144" t="s">
        <v>964</v>
      </c>
    </row>
    <row r="21" spans="2:5" x14ac:dyDescent="0.25">
      <c r="D21" s="145">
        <v>4</v>
      </c>
      <c r="E21" s="144" t="s">
        <v>959</v>
      </c>
    </row>
    <row r="22" spans="2:5" x14ac:dyDescent="0.25">
      <c r="D22" s="145">
        <v>5</v>
      </c>
      <c r="E22" s="144" t="s">
        <v>960</v>
      </c>
    </row>
    <row r="23" spans="2:5" x14ac:dyDescent="0.25">
      <c r="D23" s="145">
        <v>6</v>
      </c>
      <c r="E23" s="144" t="s">
        <v>965</v>
      </c>
    </row>
    <row r="24" spans="2:5" x14ac:dyDescent="0.25">
      <c r="D24" s="145">
        <v>7</v>
      </c>
      <c r="E24" s="144" t="s">
        <v>966</v>
      </c>
    </row>
    <row r="25" spans="2:5" x14ac:dyDescent="0.25">
      <c r="D25" s="145">
        <v>8</v>
      </c>
      <c r="E25" s="144" t="s">
        <v>967</v>
      </c>
    </row>
    <row r="26" spans="2:5" x14ac:dyDescent="0.25">
      <c r="D26" s="145">
        <v>9</v>
      </c>
      <c r="E26" s="144" t="s">
        <v>968</v>
      </c>
    </row>
    <row r="27" spans="2:5" x14ac:dyDescent="0.25">
      <c r="D27" s="145">
        <v>10</v>
      </c>
      <c r="E27" s="144" t="s">
        <v>981</v>
      </c>
    </row>
    <row r="29" spans="2:5" x14ac:dyDescent="0.25">
      <c r="E29" s="144" t="s">
        <v>969</v>
      </c>
    </row>
    <row r="30" spans="2:5" x14ac:dyDescent="0.25">
      <c r="D30" s="145">
        <v>1</v>
      </c>
      <c r="E30" s="144" t="s">
        <v>971</v>
      </c>
    </row>
    <row r="31" spans="2:5" s="154" customFormat="1" x14ac:dyDescent="0.25">
      <c r="B31" s="153"/>
      <c r="C31" s="153"/>
      <c r="D31" s="153"/>
    </row>
    <row r="32" spans="2:5" x14ac:dyDescent="0.25">
      <c r="B32" s="150">
        <v>43283</v>
      </c>
      <c r="C32" s="145" t="s">
        <v>883</v>
      </c>
      <c r="D32" s="145">
        <v>1</v>
      </c>
      <c r="E32" s="144" t="s">
        <v>884</v>
      </c>
    </row>
    <row r="33" spans="2:5" x14ac:dyDescent="0.25">
      <c r="D33" s="145">
        <v>2</v>
      </c>
      <c r="E33" s="144" t="s">
        <v>885</v>
      </c>
    </row>
    <row r="34" spans="2:5" s="154" customFormat="1" x14ac:dyDescent="0.25">
      <c r="B34" s="153"/>
      <c r="C34" s="153"/>
      <c r="D34" s="153"/>
    </row>
    <row r="35" spans="2:5" x14ac:dyDescent="0.25">
      <c r="B35" s="150">
        <v>43280</v>
      </c>
      <c r="C35" s="145" t="s">
        <v>870</v>
      </c>
      <c r="D35" s="145">
        <v>1</v>
      </c>
      <c r="E35" s="144" t="s">
        <v>872</v>
      </c>
    </row>
    <row r="36" spans="2:5" s="152" customFormat="1" x14ac:dyDescent="0.25">
      <c r="B36" s="151"/>
      <c r="C36" s="151"/>
      <c r="D36" s="151"/>
    </row>
    <row r="37" spans="2:5" s="154" customFormat="1" x14ac:dyDescent="0.25">
      <c r="B37" s="153"/>
      <c r="C37" s="153"/>
      <c r="D37" s="153"/>
    </row>
    <row r="38" spans="2:5" x14ac:dyDescent="0.25">
      <c r="C38" s="145">
        <v>2.1</v>
      </c>
      <c r="D38" s="142">
        <v>1</v>
      </c>
      <c r="E38" s="139" t="s">
        <v>869</v>
      </c>
    </row>
    <row r="39" spans="2:5" x14ac:dyDescent="0.25">
      <c r="D39" s="142">
        <v>2</v>
      </c>
      <c r="E39" s="139" t="s">
        <v>866</v>
      </c>
    </row>
    <row r="40" spans="2:5" x14ac:dyDescent="0.25">
      <c r="D40" s="142">
        <v>3</v>
      </c>
      <c r="E40" s="139" t="s">
        <v>867</v>
      </c>
    </row>
    <row r="41" spans="2:5" x14ac:dyDescent="0.25">
      <c r="D41" s="142">
        <v>4</v>
      </c>
      <c r="E41" s="139" t="s">
        <v>868</v>
      </c>
    </row>
    <row r="43" spans="2:5" s="154" customFormat="1" x14ac:dyDescent="0.25">
      <c r="B43" s="153"/>
      <c r="C43" s="153"/>
      <c r="D43" s="153"/>
    </row>
    <row r="44" spans="2:5" x14ac:dyDescent="0.25">
      <c r="C44" s="145">
        <v>1.4</v>
      </c>
      <c r="D44" s="142">
        <v>1</v>
      </c>
      <c r="E44" s="139" t="s">
        <v>844</v>
      </c>
    </row>
    <row r="45" spans="2:5" x14ac:dyDescent="0.25">
      <c r="D45" s="142">
        <v>2</v>
      </c>
      <c r="E45" s="139" t="s">
        <v>845</v>
      </c>
    </row>
    <row r="46" spans="2:5" x14ac:dyDescent="0.25">
      <c r="D46" s="142">
        <v>3</v>
      </c>
      <c r="E46" s="139" t="s">
        <v>846</v>
      </c>
    </row>
    <row r="47" spans="2:5" x14ac:dyDescent="0.25">
      <c r="D47" s="142">
        <v>4</v>
      </c>
      <c r="E47" s="139" t="s">
        <v>847</v>
      </c>
    </row>
    <row r="49" spans="2:10" s="154" customFormat="1" x14ac:dyDescent="0.25">
      <c r="B49" s="153"/>
      <c r="C49" s="153"/>
      <c r="D49" s="153"/>
    </row>
    <row r="50" spans="2:10" x14ac:dyDescent="0.25">
      <c r="C50" s="145">
        <v>1.23</v>
      </c>
      <c r="D50" s="145">
        <v>1</v>
      </c>
      <c r="E50" s="139" t="s">
        <v>878</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4" customFormat="1" x14ac:dyDescent="0.25">
      <c r="B54" s="153"/>
      <c r="C54" s="153"/>
      <c r="D54" s="153"/>
      <c r="E54" s="141"/>
      <c r="F54" s="141"/>
      <c r="G54" s="141"/>
      <c r="H54" s="141"/>
      <c r="I54" s="141"/>
      <c r="J54" s="141"/>
    </row>
    <row r="55" spans="2:10" x14ac:dyDescent="0.25">
      <c r="C55" s="145">
        <v>1.22</v>
      </c>
      <c r="D55" s="145">
        <v>1</v>
      </c>
      <c r="E55" s="139" t="s">
        <v>873</v>
      </c>
    </row>
    <row r="57" spans="2:10" s="154" customFormat="1" x14ac:dyDescent="0.25">
      <c r="B57" s="153"/>
      <c r="C57" s="153"/>
      <c r="D57" s="153"/>
    </row>
    <row r="58" spans="2:10" x14ac:dyDescent="0.25">
      <c r="C58" s="145">
        <v>1.21</v>
      </c>
      <c r="D58" s="145">
        <v>1</v>
      </c>
      <c r="E58" s="139" t="s">
        <v>874</v>
      </c>
    </row>
    <row r="59" spans="2:10" x14ac:dyDescent="0.25">
      <c r="D59" s="145">
        <v>2</v>
      </c>
      <c r="E59" s="139" t="s">
        <v>879</v>
      </c>
    </row>
    <row r="61" spans="2:10" s="154" customFormat="1" x14ac:dyDescent="0.25">
      <c r="B61" s="153"/>
      <c r="C61" s="153"/>
      <c r="D61" s="153"/>
    </row>
    <row r="62" spans="2:10" x14ac:dyDescent="0.25">
      <c r="C62" s="145">
        <v>1.19</v>
      </c>
      <c r="D62" s="145">
        <v>1</v>
      </c>
      <c r="E62" s="139" t="s">
        <v>880</v>
      </c>
    </row>
    <row r="72" spans="4:5" x14ac:dyDescent="0.25">
      <c r="D72" s="145">
        <v>2</v>
      </c>
      <c r="E72" s="139" t="s">
        <v>875</v>
      </c>
    </row>
    <row r="91" spans="4:5" x14ac:dyDescent="0.25">
      <c r="D91" s="145">
        <v>3</v>
      </c>
      <c r="E91" s="139" t="s">
        <v>881</v>
      </c>
    </row>
    <row r="92" spans="4:5" x14ac:dyDescent="0.25">
      <c r="D92" s="145">
        <v>4</v>
      </c>
      <c r="E92" s="139" t="s">
        <v>876</v>
      </c>
    </row>
    <row r="134" spans="4:5" x14ac:dyDescent="0.25">
      <c r="D134" s="145">
        <v>5</v>
      </c>
      <c r="E134" s="139" t="s">
        <v>877</v>
      </c>
    </row>
    <row r="200" spans="4:5" x14ac:dyDescent="0.25">
      <c r="D200" s="145">
        <v>6</v>
      </c>
      <c r="E200" s="139" t="s">
        <v>882</v>
      </c>
    </row>
  </sheetData>
  <phoneticPr fontId="1"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7" sqref="B7"/>
    </sheetView>
  </sheetViews>
  <sheetFormatPr defaultRowHeight="15.75" x14ac:dyDescent="0.25"/>
  <cols>
    <col min="1" max="1" width="9" style="172"/>
    <col min="2" max="2" width="52.25" style="162" customWidth="1"/>
    <col min="3" max="16384" width="9" style="6"/>
  </cols>
  <sheetData>
    <row r="1" spans="1:2" x14ac:dyDescent="0.25">
      <c r="A1" s="172" t="s">
        <v>972</v>
      </c>
      <c r="B1" s="174" t="s">
        <v>973</v>
      </c>
    </row>
    <row r="2" spans="1:2" x14ac:dyDescent="0.25">
      <c r="B2" s="164"/>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886</v>
      </c>
      <c r="B1" s="4" t="s">
        <v>954</v>
      </c>
      <c r="C1" s="4" t="s">
        <v>887</v>
      </c>
      <c r="D1" s="4" t="s">
        <v>888</v>
      </c>
    </row>
    <row r="2" spans="1:5" x14ac:dyDescent="0.25">
      <c r="C2" s="4" t="s">
        <v>889</v>
      </c>
      <c r="D2" s="4" t="s">
        <v>889</v>
      </c>
    </row>
    <row r="3" spans="1:5" x14ac:dyDescent="0.25">
      <c r="A3" s="4" t="s">
        <v>860</v>
      </c>
      <c r="B3" s="4" t="s">
        <v>890</v>
      </c>
      <c r="C3" s="4">
        <v>90</v>
      </c>
      <c r="D3" s="4">
        <v>80</v>
      </c>
      <c r="E3" s="13">
        <v>9.8972222222222205E-3</v>
      </c>
    </row>
    <row r="4" spans="1:5" x14ac:dyDescent="0.25">
      <c r="A4" s="4" t="s">
        <v>891</v>
      </c>
      <c r="B4" s="4" t="s">
        <v>890</v>
      </c>
      <c r="C4" s="4">
        <v>90</v>
      </c>
      <c r="D4" s="4">
        <v>80</v>
      </c>
      <c r="E4" s="13">
        <v>9.8972222222222205E-3</v>
      </c>
    </row>
    <row r="5" spans="1:5" x14ac:dyDescent="0.25">
      <c r="A5" s="4" t="s">
        <v>892</v>
      </c>
      <c r="B5" s="4" t="s">
        <v>890</v>
      </c>
      <c r="C5" s="4">
        <v>90</v>
      </c>
      <c r="D5" s="4">
        <v>80</v>
      </c>
      <c r="E5" s="13">
        <v>9.8972222222222205E-3</v>
      </c>
    </row>
    <row r="6" spans="1:5" x14ac:dyDescent="0.25">
      <c r="A6" s="4" t="s">
        <v>893</v>
      </c>
      <c r="B6" s="4" t="s">
        <v>890</v>
      </c>
      <c r="C6" s="4">
        <v>90</v>
      </c>
      <c r="D6" s="4">
        <v>80</v>
      </c>
      <c r="E6" s="13">
        <v>9.8972222222222205E-3</v>
      </c>
    </row>
    <row r="7" spans="1:5" x14ac:dyDescent="0.25">
      <c r="A7" s="4" t="s">
        <v>894</v>
      </c>
      <c r="B7" s="4" t="s">
        <v>890</v>
      </c>
      <c r="C7" s="4">
        <v>90</v>
      </c>
      <c r="D7" s="4">
        <v>80</v>
      </c>
      <c r="E7" s="13">
        <v>9.8972222222222205E-3</v>
      </c>
    </row>
    <row r="8" spans="1:5" x14ac:dyDescent="0.25">
      <c r="A8" s="4" t="s">
        <v>895</v>
      </c>
      <c r="B8" s="4" t="s">
        <v>890</v>
      </c>
      <c r="C8" s="4">
        <v>90</v>
      </c>
      <c r="D8" s="4">
        <v>80</v>
      </c>
      <c r="E8" s="13">
        <v>9.8972222222222205E-3</v>
      </c>
    </row>
    <row r="9" spans="1:5" x14ac:dyDescent="0.25">
      <c r="A9" s="4" t="s">
        <v>896</v>
      </c>
      <c r="B9" s="4" t="s">
        <v>890</v>
      </c>
      <c r="C9" s="4">
        <v>90</v>
      </c>
      <c r="D9" s="4">
        <v>80</v>
      </c>
      <c r="E9" s="13">
        <v>9.8972222222222205E-3</v>
      </c>
    </row>
    <row r="10" spans="1:5" x14ac:dyDescent="0.25">
      <c r="A10" s="4" t="s">
        <v>897</v>
      </c>
      <c r="B10" s="4" t="s">
        <v>890</v>
      </c>
      <c r="C10" s="4">
        <v>90</v>
      </c>
      <c r="D10" s="4">
        <v>80</v>
      </c>
      <c r="E10" s="13">
        <v>9.8972222222222205E-3</v>
      </c>
    </row>
    <row r="11" spans="1:5" x14ac:dyDescent="0.25">
      <c r="A11" s="4" t="s">
        <v>898</v>
      </c>
      <c r="B11" s="4" t="s">
        <v>890</v>
      </c>
      <c r="C11" s="4">
        <v>90</v>
      </c>
      <c r="D11" s="4">
        <v>80</v>
      </c>
      <c r="E11" s="13">
        <v>9.8972222222222205E-3</v>
      </c>
    </row>
    <row r="12" spans="1:5" x14ac:dyDescent="0.25">
      <c r="A12" s="4" t="s">
        <v>899</v>
      </c>
      <c r="B12" s="4" t="s">
        <v>890</v>
      </c>
      <c r="C12" s="4">
        <v>100</v>
      </c>
      <c r="D12" s="4">
        <v>80</v>
      </c>
      <c r="E12" s="13">
        <v>1.43325E-2</v>
      </c>
    </row>
    <row r="13" spans="1:5" x14ac:dyDescent="0.25">
      <c r="A13" s="4" t="s">
        <v>900</v>
      </c>
      <c r="B13" s="4" t="s">
        <v>890</v>
      </c>
      <c r="C13" s="4">
        <v>100</v>
      </c>
      <c r="D13" s="4">
        <v>80</v>
      </c>
      <c r="E13" s="13">
        <v>1.8427499999999999E-2</v>
      </c>
    </row>
    <row r="14" spans="1:5" x14ac:dyDescent="0.25">
      <c r="A14" s="4" t="s">
        <v>0</v>
      </c>
      <c r="B14" s="4" t="s">
        <v>890</v>
      </c>
      <c r="C14" s="4">
        <v>120</v>
      </c>
      <c r="D14" s="4">
        <v>80</v>
      </c>
      <c r="E14" s="13">
        <v>1.5356249999999998E-2</v>
      </c>
    </row>
    <row r="15" spans="1:5" x14ac:dyDescent="0.25">
      <c r="A15" s="4" t="s">
        <v>228</v>
      </c>
      <c r="B15" s="4" t="s">
        <v>890</v>
      </c>
      <c r="C15" s="4">
        <v>120</v>
      </c>
      <c r="D15" s="4">
        <v>80</v>
      </c>
      <c r="E15" s="13">
        <v>1.194375E-2</v>
      </c>
    </row>
    <row r="16" spans="1:5" x14ac:dyDescent="0.25">
      <c r="A16" s="4" t="s">
        <v>901</v>
      </c>
      <c r="B16" s="4" t="s">
        <v>890</v>
      </c>
      <c r="C16" s="4">
        <v>130</v>
      </c>
      <c r="D16" s="4">
        <v>80</v>
      </c>
      <c r="E16" s="13">
        <v>1.26E-2</v>
      </c>
    </row>
    <row r="17" spans="1:5" x14ac:dyDescent="0.25">
      <c r="A17" s="4" t="s">
        <v>860</v>
      </c>
      <c r="B17" s="4" t="s">
        <v>818</v>
      </c>
      <c r="C17" s="4">
        <v>90</v>
      </c>
      <c r="D17" s="4">
        <v>80</v>
      </c>
      <c r="E17" s="13">
        <v>9.8972222222222205E-3</v>
      </c>
    </row>
    <row r="18" spans="1:5" x14ac:dyDescent="0.25">
      <c r="A18" s="4" t="s">
        <v>891</v>
      </c>
      <c r="B18" s="4" t="s">
        <v>818</v>
      </c>
      <c r="C18" s="4">
        <v>90</v>
      </c>
      <c r="D18" s="4">
        <v>80</v>
      </c>
      <c r="E18" s="13">
        <v>9.8972222222222205E-3</v>
      </c>
    </row>
    <row r="19" spans="1:5" x14ac:dyDescent="0.25">
      <c r="A19" s="4" t="s">
        <v>892</v>
      </c>
      <c r="B19" s="4" t="s">
        <v>818</v>
      </c>
      <c r="C19" s="4">
        <v>90</v>
      </c>
      <c r="D19" s="4">
        <v>80</v>
      </c>
      <c r="E19" s="13">
        <v>9.8972222222222205E-3</v>
      </c>
    </row>
    <row r="20" spans="1:5" x14ac:dyDescent="0.25">
      <c r="A20" s="4" t="s">
        <v>893</v>
      </c>
      <c r="B20" s="4" t="s">
        <v>818</v>
      </c>
      <c r="C20" s="4">
        <v>90</v>
      </c>
      <c r="D20" s="4">
        <v>80</v>
      </c>
      <c r="E20" s="13">
        <v>9.8972222222222205E-3</v>
      </c>
    </row>
    <row r="21" spans="1:5" x14ac:dyDescent="0.25">
      <c r="A21" s="4" t="s">
        <v>894</v>
      </c>
      <c r="B21" s="4" t="s">
        <v>818</v>
      </c>
      <c r="C21" s="4">
        <v>90</v>
      </c>
      <c r="D21" s="4">
        <v>80</v>
      </c>
      <c r="E21" s="13">
        <v>9.8972222222222205E-3</v>
      </c>
    </row>
    <row r="22" spans="1:5" x14ac:dyDescent="0.25">
      <c r="A22" s="4" t="s">
        <v>895</v>
      </c>
      <c r="B22" s="4" t="s">
        <v>818</v>
      </c>
      <c r="C22" s="4">
        <v>90</v>
      </c>
      <c r="D22" s="4">
        <v>80</v>
      </c>
      <c r="E22" s="13">
        <v>9.8972222222222205E-3</v>
      </c>
    </row>
    <row r="23" spans="1:5" x14ac:dyDescent="0.25">
      <c r="A23" s="4" t="s">
        <v>896</v>
      </c>
      <c r="B23" s="4" t="s">
        <v>818</v>
      </c>
      <c r="C23" s="4">
        <v>90</v>
      </c>
      <c r="D23" s="4">
        <v>80</v>
      </c>
      <c r="E23" s="13">
        <v>1.6966666666666665E-2</v>
      </c>
    </row>
    <row r="24" spans="1:5" x14ac:dyDescent="0.25">
      <c r="A24" s="4" t="s">
        <v>897</v>
      </c>
      <c r="B24" s="4" t="s">
        <v>818</v>
      </c>
      <c r="C24" s="4">
        <v>90</v>
      </c>
      <c r="D24" s="4">
        <v>80</v>
      </c>
      <c r="E24" s="13">
        <v>1.6966666666666665E-2</v>
      </c>
    </row>
    <row r="25" spans="1:5" x14ac:dyDescent="0.25">
      <c r="A25" s="4" t="s">
        <v>898</v>
      </c>
      <c r="B25" s="4" t="s">
        <v>818</v>
      </c>
      <c r="C25" s="4">
        <v>90</v>
      </c>
      <c r="D25" s="4">
        <v>80</v>
      </c>
      <c r="E25" s="13">
        <v>1.6966666666666665E-2</v>
      </c>
    </row>
    <row r="26" spans="1:5" x14ac:dyDescent="0.25">
      <c r="A26" s="4" t="s">
        <v>899</v>
      </c>
      <c r="B26" s="4" t="s">
        <v>818</v>
      </c>
      <c r="C26" s="4">
        <v>100</v>
      </c>
      <c r="D26" s="4">
        <v>80</v>
      </c>
      <c r="E26" s="13">
        <v>2.2522499999999997E-2</v>
      </c>
    </row>
    <row r="27" spans="1:5" x14ac:dyDescent="0.25">
      <c r="A27" s="4" t="s">
        <v>900</v>
      </c>
      <c r="B27" s="4" t="s">
        <v>818</v>
      </c>
      <c r="C27" s="4">
        <v>100</v>
      </c>
      <c r="D27" s="4">
        <v>80</v>
      </c>
      <c r="E27" s="13">
        <v>2.6617499999999999E-2</v>
      </c>
    </row>
    <row r="28" spans="1:5" x14ac:dyDescent="0.25">
      <c r="A28" s="4" t="s">
        <v>0</v>
      </c>
      <c r="B28" s="4" t="s">
        <v>818</v>
      </c>
      <c r="C28" s="4">
        <v>120</v>
      </c>
      <c r="D28" s="4">
        <v>80</v>
      </c>
      <c r="E28" s="13">
        <v>2.218125E-2</v>
      </c>
    </row>
    <row r="29" spans="1:5" x14ac:dyDescent="0.25">
      <c r="A29" s="4" t="s">
        <v>228</v>
      </c>
      <c r="B29" s="4" t="s">
        <v>818</v>
      </c>
      <c r="C29" s="4">
        <v>120</v>
      </c>
      <c r="D29" s="4">
        <v>80</v>
      </c>
      <c r="E29" s="13">
        <v>3.0712499999999997E-2</v>
      </c>
    </row>
    <row r="30" spans="1:5" x14ac:dyDescent="0.25">
      <c r="A30" s="4" t="s">
        <v>901</v>
      </c>
      <c r="B30" s="4" t="s">
        <v>818</v>
      </c>
      <c r="C30" s="4">
        <v>130</v>
      </c>
      <c r="D30" s="4">
        <v>80</v>
      </c>
      <c r="E30" s="13">
        <v>2.9924999999999997E-2</v>
      </c>
    </row>
    <row r="31" spans="1:5" x14ac:dyDescent="0.25">
      <c r="A31" s="4" t="s">
        <v>860</v>
      </c>
      <c r="B31" s="4" t="s">
        <v>902</v>
      </c>
      <c r="C31" s="4">
        <v>90</v>
      </c>
      <c r="D31" s="4">
        <v>80</v>
      </c>
      <c r="E31" s="13">
        <v>9.8972222222222205E-3</v>
      </c>
    </row>
    <row r="32" spans="1:5" x14ac:dyDescent="0.25">
      <c r="A32" s="4" t="s">
        <v>891</v>
      </c>
      <c r="B32" s="4" t="s">
        <v>902</v>
      </c>
      <c r="C32" s="4">
        <v>90</v>
      </c>
      <c r="D32" s="4">
        <v>80</v>
      </c>
      <c r="E32" s="13">
        <v>9.8972222222222205E-3</v>
      </c>
    </row>
    <row r="33" spans="1:5" x14ac:dyDescent="0.25">
      <c r="A33" s="4" t="s">
        <v>892</v>
      </c>
      <c r="B33" s="4" t="s">
        <v>902</v>
      </c>
      <c r="C33" s="4">
        <v>90</v>
      </c>
      <c r="D33" s="4">
        <v>80</v>
      </c>
      <c r="E33" s="13">
        <v>9.8972222222222205E-3</v>
      </c>
    </row>
    <row r="34" spans="1:5" x14ac:dyDescent="0.25">
      <c r="A34" s="4" t="s">
        <v>893</v>
      </c>
      <c r="B34" s="4" t="s">
        <v>902</v>
      </c>
      <c r="C34" s="4">
        <v>90</v>
      </c>
      <c r="D34" s="4">
        <v>80</v>
      </c>
      <c r="E34" s="13">
        <v>9.8972222222222205E-3</v>
      </c>
    </row>
    <row r="35" spans="1:5" x14ac:dyDescent="0.25">
      <c r="A35" s="4" t="s">
        <v>894</v>
      </c>
      <c r="B35" s="4" t="s">
        <v>902</v>
      </c>
      <c r="C35" s="4">
        <v>90</v>
      </c>
      <c r="D35" s="4">
        <v>80</v>
      </c>
      <c r="E35" s="13">
        <v>9.8972222222222205E-3</v>
      </c>
    </row>
    <row r="36" spans="1:5" x14ac:dyDescent="0.25">
      <c r="A36" s="4" t="s">
        <v>895</v>
      </c>
      <c r="B36" s="4" t="s">
        <v>902</v>
      </c>
      <c r="C36" s="4">
        <v>90</v>
      </c>
      <c r="D36" s="4">
        <v>80</v>
      </c>
      <c r="E36" s="13">
        <v>1.8380555555555556E-2</v>
      </c>
    </row>
    <row r="37" spans="1:5" x14ac:dyDescent="0.25">
      <c r="A37" s="4" t="s">
        <v>896</v>
      </c>
      <c r="B37" s="4" t="s">
        <v>902</v>
      </c>
      <c r="C37" s="4">
        <v>90</v>
      </c>
      <c r="D37" s="4">
        <v>80</v>
      </c>
      <c r="E37" s="13">
        <v>2.9575000000000001E-2</v>
      </c>
    </row>
    <row r="38" spans="1:5" x14ac:dyDescent="0.25">
      <c r="A38" s="4" t="s">
        <v>897</v>
      </c>
      <c r="B38" s="4" t="s">
        <v>902</v>
      </c>
      <c r="C38" s="4">
        <v>90</v>
      </c>
      <c r="D38" s="4">
        <v>80</v>
      </c>
      <c r="E38" s="13">
        <v>2.9575000000000001E-2</v>
      </c>
    </row>
    <row r="39" spans="1:5" x14ac:dyDescent="0.25">
      <c r="A39" s="4" t="s">
        <v>898</v>
      </c>
      <c r="B39" s="4" t="s">
        <v>902</v>
      </c>
      <c r="C39" s="4">
        <v>90</v>
      </c>
      <c r="D39" s="4">
        <v>80</v>
      </c>
      <c r="E39" s="13">
        <v>3.4124999999999996E-2</v>
      </c>
    </row>
    <row r="40" spans="1:5" x14ac:dyDescent="0.25">
      <c r="A40" s="4" t="s">
        <v>899</v>
      </c>
      <c r="B40" s="4" t="s">
        <v>902</v>
      </c>
      <c r="C40" s="4">
        <v>100</v>
      </c>
      <c r="D40" s="4">
        <v>80</v>
      </c>
      <c r="E40" s="13">
        <v>3.6854999999999999E-2</v>
      </c>
    </row>
    <row r="41" spans="1:5" x14ac:dyDescent="0.25">
      <c r="A41" s="4" t="s">
        <v>900</v>
      </c>
      <c r="B41" s="4" t="s">
        <v>902</v>
      </c>
      <c r="C41" s="4">
        <v>100</v>
      </c>
      <c r="D41" s="4">
        <v>80</v>
      </c>
      <c r="E41" s="13">
        <v>4.2997499999999994E-2</v>
      </c>
    </row>
    <row r="42" spans="1:5" x14ac:dyDescent="0.25">
      <c r="A42" s="4" t="s">
        <v>0</v>
      </c>
      <c r="B42" s="4" t="s">
        <v>902</v>
      </c>
      <c r="C42" s="4">
        <v>120</v>
      </c>
      <c r="D42" s="4">
        <v>80</v>
      </c>
      <c r="E42" s="13">
        <v>4.6068749999999999E-2</v>
      </c>
    </row>
    <row r="43" spans="1:5" x14ac:dyDescent="0.25">
      <c r="A43" s="4" t="s">
        <v>228</v>
      </c>
      <c r="B43" s="4" t="s">
        <v>902</v>
      </c>
      <c r="C43" s="4">
        <v>135</v>
      </c>
      <c r="D43" s="4">
        <v>80</v>
      </c>
      <c r="E43" s="13">
        <v>4.095E-2</v>
      </c>
    </row>
    <row r="44" spans="1:5" x14ac:dyDescent="0.25">
      <c r="A44" s="4" t="s">
        <v>901</v>
      </c>
      <c r="B44" s="4" t="s">
        <v>902</v>
      </c>
      <c r="C44" s="4">
        <v>145</v>
      </c>
      <c r="D44" s="4">
        <v>80</v>
      </c>
      <c r="E44" s="13">
        <v>4.095E-2</v>
      </c>
    </row>
    <row r="45" spans="1:5" x14ac:dyDescent="0.25">
      <c r="A45" s="4" t="s">
        <v>860</v>
      </c>
      <c r="B45" s="4" t="s">
        <v>819</v>
      </c>
      <c r="C45" s="4">
        <v>90</v>
      </c>
      <c r="D45" s="4">
        <v>80</v>
      </c>
      <c r="E45" s="13">
        <v>9.8972222222222205E-3</v>
      </c>
    </row>
    <row r="46" spans="1:5" x14ac:dyDescent="0.25">
      <c r="A46" s="4" t="s">
        <v>891</v>
      </c>
      <c r="B46" s="4" t="s">
        <v>819</v>
      </c>
      <c r="C46" s="4">
        <v>90</v>
      </c>
      <c r="D46" s="4">
        <v>80</v>
      </c>
      <c r="E46" s="13">
        <v>9.8972222222222205E-3</v>
      </c>
    </row>
    <row r="47" spans="1:5" x14ac:dyDescent="0.25">
      <c r="A47" s="4" t="s">
        <v>892</v>
      </c>
      <c r="B47" s="4" t="s">
        <v>819</v>
      </c>
      <c r="C47" s="4">
        <v>90</v>
      </c>
      <c r="D47" s="4">
        <v>80</v>
      </c>
      <c r="E47" s="13">
        <v>9.8972222222222205E-3</v>
      </c>
    </row>
    <row r="48" spans="1:5" x14ac:dyDescent="0.25">
      <c r="A48" s="4" t="s">
        <v>893</v>
      </c>
      <c r="B48" s="4" t="s">
        <v>819</v>
      </c>
      <c r="C48" s="4">
        <v>90</v>
      </c>
      <c r="D48" s="4">
        <v>80</v>
      </c>
      <c r="E48" s="13">
        <v>9.8972222222222205E-3</v>
      </c>
    </row>
    <row r="49" spans="1:5" x14ac:dyDescent="0.25">
      <c r="A49" s="4" t="s">
        <v>894</v>
      </c>
      <c r="B49" s="4" t="s">
        <v>819</v>
      </c>
      <c r="C49" s="4">
        <v>90</v>
      </c>
      <c r="D49" s="4">
        <v>80</v>
      </c>
      <c r="E49" s="13">
        <v>1.131111111111111E-2</v>
      </c>
    </row>
    <row r="50" spans="1:5" x14ac:dyDescent="0.25">
      <c r="A50" s="4" t="s">
        <v>895</v>
      </c>
      <c r="B50" s="4" t="s">
        <v>819</v>
      </c>
      <c r="C50" s="4">
        <v>90</v>
      </c>
      <c r="D50" s="4">
        <v>80</v>
      </c>
      <c r="E50" s="13">
        <v>1.8380555555555556E-2</v>
      </c>
    </row>
    <row r="51" spans="1:5" x14ac:dyDescent="0.25">
      <c r="A51" s="4" t="s">
        <v>896</v>
      </c>
      <c r="B51" s="4" t="s">
        <v>819</v>
      </c>
      <c r="C51" s="4">
        <v>90</v>
      </c>
      <c r="D51" s="4">
        <v>80</v>
      </c>
      <c r="E51" s="13">
        <v>2.7300000000000001E-2</v>
      </c>
    </row>
    <row r="52" spans="1:5" x14ac:dyDescent="0.25">
      <c r="A52" s="4" t="s">
        <v>897</v>
      </c>
      <c r="B52" s="4" t="s">
        <v>819</v>
      </c>
      <c r="C52" s="4">
        <v>90</v>
      </c>
      <c r="D52" s="4">
        <v>80</v>
      </c>
      <c r="E52" s="13">
        <v>2.7300000000000001E-2</v>
      </c>
    </row>
    <row r="53" spans="1:5" x14ac:dyDescent="0.25">
      <c r="A53" s="4" t="s">
        <v>898</v>
      </c>
      <c r="B53" s="4" t="s">
        <v>819</v>
      </c>
      <c r="C53" s="4">
        <v>90</v>
      </c>
      <c r="D53" s="4">
        <v>80</v>
      </c>
      <c r="E53" s="13">
        <v>2.7300000000000001E-2</v>
      </c>
    </row>
    <row r="54" spans="1:5" x14ac:dyDescent="0.25">
      <c r="A54" s="4" t="s">
        <v>899</v>
      </c>
      <c r="B54" s="4" t="s">
        <v>819</v>
      </c>
      <c r="C54" s="4">
        <v>100</v>
      </c>
      <c r="D54" s="4">
        <v>80</v>
      </c>
      <c r="E54" s="13">
        <v>3.2759999999999997E-2</v>
      </c>
    </row>
    <row r="55" spans="1:5" x14ac:dyDescent="0.25">
      <c r="A55" s="4" t="s">
        <v>900</v>
      </c>
      <c r="B55" s="4" t="s">
        <v>819</v>
      </c>
      <c r="C55" s="4">
        <v>100</v>
      </c>
      <c r="D55" s="4">
        <v>80</v>
      </c>
      <c r="E55" s="13">
        <v>3.89025E-2</v>
      </c>
    </row>
    <row r="56" spans="1:5" x14ac:dyDescent="0.25">
      <c r="A56" s="4" t="s">
        <v>0</v>
      </c>
      <c r="B56" s="4" t="s">
        <v>819</v>
      </c>
      <c r="C56" s="4">
        <v>120</v>
      </c>
      <c r="D56" s="4">
        <v>80</v>
      </c>
      <c r="E56" s="13">
        <v>3.5831249999999995E-2</v>
      </c>
    </row>
    <row r="57" spans="1:5" x14ac:dyDescent="0.25">
      <c r="A57" s="4" t="s">
        <v>228</v>
      </c>
      <c r="B57" s="4" t="s">
        <v>819</v>
      </c>
      <c r="C57" s="4">
        <v>120</v>
      </c>
      <c r="D57" s="4">
        <v>80</v>
      </c>
      <c r="E57" s="13">
        <v>4.265625E-2</v>
      </c>
    </row>
    <row r="58" spans="1:5" x14ac:dyDescent="0.25">
      <c r="A58" s="4" t="s">
        <v>901</v>
      </c>
      <c r="B58" s="4" t="s">
        <v>819</v>
      </c>
      <c r="C58" s="4">
        <v>130</v>
      </c>
      <c r="D58" s="4">
        <v>80</v>
      </c>
      <c r="E58" s="13">
        <v>4.2525E-2</v>
      </c>
    </row>
    <row r="59" spans="1:5" x14ac:dyDescent="0.25">
      <c r="A59" s="4" t="s">
        <v>860</v>
      </c>
      <c r="B59" s="4" t="s">
        <v>903</v>
      </c>
      <c r="C59" s="4">
        <v>90</v>
      </c>
      <c r="D59" s="4">
        <v>80</v>
      </c>
      <c r="E59" s="13">
        <v>9.8972222222222205E-3</v>
      </c>
    </row>
    <row r="60" spans="1:5" x14ac:dyDescent="0.25">
      <c r="A60" s="4" t="s">
        <v>891</v>
      </c>
      <c r="B60" s="4" t="s">
        <v>903</v>
      </c>
      <c r="C60" s="4">
        <v>90</v>
      </c>
      <c r="D60" s="4">
        <v>80</v>
      </c>
      <c r="E60" s="13">
        <v>9.8972222222222205E-3</v>
      </c>
    </row>
    <row r="61" spans="1:5" x14ac:dyDescent="0.25">
      <c r="A61" s="4" t="s">
        <v>892</v>
      </c>
      <c r="B61" s="4" t="s">
        <v>903</v>
      </c>
      <c r="C61" s="4">
        <v>90</v>
      </c>
      <c r="D61" s="4">
        <v>80</v>
      </c>
      <c r="E61" s="13">
        <v>9.8972222222222205E-3</v>
      </c>
    </row>
    <row r="62" spans="1:5" x14ac:dyDescent="0.25">
      <c r="A62" s="4" t="s">
        <v>893</v>
      </c>
      <c r="B62" s="4" t="s">
        <v>903</v>
      </c>
      <c r="C62" s="4">
        <v>90</v>
      </c>
      <c r="D62" s="4">
        <v>80</v>
      </c>
      <c r="E62" s="13">
        <v>9.8972222222222205E-3</v>
      </c>
    </row>
    <row r="63" spans="1:5" x14ac:dyDescent="0.25">
      <c r="A63" s="4" t="s">
        <v>894</v>
      </c>
      <c r="B63" s="4" t="s">
        <v>903</v>
      </c>
      <c r="C63" s="4">
        <v>90</v>
      </c>
      <c r="D63" s="4">
        <v>80</v>
      </c>
      <c r="E63" s="13">
        <v>9.8972222222222205E-3</v>
      </c>
    </row>
    <row r="64" spans="1:5" x14ac:dyDescent="0.25">
      <c r="A64" s="4" t="s">
        <v>895</v>
      </c>
      <c r="B64" s="4" t="s">
        <v>903</v>
      </c>
      <c r="C64" s="4">
        <v>90</v>
      </c>
      <c r="D64" s="4">
        <v>80</v>
      </c>
      <c r="E64" s="13">
        <v>9.8972222222222205E-3</v>
      </c>
    </row>
    <row r="65" spans="1:5" x14ac:dyDescent="0.25">
      <c r="A65" s="4" t="s">
        <v>896</v>
      </c>
      <c r="B65" s="4" t="s">
        <v>903</v>
      </c>
      <c r="C65" s="4">
        <v>90</v>
      </c>
      <c r="D65" s="4">
        <v>80</v>
      </c>
      <c r="E65" s="13">
        <v>9.8972222222222205E-3</v>
      </c>
    </row>
    <row r="66" spans="1:5" x14ac:dyDescent="0.25">
      <c r="A66" s="4" t="s">
        <v>897</v>
      </c>
      <c r="B66" s="4" t="s">
        <v>903</v>
      </c>
      <c r="C66" s="4">
        <v>90</v>
      </c>
      <c r="D66" s="4">
        <v>80</v>
      </c>
      <c r="E66" s="13">
        <v>9.8972222222222205E-3</v>
      </c>
    </row>
    <row r="67" spans="1:5" x14ac:dyDescent="0.25">
      <c r="A67" s="4" t="s">
        <v>898</v>
      </c>
      <c r="B67" s="4" t="s">
        <v>903</v>
      </c>
      <c r="C67" s="4">
        <v>90</v>
      </c>
      <c r="D67" s="4">
        <v>80</v>
      </c>
      <c r="E67" s="13">
        <v>9.8972222222222205E-3</v>
      </c>
    </row>
    <row r="68" spans="1:5" x14ac:dyDescent="0.25">
      <c r="A68" s="4" t="s">
        <v>899</v>
      </c>
      <c r="B68" s="4" t="s">
        <v>903</v>
      </c>
      <c r="C68" s="4">
        <v>100</v>
      </c>
      <c r="D68" s="4">
        <v>80</v>
      </c>
      <c r="E68" s="13">
        <v>1.43325E-2</v>
      </c>
    </row>
    <row r="69" spans="1:5" x14ac:dyDescent="0.25">
      <c r="A69" s="4" t="s">
        <v>900</v>
      </c>
      <c r="B69" s="4" t="s">
        <v>903</v>
      </c>
      <c r="C69" s="4">
        <v>100</v>
      </c>
      <c r="D69" s="4">
        <v>80</v>
      </c>
      <c r="E69" s="13">
        <v>1.43325E-2</v>
      </c>
    </row>
    <row r="70" spans="1:5" x14ac:dyDescent="0.25">
      <c r="A70" s="4" t="s">
        <v>0</v>
      </c>
      <c r="B70" s="4" t="s">
        <v>903</v>
      </c>
      <c r="C70" s="4">
        <v>120</v>
      </c>
      <c r="D70" s="4">
        <v>80</v>
      </c>
      <c r="E70" s="13">
        <v>1.5356249999999998E-2</v>
      </c>
    </row>
    <row r="71" spans="1:5" x14ac:dyDescent="0.25">
      <c r="A71" s="4" t="s">
        <v>228</v>
      </c>
      <c r="B71" s="4" t="s">
        <v>903</v>
      </c>
      <c r="C71" s="4">
        <v>120</v>
      </c>
      <c r="D71" s="4">
        <v>80</v>
      </c>
      <c r="E71" s="13">
        <v>1.5356249999999998E-2</v>
      </c>
    </row>
    <row r="72" spans="1:5" x14ac:dyDescent="0.25">
      <c r="A72" s="4" t="s">
        <v>901</v>
      </c>
      <c r="B72" s="4" t="s">
        <v>903</v>
      </c>
      <c r="C72" s="4">
        <v>130</v>
      </c>
      <c r="D72" s="4">
        <v>80</v>
      </c>
      <c r="E72" s="13">
        <v>1.7324999999999997E-2</v>
      </c>
    </row>
    <row r="73" spans="1:5" x14ac:dyDescent="0.25">
      <c r="A73" s="4" t="s">
        <v>860</v>
      </c>
      <c r="B73" s="4" t="s">
        <v>904</v>
      </c>
      <c r="C73" s="4">
        <v>90</v>
      </c>
      <c r="D73" s="4">
        <v>80</v>
      </c>
      <c r="E73" s="13">
        <v>9.8972222222222205E-3</v>
      </c>
    </row>
    <row r="74" spans="1:5" x14ac:dyDescent="0.25">
      <c r="A74" s="4" t="s">
        <v>891</v>
      </c>
      <c r="B74" s="4" t="s">
        <v>904</v>
      </c>
      <c r="C74" s="4">
        <v>90</v>
      </c>
      <c r="D74" s="4">
        <v>80</v>
      </c>
      <c r="E74" s="13">
        <v>9.8972222222222205E-3</v>
      </c>
    </row>
    <row r="75" spans="1:5" x14ac:dyDescent="0.25">
      <c r="A75" s="4" t="s">
        <v>892</v>
      </c>
      <c r="B75" s="4" t="s">
        <v>904</v>
      </c>
      <c r="C75" s="4">
        <v>90</v>
      </c>
      <c r="D75" s="4">
        <v>80</v>
      </c>
      <c r="E75" s="13">
        <v>9.8972222222222205E-3</v>
      </c>
    </row>
    <row r="76" spans="1:5" x14ac:dyDescent="0.25">
      <c r="A76" s="4" t="s">
        <v>893</v>
      </c>
      <c r="B76" s="4" t="s">
        <v>904</v>
      </c>
      <c r="C76" s="4">
        <v>90</v>
      </c>
      <c r="D76" s="4">
        <v>80</v>
      </c>
      <c r="E76" s="13">
        <v>9.8972222222222205E-3</v>
      </c>
    </row>
    <row r="77" spans="1:5" x14ac:dyDescent="0.25">
      <c r="A77" s="4" t="s">
        <v>894</v>
      </c>
      <c r="B77" s="4" t="s">
        <v>904</v>
      </c>
      <c r="C77" s="4">
        <v>90</v>
      </c>
      <c r="D77" s="4">
        <v>80</v>
      </c>
      <c r="E77" s="13">
        <v>9.8972222222222205E-3</v>
      </c>
    </row>
    <row r="78" spans="1:5" x14ac:dyDescent="0.25">
      <c r="A78" s="4" t="s">
        <v>895</v>
      </c>
      <c r="B78" s="4" t="s">
        <v>904</v>
      </c>
      <c r="C78" s="4">
        <v>90</v>
      </c>
      <c r="D78" s="4">
        <v>80</v>
      </c>
      <c r="E78" s="13">
        <v>9.8972222222222205E-3</v>
      </c>
    </row>
    <row r="79" spans="1:5" x14ac:dyDescent="0.25">
      <c r="A79" s="4" t="s">
        <v>896</v>
      </c>
      <c r="B79" s="4" t="s">
        <v>904</v>
      </c>
      <c r="C79" s="4">
        <v>90</v>
      </c>
      <c r="D79" s="4">
        <v>80</v>
      </c>
      <c r="E79" s="13">
        <v>1.4138888888888888E-2</v>
      </c>
    </row>
    <row r="80" spans="1:5" x14ac:dyDescent="0.25">
      <c r="A80" s="4" t="s">
        <v>897</v>
      </c>
      <c r="B80" s="4" t="s">
        <v>904</v>
      </c>
      <c r="C80" s="4">
        <v>90</v>
      </c>
      <c r="D80" s="4">
        <v>80</v>
      </c>
      <c r="E80" s="13">
        <v>1.4138888888888888E-2</v>
      </c>
    </row>
    <row r="81" spans="1:5" x14ac:dyDescent="0.25">
      <c r="A81" s="4" t="s">
        <v>898</v>
      </c>
      <c r="B81" s="4" t="s">
        <v>904</v>
      </c>
      <c r="C81" s="4">
        <v>90</v>
      </c>
      <c r="D81" s="4">
        <v>80</v>
      </c>
      <c r="E81" s="13">
        <v>1.4138888888888888E-2</v>
      </c>
    </row>
    <row r="82" spans="1:5" x14ac:dyDescent="0.25">
      <c r="A82" s="4" t="s">
        <v>899</v>
      </c>
      <c r="B82" s="4" t="s">
        <v>904</v>
      </c>
      <c r="C82" s="4">
        <v>100</v>
      </c>
      <c r="D82" s="4">
        <v>80</v>
      </c>
      <c r="E82" s="13">
        <v>2.0474999999999997E-2</v>
      </c>
    </row>
    <row r="83" spans="1:5" x14ac:dyDescent="0.25">
      <c r="A83" s="4" t="s">
        <v>900</v>
      </c>
      <c r="B83" s="4" t="s">
        <v>904</v>
      </c>
      <c r="C83" s="4">
        <v>100</v>
      </c>
      <c r="D83" s="4">
        <v>80</v>
      </c>
      <c r="E83" s="13">
        <v>2.4570000000000002E-2</v>
      </c>
    </row>
    <row r="84" spans="1:5" x14ac:dyDescent="0.25">
      <c r="A84" s="4" t="s">
        <v>0</v>
      </c>
      <c r="B84" s="4" t="s">
        <v>904</v>
      </c>
      <c r="C84" s="4">
        <v>120</v>
      </c>
      <c r="D84" s="4">
        <v>80</v>
      </c>
      <c r="E84" s="13">
        <v>2.218125E-2</v>
      </c>
    </row>
    <row r="85" spans="1:5" x14ac:dyDescent="0.25">
      <c r="A85" s="4" t="s">
        <v>228</v>
      </c>
      <c r="B85" s="4" t="s">
        <v>904</v>
      </c>
      <c r="C85" s="4">
        <v>120</v>
      </c>
      <c r="D85" s="4">
        <v>80</v>
      </c>
      <c r="E85" s="13">
        <v>3.0712499999999997E-2</v>
      </c>
    </row>
    <row r="86" spans="1:5" x14ac:dyDescent="0.25">
      <c r="A86" s="4" t="s">
        <v>901</v>
      </c>
      <c r="B86" s="4" t="s">
        <v>904</v>
      </c>
      <c r="C86" s="4">
        <v>130</v>
      </c>
      <c r="D86" s="4">
        <v>80</v>
      </c>
      <c r="E86" s="13">
        <v>2.9924999999999997E-2</v>
      </c>
    </row>
    <row r="87" spans="1:5" x14ac:dyDescent="0.25">
      <c r="A87" s="4" t="s">
        <v>860</v>
      </c>
      <c r="B87" s="4" t="s">
        <v>820</v>
      </c>
      <c r="C87" s="4">
        <v>90</v>
      </c>
      <c r="D87" s="4">
        <v>90</v>
      </c>
      <c r="E87" s="13">
        <v>1.0054320987654321E-2</v>
      </c>
    </row>
    <row r="88" spans="1:5" x14ac:dyDescent="0.25">
      <c r="A88" s="4" t="s">
        <v>891</v>
      </c>
      <c r="B88" s="4" t="s">
        <v>820</v>
      </c>
      <c r="C88" s="4">
        <v>90</v>
      </c>
      <c r="D88" s="4">
        <v>90</v>
      </c>
      <c r="E88" s="13">
        <v>1.0054320987654321E-2</v>
      </c>
    </row>
    <row r="89" spans="1:5" x14ac:dyDescent="0.25">
      <c r="A89" s="4" t="s">
        <v>892</v>
      </c>
      <c r="B89" s="4" t="s">
        <v>820</v>
      </c>
      <c r="C89" s="4">
        <v>90</v>
      </c>
      <c r="D89" s="4">
        <v>90</v>
      </c>
      <c r="E89" s="13">
        <v>1.0054320987654321E-2</v>
      </c>
    </row>
    <row r="90" spans="1:5" x14ac:dyDescent="0.25">
      <c r="A90" s="4" t="s">
        <v>893</v>
      </c>
      <c r="B90" s="4" t="s">
        <v>820</v>
      </c>
      <c r="C90" s="4">
        <v>90</v>
      </c>
      <c r="D90" s="4">
        <v>90</v>
      </c>
      <c r="E90" s="13">
        <v>1.0054320987654321E-2</v>
      </c>
    </row>
    <row r="91" spans="1:5" x14ac:dyDescent="0.25">
      <c r="A91" s="4" t="s">
        <v>894</v>
      </c>
      <c r="B91" s="4" t="s">
        <v>820</v>
      </c>
      <c r="C91" s="4">
        <v>90</v>
      </c>
      <c r="D91" s="4">
        <v>90</v>
      </c>
      <c r="E91" s="13">
        <v>1.0054320987654321E-2</v>
      </c>
    </row>
    <row r="92" spans="1:5" x14ac:dyDescent="0.25">
      <c r="A92" s="4" t="s">
        <v>895</v>
      </c>
      <c r="B92" s="4" t="s">
        <v>820</v>
      </c>
      <c r="C92" s="4">
        <v>90</v>
      </c>
      <c r="D92" s="4">
        <v>90</v>
      </c>
      <c r="E92" s="13">
        <v>1.508148148148148E-2</v>
      </c>
    </row>
    <row r="93" spans="1:5" x14ac:dyDescent="0.25">
      <c r="A93" s="4" t="s">
        <v>896</v>
      </c>
      <c r="B93" s="4" t="s">
        <v>820</v>
      </c>
      <c r="C93" s="4">
        <v>90</v>
      </c>
      <c r="D93" s="4">
        <v>90</v>
      </c>
      <c r="E93" s="13">
        <v>2.4266666666666666E-2</v>
      </c>
    </row>
    <row r="94" spans="1:5" x14ac:dyDescent="0.25">
      <c r="A94" s="4" t="s">
        <v>897</v>
      </c>
      <c r="B94" s="4" t="s">
        <v>820</v>
      </c>
      <c r="C94" s="4">
        <v>90</v>
      </c>
      <c r="D94" s="4">
        <v>90</v>
      </c>
      <c r="E94" s="13">
        <v>2.4266666666666666E-2</v>
      </c>
    </row>
    <row r="95" spans="1:5" x14ac:dyDescent="0.25">
      <c r="A95" s="4" t="s">
        <v>898</v>
      </c>
      <c r="B95" s="4" t="s">
        <v>820</v>
      </c>
      <c r="C95" s="4">
        <v>90</v>
      </c>
      <c r="D95" s="4">
        <v>90</v>
      </c>
      <c r="E95" s="13">
        <v>2.831111111111111E-2</v>
      </c>
    </row>
    <row r="96" spans="1:5" x14ac:dyDescent="0.25">
      <c r="A96" s="4" t="s">
        <v>899</v>
      </c>
      <c r="B96" s="4" t="s">
        <v>820</v>
      </c>
      <c r="C96" s="4">
        <v>100</v>
      </c>
      <c r="D96" s="4">
        <v>90</v>
      </c>
      <c r="E96" s="13">
        <v>3.0939999999999999E-2</v>
      </c>
    </row>
    <row r="97" spans="1:5" x14ac:dyDescent="0.25">
      <c r="A97" s="4" t="s">
        <v>900</v>
      </c>
      <c r="B97" s="4" t="s">
        <v>820</v>
      </c>
      <c r="C97" s="4">
        <v>100</v>
      </c>
      <c r="D97" s="4">
        <v>90</v>
      </c>
      <c r="E97" s="13">
        <v>4.0039999999999992E-2</v>
      </c>
    </row>
    <row r="98" spans="1:5" x14ac:dyDescent="0.25">
      <c r="A98" s="4" t="s">
        <v>0</v>
      </c>
      <c r="B98" s="4" t="s">
        <v>820</v>
      </c>
      <c r="C98" s="4">
        <v>120</v>
      </c>
      <c r="D98" s="4">
        <v>80</v>
      </c>
      <c r="E98" s="13">
        <v>4.6068749999999999E-2</v>
      </c>
    </row>
    <row r="99" spans="1:5" x14ac:dyDescent="0.25">
      <c r="A99" s="4" t="s">
        <v>228</v>
      </c>
      <c r="B99" s="4" t="s">
        <v>820</v>
      </c>
      <c r="C99" s="4">
        <v>135</v>
      </c>
      <c r="D99" s="4">
        <v>80</v>
      </c>
      <c r="E99" s="13">
        <v>4.095E-2</v>
      </c>
    </row>
    <row r="100" spans="1:5" x14ac:dyDescent="0.25">
      <c r="A100" s="4" t="s">
        <v>901</v>
      </c>
      <c r="B100" s="4" t="s">
        <v>820</v>
      </c>
      <c r="C100" s="4">
        <v>145</v>
      </c>
      <c r="D100" s="4">
        <v>80</v>
      </c>
      <c r="E100" s="13">
        <v>4.095E-2</v>
      </c>
    </row>
    <row r="101" spans="1:5" x14ac:dyDescent="0.25">
      <c r="A101" s="4" t="s">
        <v>860</v>
      </c>
      <c r="B101" s="4" t="s">
        <v>905</v>
      </c>
      <c r="C101" s="4">
        <v>90</v>
      </c>
      <c r="D101" s="4">
        <v>80</v>
      </c>
      <c r="E101" s="13">
        <v>9.8972222222222205E-3</v>
      </c>
    </row>
    <row r="102" spans="1:5" x14ac:dyDescent="0.25">
      <c r="A102" s="4" t="s">
        <v>891</v>
      </c>
      <c r="B102" s="4" t="s">
        <v>905</v>
      </c>
      <c r="C102" s="4">
        <v>90</v>
      </c>
      <c r="D102" s="4">
        <v>80</v>
      </c>
      <c r="E102" s="13">
        <v>9.8972222222222205E-3</v>
      </c>
    </row>
    <row r="103" spans="1:5" x14ac:dyDescent="0.25">
      <c r="A103" s="4" t="s">
        <v>892</v>
      </c>
      <c r="B103" s="4" t="s">
        <v>905</v>
      </c>
      <c r="C103" s="4">
        <v>90</v>
      </c>
      <c r="D103" s="4">
        <v>80</v>
      </c>
      <c r="E103" s="13">
        <v>9.8972222222222205E-3</v>
      </c>
    </row>
    <row r="104" spans="1:5" x14ac:dyDescent="0.25">
      <c r="A104" s="4" t="s">
        <v>893</v>
      </c>
      <c r="B104" s="4" t="s">
        <v>905</v>
      </c>
      <c r="C104" s="4">
        <v>90</v>
      </c>
      <c r="D104" s="4">
        <v>80</v>
      </c>
      <c r="E104" s="13">
        <v>9.8972222222222205E-3</v>
      </c>
    </row>
    <row r="105" spans="1:5" x14ac:dyDescent="0.25">
      <c r="A105" s="4" t="s">
        <v>894</v>
      </c>
      <c r="B105" s="4" t="s">
        <v>905</v>
      </c>
      <c r="C105" s="4">
        <v>90</v>
      </c>
      <c r="D105" s="4">
        <v>80</v>
      </c>
      <c r="E105" s="13">
        <v>9.8972222222222205E-3</v>
      </c>
    </row>
    <row r="106" spans="1:5" x14ac:dyDescent="0.25">
      <c r="A106" s="4" t="s">
        <v>895</v>
      </c>
      <c r="B106" s="4" t="s">
        <v>905</v>
      </c>
      <c r="C106" s="4">
        <v>90</v>
      </c>
      <c r="D106" s="4">
        <v>80</v>
      </c>
      <c r="E106" s="13">
        <v>1.6966666666666665E-2</v>
      </c>
    </row>
    <row r="107" spans="1:5" x14ac:dyDescent="0.25">
      <c r="A107" s="4" t="s">
        <v>896</v>
      </c>
      <c r="B107" s="4" t="s">
        <v>905</v>
      </c>
      <c r="C107" s="4">
        <v>90</v>
      </c>
      <c r="D107" s="4">
        <v>80</v>
      </c>
      <c r="E107" s="13">
        <v>2.5024999999999999E-2</v>
      </c>
    </row>
    <row r="108" spans="1:5" x14ac:dyDescent="0.25">
      <c r="A108" s="4" t="s">
        <v>897</v>
      </c>
      <c r="B108" s="4" t="s">
        <v>905</v>
      </c>
      <c r="C108" s="4">
        <v>90</v>
      </c>
      <c r="D108" s="4">
        <v>80</v>
      </c>
      <c r="E108" s="13">
        <v>2.5024999999999999E-2</v>
      </c>
    </row>
    <row r="109" spans="1:5" x14ac:dyDescent="0.25">
      <c r="A109" s="4" t="s">
        <v>898</v>
      </c>
      <c r="B109" s="4" t="s">
        <v>905</v>
      </c>
      <c r="C109" s="4">
        <v>90</v>
      </c>
      <c r="D109" s="4">
        <v>80</v>
      </c>
      <c r="E109" s="13">
        <v>2.5024999999999999E-2</v>
      </c>
    </row>
    <row r="110" spans="1:5" x14ac:dyDescent="0.25">
      <c r="A110" s="4" t="s">
        <v>899</v>
      </c>
      <c r="B110" s="4" t="s">
        <v>905</v>
      </c>
      <c r="C110" s="4">
        <v>100</v>
      </c>
      <c r="D110" s="4">
        <v>80</v>
      </c>
      <c r="E110" s="13">
        <v>3.4807499999999998E-2</v>
      </c>
    </row>
    <row r="111" spans="1:5" x14ac:dyDescent="0.25">
      <c r="A111" s="4" t="s">
        <v>900</v>
      </c>
      <c r="B111" s="4" t="s">
        <v>905</v>
      </c>
      <c r="C111" s="4">
        <v>100</v>
      </c>
      <c r="D111" s="4">
        <v>80</v>
      </c>
      <c r="E111" s="13">
        <v>3.6854999999999999E-2</v>
      </c>
    </row>
    <row r="112" spans="1:5" x14ac:dyDescent="0.25">
      <c r="A112" s="4" t="s">
        <v>0</v>
      </c>
      <c r="B112" s="4" t="s">
        <v>905</v>
      </c>
      <c r="C112" s="4">
        <v>100</v>
      </c>
      <c r="D112" s="4">
        <v>110</v>
      </c>
      <c r="E112" s="13">
        <v>2.2336363636363637E-2</v>
      </c>
    </row>
    <row r="113" spans="1:5" x14ac:dyDescent="0.25">
      <c r="A113" s="4" t="s">
        <v>228</v>
      </c>
      <c r="B113" s="4" t="s">
        <v>905</v>
      </c>
      <c r="C113" s="4">
        <v>100</v>
      </c>
      <c r="D113" s="4">
        <v>110</v>
      </c>
      <c r="E113" s="13">
        <v>2.8292727272727271E-2</v>
      </c>
    </row>
    <row r="114" spans="1:5" x14ac:dyDescent="0.25">
      <c r="A114" s="4" t="s">
        <v>901</v>
      </c>
      <c r="B114" s="4" t="s">
        <v>905</v>
      </c>
      <c r="C114" s="4">
        <v>100</v>
      </c>
      <c r="D114" s="4">
        <v>110</v>
      </c>
      <c r="E114" s="13">
        <v>3.7227272727272727E-2</v>
      </c>
    </row>
    <row r="115" spans="1:5" x14ac:dyDescent="0.25">
      <c r="A115" s="4" t="s">
        <v>860</v>
      </c>
      <c r="B115" s="4" t="s">
        <v>906</v>
      </c>
      <c r="C115" s="4">
        <v>90</v>
      </c>
      <c r="D115" s="4">
        <v>80</v>
      </c>
      <c r="E115" s="13">
        <v>9.8972222222222205E-3</v>
      </c>
    </row>
    <row r="116" spans="1:5" x14ac:dyDescent="0.25">
      <c r="A116" s="4" t="s">
        <v>891</v>
      </c>
      <c r="B116" s="4" t="s">
        <v>906</v>
      </c>
      <c r="C116" s="4">
        <v>90</v>
      </c>
      <c r="D116" s="4">
        <v>80</v>
      </c>
      <c r="E116" s="13">
        <v>9.8972222222222205E-3</v>
      </c>
    </row>
    <row r="117" spans="1:5" x14ac:dyDescent="0.25">
      <c r="A117" s="4" t="s">
        <v>892</v>
      </c>
      <c r="B117" s="4" t="s">
        <v>906</v>
      </c>
      <c r="C117" s="4">
        <v>90</v>
      </c>
      <c r="D117" s="4">
        <v>80</v>
      </c>
      <c r="E117" s="13">
        <v>9.8972222222222205E-3</v>
      </c>
    </row>
    <row r="118" spans="1:5" x14ac:dyDescent="0.25">
      <c r="A118" s="4" t="s">
        <v>893</v>
      </c>
      <c r="B118" s="4" t="s">
        <v>906</v>
      </c>
      <c r="C118" s="4">
        <v>90</v>
      </c>
      <c r="D118" s="4">
        <v>80</v>
      </c>
      <c r="E118" s="13">
        <v>9.8972222222222205E-3</v>
      </c>
    </row>
    <row r="119" spans="1:5" x14ac:dyDescent="0.25">
      <c r="A119" s="4" t="s">
        <v>894</v>
      </c>
      <c r="B119" s="4" t="s">
        <v>906</v>
      </c>
      <c r="C119" s="4">
        <v>90</v>
      </c>
      <c r="D119" s="4">
        <v>80</v>
      </c>
      <c r="E119" s="13">
        <v>9.8972222222222205E-3</v>
      </c>
    </row>
    <row r="120" spans="1:5" x14ac:dyDescent="0.25">
      <c r="A120" s="4" t="s">
        <v>895</v>
      </c>
      <c r="B120" s="4" t="s">
        <v>906</v>
      </c>
      <c r="C120" s="4">
        <v>90</v>
      </c>
      <c r="D120" s="4">
        <v>80</v>
      </c>
      <c r="E120" s="13">
        <v>9.8972222222222205E-3</v>
      </c>
    </row>
    <row r="121" spans="1:5" x14ac:dyDescent="0.25">
      <c r="A121" s="4" t="s">
        <v>896</v>
      </c>
      <c r="B121" s="4" t="s">
        <v>906</v>
      </c>
      <c r="C121" s="4">
        <v>90</v>
      </c>
      <c r="D121" s="4">
        <v>80</v>
      </c>
      <c r="E121" s="13">
        <v>9.8972222222222205E-3</v>
      </c>
    </row>
    <row r="122" spans="1:5" x14ac:dyDescent="0.25">
      <c r="A122" s="4" t="s">
        <v>897</v>
      </c>
      <c r="B122" s="4" t="s">
        <v>906</v>
      </c>
      <c r="C122" s="4">
        <v>90</v>
      </c>
      <c r="D122" s="4">
        <v>80</v>
      </c>
      <c r="E122" s="13">
        <v>9.8972222222222205E-3</v>
      </c>
    </row>
    <row r="123" spans="1:5" x14ac:dyDescent="0.25">
      <c r="A123" s="4" t="s">
        <v>898</v>
      </c>
      <c r="B123" s="4" t="s">
        <v>906</v>
      </c>
      <c r="C123" s="4">
        <v>90</v>
      </c>
      <c r="D123" s="4">
        <v>80</v>
      </c>
      <c r="E123" s="13">
        <v>9.8972222222222205E-3</v>
      </c>
    </row>
    <row r="124" spans="1:5" x14ac:dyDescent="0.25">
      <c r="A124" s="4" t="s">
        <v>899</v>
      </c>
      <c r="B124" s="4" t="s">
        <v>906</v>
      </c>
      <c r="C124" s="4">
        <v>100</v>
      </c>
      <c r="D124" s="4">
        <v>80</v>
      </c>
      <c r="E124" s="13">
        <v>1.43325E-2</v>
      </c>
    </row>
    <row r="125" spans="1:5" x14ac:dyDescent="0.25">
      <c r="A125" s="4" t="s">
        <v>900</v>
      </c>
      <c r="B125" s="4" t="s">
        <v>906</v>
      </c>
      <c r="C125" s="4">
        <v>100</v>
      </c>
      <c r="D125" s="4">
        <v>80</v>
      </c>
      <c r="E125" s="13">
        <v>1.43325E-2</v>
      </c>
    </row>
    <row r="126" spans="1:5" x14ac:dyDescent="0.25">
      <c r="A126" s="4" t="s">
        <v>0</v>
      </c>
      <c r="B126" s="4" t="s">
        <v>906</v>
      </c>
      <c r="C126" s="4">
        <v>120</v>
      </c>
      <c r="D126" s="4">
        <v>80</v>
      </c>
      <c r="E126" s="13">
        <v>1.7062499999999998E-2</v>
      </c>
    </row>
    <row r="127" spans="1:5" x14ac:dyDescent="0.25">
      <c r="A127" s="4" t="s">
        <v>228</v>
      </c>
      <c r="B127" s="4" t="s">
        <v>906</v>
      </c>
      <c r="C127" s="4">
        <v>120</v>
      </c>
      <c r="D127" s="4">
        <v>80</v>
      </c>
      <c r="E127" s="13">
        <v>1.7062499999999998E-2</v>
      </c>
    </row>
    <row r="128" spans="1:5" x14ac:dyDescent="0.25">
      <c r="A128" s="4" t="s">
        <v>901</v>
      </c>
      <c r="B128" s="4" t="s">
        <v>906</v>
      </c>
      <c r="C128" s="4">
        <v>130</v>
      </c>
      <c r="D128" s="4">
        <v>80</v>
      </c>
      <c r="E128" s="13">
        <v>1.7324999999999997E-2</v>
      </c>
    </row>
    <row r="129" spans="1:5" x14ac:dyDescent="0.25">
      <c r="A129" s="4" t="s">
        <v>860</v>
      </c>
      <c r="B129" s="4" t="s">
        <v>907</v>
      </c>
      <c r="C129" s="4">
        <v>90</v>
      </c>
      <c r="D129" s="4">
        <v>80</v>
      </c>
      <c r="E129" s="13">
        <v>9.8972222222222205E-3</v>
      </c>
    </row>
    <row r="130" spans="1:5" x14ac:dyDescent="0.25">
      <c r="A130" s="4" t="s">
        <v>891</v>
      </c>
      <c r="B130" s="4" t="s">
        <v>907</v>
      </c>
      <c r="C130" s="4">
        <v>90</v>
      </c>
      <c r="D130" s="4">
        <v>80</v>
      </c>
      <c r="E130" s="13">
        <v>9.8972222222222205E-3</v>
      </c>
    </row>
    <row r="131" spans="1:5" x14ac:dyDescent="0.25">
      <c r="A131" s="4" t="s">
        <v>892</v>
      </c>
      <c r="B131" s="4" t="s">
        <v>907</v>
      </c>
      <c r="C131" s="4">
        <v>90</v>
      </c>
      <c r="D131" s="4">
        <v>80</v>
      </c>
      <c r="E131" s="13">
        <v>9.8972222222222205E-3</v>
      </c>
    </row>
    <row r="132" spans="1:5" x14ac:dyDescent="0.25">
      <c r="A132" s="4" t="s">
        <v>893</v>
      </c>
      <c r="B132" s="4" t="s">
        <v>907</v>
      </c>
      <c r="C132" s="4">
        <v>90</v>
      </c>
      <c r="D132" s="4">
        <v>80</v>
      </c>
      <c r="E132" s="13">
        <v>9.8972222222222205E-3</v>
      </c>
    </row>
    <row r="133" spans="1:5" x14ac:dyDescent="0.25">
      <c r="A133" s="4" t="s">
        <v>894</v>
      </c>
      <c r="B133" s="4" t="s">
        <v>907</v>
      </c>
      <c r="C133" s="4">
        <v>90</v>
      </c>
      <c r="D133" s="4">
        <v>80</v>
      </c>
      <c r="E133" s="13">
        <v>9.8972222222222205E-3</v>
      </c>
    </row>
    <row r="134" spans="1:5" x14ac:dyDescent="0.25">
      <c r="A134" s="4" t="s">
        <v>895</v>
      </c>
      <c r="B134" s="4" t="s">
        <v>907</v>
      </c>
      <c r="C134" s="4">
        <v>90</v>
      </c>
      <c r="D134" s="4">
        <v>80</v>
      </c>
      <c r="E134" s="13">
        <v>9.8972222222222205E-3</v>
      </c>
    </row>
    <row r="135" spans="1:5" x14ac:dyDescent="0.25">
      <c r="A135" s="4" t="s">
        <v>896</v>
      </c>
      <c r="B135" s="4" t="s">
        <v>907</v>
      </c>
      <c r="C135" s="4">
        <v>90</v>
      </c>
      <c r="D135" s="4">
        <v>80</v>
      </c>
      <c r="E135" s="13">
        <v>1.5552777777777776E-2</v>
      </c>
    </row>
    <row r="136" spans="1:5" x14ac:dyDescent="0.25">
      <c r="A136" s="4" t="s">
        <v>897</v>
      </c>
      <c r="B136" s="4" t="s">
        <v>907</v>
      </c>
      <c r="C136" s="4">
        <v>90</v>
      </c>
      <c r="D136" s="4">
        <v>80</v>
      </c>
      <c r="E136" s="13">
        <v>1.5552777777777776E-2</v>
      </c>
    </row>
    <row r="137" spans="1:5" x14ac:dyDescent="0.25">
      <c r="A137" s="4" t="s">
        <v>898</v>
      </c>
      <c r="B137" s="4" t="s">
        <v>907</v>
      </c>
      <c r="C137" s="4">
        <v>90</v>
      </c>
      <c r="D137" s="4">
        <v>80</v>
      </c>
      <c r="E137" s="13">
        <v>1.5552777777777776E-2</v>
      </c>
    </row>
    <row r="138" spans="1:5" x14ac:dyDescent="0.25">
      <c r="A138" s="4" t="s">
        <v>899</v>
      </c>
      <c r="B138" s="4" t="s">
        <v>907</v>
      </c>
      <c r="C138" s="4">
        <v>100</v>
      </c>
      <c r="D138" s="4">
        <v>80</v>
      </c>
      <c r="E138" s="13">
        <v>2.4570000000000002E-2</v>
      </c>
    </row>
    <row r="139" spans="1:5" x14ac:dyDescent="0.25">
      <c r="A139" s="4" t="s">
        <v>900</v>
      </c>
      <c r="B139" s="4" t="s">
        <v>907</v>
      </c>
      <c r="C139" s="4">
        <v>100</v>
      </c>
      <c r="D139" s="4">
        <v>80</v>
      </c>
      <c r="E139" s="13">
        <v>3.07125E-2</v>
      </c>
    </row>
    <row r="140" spans="1:5" x14ac:dyDescent="0.25">
      <c r="A140" s="4" t="s">
        <v>0</v>
      </c>
      <c r="B140" s="4" t="s">
        <v>907</v>
      </c>
      <c r="C140" s="4">
        <v>120</v>
      </c>
      <c r="D140" s="4">
        <v>80</v>
      </c>
      <c r="E140" s="13">
        <v>2.218125E-2</v>
      </c>
    </row>
    <row r="141" spans="1:5" x14ac:dyDescent="0.25">
      <c r="A141" s="4" t="s">
        <v>228</v>
      </c>
      <c r="B141" s="4" t="s">
        <v>907</v>
      </c>
      <c r="C141" s="4">
        <v>120</v>
      </c>
      <c r="D141" s="4">
        <v>80</v>
      </c>
      <c r="E141" s="13">
        <v>3.0712499999999997E-2</v>
      </c>
    </row>
    <row r="142" spans="1:5" x14ac:dyDescent="0.25">
      <c r="A142" s="4" t="s">
        <v>901</v>
      </c>
      <c r="B142" s="4" t="s">
        <v>907</v>
      </c>
      <c r="C142" s="4">
        <v>130</v>
      </c>
      <c r="D142" s="4">
        <v>80</v>
      </c>
      <c r="E142" s="13">
        <v>2.9924999999999997E-2</v>
      </c>
    </row>
    <row r="143" spans="1:5" x14ac:dyDescent="0.25">
      <c r="A143" s="4" t="s">
        <v>860</v>
      </c>
      <c r="B143" s="4" t="s">
        <v>908</v>
      </c>
      <c r="C143" s="4">
        <v>90</v>
      </c>
      <c r="D143" s="4">
        <v>80</v>
      </c>
      <c r="E143" s="13">
        <v>9.8972222222222205E-3</v>
      </c>
    </row>
    <row r="144" spans="1:5" x14ac:dyDescent="0.25">
      <c r="A144" s="4" t="s">
        <v>891</v>
      </c>
      <c r="B144" s="4" t="s">
        <v>908</v>
      </c>
      <c r="C144" s="4">
        <v>90</v>
      </c>
      <c r="D144" s="4">
        <v>80</v>
      </c>
      <c r="E144" s="13">
        <v>9.8972222222222205E-3</v>
      </c>
    </row>
    <row r="145" spans="1:5" x14ac:dyDescent="0.25">
      <c r="A145" s="4" t="s">
        <v>892</v>
      </c>
      <c r="B145" s="4" t="s">
        <v>908</v>
      </c>
      <c r="C145" s="4">
        <v>90</v>
      </c>
      <c r="D145" s="4">
        <v>80</v>
      </c>
      <c r="E145" s="13">
        <v>9.8972222222222205E-3</v>
      </c>
    </row>
    <row r="146" spans="1:5" x14ac:dyDescent="0.25">
      <c r="A146" s="4" t="s">
        <v>893</v>
      </c>
      <c r="B146" s="4" t="s">
        <v>908</v>
      </c>
      <c r="C146" s="4">
        <v>90</v>
      </c>
      <c r="D146" s="4">
        <v>80</v>
      </c>
      <c r="E146" s="13">
        <v>9.8972222222222205E-3</v>
      </c>
    </row>
    <row r="147" spans="1:5" x14ac:dyDescent="0.25">
      <c r="A147" s="4" t="s">
        <v>894</v>
      </c>
      <c r="B147" s="4" t="s">
        <v>908</v>
      </c>
      <c r="C147" s="4">
        <v>90</v>
      </c>
      <c r="D147" s="4">
        <v>80</v>
      </c>
      <c r="E147" s="13">
        <v>9.8972222222222205E-3</v>
      </c>
    </row>
    <row r="148" spans="1:5" x14ac:dyDescent="0.25">
      <c r="A148" s="4" t="s">
        <v>895</v>
      </c>
      <c r="B148" s="4" t="s">
        <v>908</v>
      </c>
      <c r="C148" s="4">
        <v>90</v>
      </c>
      <c r="D148" s="4">
        <v>80</v>
      </c>
      <c r="E148" s="13">
        <v>9.8972222222222205E-3</v>
      </c>
    </row>
    <row r="149" spans="1:5" x14ac:dyDescent="0.25">
      <c r="A149" s="4" t="s">
        <v>896</v>
      </c>
      <c r="B149" s="4" t="s">
        <v>908</v>
      </c>
      <c r="C149" s="4">
        <v>90</v>
      </c>
      <c r="D149" s="4">
        <v>80</v>
      </c>
      <c r="E149" s="13">
        <v>2.0474999999999997E-2</v>
      </c>
    </row>
    <row r="150" spans="1:5" x14ac:dyDescent="0.25">
      <c r="A150" s="4" t="s">
        <v>897</v>
      </c>
      <c r="B150" s="4" t="s">
        <v>908</v>
      </c>
      <c r="C150" s="4">
        <v>90</v>
      </c>
      <c r="D150" s="4">
        <v>80</v>
      </c>
      <c r="E150" s="13">
        <v>2.0474999999999997E-2</v>
      </c>
    </row>
    <row r="151" spans="1:5" x14ac:dyDescent="0.25">
      <c r="A151" s="4" t="s">
        <v>898</v>
      </c>
      <c r="B151" s="4" t="s">
        <v>908</v>
      </c>
      <c r="C151" s="4">
        <v>90</v>
      </c>
      <c r="D151" s="4">
        <v>80</v>
      </c>
      <c r="E151" s="13">
        <v>2.7300000000000001E-2</v>
      </c>
    </row>
    <row r="152" spans="1:5" x14ac:dyDescent="0.25">
      <c r="A152" s="4" t="s">
        <v>899</v>
      </c>
      <c r="B152" s="4" t="s">
        <v>908</v>
      </c>
      <c r="C152" s="4">
        <v>100</v>
      </c>
      <c r="D152" s="4">
        <v>80</v>
      </c>
      <c r="E152" s="13">
        <v>4.0949999999999993E-2</v>
      </c>
    </row>
    <row r="153" spans="1:5" x14ac:dyDescent="0.25">
      <c r="A153" s="4" t="s">
        <v>900</v>
      </c>
      <c r="B153" s="4" t="s">
        <v>908</v>
      </c>
      <c r="C153" s="4">
        <v>100</v>
      </c>
      <c r="D153" s="4">
        <v>80</v>
      </c>
      <c r="E153" s="13">
        <v>4.0949999999999993E-2</v>
      </c>
    </row>
    <row r="154" spans="1:5" x14ac:dyDescent="0.25">
      <c r="A154" s="4" t="s">
        <v>0</v>
      </c>
      <c r="B154" s="4" t="s">
        <v>908</v>
      </c>
      <c r="C154" s="4">
        <v>120</v>
      </c>
      <c r="D154" s="4">
        <v>80</v>
      </c>
      <c r="E154" s="13">
        <v>3.5831249999999995E-2</v>
      </c>
    </row>
    <row r="155" spans="1:5" x14ac:dyDescent="0.25">
      <c r="A155" s="4" t="s">
        <v>228</v>
      </c>
      <c r="B155" s="4" t="s">
        <v>908</v>
      </c>
      <c r="C155" s="4">
        <v>135</v>
      </c>
      <c r="D155" s="4">
        <v>80</v>
      </c>
      <c r="E155" s="13">
        <v>3.1849999999999996E-2</v>
      </c>
    </row>
    <row r="156" spans="1:5" x14ac:dyDescent="0.25">
      <c r="A156" s="4" t="s">
        <v>901</v>
      </c>
      <c r="B156" s="4" t="s">
        <v>908</v>
      </c>
      <c r="C156" s="4">
        <v>145</v>
      </c>
      <c r="D156" s="4">
        <v>80</v>
      </c>
      <c r="E156" s="13">
        <v>3.3889655172413796E-2</v>
      </c>
    </row>
    <row r="157" spans="1:5" x14ac:dyDescent="0.25">
      <c r="A157" s="4" t="s">
        <v>860</v>
      </c>
      <c r="B157" s="4" t="s">
        <v>909</v>
      </c>
      <c r="C157" s="4">
        <v>90</v>
      </c>
      <c r="D157" s="4">
        <v>80</v>
      </c>
      <c r="E157" s="13">
        <v>9.8972222222222205E-3</v>
      </c>
    </row>
    <row r="158" spans="1:5" x14ac:dyDescent="0.25">
      <c r="A158" s="4" t="s">
        <v>891</v>
      </c>
      <c r="B158" s="4" t="s">
        <v>909</v>
      </c>
      <c r="C158" s="4">
        <v>90</v>
      </c>
      <c r="D158" s="4">
        <v>80</v>
      </c>
      <c r="E158" s="13">
        <v>9.8972222222222205E-3</v>
      </c>
    </row>
    <row r="159" spans="1:5" x14ac:dyDescent="0.25">
      <c r="A159" s="4" t="s">
        <v>892</v>
      </c>
      <c r="B159" s="4" t="s">
        <v>909</v>
      </c>
      <c r="C159" s="4">
        <v>90</v>
      </c>
      <c r="D159" s="4">
        <v>80</v>
      </c>
      <c r="E159" s="13">
        <v>9.8972222222222205E-3</v>
      </c>
    </row>
    <row r="160" spans="1:5" x14ac:dyDescent="0.25">
      <c r="A160" s="4" t="s">
        <v>893</v>
      </c>
      <c r="B160" s="4" t="s">
        <v>909</v>
      </c>
      <c r="C160" s="4">
        <v>90</v>
      </c>
      <c r="D160" s="4">
        <v>80</v>
      </c>
      <c r="E160" s="13">
        <v>9.8972222222222205E-3</v>
      </c>
    </row>
    <row r="161" spans="1:5" x14ac:dyDescent="0.25">
      <c r="A161" s="4" t="s">
        <v>894</v>
      </c>
      <c r="B161" s="4" t="s">
        <v>909</v>
      </c>
      <c r="C161" s="4">
        <v>90</v>
      </c>
      <c r="D161" s="4">
        <v>80</v>
      </c>
      <c r="E161" s="13">
        <v>9.8972222222222205E-3</v>
      </c>
    </row>
    <row r="162" spans="1:5" x14ac:dyDescent="0.25">
      <c r="A162" s="4" t="s">
        <v>895</v>
      </c>
      <c r="B162" s="4" t="s">
        <v>909</v>
      </c>
      <c r="C162" s="4">
        <v>90</v>
      </c>
      <c r="D162" s="4">
        <v>80</v>
      </c>
      <c r="E162" s="13">
        <v>9.8972222222222205E-3</v>
      </c>
    </row>
    <row r="163" spans="1:5" x14ac:dyDescent="0.25">
      <c r="A163" s="4" t="s">
        <v>896</v>
      </c>
      <c r="B163" s="4" t="s">
        <v>909</v>
      </c>
      <c r="C163" s="4">
        <v>90</v>
      </c>
      <c r="D163" s="4">
        <v>80</v>
      </c>
      <c r="E163" s="13">
        <v>1.131111111111111E-2</v>
      </c>
    </row>
    <row r="164" spans="1:5" x14ac:dyDescent="0.25">
      <c r="A164" s="4" t="s">
        <v>897</v>
      </c>
      <c r="B164" s="4" t="s">
        <v>909</v>
      </c>
      <c r="C164" s="4">
        <v>90</v>
      </c>
      <c r="D164" s="4">
        <v>80</v>
      </c>
      <c r="E164" s="13">
        <v>9.8972222222222205E-3</v>
      </c>
    </row>
    <row r="165" spans="1:5" x14ac:dyDescent="0.25">
      <c r="A165" s="4" t="s">
        <v>898</v>
      </c>
      <c r="B165" s="4" t="s">
        <v>909</v>
      </c>
      <c r="C165" s="4">
        <v>90</v>
      </c>
      <c r="D165" s="4">
        <v>80</v>
      </c>
      <c r="E165" s="13">
        <v>1.131111111111111E-2</v>
      </c>
    </row>
    <row r="166" spans="1:5" x14ac:dyDescent="0.25">
      <c r="A166" s="4" t="s">
        <v>899</v>
      </c>
      <c r="B166" s="4" t="s">
        <v>909</v>
      </c>
      <c r="C166" s="4">
        <v>100</v>
      </c>
      <c r="D166" s="4">
        <v>80</v>
      </c>
      <c r="E166" s="13">
        <v>1.6379999999999999E-2</v>
      </c>
    </row>
    <row r="167" spans="1:5" x14ac:dyDescent="0.25">
      <c r="A167" s="4" t="s">
        <v>900</v>
      </c>
      <c r="B167" s="4" t="s">
        <v>909</v>
      </c>
      <c r="C167" s="4">
        <v>100</v>
      </c>
      <c r="D167" s="4">
        <v>80</v>
      </c>
      <c r="E167" s="13">
        <v>3.07125E-2</v>
      </c>
    </row>
    <row r="168" spans="1:5" x14ac:dyDescent="0.25">
      <c r="A168" s="4" t="s">
        <v>0</v>
      </c>
      <c r="B168" s="4" t="s">
        <v>909</v>
      </c>
      <c r="C168" s="4">
        <v>120</v>
      </c>
      <c r="D168" s="4">
        <v>80</v>
      </c>
      <c r="E168" s="13">
        <v>1.3649999999999999E-2</v>
      </c>
    </row>
    <row r="169" spans="1:5" x14ac:dyDescent="0.25">
      <c r="A169" s="4" t="s">
        <v>228</v>
      </c>
      <c r="B169" s="4" t="s">
        <v>909</v>
      </c>
      <c r="C169" s="4">
        <v>120</v>
      </c>
      <c r="D169" s="4">
        <v>80</v>
      </c>
      <c r="E169" s="13">
        <v>1.194375E-2</v>
      </c>
    </row>
    <row r="170" spans="1:5" x14ac:dyDescent="0.25">
      <c r="A170" s="4" t="s">
        <v>901</v>
      </c>
      <c r="B170" s="4" t="s">
        <v>909</v>
      </c>
      <c r="C170" s="4">
        <v>130</v>
      </c>
      <c r="D170" s="4">
        <v>80</v>
      </c>
      <c r="E170" s="13">
        <v>1.26E-2</v>
      </c>
    </row>
    <row r="171" spans="1:5" x14ac:dyDescent="0.25">
      <c r="A171" s="4" t="s">
        <v>860</v>
      </c>
      <c r="B171" s="4" t="s">
        <v>910</v>
      </c>
      <c r="C171" s="4">
        <v>90</v>
      </c>
      <c r="D171" s="4">
        <v>80</v>
      </c>
      <c r="E171" s="13">
        <v>9.8972222222222205E-3</v>
      </c>
    </row>
    <row r="172" spans="1:5" x14ac:dyDescent="0.25">
      <c r="A172" s="4" t="s">
        <v>891</v>
      </c>
      <c r="B172" s="4" t="s">
        <v>910</v>
      </c>
      <c r="C172" s="4">
        <v>90</v>
      </c>
      <c r="D172" s="4">
        <v>80</v>
      </c>
      <c r="E172" s="13">
        <v>9.8972222222222205E-3</v>
      </c>
    </row>
    <row r="173" spans="1:5" x14ac:dyDescent="0.25">
      <c r="A173" s="4" t="s">
        <v>892</v>
      </c>
      <c r="B173" s="4" t="s">
        <v>910</v>
      </c>
      <c r="C173" s="4">
        <v>90</v>
      </c>
      <c r="D173" s="4">
        <v>80</v>
      </c>
      <c r="E173" s="13">
        <v>9.8972222222222205E-3</v>
      </c>
    </row>
    <row r="174" spans="1:5" x14ac:dyDescent="0.25">
      <c r="A174" s="4" t="s">
        <v>893</v>
      </c>
      <c r="B174" s="4" t="s">
        <v>910</v>
      </c>
      <c r="C174" s="4">
        <v>90</v>
      </c>
      <c r="D174" s="4">
        <v>80</v>
      </c>
      <c r="E174" s="13">
        <v>9.8972222222222205E-3</v>
      </c>
    </row>
    <row r="175" spans="1:5" x14ac:dyDescent="0.25">
      <c r="A175" s="4" t="s">
        <v>894</v>
      </c>
      <c r="B175" s="4" t="s">
        <v>910</v>
      </c>
      <c r="C175" s="4">
        <v>90</v>
      </c>
      <c r="D175" s="4">
        <v>80</v>
      </c>
      <c r="E175" s="13">
        <v>9.8972222222222205E-3</v>
      </c>
    </row>
    <row r="176" spans="1:5" x14ac:dyDescent="0.25">
      <c r="A176" s="4" t="s">
        <v>895</v>
      </c>
      <c r="B176" s="4" t="s">
        <v>910</v>
      </c>
      <c r="C176" s="4">
        <v>90</v>
      </c>
      <c r="D176" s="4">
        <v>80</v>
      </c>
      <c r="E176" s="13">
        <v>1.4138888888888888E-2</v>
      </c>
    </row>
    <row r="177" spans="1:5" x14ac:dyDescent="0.25">
      <c r="A177" s="4" t="s">
        <v>896</v>
      </c>
      <c r="B177" s="4" t="s">
        <v>910</v>
      </c>
      <c r="C177" s="4">
        <v>90</v>
      </c>
      <c r="D177" s="4">
        <v>80</v>
      </c>
      <c r="E177" s="13">
        <v>1.9794444444444441E-2</v>
      </c>
    </row>
    <row r="178" spans="1:5" x14ac:dyDescent="0.25">
      <c r="A178" s="4" t="s">
        <v>897</v>
      </c>
      <c r="B178" s="4" t="s">
        <v>910</v>
      </c>
      <c r="C178" s="4">
        <v>90</v>
      </c>
      <c r="D178" s="4">
        <v>80</v>
      </c>
      <c r="E178" s="13">
        <v>1.9794444444444441E-2</v>
      </c>
    </row>
    <row r="179" spans="1:5" x14ac:dyDescent="0.25">
      <c r="A179" s="4" t="s">
        <v>898</v>
      </c>
      <c r="B179" s="4" t="s">
        <v>910</v>
      </c>
      <c r="C179" s="4">
        <v>90</v>
      </c>
      <c r="D179" s="4">
        <v>80</v>
      </c>
      <c r="E179" s="13">
        <v>1.9794444444444441E-2</v>
      </c>
    </row>
    <row r="180" spans="1:5" x14ac:dyDescent="0.25">
      <c r="A180" s="4" t="s">
        <v>899</v>
      </c>
      <c r="B180" s="4" t="s">
        <v>910</v>
      </c>
      <c r="C180" s="4">
        <v>100</v>
      </c>
      <c r="D180" s="4">
        <v>80</v>
      </c>
      <c r="E180" s="13">
        <v>3.6854999999999999E-2</v>
      </c>
    </row>
    <row r="181" spans="1:5" x14ac:dyDescent="0.25">
      <c r="A181" s="4" t="s">
        <v>900</v>
      </c>
      <c r="B181" s="4" t="s">
        <v>910</v>
      </c>
      <c r="C181" s="4">
        <v>100</v>
      </c>
      <c r="D181" s="4">
        <v>80</v>
      </c>
      <c r="E181" s="13">
        <v>3.6854999999999999E-2</v>
      </c>
    </row>
    <row r="182" spans="1:5" x14ac:dyDescent="0.25">
      <c r="A182" s="4" t="s">
        <v>0</v>
      </c>
      <c r="B182" s="4" t="s">
        <v>910</v>
      </c>
      <c r="C182" s="4">
        <v>100</v>
      </c>
      <c r="D182" s="4">
        <v>110</v>
      </c>
      <c r="E182" s="13">
        <v>1.6379999999999999E-2</v>
      </c>
    </row>
    <row r="183" spans="1:5" x14ac:dyDescent="0.25">
      <c r="A183" s="4" t="s">
        <v>228</v>
      </c>
      <c r="B183" s="4" t="s">
        <v>910</v>
      </c>
      <c r="C183" s="4">
        <v>100</v>
      </c>
      <c r="D183" s="4">
        <v>110</v>
      </c>
      <c r="E183" s="13">
        <v>1.7869090909090911E-2</v>
      </c>
    </row>
    <row r="184" spans="1:5" x14ac:dyDescent="0.25">
      <c r="A184" s="4" t="s">
        <v>901</v>
      </c>
      <c r="B184" s="4" t="s">
        <v>910</v>
      </c>
      <c r="C184" s="4">
        <v>100</v>
      </c>
      <c r="D184" s="4">
        <v>110</v>
      </c>
      <c r="E184" s="13">
        <v>2.5314545454545454E-2</v>
      </c>
    </row>
    <row r="185" spans="1:5" x14ac:dyDescent="0.25">
      <c r="A185" s="4" t="s">
        <v>860</v>
      </c>
      <c r="B185" s="4" t="s">
        <v>911</v>
      </c>
      <c r="C185" s="4">
        <v>90</v>
      </c>
      <c r="D185" s="4">
        <v>80</v>
      </c>
      <c r="E185" s="13">
        <v>9.8972222222222205E-3</v>
      </c>
    </row>
    <row r="186" spans="1:5" x14ac:dyDescent="0.25">
      <c r="A186" s="4" t="s">
        <v>891</v>
      </c>
      <c r="B186" s="4" t="s">
        <v>911</v>
      </c>
      <c r="C186" s="4">
        <v>90</v>
      </c>
      <c r="D186" s="4">
        <v>80</v>
      </c>
      <c r="E186" s="13">
        <v>9.8972222222222205E-3</v>
      </c>
    </row>
    <row r="187" spans="1:5" x14ac:dyDescent="0.25">
      <c r="A187" s="4" t="s">
        <v>892</v>
      </c>
      <c r="B187" s="4" t="s">
        <v>911</v>
      </c>
      <c r="C187" s="4">
        <v>90</v>
      </c>
      <c r="D187" s="4">
        <v>80</v>
      </c>
      <c r="E187" s="13">
        <v>9.8972222222222205E-3</v>
      </c>
    </row>
    <row r="188" spans="1:5" x14ac:dyDescent="0.25">
      <c r="A188" s="4" t="s">
        <v>893</v>
      </c>
      <c r="B188" s="4" t="s">
        <v>911</v>
      </c>
      <c r="C188" s="4">
        <v>90</v>
      </c>
      <c r="D188" s="4">
        <v>80</v>
      </c>
      <c r="E188" s="13">
        <v>9.8972222222222205E-3</v>
      </c>
    </row>
    <row r="189" spans="1:5" x14ac:dyDescent="0.25">
      <c r="A189" s="4" t="s">
        <v>894</v>
      </c>
      <c r="B189" s="4" t="s">
        <v>911</v>
      </c>
      <c r="C189" s="4">
        <v>90</v>
      </c>
      <c r="D189" s="4">
        <v>80</v>
      </c>
      <c r="E189" s="13">
        <v>9.8972222222222205E-3</v>
      </c>
    </row>
    <row r="190" spans="1:5" x14ac:dyDescent="0.25">
      <c r="A190" s="4" t="s">
        <v>895</v>
      </c>
      <c r="B190" s="4" t="s">
        <v>911</v>
      </c>
      <c r="C190" s="4">
        <v>90</v>
      </c>
      <c r="D190" s="4">
        <v>80</v>
      </c>
      <c r="E190" s="13">
        <v>9.8972222222222205E-3</v>
      </c>
    </row>
    <row r="191" spans="1:5" x14ac:dyDescent="0.25">
      <c r="A191" s="4" t="s">
        <v>896</v>
      </c>
      <c r="B191" s="4" t="s">
        <v>911</v>
      </c>
      <c r="C191" s="4">
        <v>90</v>
      </c>
      <c r="D191" s="4">
        <v>80</v>
      </c>
      <c r="E191" s="13">
        <v>9.8972222222222205E-3</v>
      </c>
    </row>
    <row r="192" spans="1:5" x14ac:dyDescent="0.25">
      <c r="A192" s="4" t="s">
        <v>897</v>
      </c>
      <c r="B192" s="4" t="s">
        <v>911</v>
      </c>
      <c r="C192" s="4">
        <v>90</v>
      </c>
      <c r="D192" s="4">
        <v>80</v>
      </c>
      <c r="E192" s="13">
        <v>9.8972222222222205E-3</v>
      </c>
    </row>
    <row r="193" spans="1:5" x14ac:dyDescent="0.25">
      <c r="A193" s="4" t="s">
        <v>898</v>
      </c>
      <c r="B193" s="4" t="s">
        <v>911</v>
      </c>
      <c r="C193" s="4">
        <v>90</v>
      </c>
      <c r="D193" s="4">
        <v>80</v>
      </c>
      <c r="E193" s="13">
        <v>9.8972222222222205E-3</v>
      </c>
    </row>
    <row r="194" spans="1:5" x14ac:dyDescent="0.25">
      <c r="A194" s="4" t="s">
        <v>899</v>
      </c>
      <c r="B194" s="4" t="s">
        <v>911</v>
      </c>
      <c r="C194" s="4">
        <v>100</v>
      </c>
      <c r="D194" s="4">
        <v>80</v>
      </c>
      <c r="E194" s="13">
        <v>1.6379999999999999E-2</v>
      </c>
    </row>
    <row r="195" spans="1:5" x14ac:dyDescent="0.25">
      <c r="A195" s="4" t="s">
        <v>900</v>
      </c>
      <c r="B195" s="4" t="s">
        <v>911</v>
      </c>
      <c r="C195" s="4">
        <v>100</v>
      </c>
      <c r="D195" s="4">
        <v>80</v>
      </c>
      <c r="E195" s="13">
        <v>2.0474999999999997E-2</v>
      </c>
    </row>
    <row r="196" spans="1:5" x14ac:dyDescent="0.25">
      <c r="A196" s="4" t="s">
        <v>0</v>
      </c>
      <c r="B196" s="4" t="s">
        <v>911</v>
      </c>
      <c r="C196" s="4">
        <v>120</v>
      </c>
      <c r="D196" s="4">
        <v>80</v>
      </c>
      <c r="E196" s="13">
        <v>2.0475E-2</v>
      </c>
    </row>
    <row r="197" spans="1:5" x14ac:dyDescent="0.25">
      <c r="A197" s="4" t="s">
        <v>228</v>
      </c>
      <c r="B197" s="4" t="s">
        <v>911</v>
      </c>
      <c r="C197" s="4">
        <v>120</v>
      </c>
      <c r="D197" s="4">
        <v>80</v>
      </c>
      <c r="E197" s="13">
        <v>1.7062499999999998E-2</v>
      </c>
    </row>
    <row r="198" spans="1:5" x14ac:dyDescent="0.25">
      <c r="A198" s="4" t="s">
        <v>901</v>
      </c>
      <c r="B198" s="4" t="s">
        <v>911</v>
      </c>
      <c r="C198" s="4">
        <v>130</v>
      </c>
      <c r="D198" s="4">
        <v>80</v>
      </c>
      <c r="E198" s="13">
        <v>1.7324999999999997E-2</v>
      </c>
    </row>
    <row r="199" spans="1:5" x14ac:dyDescent="0.25">
      <c r="A199" s="4" t="s">
        <v>860</v>
      </c>
      <c r="B199" s="4" t="s">
        <v>912</v>
      </c>
      <c r="C199" s="4">
        <v>90</v>
      </c>
      <c r="D199" s="4">
        <v>80</v>
      </c>
      <c r="E199" s="13">
        <v>9.8972222222222205E-3</v>
      </c>
    </row>
    <row r="200" spans="1:5" x14ac:dyDescent="0.25">
      <c r="A200" s="4" t="s">
        <v>891</v>
      </c>
      <c r="B200" s="4" t="s">
        <v>912</v>
      </c>
      <c r="C200" s="4">
        <v>90</v>
      </c>
      <c r="D200" s="4">
        <v>80</v>
      </c>
      <c r="E200" s="13">
        <v>9.8972222222222205E-3</v>
      </c>
    </row>
    <row r="201" spans="1:5" x14ac:dyDescent="0.25">
      <c r="A201" s="4" t="s">
        <v>892</v>
      </c>
      <c r="B201" s="4" t="s">
        <v>912</v>
      </c>
      <c r="C201" s="4">
        <v>90</v>
      </c>
      <c r="D201" s="4">
        <v>80</v>
      </c>
      <c r="E201" s="13">
        <v>9.8972222222222205E-3</v>
      </c>
    </row>
    <row r="202" spans="1:5" x14ac:dyDescent="0.25">
      <c r="A202" s="4" t="s">
        <v>893</v>
      </c>
      <c r="B202" s="4" t="s">
        <v>912</v>
      </c>
      <c r="C202" s="4">
        <v>90</v>
      </c>
      <c r="D202" s="4">
        <v>80</v>
      </c>
      <c r="E202" s="13">
        <v>9.8972222222222205E-3</v>
      </c>
    </row>
    <row r="203" spans="1:5" x14ac:dyDescent="0.25">
      <c r="A203" s="4" t="s">
        <v>894</v>
      </c>
      <c r="B203" s="4" t="s">
        <v>912</v>
      </c>
      <c r="C203" s="4">
        <v>90</v>
      </c>
      <c r="D203" s="4">
        <v>80</v>
      </c>
      <c r="E203" s="13">
        <v>9.8972222222222205E-3</v>
      </c>
    </row>
    <row r="204" spans="1:5" x14ac:dyDescent="0.25">
      <c r="A204" s="4" t="s">
        <v>895</v>
      </c>
      <c r="B204" s="4" t="s">
        <v>912</v>
      </c>
      <c r="C204" s="4">
        <v>90</v>
      </c>
      <c r="D204" s="4">
        <v>80</v>
      </c>
      <c r="E204" s="13">
        <v>9.8972222222222205E-3</v>
      </c>
    </row>
    <row r="205" spans="1:5" x14ac:dyDescent="0.25">
      <c r="A205" s="4" t="s">
        <v>896</v>
      </c>
      <c r="B205" s="4" t="s">
        <v>912</v>
      </c>
      <c r="C205" s="4">
        <v>90</v>
      </c>
      <c r="D205" s="4">
        <v>80</v>
      </c>
      <c r="E205" s="13">
        <v>1.6966666666666665E-2</v>
      </c>
    </row>
    <row r="206" spans="1:5" x14ac:dyDescent="0.25">
      <c r="A206" s="4" t="s">
        <v>897</v>
      </c>
      <c r="B206" s="4" t="s">
        <v>912</v>
      </c>
      <c r="C206" s="4">
        <v>90</v>
      </c>
      <c r="D206" s="4">
        <v>80</v>
      </c>
      <c r="E206" s="13">
        <v>1.6966666666666665E-2</v>
      </c>
    </row>
    <row r="207" spans="1:5" x14ac:dyDescent="0.25">
      <c r="A207" s="4" t="s">
        <v>898</v>
      </c>
      <c r="B207" s="4" t="s">
        <v>912</v>
      </c>
      <c r="C207" s="4">
        <v>90</v>
      </c>
      <c r="D207" s="4">
        <v>80</v>
      </c>
      <c r="E207" s="13">
        <v>1.6966666666666665E-2</v>
      </c>
    </row>
    <row r="208" spans="1:5" x14ac:dyDescent="0.25">
      <c r="A208" s="4" t="s">
        <v>899</v>
      </c>
      <c r="B208" s="4" t="s">
        <v>912</v>
      </c>
      <c r="C208" s="4">
        <v>100</v>
      </c>
      <c r="D208" s="4">
        <v>80</v>
      </c>
      <c r="E208" s="13">
        <v>2.8665E-2</v>
      </c>
    </row>
    <row r="209" spans="1:5" x14ac:dyDescent="0.25">
      <c r="A209" s="4" t="s">
        <v>900</v>
      </c>
      <c r="B209" s="4" t="s">
        <v>912</v>
      </c>
      <c r="C209" s="4">
        <v>100</v>
      </c>
      <c r="D209" s="4">
        <v>80</v>
      </c>
      <c r="E209" s="13">
        <v>3.6854999999999999E-2</v>
      </c>
    </row>
    <row r="210" spans="1:5" x14ac:dyDescent="0.25">
      <c r="A210" s="4" t="s">
        <v>0</v>
      </c>
      <c r="B210" s="4" t="s">
        <v>912</v>
      </c>
      <c r="C210" s="4">
        <v>120</v>
      </c>
      <c r="D210" s="4">
        <v>80</v>
      </c>
      <c r="E210" s="13">
        <v>2.5593749999999998E-2</v>
      </c>
    </row>
    <row r="211" spans="1:5" x14ac:dyDescent="0.25">
      <c r="A211" s="4" t="s">
        <v>228</v>
      </c>
      <c r="B211" s="4" t="s">
        <v>912</v>
      </c>
      <c r="C211" s="4">
        <v>120</v>
      </c>
      <c r="D211" s="4">
        <v>80</v>
      </c>
      <c r="E211" s="13">
        <v>3.0712499999999997E-2</v>
      </c>
    </row>
    <row r="212" spans="1:5" x14ac:dyDescent="0.25">
      <c r="A212" s="4" t="s">
        <v>901</v>
      </c>
      <c r="B212" s="4" t="s">
        <v>912</v>
      </c>
      <c r="C212" s="4">
        <v>130</v>
      </c>
      <c r="D212" s="4">
        <v>80</v>
      </c>
      <c r="E212" s="13">
        <v>2.9924999999999997E-2</v>
      </c>
    </row>
    <row r="213" spans="1:5" x14ac:dyDescent="0.25">
      <c r="A213" s="4" t="s">
        <v>860</v>
      </c>
      <c r="B213" s="4" t="s">
        <v>913</v>
      </c>
      <c r="C213" s="4">
        <v>90</v>
      </c>
      <c r="D213" s="4">
        <v>80</v>
      </c>
      <c r="E213" s="13">
        <v>9.8972222222222205E-3</v>
      </c>
    </row>
    <row r="214" spans="1:5" x14ac:dyDescent="0.25">
      <c r="A214" s="4" t="s">
        <v>891</v>
      </c>
      <c r="B214" s="4" t="s">
        <v>913</v>
      </c>
      <c r="C214" s="4">
        <v>90</v>
      </c>
      <c r="D214" s="4">
        <v>80</v>
      </c>
      <c r="E214" s="13">
        <v>9.8972222222222205E-3</v>
      </c>
    </row>
    <row r="215" spans="1:5" x14ac:dyDescent="0.25">
      <c r="A215" s="4" t="s">
        <v>892</v>
      </c>
      <c r="B215" s="4" t="s">
        <v>913</v>
      </c>
      <c r="C215" s="4">
        <v>90</v>
      </c>
      <c r="D215" s="4">
        <v>80</v>
      </c>
      <c r="E215" s="13">
        <v>9.8972222222222205E-3</v>
      </c>
    </row>
    <row r="216" spans="1:5" x14ac:dyDescent="0.25">
      <c r="A216" s="4" t="s">
        <v>893</v>
      </c>
      <c r="B216" s="4" t="s">
        <v>913</v>
      </c>
      <c r="C216" s="4">
        <v>90</v>
      </c>
      <c r="D216" s="4">
        <v>80</v>
      </c>
      <c r="E216" s="13">
        <v>9.8972222222222205E-3</v>
      </c>
    </row>
    <row r="217" spans="1:5" x14ac:dyDescent="0.25">
      <c r="A217" s="4" t="s">
        <v>894</v>
      </c>
      <c r="B217" s="4" t="s">
        <v>913</v>
      </c>
      <c r="C217" s="4">
        <v>90</v>
      </c>
      <c r="D217" s="4">
        <v>80</v>
      </c>
      <c r="E217" s="13">
        <v>9.8972222222222205E-3</v>
      </c>
    </row>
    <row r="218" spans="1:5" x14ac:dyDescent="0.25">
      <c r="A218" s="4" t="s">
        <v>895</v>
      </c>
      <c r="B218" s="4" t="s">
        <v>913</v>
      </c>
      <c r="C218" s="4">
        <v>90</v>
      </c>
      <c r="D218" s="4">
        <v>80</v>
      </c>
      <c r="E218" s="13">
        <v>9.8972222222222205E-3</v>
      </c>
    </row>
    <row r="219" spans="1:5" x14ac:dyDescent="0.25">
      <c r="A219" s="4" t="s">
        <v>896</v>
      </c>
      <c r="B219" s="4" t="s">
        <v>913</v>
      </c>
      <c r="C219" s="4">
        <v>90</v>
      </c>
      <c r="D219" s="4">
        <v>80</v>
      </c>
      <c r="E219" s="13">
        <v>1.8380555555555556E-2</v>
      </c>
    </row>
    <row r="220" spans="1:5" x14ac:dyDescent="0.25">
      <c r="A220" s="4" t="s">
        <v>897</v>
      </c>
      <c r="B220" s="4" t="s">
        <v>913</v>
      </c>
      <c r="C220" s="4">
        <v>90</v>
      </c>
      <c r="D220" s="4">
        <v>80</v>
      </c>
      <c r="E220" s="13">
        <v>1.8380555555555556E-2</v>
      </c>
    </row>
    <row r="221" spans="1:5" x14ac:dyDescent="0.25">
      <c r="A221" s="4" t="s">
        <v>898</v>
      </c>
      <c r="B221" s="4" t="s">
        <v>913</v>
      </c>
      <c r="C221" s="4">
        <v>90</v>
      </c>
      <c r="D221" s="4">
        <v>80</v>
      </c>
      <c r="E221" s="13">
        <v>1.8380555555555556E-2</v>
      </c>
    </row>
    <row r="222" spans="1:5" x14ac:dyDescent="0.25">
      <c r="A222" s="4" t="s">
        <v>899</v>
      </c>
      <c r="B222" s="4" t="s">
        <v>913</v>
      </c>
      <c r="C222" s="4">
        <v>100</v>
      </c>
      <c r="D222" s="4">
        <v>80</v>
      </c>
      <c r="E222" s="13">
        <v>3.89025E-2</v>
      </c>
    </row>
    <row r="223" spans="1:5" x14ac:dyDescent="0.25">
      <c r="A223" s="4" t="s">
        <v>900</v>
      </c>
      <c r="B223" s="4" t="s">
        <v>913</v>
      </c>
      <c r="C223" s="4">
        <v>100</v>
      </c>
      <c r="D223" s="4">
        <v>80</v>
      </c>
      <c r="E223" s="13">
        <v>3.89025E-2</v>
      </c>
    </row>
    <row r="224" spans="1:5" x14ac:dyDescent="0.25">
      <c r="A224" s="4" t="s">
        <v>0</v>
      </c>
      <c r="B224" s="4" t="s">
        <v>913</v>
      </c>
      <c r="C224" s="4">
        <v>120</v>
      </c>
      <c r="D224" s="4">
        <v>80</v>
      </c>
      <c r="E224" s="13">
        <v>2.9006249999999997E-2</v>
      </c>
    </row>
    <row r="225" spans="1:5" x14ac:dyDescent="0.25">
      <c r="A225" s="4" t="s">
        <v>228</v>
      </c>
      <c r="B225" s="4" t="s">
        <v>913</v>
      </c>
      <c r="C225" s="4">
        <v>120</v>
      </c>
      <c r="D225" s="4">
        <v>80</v>
      </c>
      <c r="E225" s="13">
        <v>3.9243749999999994E-2</v>
      </c>
    </row>
    <row r="226" spans="1:5" x14ac:dyDescent="0.25">
      <c r="A226" s="4" t="s">
        <v>901</v>
      </c>
      <c r="B226" s="4" t="s">
        <v>913</v>
      </c>
      <c r="C226" s="4">
        <v>130</v>
      </c>
      <c r="D226" s="4">
        <v>80</v>
      </c>
      <c r="E226" s="13">
        <v>3.9375E-2</v>
      </c>
    </row>
    <row r="227" spans="1:5" x14ac:dyDescent="0.25">
      <c r="A227" s="4" t="s">
        <v>860</v>
      </c>
      <c r="B227" s="4" t="s">
        <v>914</v>
      </c>
      <c r="C227" s="4">
        <v>90</v>
      </c>
      <c r="D227" s="4">
        <v>80</v>
      </c>
      <c r="E227" s="13">
        <v>9.8972222222222205E-3</v>
      </c>
    </row>
    <row r="228" spans="1:5" x14ac:dyDescent="0.25">
      <c r="A228" s="4" t="s">
        <v>891</v>
      </c>
      <c r="B228" s="4" t="s">
        <v>914</v>
      </c>
      <c r="C228" s="4">
        <v>90</v>
      </c>
      <c r="D228" s="4">
        <v>80</v>
      </c>
      <c r="E228" s="13">
        <v>9.8972222222222205E-3</v>
      </c>
    </row>
    <row r="229" spans="1:5" x14ac:dyDescent="0.25">
      <c r="A229" s="4" t="s">
        <v>892</v>
      </c>
      <c r="B229" s="4" t="s">
        <v>914</v>
      </c>
      <c r="C229" s="4">
        <v>90</v>
      </c>
      <c r="D229" s="4">
        <v>80</v>
      </c>
      <c r="E229" s="13">
        <v>9.8972222222222205E-3</v>
      </c>
    </row>
    <row r="230" spans="1:5" x14ac:dyDescent="0.25">
      <c r="A230" s="4" t="s">
        <v>893</v>
      </c>
      <c r="B230" s="4" t="s">
        <v>914</v>
      </c>
      <c r="C230" s="4">
        <v>90</v>
      </c>
      <c r="D230" s="4">
        <v>80</v>
      </c>
      <c r="E230" s="13">
        <v>9.8972222222222205E-3</v>
      </c>
    </row>
    <row r="231" spans="1:5" x14ac:dyDescent="0.25">
      <c r="A231" s="4" t="s">
        <v>894</v>
      </c>
      <c r="B231" s="4" t="s">
        <v>914</v>
      </c>
      <c r="C231" s="4">
        <v>90</v>
      </c>
      <c r="D231" s="4">
        <v>80</v>
      </c>
      <c r="E231" s="13">
        <v>9.8972222222222205E-3</v>
      </c>
    </row>
    <row r="232" spans="1:5" x14ac:dyDescent="0.25">
      <c r="A232" s="4" t="s">
        <v>895</v>
      </c>
      <c r="B232" s="4" t="s">
        <v>914</v>
      </c>
      <c r="C232" s="4">
        <v>90</v>
      </c>
      <c r="D232" s="4">
        <v>80</v>
      </c>
      <c r="E232" s="13">
        <v>1.2725E-2</v>
      </c>
    </row>
    <row r="233" spans="1:5" x14ac:dyDescent="0.25">
      <c r="A233" s="4" t="s">
        <v>896</v>
      </c>
      <c r="B233" s="4" t="s">
        <v>914</v>
      </c>
      <c r="C233" s="4">
        <v>90</v>
      </c>
      <c r="D233" s="4">
        <v>80</v>
      </c>
      <c r="E233" s="13">
        <v>1.8380555555555556E-2</v>
      </c>
    </row>
    <row r="234" spans="1:5" x14ac:dyDescent="0.25">
      <c r="A234" s="4" t="s">
        <v>897</v>
      </c>
      <c r="B234" s="4" t="s">
        <v>914</v>
      </c>
      <c r="C234" s="4">
        <v>90</v>
      </c>
      <c r="D234" s="4">
        <v>80</v>
      </c>
      <c r="E234" s="13">
        <v>1.8380555555555556E-2</v>
      </c>
    </row>
    <row r="235" spans="1:5" x14ac:dyDescent="0.25">
      <c r="A235" s="4" t="s">
        <v>898</v>
      </c>
      <c r="B235" s="4" t="s">
        <v>914</v>
      </c>
      <c r="C235" s="4">
        <v>90</v>
      </c>
      <c r="D235" s="4">
        <v>80</v>
      </c>
      <c r="E235" s="13">
        <v>1.9794444444444441E-2</v>
      </c>
    </row>
    <row r="236" spans="1:5" x14ac:dyDescent="0.25">
      <c r="A236" s="4" t="s">
        <v>899</v>
      </c>
      <c r="B236" s="4" t="s">
        <v>914</v>
      </c>
      <c r="C236" s="4">
        <v>100</v>
      </c>
      <c r="D236" s="4">
        <v>80</v>
      </c>
      <c r="E236" s="13">
        <v>1.43325E-2</v>
      </c>
    </row>
    <row r="237" spans="1:5" x14ac:dyDescent="0.25">
      <c r="A237" s="4" t="s">
        <v>900</v>
      </c>
      <c r="B237" s="4" t="s">
        <v>914</v>
      </c>
      <c r="C237" s="4">
        <v>100</v>
      </c>
      <c r="D237" s="4">
        <v>80</v>
      </c>
      <c r="E237" s="13">
        <v>2.0474999999999997E-2</v>
      </c>
    </row>
    <row r="238" spans="1:5" x14ac:dyDescent="0.25">
      <c r="A238" s="4" t="s">
        <v>0</v>
      </c>
      <c r="B238" s="4" t="s">
        <v>914</v>
      </c>
      <c r="C238" s="4">
        <v>120</v>
      </c>
      <c r="D238" s="4">
        <v>80</v>
      </c>
      <c r="E238" s="13">
        <v>1.194375E-2</v>
      </c>
    </row>
    <row r="239" spans="1:5" x14ac:dyDescent="0.25">
      <c r="A239" s="4" t="s">
        <v>228</v>
      </c>
      <c r="B239" s="4" t="s">
        <v>914</v>
      </c>
      <c r="C239" s="4">
        <v>120</v>
      </c>
      <c r="D239" s="4">
        <v>80</v>
      </c>
      <c r="E239" s="13">
        <v>1.3649999999999999E-2</v>
      </c>
    </row>
    <row r="240" spans="1:5" x14ac:dyDescent="0.25">
      <c r="A240" s="4" t="s">
        <v>901</v>
      </c>
      <c r="B240" s="4" t="s">
        <v>914</v>
      </c>
      <c r="C240" s="4">
        <v>130</v>
      </c>
      <c r="D240" s="4">
        <v>80</v>
      </c>
      <c r="E240" s="13">
        <v>1.5749999999999997E-2</v>
      </c>
    </row>
    <row r="241" spans="1:5" x14ac:dyDescent="0.25">
      <c r="A241" s="4" t="s">
        <v>860</v>
      </c>
      <c r="B241" s="4" t="s">
        <v>915</v>
      </c>
      <c r="C241" s="4">
        <v>90</v>
      </c>
      <c r="D241" s="4">
        <v>80</v>
      </c>
      <c r="E241" s="13">
        <v>9.8972222222222205E-3</v>
      </c>
    </row>
    <row r="242" spans="1:5" x14ac:dyDescent="0.25">
      <c r="A242" s="4" t="s">
        <v>891</v>
      </c>
      <c r="B242" s="4" t="s">
        <v>915</v>
      </c>
      <c r="C242" s="4">
        <v>90</v>
      </c>
      <c r="D242" s="4">
        <v>80</v>
      </c>
      <c r="E242" s="13">
        <v>9.8972222222222205E-3</v>
      </c>
    </row>
    <row r="243" spans="1:5" x14ac:dyDescent="0.25">
      <c r="A243" s="4" t="s">
        <v>892</v>
      </c>
      <c r="B243" s="4" t="s">
        <v>915</v>
      </c>
      <c r="C243" s="4">
        <v>90</v>
      </c>
      <c r="D243" s="4">
        <v>80</v>
      </c>
      <c r="E243" s="13">
        <v>9.8972222222222205E-3</v>
      </c>
    </row>
    <row r="244" spans="1:5" x14ac:dyDescent="0.25">
      <c r="A244" s="4" t="s">
        <v>893</v>
      </c>
      <c r="B244" s="4" t="s">
        <v>915</v>
      </c>
      <c r="C244" s="4">
        <v>90</v>
      </c>
      <c r="D244" s="4">
        <v>80</v>
      </c>
      <c r="E244" s="13">
        <v>9.8972222222222205E-3</v>
      </c>
    </row>
    <row r="245" spans="1:5" x14ac:dyDescent="0.25">
      <c r="A245" s="4" t="s">
        <v>894</v>
      </c>
      <c r="B245" s="4" t="s">
        <v>915</v>
      </c>
      <c r="C245" s="4">
        <v>90</v>
      </c>
      <c r="D245" s="4">
        <v>80</v>
      </c>
      <c r="E245" s="13">
        <v>9.8972222222222205E-3</v>
      </c>
    </row>
    <row r="246" spans="1:5" x14ac:dyDescent="0.25">
      <c r="A246" s="4" t="s">
        <v>895</v>
      </c>
      <c r="B246" s="4" t="s">
        <v>915</v>
      </c>
      <c r="C246" s="4">
        <v>90</v>
      </c>
      <c r="D246" s="4">
        <v>80</v>
      </c>
      <c r="E246" s="13">
        <v>9.8972222222222205E-3</v>
      </c>
    </row>
    <row r="247" spans="1:5" x14ac:dyDescent="0.25">
      <c r="A247" s="4" t="s">
        <v>896</v>
      </c>
      <c r="B247" s="4" t="s">
        <v>915</v>
      </c>
      <c r="C247" s="4">
        <v>90</v>
      </c>
      <c r="D247" s="4">
        <v>80</v>
      </c>
      <c r="E247" s="13">
        <v>9.8972222222222205E-3</v>
      </c>
    </row>
    <row r="248" spans="1:5" x14ac:dyDescent="0.25">
      <c r="A248" s="4" t="s">
        <v>897</v>
      </c>
      <c r="B248" s="4" t="s">
        <v>915</v>
      </c>
      <c r="C248" s="4">
        <v>90</v>
      </c>
      <c r="D248" s="4">
        <v>80</v>
      </c>
      <c r="E248" s="13">
        <v>9.8972222222222205E-3</v>
      </c>
    </row>
    <row r="249" spans="1:5" x14ac:dyDescent="0.25">
      <c r="A249" s="4" t="s">
        <v>898</v>
      </c>
      <c r="B249" s="4" t="s">
        <v>915</v>
      </c>
      <c r="C249" s="4">
        <v>90</v>
      </c>
      <c r="D249" s="4">
        <v>80</v>
      </c>
      <c r="E249" s="13">
        <v>9.8972222222222205E-3</v>
      </c>
    </row>
    <row r="250" spans="1:5" x14ac:dyDescent="0.25">
      <c r="A250" s="4" t="s">
        <v>899</v>
      </c>
      <c r="B250" s="4" t="s">
        <v>915</v>
      </c>
      <c r="C250" s="4">
        <v>100</v>
      </c>
      <c r="D250" s="4">
        <v>80</v>
      </c>
      <c r="E250" s="13">
        <v>1.43325E-2</v>
      </c>
    </row>
    <row r="251" spans="1:5" x14ac:dyDescent="0.25">
      <c r="A251" s="4" t="s">
        <v>900</v>
      </c>
      <c r="B251" s="4" t="s">
        <v>915</v>
      </c>
      <c r="C251" s="4">
        <v>100</v>
      </c>
      <c r="D251" s="4">
        <v>80</v>
      </c>
      <c r="E251" s="13">
        <v>1.8427499999999999E-2</v>
      </c>
    </row>
    <row r="252" spans="1:5" x14ac:dyDescent="0.25">
      <c r="A252" s="4" t="s">
        <v>0</v>
      </c>
      <c r="B252" s="4" t="s">
        <v>915</v>
      </c>
      <c r="C252" s="4">
        <v>100</v>
      </c>
      <c r="D252" s="4">
        <v>110</v>
      </c>
      <c r="E252" s="13">
        <v>1.935818181818182E-2</v>
      </c>
    </row>
    <row r="253" spans="1:5" x14ac:dyDescent="0.25">
      <c r="A253" s="4" t="s">
        <v>228</v>
      </c>
      <c r="B253" s="4" t="s">
        <v>915</v>
      </c>
      <c r="C253" s="4">
        <v>100</v>
      </c>
      <c r="D253" s="4">
        <v>110</v>
      </c>
      <c r="E253" s="13">
        <v>1.1912727272727273E-2</v>
      </c>
    </row>
    <row r="254" spans="1:5" x14ac:dyDescent="0.25">
      <c r="A254" s="4" t="s">
        <v>901</v>
      </c>
      <c r="B254" s="4" t="s">
        <v>915</v>
      </c>
      <c r="C254" s="4">
        <v>100</v>
      </c>
      <c r="D254" s="4">
        <v>110</v>
      </c>
      <c r="E254" s="13">
        <v>1.1912727272727273E-2</v>
      </c>
    </row>
    <row r="255" spans="1:5" x14ac:dyDescent="0.25">
      <c r="A255" s="4" t="s">
        <v>860</v>
      </c>
      <c r="B255" s="4" t="s">
        <v>916</v>
      </c>
      <c r="C255" s="4">
        <v>90</v>
      </c>
      <c r="D255" s="4">
        <v>80</v>
      </c>
      <c r="E255" s="13">
        <v>9.8972222222222205E-3</v>
      </c>
    </row>
    <row r="256" spans="1:5" x14ac:dyDescent="0.25">
      <c r="A256" s="4" t="s">
        <v>891</v>
      </c>
      <c r="B256" s="4" t="s">
        <v>916</v>
      </c>
      <c r="C256" s="4">
        <v>90</v>
      </c>
      <c r="D256" s="4">
        <v>80</v>
      </c>
      <c r="E256" s="13">
        <v>9.8972222222222205E-3</v>
      </c>
    </row>
    <row r="257" spans="1:5" x14ac:dyDescent="0.25">
      <c r="A257" s="4" t="s">
        <v>892</v>
      </c>
      <c r="B257" s="4" t="s">
        <v>916</v>
      </c>
      <c r="C257" s="4">
        <v>90</v>
      </c>
      <c r="D257" s="4">
        <v>80</v>
      </c>
      <c r="E257" s="13">
        <v>9.8972222222222205E-3</v>
      </c>
    </row>
    <row r="258" spans="1:5" x14ac:dyDescent="0.25">
      <c r="A258" s="4" t="s">
        <v>893</v>
      </c>
      <c r="B258" s="4" t="s">
        <v>916</v>
      </c>
      <c r="C258" s="4">
        <v>90</v>
      </c>
      <c r="D258" s="4">
        <v>80</v>
      </c>
      <c r="E258" s="13">
        <v>9.8972222222222205E-3</v>
      </c>
    </row>
    <row r="259" spans="1:5" x14ac:dyDescent="0.25">
      <c r="A259" s="4" t="s">
        <v>894</v>
      </c>
      <c r="B259" s="4" t="s">
        <v>916</v>
      </c>
      <c r="C259" s="4">
        <v>90</v>
      </c>
      <c r="D259" s="4">
        <v>80</v>
      </c>
      <c r="E259" s="13">
        <v>9.8972222222222205E-3</v>
      </c>
    </row>
    <row r="260" spans="1:5" x14ac:dyDescent="0.25">
      <c r="A260" s="4" t="s">
        <v>895</v>
      </c>
      <c r="B260" s="4" t="s">
        <v>916</v>
      </c>
      <c r="C260" s="4">
        <v>90</v>
      </c>
      <c r="D260" s="4">
        <v>80</v>
      </c>
      <c r="E260" s="13">
        <v>9.8972222222222205E-3</v>
      </c>
    </row>
    <row r="261" spans="1:5" x14ac:dyDescent="0.25">
      <c r="A261" s="4" t="s">
        <v>896</v>
      </c>
      <c r="B261" s="4" t="s">
        <v>916</v>
      </c>
      <c r="C261" s="4">
        <v>90</v>
      </c>
      <c r="D261" s="4">
        <v>80</v>
      </c>
      <c r="E261" s="13">
        <v>9.8972222222222205E-3</v>
      </c>
    </row>
    <row r="262" spans="1:5" x14ac:dyDescent="0.25">
      <c r="A262" s="4" t="s">
        <v>897</v>
      </c>
      <c r="B262" s="4" t="s">
        <v>916</v>
      </c>
      <c r="C262" s="4">
        <v>90</v>
      </c>
      <c r="D262" s="4">
        <v>80</v>
      </c>
      <c r="E262" s="13">
        <v>9.8972222222222205E-3</v>
      </c>
    </row>
    <row r="263" spans="1:5" x14ac:dyDescent="0.25">
      <c r="A263" s="4" t="s">
        <v>898</v>
      </c>
      <c r="B263" s="4" t="s">
        <v>916</v>
      </c>
      <c r="C263" s="4">
        <v>90</v>
      </c>
      <c r="D263" s="4">
        <v>80</v>
      </c>
      <c r="E263" s="13">
        <v>9.8972222222222205E-3</v>
      </c>
    </row>
    <row r="264" spans="1:5" x14ac:dyDescent="0.25">
      <c r="A264" s="4" t="s">
        <v>899</v>
      </c>
      <c r="B264" s="4" t="s">
        <v>916</v>
      </c>
      <c r="C264" s="4">
        <v>100</v>
      </c>
      <c r="D264" s="4">
        <v>80</v>
      </c>
      <c r="E264" s="13">
        <v>1.8427499999999999E-2</v>
      </c>
    </row>
    <row r="265" spans="1:5" x14ac:dyDescent="0.25">
      <c r="A265" s="4" t="s">
        <v>900</v>
      </c>
      <c r="B265" s="4" t="s">
        <v>916</v>
      </c>
      <c r="C265" s="4">
        <v>100</v>
      </c>
      <c r="D265" s="4">
        <v>80</v>
      </c>
      <c r="E265" s="13">
        <v>2.4570000000000002E-2</v>
      </c>
    </row>
    <row r="266" spans="1:5" x14ac:dyDescent="0.25">
      <c r="A266" s="4" t="s">
        <v>0</v>
      </c>
      <c r="B266" s="4" t="s">
        <v>916</v>
      </c>
      <c r="C266" s="4">
        <v>100</v>
      </c>
      <c r="D266" s="4">
        <v>110</v>
      </c>
      <c r="E266" s="13">
        <v>1.1912727272727273E-2</v>
      </c>
    </row>
    <row r="267" spans="1:5" x14ac:dyDescent="0.25">
      <c r="A267" s="4" t="s">
        <v>228</v>
      </c>
      <c r="B267" s="4" t="s">
        <v>916</v>
      </c>
      <c r="C267" s="4">
        <v>100</v>
      </c>
      <c r="D267" s="4">
        <v>110</v>
      </c>
      <c r="E267" s="13">
        <v>1.1912727272727273E-2</v>
      </c>
    </row>
    <row r="268" spans="1:5" x14ac:dyDescent="0.25">
      <c r="A268" s="4" t="s">
        <v>901</v>
      </c>
      <c r="B268" s="4" t="s">
        <v>916</v>
      </c>
      <c r="C268" s="4">
        <v>100</v>
      </c>
      <c r="D268" s="4">
        <v>110</v>
      </c>
      <c r="E268" s="13">
        <v>1.1912727272727273E-2</v>
      </c>
    </row>
    <row r="269" spans="1:5" x14ac:dyDescent="0.25">
      <c r="A269" s="4" t="s">
        <v>860</v>
      </c>
      <c r="B269" s="4" t="s">
        <v>917</v>
      </c>
      <c r="C269" s="4">
        <v>90</v>
      </c>
      <c r="D269" s="4">
        <v>80</v>
      </c>
      <c r="E269" s="13">
        <v>9.8972222222222205E-3</v>
      </c>
    </row>
    <row r="270" spans="1:5" x14ac:dyDescent="0.25">
      <c r="A270" s="4" t="s">
        <v>891</v>
      </c>
      <c r="B270" s="4" t="s">
        <v>917</v>
      </c>
      <c r="C270" s="4">
        <v>90</v>
      </c>
      <c r="D270" s="4">
        <v>80</v>
      </c>
      <c r="E270" s="13">
        <v>9.8972222222222205E-3</v>
      </c>
    </row>
    <row r="271" spans="1:5" x14ac:dyDescent="0.25">
      <c r="A271" s="4" t="s">
        <v>892</v>
      </c>
      <c r="B271" s="4" t="s">
        <v>917</v>
      </c>
      <c r="C271" s="4">
        <v>90</v>
      </c>
      <c r="D271" s="4">
        <v>80</v>
      </c>
      <c r="E271" s="13">
        <v>9.8972222222222205E-3</v>
      </c>
    </row>
    <row r="272" spans="1:5" x14ac:dyDescent="0.25">
      <c r="A272" s="4" t="s">
        <v>893</v>
      </c>
      <c r="B272" s="4" t="s">
        <v>917</v>
      </c>
      <c r="C272" s="4">
        <v>90</v>
      </c>
      <c r="D272" s="4">
        <v>80</v>
      </c>
      <c r="E272" s="13">
        <v>9.8972222222222205E-3</v>
      </c>
    </row>
    <row r="273" spans="1:5" x14ac:dyDescent="0.25">
      <c r="A273" s="4" t="s">
        <v>894</v>
      </c>
      <c r="B273" s="4" t="s">
        <v>917</v>
      </c>
      <c r="C273" s="4">
        <v>90</v>
      </c>
      <c r="D273" s="4">
        <v>80</v>
      </c>
      <c r="E273" s="13">
        <v>9.8972222222222205E-3</v>
      </c>
    </row>
    <row r="274" spans="1:5" x14ac:dyDescent="0.25">
      <c r="A274" s="4" t="s">
        <v>895</v>
      </c>
      <c r="B274" s="4" t="s">
        <v>917</v>
      </c>
      <c r="C274" s="4">
        <v>90</v>
      </c>
      <c r="D274" s="4">
        <v>80</v>
      </c>
      <c r="E274" s="13">
        <v>9.8972222222222205E-3</v>
      </c>
    </row>
    <row r="275" spans="1:5" x14ac:dyDescent="0.25">
      <c r="A275" s="4" t="s">
        <v>896</v>
      </c>
      <c r="B275" s="4" t="s">
        <v>917</v>
      </c>
      <c r="C275" s="4">
        <v>90</v>
      </c>
      <c r="D275" s="4">
        <v>80</v>
      </c>
      <c r="E275" s="13">
        <v>9.8972222222222205E-3</v>
      </c>
    </row>
    <row r="276" spans="1:5" x14ac:dyDescent="0.25">
      <c r="A276" s="4" t="s">
        <v>897</v>
      </c>
      <c r="B276" s="4" t="s">
        <v>917</v>
      </c>
      <c r="C276" s="4">
        <v>90</v>
      </c>
      <c r="D276" s="4">
        <v>80</v>
      </c>
      <c r="E276" s="13">
        <v>9.8972222222222205E-3</v>
      </c>
    </row>
    <row r="277" spans="1:5" x14ac:dyDescent="0.25">
      <c r="A277" s="4" t="s">
        <v>898</v>
      </c>
      <c r="B277" s="4" t="s">
        <v>917</v>
      </c>
      <c r="C277" s="4">
        <v>90</v>
      </c>
      <c r="D277" s="4">
        <v>80</v>
      </c>
      <c r="E277" s="13">
        <v>9.8972222222222205E-3</v>
      </c>
    </row>
    <row r="278" spans="1:5" x14ac:dyDescent="0.25">
      <c r="A278" s="4" t="s">
        <v>899</v>
      </c>
      <c r="B278" s="4" t="s">
        <v>917</v>
      </c>
      <c r="C278" s="4">
        <v>100</v>
      </c>
      <c r="D278" s="4">
        <v>80</v>
      </c>
      <c r="E278" s="13">
        <v>1.43325E-2</v>
      </c>
    </row>
    <row r="279" spans="1:5" x14ac:dyDescent="0.25">
      <c r="A279" s="4" t="s">
        <v>900</v>
      </c>
      <c r="B279" s="4" t="s">
        <v>917</v>
      </c>
      <c r="C279" s="4">
        <v>100</v>
      </c>
      <c r="D279" s="4">
        <v>80</v>
      </c>
      <c r="E279" s="13">
        <v>2.8665E-2</v>
      </c>
    </row>
    <row r="280" spans="1:5" x14ac:dyDescent="0.25">
      <c r="A280" s="4" t="s">
        <v>0</v>
      </c>
      <c r="B280" s="4" t="s">
        <v>917</v>
      </c>
      <c r="C280" s="4">
        <v>100</v>
      </c>
      <c r="D280" s="4">
        <v>110</v>
      </c>
      <c r="E280" s="13">
        <v>1.1912727272727273E-2</v>
      </c>
    </row>
    <row r="281" spans="1:5" x14ac:dyDescent="0.25">
      <c r="A281" s="4" t="s">
        <v>228</v>
      </c>
      <c r="B281" s="4" t="s">
        <v>917</v>
      </c>
      <c r="C281" s="4">
        <v>100</v>
      </c>
      <c r="D281" s="4">
        <v>110</v>
      </c>
      <c r="E281" s="13">
        <v>1.1912727272727273E-2</v>
      </c>
    </row>
    <row r="282" spans="1:5" x14ac:dyDescent="0.25">
      <c r="A282" s="4" t="s">
        <v>901</v>
      </c>
      <c r="B282" s="4" t="s">
        <v>917</v>
      </c>
      <c r="C282" s="4">
        <v>100</v>
      </c>
      <c r="D282" s="4">
        <v>110</v>
      </c>
      <c r="E282" s="13">
        <v>1.1912727272727273E-2</v>
      </c>
    </row>
    <row r="283" spans="1:5" x14ac:dyDescent="0.25">
      <c r="A283" s="4" t="s">
        <v>860</v>
      </c>
      <c r="B283" s="4" t="s">
        <v>918</v>
      </c>
      <c r="C283" s="4">
        <v>90</v>
      </c>
      <c r="D283" s="4">
        <v>80</v>
      </c>
      <c r="E283" s="13">
        <v>9.8972222222222205E-3</v>
      </c>
    </row>
    <row r="284" spans="1:5" x14ac:dyDescent="0.25">
      <c r="A284" s="4" t="s">
        <v>891</v>
      </c>
      <c r="B284" s="4" t="s">
        <v>918</v>
      </c>
      <c r="C284" s="4">
        <v>90</v>
      </c>
      <c r="D284" s="4">
        <v>80</v>
      </c>
      <c r="E284" s="13">
        <v>9.8972222222222205E-3</v>
      </c>
    </row>
    <row r="285" spans="1:5" x14ac:dyDescent="0.25">
      <c r="A285" s="4" t="s">
        <v>892</v>
      </c>
      <c r="B285" s="4" t="s">
        <v>918</v>
      </c>
      <c r="C285" s="4">
        <v>90</v>
      </c>
      <c r="D285" s="4">
        <v>80</v>
      </c>
      <c r="E285" s="13">
        <v>9.8972222222222205E-3</v>
      </c>
    </row>
    <row r="286" spans="1:5" x14ac:dyDescent="0.25">
      <c r="A286" s="4" t="s">
        <v>893</v>
      </c>
      <c r="B286" s="4" t="s">
        <v>918</v>
      </c>
      <c r="C286" s="4">
        <v>90</v>
      </c>
      <c r="D286" s="4">
        <v>80</v>
      </c>
      <c r="E286" s="13">
        <v>9.8972222222222205E-3</v>
      </c>
    </row>
    <row r="287" spans="1:5" x14ac:dyDescent="0.25">
      <c r="A287" s="4" t="s">
        <v>894</v>
      </c>
      <c r="B287" s="4" t="s">
        <v>918</v>
      </c>
      <c r="C287" s="4">
        <v>90</v>
      </c>
      <c r="D287" s="4">
        <v>80</v>
      </c>
      <c r="E287" s="13">
        <v>9.8972222222222205E-3</v>
      </c>
    </row>
    <row r="288" spans="1:5" x14ac:dyDescent="0.25">
      <c r="A288" s="4" t="s">
        <v>895</v>
      </c>
      <c r="B288" s="4" t="s">
        <v>918</v>
      </c>
      <c r="C288" s="4">
        <v>90</v>
      </c>
      <c r="D288" s="4">
        <v>80</v>
      </c>
      <c r="E288" s="13">
        <v>9.8972222222222205E-3</v>
      </c>
    </row>
    <row r="289" spans="1:5" x14ac:dyDescent="0.25">
      <c r="A289" s="4" t="s">
        <v>896</v>
      </c>
      <c r="B289" s="4" t="s">
        <v>918</v>
      </c>
      <c r="C289" s="4">
        <v>90</v>
      </c>
      <c r="D289" s="4">
        <v>80</v>
      </c>
      <c r="E289" s="13">
        <v>9.8972222222222205E-3</v>
      </c>
    </row>
    <row r="290" spans="1:5" x14ac:dyDescent="0.25">
      <c r="A290" s="4" t="s">
        <v>897</v>
      </c>
      <c r="B290" s="4" t="s">
        <v>918</v>
      </c>
      <c r="C290" s="4">
        <v>90</v>
      </c>
      <c r="D290" s="4">
        <v>80</v>
      </c>
      <c r="E290" s="13">
        <v>9.8972222222222205E-3</v>
      </c>
    </row>
    <row r="291" spans="1:5" x14ac:dyDescent="0.25">
      <c r="A291" s="4" t="s">
        <v>898</v>
      </c>
      <c r="B291" s="4" t="s">
        <v>918</v>
      </c>
      <c r="C291" s="4">
        <v>90</v>
      </c>
      <c r="D291" s="4">
        <v>80</v>
      </c>
      <c r="E291" s="13">
        <v>9.8972222222222205E-3</v>
      </c>
    </row>
    <row r="292" spans="1:5" x14ac:dyDescent="0.25">
      <c r="A292" s="4" t="s">
        <v>899</v>
      </c>
      <c r="B292" s="4" t="s">
        <v>918</v>
      </c>
      <c r="C292" s="4">
        <v>100</v>
      </c>
      <c r="D292" s="4">
        <v>80</v>
      </c>
      <c r="E292" s="13">
        <v>1.43325E-2</v>
      </c>
    </row>
    <row r="293" spans="1:5" x14ac:dyDescent="0.25">
      <c r="A293" s="4" t="s">
        <v>900</v>
      </c>
      <c r="B293" s="4" t="s">
        <v>918</v>
      </c>
      <c r="C293" s="4">
        <v>100</v>
      </c>
      <c r="D293" s="4">
        <v>80</v>
      </c>
      <c r="E293" s="13">
        <v>1.8427499999999999E-2</v>
      </c>
    </row>
    <row r="294" spans="1:5" x14ac:dyDescent="0.25">
      <c r="A294" s="4" t="s">
        <v>0</v>
      </c>
      <c r="B294" s="4" t="s">
        <v>918</v>
      </c>
      <c r="C294" s="4">
        <v>100</v>
      </c>
      <c r="D294" s="4">
        <v>110</v>
      </c>
      <c r="E294" s="13">
        <v>1.1912727272727273E-2</v>
      </c>
    </row>
    <row r="295" spans="1:5" x14ac:dyDescent="0.25">
      <c r="A295" s="4" t="s">
        <v>228</v>
      </c>
      <c r="B295" s="4" t="s">
        <v>918</v>
      </c>
      <c r="C295" s="4">
        <v>100</v>
      </c>
      <c r="D295" s="4">
        <v>110</v>
      </c>
      <c r="E295" s="13">
        <v>1.1912727272727273E-2</v>
      </c>
    </row>
    <row r="296" spans="1:5" x14ac:dyDescent="0.25">
      <c r="A296" s="4" t="s">
        <v>901</v>
      </c>
      <c r="B296" s="4" t="s">
        <v>918</v>
      </c>
      <c r="C296" s="4">
        <v>100</v>
      </c>
      <c r="D296" s="4">
        <v>110</v>
      </c>
      <c r="E296" s="13">
        <v>1.1912727272727273E-2</v>
      </c>
    </row>
    <row r="297" spans="1:5" x14ac:dyDescent="0.25">
      <c r="A297" s="4" t="s">
        <v>860</v>
      </c>
      <c r="B297" s="4" t="s">
        <v>919</v>
      </c>
      <c r="C297" s="4">
        <v>90</v>
      </c>
      <c r="D297" s="4">
        <v>80</v>
      </c>
      <c r="E297" s="13">
        <v>9.8972222222222205E-3</v>
      </c>
    </row>
    <row r="298" spans="1:5" x14ac:dyDescent="0.25">
      <c r="A298" s="4" t="s">
        <v>891</v>
      </c>
      <c r="B298" s="4" t="s">
        <v>919</v>
      </c>
      <c r="C298" s="4">
        <v>90</v>
      </c>
      <c r="D298" s="4">
        <v>80</v>
      </c>
      <c r="E298" s="13">
        <v>9.8972222222222205E-3</v>
      </c>
    </row>
    <row r="299" spans="1:5" x14ac:dyDescent="0.25">
      <c r="A299" s="4" t="s">
        <v>892</v>
      </c>
      <c r="B299" s="4" t="s">
        <v>919</v>
      </c>
      <c r="C299" s="4">
        <v>90</v>
      </c>
      <c r="D299" s="4">
        <v>80</v>
      </c>
      <c r="E299" s="13">
        <v>9.8972222222222205E-3</v>
      </c>
    </row>
    <row r="300" spans="1:5" x14ac:dyDescent="0.25">
      <c r="A300" s="4" t="s">
        <v>893</v>
      </c>
      <c r="B300" s="4" t="s">
        <v>919</v>
      </c>
      <c r="C300" s="4">
        <v>90</v>
      </c>
      <c r="D300" s="4">
        <v>80</v>
      </c>
      <c r="E300" s="13">
        <v>9.8972222222222205E-3</v>
      </c>
    </row>
    <row r="301" spans="1:5" x14ac:dyDescent="0.25">
      <c r="A301" s="4" t="s">
        <v>894</v>
      </c>
      <c r="B301" s="4" t="s">
        <v>919</v>
      </c>
      <c r="C301" s="4">
        <v>90</v>
      </c>
      <c r="D301" s="4">
        <v>80</v>
      </c>
      <c r="E301" s="13">
        <v>9.8972222222222205E-3</v>
      </c>
    </row>
    <row r="302" spans="1:5" x14ac:dyDescent="0.25">
      <c r="A302" s="4" t="s">
        <v>895</v>
      </c>
      <c r="B302" s="4" t="s">
        <v>919</v>
      </c>
      <c r="C302" s="4">
        <v>90</v>
      </c>
      <c r="D302" s="4">
        <v>80</v>
      </c>
      <c r="E302" s="13">
        <v>9.8972222222222205E-3</v>
      </c>
    </row>
    <row r="303" spans="1:5" x14ac:dyDescent="0.25">
      <c r="A303" s="4" t="s">
        <v>896</v>
      </c>
      <c r="B303" s="4" t="s">
        <v>919</v>
      </c>
      <c r="C303" s="4">
        <v>90</v>
      </c>
      <c r="D303" s="4">
        <v>80</v>
      </c>
      <c r="E303" s="13">
        <v>9.8972222222222205E-3</v>
      </c>
    </row>
    <row r="304" spans="1:5" x14ac:dyDescent="0.25">
      <c r="A304" s="4" t="s">
        <v>897</v>
      </c>
      <c r="B304" s="4" t="s">
        <v>919</v>
      </c>
      <c r="C304" s="4">
        <v>90</v>
      </c>
      <c r="D304" s="4">
        <v>80</v>
      </c>
      <c r="E304" s="13">
        <v>9.8972222222222205E-3</v>
      </c>
    </row>
    <row r="305" spans="1:5" x14ac:dyDescent="0.25">
      <c r="A305" s="4" t="s">
        <v>898</v>
      </c>
      <c r="B305" s="4" t="s">
        <v>919</v>
      </c>
      <c r="C305" s="4">
        <v>90</v>
      </c>
      <c r="D305" s="4">
        <v>80</v>
      </c>
      <c r="E305" s="13">
        <v>9.8972222222222205E-3</v>
      </c>
    </row>
    <row r="306" spans="1:5" x14ac:dyDescent="0.25">
      <c r="A306" s="4" t="s">
        <v>899</v>
      </c>
      <c r="B306" s="4" t="s">
        <v>919</v>
      </c>
      <c r="C306" s="4">
        <v>100</v>
      </c>
      <c r="D306" s="4">
        <v>80</v>
      </c>
      <c r="E306" s="13">
        <v>1.43325E-2</v>
      </c>
    </row>
    <row r="307" spans="1:5" x14ac:dyDescent="0.25">
      <c r="A307" s="4" t="s">
        <v>900</v>
      </c>
      <c r="B307" s="4" t="s">
        <v>919</v>
      </c>
      <c r="C307" s="4">
        <v>100</v>
      </c>
      <c r="D307" s="4">
        <v>80</v>
      </c>
      <c r="E307" s="13">
        <v>3.07125E-2</v>
      </c>
    </row>
    <row r="308" spans="1:5" x14ac:dyDescent="0.25">
      <c r="A308" s="4" t="s">
        <v>0</v>
      </c>
      <c r="B308" s="4" t="s">
        <v>919</v>
      </c>
      <c r="C308" s="4">
        <v>120</v>
      </c>
      <c r="D308" s="4">
        <v>80</v>
      </c>
      <c r="E308" s="13">
        <v>1.3649999999999999E-2</v>
      </c>
    </row>
    <row r="309" spans="1:5" x14ac:dyDescent="0.25">
      <c r="A309" s="4" t="s">
        <v>228</v>
      </c>
      <c r="B309" s="4" t="s">
        <v>919</v>
      </c>
      <c r="C309" s="4">
        <v>120</v>
      </c>
      <c r="D309" s="4">
        <v>80</v>
      </c>
      <c r="E309" s="13">
        <v>1.194375E-2</v>
      </c>
    </row>
    <row r="310" spans="1:5" x14ac:dyDescent="0.25">
      <c r="A310" s="4" t="s">
        <v>901</v>
      </c>
      <c r="B310" s="4" t="s">
        <v>919</v>
      </c>
      <c r="C310" s="4">
        <v>130</v>
      </c>
      <c r="D310" s="4">
        <v>80</v>
      </c>
      <c r="E310" s="13">
        <v>1.26E-2</v>
      </c>
    </row>
    <row r="311" spans="1:5" x14ac:dyDescent="0.25">
      <c r="A311" s="4" t="s">
        <v>860</v>
      </c>
      <c r="B311" s="4" t="s">
        <v>920</v>
      </c>
      <c r="C311" s="4">
        <v>90</v>
      </c>
      <c r="D311" s="4">
        <v>80</v>
      </c>
      <c r="E311" s="13">
        <v>9.8972222222222205E-3</v>
      </c>
    </row>
    <row r="312" spans="1:5" x14ac:dyDescent="0.25">
      <c r="A312" s="4" t="s">
        <v>891</v>
      </c>
      <c r="B312" s="4" t="s">
        <v>920</v>
      </c>
      <c r="C312" s="4">
        <v>90</v>
      </c>
      <c r="D312" s="4">
        <v>80</v>
      </c>
      <c r="E312" s="13">
        <v>9.8972222222222205E-3</v>
      </c>
    </row>
    <row r="313" spans="1:5" x14ac:dyDescent="0.25">
      <c r="A313" s="4" t="s">
        <v>892</v>
      </c>
      <c r="B313" s="4" t="s">
        <v>920</v>
      </c>
      <c r="C313" s="4">
        <v>90</v>
      </c>
      <c r="D313" s="4">
        <v>80</v>
      </c>
      <c r="E313" s="13">
        <v>9.8972222222222205E-3</v>
      </c>
    </row>
    <row r="314" spans="1:5" x14ac:dyDescent="0.25">
      <c r="A314" s="4" t="s">
        <v>893</v>
      </c>
      <c r="B314" s="4" t="s">
        <v>920</v>
      </c>
      <c r="C314" s="4">
        <v>90</v>
      </c>
      <c r="D314" s="4">
        <v>80</v>
      </c>
      <c r="E314" s="13">
        <v>9.8972222222222205E-3</v>
      </c>
    </row>
    <row r="315" spans="1:5" x14ac:dyDescent="0.25">
      <c r="A315" s="4" t="s">
        <v>894</v>
      </c>
      <c r="B315" s="4" t="s">
        <v>920</v>
      </c>
      <c r="C315" s="4">
        <v>90</v>
      </c>
      <c r="D315" s="4">
        <v>80</v>
      </c>
      <c r="E315" s="13">
        <v>9.8972222222222205E-3</v>
      </c>
    </row>
    <row r="316" spans="1:5" x14ac:dyDescent="0.25">
      <c r="A316" s="4" t="s">
        <v>895</v>
      </c>
      <c r="B316" s="4" t="s">
        <v>920</v>
      </c>
      <c r="C316" s="4">
        <v>90</v>
      </c>
      <c r="D316" s="4">
        <v>80</v>
      </c>
      <c r="E316" s="13">
        <v>9.8972222222222205E-3</v>
      </c>
    </row>
    <row r="317" spans="1:5" x14ac:dyDescent="0.25">
      <c r="A317" s="4" t="s">
        <v>896</v>
      </c>
      <c r="B317" s="4" t="s">
        <v>920</v>
      </c>
      <c r="C317" s="4">
        <v>90</v>
      </c>
      <c r="D317" s="4">
        <v>80</v>
      </c>
      <c r="E317" s="13">
        <v>9.8972222222222205E-3</v>
      </c>
    </row>
    <row r="318" spans="1:5" x14ac:dyDescent="0.25">
      <c r="A318" s="4" t="s">
        <v>897</v>
      </c>
      <c r="B318" s="4" t="s">
        <v>920</v>
      </c>
      <c r="C318" s="4">
        <v>90</v>
      </c>
      <c r="D318" s="4">
        <v>80</v>
      </c>
      <c r="E318" s="13">
        <v>9.8972222222222205E-3</v>
      </c>
    </row>
    <row r="319" spans="1:5" x14ac:dyDescent="0.25">
      <c r="A319" s="4" t="s">
        <v>898</v>
      </c>
      <c r="B319" s="4" t="s">
        <v>920</v>
      </c>
      <c r="C319" s="4">
        <v>90</v>
      </c>
      <c r="D319" s="4">
        <v>80</v>
      </c>
      <c r="E319" s="13">
        <v>9.8972222222222205E-3</v>
      </c>
    </row>
    <row r="320" spans="1:5" x14ac:dyDescent="0.25">
      <c r="A320" s="4" t="s">
        <v>899</v>
      </c>
      <c r="B320" s="4" t="s">
        <v>920</v>
      </c>
      <c r="C320" s="4">
        <v>100</v>
      </c>
      <c r="D320" s="4">
        <v>80</v>
      </c>
      <c r="E320" s="13">
        <v>1.43325E-2</v>
      </c>
    </row>
    <row r="321" spans="1:5" x14ac:dyDescent="0.25">
      <c r="A321" s="4" t="s">
        <v>900</v>
      </c>
      <c r="B321" s="4" t="s">
        <v>920</v>
      </c>
      <c r="C321" s="4">
        <v>100</v>
      </c>
      <c r="D321" s="4">
        <v>80</v>
      </c>
      <c r="E321" s="13">
        <v>3.2759999999999997E-2</v>
      </c>
    </row>
    <row r="322" spans="1:5" x14ac:dyDescent="0.25">
      <c r="A322" s="4" t="s">
        <v>0</v>
      </c>
      <c r="B322" s="4" t="s">
        <v>920</v>
      </c>
      <c r="C322" s="4">
        <v>120</v>
      </c>
      <c r="D322" s="4">
        <v>80</v>
      </c>
      <c r="E322" s="13">
        <v>1.7062499999999998E-2</v>
      </c>
    </row>
    <row r="323" spans="1:5" x14ac:dyDescent="0.25">
      <c r="A323" s="4" t="s">
        <v>228</v>
      </c>
      <c r="B323" s="4" t="s">
        <v>920</v>
      </c>
      <c r="C323" s="4">
        <v>120</v>
      </c>
      <c r="D323" s="4">
        <v>80</v>
      </c>
      <c r="E323" s="13">
        <v>1.194375E-2</v>
      </c>
    </row>
    <row r="324" spans="1:5" x14ac:dyDescent="0.25">
      <c r="A324" s="4" t="s">
        <v>901</v>
      </c>
      <c r="B324" s="4" t="s">
        <v>920</v>
      </c>
      <c r="C324" s="4">
        <v>130</v>
      </c>
      <c r="D324" s="4">
        <v>80</v>
      </c>
      <c r="E324" s="13">
        <v>1.26E-2</v>
      </c>
    </row>
    <row r="325" spans="1:5" x14ac:dyDescent="0.25">
      <c r="A325" s="4" t="s">
        <v>860</v>
      </c>
      <c r="B325" s="4" t="s">
        <v>921</v>
      </c>
      <c r="C325" s="4">
        <v>90</v>
      </c>
      <c r="D325" s="4">
        <v>80</v>
      </c>
      <c r="E325" s="13">
        <v>9.8972222222222205E-3</v>
      </c>
    </row>
    <row r="326" spans="1:5" x14ac:dyDescent="0.25">
      <c r="A326" s="4" t="s">
        <v>891</v>
      </c>
      <c r="B326" s="4" t="s">
        <v>921</v>
      </c>
      <c r="C326" s="4">
        <v>90</v>
      </c>
      <c r="D326" s="4">
        <v>80</v>
      </c>
      <c r="E326" s="13">
        <v>9.8972222222222205E-3</v>
      </c>
    </row>
    <row r="327" spans="1:5" x14ac:dyDescent="0.25">
      <c r="A327" s="4" t="s">
        <v>892</v>
      </c>
      <c r="B327" s="4" t="s">
        <v>921</v>
      </c>
      <c r="C327" s="4">
        <v>90</v>
      </c>
      <c r="D327" s="4">
        <v>80</v>
      </c>
      <c r="E327" s="13">
        <v>9.8972222222222205E-3</v>
      </c>
    </row>
    <row r="328" spans="1:5" x14ac:dyDescent="0.25">
      <c r="A328" s="4" t="s">
        <v>893</v>
      </c>
      <c r="B328" s="4" t="s">
        <v>921</v>
      </c>
      <c r="C328" s="4">
        <v>90</v>
      </c>
      <c r="D328" s="4">
        <v>80</v>
      </c>
      <c r="E328" s="13">
        <v>9.8972222222222205E-3</v>
      </c>
    </row>
    <row r="329" spans="1:5" x14ac:dyDescent="0.25">
      <c r="A329" s="4" t="s">
        <v>894</v>
      </c>
      <c r="B329" s="4" t="s">
        <v>921</v>
      </c>
      <c r="C329" s="4">
        <v>90</v>
      </c>
      <c r="D329" s="4">
        <v>80</v>
      </c>
      <c r="E329" s="13">
        <v>9.8972222222222205E-3</v>
      </c>
    </row>
    <row r="330" spans="1:5" x14ac:dyDescent="0.25">
      <c r="A330" s="4" t="s">
        <v>895</v>
      </c>
      <c r="B330" s="4" t="s">
        <v>921</v>
      </c>
      <c r="C330" s="4">
        <v>90</v>
      </c>
      <c r="D330" s="4">
        <v>80</v>
      </c>
      <c r="E330" s="13">
        <v>9.8972222222222205E-3</v>
      </c>
    </row>
    <row r="331" spans="1:5" x14ac:dyDescent="0.25">
      <c r="A331" s="4" t="s">
        <v>896</v>
      </c>
      <c r="B331" s="4" t="s">
        <v>921</v>
      </c>
      <c r="C331" s="4">
        <v>90</v>
      </c>
      <c r="D331" s="4">
        <v>80</v>
      </c>
      <c r="E331" s="13">
        <v>9.8972222222222205E-3</v>
      </c>
    </row>
    <row r="332" spans="1:5" x14ac:dyDescent="0.25">
      <c r="A332" s="4" t="s">
        <v>897</v>
      </c>
      <c r="B332" s="4" t="s">
        <v>921</v>
      </c>
      <c r="C332" s="4">
        <v>90</v>
      </c>
      <c r="D332" s="4">
        <v>80</v>
      </c>
      <c r="E332" s="13">
        <v>9.8972222222222205E-3</v>
      </c>
    </row>
    <row r="333" spans="1:5" x14ac:dyDescent="0.25">
      <c r="A333" s="4" t="s">
        <v>898</v>
      </c>
      <c r="B333" s="4" t="s">
        <v>921</v>
      </c>
      <c r="C333" s="4">
        <v>90</v>
      </c>
      <c r="D333" s="4">
        <v>80</v>
      </c>
      <c r="E333" s="13">
        <v>9.8972222222222205E-3</v>
      </c>
    </row>
    <row r="334" spans="1:5" x14ac:dyDescent="0.25">
      <c r="A334" s="4" t="s">
        <v>899</v>
      </c>
      <c r="B334" s="4" t="s">
        <v>921</v>
      </c>
      <c r="C334" s="4">
        <v>100</v>
      </c>
      <c r="D334" s="4">
        <v>80</v>
      </c>
      <c r="E334" s="13">
        <v>1.6379999999999999E-2</v>
      </c>
    </row>
    <row r="335" spans="1:5" x14ac:dyDescent="0.25">
      <c r="A335" s="4" t="s">
        <v>900</v>
      </c>
      <c r="B335" s="4" t="s">
        <v>921</v>
      </c>
      <c r="C335" s="4">
        <v>100</v>
      </c>
      <c r="D335" s="4">
        <v>80</v>
      </c>
      <c r="E335" s="13">
        <v>1.43325E-2</v>
      </c>
    </row>
    <row r="336" spans="1:5" x14ac:dyDescent="0.25">
      <c r="A336" s="4" t="s">
        <v>0</v>
      </c>
      <c r="B336" s="4" t="s">
        <v>921</v>
      </c>
      <c r="C336" s="4">
        <v>120</v>
      </c>
      <c r="D336" s="4">
        <v>80</v>
      </c>
      <c r="E336" s="13">
        <v>1.7062499999999998E-2</v>
      </c>
    </row>
    <row r="337" spans="1:5" x14ac:dyDescent="0.25">
      <c r="A337" s="4" t="s">
        <v>228</v>
      </c>
      <c r="B337" s="4" t="s">
        <v>921</v>
      </c>
      <c r="C337" s="4">
        <v>120</v>
      </c>
      <c r="D337" s="4">
        <v>80</v>
      </c>
      <c r="E337" s="13">
        <v>1.8768749999999997E-2</v>
      </c>
    </row>
    <row r="338" spans="1:5" x14ac:dyDescent="0.25">
      <c r="A338" s="4" t="s">
        <v>901</v>
      </c>
      <c r="B338" s="4" t="s">
        <v>921</v>
      </c>
      <c r="C338" s="4">
        <v>130</v>
      </c>
      <c r="D338" s="4">
        <v>80</v>
      </c>
      <c r="E338" s="13">
        <v>1.89E-2</v>
      </c>
    </row>
    <row r="339" spans="1:5" x14ac:dyDescent="0.25">
      <c r="A339" s="4" t="s">
        <v>0</v>
      </c>
      <c r="B339" s="4" t="s">
        <v>922</v>
      </c>
      <c r="C339" s="4">
        <v>70</v>
      </c>
      <c r="D339" s="4">
        <v>70</v>
      </c>
      <c r="E339" s="13">
        <v>2.0057142857142857E-2</v>
      </c>
    </row>
    <row r="340" spans="1:5" x14ac:dyDescent="0.25">
      <c r="A340" s="4" t="s">
        <v>228</v>
      </c>
      <c r="B340" s="4" t="s">
        <v>922</v>
      </c>
      <c r="C340" s="4">
        <v>70</v>
      </c>
      <c r="D340" s="4">
        <v>70</v>
      </c>
      <c r="E340" s="13">
        <v>2.0057142857142857E-2</v>
      </c>
    </row>
    <row r="341" spans="1:5" x14ac:dyDescent="0.25">
      <c r="A341" s="4" t="s">
        <v>901</v>
      </c>
      <c r="B341" s="4" t="s">
        <v>922</v>
      </c>
      <c r="C341" s="4">
        <v>70</v>
      </c>
      <c r="D341" s="4">
        <v>70</v>
      </c>
      <c r="E341" s="13">
        <v>2.0057142857142857E-2</v>
      </c>
    </row>
    <row r="342" spans="1:5" x14ac:dyDescent="0.25">
      <c r="A342" s="4" t="s">
        <v>0</v>
      </c>
      <c r="B342" s="4" t="s">
        <v>923</v>
      </c>
      <c r="C342" s="4">
        <v>70</v>
      </c>
      <c r="D342" s="4">
        <v>70</v>
      </c>
      <c r="E342" s="13">
        <v>2.0057142857142857E-2</v>
      </c>
    </row>
    <row r="343" spans="1:5" x14ac:dyDescent="0.25">
      <c r="A343" s="4" t="s">
        <v>228</v>
      </c>
      <c r="B343" s="4" t="s">
        <v>923</v>
      </c>
      <c r="C343" s="4">
        <v>70</v>
      </c>
      <c r="D343" s="4">
        <v>70</v>
      </c>
      <c r="E343" s="13">
        <v>2.0057142857142857E-2</v>
      </c>
    </row>
    <row r="344" spans="1:5" x14ac:dyDescent="0.25">
      <c r="A344" s="4" t="s">
        <v>901</v>
      </c>
      <c r="B344" s="4" t="s">
        <v>923</v>
      </c>
      <c r="C344" s="4">
        <v>70</v>
      </c>
      <c r="D344" s="4">
        <v>70</v>
      </c>
      <c r="E344" s="13">
        <v>2.0057142857142857E-2</v>
      </c>
    </row>
    <row r="345" spans="1:5" x14ac:dyDescent="0.25">
      <c r="A345" s="4" t="s">
        <v>0</v>
      </c>
      <c r="B345" s="4" t="s">
        <v>924</v>
      </c>
      <c r="C345" s="4">
        <v>70</v>
      </c>
      <c r="D345" s="4">
        <v>70</v>
      </c>
      <c r="E345" s="13">
        <v>2.0057142857142857E-2</v>
      </c>
    </row>
    <row r="346" spans="1:5" x14ac:dyDescent="0.25">
      <c r="A346" s="4" t="s">
        <v>228</v>
      </c>
      <c r="B346" s="4" t="s">
        <v>924</v>
      </c>
      <c r="C346" s="4">
        <v>70</v>
      </c>
      <c r="D346" s="4">
        <v>70</v>
      </c>
      <c r="E346" s="13">
        <v>2.0057142857142857E-2</v>
      </c>
    </row>
    <row r="347" spans="1:5" x14ac:dyDescent="0.25">
      <c r="A347" s="4" t="s">
        <v>901</v>
      </c>
      <c r="B347" s="4" t="s">
        <v>924</v>
      </c>
      <c r="C347" s="4">
        <v>70</v>
      </c>
      <c r="D347" s="4">
        <v>70</v>
      </c>
      <c r="E347" s="13">
        <v>2.0057142857142857E-2</v>
      </c>
    </row>
    <row r="348" spans="1:5" x14ac:dyDescent="0.25">
      <c r="A348" s="4" t="s">
        <v>0</v>
      </c>
      <c r="B348" s="4" t="s">
        <v>925</v>
      </c>
      <c r="C348" s="4">
        <v>70</v>
      </c>
      <c r="D348" s="4">
        <v>70</v>
      </c>
      <c r="E348" s="13">
        <v>2.0057142857142857E-2</v>
      </c>
    </row>
    <row r="349" spans="1:5" x14ac:dyDescent="0.25">
      <c r="A349" s="4" t="s">
        <v>228</v>
      </c>
      <c r="B349" s="4" t="s">
        <v>925</v>
      </c>
      <c r="C349" s="4">
        <v>70</v>
      </c>
      <c r="D349" s="4">
        <v>70</v>
      </c>
      <c r="E349" s="13">
        <v>2.0057142857142857E-2</v>
      </c>
    </row>
    <row r="350" spans="1:5" x14ac:dyDescent="0.25">
      <c r="A350" s="4" t="s">
        <v>901</v>
      </c>
      <c r="B350" s="4" t="s">
        <v>925</v>
      </c>
      <c r="C350" s="4">
        <v>70</v>
      </c>
      <c r="D350" s="4">
        <v>70</v>
      </c>
      <c r="E350" s="13">
        <v>2.0057142857142857E-2</v>
      </c>
    </row>
    <row r="351" spans="1:5" x14ac:dyDescent="0.25">
      <c r="A351" s="4" t="s">
        <v>0</v>
      </c>
      <c r="B351" s="4" t="s">
        <v>926</v>
      </c>
      <c r="C351" s="4">
        <v>70</v>
      </c>
      <c r="D351" s="4">
        <v>70</v>
      </c>
      <c r="E351" s="13">
        <v>2.0057142857142857E-2</v>
      </c>
    </row>
    <row r="352" spans="1:5" x14ac:dyDescent="0.25">
      <c r="A352" s="4" t="s">
        <v>228</v>
      </c>
      <c r="B352" s="4" t="s">
        <v>926</v>
      </c>
      <c r="C352" s="4">
        <v>70</v>
      </c>
      <c r="D352" s="4">
        <v>70</v>
      </c>
      <c r="E352" s="13">
        <v>2.0057142857142857E-2</v>
      </c>
    </row>
    <row r="353" spans="1:5" x14ac:dyDescent="0.25">
      <c r="A353" s="4" t="s">
        <v>901</v>
      </c>
      <c r="B353" s="4" t="s">
        <v>926</v>
      </c>
      <c r="C353" s="4">
        <v>70</v>
      </c>
      <c r="D353" s="4">
        <v>70</v>
      </c>
      <c r="E353" s="13">
        <v>2.0057142857142857E-2</v>
      </c>
    </row>
    <row r="354" spans="1:5" x14ac:dyDescent="0.25">
      <c r="A354" s="4" t="s">
        <v>0</v>
      </c>
      <c r="B354" s="4" t="s">
        <v>927</v>
      </c>
      <c r="C354" s="4">
        <v>70</v>
      </c>
      <c r="D354" s="4">
        <v>70</v>
      </c>
      <c r="E354" s="13">
        <v>2.0057142857142857E-2</v>
      </c>
    </row>
    <row r="355" spans="1:5" x14ac:dyDescent="0.25">
      <c r="A355" s="4" t="s">
        <v>228</v>
      </c>
      <c r="B355" s="4" t="s">
        <v>927</v>
      </c>
      <c r="C355" s="4">
        <v>70</v>
      </c>
      <c r="D355" s="4">
        <v>70</v>
      </c>
      <c r="E355" s="13">
        <v>2.0057142857142857E-2</v>
      </c>
    </row>
    <row r="356" spans="1:5" x14ac:dyDescent="0.25">
      <c r="A356" s="4" t="s">
        <v>901</v>
      </c>
      <c r="B356" s="4" t="s">
        <v>927</v>
      </c>
      <c r="C356" s="4">
        <v>70</v>
      </c>
      <c r="D356" s="4">
        <v>70</v>
      </c>
      <c r="E356" s="13">
        <v>2.0057142857142857E-2</v>
      </c>
    </row>
    <row r="357" spans="1:5" x14ac:dyDescent="0.25">
      <c r="A357" s="4" t="s">
        <v>0</v>
      </c>
      <c r="B357" s="4" t="s">
        <v>928</v>
      </c>
      <c r="C357" s="4">
        <v>70</v>
      </c>
      <c r="D357" s="4">
        <v>70</v>
      </c>
      <c r="E357" s="13">
        <v>2.0057142857142857E-2</v>
      </c>
    </row>
    <row r="358" spans="1:5" x14ac:dyDescent="0.25">
      <c r="A358" s="4" t="s">
        <v>228</v>
      </c>
      <c r="B358" s="4" t="s">
        <v>928</v>
      </c>
      <c r="C358" s="4">
        <v>70</v>
      </c>
      <c r="D358" s="4">
        <v>70</v>
      </c>
      <c r="E358" s="13">
        <v>2.0057142857142857E-2</v>
      </c>
    </row>
    <row r="359" spans="1:5" x14ac:dyDescent="0.25">
      <c r="A359" s="4" t="s">
        <v>901</v>
      </c>
      <c r="B359" s="4" t="s">
        <v>928</v>
      </c>
      <c r="C359" s="4">
        <v>70</v>
      </c>
      <c r="D359" s="4">
        <v>70</v>
      </c>
      <c r="E359" s="13">
        <v>2.0057142857142857E-2</v>
      </c>
    </row>
    <row r="360" spans="1:5" x14ac:dyDescent="0.25">
      <c r="A360" s="4" t="s">
        <v>0</v>
      </c>
      <c r="B360" s="4" t="s">
        <v>929</v>
      </c>
      <c r="C360" s="4">
        <v>70</v>
      </c>
      <c r="D360" s="4">
        <v>70</v>
      </c>
      <c r="E360" s="13">
        <v>2.0057142857142857E-2</v>
      </c>
    </row>
    <row r="361" spans="1:5" x14ac:dyDescent="0.25">
      <c r="A361" s="4" t="s">
        <v>228</v>
      </c>
      <c r="B361" s="4" t="s">
        <v>929</v>
      </c>
      <c r="C361" s="4">
        <v>70</v>
      </c>
      <c r="D361" s="4">
        <v>70</v>
      </c>
      <c r="E361" s="13">
        <v>2.0057142857142857E-2</v>
      </c>
    </row>
    <row r="362" spans="1:5" x14ac:dyDescent="0.25">
      <c r="A362" s="4" t="s">
        <v>901</v>
      </c>
      <c r="B362" s="4" t="s">
        <v>929</v>
      </c>
      <c r="C362" s="4">
        <v>70</v>
      </c>
      <c r="D362" s="4">
        <v>70</v>
      </c>
      <c r="E362" s="13">
        <v>2.0057142857142857E-2</v>
      </c>
    </row>
    <row r="363" spans="1:5" x14ac:dyDescent="0.25">
      <c r="A363" s="4" t="s">
        <v>0</v>
      </c>
      <c r="B363" s="4" t="s">
        <v>930</v>
      </c>
      <c r="C363" s="4">
        <v>70</v>
      </c>
      <c r="D363" s="4">
        <v>70</v>
      </c>
      <c r="E363" s="13">
        <v>2.0057142857142857E-2</v>
      </c>
    </row>
    <row r="364" spans="1:5" x14ac:dyDescent="0.25">
      <c r="A364" s="4" t="s">
        <v>228</v>
      </c>
      <c r="B364" s="4" t="s">
        <v>930</v>
      </c>
      <c r="C364" s="4">
        <v>70</v>
      </c>
      <c r="D364" s="4">
        <v>70</v>
      </c>
      <c r="E364" s="13">
        <v>2.0057142857142857E-2</v>
      </c>
    </row>
    <row r="365" spans="1:5" x14ac:dyDescent="0.25">
      <c r="A365" s="4" t="s">
        <v>901</v>
      </c>
      <c r="B365" s="4" t="s">
        <v>930</v>
      </c>
      <c r="C365" s="4">
        <v>70</v>
      </c>
      <c r="D365" s="4">
        <v>70</v>
      </c>
      <c r="E365" s="13">
        <v>2.0057142857142857E-2</v>
      </c>
    </row>
    <row r="366" spans="1:5" x14ac:dyDescent="0.25">
      <c r="A366" s="4" t="s">
        <v>860</v>
      </c>
      <c r="B366" s="4" t="s">
        <v>931</v>
      </c>
      <c r="C366" s="4">
        <v>90</v>
      </c>
      <c r="D366" s="4">
        <v>80</v>
      </c>
      <c r="E366" s="13">
        <v>9.8972222222222205E-3</v>
      </c>
    </row>
    <row r="367" spans="1:5" x14ac:dyDescent="0.25">
      <c r="A367" s="4" t="s">
        <v>891</v>
      </c>
      <c r="B367" s="4" t="s">
        <v>931</v>
      </c>
      <c r="C367" s="4">
        <v>90</v>
      </c>
      <c r="D367" s="4">
        <v>80</v>
      </c>
      <c r="E367" s="13">
        <v>9.8972222222222205E-3</v>
      </c>
    </row>
    <row r="368" spans="1:5" x14ac:dyDescent="0.25">
      <c r="A368" s="4" t="s">
        <v>892</v>
      </c>
      <c r="B368" s="4" t="s">
        <v>931</v>
      </c>
      <c r="C368" s="4">
        <v>90</v>
      </c>
      <c r="D368" s="4">
        <v>80</v>
      </c>
      <c r="E368" s="13">
        <v>9.8972222222222205E-3</v>
      </c>
    </row>
    <row r="369" spans="1:5" x14ac:dyDescent="0.25">
      <c r="A369" s="4" t="s">
        <v>893</v>
      </c>
      <c r="B369" s="4" t="s">
        <v>931</v>
      </c>
      <c r="C369" s="4">
        <v>90</v>
      </c>
      <c r="D369" s="4">
        <v>80</v>
      </c>
      <c r="E369" s="13">
        <v>9.8972222222222205E-3</v>
      </c>
    </row>
    <row r="370" spans="1:5" x14ac:dyDescent="0.25">
      <c r="A370" s="4" t="s">
        <v>894</v>
      </c>
      <c r="B370" s="4" t="s">
        <v>931</v>
      </c>
      <c r="C370" s="4">
        <v>90</v>
      </c>
      <c r="D370" s="4">
        <v>80</v>
      </c>
      <c r="E370" s="13">
        <v>9.8972222222222205E-3</v>
      </c>
    </row>
    <row r="371" spans="1:5" x14ac:dyDescent="0.25">
      <c r="A371" s="4" t="s">
        <v>895</v>
      </c>
      <c r="B371" s="4" t="s">
        <v>931</v>
      </c>
      <c r="C371" s="4">
        <v>90</v>
      </c>
      <c r="D371" s="4">
        <v>80</v>
      </c>
      <c r="E371" s="13">
        <v>1.131111111111111E-2</v>
      </c>
    </row>
    <row r="372" spans="1:5" x14ac:dyDescent="0.25">
      <c r="A372" s="4" t="s">
        <v>896</v>
      </c>
      <c r="B372" s="4" t="s">
        <v>931</v>
      </c>
      <c r="C372" s="4">
        <v>90</v>
      </c>
      <c r="D372" s="4">
        <v>80</v>
      </c>
      <c r="E372" s="13">
        <v>1.8380555555555556E-2</v>
      </c>
    </row>
    <row r="373" spans="1:5" x14ac:dyDescent="0.25">
      <c r="A373" s="4" t="s">
        <v>897</v>
      </c>
      <c r="B373" s="4" t="s">
        <v>931</v>
      </c>
      <c r="C373" s="4">
        <v>90</v>
      </c>
      <c r="D373" s="4">
        <v>80</v>
      </c>
      <c r="E373" s="13">
        <v>1.8380555555555556E-2</v>
      </c>
    </row>
    <row r="374" spans="1:5" x14ac:dyDescent="0.25">
      <c r="A374" s="4" t="s">
        <v>898</v>
      </c>
      <c r="B374" s="4" t="s">
        <v>931</v>
      </c>
      <c r="C374" s="4">
        <v>90</v>
      </c>
      <c r="D374" s="4">
        <v>80</v>
      </c>
      <c r="E374" s="13">
        <v>2.1208333333333333E-2</v>
      </c>
    </row>
    <row r="375" spans="1:5" x14ac:dyDescent="0.25">
      <c r="A375" s="4" t="s">
        <v>899</v>
      </c>
      <c r="B375" s="4" t="s">
        <v>931</v>
      </c>
      <c r="C375" s="4">
        <v>100</v>
      </c>
      <c r="D375" s="4">
        <v>80</v>
      </c>
      <c r="E375" s="13">
        <v>2.8665E-2</v>
      </c>
    </row>
    <row r="376" spans="1:5" x14ac:dyDescent="0.25">
      <c r="A376" s="4" t="s">
        <v>900</v>
      </c>
      <c r="B376" s="4" t="s">
        <v>931</v>
      </c>
      <c r="C376" s="4">
        <v>100</v>
      </c>
      <c r="D376" s="4">
        <v>80</v>
      </c>
      <c r="E376" s="13">
        <v>3.07125E-2</v>
      </c>
    </row>
    <row r="377" spans="1:5" x14ac:dyDescent="0.25">
      <c r="A377" s="4" t="s">
        <v>0</v>
      </c>
      <c r="B377" s="4" t="s">
        <v>931</v>
      </c>
      <c r="C377" s="4">
        <v>120</v>
      </c>
      <c r="D377" s="4">
        <v>80</v>
      </c>
      <c r="E377" s="13">
        <v>2.3887499999999999E-2</v>
      </c>
    </row>
    <row r="378" spans="1:5" x14ac:dyDescent="0.25">
      <c r="A378" s="4" t="s">
        <v>228</v>
      </c>
      <c r="B378" s="4" t="s">
        <v>931</v>
      </c>
      <c r="C378" s="4">
        <v>120</v>
      </c>
      <c r="D378" s="4">
        <v>80</v>
      </c>
      <c r="E378" s="13">
        <v>3.0712499999999997E-2</v>
      </c>
    </row>
    <row r="379" spans="1:5" x14ac:dyDescent="0.25">
      <c r="A379" s="4" t="s">
        <v>901</v>
      </c>
      <c r="B379" s="4" t="s">
        <v>931</v>
      </c>
      <c r="C379" s="4">
        <v>130</v>
      </c>
      <c r="D379" s="4">
        <v>80</v>
      </c>
      <c r="E379" s="13">
        <v>3.1499999999999993E-2</v>
      </c>
    </row>
    <row r="380" spans="1:5" x14ac:dyDescent="0.25">
      <c r="A380" s="4" t="s">
        <v>0</v>
      </c>
      <c r="B380" s="4" t="s">
        <v>932</v>
      </c>
      <c r="C380" s="4">
        <v>70</v>
      </c>
      <c r="D380" s="4">
        <v>70</v>
      </c>
      <c r="E380" s="13">
        <v>2.0057142857142857E-2</v>
      </c>
    </row>
    <row r="381" spans="1:5" x14ac:dyDescent="0.25">
      <c r="A381" s="4" t="s">
        <v>228</v>
      </c>
      <c r="B381" s="4" t="s">
        <v>932</v>
      </c>
      <c r="C381" s="4">
        <v>70</v>
      </c>
      <c r="D381" s="4">
        <v>70</v>
      </c>
      <c r="E381" s="13">
        <v>2.0057142857142857E-2</v>
      </c>
    </row>
    <row r="382" spans="1:5" x14ac:dyDescent="0.25">
      <c r="A382" s="4" t="s">
        <v>901</v>
      </c>
      <c r="B382" s="4" t="s">
        <v>932</v>
      </c>
      <c r="C382" s="4">
        <v>70</v>
      </c>
      <c r="D382" s="4">
        <v>70</v>
      </c>
      <c r="E382" s="13">
        <v>2.0057142857142857E-2</v>
      </c>
    </row>
    <row r="383" spans="1:5" x14ac:dyDescent="0.25">
      <c r="A383" s="4" t="s">
        <v>0</v>
      </c>
      <c r="B383" s="4" t="s">
        <v>933</v>
      </c>
      <c r="C383" s="4">
        <v>70</v>
      </c>
      <c r="D383" s="4">
        <v>70</v>
      </c>
      <c r="E383" s="13">
        <v>2.0057142857142857E-2</v>
      </c>
    </row>
    <row r="384" spans="1:5" x14ac:dyDescent="0.25">
      <c r="A384" s="4" t="s">
        <v>228</v>
      </c>
      <c r="B384" s="4" t="s">
        <v>933</v>
      </c>
      <c r="C384" s="4">
        <v>70</v>
      </c>
      <c r="D384" s="4">
        <v>70</v>
      </c>
      <c r="E384" s="13">
        <v>2.0057142857142857E-2</v>
      </c>
    </row>
    <row r="385" spans="1:5" x14ac:dyDescent="0.25">
      <c r="A385" s="4" t="s">
        <v>901</v>
      </c>
      <c r="B385" s="4" t="s">
        <v>933</v>
      </c>
      <c r="C385" s="4">
        <v>70</v>
      </c>
      <c r="D385" s="4">
        <v>70</v>
      </c>
      <c r="E385" s="13">
        <v>2.0057142857142857E-2</v>
      </c>
    </row>
    <row r="386" spans="1:5" x14ac:dyDescent="0.25">
      <c r="A386" s="4" t="s">
        <v>0</v>
      </c>
      <c r="B386" s="4" t="s">
        <v>934</v>
      </c>
      <c r="C386" s="4">
        <v>70</v>
      </c>
      <c r="D386" s="4">
        <v>70</v>
      </c>
      <c r="E386" s="13">
        <v>2.0057142857142857E-2</v>
      </c>
    </row>
    <row r="387" spans="1:5" x14ac:dyDescent="0.25">
      <c r="A387" s="4" t="s">
        <v>228</v>
      </c>
      <c r="B387" s="4" t="s">
        <v>934</v>
      </c>
      <c r="C387" s="4">
        <v>70</v>
      </c>
      <c r="D387" s="4">
        <v>70</v>
      </c>
      <c r="E387" s="13">
        <v>2.0057142857142857E-2</v>
      </c>
    </row>
    <row r="388" spans="1:5" x14ac:dyDescent="0.25">
      <c r="A388" s="4" t="s">
        <v>901</v>
      </c>
      <c r="B388" s="4" t="s">
        <v>934</v>
      </c>
      <c r="C388" s="4">
        <v>70</v>
      </c>
      <c r="D388" s="4">
        <v>70</v>
      </c>
      <c r="E388" s="13">
        <v>2.0057142857142857E-2</v>
      </c>
    </row>
    <row r="389" spans="1:5" x14ac:dyDescent="0.25">
      <c r="A389" s="4" t="s">
        <v>0</v>
      </c>
      <c r="B389" s="4" t="s">
        <v>935</v>
      </c>
      <c r="C389" s="4">
        <v>70</v>
      </c>
      <c r="D389" s="4">
        <v>70</v>
      </c>
      <c r="E389" s="13">
        <v>2.0057142857142857E-2</v>
      </c>
    </row>
    <row r="390" spans="1:5" x14ac:dyDescent="0.25">
      <c r="A390" s="4" t="s">
        <v>228</v>
      </c>
      <c r="B390" s="4" t="s">
        <v>935</v>
      </c>
      <c r="C390" s="4">
        <v>70</v>
      </c>
      <c r="D390" s="4">
        <v>70</v>
      </c>
      <c r="E390" s="13">
        <v>2.0057142857142857E-2</v>
      </c>
    </row>
    <row r="391" spans="1:5" x14ac:dyDescent="0.25">
      <c r="A391" s="4" t="s">
        <v>901</v>
      </c>
      <c r="B391" s="4" t="s">
        <v>935</v>
      </c>
      <c r="C391" s="4">
        <v>70</v>
      </c>
      <c r="D391" s="4">
        <v>70</v>
      </c>
      <c r="E391" s="13">
        <v>2.0057142857142857E-2</v>
      </c>
    </row>
    <row r="392" spans="1:5" x14ac:dyDescent="0.25">
      <c r="A392" s="4" t="s">
        <v>0</v>
      </c>
      <c r="B392" s="4" t="s">
        <v>936</v>
      </c>
      <c r="C392" s="4">
        <v>70</v>
      </c>
      <c r="D392" s="4">
        <v>70</v>
      </c>
      <c r="E392" s="13">
        <v>2.0057142857142857E-2</v>
      </c>
    </row>
    <row r="393" spans="1:5" x14ac:dyDescent="0.25">
      <c r="A393" s="4" t="s">
        <v>228</v>
      </c>
      <c r="B393" s="4" t="s">
        <v>936</v>
      </c>
      <c r="C393" s="4">
        <v>70</v>
      </c>
      <c r="D393" s="4">
        <v>70</v>
      </c>
      <c r="E393" s="13">
        <v>2.0057142857142857E-2</v>
      </c>
    </row>
    <row r="394" spans="1:5" x14ac:dyDescent="0.25">
      <c r="A394" s="4" t="s">
        <v>901</v>
      </c>
      <c r="B394" s="4" t="s">
        <v>936</v>
      </c>
      <c r="C394" s="4">
        <v>70</v>
      </c>
      <c r="D394" s="4">
        <v>70</v>
      </c>
      <c r="E394" s="13">
        <v>2.0057142857142857E-2</v>
      </c>
    </row>
    <row r="395" spans="1:5" x14ac:dyDescent="0.25">
      <c r="A395" s="4" t="s">
        <v>0</v>
      </c>
      <c r="B395" s="4" t="s">
        <v>937</v>
      </c>
      <c r="C395" s="4">
        <v>70</v>
      </c>
      <c r="D395" s="4">
        <v>70</v>
      </c>
      <c r="E395" s="13">
        <v>2.0057142857142857E-2</v>
      </c>
    </row>
    <row r="396" spans="1:5" x14ac:dyDescent="0.25">
      <c r="A396" s="4" t="s">
        <v>228</v>
      </c>
      <c r="B396" s="4" t="s">
        <v>937</v>
      </c>
      <c r="C396" s="4">
        <v>70</v>
      </c>
      <c r="D396" s="4">
        <v>70</v>
      </c>
      <c r="E396" s="13">
        <v>2.0057142857142857E-2</v>
      </c>
    </row>
    <row r="397" spans="1:5" x14ac:dyDescent="0.25">
      <c r="A397" s="4" t="s">
        <v>901</v>
      </c>
      <c r="B397" s="4" t="s">
        <v>937</v>
      </c>
      <c r="C397" s="4">
        <v>70</v>
      </c>
      <c r="D397" s="4">
        <v>70</v>
      </c>
      <c r="E397" s="13">
        <v>2.0057142857142857E-2</v>
      </c>
    </row>
    <row r="398" spans="1:5" x14ac:dyDescent="0.25">
      <c r="A398" s="4" t="s">
        <v>0</v>
      </c>
      <c r="B398" s="4" t="s">
        <v>938</v>
      </c>
      <c r="C398" s="4">
        <v>70</v>
      </c>
      <c r="D398" s="4">
        <v>70</v>
      </c>
      <c r="E398" s="13">
        <v>2.0057142857142857E-2</v>
      </c>
    </row>
    <row r="399" spans="1:5" x14ac:dyDescent="0.25">
      <c r="A399" s="4" t="s">
        <v>228</v>
      </c>
      <c r="B399" s="4" t="s">
        <v>938</v>
      </c>
      <c r="C399" s="4">
        <v>70</v>
      </c>
      <c r="D399" s="4">
        <v>70</v>
      </c>
      <c r="E399" s="13">
        <v>2.0057142857142857E-2</v>
      </c>
    </row>
    <row r="400" spans="1:5" x14ac:dyDescent="0.25">
      <c r="A400" s="4" t="s">
        <v>901</v>
      </c>
      <c r="B400" s="4" t="s">
        <v>938</v>
      </c>
      <c r="C400" s="4">
        <v>70</v>
      </c>
      <c r="D400" s="4">
        <v>70</v>
      </c>
      <c r="E400" s="13">
        <v>2.0057142857142857E-2</v>
      </c>
    </row>
    <row r="401" spans="1:5" x14ac:dyDescent="0.25">
      <c r="A401" s="4" t="s">
        <v>0</v>
      </c>
      <c r="B401" s="4" t="s">
        <v>939</v>
      </c>
      <c r="C401" s="4">
        <v>70</v>
      </c>
      <c r="D401" s="4">
        <v>70</v>
      </c>
      <c r="E401" s="13">
        <v>2.0057142857142857E-2</v>
      </c>
    </row>
    <row r="402" spans="1:5" x14ac:dyDescent="0.25">
      <c r="A402" s="4" t="s">
        <v>228</v>
      </c>
      <c r="B402" s="4" t="s">
        <v>939</v>
      </c>
      <c r="C402" s="4">
        <v>70</v>
      </c>
      <c r="D402" s="4">
        <v>70</v>
      </c>
      <c r="E402" s="13">
        <v>2.0057142857142857E-2</v>
      </c>
    </row>
    <row r="403" spans="1:5" x14ac:dyDescent="0.25">
      <c r="A403" s="4" t="s">
        <v>901</v>
      </c>
      <c r="B403" s="4" t="s">
        <v>939</v>
      </c>
      <c r="C403" s="4">
        <v>70</v>
      </c>
      <c r="D403" s="4">
        <v>70</v>
      </c>
      <c r="E403" s="13">
        <v>2.0057142857142857E-2</v>
      </c>
    </row>
    <row r="404" spans="1:5" x14ac:dyDescent="0.25">
      <c r="A404" s="4" t="s">
        <v>0</v>
      </c>
      <c r="B404" s="4" t="s">
        <v>940</v>
      </c>
      <c r="C404" s="4">
        <v>70</v>
      </c>
      <c r="D404" s="4">
        <v>70</v>
      </c>
      <c r="E404" s="13">
        <v>2.0057142857142857E-2</v>
      </c>
    </row>
    <row r="405" spans="1:5" x14ac:dyDescent="0.25">
      <c r="A405" s="4" t="s">
        <v>228</v>
      </c>
      <c r="B405" s="4" t="s">
        <v>940</v>
      </c>
      <c r="C405" s="4">
        <v>70</v>
      </c>
      <c r="D405" s="4">
        <v>70</v>
      </c>
      <c r="E405" s="13">
        <v>2.0057142857142857E-2</v>
      </c>
    </row>
    <row r="406" spans="1:5" x14ac:dyDescent="0.25">
      <c r="A406" s="4" t="s">
        <v>901</v>
      </c>
      <c r="B406" s="4" t="s">
        <v>940</v>
      </c>
      <c r="C406" s="4">
        <v>70</v>
      </c>
      <c r="D406" s="4">
        <v>70</v>
      </c>
      <c r="E406" s="13">
        <v>2.0057142857142857E-2</v>
      </c>
    </row>
    <row r="407" spans="1:5" x14ac:dyDescent="0.25">
      <c r="A407" s="4" t="s">
        <v>0</v>
      </c>
      <c r="B407" s="4" t="s">
        <v>941</v>
      </c>
      <c r="C407" s="4">
        <v>70</v>
      </c>
      <c r="D407" s="4">
        <v>70</v>
      </c>
      <c r="E407" s="13">
        <v>2.0057142857142857E-2</v>
      </c>
    </row>
    <row r="408" spans="1:5" x14ac:dyDescent="0.25">
      <c r="A408" s="4" t="s">
        <v>228</v>
      </c>
      <c r="B408" s="4" t="s">
        <v>941</v>
      </c>
      <c r="C408" s="4">
        <v>70</v>
      </c>
      <c r="D408" s="4">
        <v>70</v>
      </c>
      <c r="E408" s="13">
        <v>2.0057142857142857E-2</v>
      </c>
    </row>
    <row r="409" spans="1:5" x14ac:dyDescent="0.25">
      <c r="A409" s="4" t="s">
        <v>901</v>
      </c>
      <c r="B409" s="4" t="s">
        <v>941</v>
      </c>
      <c r="C409" s="4">
        <v>70</v>
      </c>
      <c r="D409" s="4">
        <v>70</v>
      </c>
      <c r="E409" s="13">
        <v>2.0057142857142857E-2</v>
      </c>
    </row>
    <row r="410" spans="1:5" x14ac:dyDescent="0.25">
      <c r="A410" s="4" t="s">
        <v>860</v>
      </c>
      <c r="B410" s="4" t="s">
        <v>942</v>
      </c>
      <c r="C410" s="4">
        <v>90</v>
      </c>
      <c r="D410" s="4">
        <v>80</v>
      </c>
      <c r="E410" s="13">
        <v>9.8972222222222205E-3</v>
      </c>
    </row>
    <row r="411" spans="1:5" x14ac:dyDescent="0.25">
      <c r="A411" s="4" t="s">
        <v>891</v>
      </c>
      <c r="B411" s="4" t="s">
        <v>942</v>
      </c>
      <c r="C411" s="4">
        <v>90</v>
      </c>
      <c r="D411" s="4">
        <v>80</v>
      </c>
      <c r="E411" s="13">
        <v>9.8972222222222205E-3</v>
      </c>
    </row>
    <row r="412" spans="1:5" x14ac:dyDescent="0.25">
      <c r="A412" s="4" t="s">
        <v>892</v>
      </c>
      <c r="B412" s="4" t="s">
        <v>942</v>
      </c>
      <c r="C412" s="4">
        <v>90</v>
      </c>
      <c r="D412" s="4">
        <v>80</v>
      </c>
      <c r="E412" s="13">
        <v>9.8972222222222205E-3</v>
      </c>
    </row>
    <row r="413" spans="1:5" x14ac:dyDescent="0.25">
      <c r="A413" s="4" t="s">
        <v>893</v>
      </c>
      <c r="B413" s="4" t="s">
        <v>942</v>
      </c>
      <c r="C413" s="4">
        <v>90</v>
      </c>
      <c r="D413" s="4">
        <v>80</v>
      </c>
      <c r="E413" s="13">
        <v>9.8972222222222205E-3</v>
      </c>
    </row>
    <row r="414" spans="1:5" x14ac:dyDescent="0.25">
      <c r="A414" s="4" t="s">
        <v>894</v>
      </c>
      <c r="B414" s="4" t="s">
        <v>942</v>
      </c>
      <c r="C414" s="4">
        <v>90</v>
      </c>
      <c r="D414" s="4">
        <v>80</v>
      </c>
      <c r="E414" s="13">
        <v>9.8972222222222205E-3</v>
      </c>
    </row>
    <row r="415" spans="1:5" x14ac:dyDescent="0.25">
      <c r="A415" s="4" t="s">
        <v>895</v>
      </c>
      <c r="B415" s="4" t="s">
        <v>942</v>
      </c>
      <c r="C415" s="4">
        <v>90</v>
      </c>
      <c r="D415" s="4">
        <v>80</v>
      </c>
      <c r="E415" s="13">
        <v>1.4138888888888888E-2</v>
      </c>
    </row>
    <row r="416" spans="1:5" x14ac:dyDescent="0.25">
      <c r="A416" s="4" t="s">
        <v>896</v>
      </c>
      <c r="B416" s="4" t="s">
        <v>942</v>
      </c>
      <c r="C416" s="4">
        <v>90</v>
      </c>
      <c r="D416" s="4">
        <v>80</v>
      </c>
      <c r="E416" s="13">
        <v>2.2749999999999996E-2</v>
      </c>
    </row>
    <row r="417" spans="1:5" x14ac:dyDescent="0.25">
      <c r="A417" s="4" t="s">
        <v>897</v>
      </c>
      <c r="B417" s="4" t="s">
        <v>942</v>
      </c>
      <c r="C417" s="4">
        <v>90</v>
      </c>
      <c r="D417" s="4">
        <v>80</v>
      </c>
      <c r="E417" s="13">
        <v>2.2749999999999996E-2</v>
      </c>
    </row>
    <row r="418" spans="1:5" x14ac:dyDescent="0.25">
      <c r="A418" s="4" t="s">
        <v>898</v>
      </c>
      <c r="B418" s="4" t="s">
        <v>942</v>
      </c>
      <c r="C418" s="4">
        <v>90</v>
      </c>
      <c r="D418" s="4">
        <v>80</v>
      </c>
      <c r="E418" s="13">
        <v>2.7300000000000001E-2</v>
      </c>
    </row>
    <row r="419" spans="1:5" x14ac:dyDescent="0.25">
      <c r="A419" s="4" t="s">
        <v>899</v>
      </c>
      <c r="B419" s="4" t="s">
        <v>942</v>
      </c>
      <c r="C419" s="4">
        <v>100</v>
      </c>
      <c r="D419" s="4">
        <v>80</v>
      </c>
      <c r="E419" s="13">
        <v>4.0949999999999993E-2</v>
      </c>
    </row>
    <row r="420" spans="1:5" x14ac:dyDescent="0.25">
      <c r="A420" s="4" t="s">
        <v>900</v>
      </c>
      <c r="B420" s="4" t="s">
        <v>942</v>
      </c>
      <c r="C420" s="4">
        <v>100</v>
      </c>
      <c r="D420" s="4">
        <v>80</v>
      </c>
      <c r="E420" s="13">
        <v>4.0949999999999993E-2</v>
      </c>
    </row>
    <row r="421" spans="1:5" x14ac:dyDescent="0.25">
      <c r="A421" s="4" t="s">
        <v>0</v>
      </c>
      <c r="B421" s="4" t="s">
        <v>942</v>
      </c>
      <c r="C421" s="4">
        <v>120</v>
      </c>
      <c r="D421" s="4">
        <v>80</v>
      </c>
      <c r="E421" s="13">
        <v>3.9243749999999994E-2</v>
      </c>
    </row>
    <row r="422" spans="1:5" x14ac:dyDescent="0.25">
      <c r="A422" s="4" t="s">
        <v>228</v>
      </c>
      <c r="B422" s="4" t="s">
        <v>942</v>
      </c>
      <c r="C422" s="4">
        <v>135</v>
      </c>
      <c r="D422" s="4">
        <v>80</v>
      </c>
      <c r="E422" s="13">
        <v>3.4883333333333329E-2</v>
      </c>
    </row>
    <row r="423" spans="1:5" x14ac:dyDescent="0.25">
      <c r="A423" s="4" t="s">
        <v>901</v>
      </c>
      <c r="B423" s="4" t="s">
        <v>942</v>
      </c>
      <c r="C423" s="4">
        <v>145</v>
      </c>
      <c r="D423" s="4">
        <v>80</v>
      </c>
      <c r="E423" s="13">
        <v>3.6713793103448272E-2</v>
      </c>
    </row>
    <row r="424" spans="1:5" x14ac:dyDescent="0.25">
      <c r="A424" s="4" t="s">
        <v>0</v>
      </c>
      <c r="B424" s="4" t="s">
        <v>943</v>
      </c>
      <c r="C424" s="4">
        <v>70</v>
      </c>
      <c r="D424" s="4">
        <v>70</v>
      </c>
      <c r="E424" s="13">
        <v>2.0057142857142857E-2</v>
      </c>
    </row>
    <row r="425" spans="1:5" x14ac:dyDescent="0.25">
      <c r="A425" s="4" t="s">
        <v>228</v>
      </c>
      <c r="B425" s="4" t="s">
        <v>943</v>
      </c>
      <c r="C425" s="4">
        <v>70</v>
      </c>
      <c r="D425" s="4">
        <v>70</v>
      </c>
      <c r="E425" s="13">
        <v>2.0057142857142857E-2</v>
      </c>
    </row>
    <row r="426" spans="1:5" x14ac:dyDescent="0.25">
      <c r="A426" s="4" t="s">
        <v>901</v>
      </c>
      <c r="B426" s="4" t="s">
        <v>943</v>
      </c>
      <c r="C426" s="4">
        <v>70</v>
      </c>
      <c r="D426" s="4">
        <v>70</v>
      </c>
      <c r="E426" s="13">
        <v>2.0057142857142857E-2</v>
      </c>
    </row>
    <row r="427" spans="1:5" x14ac:dyDescent="0.25">
      <c r="A427" s="4" t="s">
        <v>860</v>
      </c>
      <c r="B427" s="4" t="s">
        <v>944</v>
      </c>
      <c r="C427" s="4">
        <v>90</v>
      </c>
      <c r="D427" s="4">
        <v>80</v>
      </c>
      <c r="E427" s="13">
        <v>9.8972222222222205E-3</v>
      </c>
    </row>
    <row r="428" spans="1:5" x14ac:dyDescent="0.25">
      <c r="A428" s="4" t="s">
        <v>891</v>
      </c>
      <c r="B428" s="4" t="s">
        <v>944</v>
      </c>
      <c r="C428" s="4">
        <v>90</v>
      </c>
      <c r="D428" s="4">
        <v>80</v>
      </c>
      <c r="E428" s="13">
        <v>9.8972222222222205E-3</v>
      </c>
    </row>
    <row r="429" spans="1:5" x14ac:dyDescent="0.25">
      <c r="A429" s="4" t="s">
        <v>892</v>
      </c>
      <c r="B429" s="4" t="s">
        <v>944</v>
      </c>
      <c r="C429" s="4">
        <v>90</v>
      </c>
      <c r="D429" s="4">
        <v>80</v>
      </c>
      <c r="E429" s="13">
        <v>9.8972222222222205E-3</v>
      </c>
    </row>
    <row r="430" spans="1:5" x14ac:dyDescent="0.25">
      <c r="A430" s="4" t="s">
        <v>893</v>
      </c>
      <c r="B430" s="4" t="s">
        <v>944</v>
      </c>
      <c r="C430" s="4">
        <v>90</v>
      </c>
      <c r="D430" s="4">
        <v>80</v>
      </c>
      <c r="E430" s="13">
        <v>9.8972222222222205E-3</v>
      </c>
    </row>
    <row r="431" spans="1:5" x14ac:dyDescent="0.25">
      <c r="A431" s="4" t="s">
        <v>894</v>
      </c>
      <c r="B431" s="4" t="s">
        <v>944</v>
      </c>
      <c r="C431" s="4">
        <v>90</v>
      </c>
      <c r="D431" s="4">
        <v>80</v>
      </c>
      <c r="E431" s="13">
        <v>1.131111111111111E-2</v>
      </c>
    </row>
    <row r="432" spans="1:5" x14ac:dyDescent="0.25">
      <c r="A432" s="4" t="s">
        <v>895</v>
      </c>
      <c r="B432" s="4" t="s">
        <v>944</v>
      </c>
      <c r="C432" s="4">
        <v>90</v>
      </c>
      <c r="D432" s="4">
        <v>80</v>
      </c>
      <c r="E432" s="13">
        <v>1.6966666666666665E-2</v>
      </c>
    </row>
    <row r="433" spans="1:5" x14ac:dyDescent="0.25">
      <c r="A433" s="4" t="s">
        <v>896</v>
      </c>
      <c r="B433" s="4" t="s">
        <v>944</v>
      </c>
      <c r="C433" s="4">
        <v>90</v>
      </c>
      <c r="D433" s="4">
        <v>80</v>
      </c>
      <c r="E433" s="13">
        <v>2.5024999999999999E-2</v>
      </c>
    </row>
    <row r="434" spans="1:5" x14ac:dyDescent="0.25">
      <c r="A434" s="4" t="s">
        <v>897</v>
      </c>
      <c r="B434" s="4" t="s">
        <v>944</v>
      </c>
      <c r="C434" s="4">
        <v>90</v>
      </c>
      <c r="D434" s="4">
        <v>80</v>
      </c>
      <c r="E434" s="13">
        <v>2.5024999999999999E-2</v>
      </c>
    </row>
    <row r="435" spans="1:5" x14ac:dyDescent="0.25">
      <c r="A435" s="4" t="s">
        <v>898</v>
      </c>
      <c r="B435" s="4" t="s">
        <v>944</v>
      </c>
      <c r="C435" s="4">
        <v>90</v>
      </c>
      <c r="D435" s="4">
        <v>80</v>
      </c>
      <c r="E435" s="13">
        <v>2.5024999999999999E-2</v>
      </c>
    </row>
    <row r="436" spans="1:5" x14ac:dyDescent="0.25">
      <c r="A436" s="4" t="s">
        <v>899</v>
      </c>
      <c r="B436" s="4" t="s">
        <v>944</v>
      </c>
      <c r="C436" s="4">
        <v>100</v>
      </c>
      <c r="D436" s="4">
        <v>80</v>
      </c>
      <c r="E436" s="13">
        <v>3.4807499999999998E-2</v>
      </c>
    </row>
    <row r="437" spans="1:5" x14ac:dyDescent="0.25">
      <c r="A437" s="4" t="s">
        <v>900</v>
      </c>
      <c r="B437" s="4" t="s">
        <v>944</v>
      </c>
      <c r="C437" s="4">
        <v>100</v>
      </c>
      <c r="D437" s="4">
        <v>80</v>
      </c>
      <c r="E437" s="13">
        <v>3.6854999999999999E-2</v>
      </c>
    </row>
    <row r="438" spans="1:5" x14ac:dyDescent="0.25">
      <c r="A438" s="4" t="s">
        <v>0</v>
      </c>
      <c r="B438" s="4" t="s">
        <v>944</v>
      </c>
      <c r="C438" s="4">
        <v>120</v>
      </c>
      <c r="D438" s="4">
        <v>80</v>
      </c>
      <c r="E438" s="13">
        <v>2.9006249999999997E-2</v>
      </c>
    </row>
    <row r="439" spans="1:5" x14ac:dyDescent="0.25">
      <c r="A439" s="4" t="s">
        <v>228</v>
      </c>
      <c r="B439" s="4" t="s">
        <v>944</v>
      </c>
      <c r="C439" s="4">
        <v>120</v>
      </c>
      <c r="D439" s="4">
        <v>80</v>
      </c>
      <c r="E439" s="13">
        <v>3.2418749999999996E-2</v>
      </c>
    </row>
    <row r="440" spans="1:5" x14ac:dyDescent="0.25">
      <c r="A440" s="4" t="s">
        <v>901</v>
      </c>
      <c r="B440" s="4" t="s">
        <v>944</v>
      </c>
      <c r="C440" s="4">
        <v>130</v>
      </c>
      <c r="D440" s="4">
        <v>80</v>
      </c>
      <c r="E440" s="13">
        <v>3.1499999999999993E-2</v>
      </c>
    </row>
    <row r="441" spans="1:5" x14ac:dyDescent="0.25">
      <c r="A441" s="4" t="s">
        <v>288</v>
      </c>
      <c r="B441" s="4" t="s">
        <v>945</v>
      </c>
      <c r="C441" s="4">
        <v>100</v>
      </c>
      <c r="D441" s="4">
        <v>60</v>
      </c>
      <c r="E441" s="13">
        <v>1.018E-2</v>
      </c>
    </row>
    <row r="442" spans="1:5" x14ac:dyDescent="0.25">
      <c r="A442" s="4" t="s">
        <v>862</v>
      </c>
      <c r="B442" s="4" t="s">
        <v>945</v>
      </c>
      <c r="C442" s="4">
        <v>100</v>
      </c>
      <c r="D442" s="4">
        <v>60</v>
      </c>
      <c r="E442" s="13">
        <v>1.018E-2</v>
      </c>
    </row>
    <row r="443" spans="1:5" x14ac:dyDescent="0.25">
      <c r="A443" s="4" t="s">
        <v>861</v>
      </c>
      <c r="B443" s="4" t="s">
        <v>945</v>
      </c>
      <c r="C443" s="4">
        <v>100</v>
      </c>
      <c r="D443" s="4">
        <v>60</v>
      </c>
      <c r="E443" s="13">
        <v>1.3573333333333333E-2</v>
      </c>
    </row>
    <row r="444" spans="1:5" x14ac:dyDescent="0.25">
      <c r="A444" s="4" t="s">
        <v>288</v>
      </c>
      <c r="B444" s="4" t="s">
        <v>946</v>
      </c>
      <c r="C444" s="4">
        <v>100</v>
      </c>
      <c r="D444" s="4">
        <v>60</v>
      </c>
      <c r="E444" s="13">
        <v>1.018E-2</v>
      </c>
    </row>
    <row r="445" spans="1:5" x14ac:dyDescent="0.25">
      <c r="A445" s="4" t="s">
        <v>862</v>
      </c>
      <c r="B445" s="4" t="s">
        <v>946</v>
      </c>
      <c r="C445" s="4">
        <v>100</v>
      </c>
      <c r="D445" s="4">
        <v>60</v>
      </c>
      <c r="E445" s="13">
        <v>1.018E-2</v>
      </c>
    </row>
    <row r="446" spans="1:5" x14ac:dyDescent="0.25">
      <c r="A446" s="4" t="s">
        <v>861</v>
      </c>
      <c r="B446" s="4" t="s">
        <v>946</v>
      </c>
      <c r="C446" s="4">
        <v>100</v>
      </c>
      <c r="D446" s="4">
        <v>60</v>
      </c>
      <c r="E446" s="13">
        <v>1.3573333333333333E-2</v>
      </c>
    </row>
    <row r="447" spans="1:5" x14ac:dyDescent="0.25">
      <c r="A447" s="4" t="s">
        <v>288</v>
      </c>
      <c r="B447" s="4" t="s">
        <v>947</v>
      </c>
      <c r="C447" s="4">
        <v>100</v>
      </c>
      <c r="D447" s="4">
        <v>60</v>
      </c>
      <c r="E447" s="13">
        <v>1.018E-2</v>
      </c>
    </row>
    <row r="448" spans="1:5" x14ac:dyDescent="0.25">
      <c r="A448" s="4" t="s">
        <v>862</v>
      </c>
      <c r="B448" s="4" t="s">
        <v>947</v>
      </c>
      <c r="C448" s="4">
        <v>100</v>
      </c>
      <c r="D448" s="4">
        <v>60</v>
      </c>
      <c r="E448" s="13">
        <v>1.018E-2</v>
      </c>
    </row>
    <row r="449" spans="1:5" x14ac:dyDescent="0.25">
      <c r="A449" s="4" t="s">
        <v>861</v>
      </c>
      <c r="B449" s="4" t="s">
        <v>947</v>
      </c>
      <c r="C449" s="4">
        <v>100</v>
      </c>
      <c r="D449" s="4">
        <v>60</v>
      </c>
      <c r="E449" s="13">
        <v>1.6966666666666665E-2</v>
      </c>
    </row>
    <row r="450" spans="1:5" x14ac:dyDescent="0.25">
      <c r="A450" s="4" t="s">
        <v>288</v>
      </c>
      <c r="B450" s="4" t="s">
        <v>948</v>
      </c>
      <c r="C450" s="4">
        <v>100</v>
      </c>
      <c r="D450" s="4">
        <v>60</v>
      </c>
      <c r="E450" s="13">
        <v>1.018E-2</v>
      </c>
    </row>
    <row r="451" spans="1:5" x14ac:dyDescent="0.25">
      <c r="A451" s="4" t="s">
        <v>862</v>
      </c>
      <c r="B451" s="4" t="s">
        <v>948</v>
      </c>
      <c r="C451" s="4">
        <v>100</v>
      </c>
      <c r="D451" s="4">
        <v>60</v>
      </c>
      <c r="E451" s="13">
        <v>1.018E-2</v>
      </c>
    </row>
    <row r="452" spans="1:5" x14ac:dyDescent="0.25">
      <c r="A452" s="4" t="s">
        <v>861</v>
      </c>
      <c r="B452" s="4" t="s">
        <v>948</v>
      </c>
      <c r="C452" s="4">
        <v>100</v>
      </c>
      <c r="D452" s="4">
        <v>60</v>
      </c>
      <c r="E452" s="13">
        <v>1.1876666666666666E-2</v>
      </c>
    </row>
    <row r="453" spans="1:5" x14ac:dyDescent="0.25">
      <c r="A453" s="4" t="s">
        <v>288</v>
      </c>
      <c r="B453" s="4" t="s">
        <v>949</v>
      </c>
      <c r="C453" s="4">
        <v>100</v>
      </c>
      <c r="D453" s="4">
        <v>60</v>
      </c>
      <c r="E453" s="13">
        <v>1.018E-2</v>
      </c>
    </row>
    <row r="454" spans="1:5" x14ac:dyDescent="0.25">
      <c r="A454" s="4" t="s">
        <v>862</v>
      </c>
      <c r="B454" s="4" t="s">
        <v>949</v>
      </c>
      <c r="C454" s="4">
        <v>100</v>
      </c>
      <c r="D454" s="4">
        <v>60</v>
      </c>
      <c r="E454" s="13">
        <v>1.018E-2</v>
      </c>
    </row>
    <row r="455" spans="1:5" x14ac:dyDescent="0.25">
      <c r="A455" s="4" t="s">
        <v>861</v>
      </c>
      <c r="B455" s="4" t="s">
        <v>949</v>
      </c>
      <c r="C455" s="4">
        <v>100</v>
      </c>
      <c r="D455" s="4">
        <v>60</v>
      </c>
      <c r="E455" s="13">
        <v>1.6966666666666665E-2</v>
      </c>
    </row>
    <row r="456" spans="1:5" x14ac:dyDescent="0.25">
      <c r="A456" s="4" t="s">
        <v>288</v>
      </c>
      <c r="B456" s="4" t="s">
        <v>950</v>
      </c>
      <c r="C456" s="4">
        <v>100</v>
      </c>
      <c r="D456" s="4">
        <v>60</v>
      </c>
      <c r="E456" s="13">
        <v>1.018E-2</v>
      </c>
    </row>
    <row r="457" spans="1:5" x14ac:dyDescent="0.25">
      <c r="A457" s="4" t="s">
        <v>862</v>
      </c>
      <c r="B457" s="4" t="s">
        <v>950</v>
      </c>
      <c r="C457" s="4">
        <v>100</v>
      </c>
      <c r="D457" s="4">
        <v>60</v>
      </c>
      <c r="E457" s="13">
        <v>1.018E-2</v>
      </c>
    </row>
    <row r="458" spans="1:5" x14ac:dyDescent="0.25">
      <c r="A458" s="4" t="s">
        <v>861</v>
      </c>
      <c r="B458" s="4" t="s">
        <v>950</v>
      </c>
      <c r="C458" s="4">
        <v>100</v>
      </c>
      <c r="D458" s="4">
        <v>60</v>
      </c>
      <c r="E458" s="13">
        <v>1.1876666666666666E-2</v>
      </c>
    </row>
    <row r="459" spans="1:5" x14ac:dyDescent="0.25">
      <c r="A459" s="4" t="s">
        <v>288</v>
      </c>
      <c r="B459" s="4" t="s">
        <v>951</v>
      </c>
      <c r="C459" s="4">
        <v>100</v>
      </c>
      <c r="D459" s="4">
        <v>60</v>
      </c>
      <c r="E459" s="13">
        <v>1.018E-2</v>
      </c>
    </row>
    <row r="460" spans="1:5" x14ac:dyDescent="0.25">
      <c r="A460" s="4" t="s">
        <v>862</v>
      </c>
      <c r="B460" s="4" t="s">
        <v>951</v>
      </c>
      <c r="C460" s="4">
        <v>100</v>
      </c>
      <c r="D460" s="4">
        <v>60</v>
      </c>
      <c r="E460" s="13">
        <v>1.018E-2</v>
      </c>
    </row>
    <row r="461" spans="1:5" x14ac:dyDescent="0.25">
      <c r="A461" s="4" t="s">
        <v>861</v>
      </c>
      <c r="B461" s="4" t="s">
        <v>951</v>
      </c>
      <c r="C461" s="4">
        <v>100</v>
      </c>
      <c r="D461" s="4">
        <v>60</v>
      </c>
      <c r="E461" s="13">
        <v>1.3573333333333333E-2</v>
      </c>
    </row>
    <row r="462" spans="1:5" x14ac:dyDescent="0.25">
      <c r="A462" s="4" t="s">
        <v>288</v>
      </c>
      <c r="B462" s="4" t="s">
        <v>952</v>
      </c>
      <c r="C462" s="4">
        <v>100</v>
      </c>
      <c r="D462" s="4">
        <v>60</v>
      </c>
      <c r="E462" s="13">
        <v>1.018E-2</v>
      </c>
    </row>
    <row r="463" spans="1:5" x14ac:dyDescent="0.25">
      <c r="A463" s="4" t="s">
        <v>862</v>
      </c>
      <c r="B463" s="4" t="s">
        <v>952</v>
      </c>
      <c r="C463" s="4">
        <v>100</v>
      </c>
      <c r="D463" s="4">
        <v>60</v>
      </c>
      <c r="E463" s="13">
        <v>1.018E-2</v>
      </c>
    </row>
    <row r="464" spans="1:5" x14ac:dyDescent="0.25">
      <c r="A464" s="4" t="s">
        <v>861</v>
      </c>
      <c r="B464" s="4" t="s">
        <v>952</v>
      </c>
      <c r="C464" s="4">
        <v>100</v>
      </c>
      <c r="D464" s="4">
        <v>60</v>
      </c>
      <c r="E464" s="13">
        <v>1.1876666666666666E-2</v>
      </c>
    </row>
    <row r="465" spans="1:5" x14ac:dyDescent="0.25">
      <c r="A465" s="4" t="s">
        <v>860</v>
      </c>
      <c r="B465" s="4" t="s">
        <v>953</v>
      </c>
      <c r="C465" s="4">
        <v>90</v>
      </c>
      <c r="D465" s="4">
        <v>80</v>
      </c>
      <c r="E465" s="13">
        <v>9.8972222222222205E-3</v>
      </c>
    </row>
    <row r="466" spans="1:5" x14ac:dyDescent="0.25">
      <c r="A466" s="4" t="s">
        <v>891</v>
      </c>
      <c r="B466" s="4" t="s">
        <v>953</v>
      </c>
      <c r="C466" s="4">
        <v>90</v>
      </c>
      <c r="D466" s="4">
        <v>80</v>
      </c>
      <c r="E466" s="13">
        <v>9.8972222222222205E-3</v>
      </c>
    </row>
    <row r="467" spans="1:5" x14ac:dyDescent="0.25">
      <c r="A467" s="4" t="s">
        <v>892</v>
      </c>
      <c r="B467" s="4" t="s">
        <v>953</v>
      </c>
      <c r="C467" s="4">
        <v>90</v>
      </c>
      <c r="D467" s="4">
        <v>80</v>
      </c>
      <c r="E467" s="13">
        <v>9.8972222222222205E-3</v>
      </c>
    </row>
    <row r="468" spans="1:5" x14ac:dyDescent="0.25">
      <c r="A468" s="4" t="s">
        <v>893</v>
      </c>
      <c r="B468" s="4" t="s">
        <v>953</v>
      </c>
      <c r="C468" s="4">
        <v>90</v>
      </c>
      <c r="D468" s="4">
        <v>80</v>
      </c>
      <c r="E468" s="13">
        <v>9.8972222222222205E-3</v>
      </c>
    </row>
    <row r="469" spans="1:5" x14ac:dyDescent="0.25">
      <c r="A469" s="4" t="s">
        <v>894</v>
      </c>
      <c r="B469" s="4" t="s">
        <v>953</v>
      </c>
      <c r="C469" s="4">
        <v>90</v>
      </c>
      <c r="D469" s="4">
        <v>80</v>
      </c>
      <c r="E469" s="13">
        <v>9.8972222222222205E-3</v>
      </c>
    </row>
    <row r="470" spans="1:5" x14ac:dyDescent="0.25">
      <c r="A470" s="4" t="s">
        <v>895</v>
      </c>
      <c r="B470" s="4" t="s">
        <v>953</v>
      </c>
      <c r="C470" s="4">
        <v>90</v>
      </c>
      <c r="D470" s="4">
        <v>80</v>
      </c>
      <c r="E470" s="13">
        <v>9.8972222222222205E-3</v>
      </c>
    </row>
    <row r="471" spans="1:5" x14ac:dyDescent="0.25">
      <c r="A471" s="4" t="s">
        <v>896</v>
      </c>
      <c r="B471" s="4" t="s">
        <v>953</v>
      </c>
      <c r="C471" s="4">
        <v>90</v>
      </c>
      <c r="D471" s="4">
        <v>80</v>
      </c>
      <c r="E471" s="13">
        <v>9.8972222222222205E-3</v>
      </c>
    </row>
    <row r="472" spans="1:5" x14ac:dyDescent="0.25">
      <c r="A472" s="4" t="s">
        <v>897</v>
      </c>
      <c r="B472" s="4" t="s">
        <v>953</v>
      </c>
      <c r="C472" s="4">
        <v>90</v>
      </c>
      <c r="D472" s="4">
        <v>80</v>
      </c>
      <c r="E472" s="13">
        <v>9.8972222222222205E-3</v>
      </c>
    </row>
    <row r="473" spans="1:5" x14ac:dyDescent="0.25">
      <c r="A473" s="4" t="s">
        <v>898</v>
      </c>
      <c r="B473" s="4" t="s">
        <v>953</v>
      </c>
      <c r="C473" s="4">
        <v>90</v>
      </c>
      <c r="D473" s="4">
        <v>80</v>
      </c>
      <c r="E473" s="13">
        <v>9.8972222222222205E-3</v>
      </c>
    </row>
    <row r="474" spans="1:5" x14ac:dyDescent="0.25">
      <c r="A474" s="4" t="s">
        <v>899</v>
      </c>
      <c r="B474" s="4" t="s">
        <v>953</v>
      </c>
      <c r="C474" s="4">
        <v>100</v>
      </c>
      <c r="D474" s="4">
        <v>80</v>
      </c>
      <c r="E474" s="13">
        <v>1.43325E-2</v>
      </c>
    </row>
    <row r="475" spans="1:5" x14ac:dyDescent="0.25">
      <c r="A475" s="4" t="s">
        <v>900</v>
      </c>
      <c r="B475" s="4" t="s">
        <v>953</v>
      </c>
      <c r="C475" s="4">
        <v>100</v>
      </c>
      <c r="D475" s="4">
        <v>80</v>
      </c>
      <c r="E475" s="13">
        <v>1.43325E-2</v>
      </c>
    </row>
    <row r="476" spans="1:5" x14ac:dyDescent="0.25">
      <c r="A476" s="4" t="s">
        <v>0</v>
      </c>
      <c r="B476" s="4" t="s">
        <v>953</v>
      </c>
      <c r="C476" s="4">
        <v>120</v>
      </c>
      <c r="D476" s="4">
        <v>80</v>
      </c>
      <c r="E476" s="13">
        <v>1.5356249999999998E-2</v>
      </c>
    </row>
    <row r="477" spans="1:5" x14ac:dyDescent="0.25">
      <c r="A477" s="4" t="s">
        <v>228</v>
      </c>
      <c r="B477" s="4" t="s">
        <v>953</v>
      </c>
      <c r="C477" s="4">
        <v>120</v>
      </c>
      <c r="D477" s="4">
        <v>80</v>
      </c>
      <c r="E477" s="13">
        <v>1.7062499999999998E-2</v>
      </c>
    </row>
    <row r="478" spans="1:5" x14ac:dyDescent="0.25">
      <c r="A478" s="4" t="s">
        <v>901</v>
      </c>
      <c r="B478" s="4" t="s">
        <v>953</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410</v>
      </c>
      <c r="B1" s="192" t="s">
        <v>804</v>
      </c>
      <c r="C1" s="194"/>
      <c r="D1" s="192" t="s">
        <v>802</v>
      </c>
      <c r="E1" s="193"/>
      <c r="F1" s="194"/>
      <c r="G1" s="192" t="s">
        <v>412</v>
      </c>
      <c r="H1" s="193"/>
      <c r="I1" s="194"/>
      <c r="J1" s="192" t="s">
        <v>801</v>
      </c>
      <c r="K1" s="193"/>
      <c r="L1" s="194"/>
    </row>
    <row r="2" spans="1:12" x14ac:dyDescent="0.25">
      <c r="A2" s="4"/>
      <c r="B2" s="4" t="s">
        <v>805</v>
      </c>
      <c r="C2" s="4" t="s">
        <v>806</v>
      </c>
      <c r="D2" s="4" t="s">
        <v>397</v>
      </c>
      <c r="E2" s="4" t="s">
        <v>413</v>
      </c>
      <c r="F2" s="4" t="s">
        <v>411</v>
      </c>
      <c r="G2" s="4" t="s">
        <v>803</v>
      </c>
      <c r="H2" s="4" t="s">
        <v>807</v>
      </c>
      <c r="I2" s="4" t="s">
        <v>808</v>
      </c>
      <c r="J2" s="4" t="s">
        <v>397</v>
      </c>
      <c r="K2" s="4" t="s">
        <v>809</v>
      </c>
      <c r="L2" s="4" t="s">
        <v>411</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414</v>
      </c>
      <c r="H1" s="3" t="s">
        <v>279</v>
      </c>
      <c r="I1" s="3" t="s">
        <v>280</v>
      </c>
      <c r="J1" s="1" t="s">
        <v>415</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416</v>
      </c>
      <c r="C6" s="46" t="s">
        <v>208</v>
      </c>
      <c r="D6" s="47" t="s">
        <v>384</v>
      </c>
      <c r="E6" s="48" t="s">
        <v>314</v>
      </c>
      <c r="F6" s="49" t="s">
        <v>337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417</v>
      </c>
      <c r="I10" s="108" t="s">
        <v>418</v>
      </c>
      <c r="J10" s="108" t="s">
        <v>282</v>
      </c>
      <c r="K10" s="72" t="s">
        <v>341</v>
      </c>
      <c r="L10" s="109" t="s">
        <v>419</v>
      </c>
      <c r="M10" s="110" t="str">
        <f t="shared" ref="M10:M25" si="0">CONCATENATE(O10,P10,Q10)</f>
        <v>請確認是否符合 短梁側筋 規定</v>
      </c>
      <c r="O10" s="6" t="s">
        <v>420</v>
      </c>
      <c r="P10" s="6" t="str">
        <f t="shared" ref="P10:P24" si="1">I10</f>
        <v>短梁側筋</v>
      </c>
      <c r="Q10" s="6" t="s">
        <v>421</v>
      </c>
    </row>
    <row r="11" spans="1:17" x14ac:dyDescent="0.25">
      <c r="B11" s="55"/>
      <c r="C11" s="56" t="s">
        <v>9</v>
      </c>
      <c r="D11" s="57"/>
      <c r="E11" s="58"/>
      <c r="F11" s="59"/>
      <c r="G11" s="107" t="s">
        <v>79</v>
      </c>
      <c r="H11" s="108" t="s">
        <v>417</v>
      </c>
      <c r="I11" s="108"/>
      <c r="J11" s="108"/>
      <c r="K11" s="72"/>
      <c r="L11" s="109"/>
      <c r="M11" s="110"/>
    </row>
    <row r="12" spans="1:17" x14ac:dyDescent="0.25">
      <c r="B12" s="55"/>
      <c r="C12" s="56" t="s">
        <v>10</v>
      </c>
      <c r="D12" s="57"/>
      <c r="E12" s="58"/>
      <c r="F12" s="59"/>
      <c r="G12" s="107"/>
      <c r="H12" s="108" t="s">
        <v>417</v>
      </c>
      <c r="I12" s="108"/>
      <c r="J12" s="111"/>
      <c r="K12" s="72"/>
      <c r="L12" s="109"/>
      <c r="M12" s="110"/>
    </row>
    <row r="13" spans="1:17" x14ac:dyDescent="0.25">
      <c r="B13" s="55"/>
      <c r="C13" s="56" t="s">
        <v>11</v>
      </c>
      <c r="D13" s="57">
        <v>1</v>
      </c>
      <c r="E13" s="58"/>
      <c r="F13" s="59"/>
      <c r="G13" s="107" t="s">
        <v>79</v>
      </c>
      <c r="H13" s="108" t="s">
        <v>417</v>
      </c>
      <c r="I13" s="108" t="s">
        <v>422</v>
      </c>
      <c r="J13" s="108" t="s">
        <v>283</v>
      </c>
      <c r="K13" s="72" t="s">
        <v>341</v>
      </c>
      <c r="L13" s="109" t="s">
        <v>423</v>
      </c>
      <c r="M13" s="110" t="str">
        <f t="shared" si="0"/>
        <v>請確認是否符合 短梁箍筋 規定</v>
      </c>
      <c r="O13" s="6" t="s">
        <v>424</v>
      </c>
      <c r="P13" s="6" t="str">
        <f t="shared" si="1"/>
        <v>短梁箍筋</v>
      </c>
      <c r="Q13" s="6" t="s">
        <v>425</v>
      </c>
    </row>
    <row r="14" spans="1:17" x14ac:dyDescent="0.25">
      <c r="B14" s="55"/>
      <c r="C14" s="65" t="s">
        <v>12</v>
      </c>
      <c r="D14" s="66"/>
      <c r="E14" s="67"/>
      <c r="F14" s="68"/>
      <c r="G14" s="107" t="s">
        <v>79</v>
      </c>
      <c r="H14" s="108" t="s">
        <v>417</v>
      </c>
      <c r="I14" s="108"/>
      <c r="J14" s="108"/>
      <c r="K14" s="72"/>
      <c r="L14" s="109"/>
      <c r="M14" s="110"/>
    </row>
    <row r="15" spans="1:17" x14ac:dyDescent="0.25">
      <c r="B15" s="55"/>
      <c r="C15" s="56" t="s">
        <v>13</v>
      </c>
      <c r="D15" s="57">
        <v>1</v>
      </c>
      <c r="E15" s="58"/>
      <c r="F15" s="59"/>
      <c r="G15" s="107" t="s">
        <v>79</v>
      </c>
      <c r="H15" s="108" t="s">
        <v>426</v>
      </c>
      <c r="I15" s="108" t="s">
        <v>427</v>
      </c>
      <c r="J15" s="108"/>
      <c r="K15" s="72" t="s">
        <v>428</v>
      </c>
      <c r="L15" s="109" t="s">
        <v>429</v>
      </c>
      <c r="M15" s="110" t="str">
        <f t="shared" si="0"/>
        <v>請確認是否符合 上層筋 規定</v>
      </c>
      <c r="O15" s="6" t="s">
        <v>424</v>
      </c>
      <c r="P15" s="6" t="str">
        <f t="shared" si="1"/>
        <v>上層筋</v>
      </c>
      <c r="Q15" s="6" t="s">
        <v>430</v>
      </c>
    </row>
    <row r="16" spans="1:17" x14ac:dyDescent="0.25">
      <c r="B16" s="55"/>
      <c r="C16" s="65" t="s">
        <v>14</v>
      </c>
      <c r="D16" s="66"/>
      <c r="E16" s="67">
        <v>1</v>
      </c>
      <c r="F16" s="68">
        <v>1</v>
      </c>
      <c r="G16" s="107" t="s">
        <v>79</v>
      </c>
      <c r="H16" s="108" t="s">
        <v>417</v>
      </c>
      <c r="I16" s="108" t="s">
        <v>431</v>
      </c>
      <c r="J16" s="108"/>
      <c r="K16" s="72" t="s">
        <v>432</v>
      </c>
      <c r="L16" s="109" t="s">
        <v>433</v>
      </c>
      <c r="M16" s="110" t="str">
        <f t="shared" si="0"/>
        <v>請確認是否符合 上層筋 規定</v>
      </c>
      <c r="O16" s="6" t="s">
        <v>424</v>
      </c>
      <c r="P16" s="6" t="str">
        <f t="shared" si="1"/>
        <v>上層筋</v>
      </c>
      <c r="Q16" s="6" t="s">
        <v>421</v>
      </c>
    </row>
    <row r="17" spans="2:17" x14ac:dyDescent="0.25">
      <c r="B17" s="55"/>
      <c r="C17" s="65" t="s">
        <v>15</v>
      </c>
      <c r="D17" s="66">
        <v>1</v>
      </c>
      <c r="E17" s="67"/>
      <c r="F17" s="68"/>
      <c r="G17" s="107" t="s">
        <v>79</v>
      </c>
      <c r="H17" s="108"/>
      <c r="I17" s="108"/>
      <c r="J17" s="108"/>
      <c r="K17" s="72"/>
      <c r="L17" s="109"/>
      <c r="M17" s="110"/>
      <c r="O17" s="6" t="s">
        <v>424</v>
      </c>
      <c r="P17" s="6">
        <f t="shared" si="1"/>
        <v>0</v>
      </c>
      <c r="Q17" s="6" t="s">
        <v>421</v>
      </c>
    </row>
    <row r="18" spans="2:17" x14ac:dyDescent="0.25">
      <c r="B18" s="55"/>
      <c r="C18" s="65" t="s">
        <v>16</v>
      </c>
      <c r="D18" s="66"/>
      <c r="E18" s="67"/>
      <c r="F18" s="68"/>
      <c r="G18" s="107"/>
      <c r="H18" s="108" t="s">
        <v>426</v>
      </c>
      <c r="I18" s="108"/>
      <c r="J18" s="108"/>
      <c r="K18" s="72"/>
      <c r="L18" s="109"/>
      <c r="M18" s="110"/>
    </row>
    <row r="19" spans="2:17" x14ac:dyDescent="0.25">
      <c r="B19" s="55"/>
      <c r="C19" s="56" t="s">
        <v>17</v>
      </c>
      <c r="D19" s="57">
        <v>1</v>
      </c>
      <c r="E19" s="58"/>
      <c r="F19" s="59"/>
      <c r="G19" s="107" t="s">
        <v>79</v>
      </c>
      <c r="H19" s="108" t="s">
        <v>434</v>
      </c>
      <c r="I19" s="108" t="s">
        <v>435</v>
      </c>
      <c r="J19" s="108"/>
      <c r="K19" s="72" t="s">
        <v>428</v>
      </c>
      <c r="L19" s="109" t="s">
        <v>436</v>
      </c>
      <c r="M19" s="110" t="str">
        <f t="shared" si="0"/>
        <v>請確認是否符合 下層筋 規定</v>
      </c>
      <c r="O19" s="6" t="s">
        <v>424</v>
      </c>
      <c r="P19" s="6" t="str">
        <f t="shared" si="1"/>
        <v>下層筋</v>
      </c>
      <c r="Q19" s="6" t="s">
        <v>437</v>
      </c>
    </row>
    <row r="20" spans="2:17" x14ac:dyDescent="0.25">
      <c r="B20" s="55"/>
      <c r="C20" s="65" t="s">
        <v>18</v>
      </c>
      <c r="D20" s="66"/>
      <c r="E20" s="67">
        <v>1</v>
      </c>
      <c r="F20" s="68">
        <v>1</v>
      </c>
      <c r="G20" s="107" t="s">
        <v>79</v>
      </c>
      <c r="H20" s="108" t="s">
        <v>417</v>
      </c>
      <c r="I20" s="108" t="s">
        <v>438</v>
      </c>
      <c r="J20" s="108"/>
      <c r="K20" s="72" t="s">
        <v>439</v>
      </c>
      <c r="L20" s="109" t="s">
        <v>433</v>
      </c>
      <c r="M20" s="110" t="str">
        <f t="shared" si="0"/>
        <v>請確認是否符合 下層筋 規定</v>
      </c>
      <c r="O20" s="6" t="s">
        <v>440</v>
      </c>
      <c r="P20" s="6" t="str">
        <f t="shared" si="1"/>
        <v>下層筋</v>
      </c>
      <c r="Q20" s="6" t="s">
        <v>421</v>
      </c>
    </row>
    <row r="21" spans="2:17" x14ac:dyDescent="0.25">
      <c r="B21" s="55"/>
      <c r="C21" s="65" t="s">
        <v>112</v>
      </c>
      <c r="D21" s="66">
        <v>1</v>
      </c>
      <c r="E21" s="67"/>
      <c r="F21" s="68"/>
      <c r="G21" s="107" t="s">
        <v>79</v>
      </c>
      <c r="H21" s="108" t="s">
        <v>417</v>
      </c>
      <c r="I21" s="108" t="s">
        <v>435</v>
      </c>
      <c r="J21" s="108"/>
      <c r="K21" s="72" t="s">
        <v>441</v>
      </c>
      <c r="L21" s="109" t="s">
        <v>442</v>
      </c>
      <c r="M21" s="110" t="str">
        <f t="shared" si="0"/>
        <v>請確認是否符合 下層筋 規定</v>
      </c>
      <c r="O21" s="6" t="s">
        <v>440</v>
      </c>
      <c r="P21" s="6" t="str">
        <f t="shared" si="1"/>
        <v>下層筋</v>
      </c>
      <c r="Q21" s="6" t="s">
        <v>430</v>
      </c>
    </row>
    <row r="22" spans="2:17" x14ac:dyDescent="0.25">
      <c r="B22" s="55"/>
      <c r="C22" s="65" t="s">
        <v>113</v>
      </c>
      <c r="D22" s="66"/>
      <c r="E22" s="67"/>
      <c r="F22" s="68"/>
      <c r="G22" s="107" t="s">
        <v>79</v>
      </c>
      <c r="H22" s="108" t="s">
        <v>417</v>
      </c>
      <c r="I22" s="108"/>
      <c r="J22" s="108"/>
      <c r="K22" s="72"/>
      <c r="L22" s="109"/>
      <c r="M22" s="110" t="str">
        <f t="shared" si="0"/>
        <v/>
      </c>
    </row>
    <row r="23" spans="2:17" x14ac:dyDescent="0.25">
      <c r="B23" s="55"/>
      <c r="C23" s="65" t="s">
        <v>114</v>
      </c>
      <c r="D23" s="66">
        <v>1</v>
      </c>
      <c r="E23" s="67"/>
      <c r="F23" s="68"/>
      <c r="G23" s="107" t="s">
        <v>79</v>
      </c>
      <c r="H23" s="108" t="s">
        <v>443</v>
      </c>
      <c r="I23" s="108" t="s">
        <v>346</v>
      </c>
      <c r="J23" s="108"/>
      <c r="K23" s="72" t="s">
        <v>320</v>
      </c>
      <c r="L23" s="109" t="s">
        <v>444</v>
      </c>
      <c r="M23" s="110" t="str">
        <f t="shared" si="0"/>
        <v>請確認是否符合 箍筋 規定</v>
      </c>
      <c r="O23" s="6" t="s">
        <v>424</v>
      </c>
      <c r="P23" s="6" t="str">
        <f t="shared" si="1"/>
        <v>箍筋</v>
      </c>
      <c r="Q23" s="6" t="s">
        <v>430</v>
      </c>
    </row>
    <row r="24" spans="2:17" x14ac:dyDescent="0.25">
      <c r="B24" s="55"/>
      <c r="C24" s="56" t="s">
        <v>115</v>
      </c>
      <c r="D24" s="57">
        <v>1</v>
      </c>
      <c r="E24" s="58"/>
      <c r="F24" s="59"/>
      <c r="G24" s="107" t="s">
        <v>79</v>
      </c>
      <c r="H24" s="108" t="s">
        <v>417</v>
      </c>
      <c r="I24" s="108" t="s">
        <v>346</v>
      </c>
      <c r="J24" s="108"/>
      <c r="K24" s="72" t="s">
        <v>445</v>
      </c>
      <c r="L24" s="109" t="s">
        <v>446</v>
      </c>
      <c r="M24" s="110" t="str">
        <f t="shared" si="0"/>
        <v>請確認是否符合 箍筋 規定</v>
      </c>
      <c r="O24" s="6" t="s">
        <v>424</v>
      </c>
      <c r="P24" s="6" t="str">
        <f t="shared" si="1"/>
        <v>箍筋</v>
      </c>
      <c r="Q24" s="6" t="s">
        <v>447</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448</v>
      </c>
      <c r="I27" s="108" t="s">
        <v>449</v>
      </c>
      <c r="J27" s="108"/>
      <c r="K27" s="72" t="s">
        <v>450</v>
      </c>
      <c r="L27" s="109" t="s">
        <v>451</v>
      </c>
      <c r="M27" s="112" t="s">
        <v>452</v>
      </c>
    </row>
    <row r="28" spans="2:17" x14ac:dyDescent="0.25">
      <c r="B28" s="55"/>
      <c r="C28" s="65" t="s">
        <v>119</v>
      </c>
      <c r="D28" s="113"/>
      <c r="E28" s="67">
        <v>1</v>
      </c>
      <c r="F28" s="114"/>
      <c r="G28" s="107" t="s">
        <v>79</v>
      </c>
      <c r="H28" s="115" t="s">
        <v>453</v>
      </c>
      <c r="I28" s="108" t="s">
        <v>346</v>
      </c>
      <c r="J28" s="108"/>
      <c r="K28" s="72" t="s">
        <v>454</v>
      </c>
      <c r="L28" s="109" t="s">
        <v>451</v>
      </c>
      <c r="M28" s="112" t="s">
        <v>451</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455</v>
      </c>
      <c r="I31" s="108" t="s">
        <v>456</v>
      </c>
      <c r="J31" s="108"/>
      <c r="K31" s="72" t="s">
        <v>457</v>
      </c>
      <c r="L31" s="109" t="s">
        <v>419</v>
      </c>
      <c r="M31" s="112" t="s">
        <v>419</v>
      </c>
    </row>
    <row r="32" spans="2:17" x14ac:dyDescent="0.25">
      <c r="B32" s="55"/>
      <c r="C32" s="65" t="s">
        <v>123</v>
      </c>
      <c r="D32" s="66"/>
      <c r="E32" s="67"/>
      <c r="F32" s="68"/>
      <c r="G32" s="107"/>
      <c r="H32" s="108" t="s">
        <v>455</v>
      </c>
      <c r="I32" s="108"/>
      <c r="J32" s="108"/>
      <c r="K32" s="72"/>
      <c r="L32" s="109"/>
      <c r="M32" s="112"/>
    </row>
    <row r="33" spans="2:13" x14ac:dyDescent="0.25">
      <c r="B33" s="55"/>
      <c r="C33" s="65" t="s">
        <v>124</v>
      </c>
      <c r="D33" s="66"/>
      <c r="E33" s="67">
        <v>1</v>
      </c>
      <c r="F33" s="68">
        <v>1</v>
      </c>
      <c r="G33" s="69" t="s">
        <v>79</v>
      </c>
      <c r="H33" s="4" t="s">
        <v>458</v>
      </c>
      <c r="I33" s="4" t="s">
        <v>459</v>
      </c>
      <c r="J33" s="4"/>
      <c r="K33" s="78" t="s">
        <v>460</v>
      </c>
      <c r="L33" s="105" t="s">
        <v>220</v>
      </c>
      <c r="M33" s="106" t="s">
        <v>461</v>
      </c>
    </row>
    <row r="34" spans="2:13" x14ac:dyDescent="0.25">
      <c r="B34" s="55"/>
      <c r="C34" s="65" t="s">
        <v>125</v>
      </c>
      <c r="D34" s="66">
        <v>1</v>
      </c>
      <c r="E34" s="67"/>
      <c r="F34" s="68"/>
      <c r="G34" s="69" t="s">
        <v>79</v>
      </c>
      <c r="H34" s="4" t="s">
        <v>458</v>
      </c>
      <c r="I34" s="4" t="s">
        <v>462</v>
      </c>
      <c r="J34" s="4"/>
      <c r="K34" s="78" t="s">
        <v>463</v>
      </c>
      <c r="L34" s="105" t="s">
        <v>464</v>
      </c>
      <c r="M34" s="106" t="s">
        <v>465</v>
      </c>
    </row>
    <row r="35" spans="2:13" x14ac:dyDescent="0.25">
      <c r="B35" s="55"/>
      <c r="C35" s="65" t="s">
        <v>172</v>
      </c>
      <c r="D35" s="66"/>
      <c r="E35" s="67"/>
      <c r="F35" s="68"/>
      <c r="G35" s="69"/>
      <c r="H35" s="4" t="s">
        <v>458</v>
      </c>
      <c r="I35" s="4"/>
      <c r="J35" s="4"/>
      <c r="K35" s="78"/>
      <c r="L35" s="105"/>
      <c r="M35" s="106"/>
    </row>
    <row r="36" spans="2:13" x14ac:dyDescent="0.25">
      <c r="B36" s="55"/>
      <c r="C36" s="65" t="s">
        <v>173</v>
      </c>
      <c r="D36" s="66">
        <v>1</v>
      </c>
      <c r="E36" s="67"/>
      <c r="F36" s="68"/>
      <c r="G36" s="69" t="s">
        <v>79</v>
      </c>
      <c r="H36" s="103" t="s">
        <v>466</v>
      </c>
      <c r="I36" s="103" t="s">
        <v>467</v>
      </c>
      <c r="J36" s="103"/>
      <c r="K36" s="62" t="s">
        <v>468</v>
      </c>
      <c r="L36" s="116" t="s">
        <v>469</v>
      </c>
      <c r="M36" s="106" t="s">
        <v>470</v>
      </c>
    </row>
    <row r="37" spans="2:13" x14ac:dyDescent="0.25">
      <c r="B37" s="55"/>
      <c r="C37" s="65" t="s">
        <v>174</v>
      </c>
      <c r="D37" s="66">
        <v>1</v>
      </c>
      <c r="E37" s="67"/>
      <c r="F37" s="68"/>
      <c r="G37" s="69" t="s">
        <v>79</v>
      </c>
      <c r="H37" s="103" t="s">
        <v>471</v>
      </c>
      <c r="I37" s="103" t="s">
        <v>467</v>
      </c>
      <c r="J37" s="103"/>
      <c r="K37" s="62" t="s">
        <v>472</v>
      </c>
      <c r="L37" s="116" t="s">
        <v>473</v>
      </c>
      <c r="M37" s="106" t="s">
        <v>465</v>
      </c>
    </row>
    <row r="38" spans="2:13" x14ac:dyDescent="0.25">
      <c r="B38" s="55"/>
      <c r="C38" s="65" t="s">
        <v>175</v>
      </c>
      <c r="D38" s="66"/>
      <c r="E38" s="67"/>
      <c r="F38" s="68"/>
      <c r="G38" s="69"/>
      <c r="H38" s="4" t="s">
        <v>458</v>
      </c>
      <c r="I38" s="4"/>
      <c r="J38" s="4"/>
      <c r="K38" s="78"/>
      <c r="L38" s="105"/>
      <c r="M38" s="106"/>
    </row>
    <row r="39" spans="2:13" x14ac:dyDescent="0.25">
      <c r="B39" s="55"/>
      <c r="C39" s="65" t="s">
        <v>176</v>
      </c>
      <c r="D39" s="66">
        <v>1</v>
      </c>
      <c r="E39" s="67"/>
      <c r="F39" s="68"/>
      <c r="G39" s="69" t="s">
        <v>79</v>
      </c>
      <c r="H39" s="4" t="s">
        <v>458</v>
      </c>
      <c r="I39" s="4" t="s">
        <v>411</v>
      </c>
      <c r="J39" s="4"/>
      <c r="K39" s="78" t="s">
        <v>460</v>
      </c>
      <c r="L39" s="105" t="s">
        <v>461</v>
      </c>
      <c r="M39" s="106" t="s">
        <v>461</v>
      </c>
    </row>
    <row r="40" spans="2:13" x14ac:dyDescent="0.25">
      <c r="B40" s="55"/>
      <c r="C40" s="65" t="s">
        <v>177</v>
      </c>
      <c r="D40" s="66">
        <v>1</v>
      </c>
      <c r="E40" s="67"/>
      <c r="F40" s="68"/>
      <c r="G40" s="69" t="s">
        <v>79</v>
      </c>
      <c r="H40" s="4" t="s">
        <v>458</v>
      </c>
      <c r="I40" s="4" t="s">
        <v>411</v>
      </c>
      <c r="J40" s="4"/>
      <c r="K40" s="78" t="s">
        <v>463</v>
      </c>
      <c r="L40" s="105" t="s">
        <v>474</v>
      </c>
      <c r="M40" s="106" t="s">
        <v>474</v>
      </c>
    </row>
    <row r="41" spans="2:13" x14ac:dyDescent="0.25">
      <c r="B41" s="55"/>
      <c r="C41" s="65" t="s">
        <v>178</v>
      </c>
      <c r="D41" s="66"/>
      <c r="E41" s="67"/>
      <c r="F41" s="68"/>
      <c r="G41" s="69"/>
      <c r="H41" s="4" t="s">
        <v>475</v>
      </c>
      <c r="I41" s="4"/>
      <c r="J41" s="4"/>
      <c r="K41" s="78"/>
      <c r="L41" s="105"/>
      <c r="M41" s="106"/>
    </row>
    <row r="42" spans="2:13" x14ac:dyDescent="0.25">
      <c r="B42" s="55"/>
      <c r="C42" s="65" t="s">
        <v>179</v>
      </c>
      <c r="D42" s="66">
        <v>1</v>
      </c>
      <c r="E42" s="67"/>
      <c r="F42" s="68"/>
      <c r="G42" s="69" t="s">
        <v>79</v>
      </c>
      <c r="H42" s="4" t="s">
        <v>458</v>
      </c>
      <c r="I42" s="4" t="s">
        <v>476</v>
      </c>
      <c r="J42" s="4"/>
      <c r="K42" s="78" t="s">
        <v>460</v>
      </c>
      <c r="L42" s="105" t="s">
        <v>477</v>
      </c>
      <c r="M42" s="106" t="s">
        <v>478</v>
      </c>
    </row>
    <row r="43" spans="2:13" x14ac:dyDescent="0.25">
      <c r="B43" s="55"/>
      <c r="C43" s="65" t="s">
        <v>180</v>
      </c>
      <c r="D43" s="66"/>
      <c r="E43" s="67">
        <v>1</v>
      </c>
      <c r="F43" s="68">
        <v>1</v>
      </c>
      <c r="G43" s="69" t="s">
        <v>79</v>
      </c>
      <c r="H43" s="4" t="s">
        <v>458</v>
      </c>
      <c r="I43" s="4" t="s">
        <v>479</v>
      </c>
      <c r="J43" s="4"/>
      <c r="K43" s="78" t="s">
        <v>480</v>
      </c>
      <c r="L43" s="105" t="s">
        <v>481</v>
      </c>
      <c r="M43" s="106" t="s">
        <v>482</v>
      </c>
    </row>
    <row r="44" spans="2:13" x14ac:dyDescent="0.25">
      <c r="B44" s="55"/>
      <c r="C44" s="65" t="s">
        <v>181</v>
      </c>
      <c r="D44" s="66">
        <v>1</v>
      </c>
      <c r="E44" s="67"/>
      <c r="F44" s="68"/>
      <c r="G44" s="69" t="s">
        <v>79</v>
      </c>
      <c r="H44" s="103" t="s">
        <v>471</v>
      </c>
      <c r="I44" s="103" t="s">
        <v>483</v>
      </c>
      <c r="J44" s="103"/>
      <c r="K44" s="62" t="s">
        <v>484</v>
      </c>
      <c r="L44" s="116" t="s">
        <v>485</v>
      </c>
      <c r="M44" s="106" t="s">
        <v>486</v>
      </c>
    </row>
    <row r="45" spans="2:13" x14ac:dyDescent="0.25">
      <c r="B45" s="55"/>
      <c r="C45" s="65" t="s">
        <v>182</v>
      </c>
      <c r="D45" s="66"/>
      <c r="E45" s="67"/>
      <c r="F45" s="68"/>
      <c r="G45" s="69"/>
      <c r="H45" s="4" t="s">
        <v>458</v>
      </c>
      <c r="I45" s="4"/>
      <c r="J45" s="4"/>
      <c r="K45" s="78"/>
      <c r="L45" s="105"/>
      <c r="M45" s="106"/>
    </row>
    <row r="46" spans="2:13" x14ac:dyDescent="0.25">
      <c r="B46" s="55"/>
      <c r="C46" s="65" t="s">
        <v>183</v>
      </c>
      <c r="D46" s="66">
        <v>1</v>
      </c>
      <c r="E46" s="67"/>
      <c r="F46" s="68"/>
      <c r="G46" s="69" t="s">
        <v>79</v>
      </c>
      <c r="H46" s="4" t="s">
        <v>487</v>
      </c>
      <c r="I46" s="4" t="s">
        <v>488</v>
      </c>
      <c r="J46" s="4"/>
      <c r="K46" s="78" t="s">
        <v>460</v>
      </c>
      <c r="L46" s="105" t="s">
        <v>489</v>
      </c>
      <c r="M46" s="106" t="s">
        <v>489</v>
      </c>
    </row>
    <row r="47" spans="2:13" x14ac:dyDescent="0.25">
      <c r="B47" s="55"/>
      <c r="C47" s="65" t="s">
        <v>184</v>
      </c>
      <c r="D47" s="66"/>
      <c r="E47" s="67">
        <v>1</v>
      </c>
      <c r="F47" s="68">
        <v>1</v>
      </c>
      <c r="G47" s="69" t="s">
        <v>79</v>
      </c>
      <c r="H47" s="4" t="s">
        <v>490</v>
      </c>
      <c r="I47" s="4" t="s">
        <v>491</v>
      </c>
      <c r="J47" s="4"/>
      <c r="K47" s="78" t="s">
        <v>463</v>
      </c>
      <c r="L47" s="105" t="s">
        <v>482</v>
      </c>
      <c r="M47" s="106" t="s">
        <v>492</v>
      </c>
    </row>
    <row r="48" spans="2:13" x14ac:dyDescent="0.25">
      <c r="B48" s="55"/>
      <c r="C48" s="65" t="s">
        <v>185</v>
      </c>
      <c r="D48" s="66">
        <v>1</v>
      </c>
      <c r="E48" s="67"/>
      <c r="F48" s="68"/>
      <c r="G48" s="69" t="s">
        <v>79</v>
      </c>
      <c r="H48" s="4" t="s">
        <v>458</v>
      </c>
      <c r="I48" s="4" t="s">
        <v>488</v>
      </c>
      <c r="J48" s="4"/>
      <c r="K48" s="78" t="s">
        <v>493</v>
      </c>
      <c r="L48" s="105" t="s">
        <v>494</v>
      </c>
      <c r="M48" s="106" t="s">
        <v>495</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496</v>
      </c>
      <c r="C54" s="46" t="s">
        <v>207</v>
      </c>
      <c r="D54" s="47" t="s">
        <v>497</v>
      </c>
      <c r="E54" s="48" t="s">
        <v>314</v>
      </c>
      <c r="F54" s="49" t="s">
        <v>337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498</v>
      </c>
      <c r="H56" s="103"/>
      <c r="I56" s="103"/>
      <c r="J56" s="103"/>
      <c r="K56" s="62" t="s">
        <v>86</v>
      </c>
      <c r="L56" s="121"/>
      <c r="M56" s="122" t="s">
        <v>499</v>
      </c>
    </row>
    <row r="57" spans="2:19" x14ac:dyDescent="0.25">
      <c r="B57" s="55"/>
      <c r="C57" s="56" t="s">
        <v>20</v>
      </c>
      <c r="D57" s="57">
        <v>1</v>
      </c>
      <c r="E57" s="58"/>
      <c r="F57" s="59"/>
      <c r="G57" s="120" t="s">
        <v>500</v>
      </c>
      <c r="H57" s="103"/>
      <c r="I57" s="103"/>
      <c r="J57" s="103"/>
      <c r="K57" s="62" t="s">
        <v>501</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321</v>
      </c>
      <c r="I59" s="4" t="s">
        <v>329</v>
      </c>
      <c r="J59" s="4" t="s">
        <v>322</v>
      </c>
      <c r="K59" s="78" t="s">
        <v>460</v>
      </c>
      <c r="L59" s="123" t="s">
        <v>502</v>
      </c>
      <c r="M59" s="124" t="str">
        <f>CONCATENATE(O59,P59,Q59,R59,S59)</f>
        <v>請確認是否符合 左端上層筋下限 規定</v>
      </c>
      <c r="N59" s="6" t="str">
        <f>C59</f>
        <v>0205</v>
      </c>
      <c r="O59" s="6" t="s">
        <v>424</v>
      </c>
      <c r="P59" s="6" t="str">
        <f t="shared" ref="P59:Q62" si="2">I59</f>
        <v>左端</v>
      </c>
      <c r="Q59" s="6" t="str">
        <f t="shared" si="2"/>
        <v>上層筋</v>
      </c>
      <c r="R59" s="6" t="s">
        <v>503</v>
      </c>
      <c r="S59" s="6" t="s">
        <v>421</v>
      </c>
    </row>
    <row r="60" spans="2:19" x14ac:dyDescent="0.25">
      <c r="B60" s="55"/>
      <c r="C60" s="65" t="s">
        <v>23</v>
      </c>
      <c r="D60" s="66"/>
      <c r="E60" s="67"/>
      <c r="F60" s="68">
        <v>1</v>
      </c>
      <c r="G60" s="77" t="s">
        <v>190</v>
      </c>
      <c r="H60" s="4" t="s">
        <v>321</v>
      </c>
      <c r="I60" s="4" t="s">
        <v>329</v>
      </c>
      <c r="J60" s="4" t="s">
        <v>322</v>
      </c>
      <c r="K60" s="78" t="s">
        <v>504</v>
      </c>
      <c r="L60" s="123" t="s">
        <v>505</v>
      </c>
      <c r="M60" s="124" t="str">
        <f>CONCATENATE(O60,P60,Q60,R60,S60)</f>
        <v>請確認是否符合 左端上層筋上限 規定</v>
      </c>
      <c r="N60" s="6" t="str">
        <f t="shared" ref="N60:N107" si="3">C60</f>
        <v>0206</v>
      </c>
      <c r="O60" s="6" t="s">
        <v>424</v>
      </c>
      <c r="P60" s="6" t="str">
        <f t="shared" si="2"/>
        <v>左端</v>
      </c>
      <c r="Q60" s="6" t="str">
        <f t="shared" si="2"/>
        <v>上層筋</v>
      </c>
      <c r="R60" s="6" t="s">
        <v>506</v>
      </c>
      <c r="S60" s="6" t="s">
        <v>421</v>
      </c>
    </row>
    <row r="61" spans="2:19" x14ac:dyDescent="0.25">
      <c r="B61" s="55"/>
      <c r="C61" s="65" t="s">
        <v>24</v>
      </c>
      <c r="D61" s="66">
        <v>1</v>
      </c>
      <c r="E61" s="67"/>
      <c r="F61" s="68"/>
      <c r="G61" s="77" t="s">
        <v>190</v>
      </c>
      <c r="H61" s="4" t="s">
        <v>321</v>
      </c>
      <c r="I61" s="4" t="s">
        <v>331</v>
      </c>
      <c r="J61" s="4" t="s">
        <v>322</v>
      </c>
      <c r="K61" s="78" t="s">
        <v>460</v>
      </c>
      <c r="L61" s="123" t="s">
        <v>502</v>
      </c>
      <c r="M61" s="124" t="str">
        <f>CONCATENATE(O61,P61,Q61,R61,S61)</f>
        <v>請確認是否符合 右端上層筋下限 規定</v>
      </c>
      <c r="N61" s="6" t="str">
        <f t="shared" si="3"/>
        <v>0207</v>
      </c>
      <c r="O61" s="6" t="s">
        <v>420</v>
      </c>
      <c r="P61" s="6" t="str">
        <f t="shared" si="2"/>
        <v>右端</v>
      </c>
      <c r="Q61" s="6" t="str">
        <f t="shared" si="2"/>
        <v>上層筋</v>
      </c>
      <c r="R61" s="6" t="s">
        <v>380</v>
      </c>
      <c r="S61" s="6" t="s">
        <v>421</v>
      </c>
    </row>
    <row r="62" spans="2:19" x14ac:dyDescent="0.25">
      <c r="B62" s="55"/>
      <c r="C62" s="65" t="s">
        <v>25</v>
      </c>
      <c r="D62" s="66"/>
      <c r="E62" s="67"/>
      <c r="F62" s="68">
        <v>1</v>
      </c>
      <c r="G62" s="77" t="s">
        <v>190</v>
      </c>
      <c r="H62" s="4" t="s">
        <v>321</v>
      </c>
      <c r="I62" s="4" t="s">
        <v>331</v>
      </c>
      <c r="J62" s="4" t="s">
        <v>322</v>
      </c>
      <c r="K62" s="78" t="s">
        <v>507</v>
      </c>
      <c r="L62" s="123" t="s">
        <v>508</v>
      </c>
      <c r="M62" s="124" t="str">
        <f>CONCATENATE(O62,P62,Q62,R62,S62)</f>
        <v>請確認是否符合 右端上層筋上限 規定</v>
      </c>
      <c r="N62" s="6" t="str">
        <f t="shared" si="3"/>
        <v>0208</v>
      </c>
      <c r="O62" s="6" t="s">
        <v>424</v>
      </c>
      <c r="P62" s="6" t="str">
        <f t="shared" si="2"/>
        <v>右端</v>
      </c>
      <c r="Q62" s="6" t="str">
        <f t="shared" si="2"/>
        <v>上層筋</v>
      </c>
      <c r="R62" s="6" t="s">
        <v>347</v>
      </c>
      <c r="S62" s="6" t="s">
        <v>421</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321</v>
      </c>
      <c r="I64" s="4" t="s">
        <v>329</v>
      </c>
      <c r="J64" s="4" t="s">
        <v>325</v>
      </c>
      <c r="K64" s="78" t="s">
        <v>460</v>
      </c>
      <c r="L64" s="123" t="s">
        <v>502</v>
      </c>
      <c r="M64" s="124" t="str">
        <f>CONCATENATE(O64,P64,Q64,R64,S64)</f>
        <v>請確認是否符合 左端下層筋下限 規定</v>
      </c>
      <c r="N64" s="6" t="str">
        <f t="shared" si="3"/>
        <v>0210</v>
      </c>
      <c r="O64" s="6" t="s">
        <v>424</v>
      </c>
      <c r="P64" s="6" t="str">
        <f t="shared" ref="P64:Q67" si="4">I64</f>
        <v>左端</v>
      </c>
      <c r="Q64" s="6" t="str">
        <f t="shared" si="4"/>
        <v>下層筋</v>
      </c>
      <c r="R64" s="6" t="s">
        <v>380</v>
      </c>
      <c r="S64" s="6" t="s">
        <v>421</v>
      </c>
    </row>
    <row r="65" spans="2:19" x14ac:dyDescent="0.25">
      <c r="B65" s="55"/>
      <c r="C65" s="65" t="s">
        <v>28</v>
      </c>
      <c r="D65" s="66"/>
      <c r="E65" s="67"/>
      <c r="F65" s="68">
        <v>1</v>
      </c>
      <c r="G65" s="77" t="s">
        <v>190</v>
      </c>
      <c r="H65" s="4" t="s">
        <v>321</v>
      </c>
      <c r="I65" s="4" t="s">
        <v>329</v>
      </c>
      <c r="J65" s="4" t="s">
        <v>325</v>
      </c>
      <c r="K65" s="78" t="s">
        <v>480</v>
      </c>
      <c r="L65" s="123" t="s">
        <v>509</v>
      </c>
      <c r="M65" s="124" t="str">
        <f>CONCATENATE(O65,P65,Q65,R65,S65)</f>
        <v>請確認是否符合 左端下層筋上限 規定</v>
      </c>
      <c r="N65" s="6" t="str">
        <f t="shared" si="3"/>
        <v>0211</v>
      </c>
      <c r="O65" s="6" t="s">
        <v>510</v>
      </c>
      <c r="P65" s="6" t="str">
        <f t="shared" si="4"/>
        <v>左端</v>
      </c>
      <c r="Q65" s="6" t="str">
        <f t="shared" si="4"/>
        <v>下層筋</v>
      </c>
      <c r="R65" s="6" t="s">
        <v>511</v>
      </c>
      <c r="S65" s="6" t="s">
        <v>421</v>
      </c>
    </row>
    <row r="66" spans="2:19" x14ac:dyDescent="0.25">
      <c r="B66" s="55"/>
      <c r="C66" s="65" t="s">
        <v>29</v>
      </c>
      <c r="D66" s="66">
        <v>1</v>
      </c>
      <c r="E66" s="67"/>
      <c r="F66" s="68"/>
      <c r="G66" s="77" t="s">
        <v>190</v>
      </c>
      <c r="H66" s="4" t="s">
        <v>321</v>
      </c>
      <c r="I66" s="4" t="s">
        <v>331</v>
      </c>
      <c r="J66" s="4" t="s">
        <v>325</v>
      </c>
      <c r="K66" s="78" t="s">
        <v>512</v>
      </c>
      <c r="L66" s="123" t="s">
        <v>513</v>
      </c>
      <c r="M66" s="124" t="str">
        <f>CONCATENATE(O66,P66,Q66,R66,S66)</f>
        <v>請確認是否符合 右端下層筋下限 規定</v>
      </c>
      <c r="N66" s="6" t="str">
        <f t="shared" si="3"/>
        <v>0212</v>
      </c>
      <c r="O66" s="6" t="s">
        <v>510</v>
      </c>
      <c r="P66" s="6" t="str">
        <f t="shared" si="4"/>
        <v>右端</v>
      </c>
      <c r="Q66" s="6" t="str">
        <f t="shared" si="4"/>
        <v>下層筋</v>
      </c>
      <c r="R66" s="6" t="s">
        <v>514</v>
      </c>
      <c r="S66" s="6" t="s">
        <v>421</v>
      </c>
    </row>
    <row r="67" spans="2:19" x14ac:dyDescent="0.25">
      <c r="B67" s="55"/>
      <c r="C67" s="65" t="s">
        <v>30</v>
      </c>
      <c r="D67" s="66"/>
      <c r="E67" s="67"/>
      <c r="F67" s="68">
        <v>1</v>
      </c>
      <c r="G67" s="77" t="s">
        <v>190</v>
      </c>
      <c r="H67" s="4" t="s">
        <v>321</v>
      </c>
      <c r="I67" s="4" t="s">
        <v>331</v>
      </c>
      <c r="J67" s="4" t="s">
        <v>325</v>
      </c>
      <c r="K67" s="78" t="s">
        <v>515</v>
      </c>
      <c r="L67" s="123" t="s">
        <v>516</v>
      </c>
      <c r="M67" s="124" t="str">
        <f>CONCATENATE(O67,P67,Q67,R67,S67)</f>
        <v>請確認是否符合 右端下層筋上限 規定</v>
      </c>
      <c r="N67" s="6" t="str">
        <f t="shared" si="3"/>
        <v>0213</v>
      </c>
      <c r="O67" s="6" t="s">
        <v>517</v>
      </c>
      <c r="P67" s="6" t="str">
        <f t="shared" si="4"/>
        <v>右端</v>
      </c>
      <c r="Q67" s="6" t="str">
        <f t="shared" si="4"/>
        <v>下層筋</v>
      </c>
      <c r="R67" s="6" t="s">
        <v>506</v>
      </c>
      <c r="S67" s="6" t="s">
        <v>518</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321</v>
      </c>
      <c r="I69" s="4" t="s">
        <v>328</v>
      </c>
      <c r="J69" s="4" t="s">
        <v>322</v>
      </c>
      <c r="K69" s="78" t="s">
        <v>512</v>
      </c>
      <c r="L69" s="123" t="s">
        <v>519</v>
      </c>
      <c r="M69" s="124" t="str">
        <f>CONCATENATE(O69,P69,Q69,R69,S69)</f>
        <v>請確認是否符合 中央上層筋下限 規定</v>
      </c>
      <c r="N69" s="6" t="str">
        <f t="shared" si="3"/>
        <v>0215</v>
      </c>
      <c r="O69" s="6" t="s">
        <v>510</v>
      </c>
      <c r="P69" s="6" t="str">
        <f t="shared" ref="P69:Q72" si="5">I69</f>
        <v>中央</v>
      </c>
      <c r="Q69" s="6" t="str">
        <f t="shared" si="5"/>
        <v>上層筋</v>
      </c>
      <c r="R69" s="6" t="s">
        <v>520</v>
      </c>
      <c r="S69" s="6" t="s">
        <v>521</v>
      </c>
    </row>
    <row r="70" spans="2:19" x14ac:dyDescent="0.25">
      <c r="B70" s="55"/>
      <c r="C70" s="65" t="s">
        <v>80</v>
      </c>
      <c r="D70" s="66"/>
      <c r="E70" s="67">
        <v>1</v>
      </c>
      <c r="F70" s="68"/>
      <c r="G70" s="77" t="s">
        <v>190</v>
      </c>
      <c r="H70" s="4" t="s">
        <v>321</v>
      </c>
      <c r="I70" s="4" t="s">
        <v>328</v>
      </c>
      <c r="J70" s="4" t="s">
        <v>322</v>
      </c>
      <c r="K70" s="78" t="s">
        <v>522</v>
      </c>
      <c r="L70" s="123" t="s">
        <v>523</v>
      </c>
      <c r="M70" s="124" t="str">
        <f>CONCATENATE(O70,P70,Q70,R70,S70)</f>
        <v>請確認是否符合 中央上層筋相對鋼筋量 規定</v>
      </c>
      <c r="N70" s="6" t="str">
        <f t="shared" si="3"/>
        <v>0216</v>
      </c>
      <c r="O70" s="6" t="s">
        <v>524</v>
      </c>
      <c r="P70" s="6" t="str">
        <f t="shared" si="5"/>
        <v>中央</v>
      </c>
      <c r="Q70" s="6" t="str">
        <f t="shared" si="5"/>
        <v>上層筋</v>
      </c>
      <c r="R70" s="6" t="str">
        <f>K70</f>
        <v>相對鋼筋量</v>
      </c>
      <c r="S70" s="6" t="s">
        <v>425</v>
      </c>
    </row>
    <row r="71" spans="2:19" x14ac:dyDescent="0.25">
      <c r="B71" s="55"/>
      <c r="C71" s="65" t="s">
        <v>81</v>
      </c>
      <c r="D71" s="66"/>
      <c r="E71" s="67"/>
      <c r="F71" s="68"/>
      <c r="G71" s="77" t="s">
        <v>189</v>
      </c>
      <c r="H71" s="4" t="s">
        <v>321</v>
      </c>
      <c r="I71" s="4" t="s">
        <v>328</v>
      </c>
      <c r="J71" s="4" t="s">
        <v>325</v>
      </c>
      <c r="K71" s="78" t="s">
        <v>525</v>
      </c>
      <c r="L71" s="123" t="s">
        <v>526</v>
      </c>
      <c r="M71" s="124" t="s">
        <v>527</v>
      </c>
    </row>
    <row r="72" spans="2:19" x14ac:dyDescent="0.25">
      <c r="B72" s="55"/>
      <c r="C72" s="65" t="s">
        <v>81</v>
      </c>
      <c r="D72" s="66">
        <v>1</v>
      </c>
      <c r="E72" s="67"/>
      <c r="F72" s="68">
        <v>1</v>
      </c>
      <c r="G72" s="77" t="s">
        <v>190</v>
      </c>
      <c r="H72" s="4" t="s">
        <v>321</v>
      </c>
      <c r="I72" s="4" t="s">
        <v>328</v>
      </c>
      <c r="J72" s="4" t="s">
        <v>325</v>
      </c>
      <c r="K72" s="78" t="s">
        <v>463</v>
      </c>
      <c r="L72" s="123" t="s">
        <v>516</v>
      </c>
      <c r="M72" s="124" t="str">
        <f>CONCATENATE(O72,P72,Q72,R72,S72)</f>
        <v>請確認是否符合 中央下層筋上限 規定</v>
      </c>
      <c r="N72" s="6" t="str">
        <f t="shared" si="3"/>
        <v>0217</v>
      </c>
      <c r="O72" s="6" t="s">
        <v>524</v>
      </c>
      <c r="P72" s="6" t="str">
        <f t="shared" si="5"/>
        <v>中央</v>
      </c>
      <c r="Q72" s="6" t="str">
        <f t="shared" si="5"/>
        <v>下層筋</v>
      </c>
      <c r="R72" s="6" t="s">
        <v>528</v>
      </c>
      <c r="S72" s="6" t="s">
        <v>421</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529</v>
      </c>
      <c r="H74" s="103" t="s">
        <v>530</v>
      </c>
      <c r="I74" s="103" t="s">
        <v>531</v>
      </c>
      <c r="J74" s="103" t="s">
        <v>532</v>
      </c>
      <c r="K74" s="62" t="s">
        <v>533</v>
      </c>
      <c r="L74" s="125" t="s">
        <v>534</v>
      </c>
      <c r="M74" s="126" t="str">
        <f>CONCATENATE(O74,P74,Q74,R74,S74)</f>
        <v>請確認是否符合 左端上層筋下限 規定</v>
      </c>
      <c r="N74" s="6" t="str">
        <f t="shared" si="3"/>
        <v>0219</v>
      </c>
      <c r="O74" s="6" t="s">
        <v>424</v>
      </c>
      <c r="P74" s="6" t="str">
        <f t="shared" ref="P74:Q77" si="6">I74</f>
        <v>左端</v>
      </c>
      <c r="Q74" s="6" t="str">
        <f t="shared" si="6"/>
        <v>上層筋</v>
      </c>
      <c r="R74" s="6" t="s">
        <v>535</v>
      </c>
      <c r="S74" s="6" t="s">
        <v>421</v>
      </c>
    </row>
    <row r="75" spans="2:19" x14ac:dyDescent="0.25">
      <c r="B75" s="55"/>
      <c r="C75" s="56" t="s">
        <v>102</v>
      </c>
      <c r="D75" s="57"/>
      <c r="E75" s="58"/>
      <c r="F75" s="59">
        <v>1</v>
      </c>
      <c r="G75" s="120" t="s">
        <v>536</v>
      </c>
      <c r="H75" s="103" t="s">
        <v>530</v>
      </c>
      <c r="I75" s="103" t="s">
        <v>531</v>
      </c>
      <c r="J75" s="103" t="s">
        <v>532</v>
      </c>
      <c r="K75" s="62" t="s">
        <v>537</v>
      </c>
      <c r="L75" s="125" t="s">
        <v>538</v>
      </c>
      <c r="M75" s="126" t="str">
        <f>CONCATENATE(O75,P75,Q75,R75,S75)</f>
        <v>請確認是否符合 左端上層筋上限 規定</v>
      </c>
      <c r="N75" s="6" t="str">
        <f t="shared" si="3"/>
        <v>0220</v>
      </c>
      <c r="O75" s="6" t="s">
        <v>424</v>
      </c>
      <c r="P75" s="6" t="str">
        <f t="shared" si="6"/>
        <v>左端</v>
      </c>
      <c r="Q75" s="6" t="str">
        <f t="shared" si="6"/>
        <v>上層筋</v>
      </c>
      <c r="R75" s="6" t="s">
        <v>347</v>
      </c>
      <c r="S75" s="6" t="s">
        <v>421</v>
      </c>
    </row>
    <row r="76" spans="2:19" x14ac:dyDescent="0.25">
      <c r="B76" s="55"/>
      <c r="C76" s="56" t="s">
        <v>103</v>
      </c>
      <c r="D76" s="57">
        <v>1</v>
      </c>
      <c r="E76" s="58"/>
      <c r="F76" s="59"/>
      <c r="G76" s="120" t="s">
        <v>536</v>
      </c>
      <c r="H76" s="103" t="s">
        <v>530</v>
      </c>
      <c r="I76" s="103" t="s">
        <v>539</v>
      </c>
      <c r="J76" s="103" t="s">
        <v>532</v>
      </c>
      <c r="K76" s="62" t="s">
        <v>540</v>
      </c>
      <c r="L76" s="125" t="s">
        <v>541</v>
      </c>
      <c r="M76" s="126" t="str">
        <f>CONCATENATE(O76,P76,Q76,R76,S76)</f>
        <v>請確認是否符合 右端上層筋下限 規定</v>
      </c>
      <c r="N76" s="6" t="str">
        <f t="shared" si="3"/>
        <v>0221</v>
      </c>
      <c r="O76" s="6" t="s">
        <v>524</v>
      </c>
      <c r="P76" s="6" t="str">
        <f t="shared" si="6"/>
        <v>右端</v>
      </c>
      <c r="Q76" s="6" t="str">
        <f t="shared" si="6"/>
        <v>上層筋</v>
      </c>
      <c r="R76" s="6" t="s">
        <v>535</v>
      </c>
      <c r="S76" s="6" t="s">
        <v>542</v>
      </c>
    </row>
    <row r="77" spans="2:19" x14ac:dyDescent="0.25">
      <c r="B77" s="55"/>
      <c r="C77" s="56" t="s">
        <v>104</v>
      </c>
      <c r="D77" s="57"/>
      <c r="E77" s="58"/>
      <c r="F77" s="59">
        <v>1</v>
      </c>
      <c r="G77" s="120" t="s">
        <v>543</v>
      </c>
      <c r="H77" s="103" t="s">
        <v>530</v>
      </c>
      <c r="I77" s="103" t="s">
        <v>539</v>
      </c>
      <c r="J77" s="103" t="s">
        <v>532</v>
      </c>
      <c r="K77" s="62" t="s">
        <v>544</v>
      </c>
      <c r="L77" s="125" t="s">
        <v>545</v>
      </c>
      <c r="M77" s="126" t="str">
        <f>CONCATENATE(O77,P77,Q77,R77,S77)</f>
        <v>請確認是否符合 右端上層筋上限 規定</v>
      </c>
      <c r="N77" s="6" t="str">
        <f t="shared" si="3"/>
        <v>0222</v>
      </c>
      <c r="O77" s="6" t="s">
        <v>424</v>
      </c>
      <c r="P77" s="6" t="str">
        <f t="shared" si="6"/>
        <v>右端</v>
      </c>
      <c r="Q77" s="6" t="str">
        <f t="shared" si="6"/>
        <v>上層筋</v>
      </c>
      <c r="R77" s="6" t="s">
        <v>546</v>
      </c>
      <c r="S77" s="6" t="s">
        <v>547</v>
      </c>
    </row>
    <row r="78" spans="2:19" x14ac:dyDescent="0.25">
      <c r="B78" s="55"/>
      <c r="C78" s="56" t="s">
        <v>105</v>
      </c>
      <c r="D78" s="57"/>
      <c r="E78" s="58"/>
      <c r="F78" s="59"/>
      <c r="G78" s="120" t="s">
        <v>543</v>
      </c>
      <c r="H78" s="103"/>
      <c r="I78" s="103"/>
      <c r="J78" s="103"/>
      <c r="K78" s="62"/>
      <c r="L78" s="125"/>
      <c r="M78" s="126"/>
      <c r="N78" s="6" t="str">
        <f t="shared" si="3"/>
        <v>0223</v>
      </c>
    </row>
    <row r="79" spans="2:19" x14ac:dyDescent="0.25">
      <c r="B79" s="55"/>
      <c r="C79" s="56" t="s">
        <v>106</v>
      </c>
      <c r="D79" s="57">
        <v>1</v>
      </c>
      <c r="E79" s="58"/>
      <c r="F79" s="59"/>
      <c r="G79" s="120" t="s">
        <v>548</v>
      </c>
      <c r="H79" s="103" t="s">
        <v>530</v>
      </c>
      <c r="I79" s="103" t="s">
        <v>531</v>
      </c>
      <c r="J79" s="103" t="s">
        <v>549</v>
      </c>
      <c r="K79" s="62" t="s">
        <v>468</v>
      </c>
      <c r="L79" s="125" t="s">
        <v>534</v>
      </c>
      <c r="M79" s="126" t="str">
        <f>CONCATENATE(O79,P79,Q79,R79,S79)</f>
        <v>請確認是否符合 左端下層筋下限 規定</v>
      </c>
      <c r="N79" s="6" t="str">
        <f t="shared" si="3"/>
        <v>0224</v>
      </c>
      <c r="O79" s="6" t="s">
        <v>510</v>
      </c>
      <c r="P79" s="6" t="str">
        <f t="shared" ref="P79:Q82" si="7">I79</f>
        <v>左端</v>
      </c>
      <c r="Q79" s="6" t="str">
        <f t="shared" si="7"/>
        <v>下層筋</v>
      </c>
      <c r="R79" s="6" t="s">
        <v>520</v>
      </c>
      <c r="S79" s="6" t="s">
        <v>421</v>
      </c>
    </row>
    <row r="80" spans="2:19" x14ac:dyDescent="0.25">
      <c r="B80" s="55"/>
      <c r="C80" s="56" t="s">
        <v>107</v>
      </c>
      <c r="D80" s="57"/>
      <c r="E80" s="58"/>
      <c r="F80" s="59">
        <v>1</v>
      </c>
      <c r="G80" s="120" t="s">
        <v>543</v>
      </c>
      <c r="H80" s="103" t="s">
        <v>530</v>
      </c>
      <c r="I80" s="103" t="s">
        <v>531</v>
      </c>
      <c r="J80" s="103" t="s">
        <v>549</v>
      </c>
      <c r="K80" s="62" t="s">
        <v>537</v>
      </c>
      <c r="L80" s="125" t="s">
        <v>550</v>
      </c>
      <c r="M80" s="126" t="str">
        <f>CONCATENATE(O80,P80,Q80,R80,S80)</f>
        <v>請確認是否符合 左端下層筋上限 規定</v>
      </c>
      <c r="N80" s="6" t="str">
        <f t="shared" si="3"/>
        <v>0225</v>
      </c>
      <c r="O80" s="6" t="s">
        <v>510</v>
      </c>
      <c r="P80" s="6" t="str">
        <f t="shared" si="7"/>
        <v>左端</v>
      </c>
      <c r="Q80" s="6" t="str">
        <f t="shared" si="7"/>
        <v>下層筋</v>
      </c>
      <c r="R80" s="6" t="s">
        <v>528</v>
      </c>
      <c r="S80" s="6" t="s">
        <v>521</v>
      </c>
    </row>
    <row r="81" spans="2:19" x14ac:dyDescent="0.25">
      <c r="B81" s="55"/>
      <c r="C81" s="56" t="s">
        <v>108</v>
      </c>
      <c r="D81" s="57">
        <v>1</v>
      </c>
      <c r="E81" s="58"/>
      <c r="F81" s="59"/>
      <c r="G81" s="120" t="s">
        <v>529</v>
      </c>
      <c r="H81" s="103" t="s">
        <v>530</v>
      </c>
      <c r="I81" s="103" t="s">
        <v>539</v>
      </c>
      <c r="J81" s="103" t="s">
        <v>549</v>
      </c>
      <c r="K81" s="62" t="s">
        <v>540</v>
      </c>
      <c r="L81" s="125" t="s">
        <v>534</v>
      </c>
      <c r="M81" s="126" t="str">
        <f>CONCATENATE(O81,P81,Q81,R81,S81)</f>
        <v>請確認是否符合 右端下層筋下限 規定</v>
      </c>
      <c r="N81" s="6" t="str">
        <f t="shared" si="3"/>
        <v>0226</v>
      </c>
      <c r="O81" s="6" t="s">
        <v>510</v>
      </c>
      <c r="P81" s="6" t="str">
        <f t="shared" si="7"/>
        <v>右端</v>
      </c>
      <c r="Q81" s="6" t="str">
        <f t="shared" si="7"/>
        <v>下層筋</v>
      </c>
      <c r="R81" s="6" t="s">
        <v>535</v>
      </c>
      <c r="S81" s="6" t="s">
        <v>521</v>
      </c>
    </row>
    <row r="82" spans="2:19" x14ac:dyDescent="0.25">
      <c r="B82" s="55"/>
      <c r="C82" s="56" t="s">
        <v>109</v>
      </c>
      <c r="D82" s="57"/>
      <c r="E82" s="58"/>
      <c r="F82" s="59">
        <v>1</v>
      </c>
      <c r="G82" s="120" t="s">
        <v>536</v>
      </c>
      <c r="H82" s="103" t="s">
        <v>530</v>
      </c>
      <c r="I82" s="103" t="s">
        <v>539</v>
      </c>
      <c r="J82" s="103" t="s">
        <v>549</v>
      </c>
      <c r="K82" s="62" t="s">
        <v>544</v>
      </c>
      <c r="L82" s="125" t="s">
        <v>550</v>
      </c>
      <c r="M82" s="126" t="str">
        <f>CONCATENATE(O82,P82,Q82,R82,S82)</f>
        <v>請確認是否符合 右端下層筋上限 規定</v>
      </c>
      <c r="N82" s="6" t="str">
        <f t="shared" si="3"/>
        <v>0227</v>
      </c>
      <c r="O82" s="6" t="s">
        <v>551</v>
      </c>
      <c r="P82" s="6" t="str">
        <f t="shared" si="7"/>
        <v>右端</v>
      </c>
      <c r="Q82" s="6" t="str">
        <f t="shared" si="7"/>
        <v>下層筋</v>
      </c>
      <c r="R82" s="6" t="s">
        <v>347</v>
      </c>
      <c r="S82" s="6" t="s">
        <v>521</v>
      </c>
    </row>
    <row r="83" spans="2:19" x14ac:dyDescent="0.25">
      <c r="B83" s="55"/>
      <c r="C83" s="56" t="s">
        <v>259</v>
      </c>
      <c r="D83" s="57"/>
      <c r="E83" s="58"/>
      <c r="F83" s="59"/>
      <c r="G83" s="120" t="s">
        <v>543</v>
      </c>
      <c r="H83" s="103"/>
      <c r="I83" s="103"/>
      <c r="J83" s="103"/>
      <c r="K83" s="62"/>
      <c r="L83" s="125"/>
      <c r="M83" s="126"/>
      <c r="N83" s="6" t="str">
        <f t="shared" si="3"/>
        <v>0228</v>
      </c>
    </row>
    <row r="84" spans="2:19" x14ac:dyDescent="0.25">
      <c r="B84" s="55"/>
      <c r="C84" s="56" t="s">
        <v>260</v>
      </c>
      <c r="D84" s="57">
        <v>1</v>
      </c>
      <c r="E84" s="58"/>
      <c r="F84" s="59"/>
      <c r="G84" s="120" t="s">
        <v>536</v>
      </c>
      <c r="H84" s="103" t="s">
        <v>530</v>
      </c>
      <c r="I84" s="103" t="s">
        <v>552</v>
      </c>
      <c r="J84" s="103" t="s">
        <v>532</v>
      </c>
      <c r="K84" s="62" t="s">
        <v>553</v>
      </c>
      <c r="L84" s="125" t="s">
        <v>554</v>
      </c>
      <c r="M84" s="126" t="str">
        <f>CONCATENATE(O84,P84,Q84,R84,S84)</f>
        <v>請確認是否符合 中央上層筋下限 規定</v>
      </c>
      <c r="N84" s="6" t="str">
        <f t="shared" si="3"/>
        <v>0229</v>
      </c>
      <c r="O84" s="6" t="s">
        <v>424</v>
      </c>
      <c r="P84" s="6" t="str">
        <f>I84</f>
        <v>中央</v>
      </c>
      <c r="Q84" s="6" t="str">
        <f t="shared" ref="Q84:R86" si="8">J84</f>
        <v>上層筋</v>
      </c>
      <c r="R84" s="6" t="s">
        <v>380</v>
      </c>
      <c r="S84" s="6" t="s">
        <v>542</v>
      </c>
    </row>
    <row r="85" spans="2:19" x14ac:dyDescent="0.25">
      <c r="B85" s="55"/>
      <c r="C85" s="56" t="s">
        <v>261</v>
      </c>
      <c r="D85" s="57">
        <v>1</v>
      </c>
      <c r="E85" s="58"/>
      <c r="F85" s="59">
        <v>1</v>
      </c>
      <c r="G85" s="120" t="s">
        <v>543</v>
      </c>
      <c r="H85" s="103" t="s">
        <v>530</v>
      </c>
      <c r="I85" s="103" t="s">
        <v>552</v>
      </c>
      <c r="J85" s="103" t="s">
        <v>532</v>
      </c>
      <c r="K85" s="62" t="s">
        <v>555</v>
      </c>
      <c r="L85" s="125" t="s">
        <v>556</v>
      </c>
      <c r="M85" s="126" t="str">
        <f>CONCATENATE(O85,P85,Q85,R85,S85)</f>
        <v>請確認是否符合 中央上層筋相對鋼筋量 規定</v>
      </c>
      <c r="N85" s="6" t="str">
        <f t="shared" si="3"/>
        <v>0230</v>
      </c>
      <c r="O85" s="6" t="s">
        <v>510</v>
      </c>
      <c r="P85" s="6" t="str">
        <f>I85</f>
        <v>中央</v>
      </c>
      <c r="Q85" s="6" t="str">
        <f t="shared" si="8"/>
        <v>上層筋</v>
      </c>
      <c r="R85" s="6" t="str">
        <f t="shared" si="8"/>
        <v>相對鋼筋量</v>
      </c>
      <c r="S85" s="6" t="s">
        <v>542</v>
      </c>
    </row>
    <row r="86" spans="2:19" x14ac:dyDescent="0.25">
      <c r="B86" s="55"/>
      <c r="C86" s="56" t="s">
        <v>262</v>
      </c>
      <c r="D86" s="57">
        <v>1</v>
      </c>
      <c r="E86" s="58"/>
      <c r="F86" s="59">
        <v>1</v>
      </c>
      <c r="G86" s="120" t="s">
        <v>543</v>
      </c>
      <c r="H86" s="103" t="s">
        <v>530</v>
      </c>
      <c r="I86" s="103" t="s">
        <v>552</v>
      </c>
      <c r="J86" s="103" t="s">
        <v>549</v>
      </c>
      <c r="K86" s="62" t="s">
        <v>537</v>
      </c>
      <c r="L86" s="125" t="s">
        <v>557</v>
      </c>
      <c r="M86" s="126" t="str">
        <f>CONCATENATE(O86,P86,Q86,R86,S86)</f>
        <v>請確認是否符合 中央下層筋上限 規定</v>
      </c>
      <c r="N86" s="6" t="str">
        <f t="shared" si="3"/>
        <v>0231</v>
      </c>
      <c r="O86" s="6" t="s">
        <v>510</v>
      </c>
      <c r="P86" s="6" t="str">
        <f>I86</f>
        <v>中央</v>
      </c>
      <c r="Q86" s="6" t="str">
        <f t="shared" si="8"/>
        <v>下層筋</v>
      </c>
      <c r="R86" s="6" t="s">
        <v>528</v>
      </c>
      <c r="S86" s="6" t="s">
        <v>542</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349</v>
      </c>
      <c r="J89" s="4"/>
      <c r="K89" s="78" t="s">
        <v>558</v>
      </c>
      <c r="L89" s="123" t="s">
        <v>559</v>
      </c>
      <c r="M89" s="124" t="str">
        <f>CONCATENATE(O89,P89,Q89,R89)</f>
        <v>請確認是否符合 單排支數下限 規定</v>
      </c>
      <c r="N89" s="6" t="str">
        <f t="shared" si="3"/>
        <v>0234</v>
      </c>
      <c r="O89" s="6" t="s">
        <v>424</v>
      </c>
      <c r="P89" s="6" t="str">
        <f>I89</f>
        <v>單排支數</v>
      </c>
      <c r="Q89" s="6" t="s">
        <v>514</v>
      </c>
      <c r="R89" s="6" t="s">
        <v>542</v>
      </c>
    </row>
    <row r="90" spans="2:19" x14ac:dyDescent="0.25">
      <c r="B90" s="55"/>
      <c r="C90" s="65" t="s">
        <v>266</v>
      </c>
      <c r="D90" s="66"/>
      <c r="E90" s="67">
        <v>1</v>
      </c>
      <c r="F90" s="68">
        <v>1</v>
      </c>
      <c r="G90" s="77" t="s">
        <v>189</v>
      </c>
      <c r="H90" s="4"/>
      <c r="I90" s="4" t="s">
        <v>349</v>
      </c>
      <c r="J90" s="4"/>
      <c r="K90" s="78" t="s">
        <v>560</v>
      </c>
      <c r="L90" s="123" t="s">
        <v>561</v>
      </c>
      <c r="M90" s="124" t="str">
        <f>CONCATENATE(O90,P90,Q90,R90)</f>
        <v>請確認是否符合 單排支數上限 規定</v>
      </c>
      <c r="N90" s="6" t="str">
        <f t="shared" si="3"/>
        <v>0235</v>
      </c>
      <c r="O90" s="6" t="s">
        <v>524</v>
      </c>
      <c r="P90" s="6" t="str">
        <f>I90</f>
        <v>單排支數</v>
      </c>
      <c r="Q90" s="6" t="s">
        <v>546</v>
      </c>
      <c r="R90" s="6" t="s">
        <v>425</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562</v>
      </c>
      <c r="J92" s="4"/>
      <c r="K92" s="78" t="s">
        <v>563</v>
      </c>
      <c r="L92" s="118" t="s">
        <v>564</v>
      </c>
      <c r="M92" s="124" t="str">
        <f>CONCATENATE(O92,P92,Q92,R92)</f>
        <v>請確認是否符合 箍筋間距下限 規定</v>
      </c>
      <c r="N92" s="6" t="str">
        <f t="shared" si="3"/>
        <v>0237</v>
      </c>
      <c r="O92" s="6" t="s">
        <v>424</v>
      </c>
      <c r="P92" s="6" t="str">
        <f>I92</f>
        <v>箍筋間距</v>
      </c>
      <c r="Q92" s="6" t="s">
        <v>565</v>
      </c>
      <c r="R92" s="6" t="s">
        <v>542</v>
      </c>
    </row>
    <row r="93" spans="2:19" x14ac:dyDescent="0.25">
      <c r="B93" s="55"/>
      <c r="C93" s="65" t="s">
        <v>269</v>
      </c>
      <c r="D93" s="66">
        <v>1</v>
      </c>
      <c r="E93" s="67">
        <v>1</v>
      </c>
      <c r="F93" s="68"/>
      <c r="G93" s="77" t="s">
        <v>189</v>
      </c>
      <c r="H93" s="4"/>
      <c r="I93" s="4" t="s">
        <v>562</v>
      </c>
      <c r="J93" s="4"/>
      <c r="K93" s="78" t="s">
        <v>566</v>
      </c>
      <c r="L93" s="118" t="s">
        <v>567</v>
      </c>
      <c r="M93" s="124" t="str">
        <f>CONCATENATE(O93,P93,Q93,R93)</f>
        <v>請確認是否符合 箍筋間距上限 規定</v>
      </c>
      <c r="N93" s="6" t="str">
        <f t="shared" si="3"/>
        <v>0238</v>
      </c>
      <c r="O93" s="6" t="s">
        <v>524</v>
      </c>
      <c r="P93" s="6" t="str">
        <f>I93</f>
        <v>箍筋間距</v>
      </c>
      <c r="Q93" s="6" t="s">
        <v>546</v>
      </c>
      <c r="R93" s="6" t="s">
        <v>542</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568</v>
      </c>
      <c r="J95" s="4"/>
      <c r="K95" s="78" t="s">
        <v>460</v>
      </c>
      <c r="L95" s="118" t="s">
        <v>87</v>
      </c>
      <c r="M95" s="124" t="str">
        <f>CONCATENATE(O95,P95,Q95,R95)</f>
        <v>請確認是否符合 剪力鋼筋量下限 規定</v>
      </c>
      <c r="N95" s="6" t="str">
        <f t="shared" si="3"/>
        <v>0240</v>
      </c>
      <c r="O95" s="6" t="s">
        <v>524</v>
      </c>
      <c r="P95" s="6" t="str">
        <f>I95</f>
        <v>剪力鋼筋量</v>
      </c>
      <c r="Q95" s="6" t="s">
        <v>514</v>
      </c>
      <c r="R95" s="6" t="s">
        <v>421</v>
      </c>
    </row>
    <row r="96" spans="2:19" x14ac:dyDescent="0.25">
      <c r="B96" s="55"/>
      <c r="C96" s="65" t="s">
        <v>272</v>
      </c>
      <c r="D96" s="66">
        <v>1</v>
      </c>
      <c r="E96" s="67">
        <v>1</v>
      </c>
      <c r="F96" s="68">
        <v>1</v>
      </c>
      <c r="G96" s="77" t="s">
        <v>189</v>
      </c>
      <c r="H96" s="4"/>
      <c r="I96" s="4" t="s">
        <v>568</v>
      </c>
      <c r="J96" s="4"/>
      <c r="K96" s="78" t="s">
        <v>566</v>
      </c>
      <c r="L96" s="118" t="s">
        <v>84</v>
      </c>
      <c r="M96" s="124" t="str">
        <f>CONCATENATE(O96,P96,Q96,R96)</f>
        <v>請確認是否符合 剪力鋼筋量上限 規定</v>
      </c>
      <c r="N96" s="6" t="str">
        <f t="shared" si="3"/>
        <v>0241</v>
      </c>
      <c r="O96" s="6" t="s">
        <v>424</v>
      </c>
      <c r="P96" s="6" t="str">
        <f>I96</f>
        <v>剪力鋼筋量</v>
      </c>
      <c r="Q96" s="6" t="s">
        <v>528</v>
      </c>
      <c r="R96" s="6" t="s">
        <v>421</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569</v>
      </c>
      <c r="C99" s="46" t="s">
        <v>206</v>
      </c>
      <c r="D99" s="47" t="s">
        <v>570</v>
      </c>
      <c r="E99" s="48" t="s">
        <v>314</v>
      </c>
      <c r="F99" s="49" t="s">
        <v>571</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510</v>
      </c>
      <c r="P101" s="6">
        <f>I101</f>
        <v>0</v>
      </c>
      <c r="Q101" s="6" t="s">
        <v>565</v>
      </c>
      <c r="R101" s="6" t="s">
        <v>421</v>
      </c>
    </row>
    <row r="102" spans="2:19" x14ac:dyDescent="0.25">
      <c r="B102" s="55"/>
      <c r="C102" s="56" t="s">
        <v>33</v>
      </c>
      <c r="D102" s="57">
        <v>1</v>
      </c>
      <c r="E102" s="58"/>
      <c r="F102" s="59">
        <v>1</v>
      </c>
      <c r="G102" s="120" t="s">
        <v>572</v>
      </c>
      <c r="H102" s="103"/>
      <c r="I102" s="103" t="s">
        <v>530</v>
      </c>
      <c r="J102" s="103"/>
      <c r="K102" s="62" t="s">
        <v>573</v>
      </c>
      <c r="L102" s="116" t="s">
        <v>574</v>
      </c>
      <c r="M102" s="126" t="str">
        <f>CONCATENATE(O102,P102,Q102,R102)</f>
        <v>請確認是否符合 主筋比上限 規定</v>
      </c>
      <c r="N102" s="6" t="str">
        <f t="shared" si="3"/>
        <v>0303</v>
      </c>
      <c r="O102" s="6" t="s">
        <v>575</v>
      </c>
      <c r="P102" s="6" t="str">
        <f>I102</f>
        <v>主筋比</v>
      </c>
      <c r="Q102" s="6" t="s">
        <v>546</v>
      </c>
      <c r="R102" s="6" t="s">
        <v>421</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576</v>
      </c>
      <c r="H104" s="4"/>
      <c r="I104" s="4" t="s">
        <v>577</v>
      </c>
      <c r="J104" s="4"/>
      <c r="K104" s="78" t="s">
        <v>558</v>
      </c>
      <c r="L104" s="123" t="s">
        <v>578</v>
      </c>
      <c r="M104" s="124" t="s">
        <v>579</v>
      </c>
      <c r="N104" s="6" t="str">
        <f t="shared" si="3"/>
        <v>0305</v>
      </c>
    </row>
    <row r="105" spans="2:19" x14ac:dyDescent="0.25">
      <c r="B105" s="55"/>
      <c r="C105" s="65" t="s">
        <v>35</v>
      </c>
      <c r="D105" s="66">
        <v>1</v>
      </c>
      <c r="E105" s="67">
        <v>1</v>
      </c>
      <c r="F105" s="68"/>
      <c r="G105" s="77" t="s">
        <v>580</v>
      </c>
      <c r="H105" s="4"/>
      <c r="I105" s="4" t="s">
        <v>581</v>
      </c>
      <c r="J105" s="4"/>
      <c r="K105" s="78" t="s">
        <v>582</v>
      </c>
      <c r="L105" s="123" t="s">
        <v>561</v>
      </c>
      <c r="M105" s="124" t="s">
        <v>583</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584</v>
      </c>
      <c r="H107" s="4"/>
      <c r="I107" s="4"/>
      <c r="J107" s="4"/>
      <c r="K107" s="78" t="s">
        <v>585</v>
      </c>
      <c r="L107" s="118" t="s">
        <v>586</v>
      </c>
      <c r="M107" s="119" t="s">
        <v>587</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281</v>
      </c>
      <c r="H109" s="4" t="s">
        <v>321</v>
      </c>
      <c r="I109" s="4" t="s">
        <v>329</v>
      </c>
      <c r="J109" s="4" t="s">
        <v>322</v>
      </c>
      <c r="K109" s="78" t="s">
        <v>525</v>
      </c>
      <c r="L109" s="118" t="s">
        <v>526</v>
      </c>
      <c r="M109" s="119" t="s">
        <v>588</v>
      </c>
    </row>
    <row r="110" spans="2:19" x14ac:dyDescent="0.25">
      <c r="B110" s="55"/>
      <c r="C110" s="65"/>
      <c r="D110" s="66"/>
      <c r="E110" s="67"/>
      <c r="F110" s="68"/>
      <c r="G110" s="77"/>
      <c r="H110" s="4"/>
      <c r="I110" s="4"/>
      <c r="J110" s="4"/>
      <c r="K110" s="78"/>
      <c r="L110" s="123"/>
      <c r="M110" s="124"/>
      <c r="N110" s="6">
        <f t="shared" ref="N110:N122" si="9">C110</f>
        <v>0</v>
      </c>
      <c r="O110" s="6" t="s">
        <v>524</v>
      </c>
      <c r="P110" s="6">
        <f t="shared" ref="P110:Q113" si="10">I110</f>
        <v>0</v>
      </c>
      <c r="Q110" s="6">
        <f t="shared" si="10"/>
        <v>0</v>
      </c>
      <c r="R110" s="6" t="s">
        <v>514</v>
      </c>
      <c r="S110" s="6" t="s">
        <v>421</v>
      </c>
    </row>
    <row r="111" spans="2:19" x14ac:dyDescent="0.25">
      <c r="B111" s="55"/>
      <c r="C111" s="65" t="s">
        <v>24</v>
      </c>
      <c r="D111" s="66">
        <v>1</v>
      </c>
      <c r="E111" s="67"/>
      <c r="F111" s="68"/>
      <c r="G111" s="77" t="s">
        <v>281</v>
      </c>
      <c r="H111" s="4" t="s">
        <v>321</v>
      </c>
      <c r="I111" s="4" t="s">
        <v>331</v>
      </c>
      <c r="J111" s="4" t="s">
        <v>322</v>
      </c>
      <c r="K111" s="78" t="s">
        <v>525</v>
      </c>
      <c r="L111" s="123" t="s">
        <v>526</v>
      </c>
      <c r="M111" s="124" t="s">
        <v>589</v>
      </c>
      <c r="N111" s="6" t="str">
        <f t="shared" si="9"/>
        <v>0207</v>
      </c>
      <c r="O111" s="6" t="s">
        <v>510</v>
      </c>
      <c r="P111" s="6" t="str">
        <f t="shared" si="10"/>
        <v>右端</v>
      </c>
      <c r="Q111" s="6" t="str">
        <f t="shared" si="10"/>
        <v>上層筋</v>
      </c>
      <c r="R111" s="6" t="s">
        <v>511</v>
      </c>
      <c r="S111" s="6" t="s">
        <v>421</v>
      </c>
    </row>
    <row r="112" spans="2:19" x14ac:dyDescent="0.25">
      <c r="B112" s="55"/>
      <c r="C112" s="65"/>
      <c r="D112" s="66"/>
      <c r="E112" s="67"/>
      <c r="F112" s="68"/>
      <c r="G112" s="77"/>
      <c r="H112" s="4"/>
      <c r="I112" s="4"/>
      <c r="J112" s="4"/>
      <c r="K112" s="78"/>
      <c r="L112" s="123"/>
      <c r="M112" s="124"/>
      <c r="N112" s="6">
        <f t="shared" si="9"/>
        <v>0</v>
      </c>
      <c r="O112" s="6" t="s">
        <v>524</v>
      </c>
      <c r="P112" s="6">
        <f t="shared" si="10"/>
        <v>0</v>
      </c>
      <c r="Q112" s="6">
        <f t="shared" si="10"/>
        <v>0</v>
      </c>
      <c r="R112" s="6" t="s">
        <v>380</v>
      </c>
      <c r="S112" s="6" t="s">
        <v>542</v>
      </c>
    </row>
    <row r="113" spans="2:19" x14ac:dyDescent="0.25">
      <c r="B113" s="55"/>
      <c r="C113" s="65" t="s">
        <v>26</v>
      </c>
      <c r="D113" s="66"/>
      <c r="E113" s="67"/>
      <c r="F113" s="68"/>
      <c r="G113" s="77" t="s">
        <v>281</v>
      </c>
      <c r="H113" s="4"/>
      <c r="I113" s="4"/>
      <c r="J113" s="4"/>
      <c r="K113" s="78"/>
      <c r="L113" s="123"/>
      <c r="M113" s="124"/>
      <c r="N113" s="6" t="str">
        <f t="shared" si="9"/>
        <v>0209</v>
      </c>
      <c r="O113" s="6" t="s">
        <v>424</v>
      </c>
      <c r="P113" s="6">
        <f t="shared" si="10"/>
        <v>0</v>
      </c>
      <c r="Q113" s="6">
        <f t="shared" si="10"/>
        <v>0</v>
      </c>
      <c r="R113" s="6" t="s">
        <v>546</v>
      </c>
      <c r="S113" s="6" t="s">
        <v>430</v>
      </c>
    </row>
    <row r="114" spans="2:19" x14ac:dyDescent="0.25">
      <c r="B114" s="55"/>
      <c r="C114" s="65" t="s">
        <v>27</v>
      </c>
      <c r="D114" s="66">
        <v>1</v>
      </c>
      <c r="E114" s="67"/>
      <c r="F114" s="68"/>
      <c r="G114" s="77" t="s">
        <v>281</v>
      </c>
      <c r="H114" s="4" t="s">
        <v>321</v>
      </c>
      <c r="I114" s="4" t="s">
        <v>329</v>
      </c>
      <c r="J114" s="4" t="s">
        <v>325</v>
      </c>
      <c r="K114" s="78" t="s">
        <v>525</v>
      </c>
      <c r="L114" s="123" t="s">
        <v>526</v>
      </c>
      <c r="M114" s="124" t="s">
        <v>590</v>
      </c>
      <c r="N114" s="6" t="str">
        <f t="shared" si="9"/>
        <v>0210</v>
      </c>
    </row>
    <row r="115" spans="2:19" x14ac:dyDescent="0.25">
      <c r="B115" s="55"/>
      <c r="C115" s="65"/>
      <c r="D115" s="66"/>
      <c r="E115" s="67"/>
      <c r="F115" s="68"/>
      <c r="G115" s="77"/>
      <c r="H115" s="4"/>
      <c r="I115" s="4"/>
      <c r="J115" s="4"/>
      <c r="K115" s="78"/>
      <c r="L115" s="123"/>
      <c r="M115" s="124"/>
      <c r="N115" s="6">
        <f t="shared" si="9"/>
        <v>0</v>
      </c>
      <c r="O115" s="6" t="s">
        <v>424</v>
      </c>
      <c r="P115" s="6">
        <f t="shared" ref="P115:Q118" si="11">I115</f>
        <v>0</v>
      </c>
      <c r="Q115" s="6">
        <f t="shared" si="11"/>
        <v>0</v>
      </c>
      <c r="R115" s="6" t="s">
        <v>380</v>
      </c>
      <c r="S115" s="6" t="s">
        <v>421</v>
      </c>
    </row>
    <row r="116" spans="2:19" x14ac:dyDescent="0.25">
      <c r="B116" s="55"/>
      <c r="C116" s="65" t="s">
        <v>29</v>
      </c>
      <c r="D116" s="66">
        <v>1</v>
      </c>
      <c r="E116" s="67"/>
      <c r="F116" s="68"/>
      <c r="G116" s="77" t="s">
        <v>281</v>
      </c>
      <c r="H116" s="4" t="s">
        <v>321</v>
      </c>
      <c r="I116" s="4" t="s">
        <v>331</v>
      </c>
      <c r="J116" s="4" t="s">
        <v>325</v>
      </c>
      <c r="K116" s="78" t="s">
        <v>525</v>
      </c>
      <c r="L116" s="123" t="s">
        <v>526</v>
      </c>
      <c r="M116" s="124" t="s">
        <v>591</v>
      </c>
      <c r="N116" s="6" t="str">
        <f t="shared" si="9"/>
        <v>0212</v>
      </c>
      <c r="O116" s="6" t="s">
        <v>510</v>
      </c>
      <c r="P116" s="6" t="str">
        <f t="shared" si="11"/>
        <v>右端</v>
      </c>
      <c r="Q116" s="6" t="str">
        <f t="shared" si="11"/>
        <v>下層筋</v>
      </c>
      <c r="R116" s="6" t="s">
        <v>347</v>
      </c>
      <c r="S116" s="6" t="s">
        <v>592</v>
      </c>
    </row>
    <row r="117" spans="2:19" x14ac:dyDescent="0.25">
      <c r="B117" s="55"/>
      <c r="C117" s="65"/>
      <c r="D117" s="66"/>
      <c r="E117" s="67"/>
      <c r="F117" s="68"/>
      <c r="G117" s="77"/>
      <c r="H117" s="4"/>
      <c r="I117" s="4"/>
      <c r="J117" s="4"/>
      <c r="K117" s="78"/>
      <c r="L117" s="123"/>
      <c r="M117" s="124"/>
      <c r="N117" s="6">
        <f t="shared" si="9"/>
        <v>0</v>
      </c>
      <c r="O117" s="6" t="s">
        <v>593</v>
      </c>
      <c r="P117" s="6">
        <f t="shared" si="11"/>
        <v>0</v>
      </c>
      <c r="Q117" s="6">
        <f t="shared" si="11"/>
        <v>0</v>
      </c>
      <c r="R117" s="6" t="s">
        <v>380</v>
      </c>
      <c r="S117" s="6" t="s">
        <v>521</v>
      </c>
    </row>
    <row r="118" spans="2:19" x14ac:dyDescent="0.25">
      <c r="B118" s="55"/>
      <c r="C118" s="65" t="s">
        <v>31</v>
      </c>
      <c r="D118" s="66"/>
      <c r="E118" s="67"/>
      <c r="F118" s="68"/>
      <c r="G118" s="77" t="s">
        <v>281</v>
      </c>
      <c r="H118" s="4"/>
      <c r="I118" s="4"/>
      <c r="J118" s="4"/>
      <c r="K118" s="78"/>
      <c r="L118" s="123"/>
      <c r="M118" s="124"/>
      <c r="N118" s="6" t="str">
        <f t="shared" si="9"/>
        <v>0214</v>
      </c>
      <c r="O118" s="6" t="s">
        <v>424</v>
      </c>
      <c r="P118" s="6">
        <f t="shared" si="11"/>
        <v>0</v>
      </c>
      <c r="Q118" s="6">
        <f t="shared" si="11"/>
        <v>0</v>
      </c>
      <c r="R118" s="6" t="s">
        <v>546</v>
      </c>
      <c r="S118" s="6" t="s">
        <v>594</v>
      </c>
    </row>
    <row r="119" spans="2:19" x14ac:dyDescent="0.25">
      <c r="B119" s="55"/>
      <c r="C119" s="65" t="s">
        <v>32</v>
      </c>
      <c r="D119" s="66">
        <v>1</v>
      </c>
      <c r="E119" s="67"/>
      <c r="F119" s="68"/>
      <c r="G119" s="77" t="s">
        <v>281</v>
      </c>
      <c r="H119" s="4" t="s">
        <v>321</v>
      </c>
      <c r="I119" s="4" t="s">
        <v>328</v>
      </c>
      <c r="J119" s="4" t="s">
        <v>322</v>
      </c>
      <c r="K119" s="78" t="s">
        <v>525</v>
      </c>
      <c r="L119" s="123" t="s">
        <v>526</v>
      </c>
      <c r="M119" s="124" t="s">
        <v>527</v>
      </c>
      <c r="N119" s="6" t="str">
        <f t="shared" si="9"/>
        <v>0215</v>
      </c>
    </row>
    <row r="120" spans="2:19" x14ac:dyDescent="0.25">
      <c r="B120" s="55"/>
      <c r="C120" s="65"/>
      <c r="D120" s="66"/>
      <c r="E120" s="67"/>
      <c r="F120" s="68"/>
      <c r="G120" s="77"/>
      <c r="H120" s="4"/>
      <c r="I120" s="4"/>
      <c r="J120" s="4"/>
      <c r="K120" s="78"/>
      <c r="L120" s="123"/>
      <c r="M120" s="124"/>
      <c r="N120" s="6">
        <f t="shared" si="9"/>
        <v>0</v>
      </c>
      <c r="O120" s="6" t="s">
        <v>510</v>
      </c>
      <c r="P120" s="6">
        <f>I120</f>
        <v>0</v>
      </c>
      <c r="Q120" s="6">
        <f t="shared" ref="Q120:R122" si="12">J120</f>
        <v>0</v>
      </c>
      <c r="R120" s="6" t="s">
        <v>514</v>
      </c>
      <c r="S120" s="6" t="s">
        <v>421</v>
      </c>
    </row>
    <row r="121" spans="2:19" x14ac:dyDescent="0.25">
      <c r="B121" s="55"/>
      <c r="C121" s="65" t="s">
        <v>81</v>
      </c>
      <c r="D121" s="66"/>
      <c r="E121" s="67"/>
      <c r="F121" s="68"/>
      <c r="G121" s="77" t="s">
        <v>281</v>
      </c>
      <c r="H121" s="4" t="s">
        <v>321</v>
      </c>
      <c r="I121" s="4" t="s">
        <v>328</v>
      </c>
      <c r="J121" s="4" t="s">
        <v>325</v>
      </c>
      <c r="K121" s="78" t="s">
        <v>525</v>
      </c>
      <c r="L121" s="123" t="s">
        <v>526</v>
      </c>
      <c r="M121" s="124" t="s">
        <v>527</v>
      </c>
      <c r="N121" s="6" t="str">
        <f t="shared" si="9"/>
        <v>0217</v>
      </c>
      <c r="O121" s="6" t="s">
        <v>424</v>
      </c>
      <c r="P121" s="6" t="str">
        <f>I121</f>
        <v>中央</v>
      </c>
      <c r="Q121" s="6" t="str">
        <f t="shared" si="12"/>
        <v>下層筋</v>
      </c>
      <c r="R121" s="6" t="str">
        <f t="shared" si="12"/>
        <v>最小</v>
      </c>
      <c r="S121" s="6" t="s">
        <v>542</v>
      </c>
    </row>
    <row r="122" spans="2:19" x14ac:dyDescent="0.25">
      <c r="B122" s="55"/>
      <c r="C122" s="65"/>
      <c r="D122" s="66"/>
      <c r="E122" s="67"/>
      <c r="F122" s="68"/>
      <c r="G122" s="77"/>
      <c r="H122" s="4"/>
      <c r="I122" s="4"/>
      <c r="J122" s="4"/>
      <c r="K122" s="78"/>
      <c r="L122" s="123"/>
      <c r="M122" s="124"/>
      <c r="N122" s="6">
        <f t="shared" si="9"/>
        <v>0</v>
      </c>
      <c r="O122" s="6" t="s">
        <v>424</v>
      </c>
      <c r="P122" s="6">
        <f>I122</f>
        <v>0</v>
      </c>
      <c r="Q122" s="6">
        <f t="shared" si="12"/>
        <v>0</v>
      </c>
      <c r="R122" s="6" t="s">
        <v>347</v>
      </c>
      <c r="S122" s="6" t="s">
        <v>421</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595</v>
      </c>
      <c r="C125" s="46" t="s">
        <v>205</v>
      </c>
      <c r="D125" s="47" t="s">
        <v>384</v>
      </c>
      <c r="E125" s="48" t="s">
        <v>375</v>
      </c>
      <c r="F125" s="49" t="s">
        <v>337</v>
      </c>
      <c r="G125" s="50"/>
      <c r="H125" s="100"/>
      <c r="I125" s="100"/>
      <c r="J125" s="100"/>
      <c r="K125" s="52"/>
      <c r="L125" s="101"/>
      <c r="M125" s="102"/>
    </row>
    <row r="126" spans="2:19" x14ac:dyDescent="0.25">
      <c r="B126" s="55"/>
      <c r="C126" s="65" t="s">
        <v>37</v>
      </c>
      <c r="D126" s="66"/>
      <c r="E126" s="67">
        <v>1</v>
      </c>
      <c r="F126" s="68"/>
      <c r="G126" s="77" t="s">
        <v>596</v>
      </c>
      <c r="H126" s="4"/>
      <c r="I126" s="4" t="s">
        <v>379</v>
      </c>
      <c r="J126" s="4"/>
      <c r="K126" s="78" t="s">
        <v>460</v>
      </c>
      <c r="L126" s="118" t="s">
        <v>597</v>
      </c>
      <c r="M126" s="124" t="str">
        <f>CONCATENATE(O126,P126,Q126,R126)</f>
        <v>請確認是否符合 鋼筋比下限 規定</v>
      </c>
      <c r="O126" s="6" t="s">
        <v>510</v>
      </c>
      <c r="P126" s="6" t="str">
        <f>I126</f>
        <v>鋼筋比</v>
      </c>
      <c r="Q126" s="6" t="s">
        <v>598</v>
      </c>
      <c r="R126" s="6" t="s">
        <v>521</v>
      </c>
    </row>
    <row r="127" spans="2:19" x14ac:dyDescent="0.25">
      <c r="B127" s="55"/>
      <c r="C127" s="65" t="s">
        <v>38</v>
      </c>
      <c r="D127" s="66">
        <v>1</v>
      </c>
      <c r="E127" s="67">
        <v>1</v>
      </c>
      <c r="F127" s="68">
        <v>1</v>
      </c>
      <c r="G127" s="77" t="s">
        <v>599</v>
      </c>
      <c r="H127" s="4"/>
      <c r="I127" s="4" t="s">
        <v>600</v>
      </c>
      <c r="J127" s="4"/>
      <c r="K127" s="78" t="s">
        <v>566</v>
      </c>
      <c r="L127" s="118" t="s">
        <v>601</v>
      </c>
      <c r="M127" s="124" t="str">
        <f>CONCATENATE(O127,P127,Q127,R127)</f>
        <v>請確認是否符合 鋼筋比上限 規定</v>
      </c>
      <c r="O127" s="6" t="s">
        <v>602</v>
      </c>
      <c r="P127" s="6" t="str">
        <f>I127</f>
        <v>鋼筋比</v>
      </c>
      <c r="Q127" s="6" t="s">
        <v>506</v>
      </c>
      <c r="R127" s="6" t="s">
        <v>542</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603</v>
      </c>
      <c r="H129" s="4"/>
      <c r="I129" s="4" t="s">
        <v>600</v>
      </c>
      <c r="J129" s="4"/>
      <c r="K129" s="78" t="s">
        <v>604</v>
      </c>
      <c r="L129" s="118" t="s">
        <v>605</v>
      </c>
      <c r="M129" s="124" t="str">
        <f>CONCATENATE(O129,P129)</f>
        <v>請確認 尺寸是否過大</v>
      </c>
      <c r="O129" s="6" t="s">
        <v>606</v>
      </c>
      <c r="P129" s="6" t="str">
        <f>K129</f>
        <v>尺寸是否過大</v>
      </c>
    </row>
    <row r="130" spans="2:18" x14ac:dyDescent="0.25">
      <c r="B130" s="55"/>
      <c r="C130" s="65" t="s">
        <v>40</v>
      </c>
      <c r="D130" s="66"/>
      <c r="E130" s="67">
        <v>1</v>
      </c>
      <c r="F130" s="68"/>
      <c r="G130" s="77" t="s">
        <v>603</v>
      </c>
      <c r="H130" s="4"/>
      <c r="I130" s="4" t="s">
        <v>607</v>
      </c>
      <c r="J130" s="4"/>
      <c r="K130" s="78" t="s">
        <v>460</v>
      </c>
      <c r="L130" s="118" t="s">
        <v>597</v>
      </c>
      <c r="M130" s="124" t="str">
        <f>CONCATENATE(O130,P130,Q130,R130)</f>
        <v>請確認是否符合 鋼筋比下限 規定</v>
      </c>
      <c r="O130" s="6" t="s">
        <v>524</v>
      </c>
      <c r="P130" s="6" t="str">
        <f>I130</f>
        <v>鋼筋比</v>
      </c>
      <c r="Q130" s="6" t="s">
        <v>514</v>
      </c>
      <c r="R130" s="6" t="s">
        <v>521</v>
      </c>
    </row>
    <row r="131" spans="2:18" x14ac:dyDescent="0.25">
      <c r="B131" s="55"/>
      <c r="C131" s="65" t="s">
        <v>41</v>
      </c>
      <c r="D131" s="66">
        <v>1</v>
      </c>
      <c r="E131" s="67">
        <v>1</v>
      </c>
      <c r="F131" s="68">
        <v>1</v>
      </c>
      <c r="G131" s="77" t="s">
        <v>608</v>
      </c>
      <c r="H131" s="4"/>
      <c r="I131" s="4" t="s">
        <v>379</v>
      </c>
      <c r="J131" s="4"/>
      <c r="K131" s="78" t="s">
        <v>560</v>
      </c>
      <c r="L131" s="118" t="s">
        <v>609</v>
      </c>
      <c r="M131" s="124" t="str">
        <f>CONCATENATE(O131,P131,Q131,R131)</f>
        <v>請確認是否符合 鋼筋比上限 規定</v>
      </c>
      <c r="O131" s="6" t="s">
        <v>424</v>
      </c>
      <c r="P131" s="6" t="str">
        <f>I131</f>
        <v>鋼筋比</v>
      </c>
      <c r="Q131" s="6" t="s">
        <v>347</v>
      </c>
      <c r="R131" s="6" t="s">
        <v>421</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610</v>
      </c>
      <c r="H133" s="4"/>
      <c r="I133" s="4" t="s">
        <v>611</v>
      </c>
      <c r="J133" s="4"/>
      <c r="K133" s="78" t="s">
        <v>604</v>
      </c>
      <c r="L133" s="118" t="s">
        <v>612</v>
      </c>
      <c r="M133" s="124" t="str">
        <f>CONCATENATE(O133,P133)</f>
        <v>請確認 尺寸是否過大</v>
      </c>
      <c r="O133" s="6" t="s">
        <v>606</v>
      </c>
      <c r="P133" s="6" t="str">
        <f>K133</f>
        <v>尺寸是否過大</v>
      </c>
    </row>
    <row r="134" spans="2:18" x14ac:dyDescent="0.25">
      <c r="B134" s="55"/>
      <c r="C134" s="65" t="s">
        <v>43</v>
      </c>
      <c r="D134" s="66">
        <v>1</v>
      </c>
      <c r="E134" s="67"/>
      <c r="F134" s="68"/>
      <c r="G134" s="77" t="s">
        <v>613</v>
      </c>
      <c r="H134" s="4"/>
      <c r="I134" s="4" t="s">
        <v>600</v>
      </c>
      <c r="J134" s="4"/>
      <c r="K134" s="78" t="s">
        <v>614</v>
      </c>
      <c r="L134" s="118" t="s">
        <v>615</v>
      </c>
      <c r="M134" s="124" t="str">
        <f>CONCATENATE(O134,P134,Q134,R134)</f>
        <v>請確認是否符合 鋼筋比下限 規定</v>
      </c>
      <c r="O134" s="6" t="s">
        <v>424</v>
      </c>
      <c r="P134" s="6" t="str">
        <f>I134</f>
        <v>鋼筋比</v>
      </c>
      <c r="Q134" s="6" t="s">
        <v>380</v>
      </c>
      <c r="R134" s="6" t="s">
        <v>542</v>
      </c>
    </row>
    <row r="135" spans="2:18" x14ac:dyDescent="0.25">
      <c r="B135" s="55"/>
      <c r="C135" s="65" t="s">
        <v>44</v>
      </c>
      <c r="D135" s="66"/>
      <c r="E135" s="67">
        <v>1</v>
      </c>
      <c r="F135" s="68"/>
      <c r="G135" s="77" t="s">
        <v>616</v>
      </c>
      <c r="H135" s="4"/>
      <c r="I135" s="4" t="s">
        <v>379</v>
      </c>
      <c r="J135" s="4"/>
      <c r="K135" s="78" t="s">
        <v>463</v>
      </c>
      <c r="L135" s="118" t="s">
        <v>617</v>
      </c>
      <c r="M135" s="124" t="str">
        <f>CONCATENATE(O135,P135,Q135,R135)</f>
        <v>請確認是否符合 鋼筋比上限 規定</v>
      </c>
      <c r="O135" s="6" t="s">
        <v>510</v>
      </c>
      <c r="P135" s="6" t="str">
        <f>I135</f>
        <v>鋼筋比</v>
      </c>
      <c r="Q135" s="6" t="s">
        <v>528</v>
      </c>
      <c r="R135" s="6" t="s">
        <v>542</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618</v>
      </c>
      <c r="H137" s="4"/>
      <c r="I137" s="4" t="s">
        <v>379</v>
      </c>
      <c r="J137" s="4"/>
      <c r="K137" s="78" t="s">
        <v>377</v>
      </c>
      <c r="L137" s="118" t="s">
        <v>378</v>
      </c>
      <c r="M137" s="124" t="str">
        <f>CONCATENATE(O137,P137)</f>
        <v>請確認 上層柱主筋量漸縮是否過大</v>
      </c>
      <c r="O137" s="6" t="s">
        <v>606</v>
      </c>
      <c r="P137" s="6" t="s">
        <v>619</v>
      </c>
    </row>
    <row r="138" spans="2:18" x14ac:dyDescent="0.25">
      <c r="B138" s="55"/>
      <c r="C138" s="65" t="s">
        <v>47</v>
      </c>
      <c r="D138" s="66">
        <v>1</v>
      </c>
      <c r="E138" s="67">
        <v>1</v>
      </c>
      <c r="F138" s="68"/>
      <c r="G138" s="77" t="s">
        <v>620</v>
      </c>
      <c r="H138" s="4"/>
      <c r="I138" s="4" t="s">
        <v>379</v>
      </c>
      <c r="J138" s="4"/>
      <c r="K138" s="78" t="s">
        <v>621</v>
      </c>
      <c r="L138" s="118" t="s">
        <v>622</v>
      </c>
      <c r="M138" s="124" t="str">
        <f>CONCATENATE(O138,P138)</f>
        <v>請確認 本層柱主筋量漸縮是否過大</v>
      </c>
      <c r="O138" s="6" t="s">
        <v>623</v>
      </c>
      <c r="P138" s="6" t="s">
        <v>624</v>
      </c>
    </row>
    <row r="139" spans="2:18" x14ac:dyDescent="0.25">
      <c r="B139" s="55"/>
      <c r="C139" s="65" t="s">
        <v>48</v>
      </c>
      <c r="D139" s="66"/>
      <c r="E139" s="67">
        <v>1</v>
      </c>
      <c r="F139" s="68"/>
      <c r="G139" s="77" t="s">
        <v>625</v>
      </c>
      <c r="H139" s="4"/>
      <c r="I139" s="4" t="s">
        <v>379</v>
      </c>
      <c r="J139" s="4"/>
      <c r="K139" s="78" t="s">
        <v>626</v>
      </c>
      <c r="L139" s="118" t="s">
        <v>627</v>
      </c>
      <c r="M139" s="124" t="str">
        <f>CONCATENATE(O139,P139)</f>
        <v>請確認 下層柱主筋量是否配置過多</v>
      </c>
      <c r="O139" s="6" t="s">
        <v>628</v>
      </c>
      <c r="P139" s="6" t="s">
        <v>629</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630</v>
      </c>
      <c r="H141" s="4"/>
      <c r="I141" s="4" t="s">
        <v>631</v>
      </c>
      <c r="J141" s="4"/>
      <c r="K141" s="78" t="s">
        <v>632</v>
      </c>
      <c r="L141" s="118"/>
      <c r="M141" s="124" t="str">
        <f>CONCATENATE(O141,P141,Q141,R141)</f>
        <v>請確認是否符合 圍束段柱箍筋間距 規定</v>
      </c>
      <c r="O141" s="6" t="s">
        <v>424</v>
      </c>
      <c r="P141" s="6" t="str">
        <f>K141</f>
        <v>圍束段</v>
      </c>
      <c r="Q141" s="6" t="s">
        <v>633</v>
      </c>
      <c r="R141" s="6" t="s">
        <v>421</v>
      </c>
    </row>
    <row r="142" spans="2:18" x14ac:dyDescent="0.25">
      <c r="B142" s="55"/>
      <c r="C142" s="65" t="s">
        <v>51</v>
      </c>
      <c r="D142" s="66">
        <v>1</v>
      </c>
      <c r="E142" s="67">
        <v>1</v>
      </c>
      <c r="F142" s="68"/>
      <c r="G142" s="77" t="s">
        <v>618</v>
      </c>
      <c r="H142" s="4"/>
      <c r="I142" s="4" t="s">
        <v>634</v>
      </c>
      <c r="J142" s="4"/>
      <c r="K142" s="78" t="s">
        <v>635</v>
      </c>
      <c r="L142" s="118"/>
      <c r="M142" s="124" t="str">
        <f>CONCATENATE(O142,P142,Q142,R142)</f>
        <v>請確認是否符合 非圍束段柱箍筋間距 規定</v>
      </c>
      <c r="O142" s="6" t="s">
        <v>510</v>
      </c>
      <c r="P142" s="6" t="str">
        <f>K142</f>
        <v>非圍束段</v>
      </c>
      <c r="Q142" s="6" t="s">
        <v>636</v>
      </c>
      <c r="R142" s="6" t="s">
        <v>421</v>
      </c>
    </row>
    <row r="143" spans="2:18" x14ac:dyDescent="0.25">
      <c r="B143" s="55"/>
      <c r="C143" s="65" t="s">
        <v>52</v>
      </c>
      <c r="D143" s="66">
        <v>1</v>
      </c>
      <c r="E143" s="67">
        <v>1</v>
      </c>
      <c r="F143" s="68"/>
      <c r="G143" s="77" t="s">
        <v>637</v>
      </c>
      <c r="H143" s="4"/>
      <c r="I143" s="4" t="s">
        <v>631</v>
      </c>
      <c r="J143" s="4"/>
      <c r="K143" s="78" t="s">
        <v>0</v>
      </c>
      <c r="L143" s="118" t="s">
        <v>638</v>
      </c>
      <c r="M143" s="124" t="str">
        <f>CONCATENATE(O143,P143,Q143,R143)</f>
        <v>請確認是否符合 1F柱箍筋間距 規定</v>
      </c>
      <c r="O143" s="6" t="s">
        <v>524</v>
      </c>
      <c r="P143" s="6" t="str">
        <f>K143</f>
        <v>1F</v>
      </c>
      <c r="Q143" s="6" t="s">
        <v>633</v>
      </c>
      <c r="R143" s="6" t="s">
        <v>421</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630</v>
      </c>
      <c r="H145" s="4"/>
      <c r="I145" s="4" t="s">
        <v>639</v>
      </c>
      <c r="J145" s="4"/>
      <c r="K145" s="78" t="s">
        <v>640</v>
      </c>
      <c r="L145" s="118" t="s">
        <v>641</v>
      </c>
      <c r="M145" s="124" t="str">
        <f>CONCATENATE(O145,P145,Q145,R145)</f>
        <v>請確認是否符合 繫筋隔根勾 規定</v>
      </c>
      <c r="O145" s="6" t="s">
        <v>510</v>
      </c>
      <c r="P145" s="6" t="str">
        <f>I145</f>
        <v>繫筋</v>
      </c>
      <c r="Q145" s="6" t="str">
        <f>K145</f>
        <v>隔根勾</v>
      </c>
      <c r="R145" s="6" t="s">
        <v>521</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642</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382</v>
      </c>
      <c r="C151" s="46" t="s">
        <v>219</v>
      </c>
      <c r="D151" s="47" t="s">
        <v>384</v>
      </c>
      <c r="E151" s="48" t="s">
        <v>385</v>
      </c>
      <c r="F151" s="49" t="s">
        <v>337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618</v>
      </c>
      <c r="H153" s="4"/>
      <c r="I153" s="4" t="s">
        <v>611</v>
      </c>
      <c r="J153" s="4"/>
      <c r="K153" s="78" t="s">
        <v>563</v>
      </c>
      <c r="L153" s="118" t="s">
        <v>643</v>
      </c>
      <c r="M153" s="124" t="str">
        <f>CONCATENATE(O153,P153,Q153,R153)</f>
        <v>請確認是否符合 鋼筋比下限 規定</v>
      </c>
      <c r="O153" s="6" t="s">
        <v>510</v>
      </c>
      <c r="P153" s="6" t="str">
        <f>I153</f>
        <v>鋼筋比</v>
      </c>
      <c r="Q153" s="6" t="s">
        <v>598</v>
      </c>
      <c r="R153" s="6" t="s">
        <v>542</v>
      </c>
    </row>
    <row r="154" spans="2:18" x14ac:dyDescent="0.25">
      <c r="B154" s="55"/>
      <c r="C154" s="65" t="s">
        <v>56</v>
      </c>
      <c r="D154" s="66"/>
      <c r="E154" s="67">
        <v>1</v>
      </c>
      <c r="F154" s="68">
        <v>1</v>
      </c>
      <c r="G154" s="77" t="s">
        <v>618</v>
      </c>
      <c r="H154" s="4"/>
      <c r="I154" s="4" t="s">
        <v>379</v>
      </c>
      <c r="J154" s="4"/>
      <c r="K154" s="78" t="s">
        <v>463</v>
      </c>
      <c r="L154" s="118" t="s">
        <v>644</v>
      </c>
      <c r="M154" s="124" t="str">
        <f>CONCATENATE(O154,P154,Q154,R154)</f>
        <v>請確認是否符合 鋼筋比上限 規定</v>
      </c>
      <c r="O154" s="6" t="s">
        <v>524</v>
      </c>
      <c r="P154" s="6" t="str">
        <f>I154</f>
        <v>鋼筋比</v>
      </c>
      <c r="Q154" s="6" t="s">
        <v>645</v>
      </c>
      <c r="R154" s="6" t="s">
        <v>521</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646</v>
      </c>
      <c r="H156" s="4"/>
      <c r="I156" s="4" t="s">
        <v>647</v>
      </c>
      <c r="J156" s="4"/>
      <c r="K156" s="78" t="s">
        <v>563</v>
      </c>
      <c r="L156" s="118" t="s">
        <v>648</v>
      </c>
      <c r="M156" s="124" t="str">
        <f>CONCATENATE(O156,P156,Q156,R156)</f>
        <v>請確認是否符合 鋼筋比下限 規定</v>
      </c>
      <c r="O156" s="6" t="s">
        <v>551</v>
      </c>
      <c r="P156" s="6" t="str">
        <f>I156</f>
        <v>鋼筋比</v>
      </c>
      <c r="Q156" s="6" t="s">
        <v>514</v>
      </c>
      <c r="R156" s="6" t="s">
        <v>421</v>
      </c>
    </row>
    <row r="157" spans="2:18" x14ac:dyDescent="0.25">
      <c r="B157" s="55"/>
      <c r="C157" s="65" t="s">
        <v>59</v>
      </c>
      <c r="D157" s="66"/>
      <c r="E157" s="67">
        <v>1</v>
      </c>
      <c r="F157" s="68">
        <v>1</v>
      </c>
      <c r="G157" s="77" t="s">
        <v>646</v>
      </c>
      <c r="H157" s="4"/>
      <c r="I157" s="4" t="s">
        <v>600</v>
      </c>
      <c r="J157" s="4"/>
      <c r="K157" s="78" t="s">
        <v>560</v>
      </c>
      <c r="L157" s="118" t="s">
        <v>649</v>
      </c>
      <c r="M157" s="124" t="str">
        <f>CONCATENATE(O157,P157,Q157,R157)</f>
        <v>請確認是否符合 鋼筋比上限 規定</v>
      </c>
      <c r="O157" s="6" t="s">
        <v>524</v>
      </c>
      <c r="P157" s="6" t="str">
        <f>I157</f>
        <v>鋼筋比</v>
      </c>
      <c r="Q157" s="6" t="s">
        <v>546</v>
      </c>
      <c r="R157" s="6" t="s">
        <v>542</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618</v>
      </c>
      <c r="H159" s="4"/>
      <c r="I159" s="4" t="s">
        <v>650</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651</v>
      </c>
      <c r="H161" s="4"/>
      <c r="I161" s="4" t="s">
        <v>652</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653</v>
      </c>
      <c r="C165" s="46" t="s">
        <v>65</v>
      </c>
      <c r="D165" s="47" t="s">
        <v>654</v>
      </c>
      <c r="E165" s="48" t="s">
        <v>385</v>
      </c>
      <c r="F165" s="49" t="s">
        <v>386</v>
      </c>
      <c r="G165" s="50"/>
      <c r="H165" s="100"/>
      <c r="I165" s="100"/>
      <c r="J165" s="100"/>
      <c r="K165" s="52"/>
      <c r="L165" s="101"/>
      <c r="M165" s="102"/>
    </row>
    <row r="166" spans="2:18" ht="17.25" customHeight="1" x14ac:dyDescent="0.25">
      <c r="B166" s="129"/>
      <c r="C166" s="130" t="s">
        <v>66</v>
      </c>
      <c r="D166" s="131"/>
      <c r="E166" s="132">
        <v>1</v>
      </c>
      <c r="F166" s="133"/>
      <c r="G166" s="134" t="s">
        <v>655</v>
      </c>
      <c r="H166" s="135"/>
      <c r="I166" s="135" t="s">
        <v>656</v>
      </c>
      <c r="J166" s="135"/>
      <c r="K166" s="136" t="s">
        <v>657</v>
      </c>
      <c r="L166" s="137" t="s">
        <v>658</v>
      </c>
      <c r="M166" s="124" t="str">
        <f>CONCATENATE(O166,P166,Q166,R166)</f>
        <v>請確認是否符合 間距下限 規定</v>
      </c>
      <c r="O166" s="6" t="s">
        <v>602</v>
      </c>
      <c r="P166" s="6" t="str">
        <f>I166</f>
        <v>間距</v>
      </c>
      <c r="Q166" s="6" t="s">
        <v>380</v>
      </c>
      <c r="R166" s="6" t="s">
        <v>542</v>
      </c>
    </row>
    <row r="167" spans="2:18" ht="17.25" customHeight="1" x14ac:dyDescent="0.25">
      <c r="B167" s="55"/>
      <c r="C167" s="65" t="s">
        <v>67</v>
      </c>
      <c r="D167" s="66">
        <v>1</v>
      </c>
      <c r="E167" s="67"/>
      <c r="F167" s="68"/>
      <c r="G167" s="77" t="s">
        <v>655</v>
      </c>
      <c r="H167" s="4"/>
      <c r="I167" s="4" t="s">
        <v>659</v>
      </c>
      <c r="J167" s="4"/>
      <c r="K167" s="78" t="s">
        <v>560</v>
      </c>
      <c r="L167" s="118" t="s">
        <v>660</v>
      </c>
      <c r="M167" s="124" t="str">
        <f>CONCATENATE(O167,P167,Q167,R167)</f>
        <v>請確認是否符合 間距上限 規定</v>
      </c>
      <c r="O167" s="6" t="s">
        <v>510</v>
      </c>
      <c r="P167" s="6" t="str">
        <f>I167</f>
        <v>間距</v>
      </c>
      <c r="Q167" s="6" t="s">
        <v>347</v>
      </c>
      <c r="R167" s="6" t="s">
        <v>421</v>
      </c>
    </row>
    <row r="168" spans="2:18" ht="17.25" customHeight="1" x14ac:dyDescent="0.25">
      <c r="B168" s="55"/>
      <c r="C168" s="65" t="s">
        <v>68</v>
      </c>
      <c r="D168" s="66"/>
      <c r="E168" s="67">
        <v>1</v>
      </c>
      <c r="F168" s="68"/>
      <c r="G168" s="77" t="s">
        <v>661</v>
      </c>
      <c r="H168" s="4"/>
      <c r="I168" s="4" t="s">
        <v>662</v>
      </c>
      <c r="J168" s="4"/>
      <c r="K168" s="78" t="s">
        <v>663</v>
      </c>
      <c r="L168" s="118" t="s">
        <v>664</v>
      </c>
      <c r="M168" s="124" t="str">
        <f>CONCATENATE(O168,P168,Q168)</f>
        <v>請確認 上層筋是否有斷筋</v>
      </c>
      <c r="O168" s="6" t="s">
        <v>628</v>
      </c>
      <c r="P168" s="6" t="str">
        <f>I168</f>
        <v>上層筋</v>
      </c>
      <c r="Q168" s="6" t="str">
        <f>K168</f>
        <v>是否有斷筋</v>
      </c>
    </row>
    <row r="169" spans="2:18" ht="17.25" customHeight="1" x14ac:dyDescent="0.25">
      <c r="B169" s="55"/>
      <c r="C169" s="65" t="s">
        <v>69</v>
      </c>
      <c r="D169" s="66"/>
      <c r="E169" s="67">
        <v>1</v>
      </c>
      <c r="F169" s="68"/>
      <c r="G169" s="77" t="s">
        <v>665</v>
      </c>
      <c r="H169" s="4"/>
      <c r="I169" s="4" t="s">
        <v>491</v>
      </c>
      <c r="J169" s="4"/>
      <c r="K169" s="78" t="s">
        <v>666</v>
      </c>
      <c r="L169" s="118" t="s">
        <v>667</v>
      </c>
      <c r="M169" s="124" t="str">
        <f>CONCATENATE(O169,P169,Q169)</f>
        <v>請確認 下層筋是否有斷筋</v>
      </c>
      <c r="O169" s="6" t="s">
        <v>628</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603</v>
      </c>
      <c r="H171" s="4"/>
      <c r="I171" s="4" t="s">
        <v>668</v>
      </c>
      <c r="J171" s="4"/>
      <c r="K171" s="78" t="s">
        <v>558</v>
      </c>
      <c r="L171" s="118" t="s">
        <v>669</v>
      </c>
      <c r="M171" s="124" t="str">
        <f>CONCATENATE(O171,P171,Q171,R171)</f>
        <v>請確認 最小號數 規定</v>
      </c>
      <c r="O171" s="6" t="s">
        <v>628</v>
      </c>
      <c r="P171" s="6" t="str">
        <f>K171</f>
        <v>最小</v>
      </c>
      <c r="Q171" s="6" t="str">
        <f>I171</f>
        <v>號數</v>
      </c>
      <c r="R171" s="6" t="s">
        <v>421</v>
      </c>
    </row>
    <row r="172" spans="2:18" ht="17.25" customHeight="1" x14ac:dyDescent="0.25">
      <c r="B172" s="55"/>
      <c r="C172" s="65" t="s">
        <v>71</v>
      </c>
      <c r="D172" s="66"/>
      <c r="E172" s="67"/>
      <c r="F172" s="68"/>
      <c r="G172" s="77" t="s">
        <v>608</v>
      </c>
      <c r="H172" s="4"/>
      <c r="I172" s="4" t="s">
        <v>668</v>
      </c>
      <c r="J172" s="4"/>
      <c r="K172" s="78" t="s">
        <v>560</v>
      </c>
      <c r="L172" s="118" t="s">
        <v>670</v>
      </c>
      <c r="M172" s="124" t="str">
        <f>CONCATENATE(O172,P172,Q172,R172)</f>
        <v>請確認 最大號數 規定</v>
      </c>
      <c r="O172" s="6" t="s">
        <v>606</v>
      </c>
      <c r="P172" s="6" t="str">
        <f>K172</f>
        <v>最大</v>
      </c>
      <c r="Q172" s="6" t="str">
        <f>I172</f>
        <v>號數</v>
      </c>
      <c r="R172" s="6" t="s">
        <v>521</v>
      </c>
    </row>
    <row r="173" spans="2:18" ht="17.25" customHeight="1" x14ac:dyDescent="0.25">
      <c r="B173" s="55"/>
      <c r="C173" s="65" t="s">
        <v>72</v>
      </c>
      <c r="D173" s="66"/>
      <c r="E173" s="67">
        <v>1</v>
      </c>
      <c r="F173" s="68"/>
      <c r="G173" s="77" t="s">
        <v>603</v>
      </c>
      <c r="H173" s="4"/>
      <c r="I173" s="4" t="s">
        <v>656</v>
      </c>
      <c r="J173" s="4"/>
      <c r="K173" s="78" t="s">
        <v>460</v>
      </c>
      <c r="L173" s="118" t="s">
        <v>671</v>
      </c>
      <c r="M173" s="124" t="str">
        <f>CONCATENATE(O173,P173,Q173,R173)</f>
        <v>請確認是否符合 間距下限 規定</v>
      </c>
      <c r="O173" s="6" t="s">
        <v>524</v>
      </c>
      <c r="P173" s="6" t="str">
        <f>I173</f>
        <v>間距</v>
      </c>
      <c r="Q173" s="6" t="s">
        <v>380</v>
      </c>
      <c r="R173" s="6" t="s">
        <v>542</v>
      </c>
    </row>
    <row r="174" spans="2:18" ht="17.25" customHeight="1" x14ac:dyDescent="0.25">
      <c r="B174" s="55"/>
      <c r="C174" s="65" t="s">
        <v>73</v>
      </c>
      <c r="D174" s="66">
        <v>1</v>
      </c>
      <c r="E174" s="67"/>
      <c r="F174" s="68"/>
      <c r="G174" s="77" t="s">
        <v>672</v>
      </c>
      <c r="H174" s="4"/>
      <c r="I174" s="4" t="s">
        <v>656</v>
      </c>
      <c r="J174" s="4"/>
      <c r="K174" s="78" t="s">
        <v>673</v>
      </c>
      <c r="L174" s="118" t="s">
        <v>674</v>
      </c>
      <c r="M174" s="124" t="str">
        <f>CONCATENATE(O174,P174,Q174,R174)</f>
        <v>請確認是否符合 間距上限 規定</v>
      </c>
      <c r="O174" s="6" t="s">
        <v>424</v>
      </c>
      <c r="P174" s="6" t="str">
        <f>I174</f>
        <v>間距</v>
      </c>
      <c r="Q174" s="6" t="s">
        <v>347</v>
      </c>
      <c r="R174" s="6" t="s">
        <v>521</v>
      </c>
    </row>
    <row r="175" spans="2:18" ht="17.25" customHeight="1" x14ac:dyDescent="0.25">
      <c r="B175" s="55"/>
      <c r="C175" s="65" t="s">
        <v>74</v>
      </c>
      <c r="D175" s="66"/>
      <c r="E175" s="67">
        <v>1</v>
      </c>
      <c r="F175" s="68"/>
      <c r="G175" s="77" t="s">
        <v>608</v>
      </c>
      <c r="H175" s="4"/>
      <c r="I175" s="4" t="s">
        <v>675</v>
      </c>
      <c r="J175" s="4"/>
      <c r="K175" s="78" t="s">
        <v>676</v>
      </c>
      <c r="L175" s="118" t="s">
        <v>677</v>
      </c>
      <c r="M175" s="124" t="str">
        <f>CONCATENATE(O175,P175,Q175)</f>
        <v>請確認 上層筋是否有斷筋</v>
      </c>
      <c r="O175" s="6" t="s">
        <v>606</v>
      </c>
      <c r="P175" s="6" t="str">
        <f>I175</f>
        <v>上層筋</v>
      </c>
      <c r="Q175" s="6" t="str">
        <f>K175</f>
        <v>是否有斷筋</v>
      </c>
    </row>
    <row r="176" spans="2:18" ht="17.25" customHeight="1" x14ac:dyDescent="0.25">
      <c r="B176" s="55"/>
      <c r="C176" s="65" t="s">
        <v>72</v>
      </c>
      <c r="D176" s="66"/>
      <c r="E176" s="67">
        <v>1</v>
      </c>
      <c r="F176" s="68"/>
      <c r="G176" s="77" t="s">
        <v>603</v>
      </c>
      <c r="H176" s="4"/>
      <c r="I176" s="4" t="s">
        <v>491</v>
      </c>
      <c r="J176" s="4"/>
      <c r="K176" s="78" t="s">
        <v>663</v>
      </c>
      <c r="L176" s="118" t="s">
        <v>678</v>
      </c>
      <c r="M176" s="124" t="str">
        <f>CONCATENATE(O176,P176,Q176)</f>
        <v>請確認 下層筋是否有斷筋</v>
      </c>
      <c r="O176" s="6" t="s">
        <v>628</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679</v>
      </c>
      <c r="C179" s="46" t="s">
        <v>200</v>
      </c>
      <c r="D179" s="47" t="s">
        <v>336</v>
      </c>
      <c r="E179" s="48" t="s">
        <v>385</v>
      </c>
      <c r="F179" s="49" t="s">
        <v>386</v>
      </c>
      <c r="G179" s="50"/>
      <c r="H179" s="100"/>
      <c r="I179" s="100"/>
      <c r="J179" s="100"/>
      <c r="K179" s="52"/>
      <c r="L179" s="101"/>
      <c r="M179" s="102"/>
    </row>
    <row r="180" spans="2:18" x14ac:dyDescent="0.25">
      <c r="B180" s="55"/>
      <c r="C180" s="65" t="s">
        <v>85</v>
      </c>
      <c r="D180" s="66"/>
      <c r="E180" s="67"/>
      <c r="F180" s="68">
        <v>1</v>
      </c>
      <c r="G180" s="77" t="s">
        <v>680</v>
      </c>
      <c r="H180" s="4"/>
      <c r="I180" s="4" t="s">
        <v>656</v>
      </c>
      <c r="J180" s="4"/>
      <c r="K180" s="78" t="s">
        <v>563</v>
      </c>
      <c r="L180" s="105" t="s">
        <v>681</v>
      </c>
      <c r="M180" s="124" t="str">
        <f>CONCATENATE(O180,P180,Q180,R180)</f>
        <v>請確認是否符合 間距下限 規定</v>
      </c>
      <c r="O180" s="6" t="s">
        <v>424</v>
      </c>
      <c r="P180" s="6" t="str">
        <f>I180</f>
        <v>間距</v>
      </c>
      <c r="Q180" s="6" t="s">
        <v>514</v>
      </c>
      <c r="R180" s="6" t="s">
        <v>542</v>
      </c>
    </row>
    <row r="181" spans="2:18" x14ac:dyDescent="0.25">
      <c r="B181" s="55"/>
      <c r="C181" s="65" t="s">
        <v>88</v>
      </c>
      <c r="D181" s="66">
        <v>1</v>
      </c>
      <c r="E181" s="67"/>
      <c r="F181" s="68"/>
      <c r="G181" s="77" t="s">
        <v>675</v>
      </c>
      <c r="H181" s="4"/>
      <c r="I181" s="4" t="s">
        <v>682</v>
      </c>
      <c r="J181" s="4"/>
      <c r="K181" s="78" t="s">
        <v>560</v>
      </c>
      <c r="L181" s="105" t="s">
        <v>683</v>
      </c>
      <c r="M181" s="124" t="str">
        <f>CONCATENATE(O181,P181,Q181,R181)</f>
        <v>請確認是否符合 間距上限 規定</v>
      </c>
      <c r="O181" s="6" t="s">
        <v>524</v>
      </c>
      <c r="P181" s="6" t="str">
        <f>I181</f>
        <v>間距</v>
      </c>
      <c r="Q181" s="6" t="s">
        <v>347</v>
      </c>
      <c r="R181" s="6" t="s">
        <v>521</v>
      </c>
    </row>
    <row r="182" spans="2:18" x14ac:dyDescent="0.25">
      <c r="B182" s="55"/>
      <c r="C182" s="65" t="s">
        <v>89</v>
      </c>
      <c r="D182" s="66"/>
      <c r="E182" s="67"/>
      <c r="F182" s="68">
        <v>1</v>
      </c>
      <c r="G182" s="120" t="s">
        <v>684</v>
      </c>
      <c r="H182" s="4"/>
      <c r="I182" s="4" t="s">
        <v>656</v>
      </c>
      <c r="J182" s="4"/>
      <c r="K182" s="78" t="s">
        <v>563</v>
      </c>
      <c r="L182" s="105" t="s">
        <v>681</v>
      </c>
      <c r="M182" s="124" t="str">
        <f>CONCATENATE(O182,P182,Q182,R182)</f>
        <v>請確認是否符合 間距下限 規定</v>
      </c>
      <c r="O182" s="6" t="s">
        <v>510</v>
      </c>
      <c r="P182" s="6" t="str">
        <f>I182</f>
        <v>間距</v>
      </c>
      <c r="Q182" s="6" t="s">
        <v>380</v>
      </c>
      <c r="R182" s="6" t="s">
        <v>421</v>
      </c>
    </row>
    <row r="183" spans="2:18" x14ac:dyDescent="0.25">
      <c r="B183" s="55"/>
      <c r="C183" s="65" t="s">
        <v>90</v>
      </c>
      <c r="D183" s="66">
        <v>1</v>
      </c>
      <c r="E183" s="67"/>
      <c r="F183" s="68"/>
      <c r="G183" s="120" t="s">
        <v>685</v>
      </c>
      <c r="H183" s="4"/>
      <c r="I183" s="4" t="s">
        <v>682</v>
      </c>
      <c r="J183" s="4"/>
      <c r="K183" s="78" t="s">
        <v>463</v>
      </c>
      <c r="L183" s="105" t="s">
        <v>686</v>
      </c>
      <c r="M183" s="124" t="str">
        <f>CONCATENATE(O183,P183,Q183,R183)</f>
        <v>請確認是否符合 間距上限 規定</v>
      </c>
      <c r="O183" s="6" t="s">
        <v>524</v>
      </c>
      <c r="P183" s="6" t="str">
        <f>I183</f>
        <v>間距</v>
      </c>
      <c r="Q183" s="6" t="s">
        <v>347</v>
      </c>
      <c r="R183" s="6" t="s">
        <v>421</v>
      </c>
    </row>
    <row r="184" spans="2:18" x14ac:dyDescent="0.25">
      <c r="B184" s="55"/>
      <c r="C184" s="65" t="s">
        <v>91</v>
      </c>
      <c r="D184" s="66"/>
      <c r="E184" s="67">
        <v>1</v>
      </c>
      <c r="F184" s="68"/>
      <c r="G184" s="77" t="s">
        <v>675</v>
      </c>
      <c r="H184" s="4"/>
      <c r="I184" s="4" t="s">
        <v>687</v>
      </c>
      <c r="J184" s="4"/>
      <c r="K184" s="78" t="s">
        <v>688</v>
      </c>
      <c r="L184" s="105" t="s">
        <v>689</v>
      </c>
      <c r="M184" s="124" t="str">
        <f>CONCATENATE(O184,P184,Q184)</f>
        <v>請確認 上層筋是否有斷筋</v>
      </c>
      <c r="O184" s="6" t="s">
        <v>623</v>
      </c>
      <c r="P184" s="6" t="s">
        <v>322</v>
      </c>
      <c r="Q184" s="6" t="s">
        <v>690</v>
      </c>
    </row>
    <row r="185" spans="2:18" x14ac:dyDescent="0.25">
      <c r="B185" s="55"/>
      <c r="C185" s="65" t="s">
        <v>90</v>
      </c>
      <c r="D185" s="66"/>
      <c r="E185" s="67">
        <v>1</v>
      </c>
      <c r="F185" s="68"/>
      <c r="G185" s="120" t="s">
        <v>691</v>
      </c>
      <c r="H185" s="4"/>
      <c r="I185" s="4" t="s">
        <v>692</v>
      </c>
      <c r="J185" s="4"/>
      <c r="K185" s="78" t="s">
        <v>693</v>
      </c>
      <c r="L185" s="118" t="s">
        <v>694</v>
      </c>
      <c r="M185" s="124" t="str">
        <f>CONCATENATE(O185,P185,Q185)</f>
        <v>請確認 下層筋是否有斷筋</v>
      </c>
      <c r="O185" s="6" t="s">
        <v>606</v>
      </c>
      <c r="P185" s="6" t="s">
        <v>325</v>
      </c>
      <c r="Q185" s="6" t="s">
        <v>690</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695</v>
      </c>
      <c r="C188" s="46" t="s">
        <v>201</v>
      </c>
      <c r="D188" s="47" t="s">
        <v>391</v>
      </c>
      <c r="E188" s="48" t="s">
        <v>385</v>
      </c>
      <c r="F188" s="49" t="s">
        <v>386</v>
      </c>
      <c r="G188" s="50"/>
      <c r="H188" s="100"/>
      <c r="I188" s="100"/>
      <c r="J188" s="100"/>
      <c r="K188" s="52"/>
      <c r="L188" s="101"/>
      <c r="M188" s="102"/>
    </row>
    <row r="189" spans="2:18" x14ac:dyDescent="0.25">
      <c r="B189" s="55"/>
      <c r="C189" s="65" t="s">
        <v>92</v>
      </c>
      <c r="D189" s="66"/>
      <c r="E189" s="67"/>
      <c r="F189" s="68">
        <v>1</v>
      </c>
      <c r="G189" s="77" t="s">
        <v>680</v>
      </c>
      <c r="H189" s="4"/>
      <c r="I189" s="4" t="s">
        <v>659</v>
      </c>
      <c r="J189" s="4"/>
      <c r="K189" s="78" t="s">
        <v>563</v>
      </c>
      <c r="L189" s="105" t="s">
        <v>696</v>
      </c>
      <c r="M189" s="124" t="str">
        <f>CONCATENATE(O189,P189,Q189,R189)</f>
        <v>請確認是否符合 間距下限 規定</v>
      </c>
      <c r="O189" s="6" t="s">
        <v>602</v>
      </c>
      <c r="P189" s="6" t="str">
        <f>I189</f>
        <v>間距</v>
      </c>
      <c r="Q189" s="6" t="s">
        <v>514</v>
      </c>
      <c r="R189" s="6" t="s">
        <v>521</v>
      </c>
    </row>
    <row r="190" spans="2:18" x14ac:dyDescent="0.25">
      <c r="B190" s="55"/>
      <c r="C190" s="65" t="s">
        <v>93</v>
      </c>
      <c r="D190" s="66">
        <v>1</v>
      </c>
      <c r="E190" s="67"/>
      <c r="F190" s="68"/>
      <c r="G190" s="77" t="s">
        <v>675</v>
      </c>
      <c r="H190" s="4"/>
      <c r="I190" s="4" t="s">
        <v>697</v>
      </c>
      <c r="J190" s="4"/>
      <c r="K190" s="78" t="s">
        <v>560</v>
      </c>
      <c r="L190" s="105" t="s">
        <v>698</v>
      </c>
      <c r="M190" s="124" t="str">
        <f>CONCATENATE(O190,P190,Q190,R190)</f>
        <v>請確認是否符合 間距上限 規定</v>
      </c>
      <c r="O190" s="6" t="s">
        <v>424</v>
      </c>
      <c r="P190" s="6" t="str">
        <f>I190</f>
        <v>間距</v>
      </c>
      <c r="Q190" s="6" t="s">
        <v>546</v>
      </c>
      <c r="R190" s="6" t="s">
        <v>421</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699</v>
      </c>
      <c r="H192" s="4"/>
      <c r="I192" s="4" t="s">
        <v>682</v>
      </c>
      <c r="J192" s="4"/>
      <c r="K192" s="78" t="s">
        <v>614</v>
      </c>
      <c r="L192" s="105" t="s">
        <v>681</v>
      </c>
      <c r="M192" s="124" t="str">
        <f>CONCATENATE(O192,P192,Q192,R192)</f>
        <v>請確認是否符合 間距下限 規定</v>
      </c>
      <c r="O192" s="6" t="s">
        <v>510</v>
      </c>
      <c r="P192" s="6" t="str">
        <f>I192</f>
        <v>間距</v>
      </c>
      <c r="Q192" s="6" t="s">
        <v>380</v>
      </c>
      <c r="R192" s="6" t="s">
        <v>421</v>
      </c>
    </row>
    <row r="193" spans="2:19" x14ac:dyDescent="0.25">
      <c r="B193" s="55"/>
      <c r="C193" s="65" t="s">
        <v>96</v>
      </c>
      <c r="D193" s="66">
        <v>1</v>
      </c>
      <c r="E193" s="67"/>
      <c r="F193" s="68"/>
      <c r="G193" s="120" t="s">
        <v>700</v>
      </c>
      <c r="H193" s="4"/>
      <c r="I193" s="4" t="s">
        <v>659</v>
      </c>
      <c r="J193" s="4"/>
      <c r="K193" s="78" t="s">
        <v>673</v>
      </c>
      <c r="L193" s="105" t="s">
        <v>698</v>
      </c>
      <c r="M193" s="124" t="str">
        <f>CONCATENATE(O193,P193,Q193,R193)</f>
        <v>請確認是否符合 間距上限 規定</v>
      </c>
      <c r="O193" s="6" t="s">
        <v>510</v>
      </c>
      <c r="P193" s="6" t="str">
        <f>I193</f>
        <v>間距</v>
      </c>
      <c r="Q193" s="6" t="s">
        <v>546</v>
      </c>
      <c r="R193" s="6" t="s">
        <v>521</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691</v>
      </c>
      <c r="H195" s="4"/>
      <c r="I195" s="4" t="s">
        <v>687</v>
      </c>
      <c r="J195" s="4"/>
      <c r="K195" s="78" t="s">
        <v>701</v>
      </c>
      <c r="L195" s="105" t="s">
        <v>702</v>
      </c>
      <c r="M195" s="124" t="str">
        <f>CONCATENATE(O195,P195,Q195)</f>
        <v>請確認 上層筋是否有斷筋</v>
      </c>
      <c r="O195" s="6" t="s">
        <v>606</v>
      </c>
      <c r="P195" s="6" t="s">
        <v>322</v>
      </c>
      <c r="Q195" s="6" t="s">
        <v>690</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675</v>
      </c>
      <c r="H197" s="4"/>
      <c r="I197" s="4" t="s">
        <v>703</v>
      </c>
      <c r="J197" s="4"/>
      <c r="K197" s="78" t="s">
        <v>704</v>
      </c>
      <c r="L197" s="105" t="s">
        <v>705</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389</v>
      </c>
      <c r="E200" s="38" t="s">
        <v>388</v>
      </c>
      <c r="F200" s="39" t="s">
        <v>390</v>
      </c>
      <c r="G200" s="40" t="s">
        <v>75</v>
      </c>
      <c r="H200" s="36" t="s">
        <v>5</v>
      </c>
      <c r="I200" s="36" t="s">
        <v>5</v>
      </c>
      <c r="J200" s="36" t="s">
        <v>5</v>
      </c>
      <c r="K200" s="42" t="s">
        <v>3</v>
      </c>
      <c r="L200" s="98" t="s">
        <v>7</v>
      </c>
      <c r="M200" s="99" t="s">
        <v>209</v>
      </c>
    </row>
    <row r="201" spans="2:19" ht="19.5" thickBot="1" x14ac:dyDescent="0.3">
      <c r="B201" s="45" t="s">
        <v>706</v>
      </c>
      <c r="C201" s="46" t="s">
        <v>202</v>
      </c>
      <c r="D201" s="47" t="s">
        <v>336</v>
      </c>
      <c r="E201" s="48" t="s">
        <v>375</v>
      </c>
      <c r="F201" s="49" t="s">
        <v>386</v>
      </c>
      <c r="G201" s="50"/>
      <c r="H201" s="100"/>
      <c r="I201" s="100"/>
      <c r="J201" s="100"/>
      <c r="K201" s="52"/>
      <c r="L201" s="101"/>
      <c r="M201" s="102"/>
    </row>
    <row r="202" spans="2:19" x14ac:dyDescent="0.25">
      <c r="B202" s="55"/>
      <c r="C202" s="65" t="s">
        <v>126</v>
      </c>
      <c r="D202" s="66">
        <v>1</v>
      </c>
      <c r="E202" s="67"/>
      <c r="F202" s="68"/>
      <c r="G202" s="77" t="s">
        <v>707</v>
      </c>
      <c r="H202" s="4" t="s">
        <v>708</v>
      </c>
      <c r="I202" s="4" t="s">
        <v>709</v>
      </c>
      <c r="J202" s="4" t="s">
        <v>710</v>
      </c>
      <c r="K202" s="78" t="s">
        <v>460</v>
      </c>
      <c r="L202" s="105" t="s">
        <v>711</v>
      </c>
      <c r="M202" s="124" t="str">
        <f>CONCATENATE(O202,P202,Q202,R202,S202)</f>
        <v>請確認是否符合 水平筋間距下限 規定</v>
      </c>
      <c r="O202" s="6" t="s">
        <v>510</v>
      </c>
      <c r="P202" s="6" t="str">
        <f>I202</f>
        <v>水平筋</v>
      </c>
      <c r="Q202" s="6" t="s">
        <v>682</v>
      </c>
      <c r="R202" s="6" t="s">
        <v>514</v>
      </c>
      <c r="S202" s="6" t="s">
        <v>712</v>
      </c>
    </row>
    <row r="203" spans="2:19" x14ac:dyDescent="0.25">
      <c r="B203" s="55"/>
      <c r="C203" s="65" t="s">
        <v>127</v>
      </c>
      <c r="D203" s="66">
        <v>1</v>
      </c>
      <c r="E203" s="67"/>
      <c r="F203" s="68"/>
      <c r="G203" s="77" t="s">
        <v>713</v>
      </c>
      <c r="H203" s="103" t="s">
        <v>714</v>
      </c>
      <c r="I203" s="4" t="s">
        <v>715</v>
      </c>
      <c r="J203" s="4" t="s">
        <v>716</v>
      </c>
      <c r="K203" s="78" t="s">
        <v>563</v>
      </c>
      <c r="L203" s="105" t="s">
        <v>717</v>
      </c>
      <c r="M203" s="124" t="str">
        <f>CONCATENATE(O203,P203,Q203,R203,S203)</f>
        <v>請確認是否符合 水平筋間距下限 規定</v>
      </c>
      <c r="O203" s="6" t="s">
        <v>718</v>
      </c>
      <c r="P203" s="6" t="str">
        <f>I203</f>
        <v>水平筋</v>
      </c>
      <c r="Q203" s="6" t="s">
        <v>656</v>
      </c>
      <c r="R203" s="6" t="s">
        <v>719</v>
      </c>
      <c r="S203" s="6" t="s">
        <v>421</v>
      </c>
    </row>
    <row r="204" spans="2:19" x14ac:dyDescent="0.25">
      <c r="B204" s="55"/>
      <c r="C204" s="65" t="s">
        <v>128</v>
      </c>
      <c r="D204" s="66"/>
      <c r="E204" s="67">
        <v>1</v>
      </c>
      <c r="F204" s="68">
        <v>1</v>
      </c>
      <c r="G204" s="77" t="s">
        <v>713</v>
      </c>
      <c r="H204" s="4" t="s">
        <v>720</v>
      </c>
      <c r="I204" s="4" t="s">
        <v>709</v>
      </c>
      <c r="J204" s="4" t="s">
        <v>716</v>
      </c>
      <c r="K204" s="78" t="s">
        <v>463</v>
      </c>
      <c r="L204" s="118" t="s">
        <v>84</v>
      </c>
      <c r="M204" s="124" t="str">
        <f>CONCATENATE(O204,P204,Q204,R204,S204)</f>
        <v>請確認是否符合 水平筋間距上限 規定</v>
      </c>
      <c r="O204" s="6" t="s">
        <v>510</v>
      </c>
      <c r="P204" s="6" t="str">
        <f>I204</f>
        <v>水平筋</v>
      </c>
      <c r="Q204" s="6" t="s">
        <v>656</v>
      </c>
      <c r="R204" s="6" t="s">
        <v>721</v>
      </c>
      <c r="S204" s="6" t="s">
        <v>421</v>
      </c>
    </row>
    <row r="205" spans="2:19" x14ac:dyDescent="0.25">
      <c r="B205" s="55"/>
      <c r="C205" s="65" t="s">
        <v>129</v>
      </c>
      <c r="D205" s="66"/>
      <c r="E205" s="67">
        <v>1</v>
      </c>
      <c r="F205" s="68">
        <v>1</v>
      </c>
      <c r="G205" s="77" t="s">
        <v>722</v>
      </c>
      <c r="H205" s="103" t="s">
        <v>714</v>
      </c>
      <c r="I205" s="4" t="s">
        <v>723</v>
      </c>
      <c r="J205" s="4" t="s">
        <v>724</v>
      </c>
      <c r="K205" s="78" t="s">
        <v>463</v>
      </c>
      <c r="L205" s="118" t="s">
        <v>84</v>
      </c>
      <c r="M205" s="124" t="str">
        <f>CONCATENATE(O205,P205,Q205,R205,S205)</f>
        <v>請確認是否符合 水平筋間距上限 規定</v>
      </c>
      <c r="O205" s="6" t="s">
        <v>424</v>
      </c>
      <c r="P205" s="6" t="str">
        <f>I205</f>
        <v>水平筋</v>
      </c>
      <c r="Q205" s="6" t="s">
        <v>682</v>
      </c>
      <c r="R205" s="6" t="s">
        <v>546</v>
      </c>
      <c r="S205" s="6" t="s">
        <v>421</v>
      </c>
    </row>
    <row r="206" spans="2:19" x14ac:dyDescent="0.25">
      <c r="B206" s="55"/>
      <c r="C206" s="65" t="s">
        <v>130</v>
      </c>
      <c r="D206" s="66"/>
      <c r="E206" s="67">
        <v>1</v>
      </c>
      <c r="F206" s="68"/>
      <c r="G206" s="77" t="s">
        <v>725</v>
      </c>
      <c r="H206" s="4" t="s">
        <v>708</v>
      </c>
      <c r="I206" s="4" t="s">
        <v>726</v>
      </c>
      <c r="J206" s="4" t="s">
        <v>727</v>
      </c>
      <c r="K206" s="78" t="s">
        <v>663</v>
      </c>
      <c r="L206" s="118" t="s">
        <v>728</v>
      </c>
      <c r="M206" s="124" t="str">
        <f>CONCATENATE(O206,P206,Q206,R206)</f>
        <v>請確認 外側垂直筋是否有斷筋</v>
      </c>
      <c r="O206" s="6" t="s">
        <v>729</v>
      </c>
      <c r="P206" s="6" t="str">
        <f>H206</f>
        <v>外側</v>
      </c>
      <c r="Q206" s="6" t="str">
        <f>I206</f>
        <v>垂直筋</v>
      </c>
      <c r="R206" s="6" t="s">
        <v>690</v>
      </c>
    </row>
    <row r="207" spans="2:19" x14ac:dyDescent="0.25">
      <c r="B207" s="55"/>
      <c r="C207" s="65" t="s">
        <v>131</v>
      </c>
      <c r="D207" s="66"/>
      <c r="E207" s="67">
        <v>1</v>
      </c>
      <c r="F207" s="68"/>
      <c r="G207" s="77" t="s">
        <v>713</v>
      </c>
      <c r="H207" s="103" t="s">
        <v>730</v>
      </c>
      <c r="I207" s="4" t="s">
        <v>726</v>
      </c>
      <c r="J207" s="4" t="s">
        <v>724</v>
      </c>
      <c r="K207" s="78" t="s">
        <v>676</v>
      </c>
      <c r="L207" s="118" t="s">
        <v>731</v>
      </c>
      <c r="M207" s="124" t="str">
        <f>CONCATENATE(O207,P207,Q207,R207)</f>
        <v>請確認 內側垂直筋是否有斷筋</v>
      </c>
      <c r="O207" s="6" t="s">
        <v>732</v>
      </c>
      <c r="P207" s="6" t="str">
        <f>H207</f>
        <v>內側</v>
      </c>
      <c r="Q207" s="6" t="str">
        <f>I207</f>
        <v>垂直筋</v>
      </c>
      <c r="R207" s="6" t="s">
        <v>690</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389</v>
      </c>
      <c r="E209" s="38" t="s">
        <v>389</v>
      </c>
      <c r="F209" s="39" t="s">
        <v>388</v>
      </c>
      <c r="G209" s="40" t="s">
        <v>75</v>
      </c>
      <c r="H209" s="36" t="s">
        <v>5</v>
      </c>
      <c r="I209" s="36" t="s">
        <v>5</v>
      </c>
      <c r="J209" s="36" t="s">
        <v>5</v>
      </c>
      <c r="K209" s="42" t="s">
        <v>3</v>
      </c>
      <c r="L209" s="98" t="s">
        <v>7</v>
      </c>
      <c r="M209" s="99" t="s">
        <v>209</v>
      </c>
    </row>
    <row r="210" spans="2:19" ht="19.5" thickBot="1" x14ac:dyDescent="0.3">
      <c r="B210" s="45" t="s">
        <v>733</v>
      </c>
      <c r="C210" s="46" t="s">
        <v>203</v>
      </c>
      <c r="D210" s="47" t="s">
        <v>336</v>
      </c>
      <c r="E210" s="48" t="s">
        <v>314</v>
      </c>
      <c r="F210" s="49" t="s">
        <v>386</v>
      </c>
      <c r="G210" s="50"/>
      <c r="H210" s="100"/>
      <c r="I210" s="100"/>
      <c r="J210" s="100"/>
      <c r="K210" s="52"/>
      <c r="L210" s="101"/>
      <c r="M210" s="102"/>
    </row>
    <row r="211" spans="2:19" x14ac:dyDescent="0.25">
      <c r="B211" s="55"/>
      <c r="C211" s="65" t="s">
        <v>137</v>
      </c>
      <c r="D211" s="66">
        <v>1</v>
      </c>
      <c r="E211" s="67"/>
      <c r="F211" s="68"/>
      <c r="G211" s="77" t="s">
        <v>734</v>
      </c>
      <c r="H211" s="4"/>
      <c r="I211" s="4" t="s">
        <v>715</v>
      </c>
      <c r="J211" s="4" t="s">
        <v>735</v>
      </c>
      <c r="K211" s="78" t="s">
        <v>558</v>
      </c>
      <c r="L211" s="105" t="s">
        <v>736</v>
      </c>
      <c r="M211" s="124" t="str">
        <f>CONCATENATE(O211,P211,Q211,R211,S211)</f>
        <v>請確認是否符合 水平筋間距下限 規定</v>
      </c>
      <c r="O211" s="6" t="s">
        <v>737</v>
      </c>
      <c r="P211" s="6" t="str">
        <f>I211</f>
        <v>水平筋</v>
      </c>
      <c r="Q211" s="6" t="s">
        <v>656</v>
      </c>
      <c r="R211" s="6" t="s">
        <v>380</v>
      </c>
      <c r="S211" s="6" t="s">
        <v>738</v>
      </c>
    </row>
    <row r="212" spans="2:19" x14ac:dyDescent="0.25">
      <c r="B212" s="55"/>
      <c r="C212" s="65" t="s">
        <v>138</v>
      </c>
      <c r="D212" s="66"/>
      <c r="E212" s="67">
        <v>1</v>
      </c>
      <c r="F212" s="68">
        <v>1</v>
      </c>
      <c r="G212" s="77" t="s">
        <v>739</v>
      </c>
      <c r="H212" s="4"/>
      <c r="I212" s="4" t="s">
        <v>740</v>
      </c>
      <c r="J212" s="4" t="s">
        <v>727</v>
      </c>
      <c r="K212" s="78" t="s">
        <v>566</v>
      </c>
      <c r="L212" s="118" t="s">
        <v>84</v>
      </c>
      <c r="M212" s="124" t="str">
        <f>CONCATENATE(O212,P212,Q212,R212,S212)</f>
        <v>請確認是否符合 水平筋間距下限 規定</v>
      </c>
      <c r="O212" s="6" t="s">
        <v>510</v>
      </c>
      <c r="P212" s="6" t="str">
        <f>I212</f>
        <v>水平筋</v>
      </c>
      <c r="Q212" s="6" t="s">
        <v>741</v>
      </c>
      <c r="R212" s="6" t="s">
        <v>380</v>
      </c>
      <c r="S212" s="6" t="s">
        <v>542</v>
      </c>
    </row>
    <row r="213" spans="2:19" x14ac:dyDescent="0.25">
      <c r="B213" s="55"/>
      <c r="C213" s="65" t="s">
        <v>132</v>
      </c>
      <c r="D213" s="66">
        <v>1</v>
      </c>
      <c r="E213" s="67"/>
      <c r="F213" s="68"/>
      <c r="G213" s="77" t="s">
        <v>723</v>
      </c>
      <c r="H213" s="4"/>
      <c r="I213" s="4" t="s">
        <v>726</v>
      </c>
      <c r="J213" s="4" t="s">
        <v>727</v>
      </c>
      <c r="K213" s="78" t="s">
        <v>460</v>
      </c>
      <c r="L213" s="105" t="s">
        <v>742</v>
      </c>
      <c r="M213" s="124" t="str">
        <f>CONCATENATE(O213,P213,Q213,R213,S213)</f>
        <v>請確認是否符合 垂直筋間距下限 規定</v>
      </c>
      <c r="O213" s="6" t="s">
        <v>602</v>
      </c>
      <c r="P213" s="6" t="str">
        <f>I213</f>
        <v>垂直筋</v>
      </c>
      <c r="Q213" s="6" t="s">
        <v>656</v>
      </c>
      <c r="R213" s="6" t="s">
        <v>514</v>
      </c>
      <c r="S213" s="6" t="s">
        <v>421</v>
      </c>
    </row>
    <row r="214" spans="2:19" x14ac:dyDescent="0.25">
      <c r="B214" s="55"/>
      <c r="C214" s="65" t="s">
        <v>133</v>
      </c>
      <c r="D214" s="66"/>
      <c r="E214" s="67">
        <v>1</v>
      </c>
      <c r="F214" s="68">
        <v>1</v>
      </c>
      <c r="G214" s="77" t="s">
        <v>726</v>
      </c>
      <c r="H214" s="4"/>
      <c r="I214" s="4" t="s">
        <v>726</v>
      </c>
      <c r="J214" s="4" t="s">
        <v>743</v>
      </c>
      <c r="K214" s="78" t="s">
        <v>566</v>
      </c>
      <c r="L214" s="118" t="s">
        <v>84</v>
      </c>
      <c r="M214" s="124" t="str">
        <f>CONCATENATE(O214,P214,Q214,R214,S214)</f>
        <v>請確認是否符合 垂直筋間距下限 規定</v>
      </c>
      <c r="O214" s="6" t="s">
        <v>602</v>
      </c>
      <c r="P214" s="6" t="str">
        <f>I214</f>
        <v>垂直筋</v>
      </c>
      <c r="Q214" s="6" t="s">
        <v>659</v>
      </c>
      <c r="R214" s="6" t="s">
        <v>719</v>
      </c>
      <c r="S214" s="6" t="s">
        <v>421</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744</v>
      </c>
      <c r="H216" s="4" t="s">
        <v>745</v>
      </c>
      <c r="I216" s="4"/>
      <c r="J216" s="4"/>
      <c r="K216" s="78" t="s">
        <v>614</v>
      </c>
      <c r="L216" s="105" t="s">
        <v>746</v>
      </c>
      <c r="M216" s="124" t="str">
        <f>CONCATENATE(O216,P216,Q216,R216,S216)</f>
        <v>請確認 拐頭主筋量下限 規定</v>
      </c>
      <c r="O216" s="6" t="s">
        <v>729</v>
      </c>
      <c r="P216" s="6" t="str">
        <f>G216</f>
        <v>拐頭</v>
      </c>
      <c r="Q216" s="6" t="str">
        <f>H216</f>
        <v>主筋量</v>
      </c>
      <c r="R216" s="6" t="s">
        <v>535</v>
      </c>
      <c r="S216" s="6" t="s">
        <v>712</v>
      </c>
    </row>
    <row r="217" spans="2:19" x14ac:dyDescent="0.25">
      <c r="B217" s="55"/>
      <c r="C217" s="65" t="s">
        <v>146</v>
      </c>
      <c r="D217" s="66"/>
      <c r="E217" s="67">
        <v>1</v>
      </c>
      <c r="F217" s="68">
        <v>1</v>
      </c>
      <c r="G217" s="77" t="s">
        <v>744</v>
      </c>
      <c r="H217" s="4" t="s">
        <v>747</v>
      </c>
      <c r="I217" s="4"/>
      <c r="J217" s="4"/>
      <c r="K217" s="78" t="s">
        <v>560</v>
      </c>
      <c r="L217" s="105" t="s">
        <v>748</v>
      </c>
      <c r="M217" s="124" t="str">
        <f>CONCATENATE(O217,P217,Q217,R217,S217)</f>
        <v>請確認 拐頭主筋量上限 規定</v>
      </c>
      <c r="O217" s="6" t="s">
        <v>628</v>
      </c>
      <c r="P217" s="6" t="str">
        <f>G217</f>
        <v>拐頭</v>
      </c>
      <c r="Q217" s="6" t="str">
        <f>H217</f>
        <v>主筋量</v>
      </c>
      <c r="R217" s="6" t="s">
        <v>546</v>
      </c>
      <c r="S217" s="6" t="s">
        <v>542</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388</v>
      </c>
      <c r="E222" s="38" t="s">
        <v>389</v>
      </c>
      <c r="F222" s="39" t="s">
        <v>389</v>
      </c>
      <c r="G222" s="40" t="s">
        <v>75</v>
      </c>
      <c r="H222" s="36" t="s">
        <v>5</v>
      </c>
      <c r="I222" s="36" t="s">
        <v>5</v>
      </c>
      <c r="J222" s="36" t="s">
        <v>5</v>
      </c>
      <c r="K222" s="42" t="s">
        <v>3</v>
      </c>
      <c r="L222" s="98" t="s">
        <v>7</v>
      </c>
      <c r="M222" s="99" t="s">
        <v>209</v>
      </c>
    </row>
    <row r="223" spans="2:19" ht="19.5" thickBot="1" x14ac:dyDescent="0.3">
      <c r="B223" s="45" t="s">
        <v>749</v>
      </c>
      <c r="C223" s="46" t="s">
        <v>204</v>
      </c>
      <c r="D223" s="47" t="s">
        <v>384</v>
      </c>
      <c r="E223" s="48" t="s">
        <v>385</v>
      </c>
      <c r="F223" s="49" t="s">
        <v>376</v>
      </c>
      <c r="G223" s="50"/>
      <c r="H223" s="100"/>
      <c r="I223" s="100"/>
      <c r="J223" s="100"/>
      <c r="K223" s="52"/>
      <c r="L223" s="101"/>
      <c r="M223" s="102"/>
    </row>
    <row r="224" spans="2:19" x14ac:dyDescent="0.25">
      <c r="B224" s="55"/>
      <c r="C224" s="65" t="s">
        <v>136</v>
      </c>
      <c r="D224" s="66">
        <v>1</v>
      </c>
      <c r="E224" s="67"/>
      <c r="F224" s="68"/>
      <c r="G224" s="77" t="s">
        <v>750</v>
      </c>
      <c r="H224" s="4"/>
      <c r="I224" s="4"/>
      <c r="J224" s="4"/>
      <c r="K224" s="78" t="s">
        <v>751</v>
      </c>
      <c r="L224" s="118" t="s">
        <v>752</v>
      </c>
      <c r="M224" s="124" t="str">
        <f>CONCATENATE(O224,P224,Q224,R224)</f>
        <v>請確認 厚度與開挖深度比例 規定</v>
      </c>
      <c r="O224" s="6" t="s">
        <v>606</v>
      </c>
      <c r="P224" s="6" t="str">
        <f>G224</f>
        <v>厚度</v>
      </c>
      <c r="Q224" s="6" t="str">
        <f>K224</f>
        <v>與開挖深度比例</v>
      </c>
      <c r="R224" s="6" t="s">
        <v>542</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726</v>
      </c>
      <c r="H226" s="4" t="s">
        <v>708</v>
      </c>
      <c r="I226" s="4"/>
      <c r="J226" s="4"/>
      <c r="K226" s="78" t="s">
        <v>563</v>
      </c>
      <c r="L226" s="105" t="s">
        <v>753</v>
      </c>
      <c r="M226" s="124" t="str">
        <f>CONCATENATE(O226,P226,Q226,R226,S226,T226)</f>
        <v>請確認是否符合 外側垂直筋鋼筋量下限 規定</v>
      </c>
      <c r="O226" s="6" t="s">
        <v>424</v>
      </c>
      <c r="P226" s="6" t="str">
        <f>H226</f>
        <v>外側</v>
      </c>
      <c r="Q226" s="6" t="str">
        <f>G226</f>
        <v>垂直筋</v>
      </c>
      <c r="R226" s="6" t="s">
        <v>727</v>
      </c>
      <c r="S226" s="6" t="s">
        <v>514</v>
      </c>
      <c r="T226" s="6" t="s">
        <v>430</v>
      </c>
    </row>
    <row r="227" spans="2:20" x14ac:dyDescent="0.25">
      <c r="B227" s="55"/>
      <c r="C227" s="65" t="s">
        <v>141</v>
      </c>
      <c r="D227" s="66"/>
      <c r="E227" s="67">
        <v>1</v>
      </c>
      <c r="F227" s="68">
        <v>1</v>
      </c>
      <c r="G227" s="77" t="s">
        <v>726</v>
      </c>
      <c r="H227" s="4" t="s">
        <v>720</v>
      </c>
      <c r="I227" s="4"/>
      <c r="J227" s="4"/>
      <c r="K227" s="78" t="s">
        <v>566</v>
      </c>
      <c r="L227" s="105" t="s">
        <v>754</v>
      </c>
      <c r="M227" s="124" t="str">
        <f>CONCATENATE(O227,P227,Q227,R227,S227,T227)</f>
        <v>請確認是否符合 外側垂直筋鋼筋量上限 規定</v>
      </c>
      <c r="O227" s="6" t="s">
        <v>424</v>
      </c>
      <c r="P227" s="6" t="str">
        <f>H227</f>
        <v>外側</v>
      </c>
      <c r="Q227" s="6" t="str">
        <f>G227</f>
        <v>垂直筋</v>
      </c>
      <c r="R227" s="6" t="s">
        <v>727</v>
      </c>
      <c r="S227" s="6" t="s">
        <v>511</v>
      </c>
      <c r="T227" s="6" t="s">
        <v>521</v>
      </c>
    </row>
    <row r="228" spans="2:20" x14ac:dyDescent="0.25">
      <c r="B228" s="55"/>
      <c r="C228" s="65" t="s">
        <v>142</v>
      </c>
      <c r="D228" s="66"/>
      <c r="E228" s="67">
        <v>1</v>
      </c>
      <c r="F228" s="68"/>
      <c r="G228" s="77" t="s">
        <v>739</v>
      </c>
      <c r="H228" s="4" t="s">
        <v>708</v>
      </c>
      <c r="I228" s="4"/>
      <c r="J228" s="4"/>
      <c r="K228" s="78" t="s">
        <v>666</v>
      </c>
      <c r="L228" s="118" t="s">
        <v>728</v>
      </c>
      <c r="M228" s="124" t="str">
        <f>CONCATENATE(O228,P228,Q228,R228)</f>
        <v>請確認 外側垂直筋是否有斷筋</v>
      </c>
      <c r="O228" s="6" t="s">
        <v>628</v>
      </c>
      <c r="P228" s="6" t="str">
        <f>H228</f>
        <v>外側</v>
      </c>
      <c r="Q228" s="6" t="str">
        <f>G228</f>
        <v>垂直筋</v>
      </c>
      <c r="R228" s="6" t="s">
        <v>690</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739</v>
      </c>
      <c r="H230" s="103" t="s">
        <v>714</v>
      </c>
      <c r="I230" s="4"/>
      <c r="J230" s="4"/>
      <c r="K230" s="78" t="s">
        <v>460</v>
      </c>
      <c r="L230" s="105" t="s">
        <v>717</v>
      </c>
      <c r="M230" s="124" t="str">
        <f>CONCATENATE(O230,P230,Q230,R230,S230,T230)</f>
        <v>請確認是否符合 內側垂直筋鋼筋量下限 規定</v>
      </c>
      <c r="O230" s="6" t="s">
        <v>510</v>
      </c>
      <c r="P230" s="6" t="str">
        <f>H230</f>
        <v>內側</v>
      </c>
      <c r="Q230" s="6" t="str">
        <f>G230</f>
        <v>垂直筋</v>
      </c>
      <c r="R230" s="6" t="s">
        <v>724</v>
      </c>
      <c r="S230" s="6" t="s">
        <v>380</v>
      </c>
      <c r="T230" s="6" t="s">
        <v>738</v>
      </c>
    </row>
    <row r="231" spans="2:20" x14ac:dyDescent="0.25">
      <c r="B231" s="55"/>
      <c r="C231" s="65" t="s">
        <v>145</v>
      </c>
      <c r="D231" s="66"/>
      <c r="E231" s="67">
        <v>1</v>
      </c>
      <c r="F231" s="68">
        <v>1</v>
      </c>
      <c r="G231" s="77" t="s">
        <v>755</v>
      </c>
      <c r="H231" s="103" t="s">
        <v>756</v>
      </c>
      <c r="I231" s="4"/>
      <c r="J231" s="4"/>
      <c r="K231" s="78" t="s">
        <v>757</v>
      </c>
      <c r="L231" s="105" t="s">
        <v>711</v>
      </c>
      <c r="M231" s="124" t="str">
        <f>CONCATENATE(O231,P231,Q231,R231,S231,T231)</f>
        <v>請確認是否符合 內側垂直筋鋼筋量上限 規定</v>
      </c>
      <c r="O231" s="6" t="s">
        <v>424</v>
      </c>
      <c r="P231" s="6" t="str">
        <f>H231</f>
        <v>內側</v>
      </c>
      <c r="Q231" s="6" t="str">
        <f>G231</f>
        <v>垂直筋</v>
      </c>
      <c r="R231" s="6" t="s">
        <v>724</v>
      </c>
      <c r="S231" s="6" t="s">
        <v>546</v>
      </c>
      <c r="T231" s="6" t="s">
        <v>421</v>
      </c>
    </row>
    <row r="232" spans="2:20" x14ac:dyDescent="0.25">
      <c r="B232" s="55"/>
      <c r="C232" s="65" t="s">
        <v>150</v>
      </c>
      <c r="D232" s="66"/>
      <c r="E232" s="67">
        <v>1</v>
      </c>
      <c r="F232" s="68"/>
      <c r="G232" s="77" t="s">
        <v>758</v>
      </c>
      <c r="H232" s="103" t="s">
        <v>730</v>
      </c>
      <c r="I232" s="4"/>
      <c r="J232" s="4"/>
      <c r="K232" s="78" t="s">
        <v>676</v>
      </c>
      <c r="L232" s="118" t="s">
        <v>731</v>
      </c>
      <c r="M232" s="124" t="str">
        <f>CONCATENATE(O232,P232,Q232,R232)</f>
        <v>請確認 內側垂直筋是否有斷筋</v>
      </c>
      <c r="O232" s="6" t="s">
        <v>623</v>
      </c>
      <c r="P232" s="6" t="str">
        <f>H232</f>
        <v>內側</v>
      </c>
      <c r="Q232" s="6" t="str">
        <f>G232</f>
        <v>垂直筋</v>
      </c>
      <c r="R232" s="6" t="s">
        <v>690</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759</v>
      </c>
      <c r="H234" s="4"/>
      <c r="I234" s="4"/>
      <c r="J234" s="4"/>
      <c r="K234" s="78" t="s">
        <v>760</v>
      </c>
      <c r="L234" s="118"/>
      <c r="M234" s="124" t="str">
        <f>CONCATENATE(O234,P234,Q234)</f>
        <v>請確認 水平剪力筋間距是否垂直筋間距相符</v>
      </c>
      <c r="O234" s="6" t="s">
        <v>606</v>
      </c>
      <c r="P234" s="6" t="str">
        <f>G234</f>
        <v>水平剪力筋</v>
      </c>
      <c r="Q234" s="6" t="str">
        <f>K234</f>
        <v>間距是否垂直筋間距相符</v>
      </c>
    </row>
    <row r="235" spans="2:20" x14ac:dyDescent="0.25">
      <c r="B235" s="55"/>
      <c r="C235" s="65" t="s">
        <v>153</v>
      </c>
      <c r="D235" s="66"/>
      <c r="E235" s="67">
        <v>1</v>
      </c>
      <c r="F235" s="68"/>
      <c r="G235" s="77" t="s">
        <v>759</v>
      </c>
      <c r="H235" s="4"/>
      <c r="I235" s="4"/>
      <c r="J235" s="4"/>
      <c r="K235" s="78" t="s">
        <v>761</v>
      </c>
      <c r="L235" s="118" t="s">
        <v>762</v>
      </c>
      <c r="M235" s="124" t="str">
        <f>CONCATENATE(O235,P235,Q235)</f>
        <v>請確認 水平剪力筋是否有斷筋</v>
      </c>
      <c r="O235" s="6" t="s">
        <v>606</v>
      </c>
      <c r="P235" s="6" t="str">
        <f>G235</f>
        <v>水平剪力筋</v>
      </c>
      <c r="Q235" s="6" t="s">
        <v>690</v>
      </c>
    </row>
    <row r="236" spans="2:20" x14ac:dyDescent="0.25">
      <c r="B236" s="55"/>
      <c r="C236" s="65" t="s">
        <v>154</v>
      </c>
      <c r="D236" s="66"/>
      <c r="E236" s="67"/>
      <c r="F236" s="68">
        <v>1</v>
      </c>
      <c r="G236" s="77" t="s">
        <v>763</v>
      </c>
      <c r="H236" s="4"/>
      <c r="I236" s="4"/>
      <c r="J236" s="4"/>
      <c r="K236" s="78" t="s">
        <v>760</v>
      </c>
      <c r="L236" s="118"/>
      <c r="M236" s="124" t="str">
        <f>CONCATENATE(O236,P236,Q236)</f>
        <v>請確認 垂直剪力筋間距是否垂直筋間距相符</v>
      </c>
      <c r="O236" s="6" t="s">
        <v>623</v>
      </c>
      <c r="P236" s="6" t="str">
        <f>G236</f>
        <v>垂直剪力筋</v>
      </c>
      <c r="Q236" s="6" t="str">
        <f>K236</f>
        <v>間距是否垂直筋間距相符</v>
      </c>
    </row>
    <row r="237" spans="2:20" x14ac:dyDescent="0.25">
      <c r="B237" s="55"/>
      <c r="C237" s="65" t="s">
        <v>155</v>
      </c>
      <c r="D237" s="66"/>
      <c r="E237" s="67">
        <v>1</v>
      </c>
      <c r="F237" s="68"/>
      <c r="G237" s="77" t="s">
        <v>764</v>
      </c>
      <c r="H237" s="4"/>
      <c r="I237" s="4"/>
      <c r="J237" s="4"/>
      <c r="K237" s="78" t="s">
        <v>663</v>
      </c>
      <c r="L237" s="118" t="s">
        <v>731</v>
      </c>
      <c r="M237" s="124" t="str">
        <f>CONCATENATE(O237,P237,Q237)</f>
        <v>請確認 垂直剪力筋是否有斷筋</v>
      </c>
      <c r="O237" s="6" t="s">
        <v>729</v>
      </c>
      <c r="P237" s="6" t="str">
        <f>G237</f>
        <v>垂直剪力筋</v>
      </c>
      <c r="Q237" s="6" t="s">
        <v>690</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765</v>
      </c>
      <c r="E239" s="38" t="s">
        <v>388</v>
      </c>
      <c r="F239" s="39" t="s">
        <v>390</v>
      </c>
      <c r="G239" s="40" t="s">
        <v>75</v>
      </c>
      <c r="H239" s="36" t="s">
        <v>5</v>
      </c>
      <c r="I239" s="36" t="s">
        <v>5</v>
      </c>
      <c r="J239" s="36" t="s">
        <v>5</v>
      </c>
      <c r="K239" s="42" t="s">
        <v>3</v>
      </c>
      <c r="L239" s="43" t="s">
        <v>7</v>
      </c>
      <c r="M239" s="99" t="s">
        <v>209</v>
      </c>
    </row>
    <row r="240" spans="2:20" ht="19.5" thickBot="1" x14ac:dyDescent="0.3">
      <c r="B240" s="45" t="s">
        <v>766</v>
      </c>
      <c r="C240" s="46" t="s">
        <v>156</v>
      </c>
      <c r="D240" s="47" t="s">
        <v>391</v>
      </c>
      <c r="E240" s="48" t="s">
        <v>314</v>
      </c>
      <c r="F240" s="49" t="s">
        <v>767</v>
      </c>
      <c r="G240" s="50"/>
      <c r="H240" s="100"/>
      <c r="I240" s="100"/>
      <c r="J240" s="100"/>
      <c r="K240" s="52"/>
      <c r="L240" s="53"/>
      <c r="M240" s="102"/>
    </row>
    <row r="241" spans="2:17" x14ac:dyDescent="0.25">
      <c r="B241" s="129"/>
      <c r="C241" s="130" t="s">
        <v>157</v>
      </c>
      <c r="D241" s="131">
        <v>1</v>
      </c>
      <c r="E241" s="132">
        <v>1</v>
      </c>
      <c r="F241" s="133"/>
      <c r="G241" s="134" t="s">
        <v>768</v>
      </c>
      <c r="H241" s="135"/>
      <c r="I241" s="135"/>
      <c r="J241" s="135"/>
      <c r="K241" s="136" t="s">
        <v>769</v>
      </c>
      <c r="L241" s="118" t="s">
        <v>770</v>
      </c>
      <c r="M241" s="138" t="s">
        <v>771</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772</v>
      </c>
      <c r="H243" s="4"/>
      <c r="I243" s="4"/>
      <c r="J243" s="4"/>
      <c r="K243" s="78" t="s">
        <v>760</v>
      </c>
      <c r="L243" s="118"/>
      <c r="M243" s="124" t="str">
        <f>CONCATENATE(O243,P243,Q243)</f>
        <v>請確認 水平剪力筋間距是否垂直筋間距相符</v>
      </c>
      <c r="O243" s="6" t="s">
        <v>606</v>
      </c>
      <c r="P243" s="6" t="str">
        <f>G243</f>
        <v>水平剪力筋</v>
      </c>
      <c r="Q243" s="6" t="str">
        <f>K243</f>
        <v>間距是否垂直筋間距相符</v>
      </c>
    </row>
    <row r="244" spans="2:17" x14ac:dyDescent="0.25">
      <c r="B244" s="55"/>
      <c r="C244" s="65" t="s">
        <v>160</v>
      </c>
      <c r="D244" s="66"/>
      <c r="E244" s="67">
        <v>1</v>
      </c>
      <c r="F244" s="68"/>
      <c r="G244" s="77" t="s">
        <v>773</v>
      </c>
      <c r="H244" s="4"/>
      <c r="I244" s="4"/>
      <c r="J244" s="4"/>
      <c r="K244" s="78" t="s">
        <v>663</v>
      </c>
      <c r="L244" s="118" t="s">
        <v>731</v>
      </c>
      <c r="M244" s="124" t="str">
        <f>CONCATENATE(O244,P244,Q244)</f>
        <v>請確認 水平剪力筋是否有斷筋</v>
      </c>
      <c r="O244" s="6" t="s">
        <v>628</v>
      </c>
      <c r="P244" s="6" t="str">
        <f>G244</f>
        <v>水平剪力筋</v>
      </c>
      <c r="Q244" s="6" t="s">
        <v>690</v>
      </c>
    </row>
    <row r="245" spans="2:17" ht="21" customHeight="1" x14ac:dyDescent="0.25">
      <c r="B245" s="55"/>
      <c r="C245" s="65" t="s">
        <v>161</v>
      </c>
      <c r="D245" s="66"/>
      <c r="E245" s="67"/>
      <c r="F245" s="68">
        <v>1</v>
      </c>
      <c r="G245" s="77" t="s">
        <v>774</v>
      </c>
      <c r="H245" s="4"/>
      <c r="I245" s="4"/>
      <c r="J245" s="4"/>
      <c r="K245" s="78" t="s">
        <v>775</v>
      </c>
      <c r="L245" s="118"/>
      <c r="M245" s="124" t="str">
        <f>CONCATENATE(O245,P245,Q245)</f>
        <v>請確認 垂直剪力筋間距是否垂直筋間距相符</v>
      </c>
      <c r="O245" s="6" t="s">
        <v>623</v>
      </c>
      <c r="P245" s="6" t="str">
        <f>G245</f>
        <v>垂直剪力筋</v>
      </c>
      <c r="Q245" s="6" t="str">
        <f>K245</f>
        <v>間距是否垂直筋間距相符</v>
      </c>
    </row>
    <row r="246" spans="2:17" x14ac:dyDescent="0.25">
      <c r="B246" s="55"/>
      <c r="C246" s="65" t="s">
        <v>162</v>
      </c>
      <c r="D246" s="66"/>
      <c r="E246" s="67">
        <v>1</v>
      </c>
      <c r="F246" s="68"/>
      <c r="G246" s="77" t="s">
        <v>764</v>
      </c>
      <c r="H246" s="4"/>
      <c r="I246" s="4"/>
      <c r="J246" s="4"/>
      <c r="K246" s="78" t="s">
        <v>776</v>
      </c>
      <c r="L246" s="118" t="s">
        <v>762</v>
      </c>
      <c r="M246" s="124" t="str">
        <f>CONCATENATE(O246,P246,Q246)</f>
        <v>請確認 垂直剪力筋是否有斷筋</v>
      </c>
      <c r="O246" s="6" t="s">
        <v>606</v>
      </c>
      <c r="P246" s="6" t="str">
        <f>G246</f>
        <v>垂直剪力筋</v>
      </c>
      <c r="Q246" s="6" t="s">
        <v>690</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390</v>
      </c>
      <c r="E250" s="38" t="s">
        <v>390</v>
      </c>
      <c r="F250" s="39" t="s">
        <v>777</v>
      </c>
      <c r="G250" s="40" t="s">
        <v>75</v>
      </c>
      <c r="H250" s="36" t="s">
        <v>5</v>
      </c>
      <c r="I250" s="36" t="s">
        <v>5</v>
      </c>
      <c r="J250" s="36" t="s">
        <v>5</v>
      </c>
      <c r="K250" s="42" t="s">
        <v>3</v>
      </c>
      <c r="L250" s="43" t="s">
        <v>7</v>
      </c>
      <c r="M250" s="99" t="s">
        <v>209</v>
      </c>
    </row>
    <row r="251" spans="2:17" ht="19.5" thickBot="1" x14ac:dyDescent="0.3">
      <c r="B251" s="45" t="s">
        <v>392</v>
      </c>
      <c r="C251" s="46" t="s">
        <v>171</v>
      </c>
      <c r="D251" s="47" t="s">
        <v>384</v>
      </c>
      <c r="E251" s="48" t="s">
        <v>778</v>
      </c>
      <c r="F251" s="49" t="s">
        <v>779</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739</v>
      </c>
      <c r="H253" s="4"/>
      <c r="I253" s="4"/>
      <c r="J253" s="4"/>
      <c r="K253" s="78" t="s">
        <v>666</v>
      </c>
      <c r="L253" s="118"/>
      <c r="M253" s="124" t="str">
        <f>CONCATENATE(O253,P253,Q253)</f>
        <v>請確認 垂直筋是否有斷筋</v>
      </c>
      <c r="O253" s="6" t="s">
        <v>729</v>
      </c>
      <c r="P253" s="6" t="str">
        <f>G253</f>
        <v>垂直筋</v>
      </c>
      <c r="Q253" s="6" t="s">
        <v>690</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780</v>
      </c>
      <c r="H255" s="4"/>
      <c r="I255" s="4"/>
      <c r="J255" s="4"/>
      <c r="K255" s="78" t="s">
        <v>666</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General Information</vt:lpstr>
      <vt:lpstr>工作表15</vt:lpstr>
      <vt:lpstr>工作表14</vt:lpstr>
      <vt:lpstr>工作表13</vt:lpstr>
      <vt:lpstr>工作表12</vt:lpstr>
      <vt:lpstr>工作表11</vt:lpstr>
      <vt:lpstr>工作表10</vt:lpstr>
      <vt:lpstr>工作表9</vt:lpstr>
      <vt:lpstr>工作表8</vt:lpstr>
      <vt:lpstr>工作表7</vt:lpstr>
      <vt:lpstr>柱</vt:lpstr>
      <vt:lpstr>大梁</vt:lpstr>
      <vt:lpstr>小梁</vt:lpstr>
      <vt:lpstr>地梁</vt:lpstr>
      <vt:lpstr>Rule</vt:lpstr>
      <vt:lpstr>Release Notes</vt:lpstr>
      <vt:lpstr>Error</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2018-12-11T04:27:27Z</dcterms:modified>
</cp:coreProperties>
</file>