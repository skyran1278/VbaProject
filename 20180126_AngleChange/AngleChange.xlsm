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AUL\VbaProject\20180126_AngleChange\"/>
    </mc:Choice>
  </mc:AlternateContent>
  <xr:revisionPtr revIDLastSave="0" documentId="13_ncr:1_{3958E5F8-5657-40DB-A495-CC875E3DE5C8}" xr6:coauthVersionLast="33" xr6:coauthVersionMax="33" xr10:uidLastSave="{00000000-0000-0000-0000-000000000000}"/>
  <bookViews>
    <workbookView xWindow="0" yWindow="0" windowWidth="23040" windowHeight="8988" firstSheet="2" activeTab="8" xr2:uid="{00000000-000D-0000-FFFF-FFFF00000000}"/>
  </bookViews>
  <sheets>
    <sheet name="說明" sheetId="8" r:id="rId1"/>
    <sheet name="Nodal Displacements-v8" sheetId="1" r:id="rId2"/>
    <sheet name="Lines-v8" sheetId="2" r:id="rId3"/>
    <sheet name="Nodal Displacements-v12" sheetId="4" r:id="rId4"/>
    <sheet name="Lines-v12" sheetId="5" r:id="rId5"/>
    <sheet name="Result-v12" sheetId="6" r:id="rId6"/>
    <sheet name="old" sheetId="3" r:id="rId7"/>
    <sheet name="版本資訊" sheetId="7" r:id="rId8"/>
    <sheet name="Release Notes" sheetId="9" r:id="rId9"/>
  </sheets>
  <functionGroups builtInGroupCount="19"/>
  <definedNames>
    <definedName name="_xlnm._FilterDatabase" localSheetId="3" hidden="1">'Nodal Displacements-v12'!$A$1:$J$311</definedName>
  </definedNames>
  <calcPr calcId="179017" refMode="R1C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" i="3" l="1"/>
  <c r="DL6" i="3"/>
  <c r="DO6" i="3"/>
  <c r="N1" i="3"/>
  <c r="DL7" i="3"/>
  <c r="DO7" i="3"/>
  <c r="Q1" i="3"/>
  <c r="DL8" i="3"/>
  <c r="DO8" i="3"/>
  <c r="T1" i="3"/>
  <c r="DL9" i="3"/>
  <c r="DO9" i="3"/>
  <c r="W1" i="3"/>
  <c r="DL10" i="3"/>
  <c r="DO10" i="3"/>
  <c r="Z1" i="3"/>
  <c r="DL11" i="3"/>
  <c r="DO11" i="3"/>
  <c r="AC1" i="3"/>
  <c r="DL12" i="3"/>
  <c r="DO12" i="3"/>
  <c r="AF1" i="3"/>
  <c r="DL13" i="3"/>
  <c r="DO13" i="3"/>
  <c r="AI1" i="3"/>
  <c r="DL14" i="3"/>
  <c r="DO14" i="3"/>
  <c r="AL1" i="3"/>
  <c r="DL15" i="3"/>
  <c r="DO15" i="3"/>
  <c r="AO1" i="3"/>
  <c r="DL16" i="3"/>
  <c r="DO16" i="3"/>
  <c r="AR1" i="3"/>
  <c r="DL17" i="3"/>
  <c r="DO17" i="3"/>
  <c r="AU1" i="3"/>
  <c r="DL18" i="3"/>
  <c r="DO18" i="3"/>
  <c r="AX1" i="3"/>
  <c r="DL19" i="3"/>
  <c r="DO19" i="3"/>
  <c r="BA1" i="3"/>
  <c r="DL20" i="3"/>
  <c r="DO20" i="3"/>
  <c r="BD1" i="3"/>
  <c r="DL21" i="3"/>
  <c r="DO21" i="3"/>
  <c r="BG1" i="3"/>
  <c r="DL22" i="3"/>
  <c r="DO22" i="3"/>
  <c r="BJ1" i="3"/>
  <c r="DL23" i="3"/>
  <c r="DO23" i="3"/>
  <c r="BM1" i="3"/>
  <c r="DL24" i="3"/>
  <c r="DO24" i="3"/>
  <c r="BP1" i="3"/>
  <c r="DL25" i="3"/>
  <c r="DO25" i="3"/>
  <c r="BS1" i="3"/>
  <c r="DL26" i="3"/>
  <c r="DO26" i="3"/>
  <c r="BV1" i="3"/>
  <c r="DL27" i="3"/>
  <c r="DO27" i="3"/>
  <c r="BY1" i="3"/>
  <c r="DL28" i="3"/>
  <c r="DO28" i="3"/>
  <c r="CB1" i="3"/>
  <c r="DL29" i="3"/>
  <c r="DO29" i="3"/>
  <c r="CE1" i="3"/>
  <c r="DL30" i="3"/>
  <c r="DO30" i="3"/>
  <c r="CH1" i="3"/>
  <c r="DL31" i="3"/>
  <c r="DO31" i="3"/>
  <c r="CK1" i="3"/>
  <c r="DL32" i="3"/>
  <c r="DO32" i="3"/>
  <c r="CN1" i="3"/>
  <c r="DL33" i="3"/>
  <c r="DO33" i="3"/>
  <c r="CQ1" i="3"/>
  <c r="DL34" i="3"/>
  <c r="DO34" i="3"/>
  <c r="CT1" i="3"/>
  <c r="DL35" i="3"/>
  <c r="DO35" i="3"/>
  <c r="CW1" i="3"/>
  <c r="DL36" i="3"/>
  <c r="DO36" i="3"/>
  <c r="CZ1" i="3"/>
  <c r="DL37" i="3"/>
  <c r="DO37" i="3"/>
  <c r="DC1" i="3"/>
  <c r="DL38" i="3"/>
  <c r="DO38" i="3"/>
  <c r="DF1" i="3"/>
  <c r="DL39" i="3"/>
  <c r="DO39" i="3"/>
  <c r="DI1" i="3"/>
  <c r="DL40" i="3"/>
  <c r="DO40" i="3"/>
  <c r="H1" i="3"/>
  <c r="DL5" i="3"/>
  <c r="DO5" i="3"/>
  <c r="B8" i="7"/>
  <c r="F41" i="6"/>
  <c r="F40" i="6"/>
  <c r="F39" i="6"/>
  <c r="F38" i="6"/>
  <c r="F37" i="6"/>
  <c r="F36" i="6"/>
  <c r="F35" i="6"/>
  <c r="F34" i="6"/>
  <c r="F33" i="6"/>
  <c r="F32" i="6"/>
  <c r="F31" i="6"/>
  <c r="F30" i="6"/>
  <c r="F29" i="6"/>
  <c r="F28" i="6"/>
  <c r="F27" i="6"/>
  <c r="F26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F8" i="6"/>
  <c r="F7" i="6"/>
  <c r="F6" i="6"/>
  <c r="DM37" i="3"/>
  <c r="DM29" i="3"/>
  <c r="DM21" i="3"/>
  <c r="DM13" i="3"/>
  <c r="DM40" i="3"/>
  <c r="DM39" i="3"/>
  <c r="DM38" i="3"/>
  <c r="DM36" i="3"/>
  <c r="DM35" i="3"/>
  <c r="DM34" i="3"/>
  <c r="DM33" i="3"/>
  <c r="DM32" i="3"/>
  <c r="DM31" i="3"/>
  <c r="DM30" i="3"/>
  <c r="DM28" i="3"/>
  <c r="DM27" i="3"/>
  <c r="DM26" i="3"/>
  <c r="DM25" i="3"/>
  <c r="DM24" i="3"/>
  <c r="DM23" i="3"/>
  <c r="DM22" i="3"/>
  <c r="DM20" i="3"/>
  <c r="DM19" i="3"/>
  <c r="DM18" i="3"/>
  <c r="DM17" i="3"/>
  <c r="DM16" i="3"/>
  <c r="DM15" i="3"/>
  <c r="DM14" i="3"/>
  <c r="DM12" i="3"/>
  <c r="DM11" i="3"/>
  <c r="DM10" i="3"/>
  <c r="DM9" i="3"/>
  <c r="DM8" i="3"/>
  <c r="DM7" i="3"/>
  <c r="DM6" i="3"/>
  <c r="DM5" i="3"/>
  <c r="DI1" i="2"/>
  <c r="DL40" i="2"/>
  <c r="DN40" i="3"/>
  <c r="DF1" i="2"/>
  <c r="DL39" i="2"/>
  <c r="DN39" i="3"/>
  <c r="DC1" i="2"/>
  <c r="DL38" i="2"/>
  <c r="DN38" i="3"/>
  <c r="CZ1" i="2"/>
  <c r="DL37" i="2"/>
  <c r="DN37" i="3"/>
  <c r="CW1" i="2"/>
  <c r="DL36" i="2"/>
  <c r="DN36" i="3"/>
  <c r="CT1" i="2"/>
  <c r="DL35" i="2"/>
  <c r="DN35" i="3"/>
  <c r="CQ1" i="2"/>
  <c r="DL34" i="2"/>
  <c r="DN34" i="3"/>
  <c r="CN1" i="2"/>
  <c r="DL33" i="2"/>
  <c r="DN33" i="3"/>
  <c r="CK1" i="2"/>
  <c r="DL32" i="2"/>
  <c r="DN32" i="3"/>
  <c r="CH1" i="2"/>
  <c r="DL31" i="2"/>
  <c r="DN31" i="3"/>
  <c r="CE1" i="2"/>
  <c r="DL30" i="2"/>
  <c r="DN30" i="3"/>
  <c r="CB1" i="2"/>
  <c r="DL29" i="2"/>
  <c r="DN29" i="3"/>
  <c r="BY1" i="2"/>
  <c r="DL28" i="2"/>
  <c r="DN28" i="3"/>
  <c r="BV1" i="2"/>
  <c r="DL27" i="2"/>
  <c r="DN27" i="3"/>
  <c r="BS1" i="2"/>
  <c r="DL26" i="2"/>
  <c r="DN26" i="3"/>
  <c r="BP1" i="2"/>
  <c r="DL25" i="2"/>
  <c r="DN25" i="3"/>
  <c r="BM1" i="2"/>
  <c r="DL24" i="2"/>
  <c r="DN24" i="3"/>
  <c r="BJ1" i="2"/>
  <c r="DL23" i="2"/>
  <c r="DN23" i="3"/>
  <c r="BG1" i="2"/>
  <c r="DL22" i="2"/>
  <c r="DN22" i="3"/>
  <c r="BD1" i="2"/>
  <c r="DL21" i="2"/>
  <c r="DN21" i="3"/>
  <c r="BA1" i="2"/>
  <c r="DL20" i="2"/>
  <c r="DN20" i="3"/>
  <c r="AX1" i="2"/>
  <c r="DL19" i="2"/>
  <c r="DN19" i="3"/>
  <c r="AU1" i="2"/>
  <c r="DL18" i="2"/>
  <c r="DN18" i="3"/>
  <c r="AR1" i="2"/>
  <c r="DL17" i="2"/>
  <c r="DN17" i="3"/>
  <c r="AO1" i="2"/>
  <c r="DL16" i="2"/>
  <c r="DN16" i="3"/>
  <c r="AL1" i="2"/>
  <c r="DL15" i="2"/>
  <c r="DN15" i="3"/>
  <c r="AI1" i="2"/>
  <c r="DL14" i="2"/>
  <c r="DN14" i="3"/>
  <c r="AF1" i="2"/>
  <c r="DL13" i="2"/>
  <c r="DN13" i="3"/>
  <c r="AC1" i="2"/>
  <c r="DL12" i="2"/>
  <c r="DN12" i="3"/>
  <c r="Z1" i="2"/>
  <c r="DL11" i="2"/>
  <c r="DN11" i="3"/>
  <c r="W1" i="2"/>
  <c r="DL10" i="2"/>
  <c r="DN10" i="3"/>
  <c r="T1" i="2"/>
  <c r="DL9" i="2"/>
  <c r="DN9" i="3"/>
  <c r="Q1" i="2"/>
  <c r="DL8" i="2"/>
  <c r="DN8" i="3"/>
  <c r="N1" i="2"/>
  <c r="DL7" i="2"/>
  <c r="DN7" i="3"/>
  <c r="K1" i="2"/>
  <c r="DL6" i="2"/>
  <c r="DN6" i="3"/>
  <c r="H1" i="2"/>
  <c r="DL5" i="2"/>
  <c r="DM5" i="2"/>
  <c r="DN5" i="3"/>
  <c r="DM35" i="2"/>
  <c r="DM37" i="2"/>
  <c r="DM27" i="2"/>
  <c r="DM29" i="2"/>
  <c r="DM6" i="2"/>
  <c r="DM14" i="2"/>
  <c r="DM22" i="2"/>
  <c r="DM30" i="2"/>
  <c r="DM38" i="2"/>
  <c r="DM11" i="2"/>
  <c r="DM28" i="2"/>
  <c r="DM21" i="2"/>
  <c r="DM7" i="2"/>
  <c r="DM15" i="2"/>
  <c r="DM23" i="2"/>
  <c r="DM31" i="2"/>
  <c r="DM39" i="2"/>
  <c r="DM8" i="2"/>
  <c r="DM16" i="2"/>
  <c r="DM24" i="2"/>
  <c r="DM32" i="2"/>
  <c r="DM40" i="2"/>
  <c r="DM19" i="2"/>
  <c r="DM20" i="2"/>
  <c r="DM13" i="2"/>
  <c r="DM9" i="2"/>
  <c r="DM17" i="2"/>
  <c r="DM25" i="2"/>
  <c r="DM33" i="2"/>
  <c r="DM12" i="2"/>
  <c r="DM36" i="2"/>
  <c r="DM10" i="2"/>
  <c r="DM18" i="2"/>
  <c r="DM26" i="2"/>
  <c r="DM34" i="2"/>
</calcChain>
</file>

<file path=xl/sharedStrings.xml><?xml version="1.0" encoding="utf-8"?>
<sst xmlns="http://schemas.openxmlformats.org/spreadsheetml/2006/main" count="3634" uniqueCount="589">
  <si>
    <t>Point_ID</t>
  </si>
  <si>
    <t>Grid_I</t>
  </si>
  <si>
    <t>Grid_J</t>
  </si>
  <si>
    <t>Load</t>
  </si>
  <si>
    <t>UZ</t>
  </si>
  <si>
    <t>RX</t>
  </si>
  <si>
    <t>RY</t>
  </si>
  <si>
    <t>UZ_Cracked</t>
  </si>
  <si>
    <t>RX_Cracked</t>
  </si>
  <si>
    <t>RY_Cracked</t>
  </si>
  <si>
    <t>232</t>
  </si>
  <si>
    <t>ASD01</t>
  </si>
  <si>
    <t>ASD02</t>
  </si>
  <si>
    <t>ASD03</t>
  </si>
  <si>
    <t>ASD04</t>
  </si>
  <si>
    <t>ASD05</t>
  </si>
  <si>
    <t>ASD06</t>
  </si>
  <si>
    <t>ASD07</t>
  </si>
  <si>
    <t>ASD08</t>
  </si>
  <si>
    <t>ASD09</t>
  </si>
  <si>
    <t>ASD10</t>
  </si>
  <si>
    <t>ASD11</t>
  </si>
  <si>
    <t>ASD12</t>
  </si>
  <si>
    <t>ASD13</t>
  </si>
  <si>
    <t>ASD14</t>
  </si>
  <si>
    <t>ASD15</t>
  </si>
  <si>
    <t>ASD16</t>
  </si>
  <si>
    <t>ASD17</t>
  </si>
  <si>
    <t>ASD18</t>
  </si>
  <si>
    <t>ASD19</t>
  </si>
  <si>
    <t>ASD20</t>
  </si>
  <si>
    <t>ASD21</t>
  </si>
  <si>
    <t>ASD22</t>
  </si>
  <si>
    <t>ASD23</t>
  </si>
  <si>
    <t>ASD24</t>
  </si>
  <si>
    <t>ASD25</t>
  </si>
  <si>
    <t>ASD26</t>
  </si>
  <si>
    <t>ASD27</t>
  </si>
  <si>
    <t>ASD28</t>
  </si>
  <si>
    <t>ASD29</t>
  </si>
  <si>
    <t>ASD30</t>
  </si>
  <si>
    <t>ASD31</t>
  </si>
  <si>
    <t>ASD32</t>
  </si>
  <si>
    <t>ASD33</t>
  </si>
  <si>
    <t>ASD34</t>
  </si>
  <si>
    <t>ASD35</t>
  </si>
  <si>
    <t>ASD36</t>
  </si>
  <si>
    <t>233</t>
  </si>
  <si>
    <t>228</t>
  </si>
  <si>
    <t>229</t>
  </si>
  <si>
    <t>224</t>
  </si>
  <si>
    <t>225</t>
  </si>
  <si>
    <t>220</t>
  </si>
  <si>
    <t>221</t>
  </si>
  <si>
    <t>236</t>
  </si>
  <si>
    <t>237</t>
  </si>
  <si>
    <t>1</t>
  </si>
  <si>
    <t>23</t>
  </si>
  <si>
    <t>614</t>
  </si>
  <si>
    <t>242</t>
  </si>
  <si>
    <t>642</t>
  </si>
  <si>
    <t>675</t>
  </si>
  <si>
    <t>697</t>
  </si>
  <si>
    <t>239</t>
  </si>
  <si>
    <t>238</t>
  </si>
  <si>
    <t>235</t>
  </si>
  <si>
    <t>234</t>
  </si>
  <si>
    <t>231</t>
  </si>
  <si>
    <t>230</t>
  </si>
  <si>
    <t>227</t>
  </si>
  <si>
    <t>226</t>
  </si>
  <si>
    <t>223</t>
  </si>
  <si>
    <t>222</t>
  </si>
  <si>
    <t>61</t>
  </si>
  <si>
    <t>102</t>
  </si>
  <si>
    <t>620</t>
  </si>
  <si>
    <t>248</t>
  </si>
  <si>
    <t>648</t>
  </si>
  <si>
    <t>677</t>
  </si>
  <si>
    <t>719</t>
  </si>
  <si>
    <t>705</t>
  </si>
  <si>
    <t>156</t>
  </si>
  <si>
    <t>157</t>
  </si>
  <si>
    <t>176</t>
  </si>
  <si>
    <t>177</t>
  </si>
  <si>
    <t>212</t>
  </si>
  <si>
    <t>213</t>
  </si>
  <si>
    <t>216</t>
  </si>
  <si>
    <t>217</t>
  </si>
  <si>
    <t>257</t>
  </si>
  <si>
    <t>258</t>
  </si>
  <si>
    <t>10</t>
  </si>
  <si>
    <t>24</t>
  </si>
  <si>
    <t>612</t>
  </si>
  <si>
    <t>240</t>
  </si>
  <si>
    <t>640</t>
  </si>
  <si>
    <t>115</t>
  </si>
  <si>
    <t>669</t>
  </si>
  <si>
    <t>698</t>
  </si>
  <si>
    <t>260</t>
  </si>
  <si>
    <t>259</t>
  </si>
  <si>
    <t>159</t>
  </si>
  <si>
    <t>158</t>
  </si>
  <si>
    <t>179</t>
  </si>
  <si>
    <t>178</t>
  </si>
  <si>
    <t>215</t>
  </si>
  <si>
    <t>214</t>
  </si>
  <si>
    <t>219</t>
  </si>
  <si>
    <t>218</t>
  </si>
  <si>
    <t>67</t>
  </si>
  <si>
    <t>103</t>
  </si>
  <si>
    <t>621</t>
  </si>
  <si>
    <t>249</t>
  </si>
  <si>
    <t>649</t>
  </si>
  <si>
    <t>113</t>
  </si>
  <si>
    <t>678</t>
  </si>
  <si>
    <t>706</t>
  </si>
  <si>
    <t>152</t>
  </si>
  <si>
    <t>153</t>
  </si>
  <si>
    <t>172</t>
  </si>
  <si>
    <t>173</t>
  </si>
  <si>
    <t>208</t>
  </si>
  <si>
    <t>209</t>
  </si>
  <si>
    <t>204</t>
  </si>
  <si>
    <t>205</t>
  </si>
  <si>
    <t>261</t>
  </si>
  <si>
    <t>262</t>
  </si>
  <si>
    <t>11</t>
  </si>
  <si>
    <t>25</t>
  </si>
  <si>
    <t>613</t>
  </si>
  <si>
    <t>241</t>
  </si>
  <si>
    <t>641</t>
  </si>
  <si>
    <t>114</t>
  </si>
  <si>
    <t>670</t>
  </si>
  <si>
    <t>699</t>
  </si>
  <si>
    <t>264</t>
  </si>
  <si>
    <t>263</t>
  </si>
  <si>
    <t>155</t>
  </si>
  <si>
    <t>154</t>
  </si>
  <si>
    <t>175</t>
  </si>
  <si>
    <t>174</t>
  </si>
  <si>
    <t>211</t>
  </si>
  <si>
    <t>210</t>
  </si>
  <si>
    <t>207</t>
  </si>
  <si>
    <t>206</t>
  </si>
  <si>
    <t>73</t>
  </si>
  <si>
    <t>104</t>
  </si>
  <si>
    <t>622</t>
  </si>
  <si>
    <t>250</t>
  </si>
  <si>
    <t>650</t>
  </si>
  <si>
    <t>679</t>
  </si>
  <si>
    <t>707</t>
  </si>
  <si>
    <t>148</t>
  </si>
  <si>
    <t>149</t>
  </si>
  <si>
    <t>168</t>
  </si>
  <si>
    <t>169</t>
  </si>
  <si>
    <t>196</t>
  </si>
  <si>
    <t>197</t>
  </si>
  <si>
    <t>200</t>
  </si>
  <si>
    <t>201</t>
  </si>
  <si>
    <t>265</t>
  </si>
  <si>
    <t>266</t>
  </si>
  <si>
    <t>317</t>
  </si>
  <si>
    <t>318</t>
  </si>
  <si>
    <t>12</t>
  </si>
  <si>
    <t>26</t>
  </si>
  <si>
    <t>615</t>
  </si>
  <si>
    <t>243</t>
  </si>
  <si>
    <t>643</t>
  </si>
  <si>
    <t>109</t>
  </si>
  <si>
    <t>686</t>
  </si>
  <si>
    <t>111</t>
  </si>
  <si>
    <t>671</t>
  </si>
  <si>
    <t>700</t>
  </si>
  <si>
    <t>268</t>
  </si>
  <si>
    <t>267</t>
  </si>
  <si>
    <t>320</t>
  </si>
  <si>
    <t>319</t>
  </si>
  <si>
    <t>151</t>
  </si>
  <si>
    <t>150</t>
  </si>
  <si>
    <t>171</t>
  </si>
  <si>
    <t>170</t>
  </si>
  <si>
    <t>199</t>
  </si>
  <si>
    <t>198</t>
  </si>
  <si>
    <t>203</t>
  </si>
  <si>
    <t>202</t>
  </si>
  <si>
    <t>79</t>
  </si>
  <si>
    <t>105</t>
  </si>
  <si>
    <t>623</t>
  </si>
  <si>
    <t>251</t>
  </si>
  <si>
    <t>651</t>
  </si>
  <si>
    <t>680</t>
  </si>
  <si>
    <t>708</t>
  </si>
  <si>
    <t>144</t>
  </si>
  <si>
    <t>145</t>
  </si>
  <si>
    <t>164</t>
  </si>
  <si>
    <t>165</t>
  </si>
  <si>
    <t>188</t>
  </si>
  <si>
    <t>189</t>
  </si>
  <si>
    <t>192</t>
  </si>
  <si>
    <t>193</t>
  </si>
  <si>
    <t>269</t>
  </si>
  <si>
    <t>270</t>
  </si>
  <si>
    <t>313</t>
  </si>
  <si>
    <t>314</t>
  </si>
  <si>
    <t>13</t>
  </si>
  <si>
    <t>27</t>
  </si>
  <si>
    <t>616</t>
  </si>
  <si>
    <t>244</t>
  </si>
  <si>
    <t>644</t>
  </si>
  <si>
    <t>110</t>
  </si>
  <si>
    <t>687</t>
  </si>
  <si>
    <t>112</t>
  </si>
  <si>
    <t>672</t>
  </si>
  <si>
    <t>701</t>
  </si>
  <si>
    <t>272</t>
  </si>
  <si>
    <t>271</t>
  </si>
  <si>
    <t>316</t>
  </si>
  <si>
    <t>315</t>
  </si>
  <si>
    <t>147</t>
  </si>
  <si>
    <t>146</t>
  </si>
  <si>
    <t>167</t>
  </si>
  <si>
    <t>166</t>
  </si>
  <si>
    <t>191</t>
  </si>
  <si>
    <t>190</t>
  </si>
  <si>
    <t>195</t>
  </si>
  <si>
    <t>194</t>
  </si>
  <si>
    <t>85</t>
  </si>
  <si>
    <t>106</t>
  </si>
  <si>
    <t>624</t>
  </si>
  <si>
    <t>252</t>
  </si>
  <si>
    <t>652</t>
  </si>
  <si>
    <t>681</t>
  </si>
  <si>
    <t>709</t>
  </si>
  <si>
    <t>140</t>
  </si>
  <si>
    <t>141</t>
  </si>
  <si>
    <t>160</t>
  </si>
  <si>
    <t>161</t>
  </si>
  <si>
    <t>180</t>
  </si>
  <si>
    <t>181</t>
  </si>
  <si>
    <t>184</t>
  </si>
  <si>
    <t>185</t>
  </si>
  <si>
    <t>273</t>
  </si>
  <si>
    <t>274</t>
  </si>
  <si>
    <t>309</t>
  </si>
  <si>
    <t>310</t>
  </si>
  <si>
    <t>14</t>
  </si>
  <si>
    <t>28</t>
  </si>
  <si>
    <t>617</t>
  </si>
  <si>
    <t>245</t>
  </si>
  <si>
    <t>645</t>
  </si>
  <si>
    <t>673</t>
  </si>
  <si>
    <t>702</t>
  </si>
  <si>
    <t>276</t>
  </si>
  <si>
    <t>275</t>
  </si>
  <si>
    <t>312</t>
  </si>
  <si>
    <t>311</t>
  </si>
  <si>
    <t>143</t>
  </si>
  <si>
    <t>142</t>
  </si>
  <si>
    <t>163</t>
  </si>
  <si>
    <t>162</t>
  </si>
  <si>
    <t>183</t>
  </si>
  <si>
    <t>182</t>
  </si>
  <si>
    <t>187</t>
  </si>
  <si>
    <t>186</t>
  </si>
  <si>
    <t>91</t>
  </si>
  <si>
    <t>101</t>
  </si>
  <si>
    <t>625</t>
  </si>
  <si>
    <t>253</t>
  </si>
  <si>
    <t>653</t>
  </si>
  <si>
    <t>682</t>
  </si>
  <si>
    <t>710</t>
  </si>
  <si>
    <t>124</t>
  </si>
  <si>
    <t>125</t>
  </si>
  <si>
    <t>128</t>
  </si>
  <si>
    <t>129</t>
  </si>
  <si>
    <t>132</t>
  </si>
  <si>
    <t>133</t>
  </si>
  <si>
    <t>136</t>
  </si>
  <si>
    <t>137</t>
  </si>
  <si>
    <t>277</t>
  </si>
  <si>
    <t>278</t>
  </si>
  <si>
    <t>305</t>
  </si>
  <si>
    <t>306</t>
  </si>
  <si>
    <t>15</t>
  </si>
  <si>
    <t>16</t>
  </si>
  <si>
    <t>619</t>
  </si>
  <si>
    <t>632</t>
  </si>
  <si>
    <t>246</t>
  </si>
  <si>
    <t>661</t>
  </si>
  <si>
    <t>646</t>
  </si>
  <si>
    <t>689</t>
  </si>
  <si>
    <t>674</t>
  </si>
  <si>
    <t>717</t>
  </si>
  <si>
    <t>703</t>
  </si>
  <si>
    <t>280</t>
  </si>
  <si>
    <t>279</t>
  </si>
  <si>
    <t>308</t>
  </si>
  <si>
    <t>307</t>
  </si>
  <si>
    <t>127</t>
  </si>
  <si>
    <t>126</t>
  </si>
  <si>
    <t>131</t>
  </si>
  <si>
    <t>130</t>
  </si>
  <si>
    <t>135</t>
  </si>
  <si>
    <t>134</t>
  </si>
  <si>
    <t>139</t>
  </si>
  <si>
    <t>138</t>
  </si>
  <si>
    <t>281</t>
  </si>
  <si>
    <t>282</t>
  </si>
  <si>
    <t>285</t>
  </si>
  <si>
    <t>286</t>
  </si>
  <si>
    <t>289</t>
  </si>
  <si>
    <t>290</t>
  </si>
  <si>
    <t>293</t>
  </si>
  <si>
    <t>294</t>
  </si>
  <si>
    <t>297</t>
  </si>
  <si>
    <t>298</t>
  </si>
  <si>
    <t>301</t>
  </si>
  <si>
    <t>302</t>
  </si>
  <si>
    <t>603</t>
  </si>
  <si>
    <t>618</t>
  </si>
  <si>
    <t>633</t>
  </si>
  <si>
    <t>605</t>
  </si>
  <si>
    <t>662</t>
  </si>
  <si>
    <t>647</t>
  </si>
  <si>
    <t>690</t>
  </si>
  <si>
    <t>676</t>
  </si>
  <si>
    <t>718</t>
  </si>
  <si>
    <t>704</t>
  </si>
  <si>
    <t>284</t>
  </si>
  <si>
    <t>283</t>
  </si>
  <si>
    <t>288</t>
  </si>
  <si>
    <t>287</t>
  </si>
  <si>
    <t>292</t>
  </si>
  <si>
    <t>291</t>
  </si>
  <si>
    <t>296</t>
  </si>
  <si>
    <t>295</t>
  </si>
  <si>
    <t>300</t>
  </si>
  <si>
    <t>299</t>
  </si>
  <si>
    <t>304</t>
  </si>
  <si>
    <t>303</t>
  </si>
  <si>
    <t>Line_ID</t>
  </si>
  <si>
    <t>Point_1</t>
  </si>
  <si>
    <t>Point_2</t>
  </si>
  <si>
    <t>Section</t>
  </si>
  <si>
    <t>Length</t>
  </si>
  <si>
    <t>B5</t>
  </si>
  <si>
    <t>FSB50X240</t>
  </si>
  <si>
    <t>B6</t>
  </si>
  <si>
    <t>B11</t>
  </si>
  <si>
    <t>W40-W</t>
  </si>
  <si>
    <t>B12</t>
  </si>
  <si>
    <t>B13</t>
  </si>
  <si>
    <t>B15</t>
  </si>
  <si>
    <t>B16</t>
  </si>
  <si>
    <t>B17</t>
  </si>
  <si>
    <t>B18</t>
  </si>
  <si>
    <t>B45</t>
  </si>
  <si>
    <t>B46</t>
  </si>
  <si>
    <t>B48</t>
  </si>
  <si>
    <t>B49</t>
  </si>
  <si>
    <t>B50</t>
  </si>
  <si>
    <t>B51</t>
  </si>
  <si>
    <t>B170</t>
  </si>
  <si>
    <t>FB70X240</t>
  </si>
  <si>
    <t>B171</t>
  </si>
  <si>
    <t>B173</t>
  </si>
  <si>
    <t>B175</t>
  </si>
  <si>
    <t>B178</t>
  </si>
  <si>
    <t>B180</t>
  </si>
  <si>
    <t>B279</t>
  </si>
  <si>
    <t>B286</t>
  </si>
  <si>
    <t>B293</t>
  </si>
  <si>
    <t>B294</t>
  </si>
  <si>
    <t>B295</t>
  </si>
  <si>
    <t>B296</t>
  </si>
  <si>
    <t>B297</t>
  </si>
  <si>
    <t>B298</t>
  </si>
  <si>
    <t>B299</t>
  </si>
  <si>
    <t>B300</t>
  </si>
  <si>
    <t>B301</t>
  </si>
  <si>
    <t xml:space="preserve">                                                                                    </t>
    <phoneticPr fontId="2" type="noConversion"/>
  </si>
  <si>
    <t>B302</t>
  </si>
  <si>
    <t>B303</t>
  </si>
  <si>
    <t>B304</t>
  </si>
  <si>
    <t>B305</t>
  </si>
  <si>
    <t>B306</t>
  </si>
  <si>
    <t>B307</t>
  </si>
  <si>
    <t>B308</t>
  </si>
  <si>
    <t>B309</t>
  </si>
  <si>
    <t>B310</t>
  </si>
  <si>
    <t>B311</t>
  </si>
  <si>
    <t>B312</t>
  </si>
  <si>
    <t>B313</t>
  </si>
  <si>
    <t>B314</t>
  </si>
  <si>
    <t>B315</t>
  </si>
  <si>
    <t>B316</t>
  </si>
  <si>
    <t>B317</t>
  </si>
  <si>
    <t>B318</t>
  </si>
  <si>
    <t>B319</t>
  </si>
  <si>
    <t>B320</t>
  </si>
  <si>
    <t>B321</t>
  </si>
  <si>
    <t>B322</t>
  </si>
  <si>
    <t>B323</t>
  </si>
  <si>
    <t>B324</t>
  </si>
  <si>
    <t>B325</t>
  </si>
  <si>
    <t>B326</t>
  </si>
  <si>
    <t>B327</t>
  </si>
  <si>
    <t>B334</t>
  </si>
  <si>
    <t>B335</t>
  </si>
  <si>
    <t>B337</t>
  </si>
  <si>
    <t>B339</t>
  </si>
  <si>
    <t>B340</t>
  </si>
  <si>
    <t>B342</t>
  </si>
  <si>
    <t>B344</t>
  </si>
  <si>
    <t>B346</t>
  </si>
  <si>
    <t>B347</t>
  </si>
  <si>
    <t>B348</t>
  </si>
  <si>
    <t>B349</t>
  </si>
  <si>
    <t>B350</t>
  </si>
  <si>
    <t>B351</t>
  </si>
  <si>
    <t>B352</t>
  </si>
  <si>
    <t>B355</t>
  </si>
  <si>
    <t>B357</t>
  </si>
  <si>
    <t>B358</t>
  </si>
  <si>
    <t>B360</t>
  </si>
  <si>
    <t>B362</t>
  </si>
  <si>
    <t>B364</t>
  </si>
  <si>
    <t>B366</t>
  </si>
  <si>
    <t>B368</t>
  </si>
  <si>
    <t>B379</t>
  </si>
  <si>
    <t>B380</t>
  </si>
  <si>
    <t>B381</t>
  </si>
  <si>
    <t>B382</t>
  </si>
  <si>
    <t>B383</t>
  </si>
  <si>
    <t>B384</t>
  </si>
  <si>
    <t>B385</t>
  </si>
  <si>
    <t>B386</t>
  </si>
  <si>
    <t>B387</t>
  </si>
  <si>
    <t>B388</t>
  </si>
  <si>
    <t>B389</t>
  </si>
  <si>
    <t>B390</t>
  </si>
  <si>
    <t>B391</t>
  </si>
  <si>
    <t>B393</t>
  </si>
  <si>
    <t>B401</t>
  </si>
  <si>
    <t>B402</t>
  </si>
  <si>
    <t>B403</t>
  </si>
  <si>
    <t>B405</t>
  </si>
  <si>
    <t>B407</t>
  </si>
  <si>
    <t>B411</t>
  </si>
  <si>
    <t>B413</t>
  </si>
  <si>
    <t>B418</t>
  </si>
  <si>
    <t>B421</t>
  </si>
  <si>
    <t>B422</t>
  </si>
  <si>
    <t>B423</t>
  </si>
  <si>
    <t>B424</t>
  </si>
  <si>
    <t>B425</t>
  </si>
  <si>
    <t>B426</t>
  </si>
  <si>
    <t>B427</t>
  </si>
  <si>
    <t>B428</t>
  </si>
  <si>
    <t>B429</t>
  </si>
  <si>
    <t>B430</t>
  </si>
  <si>
    <t>B431</t>
  </si>
  <si>
    <t>B432</t>
  </si>
  <si>
    <t>B433</t>
  </si>
  <si>
    <t>B434</t>
  </si>
  <si>
    <t>B435</t>
  </si>
  <si>
    <t>B436</t>
  </si>
  <si>
    <t>B437</t>
  </si>
  <si>
    <t>B438</t>
  </si>
  <si>
    <t>B439</t>
  </si>
  <si>
    <t>B440</t>
  </si>
  <si>
    <t>B441</t>
  </si>
  <si>
    <t>B442</t>
  </si>
  <si>
    <t>B449</t>
  </si>
  <si>
    <r>
      <rPr>
        <sz val="12"/>
        <color indexed="8"/>
        <rFont val="微軟正黑體"/>
        <family val="2"/>
        <charset val="136"/>
      </rPr>
      <t>角變量</t>
    </r>
    <phoneticPr fontId="4" type="noConversion"/>
  </si>
  <si>
    <r>
      <rPr>
        <sz val="12"/>
        <rFont val="微軟正黑體"/>
        <family val="2"/>
        <charset val="136"/>
      </rPr>
      <t>載重組合</t>
    </r>
  </si>
  <si>
    <r>
      <rPr>
        <sz val="12"/>
        <rFont val="微軟正黑體"/>
        <family val="2"/>
        <charset val="136"/>
      </rPr>
      <t>基礎最大角變量</t>
    </r>
  </si>
  <si>
    <r>
      <rPr>
        <sz val="12"/>
        <rFont val="微軟正黑體"/>
        <family val="2"/>
        <charset val="136"/>
      </rPr>
      <t>小於</t>
    </r>
    <r>
      <rPr>
        <sz val="12"/>
        <rFont val="Calibri"/>
        <family val="2"/>
      </rPr>
      <t>1/250</t>
    </r>
  </si>
  <si>
    <t>Node</t>
  </si>
  <si>
    <t>Point</t>
  </si>
  <si>
    <t>OutputCase</t>
  </si>
  <si>
    <t>CaseType</t>
  </si>
  <si>
    <t>Ux</t>
  </si>
  <si>
    <t>Uy</t>
  </si>
  <si>
    <t>Uz</t>
  </si>
  <si>
    <t>Rx</t>
  </si>
  <si>
    <t>Ry</t>
  </si>
  <si>
    <t>Rz</t>
  </si>
  <si>
    <t>Text</t>
  </si>
  <si>
    <t>m</t>
  </si>
  <si>
    <t>Radians</t>
  </si>
  <si>
    <t>Combination</t>
  </si>
  <si>
    <t>70</t>
  </si>
  <si>
    <t>71</t>
  </si>
  <si>
    <t>72</t>
  </si>
  <si>
    <t>74</t>
  </si>
  <si>
    <t>75</t>
  </si>
  <si>
    <t>76</t>
  </si>
  <si>
    <t>77</t>
  </si>
  <si>
    <t>78</t>
  </si>
  <si>
    <t>80</t>
  </si>
  <si>
    <t>81</t>
  </si>
  <si>
    <t>82</t>
  </si>
  <si>
    <t>83</t>
  </si>
  <si>
    <t>84</t>
  </si>
  <si>
    <t>86</t>
  </si>
  <si>
    <t>87</t>
  </si>
  <si>
    <t>88</t>
  </si>
  <si>
    <t>89</t>
  </si>
  <si>
    <t>90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</si>
  <si>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</si>
  <si>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</si>
  <si>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</si>
  <si>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</si>
  <si>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</si>
  <si>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</si>
  <si>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</si>
  <si>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</si>
  <si>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</si>
  <si>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107</t>
  </si>
  <si>
    <t>108</t>
  </si>
  <si>
    <t>116</t>
  </si>
  <si>
    <t>117</t>
  </si>
  <si>
    <t>118</t>
  </si>
  <si>
    <t>119</t>
  </si>
  <si>
    <t>120</t>
  </si>
  <si>
    <t>121</t>
  </si>
  <si>
    <t>122</t>
  </si>
  <si>
    <t>123</t>
  </si>
  <si>
    <t>247</t>
  </si>
  <si>
    <t>254</t>
  </si>
  <si>
    <t>255</t>
  </si>
  <si>
    <t>256</t>
  </si>
  <si>
    <t>Line</t>
  </si>
  <si>
    <t>PointI</t>
  </si>
  <si>
    <t>PointJ</t>
  </si>
  <si>
    <t>LineType</t>
  </si>
  <si>
    <t>CurveType</t>
  </si>
  <si>
    <t>Beam</t>
  </si>
  <si>
    <t>Straight</t>
  </si>
  <si>
    <t>Project</t>
    <phoneticPr fontId="2" type="noConversion"/>
  </si>
  <si>
    <t>Current version</t>
    <phoneticPr fontId="2" type="noConversion"/>
  </si>
  <si>
    <t>Latest version</t>
    <phoneticPr fontId="2" type="noConversion"/>
  </si>
  <si>
    <t>Update: The update addresses these issues</t>
  </si>
  <si>
    <t>angle-change</t>
    <phoneticPr fontId="2" type="noConversion"/>
  </si>
  <si>
    <t>Welcome to the version 1 release of angle-change. There are a number of significant updates in this version that we hope you will like, some of the key highlights include:</t>
  </si>
  <si>
    <t>Welcome to the version 1.1 release of angle-change. There are a number of significant updates in this version that we hope you will like, some of the key highlights include:</t>
  </si>
  <si>
    <t>Welcome to the version 1.2 release of angle-change. There are a number of significant updates in this version that we hope you will like, some of the key highlights include:</t>
  </si>
  <si>
    <r>
      <rPr>
        <sz val="12"/>
        <color theme="1"/>
        <rFont val="微軟正黑體"/>
        <family val="2"/>
        <charset val="136"/>
      </rPr>
      <t>角變量</t>
    </r>
  </si>
  <si>
    <t>Welcome to the version 1.3 release of angle-change. There are a number of significant updates in this version that we hope you will like, some of the key highlights include:</t>
  </si>
  <si>
    <t>UPDATE</t>
    <phoneticPr fontId="2" type="noConversion"/>
  </si>
  <si>
    <t>PROJECT</t>
    <phoneticPr fontId="2" type="noConversion"/>
  </si>
  <si>
    <t>SUBJECT</t>
    <phoneticPr fontId="2" type="noConversion"/>
  </si>
  <si>
    <t>TABLE:  Object Geometry - Lines 01 - General</t>
    <phoneticPr fontId="2" type="noConversion"/>
  </si>
  <si>
    <t>v12</t>
    <phoneticPr fontId="2" type="noConversion"/>
  </si>
  <si>
    <t>TABLE:  Nodal Displacements</t>
    <phoneticPr fontId="2" type="noConversion"/>
  </si>
  <si>
    <t>v8</t>
    <phoneticPr fontId="2" type="noConversion"/>
  </si>
  <si>
    <r>
      <rPr>
        <sz val="12"/>
        <color theme="1"/>
        <rFont val="微軟正黑體"/>
        <family val="2"/>
        <charset val="136"/>
      </rPr>
      <t>角變量</t>
    </r>
    <phoneticPr fontId="2" type="noConversion"/>
  </si>
  <si>
    <r>
      <rPr>
        <sz val="12"/>
        <color theme="1"/>
        <rFont val="微軟正黑體"/>
        <family val="2"/>
        <charset val="136"/>
      </rPr>
      <t>使用說明及算例</t>
    </r>
    <phoneticPr fontId="2" type="noConversion"/>
  </si>
  <si>
    <r>
      <rPr>
        <sz val="12"/>
        <color theme="1"/>
        <rFont val="微軟正黑體"/>
        <family val="2"/>
        <charset val="136"/>
      </rPr>
      <t>清空舊有的資料</t>
    </r>
    <phoneticPr fontId="2" type="noConversion"/>
  </si>
  <si>
    <r>
      <rPr>
        <sz val="12"/>
        <color theme="1"/>
        <rFont val="微軟正黑體"/>
        <family val="2"/>
        <charset val="136"/>
      </rPr>
      <t>複製貼上</t>
    </r>
    <r>
      <rPr>
        <sz val="12"/>
        <color theme="1"/>
        <rFont val="Calibri"/>
        <family val="2"/>
      </rPr>
      <t xml:space="preserve"> Object Geometry - Lines 01 - General</t>
    </r>
    <phoneticPr fontId="2" type="noConversion"/>
  </si>
  <si>
    <r>
      <rPr>
        <sz val="12"/>
        <color theme="1"/>
        <rFont val="微軟正黑體"/>
        <family val="2"/>
        <charset val="136"/>
      </rPr>
      <t>複製貼上</t>
    </r>
    <r>
      <rPr>
        <sz val="12"/>
        <color theme="1"/>
        <rFont val="Calibri"/>
        <family val="2"/>
      </rPr>
      <t xml:space="preserve"> Nodal Displacements</t>
    </r>
    <phoneticPr fontId="2" type="noConversion"/>
  </si>
  <si>
    <r>
      <rPr>
        <sz val="12"/>
        <color theme="1"/>
        <rFont val="微軟正黑體"/>
        <family val="2"/>
        <charset val="136"/>
      </rPr>
      <t>按下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角變量</t>
    </r>
    <r>
      <rPr>
        <sz val="12"/>
        <color theme="1"/>
        <rFont val="Calibri"/>
        <family val="2"/>
      </rPr>
      <t xml:space="preserve"> V12 </t>
    </r>
    <r>
      <rPr>
        <sz val="12"/>
        <color theme="1"/>
        <rFont val="微軟正黑體"/>
        <family val="2"/>
        <charset val="136"/>
      </rPr>
      <t>的按鈕</t>
    </r>
    <phoneticPr fontId="2" type="noConversion"/>
  </si>
  <si>
    <r>
      <rPr>
        <sz val="12"/>
        <color theme="1"/>
        <rFont val="微軟正黑體"/>
        <family val="2"/>
        <charset val="136"/>
      </rPr>
      <t>取出</t>
    </r>
    <r>
      <rPr>
        <sz val="12"/>
        <color theme="1"/>
        <rFont val="Calibri"/>
        <family val="2"/>
      </rPr>
      <t xml:space="preserve"> PointI 109 </t>
    </r>
    <r>
      <rPr>
        <sz val="12"/>
        <color theme="1"/>
        <rFont val="微軟正黑體"/>
        <family val="2"/>
        <charset val="136"/>
      </rPr>
      <t>對應到</t>
    </r>
    <r>
      <rPr>
        <sz val="12"/>
        <color theme="1"/>
        <rFont val="Calibri"/>
        <family val="2"/>
      </rPr>
      <t xml:space="preserve"> Nodal </t>
    </r>
    <r>
      <rPr>
        <sz val="12"/>
        <color theme="1"/>
        <rFont val="微軟正黑體"/>
        <family val="2"/>
        <charset val="136"/>
      </rPr>
      <t>的</t>
    </r>
    <r>
      <rPr>
        <sz val="12"/>
        <color theme="1"/>
        <rFont val="Calibri"/>
        <family val="2"/>
      </rPr>
      <t xml:space="preserve"> Uz = -0.00235</t>
    </r>
    <phoneticPr fontId="2" type="noConversion"/>
  </si>
  <si>
    <r>
      <rPr>
        <sz val="12"/>
        <color theme="1"/>
        <rFont val="微軟正黑體"/>
        <family val="2"/>
        <charset val="136"/>
      </rPr>
      <t>取出</t>
    </r>
    <r>
      <rPr>
        <sz val="12"/>
        <color theme="1"/>
        <rFont val="Calibri"/>
        <family val="2"/>
      </rPr>
      <t xml:space="preserve"> PointJ 110 </t>
    </r>
    <r>
      <rPr>
        <sz val="12"/>
        <color theme="1"/>
        <rFont val="微軟正黑體"/>
        <family val="2"/>
        <charset val="136"/>
      </rPr>
      <t>對應到</t>
    </r>
    <r>
      <rPr>
        <sz val="12"/>
        <color theme="1"/>
        <rFont val="Calibri"/>
        <family val="2"/>
      </rPr>
      <t xml:space="preserve"> Nodal </t>
    </r>
    <r>
      <rPr>
        <sz val="12"/>
        <color theme="1"/>
        <rFont val="微軟正黑體"/>
        <family val="2"/>
        <charset val="136"/>
      </rPr>
      <t>的</t>
    </r>
    <r>
      <rPr>
        <sz val="12"/>
        <color theme="1"/>
        <rFont val="Calibri"/>
        <family val="2"/>
      </rPr>
      <t xml:space="preserve"> Uz = -0.002156</t>
    </r>
    <phoneticPr fontId="2" type="noConversion"/>
  </si>
  <si>
    <r>
      <rPr>
        <sz val="12"/>
        <color theme="1"/>
        <rFont val="微軟正黑體"/>
        <family val="2"/>
        <charset val="136"/>
      </rPr>
      <t>角變量</t>
    </r>
    <r>
      <rPr>
        <sz val="12"/>
        <color theme="1"/>
        <rFont val="Calibri"/>
        <family val="2"/>
      </rPr>
      <t xml:space="preserve"> = abs(-0.00235-(-0.002156)) / 8.3 = 0.0000233734939759036</t>
    </r>
    <phoneticPr fontId="2" type="noConversion"/>
  </si>
  <si>
    <r>
      <rPr>
        <sz val="12"/>
        <color theme="1"/>
        <rFont val="微軟正黑體"/>
        <family val="2"/>
        <charset val="136"/>
      </rPr>
      <t>按下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角變量</t>
    </r>
    <r>
      <rPr>
        <sz val="12"/>
        <color theme="1"/>
        <rFont val="Calibri"/>
        <family val="2"/>
      </rPr>
      <t xml:space="preserve"> V8 </t>
    </r>
    <r>
      <rPr>
        <sz val="12"/>
        <color theme="1"/>
        <rFont val="微軟正黑體"/>
        <family val="2"/>
        <charset val="136"/>
      </rPr>
      <t>的按鈕</t>
    </r>
    <phoneticPr fontId="2" type="noConversion"/>
  </si>
  <si>
    <r>
      <rPr>
        <sz val="12"/>
        <color theme="1"/>
        <rFont val="微軟正黑體"/>
        <family val="2"/>
        <charset val="136"/>
      </rPr>
      <t>最終結果為</t>
    </r>
    <r>
      <rPr>
        <sz val="12"/>
        <color theme="1"/>
        <rFont val="Calibri"/>
        <family val="2"/>
      </rPr>
      <t xml:space="preserve"> 1 / max(</t>
    </r>
    <r>
      <rPr>
        <sz val="12"/>
        <color theme="1"/>
        <rFont val="微軟正黑體"/>
        <family val="2"/>
        <charset val="136"/>
      </rPr>
      <t>角變量</t>
    </r>
    <r>
      <rPr>
        <sz val="12"/>
        <color theme="1"/>
        <rFont val="Calibri"/>
        <family val="2"/>
      </rPr>
      <t xml:space="preserve">) &gt; 250 =&gt; OK, </t>
    </r>
    <r>
      <rPr>
        <sz val="12"/>
        <color theme="1"/>
        <rFont val="微軟正黑體"/>
        <family val="2"/>
        <charset val="136"/>
      </rPr>
      <t>或是說</t>
    </r>
    <r>
      <rPr>
        <sz val="12"/>
        <color theme="1"/>
        <rFont val="Calibri"/>
        <family val="2"/>
      </rPr>
      <t xml:space="preserve"> 1 / 250 &gt; max(</t>
    </r>
    <r>
      <rPr>
        <sz val="12"/>
        <color theme="1"/>
        <rFont val="微軟正黑體"/>
        <family val="2"/>
        <charset val="136"/>
      </rPr>
      <t>角變量</t>
    </r>
    <r>
      <rPr>
        <sz val="12"/>
        <color theme="1"/>
        <rFont val="Calibri"/>
        <family val="2"/>
      </rPr>
      <t>) =&gt; OK</t>
    </r>
    <phoneticPr fontId="2" type="noConversion"/>
  </si>
  <si>
    <r>
      <rPr>
        <sz val="12"/>
        <color theme="1"/>
        <rFont val="微軟正黑體"/>
        <family val="2"/>
        <charset val="136"/>
      </rPr>
      <t>依此類推，算出每個角變量後。</t>
    </r>
    <phoneticPr fontId="2" type="noConversion"/>
  </si>
  <si>
    <r>
      <rPr>
        <sz val="12"/>
        <color rgb="FF9C5700"/>
        <rFont val="微軟正黑體"/>
        <family val="2"/>
        <charset val="136"/>
      </rPr>
      <t>使用說明</t>
    </r>
    <phoneticPr fontId="2" type="noConversion"/>
  </si>
  <si>
    <r>
      <rPr>
        <sz val="12"/>
        <color rgb="FF9C5700"/>
        <rFont val="微軟正黑體"/>
        <family val="2"/>
        <charset val="136"/>
      </rPr>
      <t>算例：以</t>
    </r>
    <r>
      <rPr>
        <sz val="12"/>
        <color rgb="FF9C5700"/>
        <rFont val="Calibri"/>
        <family val="2"/>
      </rPr>
      <t xml:space="preserve"> B5 ASD01 </t>
    </r>
    <r>
      <rPr>
        <sz val="12"/>
        <color rgb="FF9C5700"/>
        <rFont val="微軟正黑體"/>
        <family val="2"/>
        <charset val="136"/>
      </rPr>
      <t>為例</t>
    </r>
    <phoneticPr fontId="2" type="noConversion"/>
  </si>
  <si>
    <r>
      <rPr>
        <sz val="12"/>
        <color rgb="FF9C0006"/>
        <rFont val="微軟正黑體"/>
        <family val="2"/>
        <charset val="136"/>
      </rPr>
      <t>原始資料</t>
    </r>
    <phoneticPr fontId="2" type="noConversion"/>
  </si>
  <si>
    <r>
      <rPr>
        <sz val="12"/>
        <color rgb="FF9C0006"/>
        <rFont val="微軟正黑體"/>
        <family val="2"/>
        <charset val="136"/>
      </rPr>
      <t>計算過程</t>
    </r>
    <phoneticPr fontId="2" type="noConversion"/>
  </si>
  <si>
    <r>
      <rPr>
        <sz val="12"/>
        <color rgb="FF9C0006"/>
        <rFont val="微軟正黑體"/>
        <family val="2"/>
        <charset val="136"/>
      </rPr>
      <t>輸出結果</t>
    </r>
    <phoneticPr fontId="2" type="noConversion"/>
  </si>
  <si>
    <r>
      <rPr>
        <sz val="12"/>
        <color theme="1"/>
        <rFont val="微軟正黑體"/>
        <family val="2"/>
        <charset val="136"/>
      </rPr>
      <t>由</t>
    </r>
    <r>
      <rPr>
        <sz val="12"/>
        <color theme="1"/>
        <rFont val="Calibri"/>
        <family val="2"/>
      </rPr>
      <t xml:space="preserve"> 28 </t>
    </r>
    <r>
      <rPr>
        <sz val="12"/>
        <color theme="1"/>
        <rFont val="微軟正黑體"/>
        <family val="2"/>
        <charset val="136"/>
      </rPr>
      <t>秒，降低到</t>
    </r>
    <r>
      <rPr>
        <sz val="12"/>
        <color theme="1"/>
        <rFont val="Calibri"/>
        <family val="2"/>
      </rPr>
      <t xml:space="preserve"> 0.48 </t>
    </r>
    <r>
      <rPr>
        <sz val="12"/>
        <color theme="1"/>
        <rFont val="微軟正黑體"/>
        <family val="2"/>
        <charset val="136"/>
      </rPr>
      <t>秒。速度提升</t>
    </r>
    <r>
      <rPr>
        <sz val="12"/>
        <color theme="1"/>
        <rFont val="Calibri"/>
        <family val="2"/>
      </rPr>
      <t xml:space="preserve"> 52 </t>
    </r>
    <r>
      <rPr>
        <sz val="12"/>
        <color theme="1"/>
        <rFont val="微軟正黑體"/>
        <family val="2"/>
        <charset val="136"/>
      </rPr>
      <t>倍。</t>
    </r>
  </si>
  <si>
    <r>
      <rPr>
        <sz val="12"/>
        <color theme="1"/>
        <rFont val="微軟正黑體"/>
        <family val="2"/>
        <charset val="136"/>
      </rPr>
      <t>新增使用說明</t>
    </r>
    <phoneticPr fontId="2" type="noConversion"/>
  </si>
  <si>
    <r>
      <rPr>
        <sz val="12"/>
        <color theme="1"/>
        <rFont val="微軟正黑體"/>
        <family val="2"/>
        <charset val="136"/>
      </rPr>
      <t>新增算例</t>
    </r>
    <phoneticPr fontId="2" type="noConversion"/>
  </si>
  <si>
    <r>
      <rPr>
        <sz val="12"/>
        <color theme="1"/>
        <rFont val="微軟正黑體"/>
        <family val="2"/>
        <charset val="136"/>
      </rPr>
      <t>刪除測試資料，縮小檔案大小</t>
    </r>
    <phoneticPr fontId="2" type="noConversion"/>
  </si>
  <si>
    <r>
      <rPr>
        <sz val="12"/>
        <color theme="1"/>
        <rFont val="微軟正黑體"/>
        <family val="2"/>
        <charset val="136"/>
      </rPr>
      <t>取消格式化每個</t>
    </r>
    <r>
      <rPr>
        <sz val="12"/>
        <color theme="1"/>
        <rFont val="Calibri"/>
        <family val="2"/>
      </rPr>
      <t xml:space="preserve"> sheet</t>
    </r>
    <r>
      <rPr>
        <sz val="12"/>
        <color theme="1"/>
        <rFont val="微軟正黑體"/>
        <family val="2"/>
        <charset val="136"/>
      </rPr>
      <t>，優化效能。</t>
    </r>
    <phoneticPr fontId="2" type="noConversion"/>
  </si>
  <si>
    <r>
      <rPr>
        <sz val="12"/>
        <color theme="1"/>
        <rFont val="微軟正黑體"/>
        <family val="2"/>
        <charset val="136"/>
      </rPr>
      <t>由</t>
    </r>
    <r>
      <rPr>
        <sz val="12"/>
        <color theme="1"/>
        <rFont val="Calibri"/>
        <family val="2"/>
      </rPr>
      <t xml:space="preserve"> 8 </t>
    </r>
    <r>
      <rPr>
        <sz val="12"/>
        <color theme="1"/>
        <rFont val="微軟正黑體"/>
        <family val="2"/>
        <charset val="136"/>
      </rPr>
      <t>版延伸支援到</t>
    </r>
    <r>
      <rPr>
        <sz val="12"/>
        <color theme="1"/>
        <rFont val="Calibri"/>
        <family val="2"/>
      </rPr>
      <t xml:space="preserve"> 12 </t>
    </r>
    <r>
      <rPr>
        <sz val="12"/>
        <color theme="1"/>
        <rFont val="微軟正黑體"/>
        <family val="2"/>
        <charset val="136"/>
      </rPr>
      <t>版。</t>
    </r>
    <phoneticPr fontId="2" type="noConversion"/>
  </si>
  <si>
    <r>
      <rPr>
        <sz val="12"/>
        <color theme="1"/>
        <rFont val="微軟正黑體"/>
        <family val="2"/>
        <charset val="136"/>
      </rPr>
      <t>不使用</t>
    </r>
    <r>
      <rPr>
        <sz val="12"/>
        <color theme="1"/>
        <rFont val="Calibri"/>
        <family val="2"/>
      </rPr>
      <t xml:space="preserve"> EXCEL </t>
    </r>
    <r>
      <rPr>
        <sz val="12"/>
        <color theme="1"/>
        <rFont val="微軟正黑體"/>
        <family val="2"/>
        <charset val="136"/>
      </rPr>
      <t>內建的</t>
    </r>
    <r>
      <rPr>
        <sz val="12"/>
        <color theme="1"/>
        <rFont val="Calibri"/>
        <family val="2"/>
      </rPr>
      <t xml:space="preserve"> Vlookup</t>
    </r>
    <r>
      <rPr>
        <sz val="12"/>
        <color theme="1"/>
        <rFont val="微軟正黑體"/>
        <family val="2"/>
        <charset val="136"/>
      </rPr>
      <t>，自己實作</t>
    </r>
    <r>
      <rPr>
        <sz val="12"/>
        <color theme="1"/>
        <rFont val="Calibri"/>
        <family val="2"/>
      </rPr>
      <t xml:space="preserve"> Vlookup</t>
    </r>
    <r>
      <rPr>
        <sz val="12"/>
        <color theme="1"/>
        <rFont val="微軟正黑體"/>
        <family val="2"/>
        <charset val="136"/>
      </rPr>
      <t>，提升效能。</t>
    </r>
    <phoneticPr fontId="2" type="noConversion"/>
  </si>
  <si>
    <r>
      <rPr>
        <sz val="12"/>
        <color theme="1"/>
        <rFont val="微軟正黑體"/>
        <family val="2"/>
        <charset val="136"/>
      </rPr>
      <t>由</t>
    </r>
    <r>
      <rPr>
        <sz val="12"/>
        <color theme="1"/>
        <rFont val="Calibri"/>
        <family val="2"/>
      </rPr>
      <t xml:space="preserve"> 20 </t>
    </r>
    <r>
      <rPr>
        <sz val="12"/>
        <color theme="1"/>
        <rFont val="微軟正黑體"/>
        <family val="2"/>
        <charset val="136"/>
      </rPr>
      <t>分鐘，降低到</t>
    </r>
    <r>
      <rPr>
        <sz val="12"/>
        <color theme="1"/>
        <rFont val="Calibri"/>
        <family val="2"/>
      </rPr>
      <t xml:space="preserve"> 25 </t>
    </r>
    <r>
      <rPr>
        <sz val="12"/>
        <color theme="1"/>
        <rFont val="微軟正黑體"/>
        <family val="2"/>
        <charset val="136"/>
      </rPr>
      <t>秒。速度提升</t>
    </r>
    <r>
      <rPr>
        <sz val="12"/>
        <color theme="1"/>
        <rFont val="Calibri"/>
        <family val="2"/>
      </rPr>
      <t xml:space="preserve"> 48 </t>
    </r>
    <r>
      <rPr>
        <sz val="12"/>
        <color theme="1"/>
        <rFont val="微軟正黑體"/>
        <family val="2"/>
        <charset val="136"/>
      </rPr>
      <t>倍。</t>
    </r>
    <phoneticPr fontId="2" type="noConversion"/>
  </si>
  <si>
    <r>
      <rPr>
        <sz val="12"/>
        <color theme="1"/>
        <rFont val="微軟正黑體"/>
        <family val="2"/>
        <charset val="136"/>
      </rPr>
      <t>減少</t>
    </r>
    <r>
      <rPr>
        <sz val="12"/>
        <color theme="1"/>
        <rFont val="Calibri"/>
        <family val="2"/>
      </rPr>
      <t xml:space="preserve"> DOM </t>
    </r>
    <r>
      <rPr>
        <sz val="12"/>
        <color theme="1"/>
        <rFont val="微軟正黑體"/>
        <family val="2"/>
        <charset val="136"/>
      </rPr>
      <t>的交互運作，提升效能。</t>
    </r>
    <phoneticPr fontId="2" type="noConversion"/>
  </si>
  <si>
    <r>
      <rPr>
        <sz val="12"/>
        <color theme="1"/>
        <rFont val="微軟正黑體"/>
        <family val="2"/>
        <charset val="136"/>
      </rPr>
      <t>由</t>
    </r>
    <r>
      <rPr>
        <sz val="12"/>
        <color theme="1"/>
        <rFont val="Calibri"/>
        <family val="2"/>
      </rPr>
      <t xml:space="preserve"> 4 </t>
    </r>
    <r>
      <rPr>
        <sz val="12"/>
        <color theme="1"/>
        <rFont val="微軟正黑體"/>
        <family val="2"/>
        <charset val="136"/>
      </rPr>
      <t>小時，降低到</t>
    </r>
    <r>
      <rPr>
        <sz val="12"/>
        <color theme="1"/>
        <rFont val="Calibri"/>
        <family val="2"/>
      </rPr>
      <t xml:space="preserve"> 20 </t>
    </r>
    <r>
      <rPr>
        <sz val="12"/>
        <color theme="1"/>
        <rFont val="微軟正黑體"/>
        <family val="2"/>
        <charset val="136"/>
      </rPr>
      <t>分鐘。速度提升</t>
    </r>
    <r>
      <rPr>
        <sz val="12"/>
        <color theme="1"/>
        <rFont val="Calibri"/>
        <family val="2"/>
      </rPr>
      <t xml:space="preserve"> 12 </t>
    </r>
    <r>
      <rPr>
        <sz val="12"/>
        <color theme="1"/>
        <rFont val="微軟正黑體"/>
        <family val="2"/>
        <charset val="136"/>
      </rPr>
      <t>倍。</t>
    </r>
    <phoneticPr fontId="2" type="noConversion"/>
  </si>
  <si>
    <t>example</t>
    <phoneticPr fontId="2" type="noConversion"/>
  </si>
  <si>
    <t>2.0.0</t>
    <phoneticPr fontId="2" type="noConversion"/>
  </si>
  <si>
    <t xml:space="preserve"> </t>
  </si>
  <si>
    <r>
      <rPr>
        <sz val="12"/>
        <color theme="1"/>
        <rFont val="微軟正黑體"/>
        <family val="2"/>
        <charset val="136"/>
      </rPr>
      <t>新增密碼保護</t>
    </r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</si>
</sst>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2" formatCode="_-&quot;$&quot;* #,##0_-;\-&quot;$&quot;* #,##0_-;_-&quot;$&quot;* &quot;-&quot;_-;_-@_-"/>
    <numFmt numFmtId="176" formatCode="#,##0_ "/>
    <numFmt numFmtId="177" formatCode="&quot;1/&quot;####"/>
    <numFmt numFmtId="178" formatCode="0.0"/>
    <numFmt numFmtId="179" formatCode="0.000000"/>
  </numFmts>
  <fonts count="25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indexed="8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微軟正黑體"/>
      <family val="2"/>
      <charset val="136"/>
    </font>
    <font>
      <sz val="12"/>
      <name val="微軟正黑體"/>
      <family val="2"/>
      <charset val="136"/>
    </font>
    <font>
      <sz val="12"/>
      <color theme="1"/>
      <name val="Calibri"/>
      <family val="2"/>
    </font>
    <font>
      <sz val="12"/>
      <color indexed="8"/>
      <name val="Calibri"/>
      <family val="2"/>
    </font>
    <font>
      <sz val="12"/>
      <name val="Calibri"/>
      <family val="2"/>
    </font>
    <font>
      <sz val="9"/>
      <color indexed="8"/>
      <name val="Calibri"/>
      <family val="2"/>
    </font>
    <font>
      <u/>
      <sz val="12"/>
      <color theme="10"/>
      <name val="新細明體"/>
      <family val="2"/>
      <charset val="136"/>
      <scheme val="minor"/>
    </font>
    <font>
      <sz val="12"/>
      <color rgb="FFFF0000"/>
      <name val="Calibri"/>
      <family val="2"/>
    </font>
    <font>
      <u/>
      <sz val="12"/>
      <color theme="10"/>
      <name val="Calibri"/>
      <family val="2"/>
    </font>
    <font>
      <sz val="12"/>
      <color theme="1"/>
      <name val="微軟正黑體"/>
      <family val="2"/>
      <charset val="136"/>
    </font>
    <font>
      <b/>
      <sz val="12"/>
      <color theme="1"/>
      <name val="Calibri"/>
      <family val="2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5700"/>
      <name val="新細明體"/>
      <family val="2"/>
      <charset val="136"/>
      <scheme val="minor"/>
    </font>
    <font>
      <sz val="12"/>
      <color rgb="FF9C5700"/>
      <name val="微軟正黑體"/>
      <family val="2"/>
      <charset val="136"/>
    </font>
    <font>
      <sz val="12"/>
      <color rgb="FF006100"/>
      <name val="Calibri"/>
      <family val="2"/>
    </font>
    <font>
      <sz val="12"/>
      <color rgb="FF9C5700"/>
      <name val="Calibri"/>
      <family val="2"/>
    </font>
    <font>
      <sz val="12"/>
      <color rgb="FF9C0006"/>
      <name val="微軟正黑體"/>
      <family val="2"/>
      <charset val="136"/>
    </font>
    <font>
      <sz val="12"/>
      <color rgb="FF9C0006"/>
      <name val="Calibri"/>
      <family val="2"/>
    </font>
    <font>
      <sz val="12"/>
      <color theme="1"/>
      <name val="Times New Roman"/>
      <family val="2"/>
      <charset val="136"/>
    </font>
  </fonts>
  <fills count="12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indexed="13"/>
        <bgColor indexed="8"/>
      </patternFill>
    </fill>
    <fill>
      <patternFill patternType="solid">
        <fgColor indexed="4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2">
    <xf numFmtId="0" fontId="0" fillId="0" borderId="0">
      <alignment vertical="center"/>
    </xf>
    <xf numFmtId="42" fontId="1" fillId="0" borderId="0" applyFont="0" applyFill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24" fillId="0" borderId="0">
      <alignment vertical="center"/>
    </xf>
  </cellStyleXfs>
  <cellXfs count="77">
    <xf numFmtId="0" fontId="0" fillId="0" borderId="0" xfId="0">
      <alignment vertical="center"/>
    </xf>
    <xf numFmtId="0" fontId="9" fillId="0" borderId="5" xfId="0" applyFont="1" applyBorder="1" applyAlignment="1">
      <alignment horizontal="center" vertical="center" wrapText="1"/>
    </xf>
    <xf numFmtId="0" fontId="9" fillId="0" borderId="6" xfId="0" applyFont="1" applyBorder="1" applyAlignment="1">
      <alignment horizontal="center" vertical="center" wrapText="1"/>
    </xf>
    <xf numFmtId="0" fontId="9" fillId="0" borderId="7" xfId="0" applyFont="1" applyBorder="1" applyAlignment="1">
      <alignment horizontal="center" vertical="center" wrapText="1"/>
    </xf>
    <xf numFmtId="177" fontId="9" fillId="0" borderId="8" xfId="0" applyNumberFormat="1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11" fontId="9" fillId="0" borderId="0" xfId="0" applyNumberFormat="1" applyFont="1" applyAlignment="1">
      <alignment horizontal="center" vertical="center"/>
    </xf>
    <xf numFmtId="0" fontId="8" fillId="3" borderId="3" xfId="3" applyFont="1" applyFill="1" applyBorder="1" applyAlignment="1">
      <alignment horizontal="center" vertical="center" wrapText="1"/>
    </xf>
    <xf numFmtId="0" fontId="8" fillId="3" borderId="4" xfId="3" applyFont="1" applyFill="1" applyBorder="1" applyAlignment="1">
      <alignment horizontal="center" vertical="center" wrapText="1"/>
    </xf>
    <xf numFmtId="0" fontId="10" fillId="2" borderId="1" xfId="4" applyFont="1" applyFill="1" applyBorder="1" applyAlignment="1">
      <alignment horizontal="center" vertical="center"/>
    </xf>
    <xf numFmtId="0" fontId="8" fillId="2" borderId="1" xfId="5" applyFont="1" applyFill="1" applyBorder="1" applyAlignment="1">
      <alignment horizontal="center" vertical="center"/>
    </xf>
    <xf numFmtId="11" fontId="8" fillId="2" borderId="1" xfId="5" applyNumberFormat="1" applyFont="1" applyFill="1" applyBorder="1" applyAlignment="1">
      <alignment horizontal="center" vertical="center"/>
    </xf>
    <xf numFmtId="0" fontId="10" fillId="0" borderId="2" xfId="4" applyFont="1" applyFill="1" applyBorder="1" applyAlignment="1">
      <alignment horizontal="center" vertical="center" wrapText="1"/>
    </xf>
    <xf numFmtId="176" fontId="7" fillId="0" borderId="0" xfId="1" applyNumberFormat="1" applyFont="1" applyAlignment="1">
      <alignment horizontal="center" vertical="center"/>
    </xf>
    <xf numFmtId="0" fontId="10" fillId="2" borderId="1" xfId="2" applyFont="1" applyFill="1" applyBorder="1" applyAlignment="1">
      <alignment horizontal="center" vertical="center"/>
    </xf>
    <xf numFmtId="0" fontId="10" fillId="0" borderId="2" xfId="2" applyFont="1" applyFill="1" applyBorder="1" applyAlignment="1">
      <alignment horizontal="center" vertical="center" wrapText="1"/>
    </xf>
    <xf numFmtId="0" fontId="8" fillId="0" borderId="0" xfId="2" applyFont="1" applyAlignment="1">
      <alignment horizontal="center" vertical="center"/>
    </xf>
    <xf numFmtId="0" fontId="7" fillId="7" borderId="0" xfId="0" applyFont="1" applyFill="1" applyAlignment="1">
      <alignment horizontal="center" vertical="center"/>
    </xf>
    <xf numFmtId="0" fontId="7" fillId="7" borderId="10" xfId="0" applyFont="1" applyFill="1" applyBorder="1" applyAlignment="1">
      <alignment horizontal="center" vertical="center"/>
    </xf>
    <xf numFmtId="0" fontId="15" fillId="6" borderId="9" xfId="0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15" fillId="5" borderId="9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178" fontId="12" fillId="7" borderId="0" xfId="0" applyNumberFormat="1" applyFont="1" applyFill="1" applyAlignment="1">
      <alignment horizontal="center" vertical="center"/>
    </xf>
    <xf numFmtId="0" fontId="12" fillId="7" borderId="0" xfId="0" applyNumberFormat="1" applyFont="1" applyFill="1" applyAlignment="1">
      <alignment horizontal="center" vertical="center"/>
    </xf>
    <xf numFmtId="0" fontId="7" fillId="7" borderId="0" xfId="0" applyFont="1" applyFill="1" applyBorder="1" applyAlignment="1">
      <alignment horizontal="center" vertical="center"/>
    </xf>
    <xf numFmtId="0" fontId="7" fillId="7" borderId="0" xfId="0" applyFont="1" applyFill="1" applyAlignment="1">
      <alignment horizontal="left" vertical="center"/>
    </xf>
    <xf numFmtId="0" fontId="13" fillId="7" borderId="0" xfId="6" applyFont="1" applyFill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7" fillId="7" borderId="10" xfId="0" applyFont="1" applyFill="1" applyBorder="1" applyAlignment="1">
      <alignment horizontal="left" vertical="center"/>
    </xf>
    <xf numFmtId="0" fontId="15" fillId="4" borderId="0" xfId="0" applyFont="1" applyFill="1" applyAlignment="1">
      <alignment horizontal="left" vertical="center"/>
    </xf>
    <xf numFmtId="0" fontId="7" fillId="11" borderId="11" xfId="0" applyFont="1" applyFill="1" applyBorder="1" applyAlignment="1">
      <alignment horizontal="center" vertical="center"/>
    </xf>
    <xf numFmtId="0" fontId="7" fillId="11" borderId="0" xfId="0" applyFont="1" applyFill="1" applyBorder="1" applyAlignment="1">
      <alignment horizontal="left" vertical="center"/>
    </xf>
    <xf numFmtId="0" fontId="7" fillId="11" borderId="0" xfId="0" applyFont="1" applyFill="1" applyBorder="1" applyAlignment="1">
      <alignment horizontal="center" vertical="center"/>
    </xf>
    <xf numFmtId="0" fontId="7" fillId="11" borderId="12" xfId="0" applyFont="1" applyFill="1" applyBorder="1" applyAlignment="1">
      <alignment horizontal="center" vertical="center"/>
    </xf>
    <xf numFmtId="0" fontId="7" fillId="11" borderId="21" xfId="0" applyFont="1" applyFill="1" applyBorder="1" applyAlignment="1">
      <alignment horizontal="center" vertical="center"/>
    </xf>
    <xf numFmtId="0" fontId="7" fillId="11" borderId="22" xfId="0" applyFont="1" applyFill="1" applyBorder="1" applyAlignment="1">
      <alignment horizontal="left" vertical="center"/>
    </xf>
    <xf numFmtId="0" fontId="7" fillId="11" borderId="22" xfId="0" applyFont="1" applyFill="1" applyBorder="1" applyAlignment="1">
      <alignment horizontal="center" vertical="center"/>
    </xf>
    <xf numFmtId="0" fontId="7" fillId="11" borderId="23" xfId="0" applyFont="1" applyFill="1" applyBorder="1" applyAlignment="1">
      <alignment horizontal="center" vertical="center"/>
    </xf>
    <xf numFmtId="0" fontId="7" fillId="11" borderId="13" xfId="0" applyFont="1" applyFill="1" applyBorder="1" applyAlignment="1">
      <alignment horizontal="center" vertical="center"/>
    </xf>
    <xf numFmtId="0" fontId="7" fillId="11" borderId="14" xfId="0" applyFont="1" applyFill="1" applyBorder="1" applyAlignment="1">
      <alignment horizontal="left" vertical="center"/>
    </xf>
    <xf numFmtId="0" fontId="7" fillId="11" borderId="14" xfId="0" applyFont="1" applyFill="1" applyBorder="1" applyAlignment="1">
      <alignment horizontal="center" vertical="center"/>
    </xf>
    <xf numFmtId="0" fontId="7" fillId="11" borderId="8" xfId="0" applyFont="1" applyFill="1" applyBorder="1" applyAlignment="1">
      <alignment horizontal="center" vertical="center"/>
    </xf>
    <xf numFmtId="0" fontId="7" fillId="11" borderId="11" xfId="0" applyFont="1" applyFill="1" applyBorder="1" applyAlignment="1">
      <alignment horizontal="left" vertical="center"/>
    </xf>
    <xf numFmtId="179" fontId="7" fillId="11" borderId="12" xfId="0" applyNumberFormat="1" applyFont="1" applyFill="1" applyBorder="1" applyAlignment="1">
      <alignment horizontal="center" vertical="center"/>
    </xf>
    <xf numFmtId="179" fontId="7" fillId="11" borderId="11" xfId="0" applyNumberFormat="1" applyFont="1" applyFill="1" applyBorder="1" applyAlignment="1">
      <alignment horizontal="center" vertical="center"/>
    </xf>
    <xf numFmtId="179" fontId="7" fillId="11" borderId="0" xfId="0" applyNumberFormat="1" applyFont="1" applyFill="1" applyBorder="1" applyAlignment="1">
      <alignment horizontal="center" vertical="center"/>
    </xf>
    <xf numFmtId="0" fontId="7" fillId="11" borderId="13" xfId="0" applyFont="1" applyFill="1" applyBorder="1" applyAlignment="1">
      <alignment horizontal="left" vertical="center"/>
    </xf>
    <xf numFmtId="0" fontId="7" fillId="11" borderId="0" xfId="0" applyFont="1" applyFill="1" applyAlignment="1">
      <alignment horizontal="center" vertical="center"/>
    </xf>
    <xf numFmtId="14" fontId="7" fillId="11" borderId="0" xfId="0" applyNumberFormat="1" applyFont="1" applyFill="1" applyAlignment="1">
      <alignment horizontal="center" vertical="center"/>
    </xf>
    <xf numFmtId="0" fontId="7" fillId="11" borderId="0" xfId="0" applyFont="1" applyFill="1" applyAlignment="1">
      <alignment horizontal="left" vertical="center"/>
    </xf>
    <xf numFmtId="0" fontId="7" fillId="7" borderId="0" xfId="10" applyFont="1" applyFill="1" applyAlignment="1">
      <alignment horizontal="left" vertical="center"/>
    </xf>
    <xf numFmtId="0" fontId="12" fillId="7" borderId="0" xfId="10" applyFont="1" applyFill="1" applyAlignment="1">
      <alignment horizontal="left" vertical="center"/>
    </xf>
    <xf numFmtId="0" fontId="7" fillId="7" borderId="0" xfId="10" applyFont="1" applyFill="1" applyAlignment="1">
      <alignment horizontal="center" vertical="center"/>
    </xf>
    <xf numFmtId="178" fontId="12" fillId="7" borderId="0" xfId="10" applyNumberFormat="1" applyFont="1" applyFill="1" applyAlignment="1">
      <alignment horizontal="left" vertical="center"/>
    </xf>
    <xf numFmtId="0" fontId="13" fillId="7" borderId="0" xfId="6" applyFont="1" applyFill="1" applyAlignment="1">
      <alignment horizontal="center" vertical="center"/>
    </xf>
    <xf numFmtId="0" fontId="7" fillId="7" borderId="10" xfId="10" applyFont="1" applyFill="1" applyBorder="1" applyAlignment="1">
      <alignment horizontal="center" vertical="center"/>
    </xf>
    <xf numFmtId="0" fontId="7" fillId="7" borderId="10" xfId="10" applyFont="1" applyFill="1" applyBorder="1" applyAlignment="1">
      <alignment horizontal="left" vertical="center"/>
    </xf>
    <xf numFmtId="14" fontId="7" fillId="7" borderId="0" xfId="10" applyNumberFormat="1" applyFont="1" applyFill="1" applyAlignment="1">
      <alignment horizontal="center" vertical="center"/>
    </xf>
    <xf numFmtId="0" fontId="7" fillId="7" borderId="0" xfId="11" applyFont="1" applyFill="1" applyAlignment="1">
      <alignment horizontal="center" vertical="center"/>
    </xf>
    <xf numFmtId="0" fontId="7" fillId="7" borderId="0" xfId="11" applyFont="1" applyFill="1" applyAlignment="1">
      <alignment horizontal="left" vertical="center"/>
    </xf>
    <xf numFmtId="0" fontId="7" fillId="7" borderId="22" xfId="10" applyFont="1" applyFill="1" applyBorder="1" applyAlignment="1">
      <alignment horizontal="center" vertical="center"/>
    </xf>
    <xf numFmtId="0" fontId="7" fillId="7" borderId="22" xfId="10" applyFont="1" applyFill="1" applyBorder="1" applyAlignment="1">
      <alignment horizontal="left" vertical="center"/>
    </xf>
    <xf numFmtId="0" fontId="23" fillId="9" borderId="11" xfId="8" applyFont="1" applyBorder="1" applyAlignment="1">
      <alignment horizontal="center" vertical="center"/>
    </xf>
    <xf numFmtId="0" fontId="23" fillId="9" borderId="0" xfId="8" applyFont="1" applyBorder="1" applyAlignment="1">
      <alignment horizontal="center" vertical="center"/>
    </xf>
    <xf numFmtId="0" fontId="23" fillId="9" borderId="12" xfId="8" applyFont="1" applyBorder="1" applyAlignment="1">
      <alignment horizontal="center" vertical="center"/>
    </xf>
    <xf numFmtId="0" fontId="21" fillId="10" borderId="15" xfId="9" applyFont="1" applyBorder="1" applyAlignment="1">
      <alignment horizontal="center" vertical="center"/>
    </xf>
    <xf numFmtId="0" fontId="21" fillId="10" borderId="16" xfId="9" applyFont="1" applyBorder="1" applyAlignment="1">
      <alignment horizontal="center" vertical="center"/>
    </xf>
    <xf numFmtId="0" fontId="21" fillId="10" borderId="17" xfId="9" applyFont="1" applyBorder="1" applyAlignment="1">
      <alignment horizontal="center" vertical="center"/>
    </xf>
    <xf numFmtId="0" fontId="20" fillId="8" borderId="18" xfId="7" applyFont="1" applyBorder="1" applyAlignment="1">
      <alignment horizontal="center" vertical="center"/>
    </xf>
    <xf numFmtId="0" fontId="20" fillId="8" borderId="19" xfId="7" applyFont="1" applyBorder="1" applyAlignment="1">
      <alignment horizontal="center" vertical="center"/>
    </xf>
    <xf numFmtId="0" fontId="20" fillId="8" borderId="20" xfId="7" applyFont="1" applyBorder="1" applyAlignment="1">
      <alignment horizontal="center" vertical="center"/>
    </xf>
    <xf numFmtId="0" fontId="20" fillId="8" borderId="11" xfId="7" applyFont="1" applyBorder="1" applyAlignment="1">
      <alignment horizontal="center" vertical="center"/>
    </xf>
    <xf numFmtId="0" fontId="20" fillId="8" borderId="0" xfId="7" applyFont="1" applyBorder="1" applyAlignment="1">
      <alignment horizontal="center" vertical="center"/>
    </xf>
    <xf numFmtId="0" fontId="20" fillId="8" borderId="12" xfId="7" applyFont="1" applyBorder="1" applyAlignment="1">
      <alignment horizontal="center" vertical="center"/>
    </xf>
  </cellXfs>
  <cellStyles count="12">
    <cellStyle name="一般" xfId="0" builtinId="0"/>
    <cellStyle name="一般 2" xfId="10" xr:uid="{6D088D2E-1E38-4ECC-A2AA-3DFBD68E5669}"/>
    <cellStyle name="一般 2 2" xfId="11" xr:uid="{6A1EC482-2670-4B3D-8C69-C6247A94824A}"/>
    <cellStyle name="一般_data" xfId="2" xr:uid="{00000000-0005-0000-0000-000001000000}"/>
    <cellStyle name="一般_P9851_1" xfId="4" xr:uid="{00000000-0005-0000-0000-000002000000}"/>
    <cellStyle name="一般_Sheet1" xfId="3" xr:uid="{00000000-0005-0000-0000-000003000000}"/>
    <cellStyle name="一般_Sheet2" xfId="5" xr:uid="{00000000-0005-0000-0000-000004000000}"/>
    <cellStyle name="中等" xfId="9" builtinId="28"/>
    <cellStyle name="好" xfId="7" builtinId="26"/>
    <cellStyle name="貨幣 [0]" xfId="1" builtinId="7"/>
    <cellStyle name="超連結" xfId="6" builtinId="8"/>
    <cellStyle name="壞" xfId="8" builtinId="2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2</xdr:row>
      <xdr:rowOff>0</xdr:rowOff>
    </xdr:to>
    <xdr:sp macro="[0]!v8.Main" textlink="">
      <xdr:nvSpPr>
        <xdr:cNvPr id="2" name="矩形 1">
          <a:extLst>
            <a:ext uri="{FF2B5EF4-FFF2-40B4-BE49-F238E27FC236}">
              <a16:creationId xmlns:a16="http://schemas.microsoft.com/office/drawing/2014/main" id="{E0C332C1-C4E9-40AA-87F9-1E6E43DE511C}"/>
            </a:ext>
          </a:extLst>
        </xdr:cNvPr>
        <xdr:cNvSpPr/>
      </xdr:nvSpPr>
      <xdr:spPr>
        <a:xfrm>
          <a:off x="0" y="0"/>
          <a:ext cx="3063240" cy="396240"/>
        </a:xfrm>
        <a:prstGeom prst="rect">
          <a:avLst/>
        </a:prstGeom>
        <a:solidFill>
          <a:schemeClr val="accent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400"/>
            <a:t>角變量</a:t>
          </a:r>
          <a:r>
            <a:rPr lang="en-US" altLang="zh-TW" sz="1400" baseline="0"/>
            <a:t> </a:t>
          </a:r>
          <a:r>
            <a:rPr lang="en-US" altLang="zh-TW" sz="1400"/>
            <a:t>V8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</xdr:col>
      <xdr:colOff>0</xdr:colOff>
      <xdr:row>4</xdr:row>
      <xdr:rowOff>0</xdr:rowOff>
    </xdr:to>
    <xdr:sp macro="[0]!V12.Main" textlink="">
      <xdr:nvSpPr>
        <xdr:cNvPr id="2" name="矩形 1">
          <a:extLst>
            <a:ext uri="{FF2B5EF4-FFF2-40B4-BE49-F238E27FC236}">
              <a16:creationId xmlns:a16="http://schemas.microsoft.com/office/drawing/2014/main" id="{785819BF-FAB2-46F9-8BA6-DA1A467F8152}"/>
            </a:ext>
          </a:extLst>
        </xdr:cNvPr>
        <xdr:cNvSpPr/>
      </xdr:nvSpPr>
      <xdr:spPr>
        <a:xfrm>
          <a:off x="0" y="0"/>
          <a:ext cx="1828800" cy="830580"/>
        </a:xfrm>
        <a:prstGeom prst="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400"/>
            <a:t>角變量 </a:t>
          </a:r>
          <a:r>
            <a:rPr lang="en-US" altLang="zh-TW" sz="1400"/>
            <a:t>V12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github.com/skyran1278/VbaProject/issues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7">
    <tabColor theme="4"/>
  </sheetPr>
  <dimension ref="A1:R25"/>
  <sheetViews>
    <sheetView workbookViewId="0"/>
  </sheetViews>
  <sheetFormatPr defaultColWidth="8.88671875" defaultRowHeight="15.6" x14ac:dyDescent="0.3"/>
  <cols>
    <col min="1" max="1" width="8.88671875" style="50"/>
    <col min="2" max="2" width="17.77734375" style="50" bestFit="1" customWidth="1"/>
    <col min="3" max="3" width="8.88671875" style="50"/>
    <col min="4" max="4" width="9" style="50" bestFit="1" customWidth="1"/>
    <col min="5" max="11" width="8.88671875" style="50"/>
    <col min="12" max="13" width="12.6640625" style="50" bestFit="1" customWidth="1"/>
    <col min="14" max="14" width="17.109375" style="50" bestFit="1" customWidth="1"/>
    <col min="15" max="15" width="14" style="50" bestFit="1" customWidth="1"/>
    <col min="16" max="16" width="11.33203125" style="50" bestFit="1" customWidth="1"/>
    <col min="17" max="17" width="9" style="50" bestFit="1" customWidth="1"/>
    <col min="18" max="18" width="12.6640625" style="50" bestFit="1" customWidth="1"/>
    <col min="19" max="16384" width="8.88671875" style="50"/>
  </cols>
  <sheetData>
    <row r="1" spans="1:18" x14ac:dyDescent="0.3">
      <c r="A1" s="50" t="s">
        <v>551</v>
      </c>
      <c r="B1" s="51">
        <v>43137</v>
      </c>
    </row>
    <row r="2" spans="1:18" x14ac:dyDescent="0.3">
      <c r="A2" s="50" t="s">
        <v>552</v>
      </c>
      <c r="B2" s="50" t="s">
        <v>558</v>
      </c>
    </row>
    <row r="3" spans="1:18" x14ac:dyDescent="0.3">
      <c r="A3" s="50" t="s">
        <v>553</v>
      </c>
      <c r="B3" s="50" t="s">
        <v>559</v>
      </c>
    </row>
    <row r="4" spans="1:18" ht="16.2" thickBot="1" x14ac:dyDescent="0.35"/>
    <row r="5" spans="1:18" ht="16.2" customHeight="1" thickBot="1" x14ac:dyDescent="0.35">
      <c r="D5" s="68" t="s">
        <v>570</v>
      </c>
      <c r="E5" s="69"/>
      <c r="F5" s="69"/>
      <c r="G5" s="69"/>
      <c r="H5" s="69"/>
      <c r="I5" s="70"/>
      <c r="L5" s="68" t="s">
        <v>571</v>
      </c>
      <c r="M5" s="69"/>
      <c r="N5" s="69"/>
      <c r="O5" s="69"/>
      <c r="P5" s="69"/>
      <c r="Q5" s="69"/>
      <c r="R5" s="70"/>
    </row>
    <row r="6" spans="1:18" ht="16.2" thickTop="1" x14ac:dyDescent="0.3">
      <c r="D6" s="71" t="s">
        <v>555</v>
      </c>
      <c r="E6" s="72"/>
      <c r="F6" s="72"/>
      <c r="G6" s="72"/>
      <c r="H6" s="72"/>
      <c r="I6" s="73"/>
      <c r="L6" s="65" t="s">
        <v>572</v>
      </c>
      <c r="M6" s="66"/>
      <c r="N6" s="66"/>
      <c r="O6" s="66"/>
      <c r="P6" s="66"/>
      <c r="Q6" s="66"/>
      <c r="R6" s="67"/>
    </row>
    <row r="7" spans="1:18" x14ac:dyDescent="0.3">
      <c r="D7" s="33">
        <v>1</v>
      </c>
      <c r="E7" s="34" t="s">
        <v>560</v>
      </c>
      <c r="F7" s="35"/>
      <c r="G7" s="35"/>
      <c r="H7" s="35"/>
      <c r="I7" s="36"/>
      <c r="L7" s="45" t="s">
        <v>554</v>
      </c>
      <c r="M7" s="35"/>
      <c r="N7" s="35"/>
      <c r="O7" s="35"/>
      <c r="P7" s="35"/>
      <c r="Q7" s="35"/>
      <c r="R7" s="36"/>
    </row>
    <row r="8" spans="1:18" x14ac:dyDescent="0.3">
      <c r="D8" s="33">
        <v>2</v>
      </c>
      <c r="E8" s="34" t="s">
        <v>561</v>
      </c>
      <c r="F8" s="35"/>
      <c r="G8" s="35"/>
      <c r="H8" s="35"/>
      <c r="I8" s="36"/>
      <c r="L8" s="33" t="s">
        <v>534</v>
      </c>
      <c r="M8" s="35" t="s">
        <v>535</v>
      </c>
      <c r="N8" s="35" t="s">
        <v>536</v>
      </c>
      <c r="O8" s="35" t="s">
        <v>537</v>
      </c>
      <c r="P8" s="35" t="s">
        <v>538</v>
      </c>
      <c r="Q8" s="35" t="s">
        <v>345</v>
      </c>
      <c r="R8" s="36"/>
    </row>
    <row r="9" spans="1:18" x14ac:dyDescent="0.3">
      <c r="D9" s="33">
        <v>3</v>
      </c>
      <c r="E9" s="34" t="s">
        <v>562</v>
      </c>
      <c r="F9" s="35"/>
      <c r="G9" s="35"/>
      <c r="H9" s="35"/>
      <c r="I9" s="36"/>
      <c r="L9" s="33" t="s">
        <v>489</v>
      </c>
      <c r="M9" s="35" t="s">
        <v>489</v>
      </c>
      <c r="N9" s="35" t="s">
        <v>489</v>
      </c>
      <c r="O9" s="35" t="s">
        <v>489</v>
      </c>
      <c r="P9" s="35" t="s">
        <v>489</v>
      </c>
      <c r="Q9" s="35" t="s">
        <v>490</v>
      </c>
      <c r="R9" s="36"/>
    </row>
    <row r="10" spans="1:18" x14ac:dyDescent="0.3">
      <c r="D10" s="37">
        <v>4</v>
      </c>
      <c r="E10" s="38" t="s">
        <v>563</v>
      </c>
      <c r="F10" s="39"/>
      <c r="G10" s="39"/>
      <c r="H10" s="39"/>
      <c r="I10" s="40"/>
      <c r="L10" s="33" t="s">
        <v>346</v>
      </c>
      <c r="M10" s="35" t="s">
        <v>169</v>
      </c>
      <c r="N10" s="35" t="s">
        <v>210</v>
      </c>
      <c r="O10" s="35" t="s">
        <v>539</v>
      </c>
      <c r="P10" s="35" t="s">
        <v>540</v>
      </c>
      <c r="Q10" s="35">
        <v>8.3000000000000007</v>
      </c>
      <c r="R10" s="36"/>
    </row>
    <row r="11" spans="1:18" x14ac:dyDescent="0.3">
      <c r="D11" s="74" t="s">
        <v>557</v>
      </c>
      <c r="E11" s="75"/>
      <c r="F11" s="75"/>
      <c r="G11" s="75"/>
      <c r="H11" s="75"/>
      <c r="I11" s="76"/>
      <c r="L11" s="45" t="s">
        <v>556</v>
      </c>
      <c r="M11" s="35"/>
      <c r="N11" s="35"/>
      <c r="O11" s="35"/>
      <c r="P11" s="35"/>
      <c r="Q11" s="35"/>
      <c r="R11" s="36"/>
    </row>
    <row r="12" spans="1:18" x14ac:dyDescent="0.3">
      <c r="D12" s="33">
        <v>1</v>
      </c>
      <c r="E12" s="34" t="s">
        <v>560</v>
      </c>
      <c r="F12" s="35"/>
      <c r="G12" s="35"/>
      <c r="H12" s="35"/>
      <c r="I12" s="36"/>
      <c r="L12" s="33" t="s">
        <v>479</v>
      </c>
      <c r="M12" s="35" t="s">
        <v>480</v>
      </c>
      <c r="N12" s="35" t="s">
        <v>481</v>
      </c>
      <c r="O12" s="35" t="s">
        <v>482</v>
      </c>
      <c r="P12" s="35" t="s">
        <v>483</v>
      </c>
      <c r="Q12" s="35" t="s">
        <v>484</v>
      </c>
      <c r="R12" s="36" t="s">
        <v>485</v>
      </c>
    </row>
    <row r="13" spans="1:18" x14ac:dyDescent="0.3">
      <c r="D13" s="33">
        <v>2</v>
      </c>
      <c r="E13" s="34" t="s">
        <v>561</v>
      </c>
      <c r="F13" s="35"/>
      <c r="G13" s="35"/>
      <c r="H13" s="35"/>
      <c r="I13" s="36"/>
      <c r="L13" s="33" t="s">
        <v>489</v>
      </c>
      <c r="M13" s="35" t="s">
        <v>489</v>
      </c>
      <c r="N13" s="35" t="s">
        <v>489</v>
      </c>
      <c r="O13" s="35" t="s">
        <v>489</v>
      </c>
      <c r="P13" s="35" t="s">
        <v>490</v>
      </c>
      <c r="Q13" s="35" t="s">
        <v>490</v>
      </c>
      <c r="R13" s="36" t="s">
        <v>490</v>
      </c>
    </row>
    <row r="14" spans="1:18" x14ac:dyDescent="0.3">
      <c r="D14" s="33">
        <v>3</v>
      </c>
      <c r="E14" s="34" t="s">
        <v>562</v>
      </c>
      <c r="F14" s="35"/>
      <c r="G14" s="35"/>
      <c r="H14" s="35"/>
      <c r="I14" s="36"/>
      <c r="L14" s="33" t="s">
        <v>169</v>
      </c>
      <c r="M14" s="35" t="s">
        <v>169</v>
      </c>
      <c r="N14" s="35" t="s">
        <v>11</v>
      </c>
      <c r="O14" s="35" t="s">
        <v>492</v>
      </c>
      <c r="P14" s="35">
        <v>0</v>
      </c>
      <c r="Q14" s="35">
        <v>0</v>
      </c>
      <c r="R14" s="46">
        <v>-2.3500000000000001E-3</v>
      </c>
    </row>
    <row r="15" spans="1:18" ht="16.2" thickBot="1" x14ac:dyDescent="0.35">
      <c r="D15" s="41">
        <v>4</v>
      </c>
      <c r="E15" s="42" t="s">
        <v>567</v>
      </c>
      <c r="F15" s="43"/>
      <c r="G15" s="43"/>
      <c r="H15" s="43"/>
      <c r="I15" s="44"/>
      <c r="L15" s="37" t="s">
        <v>210</v>
      </c>
      <c r="M15" s="39" t="s">
        <v>210</v>
      </c>
      <c r="N15" s="39" t="s">
        <v>11</v>
      </c>
      <c r="O15" s="39" t="s">
        <v>492</v>
      </c>
      <c r="P15" s="39">
        <v>0</v>
      </c>
      <c r="Q15" s="39">
        <v>0</v>
      </c>
      <c r="R15" s="40">
        <v>-2.1559999999999999E-3</v>
      </c>
    </row>
    <row r="16" spans="1:18" x14ac:dyDescent="0.3">
      <c r="L16" s="65" t="s">
        <v>573</v>
      </c>
      <c r="M16" s="66"/>
      <c r="N16" s="66"/>
      <c r="O16" s="66"/>
      <c r="P16" s="66"/>
      <c r="Q16" s="66"/>
      <c r="R16" s="67"/>
    </row>
    <row r="17" spans="12:18" x14ac:dyDescent="0.3">
      <c r="L17" s="33">
        <v>1</v>
      </c>
      <c r="M17" s="34" t="s">
        <v>564</v>
      </c>
      <c r="N17" s="35"/>
      <c r="O17" s="35"/>
      <c r="P17" s="35"/>
      <c r="Q17" s="35"/>
      <c r="R17" s="36"/>
    </row>
    <row r="18" spans="12:18" x14ac:dyDescent="0.3">
      <c r="L18" s="33">
        <v>2</v>
      </c>
      <c r="M18" s="34" t="s">
        <v>565</v>
      </c>
      <c r="N18" s="35"/>
      <c r="O18" s="35"/>
      <c r="P18" s="35"/>
      <c r="Q18" s="35"/>
      <c r="R18" s="36"/>
    </row>
    <row r="19" spans="12:18" x14ac:dyDescent="0.3">
      <c r="L19" s="37">
        <v>3</v>
      </c>
      <c r="M19" s="38" t="s">
        <v>566</v>
      </c>
      <c r="N19" s="39"/>
      <c r="O19" s="39"/>
      <c r="P19" s="39"/>
      <c r="Q19" s="39"/>
      <c r="R19" s="40"/>
    </row>
    <row r="20" spans="12:18" x14ac:dyDescent="0.3">
      <c r="L20" s="65" t="s">
        <v>574</v>
      </c>
      <c r="M20" s="66"/>
      <c r="N20" s="66"/>
      <c r="O20" s="66"/>
      <c r="P20" s="66"/>
      <c r="Q20" s="66"/>
      <c r="R20" s="67"/>
    </row>
    <row r="21" spans="12:18" x14ac:dyDescent="0.3">
      <c r="L21" s="33" t="s">
        <v>342</v>
      </c>
      <c r="M21" s="35" t="s">
        <v>343</v>
      </c>
      <c r="N21" s="35" t="s">
        <v>549</v>
      </c>
      <c r="O21" s="35"/>
      <c r="P21" s="35"/>
      <c r="Q21" s="35"/>
      <c r="R21" s="36"/>
    </row>
    <row r="22" spans="12:18" x14ac:dyDescent="0.3">
      <c r="L22" s="47">
        <v>-2.3500000000000001E-3</v>
      </c>
      <c r="M22" s="48">
        <v>-2.1559999999999999E-3</v>
      </c>
      <c r="N22" s="35">
        <v>2.3373493975903599E-5</v>
      </c>
      <c r="O22" s="35"/>
      <c r="P22" s="35"/>
      <c r="Q22" s="35"/>
      <c r="R22" s="36"/>
    </row>
    <row r="23" spans="12:18" x14ac:dyDescent="0.3">
      <c r="L23" s="45" t="s">
        <v>569</v>
      </c>
      <c r="M23" s="35"/>
      <c r="N23" s="35"/>
      <c r="O23" s="35"/>
      <c r="P23" s="35"/>
      <c r="Q23" s="35"/>
      <c r="R23" s="36"/>
    </row>
    <row r="24" spans="12:18" ht="16.2" thickBot="1" x14ac:dyDescent="0.35">
      <c r="L24" s="49" t="s">
        <v>568</v>
      </c>
      <c r="M24" s="43"/>
      <c r="N24" s="43"/>
      <c r="O24" s="43"/>
      <c r="P24" s="43"/>
      <c r="Q24" s="43"/>
      <c r="R24" s="44"/>
    </row>
    <row r="25" spans="12:18" x14ac:dyDescent="0.3">
      <c r="M25" s="52"/>
    </row>
  </sheetData>
  <mergeCells count="7">
    <mergeCell ref="L20:R20"/>
    <mergeCell ref="D5:I5"/>
    <mergeCell ref="D6:I6"/>
    <mergeCell ref="D11:I11"/>
    <mergeCell ref="L5:R5"/>
    <mergeCell ref="L6:R6"/>
    <mergeCell ref="L16:R16"/>
  </mergeCells>
  <phoneticPr fontId="2" type="noConversion"/>
  <pageMargins left="0.7" right="0.7" top="0.75" bottom="0.75" header="0.3" footer="0.3"/>
  <ignoredErrors>
    <ignoredError sqref="M10:N10 L14:M15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1"/>
  <dimension ref="A1:J37"/>
  <sheetViews>
    <sheetView workbookViewId="0">
      <selection activeCell="D41" sqref="D41"/>
    </sheetView>
  </sheetViews>
  <sheetFormatPr defaultColWidth="8.88671875" defaultRowHeight="15.6" x14ac:dyDescent="0.3"/>
  <cols>
    <col min="1" max="1" width="8.88671875" style="14"/>
    <col min="2" max="3" width="9" style="6" bestFit="1" customWidth="1"/>
    <col min="4" max="4" width="8.88671875" style="6"/>
    <col min="5" max="7" width="12.77734375" style="6" bestFit="1" customWidth="1"/>
    <col min="8" max="16384" width="8.88671875" style="6"/>
  </cols>
  <sheetData>
    <row r="1" spans="1:10" x14ac:dyDescent="0.3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</row>
    <row r="2" spans="1:10" x14ac:dyDescent="0.3">
      <c r="A2" s="16" t="s">
        <v>10</v>
      </c>
      <c r="B2" s="16">
        <v>21</v>
      </c>
      <c r="C2" s="16">
        <v>1</v>
      </c>
      <c r="D2" s="16" t="s">
        <v>11</v>
      </c>
      <c r="E2" s="16">
        <v>-3.5793259999999999E-3</v>
      </c>
      <c r="F2" s="16">
        <v>7.6989980000000005E-4</v>
      </c>
      <c r="G2" s="16">
        <v>4.7432660000000001E-5</v>
      </c>
      <c r="H2" s="17"/>
      <c r="I2" s="17"/>
      <c r="J2" s="17"/>
    </row>
    <row r="3" spans="1:10" x14ac:dyDescent="0.3">
      <c r="A3" s="16" t="s">
        <v>10</v>
      </c>
      <c r="B3" s="16">
        <v>21</v>
      </c>
      <c r="C3" s="16">
        <v>1</v>
      </c>
      <c r="D3" s="16" t="s">
        <v>12</v>
      </c>
      <c r="E3" s="16">
        <v>-4.3743929999999999E-3</v>
      </c>
      <c r="F3" s="16">
        <v>8.8121800000000002E-4</v>
      </c>
      <c r="G3" s="16">
        <v>5.6027240000000001E-5</v>
      </c>
      <c r="H3" s="17"/>
      <c r="I3" s="17"/>
      <c r="J3" s="17"/>
    </row>
    <row r="4" spans="1:10" x14ac:dyDescent="0.3">
      <c r="A4" s="16" t="s">
        <v>10</v>
      </c>
      <c r="B4" s="16">
        <v>21</v>
      </c>
      <c r="C4" s="16">
        <v>1</v>
      </c>
      <c r="D4" s="16" t="s">
        <v>13</v>
      </c>
      <c r="E4" s="16">
        <v>-3.92567E-3</v>
      </c>
      <c r="F4" s="16">
        <v>7.0593770000000004E-4</v>
      </c>
      <c r="G4" s="16">
        <v>4.7232389999999998E-5</v>
      </c>
      <c r="H4" s="17"/>
      <c r="I4" s="17"/>
      <c r="J4" s="17"/>
    </row>
    <row r="5" spans="1:10" x14ac:dyDescent="0.3">
      <c r="A5" s="16" t="s">
        <v>10</v>
      </c>
      <c r="B5" s="16">
        <v>21</v>
      </c>
      <c r="C5" s="16">
        <v>1</v>
      </c>
      <c r="D5" s="16" t="s">
        <v>14</v>
      </c>
      <c r="E5" s="16">
        <v>-4.7067289999999998E-3</v>
      </c>
      <c r="F5" s="16">
        <v>8.2198410000000003E-4</v>
      </c>
      <c r="G5" s="16">
        <v>5.5777340000000002E-5</v>
      </c>
      <c r="H5" s="17"/>
      <c r="I5" s="17"/>
      <c r="J5" s="17"/>
    </row>
    <row r="6" spans="1:10" x14ac:dyDescent="0.3">
      <c r="A6" s="16" t="s">
        <v>10</v>
      </c>
      <c r="B6" s="16">
        <v>21</v>
      </c>
      <c r="C6" s="16">
        <v>1</v>
      </c>
      <c r="D6" s="16" t="s">
        <v>15</v>
      </c>
      <c r="E6" s="16">
        <v>-4.2913300000000003E-3</v>
      </c>
      <c r="F6" s="16">
        <v>8.3117369999999996E-4</v>
      </c>
      <c r="G6" s="16">
        <v>7.6863260000000004E-5</v>
      </c>
      <c r="H6" s="17"/>
      <c r="I6" s="17"/>
      <c r="J6" s="17"/>
    </row>
    <row r="7" spans="1:10" x14ac:dyDescent="0.3">
      <c r="A7" s="16" t="s">
        <v>10</v>
      </c>
      <c r="B7" s="16">
        <v>21</v>
      </c>
      <c r="C7" s="16">
        <v>1</v>
      </c>
      <c r="D7" s="16" t="s">
        <v>16</v>
      </c>
      <c r="E7" s="16">
        <v>-3.7173829999999999E-3</v>
      </c>
      <c r="F7" s="16">
        <v>6.525465E-4</v>
      </c>
      <c r="G7" s="16">
        <v>4.490832E-5</v>
      </c>
      <c r="H7" s="17"/>
      <c r="I7" s="17"/>
      <c r="J7" s="17"/>
    </row>
    <row r="8" spans="1:10" x14ac:dyDescent="0.3">
      <c r="A8" s="16" t="s">
        <v>10</v>
      </c>
      <c r="B8" s="16">
        <v>21</v>
      </c>
      <c r="C8" s="16">
        <v>1</v>
      </c>
      <c r="D8" s="16" t="s">
        <v>17</v>
      </c>
      <c r="E8" s="16">
        <v>-4.3131580000000001E-3</v>
      </c>
      <c r="F8" s="16">
        <v>8.280071E-4</v>
      </c>
      <c r="G8" s="16">
        <v>7.5862309999999994E-5</v>
      </c>
      <c r="H8" s="17"/>
      <c r="I8" s="17"/>
      <c r="J8" s="17"/>
    </row>
    <row r="9" spans="1:10" x14ac:dyDescent="0.3">
      <c r="A9" s="16" t="s">
        <v>10</v>
      </c>
      <c r="B9" s="16">
        <v>21</v>
      </c>
      <c r="C9" s="16">
        <v>1</v>
      </c>
      <c r="D9" s="16" t="s">
        <v>18</v>
      </c>
      <c r="E9" s="16">
        <v>-3.694073E-3</v>
      </c>
      <c r="F9" s="16">
        <v>6.4870300000000004E-4</v>
      </c>
      <c r="G9" s="16">
        <v>4.3521420000000001E-5</v>
      </c>
      <c r="H9" s="17"/>
      <c r="I9" s="17"/>
      <c r="J9" s="17"/>
    </row>
    <row r="10" spans="1:10" x14ac:dyDescent="0.3">
      <c r="A10" s="16" t="s">
        <v>10</v>
      </c>
      <c r="B10" s="16">
        <v>21</v>
      </c>
      <c r="C10" s="16">
        <v>1</v>
      </c>
      <c r="D10" s="16" t="s">
        <v>19</v>
      </c>
      <c r="E10" s="16">
        <v>-5.2733700000000003E-3</v>
      </c>
      <c r="F10" s="16">
        <v>9.5446579999999999E-4</v>
      </c>
      <c r="G10" s="16">
        <v>4.0601559999999998E-5</v>
      </c>
      <c r="H10" s="17"/>
      <c r="I10" s="17"/>
      <c r="J10" s="17"/>
    </row>
    <row r="11" spans="1:10" x14ac:dyDescent="0.3">
      <c r="A11" s="16" t="s">
        <v>10</v>
      </c>
      <c r="B11" s="16">
        <v>21</v>
      </c>
      <c r="C11" s="16">
        <v>1</v>
      </c>
      <c r="D11" s="16" t="s">
        <v>20</v>
      </c>
      <c r="E11" s="16">
        <v>-5.858004E-3</v>
      </c>
      <c r="F11" s="16">
        <v>1.1387909999999999E-3</v>
      </c>
      <c r="G11" s="16">
        <v>7.4526850000000003E-5</v>
      </c>
      <c r="H11" s="17"/>
      <c r="I11" s="17"/>
      <c r="J11" s="17"/>
    </row>
    <row r="12" spans="1:10" x14ac:dyDescent="0.3">
      <c r="A12" s="16" t="s">
        <v>10</v>
      </c>
      <c r="B12" s="16">
        <v>21</v>
      </c>
      <c r="C12" s="16">
        <v>1</v>
      </c>
      <c r="D12" s="16" t="s">
        <v>21</v>
      </c>
      <c r="E12" s="16">
        <v>-5.251543E-3</v>
      </c>
      <c r="F12" s="16">
        <v>9.5763230000000003E-4</v>
      </c>
      <c r="G12" s="16">
        <v>4.1602510000000001E-5</v>
      </c>
      <c r="H12" s="17"/>
      <c r="I12" s="17"/>
      <c r="J12" s="17"/>
    </row>
    <row r="13" spans="1:10" x14ac:dyDescent="0.3">
      <c r="A13" s="16" t="s">
        <v>10</v>
      </c>
      <c r="B13" s="16">
        <v>21</v>
      </c>
      <c r="C13" s="16">
        <v>1</v>
      </c>
      <c r="D13" s="16" t="s">
        <v>22</v>
      </c>
      <c r="E13" s="16">
        <v>-5.8706280000000001E-3</v>
      </c>
      <c r="F13" s="16">
        <v>1.1369360000000001E-3</v>
      </c>
      <c r="G13" s="16">
        <v>7.3943399999999994E-5</v>
      </c>
      <c r="H13" s="17"/>
      <c r="I13" s="17"/>
      <c r="J13" s="17"/>
    </row>
    <row r="14" spans="1:10" x14ac:dyDescent="0.3">
      <c r="A14" s="16" t="s">
        <v>10</v>
      </c>
      <c r="B14" s="16">
        <v>21</v>
      </c>
      <c r="C14" s="16">
        <v>1</v>
      </c>
      <c r="D14" s="16" t="s">
        <v>23</v>
      </c>
      <c r="E14" s="16">
        <v>-3.8076849999999999E-3</v>
      </c>
      <c r="F14" s="16">
        <v>7.4869879999999995E-4</v>
      </c>
      <c r="G14" s="16">
        <v>7.1204889999999999E-5</v>
      </c>
      <c r="H14" s="17"/>
      <c r="I14" s="17"/>
      <c r="J14" s="17"/>
    </row>
    <row r="15" spans="1:10" x14ac:dyDescent="0.3">
      <c r="A15" s="16" t="s">
        <v>10</v>
      </c>
      <c r="B15" s="16">
        <v>21</v>
      </c>
      <c r="C15" s="16">
        <v>1</v>
      </c>
      <c r="D15" s="16" t="s">
        <v>24</v>
      </c>
      <c r="E15" s="16">
        <v>-3.2230520000000001E-3</v>
      </c>
      <c r="F15" s="16">
        <v>5.6437339999999999E-4</v>
      </c>
      <c r="G15" s="16">
        <v>3.7279610000000002E-5</v>
      </c>
      <c r="H15" s="17"/>
      <c r="I15" s="17"/>
      <c r="J15" s="17"/>
    </row>
    <row r="16" spans="1:10" x14ac:dyDescent="0.3">
      <c r="A16" s="16" t="s">
        <v>10</v>
      </c>
      <c r="B16" s="16">
        <v>21</v>
      </c>
      <c r="C16" s="16">
        <v>1</v>
      </c>
      <c r="D16" s="16" t="s">
        <v>25</v>
      </c>
      <c r="E16" s="16">
        <v>-3.8295130000000001E-3</v>
      </c>
      <c r="F16" s="16">
        <v>7.4553219999999999E-4</v>
      </c>
      <c r="G16" s="16">
        <v>7.0203930000000003E-5</v>
      </c>
      <c r="H16" s="17"/>
      <c r="I16" s="17"/>
      <c r="J16" s="17"/>
    </row>
    <row r="17" spans="1:10" x14ac:dyDescent="0.3">
      <c r="A17" s="16" t="s">
        <v>10</v>
      </c>
      <c r="B17" s="16">
        <v>21</v>
      </c>
      <c r="C17" s="16">
        <v>1</v>
      </c>
      <c r="D17" s="16" t="s">
        <v>26</v>
      </c>
      <c r="E17" s="16">
        <v>-3.210428E-3</v>
      </c>
      <c r="F17" s="16">
        <v>5.6622810000000003E-4</v>
      </c>
      <c r="G17" s="16">
        <v>3.7863050000000003E-5</v>
      </c>
      <c r="H17" s="17"/>
      <c r="I17" s="17"/>
      <c r="J17" s="17"/>
    </row>
    <row r="18" spans="1:10" x14ac:dyDescent="0.3">
      <c r="A18" s="16" t="s">
        <v>10</v>
      </c>
      <c r="B18" s="16">
        <v>21</v>
      </c>
      <c r="C18" s="16">
        <v>1</v>
      </c>
      <c r="D18" s="16" t="s">
        <v>27</v>
      </c>
      <c r="E18" s="16">
        <v>-4.7897249999999999E-3</v>
      </c>
      <c r="F18" s="16">
        <v>8.7199089999999999E-4</v>
      </c>
      <c r="G18" s="16">
        <v>3.494319E-5</v>
      </c>
      <c r="H18" s="17"/>
      <c r="I18" s="17"/>
      <c r="J18" s="17"/>
    </row>
    <row r="19" spans="1:10" x14ac:dyDescent="0.3">
      <c r="A19" s="16" t="s">
        <v>10</v>
      </c>
      <c r="B19" s="16">
        <v>21</v>
      </c>
      <c r="C19" s="16">
        <v>1</v>
      </c>
      <c r="D19" s="16" t="s">
        <v>28</v>
      </c>
      <c r="E19" s="16">
        <v>-5.3743580000000001E-3</v>
      </c>
      <c r="F19" s="16">
        <v>1.0563160000000001E-3</v>
      </c>
      <c r="G19" s="16">
        <v>6.8868469999999998E-5</v>
      </c>
      <c r="H19" s="17"/>
      <c r="I19" s="17"/>
      <c r="J19" s="17"/>
    </row>
    <row r="20" spans="1:10" x14ac:dyDescent="0.3">
      <c r="A20" s="16" t="s">
        <v>10</v>
      </c>
      <c r="B20" s="16">
        <v>21</v>
      </c>
      <c r="C20" s="16">
        <v>1</v>
      </c>
      <c r="D20" s="16" t="s">
        <v>29</v>
      </c>
      <c r="E20" s="16">
        <v>-4.7678970000000001E-3</v>
      </c>
      <c r="F20" s="16">
        <v>8.7515740000000002E-4</v>
      </c>
      <c r="G20" s="16">
        <v>3.5944149999999997E-5</v>
      </c>
      <c r="H20" s="17"/>
      <c r="I20" s="17"/>
      <c r="J20" s="17"/>
    </row>
    <row r="21" spans="1:10" x14ac:dyDescent="0.3">
      <c r="A21" s="16" t="s">
        <v>10</v>
      </c>
      <c r="B21" s="16">
        <v>21</v>
      </c>
      <c r="C21" s="16">
        <v>1</v>
      </c>
      <c r="D21" s="16" t="s">
        <v>30</v>
      </c>
      <c r="E21" s="16">
        <v>-5.3869829999999997E-3</v>
      </c>
      <c r="F21" s="16">
        <v>1.054461E-3</v>
      </c>
      <c r="G21" s="16">
        <v>6.8285030000000003E-5</v>
      </c>
      <c r="H21" s="17"/>
      <c r="I21" s="17"/>
      <c r="J21" s="17"/>
    </row>
    <row r="22" spans="1:10" x14ac:dyDescent="0.3">
      <c r="A22" s="16" t="s">
        <v>10</v>
      </c>
      <c r="B22" s="16">
        <v>21</v>
      </c>
      <c r="C22" s="16">
        <v>1</v>
      </c>
      <c r="D22" s="16" t="s">
        <v>31</v>
      </c>
      <c r="E22" s="16">
        <v>-5.1992970000000003E-3</v>
      </c>
      <c r="F22" s="16">
        <v>9.7054659999999996E-4</v>
      </c>
      <c r="G22" s="16">
        <v>7.0773090000000001E-5</v>
      </c>
      <c r="H22" s="17"/>
      <c r="I22" s="17"/>
      <c r="J22" s="17"/>
    </row>
    <row r="23" spans="1:10" x14ac:dyDescent="0.3">
      <c r="A23" s="16" t="s">
        <v>10</v>
      </c>
      <c r="B23" s="16">
        <v>21</v>
      </c>
      <c r="C23" s="16">
        <v>1</v>
      </c>
      <c r="D23" s="16" t="s">
        <v>32</v>
      </c>
      <c r="E23" s="16">
        <v>-5.0239070000000002E-3</v>
      </c>
      <c r="F23" s="16">
        <v>9.1524909999999996E-4</v>
      </c>
      <c r="G23" s="16">
        <v>6.059551E-5</v>
      </c>
      <c r="H23" s="17"/>
      <c r="I23" s="17"/>
      <c r="J23" s="17"/>
    </row>
    <row r="24" spans="1:10" x14ac:dyDescent="0.3">
      <c r="A24" s="16" t="s">
        <v>10</v>
      </c>
      <c r="B24" s="16">
        <v>21</v>
      </c>
      <c r="C24" s="16">
        <v>1</v>
      </c>
      <c r="D24" s="16" t="s">
        <v>33</v>
      </c>
      <c r="E24" s="16">
        <v>-5.2058449999999997E-3</v>
      </c>
      <c r="F24" s="16">
        <v>9.695967E-4</v>
      </c>
      <c r="G24" s="16">
        <v>7.0472810000000001E-5</v>
      </c>
      <c r="H24" s="17"/>
      <c r="I24" s="17"/>
      <c r="J24" s="17"/>
    </row>
    <row r="25" spans="1:10" x14ac:dyDescent="0.3">
      <c r="A25" s="16" t="s">
        <v>10</v>
      </c>
      <c r="B25" s="16">
        <v>21</v>
      </c>
      <c r="C25" s="16">
        <v>1</v>
      </c>
      <c r="D25" s="16" t="s">
        <v>34</v>
      </c>
      <c r="E25" s="16">
        <v>-5.0201200000000003E-3</v>
      </c>
      <c r="F25" s="16">
        <v>9.1580549999999996E-4</v>
      </c>
      <c r="G25" s="16">
        <v>6.077054E-5</v>
      </c>
      <c r="H25" s="17"/>
      <c r="I25" s="17"/>
      <c r="J25" s="17"/>
    </row>
    <row r="26" spans="1:10" x14ac:dyDescent="0.3">
      <c r="A26" s="16" t="s">
        <v>10</v>
      </c>
      <c r="B26" s="16">
        <v>21</v>
      </c>
      <c r="C26" s="16">
        <v>1</v>
      </c>
      <c r="D26" s="16" t="s">
        <v>35</v>
      </c>
      <c r="E26" s="16">
        <v>-5.4939089999999999E-3</v>
      </c>
      <c r="F26" s="16">
        <v>1.007534E-3</v>
      </c>
      <c r="G26" s="16">
        <v>5.9894579999999999E-5</v>
      </c>
      <c r="H26" s="17"/>
      <c r="I26" s="17"/>
      <c r="J26" s="17"/>
    </row>
    <row r="27" spans="1:10" x14ac:dyDescent="0.3">
      <c r="A27" s="16" t="s">
        <v>10</v>
      </c>
      <c r="B27" s="16">
        <v>21</v>
      </c>
      <c r="C27" s="16">
        <v>1</v>
      </c>
      <c r="D27" s="16" t="s">
        <v>36</v>
      </c>
      <c r="E27" s="16">
        <v>-5.669299E-3</v>
      </c>
      <c r="F27" s="16">
        <v>1.0628320000000001E-3</v>
      </c>
      <c r="G27" s="16">
        <v>7.0072170000000001E-5</v>
      </c>
      <c r="H27" s="17"/>
      <c r="I27" s="17"/>
      <c r="J27" s="17"/>
    </row>
    <row r="28" spans="1:10" x14ac:dyDescent="0.3">
      <c r="A28" s="16" t="s">
        <v>10</v>
      </c>
      <c r="B28" s="16">
        <v>21</v>
      </c>
      <c r="C28" s="16">
        <v>1</v>
      </c>
      <c r="D28" s="16" t="s">
        <v>37</v>
      </c>
      <c r="E28" s="16">
        <v>-5.4873609999999996E-3</v>
      </c>
      <c r="F28" s="16">
        <v>1.008484E-3</v>
      </c>
      <c r="G28" s="16">
        <v>6.019487E-5</v>
      </c>
      <c r="H28" s="17"/>
      <c r="I28" s="17"/>
      <c r="J28" s="17"/>
    </row>
    <row r="29" spans="1:10" x14ac:dyDescent="0.3">
      <c r="A29" s="16" t="s">
        <v>10</v>
      </c>
      <c r="B29" s="16">
        <v>21</v>
      </c>
      <c r="C29" s="16">
        <v>1</v>
      </c>
      <c r="D29" s="16" t="s">
        <v>38</v>
      </c>
      <c r="E29" s="16">
        <v>-5.6730859999999999E-3</v>
      </c>
      <c r="F29" s="16">
        <v>1.0622749999999999E-3</v>
      </c>
      <c r="G29" s="16">
        <v>6.9897139999999995E-5</v>
      </c>
      <c r="H29" s="17"/>
      <c r="I29" s="17"/>
      <c r="J29" s="17"/>
    </row>
    <row r="30" spans="1:10" x14ac:dyDescent="0.3">
      <c r="A30" s="16" t="s">
        <v>10</v>
      </c>
      <c r="B30" s="16">
        <v>21</v>
      </c>
      <c r="C30" s="16">
        <v>1</v>
      </c>
      <c r="D30" s="16" t="s">
        <v>39</v>
      </c>
      <c r="E30" s="16">
        <v>-3.5871459999999998E-3</v>
      </c>
      <c r="F30" s="16">
        <v>6.9563030000000003E-4</v>
      </c>
      <c r="G30" s="16">
        <v>5.1911869999999998E-5</v>
      </c>
      <c r="H30" s="17"/>
      <c r="I30" s="17"/>
      <c r="J30" s="17"/>
    </row>
    <row r="31" spans="1:10" x14ac:dyDescent="0.3">
      <c r="A31" s="16" t="s">
        <v>10</v>
      </c>
      <c r="B31" s="16">
        <v>21</v>
      </c>
      <c r="C31" s="16">
        <v>1</v>
      </c>
      <c r="D31" s="16" t="s">
        <v>40</v>
      </c>
      <c r="E31" s="16">
        <v>-3.4117560000000002E-3</v>
      </c>
      <c r="F31" s="16">
        <v>6.4033269999999999E-4</v>
      </c>
      <c r="G31" s="16">
        <v>4.1734280000000003E-5</v>
      </c>
      <c r="H31" s="17"/>
      <c r="I31" s="17"/>
      <c r="J31" s="17"/>
    </row>
    <row r="32" spans="1:10" x14ac:dyDescent="0.3">
      <c r="A32" s="16" t="s">
        <v>10</v>
      </c>
      <c r="B32" s="16">
        <v>21</v>
      </c>
      <c r="C32" s="16">
        <v>1</v>
      </c>
      <c r="D32" s="16" t="s">
        <v>41</v>
      </c>
      <c r="E32" s="16">
        <v>-3.593695E-3</v>
      </c>
      <c r="F32" s="16">
        <v>6.9468030000000003E-4</v>
      </c>
      <c r="G32" s="16">
        <v>5.1611579999999998E-5</v>
      </c>
      <c r="H32" s="17"/>
      <c r="I32" s="17"/>
      <c r="J32" s="17"/>
    </row>
    <row r="33" spans="1:10" x14ac:dyDescent="0.3">
      <c r="A33" s="16" t="s">
        <v>10</v>
      </c>
      <c r="B33" s="16">
        <v>21</v>
      </c>
      <c r="C33" s="16">
        <v>1</v>
      </c>
      <c r="D33" s="16" t="s">
        <v>42</v>
      </c>
      <c r="E33" s="16">
        <v>-3.4079689999999998E-3</v>
      </c>
      <c r="F33" s="16">
        <v>6.4088909999999999E-4</v>
      </c>
      <c r="G33" s="16">
        <v>4.1909310000000003E-5</v>
      </c>
      <c r="H33" s="17"/>
      <c r="I33" s="17"/>
      <c r="J33" s="17"/>
    </row>
    <row r="34" spans="1:10" x14ac:dyDescent="0.3">
      <c r="A34" s="16" t="s">
        <v>10</v>
      </c>
      <c r="B34" s="16">
        <v>21</v>
      </c>
      <c r="C34" s="16">
        <v>1</v>
      </c>
      <c r="D34" s="16" t="s">
        <v>43</v>
      </c>
      <c r="E34" s="16">
        <v>-3.8817579999999999E-3</v>
      </c>
      <c r="F34" s="16">
        <v>7.3261789999999995E-4</v>
      </c>
      <c r="G34" s="16">
        <v>4.1033360000000003E-5</v>
      </c>
      <c r="H34" s="17"/>
      <c r="I34" s="17"/>
      <c r="J34" s="17"/>
    </row>
    <row r="35" spans="1:10" x14ac:dyDescent="0.3">
      <c r="A35" s="16" t="s">
        <v>10</v>
      </c>
      <c r="B35" s="16">
        <v>21</v>
      </c>
      <c r="C35" s="16">
        <v>1</v>
      </c>
      <c r="D35" s="16" t="s">
        <v>44</v>
      </c>
      <c r="E35" s="16">
        <v>-4.057148E-3</v>
      </c>
      <c r="F35" s="16">
        <v>7.8791549999999999E-4</v>
      </c>
      <c r="G35" s="16">
        <v>5.1210939999999997E-5</v>
      </c>
      <c r="H35" s="17"/>
      <c r="I35" s="17"/>
      <c r="J35" s="17"/>
    </row>
    <row r="36" spans="1:10" x14ac:dyDescent="0.3">
      <c r="A36" s="16" t="s">
        <v>10</v>
      </c>
      <c r="B36" s="16">
        <v>21</v>
      </c>
      <c r="C36" s="16">
        <v>1</v>
      </c>
      <c r="D36" s="16" t="s">
        <v>45</v>
      </c>
      <c r="E36" s="16">
        <v>-3.87521E-3</v>
      </c>
      <c r="F36" s="16">
        <v>7.3356789999999995E-4</v>
      </c>
      <c r="G36" s="16">
        <v>4.1333640000000003E-5</v>
      </c>
      <c r="H36" s="17"/>
      <c r="I36" s="17"/>
      <c r="J36" s="17"/>
    </row>
    <row r="37" spans="1:10" x14ac:dyDescent="0.3">
      <c r="A37" s="16" t="s">
        <v>10</v>
      </c>
      <c r="B37" s="16">
        <v>21</v>
      </c>
      <c r="C37" s="16">
        <v>1</v>
      </c>
      <c r="D37" s="16" t="s">
        <v>46</v>
      </c>
      <c r="E37" s="16">
        <v>-4.0609349999999999E-3</v>
      </c>
      <c r="F37" s="16">
        <v>7.8735909999999999E-4</v>
      </c>
      <c r="G37" s="16">
        <v>5.1035909999999998E-5</v>
      </c>
      <c r="H37" s="17"/>
      <c r="I37" s="17"/>
      <c r="J37" s="17"/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2"/>
  <dimension ref="A1:DM128"/>
  <sheetViews>
    <sheetView topLeftCell="A109" workbookViewId="0">
      <selection activeCell="I133" sqref="I133"/>
    </sheetView>
  </sheetViews>
  <sheetFormatPr defaultRowHeight="15.6" x14ac:dyDescent="0.3"/>
  <cols>
    <col min="1" max="4" width="8.88671875" style="6"/>
    <col min="5" max="5" width="9.21875" style="6" bestFit="1" customWidth="1"/>
    <col min="6" max="113" width="9" style="6" customWidth="1"/>
    <col min="114" max="114" width="8.88671875" style="6"/>
    <col min="115" max="115" width="10.33203125" style="6" bestFit="1" customWidth="1"/>
    <col min="116" max="116" width="18.109375" style="6" bestFit="1" customWidth="1"/>
    <col min="117" max="117" width="11.33203125" style="6" bestFit="1" customWidth="1"/>
    <col min="118" max="118" width="9" style="6" bestFit="1" customWidth="1"/>
    <col min="119" max="269" width="8.88671875" style="6"/>
    <col min="270" max="270" width="11.77734375" style="6" bestFit="1" customWidth="1"/>
    <col min="271" max="293" width="8.88671875" style="6"/>
    <col min="294" max="294" width="12.21875" style="6" bestFit="1" customWidth="1"/>
    <col min="295" max="525" width="8.88671875" style="6"/>
    <col min="526" max="526" width="11.77734375" style="6" bestFit="1" customWidth="1"/>
    <col min="527" max="549" width="8.88671875" style="6"/>
    <col min="550" max="550" width="12.21875" style="6" bestFit="1" customWidth="1"/>
    <col min="551" max="781" width="8.88671875" style="6"/>
    <col min="782" max="782" width="11.77734375" style="6" bestFit="1" customWidth="1"/>
    <col min="783" max="805" width="8.88671875" style="6"/>
    <col min="806" max="806" width="12.21875" style="6" bestFit="1" customWidth="1"/>
    <col min="807" max="1037" width="8.88671875" style="6"/>
    <col min="1038" max="1038" width="11.77734375" style="6" bestFit="1" customWidth="1"/>
    <col min="1039" max="1061" width="8.88671875" style="6"/>
    <col min="1062" max="1062" width="12.21875" style="6" bestFit="1" customWidth="1"/>
    <col min="1063" max="1293" width="8.88671875" style="6"/>
    <col min="1294" max="1294" width="11.77734375" style="6" bestFit="1" customWidth="1"/>
    <col min="1295" max="1317" width="8.88671875" style="6"/>
    <col min="1318" max="1318" width="12.21875" style="6" bestFit="1" customWidth="1"/>
    <col min="1319" max="1549" width="8.88671875" style="6"/>
    <col min="1550" max="1550" width="11.77734375" style="6" bestFit="1" customWidth="1"/>
    <col min="1551" max="1573" width="8.88671875" style="6"/>
    <col min="1574" max="1574" width="12.21875" style="6" bestFit="1" customWidth="1"/>
    <col min="1575" max="1805" width="8.88671875" style="6"/>
    <col min="1806" max="1806" width="11.77734375" style="6" bestFit="1" customWidth="1"/>
    <col min="1807" max="1829" width="8.88671875" style="6"/>
    <col min="1830" max="1830" width="12.21875" style="6" bestFit="1" customWidth="1"/>
    <col min="1831" max="2061" width="8.88671875" style="6"/>
    <col min="2062" max="2062" width="11.77734375" style="6" bestFit="1" customWidth="1"/>
    <col min="2063" max="2085" width="8.88671875" style="6"/>
    <col min="2086" max="2086" width="12.21875" style="6" bestFit="1" customWidth="1"/>
    <col min="2087" max="2317" width="8.88671875" style="6"/>
    <col min="2318" max="2318" width="11.77734375" style="6" bestFit="1" customWidth="1"/>
    <col min="2319" max="2341" width="8.88671875" style="6"/>
    <col min="2342" max="2342" width="12.21875" style="6" bestFit="1" customWidth="1"/>
    <col min="2343" max="2573" width="8.88671875" style="6"/>
    <col min="2574" max="2574" width="11.77734375" style="6" bestFit="1" customWidth="1"/>
    <col min="2575" max="2597" width="8.88671875" style="6"/>
    <col min="2598" max="2598" width="12.21875" style="6" bestFit="1" customWidth="1"/>
    <col min="2599" max="2829" width="8.88671875" style="6"/>
    <col min="2830" max="2830" width="11.77734375" style="6" bestFit="1" customWidth="1"/>
    <col min="2831" max="2853" width="8.88671875" style="6"/>
    <col min="2854" max="2854" width="12.21875" style="6" bestFit="1" customWidth="1"/>
    <col min="2855" max="3085" width="8.88671875" style="6"/>
    <col min="3086" max="3086" width="11.77734375" style="6" bestFit="1" customWidth="1"/>
    <col min="3087" max="3109" width="8.88671875" style="6"/>
    <col min="3110" max="3110" width="12.21875" style="6" bestFit="1" customWidth="1"/>
    <col min="3111" max="3341" width="8.88671875" style="6"/>
    <col min="3342" max="3342" width="11.77734375" style="6" bestFit="1" customWidth="1"/>
    <col min="3343" max="3365" width="8.88671875" style="6"/>
    <col min="3366" max="3366" width="12.21875" style="6" bestFit="1" customWidth="1"/>
    <col min="3367" max="3597" width="8.88671875" style="6"/>
    <col min="3598" max="3598" width="11.77734375" style="6" bestFit="1" customWidth="1"/>
    <col min="3599" max="3621" width="8.88671875" style="6"/>
    <col min="3622" max="3622" width="12.21875" style="6" bestFit="1" customWidth="1"/>
    <col min="3623" max="3853" width="8.88671875" style="6"/>
    <col min="3854" max="3854" width="11.77734375" style="6" bestFit="1" customWidth="1"/>
    <col min="3855" max="3877" width="8.88671875" style="6"/>
    <col min="3878" max="3878" width="12.21875" style="6" bestFit="1" customWidth="1"/>
    <col min="3879" max="4109" width="8.88671875" style="6"/>
    <col min="4110" max="4110" width="11.77734375" style="6" bestFit="1" customWidth="1"/>
    <col min="4111" max="4133" width="8.88671875" style="6"/>
    <col min="4134" max="4134" width="12.21875" style="6" bestFit="1" customWidth="1"/>
    <col min="4135" max="4365" width="8.88671875" style="6"/>
    <col min="4366" max="4366" width="11.77734375" style="6" bestFit="1" customWidth="1"/>
    <col min="4367" max="4389" width="8.88671875" style="6"/>
    <col min="4390" max="4390" width="12.21875" style="6" bestFit="1" customWidth="1"/>
    <col min="4391" max="4621" width="8.88671875" style="6"/>
    <col min="4622" max="4622" width="11.77734375" style="6" bestFit="1" customWidth="1"/>
    <col min="4623" max="4645" width="8.88671875" style="6"/>
    <col min="4646" max="4646" width="12.21875" style="6" bestFit="1" customWidth="1"/>
    <col min="4647" max="4877" width="8.88671875" style="6"/>
    <col min="4878" max="4878" width="11.77734375" style="6" bestFit="1" customWidth="1"/>
    <col min="4879" max="4901" width="8.88671875" style="6"/>
    <col min="4902" max="4902" width="12.21875" style="6" bestFit="1" customWidth="1"/>
    <col min="4903" max="5133" width="8.88671875" style="6"/>
    <col min="5134" max="5134" width="11.77734375" style="6" bestFit="1" customWidth="1"/>
    <col min="5135" max="5157" width="8.88671875" style="6"/>
    <col min="5158" max="5158" width="12.21875" style="6" bestFit="1" customWidth="1"/>
    <col min="5159" max="5389" width="8.88671875" style="6"/>
    <col min="5390" max="5390" width="11.77734375" style="6" bestFit="1" customWidth="1"/>
    <col min="5391" max="5413" width="8.88671875" style="6"/>
    <col min="5414" max="5414" width="12.21875" style="6" bestFit="1" customWidth="1"/>
    <col min="5415" max="5645" width="8.88671875" style="6"/>
    <col min="5646" max="5646" width="11.77734375" style="6" bestFit="1" customWidth="1"/>
    <col min="5647" max="5669" width="8.88671875" style="6"/>
    <col min="5670" max="5670" width="12.21875" style="6" bestFit="1" customWidth="1"/>
    <col min="5671" max="5901" width="8.88671875" style="6"/>
    <col min="5902" max="5902" width="11.77734375" style="6" bestFit="1" customWidth="1"/>
    <col min="5903" max="5925" width="8.88671875" style="6"/>
    <col min="5926" max="5926" width="12.21875" style="6" bestFit="1" customWidth="1"/>
    <col min="5927" max="6157" width="8.88671875" style="6"/>
    <col min="6158" max="6158" width="11.77734375" style="6" bestFit="1" customWidth="1"/>
    <col min="6159" max="6181" width="8.88671875" style="6"/>
    <col min="6182" max="6182" width="12.21875" style="6" bestFit="1" customWidth="1"/>
    <col min="6183" max="6413" width="8.88671875" style="6"/>
    <col min="6414" max="6414" width="11.77734375" style="6" bestFit="1" customWidth="1"/>
    <col min="6415" max="6437" width="8.88671875" style="6"/>
    <col min="6438" max="6438" width="12.21875" style="6" bestFit="1" customWidth="1"/>
    <col min="6439" max="6669" width="8.88671875" style="6"/>
    <col min="6670" max="6670" width="11.77734375" style="6" bestFit="1" customWidth="1"/>
    <col min="6671" max="6693" width="8.88671875" style="6"/>
    <col min="6694" max="6694" width="12.21875" style="6" bestFit="1" customWidth="1"/>
    <col min="6695" max="6925" width="8.88671875" style="6"/>
    <col min="6926" max="6926" width="11.77734375" style="6" bestFit="1" customWidth="1"/>
    <col min="6927" max="6949" width="8.88671875" style="6"/>
    <col min="6950" max="6950" width="12.21875" style="6" bestFit="1" customWidth="1"/>
    <col min="6951" max="7181" width="8.88671875" style="6"/>
    <col min="7182" max="7182" width="11.77734375" style="6" bestFit="1" customWidth="1"/>
    <col min="7183" max="7205" width="8.88671875" style="6"/>
    <col min="7206" max="7206" width="12.21875" style="6" bestFit="1" customWidth="1"/>
    <col min="7207" max="7437" width="8.88671875" style="6"/>
    <col min="7438" max="7438" width="11.77734375" style="6" bestFit="1" customWidth="1"/>
    <col min="7439" max="7461" width="8.88671875" style="6"/>
    <col min="7462" max="7462" width="12.21875" style="6" bestFit="1" customWidth="1"/>
    <col min="7463" max="7693" width="8.88671875" style="6"/>
    <col min="7694" max="7694" width="11.77734375" style="6" bestFit="1" customWidth="1"/>
    <col min="7695" max="7717" width="8.88671875" style="6"/>
    <col min="7718" max="7718" width="12.21875" style="6" bestFit="1" customWidth="1"/>
    <col min="7719" max="7949" width="8.88671875" style="6"/>
    <col min="7950" max="7950" width="11.77734375" style="6" bestFit="1" customWidth="1"/>
    <col min="7951" max="7973" width="8.88671875" style="6"/>
    <col min="7974" max="7974" width="12.21875" style="6" bestFit="1" customWidth="1"/>
    <col min="7975" max="8205" width="8.88671875" style="6"/>
    <col min="8206" max="8206" width="11.77734375" style="6" bestFit="1" customWidth="1"/>
    <col min="8207" max="8229" width="8.88671875" style="6"/>
    <col min="8230" max="8230" width="12.21875" style="6" bestFit="1" customWidth="1"/>
    <col min="8231" max="8461" width="8.88671875" style="6"/>
    <col min="8462" max="8462" width="11.77734375" style="6" bestFit="1" customWidth="1"/>
    <col min="8463" max="8485" width="8.88671875" style="6"/>
    <col min="8486" max="8486" width="12.21875" style="6" bestFit="1" customWidth="1"/>
    <col min="8487" max="8717" width="8.88671875" style="6"/>
    <col min="8718" max="8718" width="11.77734375" style="6" bestFit="1" customWidth="1"/>
    <col min="8719" max="8741" width="8.88671875" style="6"/>
    <col min="8742" max="8742" width="12.21875" style="6" bestFit="1" customWidth="1"/>
    <col min="8743" max="8973" width="8.88671875" style="6"/>
    <col min="8974" max="8974" width="11.77734375" style="6" bestFit="1" customWidth="1"/>
    <col min="8975" max="8997" width="8.88671875" style="6"/>
    <col min="8998" max="8998" width="12.21875" style="6" bestFit="1" customWidth="1"/>
    <col min="8999" max="9229" width="8.88671875" style="6"/>
    <col min="9230" max="9230" width="11.77734375" style="6" bestFit="1" customWidth="1"/>
    <col min="9231" max="9253" width="8.88671875" style="6"/>
    <col min="9254" max="9254" width="12.21875" style="6" bestFit="1" customWidth="1"/>
    <col min="9255" max="9485" width="8.88671875" style="6"/>
    <col min="9486" max="9486" width="11.77734375" style="6" bestFit="1" customWidth="1"/>
    <col min="9487" max="9509" width="8.88671875" style="6"/>
    <col min="9510" max="9510" width="12.21875" style="6" bestFit="1" customWidth="1"/>
    <col min="9511" max="9741" width="8.88671875" style="6"/>
    <col min="9742" max="9742" width="11.77734375" style="6" bestFit="1" customWidth="1"/>
    <col min="9743" max="9765" width="8.88671875" style="6"/>
    <col min="9766" max="9766" width="12.21875" style="6" bestFit="1" customWidth="1"/>
    <col min="9767" max="9997" width="8.88671875" style="6"/>
    <col min="9998" max="9998" width="11.77734375" style="6" bestFit="1" customWidth="1"/>
    <col min="9999" max="10021" width="8.88671875" style="6"/>
    <col min="10022" max="10022" width="12.21875" style="6" bestFit="1" customWidth="1"/>
    <col min="10023" max="10253" width="8.88671875" style="6"/>
    <col min="10254" max="10254" width="11.77734375" style="6" bestFit="1" customWidth="1"/>
    <col min="10255" max="10277" width="8.88671875" style="6"/>
    <col min="10278" max="10278" width="12.21875" style="6" bestFit="1" customWidth="1"/>
    <col min="10279" max="10509" width="8.88671875" style="6"/>
    <col min="10510" max="10510" width="11.77734375" style="6" bestFit="1" customWidth="1"/>
    <col min="10511" max="10533" width="8.88671875" style="6"/>
    <col min="10534" max="10534" width="12.21875" style="6" bestFit="1" customWidth="1"/>
    <col min="10535" max="10765" width="8.88671875" style="6"/>
    <col min="10766" max="10766" width="11.77734375" style="6" bestFit="1" customWidth="1"/>
    <col min="10767" max="10789" width="8.88671875" style="6"/>
    <col min="10790" max="10790" width="12.21875" style="6" bestFit="1" customWidth="1"/>
    <col min="10791" max="11021" width="8.88671875" style="6"/>
    <col min="11022" max="11022" width="11.77734375" style="6" bestFit="1" customWidth="1"/>
    <col min="11023" max="11045" width="8.88671875" style="6"/>
    <col min="11046" max="11046" width="12.21875" style="6" bestFit="1" customWidth="1"/>
    <col min="11047" max="11277" width="8.88671875" style="6"/>
    <col min="11278" max="11278" width="11.77734375" style="6" bestFit="1" customWidth="1"/>
    <col min="11279" max="11301" width="8.88671875" style="6"/>
    <col min="11302" max="11302" width="12.21875" style="6" bestFit="1" customWidth="1"/>
    <col min="11303" max="11533" width="8.88671875" style="6"/>
    <col min="11534" max="11534" width="11.77734375" style="6" bestFit="1" customWidth="1"/>
    <col min="11535" max="11557" width="8.88671875" style="6"/>
    <col min="11558" max="11558" width="12.21875" style="6" bestFit="1" customWidth="1"/>
    <col min="11559" max="11789" width="8.88671875" style="6"/>
    <col min="11790" max="11790" width="11.77734375" style="6" bestFit="1" customWidth="1"/>
    <col min="11791" max="11813" width="8.88671875" style="6"/>
    <col min="11814" max="11814" width="12.21875" style="6" bestFit="1" customWidth="1"/>
    <col min="11815" max="12045" width="8.88671875" style="6"/>
    <col min="12046" max="12046" width="11.77734375" style="6" bestFit="1" customWidth="1"/>
    <col min="12047" max="12069" width="8.88671875" style="6"/>
    <col min="12070" max="12070" width="12.21875" style="6" bestFit="1" customWidth="1"/>
    <col min="12071" max="12301" width="8.88671875" style="6"/>
    <col min="12302" max="12302" width="11.77734375" style="6" bestFit="1" customWidth="1"/>
    <col min="12303" max="12325" width="8.88671875" style="6"/>
    <col min="12326" max="12326" width="12.21875" style="6" bestFit="1" customWidth="1"/>
    <col min="12327" max="12557" width="8.88671875" style="6"/>
    <col min="12558" max="12558" width="11.77734375" style="6" bestFit="1" customWidth="1"/>
    <col min="12559" max="12581" width="8.88671875" style="6"/>
    <col min="12582" max="12582" width="12.21875" style="6" bestFit="1" customWidth="1"/>
    <col min="12583" max="12813" width="8.88671875" style="6"/>
    <col min="12814" max="12814" width="11.77734375" style="6" bestFit="1" customWidth="1"/>
    <col min="12815" max="12837" width="8.88671875" style="6"/>
    <col min="12838" max="12838" width="12.21875" style="6" bestFit="1" customWidth="1"/>
    <col min="12839" max="13069" width="8.88671875" style="6"/>
    <col min="13070" max="13070" width="11.77734375" style="6" bestFit="1" customWidth="1"/>
    <col min="13071" max="13093" width="8.88671875" style="6"/>
    <col min="13094" max="13094" width="12.21875" style="6" bestFit="1" customWidth="1"/>
    <col min="13095" max="13325" width="8.88671875" style="6"/>
    <col min="13326" max="13326" width="11.77734375" style="6" bestFit="1" customWidth="1"/>
    <col min="13327" max="13349" width="8.88671875" style="6"/>
    <col min="13350" max="13350" width="12.21875" style="6" bestFit="1" customWidth="1"/>
    <col min="13351" max="13581" width="8.88671875" style="6"/>
    <col min="13582" max="13582" width="11.77734375" style="6" bestFit="1" customWidth="1"/>
    <col min="13583" max="13605" width="8.88671875" style="6"/>
    <col min="13606" max="13606" width="12.21875" style="6" bestFit="1" customWidth="1"/>
    <col min="13607" max="13837" width="8.88671875" style="6"/>
    <col min="13838" max="13838" width="11.77734375" style="6" bestFit="1" customWidth="1"/>
    <col min="13839" max="13861" width="8.88671875" style="6"/>
    <col min="13862" max="13862" width="12.21875" style="6" bestFit="1" customWidth="1"/>
    <col min="13863" max="14093" width="8.88671875" style="6"/>
    <col min="14094" max="14094" width="11.77734375" style="6" bestFit="1" customWidth="1"/>
    <col min="14095" max="14117" width="8.88671875" style="6"/>
    <col min="14118" max="14118" width="12.21875" style="6" bestFit="1" customWidth="1"/>
    <col min="14119" max="14349" width="8.88671875" style="6"/>
    <col min="14350" max="14350" width="11.77734375" style="6" bestFit="1" customWidth="1"/>
    <col min="14351" max="14373" width="8.88671875" style="6"/>
    <col min="14374" max="14374" width="12.21875" style="6" bestFit="1" customWidth="1"/>
    <col min="14375" max="14605" width="8.88671875" style="6"/>
    <col min="14606" max="14606" width="11.77734375" style="6" bestFit="1" customWidth="1"/>
    <col min="14607" max="14629" width="8.88671875" style="6"/>
    <col min="14630" max="14630" width="12.21875" style="6" bestFit="1" customWidth="1"/>
    <col min="14631" max="14861" width="8.88671875" style="6"/>
    <col min="14862" max="14862" width="11.77734375" style="6" bestFit="1" customWidth="1"/>
    <col min="14863" max="14885" width="8.88671875" style="6"/>
    <col min="14886" max="14886" width="12.21875" style="6" bestFit="1" customWidth="1"/>
    <col min="14887" max="15117" width="8.88671875" style="6"/>
    <col min="15118" max="15118" width="11.77734375" style="6" bestFit="1" customWidth="1"/>
    <col min="15119" max="15141" width="8.88671875" style="6"/>
    <col min="15142" max="15142" width="12.21875" style="6" bestFit="1" customWidth="1"/>
    <col min="15143" max="15373" width="8.88671875" style="6"/>
    <col min="15374" max="15374" width="11.77734375" style="6" bestFit="1" customWidth="1"/>
    <col min="15375" max="15397" width="8.88671875" style="6"/>
    <col min="15398" max="15398" width="12.21875" style="6" bestFit="1" customWidth="1"/>
    <col min="15399" max="15629" width="8.88671875" style="6"/>
    <col min="15630" max="15630" width="11.77734375" style="6" bestFit="1" customWidth="1"/>
    <col min="15631" max="15653" width="8.88671875" style="6"/>
    <col min="15654" max="15654" width="12.21875" style="6" bestFit="1" customWidth="1"/>
    <col min="15655" max="15885" width="8.88671875" style="6"/>
    <col min="15886" max="15886" width="11.77734375" style="6" bestFit="1" customWidth="1"/>
    <col min="15887" max="15909" width="8.88671875" style="6"/>
    <col min="15910" max="15910" width="12.21875" style="6" bestFit="1" customWidth="1"/>
    <col min="15911" max="16141" width="8.88671875" style="6"/>
    <col min="16142" max="16142" width="11.77734375" style="6" bestFit="1" customWidth="1"/>
    <col min="16143" max="16165" width="8.88671875" style="6"/>
    <col min="16166" max="16166" width="12.21875" style="6" bestFit="1" customWidth="1"/>
    <col min="16167" max="16384" width="8.88671875" style="6"/>
  </cols>
  <sheetData>
    <row r="1" spans="1:117" x14ac:dyDescent="0.3">
      <c r="H1" s="6">
        <f>1/MAX(H4:H30)</f>
        <v>2875.7116390201645</v>
      </c>
      <c r="K1" s="6">
        <f>1/MAX(K4:K30)</f>
        <v>2531.4284991438703</v>
      </c>
      <c r="N1" s="6">
        <f>1/MAX(N4:N30)</f>
        <v>3220.9444903590729</v>
      </c>
      <c r="Q1" s="6">
        <f>1/MAX(Q4:Q30)</f>
        <v>2708.344101448436</v>
      </c>
      <c r="T1" s="6">
        <f>1/MAX(T4:T30)</f>
        <v>2866.0438718802425</v>
      </c>
      <c r="W1" s="6">
        <f>1/MAX(W4:W30)</f>
        <v>3257.5198570364805</v>
      </c>
      <c r="Z1" s="6">
        <f>1/MAX(Z4:Z30)</f>
        <v>2856.2704410456663</v>
      </c>
      <c r="AC1" s="6">
        <f>1/MAX(AC4:AC30)</f>
        <v>3265.2404804372559</v>
      </c>
      <c r="AF1" s="6">
        <f>1/MAX(AF4:AF30)</f>
        <v>2215.4710561251959</v>
      </c>
      <c r="AI1" s="6">
        <f>1/MAX(AI4:AI30)</f>
        <v>2027.0028528233522</v>
      </c>
      <c r="AL1" s="6">
        <f t="shared" ref="AL1" si="0">1/MAX(AL4:AL30)</f>
        <v>2221.3465894019873</v>
      </c>
      <c r="AO1" s="6">
        <f>1/MAX(AO4:AO30)</f>
        <v>2024.1762242943339</v>
      </c>
      <c r="AR1" s="6">
        <f t="shared" ref="AR1" si="1">1/MAX(AR4:AR30)</f>
        <v>3198.7503445882717</v>
      </c>
      <c r="AU1" s="6">
        <f t="shared" ref="AU1" si="2">1/MAX(AU4:AU30)</f>
        <v>3694.75237880845</v>
      </c>
      <c r="AX1" s="6">
        <f>1/MAX(AX4:AX30)</f>
        <v>3186.5809161581387</v>
      </c>
      <c r="BA1" s="6">
        <f t="shared" ref="BA1" si="3">1/MAX(BA4:BA30)</f>
        <v>3704.180900056157</v>
      </c>
      <c r="BD1" s="6">
        <f>1/MAX(BD4:BD30)</f>
        <v>2409.1721770916874</v>
      </c>
      <c r="BG1" s="6">
        <f>1/MAX(BG4:BG30)</f>
        <v>2187.9526162219345</v>
      </c>
      <c r="BJ1" s="6">
        <f>1/MAX(BJ4:BJ30)</f>
        <v>2416.121644447323</v>
      </c>
      <c r="BM1" s="6">
        <f>1/MAX(BM4:BM30)</f>
        <v>2184.6596463462438</v>
      </c>
      <c r="BP1" s="6">
        <f>1/MAX(BP4:BP30)</f>
        <v>2341.30137428749</v>
      </c>
      <c r="BS1" s="6">
        <f>1/MAX(BS4:BS30)</f>
        <v>2412.4148799028662</v>
      </c>
      <c r="BV1" s="6">
        <f>1/MAX(BV4:BV30)</f>
        <v>2339.3400445523089</v>
      </c>
      <c r="BY1" s="6">
        <f>1/MAX(BY4:BY30)</f>
        <v>2413.617782744855</v>
      </c>
      <c r="CB1" s="6">
        <f t="shared" ref="CB1" si="4">1/MAX(CB4:CB30)</f>
        <v>2184.1198853405481</v>
      </c>
      <c r="CE1" s="6">
        <f>1/MAX(CE4:CE30)</f>
        <v>2125.6664828776161</v>
      </c>
      <c r="CH1" s="6">
        <f t="shared" ref="CH1" si="5">1/MAX(CH4:CH30)</f>
        <v>2185.8300538201402</v>
      </c>
      <c r="CK1" s="6">
        <f t="shared" ref="CK1" si="6">1/MAX(CK4:CK30)</f>
        <v>2124.7334227530382</v>
      </c>
      <c r="CN1" s="6">
        <f>1/MAX(CN4:CN30)</f>
        <v>3266.4469935149618</v>
      </c>
      <c r="CQ1" s="6">
        <f t="shared" ref="CQ1" si="7">1/MAX(CQ4:CQ30)</f>
        <v>3406.5437900327897</v>
      </c>
      <c r="CT1" s="6">
        <f>1/MAX(CT4:CT30)</f>
        <v>3262.6294025645998</v>
      </c>
      <c r="CW1" s="6">
        <f t="shared" ref="CW1" si="8">1/MAX(CW4:CW30)</f>
        <v>3408.94426474699</v>
      </c>
      <c r="CZ1" s="6">
        <f t="shared" ref="CZ1" si="9">1/MAX(CZ4:CZ30)</f>
        <v>2968.4119128592997</v>
      </c>
      <c r="DC1" s="6">
        <f>1/MAX(DC4:DC30)</f>
        <v>2861.4681558758239</v>
      </c>
      <c r="DF1" s="6">
        <f t="shared" ref="DF1" si="10">1/MAX(DF4:DF30)</f>
        <v>2971.570625802392</v>
      </c>
      <c r="DI1" s="6">
        <f>1/MAX(DI4:DI30)</f>
        <v>2859.7774948397382</v>
      </c>
    </row>
    <row r="2" spans="1:117" x14ac:dyDescent="0.3">
      <c r="F2" s="8" t="s">
        <v>11</v>
      </c>
      <c r="G2" s="9"/>
      <c r="H2" s="7"/>
      <c r="I2" s="8" t="s">
        <v>12</v>
      </c>
      <c r="J2" s="9"/>
      <c r="K2" s="7"/>
      <c r="L2" s="8" t="s">
        <v>13</v>
      </c>
      <c r="M2" s="9"/>
      <c r="N2" s="7"/>
      <c r="O2" s="8" t="s">
        <v>14</v>
      </c>
      <c r="P2" s="9"/>
      <c r="Q2" s="7"/>
      <c r="R2" s="8" t="s">
        <v>15</v>
      </c>
      <c r="S2" s="9"/>
      <c r="T2" s="7"/>
      <c r="U2" s="8" t="s">
        <v>16</v>
      </c>
      <c r="V2" s="9"/>
      <c r="W2" s="7"/>
      <c r="X2" s="8" t="s">
        <v>17</v>
      </c>
      <c r="Y2" s="9"/>
      <c r="Z2" s="7"/>
      <c r="AA2" s="8" t="s">
        <v>18</v>
      </c>
      <c r="AB2" s="9"/>
      <c r="AC2" s="7"/>
      <c r="AD2" s="8" t="s">
        <v>19</v>
      </c>
      <c r="AE2" s="9"/>
      <c r="AF2" s="7"/>
      <c r="AG2" s="8" t="s">
        <v>20</v>
      </c>
      <c r="AH2" s="9"/>
      <c r="AI2" s="7"/>
      <c r="AJ2" s="8" t="s">
        <v>21</v>
      </c>
      <c r="AK2" s="9"/>
      <c r="AL2" s="7"/>
      <c r="AM2" s="8" t="s">
        <v>22</v>
      </c>
      <c r="AN2" s="9"/>
      <c r="AO2" s="7"/>
      <c r="AP2" s="8" t="s">
        <v>23</v>
      </c>
      <c r="AQ2" s="9"/>
      <c r="AR2" s="7"/>
      <c r="AS2" s="8" t="s">
        <v>24</v>
      </c>
      <c r="AT2" s="9"/>
      <c r="AU2" s="7"/>
      <c r="AV2" s="8" t="s">
        <v>25</v>
      </c>
      <c r="AW2" s="9"/>
      <c r="AX2" s="7"/>
      <c r="AY2" s="8" t="s">
        <v>26</v>
      </c>
      <c r="AZ2" s="9"/>
      <c r="BA2" s="7"/>
      <c r="BB2" s="8" t="s">
        <v>27</v>
      </c>
      <c r="BC2" s="9"/>
      <c r="BD2" s="7"/>
      <c r="BE2" s="8" t="s">
        <v>28</v>
      </c>
      <c r="BF2" s="9"/>
      <c r="BG2" s="7"/>
      <c r="BH2" s="8" t="s">
        <v>29</v>
      </c>
      <c r="BI2" s="9"/>
      <c r="BJ2" s="7"/>
      <c r="BK2" s="8" t="s">
        <v>30</v>
      </c>
      <c r="BL2" s="9"/>
      <c r="BM2" s="7"/>
      <c r="BN2" s="8" t="s">
        <v>31</v>
      </c>
      <c r="BO2" s="9"/>
      <c r="BP2" s="7"/>
      <c r="BQ2" s="8" t="s">
        <v>32</v>
      </c>
      <c r="BR2" s="9"/>
      <c r="BS2" s="7"/>
      <c r="BT2" s="8" t="s">
        <v>33</v>
      </c>
      <c r="BU2" s="9"/>
      <c r="BV2" s="7"/>
      <c r="BW2" s="8" t="s">
        <v>34</v>
      </c>
      <c r="BX2" s="9"/>
      <c r="BY2" s="7"/>
      <c r="BZ2" s="8" t="s">
        <v>35</v>
      </c>
      <c r="CA2" s="9"/>
      <c r="CB2" s="7"/>
      <c r="CC2" s="8" t="s">
        <v>36</v>
      </c>
      <c r="CD2" s="9"/>
      <c r="CE2" s="7"/>
      <c r="CF2" s="8" t="s">
        <v>37</v>
      </c>
      <c r="CG2" s="9"/>
      <c r="CH2" s="7"/>
      <c r="CI2" s="8" t="s">
        <v>38</v>
      </c>
      <c r="CJ2" s="9"/>
      <c r="CK2" s="7"/>
      <c r="CL2" s="8" t="s">
        <v>39</v>
      </c>
      <c r="CM2" s="9"/>
      <c r="CN2" s="7"/>
      <c r="CO2" s="8" t="s">
        <v>40</v>
      </c>
      <c r="CP2" s="9"/>
      <c r="CQ2" s="7"/>
      <c r="CR2" s="8" t="s">
        <v>41</v>
      </c>
      <c r="CS2" s="9"/>
      <c r="CT2" s="7"/>
      <c r="CU2" s="8" t="s">
        <v>42</v>
      </c>
      <c r="CV2" s="9"/>
      <c r="CW2" s="7"/>
      <c r="CX2" s="8" t="s">
        <v>43</v>
      </c>
      <c r="CY2" s="9"/>
      <c r="CZ2" s="7"/>
      <c r="DA2" s="8" t="s">
        <v>44</v>
      </c>
      <c r="DB2" s="9"/>
      <c r="DC2" s="7"/>
      <c r="DD2" s="8" t="s">
        <v>45</v>
      </c>
      <c r="DE2" s="9"/>
      <c r="DF2" s="7"/>
      <c r="DG2" s="8" t="s">
        <v>46</v>
      </c>
      <c r="DH2" s="9"/>
      <c r="DI2" s="7"/>
    </row>
    <row r="3" spans="1:117" ht="16.2" thickBot="1" x14ac:dyDescent="0.35">
      <c r="A3" s="10" t="s">
        <v>341</v>
      </c>
      <c r="B3" s="10" t="s">
        <v>342</v>
      </c>
      <c r="C3" s="10" t="s">
        <v>343</v>
      </c>
      <c r="D3" s="10" t="s">
        <v>344</v>
      </c>
      <c r="E3" s="10" t="s">
        <v>345</v>
      </c>
      <c r="F3" s="11" t="s">
        <v>342</v>
      </c>
      <c r="G3" s="11" t="s">
        <v>343</v>
      </c>
      <c r="H3" s="12" t="s">
        <v>475</v>
      </c>
      <c r="I3" s="11" t="s">
        <v>342</v>
      </c>
      <c r="J3" s="11" t="s">
        <v>343</v>
      </c>
      <c r="K3" s="12" t="s">
        <v>475</v>
      </c>
      <c r="L3" s="11" t="s">
        <v>342</v>
      </c>
      <c r="M3" s="11" t="s">
        <v>343</v>
      </c>
      <c r="N3" s="12" t="s">
        <v>475</v>
      </c>
      <c r="O3" s="11" t="s">
        <v>342</v>
      </c>
      <c r="P3" s="11" t="s">
        <v>343</v>
      </c>
      <c r="Q3" s="12" t="s">
        <v>475</v>
      </c>
      <c r="R3" s="11" t="s">
        <v>342</v>
      </c>
      <c r="S3" s="11" t="s">
        <v>343</v>
      </c>
      <c r="T3" s="12" t="s">
        <v>475</v>
      </c>
      <c r="U3" s="11" t="s">
        <v>342</v>
      </c>
      <c r="V3" s="11" t="s">
        <v>343</v>
      </c>
      <c r="W3" s="12" t="s">
        <v>475</v>
      </c>
      <c r="X3" s="11" t="s">
        <v>342</v>
      </c>
      <c r="Y3" s="11" t="s">
        <v>343</v>
      </c>
      <c r="Z3" s="12" t="s">
        <v>475</v>
      </c>
      <c r="AA3" s="11" t="s">
        <v>342</v>
      </c>
      <c r="AB3" s="11" t="s">
        <v>343</v>
      </c>
      <c r="AC3" s="12" t="s">
        <v>475</v>
      </c>
      <c r="AD3" s="11" t="s">
        <v>342</v>
      </c>
      <c r="AE3" s="11" t="s">
        <v>343</v>
      </c>
      <c r="AF3" s="12" t="s">
        <v>475</v>
      </c>
      <c r="AG3" s="11" t="s">
        <v>342</v>
      </c>
      <c r="AH3" s="11" t="s">
        <v>343</v>
      </c>
      <c r="AI3" s="12" t="s">
        <v>475</v>
      </c>
      <c r="AJ3" s="11" t="s">
        <v>342</v>
      </c>
      <c r="AK3" s="11" t="s">
        <v>343</v>
      </c>
      <c r="AL3" s="12" t="s">
        <v>475</v>
      </c>
      <c r="AM3" s="11" t="s">
        <v>342</v>
      </c>
      <c r="AN3" s="11" t="s">
        <v>343</v>
      </c>
      <c r="AO3" s="12" t="s">
        <v>475</v>
      </c>
      <c r="AP3" s="11" t="s">
        <v>342</v>
      </c>
      <c r="AQ3" s="11" t="s">
        <v>343</v>
      </c>
      <c r="AR3" s="12" t="s">
        <v>475</v>
      </c>
      <c r="AS3" s="11" t="s">
        <v>342</v>
      </c>
      <c r="AT3" s="11" t="s">
        <v>343</v>
      </c>
      <c r="AU3" s="12" t="s">
        <v>475</v>
      </c>
      <c r="AV3" s="11" t="s">
        <v>342</v>
      </c>
      <c r="AW3" s="11" t="s">
        <v>343</v>
      </c>
      <c r="AX3" s="12" t="s">
        <v>475</v>
      </c>
      <c r="AY3" s="11" t="s">
        <v>342</v>
      </c>
      <c r="AZ3" s="11" t="s">
        <v>343</v>
      </c>
      <c r="BA3" s="12" t="s">
        <v>475</v>
      </c>
      <c r="BB3" s="11" t="s">
        <v>342</v>
      </c>
      <c r="BC3" s="11" t="s">
        <v>343</v>
      </c>
      <c r="BD3" s="12" t="s">
        <v>475</v>
      </c>
      <c r="BE3" s="11" t="s">
        <v>342</v>
      </c>
      <c r="BF3" s="11" t="s">
        <v>343</v>
      </c>
      <c r="BG3" s="12" t="s">
        <v>475</v>
      </c>
      <c r="BH3" s="11" t="s">
        <v>342</v>
      </c>
      <c r="BI3" s="11" t="s">
        <v>343</v>
      </c>
      <c r="BJ3" s="12" t="s">
        <v>475</v>
      </c>
      <c r="BK3" s="11" t="s">
        <v>342</v>
      </c>
      <c r="BL3" s="11" t="s">
        <v>343</v>
      </c>
      <c r="BM3" s="12" t="s">
        <v>475</v>
      </c>
      <c r="BN3" s="11" t="s">
        <v>342</v>
      </c>
      <c r="BO3" s="11" t="s">
        <v>343</v>
      </c>
      <c r="BP3" s="12" t="s">
        <v>475</v>
      </c>
      <c r="BQ3" s="11" t="s">
        <v>342</v>
      </c>
      <c r="BR3" s="11" t="s">
        <v>343</v>
      </c>
      <c r="BS3" s="12" t="s">
        <v>475</v>
      </c>
      <c r="BT3" s="11" t="s">
        <v>342</v>
      </c>
      <c r="BU3" s="11" t="s">
        <v>343</v>
      </c>
      <c r="BV3" s="12" t="s">
        <v>475</v>
      </c>
      <c r="BW3" s="11" t="s">
        <v>342</v>
      </c>
      <c r="BX3" s="11" t="s">
        <v>343</v>
      </c>
      <c r="BY3" s="12" t="s">
        <v>475</v>
      </c>
      <c r="BZ3" s="11" t="s">
        <v>342</v>
      </c>
      <c r="CA3" s="11" t="s">
        <v>343</v>
      </c>
      <c r="CB3" s="12" t="s">
        <v>475</v>
      </c>
      <c r="CC3" s="11" t="s">
        <v>342</v>
      </c>
      <c r="CD3" s="11" t="s">
        <v>343</v>
      </c>
      <c r="CE3" s="12" t="s">
        <v>475</v>
      </c>
      <c r="CF3" s="11" t="s">
        <v>342</v>
      </c>
      <c r="CG3" s="11" t="s">
        <v>343</v>
      </c>
      <c r="CH3" s="12" t="s">
        <v>475</v>
      </c>
      <c r="CI3" s="11" t="s">
        <v>342</v>
      </c>
      <c r="CJ3" s="11" t="s">
        <v>343</v>
      </c>
      <c r="CK3" s="12" t="s">
        <v>475</v>
      </c>
      <c r="CL3" s="11" t="s">
        <v>342</v>
      </c>
      <c r="CM3" s="11" t="s">
        <v>343</v>
      </c>
      <c r="CN3" s="12" t="s">
        <v>475</v>
      </c>
      <c r="CO3" s="11" t="s">
        <v>342</v>
      </c>
      <c r="CP3" s="11" t="s">
        <v>343</v>
      </c>
      <c r="CQ3" s="12" t="s">
        <v>475</v>
      </c>
      <c r="CR3" s="11" t="s">
        <v>342</v>
      </c>
      <c r="CS3" s="11" t="s">
        <v>343</v>
      </c>
      <c r="CT3" s="12" t="s">
        <v>475</v>
      </c>
      <c r="CU3" s="11" t="s">
        <v>342</v>
      </c>
      <c r="CV3" s="11" t="s">
        <v>343</v>
      </c>
      <c r="CW3" s="12" t="s">
        <v>475</v>
      </c>
      <c r="CX3" s="11" t="s">
        <v>342</v>
      </c>
      <c r="CY3" s="11" t="s">
        <v>343</v>
      </c>
      <c r="CZ3" s="12" t="s">
        <v>475</v>
      </c>
      <c r="DA3" s="11" t="s">
        <v>342</v>
      </c>
      <c r="DB3" s="11" t="s">
        <v>343</v>
      </c>
      <c r="DC3" s="12" t="s">
        <v>475</v>
      </c>
      <c r="DD3" s="11" t="s">
        <v>342</v>
      </c>
      <c r="DE3" s="11" t="s">
        <v>343</v>
      </c>
      <c r="DF3" s="12" t="s">
        <v>475</v>
      </c>
      <c r="DG3" s="11" t="s">
        <v>342</v>
      </c>
      <c r="DH3" s="11" t="s">
        <v>343</v>
      </c>
      <c r="DI3" s="12" t="s">
        <v>475</v>
      </c>
    </row>
    <row r="4" spans="1:117" ht="16.5" customHeight="1" thickBot="1" x14ac:dyDescent="0.35">
      <c r="A4" s="13" t="s">
        <v>346</v>
      </c>
      <c r="B4" s="13" t="s">
        <v>169</v>
      </c>
      <c r="C4" s="13" t="s">
        <v>210</v>
      </c>
      <c r="D4" s="13" t="s">
        <v>347</v>
      </c>
      <c r="E4" s="13">
        <v>8.3000000000000007</v>
      </c>
      <c r="F4" s="6">
        <v>-2.3329280000000002E-3</v>
      </c>
      <c r="G4" s="6">
        <v>-2.1393829999999999E-3</v>
      </c>
      <c r="H4" s="6">
        <v>2.3318674698795212E-5</v>
      </c>
      <c r="I4" s="6">
        <v>-3.3219790000000001E-3</v>
      </c>
      <c r="J4" s="6">
        <v>-3.0857480000000001E-3</v>
      </c>
      <c r="K4" s="6">
        <v>2.846156626506023E-5</v>
      </c>
      <c r="L4" s="6">
        <v>-2.932961E-3</v>
      </c>
      <c r="M4" s="6">
        <v>-2.7392660000000002E-3</v>
      </c>
      <c r="N4" s="6">
        <v>2.3336746987951781E-5</v>
      </c>
      <c r="O4" s="6">
        <v>-3.8934149999999999E-3</v>
      </c>
      <c r="P4" s="6">
        <v>-3.6570359999999998E-3</v>
      </c>
      <c r="Q4" s="6">
        <v>2.8479397590361455E-5</v>
      </c>
      <c r="R4" s="6">
        <v>-3.7849860000000002E-3</v>
      </c>
      <c r="S4" s="6">
        <v>-3.5471080000000002E-3</v>
      </c>
      <c r="T4" s="6">
        <v>2.8659999999999993E-5</v>
      </c>
      <c r="U4" s="6">
        <v>-3.8060559999999999E-3</v>
      </c>
      <c r="V4" s="6">
        <v>-3.573082E-3</v>
      </c>
      <c r="W4" s="6">
        <v>2.8069156626506014E-5</v>
      </c>
      <c r="X4" s="6">
        <v>-3.779817E-3</v>
      </c>
      <c r="Y4" s="6">
        <v>-3.5401510000000001E-3</v>
      </c>
      <c r="Z4" s="6">
        <v>2.8875421686746977E-5</v>
      </c>
      <c r="AA4" s="6">
        <v>-3.8021230000000001E-3</v>
      </c>
      <c r="AB4" s="6">
        <v>-3.5691249999999998E-3</v>
      </c>
      <c r="AC4" s="6">
        <v>2.8072048192771122E-5</v>
      </c>
      <c r="AD4" s="6">
        <v>-3.803964E-3</v>
      </c>
      <c r="AE4" s="6">
        <v>-3.5459829999999999E-3</v>
      </c>
      <c r="AF4" s="6">
        <v>3.1082048192771081E-5</v>
      </c>
      <c r="AG4" s="6">
        <v>-3.7889349999999998E-3</v>
      </c>
      <c r="AH4" s="6">
        <v>-3.5260140000000001E-3</v>
      </c>
      <c r="AI4" s="6">
        <v>3.1677228915662618E-5</v>
      </c>
      <c r="AJ4" s="6">
        <v>-3.8091330000000001E-3</v>
      </c>
      <c r="AK4" s="6">
        <v>-3.5529390000000002E-3</v>
      </c>
      <c r="AL4" s="6">
        <v>3.0866746987951799E-5</v>
      </c>
      <c r="AM4" s="6">
        <v>-3.786827E-3</v>
      </c>
      <c r="AN4" s="6">
        <v>-3.523965E-3</v>
      </c>
      <c r="AO4" s="6">
        <v>3.1670120481927705E-5</v>
      </c>
      <c r="AP4" s="6">
        <v>-3.41143E-3</v>
      </c>
      <c r="AQ4" s="6">
        <v>-3.196801E-3</v>
      </c>
      <c r="AR4" s="6">
        <v>2.5858915662650604E-5</v>
      </c>
      <c r="AS4" s="6">
        <v>-3.4264590000000002E-3</v>
      </c>
      <c r="AT4" s="6">
        <v>-3.2167699999999999E-3</v>
      </c>
      <c r="AU4" s="6">
        <v>2.5263734939759073E-5</v>
      </c>
      <c r="AV4" s="6">
        <v>-3.4062609999999998E-3</v>
      </c>
      <c r="AW4" s="6">
        <v>-3.1898439999999998E-3</v>
      </c>
      <c r="AX4" s="6">
        <v>2.6074337349397587E-5</v>
      </c>
      <c r="AY4" s="6">
        <v>-3.428567E-3</v>
      </c>
      <c r="AZ4" s="6">
        <v>-3.2188189999999999E-3</v>
      </c>
      <c r="BA4" s="6">
        <v>2.527084337349398E-5</v>
      </c>
      <c r="BB4" s="6">
        <v>-3.4304090000000001E-3</v>
      </c>
      <c r="BC4" s="6">
        <v>-3.1956760000000002E-3</v>
      </c>
      <c r="BD4" s="6">
        <v>2.8281084337349393E-5</v>
      </c>
      <c r="BE4" s="6">
        <v>-3.4153790000000001E-3</v>
      </c>
      <c r="BF4" s="6">
        <v>-3.1757069999999998E-3</v>
      </c>
      <c r="BG4" s="6">
        <v>2.8876144578313279E-5</v>
      </c>
      <c r="BH4" s="6">
        <v>-3.435577E-3</v>
      </c>
      <c r="BI4" s="6">
        <v>-3.202632E-3</v>
      </c>
      <c r="BJ4" s="6">
        <v>2.8065662650602409E-5</v>
      </c>
      <c r="BK4" s="6">
        <v>-3.4132720000000002E-3</v>
      </c>
      <c r="BL4" s="6">
        <v>-3.1736580000000002E-3</v>
      </c>
      <c r="BM4" s="6">
        <v>2.886915662650602E-5</v>
      </c>
      <c r="BN4" s="6">
        <v>-4.227443E-3</v>
      </c>
      <c r="BO4" s="6">
        <v>-3.9554050000000004E-3</v>
      </c>
      <c r="BP4" s="6">
        <v>3.2775662650602363E-5</v>
      </c>
      <c r="BQ4" s="6">
        <v>-4.2319519999999998E-3</v>
      </c>
      <c r="BR4" s="6">
        <v>-3.9613950000000004E-3</v>
      </c>
      <c r="BS4" s="6">
        <v>3.2597228915662576E-5</v>
      </c>
      <c r="BT4" s="6">
        <v>-4.2258920000000002E-3</v>
      </c>
      <c r="BU4" s="6">
        <v>-3.9533179999999999E-3</v>
      </c>
      <c r="BV4" s="6">
        <v>3.2840240963855447E-5</v>
      </c>
      <c r="BW4" s="6">
        <v>-4.2325840000000002E-3</v>
      </c>
      <c r="BX4" s="6">
        <v>-3.9620100000000002E-3</v>
      </c>
      <c r="BY4" s="6">
        <v>3.2599277108433731E-5</v>
      </c>
      <c r="BZ4" s="6">
        <v>-4.2331369999999997E-3</v>
      </c>
      <c r="CA4" s="6">
        <v>-3.9550669999999996E-3</v>
      </c>
      <c r="CB4" s="6">
        <v>3.3502409638554223E-5</v>
      </c>
      <c r="CC4" s="6">
        <v>-4.2286279999999999E-3</v>
      </c>
      <c r="CD4" s="6">
        <v>-3.9490769999999996E-3</v>
      </c>
      <c r="CE4" s="6">
        <v>3.368084337349401E-5</v>
      </c>
      <c r="CF4" s="6">
        <v>-4.234687E-3</v>
      </c>
      <c r="CG4" s="6">
        <v>-3.9571540000000001E-3</v>
      </c>
      <c r="CH4" s="6">
        <v>3.3437710843373488E-5</v>
      </c>
      <c r="CI4" s="6">
        <v>-4.227995E-3</v>
      </c>
      <c r="CJ4" s="6">
        <v>-3.9484619999999998E-3</v>
      </c>
      <c r="CK4" s="6">
        <v>3.3678674698795204E-5</v>
      </c>
      <c r="CL4" s="6">
        <v>-2.9822579999999998E-3</v>
      </c>
      <c r="CM4" s="6">
        <v>-2.787716E-3</v>
      </c>
      <c r="CN4" s="6">
        <v>2.3438795180722865E-5</v>
      </c>
      <c r="CO4" s="6">
        <v>-2.986767E-3</v>
      </c>
      <c r="CP4" s="6">
        <v>-2.793706E-3</v>
      </c>
      <c r="CQ4" s="6">
        <v>2.3260361445783132E-5</v>
      </c>
      <c r="CR4" s="6">
        <v>-2.980707E-3</v>
      </c>
      <c r="CS4" s="6">
        <v>-2.785629E-3</v>
      </c>
      <c r="CT4" s="6">
        <v>2.3503373493975902E-5</v>
      </c>
      <c r="CU4" s="6">
        <v>-2.987399E-3</v>
      </c>
      <c r="CV4" s="6">
        <v>-2.7943209999999998E-3</v>
      </c>
      <c r="CW4" s="6">
        <v>2.3262409638554236E-5</v>
      </c>
      <c r="CX4" s="6">
        <v>-2.987951E-3</v>
      </c>
      <c r="CY4" s="6">
        <v>-2.7873780000000001E-3</v>
      </c>
      <c r="CZ4" s="6">
        <v>2.4165421686746973E-5</v>
      </c>
      <c r="DA4" s="6">
        <v>-2.9834430000000001E-3</v>
      </c>
      <c r="DB4" s="6">
        <v>-2.7813880000000001E-3</v>
      </c>
      <c r="DC4" s="6">
        <v>2.4343975903614458E-5</v>
      </c>
      <c r="DD4" s="6">
        <v>-2.9895019999999998E-3</v>
      </c>
      <c r="DE4" s="6">
        <v>-2.7894650000000001E-3</v>
      </c>
      <c r="DF4" s="6">
        <v>2.4100843373493939E-5</v>
      </c>
      <c r="DG4" s="6">
        <v>-2.9828099999999998E-3</v>
      </c>
      <c r="DH4" s="6">
        <v>-2.7807729999999998E-3</v>
      </c>
      <c r="DI4" s="6">
        <v>2.4341807228915655E-5</v>
      </c>
      <c r="DK4" s="1" t="s">
        <v>476</v>
      </c>
      <c r="DL4" s="2" t="s">
        <v>477</v>
      </c>
      <c r="DM4" s="2" t="s">
        <v>478</v>
      </c>
    </row>
    <row r="5" spans="1:117" ht="16.2" thickBot="1" x14ac:dyDescent="0.35">
      <c r="A5" s="13" t="s">
        <v>348</v>
      </c>
      <c r="B5" s="13" t="s">
        <v>171</v>
      </c>
      <c r="C5" s="13" t="s">
        <v>212</v>
      </c>
      <c r="D5" s="13" t="s">
        <v>347</v>
      </c>
      <c r="E5" s="13">
        <v>8.3000000000000007</v>
      </c>
      <c r="F5" s="6">
        <v>-2.0279600000000001E-3</v>
      </c>
      <c r="G5" s="6">
        <v>-1.7633060000000001E-3</v>
      </c>
      <c r="H5" s="6">
        <v>3.1886024096385544E-5</v>
      </c>
      <c r="I5" s="6">
        <v>-2.8956630000000001E-3</v>
      </c>
      <c r="J5" s="6">
        <v>-2.5726429999999999E-3</v>
      </c>
      <c r="K5" s="6">
        <v>3.8918072289156651E-5</v>
      </c>
      <c r="L5" s="6">
        <v>-2.6344680000000001E-3</v>
      </c>
      <c r="M5" s="6">
        <v>-2.3696479999999998E-3</v>
      </c>
      <c r="N5" s="6">
        <v>3.1906024096385568E-5</v>
      </c>
      <c r="O5" s="6">
        <v>-3.4732909999999999E-3</v>
      </c>
      <c r="P5" s="6">
        <v>-3.150113E-3</v>
      </c>
      <c r="Q5" s="6">
        <v>3.8937108433734929E-5</v>
      </c>
      <c r="R5" s="6">
        <v>-3.7358199999999999E-3</v>
      </c>
      <c r="S5" s="6">
        <v>-3.3649959999999999E-3</v>
      </c>
      <c r="T5" s="6">
        <v>4.4677590361445784E-5</v>
      </c>
      <c r="U5" s="6">
        <v>-3.3539440000000002E-3</v>
      </c>
      <c r="V5" s="6">
        <v>-3.0076909999999998E-3</v>
      </c>
      <c r="W5" s="6">
        <v>4.1717228915662692E-5</v>
      </c>
      <c r="X5" s="6">
        <v>-3.7422240000000002E-3</v>
      </c>
      <c r="Y5" s="6">
        <v>-3.41253E-3</v>
      </c>
      <c r="Z5" s="6">
        <v>3.9722168674698812E-5</v>
      </c>
      <c r="AA5" s="6">
        <v>-3.3543729999999999E-3</v>
      </c>
      <c r="AB5" s="6">
        <v>-2.9855950000000002E-3</v>
      </c>
      <c r="AC5" s="6">
        <v>4.4431084337349362E-5</v>
      </c>
      <c r="AD5" s="6">
        <v>-2.9711049999999999E-3</v>
      </c>
      <c r="AE5" s="6">
        <v>-2.6639459999999999E-3</v>
      </c>
      <c r="AF5" s="6">
        <v>3.7007108433734939E-5</v>
      </c>
      <c r="AG5" s="6">
        <v>-3.3498059999999999E-3</v>
      </c>
      <c r="AH5" s="6">
        <v>-3.0179790000000001E-3</v>
      </c>
      <c r="AI5" s="6">
        <v>3.9979156626506E-5</v>
      </c>
      <c r="AJ5" s="6">
        <v>-2.9647010000000001E-3</v>
      </c>
      <c r="AK5" s="6">
        <v>-2.6164119999999998E-3</v>
      </c>
      <c r="AL5" s="6">
        <v>4.1962530120481965E-5</v>
      </c>
      <c r="AM5" s="6">
        <v>-3.3525510000000001E-3</v>
      </c>
      <c r="AN5" s="6">
        <v>-3.0433460000000002E-3</v>
      </c>
      <c r="AO5" s="6">
        <v>3.7253614457831307E-5</v>
      </c>
      <c r="AP5" s="6">
        <v>-3.3978490000000001E-3</v>
      </c>
      <c r="AQ5" s="6">
        <v>-3.0588099999999999E-3</v>
      </c>
      <c r="AR5" s="6">
        <v>4.0848072289156648E-5</v>
      </c>
      <c r="AS5" s="6">
        <v>-3.0191480000000001E-3</v>
      </c>
      <c r="AT5" s="6">
        <v>-2.7047769999999998E-3</v>
      </c>
      <c r="AU5" s="6">
        <v>3.787602409638558E-5</v>
      </c>
      <c r="AV5" s="6">
        <v>-3.4042529999999999E-3</v>
      </c>
      <c r="AW5" s="6">
        <v>-3.106344E-3</v>
      </c>
      <c r="AX5" s="6">
        <v>3.5892650602409615E-5</v>
      </c>
      <c r="AY5" s="6">
        <v>-3.016403E-3</v>
      </c>
      <c r="AZ5" s="6">
        <v>-2.6794089999999998E-3</v>
      </c>
      <c r="BA5" s="6">
        <v>4.0601686746987971E-5</v>
      </c>
      <c r="BB5" s="6">
        <v>-2.6331340000000001E-3</v>
      </c>
      <c r="BC5" s="6">
        <v>-2.35776E-3</v>
      </c>
      <c r="BD5" s="6">
        <v>3.3177590361445796E-5</v>
      </c>
      <c r="BE5" s="6">
        <v>-3.0118359999999999E-3</v>
      </c>
      <c r="BF5" s="6">
        <v>-2.7117920000000002E-3</v>
      </c>
      <c r="BG5" s="6">
        <v>3.6149879518072252E-5</v>
      </c>
      <c r="BH5" s="6">
        <v>-2.6267299999999999E-3</v>
      </c>
      <c r="BI5" s="6">
        <v>-2.3102259999999999E-3</v>
      </c>
      <c r="BJ5" s="6">
        <v>3.8133012048192768E-5</v>
      </c>
      <c r="BK5" s="6">
        <v>-3.0145810000000001E-3</v>
      </c>
      <c r="BL5" s="6">
        <v>-2.7371600000000002E-3</v>
      </c>
      <c r="BM5" s="6">
        <v>3.3424216867469868E-5</v>
      </c>
      <c r="BN5" s="6">
        <v>-3.8624689999999999E-3</v>
      </c>
      <c r="BO5" s="6">
        <v>-3.4768450000000001E-3</v>
      </c>
      <c r="BP5" s="6">
        <v>4.6460722891566234E-5</v>
      </c>
      <c r="BQ5" s="6">
        <v>-3.7488579999999999E-3</v>
      </c>
      <c r="BR5" s="6">
        <v>-3.3706360000000002E-3</v>
      </c>
      <c r="BS5" s="6">
        <v>4.5568915662650562E-5</v>
      </c>
      <c r="BT5" s="6">
        <v>-3.8643900000000001E-3</v>
      </c>
      <c r="BU5" s="6">
        <v>-3.4911059999999999E-3</v>
      </c>
      <c r="BV5" s="6">
        <v>4.4973975903614475E-5</v>
      </c>
      <c r="BW5" s="6">
        <v>-3.7480349999999998E-3</v>
      </c>
      <c r="BX5" s="6">
        <v>-3.363025E-3</v>
      </c>
      <c r="BY5" s="6">
        <v>4.6386746987951786E-5</v>
      </c>
      <c r="BZ5" s="6">
        <v>-3.6330540000000001E-3</v>
      </c>
      <c r="CA5" s="6">
        <v>-3.266531E-3</v>
      </c>
      <c r="CB5" s="6">
        <v>4.4159397590361454E-5</v>
      </c>
      <c r="CC5" s="6">
        <v>-3.7466639999999998E-3</v>
      </c>
      <c r="CD5" s="6">
        <v>-3.3727399999999999E-3</v>
      </c>
      <c r="CE5" s="6">
        <v>4.505108433734938E-5</v>
      </c>
      <c r="CF5" s="6">
        <v>-3.6311329999999999E-3</v>
      </c>
      <c r="CG5" s="6">
        <v>-3.2522699999999998E-3</v>
      </c>
      <c r="CH5" s="6">
        <v>4.5646144578313266E-5</v>
      </c>
      <c r="CI5" s="6">
        <v>-3.7474880000000002E-3</v>
      </c>
      <c r="CJ5" s="6">
        <v>-3.3803510000000002E-3</v>
      </c>
      <c r="CK5" s="6">
        <v>4.4233373493975902E-5</v>
      </c>
      <c r="CL5" s="6">
        <v>-2.7358999999999999E-3</v>
      </c>
      <c r="CM5" s="6">
        <v>-2.4562249999999998E-3</v>
      </c>
      <c r="CN5" s="6">
        <v>3.3695783132530126E-5</v>
      </c>
      <c r="CO5" s="6">
        <v>-2.6222900000000002E-3</v>
      </c>
      <c r="CP5" s="6">
        <v>-2.350015E-3</v>
      </c>
      <c r="CQ5" s="6">
        <v>3.2804216867469905E-5</v>
      </c>
      <c r="CR5" s="6">
        <v>-2.7378210000000001E-3</v>
      </c>
      <c r="CS5" s="6">
        <v>-2.4704850000000001E-3</v>
      </c>
      <c r="CT5" s="6">
        <v>3.2209156626506018E-5</v>
      </c>
      <c r="CU5" s="6">
        <v>-2.6214659999999998E-3</v>
      </c>
      <c r="CV5" s="6">
        <v>-2.3424050000000001E-3</v>
      </c>
      <c r="CW5" s="6">
        <v>3.3621807228915624E-5</v>
      </c>
      <c r="CX5" s="6">
        <v>-2.506486E-3</v>
      </c>
      <c r="CY5" s="6">
        <v>-2.2459099999999998E-3</v>
      </c>
      <c r="CZ5" s="6">
        <v>3.1394698795180749E-5</v>
      </c>
      <c r="DA5" s="6">
        <v>-2.6200960000000001E-3</v>
      </c>
      <c r="DB5" s="6">
        <v>-2.3521200000000001E-3</v>
      </c>
      <c r="DC5" s="6">
        <v>3.228626506024097E-5</v>
      </c>
      <c r="DD5" s="6">
        <v>-2.5045639999999999E-3</v>
      </c>
      <c r="DE5" s="6">
        <v>-2.23165E-3</v>
      </c>
      <c r="DF5" s="6">
        <v>3.2881204819277104E-5</v>
      </c>
      <c r="DG5" s="6">
        <v>-2.6209200000000001E-3</v>
      </c>
      <c r="DH5" s="6">
        <v>-2.35973E-3</v>
      </c>
      <c r="DI5" s="6">
        <v>3.146867469879519E-5</v>
      </c>
      <c r="DK5" s="3" t="s">
        <v>11</v>
      </c>
      <c r="DL5" s="4">
        <f>H1</f>
        <v>2875.7116390201645</v>
      </c>
      <c r="DM5" s="5" t="str">
        <f>IF(DL5&gt;250,"OK","N.G")</f>
        <v>OK</v>
      </c>
    </row>
    <row r="6" spans="1:117" ht="16.2" thickBot="1" x14ac:dyDescent="0.35">
      <c r="A6" s="13" t="s">
        <v>349</v>
      </c>
      <c r="B6" s="13" t="s">
        <v>56</v>
      </c>
      <c r="C6" s="13" t="s">
        <v>91</v>
      </c>
      <c r="D6" s="13" t="s">
        <v>350</v>
      </c>
      <c r="E6" s="13">
        <v>8.3000000000000007</v>
      </c>
      <c r="F6" s="6">
        <v>-2.502729E-3</v>
      </c>
      <c r="G6" s="6">
        <v>-2.4215759999999999E-3</v>
      </c>
      <c r="H6" s="6">
        <v>9.7774698795180764E-6</v>
      </c>
      <c r="I6" s="6">
        <v>-3.126439E-3</v>
      </c>
      <c r="J6" s="6">
        <v>-3.076666E-3</v>
      </c>
      <c r="K6" s="6">
        <v>5.9967469879517965E-6</v>
      </c>
      <c r="L6" s="6">
        <v>-2.8827739999999998E-3</v>
      </c>
      <c r="M6" s="6">
        <v>-2.8099900000000001E-3</v>
      </c>
      <c r="N6" s="6">
        <v>8.769156626505997E-6</v>
      </c>
      <c r="O6" s="6">
        <v>-3.4898709999999999E-3</v>
      </c>
      <c r="P6" s="6">
        <v>-3.4467870000000002E-3</v>
      </c>
      <c r="Q6" s="6">
        <v>5.1908433734939346E-6</v>
      </c>
      <c r="R6" s="6">
        <v>-2.967557E-3</v>
      </c>
      <c r="S6" s="6">
        <v>-2.9880520000000002E-3</v>
      </c>
      <c r="T6" s="6">
        <v>2.4692771084337526E-6</v>
      </c>
      <c r="U6" s="6">
        <v>-2.7857229999999999E-3</v>
      </c>
      <c r="V6" s="6">
        <v>-2.866674E-3</v>
      </c>
      <c r="W6" s="6">
        <v>9.7531325301204954E-6</v>
      </c>
      <c r="X6" s="6">
        <v>-2.9903249999999998E-3</v>
      </c>
      <c r="Y6" s="6">
        <v>-3.0058300000000001E-3</v>
      </c>
      <c r="Z6" s="6">
        <v>1.8680722891566616E-6</v>
      </c>
      <c r="AA6" s="6">
        <v>-2.7755150000000001E-3</v>
      </c>
      <c r="AB6" s="6">
        <v>-2.8627710000000001E-3</v>
      </c>
      <c r="AC6" s="6">
        <v>1.0512771084337344E-5</v>
      </c>
      <c r="AD6" s="6">
        <v>-4.0083790000000003E-3</v>
      </c>
      <c r="AE6" s="6">
        <v>-3.886577E-3</v>
      </c>
      <c r="AF6" s="6">
        <v>1.4674939759036177E-5</v>
      </c>
      <c r="AG6" s="6">
        <v>-4.1872139999999999E-3</v>
      </c>
      <c r="AH6" s="6">
        <v>-4.0015420000000003E-3</v>
      </c>
      <c r="AI6" s="6">
        <v>2.2370120481927658E-5</v>
      </c>
      <c r="AJ6" s="6">
        <v>-3.9856099999999997E-3</v>
      </c>
      <c r="AK6" s="6">
        <v>-3.868799E-3</v>
      </c>
      <c r="AL6" s="6">
        <v>1.4073614457831283E-5</v>
      </c>
      <c r="AM6" s="6">
        <v>-4.2004210000000002E-3</v>
      </c>
      <c r="AN6" s="6">
        <v>-4.0118580000000001E-3</v>
      </c>
      <c r="AO6" s="6">
        <v>2.2718433734939768E-5</v>
      </c>
      <c r="AP6" s="6">
        <v>-2.607884E-3</v>
      </c>
      <c r="AQ6" s="6">
        <v>-2.6368619999999998E-3</v>
      </c>
      <c r="AR6" s="6">
        <v>3.491325301204797E-6</v>
      </c>
      <c r="AS6" s="6">
        <v>-2.4290499999999999E-3</v>
      </c>
      <c r="AT6" s="6">
        <v>-2.5218969999999999E-3</v>
      </c>
      <c r="AU6" s="6">
        <v>1.1186385542168682E-5</v>
      </c>
      <c r="AV6" s="6">
        <v>-2.6306530000000002E-3</v>
      </c>
      <c r="AW6" s="6">
        <v>-2.6546400000000002E-3</v>
      </c>
      <c r="AX6" s="6">
        <v>2.8900000000000062E-6</v>
      </c>
      <c r="AY6" s="6">
        <v>-2.4158420000000001E-3</v>
      </c>
      <c r="AZ6" s="6">
        <v>-2.5115810000000001E-3</v>
      </c>
      <c r="BA6" s="6">
        <v>1.153481927710844E-5</v>
      </c>
      <c r="BB6" s="6">
        <v>-3.6487070000000002E-3</v>
      </c>
      <c r="BC6" s="6">
        <v>-3.535388E-3</v>
      </c>
      <c r="BD6" s="6">
        <v>1.3652891566265081E-5</v>
      </c>
      <c r="BE6" s="6">
        <v>-3.8275420000000002E-3</v>
      </c>
      <c r="BF6" s="6">
        <v>-3.6503529999999998E-3</v>
      </c>
      <c r="BG6" s="6">
        <v>2.1348072289156665E-5</v>
      </c>
      <c r="BH6" s="6">
        <v>-3.625938E-3</v>
      </c>
      <c r="BI6" s="6">
        <v>-3.5176090000000001E-3</v>
      </c>
      <c r="BJ6" s="6">
        <v>1.3051686746987937E-5</v>
      </c>
      <c r="BK6" s="6">
        <v>-3.8407490000000001E-3</v>
      </c>
      <c r="BL6" s="6">
        <v>-3.6606690000000001E-3</v>
      </c>
      <c r="BM6" s="6">
        <v>2.1696385542168673E-5</v>
      </c>
      <c r="BN6" s="6">
        <v>-3.7514620000000001E-3</v>
      </c>
      <c r="BO6" s="6">
        <v>-3.7122570000000001E-3</v>
      </c>
      <c r="BP6" s="6">
        <v>4.7234939759036211E-6</v>
      </c>
      <c r="BQ6" s="6">
        <v>-3.697812E-3</v>
      </c>
      <c r="BR6" s="6">
        <v>-3.6777680000000001E-3</v>
      </c>
      <c r="BS6" s="6">
        <v>2.4149397590361296E-6</v>
      </c>
      <c r="BT6" s="6">
        <v>-3.7582929999999998E-3</v>
      </c>
      <c r="BU6" s="6">
        <v>-3.7175910000000001E-3</v>
      </c>
      <c r="BV6" s="6">
        <v>4.9038554216867063E-6</v>
      </c>
      <c r="BW6" s="6">
        <v>-3.6938499999999998E-3</v>
      </c>
      <c r="BX6" s="6">
        <v>-3.6746729999999998E-3</v>
      </c>
      <c r="BY6" s="6">
        <v>2.3104819277108427E-6</v>
      </c>
      <c r="BZ6" s="6">
        <v>-4.0637090000000004E-3</v>
      </c>
      <c r="CA6" s="6">
        <v>-3.9818149999999997E-3</v>
      </c>
      <c r="CB6" s="6">
        <v>9.8667469879518984E-6</v>
      </c>
      <c r="CC6" s="6">
        <v>-4.1173590000000001E-3</v>
      </c>
      <c r="CD6" s="6">
        <v>-4.0163040000000001E-3</v>
      </c>
      <c r="CE6" s="6">
        <v>1.2175301204819285E-5</v>
      </c>
      <c r="CF6" s="6">
        <v>-4.0568779999999999E-3</v>
      </c>
      <c r="CG6" s="6">
        <v>-3.9764819999999999E-3</v>
      </c>
      <c r="CH6" s="6">
        <v>9.6862650602409561E-6</v>
      </c>
      <c r="CI6" s="6">
        <v>-4.1213220000000002E-3</v>
      </c>
      <c r="CJ6" s="6">
        <v>-4.0193989999999999E-3</v>
      </c>
      <c r="CK6" s="6">
        <v>1.2279879518072323E-5</v>
      </c>
      <c r="CL6" s="6">
        <v>-2.5525539999999998E-3</v>
      </c>
      <c r="CM6" s="6">
        <v>-2.5416240000000001E-3</v>
      </c>
      <c r="CN6" s="6">
        <v>1.3168674698794827E-6</v>
      </c>
      <c r="CO6" s="6">
        <v>-2.4989040000000001E-3</v>
      </c>
      <c r="CP6" s="6">
        <v>-2.5071350000000002E-3</v>
      </c>
      <c r="CQ6" s="6">
        <v>9.916867469879561E-7</v>
      </c>
      <c r="CR6" s="6">
        <v>-2.559385E-3</v>
      </c>
      <c r="CS6" s="6">
        <v>-2.5469580000000002E-3</v>
      </c>
      <c r="CT6" s="6">
        <v>1.4972289156626205E-6</v>
      </c>
      <c r="CU6" s="6">
        <v>-2.494942E-3</v>
      </c>
      <c r="CV6" s="6">
        <v>-2.5040399999999999E-3</v>
      </c>
      <c r="CW6" s="6">
        <v>1.0961445783132431E-6</v>
      </c>
      <c r="CX6" s="6">
        <v>-2.8648010000000002E-3</v>
      </c>
      <c r="CY6" s="6">
        <v>-2.8111820000000002E-3</v>
      </c>
      <c r="CZ6" s="6">
        <v>6.4601204819277072E-6</v>
      </c>
      <c r="DA6" s="6">
        <v>-2.9184520000000002E-3</v>
      </c>
      <c r="DB6" s="6">
        <v>-2.845672E-3</v>
      </c>
      <c r="DC6" s="6">
        <v>8.7686746987951987E-6</v>
      </c>
      <c r="DD6" s="6">
        <v>-2.8579709999999999E-3</v>
      </c>
      <c r="DE6" s="6">
        <v>-2.805849E-3</v>
      </c>
      <c r="DF6" s="6">
        <v>6.2797590361445695E-6</v>
      </c>
      <c r="DG6" s="6">
        <v>-2.9224139999999999E-3</v>
      </c>
      <c r="DH6" s="6">
        <v>-2.848766E-3</v>
      </c>
      <c r="DI6" s="6">
        <v>8.8732530120481848E-6</v>
      </c>
      <c r="DK6" s="3" t="s">
        <v>12</v>
      </c>
      <c r="DL6" s="4">
        <f>K1</f>
        <v>2531.4284991438703</v>
      </c>
      <c r="DM6" s="5" t="str">
        <f t="shared" ref="DM6:DM40" si="11">IF(DL6&gt;250,"OK","N.G")</f>
        <v>OK</v>
      </c>
    </row>
    <row r="7" spans="1:117" ht="16.2" thickBot="1" x14ac:dyDescent="0.35">
      <c r="A7" s="13" t="s">
        <v>351</v>
      </c>
      <c r="B7" s="13" t="s">
        <v>91</v>
      </c>
      <c r="C7" s="13" t="s">
        <v>127</v>
      </c>
      <c r="D7" s="13" t="s">
        <v>350</v>
      </c>
      <c r="E7" s="13">
        <v>8.3000000000000007</v>
      </c>
      <c r="F7" s="6">
        <v>-2.4215759999999999E-3</v>
      </c>
      <c r="G7" s="6">
        <v>-2.2545080000000001E-3</v>
      </c>
      <c r="H7" s="6">
        <v>2.0128674698795156E-5</v>
      </c>
      <c r="I7" s="6">
        <v>-3.076666E-3</v>
      </c>
      <c r="J7" s="6">
        <v>-2.9175020000000002E-3</v>
      </c>
      <c r="K7" s="6">
        <v>1.9176385542168653E-5</v>
      </c>
      <c r="L7" s="6">
        <v>-2.8099900000000001E-3</v>
      </c>
      <c r="M7" s="6">
        <v>-2.6484239999999999E-3</v>
      </c>
      <c r="N7" s="6">
        <v>1.9465783132530135E-5</v>
      </c>
      <c r="O7" s="6">
        <v>-3.4467870000000002E-3</v>
      </c>
      <c r="P7" s="6">
        <v>-3.2923470000000002E-3</v>
      </c>
      <c r="Q7" s="6">
        <v>1.8607228915662654E-5</v>
      </c>
      <c r="R7" s="6">
        <v>-2.9880520000000002E-3</v>
      </c>
      <c r="S7" s="6">
        <v>-2.9543820000000002E-3</v>
      </c>
      <c r="T7" s="6">
        <v>4.0566265060240918E-6</v>
      </c>
      <c r="U7" s="6">
        <v>-2.866674E-3</v>
      </c>
      <c r="V7" s="6">
        <v>-2.9252610000000002E-3</v>
      </c>
      <c r="W7" s="6">
        <v>7.0586746987951964E-6</v>
      </c>
      <c r="X7" s="6">
        <v>-3.0058300000000001E-3</v>
      </c>
      <c r="Y7" s="6">
        <v>-2.9654299999999998E-3</v>
      </c>
      <c r="Z7" s="6">
        <v>4.8674698795181115E-6</v>
      </c>
      <c r="AA7" s="6">
        <v>-2.8627710000000001E-3</v>
      </c>
      <c r="AB7" s="6">
        <v>-2.9363200000000001E-3</v>
      </c>
      <c r="AC7" s="6">
        <v>8.8613253012048206E-6</v>
      </c>
      <c r="AD7" s="6">
        <v>-3.886577E-3</v>
      </c>
      <c r="AE7" s="6">
        <v>-3.5874349999999999E-3</v>
      </c>
      <c r="AF7" s="6">
        <v>3.6041204819277115E-5</v>
      </c>
      <c r="AG7" s="6">
        <v>-4.0015420000000003E-3</v>
      </c>
      <c r="AH7" s="6">
        <v>-3.5990839999999998E-3</v>
      </c>
      <c r="AI7" s="6">
        <v>4.8488915662650656E-5</v>
      </c>
      <c r="AJ7" s="6">
        <v>-3.868799E-3</v>
      </c>
      <c r="AK7" s="6">
        <v>-3.5763869999999999E-3</v>
      </c>
      <c r="AL7" s="6">
        <v>3.5230361445783148E-5</v>
      </c>
      <c r="AM7" s="6">
        <v>-4.0118580000000001E-3</v>
      </c>
      <c r="AN7" s="6">
        <v>-3.605497E-3</v>
      </c>
      <c r="AO7" s="6">
        <v>4.8959156626506026E-5</v>
      </c>
      <c r="AP7" s="6">
        <v>-2.6368619999999998E-3</v>
      </c>
      <c r="AQ7" s="6">
        <v>-2.6224019999999998E-3</v>
      </c>
      <c r="AR7" s="6">
        <v>1.7421686746987942E-6</v>
      </c>
      <c r="AS7" s="6">
        <v>-2.5218969999999999E-3</v>
      </c>
      <c r="AT7" s="6">
        <v>-2.610752E-3</v>
      </c>
      <c r="AU7" s="6">
        <v>1.0705421686746998E-5</v>
      </c>
      <c r="AV7" s="6">
        <v>-2.6546400000000002E-3</v>
      </c>
      <c r="AW7" s="6">
        <v>-2.6334499999999999E-3</v>
      </c>
      <c r="AX7" s="6">
        <v>2.553012048192814E-6</v>
      </c>
      <c r="AY7" s="6">
        <v>-2.5115810000000001E-3</v>
      </c>
      <c r="AZ7" s="6">
        <v>-2.6043400000000001E-3</v>
      </c>
      <c r="BA7" s="6">
        <v>1.1175783132530118E-5</v>
      </c>
      <c r="BB7" s="6">
        <v>-3.535388E-3</v>
      </c>
      <c r="BC7" s="6">
        <v>-3.255455E-3</v>
      </c>
      <c r="BD7" s="6">
        <v>3.3726867469879514E-5</v>
      </c>
      <c r="BE7" s="6">
        <v>-3.6503529999999998E-3</v>
      </c>
      <c r="BF7" s="6">
        <v>-3.2671039999999998E-3</v>
      </c>
      <c r="BG7" s="6">
        <v>4.6174578313253007E-5</v>
      </c>
      <c r="BH7" s="6">
        <v>-3.5176090000000001E-3</v>
      </c>
      <c r="BI7" s="6">
        <v>-3.244406E-3</v>
      </c>
      <c r="BJ7" s="6">
        <v>3.2916024096385546E-5</v>
      </c>
      <c r="BK7" s="6">
        <v>-3.6606690000000001E-3</v>
      </c>
      <c r="BL7" s="6">
        <v>-3.2735160000000002E-3</v>
      </c>
      <c r="BM7" s="6">
        <v>4.6644939759036129E-5</v>
      </c>
      <c r="BN7" s="6">
        <v>-3.7122570000000001E-3</v>
      </c>
      <c r="BO7" s="6">
        <v>-3.5632609999999999E-3</v>
      </c>
      <c r="BP7" s="6">
        <v>1.7951325301204842E-5</v>
      </c>
      <c r="BQ7" s="6">
        <v>-3.6777680000000001E-3</v>
      </c>
      <c r="BR7" s="6">
        <v>-3.5597659999999998E-3</v>
      </c>
      <c r="BS7" s="6">
        <v>1.4217108433734974E-5</v>
      </c>
      <c r="BT7" s="6">
        <v>-3.7175910000000001E-3</v>
      </c>
      <c r="BU7" s="6">
        <v>-3.5665760000000001E-3</v>
      </c>
      <c r="BV7" s="6">
        <v>1.8194578313253011E-5</v>
      </c>
      <c r="BW7" s="6">
        <v>-3.6746729999999998E-3</v>
      </c>
      <c r="BX7" s="6">
        <v>-3.5578430000000002E-3</v>
      </c>
      <c r="BY7" s="6">
        <v>1.4075903614457785E-5</v>
      </c>
      <c r="BZ7" s="6">
        <v>-3.9818149999999997E-3</v>
      </c>
      <c r="CA7" s="6">
        <v>-3.7531769999999999E-3</v>
      </c>
      <c r="CB7" s="6">
        <v>2.7546746987951777E-5</v>
      </c>
      <c r="CC7" s="6">
        <v>-4.0163040000000001E-3</v>
      </c>
      <c r="CD7" s="6">
        <v>-3.756672E-3</v>
      </c>
      <c r="CE7" s="6">
        <v>3.1280963855421697E-5</v>
      </c>
      <c r="CF7" s="6">
        <v>-3.9764819999999999E-3</v>
      </c>
      <c r="CG7" s="6">
        <v>-3.749863E-3</v>
      </c>
      <c r="CH7" s="6">
        <v>2.7303493975903607E-5</v>
      </c>
      <c r="CI7" s="6">
        <v>-4.0193989999999999E-3</v>
      </c>
      <c r="CJ7" s="6">
        <v>-3.7585959999999999E-3</v>
      </c>
      <c r="CK7" s="6">
        <v>3.1422048192771082E-5</v>
      </c>
      <c r="CL7" s="6">
        <v>-2.5416240000000001E-3</v>
      </c>
      <c r="CM7" s="6">
        <v>-2.4566599999999998E-3</v>
      </c>
      <c r="CN7" s="6">
        <v>1.0236626506024133E-5</v>
      </c>
      <c r="CO7" s="6">
        <v>-2.5071350000000002E-3</v>
      </c>
      <c r="CP7" s="6">
        <v>-2.4531650000000002E-3</v>
      </c>
      <c r="CQ7" s="6">
        <v>6.502409638554213E-6</v>
      </c>
      <c r="CR7" s="6">
        <v>-2.5469580000000002E-3</v>
      </c>
      <c r="CS7" s="6">
        <v>-2.4599740000000002E-3</v>
      </c>
      <c r="CT7" s="6">
        <v>1.0480000000000001E-5</v>
      </c>
      <c r="CU7" s="6">
        <v>-2.5040399999999999E-3</v>
      </c>
      <c r="CV7" s="6">
        <v>-2.4512409999999998E-3</v>
      </c>
      <c r="CW7" s="6">
        <v>6.3613253012048276E-6</v>
      </c>
      <c r="CX7" s="6">
        <v>-2.8111820000000002E-3</v>
      </c>
      <c r="CY7" s="6">
        <v>-2.646575E-3</v>
      </c>
      <c r="CZ7" s="6">
        <v>1.9832168674698818E-5</v>
      </c>
      <c r="DA7" s="6">
        <v>-2.845672E-3</v>
      </c>
      <c r="DB7" s="6">
        <v>-2.65007E-3</v>
      </c>
      <c r="DC7" s="6">
        <v>2.3566506024096385E-5</v>
      </c>
      <c r="DD7" s="6">
        <v>-2.805849E-3</v>
      </c>
      <c r="DE7" s="6">
        <v>-2.643261E-3</v>
      </c>
      <c r="DF7" s="6">
        <v>1.9588915662650598E-5</v>
      </c>
      <c r="DG7" s="6">
        <v>-2.848766E-3</v>
      </c>
      <c r="DH7" s="6">
        <v>-2.651994E-3</v>
      </c>
      <c r="DI7" s="6">
        <v>2.3707469879518072E-5</v>
      </c>
      <c r="DK7" s="3" t="s">
        <v>13</v>
      </c>
      <c r="DL7" s="4">
        <f>N1</f>
        <v>3220.9444903590729</v>
      </c>
      <c r="DM7" s="5" t="str">
        <f t="shared" si="11"/>
        <v>OK</v>
      </c>
    </row>
    <row r="8" spans="1:117" ht="16.2" thickBot="1" x14ac:dyDescent="0.35">
      <c r="A8" s="13" t="s">
        <v>352</v>
      </c>
      <c r="B8" s="13" t="s">
        <v>127</v>
      </c>
      <c r="C8" s="13" t="s">
        <v>164</v>
      </c>
      <c r="D8" s="13" t="s">
        <v>350</v>
      </c>
      <c r="E8" s="13">
        <v>8.3000000000000007</v>
      </c>
      <c r="F8" s="6">
        <v>-2.2545080000000001E-3</v>
      </c>
      <c r="G8" s="6">
        <v>-2.0644919999999998E-3</v>
      </c>
      <c r="H8" s="6">
        <v>2.2893493975903651E-5</v>
      </c>
      <c r="I8" s="6">
        <v>-2.9175020000000002E-3</v>
      </c>
      <c r="J8" s="6">
        <v>-2.7059950000000001E-3</v>
      </c>
      <c r="K8" s="6">
        <v>2.548277108433736E-5</v>
      </c>
      <c r="L8" s="6">
        <v>-2.6484239999999999E-3</v>
      </c>
      <c r="M8" s="6">
        <v>-2.4632439999999999E-3</v>
      </c>
      <c r="N8" s="6">
        <v>2.2310843373493982E-5</v>
      </c>
      <c r="O8" s="6">
        <v>-3.2923470000000002E-3</v>
      </c>
      <c r="P8" s="6">
        <v>-3.0848899999999999E-3</v>
      </c>
      <c r="Q8" s="6">
        <v>2.4994819277108467E-5</v>
      </c>
      <c r="R8" s="6">
        <v>-2.9543820000000002E-3</v>
      </c>
      <c r="S8" s="6">
        <v>-2.8249669999999998E-3</v>
      </c>
      <c r="T8" s="6">
        <v>1.5592168674698834E-5</v>
      </c>
      <c r="U8" s="6">
        <v>-2.9252610000000002E-3</v>
      </c>
      <c r="V8" s="6">
        <v>-2.9140490000000002E-3</v>
      </c>
      <c r="W8" s="6">
        <v>1.3508433734939792E-6</v>
      </c>
      <c r="X8" s="6">
        <v>-2.9654299999999998E-3</v>
      </c>
      <c r="Y8" s="6">
        <v>-2.8309720000000002E-3</v>
      </c>
      <c r="Z8" s="6">
        <v>1.619975903614453E-5</v>
      </c>
      <c r="AA8" s="6">
        <v>-2.9363200000000001E-3</v>
      </c>
      <c r="AB8" s="6">
        <v>-2.9478830000000001E-3</v>
      </c>
      <c r="AC8" s="6">
        <v>1.3931325301204848E-6</v>
      </c>
      <c r="AD8" s="6">
        <v>-3.5874349999999999E-3</v>
      </c>
      <c r="AE8" s="6">
        <v>-3.2758209999999999E-3</v>
      </c>
      <c r="AF8" s="6">
        <v>3.7543855421686742E-5</v>
      </c>
      <c r="AG8" s="6">
        <v>-3.5990839999999998E-3</v>
      </c>
      <c r="AH8" s="6">
        <v>-3.14942E-3</v>
      </c>
      <c r="AI8" s="6">
        <v>5.4176385542168643E-5</v>
      </c>
      <c r="AJ8" s="6">
        <v>-3.5763869999999999E-3</v>
      </c>
      <c r="AK8" s="6">
        <v>-3.269816E-3</v>
      </c>
      <c r="AL8" s="6">
        <v>3.6936265060240941E-5</v>
      </c>
      <c r="AM8" s="6">
        <v>-3.605497E-3</v>
      </c>
      <c r="AN8" s="6">
        <v>-3.1529050000000001E-3</v>
      </c>
      <c r="AO8" s="6">
        <v>5.4529156626506008E-5</v>
      </c>
      <c r="AP8" s="6">
        <v>-2.6224019999999998E-3</v>
      </c>
      <c r="AQ8" s="6">
        <v>-2.515055E-3</v>
      </c>
      <c r="AR8" s="6">
        <v>1.2933373493975881E-5</v>
      </c>
      <c r="AS8" s="6">
        <v>-2.610752E-3</v>
      </c>
      <c r="AT8" s="6">
        <v>-2.6414559999999999E-3</v>
      </c>
      <c r="AU8" s="6">
        <v>3.699277108433721E-6</v>
      </c>
      <c r="AV8" s="6">
        <v>-2.6334499999999999E-3</v>
      </c>
      <c r="AW8" s="6">
        <v>-2.5210599999999999E-3</v>
      </c>
      <c r="AX8" s="6">
        <v>1.3540963855421682E-5</v>
      </c>
      <c r="AY8" s="6">
        <v>-2.6043400000000001E-3</v>
      </c>
      <c r="AZ8" s="6">
        <v>-2.6379709999999998E-3</v>
      </c>
      <c r="BA8" s="6">
        <v>4.051927710843334E-6</v>
      </c>
      <c r="BB8" s="6">
        <v>-3.255455E-3</v>
      </c>
      <c r="BC8" s="6">
        <v>-2.9659090000000001E-3</v>
      </c>
      <c r="BD8" s="6">
        <v>3.4885060240963838E-5</v>
      </c>
      <c r="BE8" s="6">
        <v>-3.2671039999999998E-3</v>
      </c>
      <c r="BF8" s="6">
        <v>-2.8395080000000001E-3</v>
      </c>
      <c r="BG8" s="6">
        <v>5.1517590361445746E-5</v>
      </c>
      <c r="BH8" s="6">
        <v>-3.244406E-3</v>
      </c>
      <c r="BI8" s="6">
        <v>-2.9599040000000002E-3</v>
      </c>
      <c r="BJ8" s="6">
        <v>3.4277349397590339E-5</v>
      </c>
      <c r="BK8" s="6">
        <v>-3.2735160000000002E-3</v>
      </c>
      <c r="BL8" s="6">
        <v>-2.8429929999999998E-3</v>
      </c>
      <c r="BM8" s="6">
        <v>5.187024096385546E-5</v>
      </c>
      <c r="BN8" s="6">
        <v>-3.5632609999999999E-3</v>
      </c>
      <c r="BO8" s="6">
        <v>-3.34433E-3</v>
      </c>
      <c r="BP8" s="6">
        <v>2.6377228915662635E-5</v>
      </c>
      <c r="BQ8" s="6">
        <v>-3.5597659999999998E-3</v>
      </c>
      <c r="BR8" s="6">
        <v>-3.3822499999999998E-3</v>
      </c>
      <c r="BS8" s="6">
        <v>2.1387469879518067E-5</v>
      </c>
      <c r="BT8" s="6">
        <v>-3.5665760000000001E-3</v>
      </c>
      <c r="BU8" s="6">
        <v>-3.346131E-3</v>
      </c>
      <c r="BV8" s="6">
        <v>2.6559638554216879E-5</v>
      </c>
      <c r="BW8" s="6">
        <v>-3.5578430000000002E-3</v>
      </c>
      <c r="BX8" s="6">
        <v>-3.381205E-3</v>
      </c>
      <c r="BY8" s="6">
        <v>2.1281686746987977E-5</v>
      </c>
      <c r="BZ8" s="6">
        <v>-3.7531769999999999E-3</v>
      </c>
      <c r="CA8" s="6">
        <v>-3.4795859999999998E-3</v>
      </c>
      <c r="CB8" s="6">
        <v>3.2962771084337359E-5</v>
      </c>
      <c r="CC8" s="6">
        <v>-3.756672E-3</v>
      </c>
      <c r="CD8" s="6">
        <v>-3.4416659999999999E-3</v>
      </c>
      <c r="CE8" s="6">
        <v>3.7952530120481934E-5</v>
      </c>
      <c r="CF8" s="6">
        <v>-3.749863E-3</v>
      </c>
      <c r="CG8" s="6">
        <v>-3.4777839999999998E-3</v>
      </c>
      <c r="CH8" s="6">
        <v>3.2780602409638572E-5</v>
      </c>
      <c r="CI8" s="6">
        <v>-3.7585959999999999E-3</v>
      </c>
      <c r="CJ8" s="6">
        <v>-3.4427110000000002E-3</v>
      </c>
      <c r="CK8" s="6">
        <v>3.8058433734939716E-5</v>
      </c>
      <c r="CL8" s="6">
        <v>-2.4566599999999998E-3</v>
      </c>
      <c r="CM8" s="6">
        <v>-2.3112900000000001E-3</v>
      </c>
      <c r="CN8" s="6">
        <v>1.7514457831325262E-5</v>
      </c>
      <c r="CO8" s="6">
        <v>-2.4531650000000002E-3</v>
      </c>
      <c r="CP8" s="6">
        <v>-2.34921E-3</v>
      </c>
      <c r="CQ8" s="6">
        <v>1.2524698795180745E-5</v>
      </c>
      <c r="CR8" s="6">
        <v>-2.4599740000000002E-3</v>
      </c>
      <c r="CS8" s="6">
        <v>-2.3130920000000001E-3</v>
      </c>
      <c r="CT8" s="6">
        <v>1.7696626506024107E-5</v>
      </c>
      <c r="CU8" s="6">
        <v>-2.4512409999999998E-3</v>
      </c>
      <c r="CV8" s="6">
        <v>-2.3481650000000001E-3</v>
      </c>
      <c r="CW8" s="6">
        <v>1.2418795180722853E-5</v>
      </c>
      <c r="CX8" s="6">
        <v>-2.646575E-3</v>
      </c>
      <c r="CY8" s="6">
        <v>-2.446546E-3</v>
      </c>
      <c r="CZ8" s="6">
        <v>2.4099879518072288E-5</v>
      </c>
      <c r="DA8" s="6">
        <v>-2.65007E-3</v>
      </c>
      <c r="DB8" s="6">
        <v>-2.4086260000000001E-3</v>
      </c>
      <c r="DC8" s="6">
        <v>2.908963855421686E-5</v>
      </c>
      <c r="DD8" s="6">
        <v>-2.643261E-3</v>
      </c>
      <c r="DE8" s="6">
        <v>-2.4447449999999999E-3</v>
      </c>
      <c r="DF8" s="6">
        <v>2.39175903614458E-5</v>
      </c>
      <c r="DG8" s="6">
        <v>-2.651994E-3</v>
      </c>
      <c r="DH8" s="6">
        <v>-2.4096719999999999E-3</v>
      </c>
      <c r="DI8" s="6">
        <v>2.9195421686746998E-5</v>
      </c>
      <c r="DK8" s="3" t="s">
        <v>14</v>
      </c>
      <c r="DL8" s="4">
        <f>Q1</f>
        <v>2708.344101448436</v>
      </c>
      <c r="DM8" s="5" t="str">
        <f t="shared" si="11"/>
        <v>OK</v>
      </c>
    </row>
    <row r="9" spans="1:117" ht="16.2" thickBot="1" x14ac:dyDescent="0.35">
      <c r="A9" s="13" t="s">
        <v>353</v>
      </c>
      <c r="B9" s="13" t="s">
        <v>164</v>
      </c>
      <c r="C9" s="13" t="s">
        <v>205</v>
      </c>
      <c r="D9" s="13" t="s">
        <v>350</v>
      </c>
      <c r="E9" s="13">
        <v>8.3000000000000007</v>
      </c>
      <c r="F9" s="6">
        <v>-2.0644919999999998E-3</v>
      </c>
      <c r="G9" s="6">
        <v>-1.864217E-3</v>
      </c>
      <c r="H9" s="6">
        <v>2.4129518072289125E-5</v>
      </c>
      <c r="I9" s="6">
        <v>-2.7059950000000001E-3</v>
      </c>
      <c r="J9" s="6">
        <v>-2.4538279999999999E-3</v>
      </c>
      <c r="K9" s="6">
        <v>3.0381566265060263E-5</v>
      </c>
      <c r="L9" s="6">
        <v>-2.4632439999999999E-3</v>
      </c>
      <c r="M9" s="6">
        <v>-2.2684010000000002E-3</v>
      </c>
      <c r="N9" s="6">
        <v>2.3475060240963813E-5</v>
      </c>
      <c r="O9" s="6">
        <v>-3.0848899999999999E-3</v>
      </c>
      <c r="P9" s="6">
        <v>-2.8374030000000001E-3</v>
      </c>
      <c r="Q9" s="6">
        <v>2.9817710843373465E-5</v>
      </c>
      <c r="R9" s="6">
        <v>-2.8249669999999998E-3</v>
      </c>
      <c r="S9" s="6">
        <v>-2.5803039999999998E-3</v>
      </c>
      <c r="T9" s="6">
        <v>2.9477469879518069E-5</v>
      </c>
      <c r="U9" s="6">
        <v>-2.9140490000000002E-3</v>
      </c>
      <c r="V9" s="6">
        <v>-2.814357E-3</v>
      </c>
      <c r="W9" s="6">
        <v>1.2011084337349418E-5</v>
      </c>
      <c r="X9" s="6">
        <v>-2.8309720000000002E-3</v>
      </c>
      <c r="Y9" s="6">
        <v>-2.5828919999999998E-3</v>
      </c>
      <c r="Z9" s="6">
        <v>2.9889156626506064E-5</v>
      </c>
      <c r="AA9" s="6">
        <v>-2.9478830000000001E-3</v>
      </c>
      <c r="AB9" s="6">
        <v>-2.878153E-3</v>
      </c>
      <c r="AC9" s="6">
        <v>8.4012048192771135E-6</v>
      </c>
      <c r="AD9" s="6">
        <v>-3.2758209999999999E-3</v>
      </c>
      <c r="AE9" s="6">
        <v>-2.9976310000000002E-3</v>
      </c>
      <c r="AF9" s="6">
        <v>3.3516867469879487E-5</v>
      </c>
      <c r="AG9" s="6">
        <v>-3.14942E-3</v>
      </c>
      <c r="AH9" s="6">
        <v>-2.6982830000000001E-3</v>
      </c>
      <c r="AI9" s="6">
        <v>5.4353855421686732E-5</v>
      </c>
      <c r="AJ9" s="6">
        <v>-3.269816E-3</v>
      </c>
      <c r="AK9" s="6">
        <v>-2.9950430000000002E-3</v>
      </c>
      <c r="AL9" s="6">
        <v>3.3105180722891549E-5</v>
      </c>
      <c r="AM9" s="6">
        <v>-3.1529050000000001E-3</v>
      </c>
      <c r="AN9" s="6">
        <v>-2.699782E-3</v>
      </c>
      <c r="AO9" s="6">
        <v>5.4593132530120495E-5</v>
      </c>
      <c r="AP9" s="6">
        <v>-2.515055E-3</v>
      </c>
      <c r="AQ9" s="6">
        <v>-2.2935970000000001E-3</v>
      </c>
      <c r="AR9" s="6">
        <v>2.6681686746987938E-5</v>
      </c>
      <c r="AS9" s="6">
        <v>-2.6414559999999999E-3</v>
      </c>
      <c r="AT9" s="6">
        <v>-2.5929450000000001E-3</v>
      </c>
      <c r="AU9" s="6">
        <v>5.8446987951806959E-6</v>
      </c>
      <c r="AV9" s="6">
        <v>-2.5210599999999999E-3</v>
      </c>
      <c r="AW9" s="6">
        <v>-2.2961850000000001E-3</v>
      </c>
      <c r="AX9" s="6">
        <v>2.7093373493975879E-5</v>
      </c>
      <c r="AY9" s="6">
        <v>-2.6379709999999998E-3</v>
      </c>
      <c r="AZ9" s="6">
        <v>-2.5914449999999999E-3</v>
      </c>
      <c r="BA9" s="6">
        <v>5.6055421686746817E-6</v>
      </c>
      <c r="BB9" s="6">
        <v>-2.9659090000000001E-3</v>
      </c>
      <c r="BC9" s="6">
        <v>-2.710924E-3</v>
      </c>
      <c r="BD9" s="6">
        <v>3.0721084337349407E-5</v>
      </c>
      <c r="BE9" s="6">
        <v>-2.8395080000000001E-3</v>
      </c>
      <c r="BF9" s="6">
        <v>-2.4115759999999999E-3</v>
      </c>
      <c r="BG9" s="6">
        <v>5.1558072289156652E-5</v>
      </c>
      <c r="BH9" s="6">
        <v>-2.9599040000000002E-3</v>
      </c>
      <c r="BI9" s="6">
        <v>-2.708336E-3</v>
      </c>
      <c r="BJ9" s="6">
        <v>3.0309397590361466E-5</v>
      </c>
      <c r="BK9" s="6">
        <v>-2.8429929999999998E-3</v>
      </c>
      <c r="BL9" s="6">
        <v>-2.4130750000000002E-3</v>
      </c>
      <c r="BM9" s="6">
        <v>5.1797349397590313E-5</v>
      </c>
      <c r="BN9" s="6">
        <v>-3.34433E-3</v>
      </c>
      <c r="BO9" s="6">
        <v>-3.0608599999999999E-3</v>
      </c>
      <c r="BP9" s="6">
        <v>3.4153012048192776E-5</v>
      </c>
      <c r="BQ9" s="6">
        <v>-3.3822499999999998E-3</v>
      </c>
      <c r="BR9" s="6">
        <v>-3.150665E-3</v>
      </c>
      <c r="BS9" s="6">
        <v>2.7901807228915645E-5</v>
      </c>
      <c r="BT9" s="6">
        <v>-3.346131E-3</v>
      </c>
      <c r="BU9" s="6">
        <v>-3.0616369999999999E-3</v>
      </c>
      <c r="BV9" s="6">
        <v>3.4276385542168688E-5</v>
      </c>
      <c r="BW9" s="6">
        <v>-3.381205E-3</v>
      </c>
      <c r="BX9" s="6">
        <v>-3.150215E-3</v>
      </c>
      <c r="BY9" s="6">
        <v>2.7830120481927701E-5</v>
      </c>
      <c r="BZ9" s="6">
        <v>-3.4795859999999998E-3</v>
      </c>
      <c r="CA9" s="6">
        <v>-3.1860579999999999E-3</v>
      </c>
      <c r="CB9" s="6">
        <v>3.5364819277108424E-5</v>
      </c>
      <c r="CC9" s="6">
        <v>-3.4416659999999999E-3</v>
      </c>
      <c r="CD9" s="6">
        <v>-3.0962540000000001E-3</v>
      </c>
      <c r="CE9" s="6">
        <v>4.1615903614457802E-5</v>
      </c>
      <c r="CF9" s="6">
        <v>-3.4777839999999998E-3</v>
      </c>
      <c r="CG9" s="6">
        <v>-3.1852819999999998E-3</v>
      </c>
      <c r="CH9" s="6">
        <v>3.5241204819277109E-5</v>
      </c>
      <c r="CI9" s="6">
        <v>-3.4427110000000002E-3</v>
      </c>
      <c r="CJ9" s="6">
        <v>-3.096704E-3</v>
      </c>
      <c r="CK9" s="6">
        <v>4.1687590361445801E-5</v>
      </c>
      <c r="CL9" s="6">
        <v>-2.3112900000000001E-3</v>
      </c>
      <c r="CM9" s="6">
        <v>-2.1051690000000001E-3</v>
      </c>
      <c r="CN9" s="6">
        <v>2.4833855421686753E-5</v>
      </c>
      <c r="CO9" s="6">
        <v>-2.34921E-3</v>
      </c>
      <c r="CP9" s="6">
        <v>-2.1949740000000001E-3</v>
      </c>
      <c r="CQ9" s="6">
        <v>1.8582650602409623E-5</v>
      </c>
      <c r="CR9" s="6">
        <v>-2.3130920000000001E-3</v>
      </c>
      <c r="CS9" s="6">
        <v>-2.105946E-3</v>
      </c>
      <c r="CT9" s="6">
        <v>2.4957349397590367E-5</v>
      </c>
      <c r="CU9" s="6">
        <v>-2.3481650000000001E-3</v>
      </c>
      <c r="CV9" s="6">
        <v>-2.1945240000000002E-3</v>
      </c>
      <c r="CW9" s="6">
        <v>1.8510963855421679E-5</v>
      </c>
      <c r="CX9" s="6">
        <v>-2.446546E-3</v>
      </c>
      <c r="CY9" s="6">
        <v>-2.230367E-3</v>
      </c>
      <c r="CZ9" s="6">
        <v>2.6045662650602398E-5</v>
      </c>
      <c r="DA9" s="6">
        <v>-2.4086260000000001E-3</v>
      </c>
      <c r="DB9" s="6">
        <v>-2.1405629999999998E-3</v>
      </c>
      <c r="DC9" s="6">
        <v>3.2296746987951831E-5</v>
      </c>
      <c r="DD9" s="6">
        <v>-2.4447449999999999E-3</v>
      </c>
      <c r="DE9" s="6">
        <v>-2.229591E-3</v>
      </c>
      <c r="DF9" s="6">
        <v>2.5922168674698788E-5</v>
      </c>
      <c r="DG9" s="6">
        <v>-2.4096719999999999E-3</v>
      </c>
      <c r="DH9" s="6">
        <v>-2.1410130000000002E-3</v>
      </c>
      <c r="DI9" s="6">
        <v>3.2368554216867426E-5</v>
      </c>
      <c r="DK9" s="3" t="s">
        <v>15</v>
      </c>
      <c r="DL9" s="4">
        <f>T1</f>
        <v>2866.0438718802425</v>
      </c>
      <c r="DM9" s="5" t="str">
        <f t="shared" si="11"/>
        <v>OK</v>
      </c>
    </row>
    <row r="10" spans="1:117" ht="16.2" thickBot="1" x14ac:dyDescent="0.35">
      <c r="A10" s="13" t="s">
        <v>354</v>
      </c>
      <c r="B10" s="13" t="s">
        <v>205</v>
      </c>
      <c r="C10" s="13" t="s">
        <v>246</v>
      </c>
      <c r="D10" s="13" t="s">
        <v>350</v>
      </c>
      <c r="E10" s="13">
        <v>8.3000000000000007</v>
      </c>
      <c r="F10" s="6">
        <v>-1.864217E-3</v>
      </c>
      <c r="G10" s="6">
        <v>-1.644665E-3</v>
      </c>
      <c r="H10" s="6">
        <v>2.6452048192771087E-5</v>
      </c>
      <c r="I10" s="6">
        <v>-2.4538279999999999E-3</v>
      </c>
      <c r="J10" s="6">
        <v>-2.1552749999999999E-3</v>
      </c>
      <c r="K10" s="6">
        <v>3.5970240963855419E-5</v>
      </c>
      <c r="L10" s="6">
        <v>-2.2684010000000002E-3</v>
      </c>
      <c r="M10" s="6">
        <v>-2.055032E-3</v>
      </c>
      <c r="N10" s="6">
        <v>2.5707108433734956E-5</v>
      </c>
      <c r="O10" s="6">
        <v>-2.8374030000000001E-3</v>
      </c>
      <c r="P10" s="6">
        <v>-2.5452180000000001E-3</v>
      </c>
      <c r="Q10" s="6">
        <v>3.5203012048192761E-5</v>
      </c>
      <c r="R10" s="6">
        <v>-2.5803039999999998E-3</v>
      </c>
      <c r="S10" s="6">
        <v>-2.2374719999999999E-3</v>
      </c>
      <c r="T10" s="6">
        <v>4.1305060240963847E-5</v>
      </c>
      <c r="U10" s="6">
        <v>-2.814357E-3</v>
      </c>
      <c r="V10" s="6">
        <v>-2.6172669999999999E-3</v>
      </c>
      <c r="W10" s="6">
        <v>2.3745783132530121E-5</v>
      </c>
      <c r="X10" s="6">
        <v>-2.5828919999999998E-3</v>
      </c>
      <c r="Y10" s="6">
        <v>-2.2370089999999999E-3</v>
      </c>
      <c r="Z10" s="6">
        <v>4.167265060240963E-5</v>
      </c>
      <c r="AA10" s="6">
        <v>-2.878153E-3</v>
      </c>
      <c r="AB10" s="6">
        <v>-2.7110039999999999E-3</v>
      </c>
      <c r="AC10" s="6">
        <v>2.0138433734939772E-5</v>
      </c>
      <c r="AD10" s="6">
        <v>-2.9976310000000002E-3</v>
      </c>
      <c r="AE10" s="6">
        <v>-2.724363E-3</v>
      </c>
      <c r="AF10" s="6">
        <v>3.2923855421686756E-5</v>
      </c>
      <c r="AG10" s="6">
        <v>-2.6982830000000001E-3</v>
      </c>
      <c r="AH10" s="6">
        <v>-2.251107E-3</v>
      </c>
      <c r="AI10" s="6">
        <v>5.3876626506024099E-5</v>
      </c>
      <c r="AJ10" s="6">
        <v>-2.9950430000000002E-3</v>
      </c>
      <c r="AK10" s="6">
        <v>-2.7248260000000001E-3</v>
      </c>
      <c r="AL10" s="6">
        <v>3.2556265060240973E-5</v>
      </c>
      <c r="AM10" s="6">
        <v>-2.699782E-3</v>
      </c>
      <c r="AN10" s="6">
        <v>-2.250831E-3</v>
      </c>
      <c r="AO10" s="6">
        <v>5.4090481927710831E-5</v>
      </c>
      <c r="AP10" s="6">
        <v>-2.2935970000000001E-3</v>
      </c>
      <c r="AQ10" s="6">
        <v>-1.9761290000000001E-3</v>
      </c>
      <c r="AR10" s="6">
        <v>3.8249156626506021E-5</v>
      </c>
      <c r="AS10" s="6">
        <v>-2.5929450000000001E-3</v>
      </c>
      <c r="AT10" s="6">
        <v>-2.4493840000000002E-3</v>
      </c>
      <c r="AU10" s="6">
        <v>1.7296506024096379E-5</v>
      </c>
      <c r="AV10" s="6">
        <v>-2.2961850000000001E-3</v>
      </c>
      <c r="AW10" s="6">
        <v>-1.9756650000000001E-3</v>
      </c>
      <c r="AX10" s="6">
        <v>3.8616867469879502E-5</v>
      </c>
      <c r="AY10" s="6">
        <v>-2.5914449999999999E-3</v>
      </c>
      <c r="AZ10" s="6">
        <v>-2.4496610000000001E-3</v>
      </c>
      <c r="BA10" s="6">
        <v>1.7082409638554194E-5</v>
      </c>
      <c r="BB10" s="6">
        <v>-2.710924E-3</v>
      </c>
      <c r="BC10" s="6">
        <v>-2.4630189999999999E-3</v>
      </c>
      <c r="BD10" s="6">
        <v>2.9868072289156634E-5</v>
      </c>
      <c r="BE10" s="6">
        <v>-2.4115759999999999E-3</v>
      </c>
      <c r="BF10" s="6">
        <v>-1.9897640000000002E-3</v>
      </c>
      <c r="BG10" s="6">
        <v>5.0820722891566226E-5</v>
      </c>
      <c r="BH10" s="6">
        <v>-2.708336E-3</v>
      </c>
      <c r="BI10" s="6">
        <v>-2.4634829999999998E-3</v>
      </c>
      <c r="BJ10" s="6">
        <v>2.950036144578315E-5</v>
      </c>
      <c r="BK10" s="6">
        <v>-2.4130750000000002E-3</v>
      </c>
      <c r="BL10" s="6">
        <v>-1.9894869999999999E-3</v>
      </c>
      <c r="BM10" s="6">
        <v>5.1034698795180764E-5</v>
      </c>
      <c r="BN10" s="6">
        <v>-3.0608599999999999E-3</v>
      </c>
      <c r="BO10" s="6">
        <v>-2.7127850000000001E-3</v>
      </c>
      <c r="BP10" s="6">
        <v>4.1936746987951779E-5</v>
      </c>
      <c r="BQ10" s="6">
        <v>-3.150665E-3</v>
      </c>
      <c r="BR10" s="6">
        <v>-2.8547619999999998E-3</v>
      </c>
      <c r="BS10" s="6">
        <v>3.5650963855421697E-5</v>
      </c>
      <c r="BT10" s="6">
        <v>-3.0616369999999999E-3</v>
      </c>
      <c r="BU10" s="6">
        <v>-2.712646E-3</v>
      </c>
      <c r="BV10" s="6">
        <v>4.2047108433734924E-5</v>
      </c>
      <c r="BW10" s="6">
        <v>-3.150215E-3</v>
      </c>
      <c r="BX10" s="6">
        <v>-2.854845E-3</v>
      </c>
      <c r="BY10" s="6">
        <v>3.5586746987951815E-5</v>
      </c>
      <c r="BZ10" s="6">
        <v>-3.1860579999999999E-3</v>
      </c>
      <c r="CA10" s="6">
        <v>-2.8588519999999998E-3</v>
      </c>
      <c r="CB10" s="6">
        <v>3.9422409638554214E-5</v>
      </c>
      <c r="CC10" s="6">
        <v>-3.0962540000000001E-3</v>
      </c>
      <c r="CD10" s="6">
        <v>-2.716876E-3</v>
      </c>
      <c r="CE10" s="6">
        <v>4.5708192771084343E-5</v>
      </c>
      <c r="CF10" s="6">
        <v>-3.1852819999999998E-3</v>
      </c>
      <c r="CG10" s="6">
        <v>-2.858991E-3</v>
      </c>
      <c r="CH10" s="6">
        <v>3.9312168674698773E-5</v>
      </c>
      <c r="CI10" s="6">
        <v>-3.096704E-3</v>
      </c>
      <c r="CJ10" s="6">
        <v>-2.7167929999999999E-3</v>
      </c>
      <c r="CK10" s="6">
        <v>4.5772409638554233E-5</v>
      </c>
      <c r="CL10" s="6">
        <v>-2.1051690000000001E-3</v>
      </c>
      <c r="CM10" s="6">
        <v>-1.8416389999999999E-3</v>
      </c>
      <c r="CN10" s="6">
        <v>3.1750602409638563E-5</v>
      </c>
      <c r="CO10" s="6">
        <v>-2.1949740000000001E-3</v>
      </c>
      <c r="CP10" s="6">
        <v>-1.9836160000000001E-3</v>
      </c>
      <c r="CQ10" s="6">
        <v>2.5464819277108434E-5</v>
      </c>
      <c r="CR10" s="6">
        <v>-2.105946E-3</v>
      </c>
      <c r="CS10" s="6">
        <v>-1.8415E-3</v>
      </c>
      <c r="CT10" s="6">
        <v>3.1860963855421681E-5</v>
      </c>
      <c r="CU10" s="6">
        <v>-2.1945240000000002E-3</v>
      </c>
      <c r="CV10" s="6">
        <v>-1.9836989999999998E-3</v>
      </c>
      <c r="CW10" s="6">
        <v>2.5400602409638602E-5</v>
      </c>
      <c r="CX10" s="6">
        <v>-2.230367E-3</v>
      </c>
      <c r="CY10" s="6">
        <v>-1.9877060000000001E-3</v>
      </c>
      <c r="CZ10" s="6">
        <v>2.923626506024095E-5</v>
      </c>
      <c r="DA10" s="6">
        <v>-2.1405629999999998E-3</v>
      </c>
      <c r="DB10" s="6">
        <v>-1.8457300000000001E-3</v>
      </c>
      <c r="DC10" s="6">
        <v>3.5522048192771052E-5</v>
      </c>
      <c r="DD10" s="6">
        <v>-2.229591E-3</v>
      </c>
      <c r="DE10" s="6">
        <v>-1.9878449999999998E-3</v>
      </c>
      <c r="DF10" s="6">
        <v>2.9126024096385557E-5</v>
      </c>
      <c r="DG10" s="6">
        <v>-2.1410130000000002E-3</v>
      </c>
      <c r="DH10" s="6">
        <v>-1.845647E-3</v>
      </c>
      <c r="DI10" s="6">
        <v>3.5586265060240989E-5</v>
      </c>
      <c r="DK10" s="3" t="s">
        <v>16</v>
      </c>
      <c r="DL10" s="4">
        <f>W1</f>
        <v>3257.5198570364805</v>
      </c>
      <c r="DM10" s="5" t="str">
        <f t="shared" si="11"/>
        <v>OK</v>
      </c>
    </row>
    <row r="11" spans="1:117" ht="16.2" thickBot="1" x14ac:dyDescent="0.35">
      <c r="A11" s="13" t="s">
        <v>355</v>
      </c>
      <c r="B11" s="13" t="s">
        <v>246</v>
      </c>
      <c r="C11" s="13" t="s">
        <v>284</v>
      </c>
      <c r="D11" s="13" t="s">
        <v>350</v>
      </c>
      <c r="E11" s="13">
        <v>8.3000000000000007</v>
      </c>
      <c r="F11" s="6">
        <v>-1.644665E-3</v>
      </c>
      <c r="G11" s="6">
        <v>-1.4523940000000001E-3</v>
      </c>
      <c r="H11" s="6">
        <v>2.3165180722891556E-5</v>
      </c>
      <c r="I11" s="6">
        <v>-2.1552749999999999E-3</v>
      </c>
      <c r="J11" s="6">
        <v>-1.8877010000000001E-3</v>
      </c>
      <c r="K11" s="6">
        <v>3.2237831325301177E-5</v>
      </c>
      <c r="L11" s="6">
        <v>-2.055032E-3</v>
      </c>
      <c r="M11" s="6">
        <v>-1.8681430000000001E-3</v>
      </c>
      <c r="N11" s="6">
        <v>2.2516746987951803E-5</v>
      </c>
      <c r="O11" s="6">
        <v>-2.5452180000000001E-3</v>
      </c>
      <c r="P11" s="6">
        <v>-2.2837259999999998E-3</v>
      </c>
      <c r="Q11" s="6">
        <v>3.1505060240963894E-5</v>
      </c>
      <c r="R11" s="6">
        <v>-2.2374719999999999E-3</v>
      </c>
      <c r="S11" s="6">
        <v>-1.9420730000000001E-3</v>
      </c>
      <c r="T11" s="6">
        <v>3.5590240963855392E-5</v>
      </c>
      <c r="U11" s="6">
        <v>-2.6172669999999999E-3</v>
      </c>
      <c r="V11" s="6">
        <v>-2.384171E-3</v>
      </c>
      <c r="W11" s="6">
        <v>2.8083855421686734E-5</v>
      </c>
      <c r="X11" s="6">
        <v>-2.2370089999999999E-3</v>
      </c>
      <c r="Y11" s="6">
        <v>-1.938644E-3</v>
      </c>
      <c r="Z11" s="6">
        <v>3.5947590361445764E-5</v>
      </c>
      <c r="AA11" s="6">
        <v>-2.7110039999999999E-3</v>
      </c>
      <c r="AB11" s="6">
        <v>-2.4878499999999998E-3</v>
      </c>
      <c r="AC11" s="6">
        <v>2.6886024096385558E-5</v>
      </c>
      <c r="AD11" s="6">
        <v>-2.724363E-3</v>
      </c>
      <c r="AE11" s="6">
        <v>-2.468498E-3</v>
      </c>
      <c r="AF11" s="6">
        <v>3.0827108433734947E-5</v>
      </c>
      <c r="AG11" s="6">
        <v>-2.251107E-3</v>
      </c>
      <c r="AH11" s="6">
        <v>-1.924725E-3</v>
      </c>
      <c r="AI11" s="6">
        <v>3.9323132530120487E-5</v>
      </c>
      <c r="AJ11" s="6">
        <v>-2.7248260000000001E-3</v>
      </c>
      <c r="AK11" s="6">
        <v>-2.471928E-3</v>
      </c>
      <c r="AL11" s="6">
        <v>3.0469638554216877E-5</v>
      </c>
      <c r="AM11" s="6">
        <v>-2.250831E-3</v>
      </c>
      <c r="AN11" s="6">
        <v>-1.922722E-3</v>
      </c>
      <c r="AO11" s="6">
        <v>3.953120481927711E-5</v>
      </c>
      <c r="AP11" s="6">
        <v>-1.9761290000000001E-3</v>
      </c>
      <c r="AQ11" s="6">
        <v>-1.702926E-3</v>
      </c>
      <c r="AR11" s="6">
        <v>3.2916024096385546E-5</v>
      </c>
      <c r="AS11" s="6">
        <v>-2.4493840000000002E-3</v>
      </c>
      <c r="AT11" s="6">
        <v>-2.246699E-3</v>
      </c>
      <c r="AU11" s="6">
        <v>2.4419879518072309E-5</v>
      </c>
      <c r="AV11" s="6">
        <v>-1.9756650000000001E-3</v>
      </c>
      <c r="AW11" s="6">
        <v>-1.6994969999999999E-3</v>
      </c>
      <c r="AX11" s="6">
        <v>3.3273253012048221E-5</v>
      </c>
      <c r="AY11" s="6">
        <v>-2.4496610000000001E-3</v>
      </c>
      <c r="AZ11" s="6">
        <v>-2.2487029999999999E-3</v>
      </c>
      <c r="BA11" s="6">
        <v>2.4211807228915685E-5</v>
      </c>
      <c r="BB11" s="6">
        <v>-2.4630189999999999E-3</v>
      </c>
      <c r="BC11" s="6">
        <v>-2.2293510000000001E-3</v>
      </c>
      <c r="BD11" s="6">
        <v>2.8152771084337326E-5</v>
      </c>
      <c r="BE11" s="6">
        <v>-1.9897640000000002E-3</v>
      </c>
      <c r="BF11" s="6">
        <v>-1.6855780000000001E-3</v>
      </c>
      <c r="BG11" s="6">
        <v>3.6648915662650614E-5</v>
      </c>
      <c r="BH11" s="6">
        <v>-2.4634829999999998E-3</v>
      </c>
      <c r="BI11" s="6">
        <v>-2.2327800000000002E-3</v>
      </c>
      <c r="BJ11" s="6">
        <v>2.7795542168674651E-5</v>
      </c>
      <c r="BK11" s="6">
        <v>-1.9894869999999999E-3</v>
      </c>
      <c r="BL11" s="6">
        <v>-1.683574E-3</v>
      </c>
      <c r="BM11" s="6">
        <v>3.685698795180721E-5</v>
      </c>
      <c r="BN11" s="6">
        <v>-2.7127850000000001E-3</v>
      </c>
      <c r="BO11" s="6">
        <v>-2.4053270000000001E-3</v>
      </c>
      <c r="BP11" s="6">
        <v>3.7043132530120481E-5</v>
      </c>
      <c r="BQ11" s="6">
        <v>-2.8547619999999998E-3</v>
      </c>
      <c r="BR11" s="6">
        <v>-2.5684589999999999E-3</v>
      </c>
      <c r="BS11" s="6">
        <v>3.4494337349397574E-5</v>
      </c>
      <c r="BT11" s="6">
        <v>-2.712646E-3</v>
      </c>
      <c r="BU11" s="6">
        <v>-2.404298E-3</v>
      </c>
      <c r="BV11" s="6">
        <v>3.7150361445783123E-5</v>
      </c>
      <c r="BW11" s="6">
        <v>-2.854845E-3</v>
      </c>
      <c r="BX11" s="6">
        <v>-2.5690600000000002E-3</v>
      </c>
      <c r="BY11" s="6">
        <v>3.4431927710843343E-5</v>
      </c>
      <c r="BZ11" s="6">
        <v>-2.8588519999999998E-3</v>
      </c>
      <c r="CA11" s="6">
        <v>-2.5632540000000001E-3</v>
      </c>
      <c r="CB11" s="6">
        <v>3.5614216867469852E-5</v>
      </c>
      <c r="CC11" s="6">
        <v>-2.716876E-3</v>
      </c>
      <c r="CD11" s="6">
        <v>-2.4001220000000002E-3</v>
      </c>
      <c r="CE11" s="6">
        <v>3.8163132530120457E-5</v>
      </c>
      <c r="CF11" s="6">
        <v>-2.858991E-3</v>
      </c>
      <c r="CG11" s="6">
        <v>-2.5642830000000001E-3</v>
      </c>
      <c r="CH11" s="6">
        <v>3.5506987951807211E-5</v>
      </c>
      <c r="CI11" s="6">
        <v>-2.7167929999999999E-3</v>
      </c>
      <c r="CJ11" s="6">
        <v>-2.3995209999999999E-3</v>
      </c>
      <c r="CK11" s="6">
        <v>3.8225542168674689E-5</v>
      </c>
      <c r="CL11" s="6">
        <v>-1.8416389999999999E-3</v>
      </c>
      <c r="CM11" s="6">
        <v>-1.6081699999999999E-3</v>
      </c>
      <c r="CN11" s="6">
        <v>2.8128795180722892E-5</v>
      </c>
      <c r="CO11" s="6">
        <v>-1.9836160000000001E-3</v>
      </c>
      <c r="CP11" s="6">
        <v>-1.771302E-3</v>
      </c>
      <c r="CQ11" s="6">
        <v>2.5580000000000013E-5</v>
      </c>
      <c r="CR11" s="6">
        <v>-1.8415E-3</v>
      </c>
      <c r="CS11" s="6">
        <v>-1.6071410000000001E-3</v>
      </c>
      <c r="CT11" s="6">
        <v>2.8236024096385534E-5</v>
      </c>
      <c r="CU11" s="6">
        <v>-1.9836989999999998E-3</v>
      </c>
      <c r="CV11" s="6">
        <v>-1.771903E-3</v>
      </c>
      <c r="CW11" s="6">
        <v>2.5517590361445754E-5</v>
      </c>
      <c r="CX11" s="6">
        <v>-1.9877060000000001E-3</v>
      </c>
      <c r="CY11" s="6">
        <v>-1.7660969999999999E-3</v>
      </c>
      <c r="CZ11" s="6">
        <v>2.6699879518072314E-5</v>
      </c>
      <c r="DA11" s="6">
        <v>-1.8457300000000001E-3</v>
      </c>
      <c r="DB11" s="6">
        <v>-1.602965E-3</v>
      </c>
      <c r="DC11" s="6">
        <v>2.9248795180722895E-5</v>
      </c>
      <c r="DD11" s="6">
        <v>-1.9878449999999998E-3</v>
      </c>
      <c r="DE11" s="6">
        <v>-1.7671259999999999E-3</v>
      </c>
      <c r="DF11" s="6">
        <v>2.6592650602409619E-5</v>
      </c>
      <c r="DG11" s="6">
        <v>-1.845647E-3</v>
      </c>
      <c r="DH11" s="6">
        <v>-1.602364E-3</v>
      </c>
      <c r="DI11" s="6">
        <v>2.93112048192771E-5</v>
      </c>
      <c r="DK11" s="3" t="s">
        <v>17</v>
      </c>
      <c r="DL11" s="4">
        <f>Z1</f>
        <v>2856.2704410456663</v>
      </c>
      <c r="DM11" s="5" t="str">
        <f t="shared" si="11"/>
        <v>OK</v>
      </c>
    </row>
    <row r="12" spans="1:117" ht="16.2" thickBot="1" x14ac:dyDescent="0.35">
      <c r="A12" s="13" t="s">
        <v>356</v>
      </c>
      <c r="B12" s="13" t="s">
        <v>284</v>
      </c>
      <c r="C12" s="13" t="s">
        <v>285</v>
      </c>
      <c r="D12" s="13" t="s">
        <v>350</v>
      </c>
      <c r="E12" s="13">
        <v>5.5</v>
      </c>
      <c r="F12" s="6">
        <v>-1.4523940000000001E-3</v>
      </c>
      <c r="G12" s="6">
        <v>-1.3754749999999999E-3</v>
      </c>
      <c r="H12" s="6">
        <v>1.3985272727272756E-5</v>
      </c>
      <c r="I12" s="6">
        <v>-1.8877010000000001E-3</v>
      </c>
      <c r="J12" s="6">
        <v>-1.7900069999999999E-3</v>
      </c>
      <c r="K12" s="6">
        <v>1.7762545454545484E-5</v>
      </c>
      <c r="L12" s="6">
        <v>-1.8681430000000001E-3</v>
      </c>
      <c r="M12" s="6">
        <v>-1.8017440000000001E-3</v>
      </c>
      <c r="N12" s="6">
        <v>1.207254545454545E-5</v>
      </c>
      <c r="O12" s="6">
        <v>-2.2837259999999998E-3</v>
      </c>
      <c r="P12" s="6">
        <v>-2.1963540000000002E-3</v>
      </c>
      <c r="Q12" s="6">
        <v>1.5885818181818115E-5</v>
      </c>
      <c r="R12" s="6">
        <v>-1.9420730000000001E-3</v>
      </c>
      <c r="S12" s="6">
        <v>-1.8569979999999999E-3</v>
      </c>
      <c r="T12" s="6">
        <v>1.5468181818181857E-5</v>
      </c>
      <c r="U12" s="6">
        <v>-2.384171E-3</v>
      </c>
      <c r="V12" s="6">
        <v>-2.2833910000000001E-3</v>
      </c>
      <c r="W12" s="6">
        <v>1.8323636363636357E-5</v>
      </c>
      <c r="X12" s="6">
        <v>-1.938644E-3</v>
      </c>
      <c r="Y12" s="6">
        <v>-1.852605E-3</v>
      </c>
      <c r="Z12" s="6">
        <v>1.5643454545454545E-5</v>
      </c>
      <c r="AA12" s="6">
        <v>-2.4878499999999998E-3</v>
      </c>
      <c r="AB12" s="6">
        <v>-2.3807110000000002E-3</v>
      </c>
      <c r="AC12" s="6">
        <v>1.9479818181818108E-5</v>
      </c>
      <c r="AD12" s="6">
        <v>-2.468498E-3</v>
      </c>
      <c r="AE12" s="6">
        <v>-2.3609289999999999E-3</v>
      </c>
      <c r="AF12" s="6">
        <v>1.9558000000000012E-5</v>
      </c>
      <c r="AG12" s="6">
        <v>-1.924725E-3</v>
      </c>
      <c r="AH12" s="6">
        <v>-1.8397820000000001E-3</v>
      </c>
      <c r="AI12" s="6">
        <v>1.5444181818181794E-5</v>
      </c>
      <c r="AJ12" s="6">
        <v>-2.471928E-3</v>
      </c>
      <c r="AK12" s="6">
        <v>-2.365322E-3</v>
      </c>
      <c r="AL12" s="6">
        <v>1.9382909090909087E-5</v>
      </c>
      <c r="AM12" s="6">
        <v>-1.922722E-3</v>
      </c>
      <c r="AN12" s="6">
        <v>-1.837216E-3</v>
      </c>
      <c r="AO12" s="6">
        <v>1.5546545454545446E-5</v>
      </c>
      <c r="AP12" s="6">
        <v>-1.702926E-3</v>
      </c>
      <c r="AQ12" s="6">
        <v>-1.6254290000000001E-3</v>
      </c>
      <c r="AR12" s="6">
        <v>1.4090363636363626E-5</v>
      </c>
      <c r="AS12" s="6">
        <v>-2.246699E-3</v>
      </c>
      <c r="AT12" s="6">
        <v>-2.146575E-3</v>
      </c>
      <c r="AU12" s="6">
        <v>1.8204363636363646E-5</v>
      </c>
      <c r="AV12" s="6">
        <v>-1.6994969999999999E-3</v>
      </c>
      <c r="AW12" s="6">
        <v>-1.621036E-3</v>
      </c>
      <c r="AX12" s="6">
        <v>1.4265636363636353E-5</v>
      </c>
      <c r="AY12" s="6">
        <v>-2.2487029999999999E-3</v>
      </c>
      <c r="AZ12" s="6">
        <v>-2.1491420000000002E-3</v>
      </c>
      <c r="BA12" s="6">
        <v>1.8101999999999953E-5</v>
      </c>
      <c r="BB12" s="6">
        <v>-2.2293510000000001E-3</v>
      </c>
      <c r="BC12" s="6">
        <v>-2.1293599999999998E-3</v>
      </c>
      <c r="BD12" s="6">
        <v>1.818018181818186E-5</v>
      </c>
      <c r="BE12" s="6">
        <v>-1.6855780000000001E-3</v>
      </c>
      <c r="BF12" s="6">
        <v>-1.608213E-3</v>
      </c>
      <c r="BG12" s="6">
        <v>1.4066363636363641E-5</v>
      </c>
      <c r="BH12" s="6">
        <v>-2.2327800000000002E-3</v>
      </c>
      <c r="BI12" s="6">
        <v>-2.133752E-3</v>
      </c>
      <c r="BJ12" s="6">
        <v>1.8005090909090935E-5</v>
      </c>
      <c r="BK12" s="6">
        <v>-1.683574E-3</v>
      </c>
      <c r="BL12" s="6">
        <v>-1.605647E-3</v>
      </c>
      <c r="BM12" s="6">
        <v>1.4168545454545452E-5</v>
      </c>
      <c r="BN12" s="6">
        <v>-2.4053270000000001E-3</v>
      </c>
      <c r="BO12" s="6">
        <v>-2.3035379999999999E-3</v>
      </c>
      <c r="BP12" s="6">
        <v>1.8507090909090932E-5</v>
      </c>
      <c r="BQ12" s="6">
        <v>-2.5684589999999999E-3</v>
      </c>
      <c r="BR12" s="6">
        <v>-2.459882E-3</v>
      </c>
      <c r="BS12" s="6">
        <v>1.9741272727272707E-5</v>
      </c>
      <c r="BT12" s="6">
        <v>-2.404298E-3</v>
      </c>
      <c r="BU12" s="6">
        <v>-2.3022199999999998E-3</v>
      </c>
      <c r="BV12" s="6">
        <v>1.8559636363636407E-5</v>
      </c>
      <c r="BW12" s="6">
        <v>-2.5690600000000002E-3</v>
      </c>
      <c r="BX12" s="6">
        <v>-2.4606519999999998E-3</v>
      </c>
      <c r="BY12" s="6">
        <v>1.9710545454545523E-5</v>
      </c>
      <c r="BZ12" s="6">
        <v>-2.5632540000000001E-3</v>
      </c>
      <c r="CA12" s="6">
        <v>-2.4547169999999999E-3</v>
      </c>
      <c r="CB12" s="6">
        <v>1.9734000000000025E-5</v>
      </c>
      <c r="CC12" s="6">
        <v>-2.4001220000000002E-3</v>
      </c>
      <c r="CD12" s="6">
        <v>-2.2983729999999998E-3</v>
      </c>
      <c r="CE12" s="6">
        <v>1.8499818181818249E-5</v>
      </c>
      <c r="CF12" s="6">
        <v>-2.5642830000000001E-3</v>
      </c>
      <c r="CG12" s="6">
        <v>-2.4560350000000001E-3</v>
      </c>
      <c r="CH12" s="6">
        <v>1.9681454545454549E-5</v>
      </c>
      <c r="CI12" s="6">
        <v>-2.3995209999999999E-3</v>
      </c>
      <c r="CJ12" s="6">
        <v>-2.297604E-3</v>
      </c>
      <c r="CK12" s="6">
        <v>1.8530363636363632E-5</v>
      </c>
      <c r="CL12" s="6">
        <v>-1.6081699999999999E-3</v>
      </c>
      <c r="CM12" s="6">
        <v>-1.5316399999999999E-3</v>
      </c>
      <c r="CN12" s="6">
        <v>1.3914545454545454E-5</v>
      </c>
      <c r="CO12" s="6">
        <v>-1.771302E-3</v>
      </c>
      <c r="CP12" s="6">
        <v>-1.687984E-3</v>
      </c>
      <c r="CQ12" s="6">
        <v>1.5148727272727269E-5</v>
      </c>
      <c r="CR12" s="6">
        <v>-1.6071410000000001E-3</v>
      </c>
      <c r="CS12" s="6">
        <v>-1.530322E-3</v>
      </c>
      <c r="CT12" s="6">
        <v>1.3967090909090928E-5</v>
      </c>
      <c r="CU12" s="6">
        <v>-1.771903E-3</v>
      </c>
      <c r="CV12" s="6">
        <v>-1.688754E-3</v>
      </c>
      <c r="CW12" s="6">
        <v>1.5118000000000005E-5</v>
      </c>
      <c r="CX12" s="6">
        <v>-1.7660969999999999E-3</v>
      </c>
      <c r="CY12" s="6">
        <v>-1.68282E-3</v>
      </c>
      <c r="CZ12" s="6">
        <v>1.5141272727272704E-5</v>
      </c>
      <c r="DA12" s="6">
        <v>-1.602965E-3</v>
      </c>
      <c r="DB12" s="6">
        <v>-1.5264759999999999E-3</v>
      </c>
      <c r="DC12" s="6">
        <v>1.390709090909093E-5</v>
      </c>
      <c r="DD12" s="6">
        <v>-1.7671259999999999E-3</v>
      </c>
      <c r="DE12" s="6">
        <v>-1.684137E-3</v>
      </c>
      <c r="DF12" s="6">
        <v>1.5088909090909072E-5</v>
      </c>
      <c r="DG12" s="6">
        <v>-1.602364E-3</v>
      </c>
      <c r="DH12" s="6">
        <v>-1.5257059999999999E-3</v>
      </c>
      <c r="DI12" s="6">
        <v>1.3937818181818194E-5</v>
      </c>
      <c r="DK12" s="3" t="s">
        <v>18</v>
      </c>
      <c r="DL12" s="4">
        <f>AC1</f>
        <v>3265.2404804372559</v>
      </c>
      <c r="DM12" s="5" t="str">
        <f t="shared" si="11"/>
        <v>OK</v>
      </c>
    </row>
    <row r="13" spans="1:117" ht="16.2" thickBot="1" x14ac:dyDescent="0.35">
      <c r="A13" s="13" t="s">
        <v>357</v>
      </c>
      <c r="B13" s="13" t="s">
        <v>57</v>
      </c>
      <c r="C13" s="13" t="s">
        <v>92</v>
      </c>
      <c r="D13" s="13" t="s">
        <v>347</v>
      </c>
      <c r="E13" s="13">
        <v>8.3000000000000007</v>
      </c>
      <c r="F13" s="6">
        <v>-2.6441799999999999E-3</v>
      </c>
      <c r="G13" s="6">
        <v>2.4206210000000001E-4</v>
      </c>
      <c r="H13" s="6">
        <v>3.4774001204819271E-4</v>
      </c>
      <c r="I13" s="6">
        <v>-3.280481E-3</v>
      </c>
      <c r="J13" s="6">
        <v>-1.699868E-6</v>
      </c>
      <c r="K13" s="6">
        <v>3.9503387132530117E-4</v>
      </c>
      <c r="L13" s="6">
        <v>-3.0242509999999999E-3</v>
      </c>
      <c r="M13" s="6">
        <v>-4.4736709999999998E-4</v>
      </c>
      <c r="N13" s="6">
        <v>3.1046793975903614E-4</v>
      </c>
      <c r="O13" s="6">
        <v>-3.6444139999999999E-3</v>
      </c>
      <c r="P13" s="6">
        <v>-5.798108E-4</v>
      </c>
      <c r="Q13" s="6">
        <v>3.6922930120481922E-4</v>
      </c>
      <c r="R13" s="6">
        <v>-3.146743E-3</v>
      </c>
      <c r="S13" s="6">
        <v>-2.5076500000000002E-4</v>
      </c>
      <c r="T13" s="6">
        <v>3.4891301204819275E-4</v>
      </c>
      <c r="U13" s="6">
        <v>-2.8871050000000001E-3</v>
      </c>
      <c r="V13" s="6">
        <v>-3.3915429999999998E-4</v>
      </c>
      <c r="W13" s="6">
        <v>3.0698201204819276E-4</v>
      </c>
      <c r="X13" s="6">
        <v>-3.1704250000000002E-3</v>
      </c>
      <c r="Y13" s="6">
        <v>-2.6453769999999999E-4</v>
      </c>
      <c r="Z13" s="6">
        <v>3.5010690361445782E-4</v>
      </c>
      <c r="AA13" s="6">
        <v>-2.8741769999999999E-3</v>
      </c>
      <c r="AB13" s="6">
        <v>-3.3225090000000001E-4</v>
      </c>
      <c r="AC13" s="6">
        <v>3.0625615662650601E-4</v>
      </c>
      <c r="AD13" s="6">
        <v>-4.1547609999999999E-3</v>
      </c>
      <c r="AE13" s="6">
        <v>-4.0837939999999997E-4</v>
      </c>
      <c r="AF13" s="6">
        <v>4.5137127710843369E-4</v>
      </c>
      <c r="AG13" s="6">
        <v>-4.4135980000000003E-3</v>
      </c>
      <c r="AH13" s="6">
        <v>-3.1888249999999999E-4</v>
      </c>
      <c r="AI13" s="6">
        <v>4.9333921686746992E-4</v>
      </c>
      <c r="AJ13" s="6">
        <v>-4.1310790000000002E-3</v>
      </c>
      <c r="AK13" s="6">
        <v>-3.946067E-4</v>
      </c>
      <c r="AL13" s="6">
        <v>4.5017738554216868E-4</v>
      </c>
      <c r="AM13" s="6">
        <v>-4.427327E-3</v>
      </c>
      <c r="AN13" s="6">
        <v>-3.2689349999999998E-4</v>
      </c>
      <c r="AO13" s="6">
        <v>4.9402813253012043E-4</v>
      </c>
      <c r="AP13" s="6">
        <v>-2.770074E-3</v>
      </c>
      <c r="AQ13" s="6">
        <v>-1.753107E-4</v>
      </c>
      <c r="AR13" s="6">
        <v>3.1262208433734936E-4</v>
      </c>
      <c r="AS13" s="6">
        <v>-2.5112369999999999E-3</v>
      </c>
      <c r="AT13" s="6">
        <v>-2.6480770000000001E-4</v>
      </c>
      <c r="AU13" s="6">
        <v>2.7065413253012045E-4</v>
      </c>
      <c r="AV13" s="6">
        <v>-2.7937560000000001E-3</v>
      </c>
      <c r="AW13" s="6">
        <v>-1.8908339999999999E-4</v>
      </c>
      <c r="AX13" s="6">
        <v>3.1381597590361443E-4</v>
      </c>
      <c r="AY13" s="6">
        <v>-2.4975079999999998E-3</v>
      </c>
      <c r="AZ13" s="6">
        <v>-2.5679670000000002E-4</v>
      </c>
      <c r="BA13" s="6">
        <v>2.6996521686746983E-4</v>
      </c>
      <c r="BB13" s="6">
        <v>-3.7780919999999998E-3</v>
      </c>
      <c r="BC13" s="6">
        <v>-3.3292519999999999E-4</v>
      </c>
      <c r="BD13" s="6">
        <v>4.1508033734939751E-4</v>
      </c>
      <c r="BE13" s="6">
        <v>-4.0369289999999999E-3</v>
      </c>
      <c r="BF13" s="6">
        <v>-2.434282E-4</v>
      </c>
      <c r="BG13" s="6">
        <v>4.5704828915662642E-4</v>
      </c>
      <c r="BH13" s="6">
        <v>-3.7544100000000001E-3</v>
      </c>
      <c r="BI13" s="6">
        <v>-3.1915250000000002E-4</v>
      </c>
      <c r="BJ13" s="6">
        <v>4.1388644578313255E-4</v>
      </c>
      <c r="BK13" s="6">
        <v>-4.0506580000000004E-3</v>
      </c>
      <c r="BL13" s="6">
        <v>-2.5143920000000002E-4</v>
      </c>
      <c r="BM13" s="6">
        <v>4.577372048192771E-4</v>
      </c>
      <c r="BN13" s="6">
        <v>-3.9389969999999996E-3</v>
      </c>
      <c r="BO13" s="6">
        <v>-3.9396E-4</v>
      </c>
      <c r="BP13" s="6">
        <v>4.2711289156626499E-4</v>
      </c>
      <c r="BQ13" s="6">
        <v>-3.861345E-3</v>
      </c>
      <c r="BR13" s="6">
        <v>-4.208091E-4</v>
      </c>
      <c r="BS13" s="6">
        <v>4.1452239759036142E-4</v>
      </c>
      <c r="BT13" s="6">
        <v>-3.9461009999999996E-3</v>
      </c>
      <c r="BU13" s="6">
        <v>-3.980918E-4</v>
      </c>
      <c r="BV13" s="6">
        <v>4.2747098795180717E-4</v>
      </c>
      <c r="BW13" s="6">
        <v>-3.857227E-3</v>
      </c>
      <c r="BX13" s="6">
        <v>-4.184058E-4</v>
      </c>
      <c r="BY13" s="6">
        <v>4.1431580722891561E-4</v>
      </c>
      <c r="BZ13" s="6">
        <v>-4.241402E-3</v>
      </c>
      <c r="CA13" s="6">
        <v>-4.4124430000000003E-4</v>
      </c>
      <c r="CB13" s="6">
        <v>4.578503253012048E-4</v>
      </c>
      <c r="CC13" s="6">
        <v>-4.3190529999999998E-3</v>
      </c>
      <c r="CD13" s="6">
        <v>-4.1439530000000001E-4</v>
      </c>
      <c r="CE13" s="6">
        <v>4.7044068674698787E-4</v>
      </c>
      <c r="CF13" s="6">
        <v>-4.2342969999999997E-3</v>
      </c>
      <c r="CG13" s="6">
        <v>-4.3711249999999998E-4</v>
      </c>
      <c r="CH13" s="6">
        <v>4.5749210843373485E-4</v>
      </c>
      <c r="CI13" s="6">
        <v>-4.3231709999999998E-3</v>
      </c>
      <c r="CJ13" s="6">
        <v>-4.167986E-4</v>
      </c>
      <c r="CK13" s="6">
        <v>4.7064727710843373E-4</v>
      </c>
      <c r="CL13" s="6">
        <v>-2.6834329999999998E-3</v>
      </c>
      <c r="CM13" s="6">
        <v>-1.424458E-4</v>
      </c>
      <c r="CN13" s="6">
        <v>3.0614303614457826E-4</v>
      </c>
      <c r="CO13" s="6">
        <v>-2.6057820000000001E-3</v>
      </c>
      <c r="CP13" s="6">
        <v>-1.6929489999999999E-4</v>
      </c>
      <c r="CQ13" s="6">
        <v>2.935526626506024E-4</v>
      </c>
      <c r="CR13" s="6">
        <v>-2.6905380000000001E-3</v>
      </c>
      <c r="CS13" s="6">
        <v>-1.4657759999999999E-4</v>
      </c>
      <c r="CT13" s="6">
        <v>3.065012530120482E-4</v>
      </c>
      <c r="CU13" s="6">
        <v>-2.6016630000000002E-3</v>
      </c>
      <c r="CV13" s="6">
        <v>-1.668916E-4</v>
      </c>
      <c r="CW13" s="6">
        <v>2.9334595180722893E-4</v>
      </c>
      <c r="CX13" s="6">
        <v>-2.9858380000000002E-3</v>
      </c>
      <c r="CY13" s="6">
        <v>-1.8973009999999999E-4</v>
      </c>
      <c r="CZ13" s="6">
        <v>3.3688046987951807E-4</v>
      </c>
      <c r="DA13" s="6">
        <v>-3.0634899999999999E-3</v>
      </c>
      <c r="DB13" s="6">
        <v>-1.6288110000000001E-4</v>
      </c>
      <c r="DC13" s="6">
        <v>3.4947095180722884E-4</v>
      </c>
      <c r="DD13" s="6">
        <v>-2.9787339999999998E-3</v>
      </c>
      <c r="DE13" s="6">
        <v>-1.855983E-4</v>
      </c>
      <c r="DF13" s="6">
        <v>3.3652237349397583E-4</v>
      </c>
      <c r="DG13" s="6">
        <v>-3.0676079999999999E-3</v>
      </c>
      <c r="DH13" s="6">
        <v>-1.6528429999999999E-4</v>
      </c>
      <c r="DI13" s="6">
        <v>3.4967755421686745E-4</v>
      </c>
      <c r="DK13" s="3" t="s">
        <v>19</v>
      </c>
      <c r="DL13" s="4">
        <f>AF1</f>
        <v>2215.4710561251959</v>
      </c>
      <c r="DM13" s="5" t="str">
        <f t="shared" si="11"/>
        <v>OK</v>
      </c>
    </row>
    <row r="14" spans="1:117" ht="16.2" thickBot="1" x14ac:dyDescent="0.35">
      <c r="A14" s="13" t="s">
        <v>358</v>
      </c>
      <c r="B14" s="13" t="s">
        <v>92</v>
      </c>
      <c r="C14" s="13" t="s">
        <v>128</v>
      </c>
      <c r="D14" s="13" t="s">
        <v>347</v>
      </c>
      <c r="E14" s="13">
        <v>8.3000000000000007</v>
      </c>
      <c r="F14" s="6">
        <v>2.4206210000000001E-4</v>
      </c>
      <c r="G14" s="6">
        <v>9.4286660000000004E-5</v>
      </c>
      <c r="H14" s="6">
        <v>1.780426987951807E-5</v>
      </c>
      <c r="I14" s="6">
        <v>-1.699868E-6</v>
      </c>
      <c r="J14" s="6">
        <v>-1.3752670000000001E-4</v>
      </c>
      <c r="K14" s="6">
        <v>1.6364678554216869E-5</v>
      </c>
      <c r="L14" s="6">
        <v>-4.4736709999999998E-4</v>
      </c>
      <c r="M14" s="6">
        <v>-5.5193539999999995E-4</v>
      </c>
      <c r="N14" s="6">
        <v>1.2598590361445778E-5</v>
      </c>
      <c r="O14" s="6">
        <v>-5.798108E-4</v>
      </c>
      <c r="P14" s="6">
        <v>-7.0508300000000001E-4</v>
      </c>
      <c r="Q14" s="6">
        <v>1.5093036144578313E-5</v>
      </c>
      <c r="R14" s="6">
        <v>-2.5076500000000002E-4</v>
      </c>
      <c r="S14" s="6">
        <v>-3.7626800000000002E-4</v>
      </c>
      <c r="T14" s="6">
        <v>1.5120843373493976E-5</v>
      </c>
      <c r="U14" s="6">
        <v>-3.3915429999999998E-4</v>
      </c>
      <c r="V14" s="6">
        <v>-4.5454909999999998E-4</v>
      </c>
      <c r="W14" s="6">
        <v>1.3902987951807228E-5</v>
      </c>
      <c r="X14" s="6">
        <v>-2.6453769999999999E-4</v>
      </c>
      <c r="Y14" s="6">
        <v>-3.8373520000000003E-4</v>
      </c>
      <c r="Z14" s="6">
        <v>1.4361144578313257E-5</v>
      </c>
      <c r="AA14" s="6">
        <v>-3.3225090000000001E-4</v>
      </c>
      <c r="AB14" s="6">
        <v>-4.5148269999999998E-4</v>
      </c>
      <c r="AC14" s="6">
        <v>1.4365277108433731E-5</v>
      </c>
      <c r="AD14" s="6">
        <v>-4.0837939999999997E-4</v>
      </c>
      <c r="AE14" s="6">
        <v>-5.5437569999999999E-4</v>
      </c>
      <c r="AF14" s="6">
        <v>1.7589915662650602E-5</v>
      </c>
      <c r="AG14" s="6">
        <v>-3.1888249999999999E-4</v>
      </c>
      <c r="AH14" s="6">
        <v>-4.7481919999999998E-4</v>
      </c>
      <c r="AI14" s="6">
        <v>1.8787554216867465E-5</v>
      </c>
      <c r="AJ14" s="6">
        <v>-3.946067E-4</v>
      </c>
      <c r="AK14" s="6">
        <v>-5.4690839999999995E-4</v>
      </c>
      <c r="AL14" s="6">
        <v>1.8349602409638547E-5</v>
      </c>
      <c r="AM14" s="6">
        <v>-3.2689349999999998E-4</v>
      </c>
      <c r="AN14" s="6">
        <v>-4.791609E-4</v>
      </c>
      <c r="AO14" s="6">
        <v>1.8345469879518071E-5</v>
      </c>
      <c r="AP14" s="6">
        <v>-1.753107E-4</v>
      </c>
      <c r="AQ14" s="6">
        <v>-2.885958E-4</v>
      </c>
      <c r="AR14" s="6">
        <v>1.3648807228915661E-5</v>
      </c>
      <c r="AS14" s="6">
        <v>-2.6480770000000001E-4</v>
      </c>
      <c r="AT14" s="6">
        <v>-3.6815220000000002E-4</v>
      </c>
      <c r="AU14" s="6">
        <v>1.2451144578313253E-5</v>
      </c>
      <c r="AV14" s="6">
        <v>-1.8908339999999999E-4</v>
      </c>
      <c r="AW14" s="6">
        <v>-2.96063E-4</v>
      </c>
      <c r="AX14" s="6">
        <v>1.288910843373494E-5</v>
      </c>
      <c r="AY14" s="6">
        <v>-2.5679670000000002E-4</v>
      </c>
      <c r="AZ14" s="6">
        <v>-3.6381050000000001E-4</v>
      </c>
      <c r="BA14" s="6">
        <v>1.2893228915662649E-5</v>
      </c>
      <c r="BB14" s="6">
        <v>-3.3292519999999999E-4</v>
      </c>
      <c r="BC14" s="6">
        <v>-4.6670350000000002E-4</v>
      </c>
      <c r="BD14" s="6">
        <v>1.611786746987952E-5</v>
      </c>
      <c r="BE14" s="6">
        <v>-2.434282E-4</v>
      </c>
      <c r="BF14" s="6">
        <v>-3.8714700000000001E-4</v>
      </c>
      <c r="BG14" s="6">
        <v>1.7315518072289156E-5</v>
      </c>
      <c r="BH14" s="6">
        <v>-3.1915250000000002E-4</v>
      </c>
      <c r="BI14" s="6">
        <v>-4.5923619999999998E-4</v>
      </c>
      <c r="BJ14" s="6">
        <v>1.6877554216867465E-5</v>
      </c>
      <c r="BK14" s="6">
        <v>-2.5143920000000002E-4</v>
      </c>
      <c r="BL14" s="6">
        <v>-3.9148870000000002E-4</v>
      </c>
      <c r="BM14" s="6">
        <v>1.6873433734939758E-5</v>
      </c>
      <c r="BN14" s="6">
        <v>-3.9396E-4</v>
      </c>
      <c r="BO14" s="6">
        <v>-5.408899E-4</v>
      </c>
      <c r="BP14" s="6">
        <v>1.7702397590361443E-5</v>
      </c>
      <c r="BQ14" s="6">
        <v>-4.208091E-4</v>
      </c>
      <c r="BR14" s="6">
        <v>-5.6475690000000001E-4</v>
      </c>
      <c r="BS14" s="6">
        <v>1.7343108433734939E-5</v>
      </c>
      <c r="BT14" s="6">
        <v>-3.980918E-4</v>
      </c>
      <c r="BU14" s="6">
        <v>-5.4313009999999999E-4</v>
      </c>
      <c r="BV14" s="6">
        <v>1.7474493975903614E-5</v>
      </c>
      <c r="BW14" s="6">
        <v>-4.184058E-4</v>
      </c>
      <c r="BX14" s="6">
        <v>-5.6345430000000001E-4</v>
      </c>
      <c r="BY14" s="6">
        <v>1.7475722891566263E-5</v>
      </c>
      <c r="BZ14" s="6">
        <v>-4.4124430000000003E-4</v>
      </c>
      <c r="CA14" s="6">
        <v>-5.9432219999999995E-4</v>
      </c>
      <c r="CB14" s="6">
        <v>1.8443120481927701E-5</v>
      </c>
      <c r="CC14" s="6">
        <v>-4.1439530000000001E-4</v>
      </c>
      <c r="CD14" s="6">
        <v>-5.7045529999999998E-4</v>
      </c>
      <c r="CE14" s="6">
        <v>1.8802409638554211E-5</v>
      </c>
      <c r="CF14" s="6">
        <v>-4.3711249999999998E-4</v>
      </c>
      <c r="CG14" s="6">
        <v>-5.9208199999999996E-4</v>
      </c>
      <c r="CH14" s="6">
        <v>1.867102409638554E-5</v>
      </c>
      <c r="CI14" s="6">
        <v>-4.167986E-4</v>
      </c>
      <c r="CJ14" s="6">
        <v>-5.7175780000000005E-4</v>
      </c>
      <c r="CK14" s="6">
        <v>1.8669783132530125E-5</v>
      </c>
      <c r="CL14" s="6">
        <v>-1.424458E-4</v>
      </c>
      <c r="CM14" s="6">
        <v>-2.486492E-4</v>
      </c>
      <c r="CN14" s="6">
        <v>1.2795590361445782E-5</v>
      </c>
      <c r="CO14" s="6">
        <v>-1.6929489999999999E-4</v>
      </c>
      <c r="CP14" s="6">
        <v>-2.725162E-4</v>
      </c>
      <c r="CQ14" s="6">
        <v>1.2436301204819278E-5</v>
      </c>
      <c r="CR14" s="6">
        <v>-1.4657759999999999E-4</v>
      </c>
      <c r="CS14" s="6">
        <v>-2.5088939999999999E-4</v>
      </c>
      <c r="CT14" s="6">
        <v>1.2567686746987951E-5</v>
      </c>
      <c r="CU14" s="6">
        <v>-1.668916E-4</v>
      </c>
      <c r="CV14" s="6">
        <v>-2.7121360000000001E-4</v>
      </c>
      <c r="CW14" s="6">
        <v>1.2568915662650602E-5</v>
      </c>
      <c r="CX14" s="6">
        <v>-1.8973009999999999E-4</v>
      </c>
      <c r="CY14" s="6">
        <v>-3.020815E-4</v>
      </c>
      <c r="CZ14" s="6">
        <v>1.3536313253012048E-5</v>
      </c>
      <c r="DA14" s="6">
        <v>-1.6288110000000001E-4</v>
      </c>
      <c r="DB14" s="6">
        <v>-2.7821459999999998E-4</v>
      </c>
      <c r="DC14" s="6">
        <v>1.3895602409638549E-5</v>
      </c>
      <c r="DD14" s="6">
        <v>-1.855983E-4</v>
      </c>
      <c r="DE14" s="6">
        <v>-2.9984130000000001E-4</v>
      </c>
      <c r="DF14" s="6">
        <v>1.376421686746988E-5</v>
      </c>
      <c r="DG14" s="6">
        <v>-1.6528429999999999E-4</v>
      </c>
      <c r="DH14" s="6">
        <v>-2.7951709999999999E-4</v>
      </c>
      <c r="DI14" s="6">
        <v>1.3762987951807228E-5</v>
      </c>
      <c r="DK14" s="3" t="s">
        <v>20</v>
      </c>
      <c r="DL14" s="4">
        <f>AI1</f>
        <v>2027.0028528233522</v>
      </c>
      <c r="DM14" s="5" t="str">
        <f t="shared" si="11"/>
        <v>OK</v>
      </c>
    </row>
    <row r="15" spans="1:117" ht="16.2" thickBot="1" x14ac:dyDescent="0.35">
      <c r="A15" s="13" t="s">
        <v>359</v>
      </c>
      <c r="B15" s="13" t="s">
        <v>128</v>
      </c>
      <c r="C15" s="13" t="s">
        <v>165</v>
      </c>
      <c r="D15" s="13" t="s">
        <v>347</v>
      </c>
      <c r="E15" s="13">
        <v>8.3000000000000007</v>
      </c>
      <c r="F15" s="6">
        <v>9.4286660000000004E-5</v>
      </c>
      <c r="G15" s="6">
        <v>9.1981430000000002E-5</v>
      </c>
      <c r="H15" s="6">
        <v>2.7773855421686764E-7</v>
      </c>
      <c r="I15" s="6">
        <v>-1.3752670000000001E-4</v>
      </c>
      <c r="J15" s="6">
        <v>-1.318414E-4</v>
      </c>
      <c r="K15" s="6">
        <v>6.8497590361445829E-7</v>
      </c>
      <c r="L15" s="6">
        <v>-5.5193539999999995E-4</v>
      </c>
      <c r="M15" s="6">
        <v>-5.4673950000000003E-4</v>
      </c>
      <c r="N15" s="6">
        <v>6.2601204819276151E-7</v>
      </c>
      <c r="O15" s="6">
        <v>-7.0508300000000001E-4</v>
      </c>
      <c r="P15" s="6">
        <v>-6.9892130000000002E-4</v>
      </c>
      <c r="Q15" s="6">
        <v>7.4237349397590262E-7</v>
      </c>
      <c r="R15" s="6">
        <v>-3.7626800000000002E-4</v>
      </c>
      <c r="S15" s="6">
        <v>-3.7732370000000001E-4</v>
      </c>
      <c r="T15" s="6">
        <v>1.2719277108433619E-7</v>
      </c>
      <c r="U15" s="6">
        <v>-4.5454909999999998E-4</v>
      </c>
      <c r="V15" s="6">
        <v>-4.550849E-4</v>
      </c>
      <c r="W15" s="6">
        <v>6.4554216867472633E-8</v>
      </c>
      <c r="X15" s="6">
        <v>-3.8373520000000003E-4</v>
      </c>
      <c r="Y15" s="6">
        <v>-3.7714479999999999E-4</v>
      </c>
      <c r="Z15" s="6">
        <v>7.9402409638554578E-7</v>
      </c>
      <c r="AA15" s="6">
        <v>-4.5148269999999998E-4</v>
      </c>
      <c r="AB15" s="6">
        <v>-4.5703539999999998E-4</v>
      </c>
      <c r="AC15" s="6">
        <v>6.6899999999999976E-7</v>
      </c>
      <c r="AD15" s="6">
        <v>-5.5437569999999999E-4</v>
      </c>
      <c r="AE15" s="6">
        <v>-5.4044599999999998E-4</v>
      </c>
      <c r="AF15" s="6">
        <v>1.6782771084337351E-6</v>
      </c>
      <c r="AG15" s="6">
        <v>-4.7481919999999998E-4</v>
      </c>
      <c r="AH15" s="6">
        <v>-4.6083909999999998E-4</v>
      </c>
      <c r="AI15" s="6">
        <v>1.6843493975903619E-6</v>
      </c>
      <c r="AJ15" s="6">
        <v>-5.4690839999999995E-4</v>
      </c>
      <c r="AK15" s="6">
        <v>-5.4062489999999995E-4</v>
      </c>
      <c r="AL15" s="6">
        <v>7.570481927710845E-7</v>
      </c>
      <c r="AM15" s="6">
        <v>-4.791609E-4</v>
      </c>
      <c r="AN15" s="6">
        <v>-4.6073430000000002E-4</v>
      </c>
      <c r="AO15" s="6">
        <v>2.2200722891566235E-6</v>
      </c>
      <c r="AP15" s="6">
        <v>-2.885958E-4</v>
      </c>
      <c r="AQ15" s="6">
        <v>-2.9027779999999997E-4</v>
      </c>
      <c r="AR15" s="6">
        <v>2.026506024096355E-7</v>
      </c>
      <c r="AS15" s="6">
        <v>-3.6815220000000002E-4</v>
      </c>
      <c r="AT15" s="6">
        <v>-3.6988480000000001E-4</v>
      </c>
      <c r="AU15" s="6">
        <v>2.0874698795180609E-7</v>
      </c>
      <c r="AV15" s="6">
        <v>-2.96063E-4</v>
      </c>
      <c r="AW15" s="6">
        <v>-2.9009899999999999E-4</v>
      </c>
      <c r="AX15" s="6">
        <v>7.1855421686747136E-7</v>
      </c>
      <c r="AY15" s="6">
        <v>-3.6381050000000001E-4</v>
      </c>
      <c r="AZ15" s="6">
        <v>-3.6998960000000003E-4</v>
      </c>
      <c r="BA15" s="6">
        <v>7.4446987951807429E-7</v>
      </c>
      <c r="BB15" s="6">
        <v>-4.6670350000000002E-4</v>
      </c>
      <c r="BC15" s="6">
        <v>-4.5340019999999998E-4</v>
      </c>
      <c r="BD15" s="6">
        <v>1.6028072289156673E-6</v>
      </c>
      <c r="BE15" s="6">
        <v>-3.8714700000000001E-4</v>
      </c>
      <c r="BF15" s="6">
        <v>-3.7379330000000002E-4</v>
      </c>
      <c r="BG15" s="6">
        <v>1.6088795180722875E-6</v>
      </c>
      <c r="BH15" s="6">
        <v>-4.5923619999999998E-4</v>
      </c>
      <c r="BI15" s="6">
        <v>-4.535791E-4</v>
      </c>
      <c r="BJ15" s="6">
        <v>6.8157831325300997E-7</v>
      </c>
      <c r="BK15" s="6">
        <v>-3.9148870000000002E-4</v>
      </c>
      <c r="BL15" s="6">
        <v>-3.7368839999999998E-4</v>
      </c>
      <c r="BM15" s="6">
        <v>2.1446144578313307E-6</v>
      </c>
      <c r="BN15" s="6">
        <v>-5.408899E-4</v>
      </c>
      <c r="BO15" s="6">
        <v>-5.3596999999999998E-4</v>
      </c>
      <c r="BP15" s="6">
        <v>5.9275903614458071E-7</v>
      </c>
      <c r="BQ15" s="6">
        <v>-5.6475690000000001E-4</v>
      </c>
      <c r="BR15" s="6">
        <v>-5.5985210000000004E-4</v>
      </c>
      <c r="BS15" s="6">
        <v>5.9093975903614051E-7</v>
      </c>
      <c r="BT15" s="6">
        <v>-5.4313009999999999E-4</v>
      </c>
      <c r="BU15" s="6">
        <v>-5.3591629999999999E-4</v>
      </c>
      <c r="BV15" s="6">
        <v>8.6913253012048209E-7</v>
      </c>
      <c r="BW15" s="6">
        <v>-5.6345430000000001E-4</v>
      </c>
      <c r="BX15" s="6">
        <v>-5.5988350000000001E-4</v>
      </c>
      <c r="BY15" s="6">
        <v>4.3021686746987905E-7</v>
      </c>
      <c r="BZ15" s="6">
        <v>-5.9432219999999995E-4</v>
      </c>
      <c r="CA15" s="6">
        <v>-5.8490669999999997E-4</v>
      </c>
      <c r="CB15" s="6">
        <v>1.1343975903614438E-6</v>
      </c>
      <c r="CC15" s="6">
        <v>-5.7045529999999998E-4</v>
      </c>
      <c r="CD15" s="6">
        <v>-5.6102460000000002E-4</v>
      </c>
      <c r="CE15" s="6">
        <v>1.1362289156626461E-6</v>
      </c>
      <c r="CF15" s="6">
        <v>-5.9208199999999996E-4</v>
      </c>
      <c r="CG15" s="6">
        <v>-5.8496030000000003E-4</v>
      </c>
      <c r="CH15" s="6">
        <v>8.5803614457830456E-7</v>
      </c>
      <c r="CI15" s="6">
        <v>-5.7175780000000005E-4</v>
      </c>
      <c r="CJ15" s="6">
        <v>-5.6099320000000004E-4</v>
      </c>
      <c r="CK15" s="6">
        <v>1.2969397590361456E-6</v>
      </c>
      <c r="CL15" s="6">
        <v>-2.486492E-4</v>
      </c>
      <c r="CM15" s="6">
        <v>-2.4581720000000002E-4</v>
      </c>
      <c r="CN15" s="6">
        <v>3.4120481927710547E-7</v>
      </c>
      <c r="CO15" s="6">
        <v>-2.725162E-4</v>
      </c>
      <c r="CP15" s="6">
        <v>-2.6969929999999997E-4</v>
      </c>
      <c r="CQ15" s="6">
        <v>3.3938554216867835E-7</v>
      </c>
      <c r="CR15" s="6">
        <v>-2.5088939999999999E-4</v>
      </c>
      <c r="CS15" s="6">
        <v>-2.4576349999999998E-4</v>
      </c>
      <c r="CT15" s="6">
        <v>6.1757831325301332E-7</v>
      </c>
      <c r="CU15" s="6">
        <v>-2.7121360000000001E-4</v>
      </c>
      <c r="CV15" s="6">
        <v>-2.697307E-4</v>
      </c>
      <c r="CW15" s="6">
        <v>1.7866265060241033E-7</v>
      </c>
      <c r="CX15" s="6">
        <v>-3.020815E-4</v>
      </c>
      <c r="CY15" s="6">
        <v>-2.9475390000000001E-4</v>
      </c>
      <c r="CZ15" s="6">
        <v>8.8284337349397515E-7</v>
      </c>
      <c r="DA15" s="6">
        <v>-2.7821459999999998E-4</v>
      </c>
      <c r="DB15" s="6">
        <v>-2.708718E-4</v>
      </c>
      <c r="DC15" s="6">
        <v>8.8467469879517737E-7</v>
      </c>
      <c r="DD15" s="6">
        <v>-2.9984130000000001E-4</v>
      </c>
      <c r="DE15" s="6">
        <v>-2.948076E-4</v>
      </c>
      <c r="DF15" s="6">
        <v>6.0646987951807377E-7</v>
      </c>
      <c r="DG15" s="6">
        <v>-2.7951709999999999E-4</v>
      </c>
      <c r="DH15" s="6">
        <v>-2.7084039999999998E-4</v>
      </c>
      <c r="DI15" s="6">
        <v>1.0453855421686767E-6</v>
      </c>
      <c r="DK15" s="3" t="s">
        <v>21</v>
      </c>
      <c r="DL15" s="4">
        <f>AL1</f>
        <v>2221.3465894019873</v>
      </c>
      <c r="DM15" s="5" t="str">
        <f t="shared" si="11"/>
        <v>OK</v>
      </c>
    </row>
    <row r="16" spans="1:117" ht="16.2" thickBot="1" x14ac:dyDescent="0.35">
      <c r="A16" s="13" t="s">
        <v>360</v>
      </c>
      <c r="B16" s="13" t="s">
        <v>165</v>
      </c>
      <c r="C16" s="13" t="s">
        <v>206</v>
      </c>
      <c r="D16" s="13" t="s">
        <v>347</v>
      </c>
      <c r="E16" s="13">
        <v>8.3000000000000007</v>
      </c>
      <c r="F16" s="6">
        <v>9.1981430000000002E-5</v>
      </c>
      <c r="G16" s="6">
        <v>1.14128E-4</v>
      </c>
      <c r="H16" s="6">
        <v>2.6682614457831325E-6</v>
      </c>
      <c r="I16" s="6">
        <v>-1.318414E-4</v>
      </c>
      <c r="J16" s="6">
        <v>-1.20665E-4</v>
      </c>
      <c r="K16" s="6">
        <v>1.3465542168674703E-6</v>
      </c>
      <c r="L16" s="6">
        <v>-5.4673950000000003E-4</v>
      </c>
      <c r="M16" s="6">
        <v>-5.3824229999999997E-4</v>
      </c>
      <c r="N16" s="6">
        <v>1.0237590361445861E-6</v>
      </c>
      <c r="O16" s="6">
        <v>-6.9892130000000002E-4</v>
      </c>
      <c r="P16" s="6">
        <v>-6.885328E-4</v>
      </c>
      <c r="Q16" s="6">
        <v>1.2516265060240983E-6</v>
      </c>
      <c r="R16" s="6">
        <v>-3.7732370000000001E-4</v>
      </c>
      <c r="S16" s="6">
        <v>-3.7078460000000002E-4</v>
      </c>
      <c r="T16" s="6">
        <v>7.87843373493975E-7</v>
      </c>
      <c r="U16" s="6">
        <v>-4.550849E-4</v>
      </c>
      <c r="V16" s="6">
        <v>-4.485391E-4</v>
      </c>
      <c r="W16" s="6">
        <v>7.886506024096386E-7</v>
      </c>
      <c r="X16" s="6">
        <v>-3.7714479999999999E-4</v>
      </c>
      <c r="Y16" s="6">
        <v>-3.631684E-4</v>
      </c>
      <c r="Z16" s="6">
        <v>1.6839036144578301E-6</v>
      </c>
      <c r="AA16" s="6">
        <v>-4.5703539999999998E-4</v>
      </c>
      <c r="AB16" s="6">
        <v>-4.5539909999999997E-4</v>
      </c>
      <c r="AC16" s="6">
        <v>1.9714457831325339E-7</v>
      </c>
      <c r="AD16" s="6">
        <v>-5.4044599999999998E-4</v>
      </c>
      <c r="AE16" s="6">
        <v>-5.2454800000000001E-4</v>
      </c>
      <c r="AF16" s="6">
        <v>1.9154216867469848E-6</v>
      </c>
      <c r="AG16" s="6">
        <v>-4.6083909999999998E-4</v>
      </c>
      <c r="AH16" s="6">
        <v>-4.4436230000000001E-4</v>
      </c>
      <c r="AI16" s="6">
        <v>1.9851566265060205E-6</v>
      </c>
      <c r="AJ16" s="6">
        <v>-5.4062489999999995E-4</v>
      </c>
      <c r="AK16" s="6">
        <v>-5.3216419999999997E-4</v>
      </c>
      <c r="AL16" s="6">
        <v>1.0193614457831298E-6</v>
      </c>
      <c r="AM16" s="6">
        <v>-4.6073430000000002E-4</v>
      </c>
      <c r="AN16" s="6">
        <v>-4.399335E-4</v>
      </c>
      <c r="AO16" s="6">
        <v>2.5061204819277129E-6</v>
      </c>
      <c r="AP16" s="6">
        <v>-2.9027779999999997E-4</v>
      </c>
      <c r="AQ16" s="6">
        <v>-2.8473330000000001E-4</v>
      </c>
      <c r="AR16" s="6">
        <v>6.680120481927671E-7</v>
      </c>
      <c r="AS16" s="6">
        <v>-3.6988480000000001E-4</v>
      </c>
      <c r="AT16" s="6">
        <v>-3.6491900000000001E-4</v>
      </c>
      <c r="AU16" s="6">
        <v>5.9828915662650665E-7</v>
      </c>
      <c r="AV16" s="6">
        <v>-2.9009899999999999E-4</v>
      </c>
      <c r="AW16" s="6">
        <v>-2.7711709999999999E-4</v>
      </c>
      <c r="AX16" s="6">
        <v>1.5640843373493973E-6</v>
      </c>
      <c r="AY16" s="6">
        <v>-3.6998960000000003E-4</v>
      </c>
      <c r="AZ16" s="6">
        <v>-3.6934780000000001E-4</v>
      </c>
      <c r="BA16" s="6">
        <v>7.7325301204820646E-8</v>
      </c>
      <c r="BB16" s="6">
        <v>-4.5340019999999998E-4</v>
      </c>
      <c r="BC16" s="6">
        <v>-4.3849669999999999E-4</v>
      </c>
      <c r="BD16" s="6">
        <v>1.7956024096385521E-6</v>
      </c>
      <c r="BE16" s="6">
        <v>-3.7379330000000002E-4</v>
      </c>
      <c r="BF16" s="6">
        <v>-3.5831099999999999E-4</v>
      </c>
      <c r="BG16" s="6">
        <v>1.8653373493975941E-6</v>
      </c>
      <c r="BH16" s="6">
        <v>-4.535791E-4</v>
      </c>
      <c r="BI16" s="6">
        <v>-4.4611290000000001E-4</v>
      </c>
      <c r="BJ16" s="6">
        <v>8.995421686746971E-7</v>
      </c>
      <c r="BK16" s="6">
        <v>-3.7368839999999998E-4</v>
      </c>
      <c r="BL16" s="6">
        <v>-3.5388219999999998E-4</v>
      </c>
      <c r="BM16" s="6">
        <v>2.3862891566265049E-6</v>
      </c>
      <c r="BN16" s="6">
        <v>-5.3596999999999998E-4</v>
      </c>
      <c r="BO16" s="6">
        <v>-5.24995E-4</v>
      </c>
      <c r="BP16" s="6">
        <v>1.3222891566265038E-6</v>
      </c>
      <c r="BQ16" s="6">
        <v>-5.5985210000000004E-4</v>
      </c>
      <c r="BR16" s="6">
        <v>-5.4905069999999995E-4</v>
      </c>
      <c r="BS16" s="6">
        <v>1.3013734939759143E-6</v>
      </c>
      <c r="BT16" s="6">
        <v>-5.3591629999999999E-4</v>
      </c>
      <c r="BU16" s="6">
        <v>-5.2271019999999997E-4</v>
      </c>
      <c r="BV16" s="6">
        <v>1.5910963855421703E-6</v>
      </c>
      <c r="BW16" s="6">
        <v>-5.5988350000000001E-4</v>
      </c>
      <c r="BX16" s="6">
        <v>-5.5037939999999996E-4</v>
      </c>
      <c r="BY16" s="6">
        <v>1.1450722891566333E-6</v>
      </c>
      <c r="BZ16" s="6">
        <v>-5.8490669999999997E-4</v>
      </c>
      <c r="CA16" s="6">
        <v>-5.71124E-4</v>
      </c>
      <c r="CB16" s="6">
        <v>1.6605662650602367E-6</v>
      </c>
      <c r="CC16" s="6">
        <v>-5.6102460000000002E-4</v>
      </c>
      <c r="CD16" s="6">
        <v>-5.4706830000000005E-4</v>
      </c>
      <c r="CE16" s="6">
        <v>1.6814819277108393E-6</v>
      </c>
      <c r="CF16" s="6">
        <v>-5.8496030000000003E-4</v>
      </c>
      <c r="CG16" s="6">
        <v>-5.7340889999999995E-4</v>
      </c>
      <c r="CH16" s="6">
        <v>1.3917349397590457E-6</v>
      </c>
      <c r="CI16" s="6">
        <v>-5.6099320000000004E-4</v>
      </c>
      <c r="CJ16" s="6">
        <v>-5.4573969999999997E-4</v>
      </c>
      <c r="CK16" s="6">
        <v>1.8377710843373581E-6</v>
      </c>
      <c r="CL16" s="6">
        <v>-2.4581720000000002E-4</v>
      </c>
      <c r="CM16" s="6">
        <v>-2.3815730000000001E-4</v>
      </c>
      <c r="CN16" s="6">
        <v>9.2287951807229046E-7</v>
      </c>
      <c r="CO16" s="6">
        <v>-2.6969929999999997E-4</v>
      </c>
      <c r="CP16" s="6">
        <v>-2.6221300000000002E-4</v>
      </c>
      <c r="CQ16" s="6">
        <v>9.0196385542168134E-7</v>
      </c>
      <c r="CR16" s="6">
        <v>-2.4576349999999998E-4</v>
      </c>
      <c r="CS16" s="6">
        <v>-2.3587240000000001E-4</v>
      </c>
      <c r="CT16" s="6">
        <v>1.1916987951807193E-6</v>
      </c>
      <c r="CU16" s="6">
        <v>-2.697307E-4</v>
      </c>
      <c r="CV16" s="6">
        <v>-2.6354159999999999E-4</v>
      </c>
      <c r="CW16" s="6">
        <v>7.4567469879518207E-7</v>
      </c>
      <c r="CX16" s="6">
        <v>-2.9475390000000001E-4</v>
      </c>
      <c r="CY16" s="6">
        <v>-2.8428630000000002E-4</v>
      </c>
      <c r="CZ16" s="6">
        <v>1.2611566265060233E-6</v>
      </c>
      <c r="DA16" s="6">
        <v>-2.708718E-4</v>
      </c>
      <c r="DB16" s="6">
        <v>-2.6023060000000001E-4</v>
      </c>
      <c r="DC16" s="6">
        <v>1.2820722891566259E-6</v>
      </c>
      <c r="DD16" s="6">
        <v>-2.948076E-4</v>
      </c>
      <c r="DE16" s="6">
        <v>-2.8657120000000002E-4</v>
      </c>
      <c r="DF16" s="6">
        <v>9.9233734939758802E-7</v>
      </c>
      <c r="DG16" s="6">
        <v>-2.7084039999999998E-4</v>
      </c>
      <c r="DH16" s="6">
        <v>-2.589019E-4</v>
      </c>
      <c r="DI16" s="6">
        <v>1.4383734939759003E-6</v>
      </c>
      <c r="DK16" s="3" t="s">
        <v>22</v>
      </c>
      <c r="DL16" s="4">
        <f>AO1</f>
        <v>2024.1762242943339</v>
      </c>
      <c r="DM16" s="5" t="str">
        <f t="shared" si="11"/>
        <v>OK</v>
      </c>
    </row>
    <row r="17" spans="1:117" ht="16.2" thickBot="1" x14ac:dyDescent="0.35">
      <c r="A17" s="13" t="s">
        <v>361</v>
      </c>
      <c r="B17" s="13" t="s">
        <v>206</v>
      </c>
      <c r="C17" s="13" t="s">
        <v>247</v>
      </c>
      <c r="D17" s="13" t="s">
        <v>347</v>
      </c>
      <c r="E17" s="13">
        <v>8.3000000000000007</v>
      </c>
      <c r="F17" s="6">
        <v>1.14128E-4</v>
      </c>
      <c r="G17" s="6">
        <v>1.034819E-4</v>
      </c>
      <c r="H17" s="6">
        <v>1.2826626506024095E-6</v>
      </c>
      <c r="I17" s="6">
        <v>-1.20665E-4</v>
      </c>
      <c r="J17" s="6">
        <v>-1.100179E-4</v>
      </c>
      <c r="K17" s="6">
        <v>1.2827831325301207E-6</v>
      </c>
      <c r="L17" s="6">
        <v>-5.3824229999999997E-4</v>
      </c>
      <c r="M17" s="6">
        <v>-5.3074890000000003E-4</v>
      </c>
      <c r="N17" s="6">
        <v>9.0281927710842615E-7</v>
      </c>
      <c r="O17" s="6">
        <v>-6.885328E-4</v>
      </c>
      <c r="P17" s="6">
        <v>-6.7849849999999999E-4</v>
      </c>
      <c r="Q17" s="6">
        <v>1.2089518072289172E-6</v>
      </c>
      <c r="R17" s="6">
        <v>-3.7078460000000002E-4</v>
      </c>
      <c r="S17" s="6">
        <v>-3.6099830000000001E-4</v>
      </c>
      <c r="T17" s="6">
        <v>1.1790722891566279E-6</v>
      </c>
      <c r="U17" s="6">
        <v>-4.485391E-4</v>
      </c>
      <c r="V17" s="6">
        <v>-4.4521909999999999E-4</v>
      </c>
      <c r="W17" s="6">
        <v>4.0000000000000183E-7</v>
      </c>
      <c r="X17" s="6">
        <v>-3.631684E-4</v>
      </c>
      <c r="Y17" s="6">
        <v>-3.4599979999999999E-4</v>
      </c>
      <c r="Z17" s="6">
        <v>2.0685060240963864E-6</v>
      </c>
      <c r="AA17" s="6">
        <v>-4.5539909999999997E-4</v>
      </c>
      <c r="AB17" s="6">
        <v>-4.5740499999999998E-4</v>
      </c>
      <c r="AC17" s="6">
        <v>2.4167469879518078E-7</v>
      </c>
      <c r="AD17" s="6">
        <v>-5.2454800000000001E-4</v>
      </c>
      <c r="AE17" s="6">
        <v>-5.1281190000000004E-4</v>
      </c>
      <c r="AF17" s="6">
        <v>1.4139879518072245E-6</v>
      </c>
      <c r="AG17" s="6">
        <v>-4.4436230000000001E-4</v>
      </c>
      <c r="AH17" s="6">
        <v>-4.2512490000000001E-4</v>
      </c>
      <c r="AI17" s="6">
        <v>2.3177590361445772E-6</v>
      </c>
      <c r="AJ17" s="6">
        <v>-5.3216419999999997E-4</v>
      </c>
      <c r="AK17" s="6">
        <v>-5.278104E-4</v>
      </c>
      <c r="AL17" s="6">
        <v>5.2455421686746557E-7</v>
      </c>
      <c r="AM17" s="6">
        <v>-4.399335E-4</v>
      </c>
      <c r="AN17" s="6">
        <v>-4.1640520000000002E-4</v>
      </c>
      <c r="AO17" s="6">
        <v>2.8347349397590329E-6</v>
      </c>
      <c r="AP17" s="6">
        <v>-2.8473330000000001E-4</v>
      </c>
      <c r="AQ17" s="6">
        <v>-2.7582440000000001E-4</v>
      </c>
      <c r="AR17" s="6">
        <v>1.0733614457831323E-6</v>
      </c>
      <c r="AS17" s="6">
        <v>-3.6491900000000001E-4</v>
      </c>
      <c r="AT17" s="6">
        <v>-3.6351139999999998E-4</v>
      </c>
      <c r="AU17" s="6">
        <v>1.6959036144578596E-7</v>
      </c>
      <c r="AV17" s="6">
        <v>-2.7711709999999999E-4</v>
      </c>
      <c r="AW17" s="6">
        <v>-2.6082589999999999E-4</v>
      </c>
      <c r="AX17" s="6">
        <v>1.9627951807228909E-6</v>
      </c>
      <c r="AY17" s="6">
        <v>-3.6934780000000001E-4</v>
      </c>
      <c r="AZ17" s="6">
        <v>-3.7223109999999997E-4</v>
      </c>
      <c r="BA17" s="6">
        <v>3.4738554216866979E-7</v>
      </c>
      <c r="BB17" s="6">
        <v>-4.3849669999999999E-4</v>
      </c>
      <c r="BC17" s="6">
        <v>-4.2763799999999999E-4</v>
      </c>
      <c r="BD17" s="6">
        <v>1.3082771084337355E-6</v>
      </c>
      <c r="BE17" s="6">
        <v>-3.5831099999999999E-4</v>
      </c>
      <c r="BF17" s="6">
        <v>-3.3995100000000001E-4</v>
      </c>
      <c r="BG17" s="6">
        <v>2.2120481927710817E-6</v>
      </c>
      <c r="BH17" s="6">
        <v>-4.4611290000000001E-4</v>
      </c>
      <c r="BI17" s="6">
        <v>-4.426365E-4</v>
      </c>
      <c r="BJ17" s="6">
        <v>4.1884337349397661E-7</v>
      </c>
      <c r="BK17" s="6">
        <v>-3.5388219999999998E-4</v>
      </c>
      <c r="BL17" s="6">
        <v>-3.3123130000000002E-4</v>
      </c>
      <c r="BM17" s="6">
        <v>2.7290240963855374E-6</v>
      </c>
      <c r="BN17" s="6">
        <v>-5.24995E-4</v>
      </c>
      <c r="BO17" s="6">
        <v>-5.1350259999999998E-4</v>
      </c>
      <c r="BP17" s="6">
        <v>1.3846265060240986E-6</v>
      </c>
      <c r="BQ17" s="6">
        <v>-5.4905069999999995E-4</v>
      </c>
      <c r="BR17" s="6">
        <v>-5.3980870000000004E-4</v>
      </c>
      <c r="BS17" s="6">
        <v>1.1134939759036034E-6</v>
      </c>
      <c r="BT17" s="6">
        <v>-5.2271019999999997E-4</v>
      </c>
      <c r="BU17" s="6">
        <v>-5.0900309999999999E-4</v>
      </c>
      <c r="BV17" s="6">
        <v>1.6514578313252998E-6</v>
      </c>
      <c r="BW17" s="6">
        <v>-5.5037939999999996E-4</v>
      </c>
      <c r="BX17" s="6">
        <v>-5.424246E-4</v>
      </c>
      <c r="BY17" s="6">
        <v>9.5840963855421199E-7</v>
      </c>
      <c r="BZ17" s="6">
        <v>-5.71124E-4</v>
      </c>
      <c r="CA17" s="6">
        <v>-5.5904670000000002E-4</v>
      </c>
      <c r="CB17" s="6">
        <v>1.4550963855421661E-6</v>
      </c>
      <c r="CC17" s="6">
        <v>-5.4706830000000005E-4</v>
      </c>
      <c r="CD17" s="6">
        <v>-5.3274059999999996E-4</v>
      </c>
      <c r="CE17" s="6">
        <v>1.7262289156626612E-6</v>
      </c>
      <c r="CF17" s="6">
        <v>-5.7340889999999995E-4</v>
      </c>
      <c r="CG17" s="6">
        <v>-5.6354630000000005E-4</v>
      </c>
      <c r="CH17" s="6">
        <v>1.1882650602409519E-6</v>
      </c>
      <c r="CI17" s="6">
        <v>-5.4573969999999997E-4</v>
      </c>
      <c r="CJ17" s="6">
        <v>-5.301247E-4</v>
      </c>
      <c r="CK17" s="6">
        <v>1.881325301204815E-6</v>
      </c>
      <c r="CL17" s="6">
        <v>-2.3815730000000001E-4</v>
      </c>
      <c r="CM17" s="6">
        <v>-2.295896E-4</v>
      </c>
      <c r="CN17" s="6">
        <v>1.0322530120481939E-6</v>
      </c>
      <c r="CO17" s="6">
        <v>-2.6221300000000002E-4</v>
      </c>
      <c r="CP17" s="6">
        <v>-2.5589569999999998E-4</v>
      </c>
      <c r="CQ17" s="6">
        <v>7.6112048192771503E-7</v>
      </c>
      <c r="CR17" s="6">
        <v>-2.3587240000000001E-4</v>
      </c>
      <c r="CS17" s="6">
        <v>-2.2509E-4</v>
      </c>
      <c r="CT17" s="6">
        <v>1.2990843373493984E-6</v>
      </c>
      <c r="CU17" s="6">
        <v>-2.6354159999999999E-4</v>
      </c>
      <c r="CV17" s="6">
        <v>-2.5851159999999999E-4</v>
      </c>
      <c r="CW17" s="6">
        <v>6.0602409638554182E-7</v>
      </c>
      <c r="CX17" s="6">
        <v>-2.8428630000000002E-4</v>
      </c>
      <c r="CY17" s="6">
        <v>-2.7513370000000002E-4</v>
      </c>
      <c r="CZ17" s="6">
        <v>1.1027228915662648E-6</v>
      </c>
      <c r="DA17" s="6">
        <v>-2.6023060000000001E-4</v>
      </c>
      <c r="DB17" s="6">
        <v>-2.4882760000000001E-4</v>
      </c>
      <c r="DC17" s="6">
        <v>1.3738554216867468E-6</v>
      </c>
      <c r="DD17" s="6">
        <v>-2.8657120000000002E-4</v>
      </c>
      <c r="DE17" s="6">
        <v>-2.7963320000000001E-4</v>
      </c>
      <c r="DF17" s="6">
        <v>8.359036144578321E-7</v>
      </c>
      <c r="DG17" s="6">
        <v>-2.589019E-4</v>
      </c>
      <c r="DH17" s="6">
        <v>-2.462117E-4</v>
      </c>
      <c r="DI17" s="6">
        <v>1.5289397590361448E-6</v>
      </c>
      <c r="DK17" s="3" t="s">
        <v>23</v>
      </c>
      <c r="DL17" s="4">
        <f>AR1</f>
        <v>3198.7503445882717</v>
      </c>
      <c r="DM17" s="5" t="str">
        <f t="shared" si="11"/>
        <v>OK</v>
      </c>
    </row>
    <row r="18" spans="1:117" ht="16.2" thickBot="1" x14ac:dyDescent="0.35">
      <c r="A18" s="13" t="s">
        <v>362</v>
      </c>
      <c r="B18" s="13" t="s">
        <v>247</v>
      </c>
      <c r="C18" s="13" t="s">
        <v>285</v>
      </c>
      <c r="D18" s="13" t="s">
        <v>347</v>
      </c>
      <c r="E18" s="13">
        <v>8.3000000000000007</v>
      </c>
      <c r="F18" s="6">
        <v>1.034819E-4</v>
      </c>
      <c r="G18" s="6">
        <v>-1.3754749999999999E-3</v>
      </c>
      <c r="H18" s="6">
        <v>1.7818757831325298E-4</v>
      </c>
      <c r="I18" s="6">
        <v>-1.100179E-4</v>
      </c>
      <c r="J18" s="6">
        <v>-1.7900069999999999E-3</v>
      </c>
      <c r="K18" s="6">
        <v>2.0240832530120479E-4</v>
      </c>
      <c r="L18" s="6">
        <v>-5.3074890000000003E-4</v>
      </c>
      <c r="M18" s="6">
        <v>-1.8017440000000001E-3</v>
      </c>
      <c r="N18" s="6">
        <v>1.5313193975903614E-4</v>
      </c>
      <c r="O18" s="6">
        <v>-6.7849849999999999E-4</v>
      </c>
      <c r="P18" s="6">
        <v>-2.1963540000000002E-3</v>
      </c>
      <c r="Q18" s="6">
        <v>1.8287415662650603E-4</v>
      </c>
      <c r="R18" s="6">
        <v>-3.6099830000000001E-4</v>
      </c>
      <c r="S18" s="6">
        <v>-1.8569979999999999E-3</v>
      </c>
      <c r="T18" s="6">
        <v>1.8024092771084334E-4</v>
      </c>
      <c r="U18" s="6">
        <v>-4.4521909999999999E-4</v>
      </c>
      <c r="V18" s="6">
        <v>-2.2833910000000001E-3</v>
      </c>
      <c r="W18" s="6">
        <v>2.2146649397590361E-4</v>
      </c>
      <c r="X18" s="6">
        <v>-3.4599979999999999E-4</v>
      </c>
      <c r="Y18" s="6">
        <v>-1.852605E-3</v>
      </c>
      <c r="Z18" s="6">
        <v>1.8151869879518069E-4</v>
      </c>
      <c r="AA18" s="6">
        <v>-4.5740499999999998E-4</v>
      </c>
      <c r="AB18" s="6">
        <v>-2.3807110000000002E-3</v>
      </c>
      <c r="AC18" s="6">
        <v>2.3172361445783133E-4</v>
      </c>
      <c r="AD18" s="6">
        <v>-5.1281190000000004E-4</v>
      </c>
      <c r="AE18" s="6">
        <v>-2.3609289999999999E-3</v>
      </c>
      <c r="AF18" s="6">
        <v>2.2266471084337347E-4</v>
      </c>
      <c r="AG18" s="6">
        <v>-4.2512490000000001E-4</v>
      </c>
      <c r="AH18" s="6">
        <v>-1.8397820000000001E-3</v>
      </c>
      <c r="AI18" s="6">
        <v>1.7044061445783132E-4</v>
      </c>
      <c r="AJ18" s="6">
        <v>-5.278104E-4</v>
      </c>
      <c r="AK18" s="6">
        <v>-2.365322E-3</v>
      </c>
      <c r="AL18" s="6">
        <v>2.2138693975903612E-4</v>
      </c>
      <c r="AM18" s="6">
        <v>-4.1640520000000002E-4</v>
      </c>
      <c r="AN18" s="6">
        <v>-1.837216E-3</v>
      </c>
      <c r="AO18" s="6">
        <v>1.7118202409638553E-4</v>
      </c>
      <c r="AP18" s="6">
        <v>-2.7582440000000001E-4</v>
      </c>
      <c r="AQ18" s="6">
        <v>-1.6254290000000001E-3</v>
      </c>
      <c r="AR18" s="6">
        <v>1.6260296385542169E-4</v>
      </c>
      <c r="AS18" s="6">
        <v>-3.6351139999999998E-4</v>
      </c>
      <c r="AT18" s="6">
        <v>-2.146575E-3</v>
      </c>
      <c r="AU18" s="6">
        <v>2.148269397590361E-4</v>
      </c>
      <c r="AV18" s="6">
        <v>-2.6082589999999999E-4</v>
      </c>
      <c r="AW18" s="6">
        <v>-1.621036E-3</v>
      </c>
      <c r="AX18" s="6">
        <v>1.6388073493975902E-4</v>
      </c>
      <c r="AY18" s="6">
        <v>-3.7223109999999997E-4</v>
      </c>
      <c r="AZ18" s="6">
        <v>-2.1491420000000002E-3</v>
      </c>
      <c r="BA18" s="6">
        <v>2.1408565060240963E-4</v>
      </c>
      <c r="BB18" s="6">
        <v>-4.2763799999999999E-4</v>
      </c>
      <c r="BC18" s="6">
        <v>-2.1293599999999998E-3</v>
      </c>
      <c r="BD18" s="6">
        <v>2.0502674698795177E-4</v>
      </c>
      <c r="BE18" s="6">
        <v>-3.3995100000000001E-4</v>
      </c>
      <c r="BF18" s="6">
        <v>-1.608213E-3</v>
      </c>
      <c r="BG18" s="6">
        <v>1.5280265060240963E-4</v>
      </c>
      <c r="BH18" s="6">
        <v>-4.426365E-4</v>
      </c>
      <c r="BI18" s="6">
        <v>-2.133752E-3</v>
      </c>
      <c r="BJ18" s="6">
        <v>2.0374885542168676E-4</v>
      </c>
      <c r="BK18" s="6">
        <v>-3.3123130000000002E-4</v>
      </c>
      <c r="BL18" s="6">
        <v>-1.605647E-3</v>
      </c>
      <c r="BM18" s="6">
        <v>1.5354406024096383E-4</v>
      </c>
      <c r="BN18" s="6">
        <v>-5.1350259999999998E-4</v>
      </c>
      <c r="BO18" s="6">
        <v>-2.3035379999999999E-3</v>
      </c>
      <c r="BP18" s="6">
        <v>2.1566691566265057E-4</v>
      </c>
      <c r="BQ18" s="6">
        <v>-5.3980870000000004E-4</v>
      </c>
      <c r="BR18" s="6">
        <v>-2.459882E-3</v>
      </c>
      <c r="BS18" s="6">
        <v>2.3133413253012048E-4</v>
      </c>
      <c r="BT18" s="6">
        <v>-5.0900309999999999E-4</v>
      </c>
      <c r="BU18" s="6">
        <v>-2.3022199999999998E-3</v>
      </c>
      <c r="BV18" s="6">
        <v>2.160502289156626E-4</v>
      </c>
      <c r="BW18" s="6">
        <v>-5.424246E-4</v>
      </c>
      <c r="BX18" s="6">
        <v>-2.4606519999999998E-3</v>
      </c>
      <c r="BY18" s="6">
        <v>2.31111734939759E-4</v>
      </c>
      <c r="BZ18" s="6">
        <v>-5.5904670000000002E-4</v>
      </c>
      <c r="CA18" s="6">
        <v>-2.4547169999999999E-3</v>
      </c>
      <c r="CB18" s="6">
        <v>2.2839401204819275E-4</v>
      </c>
      <c r="CC18" s="6">
        <v>-5.3274059999999996E-4</v>
      </c>
      <c r="CD18" s="6">
        <v>-2.2983729999999998E-3</v>
      </c>
      <c r="CE18" s="6">
        <v>2.1272679518072283E-4</v>
      </c>
      <c r="CF18" s="6">
        <v>-5.6354630000000005E-4</v>
      </c>
      <c r="CG18" s="6">
        <v>-2.4560350000000001E-3</v>
      </c>
      <c r="CH18" s="6">
        <v>2.2801068674698795E-4</v>
      </c>
      <c r="CI18" s="6">
        <v>-5.301247E-4</v>
      </c>
      <c r="CJ18" s="6">
        <v>-2.297604E-3</v>
      </c>
      <c r="CK18" s="6">
        <v>2.12949313253012E-4</v>
      </c>
      <c r="CL18" s="6">
        <v>-2.295896E-4</v>
      </c>
      <c r="CM18" s="6">
        <v>-1.5316399999999999E-3</v>
      </c>
      <c r="CN18" s="6">
        <v>1.5687354216867467E-4</v>
      </c>
      <c r="CO18" s="6">
        <v>-2.5589569999999998E-4</v>
      </c>
      <c r="CP18" s="6">
        <v>-1.687984E-3</v>
      </c>
      <c r="CQ18" s="6">
        <v>1.7254075903614456E-4</v>
      </c>
      <c r="CR18" s="6">
        <v>-2.2509E-4</v>
      </c>
      <c r="CS18" s="6">
        <v>-1.530322E-3</v>
      </c>
      <c r="CT18" s="6">
        <v>1.572568674698795E-4</v>
      </c>
      <c r="CU18" s="6">
        <v>-2.5851159999999999E-4</v>
      </c>
      <c r="CV18" s="6">
        <v>-1.688754E-3</v>
      </c>
      <c r="CW18" s="6">
        <v>1.7231836144578313E-4</v>
      </c>
      <c r="CX18" s="6">
        <v>-2.7513370000000002E-4</v>
      </c>
      <c r="CY18" s="6">
        <v>-1.68282E-3</v>
      </c>
      <c r="CZ18" s="6">
        <v>1.6960075903614457E-4</v>
      </c>
      <c r="DA18" s="6">
        <v>-2.4882760000000001E-4</v>
      </c>
      <c r="DB18" s="6">
        <v>-1.5264759999999999E-3</v>
      </c>
      <c r="DC18" s="6">
        <v>1.5393354216867468E-4</v>
      </c>
      <c r="DD18" s="6">
        <v>-2.7963320000000001E-4</v>
      </c>
      <c r="DE18" s="6">
        <v>-1.684137E-3</v>
      </c>
      <c r="DF18" s="6">
        <v>1.692173253012048E-4</v>
      </c>
      <c r="DG18" s="6">
        <v>-2.462117E-4</v>
      </c>
      <c r="DH18" s="6">
        <v>-1.5257059999999999E-3</v>
      </c>
      <c r="DI18" s="6">
        <v>1.5415593975903614E-4</v>
      </c>
      <c r="DK18" s="3" t="s">
        <v>24</v>
      </c>
      <c r="DL18" s="4">
        <f>AU1</f>
        <v>3694.75237880845</v>
      </c>
      <c r="DM18" s="5" t="str">
        <f t="shared" si="11"/>
        <v>OK</v>
      </c>
    </row>
    <row r="19" spans="1:117" ht="16.2" thickBot="1" x14ac:dyDescent="0.35">
      <c r="A19" s="13" t="s">
        <v>363</v>
      </c>
      <c r="B19" s="13" t="s">
        <v>59</v>
      </c>
      <c r="C19" s="13" t="s">
        <v>94</v>
      </c>
      <c r="D19" s="13" t="s">
        <v>364</v>
      </c>
      <c r="E19" s="13">
        <v>8.3000000000000007</v>
      </c>
      <c r="F19" s="6">
        <v>-3.6643940000000001E-3</v>
      </c>
      <c r="G19" s="6">
        <v>-2.6743100000000001E-3</v>
      </c>
      <c r="H19" s="6">
        <v>1.1928722891566264E-4</v>
      </c>
      <c r="I19" s="6">
        <v>-4.489514E-3</v>
      </c>
      <c r="J19" s="6">
        <v>-3.804932E-3</v>
      </c>
      <c r="K19" s="6">
        <v>8.2479759036144573E-5</v>
      </c>
      <c r="L19" s="6">
        <v>-4.039768E-3</v>
      </c>
      <c r="M19" s="6">
        <v>-3.2841609999999999E-3</v>
      </c>
      <c r="N19" s="6">
        <v>9.1036987951807237E-5</v>
      </c>
      <c r="O19" s="6">
        <v>-4.8478660000000002E-3</v>
      </c>
      <c r="P19" s="6">
        <v>-4.3874990000000004E-3</v>
      </c>
      <c r="Q19" s="6">
        <v>5.5465903614457793E-5</v>
      </c>
      <c r="R19" s="6">
        <v>-4.7287220000000003E-3</v>
      </c>
      <c r="S19" s="6">
        <v>-4.4731090000000003E-3</v>
      </c>
      <c r="T19" s="6">
        <v>3.0796746987951808E-5</v>
      </c>
      <c r="U19" s="6">
        <v>-3.8582500000000001E-3</v>
      </c>
      <c r="V19" s="6">
        <v>-4.3176400000000002E-3</v>
      </c>
      <c r="W19" s="6">
        <v>5.5348192771084339E-5</v>
      </c>
      <c r="X19" s="6">
        <v>-4.7320510000000001E-3</v>
      </c>
      <c r="Y19" s="6">
        <v>-4.4445810000000004E-3</v>
      </c>
      <c r="Z19" s="6">
        <v>3.4634939759036113E-5</v>
      </c>
      <c r="AA19" s="6">
        <v>-3.827563E-3</v>
      </c>
      <c r="AB19" s="6">
        <v>-4.3344739999999996E-3</v>
      </c>
      <c r="AC19" s="6">
        <v>6.1073614457831272E-5</v>
      </c>
      <c r="AD19" s="6">
        <v>-5.106953E-3</v>
      </c>
      <c r="AE19" s="6">
        <v>-4.1354E-3</v>
      </c>
      <c r="AF19" s="6">
        <v>1.1705457831325301E-4</v>
      </c>
      <c r="AG19" s="6">
        <v>-6.0062520000000001E-3</v>
      </c>
      <c r="AH19" s="6">
        <v>-4.2908879999999996E-3</v>
      </c>
      <c r="AI19" s="6">
        <v>2.0667036144578316E-4</v>
      </c>
      <c r="AJ19" s="6">
        <v>-5.1036229999999998E-3</v>
      </c>
      <c r="AK19" s="6">
        <v>-4.1639279999999999E-3</v>
      </c>
      <c r="AL19" s="6">
        <v>1.1321626506024095E-4</v>
      </c>
      <c r="AM19" s="6">
        <v>-6.008111E-3</v>
      </c>
      <c r="AN19" s="6">
        <v>-4.2740349999999998E-3</v>
      </c>
      <c r="AO19" s="6">
        <v>2.0892481927710843E-4</v>
      </c>
      <c r="AP19" s="6">
        <v>-4.2304029999999998E-3</v>
      </c>
      <c r="AQ19" s="6">
        <v>-4.0569869999999997E-3</v>
      </c>
      <c r="AR19" s="6">
        <v>2.0893493975903616E-5</v>
      </c>
      <c r="AS19" s="6">
        <v>-3.3311040000000001E-3</v>
      </c>
      <c r="AT19" s="6">
        <v>-3.9014990000000001E-3</v>
      </c>
      <c r="AU19" s="6">
        <v>6.8722289156626496E-5</v>
      </c>
      <c r="AV19" s="6">
        <v>-4.2337329999999999E-3</v>
      </c>
      <c r="AW19" s="6">
        <v>-4.0284580000000004E-3</v>
      </c>
      <c r="AX19" s="6">
        <v>2.4731927710843317E-5</v>
      </c>
      <c r="AY19" s="6">
        <v>-3.3292439999999999E-3</v>
      </c>
      <c r="AZ19" s="6">
        <v>-3.9183509999999996E-3</v>
      </c>
      <c r="BA19" s="6">
        <v>7.0976746987951766E-5</v>
      </c>
      <c r="BB19" s="6">
        <v>-4.6086340000000003E-3</v>
      </c>
      <c r="BC19" s="6">
        <v>-3.7192779999999999E-3</v>
      </c>
      <c r="BD19" s="6">
        <v>1.0715132530120487E-4</v>
      </c>
      <c r="BE19" s="6">
        <v>-5.5079329999999996E-3</v>
      </c>
      <c r="BF19" s="6">
        <v>-3.8747650000000001E-3</v>
      </c>
      <c r="BG19" s="6">
        <v>1.9676722891566258E-4</v>
      </c>
      <c r="BH19" s="6">
        <v>-4.6053040000000002E-3</v>
      </c>
      <c r="BI19" s="6">
        <v>-3.7478059999999998E-3</v>
      </c>
      <c r="BJ19" s="6">
        <v>1.0331301204819281E-4</v>
      </c>
      <c r="BK19" s="6">
        <v>-5.5097929999999998E-3</v>
      </c>
      <c r="BL19" s="6">
        <v>-3.8579130000000001E-3</v>
      </c>
      <c r="BM19" s="6">
        <v>1.9902168674698791E-4</v>
      </c>
      <c r="BN19" s="6">
        <v>-5.4424749999999996E-3</v>
      </c>
      <c r="BO19" s="6">
        <v>-4.8403869999999998E-3</v>
      </c>
      <c r="BP19" s="6">
        <v>7.2540722891566235E-5</v>
      </c>
      <c r="BQ19" s="6">
        <v>-5.1726849999999998E-3</v>
      </c>
      <c r="BR19" s="6">
        <v>-4.7937400000000003E-3</v>
      </c>
      <c r="BS19" s="6">
        <v>4.5656024096385475E-5</v>
      </c>
      <c r="BT19" s="6">
        <v>-5.4434740000000002E-3</v>
      </c>
      <c r="BU19" s="6">
        <v>-4.8318279999999998E-3</v>
      </c>
      <c r="BV19" s="6">
        <v>7.3692289156626552E-5</v>
      </c>
      <c r="BW19" s="6">
        <v>-5.1721270000000003E-3</v>
      </c>
      <c r="BX19" s="6">
        <v>-4.7987960000000001E-3</v>
      </c>
      <c r="BY19" s="6">
        <v>4.4979638554216886E-5</v>
      </c>
      <c r="BZ19" s="6">
        <v>-5.5559440000000002E-3</v>
      </c>
      <c r="CA19" s="6">
        <v>-4.7390740000000002E-3</v>
      </c>
      <c r="CB19" s="6">
        <v>9.8418072289156613E-5</v>
      </c>
      <c r="CC19" s="6">
        <v>-5.8257339999999999E-3</v>
      </c>
      <c r="CD19" s="6">
        <v>-4.7857200000000003E-3</v>
      </c>
      <c r="CE19" s="6">
        <v>1.25302891566265E-4</v>
      </c>
      <c r="CF19" s="6">
        <v>-5.5549450000000004E-3</v>
      </c>
      <c r="CG19" s="6">
        <v>-4.7476319999999999E-3</v>
      </c>
      <c r="CH19" s="6">
        <v>9.7266626506024143E-5</v>
      </c>
      <c r="CI19" s="6">
        <v>-5.8262920000000003E-3</v>
      </c>
      <c r="CJ19" s="6">
        <v>-4.7806649999999999E-3</v>
      </c>
      <c r="CK19" s="6">
        <v>1.2597915662650606E-4</v>
      </c>
      <c r="CL19" s="6">
        <v>-3.7814120000000001E-3</v>
      </c>
      <c r="CM19" s="6">
        <v>-3.453313E-3</v>
      </c>
      <c r="CN19" s="6">
        <v>3.9530000000000009E-5</v>
      </c>
      <c r="CO19" s="6">
        <v>-3.5116230000000002E-3</v>
      </c>
      <c r="CP19" s="6">
        <v>-3.4066669999999999E-3</v>
      </c>
      <c r="CQ19" s="6">
        <v>1.2645301204819304E-5</v>
      </c>
      <c r="CR19" s="6">
        <v>-3.7824109999999998E-3</v>
      </c>
      <c r="CS19" s="6">
        <v>-3.4447549999999999E-3</v>
      </c>
      <c r="CT19" s="6">
        <v>4.0681445783132527E-5</v>
      </c>
      <c r="CU19" s="6">
        <v>-3.5110639999999999E-3</v>
      </c>
      <c r="CV19" s="6">
        <v>-3.4117219999999998E-3</v>
      </c>
      <c r="CW19" s="6">
        <v>1.1968915662650613E-5</v>
      </c>
      <c r="CX19" s="6">
        <v>-3.8948810000000002E-3</v>
      </c>
      <c r="CY19" s="6">
        <v>-3.3519999999999999E-3</v>
      </c>
      <c r="CZ19" s="6">
        <v>6.5407349397590388E-5</v>
      </c>
      <c r="DA19" s="6">
        <v>-4.164671E-3</v>
      </c>
      <c r="DB19" s="6">
        <v>-3.3986469999999999E-3</v>
      </c>
      <c r="DC19" s="6">
        <v>9.2292048192771093E-5</v>
      </c>
      <c r="DD19" s="6">
        <v>-3.8938829999999999E-3</v>
      </c>
      <c r="DE19" s="6">
        <v>-3.3605589999999999E-3</v>
      </c>
      <c r="DF19" s="6">
        <v>6.4255903614457823E-5</v>
      </c>
      <c r="DG19" s="6">
        <v>-4.1652290000000003E-3</v>
      </c>
      <c r="DH19" s="6">
        <v>-3.3935910000000001E-3</v>
      </c>
      <c r="DI19" s="6">
        <v>9.2968433734939778E-5</v>
      </c>
      <c r="DK19" s="3" t="s">
        <v>25</v>
      </c>
      <c r="DL19" s="4">
        <f>AX1</f>
        <v>3186.5809161581387</v>
      </c>
      <c r="DM19" s="5" t="str">
        <f t="shared" si="11"/>
        <v>OK</v>
      </c>
    </row>
    <row r="20" spans="1:117" ht="16.2" thickBot="1" x14ac:dyDescent="0.35">
      <c r="A20" s="13" t="s">
        <v>365</v>
      </c>
      <c r="B20" s="13" t="s">
        <v>94</v>
      </c>
      <c r="C20" s="13" t="s">
        <v>130</v>
      </c>
      <c r="D20" s="13" t="s">
        <v>364</v>
      </c>
      <c r="E20" s="13">
        <v>8.3000000000000007</v>
      </c>
      <c r="F20" s="6">
        <v>-2.6743100000000001E-3</v>
      </c>
      <c r="G20" s="6">
        <v>-2.8426789999999999E-3</v>
      </c>
      <c r="H20" s="6">
        <v>2.0285421686746963E-5</v>
      </c>
      <c r="I20" s="6">
        <v>-3.804932E-3</v>
      </c>
      <c r="J20" s="6">
        <v>-4.0099350000000001E-3</v>
      </c>
      <c r="K20" s="6">
        <v>2.4699156626506027E-5</v>
      </c>
      <c r="L20" s="6">
        <v>-3.2841609999999999E-3</v>
      </c>
      <c r="M20" s="6">
        <v>-3.4411070000000001E-3</v>
      </c>
      <c r="N20" s="6">
        <v>1.8909156626506054E-5</v>
      </c>
      <c r="O20" s="6">
        <v>-4.3874990000000004E-3</v>
      </c>
      <c r="P20" s="6">
        <v>-4.5811430000000002E-3</v>
      </c>
      <c r="Q20" s="6">
        <v>2.3330602409638522E-5</v>
      </c>
      <c r="R20" s="6">
        <v>-4.4731090000000003E-3</v>
      </c>
      <c r="S20" s="6">
        <v>-4.6742850000000002E-3</v>
      </c>
      <c r="T20" s="6">
        <v>2.4238072289156619E-5</v>
      </c>
      <c r="U20" s="6">
        <v>-4.3176400000000002E-3</v>
      </c>
      <c r="V20" s="6">
        <v>-4.5243469999999997E-3</v>
      </c>
      <c r="W20" s="6">
        <v>2.4904457831325244E-5</v>
      </c>
      <c r="X20" s="6">
        <v>-4.4445810000000004E-3</v>
      </c>
      <c r="Y20" s="6">
        <v>-4.6605639999999999E-3</v>
      </c>
      <c r="Z20" s="6">
        <v>2.6022048192771015E-5</v>
      </c>
      <c r="AA20" s="6">
        <v>-4.3344739999999996E-3</v>
      </c>
      <c r="AB20" s="6">
        <v>-4.5313150000000002E-3</v>
      </c>
      <c r="AC20" s="6">
        <v>2.3715783132530184E-5</v>
      </c>
      <c r="AD20" s="6">
        <v>-4.1354E-3</v>
      </c>
      <c r="AE20" s="6">
        <v>-4.3513049999999998E-3</v>
      </c>
      <c r="AF20" s="6">
        <v>2.6012650602409604E-5</v>
      </c>
      <c r="AG20" s="6">
        <v>-4.2908879999999996E-3</v>
      </c>
      <c r="AH20" s="6">
        <v>-4.5024030000000003E-3</v>
      </c>
      <c r="AI20" s="6">
        <v>2.5483734939759112E-5</v>
      </c>
      <c r="AJ20" s="6">
        <v>-4.1639279999999999E-3</v>
      </c>
      <c r="AK20" s="6">
        <v>-4.3650260000000001E-3</v>
      </c>
      <c r="AL20" s="6">
        <v>2.4228674698795208E-5</v>
      </c>
      <c r="AM20" s="6">
        <v>-4.2740349999999998E-3</v>
      </c>
      <c r="AN20" s="6">
        <v>-4.4942749999999998E-3</v>
      </c>
      <c r="AO20" s="6">
        <v>2.6534939759036143E-5</v>
      </c>
      <c r="AP20" s="6">
        <v>-4.0569869999999997E-3</v>
      </c>
      <c r="AQ20" s="6">
        <v>-4.2397600000000004E-3</v>
      </c>
      <c r="AR20" s="6">
        <v>2.2020843373494054E-5</v>
      </c>
      <c r="AS20" s="6">
        <v>-3.9014990000000001E-3</v>
      </c>
      <c r="AT20" s="6">
        <v>-4.0886630000000002E-3</v>
      </c>
      <c r="AU20" s="6">
        <v>2.2549879518072298E-5</v>
      </c>
      <c r="AV20" s="6">
        <v>-4.0284580000000004E-3</v>
      </c>
      <c r="AW20" s="6">
        <v>-4.226039E-3</v>
      </c>
      <c r="AX20" s="6">
        <v>2.3804939759036097E-5</v>
      </c>
      <c r="AY20" s="6">
        <v>-3.9183509999999996E-3</v>
      </c>
      <c r="AZ20" s="6">
        <v>-4.0967900000000003E-3</v>
      </c>
      <c r="BA20" s="6">
        <v>2.1498674698795267E-5</v>
      </c>
      <c r="BB20" s="6">
        <v>-3.7192779999999999E-3</v>
      </c>
      <c r="BC20" s="6">
        <v>-3.9167799999999999E-3</v>
      </c>
      <c r="BD20" s="6">
        <v>2.3795421686746988E-5</v>
      </c>
      <c r="BE20" s="6">
        <v>-3.8747650000000001E-3</v>
      </c>
      <c r="BF20" s="6">
        <v>-4.0678779999999996E-3</v>
      </c>
      <c r="BG20" s="6">
        <v>2.3266626506024038E-5</v>
      </c>
      <c r="BH20" s="6">
        <v>-3.7478059999999998E-3</v>
      </c>
      <c r="BI20" s="6">
        <v>-3.9305010000000003E-3</v>
      </c>
      <c r="BJ20" s="6">
        <v>2.2011445783132589E-5</v>
      </c>
      <c r="BK20" s="6">
        <v>-3.8579130000000001E-3</v>
      </c>
      <c r="BL20" s="6">
        <v>-4.05975E-3</v>
      </c>
      <c r="BM20" s="6">
        <v>2.4317710843373474E-5</v>
      </c>
      <c r="BN20" s="6">
        <v>-4.8403869999999998E-3</v>
      </c>
      <c r="BO20" s="6">
        <v>-5.0681880000000004E-3</v>
      </c>
      <c r="BP20" s="6">
        <v>2.7445903614457896E-5</v>
      </c>
      <c r="BQ20" s="6">
        <v>-4.7937400000000003E-3</v>
      </c>
      <c r="BR20" s="6">
        <v>-5.0228590000000002E-3</v>
      </c>
      <c r="BS20" s="6">
        <v>2.7604698795180702E-5</v>
      </c>
      <c r="BT20" s="6">
        <v>-4.8318279999999998E-3</v>
      </c>
      <c r="BU20" s="6">
        <v>-5.0640720000000002E-3</v>
      </c>
      <c r="BV20" s="6">
        <v>2.7981204819277151E-5</v>
      </c>
      <c r="BW20" s="6">
        <v>-4.7987960000000001E-3</v>
      </c>
      <c r="BX20" s="6">
        <v>-5.0252969999999998E-3</v>
      </c>
      <c r="BY20" s="6">
        <v>2.7289277108433685E-5</v>
      </c>
      <c r="BZ20" s="6">
        <v>-4.7390740000000002E-3</v>
      </c>
      <c r="CA20" s="6">
        <v>-4.9712940000000002E-3</v>
      </c>
      <c r="CB20" s="6">
        <v>2.7978313253012046E-5</v>
      </c>
      <c r="CC20" s="6">
        <v>-4.7857200000000003E-3</v>
      </c>
      <c r="CD20" s="6">
        <v>-5.0166229999999996E-3</v>
      </c>
      <c r="CE20" s="6">
        <v>2.7819638554216782E-5</v>
      </c>
      <c r="CF20" s="6">
        <v>-4.7476319999999999E-3</v>
      </c>
      <c r="CG20" s="6">
        <v>-4.9754100000000004E-3</v>
      </c>
      <c r="CH20" s="6">
        <v>2.7443132530120543E-5</v>
      </c>
      <c r="CI20" s="6">
        <v>-4.7806649999999999E-3</v>
      </c>
      <c r="CJ20" s="6">
        <v>-5.014185E-3</v>
      </c>
      <c r="CK20" s="6">
        <v>2.8134939759036152E-5</v>
      </c>
      <c r="CL20" s="6">
        <v>-3.453313E-3</v>
      </c>
      <c r="CM20" s="6">
        <v>-3.6197709999999999E-3</v>
      </c>
      <c r="CN20" s="6">
        <v>2.0055180722891561E-5</v>
      </c>
      <c r="CO20" s="6">
        <v>-3.4066669999999999E-3</v>
      </c>
      <c r="CP20" s="6">
        <v>-3.5744420000000002E-3</v>
      </c>
      <c r="CQ20" s="6">
        <v>2.0213855421686771E-5</v>
      </c>
      <c r="CR20" s="6">
        <v>-3.4447549999999999E-3</v>
      </c>
      <c r="CS20" s="6">
        <v>-3.6156550000000002E-3</v>
      </c>
      <c r="CT20" s="6">
        <v>2.0590361445783166E-5</v>
      </c>
      <c r="CU20" s="6">
        <v>-3.4117219999999998E-3</v>
      </c>
      <c r="CV20" s="6">
        <v>-3.5768800000000002E-3</v>
      </c>
      <c r="CW20" s="6">
        <v>1.9898554216867506E-5</v>
      </c>
      <c r="CX20" s="6">
        <v>-3.3519999999999999E-3</v>
      </c>
      <c r="CY20" s="6">
        <v>-3.5228770000000002E-3</v>
      </c>
      <c r="CZ20" s="6">
        <v>2.0587590361445813E-5</v>
      </c>
      <c r="DA20" s="6">
        <v>-3.3986469999999999E-3</v>
      </c>
      <c r="DB20" s="6">
        <v>-3.568206E-3</v>
      </c>
      <c r="DC20" s="6">
        <v>2.0428795180722905E-5</v>
      </c>
      <c r="DD20" s="6">
        <v>-3.3605589999999999E-3</v>
      </c>
      <c r="DE20" s="6">
        <v>-3.5269939999999999E-3</v>
      </c>
      <c r="DF20" s="6">
        <v>2.0052409638554208E-5</v>
      </c>
      <c r="DG20" s="6">
        <v>-3.3935910000000001E-3</v>
      </c>
      <c r="DH20" s="6">
        <v>-3.565768E-3</v>
      </c>
      <c r="DI20" s="6">
        <v>2.0744216867469868E-5</v>
      </c>
      <c r="DK20" s="3" t="s">
        <v>26</v>
      </c>
      <c r="DL20" s="4">
        <f>BA1</f>
        <v>3704.180900056157</v>
      </c>
      <c r="DM20" s="5" t="str">
        <f t="shared" si="11"/>
        <v>OK</v>
      </c>
    </row>
    <row r="21" spans="1:117" ht="16.2" thickBot="1" x14ac:dyDescent="0.35">
      <c r="A21" s="13" t="s">
        <v>366</v>
      </c>
      <c r="B21" s="13" t="s">
        <v>130</v>
      </c>
      <c r="C21" s="13" t="s">
        <v>167</v>
      </c>
      <c r="D21" s="13" t="s">
        <v>364</v>
      </c>
      <c r="E21" s="13">
        <v>8.3000000000000007</v>
      </c>
      <c r="F21" s="6">
        <v>-2.8426789999999999E-3</v>
      </c>
      <c r="G21" s="6">
        <v>-2.823192E-3</v>
      </c>
      <c r="H21" s="6">
        <v>2.3478313253011912E-6</v>
      </c>
      <c r="I21" s="6">
        <v>-4.0099350000000001E-3</v>
      </c>
      <c r="J21" s="6">
        <v>-3.9821099999999996E-3</v>
      </c>
      <c r="K21" s="6">
        <v>3.3524096385542669E-6</v>
      </c>
      <c r="L21" s="6">
        <v>-3.4411070000000001E-3</v>
      </c>
      <c r="M21" s="6">
        <v>-3.4216440000000002E-3</v>
      </c>
      <c r="N21" s="6">
        <v>2.3449397590361379E-6</v>
      </c>
      <c r="O21" s="6">
        <v>-4.5811430000000002E-3</v>
      </c>
      <c r="P21" s="6">
        <v>-4.553082E-3</v>
      </c>
      <c r="Q21" s="6">
        <v>3.3808433734940036E-6</v>
      </c>
      <c r="R21" s="6">
        <v>-4.6742850000000002E-3</v>
      </c>
      <c r="S21" s="6">
        <v>-4.6360380000000003E-3</v>
      </c>
      <c r="T21" s="6">
        <v>4.6080722891566178E-6</v>
      </c>
      <c r="U21" s="6">
        <v>-4.5243469999999997E-3</v>
      </c>
      <c r="V21" s="6">
        <v>-4.4855140000000003E-3</v>
      </c>
      <c r="W21" s="6">
        <v>4.6786746987951082E-6</v>
      </c>
      <c r="X21" s="6">
        <v>-4.6605639999999999E-3</v>
      </c>
      <c r="Y21" s="6">
        <v>-4.6362460000000001E-3</v>
      </c>
      <c r="Z21" s="6">
        <v>2.9298795180722571E-6</v>
      </c>
      <c r="AA21" s="6">
        <v>-4.5313150000000002E-3</v>
      </c>
      <c r="AB21" s="6">
        <v>-4.4840610000000001E-3</v>
      </c>
      <c r="AC21" s="6">
        <v>5.6932530120481974E-6</v>
      </c>
      <c r="AD21" s="6">
        <v>-4.3513049999999998E-3</v>
      </c>
      <c r="AE21" s="6">
        <v>-4.3313350000000004E-3</v>
      </c>
      <c r="AF21" s="6">
        <v>2.4060240963854653E-6</v>
      </c>
      <c r="AG21" s="6">
        <v>-4.5024030000000003E-3</v>
      </c>
      <c r="AH21" s="6">
        <v>-4.4830709999999999E-3</v>
      </c>
      <c r="AI21" s="6">
        <v>2.3291566265060692E-6</v>
      </c>
      <c r="AJ21" s="6">
        <v>-4.3650260000000001E-3</v>
      </c>
      <c r="AK21" s="6">
        <v>-4.3311280000000001E-3</v>
      </c>
      <c r="AL21" s="6">
        <v>4.0840963855421785E-6</v>
      </c>
      <c r="AM21" s="6">
        <v>-4.4942749999999998E-3</v>
      </c>
      <c r="AN21" s="6">
        <v>-4.4833130000000001E-3</v>
      </c>
      <c r="AO21" s="6">
        <v>1.3207228915662382E-6</v>
      </c>
      <c r="AP21" s="6">
        <v>-4.2397600000000004E-3</v>
      </c>
      <c r="AQ21" s="6">
        <v>-4.2038580000000004E-3</v>
      </c>
      <c r="AR21" s="6">
        <v>4.3255421686746965E-6</v>
      </c>
      <c r="AS21" s="6">
        <v>-4.0886630000000002E-3</v>
      </c>
      <c r="AT21" s="6">
        <v>-4.052122E-3</v>
      </c>
      <c r="AU21" s="6">
        <v>4.4025301204819488E-6</v>
      </c>
      <c r="AV21" s="6">
        <v>-4.226039E-3</v>
      </c>
      <c r="AW21" s="6">
        <v>-4.2040660000000002E-3</v>
      </c>
      <c r="AX21" s="6">
        <v>2.6473493975903354E-6</v>
      </c>
      <c r="AY21" s="6">
        <v>-4.0967900000000003E-3</v>
      </c>
      <c r="AZ21" s="6">
        <v>-4.0518799999999999E-3</v>
      </c>
      <c r="BA21" s="6">
        <v>5.4108433734940282E-6</v>
      </c>
      <c r="BB21" s="6">
        <v>-3.9167799999999999E-3</v>
      </c>
      <c r="BC21" s="6">
        <v>-3.899156E-3</v>
      </c>
      <c r="BD21" s="6">
        <v>2.123373493975896E-6</v>
      </c>
      <c r="BE21" s="6">
        <v>-4.0678779999999996E-3</v>
      </c>
      <c r="BF21" s="6">
        <v>-4.050891E-3</v>
      </c>
      <c r="BG21" s="6">
        <v>2.0466265060240429E-6</v>
      </c>
      <c r="BH21" s="6">
        <v>-3.9305010000000003E-3</v>
      </c>
      <c r="BI21" s="6">
        <v>-3.8989480000000002E-3</v>
      </c>
      <c r="BJ21" s="6">
        <v>3.8015662650602572E-6</v>
      </c>
      <c r="BK21" s="6">
        <v>-4.05975E-3</v>
      </c>
      <c r="BL21" s="6">
        <v>-4.0511330000000002E-3</v>
      </c>
      <c r="BM21" s="6">
        <v>1.0381927710843164E-6</v>
      </c>
      <c r="BN21" s="6">
        <v>-5.0681880000000004E-3</v>
      </c>
      <c r="BO21" s="6">
        <v>-5.0336019999999999E-3</v>
      </c>
      <c r="BP21" s="6">
        <v>4.1669879518072903E-6</v>
      </c>
      <c r="BQ21" s="6">
        <v>-5.0228590000000002E-3</v>
      </c>
      <c r="BR21" s="6">
        <v>-4.9880810000000001E-3</v>
      </c>
      <c r="BS21" s="6">
        <v>4.1901204819277188E-6</v>
      </c>
      <c r="BT21" s="6">
        <v>-5.0640720000000002E-3</v>
      </c>
      <c r="BU21" s="6">
        <v>-5.0336640000000002E-3</v>
      </c>
      <c r="BV21" s="6">
        <v>3.6636144578313245E-6</v>
      </c>
      <c r="BW21" s="6">
        <v>-5.0252969999999998E-3</v>
      </c>
      <c r="BX21" s="6">
        <v>-4.9880089999999998E-3</v>
      </c>
      <c r="BY21" s="6">
        <v>4.4925301204819158E-6</v>
      </c>
      <c r="BZ21" s="6">
        <v>-4.9712940000000002E-3</v>
      </c>
      <c r="CA21" s="6">
        <v>-4.9421910000000003E-3</v>
      </c>
      <c r="CB21" s="6">
        <v>3.5063855421686674E-6</v>
      </c>
      <c r="CC21" s="6">
        <v>-5.0166229999999996E-3</v>
      </c>
      <c r="CD21" s="6">
        <v>-4.987712E-3</v>
      </c>
      <c r="CE21" s="6">
        <v>3.4832530120481347E-6</v>
      </c>
      <c r="CF21" s="6">
        <v>-4.9754100000000004E-3</v>
      </c>
      <c r="CG21" s="6">
        <v>-4.942129E-3</v>
      </c>
      <c r="CH21" s="6">
        <v>4.0097590361446328E-6</v>
      </c>
      <c r="CI21" s="6">
        <v>-5.014185E-3</v>
      </c>
      <c r="CJ21" s="6">
        <v>-4.9877849999999998E-3</v>
      </c>
      <c r="CK21" s="6">
        <v>3.1807228915662898E-6</v>
      </c>
      <c r="CL21" s="6">
        <v>-3.6197709999999999E-3</v>
      </c>
      <c r="CM21" s="6">
        <v>-3.5930020000000001E-3</v>
      </c>
      <c r="CN21" s="6">
        <v>3.2251807228915464E-6</v>
      </c>
      <c r="CO21" s="6">
        <v>-3.5744420000000002E-3</v>
      </c>
      <c r="CP21" s="6">
        <v>-3.5474809999999999E-3</v>
      </c>
      <c r="CQ21" s="6">
        <v>3.2483132530120791E-6</v>
      </c>
      <c r="CR21" s="6">
        <v>-3.6156550000000002E-3</v>
      </c>
      <c r="CS21" s="6">
        <v>-3.5930649999999999E-3</v>
      </c>
      <c r="CT21" s="6">
        <v>2.7216867469879857E-6</v>
      </c>
      <c r="CU21" s="6">
        <v>-3.5768800000000002E-3</v>
      </c>
      <c r="CV21" s="6">
        <v>-3.5474090000000001E-3</v>
      </c>
      <c r="CW21" s="6">
        <v>3.5507228915662765E-6</v>
      </c>
      <c r="CX21" s="6">
        <v>-3.5228770000000002E-3</v>
      </c>
      <c r="CY21" s="6">
        <v>-3.501592E-3</v>
      </c>
      <c r="CZ21" s="6">
        <v>2.5644578313253282E-6</v>
      </c>
      <c r="DA21" s="6">
        <v>-3.568206E-3</v>
      </c>
      <c r="DB21" s="6">
        <v>-3.5471119999999998E-3</v>
      </c>
      <c r="DC21" s="6">
        <v>2.5414457831325476E-6</v>
      </c>
      <c r="DD21" s="6">
        <v>-3.5269939999999999E-3</v>
      </c>
      <c r="DE21" s="6">
        <v>-3.5015290000000002E-3</v>
      </c>
      <c r="DF21" s="6">
        <v>3.0680722891565889E-6</v>
      </c>
      <c r="DG21" s="6">
        <v>-3.565768E-3</v>
      </c>
      <c r="DH21" s="6">
        <v>-3.547185E-3</v>
      </c>
      <c r="DI21" s="6">
        <v>2.2389156626505985E-6</v>
      </c>
      <c r="DK21" s="3" t="s">
        <v>27</v>
      </c>
      <c r="DL21" s="4">
        <f>BD1</f>
        <v>2409.1721770916874</v>
      </c>
      <c r="DM21" s="5" t="str">
        <f t="shared" si="11"/>
        <v>OK</v>
      </c>
    </row>
    <row r="22" spans="1:117" ht="16.2" thickBot="1" x14ac:dyDescent="0.35">
      <c r="A22" s="13" t="s">
        <v>367</v>
      </c>
      <c r="B22" s="13" t="s">
        <v>167</v>
      </c>
      <c r="C22" s="13" t="s">
        <v>208</v>
      </c>
      <c r="D22" s="13" t="s">
        <v>364</v>
      </c>
      <c r="E22" s="13">
        <v>8.3000000000000007</v>
      </c>
      <c r="F22" s="6">
        <v>-2.823192E-3</v>
      </c>
      <c r="G22" s="6">
        <v>-2.8149759999999998E-3</v>
      </c>
      <c r="H22" s="6">
        <v>9.8987951807230429E-7</v>
      </c>
      <c r="I22" s="6">
        <v>-3.9821099999999996E-3</v>
      </c>
      <c r="J22" s="6">
        <v>-3.9728740000000004E-3</v>
      </c>
      <c r="K22" s="6">
        <v>1.1127710843372617E-6</v>
      </c>
      <c r="L22" s="6">
        <v>-3.4216440000000002E-3</v>
      </c>
      <c r="M22" s="6">
        <v>-3.4129149999999999E-3</v>
      </c>
      <c r="N22" s="6">
        <v>1.0516867469879864E-6</v>
      </c>
      <c r="O22" s="6">
        <v>-4.553082E-3</v>
      </c>
      <c r="P22" s="6">
        <v>-4.5436089999999997E-3</v>
      </c>
      <c r="Q22" s="6">
        <v>1.1413253012048545E-6</v>
      </c>
      <c r="R22" s="6">
        <v>-4.6360380000000003E-3</v>
      </c>
      <c r="S22" s="6">
        <v>-4.6208509999999996E-3</v>
      </c>
      <c r="T22" s="6">
        <v>1.8297590361446634E-6</v>
      </c>
      <c r="U22" s="6">
        <v>-4.4855140000000003E-3</v>
      </c>
      <c r="V22" s="6">
        <v>-4.463725E-3</v>
      </c>
      <c r="W22" s="6">
        <v>2.6251807228916089E-6</v>
      </c>
      <c r="X22" s="6">
        <v>-4.6362460000000001E-3</v>
      </c>
      <c r="Y22" s="6">
        <v>-4.6351750000000001E-3</v>
      </c>
      <c r="Z22" s="6">
        <v>1.2903614457832023E-7</v>
      </c>
      <c r="AA22" s="6">
        <v>-4.4840610000000001E-3</v>
      </c>
      <c r="AB22" s="6">
        <v>-4.4540489999999999E-3</v>
      </c>
      <c r="AC22" s="6">
        <v>3.6159036144578634E-6</v>
      </c>
      <c r="AD22" s="6">
        <v>-4.3313350000000004E-3</v>
      </c>
      <c r="AE22" s="6">
        <v>-4.3267540000000004E-3</v>
      </c>
      <c r="AF22" s="6">
        <v>5.5192771084337704E-7</v>
      </c>
      <c r="AG22" s="6">
        <v>-4.4830709999999999E-3</v>
      </c>
      <c r="AH22" s="6">
        <v>-4.4849900000000003E-3</v>
      </c>
      <c r="AI22" s="6">
        <v>2.3120481927715656E-7</v>
      </c>
      <c r="AJ22" s="6">
        <v>-4.3311280000000001E-3</v>
      </c>
      <c r="AK22" s="6">
        <v>-4.3124299999999999E-3</v>
      </c>
      <c r="AL22" s="6">
        <v>2.2527710843373677E-6</v>
      </c>
      <c r="AM22" s="6">
        <v>-4.4833130000000001E-3</v>
      </c>
      <c r="AN22" s="6">
        <v>-4.4935560000000001E-3</v>
      </c>
      <c r="AO22" s="6">
        <v>1.2340963855421755E-6</v>
      </c>
      <c r="AP22" s="6">
        <v>-4.2038580000000004E-3</v>
      </c>
      <c r="AQ22" s="6">
        <v>-4.1897269999999999E-3</v>
      </c>
      <c r="AR22" s="6">
        <v>1.702530120481995E-6</v>
      </c>
      <c r="AS22" s="6">
        <v>-4.052122E-3</v>
      </c>
      <c r="AT22" s="6">
        <v>-4.0314909999999999E-3</v>
      </c>
      <c r="AU22" s="6">
        <v>2.4856626506024242E-6</v>
      </c>
      <c r="AV22" s="6">
        <v>-4.2040660000000002E-3</v>
      </c>
      <c r="AW22" s="6">
        <v>-4.2040519999999998E-3</v>
      </c>
      <c r="AX22" s="6">
        <v>1.6867469880044907E-9</v>
      </c>
      <c r="AY22" s="6">
        <v>-4.0518799999999999E-3</v>
      </c>
      <c r="AZ22" s="6">
        <v>-4.0229259999999996E-3</v>
      </c>
      <c r="BA22" s="6">
        <v>3.4884337349397954E-6</v>
      </c>
      <c r="BB22" s="6">
        <v>-3.899156E-3</v>
      </c>
      <c r="BC22" s="6">
        <v>-3.8956300000000002E-3</v>
      </c>
      <c r="BD22" s="6">
        <v>4.2481927710840835E-7</v>
      </c>
      <c r="BE22" s="6">
        <v>-4.050891E-3</v>
      </c>
      <c r="BF22" s="6">
        <v>-4.0538659999999997E-3</v>
      </c>
      <c r="BG22" s="6">
        <v>3.5843373493972038E-7</v>
      </c>
      <c r="BH22" s="6">
        <v>-3.8989480000000002E-3</v>
      </c>
      <c r="BI22" s="6">
        <v>-3.8813060000000002E-3</v>
      </c>
      <c r="BJ22" s="6">
        <v>2.1255421686746993E-6</v>
      </c>
      <c r="BK22" s="6">
        <v>-4.0511330000000002E-3</v>
      </c>
      <c r="BL22" s="6">
        <v>-4.0624320000000004E-3</v>
      </c>
      <c r="BM22" s="6">
        <v>1.3613253012048439E-6</v>
      </c>
      <c r="BN22" s="6">
        <v>-5.0336019999999999E-3</v>
      </c>
      <c r="BO22" s="6">
        <v>-5.020895E-3</v>
      </c>
      <c r="BP22" s="6">
        <v>1.5309638554216652E-6</v>
      </c>
      <c r="BQ22" s="6">
        <v>-4.9880810000000001E-3</v>
      </c>
      <c r="BR22" s="6">
        <v>-4.9734239999999997E-3</v>
      </c>
      <c r="BS22" s="6">
        <v>1.7659036144578775E-6</v>
      </c>
      <c r="BT22" s="6">
        <v>-5.0336640000000002E-3</v>
      </c>
      <c r="BU22" s="6">
        <v>-5.0251920000000004E-3</v>
      </c>
      <c r="BV22" s="6">
        <v>1.0207228915662434E-6</v>
      </c>
      <c r="BW22" s="6">
        <v>-4.9880089999999998E-3</v>
      </c>
      <c r="BX22" s="6">
        <v>-4.9708540000000002E-3</v>
      </c>
      <c r="BY22" s="6">
        <v>2.0668674698794698E-6</v>
      </c>
      <c r="BZ22" s="6">
        <v>-4.9421910000000003E-3</v>
      </c>
      <c r="CA22" s="6">
        <v>-4.9326650000000001E-3</v>
      </c>
      <c r="CB22" s="6">
        <v>1.1477108433735122E-6</v>
      </c>
      <c r="CC22" s="6">
        <v>-4.987712E-3</v>
      </c>
      <c r="CD22" s="6">
        <v>-4.9801359999999996E-3</v>
      </c>
      <c r="CE22" s="6">
        <v>9.1277108433740446E-7</v>
      </c>
      <c r="CF22" s="6">
        <v>-4.942129E-3</v>
      </c>
      <c r="CG22" s="6">
        <v>-4.9283679999999998E-3</v>
      </c>
      <c r="CH22" s="6">
        <v>1.6579518072289342E-6</v>
      </c>
      <c r="CI22" s="6">
        <v>-4.9877849999999998E-3</v>
      </c>
      <c r="CJ22" s="6">
        <v>-4.9827059999999999E-3</v>
      </c>
      <c r="CK22" s="6">
        <v>6.1192771084335508E-7</v>
      </c>
      <c r="CL22" s="6">
        <v>-3.5930020000000001E-3</v>
      </c>
      <c r="CM22" s="6">
        <v>-3.5838160000000001E-3</v>
      </c>
      <c r="CN22" s="6">
        <v>1.1067469879518075E-6</v>
      </c>
      <c r="CO22" s="6">
        <v>-3.5474809999999999E-3</v>
      </c>
      <c r="CP22" s="6">
        <v>-3.5363450000000002E-3</v>
      </c>
      <c r="CQ22" s="6">
        <v>1.3416867469879153E-6</v>
      </c>
      <c r="CR22" s="6">
        <v>-3.5930649999999999E-3</v>
      </c>
      <c r="CS22" s="6">
        <v>-3.588113E-3</v>
      </c>
      <c r="CT22" s="6">
        <v>5.9662650602408522E-7</v>
      </c>
      <c r="CU22" s="6">
        <v>-3.5474090000000001E-3</v>
      </c>
      <c r="CV22" s="6">
        <v>-3.5337749999999999E-3</v>
      </c>
      <c r="CW22" s="6">
        <v>1.6426506024096644E-6</v>
      </c>
      <c r="CX22" s="6">
        <v>-3.501592E-3</v>
      </c>
      <c r="CY22" s="6">
        <v>-3.4955870000000001E-3</v>
      </c>
      <c r="CZ22" s="6">
        <v>7.2349397590360225E-7</v>
      </c>
      <c r="DA22" s="6">
        <v>-3.5471119999999998E-3</v>
      </c>
      <c r="DB22" s="6">
        <v>-3.5430570000000001E-3</v>
      </c>
      <c r="DC22" s="6">
        <v>4.8855421686744222E-7</v>
      </c>
      <c r="DD22" s="6">
        <v>-3.5015290000000002E-3</v>
      </c>
      <c r="DE22" s="6">
        <v>-3.4912889999999999E-3</v>
      </c>
      <c r="DF22" s="6">
        <v>1.2337349397590766E-6</v>
      </c>
      <c r="DG22" s="6">
        <v>-3.547185E-3</v>
      </c>
      <c r="DH22" s="6">
        <v>-3.545627E-3</v>
      </c>
      <c r="DI22" s="6">
        <v>1.8771084337349734E-7</v>
      </c>
      <c r="DK22" s="3" t="s">
        <v>28</v>
      </c>
      <c r="DL22" s="4">
        <f>BG1</f>
        <v>2187.9526162219345</v>
      </c>
      <c r="DM22" s="5" t="str">
        <f t="shared" si="11"/>
        <v>OK</v>
      </c>
    </row>
    <row r="23" spans="1:117" ht="16.2" thickBot="1" x14ac:dyDescent="0.35">
      <c r="A23" s="13" t="s">
        <v>368</v>
      </c>
      <c r="B23" s="13" t="s">
        <v>208</v>
      </c>
      <c r="C23" s="13" t="s">
        <v>249</v>
      </c>
      <c r="D23" s="13" t="s">
        <v>364</v>
      </c>
      <c r="E23" s="13">
        <v>8.3000000000000007</v>
      </c>
      <c r="F23" s="6">
        <v>-2.8149759999999998E-3</v>
      </c>
      <c r="G23" s="6">
        <v>-2.8181479999999999E-3</v>
      </c>
      <c r="H23" s="6">
        <v>3.8216867469880366E-7</v>
      </c>
      <c r="I23" s="6">
        <v>-3.9728740000000004E-3</v>
      </c>
      <c r="J23" s="6">
        <v>-3.9797779999999998E-3</v>
      </c>
      <c r="K23" s="6">
        <v>8.3180722891559241E-7</v>
      </c>
      <c r="L23" s="6">
        <v>-3.4129149999999999E-3</v>
      </c>
      <c r="M23" s="6">
        <v>-3.4199030000000002E-3</v>
      </c>
      <c r="N23" s="6">
        <v>8.4192771084341037E-7</v>
      </c>
      <c r="O23" s="6">
        <v>-4.5436089999999997E-3</v>
      </c>
      <c r="P23" s="6">
        <v>-4.5536800000000001E-3</v>
      </c>
      <c r="Q23" s="6">
        <v>1.2133734939759499E-6</v>
      </c>
      <c r="R23" s="6">
        <v>-4.6208509999999996E-3</v>
      </c>
      <c r="S23" s="6">
        <v>-4.6259819999999998E-3</v>
      </c>
      <c r="T23" s="6">
        <v>6.1819277108436533E-7</v>
      </c>
      <c r="U23" s="6">
        <v>-4.463725E-3</v>
      </c>
      <c r="V23" s="6">
        <v>-4.5137700000000003E-3</v>
      </c>
      <c r="W23" s="6">
        <v>6.0295180722891922E-6</v>
      </c>
      <c r="X23" s="6">
        <v>-4.6351750000000001E-3</v>
      </c>
      <c r="Y23" s="6">
        <v>-4.6602470000000002E-3</v>
      </c>
      <c r="Z23" s="6">
        <v>3.0207228915662787E-6</v>
      </c>
      <c r="AA23" s="6">
        <v>-4.4540489999999999E-3</v>
      </c>
      <c r="AB23" s="6">
        <v>-4.491063E-3</v>
      </c>
      <c r="AC23" s="6">
        <v>4.4595180722891734E-6</v>
      </c>
      <c r="AD23" s="6">
        <v>-4.3267540000000004E-3</v>
      </c>
      <c r="AE23" s="6">
        <v>-4.3395550000000001E-3</v>
      </c>
      <c r="AF23" s="6">
        <v>1.5422891566264801E-6</v>
      </c>
      <c r="AG23" s="6">
        <v>-4.4849900000000003E-3</v>
      </c>
      <c r="AH23" s="6">
        <v>-4.4544490000000001E-3</v>
      </c>
      <c r="AI23" s="6">
        <v>3.679638554216897E-6</v>
      </c>
      <c r="AJ23" s="6">
        <v>-4.3124299999999999E-3</v>
      </c>
      <c r="AK23" s="6">
        <v>-4.3052899999999998E-3</v>
      </c>
      <c r="AL23" s="6">
        <v>8.6024096385543337E-7</v>
      </c>
      <c r="AM23" s="6">
        <v>-4.4935560000000001E-3</v>
      </c>
      <c r="AN23" s="6">
        <v>-4.474474E-3</v>
      </c>
      <c r="AO23" s="6">
        <v>2.2990361445783284E-6</v>
      </c>
      <c r="AP23" s="6">
        <v>-4.1897269999999999E-3</v>
      </c>
      <c r="AQ23" s="6">
        <v>-4.1939000000000004E-3</v>
      </c>
      <c r="AR23" s="6">
        <v>5.0277108433741495E-7</v>
      </c>
      <c r="AS23" s="6">
        <v>-4.0314909999999999E-3</v>
      </c>
      <c r="AT23" s="6">
        <v>-4.0790059999999996E-3</v>
      </c>
      <c r="AU23" s="6">
        <v>5.7246987951806878E-6</v>
      </c>
      <c r="AV23" s="6">
        <v>-4.2040519999999998E-3</v>
      </c>
      <c r="AW23" s="6">
        <v>-4.2281649999999999E-3</v>
      </c>
      <c r="AX23" s="6">
        <v>2.9051807228915762E-6</v>
      </c>
      <c r="AY23" s="6">
        <v>-4.0229259999999996E-3</v>
      </c>
      <c r="AZ23" s="6">
        <v>-4.0589809999999997E-3</v>
      </c>
      <c r="BA23" s="6">
        <v>4.3439759036144713E-6</v>
      </c>
      <c r="BB23" s="6">
        <v>-3.8956300000000002E-3</v>
      </c>
      <c r="BC23" s="6">
        <v>-3.9074729999999998E-3</v>
      </c>
      <c r="BD23" s="6">
        <v>1.4268674698794774E-6</v>
      </c>
      <c r="BE23" s="6">
        <v>-4.0538659999999997E-3</v>
      </c>
      <c r="BF23" s="6">
        <v>-4.0223669999999998E-3</v>
      </c>
      <c r="BG23" s="6">
        <v>3.7950602409638473E-6</v>
      </c>
      <c r="BH23" s="6">
        <v>-3.8813060000000002E-3</v>
      </c>
      <c r="BI23" s="6">
        <v>-3.8732079999999999E-3</v>
      </c>
      <c r="BJ23" s="6">
        <v>9.7566265060243595E-7</v>
      </c>
      <c r="BK23" s="6">
        <v>-4.0624320000000004E-3</v>
      </c>
      <c r="BL23" s="6">
        <v>-4.0423919999999997E-3</v>
      </c>
      <c r="BM23" s="6">
        <v>2.414457831325383E-6</v>
      </c>
      <c r="BN23" s="6">
        <v>-5.020895E-3</v>
      </c>
      <c r="BO23" s="6">
        <v>-5.0298280000000001E-3</v>
      </c>
      <c r="BP23" s="6">
        <v>1.0762650602409676E-6</v>
      </c>
      <c r="BQ23" s="6">
        <v>-4.9734239999999997E-3</v>
      </c>
      <c r="BR23" s="6">
        <v>-4.9953599999999999E-3</v>
      </c>
      <c r="BS23" s="6">
        <v>2.6428915662650813E-6</v>
      </c>
      <c r="BT23" s="6">
        <v>-5.0251920000000004E-3</v>
      </c>
      <c r="BU23" s="6">
        <v>-5.0401079999999997E-3</v>
      </c>
      <c r="BV23" s="6">
        <v>1.7971084337348635E-6</v>
      </c>
      <c r="BW23" s="6">
        <v>-4.9708540000000002E-3</v>
      </c>
      <c r="BX23" s="6">
        <v>-4.9893530000000002E-3</v>
      </c>
      <c r="BY23" s="6">
        <v>2.2287951807228851E-6</v>
      </c>
      <c r="BZ23" s="6">
        <v>-4.9326650000000001E-3</v>
      </c>
      <c r="CA23" s="6">
        <v>-4.9439000000000002E-3</v>
      </c>
      <c r="CB23" s="6">
        <v>1.3536144578313329E-6</v>
      </c>
      <c r="CC23" s="6">
        <v>-4.9801359999999996E-3</v>
      </c>
      <c r="CD23" s="6">
        <v>-4.9783689999999998E-3</v>
      </c>
      <c r="CE23" s="6">
        <v>2.1289156626502902E-7</v>
      </c>
      <c r="CF23" s="6">
        <v>-4.9283679999999998E-3</v>
      </c>
      <c r="CG23" s="6">
        <v>-4.933621E-3</v>
      </c>
      <c r="CH23" s="6">
        <v>6.3289156626508448E-7</v>
      </c>
      <c r="CI23" s="6">
        <v>-4.9827059999999999E-3</v>
      </c>
      <c r="CJ23" s="6">
        <v>-4.9843760000000004E-3</v>
      </c>
      <c r="CK23" s="6">
        <v>2.0120481927716751E-7</v>
      </c>
      <c r="CL23" s="6">
        <v>-3.5838160000000001E-3</v>
      </c>
      <c r="CM23" s="6">
        <v>-3.5895549999999999E-3</v>
      </c>
      <c r="CN23" s="6">
        <v>6.9144578313250974E-7</v>
      </c>
      <c r="CO23" s="6">
        <v>-3.5363450000000002E-3</v>
      </c>
      <c r="CP23" s="6">
        <v>-3.5550870000000002E-3</v>
      </c>
      <c r="CQ23" s="6">
        <v>2.2580722891566238E-6</v>
      </c>
      <c r="CR23" s="6">
        <v>-3.588113E-3</v>
      </c>
      <c r="CS23" s="6">
        <v>-3.599835E-3</v>
      </c>
      <c r="CT23" s="6">
        <v>1.4122891566265101E-6</v>
      </c>
      <c r="CU23" s="6">
        <v>-3.5337749999999999E-3</v>
      </c>
      <c r="CV23" s="6">
        <v>-3.5490790000000001E-3</v>
      </c>
      <c r="CW23" s="6">
        <v>1.8438554216867796E-6</v>
      </c>
      <c r="CX23" s="6">
        <v>-3.4955870000000001E-3</v>
      </c>
      <c r="CY23" s="6">
        <v>-3.503627E-3</v>
      </c>
      <c r="CZ23" s="6">
        <v>9.6867469879517553E-7</v>
      </c>
      <c r="DA23" s="6">
        <v>-3.5430570000000001E-3</v>
      </c>
      <c r="DB23" s="6">
        <v>-3.5380950000000002E-3</v>
      </c>
      <c r="DC23" s="6">
        <v>5.9783132530118654E-7</v>
      </c>
      <c r="DD23" s="6">
        <v>-3.4912889999999999E-3</v>
      </c>
      <c r="DE23" s="6">
        <v>-3.4933469999999999E-3</v>
      </c>
      <c r="DF23" s="6">
        <v>2.4795180722892705E-7</v>
      </c>
      <c r="DG23" s="6">
        <v>-3.545627E-3</v>
      </c>
      <c r="DH23" s="6">
        <v>-3.5441029999999998E-3</v>
      </c>
      <c r="DI23" s="6">
        <v>1.8361445783134254E-7</v>
      </c>
      <c r="DK23" s="3" t="s">
        <v>29</v>
      </c>
      <c r="DL23" s="4">
        <f>BJ1</f>
        <v>2416.121644447323</v>
      </c>
      <c r="DM23" s="5" t="str">
        <f t="shared" si="11"/>
        <v>OK</v>
      </c>
    </row>
    <row r="24" spans="1:117" ht="16.2" thickBot="1" x14ac:dyDescent="0.35">
      <c r="A24" s="13" t="s">
        <v>369</v>
      </c>
      <c r="B24" s="13" t="s">
        <v>249</v>
      </c>
      <c r="C24" s="13" t="s">
        <v>288</v>
      </c>
      <c r="D24" s="13" t="s">
        <v>364</v>
      </c>
      <c r="E24" s="13">
        <v>8.3000000000000007</v>
      </c>
      <c r="F24" s="6">
        <v>-2.8181479999999999E-3</v>
      </c>
      <c r="G24" s="6">
        <v>-1.9709939999999998E-3</v>
      </c>
      <c r="H24" s="6">
        <v>1.0206674698795181E-4</v>
      </c>
      <c r="I24" s="6">
        <v>-3.9797779999999998E-3</v>
      </c>
      <c r="J24" s="6">
        <v>-2.7757160000000001E-3</v>
      </c>
      <c r="K24" s="6">
        <v>1.4506771084337345E-4</v>
      </c>
      <c r="L24" s="6">
        <v>-3.4199030000000002E-3</v>
      </c>
      <c r="M24" s="6">
        <v>-2.573297E-3</v>
      </c>
      <c r="N24" s="6">
        <v>1.0200072289156628E-4</v>
      </c>
      <c r="O24" s="6">
        <v>-4.5536800000000001E-3</v>
      </c>
      <c r="P24" s="6">
        <v>-3.3493429999999999E-3</v>
      </c>
      <c r="Q24" s="6">
        <v>1.4510084337349398E-4</v>
      </c>
      <c r="R24" s="6">
        <v>-4.6259819999999998E-3</v>
      </c>
      <c r="S24" s="6">
        <v>-3.3419399999999998E-3</v>
      </c>
      <c r="T24" s="6">
        <v>1.5470385542168673E-4</v>
      </c>
      <c r="U24" s="6">
        <v>-4.5137700000000003E-3</v>
      </c>
      <c r="V24" s="6">
        <v>-3.8181930000000001E-3</v>
      </c>
      <c r="W24" s="6">
        <v>8.3804457831325314E-5</v>
      </c>
      <c r="X24" s="6">
        <v>-4.6602470000000002E-3</v>
      </c>
      <c r="Y24" s="6">
        <v>-3.426686E-3</v>
      </c>
      <c r="Z24" s="6">
        <v>1.4862180722891567E-4</v>
      </c>
      <c r="AA24" s="6">
        <v>-4.491063E-3</v>
      </c>
      <c r="AB24" s="6">
        <v>-3.7664439999999999E-3</v>
      </c>
      <c r="AC24" s="6">
        <v>8.7303493975903626E-5</v>
      </c>
      <c r="AD24" s="6">
        <v>-4.3395550000000001E-3</v>
      </c>
      <c r="AE24" s="6">
        <v>-3.1135989999999999E-3</v>
      </c>
      <c r="AF24" s="6">
        <v>1.4770554216867471E-4</v>
      </c>
      <c r="AG24" s="6">
        <v>-4.4544490000000001E-3</v>
      </c>
      <c r="AH24" s="6">
        <v>-2.6398010000000002E-3</v>
      </c>
      <c r="AI24" s="6">
        <v>2.1863228915662648E-4</v>
      </c>
      <c r="AJ24" s="6">
        <v>-4.3052899999999998E-3</v>
      </c>
      <c r="AK24" s="6">
        <v>-3.0288530000000002E-3</v>
      </c>
      <c r="AL24" s="6">
        <v>1.5378759036144572E-4</v>
      </c>
      <c r="AM24" s="6">
        <v>-4.474474E-3</v>
      </c>
      <c r="AN24" s="6">
        <v>-2.6890949999999999E-3</v>
      </c>
      <c r="AO24" s="6">
        <v>2.1510590361445783E-4</v>
      </c>
      <c r="AP24" s="6">
        <v>-4.1939000000000004E-3</v>
      </c>
      <c r="AQ24" s="6">
        <v>-3.011461E-3</v>
      </c>
      <c r="AR24" s="6">
        <v>1.4246253012048196E-4</v>
      </c>
      <c r="AS24" s="6">
        <v>-4.0790059999999996E-3</v>
      </c>
      <c r="AT24" s="6">
        <v>-3.4852580000000002E-3</v>
      </c>
      <c r="AU24" s="6">
        <v>7.1535903614457753E-5</v>
      </c>
      <c r="AV24" s="6">
        <v>-4.2281649999999999E-3</v>
      </c>
      <c r="AW24" s="6">
        <v>-3.0962070000000001E-3</v>
      </c>
      <c r="AX24" s="6">
        <v>1.3638048192771081E-4</v>
      </c>
      <c r="AY24" s="6">
        <v>-4.0589809999999997E-3</v>
      </c>
      <c r="AZ24" s="6">
        <v>-3.435965E-3</v>
      </c>
      <c r="BA24" s="6">
        <v>7.5062168674698755E-5</v>
      </c>
      <c r="BB24" s="6">
        <v>-3.9074729999999998E-3</v>
      </c>
      <c r="BC24" s="6">
        <v>-2.78312E-3</v>
      </c>
      <c r="BD24" s="6">
        <v>1.3546421686746985E-4</v>
      </c>
      <c r="BE24" s="6">
        <v>-4.0223669999999998E-3</v>
      </c>
      <c r="BF24" s="6">
        <v>-2.3093229999999998E-3</v>
      </c>
      <c r="BG24" s="6">
        <v>2.0639084337349396E-4</v>
      </c>
      <c r="BH24" s="6">
        <v>-3.8732079999999999E-3</v>
      </c>
      <c r="BI24" s="6">
        <v>-2.6983739999999999E-3</v>
      </c>
      <c r="BJ24" s="6">
        <v>1.4154626506024094E-4</v>
      </c>
      <c r="BK24" s="6">
        <v>-4.0423919999999997E-3</v>
      </c>
      <c r="BL24" s="6">
        <v>-2.358616E-3</v>
      </c>
      <c r="BM24" s="6">
        <v>2.0286457831325295E-4</v>
      </c>
      <c r="BN24" s="6">
        <v>-5.0298280000000001E-3</v>
      </c>
      <c r="BO24" s="6">
        <v>-3.6475790000000002E-3</v>
      </c>
      <c r="BP24" s="6">
        <v>1.6653602409638551E-4</v>
      </c>
      <c r="BQ24" s="6">
        <v>-4.9953599999999999E-3</v>
      </c>
      <c r="BR24" s="6">
        <v>-3.7897180000000001E-3</v>
      </c>
      <c r="BS24" s="6">
        <v>1.4525807228915659E-4</v>
      </c>
      <c r="BT24" s="6">
        <v>-5.0401079999999997E-3</v>
      </c>
      <c r="BU24" s="6">
        <v>-3.6730030000000002E-3</v>
      </c>
      <c r="BV24" s="6">
        <v>1.6471144578313247E-4</v>
      </c>
      <c r="BW24" s="6">
        <v>-4.9893530000000002E-3</v>
      </c>
      <c r="BX24" s="6">
        <v>-3.7749300000000001E-3</v>
      </c>
      <c r="BY24" s="6">
        <v>1.4631602409638554E-4</v>
      </c>
      <c r="BZ24" s="6">
        <v>-4.9439000000000002E-3</v>
      </c>
      <c r="CA24" s="6">
        <v>-3.579077E-3</v>
      </c>
      <c r="CB24" s="6">
        <v>1.6443650602409641E-4</v>
      </c>
      <c r="CC24" s="6">
        <v>-4.9783689999999998E-3</v>
      </c>
      <c r="CD24" s="6">
        <v>-3.4369370000000002E-3</v>
      </c>
      <c r="CE24" s="6">
        <v>1.8571469879518067E-4</v>
      </c>
      <c r="CF24" s="6">
        <v>-4.933621E-3</v>
      </c>
      <c r="CG24" s="6">
        <v>-3.5536529999999999E-3</v>
      </c>
      <c r="CH24" s="6">
        <v>1.6626120481927711E-4</v>
      </c>
      <c r="CI24" s="6">
        <v>-4.9843760000000004E-3</v>
      </c>
      <c r="CJ24" s="6">
        <v>-3.4517250000000001E-3</v>
      </c>
      <c r="CK24" s="6">
        <v>1.8465674698795183E-4</v>
      </c>
      <c r="CL24" s="6">
        <v>-3.5895549999999999E-3</v>
      </c>
      <c r="CM24" s="6">
        <v>-2.5459829999999999E-3</v>
      </c>
      <c r="CN24" s="6">
        <v>1.2573156626506023E-4</v>
      </c>
      <c r="CO24" s="6">
        <v>-3.5550870000000002E-3</v>
      </c>
      <c r="CP24" s="6">
        <v>-2.6881219999999998E-3</v>
      </c>
      <c r="CQ24" s="6">
        <v>1.0445361445783136E-4</v>
      </c>
      <c r="CR24" s="6">
        <v>-3.599835E-3</v>
      </c>
      <c r="CS24" s="6">
        <v>-2.5714069999999999E-3</v>
      </c>
      <c r="CT24" s="6">
        <v>1.2390698795180724E-4</v>
      </c>
      <c r="CU24" s="6">
        <v>-3.5490790000000001E-3</v>
      </c>
      <c r="CV24" s="6">
        <v>-2.6733339999999999E-3</v>
      </c>
      <c r="CW24" s="6">
        <v>1.0551144578313255E-4</v>
      </c>
      <c r="CX24" s="6">
        <v>-3.503627E-3</v>
      </c>
      <c r="CY24" s="6">
        <v>-2.4774810000000001E-3</v>
      </c>
      <c r="CZ24" s="6">
        <v>1.2363204819277107E-4</v>
      </c>
      <c r="DA24" s="6">
        <v>-3.5380950000000002E-3</v>
      </c>
      <c r="DB24" s="6">
        <v>-2.3353419999999998E-3</v>
      </c>
      <c r="DC24" s="6">
        <v>1.4491000000000005E-4</v>
      </c>
      <c r="DD24" s="6">
        <v>-3.4933469999999999E-3</v>
      </c>
      <c r="DE24" s="6">
        <v>-2.4520570000000001E-3</v>
      </c>
      <c r="DF24" s="6">
        <v>1.2545662650602406E-4</v>
      </c>
      <c r="DG24" s="6">
        <v>-3.5441029999999998E-3</v>
      </c>
      <c r="DH24" s="6">
        <v>-2.3501300000000002E-3</v>
      </c>
      <c r="DI24" s="6">
        <v>1.4385216867469875E-4</v>
      </c>
      <c r="DK24" s="3" t="s">
        <v>30</v>
      </c>
      <c r="DL24" s="4">
        <f>BM1</f>
        <v>2184.6596463462438</v>
      </c>
      <c r="DM24" s="5" t="str">
        <f t="shared" si="11"/>
        <v>OK</v>
      </c>
    </row>
    <row r="25" spans="1:117" ht="16.2" thickBot="1" x14ac:dyDescent="0.35">
      <c r="A25" s="13" t="s">
        <v>370</v>
      </c>
      <c r="B25" s="13" t="s">
        <v>285</v>
      </c>
      <c r="C25" s="13" t="s">
        <v>319</v>
      </c>
      <c r="D25" s="13" t="s">
        <v>350</v>
      </c>
      <c r="E25" s="13">
        <v>5.75</v>
      </c>
      <c r="F25" s="6">
        <v>-1.3754749999999999E-3</v>
      </c>
      <c r="G25" s="6">
        <v>-1.40168E-3</v>
      </c>
      <c r="H25" s="6">
        <v>4.557391304347837E-6</v>
      </c>
      <c r="I25" s="6">
        <v>-1.7900069999999999E-3</v>
      </c>
      <c r="J25" s="6">
        <v>-1.800484E-3</v>
      </c>
      <c r="K25" s="6">
        <v>1.8220869565217488E-6</v>
      </c>
      <c r="L25" s="6">
        <v>-1.8017440000000001E-3</v>
      </c>
      <c r="M25" s="6">
        <v>-1.815784E-3</v>
      </c>
      <c r="N25" s="6">
        <v>2.4417391304347627E-6</v>
      </c>
      <c r="O25" s="6">
        <v>-2.1963540000000002E-3</v>
      </c>
      <c r="P25" s="6">
        <v>-2.1951570000000001E-3</v>
      </c>
      <c r="Q25" s="6">
        <v>2.0817391304349397E-7</v>
      </c>
      <c r="R25" s="6">
        <v>-1.8569979999999999E-3</v>
      </c>
      <c r="S25" s="6">
        <v>-1.8457720000000001E-3</v>
      </c>
      <c r="T25" s="6">
        <v>1.9523478260869242E-6</v>
      </c>
      <c r="U25" s="6">
        <v>-2.2833910000000001E-3</v>
      </c>
      <c r="V25" s="6">
        <v>-2.3001050000000002E-3</v>
      </c>
      <c r="W25" s="6">
        <v>2.9067826086956761E-6</v>
      </c>
      <c r="X25" s="6">
        <v>-1.852605E-3</v>
      </c>
      <c r="Y25" s="6">
        <v>-1.841746E-3</v>
      </c>
      <c r="Z25" s="6">
        <v>1.8885217391304346E-6</v>
      </c>
      <c r="AA25" s="6">
        <v>-2.3807110000000002E-3</v>
      </c>
      <c r="AB25" s="6">
        <v>-2.4085740000000001E-3</v>
      </c>
      <c r="AC25" s="6">
        <v>4.8457391304347713E-6</v>
      </c>
      <c r="AD25" s="6">
        <v>-2.3609289999999999E-3</v>
      </c>
      <c r="AE25" s="6">
        <v>-2.382679E-3</v>
      </c>
      <c r="AF25" s="6">
        <v>3.7826086956521856E-6</v>
      </c>
      <c r="AG25" s="6">
        <v>-1.8397820000000001E-3</v>
      </c>
      <c r="AH25" s="6">
        <v>-1.8222360000000001E-3</v>
      </c>
      <c r="AI25" s="6">
        <v>3.0514782608695672E-6</v>
      </c>
      <c r="AJ25" s="6">
        <v>-2.365322E-3</v>
      </c>
      <c r="AK25" s="6">
        <v>-2.3867060000000002E-3</v>
      </c>
      <c r="AL25" s="6">
        <v>3.7189565217391582E-6</v>
      </c>
      <c r="AM25" s="6">
        <v>-1.837216E-3</v>
      </c>
      <c r="AN25" s="6">
        <v>-1.819878E-3</v>
      </c>
      <c r="AO25" s="6">
        <v>3.0153043478260849E-6</v>
      </c>
      <c r="AP25" s="6">
        <v>-1.6254290000000001E-3</v>
      </c>
      <c r="AQ25" s="6">
        <v>-1.6129600000000001E-3</v>
      </c>
      <c r="AR25" s="6">
        <v>2.1685217391304311E-6</v>
      </c>
      <c r="AS25" s="6">
        <v>-2.146575E-3</v>
      </c>
      <c r="AT25" s="6">
        <v>-2.173403E-3</v>
      </c>
      <c r="AU25" s="6">
        <v>4.6657391304347841E-6</v>
      </c>
      <c r="AV25" s="6">
        <v>-1.621036E-3</v>
      </c>
      <c r="AW25" s="6">
        <v>-1.6089330000000001E-3</v>
      </c>
      <c r="AX25" s="6">
        <v>2.104869565217366E-6</v>
      </c>
      <c r="AY25" s="6">
        <v>-2.1491420000000002E-3</v>
      </c>
      <c r="AZ25" s="6">
        <v>-2.175761E-3</v>
      </c>
      <c r="BA25" s="6">
        <v>4.6293913043478018E-6</v>
      </c>
      <c r="BB25" s="6">
        <v>-2.1293599999999998E-3</v>
      </c>
      <c r="BC25" s="6">
        <v>-2.1498670000000002E-3</v>
      </c>
      <c r="BD25" s="6">
        <v>3.5664347826087541E-6</v>
      </c>
      <c r="BE25" s="6">
        <v>-1.608213E-3</v>
      </c>
      <c r="BF25" s="6">
        <v>-1.589423E-3</v>
      </c>
      <c r="BG25" s="6">
        <v>3.2678260869565359E-6</v>
      </c>
      <c r="BH25" s="6">
        <v>-2.133752E-3</v>
      </c>
      <c r="BI25" s="6">
        <v>-2.153893E-3</v>
      </c>
      <c r="BJ25" s="6">
        <v>3.5027826086956514E-6</v>
      </c>
      <c r="BK25" s="6">
        <v>-1.605647E-3</v>
      </c>
      <c r="BL25" s="6">
        <v>-1.5870649999999999E-3</v>
      </c>
      <c r="BM25" s="6">
        <v>3.231652173913054E-6</v>
      </c>
      <c r="BN25" s="6">
        <v>-2.3035379999999999E-3</v>
      </c>
      <c r="BO25" s="6">
        <v>-2.3053050000000001E-3</v>
      </c>
      <c r="BP25" s="6">
        <v>3.0730434782611732E-7</v>
      </c>
      <c r="BQ25" s="6">
        <v>-2.459882E-3</v>
      </c>
      <c r="BR25" s="6">
        <v>-2.4734380000000001E-3</v>
      </c>
      <c r="BS25" s="6">
        <v>2.357565217391317E-6</v>
      </c>
      <c r="BT25" s="6">
        <v>-2.3022199999999998E-3</v>
      </c>
      <c r="BU25" s="6">
        <v>-2.3040970000000002E-3</v>
      </c>
      <c r="BV25" s="6">
        <v>3.2643478260876324E-7</v>
      </c>
      <c r="BW25" s="6">
        <v>-2.4606519999999998E-3</v>
      </c>
      <c r="BX25" s="6">
        <v>-2.4741450000000001E-3</v>
      </c>
      <c r="BY25" s="6">
        <v>2.3466086956522213E-6</v>
      </c>
      <c r="BZ25" s="6">
        <v>-2.4547169999999999E-3</v>
      </c>
      <c r="CA25" s="6">
        <v>-2.4663770000000001E-3</v>
      </c>
      <c r="CB25" s="6">
        <v>2.0278260869565465E-6</v>
      </c>
      <c r="CC25" s="6">
        <v>-2.2983729999999998E-3</v>
      </c>
      <c r="CD25" s="6">
        <v>-2.2982440000000001E-3</v>
      </c>
      <c r="CE25" s="6">
        <v>2.2434782608652924E-8</v>
      </c>
      <c r="CF25" s="6">
        <v>-2.4560350000000001E-3</v>
      </c>
      <c r="CG25" s="6">
        <v>-2.467585E-3</v>
      </c>
      <c r="CH25" s="6">
        <v>2.0086956521739008E-6</v>
      </c>
      <c r="CI25" s="6">
        <v>-2.297604E-3</v>
      </c>
      <c r="CJ25" s="6">
        <v>-2.2975360000000002E-3</v>
      </c>
      <c r="CK25" s="6">
        <v>1.1826086956481675E-8</v>
      </c>
      <c r="CL25" s="6">
        <v>-1.5316399999999999E-3</v>
      </c>
      <c r="CM25" s="6">
        <v>-1.529262E-3</v>
      </c>
      <c r="CN25" s="6">
        <v>4.1356521739129198E-7</v>
      </c>
      <c r="CO25" s="6">
        <v>-1.687984E-3</v>
      </c>
      <c r="CP25" s="6">
        <v>-1.697395E-3</v>
      </c>
      <c r="CQ25" s="6">
        <v>1.6366956521739076E-6</v>
      </c>
      <c r="CR25" s="6">
        <v>-1.530322E-3</v>
      </c>
      <c r="CS25" s="6">
        <v>-1.528054E-3</v>
      </c>
      <c r="CT25" s="6">
        <v>3.9443478260868375E-7</v>
      </c>
      <c r="CU25" s="6">
        <v>-1.688754E-3</v>
      </c>
      <c r="CV25" s="6">
        <v>-1.6981030000000001E-3</v>
      </c>
      <c r="CW25" s="6">
        <v>1.6259130434782741E-6</v>
      </c>
      <c r="CX25" s="6">
        <v>-1.68282E-3</v>
      </c>
      <c r="CY25" s="6">
        <v>-1.6903339999999999E-3</v>
      </c>
      <c r="CZ25" s="6">
        <v>1.3067826086956374E-6</v>
      </c>
      <c r="DA25" s="6">
        <v>-1.5264759999999999E-3</v>
      </c>
      <c r="DB25" s="6">
        <v>-1.5222009999999999E-3</v>
      </c>
      <c r="DC25" s="6">
        <v>7.4347826086956209E-7</v>
      </c>
      <c r="DD25" s="6">
        <v>-1.684137E-3</v>
      </c>
      <c r="DE25" s="6">
        <v>-1.6915420000000001E-3</v>
      </c>
      <c r="DF25" s="6">
        <v>1.2878260869565291E-6</v>
      </c>
      <c r="DG25" s="6">
        <v>-1.5257059999999999E-3</v>
      </c>
      <c r="DH25" s="6">
        <v>-1.521494E-3</v>
      </c>
      <c r="DI25" s="6">
        <v>7.3252173913042884E-7</v>
      </c>
      <c r="DK25" s="3" t="s">
        <v>31</v>
      </c>
      <c r="DL25" s="4">
        <f>BP1</f>
        <v>2341.30137428749</v>
      </c>
      <c r="DM25" s="5" t="str">
        <f t="shared" si="11"/>
        <v>OK</v>
      </c>
    </row>
    <row r="26" spans="1:117" ht="16.2" thickBot="1" x14ac:dyDescent="0.35">
      <c r="A26" s="13" t="s">
        <v>371</v>
      </c>
      <c r="B26" s="13" t="s">
        <v>288</v>
      </c>
      <c r="C26" s="13" t="s">
        <v>322</v>
      </c>
      <c r="D26" s="13" t="s">
        <v>364</v>
      </c>
      <c r="E26" s="13">
        <v>5.75</v>
      </c>
      <c r="F26" s="6">
        <v>-1.9709939999999998E-3</v>
      </c>
      <c r="G26" s="6">
        <v>-1.4583479999999999E-3</v>
      </c>
      <c r="H26" s="6">
        <v>8.9155826086956499E-5</v>
      </c>
      <c r="I26" s="6">
        <v>-2.7757160000000001E-3</v>
      </c>
      <c r="J26" s="6">
        <v>-1.8308910000000001E-3</v>
      </c>
      <c r="K26" s="6">
        <v>1.6431739130434784E-4</v>
      </c>
      <c r="L26" s="6">
        <v>-2.573297E-3</v>
      </c>
      <c r="M26" s="6">
        <v>-1.85663E-3</v>
      </c>
      <c r="N26" s="6">
        <v>1.2463773913043479E-4</v>
      </c>
      <c r="O26" s="6">
        <v>-3.3493429999999999E-3</v>
      </c>
      <c r="P26" s="6">
        <v>-2.2102950000000001E-3</v>
      </c>
      <c r="Q26" s="6">
        <v>1.9809530434782604E-4</v>
      </c>
      <c r="R26" s="6">
        <v>-3.3419399999999998E-3</v>
      </c>
      <c r="S26" s="6">
        <v>-2.018826E-3</v>
      </c>
      <c r="T26" s="6">
        <v>2.3010678260869562E-4</v>
      </c>
      <c r="U26" s="6">
        <v>-3.8181930000000001E-3</v>
      </c>
      <c r="V26" s="6">
        <v>-2.3322989999999999E-3</v>
      </c>
      <c r="W26" s="6">
        <v>2.5841634782608697E-4</v>
      </c>
      <c r="X26" s="6">
        <v>-3.426686E-3</v>
      </c>
      <c r="Y26" s="6">
        <v>-2.0160080000000001E-3</v>
      </c>
      <c r="Z26" s="6">
        <v>2.4533530434782608E-4</v>
      </c>
      <c r="AA26" s="6">
        <v>-3.7664439999999999E-3</v>
      </c>
      <c r="AB26" s="6">
        <v>-2.4073369999999998E-3</v>
      </c>
      <c r="AC26" s="6">
        <v>2.3636643478260871E-4</v>
      </c>
      <c r="AD26" s="6">
        <v>-3.1135989999999999E-3</v>
      </c>
      <c r="AE26" s="6">
        <v>-2.2594960000000002E-3</v>
      </c>
      <c r="AF26" s="6">
        <v>1.4853965217391299E-4</v>
      </c>
      <c r="AG26" s="6">
        <v>-2.6398010000000002E-3</v>
      </c>
      <c r="AH26" s="6">
        <v>-1.8726350000000001E-3</v>
      </c>
      <c r="AI26" s="6">
        <v>1.3342017391304351E-4</v>
      </c>
      <c r="AJ26" s="6">
        <v>-3.0288530000000002E-3</v>
      </c>
      <c r="AK26" s="6">
        <v>-2.2623140000000001E-3</v>
      </c>
      <c r="AL26" s="6">
        <v>1.3331113043478263E-4</v>
      </c>
      <c r="AM26" s="6">
        <v>-2.6890949999999999E-3</v>
      </c>
      <c r="AN26" s="6">
        <v>-1.8709849999999999E-3</v>
      </c>
      <c r="AO26" s="6">
        <v>1.4228E-4</v>
      </c>
      <c r="AP26" s="6">
        <v>-3.011461E-3</v>
      </c>
      <c r="AQ26" s="6">
        <v>-1.7816889999999999E-3</v>
      </c>
      <c r="AR26" s="6">
        <v>2.1387339130434784E-4</v>
      </c>
      <c r="AS26" s="6">
        <v>-3.4852580000000002E-3</v>
      </c>
      <c r="AT26" s="6">
        <v>-2.16855E-3</v>
      </c>
      <c r="AU26" s="6">
        <v>2.2899269565217396E-4</v>
      </c>
      <c r="AV26" s="6">
        <v>-3.0962070000000001E-3</v>
      </c>
      <c r="AW26" s="6">
        <v>-1.778871E-3</v>
      </c>
      <c r="AX26" s="6">
        <v>2.2910191304347828E-4</v>
      </c>
      <c r="AY26" s="6">
        <v>-3.435965E-3</v>
      </c>
      <c r="AZ26" s="6">
        <v>-2.1702000000000002E-3</v>
      </c>
      <c r="BA26" s="6">
        <v>2.2013304347826086E-4</v>
      </c>
      <c r="BB26" s="6">
        <v>-2.78312E-3</v>
      </c>
      <c r="BC26" s="6">
        <v>-2.02236E-3</v>
      </c>
      <c r="BD26" s="6">
        <v>1.3230608695652177E-4</v>
      </c>
      <c r="BE26" s="6">
        <v>-2.3093229999999998E-3</v>
      </c>
      <c r="BF26" s="6">
        <v>-1.635498E-3</v>
      </c>
      <c r="BG26" s="6">
        <v>1.1718695652173911E-4</v>
      </c>
      <c r="BH26" s="6">
        <v>-2.6983739999999999E-3</v>
      </c>
      <c r="BI26" s="6">
        <v>-2.025177E-3</v>
      </c>
      <c r="BJ26" s="6">
        <v>1.1707773913043477E-4</v>
      </c>
      <c r="BK26" s="6">
        <v>-2.358616E-3</v>
      </c>
      <c r="BL26" s="6">
        <v>-1.633848E-3</v>
      </c>
      <c r="BM26" s="6">
        <v>1.2604660869565217E-4</v>
      </c>
      <c r="BN26" s="6">
        <v>-3.6475790000000002E-3</v>
      </c>
      <c r="BO26" s="6">
        <v>-2.379721E-3</v>
      </c>
      <c r="BP26" s="6">
        <v>2.2049704347826089E-4</v>
      </c>
      <c r="BQ26" s="6">
        <v>-3.7897180000000001E-3</v>
      </c>
      <c r="BR26" s="6">
        <v>-2.4957790000000001E-3</v>
      </c>
      <c r="BS26" s="6">
        <v>2.2503286956521739E-4</v>
      </c>
      <c r="BT26" s="6">
        <v>-3.6730030000000002E-3</v>
      </c>
      <c r="BU26" s="6">
        <v>-2.3788749999999999E-3</v>
      </c>
      <c r="BV26" s="6">
        <v>2.2506573913043482E-4</v>
      </c>
      <c r="BW26" s="6">
        <v>-3.7749300000000001E-3</v>
      </c>
      <c r="BX26" s="6">
        <v>-2.4962740000000001E-3</v>
      </c>
      <c r="BY26" s="6">
        <v>2.2237495652173913E-4</v>
      </c>
      <c r="BZ26" s="6">
        <v>-3.579077E-3</v>
      </c>
      <c r="CA26" s="6">
        <v>-2.451922E-3</v>
      </c>
      <c r="CB26" s="6">
        <v>1.9602695652173912E-4</v>
      </c>
      <c r="CC26" s="6">
        <v>-3.4369370000000002E-3</v>
      </c>
      <c r="CD26" s="6">
        <v>-2.3358630000000001E-3</v>
      </c>
      <c r="CE26" s="6">
        <v>1.9149113043478262E-4</v>
      </c>
      <c r="CF26" s="6">
        <v>-3.5536529999999999E-3</v>
      </c>
      <c r="CG26" s="6">
        <v>-2.4527669999999998E-3</v>
      </c>
      <c r="CH26" s="6">
        <v>1.9145843478260872E-4</v>
      </c>
      <c r="CI26" s="6">
        <v>-3.4517250000000001E-3</v>
      </c>
      <c r="CJ26" s="6">
        <v>-2.335368E-3</v>
      </c>
      <c r="CK26" s="6">
        <v>1.9414904347826088E-4</v>
      </c>
      <c r="CL26" s="6">
        <v>-2.5459829999999999E-3</v>
      </c>
      <c r="CM26" s="6">
        <v>-1.589264E-3</v>
      </c>
      <c r="CN26" s="6">
        <v>1.6638591304347827E-4</v>
      </c>
      <c r="CO26" s="6">
        <v>-2.6881219999999998E-3</v>
      </c>
      <c r="CP26" s="6">
        <v>-1.705322E-3</v>
      </c>
      <c r="CQ26" s="6">
        <v>1.7092173913043474E-4</v>
      </c>
      <c r="CR26" s="6">
        <v>-2.5714069999999999E-3</v>
      </c>
      <c r="CS26" s="6">
        <v>-1.5884180000000001E-3</v>
      </c>
      <c r="CT26" s="6">
        <v>1.7095460869565214E-4</v>
      </c>
      <c r="CU26" s="6">
        <v>-2.6733339999999999E-3</v>
      </c>
      <c r="CV26" s="6">
        <v>-1.7058170000000001E-3</v>
      </c>
      <c r="CW26" s="6">
        <v>1.6826382608695647E-4</v>
      </c>
      <c r="CX26" s="6">
        <v>-2.4774810000000001E-3</v>
      </c>
      <c r="CY26" s="6">
        <v>-1.661465E-3</v>
      </c>
      <c r="CZ26" s="6">
        <v>1.4191582608695654E-4</v>
      </c>
      <c r="DA26" s="6">
        <v>-2.3353419999999998E-3</v>
      </c>
      <c r="DB26" s="6">
        <v>-1.5454069999999999E-3</v>
      </c>
      <c r="DC26" s="6">
        <v>1.3737999999999996E-4</v>
      </c>
      <c r="DD26" s="6">
        <v>-2.4520570000000001E-3</v>
      </c>
      <c r="DE26" s="6">
        <v>-1.66231E-3</v>
      </c>
      <c r="DF26" s="6">
        <v>1.3734730434782611E-4</v>
      </c>
      <c r="DG26" s="6">
        <v>-2.3501300000000002E-3</v>
      </c>
      <c r="DH26" s="6">
        <v>-1.5449120000000001E-3</v>
      </c>
      <c r="DI26" s="6">
        <v>1.4003791304347828E-4</v>
      </c>
      <c r="DK26" s="3" t="s">
        <v>32</v>
      </c>
      <c r="DL26" s="4">
        <f>BS1</f>
        <v>2412.4148799028662</v>
      </c>
      <c r="DM26" s="5" t="str">
        <f t="shared" si="11"/>
        <v>OK</v>
      </c>
    </row>
    <row r="27" spans="1:117" ht="16.2" thickBot="1" x14ac:dyDescent="0.35">
      <c r="A27" s="13" t="s">
        <v>372</v>
      </c>
      <c r="B27" s="13" t="s">
        <v>93</v>
      </c>
      <c r="C27" s="13" t="s">
        <v>94</v>
      </c>
      <c r="D27" s="13" t="s">
        <v>364</v>
      </c>
      <c r="E27" s="13">
        <v>8.3000000000000007</v>
      </c>
      <c r="F27" s="6">
        <v>-1.9818570000000001E-3</v>
      </c>
      <c r="G27" s="6">
        <v>-2.6743100000000001E-3</v>
      </c>
      <c r="H27" s="6">
        <v>8.3428072289156623E-5</v>
      </c>
      <c r="I27" s="6">
        <v>-2.9082959999999999E-3</v>
      </c>
      <c r="J27" s="6">
        <v>-3.804932E-3</v>
      </c>
      <c r="K27" s="6">
        <v>1.0802843373493977E-4</v>
      </c>
      <c r="L27" s="6">
        <v>-2.612783E-3</v>
      </c>
      <c r="M27" s="6">
        <v>-3.2841609999999999E-3</v>
      </c>
      <c r="N27" s="6">
        <v>8.0888915662650576E-5</v>
      </c>
      <c r="O27" s="6">
        <v>-3.497923E-3</v>
      </c>
      <c r="P27" s="6">
        <v>-4.3874990000000004E-3</v>
      </c>
      <c r="Q27" s="6">
        <v>1.0717783132530125E-4</v>
      </c>
      <c r="R27" s="6">
        <v>-2.630715E-3</v>
      </c>
      <c r="S27" s="6">
        <v>-4.4731090000000003E-3</v>
      </c>
      <c r="T27" s="6">
        <v>2.2197518072289158E-4</v>
      </c>
      <c r="U27" s="6">
        <v>-3.3615889999999999E-3</v>
      </c>
      <c r="V27" s="6">
        <v>-4.3176400000000002E-3</v>
      </c>
      <c r="W27" s="6">
        <v>1.1518686746987954E-4</v>
      </c>
      <c r="X27" s="6">
        <v>-2.7583109999999998E-3</v>
      </c>
      <c r="Y27" s="6">
        <v>-4.4445810000000004E-3</v>
      </c>
      <c r="Z27" s="6">
        <v>2.0316506024096391E-4</v>
      </c>
      <c r="AA27" s="6">
        <v>-3.2899000000000001E-3</v>
      </c>
      <c r="AB27" s="6">
        <v>-4.3344739999999996E-3</v>
      </c>
      <c r="AC27" s="6">
        <v>1.2585228915662643E-4</v>
      </c>
      <c r="AD27" s="6">
        <v>-4.1115709999999996E-3</v>
      </c>
      <c r="AE27" s="6">
        <v>-4.1354E-3</v>
      </c>
      <c r="AF27" s="6">
        <v>2.870963855421733E-6</v>
      </c>
      <c r="AG27" s="6">
        <v>-3.3782230000000001E-3</v>
      </c>
      <c r="AH27" s="6">
        <v>-4.2908879999999996E-3</v>
      </c>
      <c r="AI27" s="6">
        <v>1.0995963855421681E-4</v>
      </c>
      <c r="AJ27" s="6">
        <v>-3.9839749999999998E-3</v>
      </c>
      <c r="AK27" s="6">
        <v>-4.1639279999999999E-3</v>
      </c>
      <c r="AL27" s="6">
        <v>2.1681084337349402E-5</v>
      </c>
      <c r="AM27" s="6">
        <v>-3.4523869999999999E-3</v>
      </c>
      <c r="AN27" s="6">
        <v>-4.2740349999999998E-3</v>
      </c>
      <c r="AO27" s="6">
        <v>9.8993734939759013E-5</v>
      </c>
      <c r="AP27" s="6">
        <v>-2.294903E-3</v>
      </c>
      <c r="AQ27" s="6">
        <v>-4.0569869999999997E-3</v>
      </c>
      <c r="AR27" s="6">
        <v>2.1229927710843369E-4</v>
      </c>
      <c r="AS27" s="6">
        <v>-3.028251E-3</v>
      </c>
      <c r="AT27" s="6">
        <v>-3.9014990000000001E-3</v>
      </c>
      <c r="AU27" s="6">
        <v>1.0521060240963856E-4</v>
      </c>
      <c r="AV27" s="6">
        <v>-2.4224989999999998E-3</v>
      </c>
      <c r="AW27" s="6">
        <v>-4.0284580000000004E-3</v>
      </c>
      <c r="AX27" s="6">
        <v>1.9348903614457836E-4</v>
      </c>
      <c r="AY27" s="6">
        <v>-2.9540870000000002E-3</v>
      </c>
      <c r="AZ27" s="6">
        <v>-3.9183509999999996E-3</v>
      </c>
      <c r="BA27" s="6">
        <v>1.1617638554216859E-4</v>
      </c>
      <c r="BB27" s="6">
        <v>-3.7757590000000001E-3</v>
      </c>
      <c r="BC27" s="6">
        <v>-3.7192779999999999E-3</v>
      </c>
      <c r="BD27" s="6">
        <v>6.8049397590361621E-6</v>
      </c>
      <c r="BE27" s="6">
        <v>-3.0424100000000002E-3</v>
      </c>
      <c r="BF27" s="6">
        <v>-3.8747650000000001E-3</v>
      </c>
      <c r="BG27" s="6">
        <v>1.0028373493975901E-4</v>
      </c>
      <c r="BH27" s="6">
        <v>-3.6481629999999998E-3</v>
      </c>
      <c r="BI27" s="6">
        <v>-3.7478059999999998E-3</v>
      </c>
      <c r="BJ27" s="6">
        <v>1.200518072289156E-5</v>
      </c>
      <c r="BK27" s="6">
        <v>-3.116574E-3</v>
      </c>
      <c r="BL27" s="6">
        <v>-3.8579130000000001E-3</v>
      </c>
      <c r="BM27" s="6">
        <v>8.9317951807228925E-5</v>
      </c>
      <c r="BN27" s="6">
        <v>-3.5407960000000001E-3</v>
      </c>
      <c r="BO27" s="6">
        <v>-4.8403869999999998E-3</v>
      </c>
      <c r="BP27" s="6">
        <v>1.565772289156626E-4</v>
      </c>
      <c r="BQ27" s="6">
        <v>-3.7607999999999999E-3</v>
      </c>
      <c r="BR27" s="6">
        <v>-4.7937400000000003E-3</v>
      </c>
      <c r="BS27" s="6">
        <v>1.244506024096386E-4</v>
      </c>
      <c r="BT27" s="6">
        <v>-3.5790739999999998E-3</v>
      </c>
      <c r="BU27" s="6">
        <v>-4.8318279999999998E-3</v>
      </c>
      <c r="BV27" s="6">
        <v>1.5093421686746987E-4</v>
      </c>
      <c r="BW27" s="6">
        <v>-3.7385510000000001E-3</v>
      </c>
      <c r="BX27" s="6">
        <v>-4.7987960000000001E-3</v>
      </c>
      <c r="BY27" s="6">
        <v>1.2774036144578313E-4</v>
      </c>
      <c r="BZ27" s="6">
        <v>-3.9850520000000002E-3</v>
      </c>
      <c r="CA27" s="6">
        <v>-4.7390740000000002E-3</v>
      </c>
      <c r="CB27" s="6">
        <v>9.0846024096385535E-5</v>
      </c>
      <c r="CC27" s="6">
        <v>-3.765048E-3</v>
      </c>
      <c r="CD27" s="6">
        <v>-4.7857200000000003E-3</v>
      </c>
      <c r="CE27" s="6">
        <v>1.2297253012048194E-4</v>
      </c>
      <c r="CF27" s="6">
        <v>-3.9467740000000001E-3</v>
      </c>
      <c r="CG27" s="6">
        <v>-4.7476319999999999E-3</v>
      </c>
      <c r="CH27" s="6">
        <v>9.6488915662650563E-5</v>
      </c>
      <c r="CI27" s="6">
        <v>-3.7872969999999998E-3</v>
      </c>
      <c r="CJ27" s="6">
        <v>-4.7806649999999999E-3</v>
      </c>
      <c r="CK27" s="6">
        <v>1.1968289156626507E-4</v>
      </c>
      <c r="CL27" s="6">
        <v>-2.421421E-3</v>
      </c>
      <c r="CM27" s="6">
        <v>-3.453313E-3</v>
      </c>
      <c r="CN27" s="6">
        <v>1.2432433734939759E-4</v>
      </c>
      <c r="CO27" s="6">
        <v>-2.6414260000000001E-3</v>
      </c>
      <c r="CP27" s="6">
        <v>-3.4066669999999999E-3</v>
      </c>
      <c r="CQ27" s="6">
        <v>9.2197710843373461E-5</v>
      </c>
      <c r="CR27" s="6">
        <v>-2.4597E-3</v>
      </c>
      <c r="CS27" s="6">
        <v>-3.4447549999999999E-3</v>
      </c>
      <c r="CT27" s="6">
        <v>1.1868132530120479E-4</v>
      </c>
      <c r="CU27" s="6">
        <v>-2.6191769999999999E-3</v>
      </c>
      <c r="CV27" s="6">
        <v>-3.4117219999999998E-3</v>
      </c>
      <c r="CW27" s="6">
        <v>9.5487349397590344E-5</v>
      </c>
      <c r="CX27" s="6">
        <v>-2.865678E-3</v>
      </c>
      <c r="CY27" s="6">
        <v>-3.3519999999999999E-3</v>
      </c>
      <c r="CZ27" s="6">
        <v>5.8593012048192765E-5</v>
      </c>
      <c r="DA27" s="6">
        <v>-2.6456740000000002E-3</v>
      </c>
      <c r="DB27" s="6">
        <v>-3.3986469999999999E-3</v>
      </c>
      <c r="DC27" s="6">
        <v>9.0719638554216824E-5</v>
      </c>
      <c r="DD27" s="6">
        <v>-2.8273999999999999E-3</v>
      </c>
      <c r="DE27" s="6">
        <v>-3.3605589999999999E-3</v>
      </c>
      <c r="DF27" s="6">
        <v>6.4236024096385545E-5</v>
      </c>
      <c r="DG27" s="6">
        <v>-2.667923E-3</v>
      </c>
      <c r="DH27" s="6">
        <v>-3.3935910000000001E-3</v>
      </c>
      <c r="DI27" s="6">
        <v>8.7429879518072283E-5</v>
      </c>
      <c r="DK27" s="3" t="s">
        <v>33</v>
      </c>
      <c r="DL27" s="4">
        <f>BV1</f>
        <v>2339.3400445523089</v>
      </c>
      <c r="DM27" s="5" t="str">
        <f t="shared" si="11"/>
        <v>OK</v>
      </c>
    </row>
    <row r="28" spans="1:117" ht="16.2" thickBot="1" x14ac:dyDescent="0.35">
      <c r="A28" s="13" t="s">
        <v>373</v>
      </c>
      <c r="B28" s="13" t="s">
        <v>129</v>
      </c>
      <c r="C28" s="13" t="s">
        <v>130</v>
      </c>
      <c r="D28" s="13" t="s">
        <v>364</v>
      </c>
      <c r="E28" s="13">
        <v>8.3000000000000007</v>
      </c>
      <c r="F28" s="6">
        <v>-2.1475750000000001E-3</v>
      </c>
      <c r="G28" s="6">
        <v>-2.8426789999999999E-3</v>
      </c>
      <c r="H28" s="6">
        <v>8.3747469879518036E-5</v>
      </c>
      <c r="I28" s="6">
        <v>-3.0993570000000001E-3</v>
      </c>
      <c r="J28" s="6">
        <v>-4.0099350000000001E-3</v>
      </c>
      <c r="K28" s="6">
        <v>1.0970819277108433E-4</v>
      </c>
      <c r="L28" s="6">
        <v>-2.7614979999999998E-3</v>
      </c>
      <c r="M28" s="6">
        <v>-3.4411070000000001E-3</v>
      </c>
      <c r="N28" s="6">
        <v>8.188060240963858E-5</v>
      </c>
      <c r="O28" s="6">
        <v>-3.6772829999999999E-3</v>
      </c>
      <c r="P28" s="6">
        <v>-4.5811430000000002E-3</v>
      </c>
      <c r="Q28" s="6">
        <v>1.0889879518072292E-4</v>
      </c>
      <c r="R28" s="6">
        <v>-2.8227069999999998E-3</v>
      </c>
      <c r="S28" s="6">
        <v>-4.6742850000000002E-3</v>
      </c>
      <c r="T28" s="6">
        <v>2.2308168674698797E-4</v>
      </c>
      <c r="U28" s="6">
        <v>-3.5627520000000002E-3</v>
      </c>
      <c r="V28" s="6">
        <v>-4.5243469999999997E-3</v>
      </c>
      <c r="W28" s="6">
        <v>1.1585481927710837E-4</v>
      </c>
      <c r="X28" s="6">
        <v>-2.8897749999999998E-3</v>
      </c>
      <c r="Y28" s="6">
        <v>-4.6605639999999999E-3</v>
      </c>
      <c r="Z28" s="6">
        <v>2.1334807228915663E-4</v>
      </c>
      <c r="AA28" s="6">
        <v>-3.5254819999999999E-3</v>
      </c>
      <c r="AB28" s="6">
        <v>-4.5313150000000002E-3</v>
      </c>
      <c r="AC28" s="6">
        <v>1.2118469879518075E-4</v>
      </c>
      <c r="AD28" s="6">
        <v>-4.3072099999999997E-3</v>
      </c>
      <c r="AE28" s="6">
        <v>-4.3513049999999998E-3</v>
      </c>
      <c r="AF28" s="6">
        <v>5.3126506024096465E-6</v>
      </c>
      <c r="AG28" s="6">
        <v>-3.5654620000000001E-3</v>
      </c>
      <c r="AH28" s="6">
        <v>-4.5024030000000003E-3</v>
      </c>
      <c r="AI28" s="6">
        <v>1.1288445783132531E-4</v>
      </c>
      <c r="AJ28" s="6">
        <v>-4.2401410000000002E-3</v>
      </c>
      <c r="AK28" s="6">
        <v>-4.3650260000000001E-3</v>
      </c>
      <c r="AL28" s="6">
        <v>1.5046385542168665E-5</v>
      </c>
      <c r="AM28" s="6">
        <v>-3.604435E-3</v>
      </c>
      <c r="AN28" s="6">
        <v>-4.4942749999999998E-3</v>
      </c>
      <c r="AO28" s="6">
        <v>1.0720963855421684E-4</v>
      </c>
      <c r="AP28" s="6">
        <v>-2.4694840000000001E-3</v>
      </c>
      <c r="AQ28" s="6">
        <v>-4.2397600000000004E-3</v>
      </c>
      <c r="AR28" s="6">
        <v>2.1328626506024099E-4</v>
      </c>
      <c r="AS28" s="6">
        <v>-3.2112310000000002E-3</v>
      </c>
      <c r="AT28" s="6">
        <v>-4.0886630000000002E-3</v>
      </c>
      <c r="AU28" s="6">
        <v>1.0571469879518072E-4</v>
      </c>
      <c r="AV28" s="6">
        <v>-2.5365520000000001E-3</v>
      </c>
      <c r="AW28" s="6">
        <v>-4.226039E-3</v>
      </c>
      <c r="AX28" s="6">
        <v>2.0355265060240961E-4</v>
      </c>
      <c r="AY28" s="6">
        <v>-3.1722590000000002E-3</v>
      </c>
      <c r="AZ28" s="6">
        <v>-4.0967900000000003E-3</v>
      </c>
      <c r="BA28" s="6">
        <v>1.1138927710843375E-4</v>
      </c>
      <c r="BB28" s="6">
        <v>-3.9539859999999996E-3</v>
      </c>
      <c r="BC28" s="6">
        <v>-3.9167799999999999E-3</v>
      </c>
      <c r="BD28" s="6">
        <v>4.4826506024096019E-6</v>
      </c>
      <c r="BE28" s="6">
        <v>-3.212239E-3</v>
      </c>
      <c r="BF28" s="6">
        <v>-4.0678779999999996E-3</v>
      </c>
      <c r="BG28" s="6">
        <v>1.0308903614457826E-4</v>
      </c>
      <c r="BH28" s="6">
        <v>-3.8869180000000001E-3</v>
      </c>
      <c r="BI28" s="6">
        <v>-3.9305010000000003E-3</v>
      </c>
      <c r="BJ28" s="6">
        <v>5.2509638554217166E-6</v>
      </c>
      <c r="BK28" s="6">
        <v>-3.2512119999999999E-3</v>
      </c>
      <c r="BL28" s="6">
        <v>-4.05975E-3</v>
      </c>
      <c r="BM28" s="6">
        <v>9.7414216867469891E-5</v>
      </c>
      <c r="BN28" s="6">
        <v>-3.7543770000000001E-3</v>
      </c>
      <c r="BO28" s="6">
        <v>-5.0681880000000004E-3</v>
      </c>
      <c r="BP28" s="6">
        <v>1.5829048192771085E-4</v>
      </c>
      <c r="BQ28" s="6">
        <v>-3.9769009999999997E-3</v>
      </c>
      <c r="BR28" s="6">
        <v>-5.0228590000000002E-3</v>
      </c>
      <c r="BS28" s="6">
        <v>1.2601903614457835E-4</v>
      </c>
      <c r="BT28" s="6">
        <v>-3.7744969999999999E-3</v>
      </c>
      <c r="BU28" s="6">
        <v>-5.0640720000000002E-3</v>
      </c>
      <c r="BV28" s="6">
        <v>1.5537048192771087E-4</v>
      </c>
      <c r="BW28" s="6">
        <v>-3.9652089999999999E-3</v>
      </c>
      <c r="BX28" s="6">
        <v>-5.0252969999999998E-3</v>
      </c>
      <c r="BY28" s="6">
        <v>1.2772144578313249E-4</v>
      </c>
      <c r="BZ28" s="6">
        <v>-4.1997270000000003E-3</v>
      </c>
      <c r="CA28" s="6">
        <v>-4.9712940000000002E-3</v>
      </c>
      <c r="CB28" s="6">
        <v>9.2959879518072266E-5</v>
      </c>
      <c r="CC28" s="6">
        <v>-3.9772030000000003E-3</v>
      </c>
      <c r="CD28" s="6">
        <v>-5.0166229999999996E-3</v>
      </c>
      <c r="CE28" s="6">
        <v>1.2523132530120471E-4</v>
      </c>
      <c r="CF28" s="6">
        <v>-4.1796070000000001E-3</v>
      </c>
      <c r="CG28" s="6">
        <v>-4.9754100000000004E-3</v>
      </c>
      <c r="CH28" s="6">
        <v>9.5879879518072312E-5</v>
      </c>
      <c r="CI28" s="6">
        <v>-3.9888950000000001E-3</v>
      </c>
      <c r="CJ28" s="6">
        <v>-5.014185E-3</v>
      </c>
      <c r="CK28" s="6">
        <v>1.2352891566265057E-4</v>
      </c>
      <c r="CL28" s="6">
        <v>-2.576966E-3</v>
      </c>
      <c r="CM28" s="6">
        <v>-3.6197709999999999E-3</v>
      </c>
      <c r="CN28" s="6">
        <v>1.2563915662650602E-4</v>
      </c>
      <c r="CO28" s="6">
        <v>-2.79949E-3</v>
      </c>
      <c r="CP28" s="6">
        <v>-3.5744420000000002E-3</v>
      </c>
      <c r="CQ28" s="6">
        <v>9.3367710843373505E-5</v>
      </c>
      <c r="CR28" s="6">
        <v>-2.5970860000000002E-3</v>
      </c>
      <c r="CS28" s="6">
        <v>-3.6156550000000002E-3</v>
      </c>
      <c r="CT28" s="6">
        <v>1.2271915662650601E-4</v>
      </c>
      <c r="CU28" s="6">
        <v>-2.7877980000000002E-3</v>
      </c>
      <c r="CV28" s="6">
        <v>-3.5768800000000002E-3</v>
      </c>
      <c r="CW28" s="6">
        <v>9.5070120481927694E-5</v>
      </c>
      <c r="CX28" s="6">
        <v>-3.0223170000000001E-3</v>
      </c>
      <c r="CY28" s="6">
        <v>-3.5228770000000002E-3</v>
      </c>
      <c r="CZ28" s="6">
        <v>6.0308433734939775E-5</v>
      </c>
      <c r="DA28" s="6">
        <v>-2.7997920000000002E-3</v>
      </c>
      <c r="DB28" s="6">
        <v>-3.568206E-3</v>
      </c>
      <c r="DC28" s="6">
        <v>9.2579999999999971E-5</v>
      </c>
      <c r="DD28" s="6">
        <v>-3.0021959999999999E-3</v>
      </c>
      <c r="DE28" s="6">
        <v>-3.5269939999999999E-3</v>
      </c>
      <c r="DF28" s="6">
        <v>6.3228674698795163E-5</v>
      </c>
      <c r="DG28" s="6">
        <v>-2.8114839999999999E-3</v>
      </c>
      <c r="DH28" s="6">
        <v>-3.565768E-3</v>
      </c>
      <c r="DI28" s="6">
        <v>9.0877590361445782E-5</v>
      </c>
      <c r="DK28" s="3" t="s">
        <v>34</v>
      </c>
      <c r="DL28" s="4">
        <f>BY1</f>
        <v>2413.617782744855</v>
      </c>
      <c r="DM28" s="5" t="str">
        <f t="shared" si="11"/>
        <v>OK</v>
      </c>
    </row>
    <row r="29" spans="1:117" ht="16.2" thickBot="1" x14ac:dyDescent="0.35">
      <c r="A29" s="13" t="s">
        <v>374</v>
      </c>
      <c r="B29" s="13" t="s">
        <v>58</v>
      </c>
      <c r="C29" s="13" t="s">
        <v>59</v>
      </c>
      <c r="D29" s="13" t="s">
        <v>350</v>
      </c>
      <c r="E29" s="13">
        <v>8.3000000000000007</v>
      </c>
      <c r="F29" s="6">
        <v>-3.2207500000000001E-3</v>
      </c>
      <c r="G29" s="6">
        <v>-3.6643940000000001E-3</v>
      </c>
      <c r="H29" s="6">
        <v>5.3451084337349394E-5</v>
      </c>
      <c r="I29" s="6">
        <v>-3.9649459999999996E-3</v>
      </c>
      <c r="J29" s="6">
        <v>-4.489514E-3</v>
      </c>
      <c r="K29" s="6">
        <v>6.3200963855421737E-5</v>
      </c>
      <c r="L29" s="6">
        <v>-3.598955E-3</v>
      </c>
      <c r="M29" s="6">
        <v>-4.039768E-3</v>
      </c>
      <c r="N29" s="6">
        <v>5.3109999999999991E-5</v>
      </c>
      <c r="O29" s="6">
        <v>-4.326753E-3</v>
      </c>
      <c r="P29" s="6">
        <v>-4.8478660000000002E-3</v>
      </c>
      <c r="Q29" s="6">
        <v>6.2784698795180738E-5</v>
      </c>
      <c r="R29" s="6">
        <v>-3.9183259999999998E-3</v>
      </c>
      <c r="S29" s="6">
        <v>-4.7287220000000003E-3</v>
      </c>
      <c r="T29" s="6">
        <v>9.7638072289156678E-5</v>
      </c>
      <c r="U29" s="6">
        <v>-3.4161080000000002E-3</v>
      </c>
      <c r="V29" s="6">
        <v>-3.8582500000000001E-3</v>
      </c>
      <c r="W29" s="6">
        <v>5.3270120481927701E-5</v>
      </c>
      <c r="X29" s="6">
        <v>-3.9411899999999998E-3</v>
      </c>
      <c r="Y29" s="6">
        <v>-4.7320510000000001E-3</v>
      </c>
      <c r="Z29" s="6">
        <v>9.5284457831325332E-5</v>
      </c>
      <c r="AA29" s="6">
        <v>-3.3939579999999999E-3</v>
      </c>
      <c r="AB29" s="6">
        <v>-3.827563E-3</v>
      </c>
      <c r="AC29" s="6">
        <v>5.224156626506025E-5</v>
      </c>
      <c r="AD29" s="6">
        <v>-4.8188780000000004E-3</v>
      </c>
      <c r="AE29" s="6">
        <v>-5.106953E-3</v>
      </c>
      <c r="AF29" s="6">
        <v>3.4707831325301158E-5</v>
      </c>
      <c r="AG29" s="6">
        <v>-5.3300129999999998E-3</v>
      </c>
      <c r="AH29" s="6">
        <v>-6.0062520000000001E-3</v>
      </c>
      <c r="AI29" s="6">
        <v>8.1474578313253052E-5</v>
      </c>
      <c r="AJ29" s="6">
        <v>-4.7960140000000004E-3</v>
      </c>
      <c r="AK29" s="6">
        <v>-5.1036229999999998E-3</v>
      </c>
      <c r="AL29" s="6">
        <v>3.7061325301204752E-5</v>
      </c>
      <c r="AM29" s="6">
        <v>-5.3432460000000003E-3</v>
      </c>
      <c r="AN29" s="6">
        <v>-6.008111E-3</v>
      </c>
      <c r="AO29" s="6">
        <v>8.0104216867469841E-5</v>
      </c>
      <c r="AP29" s="6">
        <v>-3.4727730000000002E-3</v>
      </c>
      <c r="AQ29" s="6">
        <v>-4.2304029999999998E-3</v>
      </c>
      <c r="AR29" s="6">
        <v>9.1280722891566208E-5</v>
      </c>
      <c r="AS29" s="6">
        <v>-2.9616379999999999E-3</v>
      </c>
      <c r="AT29" s="6">
        <v>-3.3311040000000001E-3</v>
      </c>
      <c r="AU29" s="6">
        <v>4.451397590361447E-5</v>
      </c>
      <c r="AV29" s="6">
        <v>-3.4956380000000001E-3</v>
      </c>
      <c r="AW29" s="6">
        <v>-4.2337329999999999E-3</v>
      </c>
      <c r="AX29" s="6">
        <v>8.8927108433734903E-5</v>
      </c>
      <c r="AY29" s="6">
        <v>-2.9484049999999999E-3</v>
      </c>
      <c r="AZ29" s="6">
        <v>-3.3292439999999999E-3</v>
      </c>
      <c r="BA29" s="6">
        <v>4.5884216867469874E-5</v>
      </c>
      <c r="BB29" s="6">
        <v>-4.3733260000000003E-3</v>
      </c>
      <c r="BC29" s="6">
        <v>-4.6086340000000003E-3</v>
      </c>
      <c r="BD29" s="6">
        <v>2.8350361445783136E-5</v>
      </c>
      <c r="BE29" s="6">
        <v>-4.8844600000000002E-3</v>
      </c>
      <c r="BF29" s="6">
        <v>-5.5079329999999996E-3</v>
      </c>
      <c r="BG29" s="6">
        <v>7.5117228915662568E-5</v>
      </c>
      <c r="BH29" s="6">
        <v>-4.3504609999999999E-3</v>
      </c>
      <c r="BI29" s="6">
        <v>-4.6053040000000002E-3</v>
      </c>
      <c r="BJ29" s="6">
        <v>3.0703975903614485E-5</v>
      </c>
      <c r="BK29" s="6">
        <v>-4.8976929999999998E-3</v>
      </c>
      <c r="BL29" s="6">
        <v>-5.5097929999999998E-3</v>
      </c>
      <c r="BM29" s="6">
        <v>7.3746987951807218E-5</v>
      </c>
      <c r="BN29" s="6">
        <v>-4.7533310000000004E-3</v>
      </c>
      <c r="BO29" s="6">
        <v>-5.4424749999999996E-3</v>
      </c>
      <c r="BP29" s="6">
        <v>8.3029397590361344E-5</v>
      </c>
      <c r="BQ29" s="6">
        <v>-4.59999E-3</v>
      </c>
      <c r="BR29" s="6">
        <v>-5.1726849999999998E-3</v>
      </c>
      <c r="BS29" s="6">
        <v>6.8999397590361412E-5</v>
      </c>
      <c r="BT29" s="6">
        <v>-4.7601900000000001E-3</v>
      </c>
      <c r="BU29" s="6">
        <v>-5.4434740000000002E-3</v>
      </c>
      <c r="BV29" s="6">
        <v>8.2323373493975918E-5</v>
      </c>
      <c r="BW29" s="6">
        <v>-4.5960200000000001E-3</v>
      </c>
      <c r="BX29" s="6">
        <v>-5.1721270000000003E-3</v>
      </c>
      <c r="BY29" s="6">
        <v>6.941048192771086E-5</v>
      </c>
      <c r="BZ29" s="6">
        <v>-5.0234959999999997E-3</v>
      </c>
      <c r="CA29" s="6">
        <v>-5.5559440000000002E-3</v>
      </c>
      <c r="CB29" s="6">
        <v>6.4150361445783189E-5</v>
      </c>
      <c r="CC29" s="6">
        <v>-5.1768370000000001E-3</v>
      </c>
      <c r="CD29" s="6">
        <v>-5.8257339999999999E-3</v>
      </c>
      <c r="CE29" s="6">
        <v>7.8180361445783107E-5</v>
      </c>
      <c r="CF29" s="6">
        <v>-5.016637E-3</v>
      </c>
      <c r="CG29" s="6">
        <v>-5.5549450000000004E-3</v>
      </c>
      <c r="CH29" s="6">
        <v>6.485638554216871E-5</v>
      </c>
      <c r="CI29" s="6">
        <v>-5.1808059999999996E-3</v>
      </c>
      <c r="CJ29" s="6">
        <v>-5.8262920000000003E-3</v>
      </c>
      <c r="CK29" s="6">
        <v>7.776939759036152E-5</v>
      </c>
      <c r="CL29" s="6">
        <v>-3.268155E-3</v>
      </c>
      <c r="CM29" s="6">
        <v>-3.7814120000000001E-3</v>
      </c>
      <c r="CN29" s="6">
        <v>6.1838192771084333E-5</v>
      </c>
      <c r="CO29" s="6">
        <v>-3.1148149999999999E-3</v>
      </c>
      <c r="CP29" s="6">
        <v>-3.5116230000000002E-3</v>
      </c>
      <c r="CQ29" s="6">
        <v>4.780819277108436E-5</v>
      </c>
      <c r="CR29" s="6">
        <v>-3.2750140000000001E-3</v>
      </c>
      <c r="CS29" s="6">
        <v>-3.7824109999999998E-3</v>
      </c>
      <c r="CT29" s="6">
        <v>6.1132168674698758E-5</v>
      </c>
      <c r="CU29" s="6">
        <v>-3.1108450000000001E-3</v>
      </c>
      <c r="CV29" s="6">
        <v>-3.5110639999999999E-3</v>
      </c>
      <c r="CW29" s="6">
        <v>4.8219156626506002E-5</v>
      </c>
      <c r="CX29" s="6">
        <v>-3.5383210000000001E-3</v>
      </c>
      <c r="CY29" s="6">
        <v>-3.8948810000000002E-3</v>
      </c>
      <c r="CZ29" s="6">
        <v>4.2959036144578324E-5</v>
      </c>
      <c r="DA29" s="6">
        <v>-3.6916610000000002E-3</v>
      </c>
      <c r="DB29" s="6">
        <v>-4.164671E-3</v>
      </c>
      <c r="DC29" s="6">
        <v>5.6989156626506001E-5</v>
      </c>
      <c r="DD29" s="6">
        <v>-3.5314610000000001E-3</v>
      </c>
      <c r="DE29" s="6">
        <v>-3.8938829999999999E-3</v>
      </c>
      <c r="DF29" s="6">
        <v>4.3665301204819254E-5</v>
      </c>
      <c r="DG29" s="6">
        <v>-3.695631E-3</v>
      </c>
      <c r="DH29" s="6">
        <v>-4.1652290000000003E-3</v>
      </c>
      <c r="DI29" s="6">
        <v>5.6578072289156661E-5</v>
      </c>
      <c r="DK29" s="3" t="s">
        <v>35</v>
      </c>
      <c r="DL29" s="4">
        <f>CB1</f>
        <v>2184.1198853405481</v>
      </c>
      <c r="DM29" s="5" t="str">
        <f t="shared" si="11"/>
        <v>OK</v>
      </c>
    </row>
    <row r="30" spans="1:117" ht="18" customHeight="1" thickBot="1" x14ac:dyDescent="0.35">
      <c r="A30" s="13" t="s">
        <v>375</v>
      </c>
      <c r="B30" s="13" t="s">
        <v>166</v>
      </c>
      <c r="C30" s="13" t="s">
        <v>167</v>
      </c>
      <c r="D30" s="13" t="s">
        <v>364</v>
      </c>
      <c r="E30" s="13">
        <v>8.3000000000000007</v>
      </c>
      <c r="F30" s="6">
        <v>-2.1505629999999999E-3</v>
      </c>
      <c r="G30" s="6">
        <v>-2.823192E-3</v>
      </c>
      <c r="H30" s="6">
        <v>8.1039638554216876E-5</v>
      </c>
      <c r="I30" s="6">
        <v>-3.0974100000000001E-3</v>
      </c>
      <c r="J30" s="6">
        <v>-3.9821099999999996E-3</v>
      </c>
      <c r="K30" s="6">
        <v>1.0659036144578307E-4</v>
      </c>
      <c r="L30" s="6">
        <v>-2.7620190000000001E-3</v>
      </c>
      <c r="M30" s="6">
        <v>-3.4216440000000002E-3</v>
      </c>
      <c r="N30" s="6">
        <v>7.9472891566265057E-5</v>
      </c>
      <c r="O30" s="6">
        <v>-3.674666E-3</v>
      </c>
      <c r="P30" s="6">
        <v>-4.553082E-3</v>
      </c>
      <c r="Q30" s="6">
        <v>1.0583325301204818E-4</v>
      </c>
      <c r="R30" s="6">
        <v>-2.858991E-3</v>
      </c>
      <c r="S30" s="6">
        <v>-4.6360380000000003E-3</v>
      </c>
      <c r="T30" s="6">
        <v>2.1410204819277112E-4</v>
      </c>
      <c r="U30" s="6">
        <v>-3.5658479999999999E-3</v>
      </c>
      <c r="V30" s="6">
        <v>-4.4855140000000003E-3</v>
      </c>
      <c r="W30" s="6">
        <v>1.1080313253012052E-4</v>
      </c>
      <c r="X30" s="6">
        <v>-2.8554700000000001E-3</v>
      </c>
      <c r="Y30" s="6">
        <v>-4.6362460000000001E-3</v>
      </c>
      <c r="Z30" s="6">
        <v>2.1455132530120481E-4</v>
      </c>
      <c r="AA30" s="6">
        <v>-3.5690320000000002E-3</v>
      </c>
      <c r="AB30" s="6">
        <v>-4.4840610000000001E-3</v>
      </c>
      <c r="AC30" s="6">
        <v>1.1024445783132528E-4</v>
      </c>
      <c r="AD30" s="6">
        <v>-4.2663370000000003E-3</v>
      </c>
      <c r="AE30" s="6">
        <v>-4.3313350000000004E-3</v>
      </c>
      <c r="AF30" s="6">
        <v>7.8310843373494143E-6</v>
      </c>
      <c r="AG30" s="6">
        <v>-3.5583289999999998E-3</v>
      </c>
      <c r="AH30" s="6">
        <v>-4.4830709999999999E-3</v>
      </c>
      <c r="AI30" s="6">
        <v>1.1141469879518072E-4</v>
      </c>
      <c r="AJ30" s="6">
        <v>-4.2698579999999996E-3</v>
      </c>
      <c r="AK30" s="6">
        <v>-4.3311280000000001E-3</v>
      </c>
      <c r="AL30" s="6">
        <v>7.3819277108434232E-6</v>
      </c>
      <c r="AM30" s="6">
        <v>-3.556296E-3</v>
      </c>
      <c r="AN30" s="6">
        <v>-4.4833130000000001E-3</v>
      </c>
      <c r="AO30" s="6">
        <v>1.1168879518072288E-4</v>
      </c>
      <c r="AP30" s="6">
        <v>-2.505728E-3</v>
      </c>
      <c r="AQ30" s="6">
        <v>-4.2038580000000004E-3</v>
      </c>
      <c r="AR30" s="6">
        <v>2.045939759036145E-4</v>
      </c>
      <c r="AS30" s="6">
        <v>-3.213736E-3</v>
      </c>
      <c r="AT30" s="6">
        <v>-4.052122E-3</v>
      </c>
      <c r="AU30" s="6">
        <v>1.0101036144578312E-4</v>
      </c>
      <c r="AV30" s="6">
        <v>-2.5022070000000002E-3</v>
      </c>
      <c r="AW30" s="6">
        <v>-4.2040660000000002E-3</v>
      </c>
      <c r="AX30" s="6">
        <v>2.0504325301204818E-4</v>
      </c>
      <c r="AY30" s="6">
        <v>-3.2157700000000002E-3</v>
      </c>
      <c r="AZ30" s="6">
        <v>-4.0518799999999999E-3</v>
      </c>
      <c r="BA30" s="6">
        <v>1.0073614457831321E-4</v>
      </c>
      <c r="BB30" s="6">
        <v>-3.9130750000000002E-3</v>
      </c>
      <c r="BC30" s="6">
        <v>-3.899156E-3</v>
      </c>
      <c r="BD30" s="6">
        <v>1.6769879518072599E-6</v>
      </c>
      <c r="BE30" s="6">
        <v>-3.2050659999999999E-3</v>
      </c>
      <c r="BF30" s="6">
        <v>-4.050891E-3</v>
      </c>
      <c r="BG30" s="6">
        <v>1.019066265060241E-4</v>
      </c>
      <c r="BH30" s="6">
        <v>-3.9165950000000001E-3</v>
      </c>
      <c r="BI30" s="6">
        <v>-3.8989480000000002E-3</v>
      </c>
      <c r="BJ30" s="6">
        <v>2.1261445783132497E-6</v>
      </c>
      <c r="BK30" s="6">
        <v>-3.2030330000000001E-3</v>
      </c>
      <c r="BL30" s="6">
        <v>-4.0511330000000002E-3</v>
      </c>
      <c r="BM30" s="6">
        <v>1.0218072289156627E-4</v>
      </c>
      <c r="BN30" s="6">
        <v>-3.7637019999999998E-3</v>
      </c>
      <c r="BO30" s="6">
        <v>-5.0336019999999999E-3</v>
      </c>
      <c r="BP30" s="6">
        <v>1.5299999999999998E-4</v>
      </c>
      <c r="BQ30" s="6">
        <v>-3.9761049999999997E-3</v>
      </c>
      <c r="BR30" s="6">
        <v>-4.9880810000000001E-3</v>
      </c>
      <c r="BS30" s="6">
        <v>1.2192481927710847E-4</v>
      </c>
      <c r="BT30" s="6">
        <v>-3.7626460000000001E-3</v>
      </c>
      <c r="BU30" s="6">
        <v>-5.0336640000000002E-3</v>
      </c>
      <c r="BV30" s="6">
        <v>1.5313469879518071E-4</v>
      </c>
      <c r="BW30" s="6">
        <v>-3.9767149999999996E-3</v>
      </c>
      <c r="BX30" s="6">
        <v>-4.9880089999999998E-3</v>
      </c>
      <c r="BY30" s="6">
        <v>1.2184265060240966E-4</v>
      </c>
      <c r="BZ30" s="6">
        <v>-4.1859059999999997E-3</v>
      </c>
      <c r="CA30" s="6">
        <v>-4.9421910000000003E-3</v>
      </c>
      <c r="CB30" s="6">
        <v>9.111867469879525E-5</v>
      </c>
      <c r="CC30" s="6">
        <v>-3.9735040000000001E-3</v>
      </c>
      <c r="CD30" s="6">
        <v>-4.987712E-3</v>
      </c>
      <c r="CE30" s="6">
        <v>1.2219373493975902E-4</v>
      </c>
      <c r="CF30" s="6">
        <v>-4.1869619999999998E-3</v>
      </c>
      <c r="CG30" s="6">
        <v>-4.942129E-3</v>
      </c>
      <c r="CH30" s="6">
        <v>9.0983975903614463E-5</v>
      </c>
      <c r="CI30" s="6">
        <v>-3.9728940000000003E-3</v>
      </c>
      <c r="CJ30" s="6">
        <v>-4.9877849999999998E-3</v>
      </c>
      <c r="CK30" s="6">
        <v>1.2227602409638547E-4</v>
      </c>
      <c r="CL30" s="6">
        <v>-2.5861590000000002E-3</v>
      </c>
      <c r="CM30" s="6">
        <v>-3.5930020000000001E-3</v>
      </c>
      <c r="CN30" s="6">
        <v>1.2130638554216865E-4</v>
      </c>
      <c r="CO30" s="6">
        <v>-2.7985620000000001E-3</v>
      </c>
      <c r="CP30" s="6">
        <v>-3.5474809999999999E-3</v>
      </c>
      <c r="CQ30" s="6">
        <v>9.0231204819277082E-5</v>
      </c>
      <c r="CR30" s="6">
        <v>-2.5851030000000001E-3</v>
      </c>
      <c r="CS30" s="6">
        <v>-3.5930649999999999E-3</v>
      </c>
      <c r="CT30" s="6">
        <v>1.2144120481927708E-4</v>
      </c>
      <c r="CU30" s="6">
        <v>-2.799171E-3</v>
      </c>
      <c r="CV30" s="6">
        <v>-3.5474090000000001E-3</v>
      </c>
      <c r="CW30" s="6">
        <v>9.0149156626506016E-5</v>
      </c>
      <c r="CX30" s="6">
        <v>-3.008363E-3</v>
      </c>
      <c r="CY30" s="6">
        <v>-3.501592E-3</v>
      </c>
      <c r="CZ30" s="6">
        <v>5.9425180722891561E-5</v>
      </c>
      <c r="DA30" s="6">
        <v>-2.795961E-3</v>
      </c>
      <c r="DB30" s="6">
        <v>-3.5471119999999998E-3</v>
      </c>
      <c r="DC30" s="6">
        <v>9.0500120481927675E-5</v>
      </c>
      <c r="DD30" s="6">
        <v>-3.0094190000000002E-3</v>
      </c>
      <c r="DE30" s="6">
        <v>-3.5015290000000002E-3</v>
      </c>
      <c r="DF30" s="6">
        <v>5.9290361445783131E-5</v>
      </c>
      <c r="DG30" s="6">
        <v>-2.7953510000000002E-3</v>
      </c>
      <c r="DH30" s="6">
        <v>-3.547185E-3</v>
      </c>
      <c r="DI30" s="6">
        <v>9.0582409638554192E-5</v>
      </c>
      <c r="DK30" s="3" t="s">
        <v>36</v>
      </c>
      <c r="DL30" s="4">
        <f>CE1</f>
        <v>2125.6664828776161</v>
      </c>
      <c r="DM30" s="5" t="str">
        <f t="shared" si="11"/>
        <v>OK</v>
      </c>
    </row>
    <row r="31" spans="1:117" ht="16.2" thickBot="1" x14ac:dyDescent="0.35">
      <c r="A31" s="13" t="s">
        <v>376</v>
      </c>
      <c r="B31" s="13" t="s">
        <v>207</v>
      </c>
      <c r="C31" s="13" t="s">
        <v>208</v>
      </c>
      <c r="D31" s="13" t="s">
        <v>364</v>
      </c>
      <c r="E31" s="13">
        <v>8.3000000000000007</v>
      </c>
      <c r="F31" s="6">
        <v>-2.1587260000000001E-3</v>
      </c>
      <c r="G31" s="6">
        <v>-2.8149759999999998E-3</v>
      </c>
      <c r="H31" s="6">
        <v>7.9066265060240919E-5</v>
      </c>
      <c r="I31" s="6">
        <v>-3.1115589999999999E-3</v>
      </c>
      <c r="J31" s="6">
        <v>-3.9728740000000004E-3</v>
      </c>
      <c r="K31" s="6">
        <v>1.0377289156626512E-4</v>
      </c>
      <c r="L31" s="6">
        <v>-2.7717140000000002E-3</v>
      </c>
      <c r="M31" s="6">
        <v>-3.4129149999999999E-3</v>
      </c>
      <c r="N31" s="6">
        <v>7.7253132530120437E-5</v>
      </c>
      <c r="O31" s="6">
        <v>-3.688803E-3</v>
      </c>
      <c r="P31" s="6">
        <v>-4.5436089999999997E-3</v>
      </c>
      <c r="Q31" s="6">
        <v>1.0298867469879512E-4</v>
      </c>
      <c r="R31" s="6">
        <v>-2.9115090000000001E-3</v>
      </c>
      <c r="S31" s="6">
        <v>-4.6208509999999996E-3</v>
      </c>
      <c r="T31" s="6">
        <v>2.0594481927710837E-4</v>
      </c>
      <c r="U31" s="6">
        <v>-3.5853949999999999E-3</v>
      </c>
      <c r="V31" s="6">
        <v>-4.463725E-3</v>
      </c>
      <c r="W31" s="6">
        <v>1.0582289156626506E-4</v>
      </c>
      <c r="X31" s="6">
        <v>-2.8382160000000002E-3</v>
      </c>
      <c r="Y31" s="6">
        <v>-4.6351750000000001E-3</v>
      </c>
      <c r="Z31" s="6">
        <v>2.1650108433734935E-4</v>
      </c>
      <c r="AA31" s="6">
        <v>-3.6283130000000002E-3</v>
      </c>
      <c r="AB31" s="6">
        <v>-4.4540489999999999E-3</v>
      </c>
      <c r="AC31" s="6">
        <v>9.9486265060240916E-5</v>
      </c>
      <c r="AD31" s="6">
        <v>-4.2432900000000003E-3</v>
      </c>
      <c r="AE31" s="6">
        <v>-4.3267540000000004E-3</v>
      </c>
      <c r="AF31" s="6">
        <v>1.0055903614457844E-5</v>
      </c>
      <c r="AG31" s="6">
        <v>-3.5690660000000001E-3</v>
      </c>
      <c r="AH31" s="6">
        <v>-4.4849900000000003E-3</v>
      </c>
      <c r="AI31" s="6">
        <v>1.1035228915662653E-4</v>
      </c>
      <c r="AJ31" s="6">
        <v>-4.3165820000000002E-3</v>
      </c>
      <c r="AK31" s="6">
        <v>-4.3124299999999999E-3</v>
      </c>
      <c r="AL31" s="6">
        <v>5.0024096385546043E-7</v>
      </c>
      <c r="AM31" s="6">
        <v>-3.5264860000000001E-3</v>
      </c>
      <c r="AN31" s="6">
        <v>-4.4935560000000001E-3</v>
      </c>
      <c r="AO31" s="6">
        <v>1.1651445783132529E-4</v>
      </c>
      <c r="AP31" s="6">
        <v>-2.5570839999999998E-3</v>
      </c>
      <c r="AQ31" s="6">
        <v>-4.1897269999999999E-3</v>
      </c>
      <c r="AR31" s="6">
        <v>1.9670397590361443E-4</v>
      </c>
      <c r="AS31" s="6">
        <v>-3.231308E-3</v>
      </c>
      <c r="AT31" s="6">
        <v>-4.0314909999999999E-3</v>
      </c>
      <c r="AU31" s="6">
        <v>9.6407590361445765E-5</v>
      </c>
      <c r="AV31" s="6">
        <v>-2.483791E-3</v>
      </c>
      <c r="AW31" s="6">
        <v>-4.2040519999999998E-3</v>
      </c>
      <c r="AX31" s="6">
        <v>2.072603614457831E-4</v>
      </c>
      <c r="AY31" s="6">
        <v>-3.273888E-3</v>
      </c>
      <c r="AZ31" s="6">
        <v>-4.0229259999999996E-3</v>
      </c>
      <c r="BA31" s="6">
        <v>9.0245542168674648E-5</v>
      </c>
      <c r="BB31" s="6">
        <v>-3.888865E-3</v>
      </c>
      <c r="BC31" s="6">
        <v>-3.8956300000000002E-3</v>
      </c>
      <c r="BD31" s="6">
        <v>8.1506024096387417E-7</v>
      </c>
      <c r="BE31" s="6">
        <v>-3.2146409999999999E-3</v>
      </c>
      <c r="BF31" s="6">
        <v>-4.0538659999999997E-3</v>
      </c>
      <c r="BG31" s="6">
        <v>1.0111144578313251E-4</v>
      </c>
      <c r="BH31" s="6">
        <v>-3.962157E-3</v>
      </c>
      <c r="BI31" s="6">
        <v>-3.8813060000000002E-3</v>
      </c>
      <c r="BJ31" s="6">
        <v>9.7410843373493774E-6</v>
      </c>
      <c r="BK31" s="6">
        <v>-3.1720609999999999E-3</v>
      </c>
      <c r="BL31" s="6">
        <v>-4.0624320000000004E-3</v>
      </c>
      <c r="BM31" s="6">
        <v>1.0727361445783138E-4</v>
      </c>
      <c r="BN31" s="6">
        <v>-3.7911279999999999E-3</v>
      </c>
      <c r="BO31" s="6">
        <v>-5.020895E-3</v>
      </c>
      <c r="BP31" s="6">
        <v>1.4816469879518071E-4</v>
      </c>
      <c r="BQ31" s="6">
        <v>-3.9933959999999998E-3</v>
      </c>
      <c r="BR31" s="6">
        <v>-4.9734239999999997E-3</v>
      </c>
      <c r="BS31" s="6">
        <v>1.180756626506024E-4</v>
      </c>
      <c r="BT31" s="6">
        <v>-3.7691399999999998E-3</v>
      </c>
      <c r="BU31" s="6">
        <v>-5.0251920000000004E-3</v>
      </c>
      <c r="BV31" s="6">
        <v>1.5133156626506031E-4</v>
      </c>
      <c r="BW31" s="6">
        <v>-4.0061699999999999E-3</v>
      </c>
      <c r="BX31" s="6">
        <v>-4.9708540000000002E-3</v>
      </c>
      <c r="BY31" s="6">
        <v>1.1622698795180726E-4</v>
      </c>
      <c r="BZ31" s="6">
        <v>-4.1906620000000004E-3</v>
      </c>
      <c r="CA31" s="6">
        <v>-4.9326650000000001E-3</v>
      </c>
      <c r="CB31" s="6">
        <v>8.9397951807228883E-5</v>
      </c>
      <c r="CC31" s="6">
        <v>-3.9883949999999996E-3</v>
      </c>
      <c r="CD31" s="6">
        <v>-4.9801359999999996E-3</v>
      </c>
      <c r="CE31" s="6">
        <v>1.194868674698795E-4</v>
      </c>
      <c r="CF31" s="6">
        <v>-4.2126500000000001E-3</v>
      </c>
      <c r="CG31" s="6">
        <v>-4.9283679999999998E-3</v>
      </c>
      <c r="CH31" s="6">
        <v>8.6231084337349355E-5</v>
      </c>
      <c r="CI31" s="6">
        <v>-3.9756210000000004E-3</v>
      </c>
      <c r="CJ31" s="6">
        <v>-4.9827059999999999E-3</v>
      </c>
      <c r="CK31" s="6">
        <v>1.2133554216867464E-4</v>
      </c>
      <c r="CL31" s="6">
        <v>-2.6097109999999998E-3</v>
      </c>
      <c r="CM31" s="6">
        <v>-3.5838160000000001E-3</v>
      </c>
      <c r="CN31" s="6">
        <v>1.1736204819277111E-4</v>
      </c>
      <c r="CO31" s="6">
        <v>-2.811979E-3</v>
      </c>
      <c r="CP31" s="6">
        <v>-3.5363450000000002E-3</v>
      </c>
      <c r="CQ31" s="6">
        <v>8.7273012048192782E-5</v>
      </c>
      <c r="CR31" s="6">
        <v>-2.587724E-3</v>
      </c>
      <c r="CS31" s="6">
        <v>-3.588113E-3</v>
      </c>
      <c r="CT31" s="6">
        <v>1.2052879518072287E-4</v>
      </c>
      <c r="CU31" s="6">
        <v>-2.8247519999999998E-3</v>
      </c>
      <c r="CV31" s="6">
        <v>-3.5337749999999999E-3</v>
      </c>
      <c r="CW31" s="6">
        <v>8.5424457831325301E-5</v>
      </c>
      <c r="CX31" s="6">
        <v>-3.0092449999999998E-3</v>
      </c>
      <c r="CY31" s="6">
        <v>-3.4955870000000001E-3</v>
      </c>
      <c r="CZ31" s="6">
        <v>5.8595421686747014E-5</v>
      </c>
      <c r="DA31" s="6">
        <v>-2.8069779999999999E-3</v>
      </c>
      <c r="DB31" s="6">
        <v>-3.5430570000000001E-3</v>
      </c>
      <c r="DC31" s="6">
        <v>8.8684216867469885E-5</v>
      </c>
      <c r="DD31" s="6">
        <v>-3.0312329999999999E-3</v>
      </c>
      <c r="DE31" s="6">
        <v>-3.4912889999999999E-3</v>
      </c>
      <c r="DF31" s="6">
        <v>5.5428433734939748E-5</v>
      </c>
      <c r="DG31" s="6">
        <v>-2.7942039999999998E-3</v>
      </c>
      <c r="DH31" s="6">
        <v>-3.545627E-3</v>
      </c>
      <c r="DI31" s="6">
        <v>9.0532891566265077E-5</v>
      </c>
      <c r="DK31" s="3" t="s">
        <v>37</v>
      </c>
      <c r="DL31" s="4">
        <f>CH1</f>
        <v>2185.8300538201402</v>
      </c>
      <c r="DM31" s="5" t="str">
        <f t="shared" si="11"/>
        <v>OK</v>
      </c>
    </row>
    <row r="32" spans="1:117" ht="16.2" thickBot="1" x14ac:dyDescent="0.35">
      <c r="A32" s="13" t="s">
        <v>377</v>
      </c>
      <c r="B32" s="13" t="s">
        <v>248</v>
      </c>
      <c r="C32" s="13" t="s">
        <v>249</v>
      </c>
      <c r="D32" s="13" t="s">
        <v>364</v>
      </c>
      <c r="E32" s="13">
        <v>8.3000000000000007</v>
      </c>
      <c r="F32" s="6">
        <v>-2.1227849999999999E-3</v>
      </c>
      <c r="G32" s="6">
        <v>-2.8181479999999999E-3</v>
      </c>
      <c r="H32" s="6">
        <v>8.3778674698795175E-5</v>
      </c>
      <c r="I32" s="6">
        <v>-3.060381E-3</v>
      </c>
      <c r="J32" s="6">
        <v>-3.9797779999999998E-3</v>
      </c>
      <c r="K32" s="6">
        <v>1.1077072289156623E-4</v>
      </c>
      <c r="L32" s="6">
        <v>-2.7357229999999998E-3</v>
      </c>
      <c r="M32" s="6">
        <v>-3.4199030000000002E-3</v>
      </c>
      <c r="N32" s="6">
        <v>8.2431325301204862E-5</v>
      </c>
      <c r="O32" s="6">
        <v>-3.640094E-3</v>
      </c>
      <c r="P32" s="6">
        <v>-4.5536800000000001E-3</v>
      </c>
      <c r="Q32" s="6">
        <v>1.1007060240963855E-4</v>
      </c>
      <c r="R32" s="6">
        <v>-2.8930940000000001E-3</v>
      </c>
      <c r="S32" s="6">
        <v>-4.6259819999999998E-3</v>
      </c>
      <c r="T32" s="6">
        <v>2.087816867469879E-4</v>
      </c>
      <c r="U32" s="6">
        <v>-3.5900459999999999E-3</v>
      </c>
      <c r="V32" s="6">
        <v>-4.5137700000000003E-3</v>
      </c>
      <c r="W32" s="6">
        <v>1.1129204819277112E-4</v>
      </c>
      <c r="X32" s="6">
        <v>-2.7544520000000001E-3</v>
      </c>
      <c r="Y32" s="6">
        <v>-4.6602470000000002E-3</v>
      </c>
      <c r="Z32" s="6">
        <v>2.2961385542168673E-4</v>
      </c>
      <c r="AA32" s="6">
        <v>-3.6691369999999998E-3</v>
      </c>
      <c r="AB32" s="6">
        <v>-4.491063E-3</v>
      </c>
      <c r="AC32" s="6">
        <v>9.9027228915662656E-5</v>
      </c>
      <c r="AD32" s="6">
        <v>-4.157595E-3</v>
      </c>
      <c r="AE32" s="6">
        <v>-4.3395550000000001E-3</v>
      </c>
      <c r="AF32" s="6">
        <v>2.1922891566265071E-5</v>
      </c>
      <c r="AG32" s="6">
        <v>-3.4621360000000002E-3</v>
      </c>
      <c r="AH32" s="6">
        <v>-4.4544490000000001E-3</v>
      </c>
      <c r="AI32" s="6">
        <v>1.195557831325301E-4</v>
      </c>
      <c r="AJ32" s="6">
        <v>-4.296238E-3</v>
      </c>
      <c r="AK32" s="6">
        <v>-4.3052899999999998E-3</v>
      </c>
      <c r="AL32" s="6">
        <v>1.0906024096385355E-6</v>
      </c>
      <c r="AM32" s="6">
        <v>-3.3815519999999999E-3</v>
      </c>
      <c r="AN32" s="6">
        <v>-4.474474E-3</v>
      </c>
      <c r="AO32" s="6">
        <v>1.3167734939759036E-4</v>
      </c>
      <c r="AP32" s="6">
        <v>-2.5428949999999999E-3</v>
      </c>
      <c r="AQ32" s="6">
        <v>-4.1939000000000004E-3</v>
      </c>
      <c r="AR32" s="6">
        <v>1.98916265060241E-4</v>
      </c>
      <c r="AS32" s="6">
        <v>-3.2383540000000001E-3</v>
      </c>
      <c r="AT32" s="6">
        <v>-4.0790059999999996E-3</v>
      </c>
      <c r="AU32" s="6">
        <v>1.0128337349397583E-4</v>
      </c>
      <c r="AV32" s="6">
        <v>-2.4042529999999999E-3</v>
      </c>
      <c r="AW32" s="6">
        <v>-4.2281649999999999E-3</v>
      </c>
      <c r="AX32" s="6">
        <v>2.1974843373493975E-4</v>
      </c>
      <c r="AY32" s="6">
        <v>-3.318938E-3</v>
      </c>
      <c r="AZ32" s="6">
        <v>-4.0589809999999997E-3</v>
      </c>
      <c r="BA32" s="6">
        <v>8.9161807228915624E-5</v>
      </c>
      <c r="BB32" s="6">
        <v>-3.8073959999999998E-3</v>
      </c>
      <c r="BC32" s="6">
        <v>-3.9074729999999998E-3</v>
      </c>
      <c r="BD32" s="6">
        <v>1.205746987951808E-5</v>
      </c>
      <c r="BE32" s="6">
        <v>-3.111936E-3</v>
      </c>
      <c r="BF32" s="6">
        <v>-4.0223669999999998E-3</v>
      </c>
      <c r="BG32" s="6">
        <v>1.0969048192771081E-4</v>
      </c>
      <c r="BH32" s="6">
        <v>-3.9460379999999998E-3</v>
      </c>
      <c r="BI32" s="6">
        <v>-3.8732079999999999E-3</v>
      </c>
      <c r="BJ32" s="6">
        <v>8.7746987951807043E-6</v>
      </c>
      <c r="BK32" s="6">
        <v>-3.0313530000000001E-3</v>
      </c>
      <c r="BL32" s="6">
        <v>-4.0423919999999997E-3</v>
      </c>
      <c r="BM32" s="6">
        <v>1.2181192771084332E-4</v>
      </c>
      <c r="BN32" s="6">
        <v>-3.7442349999999998E-3</v>
      </c>
      <c r="BO32" s="6">
        <v>-5.0298280000000001E-3</v>
      </c>
      <c r="BP32" s="6">
        <v>1.5489072289156627E-4</v>
      </c>
      <c r="BQ32" s="6">
        <v>-3.952873E-3</v>
      </c>
      <c r="BR32" s="6">
        <v>-4.9953599999999999E-3</v>
      </c>
      <c r="BS32" s="6">
        <v>1.2560084337349394E-4</v>
      </c>
      <c r="BT32" s="6">
        <v>-3.7026429999999998E-3</v>
      </c>
      <c r="BU32" s="6">
        <v>-5.0401079999999997E-3</v>
      </c>
      <c r="BV32" s="6">
        <v>1.611403614457831E-4</v>
      </c>
      <c r="BW32" s="6">
        <v>-3.9770480000000004E-3</v>
      </c>
      <c r="BX32" s="6">
        <v>-4.9893530000000002E-3</v>
      </c>
      <c r="BY32" s="6">
        <v>1.2196445783132527E-4</v>
      </c>
      <c r="BZ32" s="6">
        <v>-4.1235860000000003E-3</v>
      </c>
      <c r="CA32" s="6">
        <v>-4.9439000000000002E-3</v>
      </c>
      <c r="CB32" s="6">
        <v>9.8833012048192759E-5</v>
      </c>
      <c r="CC32" s="6">
        <v>-3.9149479999999997E-3</v>
      </c>
      <c r="CD32" s="6">
        <v>-4.9783689999999998E-3</v>
      </c>
      <c r="CE32" s="6">
        <v>1.2812301204819277E-4</v>
      </c>
      <c r="CF32" s="6">
        <v>-4.1651789999999998E-3</v>
      </c>
      <c r="CG32" s="6">
        <v>-4.933621E-3</v>
      </c>
      <c r="CH32" s="6">
        <v>9.2583373493975932E-5</v>
      </c>
      <c r="CI32" s="6">
        <v>-3.8907730000000001E-3</v>
      </c>
      <c r="CJ32" s="6">
        <v>-4.9843760000000004E-3</v>
      </c>
      <c r="CK32" s="6">
        <v>1.3175939759036147E-4</v>
      </c>
      <c r="CL32" s="6">
        <v>-2.576905E-3</v>
      </c>
      <c r="CM32" s="6">
        <v>-3.5895549999999999E-3</v>
      </c>
      <c r="CN32" s="6">
        <v>1.2200602409638553E-4</v>
      </c>
      <c r="CO32" s="6">
        <v>-2.7855419999999998E-3</v>
      </c>
      <c r="CP32" s="6">
        <v>-3.5550870000000002E-3</v>
      </c>
      <c r="CQ32" s="6">
        <v>9.2716265060241006E-5</v>
      </c>
      <c r="CR32" s="6">
        <v>-2.5353120000000001E-3</v>
      </c>
      <c r="CS32" s="6">
        <v>-3.599835E-3</v>
      </c>
      <c r="CT32" s="6">
        <v>1.2825578313253009E-4</v>
      </c>
      <c r="CU32" s="6">
        <v>-2.8097170000000002E-3</v>
      </c>
      <c r="CV32" s="6">
        <v>-3.5490790000000001E-3</v>
      </c>
      <c r="CW32" s="6">
        <v>8.9079759036144558E-5</v>
      </c>
      <c r="CX32" s="6">
        <v>-2.9562550000000001E-3</v>
      </c>
      <c r="CY32" s="6">
        <v>-3.503627E-3</v>
      </c>
      <c r="CZ32" s="6">
        <v>6.5948433734939755E-5</v>
      </c>
      <c r="DA32" s="6">
        <v>-2.7476169999999999E-3</v>
      </c>
      <c r="DB32" s="6">
        <v>-3.5380950000000002E-3</v>
      </c>
      <c r="DC32" s="6">
        <v>9.523831325301207E-5</v>
      </c>
      <c r="DD32" s="6">
        <v>-2.997848E-3</v>
      </c>
      <c r="DE32" s="6">
        <v>-3.4933469999999999E-3</v>
      </c>
      <c r="DF32" s="6">
        <v>5.9698674698795168E-5</v>
      </c>
      <c r="DG32" s="6">
        <v>-2.723442E-3</v>
      </c>
      <c r="DH32" s="6">
        <v>-3.5441029999999998E-3</v>
      </c>
      <c r="DI32" s="6">
        <v>9.887481927710841E-5</v>
      </c>
      <c r="DK32" s="3" t="s">
        <v>38</v>
      </c>
      <c r="DL32" s="4">
        <f>CK1</f>
        <v>2124.7334227530382</v>
      </c>
      <c r="DM32" s="5" t="str">
        <f t="shared" si="11"/>
        <v>OK</v>
      </c>
    </row>
    <row r="33" spans="1:117" ht="16.2" thickBot="1" x14ac:dyDescent="0.35">
      <c r="A33" s="13" t="s">
        <v>378</v>
      </c>
      <c r="B33" s="13" t="s">
        <v>58</v>
      </c>
      <c r="C33" s="13" t="s">
        <v>93</v>
      </c>
      <c r="D33" s="13" t="s">
        <v>364</v>
      </c>
      <c r="E33" s="13">
        <v>8.3000000000000007</v>
      </c>
      <c r="F33" s="6">
        <v>-3.2207500000000001E-3</v>
      </c>
      <c r="G33" s="6">
        <v>-1.9818570000000001E-3</v>
      </c>
      <c r="H33" s="6">
        <v>1.4926421686746986E-4</v>
      </c>
      <c r="I33" s="6">
        <v>-3.9649459999999996E-3</v>
      </c>
      <c r="J33" s="6">
        <v>-2.9082959999999999E-3</v>
      </c>
      <c r="K33" s="6">
        <v>1.2730722891566261E-4</v>
      </c>
      <c r="L33" s="6">
        <v>-3.598955E-3</v>
      </c>
      <c r="M33" s="6">
        <v>-2.612783E-3</v>
      </c>
      <c r="N33" s="6">
        <v>1.1881590361445782E-4</v>
      </c>
      <c r="O33" s="6">
        <v>-4.326753E-3</v>
      </c>
      <c r="P33" s="6">
        <v>-3.497923E-3</v>
      </c>
      <c r="Q33" s="6">
        <v>9.9859036144578304E-5</v>
      </c>
      <c r="R33" s="6">
        <v>-3.9183259999999998E-3</v>
      </c>
      <c r="S33" s="6">
        <v>-2.630715E-3</v>
      </c>
      <c r="T33" s="6">
        <v>1.551338554216867E-4</v>
      </c>
      <c r="U33" s="6">
        <v>-3.4161080000000002E-3</v>
      </c>
      <c r="V33" s="6">
        <v>-3.3615889999999999E-3</v>
      </c>
      <c r="W33" s="6">
        <v>6.5685542168675015E-6</v>
      </c>
      <c r="X33" s="6">
        <v>-3.9411899999999998E-3</v>
      </c>
      <c r="Y33" s="6">
        <v>-2.7583109999999998E-3</v>
      </c>
      <c r="Z33" s="6">
        <v>1.4251554216867469E-4</v>
      </c>
      <c r="AA33" s="6">
        <v>-3.3939579999999999E-3</v>
      </c>
      <c r="AB33" s="6">
        <v>-3.2899000000000001E-3</v>
      </c>
      <c r="AC33" s="6">
        <v>1.2537108433734909E-5</v>
      </c>
      <c r="AD33" s="6">
        <v>-4.8188780000000004E-3</v>
      </c>
      <c r="AE33" s="6">
        <v>-4.1115709999999996E-3</v>
      </c>
      <c r="AF33" s="6">
        <v>8.5217710843373578E-5</v>
      </c>
      <c r="AG33" s="6">
        <v>-5.3300129999999998E-3</v>
      </c>
      <c r="AH33" s="6">
        <v>-3.3782230000000001E-3</v>
      </c>
      <c r="AI33" s="6">
        <v>2.3515542168674693E-4</v>
      </c>
      <c r="AJ33" s="6">
        <v>-4.7960140000000004E-3</v>
      </c>
      <c r="AK33" s="6">
        <v>-3.9839749999999998E-3</v>
      </c>
      <c r="AL33" s="6">
        <v>9.7836024096385589E-5</v>
      </c>
      <c r="AM33" s="6">
        <v>-5.3432460000000003E-3</v>
      </c>
      <c r="AN33" s="6">
        <v>-3.4523869999999999E-3</v>
      </c>
      <c r="AO33" s="6">
        <v>2.2781433734939761E-4</v>
      </c>
      <c r="AP33" s="6">
        <v>-3.4727730000000002E-3</v>
      </c>
      <c r="AQ33" s="6">
        <v>-2.294903E-3</v>
      </c>
      <c r="AR33" s="6">
        <v>1.419120481927711E-4</v>
      </c>
      <c r="AS33" s="6">
        <v>-2.9616379999999999E-3</v>
      </c>
      <c r="AT33" s="6">
        <v>-3.028251E-3</v>
      </c>
      <c r="AU33" s="6">
        <v>8.0256626506024199E-6</v>
      </c>
      <c r="AV33" s="6">
        <v>-3.4956380000000001E-3</v>
      </c>
      <c r="AW33" s="6">
        <v>-2.4224989999999998E-3</v>
      </c>
      <c r="AX33" s="6">
        <v>1.2929385542168677E-4</v>
      </c>
      <c r="AY33" s="6">
        <v>-2.9484049999999999E-3</v>
      </c>
      <c r="AZ33" s="6">
        <v>-2.9540870000000002E-3</v>
      </c>
      <c r="BA33" s="6">
        <v>6.8457831325305329E-7</v>
      </c>
      <c r="BB33" s="6">
        <v>-4.3733260000000003E-3</v>
      </c>
      <c r="BC33" s="6">
        <v>-3.7757590000000001E-3</v>
      </c>
      <c r="BD33" s="6">
        <v>7.1996024096385565E-5</v>
      </c>
      <c r="BE33" s="6">
        <v>-4.8844600000000002E-3</v>
      </c>
      <c r="BF33" s="6">
        <v>-3.0424100000000002E-3</v>
      </c>
      <c r="BG33" s="6">
        <v>2.2193373493975901E-4</v>
      </c>
      <c r="BH33" s="6">
        <v>-4.3504609999999999E-3</v>
      </c>
      <c r="BI33" s="6">
        <v>-3.6481629999999998E-3</v>
      </c>
      <c r="BJ33" s="6">
        <v>8.4614216867469878E-5</v>
      </c>
      <c r="BK33" s="6">
        <v>-4.8976929999999998E-3</v>
      </c>
      <c r="BL33" s="6">
        <v>-3.116574E-3</v>
      </c>
      <c r="BM33" s="6">
        <v>2.1459265060240961E-4</v>
      </c>
      <c r="BN33" s="6">
        <v>-4.7533310000000004E-3</v>
      </c>
      <c r="BO33" s="6">
        <v>-3.5407960000000001E-3</v>
      </c>
      <c r="BP33" s="6">
        <v>1.460885542168675E-4</v>
      </c>
      <c r="BQ33" s="6">
        <v>-4.59999E-3</v>
      </c>
      <c r="BR33" s="6">
        <v>-3.7607999999999999E-3</v>
      </c>
      <c r="BS33" s="6">
        <v>1.0110722891566265E-4</v>
      </c>
      <c r="BT33" s="6">
        <v>-4.7601900000000001E-3</v>
      </c>
      <c r="BU33" s="6">
        <v>-3.5790739999999998E-3</v>
      </c>
      <c r="BV33" s="6">
        <v>1.4230313253012051E-4</v>
      </c>
      <c r="BW33" s="6">
        <v>-4.5960200000000001E-3</v>
      </c>
      <c r="BX33" s="6">
        <v>-3.7385510000000001E-3</v>
      </c>
      <c r="BY33" s="6">
        <v>1.0330951807228915E-4</v>
      </c>
      <c r="BZ33" s="6">
        <v>-5.0234959999999997E-3</v>
      </c>
      <c r="CA33" s="6">
        <v>-3.9850520000000002E-3</v>
      </c>
      <c r="CB33" s="6">
        <v>1.2511373493975897E-4</v>
      </c>
      <c r="CC33" s="6">
        <v>-5.1768370000000001E-3</v>
      </c>
      <c r="CD33" s="6">
        <v>-3.765048E-3</v>
      </c>
      <c r="CE33" s="6">
        <v>1.7009506024096385E-4</v>
      </c>
      <c r="CF33" s="6">
        <v>-5.016637E-3</v>
      </c>
      <c r="CG33" s="6">
        <v>-3.9467740000000001E-3</v>
      </c>
      <c r="CH33" s="6">
        <v>1.2889915662650601E-4</v>
      </c>
      <c r="CI33" s="6">
        <v>-5.1808059999999996E-3</v>
      </c>
      <c r="CJ33" s="6">
        <v>-3.7872969999999998E-3</v>
      </c>
      <c r="CK33" s="6">
        <v>1.6789265060240959E-4</v>
      </c>
      <c r="CL33" s="6">
        <v>-3.268155E-3</v>
      </c>
      <c r="CM33" s="6">
        <v>-2.421421E-3</v>
      </c>
      <c r="CN33" s="6">
        <v>1.0201614457831325E-4</v>
      </c>
      <c r="CO33" s="6">
        <v>-3.1148149999999999E-3</v>
      </c>
      <c r="CP33" s="6">
        <v>-2.6414260000000001E-3</v>
      </c>
      <c r="CQ33" s="6">
        <v>5.7034819277108411E-5</v>
      </c>
      <c r="CR33" s="6">
        <v>-3.2750140000000001E-3</v>
      </c>
      <c r="CS33" s="6">
        <v>-2.4597E-3</v>
      </c>
      <c r="CT33" s="6">
        <v>9.8230602409638557E-5</v>
      </c>
      <c r="CU33" s="6">
        <v>-3.1108450000000001E-3</v>
      </c>
      <c r="CV33" s="6">
        <v>-2.6191769999999999E-3</v>
      </c>
      <c r="CW33" s="6">
        <v>5.9237108433734961E-5</v>
      </c>
      <c r="CX33" s="6">
        <v>-3.5383210000000001E-3</v>
      </c>
      <c r="CY33" s="6">
        <v>-2.865678E-3</v>
      </c>
      <c r="CZ33" s="6">
        <v>8.1041325301204822E-5</v>
      </c>
      <c r="DA33" s="6">
        <v>-3.6916610000000002E-3</v>
      </c>
      <c r="DB33" s="6">
        <v>-2.6456740000000002E-3</v>
      </c>
      <c r="DC33" s="6">
        <v>1.260225301204819E-4</v>
      </c>
      <c r="DD33" s="6">
        <v>-3.5314610000000001E-3</v>
      </c>
      <c r="DE33" s="6">
        <v>-2.8273999999999999E-3</v>
      </c>
      <c r="DF33" s="6">
        <v>8.4826626506024106E-5</v>
      </c>
      <c r="DG33" s="6">
        <v>-3.695631E-3</v>
      </c>
      <c r="DH33" s="6">
        <v>-2.667923E-3</v>
      </c>
      <c r="DI33" s="6">
        <v>1.2382024096385541E-4</v>
      </c>
      <c r="DK33" s="3" t="s">
        <v>39</v>
      </c>
      <c r="DL33" s="4">
        <f>CN1</f>
        <v>3266.4469935149618</v>
      </c>
      <c r="DM33" s="5" t="str">
        <f t="shared" si="11"/>
        <v>OK</v>
      </c>
    </row>
    <row r="34" spans="1:117" ht="16.2" thickBot="1" x14ac:dyDescent="0.35">
      <c r="A34" s="13" t="s">
        <v>379</v>
      </c>
      <c r="B34" s="13" t="s">
        <v>93</v>
      </c>
      <c r="C34" s="13" t="s">
        <v>129</v>
      </c>
      <c r="D34" s="13" t="s">
        <v>364</v>
      </c>
      <c r="E34" s="13">
        <v>8.3000000000000007</v>
      </c>
      <c r="F34" s="6">
        <v>-1.9818570000000001E-3</v>
      </c>
      <c r="G34" s="6">
        <v>-2.1475750000000001E-3</v>
      </c>
      <c r="H34" s="6">
        <v>1.9966024096385543E-5</v>
      </c>
      <c r="I34" s="6">
        <v>-2.9082959999999999E-3</v>
      </c>
      <c r="J34" s="6">
        <v>-3.0993570000000001E-3</v>
      </c>
      <c r="K34" s="6">
        <v>2.3019397590361466E-5</v>
      </c>
      <c r="L34" s="6">
        <v>-2.612783E-3</v>
      </c>
      <c r="M34" s="6">
        <v>-2.7614979999999998E-3</v>
      </c>
      <c r="N34" s="6">
        <v>1.7917469879518044E-5</v>
      </c>
      <c r="O34" s="6">
        <v>-3.497923E-3</v>
      </c>
      <c r="P34" s="6">
        <v>-3.6772829999999999E-3</v>
      </c>
      <c r="Q34" s="6">
        <v>2.1609638554216857E-5</v>
      </c>
      <c r="R34" s="6">
        <v>-2.630715E-3</v>
      </c>
      <c r="S34" s="6">
        <v>-2.8227069999999998E-3</v>
      </c>
      <c r="T34" s="6">
        <v>2.3131566265060212E-5</v>
      </c>
      <c r="U34" s="6">
        <v>-3.3615889999999999E-3</v>
      </c>
      <c r="V34" s="6">
        <v>-3.5627520000000002E-3</v>
      </c>
      <c r="W34" s="6">
        <v>2.4236506024096418E-5</v>
      </c>
      <c r="X34" s="6">
        <v>-2.7583109999999998E-3</v>
      </c>
      <c r="Y34" s="6">
        <v>-2.8897749999999998E-3</v>
      </c>
      <c r="Z34" s="6">
        <v>1.5839036144578309E-5</v>
      </c>
      <c r="AA34" s="6">
        <v>-3.2899000000000001E-3</v>
      </c>
      <c r="AB34" s="6">
        <v>-3.5254819999999999E-3</v>
      </c>
      <c r="AC34" s="6">
        <v>2.8383373493975879E-5</v>
      </c>
      <c r="AD34" s="6">
        <v>-4.1115709999999996E-3</v>
      </c>
      <c r="AE34" s="6">
        <v>-4.3072099999999997E-3</v>
      </c>
      <c r="AF34" s="6">
        <v>2.3570963855421691E-5</v>
      </c>
      <c r="AG34" s="6">
        <v>-3.3782230000000001E-3</v>
      </c>
      <c r="AH34" s="6">
        <v>-3.5654620000000001E-3</v>
      </c>
      <c r="AI34" s="6">
        <v>2.2558915662650608E-5</v>
      </c>
      <c r="AJ34" s="6">
        <v>-3.9839749999999998E-3</v>
      </c>
      <c r="AK34" s="6">
        <v>-4.2401410000000002E-3</v>
      </c>
      <c r="AL34" s="6">
        <v>3.0863373493975947E-5</v>
      </c>
      <c r="AM34" s="6">
        <v>-3.4523869999999999E-3</v>
      </c>
      <c r="AN34" s="6">
        <v>-3.604435E-3</v>
      </c>
      <c r="AO34" s="6">
        <v>1.8319036144578326E-5</v>
      </c>
      <c r="AP34" s="6">
        <v>-2.294903E-3</v>
      </c>
      <c r="AQ34" s="6">
        <v>-2.4694840000000001E-3</v>
      </c>
      <c r="AR34" s="6">
        <v>2.1033855421686749E-5</v>
      </c>
      <c r="AS34" s="6">
        <v>-3.028251E-3</v>
      </c>
      <c r="AT34" s="6">
        <v>-3.2112310000000002E-3</v>
      </c>
      <c r="AU34" s="6">
        <v>2.2045783132530134E-5</v>
      </c>
      <c r="AV34" s="6">
        <v>-2.4224989999999998E-3</v>
      </c>
      <c r="AW34" s="6">
        <v>-2.5365520000000001E-3</v>
      </c>
      <c r="AX34" s="6">
        <v>1.3741325301204848E-5</v>
      </c>
      <c r="AY34" s="6">
        <v>-2.9540870000000002E-3</v>
      </c>
      <c r="AZ34" s="6">
        <v>-3.1722590000000002E-3</v>
      </c>
      <c r="BA34" s="6">
        <v>2.6285783132530117E-5</v>
      </c>
      <c r="BB34" s="6">
        <v>-3.7757590000000001E-3</v>
      </c>
      <c r="BC34" s="6">
        <v>-3.9539859999999996E-3</v>
      </c>
      <c r="BD34" s="6">
        <v>2.1473132530120426E-5</v>
      </c>
      <c r="BE34" s="6">
        <v>-3.0424100000000002E-3</v>
      </c>
      <c r="BF34" s="6">
        <v>-3.212239E-3</v>
      </c>
      <c r="BG34" s="6">
        <v>2.0461325301204796E-5</v>
      </c>
      <c r="BH34" s="6">
        <v>-3.6481629999999998E-3</v>
      </c>
      <c r="BI34" s="6">
        <v>-3.8869180000000001E-3</v>
      </c>
      <c r="BJ34" s="6">
        <v>2.8765662650602433E-5</v>
      </c>
      <c r="BK34" s="6">
        <v>-3.116574E-3</v>
      </c>
      <c r="BL34" s="6">
        <v>-3.2512119999999999E-3</v>
      </c>
      <c r="BM34" s="6">
        <v>1.6221445783132511E-5</v>
      </c>
      <c r="BN34" s="6">
        <v>-3.5407960000000001E-3</v>
      </c>
      <c r="BO34" s="6">
        <v>-3.7543770000000001E-3</v>
      </c>
      <c r="BP34" s="6">
        <v>2.5732650602409637E-5</v>
      </c>
      <c r="BQ34" s="6">
        <v>-3.7607999999999999E-3</v>
      </c>
      <c r="BR34" s="6">
        <v>-3.9769009999999997E-3</v>
      </c>
      <c r="BS34" s="6">
        <v>2.6036265060240937E-5</v>
      </c>
      <c r="BT34" s="6">
        <v>-3.5790739999999998E-3</v>
      </c>
      <c r="BU34" s="6">
        <v>-3.7744969999999999E-3</v>
      </c>
      <c r="BV34" s="6">
        <v>2.3544939759036157E-5</v>
      </c>
      <c r="BW34" s="6">
        <v>-3.7385510000000001E-3</v>
      </c>
      <c r="BX34" s="6">
        <v>-3.9652089999999999E-3</v>
      </c>
      <c r="BY34" s="6">
        <v>2.7308192771084313E-5</v>
      </c>
      <c r="BZ34" s="6">
        <v>-3.9850520000000002E-3</v>
      </c>
      <c r="CA34" s="6">
        <v>-4.1997270000000003E-3</v>
      </c>
      <c r="CB34" s="6">
        <v>2.5864457831325313E-5</v>
      </c>
      <c r="CC34" s="6">
        <v>-3.765048E-3</v>
      </c>
      <c r="CD34" s="6">
        <v>-3.9772030000000003E-3</v>
      </c>
      <c r="CE34" s="6">
        <v>2.5560843373494013E-5</v>
      </c>
      <c r="CF34" s="6">
        <v>-3.9467740000000001E-3</v>
      </c>
      <c r="CG34" s="6">
        <v>-4.1796070000000001E-3</v>
      </c>
      <c r="CH34" s="6">
        <v>2.8052168674698793E-5</v>
      </c>
      <c r="CI34" s="6">
        <v>-3.7872969999999998E-3</v>
      </c>
      <c r="CJ34" s="6">
        <v>-3.9888950000000001E-3</v>
      </c>
      <c r="CK34" s="6">
        <v>2.4288915662650637E-5</v>
      </c>
      <c r="CL34" s="6">
        <v>-2.421421E-3</v>
      </c>
      <c r="CM34" s="6">
        <v>-2.576966E-3</v>
      </c>
      <c r="CN34" s="6">
        <v>1.8740361445783131E-5</v>
      </c>
      <c r="CO34" s="6">
        <v>-2.6414260000000001E-3</v>
      </c>
      <c r="CP34" s="6">
        <v>-2.79949E-3</v>
      </c>
      <c r="CQ34" s="6">
        <v>1.9043855421686729E-5</v>
      </c>
      <c r="CR34" s="6">
        <v>-2.4597E-3</v>
      </c>
      <c r="CS34" s="6">
        <v>-2.5970860000000002E-3</v>
      </c>
      <c r="CT34" s="6">
        <v>1.6552530120481949E-5</v>
      </c>
      <c r="CU34" s="6">
        <v>-2.6191769999999999E-3</v>
      </c>
      <c r="CV34" s="6">
        <v>-2.7877980000000002E-3</v>
      </c>
      <c r="CW34" s="6">
        <v>2.0315783132530156E-5</v>
      </c>
      <c r="CX34" s="6">
        <v>-2.865678E-3</v>
      </c>
      <c r="CY34" s="6">
        <v>-3.0223170000000001E-3</v>
      </c>
      <c r="CZ34" s="6">
        <v>1.8872168674698803E-5</v>
      </c>
      <c r="DA34" s="6">
        <v>-2.6456740000000002E-3</v>
      </c>
      <c r="DB34" s="6">
        <v>-2.7997920000000002E-3</v>
      </c>
      <c r="DC34" s="6">
        <v>1.8568433734939751E-5</v>
      </c>
      <c r="DD34" s="6">
        <v>-2.8273999999999999E-3</v>
      </c>
      <c r="DE34" s="6">
        <v>-3.0021959999999999E-3</v>
      </c>
      <c r="DF34" s="6">
        <v>2.1059759036144586E-5</v>
      </c>
      <c r="DG34" s="6">
        <v>-2.667923E-3</v>
      </c>
      <c r="DH34" s="6">
        <v>-2.8114839999999999E-3</v>
      </c>
      <c r="DI34" s="6">
        <v>1.7296506024096379E-5</v>
      </c>
      <c r="DK34" s="3" t="s">
        <v>40</v>
      </c>
      <c r="DL34" s="4">
        <f>CQ1</f>
        <v>3406.5437900327897</v>
      </c>
      <c r="DM34" s="5" t="str">
        <f t="shared" si="11"/>
        <v>OK</v>
      </c>
    </row>
    <row r="35" spans="1:117" ht="16.2" thickBot="1" x14ac:dyDescent="0.35">
      <c r="A35" s="13" t="s">
        <v>380</v>
      </c>
      <c r="B35" s="13" t="s">
        <v>129</v>
      </c>
      <c r="C35" s="13" t="s">
        <v>166</v>
      </c>
      <c r="D35" s="13" t="s">
        <v>364</v>
      </c>
      <c r="E35" s="13">
        <v>8.3000000000000007</v>
      </c>
      <c r="F35" s="6">
        <v>-2.1475750000000001E-3</v>
      </c>
      <c r="G35" s="6">
        <v>-2.1505629999999999E-3</v>
      </c>
      <c r="H35" s="6">
        <v>3.5999999999997294E-7</v>
      </c>
      <c r="I35" s="6">
        <v>-3.0993570000000001E-3</v>
      </c>
      <c r="J35" s="6">
        <v>-3.0974100000000001E-3</v>
      </c>
      <c r="K35" s="6">
        <v>2.3457831325300879E-7</v>
      </c>
      <c r="L35" s="6">
        <v>-2.7614979999999998E-3</v>
      </c>
      <c r="M35" s="6">
        <v>-2.7620190000000001E-3</v>
      </c>
      <c r="N35" s="6">
        <v>6.2771084337384169E-8</v>
      </c>
      <c r="O35" s="6">
        <v>-3.6772829999999999E-3</v>
      </c>
      <c r="P35" s="6">
        <v>-3.674666E-3</v>
      </c>
      <c r="Q35" s="6">
        <v>3.1530120481926472E-7</v>
      </c>
      <c r="R35" s="6">
        <v>-2.8227069999999998E-3</v>
      </c>
      <c r="S35" s="6">
        <v>-2.858991E-3</v>
      </c>
      <c r="T35" s="6">
        <v>4.3715662650602576E-6</v>
      </c>
      <c r="U35" s="6">
        <v>-3.5627520000000002E-3</v>
      </c>
      <c r="V35" s="6">
        <v>-3.5658479999999999E-3</v>
      </c>
      <c r="W35" s="6">
        <v>3.7301204819273991E-7</v>
      </c>
      <c r="X35" s="6">
        <v>-2.8897749999999998E-3</v>
      </c>
      <c r="Y35" s="6">
        <v>-2.8554700000000001E-3</v>
      </c>
      <c r="Z35" s="6">
        <v>4.1331325301204417E-6</v>
      </c>
      <c r="AA35" s="6">
        <v>-3.5254819999999999E-3</v>
      </c>
      <c r="AB35" s="6">
        <v>-3.5690320000000002E-3</v>
      </c>
      <c r="AC35" s="6">
        <v>5.2469879518072613E-6</v>
      </c>
      <c r="AD35" s="6">
        <v>-4.3072099999999997E-3</v>
      </c>
      <c r="AE35" s="6">
        <v>-4.2663370000000003E-3</v>
      </c>
      <c r="AF35" s="6">
        <v>4.9244578313252319E-6</v>
      </c>
      <c r="AG35" s="6">
        <v>-3.5654620000000001E-3</v>
      </c>
      <c r="AH35" s="6">
        <v>-3.5583289999999998E-3</v>
      </c>
      <c r="AI35" s="6">
        <v>8.5939759036148341E-7</v>
      </c>
      <c r="AJ35" s="6">
        <v>-4.2401410000000002E-3</v>
      </c>
      <c r="AK35" s="6">
        <v>-4.2698579999999996E-3</v>
      </c>
      <c r="AL35" s="6">
        <v>3.5803614457830619E-6</v>
      </c>
      <c r="AM35" s="6">
        <v>-3.604435E-3</v>
      </c>
      <c r="AN35" s="6">
        <v>-3.556296E-3</v>
      </c>
      <c r="AO35" s="6">
        <v>5.7998795180722881E-6</v>
      </c>
      <c r="AP35" s="6">
        <v>-2.4694840000000001E-3</v>
      </c>
      <c r="AQ35" s="6">
        <v>-2.505728E-3</v>
      </c>
      <c r="AR35" s="6">
        <v>4.3667469879518003E-6</v>
      </c>
      <c r="AS35" s="6">
        <v>-3.2112310000000002E-3</v>
      </c>
      <c r="AT35" s="6">
        <v>-3.213736E-3</v>
      </c>
      <c r="AU35" s="6">
        <v>3.0180722891564678E-7</v>
      </c>
      <c r="AV35" s="6">
        <v>-2.5365520000000001E-3</v>
      </c>
      <c r="AW35" s="6">
        <v>-2.5022070000000002E-3</v>
      </c>
      <c r="AX35" s="6">
        <v>4.137951807228899E-6</v>
      </c>
      <c r="AY35" s="6">
        <v>-3.1722590000000002E-3</v>
      </c>
      <c r="AZ35" s="6">
        <v>-3.2157700000000002E-3</v>
      </c>
      <c r="BA35" s="6">
        <v>5.2422891566265035E-6</v>
      </c>
      <c r="BB35" s="6">
        <v>-3.9539859999999996E-3</v>
      </c>
      <c r="BC35" s="6">
        <v>-3.9130750000000002E-3</v>
      </c>
      <c r="BD35" s="6">
        <v>4.9290361445782376E-6</v>
      </c>
      <c r="BE35" s="6">
        <v>-3.212239E-3</v>
      </c>
      <c r="BF35" s="6">
        <v>-3.2050659999999999E-3</v>
      </c>
      <c r="BG35" s="6">
        <v>8.6421686746988847E-7</v>
      </c>
      <c r="BH35" s="6">
        <v>-3.8869180000000001E-3</v>
      </c>
      <c r="BI35" s="6">
        <v>-3.9165950000000001E-3</v>
      </c>
      <c r="BJ35" s="6">
        <v>3.5755421686747092E-6</v>
      </c>
      <c r="BK35" s="6">
        <v>-3.2512119999999999E-3</v>
      </c>
      <c r="BL35" s="6">
        <v>-3.2030330000000001E-3</v>
      </c>
      <c r="BM35" s="6">
        <v>5.8046987951806929E-6</v>
      </c>
      <c r="BN35" s="6">
        <v>-3.7543770000000001E-3</v>
      </c>
      <c r="BO35" s="6">
        <v>-3.7637019999999998E-3</v>
      </c>
      <c r="BP35" s="6">
        <v>1.1234939759035781E-6</v>
      </c>
      <c r="BQ35" s="6">
        <v>-3.9769009999999997E-3</v>
      </c>
      <c r="BR35" s="6">
        <v>-3.9761049999999997E-3</v>
      </c>
      <c r="BS35" s="6">
        <v>9.5903614457826072E-8</v>
      </c>
      <c r="BT35" s="6">
        <v>-3.7744969999999999E-3</v>
      </c>
      <c r="BU35" s="6">
        <v>-3.7626460000000001E-3</v>
      </c>
      <c r="BV35" s="6">
        <v>1.4278313253011792E-6</v>
      </c>
      <c r="BW35" s="6">
        <v>-3.9652089999999999E-3</v>
      </c>
      <c r="BX35" s="6">
        <v>-3.9767149999999996E-3</v>
      </c>
      <c r="BY35" s="6">
        <v>1.386265060240924E-6</v>
      </c>
      <c r="BZ35" s="6">
        <v>-4.1997270000000003E-3</v>
      </c>
      <c r="CA35" s="6">
        <v>-4.1859059999999997E-3</v>
      </c>
      <c r="CB35" s="6">
        <v>1.6651807228916463E-6</v>
      </c>
      <c r="CC35" s="6">
        <v>-3.9772030000000003E-3</v>
      </c>
      <c r="CD35" s="6">
        <v>-3.9735040000000001E-3</v>
      </c>
      <c r="CE35" s="6">
        <v>4.4566265060243811E-7</v>
      </c>
      <c r="CF35" s="6">
        <v>-4.1796070000000001E-3</v>
      </c>
      <c r="CG35" s="6">
        <v>-4.1869619999999998E-3</v>
      </c>
      <c r="CH35" s="6">
        <v>8.8614457831321532E-7</v>
      </c>
      <c r="CI35" s="6">
        <v>-3.9888950000000001E-3</v>
      </c>
      <c r="CJ35" s="6">
        <v>-3.9728940000000003E-3</v>
      </c>
      <c r="CK35" s="6">
        <v>1.927831325301188E-6</v>
      </c>
      <c r="CL35" s="6">
        <v>-2.576966E-3</v>
      </c>
      <c r="CM35" s="6">
        <v>-2.5861590000000002E-3</v>
      </c>
      <c r="CN35" s="6">
        <v>1.1075903614458098E-6</v>
      </c>
      <c r="CO35" s="6">
        <v>-2.79949E-3</v>
      </c>
      <c r="CP35" s="6">
        <v>-2.7985620000000001E-3</v>
      </c>
      <c r="CQ35" s="6">
        <v>1.1180722891564654E-7</v>
      </c>
      <c r="CR35" s="6">
        <v>-2.5970860000000002E-3</v>
      </c>
      <c r="CS35" s="6">
        <v>-2.5851030000000001E-3</v>
      </c>
      <c r="CT35" s="6">
        <v>1.4437349397590519E-6</v>
      </c>
      <c r="CU35" s="6">
        <v>-2.7877980000000002E-3</v>
      </c>
      <c r="CV35" s="6">
        <v>-2.799171E-3</v>
      </c>
      <c r="CW35" s="6">
        <v>1.3702409638554038E-6</v>
      </c>
      <c r="CX35" s="6">
        <v>-3.0223170000000001E-3</v>
      </c>
      <c r="CY35" s="6">
        <v>-3.008363E-3</v>
      </c>
      <c r="CZ35" s="6">
        <v>1.6812048192771143E-6</v>
      </c>
      <c r="DA35" s="6">
        <v>-2.7997920000000002E-3</v>
      </c>
      <c r="DB35" s="6">
        <v>-2.795961E-3</v>
      </c>
      <c r="DC35" s="6">
        <v>4.6156626506025859E-7</v>
      </c>
      <c r="DD35" s="6">
        <v>-3.0021959999999999E-3</v>
      </c>
      <c r="DE35" s="6">
        <v>-3.0094190000000002E-3</v>
      </c>
      <c r="DF35" s="6">
        <v>8.7024096385544715E-7</v>
      </c>
      <c r="DG35" s="6">
        <v>-2.8114839999999999E-3</v>
      </c>
      <c r="DH35" s="6">
        <v>-2.7953510000000002E-3</v>
      </c>
      <c r="DI35" s="6">
        <v>1.9437349397590088E-6</v>
      </c>
      <c r="DK35" s="3" t="s">
        <v>41</v>
      </c>
      <c r="DL35" s="4">
        <f>CT1</f>
        <v>3262.6294025645998</v>
      </c>
      <c r="DM35" s="5" t="str">
        <f t="shared" si="11"/>
        <v>OK</v>
      </c>
    </row>
    <row r="36" spans="1:117" ht="16.2" thickBot="1" x14ac:dyDescent="0.35">
      <c r="A36" s="13" t="s">
        <v>382</v>
      </c>
      <c r="B36" s="13" t="s">
        <v>166</v>
      </c>
      <c r="C36" s="13" t="s">
        <v>207</v>
      </c>
      <c r="D36" s="13" t="s">
        <v>364</v>
      </c>
      <c r="E36" s="13">
        <v>8.3000000000000007</v>
      </c>
      <c r="F36" s="6">
        <v>-2.1505629999999999E-3</v>
      </c>
      <c r="G36" s="6">
        <v>-2.1587260000000001E-3</v>
      </c>
      <c r="H36" s="6">
        <v>9.8349397590364656E-7</v>
      </c>
      <c r="I36" s="6">
        <v>-3.0974100000000001E-3</v>
      </c>
      <c r="J36" s="6">
        <v>-3.1115589999999999E-3</v>
      </c>
      <c r="K36" s="6">
        <v>1.7046987951806937E-6</v>
      </c>
      <c r="L36" s="6">
        <v>-2.7620190000000001E-3</v>
      </c>
      <c r="M36" s="6">
        <v>-2.7717140000000002E-3</v>
      </c>
      <c r="N36" s="6">
        <v>1.1680722891566389E-6</v>
      </c>
      <c r="O36" s="6">
        <v>-3.674666E-3</v>
      </c>
      <c r="P36" s="6">
        <v>-3.688803E-3</v>
      </c>
      <c r="Q36" s="6">
        <v>1.7032530120481931E-6</v>
      </c>
      <c r="R36" s="6">
        <v>-2.858991E-3</v>
      </c>
      <c r="S36" s="6">
        <v>-2.9115090000000001E-3</v>
      </c>
      <c r="T36" s="6">
        <v>6.3274698795180831E-6</v>
      </c>
      <c r="U36" s="6">
        <v>-3.5658479999999999E-3</v>
      </c>
      <c r="V36" s="6">
        <v>-3.5853949999999999E-3</v>
      </c>
      <c r="W36" s="6">
        <v>2.3550602409638514E-6</v>
      </c>
      <c r="X36" s="6">
        <v>-2.8554700000000001E-3</v>
      </c>
      <c r="Y36" s="6">
        <v>-2.8382160000000002E-3</v>
      </c>
      <c r="Z36" s="6">
        <v>2.0787951807228873E-6</v>
      </c>
      <c r="AA36" s="6">
        <v>-3.5690320000000002E-3</v>
      </c>
      <c r="AB36" s="6">
        <v>-3.6283130000000002E-3</v>
      </c>
      <c r="AC36" s="6">
        <v>7.1422891566265056E-6</v>
      </c>
      <c r="AD36" s="6">
        <v>-4.2663370000000003E-3</v>
      </c>
      <c r="AE36" s="6">
        <v>-4.2432900000000003E-3</v>
      </c>
      <c r="AF36" s="6">
        <v>2.7767469879518066E-6</v>
      </c>
      <c r="AG36" s="6">
        <v>-3.5583289999999998E-3</v>
      </c>
      <c r="AH36" s="6">
        <v>-3.5690660000000001E-3</v>
      </c>
      <c r="AI36" s="6">
        <v>1.2936144578313548E-6</v>
      </c>
      <c r="AJ36" s="6">
        <v>-4.2698579999999996E-3</v>
      </c>
      <c r="AK36" s="6">
        <v>-4.3165820000000002E-3</v>
      </c>
      <c r="AL36" s="6">
        <v>5.6293975903615168E-6</v>
      </c>
      <c r="AM36" s="6">
        <v>-3.556296E-3</v>
      </c>
      <c r="AN36" s="6">
        <v>-3.5264860000000001E-3</v>
      </c>
      <c r="AO36" s="6">
        <v>3.5915662650602295E-6</v>
      </c>
      <c r="AP36" s="6">
        <v>-2.505728E-3</v>
      </c>
      <c r="AQ36" s="6">
        <v>-2.5570839999999998E-3</v>
      </c>
      <c r="AR36" s="6">
        <v>6.1874698795180472E-6</v>
      </c>
      <c r="AS36" s="6">
        <v>-3.213736E-3</v>
      </c>
      <c r="AT36" s="6">
        <v>-3.231308E-3</v>
      </c>
      <c r="AU36" s="6">
        <v>2.1171084337349379E-6</v>
      </c>
      <c r="AV36" s="6">
        <v>-2.5022070000000002E-3</v>
      </c>
      <c r="AW36" s="6">
        <v>-2.483791E-3</v>
      </c>
      <c r="AX36" s="6">
        <v>2.2187951807229233E-6</v>
      </c>
      <c r="AY36" s="6">
        <v>-3.2157700000000002E-3</v>
      </c>
      <c r="AZ36" s="6">
        <v>-3.273888E-3</v>
      </c>
      <c r="BA36" s="6">
        <v>7.0021686746987701E-6</v>
      </c>
      <c r="BB36" s="6">
        <v>-3.9130750000000002E-3</v>
      </c>
      <c r="BC36" s="6">
        <v>-3.888865E-3</v>
      </c>
      <c r="BD36" s="6">
        <v>2.9168674698795425E-6</v>
      </c>
      <c r="BE36" s="6">
        <v>-3.2050659999999999E-3</v>
      </c>
      <c r="BF36" s="6">
        <v>-3.2146409999999999E-3</v>
      </c>
      <c r="BG36" s="6">
        <v>1.1536144578313189E-6</v>
      </c>
      <c r="BH36" s="6">
        <v>-3.9165950000000001E-3</v>
      </c>
      <c r="BI36" s="6">
        <v>-3.962157E-3</v>
      </c>
      <c r="BJ36" s="6">
        <v>5.4893975903614284E-6</v>
      </c>
      <c r="BK36" s="6">
        <v>-3.2030330000000001E-3</v>
      </c>
      <c r="BL36" s="6">
        <v>-3.1720609999999999E-3</v>
      </c>
      <c r="BM36" s="6">
        <v>3.7315662650602654E-6</v>
      </c>
      <c r="BN36" s="6">
        <v>-3.7637019999999998E-3</v>
      </c>
      <c r="BO36" s="6">
        <v>-3.7911279999999999E-3</v>
      </c>
      <c r="BP36" s="6">
        <v>3.3043373493976021E-6</v>
      </c>
      <c r="BQ36" s="6">
        <v>-3.9761049999999997E-3</v>
      </c>
      <c r="BR36" s="6">
        <v>-3.9933959999999998E-3</v>
      </c>
      <c r="BS36" s="6">
        <v>2.0832530120481935E-6</v>
      </c>
      <c r="BT36" s="6">
        <v>-3.7626460000000001E-3</v>
      </c>
      <c r="BU36" s="6">
        <v>-3.7691399999999998E-3</v>
      </c>
      <c r="BV36" s="6">
        <v>7.8240963855417876E-7</v>
      </c>
      <c r="BW36" s="6">
        <v>-3.9767149999999996E-3</v>
      </c>
      <c r="BX36" s="6">
        <v>-4.0061699999999999E-3</v>
      </c>
      <c r="BY36" s="6">
        <v>3.5487951807229249E-6</v>
      </c>
      <c r="BZ36" s="6">
        <v>-4.1859059999999997E-3</v>
      </c>
      <c r="CA36" s="6">
        <v>-4.1906620000000004E-3</v>
      </c>
      <c r="CB36" s="6">
        <v>5.7301204819285843E-7</v>
      </c>
      <c r="CC36" s="6">
        <v>-3.9735040000000001E-3</v>
      </c>
      <c r="CD36" s="6">
        <v>-3.9883949999999996E-3</v>
      </c>
      <c r="CE36" s="6">
        <v>1.7940963855421102E-6</v>
      </c>
      <c r="CF36" s="6">
        <v>-4.1869619999999998E-3</v>
      </c>
      <c r="CG36" s="6">
        <v>-4.2126500000000001E-3</v>
      </c>
      <c r="CH36" s="6">
        <v>3.0949397590361773E-6</v>
      </c>
      <c r="CI36" s="6">
        <v>-3.9728940000000003E-3</v>
      </c>
      <c r="CJ36" s="6">
        <v>-3.9756210000000004E-3</v>
      </c>
      <c r="CK36" s="6">
        <v>3.2855421686748324E-7</v>
      </c>
      <c r="CL36" s="6">
        <v>-2.5861590000000002E-3</v>
      </c>
      <c r="CM36" s="6">
        <v>-2.6097109999999998E-3</v>
      </c>
      <c r="CN36" s="6">
        <v>2.8375903614457348E-6</v>
      </c>
      <c r="CO36" s="6">
        <v>-2.7985620000000001E-3</v>
      </c>
      <c r="CP36" s="6">
        <v>-2.811979E-3</v>
      </c>
      <c r="CQ36" s="6">
        <v>1.6165060240963785E-6</v>
      </c>
      <c r="CR36" s="6">
        <v>-2.5851030000000001E-3</v>
      </c>
      <c r="CS36" s="6">
        <v>-2.587724E-3</v>
      </c>
      <c r="CT36" s="6">
        <v>3.1578313253011564E-7</v>
      </c>
      <c r="CU36" s="6">
        <v>-2.799171E-3</v>
      </c>
      <c r="CV36" s="6">
        <v>-2.8247519999999998E-3</v>
      </c>
      <c r="CW36" s="6">
        <v>3.0820481927710577E-6</v>
      </c>
      <c r="CX36" s="6">
        <v>-3.008363E-3</v>
      </c>
      <c r="CY36" s="6">
        <v>-3.0092449999999998E-3</v>
      </c>
      <c r="CZ36" s="6">
        <v>1.0626506024093886E-7</v>
      </c>
      <c r="DA36" s="6">
        <v>-2.795961E-3</v>
      </c>
      <c r="DB36" s="6">
        <v>-2.8069779999999999E-3</v>
      </c>
      <c r="DC36" s="6">
        <v>1.3273493975903474E-6</v>
      </c>
      <c r="DD36" s="6">
        <v>-3.0094190000000002E-3</v>
      </c>
      <c r="DE36" s="6">
        <v>-3.0312329999999999E-3</v>
      </c>
      <c r="DF36" s="6">
        <v>2.6281927710843101E-6</v>
      </c>
      <c r="DG36" s="6">
        <v>-2.7953510000000002E-3</v>
      </c>
      <c r="DH36" s="6">
        <v>-2.7942039999999998E-3</v>
      </c>
      <c r="DI36" s="6">
        <v>1.38192771084384E-7</v>
      </c>
      <c r="DK36" s="3" t="s">
        <v>42</v>
      </c>
      <c r="DL36" s="4">
        <f>CW1</f>
        <v>3408.94426474699</v>
      </c>
      <c r="DM36" s="5" t="str">
        <f t="shared" si="11"/>
        <v>OK</v>
      </c>
    </row>
    <row r="37" spans="1:117" ht="16.2" thickBot="1" x14ac:dyDescent="0.35">
      <c r="A37" s="13" t="s">
        <v>383</v>
      </c>
      <c r="B37" s="13" t="s">
        <v>207</v>
      </c>
      <c r="C37" s="13" t="s">
        <v>248</v>
      </c>
      <c r="D37" s="13" t="s">
        <v>364</v>
      </c>
      <c r="E37" s="13">
        <v>8.3000000000000007</v>
      </c>
      <c r="F37" s="6">
        <v>-2.1587260000000001E-3</v>
      </c>
      <c r="G37" s="6">
        <v>-2.1227849999999999E-3</v>
      </c>
      <c r="H37" s="6">
        <v>4.3302409638554543E-6</v>
      </c>
      <c r="I37" s="6">
        <v>-3.1115589999999999E-3</v>
      </c>
      <c r="J37" s="6">
        <v>-3.060381E-3</v>
      </c>
      <c r="K37" s="6">
        <v>6.1660240963855195E-6</v>
      </c>
      <c r="L37" s="6">
        <v>-2.7717140000000002E-3</v>
      </c>
      <c r="M37" s="6">
        <v>-2.7357229999999998E-3</v>
      </c>
      <c r="N37" s="6">
        <v>4.3362650602410124E-6</v>
      </c>
      <c r="O37" s="6">
        <v>-3.688803E-3</v>
      </c>
      <c r="P37" s="6">
        <v>-3.640094E-3</v>
      </c>
      <c r="Q37" s="6">
        <v>5.8685542168674786E-6</v>
      </c>
      <c r="R37" s="6">
        <v>-2.9115090000000001E-3</v>
      </c>
      <c r="S37" s="6">
        <v>-2.8930940000000001E-3</v>
      </c>
      <c r="T37" s="6">
        <v>2.2186746987951716E-6</v>
      </c>
      <c r="U37" s="6">
        <v>-3.5853949999999999E-3</v>
      </c>
      <c r="V37" s="6">
        <v>-3.5900459999999999E-3</v>
      </c>
      <c r="W37" s="6">
        <v>5.6036144578313815E-7</v>
      </c>
      <c r="X37" s="6">
        <v>-2.8382160000000002E-3</v>
      </c>
      <c r="Y37" s="6">
        <v>-2.7544520000000001E-3</v>
      </c>
      <c r="Z37" s="6">
        <v>1.0092048192771091E-5</v>
      </c>
      <c r="AA37" s="6">
        <v>-3.6283130000000002E-3</v>
      </c>
      <c r="AB37" s="6">
        <v>-3.6691369999999998E-3</v>
      </c>
      <c r="AC37" s="6">
        <v>4.9185542168674258E-6</v>
      </c>
      <c r="AD37" s="6">
        <v>-4.2432900000000003E-3</v>
      </c>
      <c r="AE37" s="6">
        <v>-4.157595E-3</v>
      </c>
      <c r="AF37" s="6">
        <v>1.0324698795180749E-5</v>
      </c>
      <c r="AG37" s="6">
        <v>-3.5690660000000001E-3</v>
      </c>
      <c r="AH37" s="6">
        <v>-3.4621360000000002E-3</v>
      </c>
      <c r="AI37" s="6">
        <v>1.2883132530120465E-5</v>
      </c>
      <c r="AJ37" s="6">
        <v>-4.3165820000000002E-3</v>
      </c>
      <c r="AK37" s="6">
        <v>-4.296238E-3</v>
      </c>
      <c r="AL37" s="6">
        <v>2.4510843373494294E-6</v>
      </c>
      <c r="AM37" s="6">
        <v>-3.5264860000000001E-3</v>
      </c>
      <c r="AN37" s="6">
        <v>-3.3815519999999999E-3</v>
      </c>
      <c r="AO37" s="6">
        <v>1.7461927710843399E-5</v>
      </c>
      <c r="AP37" s="6">
        <v>-2.5570839999999998E-3</v>
      </c>
      <c r="AQ37" s="6">
        <v>-2.5428949999999999E-3</v>
      </c>
      <c r="AR37" s="6">
        <v>1.709518072289151E-6</v>
      </c>
      <c r="AS37" s="6">
        <v>-3.231308E-3</v>
      </c>
      <c r="AT37" s="6">
        <v>-3.2383540000000001E-3</v>
      </c>
      <c r="AU37" s="6">
        <v>8.4891566265061871E-7</v>
      </c>
      <c r="AV37" s="6">
        <v>-2.483791E-3</v>
      </c>
      <c r="AW37" s="6">
        <v>-2.4042529999999999E-3</v>
      </c>
      <c r="AX37" s="6">
        <v>9.5828915662650708E-6</v>
      </c>
      <c r="AY37" s="6">
        <v>-3.273888E-3</v>
      </c>
      <c r="AZ37" s="6">
        <v>-3.318938E-3</v>
      </c>
      <c r="BA37" s="6">
        <v>5.4277108433734977E-6</v>
      </c>
      <c r="BB37" s="6">
        <v>-3.888865E-3</v>
      </c>
      <c r="BC37" s="6">
        <v>-3.8073959999999998E-3</v>
      </c>
      <c r="BD37" s="6">
        <v>9.8155421686747269E-6</v>
      </c>
      <c r="BE37" s="6">
        <v>-3.2146409999999999E-3</v>
      </c>
      <c r="BF37" s="6">
        <v>-3.111936E-3</v>
      </c>
      <c r="BG37" s="6">
        <v>1.2374096385542145E-5</v>
      </c>
      <c r="BH37" s="6">
        <v>-3.962157E-3</v>
      </c>
      <c r="BI37" s="6">
        <v>-3.9460379999999998E-3</v>
      </c>
      <c r="BJ37" s="6">
        <v>1.9420481927711084E-6</v>
      </c>
      <c r="BK37" s="6">
        <v>-3.1720609999999999E-3</v>
      </c>
      <c r="BL37" s="6">
        <v>-3.0313530000000001E-3</v>
      </c>
      <c r="BM37" s="6">
        <v>1.6952771084337324E-5</v>
      </c>
      <c r="BN37" s="6">
        <v>-3.7911279999999999E-3</v>
      </c>
      <c r="BO37" s="6">
        <v>-3.7442349999999998E-3</v>
      </c>
      <c r="BP37" s="6">
        <v>5.6497590361445908E-6</v>
      </c>
      <c r="BQ37" s="6">
        <v>-3.9933959999999998E-3</v>
      </c>
      <c r="BR37" s="6">
        <v>-3.952873E-3</v>
      </c>
      <c r="BS37" s="6">
        <v>4.8822891566264781E-6</v>
      </c>
      <c r="BT37" s="6">
        <v>-3.7691399999999998E-3</v>
      </c>
      <c r="BU37" s="6">
        <v>-3.7026429999999998E-3</v>
      </c>
      <c r="BV37" s="6">
        <v>8.0116867469879511E-6</v>
      </c>
      <c r="BW37" s="6">
        <v>-4.0061699999999999E-3</v>
      </c>
      <c r="BX37" s="6">
        <v>-3.9770480000000004E-3</v>
      </c>
      <c r="BY37" s="6">
        <v>3.5086746987951182E-6</v>
      </c>
      <c r="BZ37" s="6">
        <v>-4.1906620000000004E-3</v>
      </c>
      <c r="CA37" s="6">
        <v>-4.1235860000000003E-3</v>
      </c>
      <c r="CB37" s="6">
        <v>8.0814457831325429E-6</v>
      </c>
      <c r="CC37" s="6">
        <v>-3.9883949999999996E-3</v>
      </c>
      <c r="CD37" s="6">
        <v>-3.9149479999999997E-3</v>
      </c>
      <c r="CE37" s="6">
        <v>8.8490361445783034E-6</v>
      </c>
      <c r="CF37" s="6">
        <v>-4.2126500000000001E-3</v>
      </c>
      <c r="CG37" s="6">
        <v>-4.1651789999999998E-3</v>
      </c>
      <c r="CH37" s="6">
        <v>5.7193975903614838E-6</v>
      </c>
      <c r="CI37" s="6">
        <v>-3.9756210000000004E-3</v>
      </c>
      <c r="CJ37" s="6">
        <v>-3.8907730000000001E-3</v>
      </c>
      <c r="CK37" s="6">
        <v>1.0222650602409664E-5</v>
      </c>
      <c r="CL37" s="6">
        <v>-2.6097109999999998E-3</v>
      </c>
      <c r="CM37" s="6">
        <v>-2.576905E-3</v>
      </c>
      <c r="CN37" s="6">
        <v>3.952530120481904E-6</v>
      </c>
      <c r="CO37" s="6">
        <v>-2.811979E-3</v>
      </c>
      <c r="CP37" s="6">
        <v>-2.7855419999999998E-3</v>
      </c>
      <c r="CQ37" s="6">
        <v>3.1851807228915959E-6</v>
      </c>
      <c r="CR37" s="6">
        <v>-2.587724E-3</v>
      </c>
      <c r="CS37" s="6">
        <v>-2.5353120000000001E-3</v>
      </c>
      <c r="CT37" s="6">
        <v>6.314698795180716E-6</v>
      </c>
      <c r="CU37" s="6">
        <v>-2.8247519999999998E-3</v>
      </c>
      <c r="CV37" s="6">
        <v>-2.8097170000000002E-3</v>
      </c>
      <c r="CW37" s="6">
        <v>1.8114457831324835E-6</v>
      </c>
      <c r="CX37" s="6">
        <v>-3.0092449999999998E-3</v>
      </c>
      <c r="CY37" s="6">
        <v>-2.9562550000000001E-3</v>
      </c>
      <c r="CZ37" s="6">
        <v>6.3843373493975565E-6</v>
      </c>
      <c r="DA37" s="6">
        <v>-2.8069779999999999E-3</v>
      </c>
      <c r="DB37" s="6">
        <v>-2.7476169999999999E-3</v>
      </c>
      <c r="DC37" s="6">
        <v>7.1519277108433687E-6</v>
      </c>
      <c r="DD37" s="6">
        <v>-3.0312329999999999E-3</v>
      </c>
      <c r="DE37" s="6">
        <v>-2.997848E-3</v>
      </c>
      <c r="DF37" s="6">
        <v>4.0222891566264965E-6</v>
      </c>
      <c r="DG37" s="6">
        <v>-2.7942039999999998E-3</v>
      </c>
      <c r="DH37" s="6">
        <v>-2.723442E-3</v>
      </c>
      <c r="DI37" s="6">
        <v>8.5255421686746766E-6</v>
      </c>
      <c r="DK37" s="3" t="s">
        <v>43</v>
      </c>
      <c r="DL37" s="4">
        <f>CZ1</f>
        <v>2968.4119128592997</v>
      </c>
      <c r="DM37" s="5" t="str">
        <f t="shared" si="11"/>
        <v>OK</v>
      </c>
    </row>
    <row r="38" spans="1:117" ht="16.2" thickBot="1" x14ac:dyDescent="0.35">
      <c r="A38" s="13" t="s">
        <v>384</v>
      </c>
      <c r="B38" s="13" t="s">
        <v>56</v>
      </c>
      <c r="C38" s="13" t="s">
        <v>58</v>
      </c>
      <c r="D38" s="13" t="s">
        <v>350</v>
      </c>
      <c r="E38" s="13">
        <v>12.6</v>
      </c>
      <c r="F38" s="6">
        <v>-2.502729E-3</v>
      </c>
      <c r="G38" s="6">
        <v>-3.2207500000000001E-3</v>
      </c>
      <c r="H38" s="6">
        <v>5.6985793650793662E-5</v>
      </c>
      <c r="I38" s="6">
        <v>-3.126439E-3</v>
      </c>
      <c r="J38" s="6">
        <v>-3.9649459999999996E-3</v>
      </c>
      <c r="K38" s="6">
        <v>6.654817460317457E-5</v>
      </c>
      <c r="L38" s="6">
        <v>-2.8827739999999998E-3</v>
      </c>
      <c r="M38" s="6">
        <v>-3.598955E-3</v>
      </c>
      <c r="N38" s="6">
        <v>5.683976190476192E-5</v>
      </c>
      <c r="O38" s="6">
        <v>-3.4898709999999999E-3</v>
      </c>
      <c r="P38" s="6">
        <v>-4.326753E-3</v>
      </c>
      <c r="Q38" s="6">
        <v>6.641920634920636E-5</v>
      </c>
      <c r="R38" s="6">
        <v>-2.967557E-3</v>
      </c>
      <c r="S38" s="6">
        <v>-3.9183259999999998E-3</v>
      </c>
      <c r="T38" s="6">
        <v>7.5457857142857132E-5</v>
      </c>
      <c r="U38" s="6">
        <v>-2.7857229999999999E-3</v>
      </c>
      <c r="V38" s="6">
        <v>-3.4161080000000002E-3</v>
      </c>
      <c r="W38" s="6">
        <v>5.0030555555555573E-5</v>
      </c>
      <c r="X38" s="6">
        <v>-2.9903249999999998E-3</v>
      </c>
      <c r="Y38" s="6">
        <v>-3.9411899999999998E-3</v>
      </c>
      <c r="Z38" s="6">
        <v>7.5465476190476194E-5</v>
      </c>
      <c r="AA38" s="6">
        <v>-2.7755150000000001E-3</v>
      </c>
      <c r="AB38" s="6">
        <v>-3.3939579999999999E-3</v>
      </c>
      <c r="AC38" s="6">
        <v>4.9082777777777759E-5</v>
      </c>
      <c r="AD38" s="6">
        <v>-4.0083790000000003E-3</v>
      </c>
      <c r="AE38" s="6">
        <v>-4.8188780000000004E-3</v>
      </c>
      <c r="AF38" s="6">
        <v>6.4325317460317465E-5</v>
      </c>
      <c r="AG38" s="6">
        <v>-4.1872139999999999E-3</v>
      </c>
      <c r="AH38" s="6">
        <v>-5.3300129999999998E-3</v>
      </c>
      <c r="AI38" s="6">
        <v>9.0698333333333325E-5</v>
      </c>
      <c r="AJ38" s="6">
        <v>-3.9856099999999997E-3</v>
      </c>
      <c r="AK38" s="6">
        <v>-4.7960140000000004E-3</v>
      </c>
      <c r="AL38" s="6">
        <v>6.4317777777777839E-5</v>
      </c>
      <c r="AM38" s="6">
        <v>-4.2004210000000002E-3</v>
      </c>
      <c r="AN38" s="6">
        <v>-5.3432460000000003E-3</v>
      </c>
      <c r="AO38" s="6">
        <v>9.0700396825396838E-5</v>
      </c>
      <c r="AP38" s="6">
        <v>-2.607884E-3</v>
      </c>
      <c r="AQ38" s="6">
        <v>-3.4727730000000002E-3</v>
      </c>
      <c r="AR38" s="6">
        <v>6.8641984126984151E-5</v>
      </c>
      <c r="AS38" s="6">
        <v>-2.4290499999999999E-3</v>
      </c>
      <c r="AT38" s="6">
        <v>-2.9616379999999999E-3</v>
      </c>
      <c r="AU38" s="6">
        <v>4.2268888888888896E-5</v>
      </c>
      <c r="AV38" s="6">
        <v>-2.6306530000000002E-3</v>
      </c>
      <c r="AW38" s="6">
        <v>-3.4956380000000001E-3</v>
      </c>
      <c r="AX38" s="6">
        <v>6.8649603174603173E-5</v>
      </c>
      <c r="AY38" s="6">
        <v>-2.4158420000000001E-3</v>
      </c>
      <c r="AZ38" s="6">
        <v>-2.9484049999999999E-3</v>
      </c>
      <c r="BA38" s="6">
        <v>4.2266904761904745E-5</v>
      </c>
      <c r="BB38" s="6">
        <v>-3.6487070000000002E-3</v>
      </c>
      <c r="BC38" s="6">
        <v>-4.3733260000000003E-3</v>
      </c>
      <c r="BD38" s="6">
        <v>5.7509444444444458E-5</v>
      </c>
      <c r="BE38" s="6">
        <v>-3.8275420000000002E-3</v>
      </c>
      <c r="BF38" s="6">
        <v>-4.8844600000000002E-3</v>
      </c>
      <c r="BG38" s="6">
        <v>8.3882380952380949E-5</v>
      </c>
      <c r="BH38" s="6">
        <v>-3.625938E-3</v>
      </c>
      <c r="BI38" s="6">
        <v>-4.3504609999999999E-3</v>
      </c>
      <c r="BJ38" s="6">
        <v>5.7501825396825395E-5</v>
      </c>
      <c r="BK38" s="6">
        <v>-3.8407490000000001E-3</v>
      </c>
      <c r="BL38" s="6">
        <v>-4.8976929999999998E-3</v>
      </c>
      <c r="BM38" s="6">
        <v>8.3884444444444435E-5</v>
      </c>
      <c r="BN38" s="6">
        <v>-3.7514620000000001E-3</v>
      </c>
      <c r="BO38" s="6">
        <v>-4.7533310000000004E-3</v>
      </c>
      <c r="BP38" s="6">
        <v>7.9513412698412725E-5</v>
      </c>
      <c r="BQ38" s="6">
        <v>-3.697812E-3</v>
      </c>
      <c r="BR38" s="6">
        <v>-4.59999E-3</v>
      </c>
      <c r="BS38" s="6">
        <v>7.1601428571428571E-5</v>
      </c>
      <c r="BT38" s="6">
        <v>-3.7582929999999998E-3</v>
      </c>
      <c r="BU38" s="6">
        <v>-4.7601900000000001E-3</v>
      </c>
      <c r="BV38" s="6">
        <v>7.9515634920634948E-5</v>
      </c>
      <c r="BW38" s="6">
        <v>-3.6938499999999998E-3</v>
      </c>
      <c r="BX38" s="6">
        <v>-4.5960200000000001E-3</v>
      </c>
      <c r="BY38" s="6">
        <v>7.1600793650793677E-5</v>
      </c>
      <c r="BZ38" s="6">
        <v>-4.0637090000000004E-3</v>
      </c>
      <c r="CA38" s="6">
        <v>-5.0234959999999997E-3</v>
      </c>
      <c r="CB38" s="6">
        <v>7.6173571428571376E-5</v>
      </c>
      <c r="CC38" s="6">
        <v>-4.1173590000000001E-3</v>
      </c>
      <c r="CD38" s="6">
        <v>-5.1768370000000001E-3</v>
      </c>
      <c r="CE38" s="6">
        <v>8.4085555555555558E-5</v>
      </c>
      <c r="CF38" s="6">
        <v>-4.0568779999999999E-3</v>
      </c>
      <c r="CG38" s="6">
        <v>-5.016637E-3</v>
      </c>
      <c r="CH38" s="6">
        <v>7.6171349206349221E-5</v>
      </c>
      <c r="CI38" s="6">
        <v>-4.1213220000000002E-3</v>
      </c>
      <c r="CJ38" s="6">
        <v>-5.1808059999999996E-3</v>
      </c>
      <c r="CK38" s="6">
        <v>8.4086031746031701E-5</v>
      </c>
      <c r="CL38" s="6">
        <v>-2.5525539999999998E-3</v>
      </c>
      <c r="CM38" s="6">
        <v>-3.268155E-3</v>
      </c>
      <c r="CN38" s="6">
        <v>5.6793730158730173E-5</v>
      </c>
      <c r="CO38" s="6">
        <v>-2.4989040000000001E-3</v>
      </c>
      <c r="CP38" s="6">
        <v>-3.1148149999999999E-3</v>
      </c>
      <c r="CQ38" s="6">
        <v>4.888182539682538E-5</v>
      </c>
      <c r="CR38" s="6">
        <v>-2.559385E-3</v>
      </c>
      <c r="CS38" s="6">
        <v>-3.2750140000000001E-3</v>
      </c>
      <c r="CT38" s="6">
        <v>5.6795952380952396E-5</v>
      </c>
      <c r="CU38" s="6">
        <v>-2.494942E-3</v>
      </c>
      <c r="CV38" s="6">
        <v>-3.1108450000000001E-3</v>
      </c>
      <c r="CW38" s="6">
        <v>4.8881190476190486E-5</v>
      </c>
      <c r="CX38" s="6">
        <v>-2.8648010000000002E-3</v>
      </c>
      <c r="CY38" s="6">
        <v>-3.5383210000000001E-3</v>
      </c>
      <c r="CZ38" s="6">
        <v>5.3453968253968253E-5</v>
      </c>
      <c r="DA38" s="6">
        <v>-2.9184520000000002E-3</v>
      </c>
      <c r="DB38" s="6">
        <v>-3.6916610000000002E-3</v>
      </c>
      <c r="DC38" s="6">
        <v>6.136579365079365E-5</v>
      </c>
      <c r="DD38" s="6">
        <v>-2.8579709999999999E-3</v>
      </c>
      <c r="DE38" s="6">
        <v>-3.5314610000000001E-3</v>
      </c>
      <c r="DF38" s="6">
        <v>5.3451587301587314E-5</v>
      </c>
      <c r="DG38" s="6">
        <v>-2.9224139999999999E-3</v>
      </c>
      <c r="DH38" s="6">
        <v>-3.695631E-3</v>
      </c>
      <c r="DI38" s="6">
        <v>6.1366428571428585E-5</v>
      </c>
      <c r="DK38" s="3" t="s">
        <v>44</v>
      </c>
      <c r="DL38" s="4">
        <f>DC1</f>
        <v>2861.4681558758239</v>
      </c>
      <c r="DM38" s="5" t="str">
        <f t="shared" si="11"/>
        <v>OK</v>
      </c>
    </row>
    <row r="39" spans="1:117" ht="16.2" thickBot="1" x14ac:dyDescent="0.35">
      <c r="A39" s="13" t="s">
        <v>385</v>
      </c>
      <c r="B39" s="13" t="s">
        <v>319</v>
      </c>
      <c r="C39" s="13" t="s">
        <v>320</v>
      </c>
      <c r="D39" s="13" t="s">
        <v>350</v>
      </c>
      <c r="E39" s="13">
        <v>7.1</v>
      </c>
      <c r="F39" s="6">
        <v>-1.40168E-3</v>
      </c>
      <c r="G39" s="6">
        <v>-1.438829E-3</v>
      </c>
      <c r="H39" s="6">
        <v>5.2322535211267595E-6</v>
      </c>
      <c r="I39" s="6">
        <v>-1.800484E-3</v>
      </c>
      <c r="J39" s="6">
        <v>-1.8281669999999999E-3</v>
      </c>
      <c r="K39" s="6">
        <v>3.8990140845070307E-6</v>
      </c>
      <c r="L39" s="6">
        <v>-1.815784E-3</v>
      </c>
      <c r="M39" s="6">
        <v>-1.846231E-3</v>
      </c>
      <c r="N39" s="6">
        <v>4.2883098591549397E-6</v>
      </c>
      <c r="O39" s="6">
        <v>-2.1951570000000001E-3</v>
      </c>
      <c r="P39" s="6">
        <v>-2.2163629999999998E-3</v>
      </c>
      <c r="Q39" s="6">
        <v>2.9867605633802455E-6</v>
      </c>
      <c r="R39" s="6">
        <v>-1.8457720000000001E-3</v>
      </c>
      <c r="S39" s="6">
        <v>-1.9066300000000001E-3</v>
      </c>
      <c r="T39" s="6">
        <v>8.5715492957746487E-6</v>
      </c>
      <c r="U39" s="6">
        <v>-2.3001050000000002E-3</v>
      </c>
      <c r="V39" s="6">
        <v>-2.3306860000000002E-3</v>
      </c>
      <c r="W39" s="6">
        <v>4.3071830985915512E-6</v>
      </c>
      <c r="X39" s="6">
        <v>-1.841746E-3</v>
      </c>
      <c r="Y39" s="6">
        <v>-1.9031E-3</v>
      </c>
      <c r="Z39" s="6">
        <v>8.6414084507042273E-6</v>
      </c>
      <c r="AA39" s="6">
        <v>-2.4085740000000001E-3</v>
      </c>
      <c r="AB39" s="6">
        <v>-2.432774E-3</v>
      </c>
      <c r="AC39" s="6">
        <v>3.4084507042253281E-6</v>
      </c>
      <c r="AD39" s="6">
        <v>-2.382679E-3</v>
      </c>
      <c r="AE39" s="6">
        <v>-2.37412E-3</v>
      </c>
      <c r="AF39" s="6">
        <v>1.2054929577464786E-6</v>
      </c>
      <c r="AG39" s="6">
        <v>-1.8222360000000001E-3</v>
      </c>
      <c r="AH39" s="6">
        <v>-1.850045E-3</v>
      </c>
      <c r="AI39" s="6">
        <v>3.9167605633802751E-6</v>
      </c>
      <c r="AJ39" s="6">
        <v>-2.3867060000000002E-3</v>
      </c>
      <c r="AK39" s="6">
        <v>-2.3776499999999998E-3</v>
      </c>
      <c r="AL39" s="6">
        <v>1.2754929577465271E-6</v>
      </c>
      <c r="AM39" s="6">
        <v>-1.819878E-3</v>
      </c>
      <c r="AN39" s="6">
        <v>-1.847975E-3</v>
      </c>
      <c r="AO39" s="6">
        <v>3.9573239436619625E-6</v>
      </c>
      <c r="AP39" s="6">
        <v>-1.6129600000000001E-3</v>
      </c>
      <c r="AQ39" s="6">
        <v>-1.670408E-3</v>
      </c>
      <c r="AR39" s="6">
        <v>8.0912676056337848E-6</v>
      </c>
      <c r="AS39" s="6">
        <v>-2.173403E-3</v>
      </c>
      <c r="AT39" s="6">
        <v>-2.1944830000000001E-3</v>
      </c>
      <c r="AU39" s="6">
        <v>2.9690140845070629E-6</v>
      </c>
      <c r="AV39" s="6">
        <v>-1.6089330000000001E-3</v>
      </c>
      <c r="AW39" s="6">
        <v>-1.6668779999999999E-3</v>
      </c>
      <c r="AX39" s="6">
        <v>8.1612676056337723E-6</v>
      </c>
      <c r="AY39" s="6">
        <v>-2.175761E-3</v>
      </c>
      <c r="AZ39" s="6">
        <v>-2.196553E-3</v>
      </c>
      <c r="BA39" s="6">
        <v>2.9284507042253445E-6</v>
      </c>
      <c r="BB39" s="6">
        <v>-2.1498670000000002E-3</v>
      </c>
      <c r="BC39" s="6">
        <v>-2.1378980000000001E-3</v>
      </c>
      <c r="BD39" s="6">
        <v>1.6857746478873422E-6</v>
      </c>
      <c r="BE39" s="6">
        <v>-1.589423E-3</v>
      </c>
      <c r="BF39" s="6">
        <v>-1.6138229999999999E-3</v>
      </c>
      <c r="BG39" s="6">
        <v>3.4366197183098514E-6</v>
      </c>
      <c r="BH39" s="6">
        <v>-2.153893E-3</v>
      </c>
      <c r="BI39" s="6">
        <v>-2.1414279999999999E-3</v>
      </c>
      <c r="BJ39" s="6">
        <v>1.7556338028169201E-6</v>
      </c>
      <c r="BK39" s="6">
        <v>-1.5870649999999999E-3</v>
      </c>
      <c r="BL39" s="6">
        <v>-1.6117530000000001E-3</v>
      </c>
      <c r="BM39" s="6">
        <v>3.4771830985915693E-6</v>
      </c>
      <c r="BN39" s="6">
        <v>-2.3053050000000001E-3</v>
      </c>
      <c r="BO39" s="6">
        <v>-2.3458429999999998E-3</v>
      </c>
      <c r="BP39" s="6">
        <v>5.7095774647886884E-6</v>
      </c>
      <c r="BQ39" s="6">
        <v>-2.4734380000000001E-3</v>
      </c>
      <c r="BR39" s="6">
        <v>-2.503066E-3</v>
      </c>
      <c r="BS39" s="6">
        <v>4.1729577464788535E-6</v>
      </c>
      <c r="BT39" s="6">
        <v>-2.3040970000000002E-3</v>
      </c>
      <c r="BU39" s="6">
        <v>-2.3447839999999999E-3</v>
      </c>
      <c r="BV39" s="6">
        <v>5.7305633802816558E-6</v>
      </c>
      <c r="BW39" s="6">
        <v>-2.4741450000000001E-3</v>
      </c>
      <c r="BX39" s="6">
        <v>-2.5036860000000002E-3</v>
      </c>
      <c r="BY39" s="6">
        <v>4.1607042253521296E-6</v>
      </c>
      <c r="BZ39" s="6">
        <v>-2.4663770000000001E-3</v>
      </c>
      <c r="CA39" s="6">
        <v>-2.4860899999999998E-3</v>
      </c>
      <c r="CB39" s="6">
        <v>2.7764788732394032E-6</v>
      </c>
      <c r="CC39" s="6">
        <v>-2.2982440000000001E-3</v>
      </c>
      <c r="CD39" s="6">
        <v>-2.328868E-3</v>
      </c>
      <c r="CE39" s="6">
        <v>4.3132394366197087E-6</v>
      </c>
      <c r="CF39" s="6">
        <v>-2.467585E-3</v>
      </c>
      <c r="CG39" s="6">
        <v>-2.4871490000000001E-3</v>
      </c>
      <c r="CH39" s="6">
        <v>2.7554929577464968E-6</v>
      </c>
      <c r="CI39" s="6">
        <v>-2.2975360000000002E-3</v>
      </c>
      <c r="CJ39" s="6">
        <v>-2.3282469999999999E-3</v>
      </c>
      <c r="CK39" s="6">
        <v>4.3254929577464326E-6</v>
      </c>
      <c r="CL39" s="6">
        <v>-1.529262E-3</v>
      </c>
      <c r="CM39" s="6">
        <v>-1.5584380000000001E-3</v>
      </c>
      <c r="CN39" s="6">
        <v>4.1092957746479039E-6</v>
      </c>
      <c r="CO39" s="6">
        <v>-1.697395E-3</v>
      </c>
      <c r="CP39" s="6">
        <v>-1.7156599999999999E-3</v>
      </c>
      <c r="CQ39" s="6">
        <v>2.5725352112675983E-6</v>
      </c>
      <c r="CR39" s="6">
        <v>-1.528054E-3</v>
      </c>
      <c r="CS39" s="6">
        <v>-1.557379E-3</v>
      </c>
      <c r="CT39" s="6">
        <v>4.1302816901408408E-6</v>
      </c>
      <c r="CU39" s="6">
        <v>-1.6981030000000001E-3</v>
      </c>
      <c r="CV39" s="6">
        <v>-1.7162810000000001E-3</v>
      </c>
      <c r="CW39" s="6">
        <v>2.5602816901408435E-6</v>
      </c>
      <c r="CX39" s="6">
        <v>-1.6903339999999999E-3</v>
      </c>
      <c r="CY39" s="6">
        <v>-1.6986849999999999E-3</v>
      </c>
      <c r="CZ39" s="6">
        <v>1.176197183098588E-6</v>
      </c>
      <c r="DA39" s="6">
        <v>-1.5222009999999999E-3</v>
      </c>
      <c r="DB39" s="6">
        <v>-1.541462E-3</v>
      </c>
      <c r="DC39" s="6">
        <v>2.7128169014084532E-6</v>
      </c>
      <c r="DD39" s="6">
        <v>-1.6915420000000001E-3</v>
      </c>
      <c r="DE39" s="6">
        <v>-1.699744E-3</v>
      </c>
      <c r="DF39" s="6">
        <v>1.1552112676056206E-6</v>
      </c>
      <c r="DG39" s="6">
        <v>-1.521494E-3</v>
      </c>
      <c r="DH39" s="6">
        <v>-1.540841E-3</v>
      </c>
      <c r="DI39" s="6">
        <v>2.7249295774647987E-6</v>
      </c>
      <c r="DK39" s="3" t="s">
        <v>45</v>
      </c>
      <c r="DL39" s="4">
        <f>DF1</f>
        <v>2971.570625802392</v>
      </c>
      <c r="DM39" s="5" t="str">
        <f t="shared" si="11"/>
        <v>OK</v>
      </c>
    </row>
    <row r="40" spans="1:117" ht="16.2" thickBot="1" x14ac:dyDescent="0.35">
      <c r="A40" s="13" t="s">
        <v>386</v>
      </c>
      <c r="B40" s="13" t="s">
        <v>320</v>
      </c>
      <c r="C40" s="13" t="s">
        <v>322</v>
      </c>
      <c r="D40" s="13" t="s">
        <v>350</v>
      </c>
      <c r="E40" s="13">
        <v>8.3000000000000007</v>
      </c>
      <c r="F40" s="6">
        <v>-1.438829E-3</v>
      </c>
      <c r="G40" s="6">
        <v>-1.4583479999999999E-3</v>
      </c>
      <c r="H40" s="6">
        <v>2.3516867469879469E-6</v>
      </c>
      <c r="I40" s="6">
        <v>-1.8281669999999999E-3</v>
      </c>
      <c r="J40" s="6">
        <v>-1.8308910000000001E-3</v>
      </c>
      <c r="K40" s="6">
        <v>3.281927710843581E-7</v>
      </c>
      <c r="L40" s="6">
        <v>-1.846231E-3</v>
      </c>
      <c r="M40" s="6">
        <v>-1.85663E-3</v>
      </c>
      <c r="N40" s="6">
        <v>1.2528915662650495E-6</v>
      </c>
      <c r="O40" s="6">
        <v>-2.2163629999999998E-3</v>
      </c>
      <c r="P40" s="6">
        <v>-2.2102950000000001E-3</v>
      </c>
      <c r="Q40" s="6">
        <v>7.3108433734936119E-7</v>
      </c>
      <c r="R40" s="6">
        <v>-1.9066300000000001E-3</v>
      </c>
      <c r="S40" s="6">
        <v>-2.018826E-3</v>
      </c>
      <c r="T40" s="6">
        <v>1.3517590361445776E-5</v>
      </c>
      <c r="U40" s="6">
        <v>-2.3306860000000002E-3</v>
      </c>
      <c r="V40" s="6">
        <v>-2.3322989999999999E-3</v>
      </c>
      <c r="W40" s="6">
        <v>1.9433734939755438E-7</v>
      </c>
      <c r="X40" s="6">
        <v>-1.9031E-3</v>
      </c>
      <c r="Y40" s="6">
        <v>-2.0160080000000001E-3</v>
      </c>
      <c r="Z40" s="6">
        <v>1.3603373493975915E-5</v>
      </c>
      <c r="AA40" s="6">
        <v>-2.432774E-3</v>
      </c>
      <c r="AB40" s="6">
        <v>-2.4073369999999998E-3</v>
      </c>
      <c r="AC40" s="6">
        <v>3.0646987951807365E-6</v>
      </c>
      <c r="AD40" s="6">
        <v>-2.37412E-3</v>
      </c>
      <c r="AE40" s="6">
        <v>-2.2594960000000002E-3</v>
      </c>
      <c r="AF40" s="6">
        <v>1.3810120481927686E-5</v>
      </c>
      <c r="AG40" s="6">
        <v>-1.850045E-3</v>
      </c>
      <c r="AH40" s="6">
        <v>-1.8726350000000001E-3</v>
      </c>
      <c r="AI40" s="6">
        <v>2.7216867469879594E-6</v>
      </c>
      <c r="AJ40" s="6">
        <v>-2.3776499999999998E-3</v>
      </c>
      <c r="AK40" s="6">
        <v>-2.2623140000000001E-3</v>
      </c>
      <c r="AL40" s="6">
        <v>1.3895903614457798E-5</v>
      </c>
      <c r="AM40" s="6">
        <v>-1.847975E-3</v>
      </c>
      <c r="AN40" s="6">
        <v>-1.8709849999999999E-3</v>
      </c>
      <c r="AO40" s="6">
        <v>2.7722891566265005E-6</v>
      </c>
      <c r="AP40" s="6">
        <v>-1.670408E-3</v>
      </c>
      <c r="AQ40" s="6">
        <v>-1.7816889999999999E-3</v>
      </c>
      <c r="AR40" s="6">
        <v>1.3407349397590356E-5</v>
      </c>
      <c r="AS40" s="6">
        <v>-2.1944830000000001E-3</v>
      </c>
      <c r="AT40" s="6">
        <v>-2.16855E-3</v>
      </c>
      <c r="AU40" s="6">
        <v>3.1244578313253152E-6</v>
      </c>
      <c r="AV40" s="6">
        <v>-1.6668779999999999E-3</v>
      </c>
      <c r="AW40" s="6">
        <v>-1.778871E-3</v>
      </c>
      <c r="AX40" s="6">
        <v>1.3493132530120495E-5</v>
      </c>
      <c r="AY40" s="6">
        <v>-2.196553E-3</v>
      </c>
      <c r="AZ40" s="6">
        <v>-2.1702000000000002E-3</v>
      </c>
      <c r="BA40" s="6">
        <v>3.1750602409638304E-6</v>
      </c>
      <c r="BB40" s="6">
        <v>-2.1378980000000001E-3</v>
      </c>
      <c r="BC40" s="6">
        <v>-2.02236E-3</v>
      </c>
      <c r="BD40" s="6">
        <v>1.3920240963855432E-5</v>
      </c>
      <c r="BE40" s="6">
        <v>-1.6138229999999999E-3</v>
      </c>
      <c r="BF40" s="6">
        <v>-1.635498E-3</v>
      </c>
      <c r="BG40" s="6">
        <v>2.6114457831325393E-6</v>
      </c>
      <c r="BH40" s="6">
        <v>-2.1414279999999999E-3</v>
      </c>
      <c r="BI40" s="6">
        <v>-2.025177E-3</v>
      </c>
      <c r="BJ40" s="6">
        <v>1.4006144578313244E-5</v>
      </c>
      <c r="BK40" s="6">
        <v>-1.6117530000000001E-3</v>
      </c>
      <c r="BL40" s="6">
        <v>-1.633848E-3</v>
      </c>
      <c r="BM40" s="6">
        <v>2.6620481927710808E-6</v>
      </c>
      <c r="BN40" s="6">
        <v>-2.3458429999999998E-3</v>
      </c>
      <c r="BO40" s="6">
        <v>-2.379721E-3</v>
      </c>
      <c r="BP40" s="6">
        <v>4.0816867469879761E-6</v>
      </c>
      <c r="BQ40" s="6">
        <v>-2.503066E-3</v>
      </c>
      <c r="BR40" s="6">
        <v>-2.4957790000000001E-3</v>
      </c>
      <c r="BS40" s="6">
        <v>8.7795180722890577E-7</v>
      </c>
      <c r="BT40" s="6">
        <v>-2.3447839999999999E-3</v>
      </c>
      <c r="BU40" s="6">
        <v>-2.3788749999999999E-3</v>
      </c>
      <c r="BV40" s="6">
        <v>4.1073493975903591E-6</v>
      </c>
      <c r="BW40" s="6">
        <v>-2.5036860000000002E-3</v>
      </c>
      <c r="BX40" s="6">
        <v>-2.4962740000000001E-3</v>
      </c>
      <c r="BY40" s="6">
        <v>8.9301204819277627E-7</v>
      </c>
      <c r="BZ40" s="6">
        <v>-2.4860899999999998E-3</v>
      </c>
      <c r="CA40" s="6">
        <v>-2.451922E-3</v>
      </c>
      <c r="CB40" s="6">
        <v>4.11662650602407E-6</v>
      </c>
      <c r="CC40" s="6">
        <v>-2.328868E-3</v>
      </c>
      <c r="CD40" s="6">
        <v>-2.3358630000000001E-3</v>
      </c>
      <c r="CE40" s="6">
        <v>8.4277108433736034E-7</v>
      </c>
      <c r="CF40" s="6">
        <v>-2.4871490000000001E-3</v>
      </c>
      <c r="CG40" s="6">
        <v>-2.4527669999999998E-3</v>
      </c>
      <c r="CH40" s="6">
        <v>4.1424096385542568E-6</v>
      </c>
      <c r="CI40" s="6">
        <v>-2.3282469999999999E-3</v>
      </c>
      <c r="CJ40" s="6">
        <v>-2.335368E-3</v>
      </c>
      <c r="CK40" s="6">
        <v>8.5795180722893053E-7</v>
      </c>
      <c r="CL40" s="6">
        <v>-1.5584380000000001E-3</v>
      </c>
      <c r="CM40" s="6">
        <v>-1.589264E-3</v>
      </c>
      <c r="CN40" s="6">
        <v>3.7139759036144401E-6</v>
      </c>
      <c r="CO40" s="6">
        <v>-1.7156599999999999E-3</v>
      </c>
      <c r="CP40" s="6">
        <v>-1.705322E-3</v>
      </c>
      <c r="CQ40" s="6">
        <v>1.24554216867469E-6</v>
      </c>
      <c r="CR40" s="6">
        <v>-1.557379E-3</v>
      </c>
      <c r="CS40" s="6">
        <v>-1.5884180000000001E-3</v>
      </c>
      <c r="CT40" s="6">
        <v>3.7396385542168752E-6</v>
      </c>
      <c r="CU40" s="6">
        <v>-1.7162810000000001E-3</v>
      </c>
      <c r="CV40" s="6">
        <v>-1.7058170000000001E-3</v>
      </c>
      <c r="CW40" s="6">
        <v>1.2607228915662601E-6</v>
      </c>
      <c r="CX40" s="6">
        <v>-1.6986849999999999E-3</v>
      </c>
      <c r="CY40" s="6">
        <v>-1.661465E-3</v>
      </c>
      <c r="CZ40" s="6">
        <v>4.4843373493975797E-6</v>
      </c>
      <c r="DA40" s="6">
        <v>-1.541462E-3</v>
      </c>
      <c r="DB40" s="6">
        <v>-1.5454069999999999E-3</v>
      </c>
      <c r="DC40" s="6">
        <v>4.7530120481927589E-7</v>
      </c>
      <c r="DD40" s="6">
        <v>-1.699744E-3</v>
      </c>
      <c r="DE40" s="6">
        <v>-1.66231E-3</v>
      </c>
      <c r="DF40" s="6">
        <v>4.5101204819277148E-6</v>
      </c>
      <c r="DG40" s="6">
        <v>-1.540841E-3</v>
      </c>
      <c r="DH40" s="6">
        <v>-1.5449120000000001E-3</v>
      </c>
      <c r="DI40" s="6">
        <v>4.9048192771084602E-7</v>
      </c>
      <c r="DK40" s="3" t="s">
        <v>46</v>
      </c>
      <c r="DL40" s="4">
        <f>DI1</f>
        <v>2859.7774948397382</v>
      </c>
      <c r="DM40" s="5" t="str">
        <f t="shared" si="11"/>
        <v>OK</v>
      </c>
    </row>
    <row r="41" spans="1:117" x14ac:dyDescent="0.3">
      <c r="A41" s="13" t="s">
        <v>387</v>
      </c>
      <c r="B41" s="13" t="s">
        <v>91</v>
      </c>
      <c r="C41" s="13" t="s">
        <v>93</v>
      </c>
      <c r="D41" s="13" t="s">
        <v>364</v>
      </c>
      <c r="E41" s="13">
        <v>12.6</v>
      </c>
      <c r="F41" s="6">
        <v>-2.4215759999999999E-3</v>
      </c>
      <c r="G41" s="6">
        <v>-1.9818570000000001E-3</v>
      </c>
      <c r="H41" s="6">
        <v>3.4898333333333324E-5</v>
      </c>
      <c r="I41" s="6">
        <v>-3.076666E-3</v>
      </c>
      <c r="J41" s="6">
        <v>-2.9082959999999999E-3</v>
      </c>
      <c r="K41" s="6">
        <v>1.3362698412698426E-5</v>
      </c>
      <c r="L41" s="6">
        <v>-2.8099900000000001E-3</v>
      </c>
      <c r="M41" s="6">
        <v>-2.612783E-3</v>
      </c>
      <c r="N41" s="6">
        <v>1.5651349206349207E-5</v>
      </c>
      <c r="O41" s="6">
        <v>-3.4467870000000002E-3</v>
      </c>
      <c r="P41" s="6">
        <v>-3.497923E-3</v>
      </c>
      <c r="Q41" s="6">
        <v>4.058412698412683E-6</v>
      </c>
      <c r="R41" s="6">
        <v>-2.9880520000000002E-3</v>
      </c>
      <c r="S41" s="6">
        <v>-2.630715E-3</v>
      </c>
      <c r="T41" s="6">
        <v>2.8360079365079375E-5</v>
      </c>
      <c r="U41" s="6">
        <v>-2.866674E-3</v>
      </c>
      <c r="V41" s="6">
        <v>-3.3615889999999999E-3</v>
      </c>
      <c r="W41" s="6">
        <v>3.927896825396824E-5</v>
      </c>
      <c r="X41" s="6">
        <v>-3.0058300000000001E-3</v>
      </c>
      <c r="Y41" s="6">
        <v>-2.7583109999999998E-3</v>
      </c>
      <c r="Z41" s="6">
        <v>1.9644365079365102E-5</v>
      </c>
      <c r="AA41" s="6">
        <v>-2.8627710000000001E-3</v>
      </c>
      <c r="AB41" s="6">
        <v>-3.2899000000000001E-3</v>
      </c>
      <c r="AC41" s="6">
        <v>3.3899126984126991E-5</v>
      </c>
      <c r="AD41" s="6">
        <v>-3.886577E-3</v>
      </c>
      <c r="AE41" s="6">
        <v>-4.1115709999999996E-3</v>
      </c>
      <c r="AF41" s="6">
        <v>1.7856666666666637E-5</v>
      </c>
      <c r="AG41" s="6">
        <v>-4.0015420000000003E-3</v>
      </c>
      <c r="AH41" s="6">
        <v>-3.3782230000000001E-3</v>
      </c>
      <c r="AI41" s="6">
        <v>4.9469761904761921E-5</v>
      </c>
      <c r="AJ41" s="6">
        <v>-3.868799E-3</v>
      </c>
      <c r="AK41" s="6">
        <v>-3.9839749999999998E-3</v>
      </c>
      <c r="AL41" s="6">
        <v>9.1409523809523664E-6</v>
      </c>
      <c r="AM41" s="6">
        <v>-4.0118580000000001E-3</v>
      </c>
      <c r="AN41" s="6">
        <v>-3.4523869999999999E-3</v>
      </c>
      <c r="AO41" s="6">
        <v>4.4402460317460337E-5</v>
      </c>
      <c r="AP41" s="6">
        <v>-2.6368619999999998E-3</v>
      </c>
      <c r="AQ41" s="6">
        <v>-2.294903E-3</v>
      </c>
      <c r="AR41" s="6">
        <v>2.7139603174603155E-5</v>
      </c>
      <c r="AS41" s="6">
        <v>-2.5218969999999999E-3</v>
      </c>
      <c r="AT41" s="6">
        <v>-3.028251E-3</v>
      </c>
      <c r="AU41" s="6">
        <v>4.0186825396825403E-5</v>
      </c>
      <c r="AV41" s="6">
        <v>-2.6546400000000002E-3</v>
      </c>
      <c r="AW41" s="6">
        <v>-2.4224989999999998E-3</v>
      </c>
      <c r="AX41" s="6">
        <v>1.842388888888892E-5</v>
      </c>
      <c r="AY41" s="6">
        <v>-2.5115810000000001E-3</v>
      </c>
      <c r="AZ41" s="6">
        <v>-2.9540870000000002E-3</v>
      </c>
      <c r="BA41" s="6">
        <v>3.5119523809523819E-5</v>
      </c>
      <c r="BB41" s="6">
        <v>-3.535388E-3</v>
      </c>
      <c r="BC41" s="6">
        <v>-3.7757590000000001E-3</v>
      </c>
      <c r="BD41" s="6">
        <v>1.9077063492063499E-5</v>
      </c>
      <c r="BE41" s="6">
        <v>-3.6503529999999998E-3</v>
      </c>
      <c r="BF41" s="6">
        <v>-3.0424100000000002E-3</v>
      </c>
      <c r="BG41" s="6">
        <v>4.8249444444444421E-5</v>
      </c>
      <c r="BH41" s="6">
        <v>-3.5176090000000001E-3</v>
      </c>
      <c r="BI41" s="6">
        <v>-3.6481629999999998E-3</v>
      </c>
      <c r="BJ41" s="6">
        <v>1.036142857142855E-5</v>
      </c>
      <c r="BK41" s="6">
        <v>-3.6606690000000001E-3</v>
      </c>
      <c r="BL41" s="6">
        <v>-3.116574E-3</v>
      </c>
      <c r="BM41" s="6">
        <v>4.3182142857142864E-5</v>
      </c>
      <c r="BN41" s="6">
        <v>-3.7122570000000001E-3</v>
      </c>
      <c r="BO41" s="6">
        <v>-3.5407960000000001E-3</v>
      </c>
      <c r="BP41" s="6">
        <v>1.3608015873015868E-5</v>
      </c>
      <c r="BQ41" s="6">
        <v>-3.6777680000000001E-3</v>
      </c>
      <c r="BR41" s="6">
        <v>-3.7607999999999999E-3</v>
      </c>
      <c r="BS41" s="6">
        <v>6.589841269841255E-6</v>
      </c>
      <c r="BT41" s="6">
        <v>-3.7175910000000001E-3</v>
      </c>
      <c r="BU41" s="6">
        <v>-3.5790739999999998E-3</v>
      </c>
      <c r="BV41" s="6">
        <v>1.0993412698412724E-5</v>
      </c>
      <c r="BW41" s="6">
        <v>-3.6746729999999998E-3</v>
      </c>
      <c r="BX41" s="6">
        <v>-3.7385510000000001E-3</v>
      </c>
      <c r="BY41" s="6">
        <v>5.0696825396825622E-6</v>
      </c>
      <c r="BZ41" s="6">
        <v>-3.9818149999999997E-3</v>
      </c>
      <c r="CA41" s="6">
        <v>-3.9850520000000002E-3</v>
      </c>
      <c r="CB41" s="6">
        <v>2.5690476190480572E-7</v>
      </c>
      <c r="CC41" s="6">
        <v>-4.0163040000000001E-3</v>
      </c>
      <c r="CD41" s="6">
        <v>-3.765048E-3</v>
      </c>
      <c r="CE41" s="6">
        <v>1.9940952380952387E-5</v>
      </c>
      <c r="CF41" s="6">
        <v>-3.9764819999999999E-3</v>
      </c>
      <c r="CG41" s="6">
        <v>-3.9467740000000001E-3</v>
      </c>
      <c r="CH41" s="6">
        <v>2.3577777777777633E-6</v>
      </c>
      <c r="CI41" s="6">
        <v>-4.0193989999999999E-3</v>
      </c>
      <c r="CJ41" s="6">
        <v>-3.7872969999999998E-3</v>
      </c>
      <c r="CK41" s="6">
        <v>1.8420793650793658E-5</v>
      </c>
      <c r="CL41" s="6">
        <v>-2.5416240000000001E-3</v>
      </c>
      <c r="CM41" s="6">
        <v>-2.421421E-3</v>
      </c>
      <c r="CN41" s="6">
        <v>9.5399206349206469E-6</v>
      </c>
      <c r="CO41" s="6">
        <v>-2.5071350000000002E-3</v>
      </c>
      <c r="CP41" s="6">
        <v>-2.6414260000000001E-3</v>
      </c>
      <c r="CQ41" s="6">
        <v>1.0658015873015867E-5</v>
      </c>
      <c r="CR41" s="6">
        <v>-2.5469580000000002E-3</v>
      </c>
      <c r="CS41" s="6">
        <v>-2.4597E-3</v>
      </c>
      <c r="CT41" s="6">
        <v>6.9252380952381128E-6</v>
      </c>
      <c r="CU41" s="6">
        <v>-2.5040399999999999E-3</v>
      </c>
      <c r="CV41" s="6">
        <v>-2.6191769999999999E-3</v>
      </c>
      <c r="CW41" s="6">
        <v>9.1378571428571397E-6</v>
      </c>
      <c r="CX41" s="6">
        <v>-2.8111820000000002E-3</v>
      </c>
      <c r="CY41" s="6">
        <v>-2.865678E-3</v>
      </c>
      <c r="CZ41" s="6">
        <v>4.3250793650793491E-6</v>
      </c>
      <c r="DA41" s="6">
        <v>-2.845672E-3</v>
      </c>
      <c r="DB41" s="6">
        <v>-2.6456740000000002E-3</v>
      </c>
      <c r="DC41" s="6">
        <v>1.5872857142857132E-5</v>
      </c>
      <c r="DD41" s="6">
        <v>-2.805849E-3</v>
      </c>
      <c r="DE41" s="6">
        <v>-2.8273999999999999E-3</v>
      </c>
      <c r="DF41" s="6">
        <v>1.7103968253968144E-6</v>
      </c>
      <c r="DG41" s="6">
        <v>-2.848766E-3</v>
      </c>
      <c r="DH41" s="6">
        <v>-2.667923E-3</v>
      </c>
      <c r="DI41" s="6">
        <v>1.4352619047619046E-5</v>
      </c>
    </row>
    <row r="42" spans="1:117" x14ac:dyDescent="0.3">
      <c r="A42" s="13" t="s">
        <v>388</v>
      </c>
      <c r="B42" s="13" t="s">
        <v>127</v>
      </c>
      <c r="C42" s="13" t="s">
        <v>129</v>
      </c>
      <c r="D42" s="13" t="s">
        <v>364</v>
      </c>
      <c r="E42" s="13">
        <v>12.6</v>
      </c>
      <c r="F42" s="6">
        <v>-2.2545080000000001E-3</v>
      </c>
      <c r="G42" s="6">
        <v>-2.1475750000000001E-3</v>
      </c>
      <c r="H42" s="6">
        <v>8.4867460317460346E-6</v>
      </c>
      <c r="I42" s="6">
        <v>-2.9175020000000002E-3</v>
      </c>
      <c r="J42" s="6">
        <v>-3.0993570000000001E-3</v>
      </c>
      <c r="K42" s="6">
        <v>1.4432936507936497E-5</v>
      </c>
      <c r="L42" s="6">
        <v>-2.6484239999999999E-3</v>
      </c>
      <c r="M42" s="6">
        <v>-2.7614979999999998E-3</v>
      </c>
      <c r="N42" s="6">
        <v>8.9741269841269768E-6</v>
      </c>
      <c r="O42" s="6">
        <v>-3.2923470000000002E-3</v>
      </c>
      <c r="P42" s="6">
        <v>-3.6772829999999999E-3</v>
      </c>
      <c r="Q42" s="6">
        <v>3.0550476190476174E-5</v>
      </c>
      <c r="R42" s="6">
        <v>-2.9543820000000002E-3</v>
      </c>
      <c r="S42" s="6">
        <v>-2.8227069999999998E-3</v>
      </c>
      <c r="T42" s="6">
        <v>1.0450396825396854E-5</v>
      </c>
      <c r="U42" s="6">
        <v>-2.9252610000000002E-3</v>
      </c>
      <c r="V42" s="6">
        <v>-3.5627520000000002E-3</v>
      </c>
      <c r="W42" s="6">
        <v>5.0594523809523809E-5</v>
      </c>
      <c r="X42" s="6">
        <v>-2.9654299999999998E-3</v>
      </c>
      <c r="Y42" s="6">
        <v>-2.8897749999999998E-3</v>
      </c>
      <c r="Z42" s="6">
        <v>6.0043650793650794E-6</v>
      </c>
      <c r="AA42" s="6">
        <v>-2.9363200000000001E-3</v>
      </c>
      <c r="AB42" s="6">
        <v>-3.5254819999999999E-3</v>
      </c>
      <c r="AC42" s="6">
        <v>4.6758888888888875E-5</v>
      </c>
      <c r="AD42" s="6">
        <v>-3.5874349999999999E-3</v>
      </c>
      <c r="AE42" s="6">
        <v>-4.3072099999999997E-3</v>
      </c>
      <c r="AF42" s="6">
        <v>5.7124999999999979E-5</v>
      </c>
      <c r="AG42" s="6">
        <v>-3.5990839999999998E-3</v>
      </c>
      <c r="AH42" s="6">
        <v>-3.5654620000000001E-3</v>
      </c>
      <c r="AI42" s="6">
        <v>2.6684126984126705E-6</v>
      </c>
      <c r="AJ42" s="6">
        <v>-3.5763869999999999E-3</v>
      </c>
      <c r="AK42" s="6">
        <v>-4.2401410000000002E-3</v>
      </c>
      <c r="AL42" s="6">
        <v>5.267888888888892E-5</v>
      </c>
      <c r="AM42" s="6">
        <v>-3.605497E-3</v>
      </c>
      <c r="AN42" s="6">
        <v>-3.604435E-3</v>
      </c>
      <c r="AO42" s="6">
        <v>8.4285714285716256E-8</v>
      </c>
      <c r="AP42" s="6">
        <v>-2.6224019999999998E-3</v>
      </c>
      <c r="AQ42" s="6">
        <v>-2.4694840000000001E-3</v>
      </c>
      <c r="AR42" s="6">
        <v>1.2136349206349184E-5</v>
      </c>
      <c r="AS42" s="6">
        <v>-2.610752E-3</v>
      </c>
      <c r="AT42" s="6">
        <v>-3.2112310000000002E-3</v>
      </c>
      <c r="AU42" s="6">
        <v>4.7657063492063503E-5</v>
      </c>
      <c r="AV42" s="6">
        <v>-2.6334499999999999E-3</v>
      </c>
      <c r="AW42" s="6">
        <v>-2.5365520000000001E-3</v>
      </c>
      <c r="AX42" s="6">
        <v>7.6903174603174426E-6</v>
      </c>
      <c r="AY42" s="6">
        <v>-2.6043400000000001E-3</v>
      </c>
      <c r="AZ42" s="6">
        <v>-3.1722590000000002E-3</v>
      </c>
      <c r="BA42" s="6">
        <v>4.5072936507936512E-5</v>
      </c>
      <c r="BB42" s="6">
        <v>-3.255455E-3</v>
      </c>
      <c r="BC42" s="6">
        <v>-3.9539859999999996E-3</v>
      </c>
      <c r="BD42" s="6">
        <v>5.5438968253968228E-5</v>
      </c>
      <c r="BE42" s="6">
        <v>-3.2671039999999998E-3</v>
      </c>
      <c r="BF42" s="6">
        <v>-3.212239E-3</v>
      </c>
      <c r="BG42" s="6">
        <v>4.3543650793650689E-6</v>
      </c>
      <c r="BH42" s="6">
        <v>-3.244406E-3</v>
      </c>
      <c r="BI42" s="6">
        <v>-3.8869180000000001E-3</v>
      </c>
      <c r="BJ42" s="6">
        <v>5.0993015873015878E-5</v>
      </c>
      <c r="BK42" s="6">
        <v>-3.2735160000000002E-3</v>
      </c>
      <c r="BL42" s="6">
        <v>-3.2512119999999999E-3</v>
      </c>
      <c r="BM42" s="6">
        <v>1.7701587301587566E-6</v>
      </c>
      <c r="BN42" s="6">
        <v>-3.5632609999999999E-3</v>
      </c>
      <c r="BO42" s="6">
        <v>-3.7543770000000001E-3</v>
      </c>
      <c r="BP42" s="6">
        <v>1.5167936507936532E-5</v>
      </c>
      <c r="BQ42" s="6">
        <v>-3.5597659999999998E-3</v>
      </c>
      <c r="BR42" s="6">
        <v>-3.9769009999999997E-3</v>
      </c>
      <c r="BS42" s="6">
        <v>3.3105952380952377E-5</v>
      </c>
      <c r="BT42" s="6">
        <v>-3.5665760000000001E-3</v>
      </c>
      <c r="BU42" s="6">
        <v>-3.7744969999999999E-3</v>
      </c>
      <c r="BV42" s="6">
        <v>1.6501666666666651E-5</v>
      </c>
      <c r="BW42" s="6">
        <v>-3.5578430000000002E-3</v>
      </c>
      <c r="BX42" s="6">
        <v>-3.9652089999999999E-3</v>
      </c>
      <c r="BY42" s="6">
        <v>3.2330634920634897E-5</v>
      </c>
      <c r="BZ42" s="6">
        <v>-3.7531769999999999E-3</v>
      </c>
      <c r="CA42" s="6">
        <v>-4.1997270000000003E-3</v>
      </c>
      <c r="CB42" s="6">
        <v>3.5440476190476224E-5</v>
      </c>
      <c r="CC42" s="6">
        <v>-3.756672E-3</v>
      </c>
      <c r="CD42" s="6">
        <v>-3.9772030000000003E-3</v>
      </c>
      <c r="CE42" s="6">
        <v>1.7502460317460347E-5</v>
      </c>
      <c r="CF42" s="6">
        <v>-3.749863E-3</v>
      </c>
      <c r="CG42" s="6">
        <v>-4.1796070000000001E-3</v>
      </c>
      <c r="CH42" s="6">
        <v>3.4106666666666677E-5</v>
      </c>
      <c r="CI42" s="6">
        <v>-3.7585959999999999E-3</v>
      </c>
      <c r="CJ42" s="6">
        <v>-3.9888950000000001E-3</v>
      </c>
      <c r="CK42" s="6">
        <v>1.827769841269843E-5</v>
      </c>
      <c r="CL42" s="6">
        <v>-2.4566599999999998E-3</v>
      </c>
      <c r="CM42" s="6">
        <v>-2.576966E-3</v>
      </c>
      <c r="CN42" s="6">
        <v>9.5480952380952497E-6</v>
      </c>
      <c r="CO42" s="6">
        <v>-2.4531650000000002E-3</v>
      </c>
      <c r="CP42" s="6">
        <v>-2.79949E-3</v>
      </c>
      <c r="CQ42" s="6">
        <v>2.7486111111111093E-5</v>
      </c>
      <c r="CR42" s="6">
        <v>-2.4599740000000002E-3</v>
      </c>
      <c r="CS42" s="6">
        <v>-2.5970860000000002E-3</v>
      </c>
      <c r="CT42" s="6">
        <v>1.0881904761904761E-5</v>
      </c>
      <c r="CU42" s="6">
        <v>-2.4512409999999998E-3</v>
      </c>
      <c r="CV42" s="6">
        <v>-2.7877980000000002E-3</v>
      </c>
      <c r="CW42" s="6">
        <v>2.6710873015873043E-5</v>
      </c>
      <c r="CX42" s="6">
        <v>-2.646575E-3</v>
      </c>
      <c r="CY42" s="6">
        <v>-3.0223170000000001E-3</v>
      </c>
      <c r="CZ42" s="6">
        <v>2.982079365079366E-5</v>
      </c>
      <c r="DA42" s="6">
        <v>-2.65007E-3</v>
      </c>
      <c r="DB42" s="6">
        <v>-2.7997920000000002E-3</v>
      </c>
      <c r="DC42" s="6">
        <v>1.1882698412698423E-5</v>
      </c>
      <c r="DD42" s="6">
        <v>-2.643261E-3</v>
      </c>
      <c r="DE42" s="6">
        <v>-3.0021959999999999E-3</v>
      </c>
      <c r="DF42" s="6">
        <v>2.8486904761904755E-5</v>
      </c>
      <c r="DG42" s="6">
        <v>-2.651994E-3</v>
      </c>
      <c r="DH42" s="6">
        <v>-2.8114839999999999E-3</v>
      </c>
      <c r="DI42" s="6">
        <v>1.2657936507936507E-5</v>
      </c>
    </row>
    <row r="43" spans="1:117" x14ac:dyDescent="0.3">
      <c r="A43" s="13" t="s">
        <v>389</v>
      </c>
      <c r="B43" s="13" t="s">
        <v>164</v>
      </c>
      <c r="C43" s="13" t="s">
        <v>166</v>
      </c>
      <c r="D43" s="13" t="s">
        <v>364</v>
      </c>
      <c r="E43" s="13">
        <v>12.6</v>
      </c>
      <c r="F43" s="6">
        <v>-2.0644919999999998E-3</v>
      </c>
      <c r="G43" s="6">
        <v>-2.1505629999999999E-3</v>
      </c>
      <c r="H43" s="6">
        <v>6.8310317460317511E-6</v>
      </c>
      <c r="I43" s="6">
        <v>-2.7059950000000001E-3</v>
      </c>
      <c r="J43" s="6">
        <v>-3.0974100000000001E-3</v>
      </c>
      <c r="K43" s="6">
        <v>3.1064682539682541E-5</v>
      </c>
      <c r="L43" s="6">
        <v>-2.4632439999999999E-3</v>
      </c>
      <c r="M43" s="6">
        <v>-2.7620190000000001E-3</v>
      </c>
      <c r="N43" s="6">
        <v>2.371230158730161E-5</v>
      </c>
      <c r="O43" s="6">
        <v>-3.0848899999999999E-3</v>
      </c>
      <c r="P43" s="6">
        <v>-3.674666E-3</v>
      </c>
      <c r="Q43" s="6">
        <v>4.6807619047619062E-5</v>
      </c>
      <c r="R43" s="6">
        <v>-2.8249669999999998E-3</v>
      </c>
      <c r="S43" s="6">
        <v>-2.858991E-3</v>
      </c>
      <c r="T43" s="6">
        <v>2.7003174603174701E-6</v>
      </c>
      <c r="U43" s="6">
        <v>-2.9140490000000002E-3</v>
      </c>
      <c r="V43" s="6">
        <v>-3.5658479999999999E-3</v>
      </c>
      <c r="W43" s="6">
        <v>5.1730079365079349E-5</v>
      </c>
      <c r="X43" s="6">
        <v>-2.8309720000000002E-3</v>
      </c>
      <c r="Y43" s="6">
        <v>-2.8554700000000001E-3</v>
      </c>
      <c r="Z43" s="6">
        <v>1.9442857142857116E-6</v>
      </c>
      <c r="AA43" s="6">
        <v>-2.9478830000000001E-3</v>
      </c>
      <c r="AB43" s="6">
        <v>-3.5690320000000002E-3</v>
      </c>
      <c r="AC43" s="6">
        <v>4.9297539682539691E-5</v>
      </c>
      <c r="AD43" s="6">
        <v>-3.2758209999999999E-3</v>
      </c>
      <c r="AE43" s="6">
        <v>-4.2663370000000003E-3</v>
      </c>
      <c r="AF43" s="6">
        <v>7.8612380952380981E-5</v>
      </c>
      <c r="AG43" s="6">
        <v>-3.14942E-3</v>
      </c>
      <c r="AH43" s="6">
        <v>-3.5583289999999998E-3</v>
      </c>
      <c r="AI43" s="6">
        <v>3.2453095238095224E-5</v>
      </c>
      <c r="AJ43" s="6">
        <v>-3.269816E-3</v>
      </c>
      <c r="AK43" s="6">
        <v>-4.2698579999999996E-3</v>
      </c>
      <c r="AL43" s="6">
        <v>7.9368412698412665E-5</v>
      </c>
      <c r="AM43" s="6">
        <v>-3.1529050000000001E-3</v>
      </c>
      <c r="AN43" s="6">
        <v>-3.556296E-3</v>
      </c>
      <c r="AO43" s="6">
        <v>3.2015158730158721E-5</v>
      </c>
      <c r="AP43" s="6">
        <v>-2.515055E-3</v>
      </c>
      <c r="AQ43" s="6">
        <v>-2.505728E-3</v>
      </c>
      <c r="AR43" s="6">
        <v>7.4023809523809105E-7</v>
      </c>
      <c r="AS43" s="6">
        <v>-2.6414559999999999E-3</v>
      </c>
      <c r="AT43" s="6">
        <v>-3.213736E-3</v>
      </c>
      <c r="AU43" s="6">
        <v>4.5419047619047628E-5</v>
      </c>
      <c r="AV43" s="6">
        <v>-2.5210599999999999E-3</v>
      </c>
      <c r="AW43" s="6">
        <v>-2.5022070000000002E-3</v>
      </c>
      <c r="AX43" s="6">
        <v>1.4962698412698147E-6</v>
      </c>
      <c r="AY43" s="6">
        <v>-2.6379709999999998E-3</v>
      </c>
      <c r="AZ43" s="6">
        <v>-3.2157700000000002E-3</v>
      </c>
      <c r="BA43" s="6">
        <v>4.585706349206352E-5</v>
      </c>
      <c r="BB43" s="6">
        <v>-2.9659090000000001E-3</v>
      </c>
      <c r="BC43" s="6">
        <v>-3.9130750000000002E-3</v>
      </c>
      <c r="BD43" s="6">
        <v>7.5171904761904776E-5</v>
      </c>
      <c r="BE43" s="6">
        <v>-2.8395080000000001E-3</v>
      </c>
      <c r="BF43" s="6">
        <v>-3.2050659999999999E-3</v>
      </c>
      <c r="BG43" s="6">
        <v>2.9012539682539664E-5</v>
      </c>
      <c r="BH43" s="6">
        <v>-2.9599040000000002E-3</v>
      </c>
      <c r="BI43" s="6">
        <v>-3.9165950000000001E-3</v>
      </c>
      <c r="BJ43" s="6">
        <v>7.5927857142857146E-5</v>
      </c>
      <c r="BK43" s="6">
        <v>-2.8429929999999998E-3</v>
      </c>
      <c r="BL43" s="6">
        <v>-3.2030330000000001E-3</v>
      </c>
      <c r="BM43" s="6">
        <v>2.8574603174603198E-5</v>
      </c>
      <c r="BN43" s="6">
        <v>-3.34433E-3</v>
      </c>
      <c r="BO43" s="6">
        <v>-3.7637019999999998E-3</v>
      </c>
      <c r="BP43" s="6">
        <v>3.3283492063492057E-5</v>
      </c>
      <c r="BQ43" s="6">
        <v>-3.3822499999999998E-3</v>
      </c>
      <c r="BR43" s="6">
        <v>-3.9761049999999997E-3</v>
      </c>
      <c r="BS43" s="6">
        <v>4.7131349206349201E-5</v>
      </c>
      <c r="BT43" s="6">
        <v>-3.346131E-3</v>
      </c>
      <c r="BU43" s="6">
        <v>-3.7626460000000001E-3</v>
      </c>
      <c r="BV43" s="6">
        <v>3.305674603174604E-5</v>
      </c>
      <c r="BW43" s="6">
        <v>-3.381205E-3</v>
      </c>
      <c r="BX43" s="6">
        <v>-3.9767149999999996E-3</v>
      </c>
      <c r="BY43" s="6">
        <v>4.7262698412698384E-5</v>
      </c>
      <c r="BZ43" s="6">
        <v>-3.4795859999999998E-3</v>
      </c>
      <c r="CA43" s="6">
        <v>-4.1859059999999997E-3</v>
      </c>
      <c r="CB43" s="6">
        <v>5.6057142857142845E-5</v>
      </c>
      <c r="CC43" s="6">
        <v>-3.4416659999999999E-3</v>
      </c>
      <c r="CD43" s="6">
        <v>-3.9735040000000001E-3</v>
      </c>
      <c r="CE43" s="6">
        <v>4.2209365079365097E-5</v>
      </c>
      <c r="CF43" s="6">
        <v>-3.4777839999999998E-3</v>
      </c>
      <c r="CG43" s="6">
        <v>-4.1869619999999998E-3</v>
      </c>
      <c r="CH43" s="6">
        <v>5.6283968253968251E-5</v>
      </c>
      <c r="CI43" s="6">
        <v>-3.4427110000000002E-3</v>
      </c>
      <c r="CJ43" s="6">
        <v>-3.9728940000000003E-3</v>
      </c>
      <c r="CK43" s="6">
        <v>4.207801587301588E-5</v>
      </c>
      <c r="CL43" s="6">
        <v>-2.3112900000000001E-3</v>
      </c>
      <c r="CM43" s="6">
        <v>-2.5861590000000002E-3</v>
      </c>
      <c r="CN43" s="6">
        <v>2.1815000000000007E-5</v>
      </c>
      <c r="CO43" s="6">
        <v>-2.34921E-3</v>
      </c>
      <c r="CP43" s="6">
        <v>-2.7985620000000001E-3</v>
      </c>
      <c r="CQ43" s="6">
        <v>3.5662857142857151E-5</v>
      </c>
      <c r="CR43" s="6">
        <v>-2.3130920000000001E-3</v>
      </c>
      <c r="CS43" s="6">
        <v>-2.5851030000000001E-3</v>
      </c>
      <c r="CT43" s="6">
        <v>2.1588174603174601E-5</v>
      </c>
      <c r="CU43" s="6">
        <v>-2.3481650000000001E-3</v>
      </c>
      <c r="CV43" s="6">
        <v>-2.799171E-3</v>
      </c>
      <c r="CW43" s="6">
        <v>3.5794126984126979E-5</v>
      </c>
      <c r="CX43" s="6">
        <v>-2.446546E-3</v>
      </c>
      <c r="CY43" s="6">
        <v>-3.008363E-3</v>
      </c>
      <c r="CZ43" s="6">
        <v>4.4588650793650802E-5</v>
      </c>
      <c r="DA43" s="6">
        <v>-2.4086260000000001E-3</v>
      </c>
      <c r="DB43" s="6">
        <v>-2.795961E-3</v>
      </c>
      <c r="DC43" s="6">
        <v>3.0740873015873013E-5</v>
      </c>
      <c r="DD43" s="6">
        <v>-2.4447449999999999E-3</v>
      </c>
      <c r="DE43" s="6">
        <v>-3.0094190000000002E-3</v>
      </c>
      <c r="DF43" s="6">
        <v>4.4815396825396846E-5</v>
      </c>
      <c r="DG43" s="6">
        <v>-2.4096719999999999E-3</v>
      </c>
      <c r="DH43" s="6">
        <v>-2.7953510000000002E-3</v>
      </c>
      <c r="DI43" s="6">
        <v>3.0609444444444468E-5</v>
      </c>
    </row>
    <row r="44" spans="1:117" x14ac:dyDescent="0.3">
      <c r="A44" s="13" t="s">
        <v>390</v>
      </c>
      <c r="B44" s="13" t="s">
        <v>205</v>
      </c>
      <c r="C44" s="13" t="s">
        <v>207</v>
      </c>
      <c r="D44" s="13" t="s">
        <v>364</v>
      </c>
      <c r="E44" s="13">
        <v>12.6</v>
      </c>
      <c r="F44" s="6">
        <v>-1.864217E-3</v>
      </c>
      <c r="G44" s="6">
        <v>-2.1587260000000001E-3</v>
      </c>
      <c r="H44" s="6">
        <v>2.3373730158730168E-5</v>
      </c>
      <c r="I44" s="6">
        <v>-2.4538279999999999E-3</v>
      </c>
      <c r="J44" s="6">
        <v>-3.1115589999999999E-3</v>
      </c>
      <c r="K44" s="6">
        <v>5.2200873015873014E-5</v>
      </c>
      <c r="L44" s="6">
        <v>-2.2684010000000002E-3</v>
      </c>
      <c r="M44" s="6">
        <v>-2.7717140000000002E-3</v>
      </c>
      <c r="N44" s="6">
        <v>3.9945476190476195E-5</v>
      </c>
      <c r="O44" s="6">
        <v>-2.8374030000000001E-3</v>
      </c>
      <c r="P44" s="6">
        <v>-3.688803E-3</v>
      </c>
      <c r="Q44" s="6">
        <v>6.757142857142857E-5</v>
      </c>
      <c r="R44" s="6">
        <v>-2.5803039999999998E-3</v>
      </c>
      <c r="S44" s="6">
        <v>-2.9115090000000001E-3</v>
      </c>
      <c r="T44" s="6">
        <v>2.6286111111111128E-5</v>
      </c>
      <c r="U44" s="6">
        <v>-2.814357E-3</v>
      </c>
      <c r="V44" s="6">
        <v>-3.5853949999999999E-3</v>
      </c>
      <c r="W44" s="6">
        <v>6.1193492063492066E-5</v>
      </c>
      <c r="X44" s="6">
        <v>-2.5828919999999998E-3</v>
      </c>
      <c r="Y44" s="6">
        <v>-2.8382160000000002E-3</v>
      </c>
      <c r="Z44" s="6">
        <v>2.0263809523809551E-5</v>
      </c>
      <c r="AA44" s="6">
        <v>-2.878153E-3</v>
      </c>
      <c r="AB44" s="6">
        <v>-3.6283130000000002E-3</v>
      </c>
      <c r="AC44" s="6">
        <v>5.9536507936507952E-5</v>
      </c>
      <c r="AD44" s="6">
        <v>-2.9976310000000002E-3</v>
      </c>
      <c r="AE44" s="6">
        <v>-4.2432900000000003E-3</v>
      </c>
      <c r="AF44" s="6">
        <v>9.8861825396825406E-5</v>
      </c>
      <c r="AG44" s="6">
        <v>-2.6982830000000001E-3</v>
      </c>
      <c r="AH44" s="6">
        <v>-3.5690660000000001E-3</v>
      </c>
      <c r="AI44" s="6">
        <v>6.9109761904761902E-5</v>
      </c>
      <c r="AJ44" s="6">
        <v>-2.9950430000000002E-3</v>
      </c>
      <c r="AK44" s="6">
        <v>-4.3165820000000002E-3</v>
      </c>
      <c r="AL44" s="6">
        <v>1.0488404761904763E-4</v>
      </c>
      <c r="AM44" s="6">
        <v>-2.699782E-3</v>
      </c>
      <c r="AN44" s="6">
        <v>-3.5264860000000001E-3</v>
      </c>
      <c r="AO44" s="6">
        <v>6.5611428571428582E-5</v>
      </c>
      <c r="AP44" s="6">
        <v>-2.2935970000000001E-3</v>
      </c>
      <c r="AQ44" s="6">
        <v>-2.5570839999999998E-3</v>
      </c>
      <c r="AR44" s="6">
        <v>2.0911666666666648E-5</v>
      </c>
      <c r="AS44" s="6">
        <v>-2.5929450000000001E-3</v>
      </c>
      <c r="AT44" s="6">
        <v>-3.231308E-3</v>
      </c>
      <c r="AU44" s="6">
        <v>5.0663730158730149E-5</v>
      </c>
      <c r="AV44" s="6">
        <v>-2.2961850000000001E-3</v>
      </c>
      <c r="AW44" s="6">
        <v>-2.483791E-3</v>
      </c>
      <c r="AX44" s="6">
        <v>1.4889365079365071E-5</v>
      </c>
      <c r="AY44" s="6">
        <v>-2.5914449999999999E-3</v>
      </c>
      <c r="AZ44" s="6">
        <v>-3.273888E-3</v>
      </c>
      <c r="BA44" s="6">
        <v>5.4162142857142857E-5</v>
      </c>
      <c r="BB44" s="6">
        <v>-2.710924E-3</v>
      </c>
      <c r="BC44" s="6">
        <v>-3.888865E-3</v>
      </c>
      <c r="BD44" s="6">
        <v>9.3487380952380963E-5</v>
      </c>
      <c r="BE44" s="6">
        <v>-2.4115759999999999E-3</v>
      </c>
      <c r="BF44" s="6">
        <v>-3.2146409999999999E-3</v>
      </c>
      <c r="BG44" s="6">
        <v>6.3735317460317459E-5</v>
      </c>
      <c r="BH44" s="6">
        <v>-2.708336E-3</v>
      </c>
      <c r="BI44" s="6">
        <v>-3.962157E-3</v>
      </c>
      <c r="BJ44" s="6">
        <v>9.9509603174603172E-5</v>
      </c>
      <c r="BK44" s="6">
        <v>-2.4130750000000002E-3</v>
      </c>
      <c r="BL44" s="6">
        <v>-3.1720609999999999E-3</v>
      </c>
      <c r="BM44" s="6">
        <v>6.0236984126984105E-5</v>
      </c>
      <c r="BN44" s="6">
        <v>-3.0608599999999999E-3</v>
      </c>
      <c r="BO44" s="6">
        <v>-3.7911279999999999E-3</v>
      </c>
      <c r="BP44" s="6">
        <v>5.7957777777777785E-5</v>
      </c>
      <c r="BQ44" s="6">
        <v>-3.150665E-3</v>
      </c>
      <c r="BR44" s="6">
        <v>-3.9933959999999998E-3</v>
      </c>
      <c r="BS44" s="6">
        <v>6.6883412698412679E-5</v>
      </c>
      <c r="BT44" s="6">
        <v>-3.0616369999999999E-3</v>
      </c>
      <c r="BU44" s="6">
        <v>-3.7691399999999998E-3</v>
      </c>
      <c r="BV44" s="6">
        <v>5.6151031746031746E-5</v>
      </c>
      <c r="BW44" s="6">
        <v>-3.150215E-3</v>
      </c>
      <c r="BX44" s="6">
        <v>-4.0061699999999999E-3</v>
      </c>
      <c r="BY44" s="6">
        <v>6.7932936507936493E-5</v>
      </c>
      <c r="BZ44" s="6">
        <v>-3.1860579999999999E-3</v>
      </c>
      <c r="CA44" s="6">
        <v>-4.1906620000000004E-3</v>
      </c>
      <c r="CB44" s="6">
        <v>7.9730476190476235E-5</v>
      </c>
      <c r="CC44" s="6">
        <v>-3.0962540000000001E-3</v>
      </c>
      <c r="CD44" s="6">
        <v>-3.9883949999999996E-3</v>
      </c>
      <c r="CE44" s="6">
        <v>7.0804841269841233E-5</v>
      </c>
      <c r="CF44" s="6">
        <v>-3.1852819999999998E-3</v>
      </c>
      <c r="CG44" s="6">
        <v>-4.2126500000000001E-3</v>
      </c>
      <c r="CH44" s="6">
        <v>8.1537142857142879E-5</v>
      </c>
      <c r="CI44" s="6">
        <v>-3.096704E-3</v>
      </c>
      <c r="CJ44" s="6">
        <v>-3.9756210000000004E-3</v>
      </c>
      <c r="CK44" s="6">
        <v>6.9755317460317486E-5</v>
      </c>
      <c r="CL44" s="6">
        <v>-2.1051690000000001E-3</v>
      </c>
      <c r="CM44" s="6">
        <v>-2.6097109999999998E-3</v>
      </c>
      <c r="CN44" s="6">
        <v>4.0043015873015856E-5</v>
      </c>
      <c r="CO44" s="6">
        <v>-2.1949740000000001E-3</v>
      </c>
      <c r="CP44" s="6">
        <v>-2.811979E-3</v>
      </c>
      <c r="CQ44" s="6">
        <v>4.8968650793650784E-5</v>
      </c>
      <c r="CR44" s="6">
        <v>-2.105946E-3</v>
      </c>
      <c r="CS44" s="6">
        <v>-2.587724E-3</v>
      </c>
      <c r="CT44" s="6">
        <v>3.8236349206349206E-5</v>
      </c>
      <c r="CU44" s="6">
        <v>-2.1945240000000002E-3</v>
      </c>
      <c r="CV44" s="6">
        <v>-2.8247519999999998E-3</v>
      </c>
      <c r="CW44" s="6">
        <v>5.001809523809521E-5</v>
      </c>
      <c r="CX44" s="6">
        <v>-2.230367E-3</v>
      </c>
      <c r="CY44" s="6">
        <v>-3.0092449999999998E-3</v>
      </c>
      <c r="CZ44" s="6">
        <v>6.1815714285714266E-5</v>
      </c>
      <c r="DA44" s="6">
        <v>-2.1405629999999998E-3</v>
      </c>
      <c r="DB44" s="6">
        <v>-2.8069779999999999E-3</v>
      </c>
      <c r="DC44" s="6">
        <v>5.2890079365079372E-5</v>
      </c>
      <c r="DD44" s="6">
        <v>-2.229591E-3</v>
      </c>
      <c r="DE44" s="6">
        <v>-3.0312329999999999E-3</v>
      </c>
      <c r="DF44" s="6">
        <v>6.362238095238095E-5</v>
      </c>
      <c r="DG44" s="6">
        <v>-2.1410130000000002E-3</v>
      </c>
      <c r="DH44" s="6">
        <v>-2.7942039999999998E-3</v>
      </c>
      <c r="DI44" s="6">
        <v>5.1840555555555523E-5</v>
      </c>
    </row>
    <row r="45" spans="1:117" x14ac:dyDescent="0.3">
      <c r="A45" s="13" t="s">
        <v>391</v>
      </c>
      <c r="B45" s="13" t="s">
        <v>246</v>
      </c>
      <c r="C45" s="13" t="s">
        <v>248</v>
      </c>
      <c r="D45" s="13" t="s">
        <v>364</v>
      </c>
      <c r="E45" s="13">
        <v>12.6</v>
      </c>
      <c r="F45" s="6">
        <v>-1.644665E-3</v>
      </c>
      <c r="G45" s="6">
        <v>-2.1227849999999999E-3</v>
      </c>
      <c r="H45" s="6">
        <v>3.7946031746031733E-5</v>
      </c>
      <c r="I45" s="6">
        <v>-2.1552749999999999E-3</v>
      </c>
      <c r="J45" s="6">
        <v>-3.060381E-3</v>
      </c>
      <c r="K45" s="6">
        <v>7.1833809523809533E-5</v>
      </c>
      <c r="L45" s="6">
        <v>-2.055032E-3</v>
      </c>
      <c r="M45" s="6">
        <v>-2.7357229999999998E-3</v>
      </c>
      <c r="N45" s="6">
        <v>5.4023095238095223E-5</v>
      </c>
      <c r="O45" s="6">
        <v>-2.5452180000000001E-3</v>
      </c>
      <c r="P45" s="6">
        <v>-3.640094E-3</v>
      </c>
      <c r="Q45" s="6">
        <v>8.6894920634920619E-5</v>
      </c>
      <c r="R45" s="6">
        <v>-2.2374719999999999E-3</v>
      </c>
      <c r="S45" s="6">
        <v>-2.8930940000000001E-3</v>
      </c>
      <c r="T45" s="6">
        <v>5.2033492063492086E-5</v>
      </c>
      <c r="U45" s="6">
        <v>-2.6172669999999999E-3</v>
      </c>
      <c r="V45" s="6">
        <v>-3.5900459999999999E-3</v>
      </c>
      <c r="W45" s="6">
        <v>7.7204682539682543E-5</v>
      </c>
      <c r="X45" s="6">
        <v>-2.2370089999999999E-3</v>
      </c>
      <c r="Y45" s="6">
        <v>-2.7544520000000001E-3</v>
      </c>
      <c r="Z45" s="6">
        <v>4.1066904761904783E-5</v>
      </c>
      <c r="AA45" s="6">
        <v>-2.7110039999999999E-3</v>
      </c>
      <c r="AB45" s="6">
        <v>-3.6691369999999998E-3</v>
      </c>
      <c r="AC45" s="6">
        <v>7.6042301587301588E-5</v>
      </c>
      <c r="AD45" s="6">
        <v>-2.724363E-3</v>
      </c>
      <c r="AE45" s="6">
        <v>-4.157595E-3</v>
      </c>
      <c r="AF45" s="6">
        <v>1.1374857142857144E-4</v>
      </c>
      <c r="AG45" s="6">
        <v>-2.251107E-3</v>
      </c>
      <c r="AH45" s="6">
        <v>-3.4621360000000002E-3</v>
      </c>
      <c r="AI45" s="6">
        <v>9.6113412698412722E-5</v>
      </c>
      <c r="AJ45" s="6">
        <v>-2.7248260000000001E-3</v>
      </c>
      <c r="AK45" s="6">
        <v>-4.296238E-3</v>
      </c>
      <c r="AL45" s="6">
        <v>1.2471523809523809E-4</v>
      </c>
      <c r="AM45" s="6">
        <v>-2.250831E-3</v>
      </c>
      <c r="AN45" s="6">
        <v>-3.3815519999999999E-3</v>
      </c>
      <c r="AO45" s="6">
        <v>8.9739761904761899E-5</v>
      </c>
      <c r="AP45" s="6">
        <v>-1.9761290000000001E-3</v>
      </c>
      <c r="AQ45" s="6">
        <v>-2.5428949999999999E-3</v>
      </c>
      <c r="AR45" s="6">
        <v>4.4981428571428558E-5</v>
      </c>
      <c r="AS45" s="6">
        <v>-2.4493840000000002E-3</v>
      </c>
      <c r="AT45" s="6">
        <v>-3.2383540000000001E-3</v>
      </c>
      <c r="AU45" s="6">
        <v>6.2616666666666666E-5</v>
      </c>
      <c r="AV45" s="6">
        <v>-1.9756650000000001E-3</v>
      </c>
      <c r="AW45" s="6">
        <v>-2.4042529999999999E-3</v>
      </c>
      <c r="AX45" s="6">
        <v>3.401492063492061E-5</v>
      </c>
      <c r="AY45" s="6">
        <v>-2.4496610000000001E-3</v>
      </c>
      <c r="AZ45" s="6">
        <v>-3.318938E-3</v>
      </c>
      <c r="BA45" s="6">
        <v>6.8990238095238094E-5</v>
      </c>
      <c r="BB45" s="6">
        <v>-2.4630189999999999E-3</v>
      </c>
      <c r="BC45" s="6">
        <v>-3.8073959999999998E-3</v>
      </c>
      <c r="BD45" s="6">
        <v>1.066965873015873E-4</v>
      </c>
      <c r="BE45" s="6">
        <v>-1.9897640000000002E-3</v>
      </c>
      <c r="BF45" s="6">
        <v>-3.111936E-3</v>
      </c>
      <c r="BG45" s="6">
        <v>8.9061269841269832E-5</v>
      </c>
      <c r="BH45" s="6">
        <v>-2.4634829999999998E-3</v>
      </c>
      <c r="BI45" s="6">
        <v>-3.9460379999999998E-3</v>
      </c>
      <c r="BJ45" s="6">
        <v>1.1766309523809524E-4</v>
      </c>
      <c r="BK45" s="6">
        <v>-1.9894869999999999E-3</v>
      </c>
      <c r="BL45" s="6">
        <v>-3.0313530000000001E-3</v>
      </c>
      <c r="BM45" s="6">
        <v>8.2687777777777801E-5</v>
      </c>
      <c r="BN45" s="6">
        <v>-2.7127850000000001E-3</v>
      </c>
      <c r="BO45" s="6">
        <v>-3.7442349999999998E-3</v>
      </c>
      <c r="BP45" s="6">
        <v>8.1861111111111097E-5</v>
      </c>
      <c r="BQ45" s="6">
        <v>-2.8547619999999998E-3</v>
      </c>
      <c r="BR45" s="6">
        <v>-3.952873E-3</v>
      </c>
      <c r="BS45" s="6">
        <v>8.7151666666666674E-5</v>
      </c>
      <c r="BT45" s="6">
        <v>-2.712646E-3</v>
      </c>
      <c r="BU45" s="6">
        <v>-3.7026429999999998E-3</v>
      </c>
      <c r="BV45" s="6">
        <v>7.8571190476190461E-5</v>
      </c>
      <c r="BW45" s="6">
        <v>-2.854845E-3</v>
      </c>
      <c r="BX45" s="6">
        <v>-3.9770480000000004E-3</v>
      </c>
      <c r="BY45" s="6">
        <v>8.9063730158730201E-5</v>
      </c>
      <c r="BZ45" s="6">
        <v>-2.8588519999999998E-3</v>
      </c>
      <c r="CA45" s="6">
        <v>-4.1235860000000003E-3</v>
      </c>
      <c r="CB45" s="6">
        <v>1.0037571428571432E-4</v>
      </c>
      <c r="CC45" s="6">
        <v>-2.716876E-3</v>
      </c>
      <c r="CD45" s="6">
        <v>-3.9149479999999997E-3</v>
      </c>
      <c r="CE45" s="6">
        <v>9.5085079365079343E-5</v>
      </c>
      <c r="CF45" s="6">
        <v>-2.858991E-3</v>
      </c>
      <c r="CG45" s="6">
        <v>-4.1651789999999998E-3</v>
      </c>
      <c r="CH45" s="6">
        <v>1.0366571428571427E-4</v>
      </c>
      <c r="CI45" s="6">
        <v>-2.7167929999999999E-3</v>
      </c>
      <c r="CJ45" s="6">
        <v>-3.8907730000000001E-3</v>
      </c>
      <c r="CK45" s="6">
        <v>9.3173015873015898E-5</v>
      </c>
      <c r="CL45" s="6">
        <v>-1.8416389999999999E-3</v>
      </c>
      <c r="CM45" s="6">
        <v>-2.576905E-3</v>
      </c>
      <c r="CN45" s="6">
        <v>5.8354444444444447E-5</v>
      </c>
      <c r="CO45" s="6">
        <v>-1.9836160000000001E-3</v>
      </c>
      <c r="CP45" s="6">
        <v>-2.7855419999999998E-3</v>
      </c>
      <c r="CQ45" s="6">
        <v>6.3644920634920609E-5</v>
      </c>
      <c r="CR45" s="6">
        <v>-1.8415E-3</v>
      </c>
      <c r="CS45" s="6">
        <v>-2.5353120000000001E-3</v>
      </c>
      <c r="CT45" s="6">
        <v>5.506444444444445E-5</v>
      </c>
      <c r="CU45" s="6">
        <v>-1.9836989999999998E-3</v>
      </c>
      <c r="CV45" s="6">
        <v>-2.8097170000000002E-3</v>
      </c>
      <c r="CW45" s="6">
        <v>6.5556984126984163E-5</v>
      </c>
      <c r="CX45" s="6">
        <v>-1.9877060000000001E-3</v>
      </c>
      <c r="CY45" s="6">
        <v>-2.9562550000000001E-3</v>
      </c>
      <c r="CZ45" s="6">
        <v>7.6868968253968251E-5</v>
      </c>
      <c r="DA45" s="6">
        <v>-1.8457300000000001E-3</v>
      </c>
      <c r="DB45" s="6">
        <v>-2.7476169999999999E-3</v>
      </c>
      <c r="DC45" s="6">
        <v>7.1578333333333319E-5</v>
      </c>
      <c r="DD45" s="6">
        <v>-1.9878449999999998E-3</v>
      </c>
      <c r="DE45" s="6">
        <v>-2.997848E-3</v>
      </c>
      <c r="DF45" s="6">
        <v>8.0158968253968269E-5</v>
      </c>
      <c r="DG45" s="6">
        <v>-1.845647E-3</v>
      </c>
      <c r="DH45" s="6">
        <v>-2.723442E-3</v>
      </c>
      <c r="DI45" s="6">
        <v>6.9666269841269846E-5</v>
      </c>
    </row>
    <row r="46" spans="1:117" x14ac:dyDescent="0.3">
      <c r="A46" s="13" t="s">
        <v>392</v>
      </c>
      <c r="B46" s="13" t="s">
        <v>285</v>
      </c>
      <c r="C46" s="13" t="s">
        <v>286</v>
      </c>
      <c r="D46" s="13" t="s">
        <v>364</v>
      </c>
      <c r="E46" s="13">
        <v>7.1</v>
      </c>
      <c r="F46" s="6">
        <v>-1.3754749999999999E-3</v>
      </c>
      <c r="G46" s="6">
        <v>-1.5304450000000001E-3</v>
      </c>
      <c r="H46" s="6">
        <v>2.1826760563380305E-5</v>
      </c>
      <c r="I46" s="6">
        <v>-1.7900069999999999E-3</v>
      </c>
      <c r="J46" s="6">
        <v>-2.1647709999999998E-3</v>
      </c>
      <c r="K46" s="6">
        <v>5.2783661971830967E-5</v>
      </c>
      <c r="L46" s="6">
        <v>-1.8017440000000001E-3</v>
      </c>
      <c r="M46" s="6">
        <v>-2.1156600000000001E-3</v>
      </c>
      <c r="N46" s="6">
        <v>4.4213521126760571E-5</v>
      </c>
      <c r="O46" s="6">
        <v>-2.1963540000000002E-3</v>
      </c>
      <c r="P46" s="6">
        <v>-2.7223619999999999E-3</v>
      </c>
      <c r="Q46" s="6">
        <v>7.4085633802816863E-5</v>
      </c>
      <c r="R46" s="6">
        <v>-1.8569979999999999E-3</v>
      </c>
      <c r="S46" s="6">
        <v>-1.9399910000000001E-3</v>
      </c>
      <c r="T46" s="6">
        <v>1.1689154929577489E-5</v>
      </c>
      <c r="U46" s="6">
        <v>-2.2833910000000001E-3</v>
      </c>
      <c r="V46" s="6">
        <v>-3.2209859999999999E-3</v>
      </c>
      <c r="W46" s="6">
        <v>1.3205563380281688E-4</v>
      </c>
      <c r="X46" s="6">
        <v>-1.852605E-3</v>
      </c>
      <c r="Y46" s="6">
        <v>-1.8174700000000001E-3</v>
      </c>
      <c r="Z46" s="6">
        <v>4.9485915492957662E-6</v>
      </c>
      <c r="AA46" s="6">
        <v>-2.3807110000000002E-3</v>
      </c>
      <c r="AB46" s="6">
        <v>-3.3024899999999999E-3</v>
      </c>
      <c r="AC46" s="6">
        <v>1.2982802816901404E-4</v>
      </c>
      <c r="AD46" s="6">
        <v>-2.3609289999999999E-3</v>
      </c>
      <c r="AE46" s="6">
        <v>-3.2220970000000002E-3</v>
      </c>
      <c r="AF46" s="6">
        <v>1.2129126760563385E-4</v>
      </c>
      <c r="AG46" s="6">
        <v>-1.8397820000000001E-3</v>
      </c>
      <c r="AH46" s="6">
        <v>-1.930813E-3</v>
      </c>
      <c r="AI46" s="6">
        <v>1.2821267605633787E-5</v>
      </c>
      <c r="AJ46" s="6">
        <v>-2.365322E-3</v>
      </c>
      <c r="AK46" s="6">
        <v>-3.3446180000000002E-3</v>
      </c>
      <c r="AL46" s="6">
        <v>1.3792901408450707E-4</v>
      </c>
      <c r="AM46" s="6">
        <v>-1.837216E-3</v>
      </c>
      <c r="AN46" s="6">
        <v>-1.8595980000000001E-3</v>
      </c>
      <c r="AO46" s="6">
        <v>3.1523943661971895E-6</v>
      </c>
      <c r="AP46" s="6">
        <v>-1.6254290000000001E-3</v>
      </c>
      <c r="AQ46" s="6">
        <v>-1.665035E-3</v>
      </c>
      <c r="AR46" s="6">
        <v>5.5783098591549256E-6</v>
      </c>
      <c r="AS46" s="6">
        <v>-2.146575E-3</v>
      </c>
      <c r="AT46" s="6">
        <v>-2.9563189999999998E-3</v>
      </c>
      <c r="AU46" s="6">
        <v>1.1404845070422533E-4</v>
      </c>
      <c r="AV46" s="6">
        <v>-1.621036E-3</v>
      </c>
      <c r="AW46" s="6">
        <v>-1.542514E-3</v>
      </c>
      <c r="AX46" s="6">
        <v>1.10594366197183E-5</v>
      </c>
      <c r="AY46" s="6">
        <v>-2.1491420000000002E-3</v>
      </c>
      <c r="AZ46" s="6">
        <v>-3.0275340000000001E-3</v>
      </c>
      <c r="BA46" s="6">
        <v>1.2371718309859154E-4</v>
      </c>
      <c r="BB46" s="6">
        <v>-2.1293599999999998E-3</v>
      </c>
      <c r="BC46" s="6">
        <v>-2.9471409999999999E-3</v>
      </c>
      <c r="BD46" s="6">
        <v>1.1518042253521128E-4</v>
      </c>
      <c r="BE46" s="6">
        <v>-1.608213E-3</v>
      </c>
      <c r="BF46" s="6">
        <v>-1.655856E-3</v>
      </c>
      <c r="BG46" s="6">
        <v>6.710281690140844E-6</v>
      </c>
      <c r="BH46" s="6">
        <v>-2.133752E-3</v>
      </c>
      <c r="BI46" s="6">
        <v>-3.0696619999999999E-3</v>
      </c>
      <c r="BJ46" s="6">
        <v>1.3181830985915493E-4</v>
      </c>
      <c r="BK46" s="6">
        <v>-1.605647E-3</v>
      </c>
      <c r="BL46" s="6">
        <v>-1.5846409999999999E-3</v>
      </c>
      <c r="BM46" s="6">
        <v>2.9585915492957836E-6</v>
      </c>
      <c r="BN46" s="6">
        <v>-2.3035379999999999E-3</v>
      </c>
      <c r="BO46" s="6">
        <v>-2.70951E-3</v>
      </c>
      <c r="BP46" s="6">
        <v>5.7179154929577484E-5</v>
      </c>
      <c r="BQ46" s="6">
        <v>-2.459882E-3</v>
      </c>
      <c r="BR46" s="6">
        <v>-3.096896E-3</v>
      </c>
      <c r="BS46" s="6">
        <v>8.9720281690140846E-5</v>
      </c>
      <c r="BT46" s="6">
        <v>-2.3022199999999998E-3</v>
      </c>
      <c r="BU46" s="6">
        <v>-2.6727539999999998E-3</v>
      </c>
      <c r="BV46" s="6">
        <v>5.2187887323943671E-5</v>
      </c>
      <c r="BW46" s="6">
        <v>-2.4606519999999998E-3</v>
      </c>
      <c r="BX46" s="6">
        <v>-3.1182599999999999E-3</v>
      </c>
      <c r="BY46" s="6">
        <v>9.2620845070422552E-5</v>
      </c>
      <c r="BZ46" s="6">
        <v>-2.4547169999999999E-3</v>
      </c>
      <c r="CA46" s="6">
        <v>-3.0941419999999998E-3</v>
      </c>
      <c r="CB46" s="6">
        <v>9.0059859154929573E-5</v>
      </c>
      <c r="CC46" s="6">
        <v>-2.2983729999999998E-3</v>
      </c>
      <c r="CD46" s="6">
        <v>-2.7067570000000002E-3</v>
      </c>
      <c r="CE46" s="6">
        <v>5.7518873239436673E-5</v>
      </c>
      <c r="CF46" s="6">
        <v>-2.4560350000000001E-3</v>
      </c>
      <c r="CG46" s="6">
        <v>-3.130898E-3</v>
      </c>
      <c r="CH46" s="6">
        <v>9.5051126760563372E-5</v>
      </c>
      <c r="CI46" s="6">
        <v>-2.297604E-3</v>
      </c>
      <c r="CJ46" s="6">
        <v>-2.685392E-3</v>
      </c>
      <c r="CK46" s="6">
        <v>5.4618028169014089E-5</v>
      </c>
      <c r="CL46" s="6">
        <v>-1.5316399999999999E-3</v>
      </c>
      <c r="CM46" s="6">
        <v>-1.792989E-3</v>
      </c>
      <c r="CN46" s="6">
        <v>3.6809718309859177E-5</v>
      </c>
      <c r="CO46" s="6">
        <v>-1.687984E-3</v>
      </c>
      <c r="CP46" s="6">
        <v>-2.180375E-3</v>
      </c>
      <c r="CQ46" s="6">
        <v>6.9350845070422539E-5</v>
      </c>
      <c r="CR46" s="6">
        <v>-1.530322E-3</v>
      </c>
      <c r="CS46" s="6">
        <v>-1.7562330000000001E-3</v>
      </c>
      <c r="CT46" s="6">
        <v>3.1818450704225364E-5</v>
      </c>
      <c r="CU46" s="6">
        <v>-1.688754E-3</v>
      </c>
      <c r="CV46" s="6">
        <v>-2.2017389999999999E-3</v>
      </c>
      <c r="CW46" s="6">
        <v>7.2251408450704204E-5</v>
      </c>
      <c r="CX46" s="6">
        <v>-1.68282E-3</v>
      </c>
      <c r="CY46" s="6">
        <v>-2.1776209999999998E-3</v>
      </c>
      <c r="CZ46" s="6">
        <v>6.9690281690140823E-5</v>
      </c>
      <c r="DA46" s="6">
        <v>-1.5264759999999999E-3</v>
      </c>
      <c r="DB46" s="6">
        <v>-1.790236E-3</v>
      </c>
      <c r="DC46" s="6">
        <v>3.7149295774647897E-5</v>
      </c>
      <c r="DD46" s="6">
        <v>-1.684137E-3</v>
      </c>
      <c r="DE46" s="6">
        <v>-2.2143779999999999E-3</v>
      </c>
      <c r="DF46" s="6">
        <v>7.468183098591548E-5</v>
      </c>
      <c r="DG46" s="6">
        <v>-1.5257059999999999E-3</v>
      </c>
      <c r="DH46" s="6">
        <v>-1.768871E-3</v>
      </c>
      <c r="DI46" s="6">
        <v>3.4248591549295782E-5</v>
      </c>
    </row>
    <row r="47" spans="1:117" x14ac:dyDescent="0.3">
      <c r="A47" s="13" t="s">
        <v>393</v>
      </c>
      <c r="B47" s="13" t="s">
        <v>286</v>
      </c>
      <c r="C47" s="13" t="s">
        <v>288</v>
      </c>
      <c r="D47" s="13" t="s">
        <v>364</v>
      </c>
      <c r="E47" s="13">
        <v>8.3000000000000007</v>
      </c>
      <c r="F47" s="6">
        <v>-1.5304450000000001E-3</v>
      </c>
      <c r="G47" s="6">
        <v>-1.9709939999999998E-3</v>
      </c>
      <c r="H47" s="6">
        <v>5.3078192771084301E-5</v>
      </c>
      <c r="I47" s="6">
        <v>-2.1647709999999998E-3</v>
      </c>
      <c r="J47" s="6">
        <v>-2.7757160000000001E-3</v>
      </c>
      <c r="K47" s="6">
        <v>7.3607831325301243E-5</v>
      </c>
      <c r="L47" s="6">
        <v>-2.1156600000000001E-3</v>
      </c>
      <c r="M47" s="6">
        <v>-2.573297E-3</v>
      </c>
      <c r="N47" s="6">
        <v>5.5136987951807211E-5</v>
      </c>
      <c r="O47" s="6">
        <v>-2.7223619999999999E-3</v>
      </c>
      <c r="P47" s="6">
        <v>-3.3493429999999999E-3</v>
      </c>
      <c r="Q47" s="6">
        <v>7.5539879518072273E-5</v>
      </c>
      <c r="R47" s="6">
        <v>-1.9399910000000001E-3</v>
      </c>
      <c r="S47" s="6">
        <v>-3.3419399999999998E-3</v>
      </c>
      <c r="T47" s="6">
        <v>1.6890951807228911E-4</v>
      </c>
      <c r="U47" s="6">
        <v>-3.2209859999999999E-3</v>
      </c>
      <c r="V47" s="6">
        <v>-3.8181930000000001E-3</v>
      </c>
      <c r="W47" s="6">
        <v>7.1952650602409652E-5</v>
      </c>
      <c r="X47" s="6">
        <v>-1.8174700000000001E-3</v>
      </c>
      <c r="Y47" s="6">
        <v>-3.426686E-3</v>
      </c>
      <c r="Z47" s="6">
        <v>1.9388144578313249E-4</v>
      </c>
      <c r="AA47" s="6">
        <v>-3.3024899999999999E-3</v>
      </c>
      <c r="AB47" s="6">
        <v>-3.7664439999999999E-3</v>
      </c>
      <c r="AC47" s="6">
        <v>5.5898072289156614E-5</v>
      </c>
      <c r="AD47" s="6">
        <v>-3.2220970000000002E-3</v>
      </c>
      <c r="AE47" s="6">
        <v>-3.1135989999999999E-3</v>
      </c>
      <c r="AF47" s="6">
        <v>1.3072048192771117E-5</v>
      </c>
      <c r="AG47" s="6">
        <v>-1.930813E-3</v>
      </c>
      <c r="AH47" s="6">
        <v>-2.6398010000000002E-3</v>
      </c>
      <c r="AI47" s="6">
        <v>8.5420240963855442E-5</v>
      </c>
      <c r="AJ47" s="6">
        <v>-3.3446180000000002E-3</v>
      </c>
      <c r="AK47" s="6">
        <v>-3.0288530000000002E-3</v>
      </c>
      <c r="AL47" s="6">
        <v>3.8043975903614452E-5</v>
      </c>
      <c r="AM47" s="6">
        <v>-1.8595980000000001E-3</v>
      </c>
      <c r="AN47" s="6">
        <v>-2.6890949999999999E-3</v>
      </c>
      <c r="AO47" s="6">
        <v>9.9939397590361411E-5</v>
      </c>
      <c r="AP47" s="6">
        <v>-1.665035E-3</v>
      </c>
      <c r="AQ47" s="6">
        <v>-3.011461E-3</v>
      </c>
      <c r="AR47" s="6">
        <v>1.6221999999999997E-4</v>
      </c>
      <c r="AS47" s="6">
        <v>-2.9563189999999998E-3</v>
      </c>
      <c r="AT47" s="6">
        <v>-3.4852580000000002E-3</v>
      </c>
      <c r="AU47" s="6">
        <v>6.3727590361445827E-5</v>
      </c>
      <c r="AV47" s="6">
        <v>-1.542514E-3</v>
      </c>
      <c r="AW47" s="6">
        <v>-3.0962070000000001E-3</v>
      </c>
      <c r="AX47" s="6">
        <v>1.8719192771084336E-4</v>
      </c>
      <c r="AY47" s="6">
        <v>-3.0275340000000001E-3</v>
      </c>
      <c r="AZ47" s="6">
        <v>-3.435965E-3</v>
      </c>
      <c r="BA47" s="6">
        <v>4.9208554216867454E-5</v>
      </c>
      <c r="BB47" s="6">
        <v>-2.9471409999999999E-3</v>
      </c>
      <c r="BC47" s="6">
        <v>-2.78312E-3</v>
      </c>
      <c r="BD47" s="6">
        <v>1.9761566265060225E-5</v>
      </c>
      <c r="BE47" s="6">
        <v>-1.655856E-3</v>
      </c>
      <c r="BF47" s="6">
        <v>-2.3093229999999998E-3</v>
      </c>
      <c r="BG47" s="6">
        <v>7.8730963855421651E-5</v>
      </c>
      <c r="BH47" s="6">
        <v>-3.0696619999999999E-3</v>
      </c>
      <c r="BI47" s="6">
        <v>-2.6983739999999999E-3</v>
      </c>
      <c r="BJ47" s="6">
        <v>4.4733493975903612E-5</v>
      </c>
      <c r="BK47" s="6">
        <v>-1.5846409999999999E-3</v>
      </c>
      <c r="BL47" s="6">
        <v>-2.358616E-3</v>
      </c>
      <c r="BM47" s="6">
        <v>9.3250000000000003E-5</v>
      </c>
      <c r="BN47" s="6">
        <v>-2.70951E-3</v>
      </c>
      <c r="BO47" s="6">
        <v>-3.6475790000000002E-3</v>
      </c>
      <c r="BP47" s="6">
        <v>1.1302036144578315E-4</v>
      </c>
      <c r="BQ47" s="6">
        <v>-3.096896E-3</v>
      </c>
      <c r="BR47" s="6">
        <v>-3.7897180000000001E-3</v>
      </c>
      <c r="BS47" s="6">
        <v>8.3472530120481925E-5</v>
      </c>
      <c r="BT47" s="6">
        <v>-2.6727539999999998E-3</v>
      </c>
      <c r="BU47" s="6">
        <v>-3.6730030000000002E-3</v>
      </c>
      <c r="BV47" s="6">
        <v>1.2051192771084341E-4</v>
      </c>
      <c r="BW47" s="6">
        <v>-3.1182599999999999E-3</v>
      </c>
      <c r="BX47" s="6">
        <v>-3.7749300000000001E-3</v>
      </c>
      <c r="BY47" s="6">
        <v>7.9116867469879545E-5</v>
      </c>
      <c r="BZ47" s="6">
        <v>-3.0941419999999998E-3</v>
      </c>
      <c r="CA47" s="6">
        <v>-3.579077E-3</v>
      </c>
      <c r="CB47" s="6">
        <v>5.8425903614457846E-5</v>
      </c>
      <c r="CC47" s="6">
        <v>-2.7067570000000002E-3</v>
      </c>
      <c r="CD47" s="6">
        <v>-3.4369370000000002E-3</v>
      </c>
      <c r="CE47" s="6">
        <v>8.7973493975903604E-5</v>
      </c>
      <c r="CF47" s="6">
        <v>-3.130898E-3</v>
      </c>
      <c r="CG47" s="6">
        <v>-3.5536529999999999E-3</v>
      </c>
      <c r="CH47" s="6">
        <v>5.0934337349397573E-5</v>
      </c>
      <c r="CI47" s="6">
        <v>-2.685392E-3</v>
      </c>
      <c r="CJ47" s="6">
        <v>-3.4517250000000001E-3</v>
      </c>
      <c r="CK47" s="6">
        <v>9.2329277108433737E-5</v>
      </c>
      <c r="CL47" s="6">
        <v>-1.792989E-3</v>
      </c>
      <c r="CM47" s="6">
        <v>-2.5459829999999999E-3</v>
      </c>
      <c r="CN47" s="6">
        <v>9.0722168674698777E-5</v>
      </c>
      <c r="CO47" s="6">
        <v>-2.180375E-3</v>
      </c>
      <c r="CP47" s="6">
        <v>-2.6881219999999998E-3</v>
      </c>
      <c r="CQ47" s="6">
        <v>6.1174337349397556E-5</v>
      </c>
      <c r="CR47" s="6">
        <v>-1.7562330000000001E-3</v>
      </c>
      <c r="CS47" s="6">
        <v>-2.5714069999999999E-3</v>
      </c>
      <c r="CT47" s="6">
        <v>9.821373493975901E-5</v>
      </c>
      <c r="CU47" s="6">
        <v>-2.2017389999999999E-3</v>
      </c>
      <c r="CV47" s="6">
        <v>-2.6733339999999999E-3</v>
      </c>
      <c r="CW47" s="6">
        <v>5.6818674698795176E-5</v>
      </c>
      <c r="CX47" s="6">
        <v>-2.1776209999999998E-3</v>
      </c>
      <c r="CY47" s="6">
        <v>-2.4774810000000001E-3</v>
      </c>
      <c r="CZ47" s="6">
        <v>3.6127710843373532E-5</v>
      </c>
      <c r="DA47" s="6">
        <v>-1.790236E-3</v>
      </c>
      <c r="DB47" s="6">
        <v>-2.3353419999999998E-3</v>
      </c>
      <c r="DC47" s="6">
        <v>6.567542168674696E-5</v>
      </c>
      <c r="DD47" s="6">
        <v>-2.2143779999999999E-3</v>
      </c>
      <c r="DE47" s="6">
        <v>-2.4520570000000001E-3</v>
      </c>
      <c r="DF47" s="6">
        <v>2.8636024096385564E-5</v>
      </c>
      <c r="DG47" s="6">
        <v>-1.768871E-3</v>
      </c>
      <c r="DH47" s="6">
        <v>-2.3501300000000002E-3</v>
      </c>
      <c r="DI47" s="6">
        <v>7.0031204819277133E-5</v>
      </c>
    </row>
    <row r="48" spans="1:117" x14ac:dyDescent="0.3">
      <c r="A48" s="13" t="s">
        <v>394</v>
      </c>
      <c r="B48" s="13" t="s">
        <v>248</v>
      </c>
      <c r="C48" s="13" t="s">
        <v>286</v>
      </c>
      <c r="D48" s="13" t="s">
        <v>364</v>
      </c>
      <c r="E48" s="13">
        <v>8.3000000000000007</v>
      </c>
      <c r="F48" s="6">
        <v>-2.1227849999999999E-3</v>
      </c>
      <c r="G48" s="6">
        <v>-1.5304450000000001E-3</v>
      </c>
      <c r="H48" s="6">
        <v>7.1366265060240935E-5</v>
      </c>
      <c r="I48" s="6">
        <v>-3.060381E-3</v>
      </c>
      <c r="J48" s="6">
        <v>-2.1647709999999998E-3</v>
      </c>
      <c r="K48" s="6">
        <v>1.0790481927710845E-4</v>
      </c>
      <c r="L48" s="6">
        <v>-2.7357229999999998E-3</v>
      </c>
      <c r="M48" s="6">
        <v>-2.1156600000000001E-3</v>
      </c>
      <c r="N48" s="6">
        <v>7.4706385542168624E-5</v>
      </c>
      <c r="O48" s="6">
        <v>-3.640094E-3</v>
      </c>
      <c r="P48" s="6">
        <v>-2.7223619999999999E-3</v>
      </c>
      <c r="Q48" s="6">
        <v>1.1057012048192772E-4</v>
      </c>
      <c r="R48" s="6">
        <v>-2.8930940000000001E-3</v>
      </c>
      <c r="S48" s="6">
        <v>-1.9399910000000001E-3</v>
      </c>
      <c r="T48" s="6">
        <v>1.1483168674698796E-4</v>
      </c>
      <c r="U48" s="6">
        <v>-3.5900459999999999E-3</v>
      </c>
      <c r="V48" s="6">
        <v>-3.2209859999999999E-3</v>
      </c>
      <c r="W48" s="6">
        <v>4.4465060240963858E-5</v>
      </c>
      <c r="X48" s="6">
        <v>-2.7544520000000001E-3</v>
      </c>
      <c r="Y48" s="6">
        <v>-1.8174700000000001E-3</v>
      </c>
      <c r="Z48" s="6">
        <v>1.1288939759036144E-4</v>
      </c>
      <c r="AA48" s="6">
        <v>-3.6691369999999998E-3</v>
      </c>
      <c r="AB48" s="6">
        <v>-3.3024899999999999E-3</v>
      </c>
      <c r="AC48" s="6">
        <v>4.4174337349397577E-5</v>
      </c>
      <c r="AD48" s="6">
        <v>-4.157595E-3</v>
      </c>
      <c r="AE48" s="6">
        <v>-3.2220970000000002E-3</v>
      </c>
      <c r="AF48" s="6">
        <v>1.1271060240963853E-4</v>
      </c>
      <c r="AG48" s="6">
        <v>-3.4621360000000002E-3</v>
      </c>
      <c r="AH48" s="6">
        <v>-1.930813E-3</v>
      </c>
      <c r="AI48" s="6">
        <v>1.8449674698795183E-4</v>
      </c>
      <c r="AJ48" s="6">
        <v>-4.296238E-3</v>
      </c>
      <c r="AK48" s="6">
        <v>-3.3446180000000002E-3</v>
      </c>
      <c r="AL48" s="6">
        <v>1.1465301204819274E-4</v>
      </c>
      <c r="AM48" s="6">
        <v>-3.3815519999999999E-3</v>
      </c>
      <c r="AN48" s="6">
        <v>-1.8595980000000001E-3</v>
      </c>
      <c r="AO48" s="6">
        <v>1.8336795180722888E-4</v>
      </c>
      <c r="AP48" s="6">
        <v>-2.5428949999999999E-3</v>
      </c>
      <c r="AQ48" s="6">
        <v>-1.665035E-3</v>
      </c>
      <c r="AR48" s="6">
        <v>1.0576626506024093E-4</v>
      </c>
      <c r="AS48" s="6">
        <v>-3.2383540000000001E-3</v>
      </c>
      <c r="AT48" s="6">
        <v>-2.9563189999999998E-3</v>
      </c>
      <c r="AU48" s="6">
        <v>3.3980120481927749E-5</v>
      </c>
      <c r="AV48" s="6">
        <v>-2.4042529999999999E-3</v>
      </c>
      <c r="AW48" s="6">
        <v>-1.542514E-3</v>
      </c>
      <c r="AX48" s="6">
        <v>1.0382397590361443E-4</v>
      </c>
      <c r="AY48" s="6">
        <v>-3.318938E-3</v>
      </c>
      <c r="AZ48" s="6">
        <v>-3.0275340000000001E-3</v>
      </c>
      <c r="BA48" s="6">
        <v>3.5108915662650585E-5</v>
      </c>
      <c r="BB48" s="6">
        <v>-3.8073959999999998E-3</v>
      </c>
      <c r="BC48" s="6">
        <v>-2.9471409999999999E-3</v>
      </c>
      <c r="BD48" s="6">
        <v>1.0364518072289154E-4</v>
      </c>
      <c r="BE48" s="6">
        <v>-3.111936E-3</v>
      </c>
      <c r="BF48" s="6">
        <v>-1.655856E-3</v>
      </c>
      <c r="BG48" s="6">
        <v>1.7543132530120482E-4</v>
      </c>
      <c r="BH48" s="6">
        <v>-3.9460379999999998E-3</v>
      </c>
      <c r="BI48" s="6">
        <v>-3.0696619999999999E-3</v>
      </c>
      <c r="BJ48" s="6">
        <v>1.0558746987951806E-4</v>
      </c>
      <c r="BK48" s="6">
        <v>-3.0313530000000001E-3</v>
      </c>
      <c r="BL48" s="6">
        <v>-1.5846409999999999E-3</v>
      </c>
      <c r="BM48" s="6">
        <v>1.7430265060240963E-4</v>
      </c>
      <c r="BN48" s="6">
        <v>-3.7442349999999998E-3</v>
      </c>
      <c r="BO48" s="6">
        <v>-2.70951E-3</v>
      </c>
      <c r="BP48" s="6">
        <v>1.2466566265060237E-4</v>
      </c>
      <c r="BQ48" s="6">
        <v>-3.952873E-3</v>
      </c>
      <c r="BR48" s="6">
        <v>-3.096896E-3</v>
      </c>
      <c r="BS48" s="6">
        <v>1.0312975903614456E-4</v>
      </c>
      <c r="BT48" s="6">
        <v>-3.7026429999999998E-3</v>
      </c>
      <c r="BU48" s="6">
        <v>-2.6727539999999998E-3</v>
      </c>
      <c r="BV48" s="6">
        <v>1.2408301204819275E-4</v>
      </c>
      <c r="BW48" s="6">
        <v>-3.9770480000000004E-3</v>
      </c>
      <c r="BX48" s="6">
        <v>-3.1182599999999999E-3</v>
      </c>
      <c r="BY48" s="6">
        <v>1.0346843373493982E-4</v>
      </c>
      <c r="BZ48" s="6">
        <v>-4.1235860000000003E-3</v>
      </c>
      <c r="CA48" s="6">
        <v>-3.0941419999999998E-3</v>
      </c>
      <c r="CB48" s="6">
        <v>1.2402939759036149E-4</v>
      </c>
      <c r="CC48" s="6">
        <v>-3.9149479999999997E-3</v>
      </c>
      <c r="CD48" s="6">
        <v>-2.7067570000000002E-3</v>
      </c>
      <c r="CE48" s="6">
        <v>1.4556518072289149E-4</v>
      </c>
      <c r="CF48" s="6">
        <v>-4.1651789999999998E-3</v>
      </c>
      <c r="CG48" s="6">
        <v>-3.130898E-3</v>
      </c>
      <c r="CH48" s="6">
        <v>1.2461216867469877E-4</v>
      </c>
      <c r="CI48" s="6">
        <v>-3.8907730000000001E-3</v>
      </c>
      <c r="CJ48" s="6">
        <v>-2.685392E-3</v>
      </c>
      <c r="CK48" s="6">
        <v>1.452266265060241E-4</v>
      </c>
      <c r="CL48" s="6">
        <v>-2.576905E-3</v>
      </c>
      <c r="CM48" s="6">
        <v>-1.792989E-3</v>
      </c>
      <c r="CN48" s="6">
        <v>9.4447710843373475E-5</v>
      </c>
      <c r="CO48" s="6">
        <v>-2.7855419999999998E-3</v>
      </c>
      <c r="CP48" s="6">
        <v>-2.180375E-3</v>
      </c>
      <c r="CQ48" s="6">
        <v>7.2911686746987924E-5</v>
      </c>
      <c r="CR48" s="6">
        <v>-2.5353120000000001E-3</v>
      </c>
      <c r="CS48" s="6">
        <v>-1.7562330000000001E-3</v>
      </c>
      <c r="CT48" s="6">
        <v>9.3864939759036141E-5</v>
      </c>
      <c r="CU48" s="6">
        <v>-2.8097170000000002E-3</v>
      </c>
      <c r="CV48" s="6">
        <v>-2.2017389999999999E-3</v>
      </c>
      <c r="CW48" s="6">
        <v>7.3250361445783167E-5</v>
      </c>
      <c r="CX48" s="6">
        <v>-2.9562550000000001E-3</v>
      </c>
      <c r="CY48" s="6">
        <v>-2.1776209999999998E-3</v>
      </c>
      <c r="CZ48" s="6">
        <v>9.3811325301204837E-5</v>
      </c>
      <c r="DA48" s="6">
        <v>-2.7476169999999999E-3</v>
      </c>
      <c r="DB48" s="6">
        <v>-1.790236E-3</v>
      </c>
      <c r="DC48" s="6">
        <v>1.1534710843373492E-4</v>
      </c>
      <c r="DD48" s="6">
        <v>-2.997848E-3</v>
      </c>
      <c r="DE48" s="6">
        <v>-2.2143779999999999E-3</v>
      </c>
      <c r="DF48" s="6">
        <v>9.439397590361446E-5</v>
      </c>
      <c r="DG48" s="6">
        <v>-2.723442E-3</v>
      </c>
      <c r="DH48" s="6">
        <v>-1.768871E-3</v>
      </c>
      <c r="DI48" s="6">
        <v>1.1500855421686746E-4</v>
      </c>
    </row>
    <row r="49" spans="1:113" x14ac:dyDescent="0.3">
      <c r="A49" s="13" t="s">
        <v>395</v>
      </c>
      <c r="B49" s="13" t="s">
        <v>286</v>
      </c>
      <c r="C49" s="13" t="s">
        <v>320</v>
      </c>
      <c r="D49" s="13" t="s">
        <v>364</v>
      </c>
      <c r="E49" s="13">
        <v>5.75</v>
      </c>
      <c r="F49" s="6">
        <v>-1.5304450000000001E-3</v>
      </c>
      <c r="G49" s="6">
        <v>-1.438829E-3</v>
      </c>
      <c r="H49" s="6">
        <v>1.5933217391304365E-5</v>
      </c>
      <c r="I49" s="6">
        <v>-2.1647709999999998E-3</v>
      </c>
      <c r="J49" s="6">
        <v>-1.8281669999999999E-3</v>
      </c>
      <c r="K49" s="6">
        <v>5.8539826086956507E-5</v>
      </c>
      <c r="L49" s="6">
        <v>-2.1156600000000001E-3</v>
      </c>
      <c r="M49" s="6">
        <v>-1.846231E-3</v>
      </c>
      <c r="N49" s="6">
        <v>4.6857217391304362E-5</v>
      </c>
      <c r="O49" s="6">
        <v>-2.7223619999999999E-3</v>
      </c>
      <c r="P49" s="6">
        <v>-2.2163629999999998E-3</v>
      </c>
      <c r="Q49" s="6">
        <v>8.7999826086956526E-5</v>
      </c>
      <c r="R49" s="6">
        <v>-1.9399910000000001E-3</v>
      </c>
      <c r="S49" s="6">
        <v>-1.9066300000000001E-3</v>
      </c>
      <c r="T49" s="6">
        <v>5.801913043478258E-6</v>
      </c>
      <c r="U49" s="6">
        <v>-3.2209859999999999E-3</v>
      </c>
      <c r="V49" s="6">
        <v>-2.3306860000000002E-3</v>
      </c>
      <c r="W49" s="6">
        <v>1.5483478260869561E-4</v>
      </c>
      <c r="X49" s="6">
        <v>-1.8174700000000001E-3</v>
      </c>
      <c r="Y49" s="6">
        <v>-1.9031E-3</v>
      </c>
      <c r="Z49" s="6">
        <v>1.4892173913043469E-5</v>
      </c>
      <c r="AA49" s="6">
        <v>-3.3024899999999999E-3</v>
      </c>
      <c r="AB49" s="6">
        <v>-2.432774E-3</v>
      </c>
      <c r="AC49" s="6">
        <v>1.5125495652173912E-4</v>
      </c>
      <c r="AD49" s="6">
        <v>-3.2220970000000002E-3</v>
      </c>
      <c r="AE49" s="6">
        <v>-2.37412E-3</v>
      </c>
      <c r="AF49" s="6">
        <v>1.4747426086956524E-4</v>
      </c>
      <c r="AG49" s="6">
        <v>-1.930813E-3</v>
      </c>
      <c r="AH49" s="6">
        <v>-1.850045E-3</v>
      </c>
      <c r="AI49" s="6">
        <v>1.4046608695652163E-5</v>
      </c>
      <c r="AJ49" s="6">
        <v>-3.3446180000000002E-3</v>
      </c>
      <c r="AK49" s="6">
        <v>-2.3776499999999998E-3</v>
      </c>
      <c r="AL49" s="6">
        <v>1.68168347826087E-4</v>
      </c>
      <c r="AM49" s="6">
        <v>-1.8595980000000001E-3</v>
      </c>
      <c r="AN49" s="6">
        <v>-1.847975E-3</v>
      </c>
      <c r="AO49" s="6">
        <v>2.0213913043478439E-6</v>
      </c>
      <c r="AP49" s="6">
        <v>-1.665035E-3</v>
      </c>
      <c r="AQ49" s="6">
        <v>-1.670408E-3</v>
      </c>
      <c r="AR49" s="6">
        <v>9.3443478260868229E-7</v>
      </c>
      <c r="AS49" s="6">
        <v>-2.9563189999999998E-3</v>
      </c>
      <c r="AT49" s="6">
        <v>-2.1944830000000001E-3</v>
      </c>
      <c r="AU49" s="6">
        <v>1.3249321739130428E-4</v>
      </c>
      <c r="AV49" s="6">
        <v>-1.542514E-3</v>
      </c>
      <c r="AW49" s="6">
        <v>-1.6668779999999999E-3</v>
      </c>
      <c r="AX49" s="6">
        <v>2.1628521739130408E-5</v>
      </c>
      <c r="AY49" s="6">
        <v>-3.0275340000000001E-3</v>
      </c>
      <c r="AZ49" s="6">
        <v>-2.196553E-3</v>
      </c>
      <c r="BA49" s="6">
        <v>1.4451843478260873E-4</v>
      </c>
      <c r="BB49" s="6">
        <v>-2.9471409999999999E-3</v>
      </c>
      <c r="BC49" s="6">
        <v>-2.1378980000000001E-3</v>
      </c>
      <c r="BD49" s="6">
        <v>1.4073791304347824E-4</v>
      </c>
      <c r="BE49" s="6">
        <v>-1.655856E-3</v>
      </c>
      <c r="BF49" s="6">
        <v>-1.6138229999999999E-3</v>
      </c>
      <c r="BG49" s="6">
        <v>7.3100869565217615E-6</v>
      </c>
      <c r="BH49" s="6">
        <v>-3.0696619999999999E-3</v>
      </c>
      <c r="BI49" s="6">
        <v>-2.1414279999999999E-3</v>
      </c>
      <c r="BJ49" s="6">
        <v>1.6143200000000001E-4</v>
      </c>
      <c r="BK49" s="6">
        <v>-1.5846409999999999E-3</v>
      </c>
      <c r="BL49" s="6">
        <v>-1.6117530000000001E-3</v>
      </c>
      <c r="BM49" s="6">
        <v>4.7151304347826339E-6</v>
      </c>
      <c r="BN49" s="6">
        <v>-2.70951E-3</v>
      </c>
      <c r="BO49" s="6">
        <v>-2.3458429999999998E-3</v>
      </c>
      <c r="BP49" s="6">
        <v>6.3246434782608744E-5</v>
      </c>
      <c r="BQ49" s="6">
        <v>-3.096896E-3</v>
      </c>
      <c r="BR49" s="6">
        <v>-2.503066E-3</v>
      </c>
      <c r="BS49" s="6">
        <v>1.0327478260869566E-4</v>
      </c>
      <c r="BT49" s="6">
        <v>-2.6727539999999998E-3</v>
      </c>
      <c r="BU49" s="6">
        <v>-2.3447839999999999E-3</v>
      </c>
      <c r="BV49" s="6">
        <v>5.7038260869565199E-5</v>
      </c>
      <c r="BW49" s="6">
        <v>-3.1182599999999999E-3</v>
      </c>
      <c r="BX49" s="6">
        <v>-2.5036860000000002E-3</v>
      </c>
      <c r="BY49" s="6">
        <v>1.0688243478260864E-4</v>
      </c>
      <c r="BZ49" s="6">
        <v>-3.0941419999999998E-3</v>
      </c>
      <c r="CA49" s="6">
        <v>-2.4860899999999998E-3</v>
      </c>
      <c r="CB49" s="6">
        <v>1.0574817391304348E-4</v>
      </c>
      <c r="CC49" s="6">
        <v>-2.7067570000000002E-3</v>
      </c>
      <c r="CD49" s="6">
        <v>-2.328868E-3</v>
      </c>
      <c r="CE49" s="6">
        <v>6.5719826086956556E-5</v>
      </c>
      <c r="CF49" s="6">
        <v>-3.130898E-3</v>
      </c>
      <c r="CG49" s="6">
        <v>-2.4871490000000001E-3</v>
      </c>
      <c r="CH49" s="6">
        <v>1.1195634782608694E-4</v>
      </c>
      <c r="CI49" s="6">
        <v>-2.685392E-3</v>
      </c>
      <c r="CJ49" s="6">
        <v>-2.3282469999999999E-3</v>
      </c>
      <c r="CK49" s="6">
        <v>6.2112173913043503E-5</v>
      </c>
      <c r="CL49" s="6">
        <v>-1.792989E-3</v>
      </c>
      <c r="CM49" s="6">
        <v>-1.5584380000000001E-3</v>
      </c>
      <c r="CN49" s="6">
        <v>4.0791478260869557E-5</v>
      </c>
      <c r="CO49" s="6">
        <v>-2.180375E-3</v>
      </c>
      <c r="CP49" s="6">
        <v>-1.7156599999999999E-3</v>
      </c>
      <c r="CQ49" s="6">
        <v>8.0820000000000016E-5</v>
      </c>
      <c r="CR49" s="6">
        <v>-1.7562330000000001E-3</v>
      </c>
      <c r="CS49" s="6">
        <v>-1.557379E-3</v>
      </c>
      <c r="CT49" s="6">
        <v>3.4583304347826093E-5</v>
      </c>
      <c r="CU49" s="6">
        <v>-2.2017389999999999E-3</v>
      </c>
      <c r="CV49" s="6">
        <v>-1.7162810000000001E-3</v>
      </c>
      <c r="CW49" s="6">
        <v>8.442747826086953E-5</v>
      </c>
      <c r="CX49" s="6">
        <v>-2.1776209999999998E-3</v>
      </c>
      <c r="CY49" s="6">
        <v>-1.6986849999999999E-3</v>
      </c>
      <c r="CZ49" s="6">
        <v>8.329321739130433E-5</v>
      </c>
      <c r="DA49" s="6">
        <v>-1.790236E-3</v>
      </c>
      <c r="DB49" s="6">
        <v>-1.541462E-3</v>
      </c>
      <c r="DC49" s="6">
        <v>4.3265043478260868E-5</v>
      </c>
      <c r="DD49" s="6">
        <v>-2.2143779999999999E-3</v>
      </c>
      <c r="DE49" s="6">
        <v>-1.699744E-3</v>
      </c>
      <c r="DF49" s="6">
        <v>8.9501565217391292E-5</v>
      </c>
      <c r="DG49" s="6">
        <v>-1.768871E-3</v>
      </c>
      <c r="DH49" s="6">
        <v>-1.540841E-3</v>
      </c>
      <c r="DI49" s="6">
        <v>3.9657391304347814E-5</v>
      </c>
    </row>
    <row r="50" spans="1:113" x14ac:dyDescent="0.3">
      <c r="A50" s="13" t="s">
        <v>396</v>
      </c>
      <c r="B50" s="13" t="s">
        <v>73</v>
      </c>
      <c r="C50" s="13" t="s">
        <v>75</v>
      </c>
      <c r="D50" s="13" t="s">
        <v>347</v>
      </c>
      <c r="E50" s="13">
        <v>12.6</v>
      </c>
      <c r="F50" s="6">
        <v>-2.4589149999999999E-3</v>
      </c>
      <c r="G50" s="6">
        <v>-9.6518540000000005E-4</v>
      </c>
      <c r="H50" s="6">
        <v>1.1854996825396825E-4</v>
      </c>
      <c r="I50" s="6">
        <v>-3.0938900000000002E-3</v>
      </c>
      <c r="J50" s="6">
        <v>-1.451426E-3</v>
      </c>
      <c r="K50" s="6">
        <v>1.3035428571428573E-4</v>
      </c>
      <c r="L50" s="6">
        <v>-2.8433239999999999E-3</v>
      </c>
      <c r="M50" s="6">
        <v>-1.554148E-3</v>
      </c>
      <c r="N50" s="6">
        <v>1.0231555555555555E-4</v>
      </c>
      <c r="O50" s="6">
        <v>-3.4609530000000001E-3</v>
      </c>
      <c r="P50" s="6">
        <v>-2.00702E-3</v>
      </c>
      <c r="Q50" s="6">
        <v>1.1539150793650795E-4</v>
      </c>
      <c r="R50" s="6">
        <v>-2.959766E-3</v>
      </c>
      <c r="S50" s="6">
        <v>-1.501191E-3</v>
      </c>
      <c r="T50" s="6">
        <v>1.1575992063492063E-4</v>
      </c>
      <c r="U50" s="6">
        <v>-2.8029470000000001E-3</v>
      </c>
      <c r="V50" s="6">
        <v>-1.701382E-3</v>
      </c>
      <c r="W50" s="6">
        <v>8.7425793650793655E-5</v>
      </c>
      <c r="X50" s="6">
        <v>-2.9804409999999999E-3</v>
      </c>
      <c r="Y50" s="6">
        <v>-1.552554E-3</v>
      </c>
      <c r="Z50" s="6">
        <v>1.1332436507936507E-4</v>
      </c>
      <c r="AA50" s="6">
        <v>-2.7946830000000001E-3</v>
      </c>
      <c r="AB50" s="6">
        <v>-1.6727560000000001E-3</v>
      </c>
      <c r="AC50" s="6">
        <v>8.9041825396825395E-5</v>
      </c>
      <c r="AD50" s="6">
        <v>-3.9501199999999997E-3</v>
      </c>
      <c r="AE50" s="6">
        <v>-2.1648570000000001E-3</v>
      </c>
      <c r="AF50" s="6">
        <v>1.4168753968253967E-4</v>
      </c>
      <c r="AG50" s="6">
        <v>-4.1032079999999997E-3</v>
      </c>
      <c r="AH50" s="6">
        <v>-1.963443E-3</v>
      </c>
      <c r="AI50" s="6">
        <v>1.6982261904761902E-4</v>
      </c>
      <c r="AJ50" s="6">
        <v>-3.9294450000000002E-3</v>
      </c>
      <c r="AK50" s="6">
        <v>-2.1134930000000001E-3</v>
      </c>
      <c r="AL50" s="6">
        <v>1.441231746031746E-4</v>
      </c>
      <c r="AM50" s="6">
        <v>-4.1152029999999996E-3</v>
      </c>
      <c r="AN50" s="6">
        <v>-1.9932909999999999E-3</v>
      </c>
      <c r="AO50" s="6">
        <v>1.6840571428571426E-4</v>
      </c>
      <c r="AP50" s="6">
        <v>-2.6046910000000001E-3</v>
      </c>
      <c r="AQ50" s="6">
        <v>-1.293696E-3</v>
      </c>
      <c r="AR50" s="6">
        <v>1.0404722222222223E-4</v>
      </c>
      <c r="AS50" s="6">
        <v>-2.4516030000000001E-3</v>
      </c>
      <c r="AT50" s="6">
        <v>-1.4951090000000001E-3</v>
      </c>
      <c r="AU50" s="6">
        <v>7.5912222222222219E-5</v>
      </c>
      <c r="AV50" s="6">
        <v>-2.6253660000000001E-3</v>
      </c>
      <c r="AW50" s="6">
        <v>-1.345059E-3</v>
      </c>
      <c r="AX50" s="6">
        <v>1.0161166666666667E-4</v>
      </c>
      <c r="AY50" s="6">
        <v>-2.4396079999999998E-3</v>
      </c>
      <c r="AZ50" s="6">
        <v>-1.465261E-3</v>
      </c>
      <c r="BA50" s="6">
        <v>7.7329126984126967E-5</v>
      </c>
      <c r="BB50" s="6">
        <v>-3.5950449999999998E-3</v>
      </c>
      <c r="BC50" s="6">
        <v>-1.9573609999999999E-3</v>
      </c>
      <c r="BD50" s="6">
        <v>1.2997492063492063E-4</v>
      </c>
      <c r="BE50" s="6">
        <v>-3.7481329999999998E-3</v>
      </c>
      <c r="BF50" s="6">
        <v>-1.755948E-3</v>
      </c>
      <c r="BG50" s="6">
        <v>1.5810992063492062E-4</v>
      </c>
      <c r="BH50" s="6">
        <v>-3.5743699999999999E-3</v>
      </c>
      <c r="BI50" s="6">
        <v>-1.9059979999999999E-3</v>
      </c>
      <c r="BJ50" s="6">
        <v>1.324104761904762E-4</v>
      </c>
      <c r="BK50" s="6">
        <v>-3.7601280000000002E-3</v>
      </c>
      <c r="BL50" s="6">
        <v>-1.7857960000000001E-3</v>
      </c>
      <c r="BM50" s="6">
        <v>1.5669301587301589E-4</v>
      </c>
      <c r="BN50" s="6">
        <v>-3.7206439999999999E-3</v>
      </c>
      <c r="BO50" s="6">
        <v>-1.9755520000000002E-3</v>
      </c>
      <c r="BP50" s="6">
        <v>1.3849936507936506E-4</v>
      </c>
      <c r="BQ50" s="6">
        <v>-3.674718E-3</v>
      </c>
      <c r="BR50" s="6">
        <v>-2.0359760000000001E-3</v>
      </c>
      <c r="BS50" s="6">
        <v>1.3005888888888888E-4</v>
      </c>
      <c r="BT50" s="6">
        <v>-3.7268470000000001E-3</v>
      </c>
      <c r="BU50" s="6">
        <v>-1.9909609999999999E-3</v>
      </c>
      <c r="BV50" s="6">
        <v>1.3776873015873019E-4</v>
      </c>
      <c r="BW50" s="6">
        <v>-3.6711199999999999E-3</v>
      </c>
      <c r="BX50" s="6">
        <v>-2.0270209999999999E-3</v>
      </c>
      <c r="BY50" s="6">
        <v>1.3048404761904761E-4</v>
      </c>
      <c r="BZ50" s="6">
        <v>-4.017751E-3</v>
      </c>
      <c r="CA50" s="6">
        <v>-2.1746510000000001E-3</v>
      </c>
      <c r="CB50" s="6">
        <v>1.4627777777777778E-4</v>
      </c>
      <c r="CC50" s="6">
        <v>-4.0636769999999999E-3</v>
      </c>
      <c r="CD50" s="6">
        <v>-2.1142280000000001E-3</v>
      </c>
      <c r="CE50" s="6">
        <v>1.5471817460317459E-4</v>
      </c>
      <c r="CF50" s="6">
        <v>-4.0115480000000002E-3</v>
      </c>
      <c r="CG50" s="6">
        <v>-2.159242E-3</v>
      </c>
      <c r="CH50" s="6">
        <v>1.4700841269841273E-4</v>
      </c>
      <c r="CI50" s="6">
        <v>-4.0672759999999999E-3</v>
      </c>
      <c r="CJ50" s="6">
        <v>-2.1231819999999999E-3</v>
      </c>
      <c r="CK50" s="6">
        <v>1.5429317460317459E-4</v>
      </c>
      <c r="CL50" s="6">
        <v>-2.5370610000000002E-3</v>
      </c>
      <c r="CM50" s="6">
        <v>-1.2839010000000001E-3</v>
      </c>
      <c r="CN50" s="6">
        <v>9.945714285714287E-5</v>
      </c>
      <c r="CO50" s="6">
        <v>-2.4911339999999999E-3</v>
      </c>
      <c r="CP50" s="6">
        <v>-1.3443249999999999E-3</v>
      </c>
      <c r="CQ50" s="6">
        <v>9.1016587301587297E-5</v>
      </c>
      <c r="CR50" s="6">
        <v>-2.543263E-3</v>
      </c>
      <c r="CS50" s="6">
        <v>-1.2993099999999999E-3</v>
      </c>
      <c r="CT50" s="6">
        <v>9.8726428571428579E-5</v>
      </c>
      <c r="CU50" s="6">
        <v>-2.4875359999999998E-3</v>
      </c>
      <c r="CV50" s="6">
        <v>-1.3353709999999999E-3</v>
      </c>
      <c r="CW50" s="6">
        <v>9.1441666666666662E-5</v>
      </c>
      <c r="CX50" s="6">
        <v>-2.8341669999999998E-3</v>
      </c>
      <c r="CY50" s="6">
        <v>-1.4830010000000001E-3</v>
      </c>
      <c r="CZ50" s="6">
        <v>1.0723539682539681E-4</v>
      </c>
      <c r="DA50" s="6">
        <v>-2.8800929999999998E-3</v>
      </c>
      <c r="DB50" s="6">
        <v>-1.422577E-3</v>
      </c>
      <c r="DC50" s="6">
        <v>1.1567587301587301E-4</v>
      </c>
      <c r="DD50" s="6">
        <v>-2.8279640000000001E-3</v>
      </c>
      <c r="DE50" s="6">
        <v>-1.467592E-3</v>
      </c>
      <c r="DF50" s="6">
        <v>1.0796603174603176E-4</v>
      </c>
      <c r="DG50" s="6">
        <v>-2.8836920000000002E-3</v>
      </c>
      <c r="DH50" s="6">
        <v>-1.431531E-3</v>
      </c>
      <c r="DI50" s="6">
        <v>1.1525087301587304E-4</v>
      </c>
    </row>
    <row r="51" spans="1:113" x14ac:dyDescent="0.3">
      <c r="A51" s="13" t="s">
        <v>397</v>
      </c>
      <c r="B51" s="13" t="s">
        <v>75</v>
      </c>
      <c r="C51" s="13" t="s">
        <v>76</v>
      </c>
      <c r="D51" s="13" t="s">
        <v>347</v>
      </c>
      <c r="E51" s="13">
        <v>8.3000000000000007</v>
      </c>
      <c r="F51" s="6">
        <v>-9.6518540000000005E-4</v>
      </c>
      <c r="G51" s="6">
        <v>-1.262024E-3</v>
      </c>
      <c r="H51" s="6">
        <v>3.5763686746987947E-5</v>
      </c>
      <c r="I51" s="6">
        <v>-1.451426E-3</v>
      </c>
      <c r="J51" s="6">
        <v>-1.8270090000000001E-3</v>
      </c>
      <c r="K51" s="6">
        <v>4.5250963855421694E-5</v>
      </c>
      <c r="L51" s="6">
        <v>-1.554148E-3</v>
      </c>
      <c r="M51" s="6">
        <v>-1.8408599999999999E-3</v>
      </c>
      <c r="N51" s="6">
        <v>3.4543614457831314E-5</v>
      </c>
      <c r="O51" s="6">
        <v>-2.00702E-3</v>
      </c>
      <c r="P51" s="6">
        <v>-2.3792399999999999E-3</v>
      </c>
      <c r="Q51" s="6">
        <v>4.4845783132530106E-5</v>
      </c>
      <c r="R51" s="6">
        <v>-1.501191E-3</v>
      </c>
      <c r="S51" s="6">
        <v>-2.2582560000000002E-3</v>
      </c>
      <c r="T51" s="6">
        <v>9.1212650602409641E-5</v>
      </c>
      <c r="U51" s="6">
        <v>-1.701382E-3</v>
      </c>
      <c r="V51" s="6">
        <v>-2.0886559999999999E-3</v>
      </c>
      <c r="W51" s="6">
        <v>4.6659518072289145E-5</v>
      </c>
      <c r="X51" s="6">
        <v>-1.552554E-3</v>
      </c>
      <c r="Y51" s="6">
        <v>-2.247663E-3</v>
      </c>
      <c r="Z51" s="6">
        <v>8.374807228915662E-5</v>
      </c>
      <c r="AA51" s="6">
        <v>-1.6727560000000001E-3</v>
      </c>
      <c r="AB51" s="6">
        <v>-2.0930229999999998E-3</v>
      </c>
      <c r="AC51" s="6">
        <v>5.0634578313252982E-5</v>
      </c>
      <c r="AD51" s="6">
        <v>-2.1648570000000001E-3</v>
      </c>
      <c r="AE51" s="6">
        <v>-2.189748E-3</v>
      </c>
      <c r="AF51" s="6">
        <v>2.9989156626505993E-6</v>
      </c>
      <c r="AG51" s="6">
        <v>-1.963443E-3</v>
      </c>
      <c r="AH51" s="6">
        <v>-2.361232E-3</v>
      </c>
      <c r="AI51" s="6">
        <v>4.7926385542168667E-5</v>
      </c>
      <c r="AJ51" s="6">
        <v>-2.1134930000000001E-3</v>
      </c>
      <c r="AK51" s="6">
        <v>-2.2003410000000002E-3</v>
      </c>
      <c r="AL51" s="6">
        <v>1.0463614457831329E-5</v>
      </c>
      <c r="AM51" s="6">
        <v>-1.9932909999999999E-3</v>
      </c>
      <c r="AN51" s="6">
        <v>-2.35498E-3</v>
      </c>
      <c r="AO51" s="6">
        <v>4.3576987951807241E-5</v>
      </c>
      <c r="AP51" s="6">
        <v>-1.293696E-3</v>
      </c>
      <c r="AQ51" s="6">
        <v>-2.016477E-3</v>
      </c>
      <c r="AR51" s="6">
        <v>8.7082048192771081E-5</v>
      </c>
      <c r="AS51" s="6">
        <v>-1.4951090000000001E-3</v>
      </c>
      <c r="AT51" s="6">
        <v>-1.8449930000000001E-3</v>
      </c>
      <c r="AU51" s="6">
        <v>4.2154698795180713E-5</v>
      </c>
      <c r="AV51" s="6">
        <v>-1.345059E-3</v>
      </c>
      <c r="AW51" s="6">
        <v>-2.0058839999999999E-3</v>
      </c>
      <c r="AX51" s="6">
        <v>7.9617469879518046E-5</v>
      </c>
      <c r="AY51" s="6">
        <v>-1.465261E-3</v>
      </c>
      <c r="AZ51" s="6">
        <v>-1.8512450000000001E-3</v>
      </c>
      <c r="BA51" s="6">
        <v>4.6504096385542167E-5</v>
      </c>
      <c r="BB51" s="6">
        <v>-1.9573609999999999E-3</v>
      </c>
      <c r="BC51" s="6">
        <v>-1.9479689999999999E-3</v>
      </c>
      <c r="BD51" s="6">
        <v>1.1315662650602402E-6</v>
      </c>
      <c r="BE51" s="6">
        <v>-1.755948E-3</v>
      </c>
      <c r="BF51" s="6">
        <v>-2.1194540000000002E-3</v>
      </c>
      <c r="BG51" s="6">
        <v>4.3795903614457853E-5</v>
      </c>
      <c r="BH51" s="6">
        <v>-1.9059979999999999E-3</v>
      </c>
      <c r="BI51" s="6">
        <v>-1.958563E-3</v>
      </c>
      <c r="BJ51" s="6">
        <v>6.3331325301204909E-6</v>
      </c>
      <c r="BK51" s="6">
        <v>-1.7857960000000001E-3</v>
      </c>
      <c r="BL51" s="6">
        <v>-2.1132019999999998E-3</v>
      </c>
      <c r="BM51" s="6">
        <v>3.9446506024096345E-5</v>
      </c>
      <c r="BN51" s="6">
        <v>-1.9755520000000002E-3</v>
      </c>
      <c r="BO51" s="6">
        <v>-2.5163529999999998E-3</v>
      </c>
      <c r="BP51" s="6">
        <v>6.5156746987951757E-5</v>
      </c>
      <c r="BQ51" s="6">
        <v>-2.0359760000000001E-3</v>
      </c>
      <c r="BR51" s="6">
        <v>-2.4649070000000001E-3</v>
      </c>
      <c r="BS51" s="6">
        <v>5.1678433734939758E-5</v>
      </c>
      <c r="BT51" s="6">
        <v>-1.9909609999999999E-3</v>
      </c>
      <c r="BU51" s="6">
        <v>-2.5131749999999999E-3</v>
      </c>
      <c r="BV51" s="6">
        <v>6.2917349397590363E-5</v>
      </c>
      <c r="BW51" s="6">
        <v>-2.0270209999999999E-3</v>
      </c>
      <c r="BX51" s="6">
        <v>-2.4667830000000002E-3</v>
      </c>
      <c r="BY51" s="6">
        <v>5.2983373493975925E-5</v>
      </c>
      <c r="BZ51" s="6">
        <v>-2.1746510000000001E-3</v>
      </c>
      <c r="CA51" s="6">
        <v>-2.4957999999999998E-3</v>
      </c>
      <c r="CB51" s="6">
        <v>3.8692650602409601E-5</v>
      </c>
      <c r="CC51" s="6">
        <v>-2.1142280000000001E-3</v>
      </c>
      <c r="CD51" s="6">
        <v>-2.547246E-3</v>
      </c>
      <c r="CE51" s="6">
        <v>5.2170843373493957E-5</v>
      </c>
      <c r="CF51" s="6">
        <v>-2.159242E-3</v>
      </c>
      <c r="CG51" s="6">
        <v>-2.4989779999999998E-3</v>
      </c>
      <c r="CH51" s="6">
        <v>4.0932048192771057E-5</v>
      </c>
      <c r="CI51" s="6">
        <v>-2.1231819999999999E-3</v>
      </c>
      <c r="CJ51" s="6">
        <v>-2.5453699999999999E-3</v>
      </c>
      <c r="CK51" s="6">
        <v>5.0866024096385535E-5</v>
      </c>
      <c r="CL51" s="6">
        <v>-1.2839010000000001E-3</v>
      </c>
      <c r="CM51" s="6">
        <v>-1.710425E-3</v>
      </c>
      <c r="CN51" s="6">
        <v>5.1388433734939752E-5</v>
      </c>
      <c r="CO51" s="6">
        <v>-1.3443249999999999E-3</v>
      </c>
      <c r="CP51" s="6">
        <v>-1.6589790000000001E-3</v>
      </c>
      <c r="CQ51" s="6">
        <v>3.7910120481927726E-5</v>
      </c>
      <c r="CR51" s="6">
        <v>-1.2993099999999999E-3</v>
      </c>
      <c r="CS51" s="6">
        <v>-1.7072470000000001E-3</v>
      </c>
      <c r="CT51" s="6">
        <v>4.9149036144578324E-5</v>
      </c>
      <c r="CU51" s="6">
        <v>-1.3353709999999999E-3</v>
      </c>
      <c r="CV51" s="6">
        <v>-1.6608549999999999E-3</v>
      </c>
      <c r="CW51" s="6">
        <v>3.9214939759036141E-5</v>
      </c>
      <c r="CX51" s="6">
        <v>-1.4830010000000001E-3</v>
      </c>
      <c r="CY51" s="6">
        <v>-1.689872E-3</v>
      </c>
      <c r="CZ51" s="6">
        <v>2.4924216867469872E-5</v>
      </c>
      <c r="DA51" s="6">
        <v>-1.422577E-3</v>
      </c>
      <c r="DB51" s="6">
        <v>-1.741317E-3</v>
      </c>
      <c r="DC51" s="6">
        <v>3.840240963855422E-5</v>
      </c>
      <c r="DD51" s="6">
        <v>-1.467592E-3</v>
      </c>
      <c r="DE51" s="6">
        <v>-1.69305E-3</v>
      </c>
      <c r="DF51" s="6">
        <v>2.7163614457831324E-5</v>
      </c>
      <c r="DG51" s="6">
        <v>-1.431531E-3</v>
      </c>
      <c r="DH51" s="6">
        <v>-1.7394419999999999E-3</v>
      </c>
      <c r="DI51" s="6">
        <v>3.7097710843373477E-5</v>
      </c>
    </row>
    <row r="52" spans="1:113" x14ac:dyDescent="0.3">
      <c r="A52" s="13" t="s">
        <v>398</v>
      </c>
      <c r="B52" s="13" t="s">
        <v>109</v>
      </c>
      <c r="C52" s="13" t="s">
        <v>111</v>
      </c>
      <c r="D52" s="13" t="s">
        <v>347</v>
      </c>
      <c r="E52" s="13">
        <v>12.6</v>
      </c>
      <c r="F52" s="6">
        <v>-2.3349450000000002E-3</v>
      </c>
      <c r="G52" s="6">
        <v>-1.3073519999999999E-3</v>
      </c>
      <c r="H52" s="6">
        <v>8.1555000000000028E-5</v>
      </c>
      <c r="I52" s="6">
        <v>-2.9942979999999998E-3</v>
      </c>
      <c r="J52" s="6">
        <v>-1.9907240000000001E-3</v>
      </c>
      <c r="K52" s="6">
        <v>7.9648730158730143E-5</v>
      </c>
      <c r="L52" s="6">
        <v>-2.7262419999999998E-3</v>
      </c>
      <c r="M52" s="6">
        <v>-1.9300439999999999E-3</v>
      </c>
      <c r="N52" s="6">
        <v>6.3190317460317457E-5</v>
      </c>
      <c r="O52" s="6">
        <v>-3.366871E-3</v>
      </c>
      <c r="P52" s="6">
        <v>-2.5732950000000002E-3</v>
      </c>
      <c r="Q52" s="6">
        <v>6.2982222222222206E-5</v>
      </c>
      <c r="R52" s="6">
        <v>-2.9698569999999998E-3</v>
      </c>
      <c r="S52" s="6">
        <v>-1.8963719999999999E-3</v>
      </c>
      <c r="T52" s="6">
        <v>8.5197222222222223E-5</v>
      </c>
      <c r="U52" s="6">
        <v>-2.8910659999999999E-3</v>
      </c>
      <c r="V52" s="6">
        <v>-2.4129709999999999E-3</v>
      </c>
      <c r="W52" s="6">
        <v>3.7944047619047622E-5</v>
      </c>
      <c r="X52" s="6">
        <v>-2.9841070000000002E-3</v>
      </c>
      <c r="Y52" s="6">
        <v>-1.9665080000000001E-3</v>
      </c>
      <c r="Z52" s="6">
        <v>8.0761825396825413E-5</v>
      </c>
      <c r="AA52" s="6">
        <v>-2.893671E-3</v>
      </c>
      <c r="AB52" s="6">
        <v>-2.3735190000000001E-3</v>
      </c>
      <c r="AC52" s="6">
        <v>4.1281904761904753E-5</v>
      </c>
      <c r="AD52" s="6">
        <v>-3.7325330000000001E-3</v>
      </c>
      <c r="AE52" s="6">
        <v>-2.9214739999999999E-3</v>
      </c>
      <c r="AF52" s="6">
        <v>6.436976190476193E-5</v>
      </c>
      <c r="AG52" s="6">
        <v>-3.8004499999999999E-3</v>
      </c>
      <c r="AH52" s="6">
        <v>-2.4035609999999998E-3</v>
      </c>
      <c r="AI52" s="6">
        <v>1.1086420634920636E-4</v>
      </c>
      <c r="AJ52" s="6">
        <v>-3.7182840000000001E-3</v>
      </c>
      <c r="AK52" s="6">
        <v>-2.8513369999999998E-3</v>
      </c>
      <c r="AL52" s="6">
        <v>6.880531746031749E-5</v>
      </c>
      <c r="AM52" s="6">
        <v>-3.8087189999999999E-3</v>
      </c>
      <c r="AN52" s="6">
        <v>-2.4443260000000001E-3</v>
      </c>
      <c r="AO52" s="6">
        <v>1.0828515873015872E-4</v>
      </c>
      <c r="AP52" s="6">
        <v>-2.628624E-3</v>
      </c>
      <c r="AQ52" s="6">
        <v>-1.6427530000000001E-3</v>
      </c>
      <c r="AR52" s="6">
        <v>7.8243730158730152E-5</v>
      </c>
      <c r="AS52" s="6">
        <v>-2.5607080000000001E-3</v>
      </c>
      <c r="AT52" s="6">
        <v>-2.160665E-3</v>
      </c>
      <c r="AU52" s="6">
        <v>3.1749444444444454E-5</v>
      </c>
      <c r="AV52" s="6">
        <v>-2.6428739999999999E-3</v>
      </c>
      <c r="AW52" s="6">
        <v>-1.7128899999999999E-3</v>
      </c>
      <c r="AX52" s="6">
        <v>7.3808253968253974E-5</v>
      </c>
      <c r="AY52" s="6">
        <v>-2.5524390000000001E-3</v>
      </c>
      <c r="AZ52" s="6">
        <v>-2.119901E-3</v>
      </c>
      <c r="BA52" s="6">
        <v>3.432841269841271E-5</v>
      </c>
      <c r="BB52" s="6">
        <v>-3.3913010000000002E-3</v>
      </c>
      <c r="BC52" s="6">
        <v>-2.6678549999999998E-3</v>
      </c>
      <c r="BD52" s="6">
        <v>5.7416349206349242E-5</v>
      </c>
      <c r="BE52" s="6">
        <v>-3.4592170000000001E-3</v>
      </c>
      <c r="BF52" s="6">
        <v>-2.1499430000000001E-3</v>
      </c>
      <c r="BG52" s="6">
        <v>1.0391063492063492E-4</v>
      </c>
      <c r="BH52" s="6">
        <v>-3.3770509999999998E-3</v>
      </c>
      <c r="BI52" s="6">
        <v>-2.5977180000000002E-3</v>
      </c>
      <c r="BJ52" s="6">
        <v>6.1851825396825379E-5</v>
      </c>
      <c r="BK52" s="6">
        <v>-3.467487E-3</v>
      </c>
      <c r="BL52" s="6">
        <v>-2.1907070000000001E-3</v>
      </c>
      <c r="BM52" s="6">
        <v>1.0133174603174603E-4</v>
      </c>
      <c r="BN52" s="6">
        <v>-3.634899E-3</v>
      </c>
      <c r="BO52" s="6">
        <v>-2.551046E-3</v>
      </c>
      <c r="BP52" s="6">
        <v>8.6020079365079375E-5</v>
      </c>
      <c r="BQ52" s="6">
        <v>-3.614524E-3</v>
      </c>
      <c r="BR52" s="6">
        <v>-2.7064189999999998E-3</v>
      </c>
      <c r="BS52" s="6">
        <v>7.2071825396825414E-5</v>
      </c>
      <c r="BT52" s="6">
        <v>-3.6391739999999998E-3</v>
      </c>
      <c r="BU52" s="6">
        <v>-2.5720869999999998E-3</v>
      </c>
      <c r="BV52" s="6">
        <v>8.4689444444444452E-5</v>
      </c>
      <c r="BW52" s="6">
        <v>-3.6120430000000001E-3</v>
      </c>
      <c r="BX52" s="6">
        <v>-2.69419E-3</v>
      </c>
      <c r="BY52" s="6">
        <v>7.2845476190476209E-5</v>
      </c>
      <c r="BZ52" s="6">
        <v>-3.8637020000000001E-3</v>
      </c>
      <c r="CA52" s="6">
        <v>-2.8585759999999998E-3</v>
      </c>
      <c r="CB52" s="6">
        <v>7.9771904761904793E-5</v>
      </c>
      <c r="CC52" s="6">
        <v>-3.8840770000000001E-3</v>
      </c>
      <c r="CD52" s="6">
        <v>-2.7032029999999999E-3</v>
      </c>
      <c r="CE52" s="6">
        <v>9.3720158730158741E-5</v>
      </c>
      <c r="CF52" s="6">
        <v>-3.8594269999999999E-3</v>
      </c>
      <c r="CG52" s="6">
        <v>-2.837535E-3</v>
      </c>
      <c r="CH52" s="6">
        <v>8.1102539682539676E-5</v>
      </c>
      <c r="CI52" s="6">
        <v>-3.8865570000000001E-3</v>
      </c>
      <c r="CJ52" s="6">
        <v>-2.7154319999999998E-3</v>
      </c>
      <c r="CK52" s="6">
        <v>9.2946428571428591E-5</v>
      </c>
      <c r="CL52" s="6">
        <v>-2.4974559999999999E-3</v>
      </c>
      <c r="CM52" s="6">
        <v>-1.70565E-3</v>
      </c>
      <c r="CN52" s="6">
        <v>6.2841746031746027E-5</v>
      </c>
      <c r="CO52" s="6">
        <v>-2.4770809999999999E-3</v>
      </c>
      <c r="CP52" s="6">
        <v>-1.861024E-3</v>
      </c>
      <c r="CQ52" s="6">
        <v>4.8893412698412697E-5</v>
      </c>
      <c r="CR52" s="6">
        <v>-2.5017310000000001E-3</v>
      </c>
      <c r="CS52" s="6">
        <v>-1.726691E-3</v>
      </c>
      <c r="CT52" s="6">
        <v>6.1511111111111117E-5</v>
      </c>
      <c r="CU52" s="6">
        <v>-2.4746009999999999E-3</v>
      </c>
      <c r="CV52" s="6">
        <v>-1.8487950000000001E-3</v>
      </c>
      <c r="CW52" s="6">
        <v>4.966714285714284E-5</v>
      </c>
      <c r="CX52" s="6">
        <v>-2.726259E-3</v>
      </c>
      <c r="CY52" s="6">
        <v>-2.0131810000000002E-3</v>
      </c>
      <c r="CZ52" s="6">
        <v>5.6593492063492049E-5</v>
      </c>
      <c r="DA52" s="6">
        <v>-2.746634E-3</v>
      </c>
      <c r="DB52" s="6">
        <v>-1.8578069999999999E-3</v>
      </c>
      <c r="DC52" s="6">
        <v>7.0541825396825406E-5</v>
      </c>
      <c r="DD52" s="6">
        <v>-2.7219840000000002E-3</v>
      </c>
      <c r="DE52" s="6">
        <v>-1.9921399999999999E-3</v>
      </c>
      <c r="DF52" s="6">
        <v>5.7924126984127013E-5</v>
      </c>
      <c r="DG52" s="6">
        <v>-2.7491149999999999E-3</v>
      </c>
      <c r="DH52" s="6">
        <v>-1.870037E-3</v>
      </c>
      <c r="DI52" s="6">
        <v>6.9768095238095229E-5</v>
      </c>
    </row>
    <row r="53" spans="1:113" x14ac:dyDescent="0.3">
      <c r="A53" s="13" t="s">
        <v>399</v>
      </c>
      <c r="B53" s="13" t="s">
        <v>111</v>
      </c>
      <c r="C53" s="13" t="s">
        <v>112</v>
      </c>
      <c r="D53" s="13" t="s">
        <v>347</v>
      </c>
      <c r="E53" s="13">
        <v>8.3000000000000007</v>
      </c>
      <c r="F53" s="6">
        <v>-1.3073519999999999E-3</v>
      </c>
      <c r="G53" s="6">
        <v>-1.7882169999999999E-3</v>
      </c>
      <c r="H53" s="6">
        <v>5.7935542168674695E-5</v>
      </c>
      <c r="I53" s="6">
        <v>-1.9907240000000001E-3</v>
      </c>
      <c r="J53" s="6">
        <v>-2.6068279999999998E-3</v>
      </c>
      <c r="K53" s="6">
        <v>7.4229397590361401E-5</v>
      </c>
      <c r="L53" s="6">
        <v>-1.9300439999999999E-3</v>
      </c>
      <c r="M53" s="6">
        <v>-2.3906890000000001E-3</v>
      </c>
      <c r="N53" s="6">
        <v>5.5499397590361464E-5</v>
      </c>
      <c r="O53" s="6">
        <v>-2.5732950000000002E-3</v>
      </c>
      <c r="P53" s="6">
        <v>-3.1822909999999999E-3</v>
      </c>
      <c r="Q53" s="6">
        <v>7.3373012048192729E-5</v>
      </c>
      <c r="R53" s="6">
        <v>-1.8963719999999999E-3</v>
      </c>
      <c r="S53" s="6">
        <v>-3.1666929999999999E-3</v>
      </c>
      <c r="T53" s="6">
        <v>1.5305072289156625E-4</v>
      </c>
      <c r="U53" s="6">
        <v>-2.4129709999999999E-3</v>
      </c>
      <c r="V53" s="6">
        <v>-3.0614209999999999E-3</v>
      </c>
      <c r="W53" s="6">
        <v>7.8126506024096381E-5</v>
      </c>
      <c r="X53" s="6">
        <v>-1.9665080000000001E-3</v>
      </c>
      <c r="Y53" s="6">
        <v>-3.1512329999999998E-3</v>
      </c>
      <c r="Z53" s="6">
        <v>1.4273795180722888E-4</v>
      </c>
      <c r="AA53" s="6">
        <v>-2.3735190000000001E-3</v>
      </c>
      <c r="AB53" s="6">
        <v>-3.0699659999999999E-3</v>
      </c>
      <c r="AC53" s="6">
        <v>8.3909277108433706E-5</v>
      </c>
      <c r="AD53" s="6">
        <v>-2.9214739999999999E-3</v>
      </c>
      <c r="AE53" s="6">
        <v>-2.9310260000000002E-3</v>
      </c>
      <c r="AF53" s="6">
        <v>1.1508433734940173E-6</v>
      </c>
      <c r="AG53" s="6">
        <v>-2.4035609999999998E-3</v>
      </c>
      <c r="AH53" s="6">
        <v>-3.0368679999999999E-3</v>
      </c>
      <c r="AI53" s="6">
        <v>7.6302048192771079E-5</v>
      </c>
      <c r="AJ53" s="6">
        <v>-2.8513369999999998E-3</v>
      </c>
      <c r="AK53" s="6">
        <v>-2.9464859999999999E-3</v>
      </c>
      <c r="AL53" s="6">
        <v>1.1463734939759048E-5</v>
      </c>
      <c r="AM53" s="6">
        <v>-2.4443260000000001E-3</v>
      </c>
      <c r="AN53" s="6">
        <v>-3.0277530000000002E-3</v>
      </c>
      <c r="AO53" s="6">
        <v>7.0292409638554221E-5</v>
      </c>
      <c r="AP53" s="6">
        <v>-1.6427530000000001E-3</v>
      </c>
      <c r="AQ53" s="6">
        <v>-2.8580569999999998E-3</v>
      </c>
      <c r="AR53" s="6">
        <v>1.4642216867469875E-4</v>
      </c>
      <c r="AS53" s="6">
        <v>-2.160665E-3</v>
      </c>
      <c r="AT53" s="6">
        <v>-2.7522139999999998E-3</v>
      </c>
      <c r="AU53" s="6">
        <v>7.1270963855421651E-5</v>
      </c>
      <c r="AV53" s="6">
        <v>-1.7128899999999999E-3</v>
      </c>
      <c r="AW53" s="6">
        <v>-2.8425960000000002E-3</v>
      </c>
      <c r="AX53" s="6">
        <v>1.3610915662650604E-4</v>
      </c>
      <c r="AY53" s="6">
        <v>-2.119901E-3</v>
      </c>
      <c r="AZ53" s="6">
        <v>-2.7613300000000002E-3</v>
      </c>
      <c r="BA53" s="6">
        <v>7.7280602409638576E-5</v>
      </c>
      <c r="BB53" s="6">
        <v>-2.6678549999999998E-3</v>
      </c>
      <c r="BC53" s="6">
        <v>-2.6223890000000001E-3</v>
      </c>
      <c r="BD53" s="6">
        <v>5.477831325301162E-6</v>
      </c>
      <c r="BE53" s="6">
        <v>-2.1499430000000001E-3</v>
      </c>
      <c r="BF53" s="6">
        <v>-2.7282309999999998E-3</v>
      </c>
      <c r="BG53" s="6">
        <v>6.9673253012048157E-5</v>
      </c>
      <c r="BH53" s="6">
        <v>-2.5977180000000002E-3</v>
      </c>
      <c r="BI53" s="6">
        <v>-2.6378500000000002E-3</v>
      </c>
      <c r="BJ53" s="6">
        <v>4.8351807228915674E-6</v>
      </c>
      <c r="BK53" s="6">
        <v>-2.1907070000000001E-3</v>
      </c>
      <c r="BL53" s="6">
        <v>-2.7191160000000002E-3</v>
      </c>
      <c r="BM53" s="6">
        <v>6.3663734939759038E-5</v>
      </c>
      <c r="BN53" s="6">
        <v>-2.551046E-3</v>
      </c>
      <c r="BO53" s="6">
        <v>-3.444286E-3</v>
      </c>
      <c r="BP53" s="6">
        <v>1.0761927710843372E-4</v>
      </c>
      <c r="BQ53" s="6">
        <v>-2.7064189999999998E-3</v>
      </c>
      <c r="BR53" s="6">
        <v>-3.4125330000000001E-3</v>
      </c>
      <c r="BS53" s="6">
        <v>8.5073975903614488E-5</v>
      </c>
      <c r="BT53" s="6">
        <v>-2.5720869999999998E-3</v>
      </c>
      <c r="BU53" s="6">
        <v>-3.4396470000000001E-3</v>
      </c>
      <c r="BV53" s="6">
        <v>1.045253012048193E-4</v>
      </c>
      <c r="BW53" s="6">
        <v>-2.69419E-3</v>
      </c>
      <c r="BX53" s="6">
        <v>-3.4152679999999999E-3</v>
      </c>
      <c r="BY53" s="6">
        <v>8.6876867469879511E-5</v>
      </c>
      <c r="BZ53" s="6">
        <v>-2.8585759999999998E-3</v>
      </c>
      <c r="CA53" s="6">
        <v>-3.3735850000000001E-3</v>
      </c>
      <c r="CB53" s="6">
        <v>6.2049277108433762E-5</v>
      </c>
      <c r="CC53" s="6">
        <v>-2.7032029999999999E-3</v>
      </c>
      <c r="CD53" s="6">
        <v>-3.4053379999999999E-3</v>
      </c>
      <c r="CE53" s="6">
        <v>8.4594578313253009E-5</v>
      </c>
      <c r="CF53" s="6">
        <v>-2.837535E-3</v>
      </c>
      <c r="CG53" s="6">
        <v>-3.378224E-3</v>
      </c>
      <c r="CH53" s="6">
        <v>6.5143253012048185E-5</v>
      </c>
      <c r="CI53" s="6">
        <v>-2.7154319999999998E-3</v>
      </c>
      <c r="CJ53" s="6">
        <v>-3.402604E-3</v>
      </c>
      <c r="CK53" s="6">
        <v>8.2791807228915684E-5</v>
      </c>
      <c r="CL53" s="6">
        <v>-1.70565E-3</v>
      </c>
      <c r="CM53" s="6">
        <v>-2.415497E-3</v>
      </c>
      <c r="CN53" s="6">
        <v>8.5523734939759022E-5</v>
      </c>
      <c r="CO53" s="6">
        <v>-1.861024E-3</v>
      </c>
      <c r="CP53" s="6">
        <v>-2.3837440000000001E-3</v>
      </c>
      <c r="CQ53" s="6">
        <v>6.2978313253012064E-5</v>
      </c>
      <c r="CR53" s="6">
        <v>-1.726691E-3</v>
      </c>
      <c r="CS53" s="6">
        <v>-2.410859E-3</v>
      </c>
      <c r="CT53" s="6">
        <v>8.2429879518072284E-5</v>
      </c>
      <c r="CU53" s="6">
        <v>-1.8487950000000001E-3</v>
      </c>
      <c r="CV53" s="6">
        <v>-2.3864789999999999E-3</v>
      </c>
      <c r="CW53" s="6">
        <v>6.4781204819277087E-5</v>
      </c>
      <c r="CX53" s="6">
        <v>-2.0131810000000002E-3</v>
      </c>
      <c r="CY53" s="6">
        <v>-2.344797E-3</v>
      </c>
      <c r="CZ53" s="6">
        <v>3.9953734939759016E-5</v>
      </c>
      <c r="DA53" s="6">
        <v>-1.8578069999999999E-3</v>
      </c>
      <c r="DB53" s="6">
        <v>-2.3765499999999998E-3</v>
      </c>
      <c r="DC53" s="6">
        <v>6.2499156626506008E-5</v>
      </c>
      <c r="DD53" s="6">
        <v>-1.9921399999999999E-3</v>
      </c>
      <c r="DE53" s="6">
        <v>-2.349435E-3</v>
      </c>
      <c r="DF53" s="6">
        <v>4.3047590361445788E-5</v>
      </c>
      <c r="DG53" s="6">
        <v>-1.870037E-3</v>
      </c>
      <c r="DH53" s="6">
        <v>-2.373815E-3</v>
      </c>
      <c r="DI53" s="6">
        <v>6.0696144578313259E-5</v>
      </c>
    </row>
    <row r="54" spans="1:113" x14ac:dyDescent="0.3">
      <c r="A54" s="13" t="s">
        <v>400</v>
      </c>
      <c r="B54" s="13" t="s">
        <v>145</v>
      </c>
      <c r="C54" s="13" t="s">
        <v>147</v>
      </c>
      <c r="D54" s="13" t="s">
        <v>347</v>
      </c>
      <c r="E54" s="13">
        <v>12.6</v>
      </c>
      <c r="F54" s="6">
        <v>-2.15161E-3</v>
      </c>
      <c r="G54" s="6">
        <v>-1.324787E-3</v>
      </c>
      <c r="H54" s="6">
        <v>6.5620873015873011E-5</v>
      </c>
      <c r="I54" s="6">
        <v>-2.8042480000000001E-3</v>
      </c>
      <c r="J54" s="6">
        <v>-1.9927270000000001E-3</v>
      </c>
      <c r="K54" s="6">
        <v>6.4406428571428569E-5</v>
      </c>
      <c r="L54" s="6">
        <v>-2.5478649999999999E-3</v>
      </c>
      <c r="M54" s="6">
        <v>-1.9357689999999999E-3</v>
      </c>
      <c r="N54" s="6">
        <v>4.8579047619047611E-5</v>
      </c>
      <c r="O54" s="6">
        <v>-3.1811000000000001E-3</v>
      </c>
      <c r="P54" s="6">
        <v>-2.5694509999999999E-3</v>
      </c>
      <c r="Q54" s="6">
        <v>4.8543571428571439E-5</v>
      </c>
      <c r="R54" s="6">
        <v>-2.8910149999999998E-3</v>
      </c>
      <c r="S54" s="6">
        <v>-1.9243089999999999E-3</v>
      </c>
      <c r="T54" s="6">
        <v>7.6722698412698404E-5</v>
      </c>
      <c r="U54" s="6">
        <v>-2.9171829999999998E-3</v>
      </c>
      <c r="V54" s="6">
        <v>-2.4099E-3</v>
      </c>
      <c r="W54" s="6">
        <v>4.0260555555555543E-5</v>
      </c>
      <c r="X54" s="6">
        <v>-2.8992639999999999E-3</v>
      </c>
      <c r="Y54" s="6">
        <v>-1.945343E-3</v>
      </c>
      <c r="Z54" s="6">
        <v>7.5708015873015875E-5</v>
      </c>
      <c r="AA54" s="6">
        <v>-2.9385800000000001E-3</v>
      </c>
      <c r="AB54" s="6">
        <v>-2.3984800000000001E-3</v>
      </c>
      <c r="AC54" s="6">
        <v>4.2865079365079365E-5</v>
      </c>
      <c r="AD54" s="6">
        <v>-3.4143099999999998E-3</v>
      </c>
      <c r="AE54" s="6">
        <v>-2.8919499999999999E-3</v>
      </c>
      <c r="AF54" s="6">
        <v>4.1457142857142849E-5</v>
      </c>
      <c r="AG54" s="6">
        <v>-3.3619570000000001E-3</v>
      </c>
      <c r="AH54" s="6">
        <v>-2.405552E-3</v>
      </c>
      <c r="AI54" s="6">
        <v>7.5905158730158736E-5</v>
      </c>
      <c r="AJ54" s="6">
        <v>-3.4060610000000002E-3</v>
      </c>
      <c r="AK54" s="6">
        <v>-2.8709149999999999E-3</v>
      </c>
      <c r="AL54" s="6">
        <v>4.2471904761904781E-5</v>
      </c>
      <c r="AM54" s="6">
        <v>-3.3667440000000001E-3</v>
      </c>
      <c r="AN54" s="6">
        <v>-2.4177780000000002E-3</v>
      </c>
      <c r="AO54" s="6">
        <v>7.5314761904761901E-5</v>
      </c>
      <c r="AP54" s="6">
        <v>-2.5710260000000001E-3</v>
      </c>
      <c r="AQ54" s="6">
        <v>-1.670216E-3</v>
      </c>
      <c r="AR54" s="6">
        <v>7.1492857142857152E-5</v>
      </c>
      <c r="AS54" s="6">
        <v>-2.6233789999999999E-3</v>
      </c>
      <c r="AT54" s="6">
        <v>-2.1566139999999998E-3</v>
      </c>
      <c r="AU54" s="6">
        <v>3.7044841269841279E-5</v>
      </c>
      <c r="AV54" s="6">
        <v>-2.5792749999999998E-3</v>
      </c>
      <c r="AW54" s="6">
        <v>-1.69125E-3</v>
      </c>
      <c r="AX54" s="6">
        <v>7.0478174603174582E-5</v>
      </c>
      <c r="AY54" s="6">
        <v>-2.618591E-3</v>
      </c>
      <c r="AZ54" s="6">
        <v>-2.1443870000000002E-3</v>
      </c>
      <c r="BA54" s="6">
        <v>3.763523809523808E-5</v>
      </c>
      <c r="BB54" s="6">
        <v>-3.0943199999999998E-3</v>
      </c>
      <c r="BC54" s="6">
        <v>-2.637857E-3</v>
      </c>
      <c r="BD54" s="6">
        <v>3.6227222222222209E-5</v>
      </c>
      <c r="BE54" s="6">
        <v>-3.0419679999999999E-3</v>
      </c>
      <c r="BF54" s="6">
        <v>-2.1514590000000001E-3</v>
      </c>
      <c r="BG54" s="6">
        <v>7.0675317460317444E-5</v>
      </c>
      <c r="BH54" s="6">
        <v>-3.086072E-3</v>
      </c>
      <c r="BI54" s="6">
        <v>-2.616822E-3</v>
      </c>
      <c r="BJ54" s="6">
        <v>3.7242063492063495E-5</v>
      </c>
      <c r="BK54" s="6">
        <v>-3.0467549999999999E-3</v>
      </c>
      <c r="BL54" s="6">
        <v>-2.1636849999999998E-3</v>
      </c>
      <c r="BM54" s="6">
        <v>7.0084920634920649E-5</v>
      </c>
      <c r="BN54" s="6">
        <v>-3.4474890000000002E-3</v>
      </c>
      <c r="BO54" s="6">
        <v>-2.5594250000000002E-3</v>
      </c>
      <c r="BP54" s="6">
        <v>7.0481269841269844E-5</v>
      </c>
      <c r="BQ54" s="6">
        <v>-3.4631950000000001E-3</v>
      </c>
      <c r="BR54" s="6">
        <v>-2.7053440000000002E-3</v>
      </c>
      <c r="BS54" s="6">
        <v>6.0146904761904756E-5</v>
      </c>
      <c r="BT54" s="6">
        <v>-3.4499639999999998E-3</v>
      </c>
      <c r="BU54" s="6">
        <v>-2.565735E-3</v>
      </c>
      <c r="BV54" s="6">
        <v>7.0176904761904747E-5</v>
      </c>
      <c r="BW54" s="6">
        <v>-3.461759E-3</v>
      </c>
      <c r="BX54" s="6">
        <v>-2.7016760000000001E-3</v>
      </c>
      <c r="BY54" s="6">
        <v>6.0324047619047615E-5</v>
      </c>
      <c r="BZ54" s="6">
        <v>-3.604477E-3</v>
      </c>
      <c r="CA54" s="6">
        <v>-2.8497169999999999E-3</v>
      </c>
      <c r="CB54" s="6">
        <v>5.9901587301587314E-5</v>
      </c>
      <c r="CC54" s="6">
        <v>-3.5887710000000001E-3</v>
      </c>
      <c r="CD54" s="6">
        <v>-2.7037979999999999E-3</v>
      </c>
      <c r="CE54" s="6">
        <v>7.0235952380952402E-5</v>
      </c>
      <c r="CF54" s="6">
        <v>-3.6020029999999999E-3</v>
      </c>
      <c r="CG54" s="6">
        <v>-2.8434070000000001E-3</v>
      </c>
      <c r="CH54" s="6">
        <v>6.0206031746031733E-5</v>
      </c>
      <c r="CI54" s="6">
        <v>-3.5902080000000001E-3</v>
      </c>
      <c r="CJ54" s="6">
        <v>-2.707466E-3</v>
      </c>
      <c r="CK54" s="6">
        <v>7.0058888888888899E-5</v>
      </c>
      <c r="CL54" s="6">
        <v>-2.380858E-3</v>
      </c>
      <c r="CM54" s="6">
        <v>-1.7124480000000001E-3</v>
      </c>
      <c r="CN54" s="6">
        <v>5.3048412698412693E-5</v>
      </c>
      <c r="CO54" s="6">
        <v>-2.3965639999999999E-3</v>
      </c>
      <c r="CP54" s="6">
        <v>-1.858368E-3</v>
      </c>
      <c r="CQ54" s="6">
        <v>4.2713968253968251E-5</v>
      </c>
      <c r="CR54" s="6">
        <v>-2.3833330000000001E-3</v>
      </c>
      <c r="CS54" s="6">
        <v>-1.7187579999999999E-3</v>
      </c>
      <c r="CT54" s="6">
        <v>5.274404761904763E-5</v>
      </c>
      <c r="CU54" s="6">
        <v>-2.3951279999999998E-3</v>
      </c>
      <c r="CV54" s="6">
        <v>-1.8546999999999999E-3</v>
      </c>
      <c r="CW54" s="6">
        <v>4.2891111111111109E-5</v>
      </c>
      <c r="CX54" s="6">
        <v>-2.5378470000000002E-3</v>
      </c>
      <c r="CY54" s="6">
        <v>-2.0027410000000002E-3</v>
      </c>
      <c r="CZ54" s="6">
        <v>4.2468730158730164E-5</v>
      </c>
      <c r="DA54" s="6">
        <v>-2.5221409999999999E-3</v>
      </c>
      <c r="DB54" s="6">
        <v>-1.856821E-3</v>
      </c>
      <c r="DC54" s="6">
        <v>5.2803174603174593E-5</v>
      </c>
      <c r="DD54" s="6">
        <v>-2.5353720000000001E-3</v>
      </c>
      <c r="DE54" s="6">
        <v>-1.99643E-3</v>
      </c>
      <c r="DF54" s="6">
        <v>4.2773174603174616E-5</v>
      </c>
      <c r="DG54" s="6">
        <v>-2.5235769999999999E-3</v>
      </c>
      <c r="DH54" s="6">
        <v>-1.8604889999999999E-3</v>
      </c>
      <c r="DI54" s="6">
        <v>5.2626031746031748E-5</v>
      </c>
    </row>
    <row r="55" spans="1:113" x14ac:dyDescent="0.3">
      <c r="A55" s="13" t="s">
        <v>401</v>
      </c>
      <c r="B55" s="13" t="s">
        <v>147</v>
      </c>
      <c r="C55" s="13" t="s">
        <v>148</v>
      </c>
      <c r="D55" s="13" t="s">
        <v>347</v>
      </c>
      <c r="E55" s="13">
        <v>8.3000000000000007</v>
      </c>
      <c r="F55" s="6">
        <v>-1.324787E-3</v>
      </c>
      <c r="G55" s="6">
        <v>-1.77699E-3</v>
      </c>
      <c r="H55" s="6">
        <v>5.4482289156626497E-5</v>
      </c>
      <c r="I55" s="6">
        <v>-1.9927270000000001E-3</v>
      </c>
      <c r="J55" s="6">
        <v>-2.5824120000000001E-3</v>
      </c>
      <c r="K55" s="6">
        <v>7.1046385542168663E-5</v>
      </c>
      <c r="L55" s="6">
        <v>-1.9357689999999999E-3</v>
      </c>
      <c r="M55" s="6">
        <v>-2.3751639999999999E-3</v>
      </c>
      <c r="N55" s="6">
        <v>5.2939156626506018E-5</v>
      </c>
      <c r="O55" s="6">
        <v>-2.5694509999999999E-3</v>
      </c>
      <c r="P55" s="6">
        <v>-3.153107E-3</v>
      </c>
      <c r="Q55" s="6">
        <v>7.0320000000000004E-5</v>
      </c>
      <c r="R55" s="6">
        <v>-1.9243089999999999E-3</v>
      </c>
      <c r="S55" s="6">
        <v>-3.1273189999999999E-3</v>
      </c>
      <c r="T55" s="6">
        <v>1.4494096385542167E-4</v>
      </c>
      <c r="U55" s="6">
        <v>-2.4099E-3</v>
      </c>
      <c r="V55" s="6">
        <v>-3.0252539999999998E-3</v>
      </c>
      <c r="W55" s="6">
        <v>7.4139036144578286E-5</v>
      </c>
      <c r="X55" s="6">
        <v>-1.945343E-3</v>
      </c>
      <c r="Y55" s="6">
        <v>-3.122863E-3</v>
      </c>
      <c r="Z55" s="6">
        <v>1.4186987951807228E-4</v>
      </c>
      <c r="AA55" s="6">
        <v>-2.3984800000000001E-3</v>
      </c>
      <c r="AB55" s="6">
        <v>-3.0270150000000001E-3</v>
      </c>
      <c r="AC55" s="6">
        <v>7.572710843373492E-5</v>
      </c>
      <c r="AD55" s="6">
        <v>-2.8919499999999999E-3</v>
      </c>
      <c r="AE55" s="6">
        <v>-2.9147909999999999E-3</v>
      </c>
      <c r="AF55" s="6">
        <v>2.751927710843374E-6</v>
      </c>
      <c r="AG55" s="6">
        <v>-2.405552E-3</v>
      </c>
      <c r="AH55" s="6">
        <v>-3.0176930000000001E-3</v>
      </c>
      <c r="AI55" s="6">
        <v>7.3751927710843373E-5</v>
      </c>
      <c r="AJ55" s="6">
        <v>-2.8709149999999999E-3</v>
      </c>
      <c r="AK55" s="6">
        <v>-2.9192469999999998E-3</v>
      </c>
      <c r="AL55" s="6">
        <v>5.8231325301204678E-6</v>
      </c>
      <c r="AM55" s="6">
        <v>-2.4177780000000002E-3</v>
      </c>
      <c r="AN55" s="6">
        <v>-3.0150950000000002E-3</v>
      </c>
      <c r="AO55" s="6">
        <v>7.1965903614457829E-5</v>
      </c>
      <c r="AP55" s="6">
        <v>-1.670216E-3</v>
      </c>
      <c r="AQ55" s="6">
        <v>-2.8207269999999999E-3</v>
      </c>
      <c r="AR55" s="6">
        <v>1.386157831325301E-4</v>
      </c>
      <c r="AS55" s="6">
        <v>-2.1566139999999998E-3</v>
      </c>
      <c r="AT55" s="6">
        <v>-2.7178250000000001E-3</v>
      </c>
      <c r="AU55" s="6">
        <v>6.7615783132530147E-5</v>
      </c>
      <c r="AV55" s="6">
        <v>-1.69125E-3</v>
      </c>
      <c r="AW55" s="6">
        <v>-2.816271E-3</v>
      </c>
      <c r="AX55" s="6">
        <v>1.3554469879518071E-4</v>
      </c>
      <c r="AY55" s="6">
        <v>-2.1443870000000002E-3</v>
      </c>
      <c r="AZ55" s="6">
        <v>-2.720423E-3</v>
      </c>
      <c r="BA55" s="6">
        <v>6.9401927710843349E-5</v>
      </c>
      <c r="BB55" s="6">
        <v>-2.637857E-3</v>
      </c>
      <c r="BC55" s="6">
        <v>-2.6081989999999998E-3</v>
      </c>
      <c r="BD55" s="6">
        <v>3.5732530120482063E-6</v>
      </c>
      <c r="BE55" s="6">
        <v>-2.1514590000000001E-3</v>
      </c>
      <c r="BF55" s="6">
        <v>-2.711101E-3</v>
      </c>
      <c r="BG55" s="6">
        <v>6.7426746987951801E-5</v>
      </c>
      <c r="BH55" s="6">
        <v>-2.616822E-3</v>
      </c>
      <c r="BI55" s="6">
        <v>-2.6126550000000002E-3</v>
      </c>
      <c r="BJ55" s="6">
        <v>5.0204819277106016E-7</v>
      </c>
      <c r="BK55" s="6">
        <v>-2.1636849999999998E-3</v>
      </c>
      <c r="BL55" s="6">
        <v>-2.7085030000000001E-3</v>
      </c>
      <c r="BM55" s="6">
        <v>6.5640722891566297E-5</v>
      </c>
      <c r="BN55" s="6">
        <v>-2.5594250000000002E-3</v>
      </c>
      <c r="BO55" s="6">
        <v>-3.410625E-3</v>
      </c>
      <c r="BP55" s="6">
        <v>1.0255421686746986E-4</v>
      </c>
      <c r="BQ55" s="6">
        <v>-2.7053440000000002E-3</v>
      </c>
      <c r="BR55" s="6">
        <v>-3.379754E-3</v>
      </c>
      <c r="BS55" s="6">
        <v>8.1254216867469856E-5</v>
      </c>
      <c r="BT55" s="6">
        <v>-2.565735E-3</v>
      </c>
      <c r="BU55" s="6">
        <v>-3.4092879999999999E-3</v>
      </c>
      <c r="BV55" s="6">
        <v>1.0163289156626505E-4</v>
      </c>
      <c r="BW55" s="6">
        <v>-2.7016760000000001E-3</v>
      </c>
      <c r="BX55" s="6">
        <v>-3.3805340000000001E-3</v>
      </c>
      <c r="BY55" s="6">
        <v>8.1790120481927713E-5</v>
      </c>
      <c r="BZ55" s="6">
        <v>-2.8497169999999999E-3</v>
      </c>
      <c r="CA55" s="6">
        <v>-3.346866E-3</v>
      </c>
      <c r="CB55" s="6">
        <v>5.9897469879518079E-5</v>
      </c>
      <c r="CC55" s="6">
        <v>-2.7037979999999999E-3</v>
      </c>
      <c r="CD55" s="6">
        <v>-3.377737E-3</v>
      </c>
      <c r="CE55" s="6">
        <v>8.1197469879518082E-5</v>
      </c>
      <c r="CF55" s="6">
        <v>-2.8434070000000001E-3</v>
      </c>
      <c r="CG55" s="6">
        <v>-3.3482030000000001E-3</v>
      </c>
      <c r="CH55" s="6">
        <v>6.0818795180722896E-5</v>
      </c>
      <c r="CI55" s="6">
        <v>-2.707466E-3</v>
      </c>
      <c r="CJ55" s="6">
        <v>-3.3769569999999999E-3</v>
      </c>
      <c r="CK55" s="6">
        <v>8.0661566265060225E-5</v>
      </c>
      <c r="CL55" s="6">
        <v>-1.7124480000000001E-3</v>
      </c>
      <c r="CM55" s="6">
        <v>-2.3886509999999999E-3</v>
      </c>
      <c r="CN55" s="6">
        <v>8.1470240963855387E-5</v>
      </c>
      <c r="CO55" s="6">
        <v>-1.858368E-3</v>
      </c>
      <c r="CP55" s="6">
        <v>-2.3577810000000002E-3</v>
      </c>
      <c r="CQ55" s="6">
        <v>6.0170240963855438E-5</v>
      </c>
      <c r="CR55" s="6">
        <v>-1.7187579999999999E-3</v>
      </c>
      <c r="CS55" s="6">
        <v>-2.3873150000000001E-3</v>
      </c>
      <c r="CT55" s="6">
        <v>8.0549036144578328E-5</v>
      </c>
      <c r="CU55" s="6">
        <v>-1.8546999999999999E-3</v>
      </c>
      <c r="CV55" s="6">
        <v>-2.35856E-3</v>
      </c>
      <c r="CW55" s="6">
        <v>6.0706024096385543E-5</v>
      </c>
      <c r="CX55" s="6">
        <v>-2.0027410000000002E-3</v>
      </c>
      <c r="CY55" s="6">
        <v>-2.3248930000000002E-3</v>
      </c>
      <c r="CZ55" s="6">
        <v>3.8813493975903614E-5</v>
      </c>
      <c r="DA55" s="6">
        <v>-1.856821E-3</v>
      </c>
      <c r="DB55" s="6">
        <v>-2.3557629999999999E-3</v>
      </c>
      <c r="DC55" s="6">
        <v>6.011349397590359E-5</v>
      </c>
      <c r="DD55" s="6">
        <v>-1.99643E-3</v>
      </c>
      <c r="DE55" s="6">
        <v>-2.3262299999999999E-3</v>
      </c>
      <c r="DF55" s="6">
        <v>3.9734939759036129E-5</v>
      </c>
      <c r="DG55" s="6">
        <v>-1.8604889999999999E-3</v>
      </c>
      <c r="DH55" s="6">
        <v>-2.3549840000000001E-3</v>
      </c>
      <c r="DI55" s="6">
        <v>5.9577710843373512E-5</v>
      </c>
    </row>
    <row r="56" spans="1:113" x14ac:dyDescent="0.3">
      <c r="A56" s="13" t="s">
        <v>402</v>
      </c>
      <c r="B56" s="13" t="s">
        <v>186</v>
      </c>
      <c r="C56" s="13" t="s">
        <v>188</v>
      </c>
      <c r="D56" s="13" t="s">
        <v>347</v>
      </c>
      <c r="E56" s="13">
        <v>12.6</v>
      </c>
      <c r="F56" s="6">
        <v>-1.95772E-3</v>
      </c>
      <c r="G56" s="6">
        <v>-1.331544E-3</v>
      </c>
      <c r="H56" s="6">
        <v>4.9696507936507938E-5</v>
      </c>
      <c r="I56" s="6">
        <v>-2.5738330000000002E-3</v>
      </c>
      <c r="J56" s="6">
        <v>-2.0021090000000002E-3</v>
      </c>
      <c r="K56" s="6">
        <v>4.5374920634920637E-5</v>
      </c>
      <c r="L56" s="6">
        <v>-2.3590009999999999E-3</v>
      </c>
      <c r="M56" s="6">
        <v>-1.943171E-3</v>
      </c>
      <c r="N56" s="6">
        <v>3.3002380952380942E-5</v>
      </c>
      <c r="O56" s="6">
        <v>-2.954871E-3</v>
      </c>
      <c r="P56" s="6">
        <v>-2.5790499999999998E-3</v>
      </c>
      <c r="Q56" s="6">
        <v>2.9827063492063502E-5</v>
      </c>
      <c r="R56" s="6">
        <v>-2.705556E-3</v>
      </c>
      <c r="S56" s="6">
        <v>-1.9583740000000001E-3</v>
      </c>
      <c r="T56" s="6">
        <v>5.9300158730158721E-5</v>
      </c>
      <c r="U56" s="6">
        <v>-2.8638700000000001E-3</v>
      </c>
      <c r="V56" s="6">
        <v>-2.4227480000000002E-3</v>
      </c>
      <c r="W56" s="6">
        <v>3.5009682539682538E-5</v>
      </c>
      <c r="X56" s="6">
        <v>-2.7097279999999998E-3</v>
      </c>
      <c r="Y56" s="6">
        <v>-1.9325830000000001E-3</v>
      </c>
      <c r="Z56" s="6">
        <v>6.1678174603174585E-5</v>
      </c>
      <c r="AA56" s="6">
        <v>-2.9118939999999999E-3</v>
      </c>
      <c r="AB56" s="6">
        <v>-2.4378899999999998E-3</v>
      </c>
      <c r="AC56" s="6">
        <v>3.7619365079365088E-5</v>
      </c>
      <c r="AD56" s="6">
        <v>-3.120626E-3</v>
      </c>
      <c r="AE56" s="6">
        <v>-2.8777730000000001E-3</v>
      </c>
      <c r="AF56" s="6">
        <v>1.9274047619047613E-5</v>
      </c>
      <c r="AG56" s="6">
        <v>-2.9118680000000002E-3</v>
      </c>
      <c r="AH56" s="6">
        <v>-2.413236E-3</v>
      </c>
      <c r="AI56" s="6">
        <v>3.957396825396827E-5</v>
      </c>
      <c r="AJ56" s="6">
        <v>-3.1164539999999998E-3</v>
      </c>
      <c r="AK56" s="6">
        <v>-2.903564E-3</v>
      </c>
      <c r="AL56" s="6">
        <v>1.6896031746031736E-5</v>
      </c>
      <c r="AM56" s="6">
        <v>-2.9142880000000001E-3</v>
      </c>
      <c r="AN56" s="6">
        <v>-2.3982579999999999E-3</v>
      </c>
      <c r="AO56" s="6">
        <v>4.0954761904761925E-5</v>
      </c>
      <c r="AP56" s="6">
        <v>-2.4080730000000002E-3</v>
      </c>
      <c r="AQ56" s="6">
        <v>-1.703385E-3</v>
      </c>
      <c r="AR56" s="6">
        <v>5.5927619047619062E-5</v>
      </c>
      <c r="AS56" s="6">
        <v>-2.616831E-3</v>
      </c>
      <c r="AT56" s="6">
        <v>-2.1679220000000001E-3</v>
      </c>
      <c r="AU56" s="6">
        <v>3.5627698412698412E-5</v>
      </c>
      <c r="AV56" s="6">
        <v>-2.4122449999999999E-3</v>
      </c>
      <c r="AW56" s="6">
        <v>-1.6775939999999999E-3</v>
      </c>
      <c r="AX56" s="6">
        <v>5.8305634920634926E-5</v>
      </c>
      <c r="AY56" s="6">
        <v>-2.6144110000000001E-3</v>
      </c>
      <c r="AZ56" s="6">
        <v>-2.1829000000000002E-3</v>
      </c>
      <c r="BA56" s="6">
        <v>3.424690476190475E-5</v>
      </c>
      <c r="BB56" s="6">
        <v>-2.8231419999999998E-3</v>
      </c>
      <c r="BC56" s="6">
        <v>-2.622784E-3</v>
      </c>
      <c r="BD56" s="6">
        <v>1.5901428571428562E-5</v>
      </c>
      <c r="BE56" s="6">
        <v>-2.614384E-3</v>
      </c>
      <c r="BF56" s="6">
        <v>-2.1582469999999999E-3</v>
      </c>
      <c r="BG56" s="6">
        <v>3.6201349206349216E-5</v>
      </c>
      <c r="BH56" s="6">
        <v>-2.8189700000000001E-3</v>
      </c>
      <c r="BI56" s="6">
        <v>-2.6485749999999998E-3</v>
      </c>
      <c r="BJ56" s="6">
        <v>1.352341269841272E-5</v>
      </c>
      <c r="BK56" s="6">
        <v>-2.6168039999999999E-3</v>
      </c>
      <c r="BL56" s="6">
        <v>-2.1432679999999998E-3</v>
      </c>
      <c r="BM56" s="6">
        <v>3.7582222222222232E-5</v>
      </c>
      <c r="BN56" s="6">
        <v>-3.1978950000000001E-3</v>
      </c>
      <c r="BO56" s="6">
        <v>-2.5776509999999998E-3</v>
      </c>
      <c r="BP56" s="6">
        <v>4.9225714285714307E-5</v>
      </c>
      <c r="BQ56" s="6">
        <v>-3.2605220000000001E-3</v>
      </c>
      <c r="BR56" s="6">
        <v>-2.717012E-3</v>
      </c>
      <c r="BS56" s="6">
        <v>4.3135714285714296E-5</v>
      </c>
      <c r="BT56" s="6">
        <v>-3.1991459999999999E-3</v>
      </c>
      <c r="BU56" s="6">
        <v>-2.5699130000000001E-3</v>
      </c>
      <c r="BV56" s="6">
        <v>4.9939126984126973E-5</v>
      </c>
      <c r="BW56" s="6">
        <v>-3.2597960000000001E-3</v>
      </c>
      <c r="BX56" s="6">
        <v>-2.7215049999999999E-3</v>
      </c>
      <c r="BY56" s="6">
        <v>4.2721507936507951E-5</v>
      </c>
      <c r="BZ56" s="6">
        <v>-3.3224159999999999E-3</v>
      </c>
      <c r="CA56" s="6">
        <v>-2.8534699999999999E-3</v>
      </c>
      <c r="CB56" s="6">
        <v>3.7217936507936514E-5</v>
      </c>
      <c r="CC56" s="6">
        <v>-3.259788E-3</v>
      </c>
      <c r="CD56" s="6">
        <v>-2.7141090000000001E-3</v>
      </c>
      <c r="CE56" s="6">
        <v>4.3307857142857136E-5</v>
      </c>
      <c r="CF56" s="6">
        <v>-3.3211640000000001E-3</v>
      </c>
      <c r="CG56" s="6">
        <v>-2.8612080000000001E-3</v>
      </c>
      <c r="CH56" s="6">
        <v>3.6504444444444451E-5</v>
      </c>
      <c r="CI56" s="6">
        <v>-3.2605139999999999E-3</v>
      </c>
      <c r="CJ56" s="6">
        <v>-2.7096160000000002E-3</v>
      </c>
      <c r="CK56" s="6">
        <v>4.3722063492063474E-5</v>
      </c>
      <c r="CL56" s="6">
        <v>-2.2062829999999999E-3</v>
      </c>
      <c r="CM56" s="6">
        <v>-1.727688E-3</v>
      </c>
      <c r="CN56" s="6">
        <v>3.7983730158730148E-5</v>
      </c>
      <c r="CO56" s="6">
        <v>-2.2689099999999999E-3</v>
      </c>
      <c r="CP56" s="6">
        <v>-1.867049E-3</v>
      </c>
      <c r="CQ56" s="6">
        <v>3.189373015873015E-5</v>
      </c>
      <c r="CR56" s="6">
        <v>-2.2075350000000001E-3</v>
      </c>
      <c r="CS56" s="6">
        <v>-1.71995E-3</v>
      </c>
      <c r="CT56" s="6">
        <v>3.8697222222222224E-5</v>
      </c>
      <c r="CU56" s="6">
        <v>-2.2681839999999999E-3</v>
      </c>
      <c r="CV56" s="6">
        <v>-1.8715419999999999E-3</v>
      </c>
      <c r="CW56" s="6">
        <v>3.1479523809523813E-5</v>
      </c>
      <c r="CX56" s="6">
        <v>-2.3308040000000001E-3</v>
      </c>
      <c r="CY56" s="6">
        <v>-2.0035069999999999E-3</v>
      </c>
      <c r="CZ56" s="6">
        <v>2.5975952380952403E-5</v>
      </c>
      <c r="DA56" s="6">
        <v>-2.2681759999999998E-3</v>
      </c>
      <c r="DB56" s="6">
        <v>-1.8641459999999999E-3</v>
      </c>
      <c r="DC56" s="6">
        <v>3.2065873015873005E-5</v>
      </c>
      <c r="DD56" s="6">
        <v>-2.3295519999999999E-3</v>
      </c>
      <c r="DE56" s="6">
        <v>-2.011245E-3</v>
      </c>
      <c r="DF56" s="6">
        <v>2.526246031746031E-5</v>
      </c>
      <c r="DG56" s="6">
        <v>-2.2689020000000002E-3</v>
      </c>
      <c r="DH56" s="6">
        <v>-1.859653E-3</v>
      </c>
      <c r="DI56" s="6">
        <v>3.2480079365079383E-5</v>
      </c>
    </row>
    <row r="57" spans="1:113" x14ac:dyDescent="0.3">
      <c r="A57" s="13" t="s">
        <v>403</v>
      </c>
      <c r="B57" s="13" t="s">
        <v>188</v>
      </c>
      <c r="C57" s="13" t="s">
        <v>189</v>
      </c>
      <c r="D57" s="13" t="s">
        <v>347</v>
      </c>
      <c r="E57" s="13">
        <v>8.3000000000000007</v>
      </c>
      <c r="F57" s="6">
        <v>-1.331544E-3</v>
      </c>
      <c r="G57" s="6">
        <v>-1.7493229999999999E-3</v>
      </c>
      <c r="H57" s="6">
        <v>5.0334819277108411E-5</v>
      </c>
      <c r="I57" s="6">
        <v>-2.0021090000000002E-3</v>
      </c>
      <c r="J57" s="6">
        <v>-2.5460389999999999E-3</v>
      </c>
      <c r="K57" s="6">
        <v>6.5533734939759005E-5</v>
      </c>
      <c r="L57" s="6">
        <v>-1.943171E-3</v>
      </c>
      <c r="M57" s="6">
        <v>-2.3477709999999998E-3</v>
      </c>
      <c r="N57" s="6">
        <v>4.8746987951807193E-5</v>
      </c>
      <c r="O57" s="6">
        <v>-2.5790499999999998E-3</v>
      </c>
      <c r="P57" s="6">
        <v>-3.1170719999999998E-3</v>
      </c>
      <c r="Q57" s="6">
        <v>6.4821927710843362E-5</v>
      </c>
      <c r="R57" s="6">
        <v>-1.9583740000000001E-3</v>
      </c>
      <c r="S57" s="6">
        <v>-3.0856289999999999E-3</v>
      </c>
      <c r="T57" s="6">
        <v>1.358138554216867E-4</v>
      </c>
      <c r="U57" s="6">
        <v>-2.4227480000000002E-3</v>
      </c>
      <c r="V57" s="6">
        <v>-2.9806350000000001E-3</v>
      </c>
      <c r="W57" s="6">
        <v>6.7215301204819264E-5</v>
      </c>
      <c r="X57" s="6">
        <v>-1.9325830000000001E-3</v>
      </c>
      <c r="Y57" s="6">
        <v>-3.0907320000000001E-3</v>
      </c>
      <c r="Z57" s="6">
        <v>1.3953602409638553E-4</v>
      </c>
      <c r="AA57" s="6">
        <v>-2.4378899999999998E-3</v>
      </c>
      <c r="AB57" s="6">
        <v>-2.9767460000000002E-3</v>
      </c>
      <c r="AC57" s="6">
        <v>6.4922409638554251E-5</v>
      </c>
      <c r="AD57" s="6">
        <v>-2.8777730000000001E-3</v>
      </c>
      <c r="AE57" s="6">
        <v>-2.8808000000000002E-3</v>
      </c>
      <c r="AF57" s="6">
        <v>3.6469879518073063E-7</v>
      </c>
      <c r="AG57" s="6">
        <v>-2.413236E-3</v>
      </c>
      <c r="AH57" s="6">
        <v>-2.9866200000000002E-3</v>
      </c>
      <c r="AI57" s="6">
        <v>6.9082409638554225E-5</v>
      </c>
      <c r="AJ57" s="6">
        <v>-2.903564E-3</v>
      </c>
      <c r="AK57" s="6">
        <v>-2.875697E-3</v>
      </c>
      <c r="AL57" s="6">
        <v>3.3574698795180713E-6</v>
      </c>
      <c r="AM57" s="6">
        <v>-2.3982579999999999E-3</v>
      </c>
      <c r="AN57" s="6">
        <v>-2.9896829999999999E-3</v>
      </c>
      <c r="AO57" s="6">
        <v>7.1256024096385542E-5</v>
      </c>
      <c r="AP57" s="6">
        <v>-1.703385E-3</v>
      </c>
      <c r="AQ57" s="6">
        <v>-2.782311E-3</v>
      </c>
      <c r="AR57" s="6">
        <v>1.299910843373494E-4</v>
      </c>
      <c r="AS57" s="6">
        <v>-2.1679220000000001E-3</v>
      </c>
      <c r="AT57" s="6">
        <v>-2.676491E-3</v>
      </c>
      <c r="AU57" s="6">
        <v>6.1273373493975894E-5</v>
      </c>
      <c r="AV57" s="6">
        <v>-1.6775939999999999E-3</v>
      </c>
      <c r="AW57" s="6">
        <v>-2.7874140000000002E-3</v>
      </c>
      <c r="AX57" s="6">
        <v>1.3371325301204823E-4</v>
      </c>
      <c r="AY57" s="6">
        <v>-2.1829000000000002E-3</v>
      </c>
      <c r="AZ57" s="6">
        <v>-2.6734279999999998E-3</v>
      </c>
      <c r="BA57" s="6">
        <v>5.909975903614453E-5</v>
      </c>
      <c r="BB57" s="6">
        <v>-2.622784E-3</v>
      </c>
      <c r="BC57" s="6">
        <v>-2.5774819999999999E-3</v>
      </c>
      <c r="BD57" s="6">
        <v>5.4580722891566385E-6</v>
      </c>
      <c r="BE57" s="6">
        <v>-2.1582469999999999E-3</v>
      </c>
      <c r="BF57" s="6">
        <v>-2.6833030000000002E-3</v>
      </c>
      <c r="BG57" s="6">
        <v>6.3259759036144605E-5</v>
      </c>
      <c r="BH57" s="6">
        <v>-2.6485749999999998E-3</v>
      </c>
      <c r="BI57" s="6">
        <v>-2.5723790000000001E-3</v>
      </c>
      <c r="BJ57" s="6">
        <v>9.1802409638553875E-6</v>
      </c>
      <c r="BK57" s="6">
        <v>-2.1432679999999998E-3</v>
      </c>
      <c r="BL57" s="6">
        <v>-2.686365E-3</v>
      </c>
      <c r="BM57" s="6">
        <v>6.5433373493975922E-5</v>
      </c>
      <c r="BN57" s="6">
        <v>-2.5776509999999998E-3</v>
      </c>
      <c r="BO57" s="6">
        <v>-3.3678089999999998E-3</v>
      </c>
      <c r="BP57" s="6">
        <v>9.5199759036144574E-5</v>
      </c>
      <c r="BQ57" s="6">
        <v>-2.717012E-3</v>
      </c>
      <c r="BR57" s="6">
        <v>-3.3360629999999998E-3</v>
      </c>
      <c r="BS57" s="6">
        <v>7.4584457831325276E-5</v>
      </c>
      <c r="BT57" s="6">
        <v>-2.5699130000000001E-3</v>
      </c>
      <c r="BU57" s="6">
        <v>-3.3693400000000002E-3</v>
      </c>
      <c r="BV57" s="6">
        <v>9.6316506024096395E-5</v>
      </c>
      <c r="BW57" s="6">
        <v>-2.7215049999999999E-3</v>
      </c>
      <c r="BX57" s="6">
        <v>-3.335144E-3</v>
      </c>
      <c r="BY57" s="6">
        <v>7.3932409638554207E-5</v>
      </c>
      <c r="BZ57" s="6">
        <v>-2.8534699999999999E-3</v>
      </c>
      <c r="CA57" s="6">
        <v>-3.3063609999999998E-3</v>
      </c>
      <c r="CB57" s="6">
        <v>5.4565180722891557E-5</v>
      </c>
      <c r="CC57" s="6">
        <v>-2.7141090000000001E-3</v>
      </c>
      <c r="CD57" s="6">
        <v>-3.3381069999999999E-3</v>
      </c>
      <c r="CE57" s="6">
        <v>7.51804819277108E-5</v>
      </c>
      <c r="CF57" s="6">
        <v>-2.8612080000000001E-3</v>
      </c>
      <c r="CG57" s="6">
        <v>-3.3048299999999999E-3</v>
      </c>
      <c r="CH57" s="6">
        <v>5.3448433734939736E-5</v>
      </c>
      <c r="CI57" s="6">
        <v>-2.7096160000000002E-3</v>
      </c>
      <c r="CJ57" s="6">
        <v>-3.3390260000000001E-3</v>
      </c>
      <c r="CK57" s="6">
        <v>7.583253012048191E-5</v>
      </c>
      <c r="CL57" s="6">
        <v>-1.727688E-3</v>
      </c>
      <c r="CM57" s="6">
        <v>-2.3567509999999998E-3</v>
      </c>
      <c r="CN57" s="6">
        <v>7.5790722891566232E-5</v>
      </c>
      <c r="CO57" s="6">
        <v>-1.867049E-3</v>
      </c>
      <c r="CP57" s="6">
        <v>-2.3250039999999999E-3</v>
      </c>
      <c r="CQ57" s="6">
        <v>5.5175301204819264E-5</v>
      </c>
      <c r="CR57" s="6">
        <v>-1.71995E-3</v>
      </c>
      <c r="CS57" s="6">
        <v>-2.3582820000000002E-3</v>
      </c>
      <c r="CT57" s="6">
        <v>7.6907469879518081E-5</v>
      </c>
      <c r="CU57" s="6">
        <v>-1.8715419999999999E-3</v>
      </c>
      <c r="CV57" s="6">
        <v>-2.3240859999999999E-3</v>
      </c>
      <c r="CW57" s="6">
        <v>5.4523373493975906E-5</v>
      </c>
      <c r="CX57" s="6">
        <v>-2.0035069999999999E-3</v>
      </c>
      <c r="CY57" s="6">
        <v>-2.2953019999999999E-3</v>
      </c>
      <c r="CZ57" s="6">
        <v>3.5156024096385545E-5</v>
      </c>
      <c r="DA57" s="6">
        <v>-1.8641459999999999E-3</v>
      </c>
      <c r="DB57" s="6">
        <v>-2.327048E-3</v>
      </c>
      <c r="DC57" s="6">
        <v>5.5771325301204822E-5</v>
      </c>
      <c r="DD57" s="6">
        <v>-2.011245E-3</v>
      </c>
      <c r="DE57" s="6">
        <v>-2.293771E-3</v>
      </c>
      <c r="DF57" s="6">
        <v>3.4039277108433724E-5</v>
      </c>
      <c r="DG57" s="6">
        <v>-1.859653E-3</v>
      </c>
      <c r="DH57" s="6">
        <v>-2.3279669999999998E-3</v>
      </c>
      <c r="DI57" s="6">
        <v>5.6423373493975878E-5</v>
      </c>
    </row>
    <row r="58" spans="1:113" x14ac:dyDescent="0.3">
      <c r="A58" s="13" t="s">
        <v>404</v>
      </c>
      <c r="B58" s="13" t="s">
        <v>227</v>
      </c>
      <c r="C58" s="13" t="s">
        <v>229</v>
      </c>
      <c r="D58" s="13" t="s">
        <v>347</v>
      </c>
      <c r="E58" s="13">
        <v>12.6</v>
      </c>
      <c r="F58" s="6">
        <v>-1.747501E-3</v>
      </c>
      <c r="G58" s="6">
        <v>-1.3388580000000001E-3</v>
      </c>
      <c r="H58" s="6">
        <v>3.2431984126984123E-5</v>
      </c>
      <c r="I58" s="6">
        <v>-2.2968789999999999E-3</v>
      </c>
      <c r="J58" s="6">
        <v>-2.0160130000000001E-3</v>
      </c>
      <c r="K58" s="6">
        <v>2.2290952380952369E-5</v>
      </c>
      <c r="L58" s="6">
        <v>-2.1547440000000001E-3</v>
      </c>
      <c r="M58" s="6">
        <v>-1.9523570000000001E-3</v>
      </c>
      <c r="N58" s="6">
        <v>1.6062460317460323E-5</v>
      </c>
      <c r="O58" s="6">
        <v>-2.6834239999999998E-3</v>
      </c>
      <c r="P58" s="6">
        <v>-2.5934629999999998E-3</v>
      </c>
      <c r="Q58" s="6">
        <v>7.1397619047619007E-6</v>
      </c>
      <c r="R58" s="6">
        <v>-2.404612E-3</v>
      </c>
      <c r="S58" s="6">
        <v>-2.000127E-3</v>
      </c>
      <c r="T58" s="6">
        <v>3.2101984126984125E-5</v>
      </c>
      <c r="U58" s="6">
        <v>-2.71434E-3</v>
      </c>
      <c r="V58" s="6">
        <v>-2.4391270000000001E-3</v>
      </c>
      <c r="W58" s="6">
        <v>2.1842301587301575E-5</v>
      </c>
      <c r="X58" s="6">
        <v>-2.4057129999999999E-3</v>
      </c>
      <c r="Y58" s="6">
        <v>-1.927004E-3</v>
      </c>
      <c r="Z58" s="6">
        <v>3.7992777777777769E-5</v>
      </c>
      <c r="AA58" s="6">
        <v>-2.7937779999999998E-3</v>
      </c>
      <c r="AB58" s="6">
        <v>-2.4807449999999999E-3</v>
      </c>
      <c r="AC58" s="6">
        <v>2.4843888888888882E-5</v>
      </c>
      <c r="AD58" s="6">
        <v>-2.848869E-3</v>
      </c>
      <c r="AE58" s="6">
        <v>-2.865486E-3</v>
      </c>
      <c r="AF58" s="6">
        <v>1.3188095238095254E-6</v>
      </c>
      <c r="AG58" s="6">
        <v>-2.4590689999999999E-3</v>
      </c>
      <c r="AH58" s="6">
        <v>-2.4273630000000001E-3</v>
      </c>
      <c r="AI58" s="6">
        <v>2.5163492063491935E-6</v>
      </c>
      <c r="AJ58" s="6">
        <v>-2.8477680000000001E-3</v>
      </c>
      <c r="AK58" s="6">
        <v>-2.9386080000000001E-3</v>
      </c>
      <c r="AL58" s="6">
        <v>7.2095238095238116E-6</v>
      </c>
      <c r="AM58" s="6">
        <v>-2.4597030000000001E-3</v>
      </c>
      <c r="AN58" s="6">
        <v>-2.3848680000000001E-3</v>
      </c>
      <c r="AO58" s="6">
        <v>5.9392857142857217E-6</v>
      </c>
      <c r="AP58" s="6">
        <v>-2.1314319999999999E-3</v>
      </c>
      <c r="AQ58" s="6">
        <v>-1.744017E-3</v>
      </c>
      <c r="AR58" s="6">
        <v>3.0747222222222214E-5</v>
      </c>
      <c r="AS58" s="6">
        <v>-2.521232E-3</v>
      </c>
      <c r="AT58" s="6">
        <v>-2.1821399999999999E-3</v>
      </c>
      <c r="AU58" s="6">
        <v>2.6912063492063497E-5</v>
      </c>
      <c r="AV58" s="6">
        <v>-2.1325329999999998E-3</v>
      </c>
      <c r="AW58" s="6">
        <v>-1.670894E-3</v>
      </c>
      <c r="AX58" s="6">
        <v>3.6638015873015857E-5</v>
      </c>
      <c r="AY58" s="6">
        <v>-2.5205980000000002E-3</v>
      </c>
      <c r="AZ58" s="6">
        <v>-2.224635E-3</v>
      </c>
      <c r="BA58" s="6">
        <v>2.3489126984127001E-5</v>
      </c>
      <c r="BB58" s="6">
        <v>-2.5756889999999999E-3</v>
      </c>
      <c r="BC58" s="6">
        <v>-2.6093760000000001E-3</v>
      </c>
      <c r="BD58" s="6">
        <v>2.6735714285714387E-6</v>
      </c>
      <c r="BE58" s="6">
        <v>-2.185888E-3</v>
      </c>
      <c r="BF58" s="6">
        <v>-2.1712540000000001E-3</v>
      </c>
      <c r="BG58" s="6">
        <v>1.1614285714285646E-6</v>
      </c>
      <c r="BH58" s="6">
        <v>-2.5745880000000001E-3</v>
      </c>
      <c r="BI58" s="6">
        <v>-2.6824990000000001E-3</v>
      </c>
      <c r="BJ58" s="6">
        <v>8.5643650793650828E-6</v>
      </c>
      <c r="BK58" s="6">
        <v>-2.1865230000000001E-3</v>
      </c>
      <c r="BL58" s="6">
        <v>-2.1287580000000001E-3</v>
      </c>
      <c r="BM58" s="6">
        <v>4.5845238095238087E-6</v>
      </c>
      <c r="BN58" s="6">
        <v>-2.878813E-3</v>
      </c>
      <c r="BO58" s="6">
        <v>-2.6017969999999999E-3</v>
      </c>
      <c r="BP58" s="6">
        <v>2.1985396825396839E-5</v>
      </c>
      <c r="BQ58" s="6">
        <v>-2.9957529999999999E-3</v>
      </c>
      <c r="BR58" s="6">
        <v>-2.7332329999999998E-3</v>
      </c>
      <c r="BS58" s="6">
        <v>2.0834920634920638E-5</v>
      </c>
      <c r="BT58" s="6">
        <v>-2.8791429999999998E-3</v>
      </c>
      <c r="BU58" s="6">
        <v>-2.5798599999999998E-3</v>
      </c>
      <c r="BV58" s="6">
        <v>2.3752619047619049E-5</v>
      </c>
      <c r="BW58" s="6">
        <v>-2.9955630000000001E-3</v>
      </c>
      <c r="BX58" s="6">
        <v>-2.7459820000000001E-3</v>
      </c>
      <c r="BY58" s="6">
        <v>1.9808015873015874E-5</v>
      </c>
      <c r="BZ58" s="6">
        <v>-3.0120899999999998E-3</v>
      </c>
      <c r="CA58" s="6">
        <v>-2.8614040000000001E-3</v>
      </c>
      <c r="CB58" s="6">
        <v>1.1959206349206326E-5</v>
      </c>
      <c r="CC58" s="6">
        <v>-2.89515E-3</v>
      </c>
      <c r="CD58" s="6">
        <v>-2.7299680000000002E-3</v>
      </c>
      <c r="CE58" s="6">
        <v>1.3109682539682526E-5</v>
      </c>
      <c r="CF58" s="6">
        <v>-3.01176E-3</v>
      </c>
      <c r="CG58" s="6">
        <v>-2.8833410000000002E-3</v>
      </c>
      <c r="CH58" s="6">
        <v>1.0191984126984114E-5</v>
      </c>
      <c r="CI58" s="6">
        <v>-2.8953400000000002E-3</v>
      </c>
      <c r="CJ58" s="6">
        <v>-2.7172189999999999E-3</v>
      </c>
      <c r="CK58" s="6">
        <v>1.4136587301587323E-5</v>
      </c>
      <c r="CL58" s="6">
        <v>-1.9682110000000001E-3</v>
      </c>
      <c r="CM58" s="6">
        <v>-1.7480989999999999E-3</v>
      </c>
      <c r="CN58" s="6">
        <v>1.7469206349206363E-5</v>
      </c>
      <c r="CO58" s="6">
        <v>-2.0851509999999999E-3</v>
      </c>
      <c r="CP58" s="6">
        <v>-1.8795350000000001E-3</v>
      </c>
      <c r="CQ58" s="6">
        <v>1.6318730158730145E-5</v>
      </c>
      <c r="CR58" s="6">
        <v>-1.9685409999999999E-3</v>
      </c>
      <c r="CS58" s="6">
        <v>-1.7261620000000001E-3</v>
      </c>
      <c r="CT58" s="6">
        <v>1.9236428571428556E-5</v>
      </c>
      <c r="CU58" s="6">
        <v>-2.0849599999999999E-3</v>
      </c>
      <c r="CV58" s="6">
        <v>-1.8922839999999999E-3</v>
      </c>
      <c r="CW58" s="6">
        <v>1.5291746031746026E-5</v>
      </c>
      <c r="CX58" s="6">
        <v>-2.1014879999999999E-3</v>
      </c>
      <c r="CY58" s="6">
        <v>-2.0077060000000002E-3</v>
      </c>
      <c r="CZ58" s="6">
        <v>7.4430158730158514E-6</v>
      </c>
      <c r="DA58" s="6">
        <v>-1.984548E-3</v>
      </c>
      <c r="DB58" s="6">
        <v>-1.87627E-3</v>
      </c>
      <c r="DC58" s="6">
        <v>8.5934920634920682E-6</v>
      </c>
      <c r="DD58" s="6">
        <v>-2.1011580000000001E-3</v>
      </c>
      <c r="DE58" s="6">
        <v>-2.0296429999999998E-3</v>
      </c>
      <c r="DF58" s="6">
        <v>5.6757936507936745E-6</v>
      </c>
      <c r="DG58" s="6">
        <v>-1.9847380000000002E-3</v>
      </c>
      <c r="DH58" s="6">
        <v>-1.8635209999999999E-3</v>
      </c>
      <c r="DI58" s="6">
        <v>9.6203968253968486E-6</v>
      </c>
    </row>
    <row r="59" spans="1:113" x14ac:dyDescent="0.3">
      <c r="A59" s="13" t="s">
        <v>405</v>
      </c>
      <c r="B59" s="13" t="s">
        <v>229</v>
      </c>
      <c r="C59" s="13" t="s">
        <v>230</v>
      </c>
      <c r="D59" s="13" t="s">
        <v>347</v>
      </c>
      <c r="E59" s="13">
        <v>8.3000000000000007</v>
      </c>
      <c r="F59" s="6">
        <v>-1.3388580000000001E-3</v>
      </c>
      <c r="G59" s="6">
        <v>-1.796998E-3</v>
      </c>
      <c r="H59" s="6">
        <v>5.5197590361445765E-5</v>
      </c>
      <c r="I59" s="6">
        <v>-2.0160130000000001E-3</v>
      </c>
      <c r="J59" s="6">
        <v>-2.6110220000000002E-3</v>
      </c>
      <c r="K59" s="6">
        <v>7.1687831325301207E-5</v>
      </c>
      <c r="L59" s="6">
        <v>-1.9523570000000001E-3</v>
      </c>
      <c r="M59" s="6">
        <v>-2.3948210000000001E-3</v>
      </c>
      <c r="N59" s="6">
        <v>5.3308915662650607E-5</v>
      </c>
      <c r="O59" s="6">
        <v>-2.5934629999999998E-3</v>
      </c>
      <c r="P59" s="6">
        <v>-3.1815749999999999E-3</v>
      </c>
      <c r="Q59" s="6">
        <v>7.0856867469879512E-5</v>
      </c>
      <c r="R59" s="6">
        <v>-2.000127E-3</v>
      </c>
      <c r="S59" s="6">
        <v>-3.1485100000000002E-3</v>
      </c>
      <c r="T59" s="6">
        <v>1.3835939759036147E-4</v>
      </c>
      <c r="U59" s="6">
        <v>-2.4391270000000001E-3</v>
      </c>
      <c r="V59" s="6">
        <v>-3.0413229999999999E-3</v>
      </c>
      <c r="W59" s="6">
        <v>7.2553734939759002E-5</v>
      </c>
      <c r="X59" s="6">
        <v>-1.927004E-3</v>
      </c>
      <c r="Y59" s="6">
        <v>-3.163571E-3</v>
      </c>
      <c r="Z59" s="6">
        <v>1.4898397590361445E-4</v>
      </c>
      <c r="AA59" s="6">
        <v>-2.4807449999999999E-3</v>
      </c>
      <c r="AB59" s="6">
        <v>-3.0318189999999998E-3</v>
      </c>
      <c r="AC59" s="6">
        <v>6.6394457831325289E-5</v>
      </c>
      <c r="AD59" s="6">
        <v>-2.865486E-3</v>
      </c>
      <c r="AE59" s="6">
        <v>-2.9530279999999999E-3</v>
      </c>
      <c r="AF59" s="6">
        <v>1.0547228915662639E-5</v>
      </c>
      <c r="AG59" s="6">
        <v>-2.4273630000000001E-3</v>
      </c>
      <c r="AH59" s="6">
        <v>-3.0608609999999998E-3</v>
      </c>
      <c r="AI59" s="6">
        <v>7.6325060240963814E-5</v>
      </c>
      <c r="AJ59" s="6">
        <v>-2.9386080000000001E-3</v>
      </c>
      <c r="AK59" s="6">
        <v>-2.9379670000000001E-3</v>
      </c>
      <c r="AL59" s="6">
        <v>7.7228915662651761E-8</v>
      </c>
      <c r="AM59" s="6">
        <v>-2.3848680000000001E-3</v>
      </c>
      <c r="AN59" s="6">
        <v>-3.0697200000000002E-3</v>
      </c>
      <c r="AO59" s="6">
        <v>8.2512289156626512E-5</v>
      </c>
      <c r="AP59" s="6">
        <v>-1.744017E-3</v>
      </c>
      <c r="AQ59" s="6">
        <v>-2.8395650000000001E-3</v>
      </c>
      <c r="AR59" s="6">
        <v>1.3199373493975902E-4</v>
      </c>
      <c r="AS59" s="6">
        <v>-2.1821399999999999E-3</v>
      </c>
      <c r="AT59" s="6">
        <v>-2.7317320000000002E-3</v>
      </c>
      <c r="AU59" s="6">
        <v>6.6215903614457851E-5</v>
      </c>
      <c r="AV59" s="6">
        <v>-1.670894E-3</v>
      </c>
      <c r="AW59" s="6">
        <v>-2.854625E-3</v>
      </c>
      <c r="AX59" s="6">
        <v>1.4261819277108431E-4</v>
      </c>
      <c r="AY59" s="6">
        <v>-2.224635E-3</v>
      </c>
      <c r="AZ59" s="6">
        <v>-2.7228729999999998E-3</v>
      </c>
      <c r="BA59" s="6">
        <v>6.0028674698795153E-5</v>
      </c>
      <c r="BB59" s="6">
        <v>-2.6093760000000001E-3</v>
      </c>
      <c r="BC59" s="6">
        <v>-2.6440830000000002E-3</v>
      </c>
      <c r="BD59" s="6">
        <v>4.1815662650602578E-6</v>
      </c>
      <c r="BE59" s="6">
        <v>-2.1712540000000001E-3</v>
      </c>
      <c r="BF59" s="6">
        <v>-2.7519150000000002E-3</v>
      </c>
      <c r="BG59" s="6">
        <v>6.9959156626506035E-5</v>
      </c>
      <c r="BH59" s="6">
        <v>-2.6824990000000001E-3</v>
      </c>
      <c r="BI59" s="6">
        <v>-2.629022E-3</v>
      </c>
      <c r="BJ59" s="6">
        <v>6.443012048192786E-6</v>
      </c>
      <c r="BK59" s="6">
        <v>-2.1287580000000001E-3</v>
      </c>
      <c r="BL59" s="6">
        <v>-2.7607740000000001E-3</v>
      </c>
      <c r="BM59" s="6">
        <v>7.6146506024096376E-5</v>
      </c>
      <c r="BN59" s="6">
        <v>-2.6017969999999999E-3</v>
      </c>
      <c r="BO59" s="6">
        <v>-3.440528E-3</v>
      </c>
      <c r="BP59" s="6">
        <v>1.0105192771084337E-4</v>
      </c>
      <c r="BQ59" s="6">
        <v>-2.7332329999999998E-3</v>
      </c>
      <c r="BR59" s="6">
        <v>-3.408178E-3</v>
      </c>
      <c r="BS59" s="6">
        <v>8.1318674698795188E-5</v>
      </c>
      <c r="BT59" s="6">
        <v>-2.5798599999999998E-3</v>
      </c>
      <c r="BU59" s="6">
        <v>-3.4450459999999998E-3</v>
      </c>
      <c r="BV59" s="6">
        <v>1.0423927710843372E-4</v>
      </c>
      <c r="BW59" s="6">
        <v>-2.7459820000000001E-3</v>
      </c>
      <c r="BX59" s="6">
        <v>-3.40552E-3</v>
      </c>
      <c r="BY59" s="6">
        <v>7.946240963855419E-5</v>
      </c>
      <c r="BZ59" s="6">
        <v>-2.8614040000000001E-3</v>
      </c>
      <c r="CA59" s="6">
        <v>-3.381883E-3</v>
      </c>
      <c r="CB59" s="6">
        <v>6.2708313253012027E-5</v>
      </c>
      <c r="CC59" s="6">
        <v>-2.7299680000000002E-3</v>
      </c>
      <c r="CD59" s="6">
        <v>-3.414233E-3</v>
      </c>
      <c r="CE59" s="6">
        <v>8.2441566265060225E-5</v>
      </c>
      <c r="CF59" s="6">
        <v>-2.8833410000000002E-3</v>
      </c>
      <c r="CG59" s="6">
        <v>-3.3773649999999998E-3</v>
      </c>
      <c r="CH59" s="6">
        <v>5.952096385542163E-5</v>
      </c>
      <c r="CI59" s="6">
        <v>-2.7172189999999999E-3</v>
      </c>
      <c r="CJ59" s="6">
        <v>-3.416891E-3</v>
      </c>
      <c r="CK59" s="6">
        <v>8.429783132530121E-5</v>
      </c>
      <c r="CL59" s="6">
        <v>-1.7480989999999999E-3</v>
      </c>
      <c r="CM59" s="6">
        <v>-2.410709E-3</v>
      </c>
      <c r="CN59" s="6">
        <v>7.983253012048194E-5</v>
      </c>
      <c r="CO59" s="6">
        <v>-1.8795350000000001E-3</v>
      </c>
      <c r="CP59" s="6">
        <v>-2.3783599999999999E-3</v>
      </c>
      <c r="CQ59" s="6">
        <v>6.009939759036142E-5</v>
      </c>
      <c r="CR59" s="6">
        <v>-1.7261620000000001E-3</v>
      </c>
      <c r="CS59" s="6">
        <v>-2.4152269999999998E-3</v>
      </c>
      <c r="CT59" s="6">
        <v>8.3019879518072249E-5</v>
      </c>
      <c r="CU59" s="6">
        <v>-1.8922839999999999E-3</v>
      </c>
      <c r="CV59" s="6">
        <v>-2.3757019999999999E-3</v>
      </c>
      <c r="CW59" s="6">
        <v>5.8243132530120475E-5</v>
      </c>
      <c r="CX59" s="6">
        <v>-2.0077060000000002E-3</v>
      </c>
      <c r="CY59" s="6">
        <v>-2.352065E-3</v>
      </c>
      <c r="CZ59" s="6">
        <v>4.1489036144578286E-5</v>
      </c>
      <c r="DA59" s="6">
        <v>-1.87627E-3</v>
      </c>
      <c r="DB59" s="6">
        <v>-2.384415E-3</v>
      </c>
      <c r="DC59" s="6">
        <v>6.1222289156626504E-5</v>
      </c>
      <c r="DD59" s="6">
        <v>-2.0296429999999998E-3</v>
      </c>
      <c r="DE59" s="6">
        <v>-2.3475470000000002E-3</v>
      </c>
      <c r="DF59" s="6">
        <v>3.830168674698799E-5</v>
      </c>
      <c r="DG59" s="6">
        <v>-1.8635209999999999E-3</v>
      </c>
      <c r="DH59" s="6">
        <v>-2.3870720000000001E-3</v>
      </c>
      <c r="DI59" s="6">
        <v>6.3078433734939764E-5</v>
      </c>
    </row>
    <row r="60" spans="1:113" x14ac:dyDescent="0.3">
      <c r="A60" s="13" t="s">
        <v>406</v>
      </c>
      <c r="B60" s="13" t="s">
        <v>265</v>
      </c>
      <c r="C60" s="13" t="s">
        <v>267</v>
      </c>
      <c r="D60" s="13" t="s">
        <v>347</v>
      </c>
      <c r="E60" s="13">
        <v>12.6</v>
      </c>
      <c r="F60" s="6">
        <v>-1.524278E-3</v>
      </c>
      <c r="G60" s="6">
        <v>-1.0950179999999999E-3</v>
      </c>
      <c r="H60" s="6">
        <v>3.4068253968253979E-5</v>
      </c>
      <c r="I60" s="6">
        <v>-1.9883050000000001E-3</v>
      </c>
      <c r="J60" s="6">
        <v>-1.657789E-3</v>
      </c>
      <c r="K60" s="6">
        <v>2.623142857142858E-5</v>
      </c>
      <c r="L60" s="6">
        <v>-1.937514E-3</v>
      </c>
      <c r="M60" s="6">
        <v>-1.704606E-3</v>
      </c>
      <c r="N60" s="6">
        <v>1.8484761904761905E-5</v>
      </c>
      <c r="O60" s="6">
        <v>-2.3815970000000001E-3</v>
      </c>
      <c r="P60" s="6">
        <v>-2.2378239999999998E-3</v>
      </c>
      <c r="Q60" s="6">
        <v>1.1410555555555575E-5</v>
      </c>
      <c r="R60" s="6">
        <v>-2.0521189999999998E-3</v>
      </c>
      <c r="S60" s="6">
        <v>-1.6253439999999999E-3</v>
      </c>
      <c r="T60" s="6">
        <v>3.3871031746031742E-5</v>
      </c>
      <c r="U60" s="6">
        <v>-2.474988E-3</v>
      </c>
      <c r="V60" s="6">
        <v>-2.308156E-3</v>
      </c>
      <c r="W60" s="6">
        <v>1.3240634920634921E-5</v>
      </c>
      <c r="X60" s="6">
        <v>-2.0501260000000002E-3</v>
      </c>
      <c r="Y60" s="6">
        <v>-1.532196E-3</v>
      </c>
      <c r="Z60" s="6">
        <v>4.1105555555555573E-5</v>
      </c>
      <c r="AA60" s="6">
        <v>-2.5765860000000001E-3</v>
      </c>
      <c r="AB60" s="6">
        <v>-2.3592690000000002E-3</v>
      </c>
      <c r="AC60" s="6">
        <v>1.7247380952380941E-5</v>
      </c>
      <c r="AD60" s="6">
        <v>-2.56515E-3</v>
      </c>
      <c r="AE60" s="6">
        <v>-2.4967470000000001E-3</v>
      </c>
      <c r="AF60" s="6">
        <v>5.4288095238095131E-6</v>
      </c>
      <c r="AG60" s="6">
        <v>-2.04185E-3</v>
      </c>
      <c r="AH60" s="6">
        <v>-1.8169639999999999E-3</v>
      </c>
      <c r="AI60" s="6">
        <v>1.7848095238095245E-5</v>
      </c>
      <c r="AJ60" s="6">
        <v>-2.5671420000000001E-3</v>
      </c>
      <c r="AK60" s="6">
        <v>-2.589895E-3</v>
      </c>
      <c r="AL60" s="6">
        <v>1.8057936507936447E-6</v>
      </c>
      <c r="AM60" s="6">
        <v>-2.0406830000000002E-3</v>
      </c>
      <c r="AN60" s="6">
        <v>-1.762823E-3</v>
      </c>
      <c r="AO60" s="6">
        <v>2.205238095238097E-5</v>
      </c>
      <c r="AP60" s="6">
        <v>-1.8047499999999999E-3</v>
      </c>
      <c r="AQ60" s="6">
        <v>-1.3988659999999999E-3</v>
      </c>
      <c r="AR60" s="6">
        <v>3.2213015873015879E-5</v>
      </c>
      <c r="AS60" s="6">
        <v>-2.3280509999999998E-3</v>
      </c>
      <c r="AT60" s="6">
        <v>-2.0786490000000001E-3</v>
      </c>
      <c r="AU60" s="6">
        <v>1.9793809523809499E-5</v>
      </c>
      <c r="AV60" s="6">
        <v>-1.802758E-3</v>
      </c>
      <c r="AW60" s="6">
        <v>-1.305718E-3</v>
      </c>
      <c r="AX60" s="6">
        <v>3.9447619047619051E-5</v>
      </c>
      <c r="AY60" s="6">
        <v>-2.3292170000000002E-3</v>
      </c>
      <c r="AZ60" s="6">
        <v>-2.1327910000000002E-3</v>
      </c>
      <c r="BA60" s="6">
        <v>1.5589365079365077E-5</v>
      </c>
      <c r="BB60" s="6">
        <v>-2.317782E-3</v>
      </c>
      <c r="BC60" s="6">
        <v>-2.2702690000000001E-3</v>
      </c>
      <c r="BD60" s="6">
        <v>3.7708730158730079E-6</v>
      </c>
      <c r="BE60" s="6">
        <v>-1.7944809999999999E-3</v>
      </c>
      <c r="BF60" s="6">
        <v>-1.5904859999999999E-3</v>
      </c>
      <c r="BG60" s="6">
        <v>1.6190079365079364E-5</v>
      </c>
      <c r="BH60" s="6">
        <v>-2.3197740000000001E-3</v>
      </c>
      <c r="BI60" s="6">
        <v>-2.363417E-3</v>
      </c>
      <c r="BJ60" s="6">
        <v>3.4637301587301503E-6</v>
      </c>
      <c r="BK60" s="6">
        <v>-1.793315E-3</v>
      </c>
      <c r="BL60" s="6">
        <v>-1.5363449999999999E-3</v>
      </c>
      <c r="BM60" s="6">
        <v>2.0394444444444448E-5</v>
      </c>
      <c r="BN60" s="6">
        <v>-2.5202760000000001E-3</v>
      </c>
      <c r="BO60" s="6">
        <v>-2.1945599999999999E-3</v>
      </c>
      <c r="BP60" s="6">
        <v>2.5850476190476206E-5</v>
      </c>
      <c r="BQ60" s="6">
        <v>-2.6772660000000002E-3</v>
      </c>
      <c r="BR60" s="6">
        <v>-2.3984940000000001E-3</v>
      </c>
      <c r="BS60" s="6">
        <v>2.2124761904761911E-5</v>
      </c>
      <c r="BT60" s="6">
        <v>-2.519678E-3</v>
      </c>
      <c r="BU60" s="6">
        <v>-2.1666150000000002E-3</v>
      </c>
      <c r="BV60" s="6">
        <v>2.8020873015873002E-5</v>
      </c>
      <c r="BW60" s="6">
        <v>-2.6776159999999999E-3</v>
      </c>
      <c r="BX60" s="6">
        <v>-2.4147370000000001E-3</v>
      </c>
      <c r="BY60" s="6">
        <v>2.0863412698412675E-5</v>
      </c>
      <c r="BZ60" s="6">
        <v>-2.6741849999999999E-3</v>
      </c>
      <c r="CA60" s="6">
        <v>-2.4559809999999999E-3</v>
      </c>
      <c r="CB60" s="6">
        <v>1.7317777777777781E-5</v>
      </c>
      <c r="CC60" s="6">
        <v>-2.5171949999999998E-3</v>
      </c>
      <c r="CD60" s="6">
        <v>-2.2520460000000002E-3</v>
      </c>
      <c r="CE60" s="6">
        <v>2.1043571428571404E-5</v>
      </c>
      <c r="CF60" s="6">
        <v>-2.674783E-3</v>
      </c>
      <c r="CG60" s="6">
        <v>-2.4839250000000001E-3</v>
      </c>
      <c r="CH60" s="6">
        <v>1.5147460317460311E-5</v>
      </c>
      <c r="CI60" s="6">
        <v>-2.5168450000000002E-3</v>
      </c>
      <c r="CJ60" s="6">
        <v>-2.2358030000000002E-3</v>
      </c>
      <c r="CK60" s="6">
        <v>2.2304920634920636E-5</v>
      </c>
      <c r="CL60" s="6">
        <v>-1.695715E-3</v>
      </c>
      <c r="CM60" s="6">
        <v>-1.4396330000000001E-3</v>
      </c>
      <c r="CN60" s="6">
        <v>2.032396825396825E-5</v>
      </c>
      <c r="CO60" s="6">
        <v>-1.8527050000000001E-3</v>
      </c>
      <c r="CP60" s="6">
        <v>-1.643568E-3</v>
      </c>
      <c r="CQ60" s="6">
        <v>1.659817460317461E-5</v>
      </c>
      <c r="CR60" s="6">
        <v>-1.6951170000000001E-3</v>
      </c>
      <c r="CS60" s="6">
        <v>-1.411689E-3</v>
      </c>
      <c r="CT60" s="6">
        <v>2.2494285714285722E-5</v>
      </c>
      <c r="CU60" s="6">
        <v>-1.8530549999999999E-3</v>
      </c>
      <c r="CV60" s="6">
        <v>-1.6598100000000001E-3</v>
      </c>
      <c r="CW60" s="6">
        <v>1.5336904761904753E-5</v>
      </c>
      <c r="CX60" s="6">
        <v>-1.849624E-3</v>
      </c>
      <c r="CY60" s="6">
        <v>-1.701054E-3</v>
      </c>
      <c r="CZ60" s="6">
        <v>1.179126984126984E-5</v>
      </c>
      <c r="DA60" s="6">
        <v>-1.6926339999999999E-3</v>
      </c>
      <c r="DB60" s="6">
        <v>-1.4971190000000001E-3</v>
      </c>
      <c r="DC60" s="6">
        <v>1.5517063492063479E-5</v>
      </c>
      <c r="DD60" s="6">
        <v>-1.8502220000000001E-3</v>
      </c>
      <c r="DE60" s="6">
        <v>-1.728998E-3</v>
      </c>
      <c r="DF60" s="6">
        <v>9.6209523809523873E-6</v>
      </c>
      <c r="DG60" s="6">
        <v>-1.6922840000000001E-3</v>
      </c>
      <c r="DH60" s="6">
        <v>-1.480877E-3</v>
      </c>
      <c r="DI60" s="6">
        <v>1.6778333333333338E-5</v>
      </c>
    </row>
    <row r="61" spans="1:113" x14ac:dyDescent="0.3">
      <c r="A61" s="13" t="s">
        <v>407</v>
      </c>
      <c r="B61" s="13" t="s">
        <v>267</v>
      </c>
      <c r="C61" s="13" t="s">
        <v>268</v>
      </c>
      <c r="D61" s="13" t="s">
        <v>347</v>
      </c>
      <c r="E61" s="13">
        <v>8.3000000000000007</v>
      </c>
      <c r="F61" s="6">
        <v>-1.0950179999999999E-3</v>
      </c>
      <c r="G61" s="6">
        <v>-1.4655639999999999E-3</v>
      </c>
      <c r="H61" s="6">
        <v>4.4644096385542168E-5</v>
      </c>
      <c r="I61" s="6">
        <v>-1.657789E-3</v>
      </c>
      <c r="J61" s="6">
        <v>-2.1607620000000001E-3</v>
      </c>
      <c r="K61" s="6">
        <v>6.0599156626506029E-5</v>
      </c>
      <c r="L61" s="6">
        <v>-1.704606E-3</v>
      </c>
      <c r="M61" s="6">
        <v>-2.0787039999999998E-3</v>
      </c>
      <c r="N61" s="6">
        <v>4.5072048192771054E-5</v>
      </c>
      <c r="O61" s="6">
        <v>-2.2378239999999998E-3</v>
      </c>
      <c r="P61" s="6">
        <v>-2.7449280000000002E-3</v>
      </c>
      <c r="Q61" s="6">
        <v>6.1096867469879565E-5</v>
      </c>
      <c r="R61" s="6">
        <v>-1.6253439999999999E-3</v>
      </c>
      <c r="S61" s="6">
        <v>-2.684643E-3</v>
      </c>
      <c r="T61" s="6">
        <v>1.2762638554216868E-4</v>
      </c>
      <c r="U61" s="6">
        <v>-2.308156E-3</v>
      </c>
      <c r="V61" s="6">
        <v>-2.8026829999999998E-3</v>
      </c>
      <c r="W61" s="6">
        <v>5.958156626506021E-5</v>
      </c>
      <c r="X61" s="6">
        <v>-1.532196E-3</v>
      </c>
      <c r="Y61" s="6">
        <v>-2.7280210000000002E-3</v>
      </c>
      <c r="Z61" s="6">
        <v>1.440753012048193E-4</v>
      </c>
      <c r="AA61" s="6">
        <v>-2.3592690000000002E-3</v>
      </c>
      <c r="AB61" s="6">
        <v>-2.7703210000000001E-3</v>
      </c>
      <c r="AC61" s="6">
        <v>4.9524337349397571E-5</v>
      </c>
      <c r="AD61" s="6">
        <v>-2.4967470000000001E-3</v>
      </c>
      <c r="AE61" s="6">
        <v>-2.4925730000000001E-3</v>
      </c>
      <c r="AF61" s="6">
        <v>5.0289156626506233E-7</v>
      </c>
      <c r="AG61" s="6">
        <v>-1.8169639999999999E-3</v>
      </c>
      <c r="AH61" s="6">
        <v>-2.381635E-3</v>
      </c>
      <c r="AI61" s="6">
        <v>6.8032650602409649E-5</v>
      </c>
      <c r="AJ61" s="6">
        <v>-2.589895E-3</v>
      </c>
      <c r="AK61" s="6">
        <v>-2.449194E-3</v>
      </c>
      <c r="AL61" s="6">
        <v>1.6951927710843375E-5</v>
      </c>
      <c r="AM61" s="6">
        <v>-1.762823E-3</v>
      </c>
      <c r="AN61" s="6">
        <v>-2.4068940000000001E-3</v>
      </c>
      <c r="AO61" s="6">
        <v>7.7598915662650613E-5</v>
      </c>
      <c r="AP61" s="6">
        <v>-1.3988659999999999E-3</v>
      </c>
      <c r="AQ61" s="6">
        <v>-2.4131170000000002E-3</v>
      </c>
      <c r="AR61" s="6">
        <v>1.2219891566265064E-4</v>
      </c>
      <c r="AS61" s="6">
        <v>-2.0786490000000001E-3</v>
      </c>
      <c r="AT61" s="6">
        <v>-2.524054E-3</v>
      </c>
      <c r="AU61" s="6">
        <v>5.3663253012048173E-5</v>
      </c>
      <c r="AV61" s="6">
        <v>-1.305718E-3</v>
      </c>
      <c r="AW61" s="6">
        <v>-2.4564949999999999E-3</v>
      </c>
      <c r="AX61" s="6">
        <v>1.3864783132530118E-4</v>
      </c>
      <c r="AY61" s="6">
        <v>-2.1327910000000002E-3</v>
      </c>
      <c r="AZ61" s="6">
        <v>-2.4987949999999998E-3</v>
      </c>
      <c r="BA61" s="6">
        <v>4.409686746987947E-5</v>
      </c>
      <c r="BB61" s="6">
        <v>-2.2702690000000001E-3</v>
      </c>
      <c r="BC61" s="6">
        <v>-2.2210469999999999E-3</v>
      </c>
      <c r="BD61" s="6">
        <v>5.9303614457831614E-6</v>
      </c>
      <c r="BE61" s="6">
        <v>-1.5904859999999999E-3</v>
      </c>
      <c r="BF61" s="6">
        <v>-2.1101090000000002E-3</v>
      </c>
      <c r="BG61" s="6">
        <v>6.2605180722891595E-5</v>
      </c>
      <c r="BH61" s="6">
        <v>-2.363417E-3</v>
      </c>
      <c r="BI61" s="6">
        <v>-2.1776679999999998E-3</v>
      </c>
      <c r="BJ61" s="6">
        <v>2.2379397590361473E-5</v>
      </c>
      <c r="BK61" s="6">
        <v>-1.5363449999999999E-3</v>
      </c>
      <c r="BL61" s="6">
        <v>-2.1353689999999998E-3</v>
      </c>
      <c r="BM61" s="6">
        <v>7.2171566265060217E-5</v>
      </c>
      <c r="BN61" s="6">
        <v>-2.1945599999999999E-3</v>
      </c>
      <c r="BO61" s="6">
        <v>-2.9341979999999998E-3</v>
      </c>
      <c r="BP61" s="6">
        <v>8.9113012048192751E-5</v>
      </c>
      <c r="BQ61" s="6">
        <v>-2.3984940000000001E-3</v>
      </c>
      <c r="BR61" s="6">
        <v>-2.9674800000000002E-3</v>
      </c>
      <c r="BS61" s="6">
        <v>6.8552530120481926E-5</v>
      </c>
      <c r="BT61" s="6">
        <v>-2.1666150000000002E-3</v>
      </c>
      <c r="BU61" s="6">
        <v>-2.9472119999999998E-3</v>
      </c>
      <c r="BV61" s="6">
        <v>9.4047831325301149E-5</v>
      </c>
      <c r="BW61" s="6">
        <v>-2.4147370000000001E-3</v>
      </c>
      <c r="BX61" s="6">
        <v>-2.9599019999999999E-3</v>
      </c>
      <c r="BY61" s="6">
        <v>6.5682530120481894E-5</v>
      </c>
      <c r="BZ61" s="6">
        <v>-2.4559809999999999E-3</v>
      </c>
      <c r="CA61" s="6">
        <v>-2.876577E-3</v>
      </c>
      <c r="CB61" s="6">
        <v>5.0674216867469888E-5</v>
      </c>
      <c r="CC61" s="6">
        <v>-2.2520460000000002E-3</v>
      </c>
      <c r="CD61" s="6">
        <v>-2.8432959999999999E-3</v>
      </c>
      <c r="CE61" s="6">
        <v>7.1234939759036109E-5</v>
      </c>
      <c r="CF61" s="6">
        <v>-2.4839250000000001E-3</v>
      </c>
      <c r="CG61" s="6">
        <v>-2.8635639999999999E-3</v>
      </c>
      <c r="CH61" s="6">
        <v>4.5739638554216838E-5</v>
      </c>
      <c r="CI61" s="6">
        <v>-2.2358030000000002E-3</v>
      </c>
      <c r="CJ61" s="6">
        <v>-2.8508740000000002E-3</v>
      </c>
      <c r="CK61" s="6">
        <v>7.410493975903614E-5</v>
      </c>
      <c r="CL61" s="6">
        <v>-1.4396330000000001E-3</v>
      </c>
      <c r="CM61" s="6">
        <v>-2.029112E-3</v>
      </c>
      <c r="CN61" s="6">
        <v>7.1021566265060229E-5</v>
      </c>
      <c r="CO61" s="6">
        <v>-1.643568E-3</v>
      </c>
      <c r="CP61" s="6">
        <v>-2.062393E-3</v>
      </c>
      <c r="CQ61" s="6">
        <v>5.0460843373493981E-5</v>
      </c>
      <c r="CR61" s="6">
        <v>-1.411689E-3</v>
      </c>
      <c r="CS61" s="6">
        <v>-2.0421250000000001E-3</v>
      </c>
      <c r="CT61" s="6">
        <v>7.5956144578313259E-5</v>
      </c>
      <c r="CU61" s="6">
        <v>-1.6598100000000001E-3</v>
      </c>
      <c r="CV61" s="6">
        <v>-2.0548150000000002E-3</v>
      </c>
      <c r="CW61" s="6">
        <v>4.7590963855421702E-5</v>
      </c>
      <c r="CX61" s="6">
        <v>-1.701054E-3</v>
      </c>
      <c r="CY61" s="6">
        <v>-1.9714910000000001E-3</v>
      </c>
      <c r="CZ61" s="6">
        <v>3.2582771084337359E-5</v>
      </c>
      <c r="DA61" s="6">
        <v>-1.4971190000000001E-3</v>
      </c>
      <c r="DB61" s="6">
        <v>-1.9382100000000001E-3</v>
      </c>
      <c r="DC61" s="6">
        <v>5.3143493975903614E-5</v>
      </c>
      <c r="DD61" s="6">
        <v>-1.728998E-3</v>
      </c>
      <c r="DE61" s="6">
        <v>-1.9584770000000001E-3</v>
      </c>
      <c r="DF61" s="6">
        <v>2.7648072289156635E-5</v>
      </c>
      <c r="DG61" s="6">
        <v>-1.480877E-3</v>
      </c>
      <c r="DH61" s="6">
        <v>-1.945787E-3</v>
      </c>
      <c r="DI61" s="6">
        <v>5.6013253012048189E-5</v>
      </c>
    </row>
    <row r="62" spans="1:113" x14ac:dyDescent="0.3">
      <c r="A62" s="13" t="s">
        <v>408</v>
      </c>
      <c r="B62" s="13" t="s">
        <v>287</v>
      </c>
      <c r="C62" s="13" t="s">
        <v>321</v>
      </c>
      <c r="D62" s="13" t="s">
        <v>347</v>
      </c>
      <c r="E62" s="13">
        <v>5.75</v>
      </c>
      <c r="F62" s="6">
        <v>-1.247328E-3</v>
      </c>
      <c r="G62" s="6">
        <v>-1.441024E-3</v>
      </c>
      <c r="H62" s="6">
        <v>3.3686260869565203E-5</v>
      </c>
      <c r="I62" s="6">
        <v>-1.83289E-3</v>
      </c>
      <c r="J62" s="6">
        <v>-1.8187609999999999E-3</v>
      </c>
      <c r="K62" s="6">
        <v>2.4572173913043644E-6</v>
      </c>
      <c r="L62" s="6">
        <v>-1.857547E-3</v>
      </c>
      <c r="M62" s="6">
        <v>-1.843625E-3</v>
      </c>
      <c r="N62" s="6">
        <v>2.4212173913043443E-6</v>
      </c>
      <c r="O62" s="6">
        <v>-2.414125E-3</v>
      </c>
      <c r="P62" s="6">
        <v>-2.202327E-3</v>
      </c>
      <c r="Q62" s="6">
        <v>3.6834434782608699E-5</v>
      </c>
      <c r="R62" s="6">
        <v>-2.0372189999999998E-3</v>
      </c>
      <c r="S62" s="6">
        <v>-1.947137E-3</v>
      </c>
      <c r="T62" s="6">
        <v>1.5666434782608661E-5</v>
      </c>
      <c r="U62" s="6">
        <v>-2.7419190000000002E-3</v>
      </c>
      <c r="V62" s="6">
        <v>-2.315171E-3</v>
      </c>
      <c r="W62" s="6">
        <v>7.4217043478260906E-5</v>
      </c>
      <c r="X62" s="6">
        <v>-2.0199129999999999E-3</v>
      </c>
      <c r="Y62" s="6">
        <v>-1.944072E-3</v>
      </c>
      <c r="Z62" s="6">
        <v>1.3189739130434763E-5</v>
      </c>
      <c r="AA62" s="6">
        <v>-2.7472519999999999E-3</v>
      </c>
      <c r="AB62" s="6">
        <v>-2.404495E-3</v>
      </c>
      <c r="AC62" s="6">
        <v>5.9609913043478251E-5</v>
      </c>
      <c r="AD62" s="6">
        <v>-2.4546720000000002E-3</v>
      </c>
      <c r="AE62" s="6">
        <v>-2.3096840000000002E-3</v>
      </c>
      <c r="AF62" s="6">
        <v>2.5215304347826084E-5</v>
      </c>
      <c r="AG62" s="6">
        <v>-1.7546829999999999E-3</v>
      </c>
      <c r="AH62" s="6">
        <v>-1.8541230000000001E-3</v>
      </c>
      <c r="AI62" s="6">
        <v>1.7293913043478282E-5</v>
      </c>
      <c r="AJ62" s="6">
        <v>-2.4719780000000001E-3</v>
      </c>
      <c r="AK62" s="6">
        <v>-2.3127489999999998E-3</v>
      </c>
      <c r="AL62" s="6">
        <v>2.7692000000000056E-5</v>
      </c>
      <c r="AM62" s="6">
        <v>-1.7446390000000001E-3</v>
      </c>
      <c r="AN62" s="6">
        <v>-1.8523260000000001E-3</v>
      </c>
      <c r="AO62" s="6">
        <v>1.8728173913043473E-5</v>
      </c>
      <c r="AP62" s="6">
        <v>-1.7923430000000001E-3</v>
      </c>
      <c r="AQ62" s="6">
        <v>-1.711403E-3</v>
      </c>
      <c r="AR62" s="6">
        <v>1.4076521739130444E-5</v>
      </c>
      <c r="AS62" s="6">
        <v>-2.4923319999999999E-3</v>
      </c>
      <c r="AT62" s="6">
        <v>-2.166964E-3</v>
      </c>
      <c r="AU62" s="6">
        <v>5.6585739130434769E-5</v>
      </c>
      <c r="AV62" s="6">
        <v>-1.7750369999999999E-3</v>
      </c>
      <c r="AW62" s="6">
        <v>-1.708338E-3</v>
      </c>
      <c r="AX62" s="6">
        <v>1.1599826086956509E-5</v>
      </c>
      <c r="AY62" s="6">
        <v>-2.5023760000000002E-3</v>
      </c>
      <c r="AZ62" s="6">
        <v>-2.168761E-3</v>
      </c>
      <c r="BA62" s="6">
        <v>5.8020000000000037E-5</v>
      </c>
      <c r="BB62" s="6">
        <v>-2.209796E-3</v>
      </c>
      <c r="BC62" s="6">
        <v>-2.0739510000000001E-3</v>
      </c>
      <c r="BD62" s="6">
        <v>2.3625217391304328E-5</v>
      </c>
      <c r="BE62" s="6">
        <v>-1.5098069999999999E-3</v>
      </c>
      <c r="BF62" s="6">
        <v>-1.6183899999999999E-3</v>
      </c>
      <c r="BG62" s="6">
        <v>1.8883999999999997E-5</v>
      </c>
      <c r="BH62" s="6">
        <v>-2.2271019999999999E-3</v>
      </c>
      <c r="BI62" s="6">
        <v>-2.0770160000000001E-3</v>
      </c>
      <c r="BJ62" s="6">
        <v>2.6101913043478225E-5</v>
      </c>
      <c r="BK62" s="6">
        <v>-1.4997630000000001E-3</v>
      </c>
      <c r="BL62" s="6">
        <v>-1.616592E-3</v>
      </c>
      <c r="BM62" s="6">
        <v>2.0318086956521727E-5</v>
      </c>
      <c r="BN62" s="6">
        <v>-2.469017E-3</v>
      </c>
      <c r="BO62" s="6">
        <v>-2.349051E-3</v>
      </c>
      <c r="BP62" s="6">
        <v>2.0863652173913042E-5</v>
      </c>
      <c r="BQ62" s="6">
        <v>-2.6790130000000001E-3</v>
      </c>
      <c r="BR62" s="6">
        <v>-2.4857199999999999E-3</v>
      </c>
      <c r="BS62" s="6">
        <v>3.361617391304351E-5</v>
      </c>
      <c r="BT62" s="6">
        <v>-2.4638250000000002E-3</v>
      </c>
      <c r="BU62" s="6">
        <v>-2.3481320000000002E-3</v>
      </c>
      <c r="BV62" s="6">
        <v>2.0120521739130442E-5</v>
      </c>
      <c r="BW62" s="6">
        <v>-2.682027E-3</v>
      </c>
      <c r="BX62" s="6">
        <v>-2.4862590000000002E-3</v>
      </c>
      <c r="BY62" s="6">
        <v>3.4046608695652143E-5</v>
      </c>
      <c r="BZ62" s="6">
        <v>-2.5942529999999999E-3</v>
      </c>
      <c r="CA62" s="6">
        <v>-2.4578159999999998E-3</v>
      </c>
      <c r="CB62" s="6">
        <v>2.3728173913043496E-5</v>
      </c>
      <c r="CC62" s="6">
        <v>-2.384256E-3</v>
      </c>
      <c r="CD62" s="6">
        <v>-2.321147E-3</v>
      </c>
      <c r="CE62" s="6">
        <v>1.0975478260869565E-5</v>
      </c>
      <c r="CF62" s="6">
        <v>-2.5994439999999998E-3</v>
      </c>
      <c r="CG62" s="6">
        <v>-2.4587350000000001E-3</v>
      </c>
      <c r="CH62" s="6">
        <v>2.447113043478256E-5</v>
      </c>
      <c r="CI62" s="6">
        <v>-2.3812429999999999E-3</v>
      </c>
      <c r="CJ62" s="6">
        <v>-2.320608E-3</v>
      </c>
      <c r="CK62" s="6">
        <v>1.0545217391304322E-5</v>
      </c>
      <c r="CL62" s="6">
        <v>-1.6527619999999999E-3</v>
      </c>
      <c r="CM62" s="6">
        <v>-1.5632720000000001E-3</v>
      </c>
      <c r="CN62" s="6">
        <v>1.556347826086953E-5</v>
      </c>
      <c r="CO62" s="6">
        <v>-1.8627590000000001E-3</v>
      </c>
      <c r="CP62" s="6">
        <v>-1.69994E-3</v>
      </c>
      <c r="CQ62" s="6">
        <v>2.8316347826086961E-5</v>
      </c>
      <c r="CR62" s="6">
        <v>-1.647571E-3</v>
      </c>
      <c r="CS62" s="6">
        <v>-1.5623519999999999E-3</v>
      </c>
      <c r="CT62" s="6">
        <v>1.4820695652173929E-5</v>
      </c>
      <c r="CU62" s="6">
        <v>-1.8657719999999999E-3</v>
      </c>
      <c r="CV62" s="6">
        <v>-1.700479E-3</v>
      </c>
      <c r="CW62" s="6">
        <v>2.8746608695652166E-5</v>
      </c>
      <c r="CX62" s="6">
        <v>-1.777998E-3</v>
      </c>
      <c r="CY62" s="6">
        <v>-1.672036E-3</v>
      </c>
      <c r="CZ62" s="6">
        <v>1.8428173913043482E-5</v>
      </c>
      <c r="DA62" s="6">
        <v>-1.568002E-3</v>
      </c>
      <c r="DB62" s="6">
        <v>-1.5353680000000001E-3</v>
      </c>
      <c r="DC62" s="6">
        <v>5.6754782608695509E-6</v>
      </c>
      <c r="DD62" s="6">
        <v>-1.78319E-3</v>
      </c>
      <c r="DE62" s="6">
        <v>-1.672956E-3</v>
      </c>
      <c r="DF62" s="6">
        <v>1.9171130434782621E-5</v>
      </c>
      <c r="DG62" s="6">
        <v>-1.564988E-3</v>
      </c>
      <c r="DH62" s="6">
        <v>-1.5348289999999999E-3</v>
      </c>
      <c r="DI62" s="6">
        <v>5.2450434782608846E-6</v>
      </c>
    </row>
    <row r="63" spans="1:113" x14ac:dyDescent="0.3">
      <c r="A63" s="13" t="s">
        <v>409</v>
      </c>
      <c r="B63" s="13" t="s">
        <v>94</v>
      </c>
      <c r="C63" s="13" t="s">
        <v>95</v>
      </c>
      <c r="D63" s="13" t="s">
        <v>364</v>
      </c>
      <c r="E63" s="13">
        <v>10.7</v>
      </c>
      <c r="F63" s="6">
        <v>-2.6743100000000001E-3</v>
      </c>
      <c r="G63" s="6">
        <v>-3.05099E-3</v>
      </c>
      <c r="H63" s="6">
        <v>3.5203738317757004E-5</v>
      </c>
      <c r="I63" s="6">
        <v>-3.804932E-3</v>
      </c>
      <c r="J63" s="6">
        <v>-4.3575890000000003E-3</v>
      </c>
      <c r="K63" s="6">
        <v>5.1650186915887873E-5</v>
      </c>
      <c r="L63" s="6">
        <v>-3.2841609999999999E-3</v>
      </c>
      <c r="M63" s="6">
        <v>-3.6629470000000002E-3</v>
      </c>
      <c r="N63" s="6">
        <v>3.540056074766358E-5</v>
      </c>
      <c r="O63" s="6">
        <v>-4.3874990000000004E-3</v>
      </c>
      <c r="P63" s="6">
        <v>-4.940318E-3</v>
      </c>
      <c r="Q63" s="6">
        <v>5.16653271028037E-5</v>
      </c>
      <c r="R63" s="6">
        <v>-4.4731090000000003E-3</v>
      </c>
      <c r="S63" s="6">
        <v>-4.807965E-3</v>
      </c>
      <c r="T63" s="6">
        <v>3.1294953271028008E-5</v>
      </c>
      <c r="U63" s="6">
        <v>-4.3176400000000002E-3</v>
      </c>
      <c r="V63" s="6">
        <v>-4.848682E-3</v>
      </c>
      <c r="W63" s="6">
        <v>4.9630093457943909E-5</v>
      </c>
      <c r="X63" s="6">
        <v>-4.4445810000000004E-3</v>
      </c>
      <c r="Y63" s="6">
        <v>-4.8248090000000002E-3</v>
      </c>
      <c r="Z63" s="6">
        <v>3.5535327102803724E-5</v>
      </c>
      <c r="AA63" s="6">
        <v>-4.3344739999999996E-3</v>
      </c>
      <c r="AB63" s="6">
        <v>-4.8440030000000004E-3</v>
      </c>
      <c r="AC63" s="6">
        <v>4.7619532710280448E-5</v>
      </c>
      <c r="AD63" s="6">
        <v>-4.1354E-3</v>
      </c>
      <c r="AE63" s="6">
        <v>-4.951525E-3</v>
      </c>
      <c r="AF63" s="6">
        <v>7.627336448598132E-5</v>
      </c>
      <c r="AG63" s="6">
        <v>-4.2908879999999996E-3</v>
      </c>
      <c r="AH63" s="6">
        <v>-4.9089870000000001E-3</v>
      </c>
      <c r="AI63" s="6">
        <v>5.7766261682243036E-5</v>
      </c>
      <c r="AJ63" s="6">
        <v>-4.1639279999999999E-3</v>
      </c>
      <c r="AK63" s="6">
        <v>-4.9346800000000003E-3</v>
      </c>
      <c r="AL63" s="6">
        <v>7.2032897196261719E-5</v>
      </c>
      <c r="AM63" s="6">
        <v>-4.2740349999999998E-3</v>
      </c>
      <c r="AN63" s="6">
        <v>-4.9154860000000002E-3</v>
      </c>
      <c r="AO63" s="6">
        <v>5.9948691588785083E-5</v>
      </c>
      <c r="AP63" s="6">
        <v>-4.0569869999999997E-3</v>
      </c>
      <c r="AQ63" s="6">
        <v>-4.346384E-3</v>
      </c>
      <c r="AR63" s="6">
        <v>2.7046448598130869E-5</v>
      </c>
      <c r="AS63" s="6">
        <v>-3.9014990000000001E-3</v>
      </c>
      <c r="AT63" s="6">
        <v>-4.3889209999999996E-3</v>
      </c>
      <c r="AU63" s="6">
        <v>4.5553457943925188E-5</v>
      </c>
      <c r="AV63" s="6">
        <v>-4.0284580000000004E-3</v>
      </c>
      <c r="AW63" s="6">
        <v>-4.3632289999999997E-3</v>
      </c>
      <c r="AX63" s="6">
        <v>3.1287009345794335E-5</v>
      </c>
      <c r="AY63" s="6">
        <v>-3.9183509999999996E-3</v>
      </c>
      <c r="AZ63" s="6">
        <v>-4.3824229999999999E-3</v>
      </c>
      <c r="BA63" s="6">
        <v>4.3371214953271059E-5</v>
      </c>
      <c r="BB63" s="6">
        <v>-3.7192779999999999E-3</v>
      </c>
      <c r="BC63" s="6">
        <v>-4.4899440000000001E-3</v>
      </c>
      <c r="BD63" s="6">
        <v>7.2024859813084134E-5</v>
      </c>
      <c r="BE63" s="6">
        <v>-3.8747650000000001E-3</v>
      </c>
      <c r="BF63" s="6">
        <v>-4.4474069999999996E-3</v>
      </c>
      <c r="BG63" s="6">
        <v>5.3517943925233599E-5</v>
      </c>
      <c r="BH63" s="6">
        <v>-3.7478059999999998E-3</v>
      </c>
      <c r="BI63" s="6">
        <v>-4.4730990000000003E-3</v>
      </c>
      <c r="BJ63" s="6">
        <v>6.7784392523364547E-5</v>
      </c>
      <c r="BK63" s="6">
        <v>-3.8579130000000001E-3</v>
      </c>
      <c r="BL63" s="6">
        <v>-4.4539050000000002E-3</v>
      </c>
      <c r="BM63" s="6">
        <v>5.5700186915887857E-5</v>
      </c>
      <c r="BN63" s="6">
        <v>-4.8403869999999998E-3</v>
      </c>
      <c r="BO63" s="6">
        <v>-5.3967219999999996E-3</v>
      </c>
      <c r="BP63" s="6">
        <v>5.1993925233644849E-5</v>
      </c>
      <c r="BQ63" s="6">
        <v>-4.7937400000000003E-3</v>
      </c>
      <c r="BR63" s="6">
        <v>-5.4094829999999997E-3</v>
      </c>
      <c r="BS63" s="6">
        <v>5.7546074766355082E-5</v>
      </c>
      <c r="BT63" s="6">
        <v>-4.8318279999999998E-3</v>
      </c>
      <c r="BU63" s="6">
        <v>-5.4017750000000002E-3</v>
      </c>
      <c r="BV63" s="6">
        <v>5.3266074766355177E-5</v>
      </c>
      <c r="BW63" s="6">
        <v>-4.7987960000000001E-3</v>
      </c>
      <c r="BX63" s="6">
        <v>-5.407533E-3</v>
      </c>
      <c r="BY63" s="6">
        <v>5.6891308411214943E-5</v>
      </c>
      <c r="BZ63" s="6">
        <v>-4.7390740000000002E-3</v>
      </c>
      <c r="CA63" s="6">
        <v>-5.4397899999999999E-3</v>
      </c>
      <c r="CB63" s="6">
        <v>6.5487476635513994E-5</v>
      </c>
      <c r="CC63" s="6">
        <v>-4.7857200000000003E-3</v>
      </c>
      <c r="CD63" s="6">
        <v>-5.4270289999999999E-3</v>
      </c>
      <c r="CE63" s="6">
        <v>5.9935420560747632E-5</v>
      </c>
      <c r="CF63" s="6">
        <v>-4.7476319999999999E-3</v>
      </c>
      <c r="CG63" s="6">
        <v>-5.4347359999999999E-3</v>
      </c>
      <c r="CH63" s="6">
        <v>6.421532710280374E-5</v>
      </c>
      <c r="CI63" s="6">
        <v>-4.7806649999999999E-3</v>
      </c>
      <c r="CJ63" s="6">
        <v>-5.4289780000000001E-3</v>
      </c>
      <c r="CK63" s="6">
        <v>6.0590000000000021E-5</v>
      </c>
      <c r="CL63" s="6">
        <v>-3.453313E-3</v>
      </c>
      <c r="CM63" s="6">
        <v>-3.8581190000000001E-3</v>
      </c>
      <c r="CN63" s="6">
        <v>3.7832336448598148E-5</v>
      </c>
      <c r="CO63" s="6">
        <v>-3.4066669999999999E-3</v>
      </c>
      <c r="CP63" s="6">
        <v>-3.8708800000000002E-3</v>
      </c>
      <c r="CQ63" s="6">
        <v>4.338439252336451E-5</v>
      </c>
      <c r="CR63" s="6">
        <v>-3.4447549999999999E-3</v>
      </c>
      <c r="CS63" s="6">
        <v>-3.8631730000000001E-3</v>
      </c>
      <c r="CT63" s="6">
        <v>3.9104485981308436E-5</v>
      </c>
      <c r="CU63" s="6">
        <v>-3.4117219999999998E-3</v>
      </c>
      <c r="CV63" s="6">
        <v>-3.8689309999999999E-3</v>
      </c>
      <c r="CW63" s="6">
        <v>4.2729813084112162E-5</v>
      </c>
      <c r="CX63" s="6">
        <v>-3.3519999999999999E-3</v>
      </c>
      <c r="CY63" s="6">
        <v>-3.901187E-3</v>
      </c>
      <c r="CZ63" s="6">
        <v>5.1325887850467294E-5</v>
      </c>
      <c r="DA63" s="6">
        <v>-3.3986469999999999E-3</v>
      </c>
      <c r="DB63" s="6">
        <v>-3.8884259999999999E-3</v>
      </c>
      <c r="DC63" s="6">
        <v>4.577373831775702E-5</v>
      </c>
      <c r="DD63" s="6">
        <v>-3.3605589999999999E-3</v>
      </c>
      <c r="DE63" s="6">
        <v>-3.8961339999999999E-3</v>
      </c>
      <c r="DF63" s="6">
        <v>5.0053738317757006E-5</v>
      </c>
      <c r="DG63" s="6">
        <v>-3.3935910000000001E-3</v>
      </c>
      <c r="DH63" s="6">
        <v>-3.8903760000000001E-3</v>
      </c>
      <c r="DI63" s="6">
        <v>4.6428504672897199E-5</v>
      </c>
    </row>
    <row r="64" spans="1:113" x14ac:dyDescent="0.3">
      <c r="A64" s="13" t="s">
        <v>410</v>
      </c>
      <c r="B64" s="13" t="s">
        <v>130</v>
      </c>
      <c r="C64" s="13" t="s">
        <v>131</v>
      </c>
      <c r="D64" s="13" t="s">
        <v>364</v>
      </c>
      <c r="E64" s="13">
        <v>10.7</v>
      </c>
      <c r="F64" s="6">
        <v>-2.8426789999999999E-3</v>
      </c>
      <c r="G64" s="6">
        <v>-3.4312180000000002E-3</v>
      </c>
      <c r="H64" s="6">
        <v>5.5003644859813119E-5</v>
      </c>
      <c r="I64" s="6">
        <v>-4.0099350000000001E-3</v>
      </c>
      <c r="J64" s="6">
        <v>-4.8036099999999998E-3</v>
      </c>
      <c r="K64" s="6">
        <v>7.4175233644859794E-5</v>
      </c>
      <c r="L64" s="6">
        <v>-3.4411070000000001E-3</v>
      </c>
      <c r="M64" s="6">
        <v>-4.0310509999999999E-3</v>
      </c>
      <c r="N64" s="6">
        <v>5.5134953271028023E-5</v>
      </c>
      <c r="O64" s="6">
        <v>-4.5811430000000002E-3</v>
      </c>
      <c r="P64" s="6">
        <v>-5.3748219999999996E-3</v>
      </c>
      <c r="Q64" s="6">
        <v>7.4175607476635456E-5</v>
      </c>
      <c r="R64" s="6">
        <v>-4.6742850000000002E-3</v>
      </c>
      <c r="S64" s="6">
        <v>-5.2656960000000003E-3</v>
      </c>
      <c r="T64" s="6">
        <v>5.527205607476636E-5</v>
      </c>
      <c r="U64" s="6">
        <v>-4.5243469999999997E-3</v>
      </c>
      <c r="V64" s="6">
        <v>-5.3371709999999999E-3</v>
      </c>
      <c r="W64" s="6">
        <v>7.5964859813084141E-5</v>
      </c>
      <c r="X64" s="6">
        <v>-4.6605639999999999E-3</v>
      </c>
      <c r="Y64" s="6">
        <v>-5.2731139999999998E-3</v>
      </c>
      <c r="Z64" s="6">
        <v>5.7247663551401863E-5</v>
      </c>
      <c r="AA64" s="6">
        <v>-4.5313150000000002E-3</v>
      </c>
      <c r="AB64" s="6">
        <v>-5.334297E-3</v>
      </c>
      <c r="AC64" s="6">
        <v>7.5045046728971953E-5</v>
      </c>
      <c r="AD64" s="6">
        <v>-4.3513049999999998E-3</v>
      </c>
      <c r="AE64" s="6">
        <v>-5.4180549999999997E-3</v>
      </c>
      <c r="AF64" s="6">
        <v>9.9696261682243002E-5</v>
      </c>
      <c r="AG64" s="6">
        <v>-4.5024030000000003E-3</v>
      </c>
      <c r="AH64" s="6">
        <v>-5.3466440000000002E-3</v>
      </c>
      <c r="AI64" s="6">
        <v>7.8901028037383175E-5</v>
      </c>
      <c r="AJ64" s="6">
        <v>-4.3650260000000001E-3</v>
      </c>
      <c r="AK64" s="6">
        <v>-5.4106370000000003E-3</v>
      </c>
      <c r="AL64" s="6">
        <v>9.7720654205607499E-5</v>
      </c>
      <c r="AM64" s="6">
        <v>-4.4942749999999998E-3</v>
      </c>
      <c r="AN64" s="6">
        <v>-5.349454E-3</v>
      </c>
      <c r="AO64" s="6">
        <v>7.9923271028037402E-5</v>
      </c>
      <c r="AP64" s="6">
        <v>-4.2397600000000004E-3</v>
      </c>
      <c r="AQ64" s="6">
        <v>-4.760378E-3</v>
      </c>
      <c r="AR64" s="6">
        <v>4.8655887850467253E-5</v>
      </c>
      <c r="AS64" s="6">
        <v>-4.0886630000000002E-3</v>
      </c>
      <c r="AT64" s="6">
        <v>-4.8317899999999999E-3</v>
      </c>
      <c r="AU64" s="6">
        <v>6.9451121495327074E-5</v>
      </c>
      <c r="AV64" s="6">
        <v>-4.226039E-3</v>
      </c>
      <c r="AW64" s="6">
        <v>-4.7677960000000004E-3</v>
      </c>
      <c r="AX64" s="6">
        <v>5.0631495327102838E-5</v>
      </c>
      <c r="AY64" s="6">
        <v>-4.0967900000000003E-3</v>
      </c>
      <c r="AZ64" s="6">
        <v>-4.8289789999999997E-3</v>
      </c>
      <c r="BA64" s="6">
        <v>6.8428878504672846E-5</v>
      </c>
      <c r="BB64" s="6">
        <v>-3.9167799999999999E-3</v>
      </c>
      <c r="BC64" s="6">
        <v>-4.9127370000000004E-3</v>
      </c>
      <c r="BD64" s="6">
        <v>9.3080093457943976E-5</v>
      </c>
      <c r="BE64" s="6">
        <v>-4.0678779999999996E-3</v>
      </c>
      <c r="BF64" s="6">
        <v>-4.841326E-3</v>
      </c>
      <c r="BG64" s="6">
        <v>7.2284859813084149E-5</v>
      </c>
      <c r="BH64" s="6">
        <v>-3.9305010000000003E-3</v>
      </c>
      <c r="BI64" s="6">
        <v>-4.905319E-3</v>
      </c>
      <c r="BJ64" s="6">
        <v>9.1104485981308392E-5</v>
      </c>
      <c r="BK64" s="6">
        <v>-4.05975E-3</v>
      </c>
      <c r="BL64" s="6">
        <v>-4.8441359999999998E-3</v>
      </c>
      <c r="BM64" s="6">
        <v>7.3307102803738295E-5</v>
      </c>
      <c r="BN64" s="6">
        <v>-5.0681880000000004E-3</v>
      </c>
      <c r="BO64" s="6">
        <v>-5.9085589999999999E-3</v>
      </c>
      <c r="BP64" s="6">
        <v>7.8539345794392484E-5</v>
      </c>
      <c r="BQ64" s="6">
        <v>-5.0228590000000002E-3</v>
      </c>
      <c r="BR64" s="6">
        <v>-5.9299829999999998E-3</v>
      </c>
      <c r="BS64" s="6">
        <v>8.4777943925233609E-5</v>
      </c>
      <c r="BT64" s="6">
        <v>-5.0640720000000002E-3</v>
      </c>
      <c r="BU64" s="6">
        <v>-5.9107839999999997E-3</v>
      </c>
      <c r="BV64" s="6">
        <v>7.9131962616822379E-5</v>
      </c>
      <c r="BW64" s="6">
        <v>-5.0252969999999998E-3</v>
      </c>
      <c r="BX64" s="6">
        <v>-5.9291389999999999E-3</v>
      </c>
      <c r="BY64" s="6">
        <v>8.4471214953271055E-5</v>
      </c>
      <c r="BZ64" s="6">
        <v>-4.9712940000000002E-3</v>
      </c>
      <c r="CA64" s="6">
        <v>-5.9542670000000001E-3</v>
      </c>
      <c r="CB64" s="6">
        <v>9.1866635514018679E-5</v>
      </c>
      <c r="CC64" s="6">
        <v>-5.0166229999999996E-3</v>
      </c>
      <c r="CD64" s="6">
        <v>-5.9328430000000001E-3</v>
      </c>
      <c r="CE64" s="6">
        <v>8.5628037383177636E-5</v>
      </c>
      <c r="CF64" s="6">
        <v>-4.9754100000000004E-3</v>
      </c>
      <c r="CG64" s="6">
        <v>-5.9520420000000003E-3</v>
      </c>
      <c r="CH64" s="6">
        <v>9.1274018691588771E-5</v>
      </c>
      <c r="CI64" s="6">
        <v>-5.014185E-3</v>
      </c>
      <c r="CJ64" s="6">
        <v>-5.933687E-3</v>
      </c>
      <c r="CK64" s="6">
        <v>8.5934766355140189E-5</v>
      </c>
      <c r="CL64" s="6">
        <v>-3.6197709999999999E-3</v>
      </c>
      <c r="CM64" s="6">
        <v>-4.2241659999999997E-3</v>
      </c>
      <c r="CN64" s="6">
        <v>5.6485514018691569E-5</v>
      </c>
      <c r="CO64" s="6">
        <v>-3.5744420000000002E-3</v>
      </c>
      <c r="CP64" s="6">
        <v>-4.2455890000000001E-3</v>
      </c>
      <c r="CQ64" s="6">
        <v>6.2724018691588782E-5</v>
      </c>
      <c r="CR64" s="6">
        <v>-3.6156550000000002E-3</v>
      </c>
      <c r="CS64" s="6">
        <v>-4.2263919999999998E-3</v>
      </c>
      <c r="CT64" s="6">
        <v>5.707822429906539E-5</v>
      </c>
      <c r="CU64" s="6">
        <v>-3.5768800000000002E-3</v>
      </c>
      <c r="CV64" s="6">
        <v>-4.2447459999999998E-3</v>
      </c>
      <c r="CW64" s="6">
        <v>6.2417383177570059E-5</v>
      </c>
      <c r="CX64" s="6">
        <v>-3.5228770000000002E-3</v>
      </c>
      <c r="CY64" s="6">
        <v>-4.2698739999999999E-3</v>
      </c>
      <c r="CZ64" s="6">
        <v>6.9812803738317737E-5</v>
      </c>
      <c r="DA64" s="6">
        <v>-3.568206E-3</v>
      </c>
      <c r="DB64" s="6">
        <v>-4.2484510000000003E-3</v>
      </c>
      <c r="DC64" s="6">
        <v>6.3574299065420592E-5</v>
      </c>
      <c r="DD64" s="6">
        <v>-3.5269939999999999E-3</v>
      </c>
      <c r="DE64" s="6">
        <v>-4.2676479999999998E-3</v>
      </c>
      <c r="DF64" s="6">
        <v>6.9219999999999991E-5</v>
      </c>
      <c r="DG64" s="6">
        <v>-3.565768E-3</v>
      </c>
      <c r="DH64" s="6">
        <v>-4.2492930000000003E-3</v>
      </c>
      <c r="DI64" s="6">
        <v>6.3880841121495362E-5</v>
      </c>
    </row>
    <row r="65" spans="1:113" x14ac:dyDescent="0.3">
      <c r="A65" s="13" t="s">
        <v>411</v>
      </c>
      <c r="B65" s="13" t="s">
        <v>59</v>
      </c>
      <c r="C65" s="13" t="s">
        <v>60</v>
      </c>
      <c r="D65" s="13" t="s">
        <v>350</v>
      </c>
      <c r="E65" s="13">
        <v>10.7</v>
      </c>
      <c r="F65" s="6">
        <v>-3.6643940000000001E-3</v>
      </c>
      <c r="G65" s="6">
        <v>-3.688729E-3</v>
      </c>
      <c r="H65" s="6">
        <v>2.2742990654205509E-6</v>
      </c>
      <c r="I65" s="6">
        <v>-4.489514E-3</v>
      </c>
      <c r="J65" s="6">
        <v>-4.516272E-3</v>
      </c>
      <c r="K65" s="6">
        <v>2.5007476635514009E-6</v>
      </c>
      <c r="L65" s="6">
        <v>-4.039768E-3</v>
      </c>
      <c r="M65" s="6">
        <v>-4.0622760000000001E-3</v>
      </c>
      <c r="N65" s="6">
        <v>2.1035514018691662E-6</v>
      </c>
      <c r="O65" s="6">
        <v>-4.8478660000000002E-3</v>
      </c>
      <c r="P65" s="6">
        <v>-4.8722490000000004E-3</v>
      </c>
      <c r="Q65" s="6">
        <v>2.2787850467289924E-6</v>
      </c>
      <c r="R65" s="6">
        <v>-4.7287220000000003E-3</v>
      </c>
      <c r="S65" s="6">
        <v>-5.1418009999999997E-3</v>
      </c>
      <c r="T65" s="6">
        <v>3.860551401869153E-5</v>
      </c>
      <c r="U65" s="6">
        <v>-3.8582500000000001E-3</v>
      </c>
      <c r="V65" s="6">
        <v>-3.913522E-3</v>
      </c>
      <c r="W65" s="6">
        <v>5.1656074766355023E-6</v>
      </c>
      <c r="X65" s="6">
        <v>-4.7320510000000001E-3</v>
      </c>
      <c r="Y65" s="6">
        <v>-5.1299079999999999E-3</v>
      </c>
      <c r="Z65" s="6">
        <v>3.7182897196261658E-5</v>
      </c>
      <c r="AA65" s="6">
        <v>-3.827563E-3</v>
      </c>
      <c r="AB65" s="6">
        <v>-3.8495080000000002E-3</v>
      </c>
      <c r="AC65" s="6">
        <v>2.050934579439272E-6</v>
      </c>
      <c r="AD65" s="6">
        <v>-5.106953E-3</v>
      </c>
      <c r="AE65" s="6">
        <v>-4.7476430000000002E-3</v>
      </c>
      <c r="AF65" s="6">
        <v>3.3580373831775689E-5</v>
      </c>
      <c r="AG65" s="6">
        <v>-6.0062520000000001E-3</v>
      </c>
      <c r="AH65" s="6">
        <v>-6.0469080000000001E-3</v>
      </c>
      <c r="AI65" s="6">
        <v>3.7996261682243016E-6</v>
      </c>
      <c r="AJ65" s="6">
        <v>-5.1036229999999998E-3</v>
      </c>
      <c r="AK65" s="6">
        <v>-4.759536E-3</v>
      </c>
      <c r="AL65" s="6">
        <v>3.2157663551401858E-5</v>
      </c>
      <c r="AM65" s="6">
        <v>-6.008111E-3</v>
      </c>
      <c r="AN65" s="6">
        <v>-6.0399370000000004E-3</v>
      </c>
      <c r="AO65" s="6">
        <v>2.9743925233645256E-6</v>
      </c>
      <c r="AP65" s="6">
        <v>-4.2304029999999998E-3</v>
      </c>
      <c r="AQ65" s="6">
        <v>-4.6408710000000004E-3</v>
      </c>
      <c r="AR65" s="6">
        <v>3.8361495327102869E-5</v>
      </c>
      <c r="AS65" s="6">
        <v>-3.3311040000000001E-3</v>
      </c>
      <c r="AT65" s="6">
        <v>-3.3416069999999999E-3</v>
      </c>
      <c r="AU65" s="6">
        <v>9.8158878504671167E-7</v>
      </c>
      <c r="AV65" s="6">
        <v>-4.2337329999999999E-3</v>
      </c>
      <c r="AW65" s="6">
        <v>-4.6289790000000001E-3</v>
      </c>
      <c r="AX65" s="6">
        <v>3.6938878504672916E-5</v>
      </c>
      <c r="AY65" s="6">
        <v>-3.3292439999999999E-3</v>
      </c>
      <c r="AZ65" s="6">
        <v>-3.3485780000000001E-3</v>
      </c>
      <c r="BA65" s="6">
        <v>1.8069158878504854E-6</v>
      </c>
      <c r="BB65" s="6">
        <v>-4.6086340000000003E-3</v>
      </c>
      <c r="BC65" s="6">
        <v>-4.2467140000000004E-3</v>
      </c>
      <c r="BD65" s="6">
        <v>3.3824299065420561E-5</v>
      </c>
      <c r="BE65" s="6">
        <v>-5.5079329999999996E-3</v>
      </c>
      <c r="BF65" s="6">
        <v>-5.5459790000000004E-3</v>
      </c>
      <c r="BG65" s="6">
        <v>3.5557009345795123E-6</v>
      </c>
      <c r="BH65" s="6">
        <v>-4.6053040000000002E-3</v>
      </c>
      <c r="BI65" s="6">
        <v>-4.2586070000000002E-3</v>
      </c>
      <c r="BJ65" s="6">
        <v>3.2401588785046729E-5</v>
      </c>
      <c r="BK65" s="6">
        <v>-5.5097929999999998E-3</v>
      </c>
      <c r="BL65" s="6">
        <v>-5.5390070000000003E-3</v>
      </c>
      <c r="BM65" s="6">
        <v>2.7302803738318221E-6</v>
      </c>
      <c r="BN65" s="6">
        <v>-5.4424749999999996E-3</v>
      </c>
      <c r="BO65" s="6">
        <v>-5.5882630000000004E-3</v>
      </c>
      <c r="BP65" s="6">
        <v>1.3625046728972043E-5</v>
      </c>
      <c r="BQ65" s="6">
        <v>-5.1726849999999998E-3</v>
      </c>
      <c r="BR65" s="6">
        <v>-5.1984830000000003E-3</v>
      </c>
      <c r="BS65" s="6">
        <v>2.4110280373832234E-6</v>
      </c>
      <c r="BT65" s="6">
        <v>-5.4434740000000002E-3</v>
      </c>
      <c r="BU65" s="6">
        <v>-5.5846949999999998E-3</v>
      </c>
      <c r="BV65" s="6">
        <v>1.3198224299065378E-5</v>
      </c>
      <c r="BW65" s="6">
        <v>-5.1721270000000003E-3</v>
      </c>
      <c r="BX65" s="6">
        <v>-5.2005749999999998E-3</v>
      </c>
      <c r="BY65" s="6">
        <v>2.6586915887849997E-6</v>
      </c>
      <c r="BZ65" s="6">
        <v>-5.5559440000000002E-3</v>
      </c>
      <c r="CA65" s="6">
        <v>-5.4700160000000003E-3</v>
      </c>
      <c r="CB65" s="6">
        <v>8.0306542056074648E-6</v>
      </c>
      <c r="CC65" s="6">
        <v>-5.8257339999999999E-3</v>
      </c>
      <c r="CD65" s="6">
        <v>-5.8597950000000001E-3</v>
      </c>
      <c r="CE65" s="6">
        <v>3.1832710280373982E-6</v>
      </c>
      <c r="CF65" s="6">
        <v>-5.5549450000000004E-3</v>
      </c>
      <c r="CG65" s="6">
        <v>-5.4735829999999997E-3</v>
      </c>
      <c r="CH65" s="6">
        <v>7.6039252336449187E-6</v>
      </c>
      <c r="CI65" s="6">
        <v>-5.8262920000000003E-3</v>
      </c>
      <c r="CJ65" s="6">
        <v>-5.857704E-3</v>
      </c>
      <c r="CK65" s="6">
        <v>2.935700934579417E-6</v>
      </c>
      <c r="CL65" s="6">
        <v>-3.7814120000000001E-3</v>
      </c>
      <c r="CM65" s="6">
        <v>-3.9184989999999998E-3</v>
      </c>
      <c r="CN65" s="6">
        <v>1.2811869158878478E-5</v>
      </c>
      <c r="CO65" s="6">
        <v>-3.5116230000000002E-3</v>
      </c>
      <c r="CP65" s="6">
        <v>-3.528719E-3</v>
      </c>
      <c r="CQ65" s="6">
        <v>1.5977570093457819E-6</v>
      </c>
      <c r="CR65" s="6">
        <v>-3.7824109999999998E-3</v>
      </c>
      <c r="CS65" s="6">
        <v>-3.914931E-3</v>
      </c>
      <c r="CT65" s="6">
        <v>1.2385046728971975E-5</v>
      </c>
      <c r="CU65" s="6">
        <v>-3.5110639999999999E-3</v>
      </c>
      <c r="CV65" s="6">
        <v>-3.530811E-3</v>
      </c>
      <c r="CW65" s="6">
        <v>1.8455140186915964E-6</v>
      </c>
      <c r="CX65" s="6">
        <v>-3.8948810000000002E-3</v>
      </c>
      <c r="CY65" s="6">
        <v>-3.8002520000000001E-3</v>
      </c>
      <c r="CZ65" s="6">
        <v>8.8438317757009499E-6</v>
      </c>
      <c r="DA65" s="6">
        <v>-4.164671E-3</v>
      </c>
      <c r="DB65" s="6">
        <v>-4.1900310000000003E-3</v>
      </c>
      <c r="DC65" s="6">
        <v>2.3700934579439545E-6</v>
      </c>
      <c r="DD65" s="6">
        <v>-3.8938829999999999E-3</v>
      </c>
      <c r="DE65" s="6">
        <v>-3.803819E-3</v>
      </c>
      <c r="DF65" s="6">
        <v>8.4171962616822388E-6</v>
      </c>
      <c r="DG65" s="6">
        <v>-4.1652290000000003E-3</v>
      </c>
      <c r="DH65" s="6">
        <v>-4.1879400000000002E-3</v>
      </c>
      <c r="DI65" s="6">
        <v>2.1225233644859734E-6</v>
      </c>
    </row>
    <row r="66" spans="1:113" x14ac:dyDescent="0.3">
      <c r="A66" s="13" t="s">
        <v>412</v>
      </c>
      <c r="B66" s="13" t="s">
        <v>167</v>
      </c>
      <c r="C66" s="13" t="s">
        <v>168</v>
      </c>
      <c r="D66" s="13" t="s">
        <v>364</v>
      </c>
      <c r="E66" s="13">
        <v>10.7</v>
      </c>
      <c r="F66" s="6">
        <v>-2.823192E-3</v>
      </c>
      <c r="G66" s="6">
        <v>-3.4896850000000002E-3</v>
      </c>
      <c r="H66" s="6">
        <v>6.2289065420560773E-5</v>
      </c>
      <c r="I66" s="6">
        <v>-3.9821099999999996E-3</v>
      </c>
      <c r="J66" s="6">
        <v>-4.8772340000000003E-3</v>
      </c>
      <c r="K66" s="6">
        <v>8.3656448598130905E-5</v>
      </c>
      <c r="L66" s="6">
        <v>-3.4216440000000002E-3</v>
      </c>
      <c r="M66" s="6">
        <v>-4.0893290000000001E-3</v>
      </c>
      <c r="N66" s="6">
        <v>6.2400467289719627E-5</v>
      </c>
      <c r="O66" s="6">
        <v>-4.553082E-3</v>
      </c>
      <c r="P66" s="6">
        <v>-5.4482740000000003E-3</v>
      </c>
      <c r="Q66" s="6">
        <v>8.3662803738317803E-5</v>
      </c>
      <c r="R66" s="6">
        <v>-4.6360380000000003E-3</v>
      </c>
      <c r="S66" s="6">
        <v>-5.3425089999999996E-3</v>
      </c>
      <c r="T66" s="6">
        <v>6.6025327102803684E-5</v>
      </c>
      <c r="U66" s="6">
        <v>-4.4855140000000003E-3</v>
      </c>
      <c r="V66" s="6">
        <v>-5.4278699999999996E-3</v>
      </c>
      <c r="W66" s="6">
        <v>8.8070654205607413E-5</v>
      </c>
      <c r="X66" s="6">
        <v>-4.6362460000000001E-3</v>
      </c>
      <c r="Y66" s="6">
        <v>-5.3348809999999997E-3</v>
      </c>
      <c r="Z66" s="6">
        <v>6.5292990654205571E-5</v>
      </c>
      <c r="AA66" s="6">
        <v>-4.4840610000000001E-3</v>
      </c>
      <c r="AB66" s="6">
        <v>-5.4306550000000004E-3</v>
      </c>
      <c r="AC66" s="6">
        <v>8.8466728971962644E-5</v>
      </c>
      <c r="AD66" s="6">
        <v>-4.3313350000000004E-3</v>
      </c>
      <c r="AE66" s="6">
        <v>-5.4953040000000003E-3</v>
      </c>
      <c r="AF66" s="6">
        <v>1.0878214953271029E-4</v>
      </c>
      <c r="AG66" s="6">
        <v>-4.4830709999999999E-3</v>
      </c>
      <c r="AH66" s="6">
        <v>-5.4101339999999996E-3</v>
      </c>
      <c r="AI66" s="6">
        <v>8.6641401869158854E-5</v>
      </c>
      <c r="AJ66" s="6">
        <v>-4.3311280000000001E-3</v>
      </c>
      <c r="AK66" s="6">
        <v>-5.5029320000000003E-3</v>
      </c>
      <c r="AL66" s="6">
        <v>1.0951439252336452E-4</v>
      </c>
      <c r="AM66" s="6">
        <v>-4.4833130000000001E-3</v>
      </c>
      <c r="AN66" s="6">
        <v>-5.4071579999999996E-3</v>
      </c>
      <c r="AO66" s="6">
        <v>8.6340654205607442E-5</v>
      </c>
      <c r="AP66" s="6">
        <v>-4.2038580000000004E-3</v>
      </c>
      <c r="AQ66" s="6">
        <v>-4.8302040000000003E-3</v>
      </c>
      <c r="AR66" s="6">
        <v>5.853700934579438E-5</v>
      </c>
      <c r="AS66" s="6">
        <v>-4.052122E-3</v>
      </c>
      <c r="AT66" s="6">
        <v>-4.9153740000000001E-3</v>
      </c>
      <c r="AU66" s="6">
        <v>8.0677757009345807E-5</v>
      </c>
      <c r="AV66" s="6">
        <v>-4.2040660000000002E-3</v>
      </c>
      <c r="AW66" s="6">
        <v>-4.8225760000000003E-3</v>
      </c>
      <c r="AX66" s="6">
        <v>5.7804672897196274E-5</v>
      </c>
      <c r="AY66" s="6">
        <v>-4.0518799999999999E-3</v>
      </c>
      <c r="AZ66" s="6">
        <v>-4.9183500000000002E-3</v>
      </c>
      <c r="BA66" s="6">
        <v>8.0978504672897232E-5</v>
      </c>
      <c r="BB66" s="6">
        <v>-3.899156E-3</v>
      </c>
      <c r="BC66" s="6">
        <v>-4.9829990000000001E-3</v>
      </c>
      <c r="BD66" s="6">
        <v>1.0129373831775702E-4</v>
      </c>
      <c r="BE66" s="6">
        <v>-4.050891E-3</v>
      </c>
      <c r="BF66" s="6">
        <v>-4.8978290000000002E-3</v>
      </c>
      <c r="BG66" s="6">
        <v>7.9153084112149557E-5</v>
      </c>
      <c r="BH66" s="6">
        <v>-3.8989480000000002E-3</v>
      </c>
      <c r="BI66" s="6">
        <v>-4.9906280000000004E-3</v>
      </c>
      <c r="BJ66" s="6">
        <v>1.0202616822429909E-4</v>
      </c>
      <c r="BK66" s="6">
        <v>-4.0511330000000002E-3</v>
      </c>
      <c r="BL66" s="6">
        <v>-4.8948539999999997E-3</v>
      </c>
      <c r="BM66" s="6">
        <v>7.8852429906542016E-5</v>
      </c>
      <c r="BN66" s="6">
        <v>-5.0336019999999999E-3</v>
      </c>
      <c r="BO66" s="6">
        <v>-5.9936759999999999E-3</v>
      </c>
      <c r="BP66" s="6">
        <v>8.9726542056074778E-5</v>
      </c>
      <c r="BQ66" s="6">
        <v>-4.9880810000000001E-3</v>
      </c>
      <c r="BR66" s="6">
        <v>-6.0192270000000003E-3</v>
      </c>
      <c r="BS66" s="6">
        <v>9.6368785046728995E-5</v>
      </c>
      <c r="BT66" s="6">
        <v>-5.0336640000000002E-3</v>
      </c>
      <c r="BU66" s="6">
        <v>-5.9913880000000003E-3</v>
      </c>
      <c r="BV66" s="6">
        <v>8.9506915887850485E-5</v>
      </c>
      <c r="BW66" s="6">
        <v>-4.9880089999999998E-3</v>
      </c>
      <c r="BX66" s="6">
        <v>-6.0201200000000003E-3</v>
      </c>
      <c r="BY66" s="6">
        <v>9.6458971962616868E-5</v>
      </c>
      <c r="BZ66" s="6">
        <v>-4.9421910000000003E-3</v>
      </c>
      <c r="CA66" s="6">
        <v>-6.0395149999999996E-3</v>
      </c>
      <c r="CB66" s="6">
        <v>1.0255364485981303E-4</v>
      </c>
      <c r="CC66" s="6">
        <v>-4.987712E-3</v>
      </c>
      <c r="CD66" s="6">
        <v>-6.0139640000000001E-3</v>
      </c>
      <c r="CE66" s="6">
        <v>9.5911401869158892E-5</v>
      </c>
      <c r="CF66" s="6">
        <v>-4.942129E-3</v>
      </c>
      <c r="CG66" s="6">
        <v>-6.0418030000000001E-3</v>
      </c>
      <c r="CH66" s="6">
        <v>1.027732710280374E-4</v>
      </c>
      <c r="CI66" s="6">
        <v>-4.9877849999999998E-3</v>
      </c>
      <c r="CJ66" s="6">
        <v>-6.013071E-3</v>
      </c>
      <c r="CK66" s="6">
        <v>9.5821121495327135E-5</v>
      </c>
      <c r="CL66" s="6">
        <v>-3.5930020000000001E-3</v>
      </c>
      <c r="CM66" s="6">
        <v>-4.2859939999999996E-3</v>
      </c>
      <c r="CN66" s="6">
        <v>6.4765607476635476E-5</v>
      </c>
      <c r="CO66" s="6">
        <v>-3.5474809999999999E-3</v>
      </c>
      <c r="CP66" s="6">
        <v>-4.3115439999999996E-3</v>
      </c>
      <c r="CQ66" s="6">
        <v>7.1407757009345768E-5</v>
      </c>
      <c r="CR66" s="6">
        <v>-3.5930649999999999E-3</v>
      </c>
      <c r="CS66" s="6">
        <v>-4.2837049999999996E-3</v>
      </c>
      <c r="CT66" s="6">
        <v>6.4545794392523346E-5</v>
      </c>
      <c r="CU66" s="6">
        <v>-3.5474090000000001E-3</v>
      </c>
      <c r="CV66" s="6">
        <v>-4.3124369999999997E-3</v>
      </c>
      <c r="CW66" s="6">
        <v>7.1497943925233614E-5</v>
      </c>
      <c r="CX66" s="6">
        <v>-3.501592E-3</v>
      </c>
      <c r="CY66" s="6">
        <v>-4.3318319999999999E-3</v>
      </c>
      <c r="CZ66" s="6">
        <v>7.7592523364485971E-5</v>
      </c>
      <c r="DA66" s="6">
        <v>-3.5471119999999998E-3</v>
      </c>
      <c r="DB66" s="6">
        <v>-4.3062810000000003E-3</v>
      </c>
      <c r="DC66" s="6">
        <v>7.095037383177576E-5</v>
      </c>
      <c r="DD66" s="6">
        <v>-3.5015290000000002E-3</v>
      </c>
      <c r="DE66" s="6">
        <v>-4.3341209999999998E-3</v>
      </c>
      <c r="DF66" s="6">
        <v>7.7812336448598101E-5</v>
      </c>
      <c r="DG66" s="6">
        <v>-3.547185E-3</v>
      </c>
      <c r="DH66" s="6">
        <v>-4.3053880000000003E-3</v>
      </c>
      <c r="DI66" s="6">
        <v>7.0860093457943948E-5</v>
      </c>
    </row>
    <row r="67" spans="1:113" x14ac:dyDescent="0.3">
      <c r="A67" s="13" t="s">
        <v>413</v>
      </c>
      <c r="B67" s="13" t="s">
        <v>208</v>
      </c>
      <c r="C67" s="13" t="s">
        <v>209</v>
      </c>
      <c r="D67" s="13" t="s">
        <v>364</v>
      </c>
      <c r="E67" s="13">
        <v>10.7</v>
      </c>
      <c r="F67" s="6">
        <v>-2.8149759999999998E-3</v>
      </c>
      <c r="G67" s="6">
        <v>-3.2360050000000001E-3</v>
      </c>
      <c r="H67" s="6">
        <v>3.9348504672897226E-5</v>
      </c>
      <c r="I67" s="6">
        <v>-3.9728740000000004E-3</v>
      </c>
      <c r="J67" s="6">
        <v>-4.5674890000000001E-3</v>
      </c>
      <c r="K67" s="6">
        <v>5.557149532710278E-5</v>
      </c>
      <c r="L67" s="6">
        <v>-3.4129149999999999E-3</v>
      </c>
      <c r="M67" s="6">
        <v>-3.8354550000000002E-3</v>
      </c>
      <c r="N67" s="6">
        <v>3.948971962616826E-5</v>
      </c>
      <c r="O67" s="6">
        <v>-4.5436089999999997E-3</v>
      </c>
      <c r="P67" s="6">
        <v>-5.1383360000000003E-3</v>
      </c>
      <c r="Q67" s="6">
        <v>5.5581962616822491E-5</v>
      </c>
      <c r="R67" s="6">
        <v>-4.6208509999999996E-3</v>
      </c>
      <c r="S67" s="6">
        <v>-5.0360479999999996E-3</v>
      </c>
      <c r="T67" s="6">
        <v>3.8803457943925234E-5</v>
      </c>
      <c r="U67" s="6">
        <v>-4.463725E-3</v>
      </c>
      <c r="V67" s="6">
        <v>-5.125325E-3</v>
      </c>
      <c r="W67" s="6">
        <v>6.1831775700934582E-5</v>
      </c>
      <c r="X67" s="6">
        <v>-4.6351750000000001E-3</v>
      </c>
      <c r="Y67" s="6">
        <v>-5.0209240000000004E-3</v>
      </c>
      <c r="Z67" s="6">
        <v>3.6051308411214987E-5</v>
      </c>
      <c r="AA67" s="6">
        <v>-4.4540489999999999E-3</v>
      </c>
      <c r="AB67" s="6">
        <v>-5.1309370000000003E-3</v>
      </c>
      <c r="AC67" s="6">
        <v>6.3260560747663595E-5</v>
      </c>
      <c r="AD67" s="6">
        <v>-4.3267540000000004E-3</v>
      </c>
      <c r="AE67" s="6">
        <v>-5.15161E-3</v>
      </c>
      <c r="AF67" s="6">
        <v>7.7089345794392503E-5</v>
      </c>
      <c r="AG67" s="6">
        <v>-4.4849900000000003E-3</v>
      </c>
      <c r="AH67" s="6">
        <v>-5.0622790000000003E-3</v>
      </c>
      <c r="AI67" s="6">
        <v>5.3952242990654204E-5</v>
      </c>
      <c r="AJ67" s="6">
        <v>-4.3124299999999999E-3</v>
      </c>
      <c r="AK67" s="6">
        <v>-5.1667340000000001E-3</v>
      </c>
      <c r="AL67" s="6">
        <v>7.9841495327102831E-5</v>
      </c>
      <c r="AM67" s="6">
        <v>-4.4935560000000001E-3</v>
      </c>
      <c r="AN67" s="6">
        <v>-5.0567210000000001E-3</v>
      </c>
      <c r="AO67" s="6">
        <v>5.2632242990654209E-5</v>
      </c>
      <c r="AP67" s="6">
        <v>-4.1897269999999999E-3</v>
      </c>
      <c r="AQ67" s="6">
        <v>-4.5542150000000003E-3</v>
      </c>
      <c r="AR67" s="6">
        <v>3.4064299065420606E-5</v>
      </c>
      <c r="AS67" s="6">
        <v>-4.0314909999999999E-3</v>
      </c>
      <c r="AT67" s="6">
        <v>-4.6435460000000001E-3</v>
      </c>
      <c r="AU67" s="6">
        <v>5.7201401869158905E-5</v>
      </c>
      <c r="AV67" s="6">
        <v>-4.2040519999999998E-3</v>
      </c>
      <c r="AW67" s="6">
        <v>-4.5390910000000003E-3</v>
      </c>
      <c r="AX67" s="6">
        <v>3.1312056074766407E-5</v>
      </c>
      <c r="AY67" s="6">
        <v>-4.0229259999999996E-3</v>
      </c>
      <c r="AZ67" s="6">
        <v>-4.6491049999999997E-3</v>
      </c>
      <c r="BA67" s="6">
        <v>5.8521401869158899E-5</v>
      </c>
      <c r="BB67" s="6">
        <v>-3.8956300000000002E-3</v>
      </c>
      <c r="BC67" s="6">
        <v>-4.6697780000000003E-3</v>
      </c>
      <c r="BD67" s="6">
        <v>7.2350280373831787E-5</v>
      </c>
      <c r="BE67" s="6">
        <v>-4.0538659999999997E-3</v>
      </c>
      <c r="BF67" s="6">
        <v>-4.5804469999999996E-3</v>
      </c>
      <c r="BG67" s="6">
        <v>4.9213177570093454E-5</v>
      </c>
      <c r="BH67" s="6">
        <v>-3.8813060000000002E-3</v>
      </c>
      <c r="BI67" s="6">
        <v>-4.6849020000000003E-3</v>
      </c>
      <c r="BJ67" s="6">
        <v>7.5102429906542074E-5</v>
      </c>
      <c r="BK67" s="6">
        <v>-4.0624320000000004E-3</v>
      </c>
      <c r="BL67" s="6">
        <v>-4.574888E-3</v>
      </c>
      <c r="BM67" s="6">
        <v>4.7893084112149507E-5</v>
      </c>
      <c r="BN67" s="6">
        <v>-5.020895E-3</v>
      </c>
      <c r="BO67" s="6">
        <v>-5.6386320000000002E-3</v>
      </c>
      <c r="BP67" s="6">
        <v>5.7732429906542076E-5</v>
      </c>
      <c r="BQ67" s="6">
        <v>-4.9734239999999997E-3</v>
      </c>
      <c r="BR67" s="6">
        <v>-5.6654319999999998E-3</v>
      </c>
      <c r="BS67" s="6">
        <v>6.4673644859813086E-5</v>
      </c>
      <c r="BT67" s="6">
        <v>-5.0251920000000004E-3</v>
      </c>
      <c r="BU67" s="6">
        <v>-5.6340959999999999E-3</v>
      </c>
      <c r="BV67" s="6">
        <v>5.6906915887850425E-5</v>
      </c>
      <c r="BW67" s="6">
        <v>-4.9708540000000002E-3</v>
      </c>
      <c r="BX67" s="6">
        <v>-5.6670990000000001E-3</v>
      </c>
      <c r="BY67" s="6">
        <v>6.5069626168224283E-5</v>
      </c>
      <c r="BZ67" s="6">
        <v>-4.9326650000000001E-3</v>
      </c>
      <c r="CA67" s="6">
        <v>-5.6733010000000004E-3</v>
      </c>
      <c r="CB67" s="6">
        <v>6.9218317757009372E-5</v>
      </c>
      <c r="CC67" s="6">
        <v>-4.9801359999999996E-3</v>
      </c>
      <c r="CD67" s="6">
        <v>-5.6465020000000003E-3</v>
      </c>
      <c r="CE67" s="6">
        <v>6.2277196261682308E-5</v>
      </c>
      <c r="CF67" s="6">
        <v>-4.9283679999999998E-3</v>
      </c>
      <c r="CG67" s="6">
        <v>-5.6778380000000002E-3</v>
      </c>
      <c r="CH67" s="6">
        <v>7.0043925233644901E-5</v>
      </c>
      <c r="CI67" s="6">
        <v>-4.9827059999999999E-3</v>
      </c>
      <c r="CJ67" s="6">
        <v>-5.644835E-3</v>
      </c>
      <c r="CK67" s="6">
        <v>6.1881214953271029E-5</v>
      </c>
      <c r="CL67" s="6">
        <v>-3.5838160000000001E-3</v>
      </c>
      <c r="CM67" s="6">
        <v>-4.032524E-3</v>
      </c>
      <c r="CN67" s="6">
        <v>4.1935327102803737E-5</v>
      </c>
      <c r="CO67" s="6">
        <v>-3.5363450000000002E-3</v>
      </c>
      <c r="CP67" s="6">
        <v>-4.0593239999999996E-3</v>
      </c>
      <c r="CQ67" s="6">
        <v>4.8876542056074713E-5</v>
      </c>
      <c r="CR67" s="6">
        <v>-3.588113E-3</v>
      </c>
      <c r="CS67" s="6">
        <v>-4.0279870000000002E-3</v>
      </c>
      <c r="CT67" s="6">
        <v>4.1109719626168248E-5</v>
      </c>
      <c r="CU67" s="6">
        <v>-3.5337749999999999E-3</v>
      </c>
      <c r="CV67" s="6">
        <v>-4.0609909999999999E-3</v>
      </c>
      <c r="CW67" s="6">
        <v>4.9272523364485991E-5</v>
      </c>
      <c r="CX67" s="6">
        <v>-3.4955870000000001E-3</v>
      </c>
      <c r="CY67" s="6">
        <v>-4.0671930000000002E-3</v>
      </c>
      <c r="CZ67" s="6">
        <v>5.3421121495327114E-5</v>
      </c>
      <c r="DA67" s="6">
        <v>-3.5430570000000001E-3</v>
      </c>
      <c r="DB67" s="6">
        <v>-4.0403940000000001E-3</v>
      </c>
      <c r="DC67" s="6">
        <v>4.6480093457943935E-5</v>
      </c>
      <c r="DD67" s="6">
        <v>-3.4912889999999999E-3</v>
      </c>
      <c r="DE67" s="6">
        <v>-4.07173E-3</v>
      </c>
      <c r="DF67" s="6">
        <v>5.4246822429906555E-5</v>
      </c>
      <c r="DG67" s="6">
        <v>-3.545627E-3</v>
      </c>
      <c r="DH67" s="6">
        <v>-4.0387260000000003E-3</v>
      </c>
      <c r="DI67" s="6">
        <v>4.6084018691588819E-5</v>
      </c>
    </row>
    <row r="68" spans="1:113" x14ac:dyDescent="0.3">
      <c r="A68" s="13" t="s">
        <v>414</v>
      </c>
      <c r="B68" s="13" t="s">
        <v>249</v>
      </c>
      <c r="C68" s="13" t="s">
        <v>250</v>
      </c>
      <c r="D68" s="13" t="s">
        <v>364</v>
      </c>
      <c r="E68" s="13">
        <v>10.7</v>
      </c>
      <c r="F68" s="6">
        <v>-2.8181479999999999E-3</v>
      </c>
      <c r="G68" s="6">
        <v>-2.9568120000000001E-3</v>
      </c>
      <c r="H68" s="6">
        <v>1.2959252336448612E-5</v>
      </c>
      <c r="I68" s="6">
        <v>-3.9797779999999998E-3</v>
      </c>
      <c r="J68" s="6">
        <v>-4.2027269999999999E-3</v>
      </c>
      <c r="K68" s="6">
        <v>2.0836355140186924E-5</v>
      </c>
      <c r="L68" s="6">
        <v>-3.4199030000000002E-3</v>
      </c>
      <c r="M68" s="6">
        <v>-3.5590190000000001E-3</v>
      </c>
      <c r="N68" s="6">
        <v>1.3001495327102795E-5</v>
      </c>
      <c r="O68" s="6">
        <v>-4.5536800000000001E-3</v>
      </c>
      <c r="P68" s="6">
        <v>-4.7762209999999998E-3</v>
      </c>
      <c r="Q68" s="6">
        <v>2.0798224299065395E-5</v>
      </c>
      <c r="R68" s="6">
        <v>-4.6259819999999998E-3</v>
      </c>
      <c r="S68" s="6">
        <v>-4.7903720000000002E-3</v>
      </c>
      <c r="T68" s="6">
        <v>1.5363551401869194E-5</v>
      </c>
      <c r="U68" s="6">
        <v>-4.5137700000000003E-3</v>
      </c>
      <c r="V68" s="6">
        <v>-4.7511979999999999E-3</v>
      </c>
      <c r="W68" s="6">
        <v>2.2189532710280338E-5</v>
      </c>
      <c r="X68" s="6">
        <v>-4.6602470000000002E-3</v>
      </c>
      <c r="Y68" s="6">
        <v>-4.8059899999999996E-3</v>
      </c>
      <c r="Z68" s="6">
        <v>1.3620841121495271E-5</v>
      </c>
      <c r="AA68" s="6">
        <v>-4.491063E-3</v>
      </c>
      <c r="AB68" s="6">
        <v>-4.7406890000000002E-3</v>
      </c>
      <c r="AC68" s="6">
        <v>2.3329532710280394E-5</v>
      </c>
      <c r="AD68" s="6">
        <v>-4.3395550000000001E-3</v>
      </c>
      <c r="AE68" s="6">
        <v>-4.6373359999999997E-3</v>
      </c>
      <c r="AF68" s="6">
        <v>2.7829999999999962E-5</v>
      </c>
      <c r="AG68" s="6">
        <v>-4.4544490000000001E-3</v>
      </c>
      <c r="AH68" s="6">
        <v>-4.6773550000000002E-3</v>
      </c>
      <c r="AI68" s="6">
        <v>2.0832336448598145E-5</v>
      </c>
      <c r="AJ68" s="6">
        <v>-4.3052899999999998E-3</v>
      </c>
      <c r="AK68" s="6">
        <v>-4.6217180000000004E-3</v>
      </c>
      <c r="AL68" s="6">
        <v>2.9572710280373885E-5</v>
      </c>
      <c r="AM68" s="6">
        <v>-4.474474E-3</v>
      </c>
      <c r="AN68" s="6">
        <v>-4.6870189999999997E-3</v>
      </c>
      <c r="AO68" s="6">
        <v>1.9864018691588762E-5</v>
      </c>
      <c r="AP68" s="6">
        <v>-4.1939000000000004E-3</v>
      </c>
      <c r="AQ68" s="6">
        <v>-4.3416119999999999E-3</v>
      </c>
      <c r="AR68" s="6">
        <v>1.3804859813084067E-5</v>
      </c>
      <c r="AS68" s="6">
        <v>-4.0790059999999996E-3</v>
      </c>
      <c r="AT68" s="6">
        <v>-4.3015919999999999E-3</v>
      </c>
      <c r="AU68" s="6">
        <v>2.0802429906542086E-5</v>
      </c>
      <c r="AV68" s="6">
        <v>-4.2281649999999999E-3</v>
      </c>
      <c r="AW68" s="6">
        <v>-4.3572300000000001E-3</v>
      </c>
      <c r="AX68" s="6">
        <v>1.2062149532710305E-5</v>
      </c>
      <c r="AY68" s="6">
        <v>-4.0589809999999997E-3</v>
      </c>
      <c r="AZ68" s="6">
        <v>-4.2919280000000004E-3</v>
      </c>
      <c r="BA68" s="6">
        <v>2.1770747663551469E-5</v>
      </c>
      <c r="BB68" s="6">
        <v>-3.9074729999999998E-3</v>
      </c>
      <c r="BC68" s="6">
        <v>-4.1885760000000003E-3</v>
      </c>
      <c r="BD68" s="6">
        <v>2.6271308411214996E-5</v>
      </c>
      <c r="BE68" s="6">
        <v>-4.0223669999999998E-3</v>
      </c>
      <c r="BF68" s="6">
        <v>-4.2285949999999999E-3</v>
      </c>
      <c r="BG68" s="6">
        <v>1.9273644859813097E-5</v>
      </c>
      <c r="BH68" s="6">
        <v>-3.8732079999999999E-3</v>
      </c>
      <c r="BI68" s="6">
        <v>-4.172958E-3</v>
      </c>
      <c r="BJ68" s="6">
        <v>2.8014018691588797E-5</v>
      </c>
      <c r="BK68" s="6">
        <v>-4.0423919999999997E-3</v>
      </c>
      <c r="BL68" s="6">
        <v>-4.2382590000000003E-3</v>
      </c>
      <c r="BM68" s="6">
        <v>1.8305327102803795E-5</v>
      </c>
      <c r="BN68" s="6">
        <v>-5.0298280000000001E-3</v>
      </c>
      <c r="BO68" s="6">
        <v>-5.2603629999999997E-3</v>
      </c>
      <c r="BP68" s="6">
        <v>2.1545327102803703E-5</v>
      </c>
      <c r="BQ68" s="6">
        <v>-4.9953599999999999E-3</v>
      </c>
      <c r="BR68" s="6">
        <v>-5.2483579999999998E-3</v>
      </c>
      <c r="BS68" s="6">
        <v>2.3644672897196259E-5</v>
      </c>
      <c r="BT68" s="6">
        <v>-5.0401079999999997E-3</v>
      </c>
      <c r="BU68" s="6">
        <v>-5.2650489999999999E-3</v>
      </c>
      <c r="BV68" s="6">
        <v>2.1022523364486002E-5</v>
      </c>
      <c r="BW68" s="6">
        <v>-4.9893530000000002E-3</v>
      </c>
      <c r="BX68" s="6">
        <v>-5.2454579999999997E-3</v>
      </c>
      <c r="BY68" s="6">
        <v>2.3935046728971919E-5</v>
      </c>
      <c r="BZ68" s="6">
        <v>-4.9439000000000002E-3</v>
      </c>
      <c r="CA68" s="6">
        <v>-5.2144519999999996E-3</v>
      </c>
      <c r="CB68" s="6">
        <v>2.5285233644859762E-5</v>
      </c>
      <c r="CC68" s="6">
        <v>-4.9783689999999998E-3</v>
      </c>
      <c r="CD68" s="6">
        <v>-5.2264579999999998E-3</v>
      </c>
      <c r="CE68" s="6">
        <v>2.3185887850467285E-5</v>
      </c>
      <c r="CF68" s="6">
        <v>-4.933621E-3</v>
      </c>
      <c r="CG68" s="6">
        <v>-5.2097669999999997E-3</v>
      </c>
      <c r="CH68" s="6">
        <v>2.5808037383177541E-5</v>
      </c>
      <c r="CI68" s="6">
        <v>-4.9843760000000004E-3</v>
      </c>
      <c r="CJ68" s="6">
        <v>-5.2293569999999996E-3</v>
      </c>
      <c r="CK68" s="6">
        <v>2.2895420560747587E-5</v>
      </c>
      <c r="CL68" s="6">
        <v>-3.5895549999999999E-3</v>
      </c>
      <c r="CM68" s="6">
        <v>-3.7644950000000001E-3</v>
      </c>
      <c r="CN68" s="6">
        <v>1.634953271028039E-5</v>
      </c>
      <c r="CO68" s="6">
        <v>-3.5550870000000002E-3</v>
      </c>
      <c r="CP68" s="6">
        <v>-3.7524899999999998E-3</v>
      </c>
      <c r="CQ68" s="6">
        <v>1.8448878504672864E-5</v>
      </c>
      <c r="CR68" s="6">
        <v>-3.599835E-3</v>
      </c>
      <c r="CS68" s="6">
        <v>-3.7691809999999999E-3</v>
      </c>
      <c r="CT68" s="6">
        <v>1.5826728971962608E-5</v>
      </c>
      <c r="CU68" s="6">
        <v>-3.5490790000000001E-3</v>
      </c>
      <c r="CV68" s="6">
        <v>-3.7495900000000001E-3</v>
      </c>
      <c r="CW68" s="6">
        <v>1.8739345794392525E-5</v>
      </c>
      <c r="CX68" s="6">
        <v>-3.503627E-3</v>
      </c>
      <c r="CY68" s="6">
        <v>-3.7185849999999999E-3</v>
      </c>
      <c r="CZ68" s="6">
        <v>2.0089532710280364E-5</v>
      </c>
      <c r="DA68" s="6">
        <v>-3.5380950000000002E-3</v>
      </c>
      <c r="DB68" s="6">
        <v>-3.7305900000000002E-3</v>
      </c>
      <c r="DC68" s="6">
        <v>1.799018691588785E-5</v>
      </c>
      <c r="DD68" s="6">
        <v>-3.4933469999999999E-3</v>
      </c>
      <c r="DE68" s="6">
        <v>-3.7138990000000001E-3</v>
      </c>
      <c r="DF68" s="6">
        <v>2.0612336448598147E-5</v>
      </c>
      <c r="DG68" s="6">
        <v>-3.5441029999999998E-3</v>
      </c>
      <c r="DH68" s="6">
        <v>-3.733489E-3</v>
      </c>
      <c r="DI68" s="6">
        <v>1.7699626168224315E-5</v>
      </c>
    </row>
    <row r="69" spans="1:113" x14ac:dyDescent="0.3">
      <c r="A69" s="13" t="s">
        <v>415</v>
      </c>
      <c r="B69" s="13" t="s">
        <v>288</v>
      </c>
      <c r="C69" s="13" t="s">
        <v>290</v>
      </c>
      <c r="D69" s="13" t="s">
        <v>364</v>
      </c>
      <c r="E69" s="13">
        <v>10.7</v>
      </c>
      <c r="F69" s="6">
        <v>-1.9709939999999998E-3</v>
      </c>
      <c r="G69" s="6">
        <v>-2.084799E-3</v>
      </c>
      <c r="H69" s="6">
        <v>1.0635981308411238E-5</v>
      </c>
      <c r="I69" s="6">
        <v>-2.7757160000000001E-3</v>
      </c>
      <c r="J69" s="6">
        <v>-2.952409E-3</v>
      </c>
      <c r="K69" s="6">
        <v>1.6513364485981299E-5</v>
      </c>
      <c r="L69" s="6">
        <v>-2.573297E-3</v>
      </c>
      <c r="M69" s="6">
        <v>-2.6849780000000002E-3</v>
      </c>
      <c r="N69" s="6">
        <v>1.0437476635514037E-5</v>
      </c>
      <c r="O69" s="6">
        <v>-3.3493429999999999E-3</v>
      </c>
      <c r="P69" s="6">
        <v>-3.5240050000000002E-3</v>
      </c>
      <c r="Q69" s="6">
        <v>1.6323551401869191E-5</v>
      </c>
      <c r="R69" s="6">
        <v>-3.3419399999999998E-3</v>
      </c>
      <c r="S69" s="6">
        <v>-3.5170879999999998E-3</v>
      </c>
      <c r="T69" s="6">
        <v>1.636897196261682E-5</v>
      </c>
      <c r="U69" s="6">
        <v>-3.8181930000000001E-3</v>
      </c>
      <c r="V69" s="6">
        <v>-3.9895670000000003E-3</v>
      </c>
      <c r="W69" s="6">
        <v>1.6016261682243007E-5</v>
      </c>
      <c r="X69" s="6">
        <v>-3.426686E-3</v>
      </c>
      <c r="Y69" s="6">
        <v>-3.521143E-3</v>
      </c>
      <c r="Z69" s="6">
        <v>8.8277570093458001E-6</v>
      </c>
      <c r="AA69" s="6">
        <v>-3.7664439999999999E-3</v>
      </c>
      <c r="AB69" s="6">
        <v>-3.9859969999999998E-3</v>
      </c>
      <c r="AC69" s="6">
        <v>2.0518971962616819E-5</v>
      </c>
      <c r="AD69" s="6">
        <v>-3.1135989999999999E-3</v>
      </c>
      <c r="AE69" s="6">
        <v>-3.30313E-3</v>
      </c>
      <c r="AF69" s="6">
        <v>1.7713177570093474E-5</v>
      </c>
      <c r="AG69" s="6">
        <v>-2.6398010000000002E-3</v>
      </c>
      <c r="AH69" s="6">
        <v>-2.831793E-3</v>
      </c>
      <c r="AI69" s="6">
        <v>1.7943177570093436E-5</v>
      </c>
      <c r="AJ69" s="6">
        <v>-3.0288530000000002E-3</v>
      </c>
      <c r="AK69" s="6">
        <v>-3.2990749999999998E-3</v>
      </c>
      <c r="AL69" s="6">
        <v>2.5254392523364455E-5</v>
      </c>
      <c r="AM69" s="6">
        <v>-2.6890949999999999E-3</v>
      </c>
      <c r="AN69" s="6">
        <v>-2.834221E-3</v>
      </c>
      <c r="AO69" s="6">
        <v>1.3563177570093477E-5</v>
      </c>
      <c r="AP69" s="6">
        <v>-3.011461E-3</v>
      </c>
      <c r="AQ69" s="6">
        <v>-3.1732840000000002E-3</v>
      </c>
      <c r="AR69" s="6">
        <v>1.5123644859813101E-5</v>
      </c>
      <c r="AS69" s="6">
        <v>-3.4852580000000002E-3</v>
      </c>
      <c r="AT69" s="6">
        <v>-3.6446209999999998E-3</v>
      </c>
      <c r="AU69" s="6">
        <v>1.4893738317756973E-5</v>
      </c>
      <c r="AV69" s="6">
        <v>-3.0962070000000001E-3</v>
      </c>
      <c r="AW69" s="6">
        <v>-3.1773389999999999E-3</v>
      </c>
      <c r="AX69" s="6">
        <v>7.5824299065420396E-6</v>
      </c>
      <c r="AY69" s="6">
        <v>-3.435965E-3</v>
      </c>
      <c r="AZ69" s="6">
        <v>-3.6421940000000001E-3</v>
      </c>
      <c r="BA69" s="6">
        <v>1.9273738317757016E-5</v>
      </c>
      <c r="BB69" s="6">
        <v>-2.78312E-3</v>
      </c>
      <c r="BC69" s="6">
        <v>-2.9593269999999999E-3</v>
      </c>
      <c r="BD69" s="6">
        <v>1.6467943925233631E-5</v>
      </c>
      <c r="BE69" s="6">
        <v>-2.3093229999999998E-3</v>
      </c>
      <c r="BF69" s="6">
        <v>-2.4879889999999999E-3</v>
      </c>
      <c r="BG69" s="6">
        <v>1.6697757009345803E-5</v>
      </c>
      <c r="BH69" s="6">
        <v>-2.6983739999999999E-3</v>
      </c>
      <c r="BI69" s="6">
        <v>-2.9552720000000001E-3</v>
      </c>
      <c r="BJ69" s="6">
        <v>2.4009158878504692E-5</v>
      </c>
      <c r="BK69" s="6">
        <v>-2.358616E-3</v>
      </c>
      <c r="BL69" s="6">
        <v>-2.490417E-3</v>
      </c>
      <c r="BM69" s="6">
        <v>1.2317850467289718E-5</v>
      </c>
      <c r="BN69" s="6">
        <v>-3.6475790000000002E-3</v>
      </c>
      <c r="BO69" s="6">
        <v>-3.8433069999999998E-3</v>
      </c>
      <c r="BP69" s="6">
        <v>1.8292336448598094E-5</v>
      </c>
      <c r="BQ69" s="6">
        <v>-3.7897180000000001E-3</v>
      </c>
      <c r="BR69" s="6">
        <v>-3.984708E-3</v>
      </c>
      <c r="BS69" s="6">
        <v>1.8223364485981302E-5</v>
      </c>
      <c r="BT69" s="6">
        <v>-3.6730030000000002E-3</v>
      </c>
      <c r="BU69" s="6">
        <v>-3.8445229999999999E-3</v>
      </c>
      <c r="BV69" s="6">
        <v>1.6029906542056045E-5</v>
      </c>
      <c r="BW69" s="6">
        <v>-3.7749300000000001E-3</v>
      </c>
      <c r="BX69" s="6">
        <v>-3.9839799999999998E-3</v>
      </c>
      <c r="BY69" s="6">
        <v>1.9537383177570066E-5</v>
      </c>
      <c r="BZ69" s="6">
        <v>-3.579077E-3</v>
      </c>
      <c r="CA69" s="6">
        <v>-3.77912E-3</v>
      </c>
      <c r="CB69" s="6">
        <v>1.8695607476635516E-5</v>
      </c>
      <c r="CC69" s="6">
        <v>-3.4369370000000002E-3</v>
      </c>
      <c r="CD69" s="6">
        <v>-3.6377190000000002E-3</v>
      </c>
      <c r="CE69" s="6">
        <v>1.8764672897196268E-5</v>
      </c>
      <c r="CF69" s="6">
        <v>-3.5536529999999999E-3</v>
      </c>
      <c r="CG69" s="6">
        <v>-3.777903E-3</v>
      </c>
      <c r="CH69" s="6">
        <v>2.095794392523365E-5</v>
      </c>
      <c r="CI69" s="6">
        <v>-3.4517250000000001E-3</v>
      </c>
      <c r="CJ69" s="6">
        <v>-3.6384469999999999E-3</v>
      </c>
      <c r="CK69" s="6">
        <v>1.7450654205607463E-5</v>
      </c>
      <c r="CL69" s="6">
        <v>-2.5459829999999999E-3</v>
      </c>
      <c r="CM69" s="6">
        <v>-2.6972950000000002E-3</v>
      </c>
      <c r="CN69" s="6">
        <v>1.4141308411214977E-5</v>
      </c>
      <c r="CO69" s="6">
        <v>-2.6881219999999998E-3</v>
      </c>
      <c r="CP69" s="6">
        <v>-2.8386959999999999E-3</v>
      </c>
      <c r="CQ69" s="6">
        <v>1.4072336448598142E-5</v>
      </c>
      <c r="CR69" s="6">
        <v>-2.5714069999999999E-3</v>
      </c>
      <c r="CS69" s="6">
        <v>-2.6985109999999998E-3</v>
      </c>
      <c r="CT69" s="6">
        <v>1.1878878504672883E-5</v>
      </c>
      <c r="CU69" s="6">
        <v>-2.6733339999999999E-3</v>
      </c>
      <c r="CV69" s="6">
        <v>-2.8379669999999998E-3</v>
      </c>
      <c r="CW69" s="6">
        <v>1.5386261682242988E-5</v>
      </c>
      <c r="CX69" s="6">
        <v>-2.4774810000000001E-3</v>
      </c>
      <c r="CY69" s="6">
        <v>-2.633107E-3</v>
      </c>
      <c r="CZ69" s="6">
        <v>1.4544485981308398E-5</v>
      </c>
      <c r="DA69" s="6">
        <v>-2.3353419999999998E-3</v>
      </c>
      <c r="DB69" s="6">
        <v>-2.4917060000000002E-3</v>
      </c>
      <c r="DC69" s="6">
        <v>1.4613457943925274E-5</v>
      </c>
      <c r="DD69" s="6">
        <v>-2.4520570000000001E-3</v>
      </c>
      <c r="DE69" s="6">
        <v>-2.6318909999999999E-3</v>
      </c>
      <c r="DF69" s="6">
        <v>1.680691588785045E-5</v>
      </c>
      <c r="DG69" s="6">
        <v>-2.3501300000000002E-3</v>
      </c>
      <c r="DH69" s="6">
        <v>-2.492434E-3</v>
      </c>
      <c r="DI69" s="6">
        <v>1.3299439252336429E-5</v>
      </c>
    </row>
    <row r="70" spans="1:113" x14ac:dyDescent="0.3">
      <c r="A70" s="13" t="s">
        <v>416</v>
      </c>
      <c r="B70" s="13" t="s">
        <v>60</v>
      </c>
      <c r="C70" s="13" t="s">
        <v>95</v>
      </c>
      <c r="D70" s="13" t="s">
        <v>364</v>
      </c>
      <c r="E70" s="13">
        <v>8.3000000000000007</v>
      </c>
      <c r="F70" s="6">
        <v>-3.688729E-3</v>
      </c>
      <c r="G70" s="6">
        <v>-3.05099E-3</v>
      </c>
      <c r="H70" s="6">
        <v>7.6836024096385539E-5</v>
      </c>
      <c r="I70" s="6">
        <v>-4.516272E-3</v>
      </c>
      <c r="J70" s="6">
        <v>-4.3575890000000003E-3</v>
      </c>
      <c r="K70" s="6">
        <v>1.9118433734939728E-5</v>
      </c>
      <c r="L70" s="6">
        <v>-4.0622760000000001E-3</v>
      </c>
      <c r="M70" s="6">
        <v>-3.6629470000000002E-3</v>
      </c>
      <c r="N70" s="6">
        <v>4.8111927710843361E-5</v>
      </c>
      <c r="O70" s="6">
        <v>-4.8722490000000004E-3</v>
      </c>
      <c r="P70" s="6">
        <v>-4.940318E-3</v>
      </c>
      <c r="Q70" s="6">
        <v>8.2010843373493481E-6</v>
      </c>
      <c r="R70" s="6">
        <v>-5.1418009999999997E-3</v>
      </c>
      <c r="S70" s="6">
        <v>-4.807965E-3</v>
      </c>
      <c r="T70" s="6">
        <v>4.0221204819277065E-5</v>
      </c>
      <c r="U70" s="6">
        <v>-3.913522E-3</v>
      </c>
      <c r="V70" s="6">
        <v>-4.848682E-3</v>
      </c>
      <c r="W70" s="6">
        <v>1.1266987951807228E-4</v>
      </c>
      <c r="X70" s="6">
        <v>-5.1299079999999999E-3</v>
      </c>
      <c r="Y70" s="6">
        <v>-4.8248090000000002E-3</v>
      </c>
      <c r="Z70" s="6">
        <v>3.6758915662650557E-5</v>
      </c>
      <c r="AA70" s="6">
        <v>-3.8495080000000002E-3</v>
      </c>
      <c r="AB70" s="6">
        <v>-4.8440030000000004E-3</v>
      </c>
      <c r="AC70" s="6">
        <v>1.1981867469879519E-4</v>
      </c>
      <c r="AD70" s="6">
        <v>-4.7476430000000002E-3</v>
      </c>
      <c r="AE70" s="6">
        <v>-4.951525E-3</v>
      </c>
      <c r="AF70" s="6">
        <v>2.4564096385542147E-5</v>
      </c>
      <c r="AG70" s="6">
        <v>-6.0469080000000001E-3</v>
      </c>
      <c r="AH70" s="6">
        <v>-4.9089870000000001E-3</v>
      </c>
      <c r="AI70" s="6">
        <v>1.370989156626506E-4</v>
      </c>
      <c r="AJ70" s="6">
        <v>-4.759536E-3</v>
      </c>
      <c r="AK70" s="6">
        <v>-4.9346800000000003E-3</v>
      </c>
      <c r="AL70" s="6">
        <v>2.1101686746987992E-5</v>
      </c>
      <c r="AM70" s="6">
        <v>-6.0399370000000004E-3</v>
      </c>
      <c r="AN70" s="6">
        <v>-4.9154860000000002E-3</v>
      </c>
      <c r="AO70" s="6">
        <v>1.3547602409638557E-4</v>
      </c>
      <c r="AP70" s="6">
        <v>-4.6408710000000004E-3</v>
      </c>
      <c r="AQ70" s="6">
        <v>-4.346384E-3</v>
      </c>
      <c r="AR70" s="6">
        <v>3.5480361445783174E-5</v>
      </c>
      <c r="AS70" s="6">
        <v>-3.3416069999999999E-3</v>
      </c>
      <c r="AT70" s="6">
        <v>-4.3889209999999996E-3</v>
      </c>
      <c r="AU70" s="6">
        <v>1.2618240963855416E-4</v>
      </c>
      <c r="AV70" s="6">
        <v>-4.6289790000000001E-3</v>
      </c>
      <c r="AW70" s="6">
        <v>-4.3632289999999997E-3</v>
      </c>
      <c r="AX70" s="6">
        <v>3.2018072289156666E-5</v>
      </c>
      <c r="AY70" s="6">
        <v>-3.3485780000000001E-3</v>
      </c>
      <c r="AZ70" s="6">
        <v>-4.3824229999999999E-3</v>
      </c>
      <c r="BA70" s="6">
        <v>1.2455963855421683E-4</v>
      </c>
      <c r="BB70" s="6">
        <v>-4.2467140000000004E-3</v>
      </c>
      <c r="BC70" s="6">
        <v>-4.4899440000000001E-3</v>
      </c>
      <c r="BD70" s="6">
        <v>2.930481927710839E-5</v>
      </c>
      <c r="BE70" s="6">
        <v>-5.5459790000000004E-3</v>
      </c>
      <c r="BF70" s="6">
        <v>-4.4474069999999996E-3</v>
      </c>
      <c r="BG70" s="6">
        <v>1.3235807228915671E-4</v>
      </c>
      <c r="BH70" s="6">
        <v>-4.2586070000000002E-3</v>
      </c>
      <c r="BI70" s="6">
        <v>-4.4730990000000003E-3</v>
      </c>
      <c r="BJ70" s="6">
        <v>2.5842409638554232E-5</v>
      </c>
      <c r="BK70" s="6">
        <v>-5.5390070000000003E-3</v>
      </c>
      <c r="BL70" s="6">
        <v>-4.4539050000000002E-3</v>
      </c>
      <c r="BM70" s="6">
        <v>1.3073518072289158E-4</v>
      </c>
      <c r="BN70" s="6">
        <v>-5.5882630000000004E-3</v>
      </c>
      <c r="BO70" s="6">
        <v>-5.3967219999999996E-3</v>
      </c>
      <c r="BP70" s="6">
        <v>2.3077228915662745E-5</v>
      </c>
      <c r="BQ70" s="6">
        <v>-5.1984830000000003E-3</v>
      </c>
      <c r="BR70" s="6">
        <v>-5.4094829999999997E-3</v>
      </c>
      <c r="BS70" s="6">
        <v>2.5421686746987876E-5</v>
      </c>
      <c r="BT70" s="6">
        <v>-5.5846949999999998E-3</v>
      </c>
      <c r="BU70" s="6">
        <v>-5.4017750000000002E-3</v>
      </c>
      <c r="BV70" s="6">
        <v>2.2038554216867421E-5</v>
      </c>
      <c r="BW70" s="6">
        <v>-5.2005749999999998E-3</v>
      </c>
      <c r="BX70" s="6">
        <v>-5.407533E-3</v>
      </c>
      <c r="BY70" s="6">
        <v>2.4934698795180739E-5</v>
      </c>
      <c r="BZ70" s="6">
        <v>-5.4700160000000003E-3</v>
      </c>
      <c r="CA70" s="6">
        <v>-5.4397899999999999E-3</v>
      </c>
      <c r="CB70" s="6">
        <v>3.6416867469879976E-6</v>
      </c>
      <c r="CC70" s="6">
        <v>-5.8597950000000001E-3</v>
      </c>
      <c r="CD70" s="6">
        <v>-5.4270289999999999E-3</v>
      </c>
      <c r="CE70" s="6">
        <v>5.2140481927710865E-5</v>
      </c>
      <c r="CF70" s="6">
        <v>-5.4735829999999997E-3</v>
      </c>
      <c r="CG70" s="6">
        <v>-5.4347359999999999E-3</v>
      </c>
      <c r="CH70" s="6">
        <v>4.6803614457831132E-6</v>
      </c>
      <c r="CI70" s="6">
        <v>-5.857704E-3</v>
      </c>
      <c r="CJ70" s="6">
        <v>-5.4289780000000001E-3</v>
      </c>
      <c r="CK70" s="6">
        <v>5.1653734939759022E-5</v>
      </c>
      <c r="CL70" s="6">
        <v>-3.9184989999999998E-3</v>
      </c>
      <c r="CM70" s="6">
        <v>-3.8581190000000001E-3</v>
      </c>
      <c r="CN70" s="6">
        <v>7.274698795180678E-6</v>
      </c>
      <c r="CO70" s="6">
        <v>-3.528719E-3</v>
      </c>
      <c r="CP70" s="6">
        <v>-3.8708800000000002E-3</v>
      </c>
      <c r="CQ70" s="6">
        <v>4.1224216867469888E-5</v>
      </c>
      <c r="CR70" s="6">
        <v>-3.914931E-3</v>
      </c>
      <c r="CS70" s="6">
        <v>-3.8631730000000001E-3</v>
      </c>
      <c r="CT70" s="6">
        <v>6.2359036144578116E-6</v>
      </c>
      <c r="CU70" s="6">
        <v>-3.530811E-3</v>
      </c>
      <c r="CV70" s="6">
        <v>-3.8689309999999999E-3</v>
      </c>
      <c r="CW70" s="6">
        <v>4.0737349397590348E-5</v>
      </c>
      <c r="CX70" s="6">
        <v>-3.8002520000000001E-3</v>
      </c>
      <c r="CY70" s="6">
        <v>-3.901187E-3</v>
      </c>
      <c r="CZ70" s="6">
        <v>1.2160843373493965E-5</v>
      </c>
      <c r="DA70" s="6">
        <v>-4.1900310000000003E-3</v>
      </c>
      <c r="DB70" s="6">
        <v>-3.8884259999999999E-3</v>
      </c>
      <c r="DC70" s="6">
        <v>3.6337951807228954E-5</v>
      </c>
      <c r="DD70" s="6">
        <v>-3.803819E-3</v>
      </c>
      <c r="DE70" s="6">
        <v>-3.8961339999999999E-3</v>
      </c>
      <c r="DF70" s="6">
        <v>1.1122289156626497E-5</v>
      </c>
      <c r="DG70" s="6">
        <v>-4.1879400000000002E-3</v>
      </c>
      <c r="DH70" s="6">
        <v>-3.8903760000000001E-3</v>
      </c>
      <c r="DI70" s="6">
        <v>3.5851084337349414E-5</v>
      </c>
    </row>
    <row r="71" spans="1:113" x14ac:dyDescent="0.3">
      <c r="A71" s="13" t="s">
        <v>417</v>
      </c>
      <c r="B71" s="13" t="s">
        <v>95</v>
      </c>
      <c r="C71" s="13" t="s">
        <v>131</v>
      </c>
      <c r="D71" s="13" t="s">
        <v>364</v>
      </c>
      <c r="E71" s="13">
        <v>8.3000000000000007</v>
      </c>
      <c r="F71" s="6">
        <v>-3.05099E-3</v>
      </c>
      <c r="G71" s="6">
        <v>-3.4312180000000002E-3</v>
      </c>
      <c r="H71" s="6">
        <v>4.5810602409638581E-5</v>
      </c>
      <c r="I71" s="6">
        <v>-4.3575890000000003E-3</v>
      </c>
      <c r="J71" s="6">
        <v>-4.8036099999999998E-3</v>
      </c>
      <c r="K71" s="6">
        <v>5.3737469879518016E-5</v>
      </c>
      <c r="L71" s="6">
        <v>-3.6629470000000002E-3</v>
      </c>
      <c r="M71" s="6">
        <v>-4.0310509999999999E-3</v>
      </c>
      <c r="N71" s="6">
        <v>4.4349879518072255E-5</v>
      </c>
      <c r="O71" s="6">
        <v>-4.940318E-3</v>
      </c>
      <c r="P71" s="6">
        <v>-5.3748219999999996E-3</v>
      </c>
      <c r="Q71" s="6">
        <v>5.234987951807224E-5</v>
      </c>
      <c r="R71" s="6">
        <v>-4.807965E-3</v>
      </c>
      <c r="S71" s="6">
        <v>-5.2656960000000003E-3</v>
      </c>
      <c r="T71" s="6">
        <v>5.5148313253012079E-5</v>
      </c>
      <c r="U71" s="6">
        <v>-4.848682E-3</v>
      </c>
      <c r="V71" s="6">
        <v>-5.3371709999999999E-3</v>
      </c>
      <c r="W71" s="6">
        <v>5.8854096385542156E-5</v>
      </c>
      <c r="X71" s="6">
        <v>-4.8248090000000002E-3</v>
      </c>
      <c r="Y71" s="6">
        <v>-5.2731139999999998E-3</v>
      </c>
      <c r="Z71" s="6">
        <v>5.4012650602409577E-5</v>
      </c>
      <c r="AA71" s="6">
        <v>-4.8440030000000004E-3</v>
      </c>
      <c r="AB71" s="6">
        <v>-5.334297E-3</v>
      </c>
      <c r="AC71" s="6">
        <v>5.907156626506019E-5</v>
      </c>
      <c r="AD71" s="6">
        <v>-4.951525E-3</v>
      </c>
      <c r="AE71" s="6">
        <v>-5.4180549999999997E-3</v>
      </c>
      <c r="AF71" s="6">
        <v>5.6208433734939723E-5</v>
      </c>
      <c r="AG71" s="6">
        <v>-4.9089870000000001E-3</v>
      </c>
      <c r="AH71" s="6">
        <v>-5.3466440000000002E-3</v>
      </c>
      <c r="AI71" s="6">
        <v>5.2729759036144589E-5</v>
      </c>
      <c r="AJ71" s="6">
        <v>-4.9346800000000003E-3</v>
      </c>
      <c r="AK71" s="6">
        <v>-5.4106370000000003E-3</v>
      </c>
      <c r="AL71" s="6">
        <v>5.734421686746987E-5</v>
      </c>
      <c r="AM71" s="6">
        <v>-4.9154860000000002E-3</v>
      </c>
      <c r="AN71" s="6">
        <v>-5.349454E-3</v>
      </c>
      <c r="AO71" s="6">
        <v>5.2285301204819257E-5</v>
      </c>
      <c r="AP71" s="6">
        <v>-4.346384E-3</v>
      </c>
      <c r="AQ71" s="6">
        <v>-4.760378E-3</v>
      </c>
      <c r="AR71" s="6">
        <v>4.9878795180722889E-5</v>
      </c>
      <c r="AS71" s="6">
        <v>-4.3889209999999996E-3</v>
      </c>
      <c r="AT71" s="6">
        <v>-4.8317899999999999E-3</v>
      </c>
      <c r="AU71" s="6">
        <v>5.3357710843373521E-5</v>
      </c>
      <c r="AV71" s="6">
        <v>-4.3632289999999997E-3</v>
      </c>
      <c r="AW71" s="6">
        <v>-4.7677960000000004E-3</v>
      </c>
      <c r="AX71" s="6">
        <v>4.8743012048192844E-5</v>
      </c>
      <c r="AY71" s="6">
        <v>-4.3824229999999999E-3</v>
      </c>
      <c r="AZ71" s="6">
        <v>-4.8289789999999997E-3</v>
      </c>
      <c r="BA71" s="6">
        <v>5.3801927710843356E-5</v>
      </c>
      <c r="BB71" s="6">
        <v>-4.4899440000000001E-3</v>
      </c>
      <c r="BC71" s="6">
        <v>-4.9127370000000004E-3</v>
      </c>
      <c r="BD71" s="6">
        <v>5.0938915662650635E-5</v>
      </c>
      <c r="BE71" s="6">
        <v>-4.4474069999999996E-3</v>
      </c>
      <c r="BF71" s="6">
        <v>-4.841326E-3</v>
      </c>
      <c r="BG71" s="6">
        <v>4.7460120481927755E-5</v>
      </c>
      <c r="BH71" s="6">
        <v>-4.4730990000000003E-3</v>
      </c>
      <c r="BI71" s="6">
        <v>-4.905319E-3</v>
      </c>
      <c r="BJ71" s="6">
        <v>5.2074698795180679E-5</v>
      </c>
      <c r="BK71" s="6">
        <v>-4.4539050000000002E-3</v>
      </c>
      <c r="BL71" s="6">
        <v>-4.8441359999999998E-3</v>
      </c>
      <c r="BM71" s="6">
        <v>4.7015783132530066E-5</v>
      </c>
      <c r="BN71" s="6">
        <v>-5.3967219999999996E-3</v>
      </c>
      <c r="BO71" s="6">
        <v>-5.9085589999999999E-3</v>
      </c>
      <c r="BP71" s="6">
        <v>6.1667108433734964E-5</v>
      </c>
      <c r="BQ71" s="6">
        <v>-5.4094829999999997E-3</v>
      </c>
      <c r="BR71" s="6">
        <v>-5.9299829999999998E-3</v>
      </c>
      <c r="BS71" s="6">
        <v>6.2710843373493981E-5</v>
      </c>
      <c r="BT71" s="6">
        <v>-5.4017750000000002E-3</v>
      </c>
      <c r="BU71" s="6">
        <v>-5.9107839999999997E-3</v>
      </c>
      <c r="BV71" s="6">
        <v>6.1326385542168614E-5</v>
      </c>
      <c r="BW71" s="6">
        <v>-5.407533E-3</v>
      </c>
      <c r="BX71" s="6">
        <v>-5.9291389999999999E-3</v>
      </c>
      <c r="BY71" s="6">
        <v>6.2844096385542163E-5</v>
      </c>
      <c r="BZ71" s="6">
        <v>-5.4397899999999999E-3</v>
      </c>
      <c r="CA71" s="6">
        <v>-5.9542670000000001E-3</v>
      </c>
      <c r="CB71" s="6">
        <v>6.1985180722891578E-5</v>
      </c>
      <c r="CC71" s="6">
        <v>-5.4270289999999999E-3</v>
      </c>
      <c r="CD71" s="6">
        <v>-5.9328430000000001E-3</v>
      </c>
      <c r="CE71" s="6">
        <v>6.0941445783132553E-5</v>
      </c>
      <c r="CF71" s="6">
        <v>-5.4347359999999999E-3</v>
      </c>
      <c r="CG71" s="6">
        <v>-5.9520420000000003E-3</v>
      </c>
      <c r="CH71" s="6">
        <v>6.2326024096385585E-5</v>
      </c>
      <c r="CI71" s="6">
        <v>-5.4289780000000001E-3</v>
      </c>
      <c r="CJ71" s="6">
        <v>-5.933687E-3</v>
      </c>
      <c r="CK71" s="6">
        <v>6.0808313253012029E-5</v>
      </c>
      <c r="CL71" s="6">
        <v>-3.8581190000000001E-3</v>
      </c>
      <c r="CM71" s="6">
        <v>-4.2241659999999997E-3</v>
      </c>
      <c r="CN71" s="6">
        <v>4.4102048192771028E-5</v>
      </c>
      <c r="CO71" s="6">
        <v>-3.8708800000000002E-3</v>
      </c>
      <c r="CP71" s="6">
        <v>-4.2455890000000001E-3</v>
      </c>
      <c r="CQ71" s="6">
        <v>4.5145662650602402E-5</v>
      </c>
      <c r="CR71" s="6">
        <v>-3.8631730000000001E-3</v>
      </c>
      <c r="CS71" s="6">
        <v>-4.2263919999999998E-3</v>
      </c>
      <c r="CT71" s="6">
        <v>4.3761325301204779E-5</v>
      </c>
      <c r="CU71" s="6">
        <v>-3.8689309999999999E-3</v>
      </c>
      <c r="CV71" s="6">
        <v>-4.2447459999999998E-3</v>
      </c>
      <c r="CW71" s="6">
        <v>4.5278915662650577E-5</v>
      </c>
      <c r="CX71" s="6">
        <v>-3.901187E-3</v>
      </c>
      <c r="CY71" s="6">
        <v>-4.2698739999999999E-3</v>
      </c>
      <c r="CZ71" s="6">
        <v>4.4420120481927696E-5</v>
      </c>
      <c r="DA71" s="6">
        <v>-3.8884259999999999E-3</v>
      </c>
      <c r="DB71" s="6">
        <v>-4.2484510000000003E-3</v>
      </c>
      <c r="DC71" s="6">
        <v>4.3376506024096424E-5</v>
      </c>
      <c r="DD71" s="6">
        <v>-3.8961339999999999E-3</v>
      </c>
      <c r="DE71" s="6">
        <v>-4.2676479999999998E-3</v>
      </c>
      <c r="DF71" s="6">
        <v>4.4760722891566247E-5</v>
      </c>
      <c r="DG71" s="6">
        <v>-3.8903760000000001E-3</v>
      </c>
      <c r="DH71" s="6">
        <v>-4.2492930000000003E-3</v>
      </c>
      <c r="DI71" s="6">
        <v>4.3243012048192799E-5</v>
      </c>
    </row>
    <row r="72" spans="1:113" x14ac:dyDescent="0.3">
      <c r="A72" s="13" t="s">
        <v>418</v>
      </c>
      <c r="B72" s="13" t="s">
        <v>131</v>
      </c>
      <c r="C72" s="13" t="s">
        <v>168</v>
      </c>
      <c r="D72" s="13" t="s">
        <v>364</v>
      </c>
      <c r="E72" s="13">
        <v>8.3000000000000007</v>
      </c>
      <c r="F72" s="6">
        <v>-3.4312180000000002E-3</v>
      </c>
      <c r="G72" s="6">
        <v>-3.4896850000000002E-3</v>
      </c>
      <c r="H72" s="6">
        <v>7.0442168674698768E-6</v>
      </c>
      <c r="I72" s="6">
        <v>-4.8036099999999998E-3</v>
      </c>
      <c r="J72" s="6">
        <v>-4.8772340000000003E-3</v>
      </c>
      <c r="K72" s="6">
        <v>8.8703614457831832E-6</v>
      </c>
      <c r="L72" s="6">
        <v>-4.0310509999999999E-3</v>
      </c>
      <c r="M72" s="6">
        <v>-4.0893290000000001E-3</v>
      </c>
      <c r="N72" s="6">
        <v>7.0214457831325471E-6</v>
      </c>
      <c r="O72" s="6">
        <v>-5.3748219999999996E-3</v>
      </c>
      <c r="P72" s="6">
        <v>-5.4482740000000003E-3</v>
      </c>
      <c r="Q72" s="6">
        <v>8.8496385542169588E-6</v>
      </c>
      <c r="R72" s="6">
        <v>-5.2656960000000003E-3</v>
      </c>
      <c r="S72" s="6">
        <v>-5.3425089999999996E-3</v>
      </c>
      <c r="T72" s="6">
        <v>9.2545783132529341E-6</v>
      </c>
      <c r="U72" s="6">
        <v>-5.3371709999999999E-3</v>
      </c>
      <c r="V72" s="6">
        <v>-5.4278699999999996E-3</v>
      </c>
      <c r="W72" s="6">
        <v>1.092759036144574E-5</v>
      </c>
      <c r="X72" s="6">
        <v>-5.2731139999999998E-3</v>
      </c>
      <c r="Y72" s="6">
        <v>-5.3348809999999997E-3</v>
      </c>
      <c r="Z72" s="6">
        <v>7.4418072289156494E-6</v>
      </c>
      <c r="AA72" s="6">
        <v>-5.334297E-3</v>
      </c>
      <c r="AB72" s="6">
        <v>-5.4306550000000004E-3</v>
      </c>
      <c r="AC72" s="6">
        <v>1.1609397590361491E-5</v>
      </c>
      <c r="AD72" s="6">
        <v>-5.4180549999999997E-3</v>
      </c>
      <c r="AE72" s="6">
        <v>-5.4953040000000003E-3</v>
      </c>
      <c r="AF72" s="6">
        <v>9.3071084337350092E-6</v>
      </c>
      <c r="AG72" s="6">
        <v>-5.3466440000000002E-3</v>
      </c>
      <c r="AH72" s="6">
        <v>-5.4101339999999996E-3</v>
      </c>
      <c r="AI72" s="6">
        <v>7.6493975903613713E-6</v>
      </c>
      <c r="AJ72" s="6">
        <v>-5.4106370000000003E-3</v>
      </c>
      <c r="AK72" s="6">
        <v>-5.5029320000000003E-3</v>
      </c>
      <c r="AL72" s="6">
        <v>1.1119879518072294E-5</v>
      </c>
      <c r="AM72" s="6">
        <v>-5.349454E-3</v>
      </c>
      <c r="AN72" s="6">
        <v>-5.4071579999999996E-3</v>
      </c>
      <c r="AO72" s="6">
        <v>6.9522891566264532E-6</v>
      </c>
      <c r="AP72" s="6">
        <v>-4.760378E-3</v>
      </c>
      <c r="AQ72" s="6">
        <v>-4.8302040000000003E-3</v>
      </c>
      <c r="AR72" s="6">
        <v>8.4127710843373807E-6</v>
      </c>
      <c r="AS72" s="6">
        <v>-4.8317899999999999E-3</v>
      </c>
      <c r="AT72" s="6">
        <v>-4.9153740000000001E-3</v>
      </c>
      <c r="AU72" s="6">
        <v>1.0070361445783163E-5</v>
      </c>
      <c r="AV72" s="6">
        <v>-4.7677960000000004E-3</v>
      </c>
      <c r="AW72" s="6">
        <v>-4.8225760000000003E-3</v>
      </c>
      <c r="AX72" s="6">
        <v>6.599999999999991E-6</v>
      </c>
      <c r="AY72" s="6">
        <v>-4.8289789999999997E-3</v>
      </c>
      <c r="AZ72" s="6">
        <v>-4.9183500000000002E-3</v>
      </c>
      <c r="BA72" s="6">
        <v>1.0767590361445833E-5</v>
      </c>
      <c r="BB72" s="6">
        <v>-4.9127370000000004E-3</v>
      </c>
      <c r="BC72" s="6">
        <v>-4.9829990000000001E-3</v>
      </c>
      <c r="BD72" s="6">
        <v>8.4653012048192475E-6</v>
      </c>
      <c r="BE72" s="6">
        <v>-4.841326E-3</v>
      </c>
      <c r="BF72" s="6">
        <v>-4.8978290000000002E-3</v>
      </c>
      <c r="BG72" s="6">
        <v>6.8075903614458162E-6</v>
      </c>
      <c r="BH72" s="6">
        <v>-4.905319E-3</v>
      </c>
      <c r="BI72" s="6">
        <v>-4.9906280000000004E-3</v>
      </c>
      <c r="BJ72" s="6">
        <v>1.0278192771084388E-5</v>
      </c>
      <c r="BK72" s="6">
        <v>-4.8441359999999998E-3</v>
      </c>
      <c r="BL72" s="6">
        <v>-4.8948539999999997E-3</v>
      </c>
      <c r="BM72" s="6">
        <v>6.110602409638547E-6</v>
      </c>
      <c r="BN72" s="6">
        <v>-5.9085589999999999E-3</v>
      </c>
      <c r="BO72" s="6">
        <v>-5.9936759999999999E-3</v>
      </c>
      <c r="BP72" s="6">
        <v>1.0255060240963855E-5</v>
      </c>
      <c r="BQ72" s="6">
        <v>-5.9299829999999998E-3</v>
      </c>
      <c r="BR72" s="6">
        <v>-6.0192270000000003E-3</v>
      </c>
      <c r="BS72" s="6">
        <v>1.0752289156626562E-5</v>
      </c>
      <c r="BT72" s="6">
        <v>-5.9107839999999997E-3</v>
      </c>
      <c r="BU72" s="6">
        <v>-5.9913880000000003E-3</v>
      </c>
      <c r="BV72" s="6">
        <v>9.7113253012048921E-6</v>
      </c>
      <c r="BW72" s="6">
        <v>-5.9291389999999999E-3</v>
      </c>
      <c r="BX72" s="6">
        <v>-6.0201200000000003E-3</v>
      </c>
      <c r="BY72" s="6">
        <v>1.0961566265060288E-5</v>
      </c>
      <c r="BZ72" s="6">
        <v>-5.9542670000000001E-3</v>
      </c>
      <c r="CA72" s="6">
        <v>-6.0395149999999996E-3</v>
      </c>
      <c r="CB72" s="6">
        <v>1.0270843373493924E-5</v>
      </c>
      <c r="CC72" s="6">
        <v>-5.9328430000000001E-3</v>
      </c>
      <c r="CD72" s="6">
        <v>-6.0139640000000001E-3</v>
      </c>
      <c r="CE72" s="6">
        <v>9.7736144578313206E-6</v>
      </c>
      <c r="CF72" s="6">
        <v>-5.9520420000000003E-3</v>
      </c>
      <c r="CG72" s="6">
        <v>-6.0418030000000001E-3</v>
      </c>
      <c r="CH72" s="6">
        <v>1.081457831325299E-5</v>
      </c>
      <c r="CI72" s="6">
        <v>-5.933687E-3</v>
      </c>
      <c r="CJ72" s="6">
        <v>-6.013071E-3</v>
      </c>
      <c r="CK72" s="6">
        <v>9.5643373493975963E-6</v>
      </c>
      <c r="CL72" s="6">
        <v>-4.2241659999999997E-3</v>
      </c>
      <c r="CM72" s="6">
        <v>-4.2859939999999996E-3</v>
      </c>
      <c r="CN72" s="6">
        <v>7.4491566265060096E-6</v>
      </c>
      <c r="CO72" s="6">
        <v>-4.2455890000000001E-3</v>
      </c>
      <c r="CP72" s="6">
        <v>-4.3115439999999996E-3</v>
      </c>
      <c r="CQ72" s="6">
        <v>7.9463855421686114E-6</v>
      </c>
      <c r="CR72" s="6">
        <v>-4.2263919999999998E-3</v>
      </c>
      <c r="CS72" s="6">
        <v>-4.2837049999999996E-3</v>
      </c>
      <c r="CT72" s="6">
        <v>6.9051807228915425E-6</v>
      </c>
      <c r="CU72" s="6">
        <v>-4.2447459999999998E-3</v>
      </c>
      <c r="CV72" s="6">
        <v>-4.3124369999999997E-3</v>
      </c>
      <c r="CW72" s="6">
        <v>8.1555421686746903E-6</v>
      </c>
      <c r="CX72" s="6">
        <v>-4.2698739999999999E-3</v>
      </c>
      <c r="CY72" s="6">
        <v>-4.3318319999999999E-3</v>
      </c>
      <c r="CZ72" s="6">
        <v>7.4648192771084308E-6</v>
      </c>
      <c r="DA72" s="6">
        <v>-4.2484510000000003E-3</v>
      </c>
      <c r="DB72" s="6">
        <v>-4.3062810000000003E-3</v>
      </c>
      <c r="DC72" s="6">
        <v>6.9674698795180762E-6</v>
      </c>
      <c r="DD72" s="6">
        <v>-4.2676479999999998E-3</v>
      </c>
      <c r="DE72" s="6">
        <v>-4.3341209999999998E-3</v>
      </c>
      <c r="DF72" s="6">
        <v>8.0087951807228971E-6</v>
      </c>
      <c r="DG72" s="6">
        <v>-4.2492930000000003E-3</v>
      </c>
      <c r="DH72" s="6">
        <v>-4.3053880000000003E-3</v>
      </c>
      <c r="DI72" s="6">
        <v>6.7584337349397502E-6</v>
      </c>
    </row>
    <row r="73" spans="1:113" x14ac:dyDescent="0.3">
      <c r="A73" s="13" t="s">
        <v>419</v>
      </c>
      <c r="B73" s="13" t="s">
        <v>168</v>
      </c>
      <c r="C73" s="13" t="s">
        <v>209</v>
      </c>
      <c r="D73" s="13" t="s">
        <v>364</v>
      </c>
      <c r="E73" s="13">
        <v>8.3000000000000007</v>
      </c>
      <c r="F73" s="6">
        <v>-3.4896850000000002E-3</v>
      </c>
      <c r="G73" s="6">
        <v>-3.2360050000000001E-3</v>
      </c>
      <c r="H73" s="6">
        <v>3.0563855421686751E-5</v>
      </c>
      <c r="I73" s="6">
        <v>-4.8772340000000003E-3</v>
      </c>
      <c r="J73" s="6">
        <v>-4.5674890000000001E-3</v>
      </c>
      <c r="K73" s="6">
        <v>3.7318674698795196E-5</v>
      </c>
      <c r="L73" s="6">
        <v>-4.0893290000000001E-3</v>
      </c>
      <c r="M73" s="6">
        <v>-3.8354550000000002E-3</v>
      </c>
      <c r="N73" s="6">
        <v>3.0587228915662627E-5</v>
      </c>
      <c r="O73" s="6">
        <v>-5.4482740000000003E-3</v>
      </c>
      <c r="P73" s="6">
        <v>-5.1383360000000003E-3</v>
      </c>
      <c r="Q73" s="6">
        <v>3.7341927710843374E-5</v>
      </c>
      <c r="R73" s="6">
        <v>-5.3425089999999996E-3</v>
      </c>
      <c r="S73" s="6">
        <v>-5.0360479999999996E-3</v>
      </c>
      <c r="T73" s="6">
        <v>3.6923012048192778E-5</v>
      </c>
      <c r="U73" s="6">
        <v>-5.4278699999999996E-3</v>
      </c>
      <c r="V73" s="6">
        <v>-5.125325E-3</v>
      </c>
      <c r="W73" s="6">
        <v>3.6451204819277052E-5</v>
      </c>
      <c r="X73" s="6">
        <v>-5.3348809999999997E-3</v>
      </c>
      <c r="Y73" s="6">
        <v>-5.0209240000000004E-3</v>
      </c>
      <c r="Z73" s="6">
        <v>3.7826144578313162E-5</v>
      </c>
      <c r="AA73" s="6">
        <v>-5.4306550000000004E-3</v>
      </c>
      <c r="AB73" s="6">
        <v>-5.1309370000000003E-3</v>
      </c>
      <c r="AC73" s="6">
        <v>3.6110602409638555E-5</v>
      </c>
      <c r="AD73" s="6">
        <v>-5.4953040000000003E-3</v>
      </c>
      <c r="AE73" s="6">
        <v>-5.15161E-3</v>
      </c>
      <c r="AF73" s="6">
        <v>4.1408915662650636E-5</v>
      </c>
      <c r="AG73" s="6">
        <v>-5.4101339999999996E-3</v>
      </c>
      <c r="AH73" s="6">
        <v>-5.0622790000000003E-3</v>
      </c>
      <c r="AI73" s="6">
        <v>4.1910240963855338E-5</v>
      </c>
      <c r="AJ73" s="6">
        <v>-5.5029320000000003E-3</v>
      </c>
      <c r="AK73" s="6">
        <v>-5.1667340000000001E-3</v>
      </c>
      <c r="AL73" s="6">
        <v>4.0505783132530144E-5</v>
      </c>
      <c r="AM73" s="6">
        <v>-5.4071579999999996E-3</v>
      </c>
      <c r="AN73" s="6">
        <v>-5.0567210000000001E-3</v>
      </c>
      <c r="AO73" s="6">
        <v>4.222132530120475E-5</v>
      </c>
      <c r="AP73" s="6">
        <v>-4.8302040000000003E-3</v>
      </c>
      <c r="AQ73" s="6">
        <v>-4.5542150000000003E-3</v>
      </c>
      <c r="AR73" s="6">
        <v>3.3251686746987942E-5</v>
      </c>
      <c r="AS73" s="6">
        <v>-4.9153740000000001E-3</v>
      </c>
      <c r="AT73" s="6">
        <v>-4.6435460000000001E-3</v>
      </c>
      <c r="AU73" s="6">
        <v>3.2750361445783131E-5</v>
      </c>
      <c r="AV73" s="6">
        <v>-4.8225760000000003E-3</v>
      </c>
      <c r="AW73" s="6">
        <v>-4.5390910000000003E-3</v>
      </c>
      <c r="AX73" s="6">
        <v>3.4154819277108427E-5</v>
      </c>
      <c r="AY73" s="6">
        <v>-4.9183500000000002E-3</v>
      </c>
      <c r="AZ73" s="6">
        <v>-4.6491049999999997E-3</v>
      </c>
      <c r="BA73" s="6">
        <v>3.2439156626506075E-5</v>
      </c>
      <c r="BB73" s="6">
        <v>-4.9829990000000001E-3</v>
      </c>
      <c r="BC73" s="6">
        <v>-4.6697780000000003E-3</v>
      </c>
      <c r="BD73" s="6">
        <v>3.7737469879518048E-5</v>
      </c>
      <c r="BE73" s="6">
        <v>-4.8978290000000002E-3</v>
      </c>
      <c r="BF73" s="6">
        <v>-4.5804469999999996E-3</v>
      </c>
      <c r="BG73" s="6">
        <v>3.823879518072296E-5</v>
      </c>
      <c r="BH73" s="6">
        <v>-4.9906280000000004E-3</v>
      </c>
      <c r="BI73" s="6">
        <v>-4.6849020000000003E-3</v>
      </c>
      <c r="BJ73" s="6">
        <v>3.6834457831325308E-5</v>
      </c>
      <c r="BK73" s="6">
        <v>-4.8948539999999997E-3</v>
      </c>
      <c r="BL73" s="6">
        <v>-4.574888E-3</v>
      </c>
      <c r="BM73" s="6">
        <v>3.8550120481927666E-5</v>
      </c>
      <c r="BN73" s="6">
        <v>-5.9936759999999999E-3</v>
      </c>
      <c r="BO73" s="6">
        <v>-5.6386320000000002E-3</v>
      </c>
      <c r="BP73" s="6">
        <v>4.277638554216863E-5</v>
      </c>
      <c r="BQ73" s="6">
        <v>-6.0192270000000003E-3</v>
      </c>
      <c r="BR73" s="6">
        <v>-5.6654319999999998E-3</v>
      </c>
      <c r="BS73" s="6">
        <v>4.2625903614457889E-5</v>
      </c>
      <c r="BT73" s="6">
        <v>-5.9913880000000003E-3</v>
      </c>
      <c r="BU73" s="6">
        <v>-5.6340959999999999E-3</v>
      </c>
      <c r="BV73" s="6">
        <v>4.3047228915662694E-5</v>
      </c>
      <c r="BW73" s="6">
        <v>-6.0201200000000003E-3</v>
      </c>
      <c r="BX73" s="6">
        <v>-5.6670990000000001E-3</v>
      </c>
      <c r="BY73" s="6">
        <v>4.2532650602409666E-5</v>
      </c>
      <c r="BZ73" s="6">
        <v>-6.0395149999999996E-3</v>
      </c>
      <c r="CA73" s="6">
        <v>-5.6733010000000004E-3</v>
      </c>
      <c r="CB73" s="6">
        <v>4.4122168674698702E-5</v>
      </c>
      <c r="CC73" s="6">
        <v>-6.0139640000000001E-3</v>
      </c>
      <c r="CD73" s="6">
        <v>-5.6465020000000003E-3</v>
      </c>
      <c r="CE73" s="6">
        <v>4.4272530120481901E-5</v>
      </c>
      <c r="CF73" s="6">
        <v>-6.0418030000000001E-3</v>
      </c>
      <c r="CG73" s="6">
        <v>-5.6778380000000002E-3</v>
      </c>
      <c r="CH73" s="6">
        <v>4.3851204819277096E-5</v>
      </c>
      <c r="CI73" s="6">
        <v>-6.013071E-3</v>
      </c>
      <c r="CJ73" s="6">
        <v>-5.644835E-3</v>
      </c>
      <c r="CK73" s="6">
        <v>4.4365783132530124E-5</v>
      </c>
      <c r="CL73" s="6">
        <v>-4.2859939999999996E-3</v>
      </c>
      <c r="CM73" s="6">
        <v>-4.032524E-3</v>
      </c>
      <c r="CN73" s="6">
        <v>3.0538554216867418E-5</v>
      </c>
      <c r="CO73" s="6">
        <v>-4.3115439999999996E-3</v>
      </c>
      <c r="CP73" s="6">
        <v>-4.0593239999999996E-3</v>
      </c>
      <c r="CQ73" s="6">
        <v>3.0387951807228918E-5</v>
      </c>
      <c r="CR73" s="6">
        <v>-4.2837049999999996E-3</v>
      </c>
      <c r="CS73" s="6">
        <v>-4.0279870000000002E-3</v>
      </c>
      <c r="CT73" s="6">
        <v>3.0809397590361373E-5</v>
      </c>
      <c r="CU73" s="6">
        <v>-4.3124369999999997E-3</v>
      </c>
      <c r="CV73" s="6">
        <v>-4.0609909999999999E-3</v>
      </c>
      <c r="CW73" s="6">
        <v>3.0294698795180695E-5</v>
      </c>
      <c r="CX73" s="6">
        <v>-4.3318319999999999E-3</v>
      </c>
      <c r="CY73" s="6">
        <v>-4.0671930000000002E-3</v>
      </c>
      <c r="CZ73" s="6">
        <v>3.1884216867469839E-5</v>
      </c>
      <c r="DA73" s="6">
        <v>-4.3062810000000003E-3</v>
      </c>
      <c r="DB73" s="6">
        <v>-4.0403940000000001E-3</v>
      </c>
      <c r="DC73" s="6">
        <v>3.2034578313253038E-5</v>
      </c>
      <c r="DD73" s="6">
        <v>-4.3341209999999998E-3</v>
      </c>
      <c r="DE73" s="6">
        <v>-4.07173E-3</v>
      </c>
      <c r="DF73" s="6">
        <v>3.1613373493975883E-5</v>
      </c>
      <c r="DG73" s="6">
        <v>-4.3053880000000003E-3</v>
      </c>
      <c r="DH73" s="6">
        <v>-4.0387260000000003E-3</v>
      </c>
      <c r="DI73" s="6">
        <v>3.2127951807228911E-5</v>
      </c>
    </row>
    <row r="74" spans="1:113" x14ac:dyDescent="0.3">
      <c r="A74" s="13" t="s">
        <v>420</v>
      </c>
      <c r="B74" s="13" t="s">
        <v>209</v>
      </c>
      <c r="C74" s="13" t="s">
        <v>250</v>
      </c>
      <c r="D74" s="13" t="s">
        <v>364</v>
      </c>
      <c r="E74" s="13">
        <v>8.3000000000000007</v>
      </c>
      <c r="F74" s="6">
        <v>-3.2360050000000001E-3</v>
      </c>
      <c r="G74" s="6">
        <v>-2.9568120000000001E-3</v>
      </c>
      <c r="H74" s="6">
        <v>3.3637710843373499E-5</v>
      </c>
      <c r="I74" s="6">
        <v>-4.5674890000000001E-3</v>
      </c>
      <c r="J74" s="6">
        <v>-4.2027269999999999E-3</v>
      </c>
      <c r="K74" s="6">
        <v>4.3947228915662675E-5</v>
      </c>
      <c r="L74" s="6">
        <v>-3.8354550000000002E-3</v>
      </c>
      <c r="M74" s="6">
        <v>-3.5590190000000001E-3</v>
      </c>
      <c r="N74" s="6">
        <v>3.3305542168674709E-5</v>
      </c>
      <c r="O74" s="6">
        <v>-5.1383360000000003E-3</v>
      </c>
      <c r="P74" s="6">
        <v>-4.7762209999999998E-3</v>
      </c>
      <c r="Q74" s="6">
        <v>4.3628313253012108E-5</v>
      </c>
      <c r="R74" s="6">
        <v>-5.0360479999999996E-3</v>
      </c>
      <c r="S74" s="6">
        <v>-4.7903720000000002E-3</v>
      </c>
      <c r="T74" s="6">
        <v>2.9599518072289078E-5</v>
      </c>
      <c r="U74" s="6">
        <v>-5.125325E-3</v>
      </c>
      <c r="V74" s="6">
        <v>-4.7511979999999999E-3</v>
      </c>
      <c r="W74" s="6">
        <v>4.5075542168674713E-5</v>
      </c>
      <c r="X74" s="6">
        <v>-5.0209240000000004E-3</v>
      </c>
      <c r="Y74" s="6">
        <v>-4.8059899999999996E-3</v>
      </c>
      <c r="Z74" s="6">
        <v>2.5895662650602506E-5</v>
      </c>
      <c r="AA74" s="6">
        <v>-5.1309370000000003E-3</v>
      </c>
      <c r="AB74" s="6">
        <v>-4.7406890000000002E-3</v>
      </c>
      <c r="AC74" s="6">
        <v>4.7017831325301222E-5</v>
      </c>
      <c r="AD74" s="6">
        <v>-5.15161E-3</v>
      </c>
      <c r="AE74" s="6">
        <v>-4.6373359999999997E-3</v>
      </c>
      <c r="AF74" s="6">
        <v>6.1960722891566306E-5</v>
      </c>
      <c r="AG74" s="6">
        <v>-5.0622790000000003E-3</v>
      </c>
      <c r="AH74" s="6">
        <v>-4.6773550000000002E-3</v>
      </c>
      <c r="AI74" s="6">
        <v>4.6376385542168677E-5</v>
      </c>
      <c r="AJ74" s="6">
        <v>-5.1667340000000001E-3</v>
      </c>
      <c r="AK74" s="6">
        <v>-4.6217180000000004E-3</v>
      </c>
      <c r="AL74" s="6">
        <v>6.5664578313252972E-5</v>
      </c>
      <c r="AM74" s="6">
        <v>-5.0567210000000001E-3</v>
      </c>
      <c r="AN74" s="6">
        <v>-4.6870189999999997E-3</v>
      </c>
      <c r="AO74" s="6">
        <v>4.454240963855426E-5</v>
      </c>
      <c r="AP74" s="6">
        <v>-4.5542150000000003E-3</v>
      </c>
      <c r="AQ74" s="6">
        <v>-4.3416119999999999E-3</v>
      </c>
      <c r="AR74" s="6">
        <v>2.5614819277108485E-5</v>
      </c>
      <c r="AS74" s="6">
        <v>-4.6435460000000001E-3</v>
      </c>
      <c r="AT74" s="6">
        <v>-4.3015919999999999E-3</v>
      </c>
      <c r="AU74" s="6">
        <v>4.1199277108433757E-5</v>
      </c>
      <c r="AV74" s="6">
        <v>-4.5390910000000003E-3</v>
      </c>
      <c r="AW74" s="6">
        <v>-4.3572300000000001E-3</v>
      </c>
      <c r="AX74" s="6">
        <v>2.1910963855421707E-5</v>
      </c>
      <c r="AY74" s="6">
        <v>-4.6491049999999997E-3</v>
      </c>
      <c r="AZ74" s="6">
        <v>-4.2919280000000004E-3</v>
      </c>
      <c r="BA74" s="6">
        <v>4.3033373493975818E-5</v>
      </c>
      <c r="BB74" s="6">
        <v>-4.6697780000000003E-3</v>
      </c>
      <c r="BC74" s="6">
        <v>-4.1885760000000003E-3</v>
      </c>
      <c r="BD74" s="6">
        <v>5.7976144578313252E-5</v>
      </c>
      <c r="BE74" s="6">
        <v>-4.5804469999999996E-3</v>
      </c>
      <c r="BF74" s="6">
        <v>-4.2285949999999999E-3</v>
      </c>
      <c r="BG74" s="6">
        <v>4.2391807228915623E-5</v>
      </c>
      <c r="BH74" s="6">
        <v>-4.6849020000000003E-3</v>
      </c>
      <c r="BI74" s="6">
        <v>-4.172958E-3</v>
      </c>
      <c r="BJ74" s="6">
        <v>6.1680000000000033E-5</v>
      </c>
      <c r="BK74" s="6">
        <v>-4.574888E-3</v>
      </c>
      <c r="BL74" s="6">
        <v>-4.2382590000000003E-3</v>
      </c>
      <c r="BM74" s="6">
        <v>4.055771084337346E-5</v>
      </c>
      <c r="BN74" s="6">
        <v>-5.6386320000000002E-3</v>
      </c>
      <c r="BO74" s="6">
        <v>-5.2603629999999997E-3</v>
      </c>
      <c r="BP74" s="6">
        <v>4.5574578313253074E-5</v>
      </c>
      <c r="BQ74" s="6">
        <v>-5.6654319999999998E-3</v>
      </c>
      <c r="BR74" s="6">
        <v>-5.2483579999999998E-3</v>
      </c>
      <c r="BS74" s="6">
        <v>5.0249879518072277E-5</v>
      </c>
      <c r="BT74" s="6">
        <v>-5.6340959999999999E-3</v>
      </c>
      <c r="BU74" s="6">
        <v>-5.2650489999999999E-3</v>
      </c>
      <c r="BV74" s="6">
        <v>4.4463493975903602E-5</v>
      </c>
      <c r="BW74" s="6">
        <v>-5.6670990000000001E-3</v>
      </c>
      <c r="BX74" s="6">
        <v>-5.2454579999999997E-3</v>
      </c>
      <c r="BY74" s="6">
        <v>5.0800120481927754E-5</v>
      </c>
      <c r="BZ74" s="6">
        <v>-5.6733010000000004E-3</v>
      </c>
      <c r="CA74" s="6">
        <v>-5.2144519999999996E-3</v>
      </c>
      <c r="CB74" s="6">
        <v>5.528301204819286E-5</v>
      </c>
      <c r="CC74" s="6">
        <v>-5.6465020000000003E-3</v>
      </c>
      <c r="CD74" s="6">
        <v>-5.2264579999999998E-3</v>
      </c>
      <c r="CE74" s="6">
        <v>5.0607710843373549E-5</v>
      </c>
      <c r="CF74" s="6">
        <v>-5.6778380000000002E-3</v>
      </c>
      <c r="CG74" s="6">
        <v>-5.2097669999999997E-3</v>
      </c>
      <c r="CH74" s="6">
        <v>5.6394096385542216E-5</v>
      </c>
      <c r="CI74" s="6">
        <v>-5.644835E-3</v>
      </c>
      <c r="CJ74" s="6">
        <v>-5.2293569999999996E-3</v>
      </c>
      <c r="CK74" s="6">
        <v>5.0057590361445824E-5</v>
      </c>
      <c r="CL74" s="6">
        <v>-4.032524E-3</v>
      </c>
      <c r="CM74" s="6">
        <v>-3.7644950000000001E-3</v>
      </c>
      <c r="CN74" s="6">
        <v>3.2292650602409629E-5</v>
      </c>
      <c r="CO74" s="6">
        <v>-4.0593239999999996E-3</v>
      </c>
      <c r="CP74" s="6">
        <v>-3.7524899999999998E-3</v>
      </c>
      <c r="CQ74" s="6">
        <v>3.6967951807228885E-5</v>
      </c>
      <c r="CR74" s="6">
        <v>-4.0279870000000002E-3</v>
      </c>
      <c r="CS74" s="6">
        <v>-3.7691809999999999E-3</v>
      </c>
      <c r="CT74" s="6">
        <v>3.1181445783132567E-5</v>
      </c>
      <c r="CU74" s="6">
        <v>-4.0609909999999999E-3</v>
      </c>
      <c r="CV74" s="6">
        <v>-3.7495900000000001E-3</v>
      </c>
      <c r="CW74" s="6">
        <v>3.7518192771084308E-5</v>
      </c>
      <c r="CX74" s="6">
        <v>-4.0671930000000002E-3</v>
      </c>
      <c r="CY74" s="6">
        <v>-3.7185849999999999E-3</v>
      </c>
      <c r="CZ74" s="6">
        <v>4.2000963855421716E-5</v>
      </c>
      <c r="DA74" s="6">
        <v>-4.0403940000000001E-3</v>
      </c>
      <c r="DB74" s="6">
        <v>-3.7305900000000002E-3</v>
      </c>
      <c r="DC74" s="6">
        <v>3.7325783132530103E-5</v>
      </c>
      <c r="DD74" s="6">
        <v>-4.07173E-3</v>
      </c>
      <c r="DE74" s="6">
        <v>-3.7138990000000001E-3</v>
      </c>
      <c r="DF74" s="6">
        <v>4.3112168674698778E-5</v>
      </c>
      <c r="DG74" s="6">
        <v>-4.0387260000000003E-3</v>
      </c>
      <c r="DH74" s="6">
        <v>-3.733489E-3</v>
      </c>
      <c r="DI74" s="6">
        <v>3.6775542168674735E-5</v>
      </c>
    </row>
    <row r="75" spans="1:113" x14ac:dyDescent="0.3">
      <c r="A75" s="13" t="s">
        <v>421</v>
      </c>
      <c r="B75" s="13" t="s">
        <v>250</v>
      </c>
      <c r="C75" s="13" t="s">
        <v>290</v>
      </c>
      <c r="D75" s="13" t="s">
        <v>364</v>
      </c>
      <c r="E75" s="13">
        <v>8.3000000000000007</v>
      </c>
      <c r="F75" s="6">
        <v>-2.9568120000000001E-3</v>
      </c>
      <c r="G75" s="6">
        <v>-2.084799E-3</v>
      </c>
      <c r="H75" s="6">
        <v>1.0506180722891566E-4</v>
      </c>
      <c r="I75" s="6">
        <v>-4.2027269999999999E-3</v>
      </c>
      <c r="J75" s="6">
        <v>-2.952409E-3</v>
      </c>
      <c r="K75" s="6">
        <v>1.5064072289156622E-4</v>
      </c>
      <c r="L75" s="6">
        <v>-3.5590190000000001E-3</v>
      </c>
      <c r="M75" s="6">
        <v>-2.6849780000000002E-3</v>
      </c>
      <c r="N75" s="6">
        <v>1.0530614457831323E-4</v>
      </c>
      <c r="O75" s="6">
        <v>-4.7762209999999998E-3</v>
      </c>
      <c r="P75" s="6">
        <v>-3.5240050000000002E-3</v>
      </c>
      <c r="Q75" s="6">
        <v>1.5086939759036139E-4</v>
      </c>
      <c r="R75" s="6">
        <v>-4.7903720000000002E-3</v>
      </c>
      <c r="S75" s="6">
        <v>-3.5170879999999998E-3</v>
      </c>
      <c r="T75" s="6">
        <v>1.5340771084337352E-4</v>
      </c>
      <c r="U75" s="6">
        <v>-4.7511979999999999E-3</v>
      </c>
      <c r="V75" s="6">
        <v>-3.9895670000000003E-3</v>
      </c>
      <c r="W75" s="6">
        <v>9.1762771084337298E-5</v>
      </c>
      <c r="X75" s="6">
        <v>-4.8059899999999996E-3</v>
      </c>
      <c r="Y75" s="6">
        <v>-3.521143E-3</v>
      </c>
      <c r="Z75" s="6">
        <v>1.5480084337349392E-4</v>
      </c>
      <c r="AA75" s="6">
        <v>-4.7406890000000002E-3</v>
      </c>
      <c r="AB75" s="6">
        <v>-3.9859969999999998E-3</v>
      </c>
      <c r="AC75" s="6">
        <v>9.0926746987951844E-5</v>
      </c>
      <c r="AD75" s="6">
        <v>-4.6373359999999997E-3</v>
      </c>
      <c r="AE75" s="6">
        <v>-3.30313E-3</v>
      </c>
      <c r="AF75" s="6">
        <v>1.6074771084337343E-4</v>
      </c>
      <c r="AG75" s="6">
        <v>-4.6773550000000002E-3</v>
      </c>
      <c r="AH75" s="6">
        <v>-2.831793E-3</v>
      </c>
      <c r="AI75" s="6">
        <v>2.2235686746987954E-4</v>
      </c>
      <c r="AJ75" s="6">
        <v>-4.6217180000000004E-3</v>
      </c>
      <c r="AK75" s="6">
        <v>-3.2990749999999998E-3</v>
      </c>
      <c r="AL75" s="6">
        <v>1.5935457831325306E-4</v>
      </c>
      <c r="AM75" s="6">
        <v>-4.6870189999999997E-3</v>
      </c>
      <c r="AN75" s="6">
        <v>-2.834221E-3</v>
      </c>
      <c r="AO75" s="6">
        <v>2.2322867469879514E-4</v>
      </c>
      <c r="AP75" s="6">
        <v>-4.3416119999999999E-3</v>
      </c>
      <c r="AQ75" s="6">
        <v>-3.1732840000000002E-3</v>
      </c>
      <c r="AR75" s="6">
        <v>1.4076240963855418E-4</v>
      </c>
      <c r="AS75" s="6">
        <v>-4.3015919999999999E-3</v>
      </c>
      <c r="AT75" s="6">
        <v>-3.6446209999999998E-3</v>
      </c>
      <c r="AU75" s="6">
        <v>7.9153132530120483E-5</v>
      </c>
      <c r="AV75" s="6">
        <v>-4.3572300000000001E-3</v>
      </c>
      <c r="AW75" s="6">
        <v>-3.1773389999999999E-3</v>
      </c>
      <c r="AX75" s="6">
        <v>1.4215554216867471E-4</v>
      </c>
      <c r="AY75" s="6">
        <v>-4.2919280000000004E-3</v>
      </c>
      <c r="AZ75" s="6">
        <v>-3.6421940000000001E-3</v>
      </c>
      <c r="BA75" s="6">
        <v>7.8281204819277144E-5</v>
      </c>
      <c r="BB75" s="6">
        <v>-4.1885760000000003E-3</v>
      </c>
      <c r="BC75" s="6">
        <v>-2.9593269999999999E-3</v>
      </c>
      <c r="BD75" s="6">
        <v>1.4810228915662654E-4</v>
      </c>
      <c r="BE75" s="6">
        <v>-4.2285949999999999E-3</v>
      </c>
      <c r="BF75" s="6">
        <v>-2.4879889999999999E-3</v>
      </c>
      <c r="BG75" s="6">
        <v>2.0971156626506022E-4</v>
      </c>
      <c r="BH75" s="6">
        <v>-4.172958E-3</v>
      </c>
      <c r="BI75" s="6">
        <v>-2.9552720000000001E-3</v>
      </c>
      <c r="BJ75" s="6">
        <v>1.46709156626506E-4</v>
      </c>
      <c r="BK75" s="6">
        <v>-4.2382590000000003E-3</v>
      </c>
      <c r="BL75" s="6">
        <v>-2.490417E-3</v>
      </c>
      <c r="BM75" s="6">
        <v>2.1058337349397593E-4</v>
      </c>
      <c r="BN75" s="6">
        <v>-5.2603629999999997E-3</v>
      </c>
      <c r="BO75" s="6">
        <v>-3.8433069999999998E-3</v>
      </c>
      <c r="BP75" s="6">
        <v>1.7072963855421683E-4</v>
      </c>
      <c r="BQ75" s="6">
        <v>-5.2483579999999998E-3</v>
      </c>
      <c r="BR75" s="6">
        <v>-3.984708E-3</v>
      </c>
      <c r="BS75" s="6">
        <v>1.522469879518072E-4</v>
      </c>
      <c r="BT75" s="6">
        <v>-5.2650489999999999E-3</v>
      </c>
      <c r="BU75" s="6">
        <v>-3.8445229999999999E-3</v>
      </c>
      <c r="BV75" s="6">
        <v>1.711477108433735E-4</v>
      </c>
      <c r="BW75" s="6">
        <v>-5.2454579999999997E-3</v>
      </c>
      <c r="BX75" s="6">
        <v>-3.9839799999999998E-3</v>
      </c>
      <c r="BY75" s="6">
        <v>1.5198530120481924E-4</v>
      </c>
      <c r="BZ75" s="6">
        <v>-5.2144519999999996E-3</v>
      </c>
      <c r="CA75" s="6">
        <v>-3.77912E-3</v>
      </c>
      <c r="CB75" s="6">
        <v>1.7293156626506018E-4</v>
      </c>
      <c r="CC75" s="6">
        <v>-5.2264579999999998E-3</v>
      </c>
      <c r="CD75" s="6">
        <v>-3.6377190000000002E-3</v>
      </c>
      <c r="CE75" s="6">
        <v>1.9141433734939752E-4</v>
      </c>
      <c r="CF75" s="6">
        <v>-5.2097669999999997E-3</v>
      </c>
      <c r="CG75" s="6">
        <v>-3.777903E-3</v>
      </c>
      <c r="CH75" s="6">
        <v>1.7251373493975899E-4</v>
      </c>
      <c r="CI75" s="6">
        <v>-5.2293569999999996E-3</v>
      </c>
      <c r="CJ75" s="6">
        <v>-3.6384469999999999E-3</v>
      </c>
      <c r="CK75" s="6">
        <v>1.9167590361445776E-4</v>
      </c>
      <c r="CL75" s="6">
        <v>-3.7644950000000001E-3</v>
      </c>
      <c r="CM75" s="6">
        <v>-2.6972950000000002E-3</v>
      </c>
      <c r="CN75" s="6">
        <v>1.2857831325301203E-4</v>
      </c>
      <c r="CO75" s="6">
        <v>-3.7524899999999998E-3</v>
      </c>
      <c r="CP75" s="6">
        <v>-2.8386959999999999E-3</v>
      </c>
      <c r="CQ75" s="6">
        <v>1.1009566265060238E-4</v>
      </c>
      <c r="CR75" s="6">
        <v>-3.7691809999999999E-3</v>
      </c>
      <c r="CS75" s="6">
        <v>-2.6985109999999998E-3</v>
      </c>
      <c r="CT75" s="6">
        <v>1.2899638554216868E-4</v>
      </c>
      <c r="CU75" s="6">
        <v>-3.7495900000000001E-3</v>
      </c>
      <c r="CV75" s="6">
        <v>-2.8379669999999998E-3</v>
      </c>
      <c r="CW75" s="6">
        <v>1.098340963855422E-4</v>
      </c>
      <c r="CX75" s="6">
        <v>-3.7185849999999999E-3</v>
      </c>
      <c r="CY75" s="6">
        <v>-2.633107E-3</v>
      </c>
      <c r="CZ75" s="6">
        <v>1.3078048192771084E-4</v>
      </c>
      <c r="DA75" s="6">
        <v>-3.7305900000000002E-3</v>
      </c>
      <c r="DB75" s="6">
        <v>-2.4917060000000002E-3</v>
      </c>
      <c r="DC75" s="6">
        <v>1.4926313253012046E-4</v>
      </c>
      <c r="DD75" s="6">
        <v>-3.7138990000000001E-3</v>
      </c>
      <c r="DE75" s="6">
        <v>-2.6318909999999999E-3</v>
      </c>
      <c r="DF75" s="6">
        <v>1.3036240963855422E-4</v>
      </c>
      <c r="DG75" s="6">
        <v>-3.733489E-3</v>
      </c>
      <c r="DH75" s="6">
        <v>-2.492434E-3</v>
      </c>
      <c r="DI75" s="6">
        <v>1.4952469879518071E-4</v>
      </c>
    </row>
    <row r="76" spans="1:113" x14ac:dyDescent="0.3">
      <c r="A76" s="13" t="s">
        <v>422</v>
      </c>
      <c r="B76" s="13" t="s">
        <v>322</v>
      </c>
      <c r="C76" s="13" t="s">
        <v>324</v>
      </c>
      <c r="D76" s="13" t="s">
        <v>350</v>
      </c>
      <c r="E76" s="13">
        <v>10.7</v>
      </c>
      <c r="F76" s="6">
        <v>-1.4583479999999999E-3</v>
      </c>
      <c r="G76" s="6">
        <v>-1.4493100000000001E-3</v>
      </c>
      <c r="H76" s="6">
        <v>8.4467289719624693E-7</v>
      </c>
      <c r="I76" s="6">
        <v>-1.8308910000000001E-3</v>
      </c>
      <c r="J76" s="6">
        <v>-1.8071579999999999E-3</v>
      </c>
      <c r="K76" s="6">
        <v>2.2180373831775863E-6</v>
      </c>
      <c r="L76" s="6">
        <v>-1.85663E-3</v>
      </c>
      <c r="M76" s="6">
        <v>-1.8393369999999999E-3</v>
      </c>
      <c r="N76" s="6">
        <v>1.6161682242990691E-6</v>
      </c>
      <c r="O76" s="6">
        <v>-2.2102950000000001E-3</v>
      </c>
      <c r="P76" s="6">
        <v>-2.1786290000000001E-3</v>
      </c>
      <c r="Q76" s="6">
        <v>2.9594392523364555E-6</v>
      </c>
      <c r="R76" s="6">
        <v>-2.018826E-3</v>
      </c>
      <c r="S76" s="6">
        <v>-2.1817149999999999E-3</v>
      </c>
      <c r="T76" s="6">
        <v>1.5223271028037368E-5</v>
      </c>
      <c r="U76" s="6">
        <v>-2.3322989999999999E-3</v>
      </c>
      <c r="V76" s="6">
        <v>-2.3451380000000001E-3</v>
      </c>
      <c r="W76" s="6">
        <v>1.1999065420560905E-6</v>
      </c>
      <c r="X76" s="6">
        <v>-2.0160080000000001E-3</v>
      </c>
      <c r="Y76" s="6">
        <v>-2.1796160000000001E-3</v>
      </c>
      <c r="Z76" s="6">
        <v>1.5290467289719625E-5</v>
      </c>
      <c r="AA76" s="6">
        <v>-2.4073369999999998E-3</v>
      </c>
      <c r="AB76" s="6">
        <v>-2.3821250000000001E-3</v>
      </c>
      <c r="AC76" s="6">
        <v>2.3562616822429645E-6</v>
      </c>
      <c r="AD76" s="6">
        <v>-2.2594960000000002E-3</v>
      </c>
      <c r="AE76" s="6">
        <v>-2.0388329999999999E-3</v>
      </c>
      <c r="AF76" s="6">
        <v>2.0622710280373861E-5</v>
      </c>
      <c r="AG76" s="6">
        <v>-1.8726350000000001E-3</v>
      </c>
      <c r="AH76" s="6">
        <v>-1.8396420000000001E-3</v>
      </c>
      <c r="AI76" s="6">
        <v>3.0834579439252376E-6</v>
      </c>
      <c r="AJ76" s="6">
        <v>-2.2623140000000001E-3</v>
      </c>
      <c r="AK76" s="6">
        <v>-2.040933E-3</v>
      </c>
      <c r="AL76" s="6">
        <v>2.0689813084112159E-5</v>
      </c>
      <c r="AM76" s="6">
        <v>-1.8709849999999999E-3</v>
      </c>
      <c r="AN76" s="6">
        <v>-1.8384230000000001E-3</v>
      </c>
      <c r="AO76" s="6">
        <v>3.043177570093446E-6</v>
      </c>
      <c r="AP76" s="6">
        <v>-1.7816889999999999E-3</v>
      </c>
      <c r="AQ76" s="6">
        <v>-1.946953E-3</v>
      </c>
      <c r="AR76" s="6">
        <v>1.5445233644859816E-5</v>
      </c>
      <c r="AS76" s="6">
        <v>-2.16855E-3</v>
      </c>
      <c r="AT76" s="6">
        <v>-2.1461449999999999E-3</v>
      </c>
      <c r="AU76" s="6">
        <v>2.0939252336448677E-6</v>
      </c>
      <c r="AV76" s="6">
        <v>-1.778871E-3</v>
      </c>
      <c r="AW76" s="6">
        <v>-1.944854E-3</v>
      </c>
      <c r="AX76" s="6">
        <v>1.5512429906542053E-5</v>
      </c>
      <c r="AY76" s="6">
        <v>-2.1702000000000002E-3</v>
      </c>
      <c r="AZ76" s="6">
        <v>-2.1473629999999998E-3</v>
      </c>
      <c r="BA76" s="6">
        <v>2.1342990654205963E-6</v>
      </c>
      <c r="BB76" s="6">
        <v>-2.02236E-3</v>
      </c>
      <c r="BC76" s="6">
        <v>-1.804071E-3</v>
      </c>
      <c r="BD76" s="6">
        <v>2.0400841121495328E-5</v>
      </c>
      <c r="BE76" s="6">
        <v>-1.635498E-3</v>
      </c>
      <c r="BF76" s="6">
        <v>-1.6048799999999999E-3</v>
      </c>
      <c r="BG76" s="6">
        <v>2.8614953271028088E-6</v>
      </c>
      <c r="BH76" s="6">
        <v>-2.025177E-3</v>
      </c>
      <c r="BI76" s="6">
        <v>-1.8061710000000001E-3</v>
      </c>
      <c r="BJ76" s="6">
        <v>2.0467850467289711E-5</v>
      </c>
      <c r="BK76" s="6">
        <v>-1.633848E-3</v>
      </c>
      <c r="BL76" s="6">
        <v>-1.6036609999999999E-3</v>
      </c>
      <c r="BM76" s="6">
        <v>2.8212149532710371E-6</v>
      </c>
      <c r="BN76" s="6">
        <v>-2.379721E-3</v>
      </c>
      <c r="BO76" s="6">
        <v>-2.4055959999999999E-3</v>
      </c>
      <c r="BP76" s="6">
        <v>2.4182242990654072E-6</v>
      </c>
      <c r="BQ76" s="6">
        <v>-2.4957790000000001E-3</v>
      </c>
      <c r="BR76" s="6">
        <v>-2.465353E-3</v>
      </c>
      <c r="BS76" s="6">
        <v>2.843551401869165E-6</v>
      </c>
      <c r="BT76" s="6">
        <v>-2.3788749999999999E-3</v>
      </c>
      <c r="BU76" s="6">
        <v>-2.4049660000000001E-3</v>
      </c>
      <c r="BV76" s="6">
        <v>2.438411214953292E-6</v>
      </c>
      <c r="BW76" s="6">
        <v>-2.4962740000000001E-3</v>
      </c>
      <c r="BX76" s="6">
        <v>-2.4657189999999999E-3</v>
      </c>
      <c r="BY76" s="6">
        <v>2.855607476635538E-6</v>
      </c>
      <c r="BZ76" s="6">
        <v>-2.451922E-3</v>
      </c>
      <c r="CA76" s="6">
        <v>-2.3627309999999999E-3</v>
      </c>
      <c r="CB76" s="6">
        <v>8.3356074766355321E-6</v>
      </c>
      <c r="CC76" s="6">
        <v>-2.3358630000000001E-3</v>
      </c>
      <c r="CD76" s="6">
        <v>-2.3029740000000002E-3</v>
      </c>
      <c r="CE76" s="6">
        <v>3.0737383177570021E-6</v>
      </c>
      <c r="CF76" s="6">
        <v>-2.4527669999999998E-3</v>
      </c>
      <c r="CG76" s="6">
        <v>-2.363361E-3</v>
      </c>
      <c r="CH76" s="6">
        <v>8.3557009345794185E-6</v>
      </c>
      <c r="CI76" s="6">
        <v>-2.335368E-3</v>
      </c>
      <c r="CJ76" s="6">
        <v>-2.3026079999999998E-3</v>
      </c>
      <c r="CK76" s="6">
        <v>3.0616822429906703E-6</v>
      </c>
      <c r="CL76" s="6">
        <v>-1.589264E-3</v>
      </c>
      <c r="CM76" s="6">
        <v>-1.6230560000000001E-3</v>
      </c>
      <c r="CN76" s="6">
        <v>3.1581308411215097E-6</v>
      </c>
      <c r="CO76" s="6">
        <v>-1.705322E-3</v>
      </c>
      <c r="CP76" s="6">
        <v>-1.682813E-3</v>
      </c>
      <c r="CQ76" s="6">
        <v>2.1036448598130829E-6</v>
      </c>
      <c r="CR76" s="6">
        <v>-1.5884180000000001E-3</v>
      </c>
      <c r="CS76" s="6">
        <v>-1.6224259999999999E-3</v>
      </c>
      <c r="CT76" s="6">
        <v>3.1783177570093335E-6</v>
      </c>
      <c r="CU76" s="6">
        <v>-1.7058170000000001E-3</v>
      </c>
      <c r="CV76" s="6">
        <v>-1.6831789999999999E-3</v>
      </c>
      <c r="CW76" s="6">
        <v>2.1157009345794554E-6</v>
      </c>
      <c r="CX76" s="6">
        <v>-1.661465E-3</v>
      </c>
      <c r="CY76" s="6">
        <v>-1.5801910000000001E-3</v>
      </c>
      <c r="CZ76" s="6">
        <v>7.5957009345794292E-6</v>
      </c>
      <c r="DA76" s="6">
        <v>-1.5454069999999999E-3</v>
      </c>
      <c r="DB76" s="6">
        <v>-1.520434E-3</v>
      </c>
      <c r="DC76" s="6">
        <v>2.3339252336448569E-6</v>
      </c>
      <c r="DD76" s="6">
        <v>-1.66231E-3</v>
      </c>
      <c r="DE76" s="6">
        <v>-1.580821E-3</v>
      </c>
      <c r="DF76" s="6">
        <v>7.6157943925233562E-6</v>
      </c>
      <c r="DG76" s="6">
        <v>-1.5449120000000001E-3</v>
      </c>
      <c r="DH76" s="6">
        <v>-1.5200680000000001E-3</v>
      </c>
      <c r="DI76" s="6">
        <v>2.3218691588785043E-6</v>
      </c>
    </row>
    <row r="77" spans="1:113" x14ac:dyDescent="0.3">
      <c r="A77" s="13" t="s">
        <v>423</v>
      </c>
      <c r="B77" s="13" t="s">
        <v>290</v>
      </c>
      <c r="C77" s="13" t="s">
        <v>324</v>
      </c>
      <c r="D77" s="13" t="s">
        <v>364</v>
      </c>
      <c r="E77" s="13">
        <v>5.75</v>
      </c>
      <c r="F77" s="6">
        <v>-2.084799E-3</v>
      </c>
      <c r="G77" s="6">
        <v>-1.4493100000000001E-3</v>
      </c>
      <c r="H77" s="6">
        <v>1.1051982608695651E-4</v>
      </c>
      <c r="I77" s="6">
        <v>-2.952409E-3</v>
      </c>
      <c r="J77" s="6">
        <v>-1.8071579999999999E-3</v>
      </c>
      <c r="K77" s="6">
        <v>1.9917408695652175E-4</v>
      </c>
      <c r="L77" s="6">
        <v>-2.6849780000000002E-3</v>
      </c>
      <c r="M77" s="6">
        <v>-1.8393369999999999E-3</v>
      </c>
      <c r="N77" s="6">
        <v>1.4706800000000004E-4</v>
      </c>
      <c r="O77" s="6">
        <v>-3.5240050000000002E-3</v>
      </c>
      <c r="P77" s="6">
        <v>-2.1786290000000001E-3</v>
      </c>
      <c r="Q77" s="6">
        <v>2.3397843478260871E-4</v>
      </c>
      <c r="R77" s="6">
        <v>-3.5170879999999998E-3</v>
      </c>
      <c r="S77" s="6">
        <v>-2.1817149999999999E-3</v>
      </c>
      <c r="T77" s="6">
        <v>2.3223878260869563E-4</v>
      </c>
      <c r="U77" s="6">
        <v>-3.9895670000000003E-3</v>
      </c>
      <c r="V77" s="6">
        <v>-2.3451380000000001E-3</v>
      </c>
      <c r="W77" s="6">
        <v>2.859876521739131E-4</v>
      </c>
      <c r="X77" s="6">
        <v>-3.521143E-3</v>
      </c>
      <c r="Y77" s="6">
        <v>-2.1796160000000001E-3</v>
      </c>
      <c r="Z77" s="6">
        <v>2.3330904347826085E-4</v>
      </c>
      <c r="AA77" s="6">
        <v>-3.9859969999999998E-3</v>
      </c>
      <c r="AB77" s="6">
        <v>-2.3821250000000001E-3</v>
      </c>
      <c r="AC77" s="6">
        <v>2.7893426086956515E-4</v>
      </c>
      <c r="AD77" s="6">
        <v>-3.30313E-3</v>
      </c>
      <c r="AE77" s="6">
        <v>-2.0388329999999999E-3</v>
      </c>
      <c r="AF77" s="6">
        <v>2.198777391304348E-4</v>
      </c>
      <c r="AG77" s="6">
        <v>-2.831793E-3</v>
      </c>
      <c r="AH77" s="6">
        <v>-1.8396420000000001E-3</v>
      </c>
      <c r="AI77" s="6">
        <v>1.7254799999999999E-4</v>
      </c>
      <c r="AJ77" s="6">
        <v>-3.2990749999999998E-3</v>
      </c>
      <c r="AK77" s="6">
        <v>-2.040933E-3</v>
      </c>
      <c r="AL77" s="6">
        <v>2.1880730434782606E-4</v>
      </c>
      <c r="AM77" s="6">
        <v>-2.834221E-3</v>
      </c>
      <c r="AN77" s="6">
        <v>-1.8384230000000001E-3</v>
      </c>
      <c r="AO77" s="6">
        <v>1.731822608695652E-4</v>
      </c>
      <c r="AP77" s="6">
        <v>-3.1732840000000002E-3</v>
      </c>
      <c r="AQ77" s="6">
        <v>-1.946953E-3</v>
      </c>
      <c r="AR77" s="6">
        <v>2.1327495652173918E-4</v>
      </c>
      <c r="AS77" s="6">
        <v>-3.6446209999999998E-3</v>
      </c>
      <c r="AT77" s="6">
        <v>-2.1461449999999999E-3</v>
      </c>
      <c r="AU77" s="6">
        <v>2.6060452173913042E-4</v>
      </c>
      <c r="AV77" s="6">
        <v>-3.1773389999999999E-3</v>
      </c>
      <c r="AW77" s="6">
        <v>-1.944854E-3</v>
      </c>
      <c r="AX77" s="6">
        <v>2.1434521739130435E-4</v>
      </c>
      <c r="AY77" s="6">
        <v>-3.6421940000000001E-3</v>
      </c>
      <c r="AZ77" s="6">
        <v>-2.1473629999999998E-3</v>
      </c>
      <c r="BA77" s="6">
        <v>2.599706086956522E-4</v>
      </c>
      <c r="BB77" s="6">
        <v>-2.9593269999999999E-3</v>
      </c>
      <c r="BC77" s="6">
        <v>-1.804071E-3</v>
      </c>
      <c r="BD77" s="6">
        <v>2.0091408695652172E-4</v>
      </c>
      <c r="BE77" s="6">
        <v>-2.4879889999999999E-3</v>
      </c>
      <c r="BF77" s="6">
        <v>-1.6048799999999999E-3</v>
      </c>
      <c r="BG77" s="6">
        <v>1.5358417391304348E-4</v>
      </c>
      <c r="BH77" s="6">
        <v>-2.9552720000000001E-3</v>
      </c>
      <c r="BI77" s="6">
        <v>-1.8061710000000001E-3</v>
      </c>
      <c r="BJ77" s="6">
        <v>1.9984365217391305E-4</v>
      </c>
      <c r="BK77" s="6">
        <v>-2.490417E-3</v>
      </c>
      <c r="BL77" s="6">
        <v>-1.6036609999999999E-3</v>
      </c>
      <c r="BM77" s="6">
        <v>1.542184347826087E-4</v>
      </c>
      <c r="BN77" s="6">
        <v>-3.8433069999999998E-3</v>
      </c>
      <c r="BO77" s="6">
        <v>-2.4055959999999999E-3</v>
      </c>
      <c r="BP77" s="6">
        <v>2.5003669565217392E-4</v>
      </c>
      <c r="BQ77" s="6">
        <v>-3.984708E-3</v>
      </c>
      <c r="BR77" s="6">
        <v>-2.465353E-3</v>
      </c>
      <c r="BS77" s="6">
        <v>2.6423565217391305E-4</v>
      </c>
      <c r="BT77" s="6">
        <v>-3.8445229999999999E-3</v>
      </c>
      <c r="BU77" s="6">
        <v>-2.4049660000000001E-3</v>
      </c>
      <c r="BV77" s="6">
        <v>2.5035773913043474E-4</v>
      </c>
      <c r="BW77" s="6">
        <v>-3.9839799999999998E-3</v>
      </c>
      <c r="BX77" s="6">
        <v>-2.4657189999999999E-3</v>
      </c>
      <c r="BY77" s="6">
        <v>2.6404539130434784E-4</v>
      </c>
      <c r="BZ77" s="6">
        <v>-3.77912E-3</v>
      </c>
      <c r="CA77" s="6">
        <v>-2.3627309999999999E-3</v>
      </c>
      <c r="CB77" s="6">
        <v>2.4632852173913045E-4</v>
      </c>
      <c r="CC77" s="6">
        <v>-3.6377190000000002E-3</v>
      </c>
      <c r="CD77" s="6">
        <v>-2.3029740000000002E-3</v>
      </c>
      <c r="CE77" s="6">
        <v>2.3212956521739131E-4</v>
      </c>
      <c r="CF77" s="6">
        <v>-3.777903E-3</v>
      </c>
      <c r="CG77" s="6">
        <v>-2.363361E-3</v>
      </c>
      <c r="CH77" s="6">
        <v>2.4600730434782609E-4</v>
      </c>
      <c r="CI77" s="6">
        <v>-3.6384469999999999E-3</v>
      </c>
      <c r="CJ77" s="6">
        <v>-2.3026079999999998E-3</v>
      </c>
      <c r="CK77" s="6">
        <v>2.3231982608695655E-4</v>
      </c>
      <c r="CL77" s="6">
        <v>-2.6972950000000002E-3</v>
      </c>
      <c r="CM77" s="6">
        <v>-1.6230560000000001E-3</v>
      </c>
      <c r="CN77" s="6">
        <v>1.8682417391304348E-4</v>
      </c>
      <c r="CO77" s="6">
        <v>-2.8386959999999999E-3</v>
      </c>
      <c r="CP77" s="6">
        <v>-1.682813E-3</v>
      </c>
      <c r="CQ77" s="6">
        <v>2.0102313043478259E-4</v>
      </c>
      <c r="CR77" s="6">
        <v>-2.6985109999999998E-3</v>
      </c>
      <c r="CS77" s="6">
        <v>-1.6224259999999999E-3</v>
      </c>
      <c r="CT77" s="6">
        <v>1.8714521739130431E-4</v>
      </c>
      <c r="CU77" s="6">
        <v>-2.8379669999999998E-3</v>
      </c>
      <c r="CV77" s="6">
        <v>-1.6831789999999999E-3</v>
      </c>
      <c r="CW77" s="6">
        <v>2.008326956521739E-4</v>
      </c>
      <c r="CX77" s="6">
        <v>-2.633107E-3</v>
      </c>
      <c r="CY77" s="6">
        <v>-1.5801910000000001E-3</v>
      </c>
      <c r="CZ77" s="6">
        <v>1.8311582608695649E-4</v>
      </c>
      <c r="DA77" s="6">
        <v>-2.4917060000000002E-3</v>
      </c>
      <c r="DB77" s="6">
        <v>-1.520434E-3</v>
      </c>
      <c r="DC77" s="6">
        <v>1.6891686956521743E-4</v>
      </c>
      <c r="DD77" s="6">
        <v>-2.6318909999999999E-3</v>
      </c>
      <c r="DE77" s="6">
        <v>-1.580821E-3</v>
      </c>
      <c r="DF77" s="6">
        <v>1.8279478260869563E-4</v>
      </c>
      <c r="DG77" s="6">
        <v>-2.492434E-3</v>
      </c>
      <c r="DH77" s="6">
        <v>-1.5200680000000001E-3</v>
      </c>
      <c r="DI77" s="6">
        <v>1.691071304347826E-4</v>
      </c>
    </row>
    <row r="78" spans="1:113" x14ac:dyDescent="0.3">
      <c r="A78" s="13" t="s">
        <v>424</v>
      </c>
      <c r="B78" s="13" t="s">
        <v>76</v>
      </c>
      <c r="C78" s="13" t="s">
        <v>77</v>
      </c>
      <c r="D78" s="13" t="s">
        <v>347</v>
      </c>
      <c r="E78" s="13">
        <v>10.7</v>
      </c>
      <c r="F78" s="6">
        <v>-1.262024E-3</v>
      </c>
      <c r="G78" s="6">
        <v>-1.35962E-3</v>
      </c>
      <c r="H78" s="6">
        <v>9.1211214953270957E-6</v>
      </c>
      <c r="I78" s="6">
        <v>-1.8270090000000001E-3</v>
      </c>
      <c r="J78" s="6">
        <v>-1.9803749999999999E-3</v>
      </c>
      <c r="K78" s="6">
        <v>1.4333271028037368E-5</v>
      </c>
      <c r="L78" s="6">
        <v>-1.8408599999999999E-3</v>
      </c>
      <c r="M78" s="6">
        <v>-1.9404019999999999E-3</v>
      </c>
      <c r="N78" s="6">
        <v>9.302990654205607E-6</v>
      </c>
      <c r="O78" s="6">
        <v>-2.3792399999999999E-3</v>
      </c>
      <c r="P78" s="6">
        <v>-2.5334759999999998E-3</v>
      </c>
      <c r="Q78" s="6">
        <v>1.4414579439252325E-5</v>
      </c>
      <c r="R78" s="6">
        <v>-2.2582560000000002E-3</v>
      </c>
      <c r="S78" s="6">
        <v>-2.3805950000000001E-3</v>
      </c>
      <c r="T78" s="6">
        <v>1.1433551401869155E-5</v>
      </c>
      <c r="U78" s="6">
        <v>-2.0886559999999999E-3</v>
      </c>
      <c r="V78" s="6">
        <v>-2.2408570000000002E-3</v>
      </c>
      <c r="W78" s="6">
        <v>1.4224392523364509E-5</v>
      </c>
      <c r="X78" s="6">
        <v>-2.247663E-3</v>
      </c>
      <c r="Y78" s="6">
        <v>-2.38602E-3</v>
      </c>
      <c r="Z78" s="6">
        <v>1.293056074766355E-5</v>
      </c>
      <c r="AA78" s="6">
        <v>-2.0930229999999998E-3</v>
      </c>
      <c r="AB78" s="6">
        <v>-2.2325800000000001E-3</v>
      </c>
      <c r="AC78" s="6">
        <v>1.3042710280373854E-5</v>
      </c>
      <c r="AD78" s="6">
        <v>-2.189748E-3</v>
      </c>
      <c r="AE78" s="6">
        <v>-2.387012E-3</v>
      </c>
      <c r="AF78" s="6">
        <v>1.8435887850467285E-5</v>
      </c>
      <c r="AG78" s="6">
        <v>-2.361232E-3</v>
      </c>
      <c r="AH78" s="6">
        <v>-2.5331350000000002E-3</v>
      </c>
      <c r="AI78" s="6">
        <v>1.6065700934579455E-5</v>
      </c>
      <c r="AJ78" s="6">
        <v>-2.2003410000000002E-3</v>
      </c>
      <c r="AK78" s="6">
        <v>-2.3815870000000001E-3</v>
      </c>
      <c r="AL78" s="6">
        <v>1.693887850467289E-5</v>
      </c>
      <c r="AM78" s="6">
        <v>-2.35498E-3</v>
      </c>
      <c r="AN78" s="6">
        <v>-2.5350279999999999E-3</v>
      </c>
      <c r="AO78" s="6">
        <v>1.6826915887850463E-5</v>
      </c>
      <c r="AP78" s="6">
        <v>-2.016477E-3</v>
      </c>
      <c r="AQ78" s="6">
        <v>-2.1268400000000001E-3</v>
      </c>
      <c r="AR78" s="6">
        <v>1.0314299065420565E-5</v>
      </c>
      <c r="AS78" s="6">
        <v>-1.8449930000000001E-3</v>
      </c>
      <c r="AT78" s="6">
        <v>-1.9807169999999999E-3</v>
      </c>
      <c r="AU78" s="6">
        <v>1.2684485981308396E-5</v>
      </c>
      <c r="AV78" s="6">
        <v>-2.0058839999999999E-3</v>
      </c>
      <c r="AW78" s="6">
        <v>-2.132264E-3</v>
      </c>
      <c r="AX78" s="6">
        <v>1.1811214953271043E-5</v>
      </c>
      <c r="AY78" s="6">
        <v>-1.8512450000000001E-3</v>
      </c>
      <c r="AZ78" s="6">
        <v>-1.9788240000000001E-3</v>
      </c>
      <c r="BA78" s="6">
        <v>1.1923271028037389E-5</v>
      </c>
      <c r="BB78" s="6">
        <v>-1.9479689999999999E-3</v>
      </c>
      <c r="BC78" s="6">
        <v>-2.1332569999999999E-3</v>
      </c>
      <c r="BD78" s="6">
        <v>1.7316635514018697E-5</v>
      </c>
      <c r="BE78" s="6">
        <v>-2.1194540000000002E-3</v>
      </c>
      <c r="BF78" s="6">
        <v>-2.2793790000000002E-3</v>
      </c>
      <c r="BG78" s="6">
        <v>1.4946261682242992E-5</v>
      </c>
      <c r="BH78" s="6">
        <v>-1.958563E-3</v>
      </c>
      <c r="BI78" s="6">
        <v>-2.1278320000000001E-3</v>
      </c>
      <c r="BJ78" s="6">
        <v>1.5819532710280383E-5</v>
      </c>
      <c r="BK78" s="6">
        <v>-2.1132019999999998E-3</v>
      </c>
      <c r="BL78" s="6">
        <v>-2.281272E-3</v>
      </c>
      <c r="BM78" s="6">
        <v>1.5707476635514037E-5</v>
      </c>
      <c r="BN78" s="6">
        <v>-2.5163529999999998E-3</v>
      </c>
      <c r="BO78" s="6">
        <v>-2.6788889999999998E-3</v>
      </c>
      <c r="BP78" s="6">
        <v>1.5190280373831779E-5</v>
      </c>
      <c r="BQ78" s="6">
        <v>-2.4649070000000001E-3</v>
      </c>
      <c r="BR78" s="6">
        <v>-2.6350520000000001E-3</v>
      </c>
      <c r="BS78" s="6">
        <v>1.590140186915888E-5</v>
      </c>
      <c r="BT78" s="6">
        <v>-2.5131749999999999E-3</v>
      </c>
      <c r="BU78" s="6">
        <v>-2.6805169999999999E-3</v>
      </c>
      <c r="BV78" s="6">
        <v>1.5639439252336449E-5</v>
      </c>
      <c r="BW78" s="6">
        <v>-2.4667830000000002E-3</v>
      </c>
      <c r="BX78" s="6">
        <v>-2.6344850000000002E-3</v>
      </c>
      <c r="BY78" s="6">
        <v>1.5673084112149538E-5</v>
      </c>
      <c r="BZ78" s="6">
        <v>-2.4957999999999998E-3</v>
      </c>
      <c r="CA78" s="6">
        <v>-2.6808140000000001E-3</v>
      </c>
      <c r="CB78" s="6">
        <v>1.7291028037383204E-5</v>
      </c>
      <c r="CC78" s="6">
        <v>-2.547246E-3</v>
      </c>
      <c r="CD78" s="6">
        <v>-2.7246509999999998E-3</v>
      </c>
      <c r="CE78" s="6">
        <v>1.6579906542056061E-5</v>
      </c>
      <c r="CF78" s="6">
        <v>-2.4989779999999998E-3</v>
      </c>
      <c r="CG78" s="6">
        <v>-2.679187E-3</v>
      </c>
      <c r="CH78" s="6">
        <v>1.6841962616822448E-5</v>
      </c>
      <c r="CI78" s="6">
        <v>-2.5453699999999999E-3</v>
      </c>
      <c r="CJ78" s="6">
        <v>-2.7252190000000001E-3</v>
      </c>
      <c r="CK78" s="6">
        <v>1.680831775700936E-5</v>
      </c>
      <c r="CL78" s="6">
        <v>-1.710425E-3</v>
      </c>
      <c r="CM78" s="6">
        <v>-1.8330379999999999E-3</v>
      </c>
      <c r="CN78" s="6">
        <v>1.1459158878504667E-5</v>
      </c>
      <c r="CO78" s="6">
        <v>-1.6589790000000001E-3</v>
      </c>
      <c r="CP78" s="6">
        <v>-1.789201E-3</v>
      </c>
      <c r="CQ78" s="6">
        <v>1.217028037383177E-5</v>
      </c>
      <c r="CR78" s="6">
        <v>-1.7072470000000001E-3</v>
      </c>
      <c r="CS78" s="6">
        <v>-1.8346650000000001E-3</v>
      </c>
      <c r="CT78" s="6">
        <v>1.1908224299065424E-5</v>
      </c>
      <c r="CU78" s="6">
        <v>-1.6608549999999999E-3</v>
      </c>
      <c r="CV78" s="6">
        <v>-1.788633E-3</v>
      </c>
      <c r="CW78" s="6">
        <v>1.194186915887851E-5</v>
      </c>
      <c r="CX78" s="6">
        <v>-1.689872E-3</v>
      </c>
      <c r="CY78" s="6">
        <v>-1.834963E-3</v>
      </c>
      <c r="CZ78" s="6">
        <v>1.3559906542056073E-5</v>
      </c>
      <c r="DA78" s="6">
        <v>-1.741317E-3</v>
      </c>
      <c r="DB78" s="6">
        <v>-1.878799E-3</v>
      </c>
      <c r="DC78" s="6">
        <v>1.284878504672897E-5</v>
      </c>
      <c r="DD78" s="6">
        <v>-1.69305E-3</v>
      </c>
      <c r="DE78" s="6">
        <v>-1.833335E-3</v>
      </c>
      <c r="DF78" s="6">
        <v>1.3110747663551401E-5</v>
      </c>
      <c r="DG78" s="6">
        <v>-1.7394419999999999E-3</v>
      </c>
      <c r="DH78" s="6">
        <v>-1.8793670000000001E-3</v>
      </c>
      <c r="DI78" s="6">
        <v>1.3077102803738333E-5</v>
      </c>
    </row>
    <row r="79" spans="1:113" x14ac:dyDescent="0.3">
      <c r="A79" s="13" t="s">
        <v>425</v>
      </c>
      <c r="B79" s="13" t="s">
        <v>112</v>
      </c>
      <c r="C79" s="13" t="s">
        <v>113</v>
      </c>
      <c r="D79" s="13" t="s">
        <v>347</v>
      </c>
      <c r="E79" s="13">
        <v>10.7</v>
      </c>
      <c r="F79" s="6">
        <v>-1.7882169999999999E-3</v>
      </c>
      <c r="G79" s="6">
        <v>-2.0977050000000001E-3</v>
      </c>
      <c r="H79" s="6">
        <v>2.8924112149532722E-5</v>
      </c>
      <c r="I79" s="6">
        <v>-2.6068279999999998E-3</v>
      </c>
      <c r="J79" s="6">
        <v>-3.0417E-3</v>
      </c>
      <c r="K79" s="6">
        <v>4.0642242990654231E-5</v>
      </c>
      <c r="L79" s="6">
        <v>-2.3906890000000001E-3</v>
      </c>
      <c r="M79" s="6">
        <v>-2.70185E-3</v>
      </c>
      <c r="N79" s="6">
        <v>2.908046728971962E-5</v>
      </c>
      <c r="O79" s="6">
        <v>-3.1822909999999999E-3</v>
      </c>
      <c r="P79" s="6">
        <v>-3.6169980000000002E-3</v>
      </c>
      <c r="Q79" s="6">
        <v>4.0626822429906574E-5</v>
      </c>
      <c r="R79" s="6">
        <v>-3.1666929999999999E-3</v>
      </c>
      <c r="S79" s="6">
        <v>-3.443116E-3</v>
      </c>
      <c r="T79" s="6">
        <v>2.5833925233644865E-5</v>
      </c>
      <c r="U79" s="6">
        <v>-3.0614209999999999E-3</v>
      </c>
      <c r="V79" s="6">
        <v>-3.4914659999999999E-3</v>
      </c>
      <c r="W79" s="6">
        <v>4.0191121495327107E-5</v>
      </c>
      <c r="X79" s="6">
        <v>-3.1512329999999998E-3</v>
      </c>
      <c r="Y79" s="6">
        <v>-3.4531779999999999E-3</v>
      </c>
      <c r="Z79" s="6">
        <v>2.8219158878504681E-5</v>
      </c>
      <c r="AA79" s="6">
        <v>-3.0699659999999999E-3</v>
      </c>
      <c r="AB79" s="6">
        <v>-3.4879249999999998E-3</v>
      </c>
      <c r="AC79" s="6">
        <v>3.9061588785046716E-5</v>
      </c>
      <c r="AD79" s="6">
        <v>-2.9310260000000002E-3</v>
      </c>
      <c r="AE79" s="6">
        <v>-3.5615519999999999E-3</v>
      </c>
      <c r="AF79" s="6">
        <v>5.8927663551401847E-5</v>
      </c>
      <c r="AG79" s="6">
        <v>-3.0368679999999999E-3</v>
      </c>
      <c r="AH79" s="6">
        <v>-3.5126850000000002E-3</v>
      </c>
      <c r="AI79" s="6">
        <v>4.4468878504672933E-5</v>
      </c>
      <c r="AJ79" s="6">
        <v>-2.9464859999999999E-3</v>
      </c>
      <c r="AK79" s="6">
        <v>-3.55149E-3</v>
      </c>
      <c r="AL79" s="6">
        <v>5.6542429906542069E-5</v>
      </c>
      <c r="AM79" s="6">
        <v>-3.0277530000000002E-3</v>
      </c>
      <c r="AN79" s="6">
        <v>-3.5167430000000001E-3</v>
      </c>
      <c r="AO79" s="6">
        <v>4.5699999999999993E-5</v>
      </c>
      <c r="AP79" s="6">
        <v>-2.8580569999999998E-3</v>
      </c>
      <c r="AQ79" s="6">
        <v>-3.0971480000000001E-3</v>
      </c>
      <c r="AR79" s="6">
        <v>2.2344953271028068E-5</v>
      </c>
      <c r="AS79" s="6">
        <v>-2.7522139999999998E-3</v>
      </c>
      <c r="AT79" s="6">
        <v>-3.1460139999999999E-3</v>
      </c>
      <c r="AU79" s="6">
        <v>3.6803738317757023E-5</v>
      </c>
      <c r="AV79" s="6">
        <v>-2.8425960000000002E-3</v>
      </c>
      <c r="AW79" s="6">
        <v>-3.1072090000000001E-3</v>
      </c>
      <c r="AX79" s="6">
        <v>2.4730186915887843E-5</v>
      </c>
      <c r="AY79" s="6">
        <v>-2.7613300000000002E-3</v>
      </c>
      <c r="AZ79" s="6">
        <v>-3.1419569999999999E-3</v>
      </c>
      <c r="BA79" s="6">
        <v>3.5572616822429882E-5</v>
      </c>
      <c r="BB79" s="6">
        <v>-2.6223890000000001E-3</v>
      </c>
      <c r="BC79" s="6">
        <v>-3.2155840000000001E-3</v>
      </c>
      <c r="BD79" s="6">
        <v>5.5438785046728965E-5</v>
      </c>
      <c r="BE79" s="6">
        <v>-2.7282309999999998E-3</v>
      </c>
      <c r="BF79" s="6">
        <v>-3.1667169999999999E-3</v>
      </c>
      <c r="BG79" s="6">
        <v>4.0980000000000011E-5</v>
      </c>
      <c r="BH79" s="6">
        <v>-2.6378500000000002E-3</v>
      </c>
      <c r="BI79" s="6">
        <v>-3.2055220000000001E-3</v>
      </c>
      <c r="BJ79" s="6">
        <v>5.3053457943925234E-5</v>
      </c>
      <c r="BK79" s="6">
        <v>-2.7191160000000002E-3</v>
      </c>
      <c r="BL79" s="6">
        <v>-3.1707749999999998E-3</v>
      </c>
      <c r="BM79" s="6">
        <v>4.221112149532707E-5</v>
      </c>
      <c r="BN79" s="6">
        <v>-3.444286E-3</v>
      </c>
      <c r="BO79" s="6">
        <v>-3.8881979999999998E-3</v>
      </c>
      <c r="BP79" s="6">
        <v>4.1487102803738305E-5</v>
      </c>
      <c r="BQ79" s="6">
        <v>-3.4125330000000001E-3</v>
      </c>
      <c r="BR79" s="6">
        <v>-3.9028579999999999E-3</v>
      </c>
      <c r="BS79" s="6">
        <v>4.5824766355140168E-5</v>
      </c>
      <c r="BT79" s="6">
        <v>-3.4396470000000001E-3</v>
      </c>
      <c r="BU79" s="6">
        <v>-3.8912170000000002E-3</v>
      </c>
      <c r="BV79" s="6">
        <v>4.2202803738317769E-5</v>
      </c>
      <c r="BW79" s="6">
        <v>-3.4152679999999999E-3</v>
      </c>
      <c r="BX79" s="6">
        <v>-3.901641E-3</v>
      </c>
      <c r="BY79" s="6">
        <v>4.5455420560747669E-5</v>
      </c>
      <c r="BZ79" s="6">
        <v>-3.3735850000000001E-3</v>
      </c>
      <c r="CA79" s="6">
        <v>-3.9237289999999999E-3</v>
      </c>
      <c r="CB79" s="6">
        <v>5.1415327102803721E-5</v>
      </c>
      <c r="CC79" s="6">
        <v>-3.4053379999999999E-3</v>
      </c>
      <c r="CD79" s="6">
        <v>-3.9090690000000003E-3</v>
      </c>
      <c r="CE79" s="6">
        <v>4.7077663551401905E-5</v>
      </c>
      <c r="CF79" s="6">
        <v>-3.378224E-3</v>
      </c>
      <c r="CG79" s="6">
        <v>-3.9207110000000003E-3</v>
      </c>
      <c r="CH79" s="6">
        <v>5.0699719626168263E-5</v>
      </c>
      <c r="CI79" s="6">
        <v>-3.402604E-3</v>
      </c>
      <c r="CJ79" s="6">
        <v>-3.9102859999999998E-3</v>
      </c>
      <c r="CK79" s="6">
        <v>4.7446915887850444E-5</v>
      </c>
      <c r="CL79" s="6">
        <v>-2.415497E-3</v>
      </c>
      <c r="CM79" s="6">
        <v>-2.7349710000000001E-3</v>
      </c>
      <c r="CN79" s="6">
        <v>2.985738317757011E-5</v>
      </c>
      <c r="CO79" s="6">
        <v>-2.3837440000000001E-3</v>
      </c>
      <c r="CP79" s="6">
        <v>-2.7496310000000002E-3</v>
      </c>
      <c r="CQ79" s="6">
        <v>3.419504672897197E-5</v>
      </c>
      <c r="CR79" s="6">
        <v>-2.410859E-3</v>
      </c>
      <c r="CS79" s="6">
        <v>-2.7379890000000001E-3</v>
      </c>
      <c r="CT79" s="6">
        <v>3.05728971962617E-5</v>
      </c>
      <c r="CU79" s="6">
        <v>-2.3864789999999999E-3</v>
      </c>
      <c r="CV79" s="6">
        <v>-2.7484129999999999E-3</v>
      </c>
      <c r="CW79" s="6">
        <v>3.3825607476635512E-5</v>
      </c>
      <c r="CX79" s="6">
        <v>-2.344797E-3</v>
      </c>
      <c r="CY79" s="6">
        <v>-2.7705009999999999E-3</v>
      </c>
      <c r="CZ79" s="6">
        <v>3.9785420560747651E-5</v>
      </c>
      <c r="DA79" s="6">
        <v>-2.3765499999999998E-3</v>
      </c>
      <c r="DB79" s="6">
        <v>-2.7558410000000002E-3</v>
      </c>
      <c r="DC79" s="6">
        <v>3.5447757009345828E-5</v>
      </c>
      <c r="DD79" s="6">
        <v>-2.349435E-3</v>
      </c>
      <c r="DE79" s="6">
        <v>-2.7674829999999998E-3</v>
      </c>
      <c r="DF79" s="6">
        <v>3.9069906542056065E-5</v>
      </c>
      <c r="DG79" s="6">
        <v>-2.373815E-3</v>
      </c>
      <c r="DH79" s="6">
        <v>-2.7570590000000001E-3</v>
      </c>
      <c r="DI79" s="6">
        <v>3.5817196261682246E-5</v>
      </c>
    </row>
    <row r="80" spans="1:113" x14ac:dyDescent="0.3">
      <c r="A80" s="13" t="s">
        <v>426</v>
      </c>
      <c r="B80" s="13" t="s">
        <v>148</v>
      </c>
      <c r="C80" s="13" t="s">
        <v>149</v>
      </c>
      <c r="D80" s="13" t="s">
        <v>347</v>
      </c>
      <c r="E80" s="13">
        <v>10.7</v>
      </c>
      <c r="F80" s="6">
        <v>-1.77699E-3</v>
      </c>
      <c r="G80" s="6">
        <v>-2.1464800000000001E-3</v>
      </c>
      <c r="H80" s="6">
        <v>3.4531775700934589E-5</v>
      </c>
      <c r="I80" s="6">
        <v>-2.5824120000000001E-3</v>
      </c>
      <c r="J80" s="6">
        <v>-3.079474E-3</v>
      </c>
      <c r="K80" s="6">
        <v>4.6454392523364485E-5</v>
      </c>
      <c r="L80" s="6">
        <v>-2.3751639999999999E-3</v>
      </c>
      <c r="M80" s="6">
        <v>-2.7458000000000001E-3</v>
      </c>
      <c r="N80" s="6">
        <v>3.4638878504672914E-5</v>
      </c>
      <c r="O80" s="6">
        <v>-3.153107E-3</v>
      </c>
      <c r="P80" s="6">
        <v>-3.650206E-3</v>
      </c>
      <c r="Q80" s="6">
        <v>4.6457850467289718E-5</v>
      </c>
      <c r="R80" s="6">
        <v>-3.1273189999999999E-3</v>
      </c>
      <c r="S80" s="6">
        <v>-3.4831469999999998E-3</v>
      </c>
      <c r="T80" s="6">
        <v>3.325495327102803E-5</v>
      </c>
      <c r="U80" s="6">
        <v>-3.0252539999999998E-3</v>
      </c>
      <c r="V80" s="6">
        <v>-3.5410390000000002E-3</v>
      </c>
      <c r="W80" s="6">
        <v>4.8204205607476677E-5</v>
      </c>
      <c r="X80" s="6">
        <v>-3.122863E-3</v>
      </c>
      <c r="Y80" s="6">
        <v>-3.4834150000000001E-3</v>
      </c>
      <c r="Z80" s="6">
        <v>3.3696448598130855E-5</v>
      </c>
      <c r="AA80" s="6">
        <v>-3.0270150000000001E-3</v>
      </c>
      <c r="AB80" s="6">
        <v>-3.5407839999999999E-3</v>
      </c>
      <c r="AC80" s="6">
        <v>4.8015794392523354E-5</v>
      </c>
      <c r="AD80" s="6">
        <v>-2.9147909999999999E-3</v>
      </c>
      <c r="AE80" s="6">
        <v>-3.597603E-3</v>
      </c>
      <c r="AF80" s="6">
        <v>6.3814205607476651E-5</v>
      </c>
      <c r="AG80" s="6">
        <v>-3.0176930000000001E-3</v>
      </c>
      <c r="AH80" s="6">
        <v>-3.5398489999999999E-3</v>
      </c>
      <c r="AI80" s="6">
        <v>4.8799626168224278E-5</v>
      </c>
      <c r="AJ80" s="6">
        <v>-2.9192469999999998E-3</v>
      </c>
      <c r="AK80" s="6">
        <v>-3.5973350000000001E-3</v>
      </c>
      <c r="AL80" s="6">
        <v>6.3372710280373867E-5</v>
      </c>
      <c r="AM80" s="6">
        <v>-3.0150950000000002E-3</v>
      </c>
      <c r="AN80" s="6">
        <v>-3.5399659999999999E-3</v>
      </c>
      <c r="AO80" s="6">
        <v>4.9053364485981279E-5</v>
      </c>
      <c r="AP80" s="6">
        <v>-2.8207269999999999E-3</v>
      </c>
      <c r="AQ80" s="6">
        <v>-3.132077E-3</v>
      </c>
      <c r="AR80" s="6">
        <v>2.9098130841121512E-5</v>
      </c>
      <c r="AS80" s="6">
        <v>-2.7178250000000001E-3</v>
      </c>
      <c r="AT80" s="6">
        <v>-3.1898310000000002E-3</v>
      </c>
      <c r="AU80" s="6">
        <v>4.4112710280373844E-5</v>
      </c>
      <c r="AV80" s="6">
        <v>-2.816271E-3</v>
      </c>
      <c r="AW80" s="6">
        <v>-3.1323449999999999E-3</v>
      </c>
      <c r="AX80" s="6">
        <v>2.9539626168224296E-5</v>
      </c>
      <c r="AY80" s="6">
        <v>-2.720423E-3</v>
      </c>
      <c r="AZ80" s="6">
        <v>-3.1897140000000002E-3</v>
      </c>
      <c r="BA80" s="6">
        <v>4.3858971962616843E-5</v>
      </c>
      <c r="BB80" s="6">
        <v>-2.6081989999999998E-3</v>
      </c>
      <c r="BC80" s="6">
        <v>-3.2465329999999998E-3</v>
      </c>
      <c r="BD80" s="6">
        <v>5.9657383177570092E-5</v>
      </c>
      <c r="BE80" s="6">
        <v>-2.711101E-3</v>
      </c>
      <c r="BF80" s="6">
        <v>-3.18878E-3</v>
      </c>
      <c r="BG80" s="6">
        <v>4.4642897196261678E-5</v>
      </c>
      <c r="BH80" s="6">
        <v>-2.6126550000000002E-3</v>
      </c>
      <c r="BI80" s="6">
        <v>-3.2462649999999999E-3</v>
      </c>
      <c r="BJ80" s="6">
        <v>5.9215887850467267E-5</v>
      </c>
      <c r="BK80" s="6">
        <v>-2.7085030000000001E-3</v>
      </c>
      <c r="BL80" s="6">
        <v>-3.1888960000000001E-3</v>
      </c>
      <c r="BM80" s="6">
        <v>4.4896542056074768E-5</v>
      </c>
      <c r="BN80" s="6">
        <v>-3.410625E-3</v>
      </c>
      <c r="BO80" s="6">
        <v>-3.9327880000000004E-3</v>
      </c>
      <c r="BP80" s="6">
        <v>4.8800280373831818E-5</v>
      </c>
      <c r="BQ80" s="6">
        <v>-3.379754E-3</v>
      </c>
      <c r="BR80" s="6">
        <v>-3.9501140000000002E-3</v>
      </c>
      <c r="BS80" s="6">
        <v>5.3304672897196286E-5</v>
      </c>
      <c r="BT80" s="6">
        <v>-3.4092879999999999E-3</v>
      </c>
      <c r="BU80" s="6">
        <v>-3.932868E-3</v>
      </c>
      <c r="BV80" s="6">
        <v>4.8932710280373842E-5</v>
      </c>
      <c r="BW80" s="6">
        <v>-3.3805340000000001E-3</v>
      </c>
      <c r="BX80" s="6">
        <v>-3.9500789999999996E-3</v>
      </c>
      <c r="BY80" s="6">
        <v>5.3228504672897147E-5</v>
      </c>
      <c r="BZ80" s="6">
        <v>-3.346866E-3</v>
      </c>
      <c r="CA80" s="6">
        <v>-3.9671250000000002E-3</v>
      </c>
      <c r="CB80" s="6">
        <v>5.7968130841121518E-5</v>
      </c>
      <c r="CC80" s="6">
        <v>-3.377737E-3</v>
      </c>
      <c r="CD80" s="6">
        <v>-3.9497990000000004E-3</v>
      </c>
      <c r="CE80" s="6">
        <v>5.3463738317757043E-5</v>
      </c>
      <c r="CF80" s="6">
        <v>-3.3482030000000001E-3</v>
      </c>
      <c r="CG80" s="6">
        <v>-3.9670440000000003E-3</v>
      </c>
      <c r="CH80" s="6">
        <v>5.7835607476635534E-5</v>
      </c>
      <c r="CI80" s="6">
        <v>-3.3769569999999999E-3</v>
      </c>
      <c r="CJ80" s="6">
        <v>-3.9498340000000002E-3</v>
      </c>
      <c r="CK80" s="6">
        <v>5.3539906542056107E-5</v>
      </c>
      <c r="CL80" s="6">
        <v>-2.3886509999999999E-3</v>
      </c>
      <c r="CM80" s="6">
        <v>-2.7625560000000002E-3</v>
      </c>
      <c r="CN80" s="6">
        <v>3.4944392523364516E-5</v>
      </c>
      <c r="CO80" s="6">
        <v>-2.3577810000000002E-3</v>
      </c>
      <c r="CP80" s="6">
        <v>-2.779882E-3</v>
      </c>
      <c r="CQ80" s="6">
        <v>3.9448691588785032E-5</v>
      </c>
      <c r="CR80" s="6">
        <v>-2.3873150000000001E-3</v>
      </c>
      <c r="CS80" s="6">
        <v>-2.7626360000000002E-3</v>
      </c>
      <c r="CT80" s="6">
        <v>3.5076728971962628E-5</v>
      </c>
      <c r="CU80" s="6">
        <v>-2.35856E-3</v>
      </c>
      <c r="CV80" s="6">
        <v>-2.7798469999999998E-3</v>
      </c>
      <c r="CW80" s="6">
        <v>3.9372616822429886E-5</v>
      </c>
      <c r="CX80" s="6">
        <v>-2.3248930000000002E-3</v>
      </c>
      <c r="CY80" s="6">
        <v>-2.7968929999999999E-3</v>
      </c>
      <c r="CZ80" s="6">
        <v>4.4112149532710264E-5</v>
      </c>
      <c r="DA80" s="6">
        <v>-2.3557629999999999E-3</v>
      </c>
      <c r="DB80" s="6">
        <v>-2.7795659999999998E-3</v>
      </c>
      <c r="DC80" s="6">
        <v>3.9607757009345788E-5</v>
      </c>
      <c r="DD80" s="6">
        <v>-2.3262299999999999E-3</v>
      </c>
      <c r="DE80" s="6">
        <v>-2.7968120000000001E-3</v>
      </c>
      <c r="DF80" s="6">
        <v>4.3979626168224321E-5</v>
      </c>
      <c r="DG80" s="6">
        <v>-2.3549840000000001E-3</v>
      </c>
      <c r="DH80" s="6">
        <v>-2.779601E-3</v>
      </c>
      <c r="DI80" s="6">
        <v>3.9683831775700934E-5</v>
      </c>
    </row>
    <row r="81" spans="1:113" x14ac:dyDescent="0.3">
      <c r="A81" s="13" t="s">
        <v>427</v>
      </c>
      <c r="B81" s="13" t="s">
        <v>189</v>
      </c>
      <c r="C81" s="13" t="s">
        <v>190</v>
      </c>
      <c r="D81" s="13" t="s">
        <v>347</v>
      </c>
      <c r="E81" s="13">
        <v>10.7</v>
      </c>
      <c r="F81" s="6">
        <v>-1.7493229999999999E-3</v>
      </c>
      <c r="G81" s="6">
        <v>-2.5080620000000001E-3</v>
      </c>
      <c r="H81" s="6">
        <v>7.0910186915887875E-5</v>
      </c>
      <c r="I81" s="6">
        <v>-2.5460389999999999E-3</v>
      </c>
      <c r="J81" s="6">
        <v>-3.5733079999999999E-3</v>
      </c>
      <c r="K81" s="6">
        <v>9.6006448598130839E-5</v>
      </c>
      <c r="L81" s="6">
        <v>-2.3477709999999998E-3</v>
      </c>
      <c r="M81" s="6">
        <v>-3.1078630000000002E-3</v>
      </c>
      <c r="N81" s="6">
        <v>7.1036635514018731E-5</v>
      </c>
      <c r="O81" s="6">
        <v>-3.1170719999999998E-3</v>
      </c>
      <c r="P81" s="6">
        <v>-4.1444899999999998E-3</v>
      </c>
      <c r="Q81" s="6">
        <v>9.6020373831775708E-5</v>
      </c>
      <c r="R81" s="6">
        <v>-3.0856289999999999E-3</v>
      </c>
      <c r="S81" s="6">
        <v>-3.9986400000000004E-3</v>
      </c>
      <c r="T81" s="6">
        <v>8.5328130841121541E-5</v>
      </c>
      <c r="U81" s="6">
        <v>-2.9806350000000001E-3</v>
      </c>
      <c r="V81" s="6">
        <v>-4.0742230000000001E-3</v>
      </c>
      <c r="W81" s="6">
        <v>1.0220448598130842E-4</v>
      </c>
      <c r="X81" s="6">
        <v>-3.0907320000000001E-3</v>
      </c>
      <c r="Y81" s="6">
        <v>-3.9882659999999999E-3</v>
      </c>
      <c r="Z81" s="6">
        <v>8.3881682242990636E-5</v>
      </c>
      <c r="AA81" s="6">
        <v>-2.9767460000000002E-3</v>
      </c>
      <c r="AB81" s="6">
        <v>-4.0779170000000003E-3</v>
      </c>
      <c r="AC81" s="6">
        <v>1.0291317757009349E-4</v>
      </c>
      <c r="AD81" s="6">
        <v>-2.8808000000000002E-3</v>
      </c>
      <c r="AE81" s="6">
        <v>-4.113691E-3</v>
      </c>
      <c r="AF81" s="6">
        <v>1.1522345794392523E-4</v>
      </c>
      <c r="AG81" s="6">
        <v>-2.9866200000000002E-3</v>
      </c>
      <c r="AH81" s="6">
        <v>-4.0384660000000001E-3</v>
      </c>
      <c r="AI81" s="6">
        <v>9.8303364485981311E-5</v>
      </c>
      <c r="AJ81" s="6">
        <v>-2.875697E-3</v>
      </c>
      <c r="AK81" s="6">
        <v>-4.124066E-3</v>
      </c>
      <c r="AL81" s="6">
        <v>1.1667000000000001E-4</v>
      </c>
      <c r="AM81" s="6">
        <v>-2.9896829999999999E-3</v>
      </c>
      <c r="AN81" s="6">
        <v>-4.0344140000000001E-3</v>
      </c>
      <c r="AO81" s="6">
        <v>9.7638411214953286E-5</v>
      </c>
      <c r="AP81" s="6">
        <v>-2.782311E-3</v>
      </c>
      <c r="AQ81" s="6">
        <v>-3.6041060000000001E-3</v>
      </c>
      <c r="AR81" s="6">
        <v>7.6803271028037405E-5</v>
      </c>
      <c r="AS81" s="6">
        <v>-2.676491E-3</v>
      </c>
      <c r="AT81" s="6">
        <v>-3.679332E-3</v>
      </c>
      <c r="AU81" s="6">
        <v>9.3723457943925236E-5</v>
      </c>
      <c r="AV81" s="6">
        <v>-2.7874140000000002E-3</v>
      </c>
      <c r="AW81" s="6">
        <v>-3.5937310000000002E-3</v>
      </c>
      <c r="AX81" s="6">
        <v>7.5356728971962616E-5</v>
      </c>
      <c r="AY81" s="6">
        <v>-2.6734279999999998E-3</v>
      </c>
      <c r="AZ81" s="6">
        <v>-3.6833830000000001E-3</v>
      </c>
      <c r="BA81" s="6">
        <v>9.4388317757009376E-5</v>
      </c>
      <c r="BB81" s="6">
        <v>-2.5774819999999999E-3</v>
      </c>
      <c r="BC81" s="6">
        <v>-3.7191569999999998E-3</v>
      </c>
      <c r="BD81" s="6">
        <v>1.0669859813084112E-4</v>
      </c>
      <c r="BE81" s="6">
        <v>-2.6833030000000002E-3</v>
      </c>
      <c r="BF81" s="6">
        <v>-3.643931E-3</v>
      </c>
      <c r="BG81" s="6">
        <v>8.9778317757009337E-5</v>
      </c>
      <c r="BH81" s="6">
        <v>-2.5723790000000001E-3</v>
      </c>
      <c r="BI81" s="6">
        <v>-3.7295319999999998E-3</v>
      </c>
      <c r="BJ81" s="6">
        <v>1.0814514018691587E-4</v>
      </c>
      <c r="BK81" s="6">
        <v>-2.686365E-3</v>
      </c>
      <c r="BL81" s="6">
        <v>-3.6398799999999999E-3</v>
      </c>
      <c r="BM81" s="6">
        <v>8.911355140186915E-5</v>
      </c>
      <c r="BN81" s="6">
        <v>-3.3678089999999998E-3</v>
      </c>
      <c r="BO81" s="6">
        <v>-4.4991980000000003E-3</v>
      </c>
      <c r="BP81" s="6">
        <v>1.0573728971962621E-4</v>
      </c>
      <c r="BQ81" s="6">
        <v>-3.3360629999999998E-3</v>
      </c>
      <c r="BR81" s="6">
        <v>-4.521766E-3</v>
      </c>
      <c r="BS81" s="6">
        <v>1.1081336448598134E-4</v>
      </c>
      <c r="BT81" s="6">
        <v>-3.3693400000000002E-3</v>
      </c>
      <c r="BU81" s="6">
        <v>-4.4960859999999998E-3</v>
      </c>
      <c r="BV81" s="6">
        <v>1.0530336448598128E-4</v>
      </c>
      <c r="BW81" s="6">
        <v>-3.335144E-3</v>
      </c>
      <c r="BX81" s="6">
        <v>-4.5229809999999997E-3</v>
      </c>
      <c r="BY81" s="6">
        <v>1.1101280373831774E-4</v>
      </c>
      <c r="BZ81" s="6">
        <v>-3.3063609999999998E-3</v>
      </c>
      <c r="CA81" s="6">
        <v>-4.5337140000000003E-3</v>
      </c>
      <c r="CB81" s="6">
        <v>1.1470588785046735E-4</v>
      </c>
      <c r="CC81" s="6">
        <v>-3.3381069999999999E-3</v>
      </c>
      <c r="CD81" s="6">
        <v>-4.5111459999999997E-3</v>
      </c>
      <c r="CE81" s="6">
        <v>1.0962981308411214E-4</v>
      </c>
      <c r="CF81" s="6">
        <v>-3.3048299999999999E-3</v>
      </c>
      <c r="CG81" s="6">
        <v>-4.5368259999999999E-3</v>
      </c>
      <c r="CH81" s="6">
        <v>1.1513981308411215E-4</v>
      </c>
      <c r="CI81" s="6">
        <v>-3.3390260000000001E-3</v>
      </c>
      <c r="CJ81" s="6">
        <v>-4.5099299999999997E-3</v>
      </c>
      <c r="CK81" s="6">
        <v>1.0943028037383174E-4</v>
      </c>
      <c r="CL81" s="6">
        <v>-2.3567509999999998E-3</v>
      </c>
      <c r="CM81" s="6">
        <v>-3.1840839999999998E-3</v>
      </c>
      <c r="CN81" s="6">
        <v>7.7320841121495328E-5</v>
      </c>
      <c r="CO81" s="6">
        <v>-2.3250039999999999E-3</v>
      </c>
      <c r="CP81" s="6">
        <v>-3.2066519999999999E-3</v>
      </c>
      <c r="CQ81" s="6">
        <v>8.2397009345794406E-5</v>
      </c>
      <c r="CR81" s="6">
        <v>-2.3582820000000002E-3</v>
      </c>
      <c r="CS81" s="6">
        <v>-3.1809719999999998E-3</v>
      </c>
      <c r="CT81" s="6">
        <v>7.6886915887850433E-5</v>
      </c>
      <c r="CU81" s="6">
        <v>-2.3240859999999999E-3</v>
      </c>
      <c r="CV81" s="6">
        <v>-3.2078670000000001E-3</v>
      </c>
      <c r="CW81" s="6">
        <v>8.2596355140186932E-5</v>
      </c>
      <c r="CX81" s="6">
        <v>-2.2953019999999999E-3</v>
      </c>
      <c r="CY81" s="6">
        <v>-3.2185989999999999E-3</v>
      </c>
      <c r="CZ81" s="6">
        <v>8.6289439252336449E-5</v>
      </c>
      <c r="DA81" s="6">
        <v>-2.327048E-3</v>
      </c>
      <c r="DB81" s="6">
        <v>-3.1960320000000001E-3</v>
      </c>
      <c r="DC81" s="6">
        <v>8.1213457943925249E-5</v>
      </c>
      <c r="DD81" s="6">
        <v>-2.293771E-3</v>
      </c>
      <c r="DE81" s="6">
        <v>-3.2217119999999998E-3</v>
      </c>
      <c r="DF81" s="6">
        <v>8.6723457943925229E-5</v>
      </c>
      <c r="DG81" s="6">
        <v>-2.3279669999999998E-3</v>
      </c>
      <c r="DH81" s="6">
        <v>-3.1948160000000001E-3</v>
      </c>
      <c r="DI81" s="6">
        <v>8.1013925233644886E-5</v>
      </c>
    </row>
    <row r="82" spans="1:113" x14ac:dyDescent="0.3">
      <c r="A82" s="13" t="s">
        <v>428</v>
      </c>
      <c r="B82" s="13" t="s">
        <v>230</v>
      </c>
      <c r="C82" s="13" t="s">
        <v>231</v>
      </c>
      <c r="D82" s="13" t="s">
        <v>347</v>
      </c>
      <c r="E82" s="13">
        <v>10.7</v>
      </c>
      <c r="F82" s="6">
        <v>-1.796998E-3</v>
      </c>
      <c r="G82" s="6">
        <v>-1.914116E-3</v>
      </c>
      <c r="H82" s="6">
        <v>1.0945607476635519E-5</v>
      </c>
      <c r="I82" s="6">
        <v>-2.6110220000000002E-3</v>
      </c>
      <c r="J82" s="6">
        <v>-2.7933620000000002E-3</v>
      </c>
      <c r="K82" s="6">
        <v>1.7041121495327106E-5</v>
      </c>
      <c r="L82" s="6">
        <v>-2.3948210000000001E-3</v>
      </c>
      <c r="M82" s="6">
        <v>-2.5133080000000001E-3</v>
      </c>
      <c r="N82" s="6">
        <v>1.1073551401869162E-5</v>
      </c>
      <c r="O82" s="6">
        <v>-3.1815749999999999E-3</v>
      </c>
      <c r="P82" s="6">
        <v>-3.3639690000000001E-3</v>
      </c>
      <c r="Q82" s="6">
        <v>1.7046168224299087E-5</v>
      </c>
      <c r="R82" s="6">
        <v>-3.1485100000000002E-3</v>
      </c>
      <c r="S82" s="6">
        <v>-3.2416400000000001E-3</v>
      </c>
      <c r="T82" s="6">
        <v>8.7037383177569969E-6</v>
      </c>
      <c r="U82" s="6">
        <v>-3.0413229999999999E-3</v>
      </c>
      <c r="V82" s="6">
        <v>-3.2491519999999999E-3</v>
      </c>
      <c r="W82" s="6">
        <v>1.9423271028037392E-5</v>
      </c>
      <c r="X82" s="6">
        <v>-3.163571E-3</v>
      </c>
      <c r="Y82" s="6">
        <v>-3.241238E-3</v>
      </c>
      <c r="Z82" s="6">
        <v>7.2585981308411232E-6</v>
      </c>
      <c r="AA82" s="6">
        <v>-3.0318189999999998E-3</v>
      </c>
      <c r="AB82" s="6">
        <v>-3.2482980000000002E-3</v>
      </c>
      <c r="AC82" s="6">
        <v>2.0231682242990685E-5</v>
      </c>
      <c r="AD82" s="6">
        <v>-2.9530279999999999E-3</v>
      </c>
      <c r="AE82" s="6">
        <v>-3.2388569999999999E-3</v>
      </c>
      <c r="AF82" s="6">
        <v>2.6712990654205611E-5</v>
      </c>
      <c r="AG82" s="6">
        <v>-3.0608609999999998E-3</v>
      </c>
      <c r="AH82" s="6">
        <v>-3.2310920000000001E-3</v>
      </c>
      <c r="AI82" s="6">
        <v>1.5909439252336476E-5</v>
      </c>
      <c r="AJ82" s="6">
        <v>-2.9379670000000001E-3</v>
      </c>
      <c r="AK82" s="6">
        <v>-3.239259E-3</v>
      </c>
      <c r="AL82" s="6">
        <v>2.8158130841121487E-5</v>
      </c>
      <c r="AM82" s="6">
        <v>-3.0697200000000002E-3</v>
      </c>
      <c r="AN82" s="6">
        <v>-3.2321989999999998E-3</v>
      </c>
      <c r="AO82" s="6">
        <v>1.5184953271028006E-5</v>
      </c>
      <c r="AP82" s="6">
        <v>-2.8395650000000001E-3</v>
      </c>
      <c r="AQ82" s="6">
        <v>-2.918473E-3</v>
      </c>
      <c r="AR82" s="6">
        <v>7.3745794392523304E-6</v>
      </c>
      <c r="AS82" s="6">
        <v>-2.7317320000000002E-3</v>
      </c>
      <c r="AT82" s="6">
        <v>-2.9262390000000002E-3</v>
      </c>
      <c r="AU82" s="6">
        <v>1.8178224299065423E-5</v>
      </c>
      <c r="AV82" s="6">
        <v>-2.854625E-3</v>
      </c>
      <c r="AW82" s="6">
        <v>-2.9180719999999999E-3</v>
      </c>
      <c r="AX82" s="6">
        <v>5.9296261682242901E-6</v>
      </c>
      <c r="AY82" s="6">
        <v>-2.7228729999999998E-3</v>
      </c>
      <c r="AZ82" s="6">
        <v>-2.925132E-3</v>
      </c>
      <c r="BA82" s="6">
        <v>1.8902710280373854E-5</v>
      </c>
      <c r="BB82" s="6">
        <v>-2.6440830000000002E-3</v>
      </c>
      <c r="BC82" s="6">
        <v>-2.9156910000000002E-3</v>
      </c>
      <c r="BD82" s="6">
        <v>2.5383925233644861E-5</v>
      </c>
      <c r="BE82" s="6">
        <v>-2.7519150000000002E-3</v>
      </c>
      <c r="BF82" s="6">
        <v>-2.9079259999999999E-3</v>
      </c>
      <c r="BG82" s="6">
        <v>1.4580467289719602E-5</v>
      </c>
      <c r="BH82" s="6">
        <v>-2.629022E-3</v>
      </c>
      <c r="BI82" s="6">
        <v>-2.9160929999999998E-3</v>
      </c>
      <c r="BJ82" s="6">
        <v>2.6829065420560736E-5</v>
      </c>
      <c r="BK82" s="6">
        <v>-2.7607740000000001E-3</v>
      </c>
      <c r="BL82" s="6">
        <v>-2.9090330000000001E-3</v>
      </c>
      <c r="BM82" s="6">
        <v>1.3855981308411214E-5</v>
      </c>
      <c r="BN82" s="6">
        <v>-3.440528E-3</v>
      </c>
      <c r="BO82" s="6">
        <v>-3.617693E-3</v>
      </c>
      <c r="BP82" s="6">
        <v>1.6557476635514017E-5</v>
      </c>
      <c r="BQ82" s="6">
        <v>-3.408178E-3</v>
      </c>
      <c r="BR82" s="6">
        <v>-3.6200220000000001E-3</v>
      </c>
      <c r="BS82" s="6">
        <v>1.9798504672897208E-5</v>
      </c>
      <c r="BT82" s="6">
        <v>-3.4450459999999998E-3</v>
      </c>
      <c r="BU82" s="6">
        <v>-3.6175719999999999E-3</v>
      </c>
      <c r="BV82" s="6">
        <v>1.6123925233644872E-5</v>
      </c>
      <c r="BW82" s="6">
        <v>-3.40552E-3</v>
      </c>
      <c r="BX82" s="6">
        <v>-3.6196900000000001E-3</v>
      </c>
      <c r="BY82" s="6">
        <v>2.0015887850467297E-5</v>
      </c>
      <c r="BZ82" s="6">
        <v>-3.381883E-3</v>
      </c>
      <c r="CA82" s="6">
        <v>-3.6168580000000001E-3</v>
      </c>
      <c r="CB82" s="6">
        <v>2.1960280373831787E-5</v>
      </c>
      <c r="CC82" s="6">
        <v>-3.414233E-3</v>
      </c>
      <c r="CD82" s="6">
        <v>-3.6145280000000001E-3</v>
      </c>
      <c r="CE82" s="6">
        <v>1.871915887850468E-5</v>
      </c>
      <c r="CF82" s="6">
        <v>-3.3773649999999998E-3</v>
      </c>
      <c r="CG82" s="6">
        <v>-3.6169779999999999E-3</v>
      </c>
      <c r="CH82" s="6">
        <v>2.2393738317757017E-5</v>
      </c>
      <c r="CI82" s="6">
        <v>-3.416891E-3</v>
      </c>
      <c r="CJ82" s="6">
        <v>-3.6148600000000001E-3</v>
      </c>
      <c r="CK82" s="6">
        <v>1.8501775700934588E-5</v>
      </c>
      <c r="CL82" s="6">
        <v>-2.410709E-3</v>
      </c>
      <c r="CM82" s="6">
        <v>-2.5404730000000001E-3</v>
      </c>
      <c r="CN82" s="6">
        <v>1.2127476635514029E-5</v>
      </c>
      <c r="CO82" s="6">
        <v>-2.3783599999999999E-3</v>
      </c>
      <c r="CP82" s="6">
        <v>-2.5428030000000002E-3</v>
      </c>
      <c r="CQ82" s="6">
        <v>1.5368504672897218E-5</v>
      </c>
      <c r="CR82" s="6">
        <v>-2.4152269999999998E-3</v>
      </c>
      <c r="CS82" s="6">
        <v>-2.540353E-3</v>
      </c>
      <c r="CT82" s="6">
        <v>1.1694018691588799E-5</v>
      </c>
      <c r="CU82" s="6">
        <v>-2.3757019999999999E-3</v>
      </c>
      <c r="CV82" s="6">
        <v>-2.5424699999999998E-3</v>
      </c>
      <c r="CW82" s="6">
        <v>1.5585794392523354E-5</v>
      </c>
      <c r="CX82" s="6">
        <v>-2.352065E-3</v>
      </c>
      <c r="CY82" s="6">
        <v>-2.5396379999999999E-3</v>
      </c>
      <c r="CZ82" s="6">
        <v>1.7530186915887844E-5</v>
      </c>
      <c r="DA82" s="6">
        <v>-2.384415E-3</v>
      </c>
      <c r="DB82" s="6">
        <v>-2.5373079999999998E-3</v>
      </c>
      <c r="DC82" s="6">
        <v>1.4289065420560736E-5</v>
      </c>
      <c r="DD82" s="6">
        <v>-2.3475470000000002E-3</v>
      </c>
      <c r="DE82" s="6">
        <v>-2.5397589999999999E-3</v>
      </c>
      <c r="DF82" s="6">
        <v>1.796373831775699E-5</v>
      </c>
      <c r="DG82" s="6">
        <v>-2.3870720000000001E-3</v>
      </c>
      <c r="DH82" s="6">
        <v>-2.5376410000000002E-3</v>
      </c>
      <c r="DI82" s="6">
        <v>1.4071869158878519E-5</v>
      </c>
    </row>
    <row r="83" spans="1:113" x14ac:dyDescent="0.3">
      <c r="A83" s="13" t="s">
        <v>429</v>
      </c>
      <c r="B83" s="13" t="s">
        <v>268</v>
      </c>
      <c r="C83" s="13" t="s">
        <v>269</v>
      </c>
      <c r="D83" s="13" t="s">
        <v>347</v>
      </c>
      <c r="E83" s="13">
        <v>10.7</v>
      </c>
      <c r="F83" s="6">
        <v>-1.4655639999999999E-3</v>
      </c>
      <c r="G83" s="6">
        <v>-1.5377450000000001E-3</v>
      </c>
      <c r="H83" s="6">
        <v>6.7458878504673045E-6</v>
      </c>
      <c r="I83" s="6">
        <v>-2.1607620000000001E-3</v>
      </c>
      <c r="J83" s="6">
        <v>-2.2783669999999999E-3</v>
      </c>
      <c r="K83" s="6">
        <v>1.0991121495327085E-5</v>
      </c>
      <c r="L83" s="6">
        <v>-2.0787039999999998E-3</v>
      </c>
      <c r="M83" s="6">
        <v>-2.149485E-3</v>
      </c>
      <c r="N83" s="6">
        <v>6.6150467289719842E-6</v>
      </c>
      <c r="O83" s="6">
        <v>-2.7449280000000002E-3</v>
      </c>
      <c r="P83" s="6">
        <v>-2.860961E-3</v>
      </c>
      <c r="Q83" s="6">
        <v>1.0844205607476614E-5</v>
      </c>
      <c r="R83" s="6">
        <v>-2.684643E-3</v>
      </c>
      <c r="S83" s="6">
        <v>-2.7701539999999999E-3</v>
      </c>
      <c r="T83" s="6">
        <v>7.991682242990648E-6</v>
      </c>
      <c r="U83" s="6">
        <v>-2.8026829999999998E-3</v>
      </c>
      <c r="V83" s="6">
        <v>-2.9149110000000001E-3</v>
      </c>
      <c r="W83" s="6">
        <v>1.0488598130841145E-5</v>
      </c>
      <c r="X83" s="6">
        <v>-2.7280210000000002E-3</v>
      </c>
      <c r="Y83" s="6">
        <v>-2.776686E-3</v>
      </c>
      <c r="Z83" s="6">
        <v>4.548130841121479E-6</v>
      </c>
      <c r="AA83" s="6">
        <v>-2.7703210000000001E-3</v>
      </c>
      <c r="AB83" s="6">
        <v>-2.9072099999999999E-3</v>
      </c>
      <c r="AC83" s="6">
        <v>1.2793364485981294E-5</v>
      </c>
      <c r="AD83" s="6">
        <v>-2.4925730000000001E-3</v>
      </c>
      <c r="AE83" s="6">
        <v>-2.649134E-3</v>
      </c>
      <c r="AF83" s="6">
        <v>1.46318691588785E-5</v>
      </c>
      <c r="AG83" s="6">
        <v>-2.381635E-3</v>
      </c>
      <c r="AH83" s="6">
        <v>-2.5081359999999998E-3</v>
      </c>
      <c r="AI83" s="6">
        <v>1.1822523364485962E-5</v>
      </c>
      <c r="AJ83" s="6">
        <v>-2.449194E-3</v>
      </c>
      <c r="AK83" s="6">
        <v>-2.6426029999999999E-3</v>
      </c>
      <c r="AL83" s="6">
        <v>1.8075607476635502E-5</v>
      </c>
      <c r="AM83" s="6">
        <v>-2.4068940000000001E-3</v>
      </c>
      <c r="AN83" s="6">
        <v>-2.5120780000000001E-3</v>
      </c>
      <c r="AO83" s="6">
        <v>9.830280373831769E-6</v>
      </c>
      <c r="AP83" s="6">
        <v>-2.4131170000000002E-3</v>
      </c>
      <c r="AQ83" s="6">
        <v>-2.4901939999999998E-3</v>
      </c>
      <c r="AR83" s="6">
        <v>7.2034579439251982E-6</v>
      </c>
      <c r="AS83" s="6">
        <v>-2.524054E-3</v>
      </c>
      <c r="AT83" s="6">
        <v>-2.6311920000000001E-3</v>
      </c>
      <c r="AU83" s="6">
        <v>1.0012897196261693E-5</v>
      </c>
      <c r="AV83" s="6">
        <v>-2.4564949999999999E-3</v>
      </c>
      <c r="AW83" s="6">
        <v>-2.496725E-3</v>
      </c>
      <c r="AX83" s="6">
        <v>3.7598130841121535E-6</v>
      </c>
      <c r="AY83" s="6">
        <v>-2.4987949999999998E-3</v>
      </c>
      <c r="AZ83" s="6">
        <v>-2.6272499999999998E-3</v>
      </c>
      <c r="BA83" s="6">
        <v>1.2005140186915886E-5</v>
      </c>
      <c r="BB83" s="6">
        <v>-2.2210469999999999E-3</v>
      </c>
      <c r="BC83" s="6">
        <v>-2.3691739999999999E-3</v>
      </c>
      <c r="BD83" s="6">
        <v>1.3843644859813092E-5</v>
      </c>
      <c r="BE83" s="6">
        <v>-2.1101090000000002E-3</v>
      </c>
      <c r="BF83" s="6">
        <v>-2.2281760000000001E-3</v>
      </c>
      <c r="BG83" s="6">
        <v>1.1034299065420553E-5</v>
      </c>
      <c r="BH83" s="6">
        <v>-2.1776679999999998E-3</v>
      </c>
      <c r="BI83" s="6">
        <v>-2.3626419999999999E-3</v>
      </c>
      <c r="BJ83" s="6">
        <v>1.7287289719626178E-5</v>
      </c>
      <c r="BK83" s="6">
        <v>-2.1353689999999998E-3</v>
      </c>
      <c r="BL83" s="6">
        <v>-2.2321179999999999E-3</v>
      </c>
      <c r="BM83" s="6">
        <v>9.0419626168224435E-6</v>
      </c>
      <c r="BN83" s="6">
        <v>-2.9341979999999998E-3</v>
      </c>
      <c r="BO83" s="6">
        <v>-3.0544169999999998E-3</v>
      </c>
      <c r="BP83" s="6">
        <v>1.1235420560747662E-5</v>
      </c>
      <c r="BQ83" s="6">
        <v>-2.9674800000000002E-3</v>
      </c>
      <c r="BR83" s="6">
        <v>-3.0967170000000001E-3</v>
      </c>
      <c r="BS83" s="6">
        <v>1.2078224299065415E-5</v>
      </c>
      <c r="BT83" s="6">
        <v>-2.9472119999999998E-3</v>
      </c>
      <c r="BU83" s="6">
        <v>-3.0563769999999999E-3</v>
      </c>
      <c r="BV83" s="6">
        <v>1.0202336448598136E-5</v>
      </c>
      <c r="BW83" s="6">
        <v>-2.9599019999999999E-3</v>
      </c>
      <c r="BX83" s="6">
        <v>-3.095534E-3</v>
      </c>
      <c r="BY83" s="6">
        <v>1.2675887850467301E-5</v>
      </c>
      <c r="BZ83" s="6">
        <v>-2.876577E-3</v>
      </c>
      <c r="CA83" s="6">
        <v>-3.018111E-3</v>
      </c>
      <c r="CB83" s="6">
        <v>1.3227476635514022E-5</v>
      </c>
      <c r="CC83" s="6">
        <v>-2.8432959999999999E-3</v>
      </c>
      <c r="CD83" s="6">
        <v>-2.975812E-3</v>
      </c>
      <c r="CE83" s="6">
        <v>1.2384672897196268E-5</v>
      </c>
      <c r="CF83" s="6">
        <v>-2.8635639999999999E-3</v>
      </c>
      <c r="CG83" s="6">
        <v>-3.0161519999999998E-3</v>
      </c>
      <c r="CH83" s="6">
        <v>1.4260560747663547E-5</v>
      </c>
      <c r="CI83" s="6">
        <v>-2.8508740000000002E-3</v>
      </c>
      <c r="CJ83" s="6">
        <v>-2.9769950000000001E-3</v>
      </c>
      <c r="CK83" s="6">
        <v>1.1787009345794381E-5</v>
      </c>
      <c r="CL83" s="6">
        <v>-2.029112E-3</v>
      </c>
      <c r="CM83" s="6">
        <v>-2.1212169999999999E-3</v>
      </c>
      <c r="CN83" s="6">
        <v>8.6079439252336348E-6</v>
      </c>
      <c r="CO83" s="6">
        <v>-2.062393E-3</v>
      </c>
      <c r="CP83" s="6">
        <v>-2.1635159999999999E-3</v>
      </c>
      <c r="CQ83" s="6">
        <v>9.4507476635513869E-6</v>
      </c>
      <c r="CR83" s="6">
        <v>-2.0421250000000001E-3</v>
      </c>
      <c r="CS83" s="6">
        <v>-2.1231760000000001E-3</v>
      </c>
      <c r="CT83" s="6">
        <v>7.5748598130841086E-6</v>
      </c>
      <c r="CU83" s="6">
        <v>-2.0548150000000002E-3</v>
      </c>
      <c r="CV83" s="6">
        <v>-2.1623329999999998E-3</v>
      </c>
      <c r="CW83" s="6">
        <v>1.0048411214953234E-5</v>
      </c>
      <c r="CX83" s="6">
        <v>-1.9714910000000001E-3</v>
      </c>
      <c r="CY83" s="6">
        <v>-2.0849100000000001E-3</v>
      </c>
      <c r="CZ83" s="6">
        <v>1.0599906542056078E-5</v>
      </c>
      <c r="DA83" s="6">
        <v>-1.9382100000000001E-3</v>
      </c>
      <c r="DB83" s="6">
        <v>-2.0426110000000002E-3</v>
      </c>
      <c r="DC83" s="6">
        <v>9.7571028037383241E-6</v>
      </c>
      <c r="DD83" s="6">
        <v>-1.9584770000000001E-3</v>
      </c>
      <c r="DE83" s="6">
        <v>-2.082951E-3</v>
      </c>
      <c r="DF83" s="6">
        <v>1.163308411214952E-5</v>
      </c>
      <c r="DG83" s="6">
        <v>-1.945787E-3</v>
      </c>
      <c r="DH83" s="6">
        <v>-2.0437939999999998E-3</v>
      </c>
      <c r="DI83" s="6">
        <v>9.1595327102803539E-6</v>
      </c>
    </row>
    <row r="84" spans="1:113" x14ac:dyDescent="0.3">
      <c r="A84" s="13" t="s">
        <v>430</v>
      </c>
      <c r="B84" s="13" t="s">
        <v>289</v>
      </c>
      <c r="C84" s="13" t="s">
        <v>323</v>
      </c>
      <c r="D84" s="13" t="s">
        <v>347</v>
      </c>
      <c r="E84" s="13">
        <v>5.75</v>
      </c>
      <c r="F84" s="6">
        <v>-8.2939060000000004E-4</v>
      </c>
      <c r="G84" s="6">
        <v>-1.4354070000000001E-3</v>
      </c>
      <c r="H84" s="6">
        <v>1.0539415652173913E-4</v>
      </c>
      <c r="I84" s="6">
        <v>-1.3048459999999999E-3</v>
      </c>
      <c r="J84" s="6">
        <v>-1.7923010000000001E-3</v>
      </c>
      <c r="K84" s="6">
        <v>8.4774782608695675E-5</v>
      </c>
      <c r="L84" s="6">
        <v>-1.4380529999999999E-3</v>
      </c>
      <c r="M84" s="6">
        <v>-1.8285179999999999E-3</v>
      </c>
      <c r="N84" s="6">
        <v>6.7906956521739131E-5</v>
      </c>
      <c r="O84" s="6">
        <v>-1.884513E-3</v>
      </c>
      <c r="P84" s="6">
        <v>-2.1667359999999998E-3</v>
      </c>
      <c r="Q84" s="6">
        <v>4.9082260869565189E-5</v>
      </c>
      <c r="R84" s="6">
        <v>-1.773979E-3</v>
      </c>
      <c r="S84" s="6">
        <v>-2.0685909999999998E-3</v>
      </c>
      <c r="T84" s="6">
        <v>5.1236869565217367E-5</v>
      </c>
      <c r="U84" s="6">
        <v>-1.9849780000000001E-3</v>
      </c>
      <c r="V84" s="6">
        <v>-2.2987889999999999E-3</v>
      </c>
      <c r="W84" s="6">
        <v>5.4575826086956482E-5</v>
      </c>
      <c r="X84" s="6">
        <v>-1.803378E-3</v>
      </c>
      <c r="Y84" s="6">
        <v>-2.0658529999999999E-3</v>
      </c>
      <c r="Z84" s="6">
        <v>4.5647826086956495E-5</v>
      </c>
      <c r="AA84" s="6">
        <v>-1.9649699999999999E-3</v>
      </c>
      <c r="AB84" s="6">
        <v>-2.3535399999999999E-3</v>
      </c>
      <c r="AC84" s="6">
        <v>6.7577391304347818E-5</v>
      </c>
      <c r="AD84" s="6">
        <v>-1.609858E-3</v>
      </c>
      <c r="AE84" s="6">
        <v>-2.1240220000000001E-3</v>
      </c>
      <c r="AF84" s="6">
        <v>8.9419826086956536E-5</v>
      </c>
      <c r="AG84" s="6">
        <v>-1.4017509999999999E-3</v>
      </c>
      <c r="AH84" s="6">
        <v>-1.8406710000000001E-3</v>
      </c>
      <c r="AI84" s="6">
        <v>7.6333913043478296E-5</v>
      </c>
      <c r="AJ84" s="6">
        <v>-1.580459E-3</v>
      </c>
      <c r="AK84" s="6">
        <v>-2.1267600000000001E-3</v>
      </c>
      <c r="AL84" s="6">
        <v>9.5008869565217408E-5</v>
      </c>
      <c r="AM84" s="6">
        <v>-1.4188670000000001E-3</v>
      </c>
      <c r="AN84" s="6">
        <v>-1.839072E-3</v>
      </c>
      <c r="AO84" s="6">
        <v>7.3079130434782586E-5</v>
      </c>
      <c r="AP84" s="6">
        <v>-1.5795010000000001E-3</v>
      </c>
      <c r="AQ84" s="6">
        <v>-1.835015E-3</v>
      </c>
      <c r="AR84" s="6">
        <v>4.4437217391304328E-5</v>
      </c>
      <c r="AS84" s="6">
        <v>-1.787608E-3</v>
      </c>
      <c r="AT84" s="6">
        <v>-2.1183669999999999E-3</v>
      </c>
      <c r="AU84" s="6">
        <v>5.7523304347826073E-5</v>
      </c>
      <c r="AV84" s="6">
        <v>-1.6088999999999999E-3</v>
      </c>
      <c r="AW84" s="6">
        <v>-1.832277E-3</v>
      </c>
      <c r="AX84" s="6">
        <v>3.884817391304349E-5</v>
      </c>
      <c r="AY84" s="6">
        <v>-1.770492E-3</v>
      </c>
      <c r="AZ84" s="6">
        <v>-2.1199650000000001E-3</v>
      </c>
      <c r="BA84" s="6">
        <v>6.0777913043478278E-5</v>
      </c>
      <c r="BB84" s="6">
        <v>-1.4153799999999999E-3</v>
      </c>
      <c r="BC84" s="6">
        <v>-1.8904460000000001E-3</v>
      </c>
      <c r="BD84" s="6">
        <v>8.2620173913043504E-5</v>
      </c>
      <c r="BE84" s="6">
        <v>-1.207273E-3</v>
      </c>
      <c r="BF84" s="6">
        <v>-1.607095E-3</v>
      </c>
      <c r="BG84" s="6">
        <v>6.9534260869565209E-5</v>
      </c>
      <c r="BH84" s="6">
        <v>-1.3859810000000001E-3</v>
      </c>
      <c r="BI84" s="6">
        <v>-1.893184E-3</v>
      </c>
      <c r="BJ84" s="6">
        <v>8.8209217391304335E-5</v>
      </c>
      <c r="BK84" s="6">
        <v>-1.224389E-3</v>
      </c>
      <c r="BL84" s="6">
        <v>-1.605497E-3</v>
      </c>
      <c r="BM84" s="6">
        <v>6.6279652173913039E-5</v>
      </c>
      <c r="BN84" s="6">
        <v>-1.943427E-3</v>
      </c>
      <c r="BO84" s="6">
        <v>-2.360497E-3</v>
      </c>
      <c r="BP84" s="6">
        <v>7.2533913043478271E-5</v>
      </c>
      <c r="BQ84" s="6">
        <v>-2.005859E-3</v>
      </c>
      <c r="BR84" s="6">
        <v>-2.445502E-3</v>
      </c>
      <c r="BS84" s="6">
        <v>7.645965217391304E-5</v>
      </c>
      <c r="BT84" s="6">
        <v>-1.9522470000000001E-3</v>
      </c>
      <c r="BU84" s="6">
        <v>-2.3596749999999999E-3</v>
      </c>
      <c r="BV84" s="6">
        <v>7.0857043478260844E-5</v>
      </c>
      <c r="BW84" s="6">
        <v>-2.0007240000000002E-3</v>
      </c>
      <c r="BX84" s="6">
        <v>-2.4459820000000002E-3</v>
      </c>
      <c r="BY84" s="6">
        <v>7.743617391304348E-5</v>
      </c>
      <c r="BZ84" s="6">
        <v>-1.8941909999999999E-3</v>
      </c>
      <c r="CA84" s="6">
        <v>-2.3771259999999998E-3</v>
      </c>
      <c r="CB84" s="6">
        <v>8.3988695652173896E-5</v>
      </c>
      <c r="CC84" s="6">
        <v>-1.8317590000000001E-3</v>
      </c>
      <c r="CD84" s="6">
        <v>-2.2921209999999998E-3</v>
      </c>
      <c r="CE84" s="6">
        <v>8.0062956521739087E-5</v>
      </c>
      <c r="CF84" s="6">
        <v>-1.8853710000000001E-3</v>
      </c>
      <c r="CG84" s="6">
        <v>-2.377948E-3</v>
      </c>
      <c r="CH84" s="6">
        <v>8.5665565217391283E-5</v>
      </c>
      <c r="CI84" s="6">
        <v>-1.836893E-3</v>
      </c>
      <c r="CJ84" s="6">
        <v>-2.2916410000000001E-3</v>
      </c>
      <c r="CK84" s="6">
        <v>7.9086608695652186E-5</v>
      </c>
      <c r="CL84" s="6">
        <v>-1.295168E-3</v>
      </c>
      <c r="CM84" s="6">
        <v>-1.5819110000000001E-3</v>
      </c>
      <c r="CN84" s="6">
        <v>4.9868347826086975E-5</v>
      </c>
      <c r="CO84" s="6">
        <v>-1.3576E-3</v>
      </c>
      <c r="CP84" s="6">
        <v>-1.6669160000000001E-3</v>
      </c>
      <c r="CQ84" s="6">
        <v>5.3794086956521743E-5</v>
      </c>
      <c r="CR84" s="6">
        <v>-1.3039880000000001E-3</v>
      </c>
      <c r="CS84" s="6">
        <v>-1.5810889999999999E-3</v>
      </c>
      <c r="CT84" s="6">
        <v>4.819147826086954E-5</v>
      </c>
      <c r="CU84" s="6">
        <v>-1.3524660000000001E-3</v>
      </c>
      <c r="CV84" s="6">
        <v>-1.667396E-3</v>
      </c>
      <c r="CW84" s="6">
        <v>5.4770434782608685E-5</v>
      </c>
      <c r="CX84" s="6">
        <v>-1.2459319999999999E-3</v>
      </c>
      <c r="CY84" s="6">
        <v>-1.5985400000000001E-3</v>
      </c>
      <c r="CZ84" s="6">
        <v>6.1323130434782626E-5</v>
      </c>
      <c r="DA84" s="6">
        <v>-1.1835000000000001E-3</v>
      </c>
      <c r="DB84" s="6">
        <v>-1.5135350000000001E-3</v>
      </c>
      <c r="DC84" s="6">
        <v>5.7397391304347824E-5</v>
      </c>
      <c r="DD84" s="6">
        <v>-1.2371120000000001E-3</v>
      </c>
      <c r="DE84" s="6">
        <v>-1.599362E-3</v>
      </c>
      <c r="DF84" s="6">
        <v>6.2999999999999986E-5</v>
      </c>
      <c r="DG84" s="6">
        <v>-1.188635E-3</v>
      </c>
      <c r="DH84" s="6">
        <v>-1.5130549999999999E-3</v>
      </c>
      <c r="DI84" s="6">
        <v>5.6420869565217383E-5</v>
      </c>
    </row>
    <row r="85" spans="1:113" x14ac:dyDescent="0.3">
      <c r="A85" s="13" t="s">
        <v>431</v>
      </c>
      <c r="B85" s="13" t="s">
        <v>95</v>
      </c>
      <c r="C85" s="13" t="s">
        <v>97</v>
      </c>
      <c r="D85" s="13" t="s">
        <v>364</v>
      </c>
      <c r="E85" s="13">
        <v>11</v>
      </c>
      <c r="F85" s="6">
        <v>-3.05099E-3</v>
      </c>
      <c r="G85" s="6">
        <v>-2.4298470000000002E-3</v>
      </c>
      <c r="H85" s="6">
        <v>5.6467545454545436E-5</v>
      </c>
      <c r="I85" s="6">
        <v>-4.3575890000000003E-3</v>
      </c>
      <c r="J85" s="6">
        <v>-3.4692389999999998E-3</v>
      </c>
      <c r="K85" s="6">
        <v>8.0759090909090941E-5</v>
      </c>
      <c r="L85" s="6">
        <v>-3.6629470000000002E-3</v>
      </c>
      <c r="M85" s="6">
        <v>-3.0529279999999999E-3</v>
      </c>
      <c r="N85" s="6">
        <v>5.5456272727272751E-5</v>
      </c>
      <c r="O85" s="6">
        <v>-4.940318E-3</v>
      </c>
      <c r="P85" s="6">
        <v>-4.0626539999999997E-3</v>
      </c>
      <c r="Q85" s="6">
        <v>7.9787636363636387E-5</v>
      </c>
      <c r="R85" s="6">
        <v>-4.807965E-3</v>
      </c>
      <c r="S85" s="6">
        <v>-4.5538200000000001E-3</v>
      </c>
      <c r="T85" s="6">
        <v>2.3104090909090898E-5</v>
      </c>
      <c r="U85" s="6">
        <v>-4.848682E-3</v>
      </c>
      <c r="V85" s="6">
        <v>-4.0042360000000004E-3</v>
      </c>
      <c r="W85" s="6">
        <v>7.6767818181818146E-5</v>
      </c>
      <c r="X85" s="6">
        <v>-4.8248090000000002E-3</v>
      </c>
      <c r="Y85" s="6">
        <v>-4.4426450000000003E-3</v>
      </c>
      <c r="Z85" s="6">
        <v>3.4742181818181815E-5</v>
      </c>
      <c r="AA85" s="6">
        <v>-4.8440030000000004E-3</v>
      </c>
      <c r="AB85" s="6">
        <v>-4.0750029999999998E-3</v>
      </c>
      <c r="AC85" s="6">
        <v>6.9909090909090962E-5</v>
      </c>
      <c r="AD85" s="6">
        <v>-4.951525E-3</v>
      </c>
      <c r="AE85" s="6">
        <v>-3.3668539999999999E-3</v>
      </c>
      <c r="AF85" s="6">
        <v>1.4406100000000002E-4</v>
      </c>
      <c r="AG85" s="6">
        <v>-4.9089870000000001E-3</v>
      </c>
      <c r="AH85" s="6">
        <v>-3.906634E-3</v>
      </c>
      <c r="AI85" s="6">
        <v>9.1123000000000015E-5</v>
      </c>
      <c r="AJ85" s="6">
        <v>-4.9346800000000003E-3</v>
      </c>
      <c r="AK85" s="6">
        <v>-3.47803E-3</v>
      </c>
      <c r="AL85" s="6">
        <v>1.324227272727273E-4</v>
      </c>
      <c r="AM85" s="6">
        <v>-4.9154860000000002E-3</v>
      </c>
      <c r="AN85" s="6">
        <v>-3.8456710000000002E-3</v>
      </c>
      <c r="AO85" s="6">
        <v>9.7255909090909095E-5</v>
      </c>
      <c r="AP85" s="6">
        <v>-4.346384E-3</v>
      </c>
      <c r="AQ85" s="6">
        <v>-4.1650380000000002E-3</v>
      </c>
      <c r="AR85" s="6">
        <v>1.6485999999999977E-5</v>
      </c>
      <c r="AS85" s="6">
        <v>-4.3889209999999996E-3</v>
      </c>
      <c r="AT85" s="6">
        <v>-3.6252580000000001E-3</v>
      </c>
      <c r="AU85" s="6">
        <v>6.942390909090904E-5</v>
      </c>
      <c r="AV85" s="6">
        <v>-4.3632289999999997E-3</v>
      </c>
      <c r="AW85" s="6">
        <v>-4.0538620000000001E-3</v>
      </c>
      <c r="AX85" s="6">
        <v>2.8124272727272695E-5</v>
      </c>
      <c r="AY85" s="6">
        <v>-4.3824229999999999E-3</v>
      </c>
      <c r="AZ85" s="6">
        <v>-3.6862209999999999E-3</v>
      </c>
      <c r="BA85" s="6">
        <v>6.3291090909090898E-5</v>
      </c>
      <c r="BB85" s="6">
        <v>-4.4899440000000001E-3</v>
      </c>
      <c r="BC85" s="6">
        <v>-2.978072E-3</v>
      </c>
      <c r="BD85" s="6">
        <v>1.3744290909090909E-4</v>
      </c>
      <c r="BE85" s="6">
        <v>-4.4474069999999996E-3</v>
      </c>
      <c r="BF85" s="6">
        <v>-3.5178520000000001E-3</v>
      </c>
      <c r="BG85" s="6">
        <v>8.4504999999999951E-5</v>
      </c>
      <c r="BH85" s="6">
        <v>-4.4730990000000003E-3</v>
      </c>
      <c r="BI85" s="6">
        <v>-3.0892480000000002E-3</v>
      </c>
      <c r="BJ85" s="6">
        <v>1.2580463636363638E-4</v>
      </c>
      <c r="BK85" s="6">
        <v>-4.4539050000000002E-3</v>
      </c>
      <c r="BL85" s="6">
        <v>-3.4568889999999999E-3</v>
      </c>
      <c r="BM85" s="6">
        <v>9.0637818181818215E-5</v>
      </c>
      <c r="BN85" s="6">
        <v>-5.3967219999999996E-3</v>
      </c>
      <c r="BO85" s="6">
        <v>-4.5919619999999998E-3</v>
      </c>
      <c r="BP85" s="6">
        <v>7.3159999999999984E-5</v>
      </c>
      <c r="BQ85" s="6">
        <v>-5.4094829999999997E-3</v>
      </c>
      <c r="BR85" s="6">
        <v>-4.4300279999999999E-3</v>
      </c>
      <c r="BS85" s="6">
        <v>8.9041363636363618E-5</v>
      </c>
      <c r="BT85" s="6">
        <v>-5.4017750000000002E-3</v>
      </c>
      <c r="BU85" s="6">
        <v>-4.5586089999999999E-3</v>
      </c>
      <c r="BV85" s="6">
        <v>7.6651454545454561E-5</v>
      </c>
      <c r="BW85" s="6">
        <v>-5.407533E-3</v>
      </c>
      <c r="BX85" s="6">
        <v>-4.4483170000000002E-3</v>
      </c>
      <c r="BY85" s="6">
        <v>8.720145454545452E-5</v>
      </c>
      <c r="BZ85" s="6">
        <v>-5.4397899999999999E-3</v>
      </c>
      <c r="CA85" s="6">
        <v>-4.2358719999999999E-3</v>
      </c>
      <c r="CB85" s="6">
        <v>1.0944709090909091E-4</v>
      </c>
      <c r="CC85" s="6">
        <v>-5.4270289999999999E-3</v>
      </c>
      <c r="CD85" s="6">
        <v>-4.3978059999999998E-3</v>
      </c>
      <c r="CE85" s="6">
        <v>9.3565727272727287E-5</v>
      </c>
      <c r="CF85" s="6">
        <v>-5.4347359999999999E-3</v>
      </c>
      <c r="CG85" s="6">
        <v>-4.2692249999999998E-3</v>
      </c>
      <c r="CH85" s="6">
        <v>1.0595554545454547E-4</v>
      </c>
      <c r="CI85" s="6">
        <v>-5.4289780000000001E-3</v>
      </c>
      <c r="CJ85" s="6">
        <v>-4.3795170000000003E-3</v>
      </c>
      <c r="CK85" s="6">
        <v>9.5405545454545435E-5</v>
      </c>
      <c r="CL85" s="6">
        <v>-3.8581190000000001E-3</v>
      </c>
      <c r="CM85" s="6">
        <v>-3.2960200000000002E-3</v>
      </c>
      <c r="CN85" s="6">
        <v>5.1099909090909085E-5</v>
      </c>
      <c r="CO85" s="6">
        <v>-3.8708800000000002E-3</v>
      </c>
      <c r="CP85" s="6">
        <v>-3.1340859999999999E-3</v>
      </c>
      <c r="CQ85" s="6">
        <v>6.6981272727272746E-5</v>
      </c>
      <c r="CR85" s="6">
        <v>-3.8631730000000001E-3</v>
      </c>
      <c r="CS85" s="6">
        <v>-3.2626669999999999E-3</v>
      </c>
      <c r="CT85" s="6">
        <v>5.4591454545454566E-5</v>
      </c>
      <c r="CU85" s="6">
        <v>-3.8689309999999999E-3</v>
      </c>
      <c r="CV85" s="6">
        <v>-3.1523749999999998E-3</v>
      </c>
      <c r="CW85" s="6">
        <v>6.5141454545454558E-5</v>
      </c>
      <c r="CX85" s="6">
        <v>-3.901187E-3</v>
      </c>
      <c r="CY85" s="6">
        <v>-2.9399299999999999E-3</v>
      </c>
      <c r="CZ85" s="6">
        <v>8.7387000000000009E-5</v>
      </c>
      <c r="DA85" s="6">
        <v>-3.8884259999999999E-3</v>
      </c>
      <c r="DB85" s="6">
        <v>-3.1018640000000002E-3</v>
      </c>
      <c r="DC85" s="6">
        <v>7.1505636363636347E-5</v>
      </c>
      <c r="DD85" s="6">
        <v>-3.8961339999999999E-3</v>
      </c>
      <c r="DE85" s="6">
        <v>-2.9732830000000002E-3</v>
      </c>
      <c r="DF85" s="6">
        <v>8.3895545454545432E-5</v>
      </c>
      <c r="DG85" s="6">
        <v>-3.8903760000000001E-3</v>
      </c>
      <c r="DH85" s="6">
        <v>-3.0835749999999999E-3</v>
      </c>
      <c r="DI85" s="6">
        <v>7.3345545454545473E-5</v>
      </c>
    </row>
    <row r="86" spans="1:113" x14ac:dyDescent="0.3">
      <c r="A86" s="13" t="s">
        <v>432</v>
      </c>
      <c r="B86" s="13" t="s">
        <v>131</v>
      </c>
      <c r="C86" s="13" t="s">
        <v>133</v>
      </c>
      <c r="D86" s="13" t="s">
        <v>364</v>
      </c>
      <c r="E86" s="13">
        <v>11</v>
      </c>
      <c r="F86" s="6">
        <v>-3.4312180000000002E-3</v>
      </c>
      <c r="G86" s="6">
        <v>-2.9870460000000001E-3</v>
      </c>
      <c r="H86" s="6">
        <v>4.0379272727272732E-5</v>
      </c>
      <c r="I86" s="6">
        <v>-4.8036099999999998E-3</v>
      </c>
      <c r="J86" s="6">
        <v>-4.1254910000000002E-3</v>
      </c>
      <c r="K86" s="6">
        <v>6.1647181818181782E-5</v>
      </c>
      <c r="L86" s="6">
        <v>-4.0310509999999999E-3</v>
      </c>
      <c r="M86" s="6">
        <v>-3.5983569999999999E-3</v>
      </c>
      <c r="N86" s="6">
        <v>3.9335818181818176E-5</v>
      </c>
      <c r="O86" s="6">
        <v>-5.3748219999999996E-3</v>
      </c>
      <c r="P86" s="6">
        <v>-4.7076949999999996E-3</v>
      </c>
      <c r="Q86" s="6">
        <v>6.0647909090909089E-5</v>
      </c>
      <c r="R86" s="6">
        <v>-5.2656960000000003E-3</v>
      </c>
      <c r="S86" s="6">
        <v>-5.2529250000000003E-3</v>
      </c>
      <c r="T86" s="6">
        <v>1.1609999999999966E-6</v>
      </c>
      <c r="U86" s="6">
        <v>-5.3371709999999999E-3</v>
      </c>
      <c r="V86" s="6">
        <v>-4.6782760000000003E-3</v>
      </c>
      <c r="W86" s="6">
        <v>5.9899545454545419E-5</v>
      </c>
      <c r="X86" s="6">
        <v>-5.2731139999999998E-3</v>
      </c>
      <c r="Y86" s="6">
        <v>-5.1953119999999997E-3</v>
      </c>
      <c r="Z86" s="6">
        <v>7.0729090909090978E-6</v>
      </c>
      <c r="AA86" s="6">
        <v>-5.334297E-3</v>
      </c>
      <c r="AB86" s="6">
        <v>-4.7145670000000002E-3</v>
      </c>
      <c r="AC86" s="6">
        <v>5.6339090909090887E-5</v>
      </c>
      <c r="AD86" s="6">
        <v>-5.4180549999999997E-3</v>
      </c>
      <c r="AE86" s="6">
        <v>-4.0340710000000002E-3</v>
      </c>
      <c r="AF86" s="6">
        <v>1.2581672727272723E-4</v>
      </c>
      <c r="AG86" s="6">
        <v>-5.3466440000000002E-3</v>
      </c>
      <c r="AH86" s="6">
        <v>-4.6042610000000001E-3</v>
      </c>
      <c r="AI86" s="6">
        <v>6.7489363636363646E-5</v>
      </c>
      <c r="AJ86" s="6">
        <v>-5.4106370000000003E-3</v>
      </c>
      <c r="AK86" s="6">
        <v>-4.0916839999999999E-3</v>
      </c>
      <c r="AL86" s="6">
        <v>1.199048181818182E-4</v>
      </c>
      <c r="AM86" s="6">
        <v>-5.349454E-3</v>
      </c>
      <c r="AN86" s="6">
        <v>-4.5724290000000003E-3</v>
      </c>
      <c r="AO86" s="6">
        <v>7.0638636363636343E-5</v>
      </c>
      <c r="AP86" s="6">
        <v>-4.760378E-3</v>
      </c>
      <c r="AQ86" s="6">
        <v>-4.7991149999999996E-3</v>
      </c>
      <c r="AR86" s="6">
        <v>3.5215454545454206E-6</v>
      </c>
      <c r="AS86" s="6">
        <v>-4.8317899999999999E-3</v>
      </c>
      <c r="AT86" s="6">
        <v>-4.2289240000000002E-3</v>
      </c>
      <c r="AU86" s="6">
        <v>5.480599999999997E-5</v>
      </c>
      <c r="AV86" s="6">
        <v>-4.7677960000000004E-3</v>
      </c>
      <c r="AW86" s="6">
        <v>-4.7415019999999999E-3</v>
      </c>
      <c r="AX86" s="6">
        <v>2.390363636363681E-6</v>
      </c>
      <c r="AY86" s="6">
        <v>-4.8289789999999997E-3</v>
      </c>
      <c r="AZ86" s="6">
        <v>-4.2607570000000004E-3</v>
      </c>
      <c r="BA86" s="6">
        <v>5.165654545454539E-5</v>
      </c>
      <c r="BB86" s="6">
        <v>-4.9127370000000004E-3</v>
      </c>
      <c r="BC86" s="6">
        <v>-3.5802609999999999E-3</v>
      </c>
      <c r="BD86" s="6">
        <v>1.2113418181818186E-4</v>
      </c>
      <c r="BE86" s="6">
        <v>-4.841326E-3</v>
      </c>
      <c r="BF86" s="6">
        <v>-4.1504510000000003E-3</v>
      </c>
      <c r="BG86" s="6">
        <v>6.2806818181818149E-5</v>
      </c>
      <c r="BH86" s="6">
        <v>-4.905319E-3</v>
      </c>
      <c r="BI86" s="6">
        <v>-3.6378729999999998E-3</v>
      </c>
      <c r="BJ86" s="6">
        <v>1.1522236363636366E-4</v>
      </c>
      <c r="BK86" s="6">
        <v>-4.8441359999999998E-3</v>
      </c>
      <c r="BL86" s="6">
        <v>-4.1186189999999996E-3</v>
      </c>
      <c r="BM86" s="6">
        <v>6.5956090909090928E-5</v>
      </c>
      <c r="BN86" s="6">
        <v>-5.9085589999999999E-3</v>
      </c>
      <c r="BO86" s="6">
        <v>-5.3557709999999996E-3</v>
      </c>
      <c r="BP86" s="6">
        <v>5.0253454545454568E-5</v>
      </c>
      <c r="BQ86" s="6">
        <v>-5.9299829999999998E-3</v>
      </c>
      <c r="BR86" s="6">
        <v>-5.184714E-3</v>
      </c>
      <c r="BS86" s="6">
        <v>6.7751727272727253E-5</v>
      </c>
      <c r="BT86" s="6">
        <v>-5.9107839999999997E-3</v>
      </c>
      <c r="BU86" s="6">
        <v>-5.3384870000000003E-3</v>
      </c>
      <c r="BV86" s="6">
        <v>5.2026999999999948E-5</v>
      </c>
      <c r="BW86" s="6">
        <v>-5.9291389999999999E-3</v>
      </c>
      <c r="BX86" s="6">
        <v>-5.1942639999999997E-3</v>
      </c>
      <c r="BY86" s="6">
        <v>6.6806818181818205E-5</v>
      </c>
      <c r="BZ86" s="6">
        <v>-5.9542670000000001E-3</v>
      </c>
      <c r="CA86" s="6">
        <v>-4.9901149999999998E-3</v>
      </c>
      <c r="CB86" s="6">
        <v>8.7650181818181837E-5</v>
      </c>
      <c r="CC86" s="6">
        <v>-5.9328430000000001E-3</v>
      </c>
      <c r="CD86" s="6">
        <v>-5.1611720000000003E-3</v>
      </c>
      <c r="CE86" s="6">
        <v>7.0151909090909078E-5</v>
      </c>
      <c r="CF86" s="6">
        <v>-5.9520420000000003E-3</v>
      </c>
      <c r="CG86" s="6">
        <v>-5.0073990000000001E-3</v>
      </c>
      <c r="CH86" s="6">
        <v>8.587663636363639E-5</v>
      </c>
      <c r="CI86" s="6">
        <v>-5.933687E-3</v>
      </c>
      <c r="CJ86" s="6">
        <v>-5.1516219999999998E-3</v>
      </c>
      <c r="CK86" s="6">
        <v>7.1096818181818193E-5</v>
      </c>
      <c r="CL86" s="6">
        <v>-4.2241659999999997E-3</v>
      </c>
      <c r="CM86" s="6">
        <v>-3.8430700000000001E-3</v>
      </c>
      <c r="CN86" s="6">
        <v>3.4645090909090874E-5</v>
      </c>
      <c r="CO86" s="6">
        <v>-4.2455890000000001E-3</v>
      </c>
      <c r="CP86" s="6">
        <v>-3.6720139999999999E-3</v>
      </c>
      <c r="CQ86" s="6">
        <v>5.214318181818184E-5</v>
      </c>
      <c r="CR86" s="6">
        <v>-4.2263919999999998E-3</v>
      </c>
      <c r="CS86" s="6">
        <v>-3.8257870000000002E-3</v>
      </c>
      <c r="CT86" s="6">
        <v>3.6418636363636329E-5</v>
      </c>
      <c r="CU86" s="6">
        <v>-4.2447459999999998E-3</v>
      </c>
      <c r="CV86" s="6">
        <v>-3.6815630000000001E-3</v>
      </c>
      <c r="CW86" s="6">
        <v>5.1198454545454512E-5</v>
      </c>
      <c r="CX86" s="6">
        <v>-4.2698739999999999E-3</v>
      </c>
      <c r="CY86" s="6">
        <v>-3.4774139999999999E-3</v>
      </c>
      <c r="CZ86" s="6">
        <v>7.2041818181818192E-5</v>
      </c>
      <c r="DA86" s="6">
        <v>-4.2484510000000003E-3</v>
      </c>
      <c r="DB86" s="6">
        <v>-3.6484709999999999E-3</v>
      </c>
      <c r="DC86" s="6">
        <v>5.4543636363636397E-5</v>
      </c>
      <c r="DD86" s="6">
        <v>-4.2676479999999998E-3</v>
      </c>
      <c r="DE86" s="6">
        <v>-3.4946980000000001E-3</v>
      </c>
      <c r="DF86" s="6">
        <v>7.0268181818181793E-5</v>
      </c>
      <c r="DG86" s="6">
        <v>-4.2492930000000003E-3</v>
      </c>
      <c r="DH86" s="6">
        <v>-3.6389220000000002E-3</v>
      </c>
      <c r="DI86" s="6">
        <v>5.5488272727272746E-5</v>
      </c>
    </row>
    <row r="87" spans="1:113" x14ac:dyDescent="0.3">
      <c r="A87" s="13" t="s">
        <v>433</v>
      </c>
      <c r="B87" s="13" t="s">
        <v>168</v>
      </c>
      <c r="C87" s="13" t="s">
        <v>172</v>
      </c>
      <c r="D87" s="13" t="s">
        <v>364</v>
      </c>
      <c r="E87" s="13">
        <v>11</v>
      </c>
      <c r="F87" s="6">
        <v>-3.4896850000000002E-3</v>
      </c>
      <c r="G87" s="6">
        <v>-2.9707309999999999E-3</v>
      </c>
      <c r="H87" s="6">
        <v>4.7177636363636393E-5</v>
      </c>
      <c r="I87" s="6">
        <v>-4.8772340000000003E-3</v>
      </c>
      <c r="J87" s="6">
        <v>-4.1545729999999999E-3</v>
      </c>
      <c r="K87" s="6">
        <v>6.5696454545454569E-5</v>
      </c>
      <c r="L87" s="6">
        <v>-4.0893290000000001E-3</v>
      </c>
      <c r="M87" s="6">
        <v>-3.5818180000000001E-3</v>
      </c>
      <c r="N87" s="6">
        <v>4.6137363636363638E-5</v>
      </c>
      <c r="O87" s="6">
        <v>-5.4482740000000003E-3</v>
      </c>
      <c r="P87" s="6">
        <v>-4.7365619999999997E-3</v>
      </c>
      <c r="Q87" s="6">
        <v>6.4701090909090967E-5</v>
      </c>
      <c r="R87" s="6">
        <v>-5.3425089999999996E-3</v>
      </c>
      <c r="S87" s="6">
        <v>-5.2687819999999996E-3</v>
      </c>
      <c r="T87" s="6">
        <v>6.7024545454545445E-6</v>
      </c>
      <c r="U87" s="6">
        <v>-5.4278699999999996E-3</v>
      </c>
      <c r="V87" s="6">
        <v>-4.6761190000000003E-3</v>
      </c>
      <c r="W87" s="6">
        <v>6.8340999999999934E-5</v>
      </c>
      <c r="X87" s="6">
        <v>-5.3348809999999997E-3</v>
      </c>
      <c r="Y87" s="6">
        <v>-5.2797340000000003E-3</v>
      </c>
      <c r="Z87" s="6">
        <v>5.0133636363635744E-6</v>
      </c>
      <c r="AA87" s="6">
        <v>-5.4306550000000004E-3</v>
      </c>
      <c r="AB87" s="6">
        <v>-4.6732259999999999E-3</v>
      </c>
      <c r="AC87" s="6">
        <v>6.8857181818181857E-5</v>
      </c>
      <c r="AD87" s="6">
        <v>-5.4953040000000003E-3</v>
      </c>
      <c r="AE87" s="6">
        <v>-4.0741700000000002E-3</v>
      </c>
      <c r="AF87" s="6">
        <v>1.2919400000000001E-4</v>
      </c>
      <c r="AG87" s="6">
        <v>-5.4101339999999996E-3</v>
      </c>
      <c r="AH87" s="6">
        <v>-4.6649509999999996E-3</v>
      </c>
      <c r="AI87" s="6">
        <v>6.7743909090909083E-5</v>
      </c>
      <c r="AJ87" s="6">
        <v>-5.5029320000000003E-3</v>
      </c>
      <c r="AK87" s="6">
        <v>-4.0632180000000004E-3</v>
      </c>
      <c r="AL87" s="6">
        <v>1.308830909090909E-4</v>
      </c>
      <c r="AM87" s="6">
        <v>-5.4071579999999996E-3</v>
      </c>
      <c r="AN87" s="6">
        <v>-4.6697270000000003E-3</v>
      </c>
      <c r="AO87" s="6">
        <v>6.703918181818176E-5</v>
      </c>
      <c r="AP87" s="6">
        <v>-4.8302040000000003E-3</v>
      </c>
      <c r="AQ87" s="6">
        <v>-4.8169650000000003E-3</v>
      </c>
      <c r="AR87" s="6">
        <v>1.2035454545454508E-6</v>
      </c>
      <c r="AS87" s="6">
        <v>-4.9153740000000001E-3</v>
      </c>
      <c r="AT87" s="6">
        <v>-4.226184E-3</v>
      </c>
      <c r="AU87" s="6">
        <v>6.2653636363636372E-5</v>
      </c>
      <c r="AV87" s="6">
        <v>-4.8225760000000003E-3</v>
      </c>
      <c r="AW87" s="6">
        <v>-4.8279170000000001E-3</v>
      </c>
      <c r="AX87" s="6">
        <v>4.8554545454544113E-7</v>
      </c>
      <c r="AY87" s="6">
        <v>-4.9183500000000002E-3</v>
      </c>
      <c r="AZ87" s="6">
        <v>-4.2214089999999998E-3</v>
      </c>
      <c r="BA87" s="6">
        <v>6.3358272727272758E-5</v>
      </c>
      <c r="BB87" s="6">
        <v>-4.9829990000000001E-3</v>
      </c>
      <c r="BC87" s="6">
        <v>-3.622353E-3</v>
      </c>
      <c r="BD87" s="6">
        <v>1.2369509090909091E-4</v>
      </c>
      <c r="BE87" s="6">
        <v>-4.8978290000000002E-3</v>
      </c>
      <c r="BF87" s="6">
        <v>-4.2131340000000003E-3</v>
      </c>
      <c r="BG87" s="6">
        <v>6.2244999999999998E-5</v>
      </c>
      <c r="BH87" s="6">
        <v>-4.9906280000000004E-3</v>
      </c>
      <c r="BI87" s="6">
        <v>-3.6114010000000002E-3</v>
      </c>
      <c r="BJ87" s="6">
        <v>1.2538427272727274E-4</v>
      </c>
      <c r="BK87" s="6">
        <v>-4.8948539999999997E-3</v>
      </c>
      <c r="BL87" s="6">
        <v>-4.2179100000000001E-3</v>
      </c>
      <c r="BM87" s="6">
        <v>6.1540363636363598E-5</v>
      </c>
      <c r="BN87" s="6">
        <v>-5.9936759999999999E-3</v>
      </c>
      <c r="BO87" s="6">
        <v>-5.377789E-3</v>
      </c>
      <c r="BP87" s="6">
        <v>5.5989727272727259E-5</v>
      </c>
      <c r="BQ87" s="6">
        <v>-6.0192270000000003E-3</v>
      </c>
      <c r="BR87" s="6">
        <v>-5.2005539999999996E-3</v>
      </c>
      <c r="BS87" s="6">
        <v>7.442481818181824E-5</v>
      </c>
      <c r="BT87" s="6">
        <v>-5.9913880000000003E-3</v>
      </c>
      <c r="BU87" s="6">
        <v>-5.3810739999999996E-3</v>
      </c>
      <c r="BV87" s="6">
        <v>5.5483090909090969E-5</v>
      </c>
      <c r="BW87" s="6">
        <v>-6.0201200000000003E-3</v>
      </c>
      <c r="BX87" s="6">
        <v>-5.1991210000000001E-3</v>
      </c>
      <c r="BY87" s="6">
        <v>7.463627272727274E-5</v>
      </c>
      <c r="BZ87" s="6">
        <v>-6.0395149999999996E-3</v>
      </c>
      <c r="CA87" s="6">
        <v>-5.0194050000000002E-3</v>
      </c>
      <c r="CB87" s="6">
        <v>9.2737272727272681E-5</v>
      </c>
      <c r="CC87" s="6">
        <v>-6.0139640000000001E-3</v>
      </c>
      <c r="CD87" s="6">
        <v>-5.1966390000000003E-3</v>
      </c>
      <c r="CE87" s="6">
        <v>7.4302272727272712E-5</v>
      </c>
      <c r="CF87" s="6">
        <v>-6.0418030000000001E-3</v>
      </c>
      <c r="CG87" s="6">
        <v>-5.0161190000000003E-3</v>
      </c>
      <c r="CH87" s="6">
        <v>9.3243999999999977E-5</v>
      </c>
      <c r="CI87" s="6">
        <v>-6.013071E-3</v>
      </c>
      <c r="CJ87" s="6">
        <v>-5.1980719999999998E-3</v>
      </c>
      <c r="CK87" s="6">
        <v>7.4090818181818212E-5</v>
      </c>
      <c r="CL87" s="6">
        <v>-4.2859939999999996E-3</v>
      </c>
      <c r="CM87" s="6">
        <v>-3.8717309999999998E-3</v>
      </c>
      <c r="CN87" s="6">
        <v>3.7660272727272706E-5</v>
      </c>
      <c r="CO87" s="6">
        <v>-4.3115439999999996E-3</v>
      </c>
      <c r="CP87" s="6">
        <v>-3.6944959999999998E-3</v>
      </c>
      <c r="CQ87" s="6">
        <v>5.6095272727272709E-5</v>
      </c>
      <c r="CR87" s="6">
        <v>-4.2837049999999996E-3</v>
      </c>
      <c r="CS87" s="6">
        <v>-3.8750159999999998E-3</v>
      </c>
      <c r="CT87" s="6">
        <v>3.7153545454545438E-5</v>
      </c>
      <c r="CU87" s="6">
        <v>-4.3124369999999997E-3</v>
      </c>
      <c r="CV87" s="6">
        <v>-3.6930639999999998E-3</v>
      </c>
      <c r="CW87" s="6">
        <v>5.6306636363636353E-5</v>
      </c>
      <c r="CX87" s="6">
        <v>-4.3318319999999999E-3</v>
      </c>
      <c r="CY87" s="6">
        <v>-3.513347E-3</v>
      </c>
      <c r="CZ87" s="6">
        <v>7.4407727272727265E-5</v>
      </c>
      <c r="DA87" s="6">
        <v>-4.3062810000000003E-3</v>
      </c>
      <c r="DB87" s="6">
        <v>-3.690582E-3</v>
      </c>
      <c r="DC87" s="6">
        <v>5.59726363636364E-5</v>
      </c>
      <c r="DD87" s="6">
        <v>-4.3341209999999998E-3</v>
      </c>
      <c r="DE87" s="6">
        <v>-3.510062E-3</v>
      </c>
      <c r="DF87" s="6">
        <v>7.4914454545454534E-5</v>
      </c>
      <c r="DG87" s="6">
        <v>-4.3053880000000003E-3</v>
      </c>
      <c r="DH87" s="6">
        <v>-3.692014E-3</v>
      </c>
      <c r="DI87" s="6">
        <v>5.5761272727272756E-5</v>
      </c>
    </row>
    <row r="88" spans="1:113" x14ac:dyDescent="0.3">
      <c r="A88" s="13" t="s">
        <v>434</v>
      </c>
      <c r="B88" s="13" t="s">
        <v>209</v>
      </c>
      <c r="C88" s="13" t="s">
        <v>213</v>
      </c>
      <c r="D88" s="13" t="s">
        <v>364</v>
      </c>
      <c r="E88" s="13">
        <v>11</v>
      </c>
      <c r="F88" s="6">
        <v>-3.2360050000000001E-3</v>
      </c>
      <c r="G88" s="6">
        <v>-2.60166E-3</v>
      </c>
      <c r="H88" s="6">
        <v>5.7667727272727286E-5</v>
      </c>
      <c r="I88" s="6">
        <v>-4.5674890000000001E-3</v>
      </c>
      <c r="J88" s="6">
        <v>-3.7039410000000001E-3</v>
      </c>
      <c r="K88" s="6">
        <v>7.8504363636363634E-5</v>
      </c>
      <c r="L88" s="6">
        <v>-3.8354550000000002E-3</v>
      </c>
      <c r="M88" s="6">
        <v>-3.2125320000000001E-3</v>
      </c>
      <c r="N88" s="6">
        <v>5.6629363636363638E-5</v>
      </c>
      <c r="O88" s="6">
        <v>-5.1383360000000003E-3</v>
      </c>
      <c r="P88" s="6">
        <v>-4.2857260000000001E-3</v>
      </c>
      <c r="Q88" s="6">
        <v>7.7510000000000022E-5</v>
      </c>
      <c r="R88" s="6">
        <v>-5.0360479999999996E-3</v>
      </c>
      <c r="S88" s="6">
        <v>-4.7471609999999997E-3</v>
      </c>
      <c r="T88" s="6">
        <v>2.6262454545454529E-5</v>
      </c>
      <c r="U88" s="6">
        <v>-5.125325E-3</v>
      </c>
      <c r="V88" s="6">
        <v>-4.1891250000000001E-3</v>
      </c>
      <c r="W88" s="6">
        <v>8.5109090909090898E-5</v>
      </c>
      <c r="X88" s="6">
        <v>-5.0209240000000004E-3</v>
      </c>
      <c r="Y88" s="6">
        <v>-4.8196469999999998E-3</v>
      </c>
      <c r="Z88" s="6">
        <v>1.8297909090909144E-5</v>
      </c>
      <c r="AA88" s="6">
        <v>-5.1309370000000003E-3</v>
      </c>
      <c r="AB88" s="6">
        <v>-4.1521079999999998E-3</v>
      </c>
      <c r="AC88" s="6">
        <v>8.8984454545454594E-5</v>
      </c>
      <c r="AD88" s="6">
        <v>-5.15161E-3</v>
      </c>
      <c r="AE88" s="6">
        <v>-3.6500009999999999E-3</v>
      </c>
      <c r="AF88" s="6">
        <v>1.365099090909091E-4</v>
      </c>
      <c r="AG88" s="6">
        <v>-5.0622790000000003E-3</v>
      </c>
      <c r="AH88" s="6">
        <v>-4.2065610000000002E-3</v>
      </c>
      <c r="AI88" s="6">
        <v>7.7792545454545466E-5</v>
      </c>
      <c r="AJ88" s="6">
        <v>-5.1667340000000001E-3</v>
      </c>
      <c r="AK88" s="6">
        <v>-3.5775149999999999E-3</v>
      </c>
      <c r="AL88" s="6">
        <v>1.4447445454545457E-4</v>
      </c>
      <c r="AM88" s="6">
        <v>-5.0567210000000001E-3</v>
      </c>
      <c r="AN88" s="6">
        <v>-4.2450539999999998E-3</v>
      </c>
      <c r="AO88" s="6">
        <v>7.3787909090909122E-5</v>
      </c>
      <c r="AP88" s="6">
        <v>-4.5542150000000003E-3</v>
      </c>
      <c r="AQ88" s="6">
        <v>-4.3396659999999998E-3</v>
      </c>
      <c r="AR88" s="6">
        <v>1.9504454545454592E-5</v>
      </c>
      <c r="AS88" s="6">
        <v>-4.6435460000000001E-3</v>
      </c>
      <c r="AT88" s="6">
        <v>-3.7831060000000001E-3</v>
      </c>
      <c r="AU88" s="6">
        <v>7.822181818181819E-5</v>
      </c>
      <c r="AV88" s="6">
        <v>-4.5390910000000003E-3</v>
      </c>
      <c r="AW88" s="6">
        <v>-4.4121509999999996E-3</v>
      </c>
      <c r="AX88" s="6">
        <v>1.1540000000000067E-5</v>
      </c>
      <c r="AY88" s="6">
        <v>-4.6491049999999997E-3</v>
      </c>
      <c r="AZ88" s="6">
        <v>-3.7446129999999999E-3</v>
      </c>
      <c r="BA88" s="6">
        <v>8.2226545454545431E-5</v>
      </c>
      <c r="BB88" s="6">
        <v>-4.6697780000000003E-3</v>
      </c>
      <c r="BC88" s="6">
        <v>-3.2425050000000001E-3</v>
      </c>
      <c r="BD88" s="6">
        <v>1.2975209090909092E-4</v>
      </c>
      <c r="BE88" s="6">
        <v>-4.5804469999999996E-3</v>
      </c>
      <c r="BF88" s="6">
        <v>-3.7990649999999999E-3</v>
      </c>
      <c r="BG88" s="6">
        <v>7.1034727272727255E-5</v>
      </c>
      <c r="BH88" s="6">
        <v>-4.6849020000000003E-3</v>
      </c>
      <c r="BI88" s="6">
        <v>-3.17002E-3</v>
      </c>
      <c r="BJ88" s="6">
        <v>1.3771654545454548E-4</v>
      </c>
      <c r="BK88" s="6">
        <v>-4.574888E-3</v>
      </c>
      <c r="BL88" s="6">
        <v>-3.837558E-3</v>
      </c>
      <c r="BM88" s="6">
        <v>6.703E-5</v>
      </c>
      <c r="BN88" s="6">
        <v>-5.6386320000000002E-3</v>
      </c>
      <c r="BO88" s="6">
        <v>-4.8385659999999999E-3</v>
      </c>
      <c r="BP88" s="6">
        <v>7.2733272727272755E-5</v>
      </c>
      <c r="BQ88" s="6">
        <v>-5.6654319999999998E-3</v>
      </c>
      <c r="BR88" s="6">
        <v>-4.6715979999999999E-3</v>
      </c>
      <c r="BS88" s="6">
        <v>9.0348545454545446E-5</v>
      </c>
      <c r="BT88" s="6">
        <v>-5.6340959999999999E-3</v>
      </c>
      <c r="BU88" s="6">
        <v>-4.8603120000000003E-3</v>
      </c>
      <c r="BV88" s="6">
        <v>7.0343999999999962E-5</v>
      </c>
      <c r="BW88" s="6">
        <v>-5.6670990000000001E-3</v>
      </c>
      <c r="BX88" s="6">
        <v>-4.6600499999999998E-3</v>
      </c>
      <c r="BY88" s="6">
        <v>9.1549909090909119E-5</v>
      </c>
      <c r="BZ88" s="6">
        <v>-5.6733010000000004E-3</v>
      </c>
      <c r="CA88" s="6">
        <v>-4.5094180000000003E-3</v>
      </c>
      <c r="CB88" s="6">
        <v>1.0580754545454546E-4</v>
      </c>
      <c r="CC88" s="6">
        <v>-5.6465020000000003E-3</v>
      </c>
      <c r="CD88" s="6">
        <v>-4.6763860000000003E-3</v>
      </c>
      <c r="CE88" s="6">
        <v>8.8192363636363641E-5</v>
      </c>
      <c r="CF88" s="6">
        <v>-5.6778380000000002E-3</v>
      </c>
      <c r="CG88" s="6">
        <v>-4.4876719999999998E-3</v>
      </c>
      <c r="CH88" s="6">
        <v>1.0819690909090912E-4</v>
      </c>
      <c r="CI88" s="6">
        <v>-5.644835E-3</v>
      </c>
      <c r="CJ88" s="6">
        <v>-4.6879340000000004E-3</v>
      </c>
      <c r="CK88" s="6">
        <v>8.6990999999999967E-5</v>
      </c>
      <c r="CL88" s="6">
        <v>-4.032524E-3</v>
      </c>
      <c r="CM88" s="6">
        <v>-3.4802489999999999E-3</v>
      </c>
      <c r="CN88" s="6">
        <v>5.0206818181818188E-5</v>
      </c>
      <c r="CO88" s="6">
        <v>-4.0593239999999996E-3</v>
      </c>
      <c r="CP88" s="6">
        <v>-3.313281E-3</v>
      </c>
      <c r="CQ88" s="6">
        <v>6.7822090909090872E-5</v>
      </c>
      <c r="CR88" s="6">
        <v>-4.0279870000000002E-3</v>
      </c>
      <c r="CS88" s="6">
        <v>-3.501994E-3</v>
      </c>
      <c r="CT88" s="6">
        <v>4.7817545454545476E-5</v>
      </c>
      <c r="CU88" s="6">
        <v>-4.0609909999999999E-3</v>
      </c>
      <c r="CV88" s="6">
        <v>-3.3017329999999998E-3</v>
      </c>
      <c r="CW88" s="6">
        <v>6.9023454545454545E-5</v>
      </c>
      <c r="CX88" s="6">
        <v>-4.0671930000000002E-3</v>
      </c>
      <c r="CY88" s="6">
        <v>-3.1511E-3</v>
      </c>
      <c r="CZ88" s="6">
        <v>8.3281181818181839E-5</v>
      </c>
      <c r="DA88" s="6">
        <v>-4.0403940000000001E-3</v>
      </c>
      <c r="DB88" s="6">
        <v>-3.318068E-3</v>
      </c>
      <c r="DC88" s="6">
        <v>6.5666000000000018E-5</v>
      </c>
      <c r="DD88" s="6">
        <v>-4.07173E-3</v>
      </c>
      <c r="DE88" s="6">
        <v>-3.1293549999999999E-3</v>
      </c>
      <c r="DF88" s="6">
        <v>8.5670454545454551E-5</v>
      </c>
      <c r="DG88" s="6">
        <v>-4.0387260000000003E-3</v>
      </c>
      <c r="DH88" s="6">
        <v>-3.3296160000000001E-3</v>
      </c>
      <c r="DI88" s="6">
        <v>6.4464545454545475E-5</v>
      </c>
    </row>
    <row r="89" spans="1:113" x14ac:dyDescent="0.3">
      <c r="A89" s="13" t="s">
        <v>435</v>
      </c>
      <c r="B89" s="13" t="s">
        <v>290</v>
      </c>
      <c r="C89" s="13" t="s">
        <v>292</v>
      </c>
      <c r="D89" s="13" t="s">
        <v>364</v>
      </c>
      <c r="E89" s="13">
        <v>11</v>
      </c>
      <c r="F89" s="6">
        <v>-2.084799E-3</v>
      </c>
      <c r="G89" s="6">
        <v>-1.482787E-3</v>
      </c>
      <c r="H89" s="6">
        <v>5.4728363636363644E-5</v>
      </c>
      <c r="I89" s="6">
        <v>-2.952409E-3</v>
      </c>
      <c r="J89" s="6">
        <v>-2.192608E-3</v>
      </c>
      <c r="K89" s="6">
        <v>6.9072818181818187E-5</v>
      </c>
      <c r="L89" s="6">
        <v>-2.6849780000000002E-3</v>
      </c>
      <c r="M89" s="6">
        <v>-2.0920019999999999E-3</v>
      </c>
      <c r="N89" s="6">
        <v>5.3906909090909114E-5</v>
      </c>
      <c r="O89" s="6">
        <v>-3.5240050000000002E-3</v>
      </c>
      <c r="P89" s="6">
        <v>-2.7728129999999998E-3</v>
      </c>
      <c r="Q89" s="6">
        <v>6.8290181818181847E-5</v>
      </c>
      <c r="R89" s="6">
        <v>-3.5170879999999998E-3</v>
      </c>
      <c r="S89" s="6">
        <v>-2.9969390000000001E-3</v>
      </c>
      <c r="T89" s="6">
        <v>4.7286272727272699E-5</v>
      </c>
      <c r="U89" s="6">
        <v>-3.9895670000000003E-3</v>
      </c>
      <c r="V89" s="6">
        <v>-3.0957469999999998E-3</v>
      </c>
      <c r="W89" s="6">
        <v>8.1256363636363679E-5</v>
      </c>
      <c r="X89" s="6">
        <v>-3.521143E-3</v>
      </c>
      <c r="Y89" s="6">
        <v>-3.043231E-3</v>
      </c>
      <c r="Z89" s="6">
        <v>4.344654545454546E-5</v>
      </c>
      <c r="AA89" s="6">
        <v>-3.9859969999999998E-3</v>
      </c>
      <c r="AB89" s="6">
        <v>-3.0674439999999999E-3</v>
      </c>
      <c r="AC89" s="6">
        <v>8.3504818181818173E-5</v>
      </c>
      <c r="AD89" s="6">
        <v>-3.30313E-3</v>
      </c>
      <c r="AE89" s="6">
        <v>-2.2414539999999999E-3</v>
      </c>
      <c r="AF89" s="6">
        <v>9.6516000000000009E-5</v>
      </c>
      <c r="AG89" s="6">
        <v>-2.831793E-3</v>
      </c>
      <c r="AH89" s="6">
        <v>-2.1440999999999999E-3</v>
      </c>
      <c r="AI89" s="6">
        <v>6.2517545454545461E-5</v>
      </c>
      <c r="AJ89" s="6">
        <v>-3.2990749999999998E-3</v>
      </c>
      <c r="AK89" s="6">
        <v>-2.1951620000000001E-3</v>
      </c>
      <c r="AL89" s="6">
        <v>1.0035572727272725E-4</v>
      </c>
      <c r="AM89" s="6">
        <v>-2.834221E-3</v>
      </c>
      <c r="AN89" s="6">
        <v>-2.1709490000000001E-3</v>
      </c>
      <c r="AO89" s="6">
        <v>6.0297454545454535E-5</v>
      </c>
      <c r="AP89" s="6">
        <v>-3.1732840000000002E-3</v>
      </c>
      <c r="AQ89" s="6">
        <v>-2.7239669999999999E-3</v>
      </c>
      <c r="AR89" s="6">
        <v>4.0847000000000024E-5</v>
      </c>
      <c r="AS89" s="6">
        <v>-3.6446209999999998E-3</v>
      </c>
      <c r="AT89" s="6">
        <v>-2.8213209999999999E-3</v>
      </c>
      <c r="AU89" s="6">
        <v>7.4845454545454531E-5</v>
      </c>
      <c r="AV89" s="6">
        <v>-3.1773389999999999E-3</v>
      </c>
      <c r="AW89" s="6">
        <v>-2.7702590000000002E-3</v>
      </c>
      <c r="AX89" s="6">
        <v>3.7007272727272704E-5</v>
      </c>
      <c r="AY89" s="6">
        <v>-3.6421940000000001E-3</v>
      </c>
      <c r="AZ89" s="6">
        <v>-2.7944720000000001E-3</v>
      </c>
      <c r="BA89" s="6">
        <v>7.7065636363636355E-5</v>
      </c>
      <c r="BB89" s="6">
        <v>-2.9593269999999999E-3</v>
      </c>
      <c r="BC89" s="6">
        <v>-1.9684820000000001E-3</v>
      </c>
      <c r="BD89" s="6">
        <v>9.0076818181818164E-5</v>
      </c>
      <c r="BE89" s="6">
        <v>-2.4879889999999999E-3</v>
      </c>
      <c r="BF89" s="6">
        <v>-1.8711279999999999E-3</v>
      </c>
      <c r="BG89" s="6">
        <v>5.6078272727272726E-5</v>
      </c>
      <c r="BH89" s="6">
        <v>-2.9552720000000001E-3</v>
      </c>
      <c r="BI89" s="6">
        <v>-1.9221900000000001E-3</v>
      </c>
      <c r="BJ89" s="6">
        <v>9.3916545454545463E-5</v>
      </c>
      <c r="BK89" s="6">
        <v>-2.490417E-3</v>
      </c>
      <c r="BL89" s="6">
        <v>-1.8979769999999999E-3</v>
      </c>
      <c r="BM89" s="6">
        <v>5.3858181818181826E-5</v>
      </c>
      <c r="BN89" s="6">
        <v>-3.8433069999999998E-3</v>
      </c>
      <c r="BO89" s="6">
        <v>-3.0509869999999998E-3</v>
      </c>
      <c r="BP89" s="6">
        <v>7.2029090909090908E-5</v>
      </c>
      <c r="BQ89" s="6">
        <v>-3.984708E-3</v>
      </c>
      <c r="BR89" s="6">
        <v>-3.0801930000000002E-3</v>
      </c>
      <c r="BS89" s="6">
        <v>8.2228636363636346E-5</v>
      </c>
      <c r="BT89" s="6">
        <v>-3.8445229999999999E-3</v>
      </c>
      <c r="BU89" s="6">
        <v>-3.064874E-3</v>
      </c>
      <c r="BV89" s="6">
        <v>7.0877181818181813E-5</v>
      </c>
      <c r="BW89" s="6">
        <v>-3.9839799999999998E-3</v>
      </c>
      <c r="BX89" s="6">
        <v>-3.0721379999999999E-3</v>
      </c>
      <c r="BY89" s="6">
        <v>8.2894727272727267E-5</v>
      </c>
      <c r="BZ89" s="6">
        <v>-3.77912E-3</v>
      </c>
      <c r="CA89" s="6">
        <v>-2.8243410000000002E-3</v>
      </c>
      <c r="CB89" s="6">
        <v>8.6798090909090888E-5</v>
      </c>
      <c r="CC89" s="6">
        <v>-3.6377190000000002E-3</v>
      </c>
      <c r="CD89" s="6">
        <v>-2.7951349999999998E-3</v>
      </c>
      <c r="CE89" s="6">
        <v>7.6598545454545491E-5</v>
      </c>
      <c r="CF89" s="6">
        <v>-3.777903E-3</v>
      </c>
      <c r="CG89" s="6">
        <v>-2.810454E-3</v>
      </c>
      <c r="CH89" s="6">
        <v>8.7949909090909086E-5</v>
      </c>
      <c r="CI89" s="6">
        <v>-3.6384469999999999E-3</v>
      </c>
      <c r="CJ89" s="6">
        <v>-2.8031900000000001E-3</v>
      </c>
      <c r="CK89" s="6">
        <v>7.593245454545453E-5</v>
      </c>
      <c r="CL89" s="6">
        <v>-2.6972950000000002E-3</v>
      </c>
      <c r="CM89" s="6">
        <v>-2.1410800000000001E-3</v>
      </c>
      <c r="CN89" s="6">
        <v>5.0565000000000008E-5</v>
      </c>
      <c r="CO89" s="6">
        <v>-2.8386959999999999E-3</v>
      </c>
      <c r="CP89" s="6">
        <v>-2.170286E-3</v>
      </c>
      <c r="CQ89" s="6">
        <v>6.0764545454545446E-5</v>
      </c>
      <c r="CR89" s="6">
        <v>-2.6985109999999998E-3</v>
      </c>
      <c r="CS89" s="6">
        <v>-2.1549680000000002E-3</v>
      </c>
      <c r="CT89" s="6">
        <v>4.9412999999999969E-5</v>
      </c>
      <c r="CU89" s="6">
        <v>-2.8379669999999998E-3</v>
      </c>
      <c r="CV89" s="6">
        <v>-2.162232E-3</v>
      </c>
      <c r="CW89" s="6">
        <v>6.1430454545454525E-5</v>
      </c>
      <c r="CX89" s="6">
        <v>-2.633107E-3</v>
      </c>
      <c r="CY89" s="6">
        <v>-1.9144349999999999E-3</v>
      </c>
      <c r="CZ89" s="6">
        <v>6.5333818181818187E-5</v>
      </c>
      <c r="DA89" s="6">
        <v>-2.4917060000000002E-3</v>
      </c>
      <c r="DB89" s="6">
        <v>-1.8852280000000001E-3</v>
      </c>
      <c r="DC89" s="6">
        <v>5.5134363636363646E-5</v>
      </c>
      <c r="DD89" s="6">
        <v>-2.6318909999999999E-3</v>
      </c>
      <c r="DE89" s="6">
        <v>-1.900547E-3</v>
      </c>
      <c r="DF89" s="6">
        <v>6.6485818181818165E-5</v>
      </c>
      <c r="DG89" s="6">
        <v>-2.492434E-3</v>
      </c>
      <c r="DH89" s="6">
        <v>-1.8932829999999999E-3</v>
      </c>
      <c r="DI89" s="6">
        <v>5.4468272727272733E-5</v>
      </c>
    </row>
    <row r="90" spans="1:113" x14ac:dyDescent="0.3">
      <c r="A90" s="13" t="s">
        <v>436</v>
      </c>
      <c r="B90" s="13" t="s">
        <v>97</v>
      </c>
      <c r="C90" s="13" t="s">
        <v>133</v>
      </c>
      <c r="D90" s="13" t="s">
        <v>364</v>
      </c>
      <c r="E90" s="13">
        <v>8.3000000000000007</v>
      </c>
      <c r="F90" s="6">
        <v>-2.4298470000000002E-3</v>
      </c>
      <c r="G90" s="6">
        <v>-2.9870460000000001E-3</v>
      </c>
      <c r="H90" s="6">
        <v>6.7132409638554204E-5</v>
      </c>
      <c r="I90" s="6">
        <v>-3.4692389999999998E-3</v>
      </c>
      <c r="J90" s="6">
        <v>-4.1254910000000002E-3</v>
      </c>
      <c r="K90" s="6">
        <v>7.9066506024096423E-5</v>
      </c>
      <c r="L90" s="6">
        <v>-3.0529279999999999E-3</v>
      </c>
      <c r="M90" s="6">
        <v>-3.5983569999999999E-3</v>
      </c>
      <c r="N90" s="6">
        <v>6.5714337349397591E-5</v>
      </c>
      <c r="O90" s="6">
        <v>-4.0626539999999997E-3</v>
      </c>
      <c r="P90" s="6">
        <v>-4.7076949999999996E-3</v>
      </c>
      <c r="Q90" s="6">
        <v>7.7715783132530094E-5</v>
      </c>
      <c r="R90" s="6">
        <v>-4.5538200000000001E-3</v>
      </c>
      <c r="S90" s="6">
        <v>-5.2529250000000003E-3</v>
      </c>
      <c r="T90" s="6">
        <v>8.422951807228918E-5</v>
      </c>
      <c r="U90" s="6">
        <v>-4.0042360000000004E-3</v>
      </c>
      <c r="V90" s="6">
        <v>-4.6782760000000003E-3</v>
      </c>
      <c r="W90" s="6">
        <v>8.1209638554216842E-5</v>
      </c>
      <c r="X90" s="6">
        <v>-4.4426450000000003E-3</v>
      </c>
      <c r="Y90" s="6">
        <v>-5.1953119999999997E-3</v>
      </c>
      <c r="Z90" s="6">
        <v>9.0682771084337274E-5</v>
      </c>
      <c r="AA90" s="6">
        <v>-4.0750029999999998E-3</v>
      </c>
      <c r="AB90" s="6">
        <v>-4.7145670000000002E-3</v>
      </c>
      <c r="AC90" s="6">
        <v>7.7055903614457876E-5</v>
      </c>
      <c r="AD90" s="6">
        <v>-3.3668539999999999E-3</v>
      </c>
      <c r="AE90" s="6">
        <v>-4.0340710000000002E-3</v>
      </c>
      <c r="AF90" s="6">
        <v>8.038759036144582E-5</v>
      </c>
      <c r="AG90" s="6">
        <v>-3.906634E-3</v>
      </c>
      <c r="AH90" s="6">
        <v>-4.6042610000000001E-3</v>
      </c>
      <c r="AI90" s="6">
        <v>8.4051445783132534E-5</v>
      </c>
      <c r="AJ90" s="6">
        <v>-3.47803E-3</v>
      </c>
      <c r="AK90" s="6">
        <v>-4.0916839999999999E-3</v>
      </c>
      <c r="AL90" s="6">
        <v>7.3934216867469865E-5</v>
      </c>
      <c r="AM90" s="6">
        <v>-3.8456710000000002E-3</v>
      </c>
      <c r="AN90" s="6">
        <v>-4.5724290000000003E-3</v>
      </c>
      <c r="AO90" s="6">
        <v>8.7561204819277109E-5</v>
      </c>
      <c r="AP90" s="6">
        <v>-4.1650380000000002E-3</v>
      </c>
      <c r="AQ90" s="6">
        <v>-4.7991149999999996E-3</v>
      </c>
      <c r="AR90" s="6">
        <v>7.6394819277108354E-5</v>
      </c>
      <c r="AS90" s="6">
        <v>-3.6252580000000001E-3</v>
      </c>
      <c r="AT90" s="6">
        <v>-4.2289240000000002E-3</v>
      </c>
      <c r="AU90" s="6">
        <v>7.2730843373493983E-5</v>
      </c>
      <c r="AV90" s="6">
        <v>-4.0538620000000001E-3</v>
      </c>
      <c r="AW90" s="6">
        <v>-4.7415019999999999E-3</v>
      </c>
      <c r="AX90" s="6">
        <v>8.2848192771084309E-5</v>
      </c>
      <c r="AY90" s="6">
        <v>-3.6862209999999999E-3</v>
      </c>
      <c r="AZ90" s="6">
        <v>-4.2607570000000004E-3</v>
      </c>
      <c r="BA90" s="6">
        <v>6.922120481927716E-5</v>
      </c>
      <c r="BB90" s="6">
        <v>-2.978072E-3</v>
      </c>
      <c r="BC90" s="6">
        <v>-3.5802609999999999E-3</v>
      </c>
      <c r="BD90" s="6">
        <v>7.2552891566265049E-5</v>
      </c>
      <c r="BE90" s="6">
        <v>-3.5178520000000001E-3</v>
      </c>
      <c r="BF90" s="6">
        <v>-4.1504510000000003E-3</v>
      </c>
      <c r="BG90" s="6">
        <v>7.6216746987951817E-5</v>
      </c>
      <c r="BH90" s="6">
        <v>-3.0892480000000002E-3</v>
      </c>
      <c r="BI90" s="6">
        <v>-3.6378729999999998E-3</v>
      </c>
      <c r="BJ90" s="6">
        <v>6.6099397590361396E-5</v>
      </c>
      <c r="BK90" s="6">
        <v>-3.4568889999999999E-3</v>
      </c>
      <c r="BL90" s="6">
        <v>-4.1186189999999996E-3</v>
      </c>
      <c r="BM90" s="6">
        <v>7.9726506024096339E-5</v>
      </c>
      <c r="BN90" s="6">
        <v>-4.5919619999999998E-3</v>
      </c>
      <c r="BO90" s="6">
        <v>-5.3557709999999996E-3</v>
      </c>
      <c r="BP90" s="6">
        <v>9.2025180722891541E-5</v>
      </c>
      <c r="BQ90" s="6">
        <v>-4.4300279999999999E-3</v>
      </c>
      <c r="BR90" s="6">
        <v>-5.184714E-3</v>
      </c>
      <c r="BS90" s="6">
        <v>9.0926024096385548E-5</v>
      </c>
      <c r="BT90" s="6">
        <v>-4.5586089999999999E-3</v>
      </c>
      <c r="BU90" s="6">
        <v>-5.3384870000000003E-3</v>
      </c>
      <c r="BV90" s="6">
        <v>9.3961204819277143E-5</v>
      </c>
      <c r="BW90" s="6">
        <v>-4.4483170000000002E-3</v>
      </c>
      <c r="BX90" s="6">
        <v>-5.1942639999999997E-3</v>
      </c>
      <c r="BY90" s="6">
        <v>8.9873132530120408E-5</v>
      </c>
      <c r="BZ90" s="6">
        <v>-4.2358719999999999E-3</v>
      </c>
      <c r="CA90" s="6">
        <v>-4.9901149999999998E-3</v>
      </c>
      <c r="CB90" s="6">
        <v>9.0872650602409627E-5</v>
      </c>
      <c r="CC90" s="6">
        <v>-4.3978059999999998E-3</v>
      </c>
      <c r="CD90" s="6">
        <v>-5.1611720000000003E-3</v>
      </c>
      <c r="CE90" s="6">
        <v>9.1971807228915728E-5</v>
      </c>
      <c r="CF90" s="6">
        <v>-4.2692249999999998E-3</v>
      </c>
      <c r="CG90" s="6">
        <v>-5.0073990000000001E-3</v>
      </c>
      <c r="CH90" s="6">
        <v>8.8936626506024119E-5</v>
      </c>
      <c r="CI90" s="6">
        <v>-4.3795170000000003E-3</v>
      </c>
      <c r="CJ90" s="6">
        <v>-5.1516219999999998E-3</v>
      </c>
      <c r="CK90" s="6">
        <v>9.3024698795180652E-5</v>
      </c>
      <c r="CL90" s="6">
        <v>-3.2960200000000002E-3</v>
      </c>
      <c r="CM90" s="6">
        <v>-3.8430700000000001E-3</v>
      </c>
      <c r="CN90" s="6">
        <v>6.590963855421685E-5</v>
      </c>
      <c r="CO90" s="6">
        <v>-3.1340859999999999E-3</v>
      </c>
      <c r="CP90" s="6">
        <v>-3.6720139999999999E-3</v>
      </c>
      <c r="CQ90" s="6">
        <v>6.4810602409638555E-5</v>
      </c>
      <c r="CR90" s="6">
        <v>-3.2626669999999999E-3</v>
      </c>
      <c r="CS90" s="6">
        <v>-3.8257870000000002E-3</v>
      </c>
      <c r="CT90" s="6">
        <v>6.784578313253015E-5</v>
      </c>
      <c r="CU90" s="6">
        <v>-3.1523749999999998E-3</v>
      </c>
      <c r="CV90" s="6">
        <v>-3.6815630000000001E-3</v>
      </c>
      <c r="CW90" s="6">
        <v>6.3757590361445811E-5</v>
      </c>
      <c r="CX90" s="6">
        <v>-2.9399299999999999E-3</v>
      </c>
      <c r="CY90" s="6">
        <v>-3.4774139999999999E-3</v>
      </c>
      <c r="CZ90" s="6">
        <v>6.4757108433734936E-5</v>
      </c>
      <c r="DA90" s="6">
        <v>-3.1018640000000002E-3</v>
      </c>
      <c r="DB90" s="6">
        <v>-3.6484709999999999E-3</v>
      </c>
      <c r="DC90" s="6">
        <v>6.5856265060240928E-5</v>
      </c>
      <c r="DD90" s="6">
        <v>-2.9732830000000002E-3</v>
      </c>
      <c r="DE90" s="6">
        <v>-3.4946980000000001E-3</v>
      </c>
      <c r="DF90" s="6">
        <v>6.2821084337349374E-5</v>
      </c>
      <c r="DG90" s="6">
        <v>-3.0835749999999999E-3</v>
      </c>
      <c r="DH90" s="6">
        <v>-3.6389220000000002E-3</v>
      </c>
      <c r="DI90" s="6">
        <v>6.6909277108433767E-5</v>
      </c>
    </row>
    <row r="91" spans="1:113" x14ac:dyDescent="0.3">
      <c r="A91" s="13" t="s">
        <v>437</v>
      </c>
      <c r="B91" s="13" t="s">
        <v>133</v>
      </c>
      <c r="C91" s="13" t="s">
        <v>172</v>
      </c>
      <c r="D91" s="13" t="s">
        <v>364</v>
      </c>
      <c r="E91" s="13">
        <v>8.3000000000000007</v>
      </c>
      <c r="F91" s="6">
        <v>-2.9870460000000001E-3</v>
      </c>
      <c r="G91" s="6">
        <v>-2.9707309999999999E-3</v>
      </c>
      <c r="H91" s="6">
        <v>1.9656626506024398E-6</v>
      </c>
      <c r="I91" s="6">
        <v>-4.1254910000000002E-3</v>
      </c>
      <c r="J91" s="6">
        <v>-4.1545729999999999E-3</v>
      </c>
      <c r="K91" s="6">
        <v>3.5038554216867129E-6</v>
      </c>
      <c r="L91" s="6">
        <v>-3.5983569999999999E-3</v>
      </c>
      <c r="M91" s="6">
        <v>-3.5818180000000001E-3</v>
      </c>
      <c r="N91" s="6">
        <v>1.9926506024096236E-6</v>
      </c>
      <c r="O91" s="6">
        <v>-4.7076949999999996E-3</v>
      </c>
      <c r="P91" s="6">
        <v>-4.7365619999999997E-3</v>
      </c>
      <c r="Q91" s="6">
        <v>3.4779518072289307E-6</v>
      </c>
      <c r="R91" s="6">
        <v>-5.2529250000000003E-3</v>
      </c>
      <c r="S91" s="6">
        <v>-5.2687819999999996E-3</v>
      </c>
      <c r="T91" s="6">
        <v>1.9104819277107627E-6</v>
      </c>
      <c r="U91" s="6">
        <v>-4.6782760000000003E-3</v>
      </c>
      <c r="V91" s="6">
        <v>-4.6761190000000003E-3</v>
      </c>
      <c r="W91" s="6">
        <v>2.5987951807229238E-7</v>
      </c>
      <c r="X91" s="6">
        <v>-5.1953119999999997E-3</v>
      </c>
      <c r="Y91" s="6">
        <v>-5.2797340000000003E-3</v>
      </c>
      <c r="Z91" s="6">
        <v>1.0171325301204898E-5</v>
      </c>
      <c r="AA91" s="6">
        <v>-4.7145670000000002E-3</v>
      </c>
      <c r="AB91" s="6">
        <v>-4.6732259999999999E-3</v>
      </c>
      <c r="AC91" s="6">
        <v>4.9808433734940111E-6</v>
      </c>
      <c r="AD91" s="6">
        <v>-4.0340710000000002E-3</v>
      </c>
      <c r="AE91" s="6">
        <v>-4.0741700000000002E-3</v>
      </c>
      <c r="AF91" s="6">
        <v>4.8312048192771121E-6</v>
      </c>
      <c r="AG91" s="6">
        <v>-4.6042610000000001E-3</v>
      </c>
      <c r="AH91" s="6">
        <v>-4.6649509999999996E-3</v>
      </c>
      <c r="AI91" s="6">
        <v>7.3120481927710269E-6</v>
      </c>
      <c r="AJ91" s="6">
        <v>-4.0916839999999999E-3</v>
      </c>
      <c r="AK91" s="6">
        <v>-4.0632180000000004E-3</v>
      </c>
      <c r="AL91" s="6">
        <v>3.4296385542168142E-6</v>
      </c>
      <c r="AM91" s="6">
        <v>-4.5724290000000003E-3</v>
      </c>
      <c r="AN91" s="6">
        <v>-4.6697270000000003E-3</v>
      </c>
      <c r="AO91" s="6">
        <v>1.1722650602409638E-5</v>
      </c>
      <c r="AP91" s="6">
        <v>-4.7991149999999996E-3</v>
      </c>
      <c r="AQ91" s="6">
        <v>-4.8169650000000003E-3</v>
      </c>
      <c r="AR91" s="6">
        <v>2.1506024096386357E-6</v>
      </c>
      <c r="AS91" s="6">
        <v>-4.2289240000000002E-3</v>
      </c>
      <c r="AT91" s="6">
        <v>-4.226184E-3</v>
      </c>
      <c r="AU91" s="6">
        <v>3.301204819277358E-7</v>
      </c>
      <c r="AV91" s="6">
        <v>-4.7415019999999999E-3</v>
      </c>
      <c r="AW91" s="6">
        <v>-4.8279170000000001E-3</v>
      </c>
      <c r="AX91" s="6">
        <v>1.0411445783132563E-5</v>
      </c>
      <c r="AY91" s="6">
        <v>-4.2607570000000004E-3</v>
      </c>
      <c r="AZ91" s="6">
        <v>-4.2214089999999998E-3</v>
      </c>
      <c r="BA91" s="6">
        <v>4.7407228915663469E-6</v>
      </c>
      <c r="BB91" s="6">
        <v>-3.5802609999999999E-3</v>
      </c>
      <c r="BC91" s="6">
        <v>-3.622353E-3</v>
      </c>
      <c r="BD91" s="6">
        <v>5.0713253012048289E-6</v>
      </c>
      <c r="BE91" s="6">
        <v>-4.1504510000000003E-3</v>
      </c>
      <c r="BF91" s="6">
        <v>-4.2131340000000003E-3</v>
      </c>
      <c r="BG91" s="6">
        <v>7.5521686746987954E-6</v>
      </c>
      <c r="BH91" s="6">
        <v>-3.6378729999999998E-3</v>
      </c>
      <c r="BI91" s="6">
        <v>-3.6114010000000002E-3</v>
      </c>
      <c r="BJ91" s="6">
        <v>3.1893975903613983E-6</v>
      </c>
      <c r="BK91" s="6">
        <v>-4.1186189999999996E-3</v>
      </c>
      <c r="BL91" s="6">
        <v>-4.2179100000000001E-3</v>
      </c>
      <c r="BM91" s="6">
        <v>1.1962771084337406E-5</v>
      </c>
      <c r="BN91" s="6">
        <v>-5.3557709999999996E-3</v>
      </c>
      <c r="BO91" s="6">
        <v>-5.377789E-3</v>
      </c>
      <c r="BP91" s="6">
        <v>2.6527710843373956E-6</v>
      </c>
      <c r="BQ91" s="6">
        <v>-5.184714E-3</v>
      </c>
      <c r="BR91" s="6">
        <v>-5.2005539999999996E-3</v>
      </c>
      <c r="BS91" s="6">
        <v>1.908433734939711E-6</v>
      </c>
      <c r="BT91" s="6">
        <v>-5.3384870000000003E-3</v>
      </c>
      <c r="BU91" s="6">
        <v>-5.3810739999999996E-3</v>
      </c>
      <c r="BV91" s="6">
        <v>5.1309638554216034E-6</v>
      </c>
      <c r="BW91" s="6">
        <v>-5.1942639999999997E-3</v>
      </c>
      <c r="BX91" s="6">
        <v>-5.1991210000000001E-3</v>
      </c>
      <c r="BY91" s="6">
        <v>5.8518072289162307E-7</v>
      </c>
      <c r="BZ91" s="6">
        <v>-4.9901149999999998E-3</v>
      </c>
      <c r="CA91" s="6">
        <v>-5.0194050000000002E-3</v>
      </c>
      <c r="CB91" s="6">
        <v>3.5289156626506493E-6</v>
      </c>
      <c r="CC91" s="6">
        <v>-5.1611720000000003E-3</v>
      </c>
      <c r="CD91" s="6">
        <v>-5.1966390000000003E-3</v>
      </c>
      <c r="CE91" s="6">
        <v>4.2731325301204776E-6</v>
      </c>
      <c r="CF91" s="6">
        <v>-5.0073990000000001E-3</v>
      </c>
      <c r="CG91" s="6">
        <v>-5.0161190000000003E-3</v>
      </c>
      <c r="CH91" s="6">
        <v>1.0506024096385848E-6</v>
      </c>
      <c r="CI91" s="6">
        <v>-5.1516219999999998E-3</v>
      </c>
      <c r="CJ91" s="6">
        <v>-5.1980719999999998E-3</v>
      </c>
      <c r="CK91" s="6">
        <v>5.5963855421686694E-6</v>
      </c>
      <c r="CL91" s="6">
        <v>-3.8430700000000001E-3</v>
      </c>
      <c r="CM91" s="6">
        <v>-3.8717309999999998E-3</v>
      </c>
      <c r="CN91" s="6">
        <v>3.453132530120446E-6</v>
      </c>
      <c r="CO91" s="6">
        <v>-3.6720139999999999E-3</v>
      </c>
      <c r="CP91" s="6">
        <v>-3.6944959999999998E-3</v>
      </c>
      <c r="CQ91" s="6">
        <v>2.7086746987951665E-6</v>
      </c>
      <c r="CR91" s="6">
        <v>-3.8257870000000002E-3</v>
      </c>
      <c r="CS91" s="6">
        <v>-3.8750159999999998E-3</v>
      </c>
      <c r="CT91" s="6">
        <v>5.9312048192770584E-6</v>
      </c>
      <c r="CU91" s="6">
        <v>-3.6815630000000001E-3</v>
      </c>
      <c r="CV91" s="6">
        <v>-3.6930639999999998E-3</v>
      </c>
      <c r="CW91" s="6">
        <v>1.3856626506023732E-6</v>
      </c>
      <c r="CX91" s="6">
        <v>-3.4774139999999999E-3</v>
      </c>
      <c r="CY91" s="6">
        <v>-3.513347E-3</v>
      </c>
      <c r="CZ91" s="6">
        <v>4.3292771084337518E-6</v>
      </c>
      <c r="DA91" s="6">
        <v>-3.6484709999999999E-3</v>
      </c>
      <c r="DB91" s="6">
        <v>-3.690582E-3</v>
      </c>
      <c r="DC91" s="6">
        <v>5.0736144578313318E-6</v>
      </c>
      <c r="DD91" s="6">
        <v>-3.4946980000000001E-3</v>
      </c>
      <c r="DE91" s="6">
        <v>-3.510062E-3</v>
      </c>
      <c r="DF91" s="6">
        <v>1.8510843373493873E-6</v>
      </c>
      <c r="DG91" s="6">
        <v>-3.6389220000000002E-3</v>
      </c>
      <c r="DH91" s="6">
        <v>-3.692014E-3</v>
      </c>
      <c r="DI91" s="6">
        <v>6.3966265060240728E-6</v>
      </c>
    </row>
    <row r="92" spans="1:113" x14ac:dyDescent="0.3">
      <c r="A92" s="13" t="s">
        <v>438</v>
      </c>
      <c r="B92" s="13" t="s">
        <v>172</v>
      </c>
      <c r="C92" s="13" t="s">
        <v>213</v>
      </c>
      <c r="D92" s="13" t="s">
        <v>364</v>
      </c>
      <c r="E92" s="13">
        <v>8.3000000000000007</v>
      </c>
      <c r="F92" s="6">
        <v>-2.9707309999999999E-3</v>
      </c>
      <c r="G92" s="6">
        <v>-2.60166E-3</v>
      </c>
      <c r="H92" s="6">
        <v>4.4466385542168656E-5</v>
      </c>
      <c r="I92" s="6">
        <v>-4.1545729999999999E-3</v>
      </c>
      <c r="J92" s="6">
        <v>-3.7039410000000001E-3</v>
      </c>
      <c r="K92" s="6">
        <v>5.4293012048192749E-5</v>
      </c>
      <c r="L92" s="6">
        <v>-3.5818180000000001E-3</v>
      </c>
      <c r="M92" s="6">
        <v>-3.2125320000000001E-3</v>
      </c>
      <c r="N92" s="6">
        <v>4.4492289156626493E-5</v>
      </c>
      <c r="O92" s="6">
        <v>-4.7365619999999997E-3</v>
      </c>
      <c r="P92" s="6">
        <v>-4.2857260000000001E-3</v>
      </c>
      <c r="Q92" s="6">
        <v>5.4317590361445732E-5</v>
      </c>
      <c r="R92" s="6">
        <v>-5.2687819999999996E-3</v>
      </c>
      <c r="S92" s="6">
        <v>-4.7471609999999997E-3</v>
      </c>
      <c r="T92" s="6">
        <v>6.2845903614457807E-5</v>
      </c>
      <c r="U92" s="6">
        <v>-4.6761190000000003E-3</v>
      </c>
      <c r="V92" s="6">
        <v>-4.1891250000000001E-3</v>
      </c>
      <c r="W92" s="6">
        <v>5.867397590361447E-5</v>
      </c>
      <c r="X92" s="6">
        <v>-5.2797340000000003E-3</v>
      </c>
      <c r="Y92" s="6">
        <v>-4.8196469999999998E-3</v>
      </c>
      <c r="Z92" s="6">
        <v>5.5432168674698849E-5</v>
      </c>
      <c r="AA92" s="6">
        <v>-4.6732259999999999E-3</v>
      </c>
      <c r="AB92" s="6">
        <v>-4.1521079999999998E-3</v>
      </c>
      <c r="AC92" s="6">
        <v>6.2785301204819281E-5</v>
      </c>
      <c r="AD92" s="6">
        <v>-4.0741700000000002E-3</v>
      </c>
      <c r="AE92" s="6">
        <v>-3.6500009999999999E-3</v>
      </c>
      <c r="AF92" s="6">
        <v>5.1104698795180755E-5</v>
      </c>
      <c r="AG92" s="6">
        <v>-4.6649509999999996E-3</v>
      </c>
      <c r="AH92" s="6">
        <v>-4.2065610000000002E-3</v>
      </c>
      <c r="AI92" s="6">
        <v>5.5227710843373427E-5</v>
      </c>
      <c r="AJ92" s="6">
        <v>-4.0632180000000004E-3</v>
      </c>
      <c r="AK92" s="6">
        <v>-3.5775149999999999E-3</v>
      </c>
      <c r="AL92" s="6">
        <v>5.8518433734939814E-5</v>
      </c>
      <c r="AM92" s="6">
        <v>-4.6697270000000003E-3</v>
      </c>
      <c r="AN92" s="6">
        <v>-4.2450539999999998E-3</v>
      </c>
      <c r="AO92" s="6">
        <v>5.1165421686747033E-5</v>
      </c>
      <c r="AP92" s="6">
        <v>-4.8169650000000003E-3</v>
      </c>
      <c r="AQ92" s="6">
        <v>-4.3396659999999998E-3</v>
      </c>
      <c r="AR92" s="6">
        <v>5.7505903614457882E-5</v>
      </c>
      <c r="AS92" s="6">
        <v>-4.226184E-3</v>
      </c>
      <c r="AT92" s="6">
        <v>-3.7831060000000001E-3</v>
      </c>
      <c r="AU92" s="6">
        <v>5.3382891566265048E-5</v>
      </c>
      <c r="AV92" s="6">
        <v>-4.8279170000000001E-3</v>
      </c>
      <c r="AW92" s="6">
        <v>-4.4121509999999996E-3</v>
      </c>
      <c r="AX92" s="6">
        <v>5.0092289156626568E-5</v>
      </c>
      <c r="AY92" s="6">
        <v>-4.2214089999999998E-3</v>
      </c>
      <c r="AZ92" s="6">
        <v>-3.7446129999999999E-3</v>
      </c>
      <c r="BA92" s="6">
        <v>5.7445301204819248E-5</v>
      </c>
      <c r="BB92" s="6">
        <v>-3.622353E-3</v>
      </c>
      <c r="BC92" s="6">
        <v>-3.2425050000000001E-3</v>
      </c>
      <c r="BD92" s="6">
        <v>4.5764819277108419E-5</v>
      </c>
      <c r="BE92" s="6">
        <v>-4.2131340000000003E-3</v>
      </c>
      <c r="BF92" s="6">
        <v>-3.7990649999999999E-3</v>
      </c>
      <c r="BG92" s="6">
        <v>4.9887831325301254E-5</v>
      </c>
      <c r="BH92" s="6">
        <v>-3.6114010000000002E-3</v>
      </c>
      <c r="BI92" s="6">
        <v>-3.17002E-3</v>
      </c>
      <c r="BJ92" s="6">
        <v>5.3178433734939781E-5</v>
      </c>
      <c r="BK92" s="6">
        <v>-4.2179100000000001E-3</v>
      </c>
      <c r="BL92" s="6">
        <v>-3.837558E-3</v>
      </c>
      <c r="BM92" s="6">
        <v>4.5825542168674697E-5</v>
      </c>
      <c r="BN92" s="6">
        <v>-5.377789E-3</v>
      </c>
      <c r="BO92" s="6">
        <v>-4.8385659999999999E-3</v>
      </c>
      <c r="BP92" s="6">
        <v>6.4966626506024103E-5</v>
      </c>
      <c r="BQ92" s="6">
        <v>-5.2005539999999996E-3</v>
      </c>
      <c r="BR92" s="6">
        <v>-4.6715979999999999E-3</v>
      </c>
      <c r="BS92" s="6">
        <v>6.3729638554216826E-5</v>
      </c>
      <c r="BT92" s="6">
        <v>-5.3810739999999996E-3</v>
      </c>
      <c r="BU92" s="6">
        <v>-4.8603120000000003E-3</v>
      </c>
      <c r="BV92" s="6">
        <v>6.2742409638554119E-5</v>
      </c>
      <c r="BW92" s="6">
        <v>-5.1991210000000001E-3</v>
      </c>
      <c r="BX92" s="6">
        <v>-4.6600499999999998E-3</v>
      </c>
      <c r="BY92" s="6">
        <v>6.4948313253012087E-5</v>
      </c>
      <c r="BZ92" s="6">
        <v>-5.0194050000000002E-3</v>
      </c>
      <c r="CA92" s="6">
        <v>-4.5094180000000003E-3</v>
      </c>
      <c r="CB92" s="6">
        <v>6.1444216867469868E-5</v>
      </c>
      <c r="CC92" s="6">
        <v>-5.1966390000000003E-3</v>
      </c>
      <c r="CD92" s="6">
        <v>-4.6763860000000003E-3</v>
      </c>
      <c r="CE92" s="6">
        <v>6.2681084337349392E-5</v>
      </c>
      <c r="CF92" s="6">
        <v>-5.0161190000000003E-3</v>
      </c>
      <c r="CG92" s="6">
        <v>-4.4876719999999998E-3</v>
      </c>
      <c r="CH92" s="6">
        <v>6.3668313253012099E-5</v>
      </c>
      <c r="CI92" s="6">
        <v>-5.1980719999999998E-3</v>
      </c>
      <c r="CJ92" s="6">
        <v>-4.6879340000000004E-3</v>
      </c>
      <c r="CK92" s="6">
        <v>6.1462409638554132E-5</v>
      </c>
      <c r="CL92" s="6">
        <v>-3.8717309999999998E-3</v>
      </c>
      <c r="CM92" s="6">
        <v>-3.4802489999999999E-3</v>
      </c>
      <c r="CN92" s="6">
        <v>4.7166506024096366E-5</v>
      </c>
      <c r="CO92" s="6">
        <v>-3.6944959999999998E-3</v>
      </c>
      <c r="CP92" s="6">
        <v>-3.313281E-3</v>
      </c>
      <c r="CQ92" s="6">
        <v>4.5929518072289136E-5</v>
      </c>
      <c r="CR92" s="6">
        <v>-3.8750159999999998E-3</v>
      </c>
      <c r="CS92" s="6">
        <v>-3.501994E-3</v>
      </c>
      <c r="CT92" s="6">
        <v>4.4942409638554181E-5</v>
      </c>
      <c r="CU92" s="6">
        <v>-3.6930639999999998E-3</v>
      </c>
      <c r="CV92" s="6">
        <v>-3.3017329999999998E-3</v>
      </c>
      <c r="CW92" s="6">
        <v>4.7148313253012041E-5</v>
      </c>
      <c r="CX92" s="6">
        <v>-3.513347E-3</v>
      </c>
      <c r="CY92" s="6">
        <v>-3.1511E-3</v>
      </c>
      <c r="CZ92" s="6">
        <v>4.3644216867469875E-5</v>
      </c>
      <c r="DA92" s="6">
        <v>-3.690582E-3</v>
      </c>
      <c r="DB92" s="6">
        <v>-3.318068E-3</v>
      </c>
      <c r="DC92" s="6">
        <v>4.4881204819277105E-5</v>
      </c>
      <c r="DD92" s="6">
        <v>-3.510062E-3</v>
      </c>
      <c r="DE92" s="6">
        <v>-3.1293549999999999E-3</v>
      </c>
      <c r="DF92" s="6">
        <v>4.5868313253012053E-5</v>
      </c>
      <c r="DG92" s="6">
        <v>-3.692014E-3</v>
      </c>
      <c r="DH92" s="6">
        <v>-3.3296160000000001E-3</v>
      </c>
      <c r="DI92" s="6">
        <v>4.36624096385542E-5</v>
      </c>
    </row>
    <row r="93" spans="1:113" x14ac:dyDescent="0.3">
      <c r="A93" s="13" t="s">
        <v>439</v>
      </c>
      <c r="B93" s="13" t="s">
        <v>213</v>
      </c>
      <c r="C93" s="13" t="s">
        <v>251</v>
      </c>
      <c r="D93" s="13" t="s">
        <v>364</v>
      </c>
      <c r="E93" s="13">
        <v>8.3000000000000007</v>
      </c>
      <c r="F93" s="6">
        <v>-2.60166E-3</v>
      </c>
      <c r="G93" s="6">
        <v>-2.1207439999999999E-3</v>
      </c>
      <c r="H93" s="6">
        <v>5.7941686746987958E-5</v>
      </c>
      <c r="I93" s="6">
        <v>-3.7039410000000001E-3</v>
      </c>
      <c r="J93" s="6">
        <v>-3.0711319999999999E-3</v>
      </c>
      <c r="K93" s="6">
        <v>7.624204819277111E-5</v>
      </c>
      <c r="L93" s="6">
        <v>-3.2125320000000001E-3</v>
      </c>
      <c r="M93" s="6">
        <v>-2.734696E-3</v>
      </c>
      <c r="N93" s="6">
        <v>5.757060240963857E-5</v>
      </c>
      <c r="O93" s="6">
        <v>-4.2857260000000001E-3</v>
      </c>
      <c r="P93" s="6">
        <v>-3.65585E-3</v>
      </c>
      <c r="Q93" s="6">
        <v>7.5888674698795195E-5</v>
      </c>
      <c r="R93" s="6">
        <v>-4.7471609999999997E-3</v>
      </c>
      <c r="S93" s="6">
        <v>-3.913499E-3</v>
      </c>
      <c r="T93" s="6">
        <v>1.0044120481927707E-4</v>
      </c>
      <c r="U93" s="6">
        <v>-4.1891250000000001E-3</v>
      </c>
      <c r="V93" s="6">
        <v>-3.6384080000000001E-3</v>
      </c>
      <c r="W93" s="6">
        <v>6.6351445783132524E-5</v>
      </c>
      <c r="X93" s="6">
        <v>-4.8196469999999998E-3</v>
      </c>
      <c r="Y93" s="6">
        <v>-3.9790099999999998E-3</v>
      </c>
      <c r="Z93" s="6">
        <v>1.0128156626506023E-4</v>
      </c>
      <c r="AA93" s="6">
        <v>-4.1521079999999998E-3</v>
      </c>
      <c r="AB93" s="6">
        <v>-3.6012869999999999E-3</v>
      </c>
      <c r="AC93" s="6">
        <v>6.6363975903614445E-5</v>
      </c>
      <c r="AD93" s="6">
        <v>-3.6500009999999999E-3</v>
      </c>
      <c r="AE93" s="6">
        <v>-3.1637480000000001E-3</v>
      </c>
      <c r="AF93" s="6">
        <v>5.8584698795180703E-5</v>
      </c>
      <c r="AG93" s="6">
        <v>-4.2065610000000002E-3</v>
      </c>
      <c r="AH93" s="6">
        <v>-3.4386080000000001E-3</v>
      </c>
      <c r="AI93" s="6">
        <v>9.2524457831325298E-5</v>
      </c>
      <c r="AJ93" s="6">
        <v>-3.5775149999999999E-3</v>
      </c>
      <c r="AK93" s="6">
        <v>-3.0982380000000001E-3</v>
      </c>
      <c r="AL93" s="6">
        <v>5.7744216867469845E-5</v>
      </c>
      <c r="AM93" s="6">
        <v>-4.2450539999999998E-3</v>
      </c>
      <c r="AN93" s="6">
        <v>-3.4759610000000001E-3</v>
      </c>
      <c r="AO93" s="6">
        <v>9.2661807228915628E-5</v>
      </c>
      <c r="AP93" s="6">
        <v>-4.3396659999999998E-3</v>
      </c>
      <c r="AQ93" s="6">
        <v>-3.5632340000000002E-3</v>
      </c>
      <c r="AR93" s="6">
        <v>9.3546024096385493E-5</v>
      </c>
      <c r="AS93" s="6">
        <v>-3.7831060000000001E-3</v>
      </c>
      <c r="AT93" s="6">
        <v>-3.2883740000000002E-3</v>
      </c>
      <c r="AU93" s="6">
        <v>5.9606265060240946E-5</v>
      </c>
      <c r="AV93" s="6">
        <v>-4.4121509999999996E-3</v>
      </c>
      <c r="AW93" s="6">
        <v>-3.6287440000000002E-3</v>
      </c>
      <c r="AX93" s="6">
        <v>9.4386385542168599E-5</v>
      </c>
      <c r="AY93" s="6">
        <v>-3.7446129999999999E-3</v>
      </c>
      <c r="AZ93" s="6">
        <v>-3.2510210000000002E-3</v>
      </c>
      <c r="BA93" s="6">
        <v>5.9468915662650561E-5</v>
      </c>
      <c r="BB93" s="6">
        <v>-3.2425050000000001E-3</v>
      </c>
      <c r="BC93" s="6">
        <v>-2.813482E-3</v>
      </c>
      <c r="BD93" s="6">
        <v>5.1689518072289169E-5</v>
      </c>
      <c r="BE93" s="6">
        <v>-3.7990649999999999E-3</v>
      </c>
      <c r="BF93" s="6">
        <v>-3.088342E-3</v>
      </c>
      <c r="BG93" s="6">
        <v>8.5629277108433723E-5</v>
      </c>
      <c r="BH93" s="6">
        <v>-3.17002E-3</v>
      </c>
      <c r="BI93" s="6">
        <v>-2.747972E-3</v>
      </c>
      <c r="BJ93" s="6">
        <v>5.0849156626506016E-5</v>
      </c>
      <c r="BK93" s="6">
        <v>-3.837558E-3</v>
      </c>
      <c r="BL93" s="6">
        <v>-3.1256949999999999E-3</v>
      </c>
      <c r="BM93" s="6">
        <v>8.5766626506024094E-5</v>
      </c>
      <c r="BN93" s="6">
        <v>-4.8385659999999999E-3</v>
      </c>
      <c r="BO93" s="6">
        <v>-4.0597300000000001E-3</v>
      </c>
      <c r="BP93" s="6">
        <v>9.3835662650602371E-5</v>
      </c>
      <c r="BQ93" s="6">
        <v>-4.6715979999999999E-3</v>
      </c>
      <c r="BR93" s="6">
        <v>-3.9772719999999996E-3</v>
      </c>
      <c r="BS93" s="6">
        <v>8.3653734939759068E-5</v>
      </c>
      <c r="BT93" s="6">
        <v>-4.8603120000000003E-3</v>
      </c>
      <c r="BU93" s="6">
        <v>-4.0793829999999998E-3</v>
      </c>
      <c r="BV93" s="6">
        <v>9.4087831325301264E-5</v>
      </c>
      <c r="BW93" s="6">
        <v>-4.6600499999999998E-3</v>
      </c>
      <c r="BX93" s="6">
        <v>-3.9660659999999999E-3</v>
      </c>
      <c r="BY93" s="6">
        <v>8.3612530120481907E-5</v>
      </c>
      <c r="BZ93" s="6">
        <v>-4.5094180000000003E-3</v>
      </c>
      <c r="CA93" s="6">
        <v>-3.8348050000000002E-3</v>
      </c>
      <c r="CB93" s="6">
        <v>8.1278674698795182E-5</v>
      </c>
      <c r="CC93" s="6">
        <v>-4.6763860000000003E-3</v>
      </c>
      <c r="CD93" s="6">
        <v>-3.9172620000000003E-3</v>
      </c>
      <c r="CE93" s="6">
        <v>9.146072289156625E-5</v>
      </c>
      <c r="CF93" s="6">
        <v>-4.4876719999999998E-3</v>
      </c>
      <c r="CG93" s="6">
        <v>-3.815152E-3</v>
      </c>
      <c r="CH93" s="6">
        <v>8.1026506024096357E-5</v>
      </c>
      <c r="CI93" s="6">
        <v>-4.6879340000000004E-3</v>
      </c>
      <c r="CJ93" s="6">
        <v>-3.9284680000000001E-3</v>
      </c>
      <c r="CK93" s="6">
        <v>9.1501927710843398E-5</v>
      </c>
      <c r="CL93" s="6">
        <v>-3.4802489999999999E-3</v>
      </c>
      <c r="CM93" s="6">
        <v>-2.8921770000000001E-3</v>
      </c>
      <c r="CN93" s="6">
        <v>7.0852048192771055E-5</v>
      </c>
      <c r="CO93" s="6">
        <v>-3.313281E-3</v>
      </c>
      <c r="CP93" s="6">
        <v>-2.809719E-3</v>
      </c>
      <c r="CQ93" s="6">
        <v>6.0670120481927698E-5</v>
      </c>
      <c r="CR93" s="6">
        <v>-3.501994E-3</v>
      </c>
      <c r="CS93" s="6">
        <v>-2.9118299999999998E-3</v>
      </c>
      <c r="CT93" s="6">
        <v>7.1104096385542196E-5</v>
      </c>
      <c r="CU93" s="6">
        <v>-3.3017329999999998E-3</v>
      </c>
      <c r="CV93" s="6">
        <v>-2.7985129999999999E-3</v>
      </c>
      <c r="CW93" s="6">
        <v>6.0628915662650591E-5</v>
      </c>
      <c r="CX93" s="6">
        <v>-3.1511E-3</v>
      </c>
      <c r="CY93" s="6">
        <v>-2.6672509999999998E-3</v>
      </c>
      <c r="CZ93" s="6">
        <v>5.8295060240963873E-5</v>
      </c>
      <c r="DA93" s="6">
        <v>-3.318068E-3</v>
      </c>
      <c r="DB93" s="6">
        <v>-2.7497089999999999E-3</v>
      </c>
      <c r="DC93" s="6">
        <v>6.8476987951807223E-5</v>
      </c>
      <c r="DD93" s="6">
        <v>-3.1293549999999999E-3</v>
      </c>
      <c r="DE93" s="6">
        <v>-2.6475980000000001E-3</v>
      </c>
      <c r="DF93" s="6">
        <v>5.8043012048192738E-5</v>
      </c>
      <c r="DG93" s="6">
        <v>-3.3296160000000001E-3</v>
      </c>
      <c r="DH93" s="6">
        <v>-2.7609150000000001E-3</v>
      </c>
      <c r="DI93" s="6">
        <v>6.851819277108433E-5</v>
      </c>
    </row>
    <row r="94" spans="1:113" x14ac:dyDescent="0.3">
      <c r="A94" s="13" t="s">
        <v>440</v>
      </c>
      <c r="B94" s="13" t="s">
        <v>251</v>
      </c>
      <c r="C94" s="13" t="s">
        <v>292</v>
      </c>
      <c r="D94" s="13" t="s">
        <v>364</v>
      </c>
      <c r="E94" s="13">
        <v>8.3000000000000007</v>
      </c>
      <c r="F94" s="6">
        <v>-2.1207439999999999E-3</v>
      </c>
      <c r="G94" s="6">
        <v>-1.482787E-3</v>
      </c>
      <c r="H94" s="6">
        <v>7.6862289156626496E-5</v>
      </c>
      <c r="I94" s="6">
        <v>-3.0711319999999999E-3</v>
      </c>
      <c r="J94" s="6">
        <v>-2.192608E-3</v>
      </c>
      <c r="K94" s="6">
        <v>1.0584626506024094E-4</v>
      </c>
      <c r="L94" s="6">
        <v>-2.734696E-3</v>
      </c>
      <c r="M94" s="6">
        <v>-2.0920019999999999E-3</v>
      </c>
      <c r="N94" s="6">
        <v>7.7433012048192768E-5</v>
      </c>
      <c r="O94" s="6">
        <v>-3.65585E-3</v>
      </c>
      <c r="P94" s="6">
        <v>-2.7728129999999998E-3</v>
      </c>
      <c r="Q94" s="6">
        <v>1.0639E-4</v>
      </c>
      <c r="R94" s="6">
        <v>-3.913499E-3</v>
      </c>
      <c r="S94" s="6">
        <v>-2.9969390000000001E-3</v>
      </c>
      <c r="T94" s="6">
        <v>1.1042891566265058E-4</v>
      </c>
      <c r="U94" s="6">
        <v>-3.6384080000000001E-3</v>
      </c>
      <c r="V94" s="6">
        <v>-3.0957469999999998E-3</v>
      </c>
      <c r="W94" s="6">
        <v>6.5380843373494008E-5</v>
      </c>
      <c r="X94" s="6">
        <v>-3.9790099999999998E-3</v>
      </c>
      <c r="Y94" s="6">
        <v>-3.043231E-3</v>
      </c>
      <c r="Z94" s="6">
        <v>1.1274445783132528E-4</v>
      </c>
      <c r="AA94" s="6">
        <v>-3.6012869999999999E-3</v>
      </c>
      <c r="AB94" s="6">
        <v>-3.0674439999999999E-3</v>
      </c>
      <c r="AC94" s="6">
        <v>6.4318433734939759E-5</v>
      </c>
      <c r="AD94" s="6">
        <v>-3.1637480000000001E-3</v>
      </c>
      <c r="AE94" s="6">
        <v>-2.2414539999999999E-3</v>
      </c>
      <c r="AF94" s="6">
        <v>1.1111975903614458E-4</v>
      </c>
      <c r="AG94" s="6">
        <v>-3.4386080000000001E-3</v>
      </c>
      <c r="AH94" s="6">
        <v>-2.1440999999999999E-3</v>
      </c>
      <c r="AI94" s="6">
        <v>1.5596481927710845E-4</v>
      </c>
      <c r="AJ94" s="6">
        <v>-3.0982380000000001E-3</v>
      </c>
      <c r="AK94" s="6">
        <v>-2.1951620000000001E-3</v>
      </c>
      <c r="AL94" s="6">
        <v>1.0880433734939759E-4</v>
      </c>
      <c r="AM94" s="6">
        <v>-3.4759610000000001E-3</v>
      </c>
      <c r="AN94" s="6">
        <v>-2.1709490000000001E-3</v>
      </c>
      <c r="AO94" s="6">
        <v>1.5723036144578312E-4</v>
      </c>
      <c r="AP94" s="6">
        <v>-3.5632340000000002E-3</v>
      </c>
      <c r="AQ94" s="6">
        <v>-2.7239669999999999E-3</v>
      </c>
      <c r="AR94" s="6">
        <v>1.0111650602409642E-4</v>
      </c>
      <c r="AS94" s="6">
        <v>-3.2883740000000002E-3</v>
      </c>
      <c r="AT94" s="6">
        <v>-2.8213209999999999E-3</v>
      </c>
      <c r="AU94" s="6">
        <v>5.6271445783132559E-5</v>
      </c>
      <c r="AV94" s="6">
        <v>-3.6287440000000002E-3</v>
      </c>
      <c r="AW94" s="6">
        <v>-2.7702590000000002E-3</v>
      </c>
      <c r="AX94" s="6">
        <v>1.0343192771084336E-4</v>
      </c>
      <c r="AY94" s="6">
        <v>-3.2510210000000002E-3</v>
      </c>
      <c r="AZ94" s="6">
        <v>-2.7944720000000001E-3</v>
      </c>
      <c r="BA94" s="6">
        <v>5.5005903614457842E-5</v>
      </c>
      <c r="BB94" s="6">
        <v>-2.813482E-3</v>
      </c>
      <c r="BC94" s="6">
        <v>-1.9684820000000001E-3</v>
      </c>
      <c r="BD94" s="6">
        <v>1.0180722891566263E-4</v>
      </c>
      <c r="BE94" s="6">
        <v>-3.088342E-3</v>
      </c>
      <c r="BF94" s="6">
        <v>-1.8711279999999999E-3</v>
      </c>
      <c r="BG94" s="6">
        <v>1.466522891566265E-4</v>
      </c>
      <c r="BH94" s="6">
        <v>-2.747972E-3</v>
      </c>
      <c r="BI94" s="6">
        <v>-1.9221900000000001E-3</v>
      </c>
      <c r="BJ94" s="6">
        <v>9.9491807228915642E-5</v>
      </c>
      <c r="BK94" s="6">
        <v>-3.1256949999999999E-3</v>
      </c>
      <c r="BL94" s="6">
        <v>-1.8979769999999999E-3</v>
      </c>
      <c r="BM94" s="6">
        <v>1.479178313253012E-4</v>
      </c>
      <c r="BN94" s="6">
        <v>-4.0597300000000001E-3</v>
      </c>
      <c r="BO94" s="6">
        <v>-3.0509869999999998E-3</v>
      </c>
      <c r="BP94" s="6">
        <v>1.215353012048193E-4</v>
      </c>
      <c r="BQ94" s="6">
        <v>-3.9772719999999996E-3</v>
      </c>
      <c r="BR94" s="6">
        <v>-3.0801930000000002E-3</v>
      </c>
      <c r="BS94" s="6">
        <v>1.0808180722891559E-4</v>
      </c>
      <c r="BT94" s="6">
        <v>-4.0793829999999998E-3</v>
      </c>
      <c r="BU94" s="6">
        <v>-3.064874E-3</v>
      </c>
      <c r="BV94" s="6">
        <v>1.2222999999999997E-4</v>
      </c>
      <c r="BW94" s="6">
        <v>-3.9660659999999999E-3</v>
      </c>
      <c r="BX94" s="6">
        <v>-3.0721379999999999E-3</v>
      </c>
      <c r="BY94" s="6">
        <v>1.0770216867469878E-4</v>
      </c>
      <c r="BZ94" s="6">
        <v>-3.8348050000000002E-3</v>
      </c>
      <c r="CA94" s="6">
        <v>-2.8243410000000002E-3</v>
      </c>
      <c r="CB94" s="6">
        <v>1.2174265060240962E-4</v>
      </c>
      <c r="CC94" s="6">
        <v>-3.9172620000000003E-3</v>
      </c>
      <c r="CD94" s="6">
        <v>-2.7951349999999998E-3</v>
      </c>
      <c r="CE94" s="6">
        <v>1.3519602409638558E-4</v>
      </c>
      <c r="CF94" s="6">
        <v>-3.815152E-3</v>
      </c>
      <c r="CG94" s="6">
        <v>-2.810454E-3</v>
      </c>
      <c r="CH94" s="6">
        <v>1.2104795180722891E-4</v>
      </c>
      <c r="CI94" s="6">
        <v>-3.9284680000000001E-3</v>
      </c>
      <c r="CJ94" s="6">
        <v>-2.8031900000000001E-3</v>
      </c>
      <c r="CK94" s="6">
        <v>1.3557566265060239E-4</v>
      </c>
      <c r="CL94" s="6">
        <v>-2.8921770000000001E-3</v>
      </c>
      <c r="CM94" s="6">
        <v>-2.1410800000000001E-3</v>
      </c>
      <c r="CN94" s="6">
        <v>9.0493614457831325E-5</v>
      </c>
      <c r="CO94" s="6">
        <v>-2.809719E-3</v>
      </c>
      <c r="CP94" s="6">
        <v>-2.170286E-3</v>
      </c>
      <c r="CQ94" s="6">
        <v>7.7040120481927706E-5</v>
      </c>
      <c r="CR94" s="6">
        <v>-2.9118299999999998E-3</v>
      </c>
      <c r="CS94" s="6">
        <v>-2.1549680000000002E-3</v>
      </c>
      <c r="CT94" s="6">
        <v>9.1188192771084287E-5</v>
      </c>
      <c r="CU94" s="6">
        <v>-2.7985129999999999E-3</v>
      </c>
      <c r="CV94" s="6">
        <v>-2.162232E-3</v>
      </c>
      <c r="CW94" s="6">
        <v>7.6660361445783108E-5</v>
      </c>
      <c r="CX94" s="6">
        <v>-2.6672509999999998E-3</v>
      </c>
      <c r="CY94" s="6">
        <v>-1.9144349999999999E-3</v>
      </c>
      <c r="CZ94" s="6">
        <v>9.0700722891566251E-5</v>
      </c>
      <c r="DA94" s="6">
        <v>-2.7497089999999999E-3</v>
      </c>
      <c r="DB94" s="6">
        <v>-1.8852280000000001E-3</v>
      </c>
      <c r="DC94" s="6">
        <v>1.0415433734939757E-4</v>
      </c>
      <c r="DD94" s="6">
        <v>-2.6475980000000001E-3</v>
      </c>
      <c r="DE94" s="6">
        <v>-1.900547E-3</v>
      </c>
      <c r="DF94" s="6">
        <v>9.0006144578313262E-5</v>
      </c>
      <c r="DG94" s="6">
        <v>-2.7609150000000001E-3</v>
      </c>
      <c r="DH94" s="6">
        <v>-1.8932829999999999E-3</v>
      </c>
      <c r="DI94" s="6">
        <v>1.0453397590361447E-4</v>
      </c>
    </row>
    <row r="95" spans="1:113" x14ac:dyDescent="0.3">
      <c r="A95" s="13" t="s">
        <v>441</v>
      </c>
      <c r="B95" s="13" t="s">
        <v>250</v>
      </c>
      <c r="C95" s="13" t="s">
        <v>251</v>
      </c>
      <c r="D95" s="13" t="s">
        <v>364</v>
      </c>
      <c r="E95" s="13">
        <v>11</v>
      </c>
      <c r="F95" s="6">
        <v>-2.9568120000000001E-3</v>
      </c>
      <c r="G95" s="6">
        <v>-2.1207439999999999E-3</v>
      </c>
      <c r="H95" s="6">
        <v>7.6006181818181825E-5</v>
      </c>
      <c r="I95" s="6">
        <v>-4.2027269999999999E-3</v>
      </c>
      <c r="J95" s="6">
        <v>-3.0711319999999999E-3</v>
      </c>
      <c r="K95" s="6">
        <v>1.0287227272727273E-4</v>
      </c>
      <c r="L95" s="6">
        <v>-3.5590190000000001E-3</v>
      </c>
      <c r="M95" s="6">
        <v>-2.734696E-3</v>
      </c>
      <c r="N95" s="6">
        <v>7.4938454545454546E-5</v>
      </c>
      <c r="O95" s="6">
        <v>-4.7762209999999998E-3</v>
      </c>
      <c r="P95" s="6">
        <v>-3.65585E-3</v>
      </c>
      <c r="Q95" s="6">
        <v>1.0185190909090908E-4</v>
      </c>
      <c r="R95" s="6">
        <v>-4.7903720000000002E-3</v>
      </c>
      <c r="S95" s="6">
        <v>-3.913499E-3</v>
      </c>
      <c r="T95" s="6">
        <v>7.9715727272727289E-5</v>
      </c>
      <c r="U95" s="6">
        <v>-4.7511979999999999E-3</v>
      </c>
      <c r="V95" s="6">
        <v>-3.6384080000000001E-3</v>
      </c>
      <c r="W95" s="6">
        <v>1.0116272727272725E-4</v>
      </c>
      <c r="X95" s="6">
        <v>-4.8059899999999996E-3</v>
      </c>
      <c r="Y95" s="6">
        <v>-3.9790099999999998E-3</v>
      </c>
      <c r="Z95" s="6">
        <v>7.5179999999999982E-5</v>
      </c>
      <c r="AA95" s="6">
        <v>-4.7406890000000002E-3</v>
      </c>
      <c r="AB95" s="6">
        <v>-3.6012869999999999E-3</v>
      </c>
      <c r="AC95" s="6">
        <v>1.0358200000000003E-4</v>
      </c>
      <c r="AD95" s="6">
        <v>-4.6373359999999997E-3</v>
      </c>
      <c r="AE95" s="6">
        <v>-3.1637480000000001E-3</v>
      </c>
      <c r="AF95" s="6">
        <v>1.3396254545454541E-4</v>
      </c>
      <c r="AG95" s="6">
        <v>-4.6773550000000002E-3</v>
      </c>
      <c r="AH95" s="6">
        <v>-3.4386080000000001E-3</v>
      </c>
      <c r="AI95" s="6">
        <v>1.1261336363636364E-4</v>
      </c>
      <c r="AJ95" s="6">
        <v>-4.6217180000000004E-3</v>
      </c>
      <c r="AK95" s="6">
        <v>-3.0982380000000001E-3</v>
      </c>
      <c r="AL95" s="6">
        <v>1.3849818181818185E-4</v>
      </c>
      <c r="AM95" s="6">
        <v>-4.6870189999999997E-3</v>
      </c>
      <c r="AN95" s="6">
        <v>-3.4759610000000001E-3</v>
      </c>
      <c r="AO95" s="6">
        <v>1.1009618181818179E-4</v>
      </c>
      <c r="AP95" s="6">
        <v>-4.3416119999999999E-3</v>
      </c>
      <c r="AQ95" s="6">
        <v>-3.5632340000000002E-3</v>
      </c>
      <c r="AR95" s="6">
        <v>7.0761636363636342E-5</v>
      </c>
      <c r="AS95" s="6">
        <v>-4.3015919999999999E-3</v>
      </c>
      <c r="AT95" s="6">
        <v>-3.2883740000000002E-3</v>
      </c>
      <c r="AU95" s="6">
        <v>9.2110727272727254E-5</v>
      </c>
      <c r="AV95" s="6">
        <v>-4.3572300000000001E-3</v>
      </c>
      <c r="AW95" s="6">
        <v>-3.6287440000000002E-3</v>
      </c>
      <c r="AX95" s="6">
        <v>6.6225999999999999E-5</v>
      </c>
      <c r="AY95" s="6">
        <v>-4.2919280000000004E-3</v>
      </c>
      <c r="AZ95" s="6">
        <v>-3.2510210000000002E-3</v>
      </c>
      <c r="BA95" s="6">
        <v>9.4627909090909106E-5</v>
      </c>
      <c r="BB95" s="6">
        <v>-4.1885760000000003E-3</v>
      </c>
      <c r="BC95" s="6">
        <v>-2.813482E-3</v>
      </c>
      <c r="BD95" s="6">
        <v>1.2500854545454548E-4</v>
      </c>
      <c r="BE95" s="6">
        <v>-4.2285949999999999E-3</v>
      </c>
      <c r="BF95" s="6">
        <v>-3.088342E-3</v>
      </c>
      <c r="BG95" s="6">
        <v>1.0365936363636363E-4</v>
      </c>
      <c r="BH95" s="6">
        <v>-4.172958E-3</v>
      </c>
      <c r="BI95" s="6">
        <v>-2.747972E-3</v>
      </c>
      <c r="BJ95" s="6">
        <v>1.2954418181818181E-4</v>
      </c>
      <c r="BK95" s="6">
        <v>-4.2382590000000003E-3</v>
      </c>
      <c r="BL95" s="6">
        <v>-3.1256949999999999E-3</v>
      </c>
      <c r="BM95" s="6">
        <v>1.0114218181818185E-4</v>
      </c>
      <c r="BN95" s="6">
        <v>-5.2603629999999997E-3</v>
      </c>
      <c r="BO95" s="6">
        <v>-4.0597300000000001E-3</v>
      </c>
      <c r="BP95" s="6">
        <v>1.091484545454545E-4</v>
      </c>
      <c r="BQ95" s="6">
        <v>-5.2483579999999998E-3</v>
      </c>
      <c r="BR95" s="6">
        <v>-3.9772719999999996E-3</v>
      </c>
      <c r="BS95" s="6">
        <v>1.1555327272727275E-4</v>
      </c>
      <c r="BT95" s="6">
        <v>-5.2650489999999999E-3</v>
      </c>
      <c r="BU95" s="6">
        <v>-4.0793829999999998E-3</v>
      </c>
      <c r="BV95" s="6">
        <v>1.077878181818182E-4</v>
      </c>
      <c r="BW95" s="6">
        <v>-5.2454579999999997E-3</v>
      </c>
      <c r="BX95" s="6">
        <v>-3.9660659999999999E-3</v>
      </c>
      <c r="BY95" s="6">
        <v>1.1630836363636363E-4</v>
      </c>
      <c r="BZ95" s="6">
        <v>-5.2144519999999996E-3</v>
      </c>
      <c r="CA95" s="6">
        <v>-3.8348050000000002E-3</v>
      </c>
      <c r="CB95" s="6">
        <v>1.254224545454545E-4</v>
      </c>
      <c r="CC95" s="6">
        <v>-5.2264579999999998E-3</v>
      </c>
      <c r="CD95" s="6">
        <v>-3.9172620000000003E-3</v>
      </c>
      <c r="CE95" s="6">
        <v>1.1901781818181813E-4</v>
      </c>
      <c r="CF95" s="6">
        <v>-5.2097669999999997E-3</v>
      </c>
      <c r="CG95" s="6">
        <v>-3.815152E-3</v>
      </c>
      <c r="CH95" s="6">
        <v>1.2678318181818179E-4</v>
      </c>
      <c r="CI95" s="6">
        <v>-5.2293569999999996E-3</v>
      </c>
      <c r="CJ95" s="6">
        <v>-3.9284680000000001E-3</v>
      </c>
      <c r="CK95" s="6">
        <v>1.1826263636363632E-4</v>
      </c>
      <c r="CL95" s="6">
        <v>-3.7644950000000001E-3</v>
      </c>
      <c r="CM95" s="6">
        <v>-2.8921770000000001E-3</v>
      </c>
      <c r="CN95" s="6">
        <v>7.9301636363636365E-5</v>
      </c>
      <c r="CO95" s="6">
        <v>-3.7524899999999998E-3</v>
      </c>
      <c r="CP95" s="6">
        <v>-2.809719E-3</v>
      </c>
      <c r="CQ95" s="6">
        <v>8.5706454545454521E-5</v>
      </c>
      <c r="CR95" s="6">
        <v>-3.7691809999999999E-3</v>
      </c>
      <c r="CS95" s="6">
        <v>-2.9118299999999998E-3</v>
      </c>
      <c r="CT95" s="6">
        <v>7.7941000000000005E-5</v>
      </c>
      <c r="CU95" s="6">
        <v>-3.7495900000000001E-3</v>
      </c>
      <c r="CV95" s="6">
        <v>-2.7985129999999999E-3</v>
      </c>
      <c r="CW95" s="6">
        <v>8.6461545454545474E-5</v>
      </c>
      <c r="CX95" s="6">
        <v>-3.7185849999999999E-3</v>
      </c>
      <c r="CY95" s="6">
        <v>-2.6672509999999998E-3</v>
      </c>
      <c r="CZ95" s="6">
        <v>9.5575818181818187E-5</v>
      </c>
      <c r="DA95" s="6">
        <v>-3.7305900000000002E-3</v>
      </c>
      <c r="DB95" s="6">
        <v>-2.7497089999999999E-3</v>
      </c>
      <c r="DC95" s="6">
        <v>8.9171000000000031E-5</v>
      </c>
      <c r="DD95" s="6">
        <v>-3.7138990000000001E-3</v>
      </c>
      <c r="DE95" s="6">
        <v>-2.6475980000000001E-3</v>
      </c>
      <c r="DF95" s="6">
        <v>9.6936454545454547E-5</v>
      </c>
      <c r="DG95" s="6">
        <v>-3.733489E-3</v>
      </c>
      <c r="DH95" s="6">
        <v>-2.7609150000000001E-3</v>
      </c>
      <c r="DI95" s="6">
        <v>8.8415818181818181E-5</v>
      </c>
    </row>
    <row r="96" spans="1:113" x14ac:dyDescent="0.3">
      <c r="A96" s="13" t="s">
        <v>442</v>
      </c>
      <c r="B96" s="13" t="s">
        <v>60</v>
      </c>
      <c r="C96" s="13" t="s">
        <v>61</v>
      </c>
      <c r="D96" s="13" t="s">
        <v>350</v>
      </c>
      <c r="E96" s="13">
        <v>11</v>
      </c>
      <c r="F96" s="6">
        <v>-3.688729E-3</v>
      </c>
      <c r="G96" s="6">
        <v>-3.091782E-3</v>
      </c>
      <c r="H96" s="6">
        <v>5.4267909090909092E-5</v>
      </c>
      <c r="I96" s="6">
        <v>-4.516272E-3</v>
      </c>
      <c r="J96" s="6">
        <v>-3.7935989999999999E-3</v>
      </c>
      <c r="K96" s="6">
        <v>6.5697545454545454E-5</v>
      </c>
      <c r="L96" s="6">
        <v>-4.0622760000000001E-3</v>
      </c>
      <c r="M96" s="6">
        <v>-3.4678529999999999E-3</v>
      </c>
      <c r="N96" s="6">
        <v>5.4038454545454559E-5</v>
      </c>
      <c r="O96" s="6">
        <v>-4.8722490000000004E-3</v>
      </c>
      <c r="P96" s="6">
        <v>-4.1517380000000003E-3</v>
      </c>
      <c r="Q96" s="6">
        <v>6.5501000000000009E-5</v>
      </c>
      <c r="R96" s="6">
        <v>-5.1418009999999997E-3</v>
      </c>
      <c r="S96" s="6">
        <v>-4.7017659999999996E-3</v>
      </c>
      <c r="T96" s="6">
        <v>4.0003181818181824E-5</v>
      </c>
      <c r="U96" s="6">
        <v>-3.913522E-3</v>
      </c>
      <c r="V96" s="6">
        <v>-3.344938E-3</v>
      </c>
      <c r="W96" s="6">
        <v>5.1689454545454545E-5</v>
      </c>
      <c r="X96" s="6">
        <v>-5.1299079999999999E-3</v>
      </c>
      <c r="Y96" s="6">
        <v>-4.6807350000000001E-3</v>
      </c>
      <c r="Z96" s="6">
        <v>4.0833909090909072E-5</v>
      </c>
      <c r="AA96" s="6">
        <v>-3.8495080000000002E-3</v>
      </c>
      <c r="AB96" s="6">
        <v>-3.2302849999999998E-3</v>
      </c>
      <c r="AC96" s="6">
        <v>5.6293000000000032E-5</v>
      </c>
      <c r="AD96" s="6">
        <v>-4.7476430000000002E-3</v>
      </c>
      <c r="AE96" s="6">
        <v>-3.6732520000000001E-3</v>
      </c>
      <c r="AF96" s="6">
        <v>9.7671909090909099E-5</v>
      </c>
      <c r="AG96" s="6">
        <v>-6.0469080000000001E-3</v>
      </c>
      <c r="AH96" s="6">
        <v>-5.1569520000000002E-3</v>
      </c>
      <c r="AI96" s="6">
        <v>8.0905090909090896E-5</v>
      </c>
      <c r="AJ96" s="6">
        <v>-4.759536E-3</v>
      </c>
      <c r="AK96" s="6">
        <v>-3.6942839999999999E-3</v>
      </c>
      <c r="AL96" s="6">
        <v>9.6841090909090914E-5</v>
      </c>
      <c r="AM96" s="6">
        <v>-6.0399370000000004E-3</v>
      </c>
      <c r="AN96" s="6">
        <v>-5.1447330000000003E-3</v>
      </c>
      <c r="AO96" s="6">
        <v>8.1382181818181836E-5</v>
      </c>
      <c r="AP96" s="6">
        <v>-4.6408710000000004E-3</v>
      </c>
      <c r="AQ96" s="6">
        <v>-4.2720859999999996E-3</v>
      </c>
      <c r="AR96" s="6">
        <v>3.3525909090909168E-5</v>
      </c>
      <c r="AS96" s="6">
        <v>-3.3416069999999999E-3</v>
      </c>
      <c r="AT96" s="6">
        <v>-2.7883859999999999E-3</v>
      </c>
      <c r="AU96" s="6">
        <v>5.029281818181818E-5</v>
      </c>
      <c r="AV96" s="6">
        <v>-4.6289790000000001E-3</v>
      </c>
      <c r="AW96" s="6">
        <v>-4.2510539999999998E-3</v>
      </c>
      <c r="AX96" s="6">
        <v>3.4356818181818209E-5</v>
      </c>
      <c r="AY96" s="6">
        <v>-3.3485780000000001E-3</v>
      </c>
      <c r="AZ96" s="6">
        <v>-2.8006049999999998E-3</v>
      </c>
      <c r="BA96" s="6">
        <v>4.9815727272727294E-5</v>
      </c>
      <c r="BB96" s="6">
        <v>-4.2467140000000004E-3</v>
      </c>
      <c r="BC96" s="6">
        <v>-3.2435720000000001E-3</v>
      </c>
      <c r="BD96" s="6">
        <v>9.1194727272727292E-5</v>
      </c>
      <c r="BE96" s="6">
        <v>-5.5459790000000004E-3</v>
      </c>
      <c r="BF96" s="6">
        <v>-4.7272720000000002E-3</v>
      </c>
      <c r="BG96" s="6">
        <v>7.4427909090909103E-5</v>
      </c>
      <c r="BH96" s="6">
        <v>-4.2586070000000002E-3</v>
      </c>
      <c r="BI96" s="6">
        <v>-3.264603E-3</v>
      </c>
      <c r="BJ96" s="6">
        <v>9.0364000000000018E-5</v>
      </c>
      <c r="BK96" s="6">
        <v>-5.5390070000000003E-3</v>
      </c>
      <c r="BL96" s="6">
        <v>-4.7150530000000003E-3</v>
      </c>
      <c r="BM96" s="6">
        <v>7.4904909090909091E-5</v>
      </c>
      <c r="BN96" s="6">
        <v>-5.5882630000000004E-3</v>
      </c>
      <c r="BO96" s="6">
        <v>-4.8430790000000001E-3</v>
      </c>
      <c r="BP96" s="6">
        <v>6.7744000000000021E-5</v>
      </c>
      <c r="BQ96" s="6">
        <v>-5.1984830000000003E-3</v>
      </c>
      <c r="BR96" s="6">
        <v>-4.3979689999999998E-3</v>
      </c>
      <c r="BS96" s="6">
        <v>7.2774000000000046E-5</v>
      </c>
      <c r="BT96" s="6">
        <v>-5.5846949999999998E-3</v>
      </c>
      <c r="BU96" s="6">
        <v>-4.8367699999999998E-3</v>
      </c>
      <c r="BV96" s="6">
        <v>6.7993181818181819E-5</v>
      </c>
      <c r="BW96" s="6">
        <v>-5.2005749999999998E-3</v>
      </c>
      <c r="BX96" s="6">
        <v>-4.4016350000000001E-3</v>
      </c>
      <c r="BY96" s="6">
        <v>7.2630909090909065E-5</v>
      </c>
      <c r="BZ96" s="6">
        <v>-5.4700160000000003E-3</v>
      </c>
      <c r="CA96" s="6">
        <v>-4.5345250000000002E-3</v>
      </c>
      <c r="CB96" s="6">
        <v>8.5044636363636368E-5</v>
      </c>
      <c r="CC96" s="6">
        <v>-5.8597950000000001E-3</v>
      </c>
      <c r="CD96" s="6">
        <v>-4.979636E-3</v>
      </c>
      <c r="CE96" s="6">
        <v>8.0014454545454563E-5</v>
      </c>
      <c r="CF96" s="6">
        <v>-5.4735829999999997E-3</v>
      </c>
      <c r="CG96" s="6">
        <v>-4.540835E-3</v>
      </c>
      <c r="CH96" s="6">
        <v>8.4795272727272708E-5</v>
      </c>
      <c r="CI96" s="6">
        <v>-5.857704E-3</v>
      </c>
      <c r="CJ96" s="6">
        <v>-4.9759690000000002E-3</v>
      </c>
      <c r="CK96" s="6">
        <v>8.0157727272727256E-5</v>
      </c>
      <c r="CL96" s="6">
        <v>-3.9184989999999998E-3</v>
      </c>
      <c r="CM96" s="6">
        <v>-3.410813E-3</v>
      </c>
      <c r="CN96" s="6">
        <v>4.6153272727272708E-5</v>
      </c>
      <c r="CO96" s="6">
        <v>-3.528719E-3</v>
      </c>
      <c r="CP96" s="6">
        <v>-2.9657030000000001E-3</v>
      </c>
      <c r="CQ96" s="6">
        <v>5.1183272727272726E-5</v>
      </c>
      <c r="CR96" s="6">
        <v>-3.914931E-3</v>
      </c>
      <c r="CS96" s="6">
        <v>-3.4045030000000001E-3</v>
      </c>
      <c r="CT96" s="6">
        <v>4.6402545454545437E-5</v>
      </c>
      <c r="CU96" s="6">
        <v>-3.530811E-3</v>
      </c>
      <c r="CV96" s="6">
        <v>-2.9693689999999999E-3</v>
      </c>
      <c r="CW96" s="6">
        <v>5.1040181818181827E-5</v>
      </c>
      <c r="CX96" s="6">
        <v>-3.8002520000000001E-3</v>
      </c>
      <c r="CY96" s="6">
        <v>-3.102259E-3</v>
      </c>
      <c r="CZ96" s="6">
        <v>6.3453909090909096E-5</v>
      </c>
      <c r="DA96" s="6">
        <v>-4.1900310000000003E-3</v>
      </c>
      <c r="DB96" s="6">
        <v>-3.5473689999999999E-3</v>
      </c>
      <c r="DC96" s="6">
        <v>5.8423818181818221E-5</v>
      </c>
      <c r="DD96" s="6">
        <v>-3.803819E-3</v>
      </c>
      <c r="DE96" s="6">
        <v>-3.1085679999999999E-3</v>
      </c>
      <c r="DF96" s="6">
        <v>6.320463636363636E-5</v>
      </c>
      <c r="DG96" s="6">
        <v>-4.1879400000000002E-3</v>
      </c>
      <c r="DH96" s="6">
        <v>-3.543703E-3</v>
      </c>
      <c r="DI96" s="6">
        <v>5.8567000000000017E-5</v>
      </c>
    </row>
    <row r="97" spans="1:113" x14ac:dyDescent="0.3">
      <c r="A97" s="13" t="s">
        <v>443</v>
      </c>
      <c r="B97" s="13" t="s">
        <v>324</v>
      </c>
      <c r="C97" s="13" t="s">
        <v>326</v>
      </c>
      <c r="D97" s="13" t="s">
        <v>350</v>
      </c>
      <c r="E97" s="13">
        <v>11</v>
      </c>
      <c r="F97" s="6">
        <v>-1.4493100000000001E-3</v>
      </c>
      <c r="G97" s="6">
        <v>-1.415468E-3</v>
      </c>
      <c r="H97" s="6">
        <v>3.0765454545454613E-6</v>
      </c>
      <c r="I97" s="6">
        <v>-1.8071579999999999E-3</v>
      </c>
      <c r="J97" s="6">
        <v>-1.771601E-3</v>
      </c>
      <c r="K97" s="6">
        <v>3.2324545454545328E-6</v>
      </c>
      <c r="L97" s="6">
        <v>-1.8393369999999999E-3</v>
      </c>
      <c r="M97" s="6">
        <v>-1.802309E-3</v>
      </c>
      <c r="N97" s="6">
        <v>3.3661818181818118E-6</v>
      </c>
      <c r="O97" s="6">
        <v>-2.1786290000000001E-3</v>
      </c>
      <c r="P97" s="6">
        <v>-2.1400159999999998E-3</v>
      </c>
      <c r="Q97" s="6">
        <v>3.5102727272727522E-6</v>
      </c>
      <c r="R97" s="6">
        <v>-2.1817149999999999E-3</v>
      </c>
      <c r="S97" s="6">
        <v>-2.3349249999999998E-3</v>
      </c>
      <c r="T97" s="6">
        <v>1.3928181818181815E-5</v>
      </c>
      <c r="U97" s="6">
        <v>-2.3451380000000001E-3</v>
      </c>
      <c r="V97" s="6">
        <v>-2.3959020000000001E-3</v>
      </c>
      <c r="W97" s="6">
        <v>4.6149090909090927E-6</v>
      </c>
      <c r="X97" s="6">
        <v>-2.1796160000000001E-3</v>
      </c>
      <c r="Y97" s="6">
        <v>-2.3336849999999998E-3</v>
      </c>
      <c r="Z97" s="6">
        <v>1.4006272727272704E-5</v>
      </c>
      <c r="AA97" s="6">
        <v>-2.3821250000000001E-3</v>
      </c>
      <c r="AB97" s="6">
        <v>-2.407008E-3</v>
      </c>
      <c r="AC97" s="6">
        <v>2.2620909090908954E-6</v>
      </c>
      <c r="AD97" s="6">
        <v>-2.0388329999999999E-3</v>
      </c>
      <c r="AE97" s="6">
        <v>-1.806895E-3</v>
      </c>
      <c r="AF97" s="6">
        <v>2.1085272727272717E-5</v>
      </c>
      <c r="AG97" s="6">
        <v>-1.8396420000000001E-3</v>
      </c>
      <c r="AH97" s="6">
        <v>-1.735508E-3</v>
      </c>
      <c r="AI97" s="6">
        <v>9.4667272727272796E-6</v>
      </c>
      <c r="AJ97" s="6">
        <v>-2.040933E-3</v>
      </c>
      <c r="AK97" s="6">
        <v>-1.808135E-3</v>
      </c>
      <c r="AL97" s="6">
        <v>2.1163454545454543E-5</v>
      </c>
      <c r="AM97" s="6">
        <v>-1.8384230000000001E-3</v>
      </c>
      <c r="AN97" s="6">
        <v>-1.7348120000000001E-3</v>
      </c>
      <c r="AO97" s="6">
        <v>9.4191818181818168E-6</v>
      </c>
      <c r="AP97" s="6">
        <v>-1.946953E-3</v>
      </c>
      <c r="AQ97" s="6">
        <v>-2.1047219999999998E-3</v>
      </c>
      <c r="AR97" s="6">
        <v>1.4342636363636353E-5</v>
      </c>
      <c r="AS97" s="6">
        <v>-2.1461449999999999E-3</v>
      </c>
      <c r="AT97" s="6">
        <v>-2.1761089999999999E-3</v>
      </c>
      <c r="AU97" s="6">
        <v>2.723999999999995E-6</v>
      </c>
      <c r="AV97" s="6">
        <v>-1.944854E-3</v>
      </c>
      <c r="AW97" s="6">
        <v>-2.1034819999999998E-3</v>
      </c>
      <c r="AX97" s="6">
        <v>1.442072727272726E-5</v>
      </c>
      <c r="AY97" s="6">
        <v>-2.1473629999999998E-3</v>
      </c>
      <c r="AZ97" s="6">
        <v>-2.176805E-3</v>
      </c>
      <c r="BA97" s="6">
        <v>2.6765454545454711E-6</v>
      </c>
      <c r="BB97" s="6">
        <v>-1.804071E-3</v>
      </c>
      <c r="BC97" s="6">
        <v>-1.576692E-3</v>
      </c>
      <c r="BD97" s="6">
        <v>2.0670818181818181E-5</v>
      </c>
      <c r="BE97" s="6">
        <v>-1.6048799999999999E-3</v>
      </c>
      <c r="BF97" s="6">
        <v>-1.5053040000000001E-3</v>
      </c>
      <c r="BG97" s="6">
        <v>9.0523636363636242E-6</v>
      </c>
      <c r="BH97" s="6">
        <v>-1.8061710000000001E-3</v>
      </c>
      <c r="BI97" s="6">
        <v>-1.577932E-3</v>
      </c>
      <c r="BJ97" s="6">
        <v>2.0749000000000008E-5</v>
      </c>
      <c r="BK97" s="6">
        <v>-1.6036609999999999E-3</v>
      </c>
      <c r="BL97" s="6">
        <v>-1.5046090000000001E-3</v>
      </c>
      <c r="BM97" s="6">
        <v>9.004727272727261E-6</v>
      </c>
      <c r="BN97" s="6">
        <v>-2.4055959999999999E-3</v>
      </c>
      <c r="BO97" s="6">
        <v>-2.4186849999999998E-3</v>
      </c>
      <c r="BP97" s="6">
        <v>1.1899090909090893E-6</v>
      </c>
      <c r="BQ97" s="6">
        <v>-2.465353E-3</v>
      </c>
      <c r="BR97" s="6">
        <v>-2.4401010000000001E-3</v>
      </c>
      <c r="BS97" s="6">
        <v>2.2956363636363559E-6</v>
      </c>
      <c r="BT97" s="6">
        <v>-2.4049660000000001E-3</v>
      </c>
      <c r="BU97" s="6">
        <v>-2.4183130000000001E-3</v>
      </c>
      <c r="BV97" s="6">
        <v>1.2133636363636295E-6</v>
      </c>
      <c r="BW97" s="6">
        <v>-2.4657189999999999E-3</v>
      </c>
      <c r="BX97" s="6">
        <v>-2.4403099999999998E-3</v>
      </c>
      <c r="BY97" s="6">
        <v>2.3099090909091008E-6</v>
      </c>
      <c r="BZ97" s="6">
        <v>-2.3627309999999999E-3</v>
      </c>
      <c r="CA97" s="6">
        <v>-2.2602759999999999E-3</v>
      </c>
      <c r="CB97" s="6">
        <v>9.3140909090909081E-6</v>
      </c>
      <c r="CC97" s="6">
        <v>-2.3029740000000002E-3</v>
      </c>
      <c r="CD97" s="6">
        <v>-2.2388600000000001E-3</v>
      </c>
      <c r="CE97" s="6">
        <v>5.8285454545454631E-6</v>
      </c>
      <c r="CF97" s="6">
        <v>-2.363361E-3</v>
      </c>
      <c r="CG97" s="6">
        <v>-2.2606480000000001E-3</v>
      </c>
      <c r="CH97" s="6">
        <v>9.3375454545454484E-6</v>
      </c>
      <c r="CI97" s="6">
        <v>-2.3026079999999998E-3</v>
      </c>
      <c r="CJ97" s="6">
        <v>-2.2386509999999999E-3</v>
      </c>
      <c r="CK97" s="6">
        <v>5.8142727272727186E-6</v>
      </c>
      <c r="CL97" s="6">
        <v>-1.6230560000000001E-3</v>
      </c>
      <c r="CM97" s="6">
        <v>-1.651341E-3</v>
      </c>
      <c r="CN97" s="6">
        <v>2.5713636363636231E-6</v>
      </c>
      <c r="CO97" s="6">
        <v>-1.682813E-3</v>
      </c>
      <c r="CP97" s="6">
        <v>-1.672757E-3</v>
      </c>
      <c r="CQ97" s="6">
        <v>9.1418181818182184E-7</v>
      </c>
      <c r="CR97" s="6">
        <v>-1.6224259999999999E-3</v>
      </c>
      <c r="CS97" s="6">
        <v>-1.650969E-3</v>
      </c>
      <c r="CT97" s="6">
        <v>2.5948181818181833E-6</v>
      </c>
      <c r="CU97" s="6">
        <v>-1.6831789999999999E-3</v>
      </c>
      <c r="CV97" s="6">
        <v>-1.6729659999999999E-3</v>
      </c>
      <c r="CW97" s="6">
        <v>9.2845454545454716E-7</v>
      </c>
      <c r="CX97" s="6">
        <v>-1.5801910000000001E-3</v>
      </c>
      <c r="CY97" s="6">
        <v>-1.492932E-3</v>
      </c>
      <c r="CZ97" s="6">
        <v>7.932636363636375E-6</v>
      </c>
      <c r="DA97" s="6">
        <v>-1.520434E-3</v>
      </c>
      <c r="DB97" s="6">
        <v>-1.471516E-3</v>
      </c>
      <c r="DC97" s="6">
        <v>4.4470909090909096E-6</v>
      </c>
      <c r="DD97" s="6">
        <v>-1.580821E-3</v>
      </c>
      <c r="DE97" s="6">
        <v>-1.493304E-3</v>
      </c>
      <c r="DF97" s="6">
        <v>7.9560909090909153E-6</v>
      </c>
      <c r="DG97" s="6">
        <v>-1.5200680000000001E-3</v>
      </c>
      <c r="DH97" s="6">
        <v>-1.471307E-3</v>
      </c>
      <c r="DI97" s="6">
        <v>4.4328181818181846E-6</v>
      </c>
    </row>
    <row r="98" spans="1:113" x14ac:dyDescent="0.3">
      <c r="A98" s="13" t="s">
        <v>444</v>
      </c>
      <c r="B98" s="13" t="s">
        <v>61</v>
      </c>
      <c r="C98" s="13" t="s">
        <v>97</v>
      </c>
      <c r="D98" s="13" t="s">
        <v>364</v>
      </c>
      <c r="E98" s="13">
        <v>8.3000000000000007</v>
      </c>
      <c r="F98" s="6">
        <v>-3.091782E-3</v>
      </c>
      <c r="G98" s="6">
        <v>-2.4298470000000002E-3</v>
      </c>
      <c r="H98" s="6">
        <v>7.9751204819277074E-5</v>
      </c>
      <c r="I98" s="6">
        <v>-3.7935989999999999E-3</v>
      </c>
      <c r="J98" s="6">
        <v>-3.4692389999999998E-3</v>
      </c>
      <c r="K98" s="6">
        <v>3.9079518072289166E-5</v>
      </c>
      <c r="L98" s="6">
        <v>-3.4678529999999999E-3</v>
      </c>
      <c r="M98" s="6">
        <v>-3.0529279999999999E-3</v>
      </c>
      <c r="N98" s="6">
        <v>4.9990963855421685E-5</v>
      </c>
      <c r="O98" s="6">
        <v>-4.1517380000000003E-3</v>
      </c>
      <c r="P98" s="6">
        <v>-4.0626539999999997E-3</v>
      </c>
      <c r="Q98" s="6">
        <v>1.0733012048192837E-5</v>
      </c>
      <c r="R98" s="6">
        <v>-4.7017659999999996E-3</v>
      </c>
      <c r="S98" s="6">
        <v>-4.5538200000000001E-3</v>
      </c>
      <c r="T98" s="6">
        <v>1.7824819277108371E-5</v>
      </c>
      <c r="U98" s="6">
        <v>-3.344938E-3</v>
      </c>
      <c r="V98" s="6">
        <v>-4.0042360000000004E-3</v>
      </c>
      <c r="W98" s="6">
        <v>7.9433493975903662E-5</v>
      </c>
      <c r="X98" s="6">
        <v>-4.6807350000000001E-3</v>
      </c>
      <c r="Y98" s="6">
        <v>-4.4426450000000003E-3</v>
      </c>
      <c r="Z98" s="6">
        <v>2.8685542168674675E-5</v>
      </c>
      <c r="AA98" s="6">
        <v>-3.2302849999999998E-3</v>
      </c>
      <c r="AB98" s="6">
        <v>-4.0750029999999998E-3</v>
      </c>
      <c r="AC98" s="6">
        <v>1.0177325301204818E-4</v>
      </c>
      <c r="AD98" s="6">
        <v>-3.6732520000000001E-3</v>
      </c>
      <c r="AE98" s="6">
        <v>-3.3668539999999999E-3</v>
      </c>
      <c r="AF98" s="6">
        <v>3.6915421686747019E-5</v>
      </c>
      <c r="AG98" s="6">
        <v>-5.1569520000000002E-3</v>
      </c>
      <c r="AH98" s="6">
        <v>-3.906634E-3</v>
      </c>
      <c r="AI98" s="6">
        <v>1.5064072289156628E-4</v>
      </c>
      <c r="AJ98" s="6">
        <v>-3.6942839999999999E-3</v>
      </c>
      <c r="AK98" s="6">
        <v>-3.47803E-3</v>
      </c>
      <c r="AL98" s="6">
        <v>2.6054698795180712E-5</v>
      </c>
      <c r="AM98" s="6">
        <v>-5.1447330000000003E-3</v>
      </c>
      <c r="AN98" s="6">
        <v>-3.8456710000000002E-3</v>
      </c>
      <c r="AO98" s="6">
        <v>1.5651349397590361E-4</v>
      </c>
      <c r="AP98" s="6">
        <v>-4.2720859999999996E-3</v>
      </c>
      <c r="AQ98" s="6">
        <v>-4.1650380000000002E-3</v>
      </c>
      <c r="AR98" s="6">
        <v>1.2897349397590281E-5</v>
      </c>
      <c r="AS98" s="6">
        <v>-2.7883859999999999E-3</v>
      </c>
      <c r="AT98" s="6">
        <v>-3.6252580000000001E-3</v>
      </c>
      <c r="AU98" s="6">
        <v>1.0082795180722893E-4</v>
      </c>
      <c r="AV98" s="6">
        <v>-4.2510539999999998E-3</v>
      </c>
      <c r="AW98" s="6">
        <v>-4.0538620000000001E-3</v>
      </c>
      <c r="AX98" s="6">
        <v>2.3758072289156586E-5</v>
      </c>
      <c r="AY98" s="6">
        <v>-2.8006049999999998E-3</v>
      </c>
      <c r="AZ98" s="6">
        <v>-3.6862209999999999E-3</v>
      </c>
      <c r="BA98" s="6">
        <v>1.0670072289156627E-4</v>
      </c>
      <c r="BB98" s="6">
        <v>-3.2435720000000001E-3</v>
      </c>
      <c r="BC98" s="6">
        <v>-2.978072E-3</v>
      </c>
      <c r="BD98" s="6">
        <v>3.1987951807228923E-5</v>
      </c>
      <c r="BE98" s="6">
        <v>-4.7272720000000002E-3</v>
      </c>
      <c r="BF98" s="6">
        <v>-3.5178520000000001E-3</v>
      </c>
      <c r="BG98" s="6">
        <v>1.4571325301204819E-4</v>
      </c>
      <c r="BH98" s="6">
        <v>-3.264603E-3</v>
      </c>
      <c r="BI98" s="6">
        <v>-3.0892480000000002E-3</v>
      </c>
      <c r="BJ98" s="6">
        <v>2.1127108433734921E-5</v>
      </c>
      <c r="BK98" s="6">
        <v>-4.7150530000000003E-3</v>
      </c>
      <c r="BL98" s="6">
        <v>-3.4568889999999999E-3</v>
      </c>
      <c r="BM98" s="6">
        <v>1.5158602409638558E-4</v>
      </c>
      <c r="BN98" s="6">
        <v>-4.8430790000000001E-3</v>
      </c>
      <c r="BO98" s="6">
        <v>-4.5919619999999998E-3</v>
      </c>
      <c r="BP98" s="6">
        <v>3.0255060240963894E-5</v>
      </c>
      <c r="BQ98" s="6">
        <v>-4.3979689999999998E-3</v>
      </c>
      <c r="BR98" s="6">
        <v>-4.4300279999999999E-3</v>
      </c>
      <c r="BS98" s="6">
        <v>3.862530120481937E-6</v>
      </c>
      <c r="BT98" s="6">
        <v>-4.8367699999999998E-3</v>
      </c>
      <c r="BU98" s="6">
        <v>-4.5586089999999999E-3</v>
      </c>
      <c r="BV98" s="6">
        <v>3.3513373493975882E-5</v>
      </c>
      <c r="BW98" s="6">
        <v>-4.4016350000000001E-3</v>
      </c>
      <c r="BX98" s="6">
        <v>-4.4483170000000002E-3</v>
      </c>
      <c r="BY98" s="6">
        <v>5.6243373493976078E-6</v>
      </c>
      <c r="BZ98" s="6">
        <v>-4.5345250000000002E-3</v>
      </c>
      <c r="CA98" s="6">
        <v>-4.2358719999999999E-3</v>
      </c>
      <c r="CB98" s="6">
        <v>3.5982289156626535E-5</v>
      </c>
      <c r="CC98" s="6">
        <v>-4.979636E-3</v>
      </c>
      <c r="CD98" s="6">
        <v>-4.3978059999999998E-3</v>
      </c>
      <c r="CE98" s="6">
        <v>7.0100000000000023E-5</v>
      </c>
      <c r="CF98" s="6">
        <v>-4.540835E-3</v>
      </c>
      <c r="CG98" s="6">
        <v>-4.2692249999999998E-3</v>
      </c>
      <c r="CH98" s="6">
        <v>3.2724096385542194E-5</v>
      </c>
      <c r="CI98" s="6">
        <v>-4.9759690000000002E-3</v>
      </c>
      <c r="CJ98" s="6">
        <v>-4.3795170000000003E-3</v>
      </c>
      <c r="CK98" s="6">
        <v>7.186168674698794E-5</v>
      </c>
      <c r="CL98" s="6">
        <v>-3.410813E-3</v>
      </c>
      <c r="CM98" s="6">
        <v>-3.2960200000000002E-3</v>
      </c>
      <c r="CN98" s="6">
        <v>1.3830481927710812E-5</v>
      </c>
      <c r="CO98" s="6">
        <v>-2.9657030000000001E-3</v>
      </c>
      <c r="CP98" s="6">
        <v>-3.1340859999999999E-3</v>
      </c>
      <c r="CQ98" s="6">
        <v>2.0287108433734916E-5</v>
      </c>
      <c r="CR98" s="6">
        <v>-3.4045030000000001E-3</v>
      </c>
      <c r="CS98" s="6">
        <v>-3.2626669999999999E-3</v>
      </c>
      <c r="CT98" s="6">
        <v>1.7088674698795205E-5</v>
      </c>
      <c r="CU98" s="6">
        <v>-2.9693689999999999E-3</v>
      </c>
      <c r="CV98" s="6">
        <v>-3.1523749999999998E-3</v>
      </c>
      <c r="CW98" s="6">
        <v>2.2048915662650588E-5</v>
      </c>
      <c r="CX98" s="6">
        <v>-3.102259E-3</v>
      </c>
      <c r="CY98" s="6">
        <v>-2.9399299999999999E-3</v>
      </c>
      <c r="CZ98" s="6">
        <v>1.9557710843373506E-5</v>
      </c>
      <c r="DA98" s="6">
        <v>-3.5473689999999999E-3</v>
      </c>
      <c r="DB98" s="6">
        <v>-3.1018640000000002E-3</v>
      </c>
      <c r="DC98" s="6">
        <v>5.3675301204819235E-5</v>
      </c>
      <c r="DD98" s="6">
        <v>-3.1085679999999999E-3</v>
      </c>
      <c r="DE98" s="6">
        <v>-2.9732830000000002E-3</v>
      </c>
      <c r="DF98" s="6">
        <v>1.6299397590361412E-5</v>
      </c>
      <c r="DG98" s="6">
        <v>-3.543703E-3</v>
      </c>
      <c r="DH98" s="6">
        <v>-3.0835749999999999E-3</v>
      </c>
      <c r="DI98" s="6">
        <v>5.5437108433734957E-5</v>
      </c>
    </row>
    <row r="99" spans="1:113" x14ac:dyDescent="0.3">
      <c r="A99" s="13" t="s">
        <v>445</v>
      </c>
      <c r="B99" s="13" t="s">
        <v>292</v>
      </c>
      <c r="C99" s="13" t="s">
        <v>326</v>
      </c>
      <c r="D99" s="13" t="s">
        <v>364</v>
      </c>
      <c r="E99" s="13">
        <v>5.75</v>
      </c>
      <c r="F99" s="6">
        <v>-1.482787E-3</v>
      </c>
      <c r="G99" s="6">
        <v>-1.415468E-3</v>
      </c>
      <c r="H99" s="6">
        <v>1.1707652173913032E-5</v>
      </c>
      <c r="I99" s="6">
        <v>-2.192608E-3</v>
      </c>
      <c r="J99" s="6">
        <v>-1.771601E-3</v>
      </c>
      <c r="K99" s="6">
        <v>7.3218608695652167E-5</v>
      </c>
      <c r="L99" s="6">
        <v>-2.0920019999999999E-3</v>
      </c>
      <c r="M99" s="6">
        <v>-1.802309E-3</v>
      </c>
      <c r="N99" s="6">
        <v>5.0381391304347815E-5</v>
      </c>
      <c r="O99" s="6">
        <v>-2.7728129999999998E-3</v>
      </c>
      <c r="P99" s="6">
        <v>-2.1400159999999998E-3</v>
      </c>
      <c r="Q99" s="6">
        <v>1.1005165217391305E-4</v>
      </c>
      <c r="R99" s="6">
        <v>-2.9969390000000001E-3</v>
      </c>
      <c r="S99" s="6">
        <v>-2.3349249999999998E-3</v>
      </c>
      <c r="T99" s="6">
        <v>1.1513286956521743E-4</v>
      </c>
      <c r="U99" s="6">
        <v>-3.0957469999999998E-3</v>
      </c>
      <c r="V99" s="6">
        <v>-2.3959020000000001E-3</v>
      </c>
      <c r="W99" s="6">
        <v>1.2171217391304343E-4</v>
      </c>
      <c r="X99" s="6">
        <v>-3.043231E-3</v>
      </c>
      <c r="Y99" s="6">
        <v>-2.3336849999999998E-3</v>
      </c>
      <c r="Z99" s="6">
        <v>1.233993043478261E-4</v>
      </c>
      <c r="AA99" s="6">
        <v>-3.0674439999999999E-3</v>
      </c>
      <c r="AB99" s="6">
        <v>-2.407008E-3</v>
      </c>
      <c r="AC99" s="6">
        <v>1.1485843478260868E-4</v>
      </c>
      <c r="AD99" s="6">
        <v>-2.2414539999999999E-3</v>
      </c>
      <c r="AE99" s="6">
        <v>-1.806895E-3</v>
      </c>
      <c r="AF99" s="6">
        <v>7.5575478260869554E-5</v>
      </c>
      <c r="AG99" s="6">
        <v>-2.1440999999999999E-3</v>
      </c>
      <c r="AH99" s="6">
        <v>-1.735508E-3</v>
      </c>
      <c r="AI99" s="6">
        <v>7.1059478260869559E-5</v>
      </c>
      <c r="AJ99" s="6">
        <v>-2.1951620000000001E-3</v>
      </c>
      <c r="AK99" s="6">
        <v>-1.808135E-3</v>
      </c>
      <c r="AL99" s="6">
        <v>6.7309043478260884E-5</v>
      </c>
      <c r="AM99" s="6">
        <v>-2.1709490000000001E-3</v>
      </c>
      <c r="AN99" s="6">
        <v>-1.7348120000000001E-3</v>
      </c>
      <c r="AO99" s="6">
        <v>7.5849913043478278E-5</v>
      </c>
      <c r="AP99" s="6">
        <v>-2.7239669999999999E-3</v>
      </c>
      <c r="AQ99" s="6">
        <v>-2.1047219999999998E-3</v>
      </c>
      <c r="AR99" s="6">
        <v>1.0769478260869567E-4</v>
      </c>
      <c r="AS99" s="6">
        <v>-2.8213209999999999E-3</v>
      </c>
      <c r="AT99" s="6">
        <v>-2.1761089999999999E-3</v>
      </c>
      <c r="AU99" s="6">
        <v>1.1221078260869566E-4</v>
      </c>
      <c r="AV99" s="6">
        <v>-2.7702590000000002E-3</v>
      </c>
      <c r="AW99" s="6">
        <v>-2.1034819999999998E-3</v>
      </c>
      <c r="AX99" s="6">
        <v>1.159612173913044E-4</v>
      </c>
      <c r="AY99" s="6">
        <v>-2.7944720000000001E-3</v>
      </c>
      <c r="AZ99" s="6">
        <v>-2.176805E-3</v>
      </c>
      <c r="BA99" s="6">
        <v>1.0742034782608698E-4</v>
      </c>
      <c r="BB99" s="6">
        <v>-1.9684820000000001E-3</v>
      </c>
      <c r="BC99" s="6">
        <v>-1.576692E-3</v>
      </c>
      <c r="BD99" s="6">
        <v>6.8137391304347853E-5</v>
      </c>
      <c r="BE99" s="6">
        <v>-1.8711279999999999E-3</v>
      </c>
      <c r="BF99" s="6">
        <v>-1.5053040000000001E-3</v>
      </c>
      <c r="BG99" s="6">
        <v>6.3621565217391275E-5</v>
      </c>
      <c r="BH99" s="6">
        <v>-1.9221900000000001E-3</v>
      </c>
      <c r="BI99" s="6">
        <v>-1.577932E-3</v>
      </c>
      <c r="BJ99" s="6">
        <v>5.9870956521739142E-5</v>
      </c>
      <c r="BK99" s="6">
        <v>-1.8979769999999999E-3</v>
      </c>
      <c r="BL99" s="6">
        <v>-1.5046090000000001E-3</v>
      </c>
      <c r="BM99" s="6">
        <v>6.8411826086956496E-5</v>
      </c>
      <c r="BN99" s="6">
        <v>-3.0509869999999998E-3</v>
      </c>
      <c r="BO99" s="6">
        <v>-2.4186849999999998E-3</v>
      </c>
      <c r="BP99" s="6">
        <v>1.0996556521739129E-4</v>
      </c>
      <c r="BQ99" s="6">
        <v>-3.0801930000000002E-3</v>
      </c>
      <c r="BR99" s="6">
        <v>-2.4401010000000001E-3</v>
      </c>
      <c r="BS99" s="6">
        <v>1.1132034782608697E-4</v>
      </c>
      <c r="BT99" s="6">
        <v>-3.064874E-3</v>
      </c>
      <c r="BU99" s="6">
        <v>-2.4183130000000001E-3</v>
      </c>
      <c r="BV99" s="6">
        <v>1.1244539130434781E-4</v>
      </c>
      <c r="BW99" s="6">
        <v>-3.0721379999999999E-3</v>
      </c>
      <c r="BX99" s="6">
        <v>-2.4403099999999998E-3</v>
      </c>
      <c r="BY99" s="6">
        <v>1.0988313043478262E-4</v>
      </c>
      <c r="BZ99" s="6">
        <v>-2.8243410000000002E-3</v>
      </c>
      <c r="CA99" s="6">
        <v>-2.2602759999999999E-3</v>
      </c>
      <c r="CB99" s="6">
        <v>9.809826086956527E-5</v>
      </c>
      <c r="CC99" s="6">
        <v>-2.7951349999999998E-3</v>
      </c>
      <c r="CD99" s="6">
        <v>-2.2388600000000001E-3</v>
      </c>
      <c r="CE99" s="6">
        <v>9.6743478260869525E-5</v>
      </c>
      <c r="CF99" s="6">
        <v>-2.810454E-3</v>
      </c>
      <c r="CG99" s="6">
        <v>-2.2606480000000001E-3</v>
      </c>
      <c r="CH99" s="6">
        <v>9.5618434782608684E-5</v>
      </c>
      <c r="CI99" s="6">
        <v>-2.8031900000000001E-3</v>
      </c>
      <c r="CJ99" s="6">
        <v>-2.2386509999999999E-3</v>
      </c>
      <c r="CK99" s="6">
        <v>9.8180695652173939E-5</v>
      </c>
      <c r="CL99" s="6">
        <v>-2.1410800000000001E-3</v>
      </c>
      <c r="CM99" s="6">
        <v>-1.651341E-3</v>
      </c>
      <c r="CN99" s="6">
        <v>8.5172000000000017E-5</v>
      </c>
      <c r="CO99" s="6">
        <v>-2.170286E-3</v>
      </c>
      <c r="CP99" s="6">
        <v>-1.672757E-3</v>
      </c>
      <c r="CQ99" s="6">
        <v>8.6526782608695654E-5</v>
      </c>
      <c r="CR99" s="6">
        <v>-2.1549680000000002E-3</v>
      </c>
      <c r="CS99" s="6">
        <v>-1.650969E-3</v>
      </c>
      <c r="CT99" s="6">
        <v>8.7652000000000034E-5</v>
      </c>
      <c r="CU99" s="6">
        <v>-2.162232E-3</v>
      </c>
      <c r="CV99" s="6">
        <v>-1.6729659999999999E-3</v>
      </c>
      <c r="CW99" s="6">
        <v>8.5089739130434806E-5</v>
      </c>
      <c r="CX99" s="6">
        <v>-1.9144349999999999E-3</v>
      </c>
      <c r="CY99" s="6">
        <v>-1.492932E-3</v>
      </c>
      <c r="CZ99" s="6">
        <v>7.3304869565217386E-5</v>
      </c>
      <c r="DA99" s="6">
        <v>-1.8852280000000001E-3</v>
      </c>
      <c r="DB99" s="6">
        <v>-1.471516E-3</v>
      </c>
      <c r="DC99" s="6">
        <v>7.1949913043478278E-5</v>
      </c>
      <c r="DD99" s="6">
        <v>-1.900547E-3</v>
      </c>
      <c r="DE99" s="6">
        <v>-1.493304E-3</v>
      </c>
      <c r="DF99" s="6">
        <v>7.0824869565217397E-5</v>
      </c>
      <c r="DG99" s="6">
        <v>-1.8932829999999999E-3</v>
      </c>
      <c r="DH99" s="6">
        <v>-1.471307E-3</v>
      </c>
      <c r="DI99" s="6">
        <v>7.3387130434782597E-5</v>
      </c>
    </row>
    <row r="100" spans="1:113" x14ac:dyDescent="0.3">
      <c r="A100" s="13" t="s">
        <v>446</v>
      </c>
      <c r="B100" s="13" t="s">
        <v>77</v>
      </c>
      <c r="C100" s="13" t="s">
        <v>78</v>
      </c>
      <c r="D100" s="13" t="s">
        <v>347</v>
      </c>
      <c r="E100" s="13">
        <v>11</v>
      </c>
      <c r="F100" s="6">
        <v>-1.35962E-3</v>
      </c>
      <c r="G100" s="6">
        <v>-1.040734E-3</v>
      </c>
      <c r="H100" s="6">
        <v>2.8989636363636363E-5</v>
      </c>
      <c r="I100" s="6">
        <v>-1.9803749999999999E-3</v>
      </c>
      <c r="J100" s="6">
        <v>-1.5630170000000001E-3</v>
      </c>
      <c r="K100" s="6">
        <v>3.7941636363636348E-5</v>
      </c>
      <c r="L100" s="6">
        <v>-1.9404019999999999E-3</v>
      </c>
      <c r="M100" s="6">
        <v>-1.6288019999999999E-3</v>
      </c>
      <c r="N100" s="6">
        <v>2.8327272727272726E-5</v>
      </c>
      <c r="O100" s="6">
        <v>-2.5334759999999998E-3</v>
      </c>
      <c r="P100" s="6">
        <v>-2.1230789999999999E-3</v>
      </c>
      <c r="Q100" s="6">
        <v>3.730881818181817E-5</v>
      </c>
      <c r="R100" s="6">
        <v>-2.3805950000000001E-3</v>
      </c>
      <c r="S100" s="6">
        <v>-2.2293740000000001E-3</v>
      </c>
      <c r="T100" s="6">
        <v>1.3747363636363636E-5</v>
      </c>
      <c r="U100" s="6">
        <v>-2.2408570000000002E-3</v>
      </c>
      <c r="V100" s="6">
        <v>-1.8680739999999999E-3</v>
      </c>
      <c r="W100" s="6">
        <v>3.3889363636363656E-5</v>
      </c>
      <c r="X100" s="6">
        <v>-2.38602E-3</v>
      </c>
      <c r="Y100" s="6">
        <v>-2.1848000000000002E-3</v>
      </c>
      <c r="Z100" s="6">
        <v>1.8292727272727254E-5</v>
      </c>
      <c r="AA100" s="6">
        <v>-2.2325800000000001E-3</v>
      </c>
      <c r="AB100" s="6">
        <v>-1.8837420000000001E-3</v>
      </c>
      <c r="AC100" s="6">
        <v>3.1712545454545454E-5</v>
      </c>
      <c r="AD100" s="6">
        <v>-2.387012E-3</v>
      </c>
      <c r="AE100" s="6">
        <v>-1.6733480000000001E-3</v>
      </c>
      <c r="AF100" s="6">
        <v>6.4878545454545447E-5</v>
      </c>
      <c r="AG100" s="6">
        <v>-2.5331350000000002E-3</v>
      </c>
      <c r="AH100" s="6">
        <v>-2.0434889999999999E-3</v>
      </c>
      <c r="AI100" s="6">
        <v>4.4513272727272751E-5</v>
      </c>
      <c r="AJ100" s="6">
        <v>-2.3815870000000001E-3</v>
      </c>
      <c r="AK100" s="6">
        <v>-1.717922E-3</v>
      </c>
      <c r="AL100" s="6">
        <v>6.0333181818181828E-5</v>
      </c>
      <c r="AM100" s="6">
        <v>-2.5350279999999999E-3</v>
      </c>
      <c r="AN100" s="6">
        <v>-2.0189800000000001E-3</v>
      </c>
      <c r="AO100" s="6">
        <v>4.6913454545454535E-5</v>
      </c>
      <c r="AP100" s="6">
        <v>-2.1268400000000001E-3</v>
      </c>
      <c r="AQ100" s="6">
        <v>-2.012748E-3</v>
      </c>
      <c r="AR100" s="6">
        <v>1.0372000000000008E-5</v>
      </c>
      <c r="AS100" s="6">
        <v>-1.9807169999999999E-3</v>
      </c>
      <c r="AT100" s="6">
        <v>-1.642606E-3</v>
      </c>
      <c r="AU100" s="6">
        <v>3.0737363636363622E-5</v>
      </c>
      <c r="AV100" s="6">
        <v>-2.132264E-3</v>
      </c>
      <c r="AW100" s="6">
        <v>-1.9681740000000001E-3</v>
      </c>
      <c r="AX100" s="6">
        <v>1.4917272727272726E-5</v>
      </c>
      <c r="AY100" s="6">
        <v>-1.9788240000000001E-3</v>
      </c>
      <c r="AZ100" s="6">
        <v>-1.667115E-3</v>
      </c>
      <c r="BA100" s="6">
        <v>2.8337181818181824E-5</v>
      </c>
      <c r="BB100" s="6">
        <v>-2.1332569999999999E-3</v>
      </c>
      <c r="BC100" s="6">
        <v>-1.456721E-3</v>
      </c>
      <c r="BD100" s="6">
        <v>6.1503272727272715E-5</v>
      </c>
      <c r="BE100" s="6">
        <v>-2.2793790000000002E-3</v>
      </c>
      <c r="BF100" s="6">
        <v>-1.826863E-3</v>
      </c>
      <c r="BG100" s="6">
        <v>4.1137818181818204E-5</v>
      </c>
      <c r="BH100" s="6">
        <v>-2.1278320000000001E-3</v>
      </c>
      <c r="BI100" s="6">
        <v>-1.5012949999999999E-3</v>
      </c>
      <c r="BJ100" s="6">
        <v>5.6957909090909102E-5</v>
      </c>
      <c r="BK100" s="6">
        <v>-2.281272E-3</v>
      </c>
      <c r="BL100" s="6">
        <v>-1.802353E-3</v>
      </c>
      <c r="BM100" s="6">
        <v>4.3538090909090906E-5</v>
      </c>
      <c r="BN100" s="6">
        <v>-2.6788889999999998E-3</v>
      </c>
      <c r="BO100" s="6">
        <v>-2.287496E-3</v>
      </c>
      <c r="BP100" s="6">
        <v>3.5581181818181804E-5</v>
      </c>
      <c r="BQ100" s="6">
        <v>-2.6350520000000001E-3</v>
      </c>
      <c r="BR100" s="6">
        <v>-2.1764530000000001E-3</v>
      </c>
      <c r="BS100" s="6">
        <v>4.169081818181819E-5</v>
      </c>
      <c r="BT100" s="6">
        <v>-2.6805169999999999E-3</v>
      </c>
      <c r="BU100" s="6">
        <v>-2.2741240000000002E-3</v>
      </c>
      <c r="BV100" s="6">
        <v>3.6944818181818151E-5</v>
      </c>
      <c r="BW100" s="6">
        <v>-2.6344850000000002E-3</v>
      </c>
      <c r="BX100" s="6">
        <v>-2.1838059999999999E-3</v>
      </c>
      <c r="BY100" s="6">
        <v>4.0970818181818204E-5</v>
      </c>
      <c r="BZ100" s="6">
        <v>-2.6808140000000001E-3</v>
      </c>
      <c r="CA100" s="6">
        <v>-2.1206879999999999E-3</v>
      </c>
      <c r="CB100" s="6">
        <v>5.092054545454547E-5</v>
      </c>
      <c r="CC100" s="6">
        <v>-2.7246509999999998E-3</v>
      </c>
      <c r="CD100" s="6">
        <v>-2.2317299999999999E-3</v>
      </c>
      <c r="CE100" s="6">
        <v>4.4810999999999988E-5</v>
      </c>
      <c r="CF100" s="6">
        <v>-2.679187E-3</v>
      </c>
      <c r="CG100" s="6">
        <v>-2.1340600000000001E-3</v>
      </c>
      <c r="CH100" s="6">
        <v>4.9556999999999986E-5</v>
      </c>
      <c r="CI100" s="6">
        <v>-2.7252190000000001E-3</v>
      </c>
      <c r="CJ100" s="6">
        <v>-2.2243779999999999E-3</v>
      </c>
      <c r="CK100" s="6">
        <v>4.5531000000000015E-5</v>
      </c>
      <c r="CL100" s="6">
        <v>-1.8330379999999999E-3</v>
      </c>
      <c r="CM100" s="6">
        <v>-1.565407E-3</v>
      </c>
      <c r="CN100" s="6">
        <v>2.4330090909090903E-5</v>
      </c>
      <c r="CO100" s="6">
        <v>-1.789201E-3</v>
      </c>
      <c r="CP100" s="6">
        <v>-1.454365E-3</v>
      </c>
      <c r="CQ100" s="6">
        <v>3.0439636363636368E-5</v>
      </c>
      <c r="CR100" s="6">
        <v>-1.8346650000000001E-3</v>
      </c>
      <c r="CS100" s="6">
        <v>-1.552035E-3</v>
      </c>
      <c r="CT100" s="6">
        <v>2.569363636363637E-5</v>
      </c>
      <c r="CU100" s="6">
        <v>-1.788633E-3</v>
      </c>
      <c r="CV100" s="6">
        <v>-1.4617180000000001E-3</v>
      </c>
      <c r="CW100" s="6">
        <v>2.9719545454545444E-5</v>
      </c>
      <c r="CX100" s="6">
        <v>-1.834963E-3</v>
      </c>
      <c r="CY100" s="6">
        <v>-1.3985989999999999E-3</v>
      </c>
      <c r="CZ100" s="6">
        <v>3.9669454545454548E-5</v>
      </c>
      <c r="DA100" s="6">
        <v>-1.878799E-3</v>
      </c>
      <c r="DB100" s="6">
        <v>-1.5096420000000001E-3</v>
      </c>
      <c r="DC100" s="6">
        <v>3.3559727272727266E-5</v>
      </c>
      <c r="DD100" s="6">
        <v>-1.833335E-3</v>
      </c>
      <c r="DE100" s="6">
        <v>-1.4119720000000001E-3</v>
      </c>
      <c r="DF100" s="6">
        <v>3.8305727272727264E-5</v>
      </c>
      <c r="DG100" s="6">
        <v>-1.8793670000000001E-3</v>
      </c>
      <c r="DH100" s="6">
        <v>-1.502289E-3</v>
      </c>
      <c r="DI100" s="6">
        <v>3.427981818181819E-5</v>
      </c>
    </row>
    <row r="101" spans="1:113" x14ac:dyDescent="0.3">
      <c r="A101" s="13" t="s">
        <v>447</v>
      </c>
      <c r="B101" s="13" t="s">
        <v>113</v>
      </c>
      <c r="C101" s="13" t="s">
        <v>115</v>
      </c>
      <c r="D101" s="13" t="s">
        <v>347</v>
      </c>
      <c r="E101" s="13">
        <v>11</v>
      </c>
      <c r="F101" s="6">
        <v>-2.0977050000000001E-3</v>
      </c>
      <c r="G101" s="6">
        <v>-1.781166E-3</v>
      </c>
      <c r="H101" s="6">
        <v>2.8776272727272728E-5</v>
      </c>
      <c r="I101" s="6">
        <v>-3.0417E-3</v>
      </c>
      <c r="J101" s="6">
        <v>-2.5458120000000002E-3</v>
      </c>
      <c r="K101" s="6">
        <v>4.5080727272727259E-5</v>
      </c>
      <c r="L101" s="6">
        <v>-2.70185E-3</v>
      </c>
      <c r="M101" s="6">
        <v>-2.3972659999999999E-3</v>
      </c>
      <c r="N101" s="6">
        <v>2.7689454545454555E-5</v>
      </c>
      <c r="O101" s="6">
        <v>-3.6169980000000002E-3</v>
      </c>
      <c r="P101" s="6">
        <v>-3.132578E-3</v>
      </c>
      <c r="Q101" s="6">
        <v>4.4038181818181835E-5</v>
      </c>
      <c r="R101" s="6">
        <v>-3.443116E-3</v>
      </c>
      <c r="S101" s="6">
        <v>-3.404785E-3</v>
      </c>
      <c r="T101" s="6">
        <v>3.4846363636363597E-6</v>
      </c>
      <c r="U101" s="6">
        <v>-3.4914659999999999E-3</v>
      </c>
      <c r="V101" s="6">
        <v>-3.0329799999999998E-3</v>
      </c>
      <c r="W101" s="6">
        <v>4.1680545454545464E-5</v>
      </c>
      <c r="X101" s="6">
        <v>-3.4531779999999999E-3</v>
      </c>
      <c r="Y101" s="6">
        <v>-3.3437860000000001E-3</v>
      </c>
      <c r="Z101" s="6">
        <v>9.9447272727272571E-6</v>
      </c>
      <c r="AA101" s="6">
        <v>-3.4879249999999998E-3</v>
      </c>
      <c r="AB101" s="6">
        <v>-3.074158E-3</v>
      </c>
      <c r="AC101" s="6">
        <v>3.7615181818181799E-5</v>
      </c>
      <c r="AD101" s="6">
        <v>-3.5615519999999999E-3</v>
      </c>
      <c r="AE101" s="6">
        <v>-2.5834569999999999E-3</v>
      </c>
      <c r="AF101" s="6">
        <v>8.8917727272727273E-5</v>
      </c>
      <c r="AG101" s="6">
        <v>-3.5126850000000002E-3</v>
      </c>
      <c r="AH101" s="6">
        <v>-2.947557E-3</v>
      </c>
      <c r="AI101" s="6">
        <v>5.1375272727272747E-5</v>
      </c>
      <c r="AJ101" s="6">
        <v>-3.55149E-3</v>
      </c>
      <c r="AK101" s="6">
        <v>-2.6444559999999999E-3</v>
      </c>
      <c r="AL101" s="6">
        <v>8.2457636363636374E-5</v>
      </c>
      <c r="AM101" s="6">
        <v>-3.5167430000000001E-3</v>
      </c>
      <c r="AN101" s="6">
        <v>-2.9140839999999999E-3</v>
      </c>
      <c r="AO101" s="6">
        <v>5.4787181818181837E-5</v>
      </c>
      <c r="AP101" s="6">
        <v>-3.0971480000000001E-3</v>
      </c>
      <c r="AQ101" s="6">
        <v>-3.0949329999999998E-3</v>
      </c>
      <c r="AR101" s="6">
        <v>2.013636363636627E-7</v>
      </c>
      <c r="AS101" s="6">
        <v>-3.1460139999999999E-3</v>
      </c>
      <c r="AT101" s="6">
        <v>-2.7308340000000001E-3</v>
      </c>
      <c r="AU101" s="6">
        <v>3.7743636363636348E-5</v>
      </c>
      <c r="AV101" s="6">
        <v>-3.1072090000000001E-3</v>
      </c>
      <c r="AW101" s="6">
        <v>-3.0339339999999998E-3</v>
      </c>
      <c r="AX101" s="6">
        <v>6.6613636363636593E-6</v>
      </c>
      <c r="AY101" s="6">
        <v>-3.1419569999999999E-3</v>
      </c>
      <c r="AZ101" s="6">
        <v>-2.7643059999999998E-3</v>
      </c>
      <c r="BA101" s="6">
        <v>3.4331909090909099E-5</v>
      </c>
      <c r="BB101" s="6">
        <v>-3.2155840000000001E-3</v>
      </c>
      <c r="BC101" s="6">
        <v>-2.2736060000000001E-3</v>
      </c>
      <c r="BD101" s="6">
        <v>8.5634363636363642E-5</v>
      </c>
      <c r="BE101" s="6">
        <v>-3.1667169999999999E-3</v>
      </c>
      <c r="BF101" s="6">
        <v>-2.6377050000000002E-3</v>
      </c>
      <c r="BG101" s="6">
        <v>4.8091999999999973E-5</v>
      </c>
      <c r="BH101" s="6">
        <v>-3.2055220000000001E-3</v>
      </c>
      <c r="BI101" s="6">
        <v>-2.334605E-3</v>
      </c>
      <c r="BJ101" s="6">
        <v>7.9174272727272743E-5</v>
      </c>
      <c r="BK101" s="6">
        <v>-3.1707749999999998E-3</v>
      </c>
      <c r="BL101" s="6">
        <v>-2.6042320000000002E-3</v>
      </c>
      <c r="BM101" s="6">
        <v>5.1503909090909056E-5</v>
      </c>
      <c r="BN101" s="6">
        <v>-3.8881979999999998E-3</v>
      </c>
      <c r="BO101" s="6">
        <v>-3.4788140000000002E-3</v>
      </c>
      <c r="BP101" s="6">
        <v>3.7216727272727241E-5</v>
      </c>
      <c r="BQ101" s="6">
        <v>-3.9028579999999999E-3</v>
      </c>
      <c r="BR101" s="6">
        <v>-3.3695840000000001E-3</v>
      </c>
      <c r="BS101" s="6">
        <v>4.8479454545454527E-5</v>
      </c>
      <c r="BT101" s="6">
        <v>-3.8912170000000002E-3</v>
      </c>
      <c r="BU101" s="6">
        <v>-3.460514E-3</v>
      </c>
      <c r="BV101" s="6">
        <v>3.91548181818182E-5</v>
      </c>
      <c r="BW101" s="6">
        <v>-3.901641E-3</v>
      </c>
      <c r="BX101" s="6">
        <v>-3.3796260000000002E-3</v>
      </c>
      <c r="BY101" s="6">
        <v>4.745590909090907E-5</v>
      </c>
      <c r="BZ101" s="6">
        <v>-3.9237289999999999E-3</v>
      </c>
      <c r="CA101" s="6">
        <v>-3.2324160000000001E-3</v>
      </c>
      <c r="CB101" s="6">
        <v>6.2846636363636348E-5</v>
      </c>
      <c r="CC101" s="6">
        <v>-3.9090690000000003E-3</v>
      </c>
      <c r="CD101" s="6">
        <v>-3.3416449999999999E-3</v>
      </c>
      <c r="CE101" s="6">
        <v>5.1584000000000033E-5</v>
      </c>
      <c r="CF101" s="6">
        <v>-3.9207110000000003E-3</v>
      </c>
      <c r="CG101" s="6">
        <v>-3.2507149999999999E-3</v>
      </c>
      <c r="CH101" s="6">
        <v>6.0908727272727312E-5</v>
      </c>
      <c r="CI101" s="6">
        <v>-3.9102859999999998E-3</v>
      </c>
      <c r="CJ101" s="6">
        <v>-3.3316029999999998E-3</v>
      </c>
      <c r="CK101" s="6">
        <v>5.2607545454545449E-5</v>
      </c>
      <c r="CL101" s="6">
        <v>-2.7349710000000001E-3</v>
      </c>
      <c r="CM101" s="6">
        <v>-2.445975E-3</v>
      </c>
      <c r="CN101" s="6">
        <v>2.6272363636363647E-5</v>
      </c>
      <c r="CO101" s="6">
        <v>-2.7496310000000002E-3</v>
      </c>
      <c r="CP101" s="6">
        <v>-2.3367449999999999E-3</v>
      </c>
      <c r="CQ101" s="6">
        <v>3.7535090909090937E-5</v>
      </c>
      <c r="CR101" s="6">
        <v>-2.7379890000000001E-3</v>
      </c>
      <c r="CS101" s="6">
        <v>-2.4276749999999998E-3</v>
      </c>
      <c r="CT101" s="6">
        <v>2.8210363636363668E-5</v>
      </c>
      <c r="CU101" s="6">
        <v>-2.7484129999999999E-3</v>
      </c>
      <c r="CV101" s="6">
        <v>-2.3467869999999999E-3</v>
      </c>
      <c r="CW101" s="6">
        <v>3.6511454545454542E-5</v>
      </c>
      <c r="CX101" s="6">
        <v>-2.7705009999999999E-3</v>
      </c>
      <c r="CY101" s="6">
        <v>-2.1995769999999999E-3</v>
      </c>
      <c r="CZ101" s="6">
        <v>5.190218181818182E-5</v>
      </c>
      <c r="DA101" s="6">
        <v>-2.7558410000000002E-3</v>
      </c>
      <c r="DB101" s="6">
        <v>-2.3088060000000001E-3</v>
      </c>
      <c r="DC101" s="6">
        <v>4.0639545454545465E-5</v>
      </c>
      <c r="DD101" s="6">
        <v>-2.7674829999999998E-3</v>
      </c>
      <c r="DE101" s="6">
        <v>-2.2178760000000001E-3</v>
      </c>
      <c r="DF101" s="6">
        <v>4.9964272727272702E-5</v>
      </c>
      <c r="DG101" s="6">
        <v>-2.7570590000000001E-3</v>
      </c>
      <c r="DH101" s="6">
        <v>-2.2987649999999999E-3</v>
      </c>
      <c r="DI101" s="6">
        <v>4.1663090909090921E-5</v>
      </c>
    </row>
    <row r="102" spans="1:113" x14ac:dyDescent="0.3">
      <c r="A102" s="13" t="s">
        <v>448</v>
      </c>
      <c r="B102" s="13" t="s">
        <v>149</v>
      </c>
      <c r="C102" s="13" t="s">
        <v>150</v>
      </c>
      <c r="D102" s="13" t="s">
        <v>347</v>
      </c>
      <c r="E102" s="13">
        <v>11</v>
      </c>
      <c r="F102" s="6">
        <v>-2.1464800000000001E-3</v>
      </c>
      <c r="G102" s="6">
        <v>-1.8116269999999999E-3</v>
      </c>
      <c r="H102" s="6">
        <v>3.0441181818181837E-5</v>
      </c>
      <c r="I102" s="6">
        <v>-3.079474E-3</v>
      </c>
      <c r="J102" s="6">
        <v>-2.6046580000000001E-3</v>
      </c>
      <c r="K102" s="6">
        <v>4.3165090909090895E-5</v>
      </c>
      <c r="L102" s="6">
        <v>-2.7458000000000001E-3</v>
      </c>
      <c r="M102" s="6">
        <v>-2.422221E-3</v>
      </c>
      <c r="N102" s="6">
        <v>2.9416272727272732E-5</v>
      </c>
      <c r="O102" s="6">
        <v>-3.650206E-3</v>
      </c>
      <c r="P102" s="6">
        <v>-3.186178E-3</v>
      </c>
      <c r="Q102" s="6">
        <v>4.2184363636363637E-5</v>
      </c>
      <c r="R102" s="6">
        <v>-3.4831469999999998E-3</v>
      </c>
      <c r="S102" s="6">
        <v>-3.449517E-3</v>
      </c>
      <c r="T102" s="6">
        <v>3.0572727272727063E-6</v>
      </c>
      <c r="U102" s="6">
        <v>-3.5410390000000002E-3</v>
      </c>
      <c r="V102" s="6">
        <v>-3.0651580000000001E-3</v>
      </c>
      <c r="W102" s="6">
        <v>4.3261909090909096E-5</v>
      </c>
      <c r="X102" s="6">
        <v>-3.4834150000000001E-3</v>
      </c>
      <c r="Y102" s="6">
        <v>-3.4336280000000002E-3</v>
      </c>
      <c r="Z102" s="6">
        <v>4.5260909090909016E-6</v>
      </c>
      <c r="AA102" s="6">
        <v>-3.5407839999999999E-3</v>
      </c>
      <c r="AB102" s="6">
        <v>-3.0761780000000002E-3</v>
      </c>
      <c r="AC102" s="6">
        <v>4.2236909090909072E-5</v>
      </c>
      <c r="AD102" s="6">
        <v>-3.597603E-3</v>
      </c>
      <c r="AE102" s="6">
        <v>-2.6539659999999998E-3</v>
      </c>
      <c r="AF102" s="6">
        <v>8.5785181818181841E-5</v>
      </c>
      <c r="AG102" s="6">
        <v>-3.5398489999999999E-3</v>
      </c>
      <c r="AH102" s="6">
        <v>-3.0364950000000002E-3</v>
      </c>
      <c r="AI102" s="6">
        <v>4.5759454545454519E-5</v>
      </c>
      <c r="AJ102" s="6">
        <v>-3.5973350000000001E-3</v>
      </c>
      <c r="AK102" s="6">
        <v>-2.6698550000000001E-3</v>
      </c>
      <c r="AL102" s="6">
        <v>8.4316363636363639E-5</v>
      </c>
      <c r="AM102" s="6">
        <v>-3.5399659999999999E-3</v>
      </c>
      <c r="AN102" s="6">
        <v>-3.0273050000000001E-3</v>
      </c>
      <c r="AO102" s="6">
        <v>4.6605545454545435E-5</v>
      </c>
      <c r="AP102" s="6">
        <v>-3.132077E-3</v>
      </c>
      <c r="AQ102" s="6">
        <v>-3.136869E-3</v>
      </c>
      <c r="AR102" s="6">
        <v>4.3563636363636277E-7</v>
      </c>
      <c r="AS102" s="6">
        <v>-3.1898310000000002E-3</v>
      </c>
      <c r="AT102" s="6">
        <v>-2.7543400000000001E-3</v>
      </c>
      <c r="AU102" s="6">
        <v>3.9590090909090916E-5</v>
      </c>
      <c r="AV102" s="6">
        <v>-3.1323449999999999E-3</v>
      </c>
      <c r="AW102" s="6">
        <v>-3.1209800000000002E-3</v>
      </c>
      <c r="AX102" s="6">
        <v>1.0331818181817932E-6</v>
      </c>
      <c r="AY102" s="6">
        <v>-3.1897140000000002E-3</v>
      </c>
      <c r="AZ102" s="6">
        <v>-2.7635300000000002E-3</v>
      </c>
      <c r="BA102" s="6">
        <v>3.8744E-5</v>
      </c>
      <c r="BB102" s="6">
        <v>-3.2465329999999998E-3</v>
      </c>
      <c r="BC102" s="6">
        <v>-2.3413179999999998E-3</v>
      </c>
      <c r="BD102" s="6">
        <v>8.2292272727272722E-5</v>
      </c>
      <c r="BE102" s="6">
        <v>-3.18878E-3</v>
      </c>
      <c r="BF102" s="6">
        <v>-2.7238470000000002E-3</v>
      </c>
      <c r="BG102" s="6">
        <v>4.2266636363636352E-5</v>
      </c>
      <c r="BH102" s="6">
        <v>-3.2462649999999999E-3</v>
      </c>
      <c r="BI102" s="6">
        <v>-2.3572070000000001E-3</v>
      </c>
      <c r="BJ102" s="6">
        <v>8.0823454545454534E-5</v>
      </c>
      <c r="BK102" s="6">
        <v>-3.1888960000000001E-3</v>
      </c>
      <c r="BL102" s="6">
        <v>-2.7146570000000001E-3</v>
      </c>
      <c r="BM102" s="6">
        <v>4.3112636363636363E-5</v>
      </c>
      <c r="BN102" s="6">
        <v>-3.9327880000000004E-3</v>
      </c>
      <c r="BO102" s="6">
        <v>-3.5358299999999998E-3</v>
      </c>
      <c r="BP102" s="6">
        <v>3.6087090909090967E-5</v>
      </c>
      <c r="BQ102" s="6">
        <v>-3.9501140000000002E-3</v>
      </c>
      <c r="BR102" s="6">
        <v>-3.4210709999999999E-3</v>
      </c>
      <c r="BS102" s="6">
        <v>4.8094818181818212E-5</v>
      </c>
      <c r="BT102" s="6">
        <v>-3.932868E-3</v>
      </c>
      <c r="BU102" s="6">
        <v>-3.531064E-3</v>
      </c>
      <c r="BV102" s="6">
        <v>3.6527636363636358E-5</v>
      </c>
      <c r="BW102" s="6">
        <v>-3.9500789999999996E-3</v>
      </c>
      <c r="BX102" s="6">
        <v>-3.4238290000000002E-3</v>
      </c>
      <c r="BY102" s="6">
        <v>4.7840909090909033E-5</v>
      </c>
      <c r="BZ102" s="6">
        <v>-3.9671250000000002E-3</v>
      </c>
      <c r="CA102" s="6">
        <v>-3.2971649999999999E-3</v>
      </c>
      <c r="CB102" s="6">
        <v>6.0905454545454567E-5</v>
      </c>
      <c r="CC102" s="6">
        <v>-3.9497990000000004E-3</v>
      </c>
      <c r="CD102" s="6">
        <v>-3.4119240000000002E-3</v>
      </c>
      <c r="CE102" s="6">
        <v>4.8897727272727287E-5</v>
      </c>
      <c r="CF102" s="6">
        <v>-3.9670440000000003E-3</v>
      </c>
      <c r="CG102" s="6">
        <v>-3.301932E-3</v>
      </c>
      <c r="CH102" s="6">
        <v>6.0464727272727293E-5</v>
      </c>
      <c r="CI102" s="6">
        <v>-3.9498340000000002E-3</v>
      </c>
      <c r="CJ102" s="6">
        <v>-3.4091669999999998E-3</v>
      </c>
      <c r="CK102" s="6">
        <v>4.9151545454545481E-5</v>
      </c>
      <c r="CL102" s="6">
        <v>-2.7625560000000002E-3</v>
      </c>
      <c r="CM102" s="6">
        <v>-2.4936699999999999E-3</v>
      </c>
      <c r="CN102" s="6">
        <v>2.4444181818181847E-5</v>
      </c>
      <c r="CO102" s="6">
        <v>-2.779882E-3</v>
      </c>
      <c r="CP102" s="6">
        <v>-2.378911E-3</v>
      </c>
      <c r="CQ102" s="6">
        <v>3.6451909090909085E-5</v>
      </c>
      <c r="CR102" s="6">
        <v>-2.7626360000000002E-3</v>
      </c>
      <c r="CS102" s="6">
        <v>-2.4889030000000002E-3</v>
      </c>
      <c r="CT102" s="6">
        <v>2.4884818181818179E-5</v>
      </c>
      <c r="CU102" s="6">
        <v>-2.7798469999999998E-3</v>
      </c>
      <c r="CV102" s="6">
        <v>-2.381668E-3</v>
      </c>
      <c r="CW102" s="6">
        <v>3.6198090909090892E-5</v>
      </c>
      <c r="CX102" s="6">
        <v>-2.7968929999999999E-3</v>
      </c>
      <c r="CY102" s="6">
        <v>-2.255005E-3</v>
      </c>
      <c r="CZ102" s="6">
        <v>4.9262545454545447E-5</v>
      </c>
      <c r="DA102" s="6">
        <v>-2.7795659999999998E-3</v>
      </c>
      <c r="DB102" s="6">
        <v>-2.3697639999999999E-3</v>
      </c>
      <c r="DC102" s="6">
        <v>3.7254727272727263E-5</v>
      </c>
      <c r="DD102" s="6">
        <v>-2.7968120000000001E-3</v>
      </c>
      <c r="DE102" s="6">
        <v>-2.2597720000000002E-3</v>
      </c>
      <c r="DF102" s="6">
        <v>4.8821818181818173E-5</v>
      </c>
      <c r="DG102" s="6">
        <v>-2.779601E-3</v>
      </c>
      <c r="DH102" s="6">
        <v>-2.367007E-3</v>
      </c>
      <c r="DI102" s="6">
        <v>3.7508545454545464E-5</v>
      </c>
    </row>
    <row r="103" spans="1:113" x14ac:dyDescent="0.3">
      <c r="A103" s="13" t="s">
        <v>449</v>
      </c>
      <c r="B103" s="13" t="s">
        <v>231</v>
      </c>
      <c r="C103" s="13" t="s">
        <v>232</v>
      </c>
      <c r="D103" s="13" t="s">
        <v>347</v>
      </c>
      <c r="E103" s="13">
        <v>11</v>
      </c>
      <c r="F103" s="6">
        <v>-1.914116E-3</v>
      </c>
      <c r="G103" s="6">
        <v>-1.4108860000000001E-3</v>
      </c>
      <c r="H103" s="6">
        <v>4.5748181818181811E-5</v>
      </c>
      <c r="I103" s="6">
        <v>-2.7933620000000002E-3</v>
      </c>
      <c r="J103" s="6">
        <v>-2.1139510000000002E-3</v>
      </c>
      <c r="K103" s="6">
        <v>6.176463636363636E-5</v>
      </c>
      <c r="L103" s="6">
        <v>-2.5133080000000001E-3</v>
      </c>
      <c r="M103" s="6">
        <v>-2.021396E-3</v>
      </c>
      <c r="N103" s="6">
        <v>4.4719272727272742E-5</v>
      </c>
      <c r="O103" s="6">
        <v>-3.3639690000000001E-3</v>
      </c>
      <c r="P103" s="6">
        <v>-2.6953900000000002E-3</v>
      </c>
      <c r="Q103" s="6">
        <v>6.077990909090908E-5</v>
      </c>
      <c r="R103" s="6">
        <v>-3.2416400000000001E-3</v>
      </c>
      <c r="S103" s="6">
        <v>-2.8379709999999999E-3</v>
      </c>
      <c r="T103" s="6">
        <v>3.6697181818181832E-5</v>
      </c>
      <c r="U103" s="6">
        <v>-3.2491519999999999E-3</v>
      </c>
      <c r="V103" s="6">
        <v>-2.5568990000000001E-3</v>
      </c>
      <c r="W103" s="6">
        <v>6.2932090909090897E-5</v>
      </c>
      <c r="X103" s="6">
        <v>-3.241238E-3</v>
      </c>
      <c r="Y103" s="6">
        <v>-2.8859609999999998E-3</v>
      </c>
      <c r="Z103" s="6">
        <v>3.2297909090909111E-5</v>
      </c>
      <c r="AA103" s="6">
        <v>-3.2482980000000002E-3</v>
      </c>
      <c r="AB103" s="6">
        <v>-2.5328490000000002E-3</v>
      </c>
      <c r="AC103" s="6">
        <v>6.5040818181818182E-5</v>
      </c>
      <c r="AD103" s="6">
        <v>-3.2388569999999999E-3</v>
      </c>
      <c r="AE103" s="6">
        <v>-2.2359160000000001E-3</v>
      </c>
      <c r="AF103" s="6">
        <v>9.1176454545454535E-5</v>
      </c>
      <c r="AG103" s="6">
        <v>-3.2310920000000001E-3</v>
      </c>
      <c r="AH103" s="6">
        <v>-2.514685E-3</v>
      </c>
      <c r="AI103" s="6">
        <v>6.5127909090909093E-5</v>
      </c>
      <c r="AJ103" s="6">
        <v>-3.239259E-3</v>
      </c>
      <c r="AK103" s="6">
        <v>-2.1879270000000001E-3</v>
      </c>
      <c r="AL103" s="6">
        <v>9.5575636363636352E-5</v>
      </c>
      <c r="AM103" s="6">
        <v>-3.2321989999999998E-3</v>
      </c>
      <c r="AN103" s="6">
        <v>-2.5410390000000001E-3</v>
      </c>
      <c r="AO103" s="6">
        <v>6.2832727272727241E-5</v>
      </c>
      <c r="AP103" s="6">
        <v>-2.918473E-3</v>
      </c>
      <c r="AQ103" s="6">
        <v>-2.5734249999999998E-3</v>
      </c>
      <c r="AR103" s="6">
        <v>3.1368000000000015E-5</v>
      </c>
      <c r="AS103" s="6">
        <v>-2.9262390000000002E-3</v>
      </c>
      <c r="AT103" s="6">
        <v>-2.2946569999999999E-3</v>
      </c>
      <c r="AU103" s="6">
        <v>5.7416545454545484E-5</v>
      </c>
      <c r="AV103" s="6">
        <v>-2.9180719999999999E-3</v>
      </c>
      <c r="AW103" s="6">
        <v>-2.6214150000000002E-3</v>
      </c>
      <c r="AX103" s="6">
        <v>2.6968818181818151E-5</v>
      </c>
      <c r="AY103" s="6">
        <v>-2.925132E-3</v>
      </c>
      <c r="AZ103" s="6">
        <v>-2.2683030000000002E-3</v>
      </c>
      <c r="BA103" s="6">
        <v>5.9711727272727255E-5</v>
      </c>
      <c r="BB103" s="6">
        <v>-2.9156910000000002E-3</v>
      </c>
      <c r="BC103" s="6">
        <v>-1.971371E-3</v>
      </c>
      <c r="BD103" s="6">
        <v>8.5847272727272752E-5</v>
      </c>
      <c r="BE103" s="6">
        <v>-2.9079259999999999E-3</v>
      </c>
      <c r="BF103" s="6">
        <v>-2.250139E-3</v>
      </c>
      <c r="BG103" s="6">
        <v>5.979881818181818E-5</v>
      </c>
      <c r="BH103" s="6">
        <v>-2.9160929999999998E-3</v>
      </c>
      <c r="BI103" s="6">
        <v>-1.923381E-3</v>
      </c>
      <c r="BJ103" s="6">
        <v>9.0246545454545439E-5</v>
      </c>
      <c r="BK103" s="6">
        <v>-2.9090330000000001E-3</v>
      </c>
      <c r="BL103" s="6">
        <v>-2.2764930000000001E-3</v>
      </c>
      <c r="BM103" s="6">
        <v>5.7503636363636362E-5</v>
      </c>
      <c r="BN103" s="6">
        <v>-3.617693E-3</v>
      </c>
      <c r="BO103" s="6">
        <v>-2.9358890000000001E-3</v>
      </c>
      <c r="BP103" s="6">
        <v>6.1982181818181798E-5</v>
      </c>
      <c r="BQ103" s="6">
        <v>-3.6200220000000001E-3</v>
      </c>
      <c r="BR103" s="6">
        <v>-2.8522589999999998E-3</v>
      </c>
      <c r="BS103" s="6">
        <v>6.9796636363636395E-5</v>
      </c>
      <c r="BT103" s="6">
        <v>-3.6175719999999999E-3</v>
      </c>
      <c r="BU103" s="6">
        <v>-2.9502859999999999E-3</v>
      </c>
      <c r="BV103" s="6">
        <v>6.0662363636363638E-5</v>
      </c>
      <c r="BW103" s="6">
        <v>-3.6196900000000001E-3</v>
      </c>
      <c r="BX103" s="6">
        <v>-2.8443520000000001E-3</v>
      </c>
      <c r="BY103" s="6">
        <v>7.0485272727272732E-5</v>
      </c>
      <c r="BZ103" s="6">
        <v>-3.6168580000000001E-3</v>
      </c>
      <c r="CA103" s="6">
        <v>-2.755272E-3</v>
      </c>
      <c r="CB103" s="6">
        <v>7.8326000000000009E-5</v>
      </c>
      <c r="CC103" s="6">
        <v>-3.6145280000000001E-3</v>
      </c>
      <c r="CD103" s="6">
        <v>-2.8389029999999998E-3</v>
      </c>
      <c r="CE103" s="6">
        <v>7.0511363636363659E-5</v>
      </c>
      <c r="CF103" s="6">
        <v>-3.6169779999999999E-3</v>
      </c>
      <c r="CG103" s="6">
        <v>-2.7408760000000002E-3</v>
      </c>
      <c r="CH103" s="6">
        <v>7.9645636363636334E-5</v>
      </c>
      <c r="CI103" s="6">
        <v>-3.6148600000000001E-3</v>
      </c>
      <c r="CJ103" s="6">
        <v>-2.8468090000000001E-3</v>
      </c>
      <c r="CK103" s="6">
        <v>6.9822818181818191E-5</v>
      </c>
      <c r="CL103" s="6">
        <v>-2.5404730000000001E-3</v>
      </c>
      <c r="CM103" s="6">
        <v>-2.0540689999999999E-3</v>
      </c>
      <c r="CN103" s="6">
        <v>4.4218545454545472E-5</v>
      </c>
      <c r="CO103" s="6">
        <v>-2.5428030000000002E-3</v>
      </c>
      <c r="CP103" s="6">
        <v>-1.970439E-3</v>
      </c>
      <c r="CQ103" s="6">
        <v>5.2033090909090919E-5</v>
      </c>
      <c r="CR103" s="6">
        <v>-2.540353E-3</v>
      </c>
      <c r="CS103" s="6">
        <v>-2.0684660000000001E-3</v>
      </c>
      <c r="CT103" s="6">
        <v>4.2898818181818169E-5</v>
      </c>
      <c r="CU103" s="6">
        <v>-2.5424699999999998E-3</v>
      </c>
      <c r="CV103" s="6">
        <v>-1.9625329999999998E-3</v>
      </c>
      <c r="CW103" s="6">
        <v>5.2721545454545455E-5</v>
      </c>
      <c r="CX103" s="6">
        <v>-2.5396379999999999E-3</v>
      </c>
      <c r="CY103" s="6">
        <v>-1.873453E-3</v>
      </c>
      <c r="CZ103" s="6">
        <v>6.0562272727272719E-5</v>
      </c>
      <c r="DA103" s="6">
        <v>-2.5373079999999998E-3</v>
      </c>
      <c r="DB103" s="6">
        <v>-1.9570830000000001E-3</v>
      </c>
      <c r="DC103" s="6">
        <v>5.2747727272727252E-5</v>
      </c>
      <c r="DD103" s="6">
        <v>-2.5397589999999999E-3</v>
      </c>
      <c r="DE103" s="6">
        <v>-1.859056E-3</v>
      </c>
      <c r="DF103" s="6">
        <v>6.1882090909090898E-5</v>
      </c>
      <c r="DG103" s="6">
        <v>-2.5376410000000002E-3</v>
      </c>
      <c r="DH103" s="6">
        <v>-1.9649899999999998E-3</v>
      </c>
      <c r="DI103" s="6">
        <v>5.2059181818181852E-5</v>
      </c>
    </row>
    <row r="104" spans="1:113" x14ac:dyDescent="0.3">
      <c r="A104" s="13" t="s">
        <v>450</v>
      </c>
      <c r="B104" s="13" t="s">
        <v>269</v>
      </c>
      <c r="C104" s="13" t="s">
        <v>270</v>
      </c>
      <c r="D104" s="13" t="s">
        <v>347</v>
      </c>
      <c r="E104" s="13">
        <v>11</v>
      </c>
      <c r="F104" s="6">
        <v>-1.5377450000000001E-3</v>
      </c>
      <c r="G104" s="6">
        <v>-1.0130639999999999E-3</v>
      </c>
      <c r="H104" s="6">
        <v>4.7698272727272741E-5</v>
      </c>
      <c r="I104" s="6">
        <v>-2.2783669999999999E-3</v>
      </c>
      <c r="J104" s="6">
        <v>-1.594924E-3</v>
      </c>
      <c r="K104" s="6">
        <v>6.2131181818181813E-5</v>
      </c>
      <c r="L104" s="6">
        <v>-2.149485E-3</v>
      </c>
      <c r="M104" s="6">
        <v>-1.637028E-3</v>
      </c>
      <c r="N104" s="6">
        <v>4.6587E-5</v>
      </c>
      <c r="O104" s="6">
        <v>-2.860961E-3</v>
      </c>
      <c r="P104" s="6">
        <v>-2.189177E-3</v>
      </c>
      <c r="Q104" s="6">
        <v>6.1071272727272717E-5</v>
      </c>
      <c r="R104" s="6">
        <v>-2.7701539999999999E-3</v>
      </c>
      <c r="S104" s="6">
        <v>-2.242267E-3</v>
      </c>
      <c r="T104" s="6">
        <v>4.7989727272727261E-5</v>
      </c>
      <c r="U104" s="6">
        <v>-2.9149110000000001E-3</v>
      </c>
      <c r="V104" s="6">
        <v>-2.1847730000000001E-3</v>
      </c>
      <c r="W104" s="6">
        <v>6.637618181818181E-5</v>
      </c>
      <c r="X104" s="6">
        <v>-2.776686E-3</v>
      </c>
      <c r="Y104" s="6">
        <v>-2.2811020000000001E-3</v>
      </c>
      <c r="Z104" s="6">
        <v>4.5053090909090894E-5</v>
      </c>
      <c r="AA104" s="6">
        <v>-2.9072099999999999E-3</v>
      </c>
      <c r="AB104" s="6">
        <v>-2.1599089999999998E-3</v>
      </c>
      <c r="AC104" s="6">
        <v>6.7936454545454561E-5</v>
      </c>
      <c r="AD104" s="6">
        <v>-2.649134E-3</v>
      </c>
      <c r="AE104" s="6">
        <v>-1.7607409999999999E-3</v>
      </c>
      <c r="AF104" s="6">
        <v>8.0763000000000013E-5</v>
      </c>
      <c r="AG104" s="6">
        <v>-2.5081359999999998E-3</v>
      </c>
      <c r="AH104" s="6">
        <v>-1.820707E-3</v>
      </c>
      <c r="AI104" s="6">
        <v>6.2493545454545436E-5</v>
      </c>
      <c r="AJ104" s="6">
        <v>-2.6426029999999999E-3</v>
      </c>
      <c r="AK104" s="6">
        <v>-1.7219049999999999E-3</v>
      </c>
      <c r="AL104" s="6">
        <v>8.3699818181818181E-5</v>
      </c>
      <c r="AM104" s="6">
        <v>-2.5120780000000001E-3</v>
      </c>
      <c r="AN104" s="6">
        <v>-1.843098E-3</v>
      </c>
      <c r="AO104" s="6">
        <v>6.0816363636363637E-5</v>
      </c>
      <c r="AP104" s="6">
        <v>-2.4901939999999998E-3</v>
      </c>
      <c r="AQ104" s="6">
        <v>-2.0233600000000001E-3</v>
      </c>
      <c r="AR104" s="6">
        <v>4.2439454545454524E-5</v>
      </c>
      <c r="AS104" s="6">
        <v>-2.6311920000000001E-3</v>
      </c>
      <c r="AT104" s="6">
        <v>-1.9633939999999998E-3</v>
      </c>
      <c r="AU104" s="6">
        <v>6.0708909090909114E-5</v>
      </c>
      <c r="AV104" s="6">
        <v>-2.496725E-3</v>
      </c>
      <c r="AW104" s="6">
        <v>-2.0621960000000001E-3</v>
      </c>
      <c r="AX104" s="6">
        <v>3.9502636363636356E-5</v>
      </c>
      <c r="AY104" s="6">
        <v>-2.6272499999999998E-3</v>
      </c>
      <c r="AZ104" s="6">
        <v>-1.941003E-3</v>
      </c>
      <c r="BA104" s="6">
        <v>6.2386090909090892E-5</v>
      </c>
      <c r="BB104" s="6">
        <v>-2.3691739999999999E-3</v>
      </c>
      <c r="BC104" s="6">
        <v>-1.541834E-3</v>
      </c>
      <c r="BD104" s="6">
        <v>7.5212727272727268E-5</v>
      </c>
      <c r="BE104" s="6">
        <v>-2.2281760000000001E-3</v>
      </c>
      <c r="BF104" s="6">
        <v>-1.6018009999999999E-3</v>
      </c>
      <c r="BG104" s="6">
        <v>5.6943181818181835E-5</v>
      </c>
      <c r="BH104" s="6">
        <v>-2.3626419999999999E-3</v>
      </c>
      <c r="BI104" s="6">
        <v>-1.5029990000000001E-3</v>
      </c>
      <c r="BJ104" s="6">
        <v>7.8149363636363615E-5</v>
      </c>
      <c r="BK104" s="6">
        <v>-2.2321179999999999E-3</v>
      </c>
      <c r="BL104" s="6">
        <v>-1.624192E-3</v>
      </c>
      <c r="BM104" s="6">
        <v>5.5265999999999996E-5</v>
      </c>
      <c r="BN104" s="6">
        <v>-3.0544169999999998E-3</v>
      </c>
      <c r="BO104" s="6">
        <v>-2.3291229999999998E-3</v>
      </c>
      <c r="BP104" s="6">
        <v>6.5935818181818179E-5</v>
      </c>
      <c r="BQ104" s="6">
        <v>-3.0967170000000001E-3</v>
      </c>
      <c r="BR104" s="6">
        <v>-2.3111329999999999E-3</v>
      </c>
      <c r="BS104" s="6">
        <v>7.1416727272727293E-5</v>
      </c>
      <c r="BT104" s="6">
        <v>-3.0563769999999999E-3</v>
      </c>
      <c r="BU104" s="6">
        <v>-2.3407739999999999E-3</v>
      </c>
      <c r="BV104" s="6">
        <v>6.5054818181818185E-5</v>
      </c>
      <c r="BW104" s="6">
        <v>-3.095534E-3</v>
      </c>
      <c r="BX104" s="6">
        <v>-2.3044160000000001E-3</v>
      </c>
      <c r="BY104" s="6">
        <v>7.1919818181818182E-5</v>
      </c>
      <c r="BZ104" s="6">
        <v>-3.018111E-3</v>
      </c>
      <c r="CA104" s="6">
        <v>-2.1846650000000001E-3</v>
      </c>
      <c r="CB104" s="6">
        <v>7.5767818181818162E-5</v>
      </c>
      <c r="CC104" s="6">
        <v>-2.975812E-3</v>
      </c>
      <c r="CD104" s="6">
        <v>-2.202655E-3</v>
      </c>
      <c r="CE104" s="6">
        <v>7.0287E-5</v>
      </c>
      <c r="CF104" s="6">
        <v>-3.0161519999999998E-3</v>
      </c>
      <c r="CG104" s="6">
        <v>-2.1730149999999999E-3</v>
      </c>
      <c r="CH104" s="6">
        <v>7.664881818181817E-5</v>
      </c>
      <c r="CI104" s="6">
        <v>-2.9769950000000001E-3</v>
      </c>
      <c r="CJ104" s="6">
        <v>-2.2093719999999998E-3</v>
      </c>
      <c r="CK104" s="6">
        <v>6.9783909090909111E-5</v>
      </c>
      <c r="CL104" s="6">
        <v>-2.1212169999999999E-3</v>
      </c>
      <c r="CM104" s="6">
        <v>-1.5994360000000001E-3</v>
      </c>
      <c r="CN104" s="6">
        <v>4.7434636363636347E-5</v>
      </c>
      <c r="CO104" s="6">
        <v>-2.1635159999999999E-3</v>
      </c>
      <c r="CP104" s="6">
        <v>-1.581446E-3</v>
      </c>
      <c r="CQ104" s="6">
        <v>5.291545454545453E-5</v>
      </c>
      <c r="CR104" s="6">
        <v>-2.1231760000000001E-3</v>
      </c>
      <c r="CS104" s="6">
        <v>-1.6110860000000001E-3</v>
      </c>
      <c r="CT104" s="6">
        <v>4.655363636363636E-5</v>
      </c>
      <c r="CU104" s="6">
        <v>-2.1623329999999998E-3</v>
      </c>
      <c r="CV104" s="6">
        <v>-1.574729E-3</v>
      </c>
      <c r="CW104" s="6">
        <v>5.3418545454545439E-5</v>
      </c>
      <c r="CX104" s="6">
        <v>-2.0849100000000001E-3</v>
      </c>
      <c r="CY104" s="6">
        <v>-1.454978E-3</v>
      </c>
      <c r="CZ104" s="6">
        <v>5.7266545454545467E-5</v>
      </c>
      <c r="DA104" s="6">
        <v>-2.0426110000000002E-3</v>
      </c>
      <c r="DB104" s="6">
        <v>-1.4729680000000001E-3</v>
      </c>
      <c r="DC104" s="6">
        <v>5.1785727272727284E-5</v>
      </c>
      <c r="DD104" s="6">
        <v>-2.082951E-3</v>
      </c>
      <c r="DE104" s="6">
        <v>-1.443328E-3</v>
      </c>
      <c r="DF104" s="6">
        <v>5.8147545454545454E-5</v>
      </c>
      <c r="DG104" s="6">
        <v>-2.0437939999999998E-3</v>
      </c>
      <c r="DH104" s="6">
        <v>-1.4796849999999999E-3</v>
      </c>
      <c r="DI104" s="6">
        <v>5.1282636363636355E-5</v>
      </c>
    </row>
    <row r="105" spans="1:113" x14ac:dyDescent="0.3">
      <c r="A105" s="13" t="s">
        <v>451</v>
      </c>
      <c r="B105" s="13" t="s">
        <v>170</v>
      </c>
      <c r="C105" s="13" t="s">
        <v>211</v>
      </c>
      <c r="D105" s="13" t="s">
        <v>347</v>
      </c>
      <c r="E105" s="13">
        <v>8.3000000000000007</v>
      </c>
      <c r="F105" s="6">
        <v>-1.390372E-3</v>
      </c>
      <c r="G105" s="6">
        <v>-1.2250360000000001E-3</v>
      </c>
      <c r="H105" s="6">
        <v>1.9919999999999982E-5</v>
      </c>
      <c r="I105" s="6">
        <v>-2.053582E-3</v>
      </c>
      <c r="J105" s="6">
        <v>-1.8518460000000001E-3</v>
      </c>
      <c r="K105" s="6">
        <v>2.4305542168674683E-5</v>
      </c>
      <c r="L105" s="6">
        <v>-1.992377E-3</v>
      </c>
      <c r="M105" s="6">
        <v>-1.826919E-3</v>
      </c>
      <c r="N105" s="6">
        <v>1.9934698795180726E-5</v>
      </c>
      <c r="O105" s="6">
        <v>-2.6269150000000001E-3</v>
      </c>
      <c r="P105" s="6">
        <v>-2.4250589999999998E-3</v>
      </c>
      <c r="Q105" s="6">
        <v>2.4320000000000028E-5</v>
      </c>
      <c r="R105" s="6">
        <v>-2.5987139999999998E-3</v>
      </c>
      <c r="S105" s="6">
        <v>-2.3792399999999999E-3</v>
      </c>
      <c r="T105" s="6">
        <v>2.6442650602409622E-5</v>
      </c>
      <c r="U105" s="6">
        <v>-2.4750689999999999E-3</v>
      </c>
      <c r="V105" s="6">
        <v>-2.266466E-3</v>
      </c>
      <c r="W105" s="6">
        <v>2.5132891566265049E-5</v>
      </c>
      <c r="X105" s="6">
        <v>-2.5986920000000001E-3</v>
      </c>
      <c r="Y105" s="6">
        <v>-2.3933259999999999E-3</v>
      </c>
      <c r="Z105" s="6">
        <v>2.4742891566265085E-5</v>
      </c>
      <c r="AA105" s="6">
        <v>-2.4732920000000002E-3</v>
      </c>
      <c r="AB105" s="6">
        <v>-2.2567279999999999E-3</v>
      </c>
      <c r="AC105" s="6">
        <v>2.6092048192771114E-5</v>
      </c>
      <c r="AD105" s="6">
        <v>-2.3425400000000002E-3</v>
      </c>
      <c r="AE105" s="6">
        <v>-2.138563E-3</v>
      </c>
      <c r="AF105" s="6">
        <v>2.4575542168674716E-5</v>
      </c>
      <c r="AG105" s="6">
        <v>-2.4679979999999999E-3</v>
      </c>
      <c r="AH105" s="6">
        <v>-2.2529759999999999E-3</v>
      </c>
      <c r="AI105" s="6">
        <v>2.5906265060240967E-5</v>
      </c>
      <c r="AJ105" s="6">
        <v>-2.3425609999999999E-3</v>
      </c>
      <c r="AK105" s="6">
        <v>-2.1244760000000001E-3</v>
      </c>
      <c r="AL105" s="6">
        <v>2.6275301204819253E-5</v>
      </c>
      <c r="AM105" s="6">
        <v>-2.4679620000000002E-3</v>
      </c>
      <c r="AN105" s="6">
        <v>-2.261075E-3</v>
      </c>
      <c r="AO105" s="6">
        <v>2.4926144578313278E-5</v>
      </c>
      <c r="AP105" s="6">
        <v>-2.3379569999999999E-3</v>
      </c>
      <c r="AQ105" s="6">
        <v>-2.1383420000000001E-3</v>
      </c>
      <c r="AR105" s="6">
        <v>2.4049999999999971E-5</v>
      </c>
      <c r="AS105" s="6">
        <v>-2.2124979999999998E-3</v>
      </c>
      <c r="AT105" s="6">
        <v>-2.0239300000000002E-3</v>
      </c>
      <c r="AU105" s="6">
        <v>2.2719036144578267E-5</v>
      </c>
      <c r="AV105" s="6">
        <v>-2.3379350000000002E-3</v>
      </c>
      <c r="AW105" s="6">
        <v>-2.152429E-3</v>
      </c>
      <c r="AX105" s="6">
        <v>2.2350120481927733E-5</v>
      </c>
      <c r="AY105" s="6">
        <v>-2.2125349999999998E-3</v>
      </c>
      <c r="AZ105" s="6">
        <v>-2.015831E-3</v>
      </c>
      <c r="BA105" s="6">
        <v>2.3699277108433708E-5</v>
      </c>
      <c r="BB105" s="6">
        <v>-2.0817829999999998E-3</v>
      </c>
      <c r="BC105" s="6">
        <v>-1.8976659999999999E-3</v>
      </c>
      <c r="BD105" s="6">
        <v>2.2182771084337337E-5</v>
      </c>
      <c r="BE105" s="6">
        <v>-2.207241E-3</v>
      </c>
      <c r="BF105" s="6">
        <v>-2.012078E-3</v>
      </c>
      <c r="BG105" s="6">
        <v>2.3513614457831316E-5</v>
      </c>
      <c r="BH105" s="6">
        <v>-2.081804E-3</v>
      </c>
      <c r="BI105" s="6">
        <v>-1.883579E-3</v>
      </c>
      <c r="BJ105" s="6">
        <v>2.3882530120481925E-5</v>
      </c>
      <c r="BK105" s="6">
        <v>-2.2072049999999998E-3</v>
      </c>
      <c r="BL105" s="6">
        <v>-2.0201770000000002E-3</v>
      </c>
      <c r="BM105" s="6">
        <v>2.2533493975903573E-5</v>
      </c>
      <c r="BN105" s="6">
        <v>-2.8132700000000001E-3</v>
      </c>
      <c r="BO105" s="6">
        <v>-2.5760499999999999E-3</v>
      </c>
      <c r="BP105" s="6">
        <v>2.858072289156629E-5</v>
      </c>
      <c r="BQ105" s="6">
        <v>-2.7756320000000001E-3</v>
      </c>
      <c r="BR105" s="6">
        <v>-2.5417270000000001E-3</v>
      </c>
      <c r="BS105" s="6">
        <v>2.8181325301204813E-5</v>
      </c>
      <c r="BT105" s="6">
        <v>-2.8132629999999999E-3</v>
      </c>
      <c r="BU105" s="6">
        <v>-2.5802759999999998E-3</v>
      </c>
      <c r="BV105" s="6">
        <v>2.8070722891566266E-5</v>
      </c>
      <c r="BW105" s="6">
        <v>-2.7756429999999999E-3</v>
      </c>
      <c r="BX105" s="6">
        <v>-2.5392969999999998E-3</v>
      </c>
      <c r="BY105" s="6">
        <v>2.8475421686747001E-5</v>
      </c>
      <c r="BZ105" s="6">
        <v>-2.7364170000000001E-3</v>
      </c>
      <c r="CA105" s="6">
        <v>-2.503847E-3</v>
      </c>
      <c r="CB105" s="6">
        <v>2.8020481927710852E-5</v>
      </c>
      <c r="CC105" s="6">
        <v>-2.7740550000000001E-3</v>
      </c>
      <c r="CD105" s="6">
        <v>-2.5381710000000001E-3</v>
      </c>
      <c r="CE105" s="6">
        <v>2.8419759036144576E-5</v>
      </c>
      <c r="CF105" s="6">
        <v>-2.7364239999999999E-3</v>
      </c>
      <c r="CG105" s="6">
        <v>-2.499621E-3</v>
      </c>
      <c r="CH105" s="6">
        <v>2.8530481927710822E-5</v>
      </c>
      <c r="CI105" s="6">
        <v>-2.7740439999999998E-3</v>
      </c>
      <c r="CJ105" s="6">
        <v>-2.540601E-3</v>
      </c>
      <c r="CK105" s="6">
        <v>2.8125662650602388E-5</v>
      </c>
      <c r="CL105" s="6">
        <v>-1.944079E-3</v>
      </c>
      <c r="CM105" s="6">
        <v>-1.7730580000000001E-3</v>
      </c>
      <c r="CN105" s="6">
        <v>2.0604939759036134E-5</v>
      </c>
      <c r="CO105" s="6">
        <v>-1.9064419999999999E-3</v>
      </c>
      <c r="CP105" s="6">
        <v>-1.738734E-3</v>
      </c>
      <c r="CQ105" s="6">
        <v>2.0205783132530108E-5</v>
      </c>
      <c r="CR105" s="6">
        <v>-1.9440729999999999E-3</v>
      </c>
      <c r="CS105" s="6">
        <v>-1.7772840000000001E-3</v>
      </c>
      <c r="CT105" s="6">
        <v>2.0095060240963839E-5</v>
      </c>
      <c r="CU105" s="6">
        <v>-1.906453E-3</v>
      </c>
      <c r="CV105" s="6">
        <v>-1.7363039999999999E-3</v>
      </c>
      <c r="CW105" s="6">
        <v>2.0499879518072296E-5</v>
      </c>
      <c r="CX105" s="6">
        <v>-1.8672269999999999E-3</v>
      </c>
      <c r="CY105" s="6">
        <v>-1.700855E-3</v>
      </c>
      <c r="CZ105" s="6">
        <v>2.0044819277108421E-5</v>
      </c>
      <c r="DA105" s="6">
        <v>-1.904864E-3</v>
      </c>
      <c r="DB105" s="6">
        <v>-1.7351790000000001E-3</v>
      </c>
      <c r="DC105" s="6">
        <v>2.0443975903614448E-5</v>
      </c>
      <c r="DD105" s="6">
        <v>-1.867233E-3</v>
      </c>
      <c r="DE105" s="6">
        <v>-1.6966290000000001E-3</v>
      </c>
      <c r="DF105" s="6">
        <v>2.055469879518072E-5</v>
      </c>
      <c r="DG105" s="6">
        <v>-1.9048540000000001E-3</v>
      </c>
      <c r="DH105" s="6">
        <v>-1.7376080000000001E-3</v>
      </c>
      <c r="DI105" s="6">
        <v>2.015012048192771E-5</v>
      </c>
    </row>
    <row r="106" spans="1:113" x14ac:dyDescent="0.3">
      <c r="A106" s="13" t="s">
        <v>452</v>
      </c>
      <c r="B106" s="13" t="s">
        <v>291</v>
      </c>
      <c r="C106" s="13" t="s">
        <v>325</v>
      </c>
      <c r="D106" s="13" t="s">
        <v>347</v>
      </c>
      <c r="E106" s="13">
        <v>5.75</v>
      </c>
      <c r="F106" s="6">
        <v>-6.8234410000000002E-4</v>
      </c>
      <c r="G106" s="6">
        <v>-1.413032E-3</v>
      </c>
      <c r="H106" s="6">
        <v>1.2707615652173915E-4</v>
      </c>
      <c r="I106" s="6">
        <v>-1.127837E-3</v>
      </c>
      <c r="J106" s="6">
        <v>-1.761952E-3</v>
      </c>
      <c r="K106" s="6">
        <v>1.1028086956521739E-4</v>
      </c>
      <c r="L106" s="6">
        <v>-1.2938349999999999E-3</v>
      </c>
      <c r="M106" s="6">
        <v>-1.80061E-3</v>
      </c>
      <c r="N106" s="6">
        <v>8.813478260869567E-5</v>
      </c>
      <c r="O106" s="6">
        <v>-1.71021E-3</v>
      </c>
      <c r="P106" s="6">
        <v>-2.1310750000000001E-3</v>
      </c>
      <c r="Q106" s="6">
        <v>7.3193913043478282E-5</v>
      </c>
      <c r="R106" s="6">
        <v>-1.624236E-3</v>
      </c>
      <c r="S106" s="6">
        <v>-2.2323130000000001E-3</v>
      </c>
      <c r="T106" s="6">
        <v>1.0575252173913044E-4</v>
      </c>
      <c r="U106" s="6">
        <v>-1.7705900000000001E-3</v>
      </c>
      <c r="V106" s="6">
        <v>-2.3339110000000001E-3</v>
      </c>
      <c r="W106" s="6">
        <v>9.7968869565217406E-5</v>
      </c>
      <c r="X106" s="6">
        <v>-1.6361069999999999E-3</v>
      </c>
      <c r="Y106" s="6">
        <v>-2.2306140000000001E-3</v>
      </c>
      <c r="Z106" s="6">
        <v>1.0339252173913047E-4</v>
      </c>
      <c r="AA106" s="6">
        <v>-1.7620559999999999E-3</v>
      </c>
      <c r="AB106" s="6">
        <v>-2.3557750000000001E-3</v>
      </c>
      <c r="AC106" s="6">
        <v>1.0325547826086959E-4</v>
      </c>
      <c r="AD106" s="6">
        <v>-1.391085E-3</v>
      </c>
      <c r="AE106" s="6">
        <v>-1.8907399999999999E-3</v>
      </c>
      <c r="AF106" s="6">
        <v>8.6896521739130418E-5</v>
      </c>
      <c r="AG106" s="6">
        <v>-1.246362E-3</v>
      </c>
      <c r="AH106" s="6">
        <v>-1.768253E-3</v>
      </c>
      <c r="AI106" s="6">
        <v>9.0763652173913044E-5</v>
      </c>
      <c r="AJ106" s="6">
        <v>-1.3792139999999999E-3</v>
      </c>
      <c r="AK106" s="6">
        <v>-1.8924390000000001E-3</v>
      </c>
      <c r="AL106" s="6">
        <v>8.925652173913047E-5</v>
      </c>
      <c r="AM106" s="6">
        <v>-1.2532649999999999E-3</v>
      </c>
      <c r="AN106" s="6">
        <v>-1.7672779999999999E-3</v>
      </c>
      <c r="AO106" s="6">
        <v>8.9393565217391313E-5</v>
      </c>
      <c r="AP106" s="6">
        <v>-1.446962E-3</v>
      </c>
      <c r="AQ106" s="6">
        <v>-2.0022870000000002E-3</v>
      </c>
      <c r="AR106" s="6">
        <v>9.6578260869565244E-5</v>
      </c>
      <c r="AS106" s="6">
        <v>-1.591685E-3</v>
      </c>
      <c r="AT106" s="6">
        <v>-2.1247739999999998E-3</v>
      </c>
      <c r="AU106" s="6">
        <v>9.2711130434782577E-5</v>
      </c>
      <c r="AV106" s="6">
        <v>-1.4588330000000001E-3</v>
      </c>
      <c r="AW106" s="6">
        <v>-2.0005880000000002E-3</v>
      </c>
      <c r="AX106" s="6">
        <v>9.4218260869565233E-5</v>
      </c>
      <c r="AY106" s="6">
        <v>-1.5847820000000001E-3</v>
      </c>
      <c r="AZ106" s="6">
        <v>-2.1257490000000001E-3</v>
      </c>
      <c r="BA106" s="6">
        <v>9.4081217391304362E-5</v>
      </c>
      <c r="BB106" s="6">
        <v>-1.213811E-3</v>
      </c>
      <c r="BC106" s="6">
        <v>-1.660714E-3</v>
      </c>
      <c r="BD106" s="6">
        <v>7.772226086956522E-5</v>
      </c>
      <c r="BE106" s="6">
        <v>-1.0690879999999999E-3</v>
      </c>
      <c r="BF106" s="6">
        <v>-1.5382270000000001E-3</v>
      </c>
      <c r="BG106" s="6">
        <v>8.1589391304347846E-5</v>
      </c>
      <c r="BH106" s="6">
        <v>-1.2019400000000001E-3</v>
      </c>
      <c r="BI106" s="6">
        <v>-1.662413E-3</v>
      </c>
      <c r="BJ106" s="6">
        <v>8.008226086956519E-5</v>
      </c>
      <c r="BK106" s="6">
        <v>-1.0759910000000001E-3</v>
      </c>
      <c r="BL106" s="6">
        <v>-1.537252E-3</v>
      </c>
      <c r="BM106" s="6">
        <v>8.0219304347826074E-5</v>
      </c>
      <c r="BN106" s="6">
        <v>-1.749453E-3</v>
      </c>
      <c r="BO106" s="6">
        <v>-2.3811259999999999E-3</v>
      </c>
      <c r="BP106" s="6">
        <v>1.0985617391304346E-4</v>
      </c>
      <c r="BQ106" s="6">
        <v>-1.79287E-3</v>
      </c>
      <c r="BR106" s="6">
        <v>-2.4178720000000002E-3</v>
      </c>
      <c r="BS106" s="6">
        <v>1.0869600000000003E-4</v>
      </c>
      <c r="BT106" s="6">
        <v>-1.753014E-3</v>
      </c>
      <c r="BU106" s="6">
        <v>-2.3806159999999999E-3</v>
      </c>
      <c r="BV106" s="6">
        <v>1.0914817391304346E-4</v>
      </c>
      <c r="BW106" s="6">
        <v>-1.790799E-3</v>
      </c>
      <c r="BX106" s="6">
        <v>-2.4181649999999999E-3</v>
      </c>
      <c r="BY106" s="6">
        <v>1.0910713043478259E-4</v>
      </c>
      <c r="BZ106" s="6">
        <v>-1.6795079999999999E-3</v>
      </c>
      <c r="CA106" s="6">
        <v>-2.2786540000000002E-3</v>
      </c>
      <c r="CB106" s="6">
        <v>1.0419930434782614E-4</v>
      </c>
      <c r="CC106" s="6">
        <v>-1.6360910000000001E-3</v>
      </c>
      <c r="CD106" s="6">
        <v>-2.2419079999999999E-3</v>
      </c>
      <c r="CE106" s="6">
        <v>1.0535947826086954E-4</v>
      </c>
      <c r="CF106" s="6">
        <v>-1.675946E-3</v>
      </c>
      <c r="CG106" s="6">
        <v>-2.2791640000000002E-3</v>
      </c>
      <c r="CH106" s="6">
        <v>1.049074782608696E-4</v>
      </c>
      <c r="CI106" s="6">
        <v>-1.6381620000000001E-3</v>
      </c>
      <c r="CJ106" s="6">
        <v>-2.2416150000000002E-3</v>
      </c>
      <c r="CK106" s="6">
        <v>1.0494834782608697E-4</v>
      </c>
      <c r="CL106" s="6">
        <v>-1.15854E-3</v>
      </c>
      <c r="CM106" s="6">
        <v>-1.614372E-3</v>
      </c>
      <c r="CN106" s="6">
        <v>7.9275130434782606E-5</v>
      </c>
      <c r="CO106" s="6">
        <v>-1.201957E-3</v>
      </c>
      <c r="CP106" s="6">
        <v>-1.6511189999999999E-3</v>
      </c>
      <c r="CQ106" s="6">
        <v>7.8115130434782597E-5</v>
      </c>
      <c r="CR106" s="6">
        <v>-1.162101E-3</v>
      </c>
      <c r="CS106" s="6">
        <v>-1.6138630000000001E-3</v>
      </c>
      <c r="CT106" s="6">
        <v>7.8567304347826097E-5</v>
      </c>
      <c r="CU106" s="6">
        <v>-1.1998860000000001E-3</v>
      </c>
      <c r="CV106" s="6">
        <v>-1.651411E-3</v>
      </c>
      <c r="CW106" s="6">
        <v>7.8526086956521722E-5</v>
      </c>
      <c r="CX106" s="6">
        <v>-1.088594E-3</v>
      </c>
      <c r="CY106" s="6">
        <v>-1.511901E-3</v>
      </c>
      <c r="CZ106" s="6">
        <v>7.3618608695652163E-5</v>
      </c>
      <c r="DA106" s="6">
        <v>-1.0451779999999999E-3</v>
      </c>
      <c r="DB106" s="6">
        <v>-1.475154E-3</v>
      </c>
      <c r="DC106" s="6">
        <v>7.4778434782608714E-5</v>
      </c>
      <c r="DD106" s="6">
        <v>-1.085033E-3</v>
      </c>
      <c r="DE106" s="6">
        <v>-1.5124100000000001E-3</v>
      </c>
      <c r="DF106" s="6">
        <v>7.4326434782608699E-5</v>
      </c>
      <c r="DG106" s="6">
        <v>-1.047248E-3</v>
      </c>
      <c r="DH106" s="6">
        <v>-1.474862E-3</v>
      </c>
      <c r="DI106" s="6">
        <v>7.4367652173913047E-5</v>
      </c>
    </row>
    <row r="107" spans="1:113" x14ac:dyDescent="0.3">
      <c r="A107" s="13" t="s">
        <v>453</v>
      </c>
      <c r="B107" s="13" t="s">
        <v>61</v>
      </c>
      <c r="C107" s="13" t="s">
        <v>62</v>
      </c>
      <c r="D107" s="13" t="s">
        <v>350</v>
      </c>
      <c r="E107" s="13">
        <v>9.9</v>
      </c>
      <c r="F107" s="6">
        <v>-3.091782E-3</v>
      </c>
      <c r="G107" s="6">
        <v>-2.5450970000000001E-3</v>
      </c>
      <c r="H107" s="6">
        <v>5.5220707070707055E-5</v>
      </c>
      <c r="I107" s="6">
        <v>-3.7935989999999999E-3</v>
      </c>
      <c r="J107" s="6">
        <v>-3.1289180000000001E-3</v>
      </c>
      <c r="K107" s="6">
        <v>6.7139494949494932E-5</v>
      </c>
      <c r="L107" s="6">
        <v>-3.4678529999999999E-3</v>
      </c>
      <c r="M107" s="6">
        <v>-2.9227799999999998E-3</v>
      </c>
      <c r="N107" s="6">
        <v>5.5057878787878795E-5</v>
      </c>
      <c r="O107" s="6">
        <v>-4.1517380000000003E-3</v>
      </c>
      <c r="P107" s="6">
        <v>-3.4885609999999998E-3</v>
      </c>
      <c r="Q107" s="6">
        <v>6.6987575757575799E-5</v>
      </c>
      <c r="R107" s="6">
        <v>-4.7017659999999996E-3</v>
      </c>
      <c r="S107" s="6">
        <v>-4.0654009999999997E-3</v>
      </c>
      <c r="T107" s="6">
        <v>6.4279292929292909E-5</v>
      </c>
      <c r="U107" s="6">
        <v>-3.344938E-3</v>
      </c>
      <c r="V107" s="6">
        <v>-2.8337129999999999E-3</v>
      </c>
      <c r="W107" s="6">
        <v>5.1638888888888903E-5</v>
      </c>
      <c r="X107" s="6">
        <v>-4.6807350000000001E-3</v>
      </c>
      <c r="Y107" s="6">
        <v>-4.0487209999999999E-3</v>
      </c>
      <c r="Z107" s="6">
        <v>6.3839797979797999E-5</v>
      </c>
      <c r="AA107" s="6">
        <v>-3.2302849999999998E-3</v>
      </c>
      <c r="AB107" s="6">
        <v>-2.6840639999999999E-3</v>
      </c>
      <c r="AC107" s="6">
        <v>5.5173838383838375E-5</v>
      </c>
      <c r="AD107" s="6">
        <v>-3.6732520000000001E-3</v>
      </c>
      <c r="AE107" s="6">
        <v>-2.9164080000000001E-3</v>
      </c>
      <c r="AF107" s="6">
        <v>7.6448888888888884E-5</v>
      </c>
      <c r="AG107" s="6">
        <v>-5.1569520000000002E-3</v>
      </c>
      <c r="AH107" s="6">
        <v>-4.3074799999999998E-3</v>
      </c>
      <c r="AI107" s="6">
        <v>8.5805252525252563E-5</v>
      </c>
      <c r="AJ107" s="6">
        <v>-3.6942839999999999E-3</v>
      </c>
      <c r="AK107" s="6">
        <v>-2.9330879999999999E-3</v>
      </c>
      <c r="AL107" s="6">
        <v>7.6888484848484847E-5</v>
      </c>
      <c r="AM107" s="6">
        <v>-5.1447330000000003E-3</v>
      </c>
      <c r="AN107" s="6">
        <v>-4.297744E-3</v>
      </c>
      <c r="AO107" s="6">
        <v>8.5554444444444465E-5</v>
      </c>
      <c r="AP107" s="6">
        <v>-4.2720859999999996E-3</v>
      </c>
      <c r="AQ107" s="6">
        <v>-3.701073E-3</v>
      </c>
      <c r="AR107" s="6">
        <v>5.7678080808080759E-5</v>
      </c>
      <c r="AS107" s="6">
        <v>-2.7883859999999999E-3</v>
      </c>
      <c r="AT107" s="6">
        <v>-2.3100009999999999E-3</v>
      </c>
      <c r="AU107" s="6">
        <v>4.8321717171717168E-5</v>
      </c>
      <c r="AV107" s="6">
        <v>-4.2510539999999998E-3</v>
      </c>
      <c r="AW107" s="6">
        <v>-3.6843930000000002E-3</v>
      </c>
      <c r="AX107" s="6">
        <v>5.7238484848484803E-5</v>
      </c>
      <c r="AY107" s="6">
        <v>-2.8006049999999998E-3</v>
      </c>
      <c r="AZ107" s="6">
        <v>-2.3197360000000002E-3</v>
      </c>
      <c r="BA107" s="6">
        <v>4.8572626262626225E-5</v>
      </c>
      <c r="BB107" s="6">
        <v>-3.2435720000000001E-3</v>
      </c>
      <c r="BC107" s="6">
        <v>-2.55208E-3</v>
      </c>
      <c r="BD107" s="6">
        <v>6.9847676767676782E-5</v>
      </c>
      <c r="BE107" s="6">
        <v>-4.7272720000000002E-3</v>
      </c>
      <c r="BF107" s="6">
        <v>-3.9431520000000001E-3</v>
      </c>
      <c r="BG107" s="6">
        <v>7.920404040404042E-5</v>
      </c>
      <c r="BH107" s="6">
        <v>-3.264603E-3</v>
      </c>
      <c r="BI107" s="6">
        <v>-2.5687589999999999E-3</v>
      </c>
      <c r="BJ107" s="6">
        <v>7.0287272727272745E-5</v>
      </c>
      <c r="BK107" s="6">
        <v>-4.7150530000000003E-3</v>
      </c>
      <c r="BL107" s="6">
        <v>-3.9334160000000003E-3</v>
      </c>
      <c r="BM107" s="6">
        <v>7.8953232323232322E-5</v>
      </c>
      <c r="BN107" s="6">
        <v>-4.8430790000000001E-3</v>
      </c>
      <c r="BO107" s="6">
        <v>-4.0883029999999997E-3</v>
      </c>
      <c r="BP107" s="6">
        <v>7.6240000000000043E-5</v>
      </c>
      <c r="BQ107" s="6">
        <v>-4.3979689999999998E-3</v>
      </c>
      <c r="BR107" s="6">
        <v>-3.6709809999999998E-3</v>
      </c>
      <c r="BS107" s="6">
        <v>7.3433131313131307E-5</v>
      </c>
      <c r="BT107" s="6">
        <v>-4.8367699999999998E-3</v>
      </c>
      <c r="BU107" s="6">
        <v>-4.0832990000000003E-3</v>
      </c>
      <c r="BV107" s="6">
        <v>7.6108181818181764E-5</v>
      </c>
      <c r="BW107" s="6">
        <v>-4.4016350000000001E-3</v>
      </c>
      <c r="BX107" s="6">
        <v>-3.6739020000000002E-3</v>
      </c>
      <c r="BY107" s="6">
        <v>7.3508383838383836E-5</v>
      </c>
      <c r="BZ107" s="6">
        <v>-4.5345250000000002E-3</v>
      </c>
      <c r="CA107" s="6">
        <v>-3.7436050000000001E-3</v>
      </c>
      <c r="CB107" s="6">
        <v>7.9890909090909101E-5</v>
      </c>
      <c r="CC107" s="6">
        <v>-4.979636E-3</v>
      </c>
      <c r="CD107" s="6">
        <v>-4.1609259999999997E-3</v>
      </c>
      <c r="CE107" s="6">
        <v>8.2697979797979822E-5</v>
      </c>
      <c r="CF107" s="6">
        <v>-4.540835E-3</v>
      </c>
      <c r="CG107" s="6">
        <v>-3.748609E-3</v>
      </c>
      <c r="CH107" s="6">
        <v>8.0022828282828284E-5</v>
      </c>
      <c r="CI107" s="6">
        <v>-4.9759690000000002E-3</v>
      </c>
      <c r="CJ107" s="6">
        <v>-4.1580059999999997E-3</v>
      </c>
      <c r="CK107" s="6">
        <v>8.2622525252525308E-5</v>
      </c>
      <c r="CL107" s="6">
        <v>-3.410813E-3</v>
      </c>
      <c r="CM107" s="6">
        <v>-2.873876E-3</v>
      </c>
      <c r="CN107" s="6">
        <v>5.4236060606060596E-5</v>
      </c>
      <c r="CO107" s="6">
        <v>-2.9657030000000001E-3</v>
      </c>
      <c r="CP107" s="6">
        <v>-2.4565540000000001E-3</v>
      </c>
      <c r="CQ107" s="6">
        <v>5.1429191919191915E-5</v>
      </c>
      <c r="CR107" s="6">
        <v>-3.4045030000000001E-3</v>
      </c>
      <c r="CS107" s="6">
        <v>-2.8688720000000002E-3</v>
      </c>
      <c r="CT107" s="6">
        <v>5.4104141414141406E-5</v>
      </c>
      <c r="CU107" s="6">
        <v>-2.9693689999999999E-3</v>
      </c>
      <c r="CV107" s="6">
        <v>-2.459475E-3</v>
      </c>
      <c r="CW107" s="6">
        <v>5.150444444444443E-5</v>
      </c>
      <c r="CX107" s="6">
        <v>-3.102259E-3</v>
      </c>
      <c r="CY107" s="6">
        <v>-2.529178E-3</v>
      </c>
      <c r="CZ107" s="6">
        <v>5.7886969696969695E-5</v>
      </c>
      <c r="DA107" s="6">
        <v>-3.5473689999999999E-3</v>
      </c>
      <c r="DB107" s="6">
        <v>-2.9464999999999999E-3</v>
      </c>
      <c r="DC107" s="6">
        <v>6.0693838383838376E-5</v>
      </c>
      <c r="DD107" s="6">
        <v>-3.1085679999999999E-3</v>
      </c>
      <c r="DE107" s="6">
        <v>-2.5341819999999998E-3</v>
      </c>
      <c r="DF107" s="6">
        <v>5.8018787878787886E-5</v>
      </c>
      <c r="DG107" s="6">
        <v>-3.543703E-3</v>
      </c>
      <c r="DH107" s="6">
        <v>-2.943579E-3</v>
      </c>
      <c r="DI107" s="6">
        <v>6.0618585858585862E-5</v>
      </c>
    </row>
    <row r="108" spans="1:113" x14ac:dyDescent="0.3">
      <c r="A108" s="13" t="s">
        <v>454</v>
      </c>
      <c r="B108" s="13" t="s">
        <v>62</v>
      </c>
      <c r="C108" s="13" t="s">
        <v>98</v>
      </c>
      <c r="D108" s="13" t="s">
        <v>350</v>
      </c>
      <c r="E108" s="13">
        <v>8.3000000000000007</v>
      </c>
      <c r="F108" s="6">
        <v>-2.5450970000000001E-3</v>
      </c>
      <c r="G108" s="6">
        <v>-2.3073249999999998E-3</v>
      </c>
      <c r="H108" s="6">
        <v>2.8647228915662676E-5</v>
      </c>
      <c r="I108" s="6">
        <v>-3.1289180000000001E-3</v>
      </c>
      <c r="J108" s="6">
        <v>-2.8493720000000002E-3</v>
      </c>
      <c r="K108" s="6">
        <v>3.3680240963855405E-5</v>
      </c>
      <c r="L108" s="6">
        <v>-2.9227799999999998E-3</v>
      </c>
      <c r="M108" s="6">
        <v>-2.6936659999999999E-3</v>
      </c>
      <c r="N108" s="6">
        <v>2.7604096385542152E-5</v>
      </c>
      <c r="O108" s="6">
        <v>-3.4885609999999998E-3</v>
      </c>
      <c r="P108" s="6">
        <v>-3.217283E-3</v>
      </c>
      <c r="Q108" s="6">
        <v>3.268409638554214E-5</v>
      </c>
      <c r="R108" s="6">
        <v>-4.0654009999999997E-3</v>
      </c>
      <c r="S108" s="6">
        <v>-3.6806080000000001E-3</v>
      </c>
      <c r="T108" s="6">
        <v>4.63606024096385E-5</v>
      </c>
      <c r="U108" s="6">
        <v>-2.8337129999999999E-3</v>
      </c>
      <c r="V108" s="6">
        <v>-2.6862879999999998E-3</v>
      </c>
      <c r="W108" s="6">
        <v>1.776204819277109E-5</v>
      </c>
      <c r="X108" s="6">
        <v>-4.0487209999999999E-3</v>
      </c>
      <c r="Y108" s="6">
        <v>-3.6696419999999999E-3</v>
      </c>
      <c r="Z108" s="6">
        <v>4.5672168674698794E-5</v>
      </c>
      <c r="AA108" s="6">
        <v>-2.6840639999999999E-3</v>
      </c>
      <c r="AB108" s="6">
        <v>-2.5503520000000001E-3</v>
      </c>
      <c r="AC108" s="6">
        <v>1.6109879518072265E-5</v>
      </c>
      <c r="AD108" s="6">
        <v>-2.9164080000000001E-3</v>
      </c>
      <c r="AE108" s="6">
        <v>-2.7231960000000002E-3</v>
      </c>
      <c r="AF108" s="6">
        <v>2.3278554216867457E-5</v>
      </c>
      <c r="AG108" s="6">
        <v>-4.3074799999999998E-3</v>
      </c>
      <c r="AH108" s="6">
        <v>-3.8599099999999998E-3</v>
      </c>
      <c r="AI108" s="6">
        <v>5.3924096385542167E-5</v>
      </c>
      <c r="AJ108" s="6">
        <v>-2.9330879999999999E-3</v>
      </c>
      <c r="AK108" s="6">
        <v>-2.7341610000000001E-3</v>
      </c>
      <c r="AL108" s="6">
        <v>2.3967108433734911E-5</v>
      </c>
      <c r="AM108" s="6">
        <v>-4.297744E-3</v>
      </c>
      <c r="AN108" s="6">
        <v>-3.8534509999999999E-3</v>
      </c>
      <c r="AO108" s="6">
        <v>5.3529277108433742E-5</v>
      </c>
      <c r="AP108" s="6">
        <v>-3.701073E-3</v>
      </c>
      <c r="AQ108" s="6">
        <v>-3.3434609999999998E-3</v>
      </c>
      <c r="AR108" s="6">
        <v>4.3085783132530143E-5</v>
      </c>
      <c r="AS108" s="6">
        <v>-2.3100009999999999E-3</v>
      </c>
      <c r="AT108" s="6">
        <v>-2.2067469999999998E-3</v>
      </c>
      <c r="AU108" s="6">
        <v>1.2440240963855434E-5</v>
      </c>
      <c r="AV108" s="6">
        <v>-3.6843930000000002E-3</v>
      </c>
      <c r="AW108" s="6">
        <v>-3.332495E-3</v>
      </c>
      <c r="AX108" s="6">
        <v>4.2397349397590383E-5</v>
      </c>
      <c r="AY108" s="6">
        <v>-2.3197360000000002E-3</v>
      </c>
      <c r="AZ108" s="6">
        <v>-2.2132050000000002E-3</v>
      </c>
      <c r="BA108" s="6">
        <v>1.2835060240963852E-5</v>
      </c>
      <c r="BB108" s="6">
        <v>-2.55208E-3</v>
      </c>
      <c r="BC108" s="6">
        <v>-2.3860489999999999E-3</v>
      </c>
      <c r="BD108" s="6">
        <v>2.0003734939759043E-5</v>
      </c>
      <c r="BE108" s="6">
        <v>-3.9431520000000001E-3</v>
      </c>
      <c r="BF108" s="6">
        <v>-3.5227629999999999E-3</v>
      </c>
      <c r="BG108" s="6">
        <v>5.064927710843375E-5</v>
      </c>
      <c r="BH108" s="6">
        <v>-2.5687589999999999E-3</v>
      </c>
      <c r="BI108" s="6">
        <v>-2.3970139999999998E-3</v>
      </c>
      <c r="BJ108" s="6">
        <v>2.0692168674698799E-5</v>
      </c>
      <c r="BK108" s="6">
        <v>-3.9334160000000003E-3</v>
      </c>
      <c r="BL108" s="6">
        <v>-3.516305E-3</v>
      </c>
      <c r="BM108" s="6">
        <v>5.0254337349397634E-5</v>
      </c>
      <c r="BN108" s="6">
        <v>-4.0883029999999997E-3</v>
      </c>
      <c r="BO108" s="6">
        <v>-3.738852E-3</v>
      </c>
      <c r="BP108" s="6">
        <v>4.2102530120481893E-5</v>
      </c>
      <c r="BQ108" s="6">
        <v>-3.6709809999999998E-3</v>
      </c>
      <c r="BR108" s="6">
        <v>-3.3978379999999998E-3</v>
      </c>
      <c r="BS108" s="6">
        <v>3.2908795180722887E-5</v>
      </c>
      <c r="BT108" s="6">
        <v>-4.0832990000000003E-3</v>
      </c>
      <c r="BU108" s="6">
        <v>-3.735562E-3</v>
      </c>
      <c r="BV108" s="6">
        <v>4.1896024096385572E-5</v>
      </c>
      <c r="BW108" s="6">
        <v>-3.6739020000000002E-3</v>
      </c>
      <c r="BX108" s="6">
        <v>-3.3997749999999998E-3</v>
      </c>
      <c r="BY108" s="6">
        <v>3.3027349397590396E-5</v>
      </c>
      <c r="BZ108" s="6">
        <v>-3.7436050000000001E-3</v>
      </c>
      <c r="CA108" s="6">
        <v>-3.451628E-3</v>
      </c>
      <c r="CB108" s="6">
        <v>3.5177951807228925E-5</v>
      </c>
      <c r="CC108" s="6">
        <v>-4.1609259999999997E-3</v>
      </c>
      <c r="CD108" s="6">
        <v>-3.7926420000000001E-3</v>
      </c>
      <c r="CE108" s="6">
        <v>4.4371566265060185E-5</v>
      </c>
      <c r="CF108" s="6">
        <v>-3.748609E-3</v>
      </c>
      <c r="CG108" s="6">
        <v>-3.454918E-3</v>
      </c>
      <c r="CH108" s="6">
        <v>3.5384457831325299E-5</v>
      </c>
      <c r="CI108" s="6">
        <v>-4.1580059999999997E-3</v>
      </c>
      <c r="CJ108" s="6">
        <v>-3.7907050000000001E-3</v>
      </c>
      <c r="CK108" s="6">
        <v>4.4253132530120428E-5</v>
      </c>
      <c r="CL108" s="6">
        <v>-2.873876E-3</v>
      </c>
      <c r="CM108" s="6">
        <v>-2.6150290000000001E-3</v>
      </c>
      <c r="CN108" s="6">
        <v>3.1186385542168668E-5</v>
      </c>
      <c r="CO108" s="6">
        <v>-2.4565540000000001E-3</v>
      </c>
      <c r="CP108" s="6">
        <v>-2.274014E-3</v>
      </c>
      <c r="CQ108" s="6">
        <v>2.1992771084337364E-5</v>
      </c>
      <c r="CR108" s="6">
        <v>-2.8688720000000002E-3</v>
      </c>
      <c r="CS108" s="6">
        <v>-2.6117390000000001E-3</v>
      </c>
      <c r="CT108" s="6">
        <v>3.09798795180723E-5</v>
      </c>
      <c r="CU108" s="6">
        <v>-2.459475E-3</v>
      </c>
      <c r="CV108" s="6">
        <v>-2.2759519999999999E-3</v>
      </c>
      <c r="CW108" s="6">
        <v>2.2111204819277118E-5</v>
      </c>
      <c r="CX108" s="6">
        <v>-2.529178E-3</v>
      </c>
      <c r="CY108" s="6">
        <v>-2.3278050000000001E-3</v>
      </c>
      <c r="CZ108" s="6">
        <v>2.4261807228915649E-5</v>
      </c>
      <c r="DA108" s="6">
        <v>-2.9464999999999999E-3</v>
      </c>
      <c r="DB108" s="6">
        <v>-2.6688189999999998E-3</v>
      </c>
      <c r="DC108" s="6">
        <v>3.3455542168674712E-5</v>
      </c>
      <c r="DD108" s="6">
        <v>-2.5341819999999998E-3</v>
      </c>
      <c r="DE108" s="6">
        <v>-2.331095E-3</v>
      </c>
      <c r="DF108" s="6">
        <v>2.4468313253012021E-5</v>
      </c>
      <c r="DG108" s="6">
        <v>-2.943579E-3</v>
      </c>
      <c r="DH108" s="6">
        <v>-2.6668820000000002E-3</v>
      </c>
      <c r="DI108" s="6">
        <v>3.3336987951807203E-5</v>
      </c>
    </row>
    <row r="109" spans="1:113" x14ac:dyDescent="0.3">
      <c r="A109" s="13" t="s">
        <v>455</v>
      </c>
      <c r="B109" s="13" t="s">
        <v>98</v>
      </c>
      <c r="C109" s="13" t="s">
        <v>134</v>
      </c>
      <c r="D109" s="13" t="s">
        <v>350</v>
      </c>
      <c r="E109" s="13">
        <v>8.3000000000000007</v>
      </c>
      <c r="F109" s="6">
        <v>-2.3073249999999998E-3</v>
      </c>
      <c r="G109" s="6">
        <v>-1.9674330000000002E-3</v>
      </c>
      <c r="H109" s="6">
        <v>4.0950843373493925E-5</v>
      </c>
      <c r="I109" s="6">
        <v>-2.8493720000000002E-3</v>
      </c>
      <c r="J109" s="6">
        <v>-2.466902E-3</v>
      </c>
      <c r="K109" s="6">
        <v>4.6080722891566288E-5</v>
      </c>
      <c r="L109" s="6">
        <v>-2.6936659999999999E-3</v>
      </c>
      <c r="M109" s="6">
        <v>-2.3595719999999999E-3</v>
      </c>
      <c r="N109" s="6">
        <v>4.0252289156626506E-5</v>
      </c>
      <c r="O109" s="6">
        <v>-3.217283E-3</v>
      </c>
      <c r="P109" s="6">
        <v>-2.8403529999999999E-3</v>
      </c>
      <c r="Q109" s="6">
        <v>4.5413253012048209E-5</v>
      </c>
      <c r="R109" s="6">
        <v>-3.6806080000000001E-3</v>
      </c>
      <c r="S109" s="6">
        <v>-3.10867E-3</v>
      </c>
      <c r="T109" s="6">
        <v>6.8908192771084345E-5</v>
      </c>
      <c r="U109" s="6">
        <v>-2.6862879999999998E-3</v>
      </c>
      <c r="V109" s="6">
        <v>-2.5127940000000001E-3</v>
      </c>
      <c r="W109" s="6">
        <v>2.0902891566265027E-5</v>
      </c>
      <c r="X109" s="6">
        <v>-3.6696419999999999E-3</v>
      </c>
      <c r="Y109" s="6">
        <v>-3.1026040000000001E-3</v>
      </c>
      <c r="Z109" s="6">
        <v>6.8317831325301163E-5</v>
      </c>
      <c r="AA109" s="6">
        <v>-2.5503520000000001E-3</v>
      </c>
      <c r="AB109" s="6">
        <v>-2.4217840000000002E-3</v>
      </c>
      <c r="AC109" s="6">
        <v>1.54901204819277E-5</v>
      </c>
      <c r="AD109" s="6">
        <v>-2.7231960000000002E-3</v>
      </c>
      <c r="AE109" s="6">
        <v>-2.49585E-3</v>
      </c>
      <c r="AF109" s="6">
        <v>2.7391084337349424E-5</v>
      </c>
      <c r="AG109" s="6">
        <v>-3.8599099999999998E-3</v>
      </c>
      <c r="AH109" s="6">
        <v>-3.1862879999999998E-3</v>
      </c>
      <c r="AI109" s="6">
        <v>8.1159277108433734E-5</v>
      </c>
      <c r="AJ109" s="6">
        <v>-2.7341610000000001E-3</v>
      </c>
      <c r="AK109" s="6">
        <v>-2.5019159999999999E-3</v>
      </c>
      <c r="AL109" s="6">
        <v>2.7981325301204849E-5</v>
      </c>
      <c r="AM109" s="6">
        <v>-3.8534509999999999E-3</v>
      </c>
      <c r="AN109" s="6">
        <v>-3.1827359999999998E-3</v>
      </c>
      <c r="AO109" s="6">
        <v>8.0809036144578316E-5</v>
      </c>
      <c r="AP109" s="6">
        <v>-3.3434609999999998E-3</v>
      </c>
      <c r="AQ109" s="6">
        <v>-2.8114049999999999E-3</v>
      </c>
      <c r="AR109" s="6">
        <v>6.410313253012047E-5</v>
      </c>
      <c r="AS109" s="6">
        <v>-2.2067469999999998E-3</v>
      </c>
      <c r="AT109" s="6">
        <v>-2.1209670000000001E-3</v>
      </c>
      <c r="AU109" s="6">
        <v>1.0334939759036109E-5</v>
      </c>
      <c r="AV109" s="6">
        <v>-3.332495E-3</v>
      </c>
      <c r="AW109" s="6">
        <v>-2.805339E-3</v>
      </c>
      <c r="AX109" s="6">
        <v>6.3512771084337343E-5</v>
      </c>
      <c r="AY109" s="6">
        <v>-2.2132050000000002E-3</v>
      </c>
      <c r="AZ109" s="6">
        <v>-2.1245190000000001E-3</v>
      </c>
      <c r="BA109" s="6">
        <v>1.0685060240963873E-5</v>
      </c>
      <c r="BB109" s="6">
        <v>-2.3860489999999999E-3</v>
      </c>
      <c r="BC109" s="6">
        <v>-2.1985849999999999E-3</v>
      </c>
      <c r="BD109" s="6">
        <v>2.2586024096385545E-5</v>
      </c>
      <c r="BE109" s="6">
        <v>-3.5227629999999999E-3</v>
      </c>
      <c r="BF109" s="6">
        <v>-2.8890230000000001E-3</v>
      </c>
      <c r="BG109" s="6">
        <v>7.6354216867469845E-5</v>
      </c>
      <c r="BH109" s="6">
        <v>-2.3970139999999998E-3</v>
      </c>
      <c r="BI109" s="6">
        <v>-2.2046510000000002E-3</v>
      </c>
      <c r="BJ109" s="6">
        <v>2.317626506024092E-5</v>
      </c>
      <c r="BK109" s="6">
        <v>-3.516305E-3</v>
      </c>
      <c r="BL109" s="6">
        <v>-2.8854699999999998E-3</v>
      </c>
      <c r="BM109" s="6">
        <v>7.6004216867469891E-5</v>
      </c>
      <c r="BN109" s="6">
        <v>-3.738852E-3</v>
      </c>
      <c r="BO109" s="6">
        <v>-3.2409930000000002E-3</v>
      </c>
      <c r="BP109" s="6">
        <v>5.9983012048192744E-5</v>
      </c>
      <c r="BQ109" s="6">
        <v>-3.3978379999999998E-3</v>
      </c>
      <c r="BR109" s="6">
        <v>-3.0338610000000001E-3</v>
      </c>
      <c r="BS109" s="6">
        <v>4.3852650602409599E-5</v>
      </c>
      <c r="BT109" s="6">
        <v>-3.735562E-3</v>
      </c>
      <c r="BU109" s="6">
        <v>-3.2391730000000001E-3</v>
      </c>
      <c r="BV109" s="6">
        <v>5.9805903614457809E-5</v>
      </c>
      <c r="BW109" s="6">
        <v>-3.3997749999999998E-3</v>
      </c>
      <c r="BX109" s="6">
        <v>-3.0349270000000002E-3</v>
      </c>
      <c r="BY109" s="6">
        <v>4.3957590361445737E-5</v>
      </c>
      <c r="BZ109" s="6">
        <v>-3.451628E-3</v>
      </c>
      <c r="CA109" s="6">
        <v>-3.0571460000000002E-3</v>
      </c>
      <c r="CB109" s="6">
        <v>4.7527951807228893E-5</v>
      </c>
      <c r="CC109" s="6">
        <v>-3.7926420000000001E-3</v>
      </c>
      <c r="CD109" s="6">
        <v>-3.2642779999999998E-3</v>
      </c>
      <c r="CE109" s="6">
        <v>6.3658313253012091E-5</v>
      </c>
      <c r="CF109" s="6">
        <v>-3.454918E-3</v>
      </c>
      <c r="CG109" s="6">
        <v>-3.0589660000000002E-3</v>
      </c>
      <c r="CH109" s="6">
        <v>4.770506024096382E-5</v>
      </c>
      <c r="CI109" s="6">
        <v>-3.7907050000000001E-3</v>
      </c>
      <c r="CJ109" s="6">
        <v>-3.2632120000000001E-3</v>
      </c>
      <c r="CK109" s="6">
        <v>6.3553373493975893E-5</v>
      </c>
      <c r="CL109" s="6">
        <v>-2.6150290000000001E-3</v>
      </c>
      <c r="CM109" s="6">
        <v>-2.2501090000000001E-3</v>
      </c>
      <c r="CN109" s="6">
        <v>4.3966265060240953E-5</v>
      </c>
      <c r="CO109" s="6">
        <v>-2.274014E-3</v>
      </c>
      <c r="CP109" s="6">
        <v>-2.0429770000000001E-3</v>
      </c>
      <c r="CQ109" s="6">
        <v>2.7835783132530108E-5</v>
      </c>
      <c r="CR109" s="6">
        <v>-2.6117390000000001E-3</v>
      </c>
      <c r="CS109" s="6">
        <v>-2.2482890000000001E-3</v>
      </c>
      <c r="CT109" s="6">
        <v>4.3789156626506019E-5</v>
      </c>
      <c r="CU109" s="6">
        <v>-2.2759519999999999E-3</v>
      </c>
      <c r="CV109" s="6">
        <v>-2.0440430000000002E-3</v>
      </c>
      <c r="CW109" s="6">
        <v>2.7940843373493946E-5</v>
      </c>
      <c r="CX109" s="6">
        <v>-2.3278050000000001E-3</v>
      </c>
      <c r="CY109" s="6">
        <v>-2.066263E-3</v>
      </c>
      <c r="CZ109" s="6">
        <v>3.1511084337349398E-5</v>
      </c>
      <c r="DA109" s="6">
        <v>-2.6688189999999998E-3</v>
      </c>
      <c r="DB109" s="6">
        <v>-2.2733940000000002E-3</v>
      </c>
      <c r="DC109" s="6">
        <v>4.7641566265060186E-5</v>
      </c>
      <c r="DD109" s="6">
        <v>-2.331095E-3</v>
      </c>
      <c r="DE109" s="6">
        <v>-2.0680830000000001E-3</v>
      </c>
      <c r="DF109" s="6">
        <v>3.1688192771084332E-5</v>
      </c>
      <c r="DG109" s="6">
        <v>-2.6668820000000002E-3</v>
      </c>
      <c r="DH109" s="6">
        <v>-2.2723280000000001E-3</v>
      </c>
      <c r="DI109" s="6">
        <v>4.7536626506024102E-5</v>
      </c>
    </row>
    <row r="110" spans="1:113" x14ac:dyDescent="0.3">
      <c r="A110" s="13" t="s">
        <v>456</v>
      </c>
      <c r="B110" s="13" t="s">
        <v>134</v>
      </c>
      <c r="C110" s="13" t="s">
        <v>173</v>
      </c>
      <c r="D110" s="13" t="s">
        <v>350</v>
      </c>
      <c r="E110" s="13">
        <v>8.3000000000000007</v>
      </c>
      <c r="F110" s="6">
        <v>-1.9674330000000002E-3</v>
      </c>
      <c r="G110" s="6">
        <v>-1.6907350000000001E-3</v>
      </c>
      <c r="H110" s="6">
        <v>3.3337108433734955E-5</v>
      </c>
      <c r="I110" s="6">
        <v>-2.466902E-3</v>
      </c>
      <c r="J110" s="6">
        <v>-2.1698920000000001E-3</v>
      </c>
      <c r="K110" s="6">
        <v>3.5784337349397577E-5</v>
      </c>
      <c r="L110" s="6">
        <v>-2.3595719999999999E-3</v>
      </c>
      <c r="M110" s="6">
        <v>-2.0858230000000001E-3</v>
      </c>
      <c r="N110" s="6">
        <v>3.298180722891563E-5</v>
      </c>
      <c r="O110" s="6">
        <v>-2.8403529999999999E-3</v>
      </c>
      <c r="P110" s="6">
        <v>-2.5461619999999998E-3</v>
      </c>
      <c r="Q110" s="6">
        <v>3.5444698795180725E-5</v>
      </c>
      <c r="R110" s="6">
        <v>-3.10867E-3</v>
      </c>
      <c r="S110" s="6">
        <v>-2.680768E-3</v>
      </c>
      <c r="T110" s="6">
        <v>5.1554457831325295E-5</v>
      </c>
      <c r="U110" s="6">
        <v>-2.5127940000000001E-3</v>
      </c>
      <c r="V110" s="6">
        <v>-2.4103520000000002E-3</v>
      </c>
      <c r="W110" s="6">
        <v>1.2342409638554204E-5</v>
      </c>
      <c r="X110" s="6">
        <v>-3.1026040000000001E-3</v>
      </c>
      <c r="Y110" s="6">
        <v>-2.6762930000000002E-3</v>
      </c>
      <c r="Z110" s="6">
        <v>5.1362771084337339E-5</v>
      </c>
      <c r="AA110" s="6">
        <v>-2.4217840000000002E-3</v>
      </c>
      <c r="AB110" s="6">
        <v>-2.362346E-3</v>
      </c>
      <c r="AC110" s="6">
        <v>7.1612048192771322E-6</v>
      </c>
      <c r="AD110" s="6">
        <v>-2.49585E-3</v>
      </c>
      <c r="AE110" s="6">
        <v>-2.299808E-3</v>
      </c>
      <c r="AF110" s="6">
        <v>2.3619518072289155E-5</v>
      </c>
      <c r="AG110" s="6">
        <v>-3.1862879999999998E-3</v>
      </c>
      <c r="AH110" s="6">
        <v>-2.6207240000000001E-3</v>
      </c>
      <c r="AI110" s="6">
        <v>6.814024096385539E-5</v>
      </c>
      <c r="AJ110" s="6">
        <v>-2.5019159999999999E-3</v>
      </c>
      <c r="AK110" s="6">
        <v>-2.3042829999999999E-3</v>
      </c>
      <c r="AL110" s="6">
        <v>2.3811204819277108E-5</v>
      </c>
      <c r="AM110" s="6">
        <v>-3.1827359999999998E-3</v>
      </c>
      <c r="AN110" s="6">
        <v>-2.61823E-3</v>
      </c>
      <c r="AO110" s="6">
        <v>6.8012771084337317E-5</v>
      </c>
      <c r="AP110" s="6">
        <v>-2.8114049999999999E-3</v>
      </c>
      <c r="AQ110" s="6">
        <v>-2.4162459999999999E-3</v>
      </c>
      <c r="AR110" s="6">
        <v>4.7609518072289147E-5</v>
      </c>
      <c r="AS110" s="6">
        <v>-2.1209670000000001E-3</v>
      </c>
      <c r="AT110" s="6">
        <v>-2.0953299999999998E-3</v>
      </c>
      <c r="AU110" s="6">
        <v>3.0887951807229188E-6</v>
      </c>
      <c r="AV110" s="6">
        <v>-2.805339E-3</v>
      </c>
      <c r="AW110" s="6">
        <v>-2.4117710000000001E-3</v>
      </c>
      <c r="AX110" s="6">
        <v>4.7417831325301198E-5</v>
      </c>
      <c r="AY110" s="6">
        <v>-2.1245190000000001E-3</v>
      </c>
      <c r="AZ110" s="6">
        <v>-2.0978239999999999E-3</v>
      </c>
      <c r="BA110" s="6">
        <v>3.2162650602409867E-6</v>
      </c>
      <c r="BB110" s="6">
        <v>-2.1985849999999999E-3</v>
      </c>
      <c r="BC110" s="6">
        <v>-2.0352859999999999E-3</v>
      </c>
      <c r="BD110" s="6">
        <v>1.967457831325301E-5</v>
      </c>
      <c r="BE110" s="6">
        <v>-2.8890230000000001E-3</v>
      </c>
      <c r="BF110" s="6">
        <v>-2.3562019999999999E-3</v>
      </c>
      <c r="BG110" s="6">
        <v>6.4195301204819297E-5</v>
      </c>
      <c r="BH110" s="6">
        <v>-2.2046510000000002E-3</v>
      </c>
      <c r="BI110" s="6">
        <v>-2.0397610000000002E-3</v>
      </c>
      <c r="BJ110" s="6">
        <v>1.9866265060240964E-5</v>
      </c>
      <c r="BK110" s="6">
        <v>-2.8854699999999998E-3</v>
      </c>
      <c r="BL110" s="6">
        <v>-2.3537079999999999E-3</v>
      </c>
      <c r="BM110" s="6">
        <v>6.4067710843373471E-5</v>
      </c>
      <c r="BN110" s="6">
        <v>-3.2409930000000002E-3</v>
      </c>
      <c r="BO110" s="6">
        <v>-2.8560410000000001E-3</v>
      </c>
      <c r="BP110" s="6">
        <v>4.6379759036144577E-5</v>
      </c>
      <c r="BQ110" s="6">
        <v>-3.0338610000000001E-3</v>
      </c>
      <c r="BR110" s="6">
        <v>-2.7597659999999999E-3</v>
      </c>
      <c r="BS110" s="6">
        <v>3.3023493975903637E-5</v>
      </c>
      <c r="BT110" s="6">
        <v>-3.2391730000000001E-3</v>
      </c>
      <c r="BU110" s="6">
        <v>-2.8546980000000001E-3</v>
      </c>
      <c r="BV110" s="6">
        <v>4.6322289156626501E-5</v>
      </c>
      <c r="BW110" s="6">
        <v>-3.0349270000000002E-3</v>
      </c>
      <c r="BX110" s="6">
        <v>-2.7605139999999999E-3</v>
      </c>
      <c r="BY110" s="6">
        <v>3.306180722891569E-5</v>
      </c>
      <c r="BZ110" s="6">
        <v>-3.0571460000000002E-3</v>
      </c>
      <c r="CA110" s="6">
        <v>-2.7417520000000001E-3</v>
      </c>
      <c r="CB110" s="6">
        <v>3.799927710843374E-5</v>
      </c>
      <c r="CC110" s="6">
        <v>-3.2642779999999998E-3</v>
      </c>
      <c r="CD110" s="6">
        <v>-2.8380269999999999E-3</v>
      </c>
      <c r="CE110" s="6">
        <v>5.135554216867468E-5</v>
      </c>
      <c r="CF110" s="6">
        <v>-3.0589660000000002E-3</v>
      </c>
      <c r="CG110" s="6">
        <v>-2.7430950000000001E-3</v>
      </c>
      <c r="CH110" s="6">
        <v>3.8056746987951817E-5</v>
      </c>
      <c r="CI110" s="6">
        <v>-3.2632120000000001E-3</v>
      </c>
      <c r="CJ110" s="6">
        <v>-2.8372789999999998E-3</v>
      </c>
      <c r="CK110" s="6">
        <v>5.1317228915662681E-5</v>
      </c>
      <c r="CL110" s="6">
        <v>-2.2501090000000001E-3</v>
      </c>
      <c r="CM110" s="6">
        <v>-1.9743009999999999E-3</v>
      </c>
      <c r="CN110" s="6">
        <v>3.3229879518072314E-5</v>
      </c>
      <c r="CO110" s="6">
        <v>-2.0429770000000001E-3</v>
      </c>
      <c r="CP110" s="6">
        <v>-1.8780260000000001E-3</v>
      </c>
      <c r="CQ110" s="6">
        <v>1.987361445783132E-5</v>
      </c>
      <c r="CR110" s="6">
        <v>-2.2482890000000001E-3</v>
      </c>
      <c r="CS110" s="6">
        <v>-1.9729589999999998E-3</v>
      </c>
      <c r="CT110" s="6">
        <v>3.317228915662654E-5</v>
      </c>
      <c r="CU110" s="6">
        <v>-2.0440430000000002E-3</v>
      </c>
      <c r="CV110" s="6">
        <v>-1.8787750000000001E-3</v>
      </c>
      <c r="CW110" s="6">
        <v>1.9911807228915672E-5</v>
      </c>
      <c r="CX110" s="6">
        <v>-2.066263E-3</v>
      </c>
      <c r="CY110" s="6">
        <v>-1.860013E-3</v>
      </c>
      <c r="CZ110" s="6">
        <v>2.4849397590361451E-5</v>
      </c>
      <c r="DA110" s="6">
        <v>-2.2733940000000002E-3</v>
      </c>
      <c r="DB110" s="6">
        <v>-1.956288E-3</v>
      </c>
      <c r="DC110" s="6">
        <v>3.8205542168674713E-5</v>
      </c>
      <c r="DD110" s="6">
        <v>-2.0680830000000001E-3</v>
      </c>
      <c r="DE110" s="6">
        <v>-1.861356E-3</v>
      </c>
      <c r="DF110" s="6">
        <v>2.4906867469879527E-5</v>
      </c>
      <c r="DG110" s="6">
        <v>-2.2723280000000001E-3</v>
      </c>
      <c r="DH110" s="6">
        <v>-1.95554E-3</v>
      </c>
      <c r="DI110" s="6">
        <v>3.8167228915662666E-5</v>
      </c>
    </row>
    <row r="111" spans="1:113" x14ac:dyDescent="0.3">
      <c r="A111" s="13" t="s">
        <v>457</v>
      </c>
      <c r="B111" s="13" t="s">
        <v>173</v>
      </c>
      <c r="C111" s="13" t="s">
        <v>214</v>
      </c>
      <c r="D111" s="13" t="s">
        <v>350</v>
      </c>
      <c r="E111" s="13">
        <v>8.3000000000000007</v>
      </c>
      <c r="F111" s="6">
        <v>-1.6907350000000001E-3</v>
      </c>
      <c r="G111" s="6">
        <v>-1.54882E-3</v>
      </c>
      <c r="H111" s="6">
        <v>1.7098192771084341E-5</v>
      </c>
      <c r="I111" s="6">
        <v>-2.1698920000000001E-3</v>
      </c>
      <c r="J111" s="6">
        <v>-2.0063400000000001E-3</v>
      </c>
      <c r="K111" s="6">
        <v>1.9705060240963851E-5</v>
      </c>
      <c r="L111" s="6">
        <v>-2.0858230000000001E-3</v>
      </c>
      <c r="M111" s="6">
        <v>-1.944065E-3</v>
      </c>
      <c r="N111" s="6">
        <v>1.7079277108433744E-5</v>
      </c>
      <c r="O111" s="6">
        <v>-2.5461619999999998E-3</v>
      </c>
      <c r="P111" s="6">
        <v>-2.382763E-3</v>
      </c>
      <c r="Q111" s="6">
        <v>1.9686626506024076E-5</v>
      </c>
      <c r="R111" s="6">
        <v>-2.680768E-3</v>
      </c>
      <c r="S111" s="6">
        <v>-2.4945029999999999E-3</v>
      </c>
      <c r="T111" s="6">
        <v>2.2441566265060254E-5</v>
      </c>
      <c r="U111" s="6">
        <v>-2.4103520000000002E-3</v>
      </c>
      <c r="V111" s="6">
        <v>-2.4139470000000001E-3</v>
      </c>
      <c r="W111" s="6">
        <v>4.3313253012046988E-7</v>
      </c>
      <c r="X111" s="6">
        <v>-2.6762930000000002E-3</v>
      </c>
      <c r="Y111" s="6">
        <v>-2.4902510000000002E-3</v>
      </c>
      <c r="Z111" s="6">
        <v>2.2414698795180719E-5</v>
      </c>
      <c r="AA111" s="6">
        <v>-2.362346E-3</v>
      </c>
      <c r="AB111" s="6">
        <v>-2.3946900000000001E-3</v>
      </c>
      <c r="AC111" s="6">
        <v>3.8968674698795323E-6</v>
      </c>
      <c r="AD111" s="6">
        <v>-2.299808E-3</v>
      </c>
      <c r="AE111" s="6">
        <v>-2.1421159999999999E-3</v>
      </c>
      <c r="AF111" s="6">
        <v>1.899903614457832E-5</v>
      </c>
      <c r="AG111" s="6">
        <v>-2.6207240000000001E-3</v>
      </c>
      <c r="AH111" s="6">
        <v>-2.2442199999999999E-3</v>
      </c>
      <c r="AI111" s="6">
        <v>4.5361927710843389E-5</v>
      </c>
      <c r="AJ111" s="6">
        <v>-2.3042829999999999E-3</v>
      </c>
      <c r="AK111" s="6">
        <v>-2.146369E-3</v>
      </c>
      <c r="AL111" s="6">
        <v>1.9025783132530106E-5</v>
      </c>
      <c r="AM111" s="6">
        <v>-2.61823E-3</v>
      </c>
      <c r="AN111" s="6">
        <v>-2.2419300000000001E-3</v>
      </c>
      <c r="AO111" s="6">
        <v>4.5337349397590358E-5</v>
      </c>
      <c r="AP111" s="6">
        <v>-2.4162459999999999E-3</v>
      </c>
      <c r="AQ111" s="6">
        <v>-2.2469870000000002E-3</v>
      </c>
      <c r="AR111" s="6">
        <v>2.0392650602409604E-5</v>
      </c>
      <c r="AS111" s="6">
        <v>-2.0953299999999998E-3</v>
      </c>
      <c r="AT111" s="6">
        <v>-2.1448830000000002E-3</v>
      </c>
      <c r="AU111" s="6">
        <v>5.970240963855464E-6</v>
      </c>
      <c r="AV111" s="6">
        <v>-2.4117710000000001E-3</v>
      </c>
      <c r="AW111" s="6">
        <v>-2.2427340000000001E-3</v>
      </c>
      <c r="AX111" s="6">
        <v>2.0365903614457821E-5</v>
      </c>
      <c r="AY111" s="6">
        <v>-2.0978239999999999E-3</v>
      </c>
      <c r="AZ111" s="6">
        <v>-2.147174E-3</v>
      </c>
      <c r="BA111" s="6">
        <v>5.9457831325301309E-6</v>
      </c>
      <c r="BB111" s="6">
        <v>-2.0352859999999999E-3</v>
      </c>
      <c r="BC111" s="6">
        <v>-1.8946E-3</v>
      </c>
      <c r="BD111" s="6">
        <v>1.6950120481927697E-5</v>
      </c>
      <c r="BE111" s="6">
        <v>-2.3562019999999999E-3</v>
      </c>
      <c r="BF111" s="6">
        <v>-1.9967029999999998E-3</v>
      </c>
      <c r="BG111" s="6">
        <v>4.3313132530120488E-5</v>
      </c>
      <c r="BH111" s="6">
        <v>-2.0397610000000002E-3</v>
      </c>
      <c r="BI111" s="6">
        <v>-1.8988519999999999E-3</v>
      </c>
      <c r="BJ111" s="6">
        <v>1.6976987951807258E-5</v>
      </c>
      <c r="BK111" s="6">
        <v>-2.3537079999999999E-3</v>
      </c>
      <c r="BL111" s="6">
        <v>-1.994413E-3</v>
      </c>
      <c r="BM111" s="6">
        <v>4.3288554216867457E-5</v>
      </c>
      <c r="BN111" s="6">
        <v>-2.8560410000000001E-3</v>
      </c>
      <c r="BO111" s="6">
        <v>-2.6599369999999998E-3</v>
      </c>
      <c r="BP111" s="6">
        <v>2.3626987951807267E-5</v>
      </c>
      <c r="BQ111" s="6">
        <v>-2.7597659999999999E-3</v>
      </c>
      <c r="BR111" s="6">
        <v>-2.6293060000000001E-3</v>
      </c>
      <c r="BS111" s="6">
        <v>1.5718072289156599E-5</v>
      </c>
      <c r="BT111" s="6">
        <v>-2.8546980000000001E-3</v>
      </c>
      <c r="BU111" s="6">
        <v>-2.6586610000000001E-3</v>
      </c>
      <c r="BV111" s="6">
        <v>2.3618915662650605E-5</v>
      </c>
      <c r="BW111" s="6">
        <v>-2.7605139999999999E-3</v>
      </c>
      <c r="BX111" s="6">
        <v>-2.6299930000000002E-3</v>
      </c>
      <c r="BY111" s="6">
        <v>1.5725421686746959E-5</v>
      </c>
      <c r="BZ111" s="6">
        <v>-2.7417520000000001E-3</v>
      </c>
      <c r="CA111" s="6">
        <v>-2.5542210000000002E-3</v>
      </c>
      <c r="CB111" s="6">
        <v>2.2594096385542154E-5</v>
      </c>
      <c r="CC111" s="6">
        <v>-2.8380269999999999E-3</v>
      </c>
      <c r="CD111" s="6">
        <v>-2.5848519999999999E-3</v>
      </c>
      <c r="CE111" s="6">
        <v>3.0503012048192772E-5</v>
      </c>
      <c r="CF111" s="6">
        <v>-2.7430950000000001E-3</v>
      </c>
      <c r="CG111" s="6">
        <v>-2.5554969999999999E-3</v>
      </c>
      <c r="CH111" s="6">
        <v>2.2602168674698816E-5</v>
      </c>
      <c r="CI111" s="6">
        <v>-2.8372789999999998E-3</v>
      </c>
      <c r="CJ111" s="6">
        <v>-2.5841649999999998E-3</v>
      </c>
      <c r="CK111" s="6">
        <v>3.0495662650602411E-5</v>
      </c>
      <c r="CL111" s="6">
        <v>-1.9743009999999999E-3</v>
      </c>
      <c r="CM111" s="6">
        <v>-1.8348819999999999E-3</v>
      </c>
      <c r="CN111" s="6">
        <v>1.6797469879518072E-5</v>
      </c>
      <c r="CO111" s="6">
        <v>-1.8780260000000001E-3</v>
      </c>
      <c r="CP111" s="6">
        <v>-1.804251E-3</v>
      </c>
      <c r="CQ111" s="6">
        <v>8.888554216867481E-6</v>
      </c>
      <c r="CR111" s="6">
        <v>-1.9729589999999998E-3</v>
      </c>
      <c r="CS111" s="6">
        <v>-1.833606E-3</v>
      </c>
      <c r="CT111" s="6">
        <v>1.6789518072289134E-5</v>
      </c>
      <c r="CU111" s="6">
        <v>-1.8787750000000001E-3</v>
      </c>
      <c r="CV111" s="6">
        <v>-1.8049380000000001E-3</v>
      </c>
      <c r="CW111" s="6">
        <v>8.8960240963855408E-6</v>
      </c>
      <c r="CX111" s="6">
        <v>-1.860013E-3</v>
      </c>
      <c r="CY111" s="6">
        <v>-1.7291660000000001E-3</v>
      </c>
      <c r="CZ111" s="6">
        <v>1.576469879518071E-5</v>
      </c>
      <c r="DA111" s="6">
        <v>-1.956288E-3</v>
      </c>
      <c r="DB111" s="6">
        <v>-1.759797E-3</v>
      </c>
      <c r="DC111" s="6">
        <v>2.3673614457831328E-5</v>
      </c>
      <c r="DD111" s="6">
        <v>-1.861356E-3</v>
      </c>
      <c r="DE111" s="6">
        <v>-1.730442E-3</v>
      </c>
      <c r="DF111" s="6">
        <v>1.5772771084337346E-5</v>
      </c>
      <c r="DG111" s="6">
        <v>-1.95554E-3</v>
      </c>
      <c r="DH111" s="6">
        <v>-1.7591099999999999E-3</v>
      </c>
      <c r="DI111" s="6">
        <v>2.3666265060240968E-5</v>
      </c>
    </row>
    <row r="112" spans="1:113" x14ac:dyDescent="0.3">
      <c r="A112" s="13" t="s">
        <v>458</v>
      </c>
      <c r="B112" s="13" t="s">
        <v>214</v>
      </c>
      <c r="C112" s="13" t="s">
        <v>252</v>
      </c>
      <c r="D112" s="13" t="s">
        <v>350</v>
      </c>
      <c r="E112" s="13">
        <v>8.3000000000000007</v>
      </c>
      <c r="F112" s="6">
        <v>-1.54882E-3</v>
      </c>
      <c r="G112" s="6">
        <v>-1.491673E-3</v>
      </c>
      <c r="H112" s="6">
        <v>6.8851807228915673E-6</v>
      </c>
      <c r="I112" s="6">
        <v>-2.0063400000000001E-3</v>
      </c>
      <c r="J112" s="6">
        <v>-1.922792E-3</v>
      </c>
      <c r="K112" s="6">
        <v>1.0066024096385557E-5</v>
      </c>
      <c r="L112" s="6">
        <v>-1.944065E-3</v>
      </c>
      <c r="M112" s="6">
        <v>-1.884553E-3</v>
      </c>
      <c r="N112" s="6">
        <v>7.1701204819277182E-6</v>
      </c>
      <c r="O112" s="6">
        <v>-2.382763E-3</v>
      </c>
      <c r="P112" s="6">
        <v>-2.296963E-3</v>
      </c>
      <c r="Q112" s="6">
        <v>1.0337349397590363E-5</v>
      </c>
      <c r="R112" s="6">
        <v>-2.4945029999999999E-3</v>
      </c>
      <c r="S112" s="6">
        <v>-2.4762159999999998E-3</v>
      </c>
      <c r="T112" s="6">
        <v>2.2032530120482021E-6</v>
      </c>
      <c r="U112" s="6">
        <v>-2.4139470000000001E-3</v>
      </c>
      <c r="V112" s="6">
        <v>-2.4762809999999999E-3</v>
      </c>
      <c r="W112" s="6">
        <v>7.5101204819276895E-6</v>
      </c>
      <c r="X112" s="6">
        <v>-2.4902510000000002E-3</v>
      </c>
      <c r="Y112" s="6">
        <v>-2.4731050000000002E-3</v>
      </c>
      <c r="Z112" s="6">
        <v>2.0657831325301206E-6</v>
      </c>
      <c r="AA112" s="6">
        <v>-2.3946900000000001E-3</v>
      </c>
      <c r="AB112" s="6">
        <v>-2.4720229999999998E-3</v>
      </c>
      <c r="AC112" s="6">
        <v>9.3172289156626189E-6</v>
      </c>
      <c r="AD112" s="6">
        <v>-2.1421159999999999E-3</v>
      </c>
      <c r="AE112" s="6">
        <v>-1.9838289999999999E-3</v>
      </c>
      <c r="AF112" s="6">
        <v>1.9070722891566264E-5</v>
      </c>
      <c r="AG112" s="6">
        <v>-2.2442199999999999E-3</v>
      </c>
      <c r="AH112" s="6">
        <v>-1.9896979999999998E-3</v>
      </c>
      <c r="AI112" s="6">
        <v>3.0665301204819284E-5</v>
      </c>
      <c r="AJ112" s="6">
        <v>-2.146369E-3</v>
      </c>
      <c r="AK112" s="6">
        <v>-1.9869390000000001E-3</v>
      </c>
      <c r="AL112" s="6">
        <v>1.9208433734939745E-5</v>
      </c>
      <c r="AM112" s="6">
        <v>-2.2419300000000001E-3</v>
      </c>
      <c r="AN112" s="6">
        <v>-1.9880219999999999E-3</v>
      </c>
      <c r="AO112" s="6">
        <v>3.0591325301204836E-5</v>
      </c>
      <c r="AP112" s="6">
        <v>-2.2469870000000002E-3</v>
      </c>
      <c r="AQ112" s="6">
        <v>-2.2359260000000001E-3</v>
      </c>
      <c r="AR112" s="6">
        <v>1.3326506024096558E-6</v>
      </c>
      <c r="AS112" s="6">
        <v>-2.1448830000000002E-3</v>
      </c>
      <c r="AT112" s="6">
        <v>-2.2300570000000001E-3</v>
      </c>
      <c r="AU112" s="6">
        <v>1.0261927710843364E-5</v>
      </c>
      <c r="AV112" s="6">
        <v>-2.2427340000000001E-3</v>
      </c>
      <c r="AW112" s="6">
        <v>-2.232815E-3</v>
      </c>
      <c r="AX112" s="6">
        <v>1.1950602409638746E-6</v>
      </c>
      <c r="AY112" s="6">
        <v>-2.147174E-3</v>
      </c>
      <c r="AZ112" s="6">
        <v>-2.2317330000000001E-3</v>
      </c>
      <c r="BA112" s="6">
        <v>1.0187831325301217E-5</v>
      </c>
      <c r="BB112" s="6">
        <v>-1.8946E-3</v>
      </c>
      <c r="BC112" s="6">
        <v>-1.7435389999999999E-3</v>
      </c>
      <c r="BD112" s="6">
        <v>1.820012048192772E-5</v>
      </c>
      <c r="BE112" s="6">
        <v>-1.9967029999999998E-3</v>
      </c>
      <c r="BF112" s="6">
        <v>-1.749408E-3</v>
      </c>
      <c r="BG112" s="6">
        <v>2.9794578313252985E-5</v>
      </c>
      <c r="BH112" s="6">
        <v>-1.8988519999999999E-3</v>
      </c>
      <c r="BI112" s="6">
        <v>-1.74665E-3</v>
      </c>
      <c r="BJ112" s="6">
        <v>1.8337590361445775E-5</v>
      </c>
      <c r="BK112" s="6">
        <v>-1.994413E-3</v>
      </c>
      <c r="BL112" s="6">
        <v>-1.7477320000000001E-3</v>
      </c>
      <c r="BM112" s="6">
        <v>2.972060240963854E-5</v>
      </c>
      <c r="BN112" s="6">
        <v>-2.6599369999999998E-3</v>
      </c>
      <c r="BO112" s="6">
        <v>-2.584219E-3</v>
      </c>
      <c r="BP112" s="6">
        <v>9.1226506024096134E-6</v>
      </c>
      <c r="BQ112" s="6">
        <v>-2.6293060000000001E-3</v>
      </c>
      <c r="BR112" s="6">
        <v>-2.5824580000000001E-3</v>
      </c>
      <c r="BS112" s="6">
        <v>5.644337349397583E-6</v>
      </c>
      <c r="BT112" s="6">
        <v>-2.6586610000000001E-3</v>
      </c>
      <c r="BU112" s="6">
        <v>-2.5832860000000002E-3</v>
      </c>
      <c r="BV112" s="6">
        <v>9.0813253012048083E-6</v>
      </c>
      <c r="BW112" s="6">
        <v>-2.6299930000000002E-3</v>
      </c>
      <c r="BX112" s="6">
        <v>-2.5829609999999999E-3</v>
      </c>
      <c r="BY112" s="6">
        <v>5.6665060240964132E-6</v>
      </c>
      <c r="BZ112" s="6">
        <v>-2.5542210000000002E-3</v>
      </c>
      <c r="CA112" s="6">
        <v>-2.436503E-3</v>
      </c>
      <c r="CB112" s="6">
        <v>1.4182891566265079E-5</v>
      </c>
      <c r="CC112" s="6">
        <v>-2.5848519999999999E-3</v>
      </c>
      <c r="CD112" s="6">
        <v>-2.438263E-3</v>
      </c>
      <c r="CE112" s="6">
        <v>1.7661325301204809E-5</v>
      </c>
      <c r="CF112" s="6">
        <v>-2.5554969999999999E-3</v>
      </c>
      <c r="CG112" s="6">
        <v>-2.4374359999999999E-3</v>
      </c>
      <c r="CH112" s="6">
        <v>1.4224216867469883E-5</v>
      </c>
      <c r="CI112" s="6">
        <v>-2.5841649999999998E-3</v>
      </c>
      <c r="CJ112" s="6">
        <v>-2.4377610000000001E-3</v>
      </c>
      <c r="CK112" s="6">
        <v>1.7639036144578279E-5</v>
      </c>
      <c r="CL112" s="6">
        <v>-1.8348819999999999E-3</v>
      </c>
      <c r="CM112" s="6">
        <v>-1.7832519999999999E-3</v>
      </c>
      <c r="CN112" s="6">
        <v>6.2204819277108421E-6</v>
      </c>
      <c r="CO112" s="6">
        <v>-1.804251E-3</v>
      </c>
      <c r="CP112" s="6">
        <v>-1.781492E-3</v>
      </c>
      <c r="CQ112" s="6">
        <v>2.7420481927710864E-6</v>
      </c>
      <c r="CR112" s="6">
        <v>-1.833606E-3</v>
      </c>
      <c r="CS112" s="6">
        <v>-1.7823190000000001E-3</v>
      </c>
      <c r="CT112" s="6">
        <v>6.1791566265060116E-6</v>
      </c>
      <c r="CU112" s="6">
        <v>-1.8049380000000001E-3</v>
      </c>
      <c r="CV112" s="6">
        <v>-1.7819940000000001E-3</v>
      </c>
      <c r="CW112" s="6">
        <v>2.7643373493975903E-6</v>
      </c>
      <c r="CX112" s="6">
        <v>-1.7291660000000001E-3</v>
      </c>
      <c r="CY112" s="6">
        <v>-1.6355359999999999E-3</v>
      </c>
      <c r="CZ112" s="6">
        <v>1.1280722891566281E-5</v>
      </c>
      <c r="DA112" s="6">
        <v>-1.759797E-3</v>
      </c>
      <c r="DB112" s="6">
        <v>-1.637297E-3</v>
      </c>
      <c r="DC112" s="6">
        <v>1.4759036144578311E-5</v>
      </c>
      <c r="DD112" s="6">
        <v>-1.730442E-3</v>
      </c>
      <c r="DE112" s="6">
        <v>-1.636469E-3</v>
      </c>
      <c r="DF112" s="6">
        <v>1.1322048192771086E-5</v>
      </c>
      <c r="DG112" s="6">
        <v>-1.7591099999999999E-3</v>
      </c>
      <c r="DH112" s="6">
        <v>-1.636794E-3</v>
      </c>
      <c r="DI112" s="6">
        <v>1.4736867469879507E-5</v>
      </c>
    </row>
    <row r="113" spans="1:113" x14ac:dyDescent="0.3">
      <c r="A113" s="13" t="s">
        <v>459</v>
      </c>
      <c r="B113" s="13" t="s">
        <v>252</v>
      </c>
      <c r="C113" s="13" t="s">
        <v>294</v>
      </c>
      <c r="D113" s="13" t="s">
        <v>350</v>
      </c>
      <c r="E113" s="13">
        <v>8.3000000000000007</v>
      </c>
      <c r="F113" s="6">
        <v>-1.491673E-3</v>
      </c>
      <c r="G113" s="6">
        <v>-1.427296E-3</v>
      </c>
      <c r="H113" s="6">
        <v>7.7562650602409644E-6</v>
      </c>
      <c r="I113" s="6">
        <v>-1.922792E-3</v>
      </c>
      <c r="J113" s="6">
        <v>-1.8152400000000001E-3</v>
      </c>
      <c r="K113" s="6">
        <v>1.2958072289156615E-5</v>
      </c>
      <c r="L113" s="6">
        <v>-1.884553E-3</v>
      </c>
      <c r="M113" s="6">
        <v>-1.815784E-3</v>
      </c>
      <c r="N113" s="6">
        <v>8.2854216867469861E-6</v>
      </c>
      <c r="O113" s="6">
        <v>-2.296963E-3</v>
      </c>
      <c r="P113" s="6">
        <v>-2.1852239999999999E-3</v>
      </c>
      <c r="Q113" s="6">
        <v>1.346253012048193E-5</v>
      </c>
      <c r="R113" s="6">
        <v>-2.4762159999999998E-3</v>
      </c>
      <c r="S113" s="6">
        <v>-2.4440030000000001E-3</v>
      </c>
      <c r="T113" s="6">
        <v>3.8810843373493598E-6</v>
      </c>
      <c r="U113" s="6">
        <v>-2.4762809999999999E-3</v>
      </c>
      <c r="V113" s="6">
        <v>-2.4691969999999998E-3</v>
      </c>
      <c r="W113" s="6">
        <v>8.534939759036244E-7</v>
      </c>
      <c r="X113" s="6">
        <v>-2.4731050000000002E-3</v>
      </c>
      <c r="Y113" s="6">
        <v>-2.4424989999999999E-3</v>
      </c>
      <c r="Z113" s="6">
        <v>3.6874698795181076E-6</v>
      </c>
      <c r="AA113" s="6">
        <v>-2.4720229999999998E-3</v>
      </c>
      <c r="AB113" s="6">
        <v>-2.4712039999999998E-3</v>
      </c>
      <c r="AC113" s="6">
        <v>9.8674698795179911E-8</v>
      </c>
      <c r="AD113" s="6">
        <v>-1.9838289999999999E-3</v>
      </c>
      <c r="AE113" s="6">
        <v>-1.7883409999999999E-3</v>
      </c>
      <c r="AF113" s="6">
        <v>2.3552771084337342E-5</v>
      </c>
      <c r="AG113" s="6">
        <v>-1.9896979999999998E-3</v>
      </c>
      <c r="AH113" s="6">
        <v>-1.7619459999999999E-3</v>
      </c>
      <c r="AI113" s="6">
        <v>2.7439999999999985E-5</v>
      </c>
      <c r="AJ113" s="6">
        <v>-1.9869390000000001E-3</v>
      </c>
      <c r="AK113" s="6">
        <v>-1.7898440000000001E-3</v>
      </c>
      <c r="AL113" s="6">
        <v>2.3746385542168672E-5</v>
      </c>
      <c r="AM113" s="6">
        <v>-1.9880219999999999E-3</v>
      </c>
      <c r="AN113" s="6">
        <v>-1.7611390000000001E-3</v>
      </c>
      <c r="AO113" s="6">
        <v>2.7335301204819246E-5</v>
      </c>
      <c r="AP113" s="6">
        <v>-2.2359260000000001E-3</v>
      </c>
      <c r="AQ113" s="6">
        <v>-2.2121229999999999E-3</v>
      </c>
      <c r="AR113" s="6">
        <v>2.8678313253012277E-6</v>
      </c>
      <c r="AS113" s="6">
        <v>-2.2300570000000001E-3</v>
      </c>
      <c r="AT113" s="6">
        <v>-2.2385180000000001E-3</v>
      </c>
      <c r="AU113" s="6">
        <v>1.0193975903614424E-6</v>
      </c>
      <c r="AV113" s="6">
        <v>-2.232815E-3</v>
      </c>
      <c r="AW113" s="6">
        <v>-2.2106199999999999E-3</v>
      </c>
      <c r="AX113" s="6">
        <v>2.6740963855421717E-6</v>
      </c>
      <c r="AY113" s="6">
        <v>-2.2317330000000001E-3</v>
      </c>
      <c r="AZ113" s="6">
        <v>-2.2393249999999999E-3</v>
      </c>
      <c r="BA113" s="6">
        <v>9.1469879518070376E-7</v>
      </c>
      <c r="BB113" s="6">
        <v>-1.7435389999999999E-3</v>
      </c>
      <c r="BC113" s="6">
        <v>-1.5564610000000001E-3</v>
      </c>
      <c r="BD113" s="6">
        <v>2.2539518072289132E-5</v>
      </c>
      <c r="BE113" s="6">
        <v>-1.749408E-3</v>
      </c>
      <c r="BF113" s="6">
        <v>-1.5300660000000001E-3</v>
      </c>
      <c r="BG113" s="6">
        <v>2.6426746987951801E-5</v>
      </c>
      <c r="BH113" s="6">
        <v>-1.74665E-3</v>
      </c>
      <c r="BI113" s="6">
        <v>-1.5579649999999999E-3</v>
      </c>
      <c r="BJ113" s="6">
        <v>2.2733132530120488E-5</v>
      </c>
      <c r="BK113" s="6">
        <v>-1.7477320000000001E-3</v>
      </c>
      <c r="BL113" s="6">
        <v>-1.52926E-3</v>
      </c>
      <c r="BM113" s="6">
        <v>2.6321927710843388E-5</v>
      </c>
      <c r="BN113" s="6">
        <v>-2.584219E-3</v>
      </c>
      <c r="BO113" s="6">
        <v>-2.4850470000000002E-3</v>
      </c>
      <c r="BP113" s="6">
        <v>1.1948433734939734E-5</v>
      </c>
      <c r="BQ113" s="6">
        <v>-2.5824580000000001E-3</v>
      </c>
      <c r="BR113" s="6">
        <v>-2.4929660000000001E-3</v>
      </c>
      <c r="BS113" s="6">
        <v>1.0782168674698799E-5</v>
      </c>
      <c r="BT113" s="6">
        <v>-2.5832860000000002E-3</v>
      </c>
      <c r="BU113" s="6">
        <v>-2.4845959999999999E-3</v>
      </c>
      <c r="BV113" s="6">
        <v>1.1890361445783159E-5</v>
      </c>
      <c r="BW113" s="6">
        <v>-2.5829609999999999E-3</v>
      </c>
      <c r="BX113" s="6">
        <v>-2.4932079999999998E-3</v>
      </c>
      <c r="BY113" s="6">
        <v>1.0813614457831341E-5</v>
      </c>
      <c r="BZ113" s="6">
        <v>-2.436503E-3</v>
      </c>
      <c r="CA113" s="6">
        <v>-2.2883489999999999E-3</v>
      </c>
      <c r="CB113" s="6">
        <v>1.7849879518072309E-5</v>
      </c>
      <c r="CC113" s="6">
        <v>-2.438263E-3</v>
      </c>
      <c r="CD113" s="6">
        <v>-2.28043E-3</v>
      </c>
      <c r="CE113" s="6">
        <v>1.9016024096385544E-5</v>
      </c>
      <c r="CF113" s="6">
        <v>-2.4374359999999999E-3</v>
      </c>
      <c r="CG113" s="6">
        <v>-2.2888000000000001E-3</v>
      </c>
      <c r="CH113" s="6">
        <v>1.7907951807228882E-5</v>
      </c>
      <c r="CI113" s="6">
        <v>-2.4377610000000001E-3</v>
      </c>
      <c r="CJ113" s="6">
        <v>-2.2801879999999998E-3</v>
      </c>
      <c r="CK113" s="6">
        <v>1.8984698795180754E-5</v>
      </c>
      <c r="CL113" s="6">
        <v>-1.7832519999999999E-3</v>
      </c>
      <c r="CM113" s="6">
        <v>-1.7121149999999999E-3</v>
      </c>
      <c r="CN113" s="6">
        <v>8.5707228915662611E-6</v>
      </c>
      <c r="CO113" s="6">
        <v>-1.781492E-3</v>
      </c>
      <c r="CP113" s="6">
        <v>-1.7200340000000001E-3</v>
      </c>
      <c r="CQ113" s="6">
        <v>7.4045783132530009E-6</v>
      </c>
      <c r="CR113" s="6">
        <v>-1.7823190000000001E-3</v>
      </c>
      <c r="CS113" s="6">
        <v>-1.7116639999999999E-3</v>
      </c>
      <c r="CT113" s="6">
        <v>8.5126506024096616E-6</v>
      </c>
      <c r="CU113" s="6">
        <v>-1.7819940000000001E-3</v>
      </c>
      <c r="CV113" s="6">
        <v>-1.720276E-3</v>
      </c>
      <c r="CW113" s="6">
        <v>7.4359036144578433E-6</v>
      </c>
      <c r="CX113" s="6">
        <v>-1.6355359999999999E-3</v>
      </c>
      <c r="CY113" s="6">
        <v>-1.515417E-3</v>
      </c>
      <c r="CZ113" s="6">
        <v>1.4472168674698782E-5</v>
      </c>
      <c r="DA113" s="6">
        <v>-1.637297E-3</v>
      </c>
      <c r="DB113" s="6">
        <v>-1.5074979999999999E-3</v>
      </c>
      <c r="DC113" s="6">
        <v>1.5638433734939771E-5</v>
      </c>
      <c r="DD113" s="6">
        <v>-1.636469E-3</v>
      </c>
      <c r="DE113" s="6">
        <v>-1.5158680000000001E-3</v>
      </c>
      <c r="DF113" s="6">
        <v>1.4530240963855409E-5</v>
      </c>
      <c r="DG113" s="6">
        <v>-1.636794E-3</v>
      </c>
      <c r="DH113" s="6">
        <v>-1.507256E-3</v>
      </c>
      <c r="DI113" s="6">
        <v>1.5606987951807229E-5</v>
      </c>
    </row>
    <row r="114" spans="1:113" x14ac:dyDescent="0.3">
      <c r="A114" s="13" t="s">
        <v>460</v>
      </c>
      <c r="B114" s="13" t="s">
        <v>294</v>
      </c>
      <c r="C114" s="13" t="s">
        <v>328</v>
      </c>
      <c r="D114" s="13" t="s">
        <v>350</v>
      </c>
      <c r="E114" s="13">
        <v>5.75</v>
      </c>
      <c r="F114" s="6">
        <v>-1.427296E-3</v>
      </c>
      <c r="G114" s="6">
        <v>-1.387887E-3</v>
      </c>
      <c r="H114" s="6">
        <v>6.853739130434785E-6</v>
      </c>
      <c r="I114" s="6">
        <v>-1.8152400000000001E-3</v>
      </c>
      <c r="J114" s="6">
        <v>-1.748358E-3</v>
      </c>
      <c r="K114" s="6">
        <v>1.163165217391306E-5</v>
      </c>
      <c r="L114" s="6">
        <v>-1.815784E-3</v>
      </c>
      <c r="M114" s="6">
        <v>-1.7717640000000001E-3</v>
      </c>
      <c r="N114" s="6">
        <v>7.6556521739130205E-6</v>
      </c>
      <c r="O114" s="6">
        <v>-2.1852239999999999E-3</v>
      </c>
      <c r="P114" s="6">
        <v>-2.1139489999999999E-3</v>
      </c>
      <c r="Q114" s="6">
        <v>1.2395652173913041E-5</v>
      </c>
      <c r="R114" s="6">
        <v>-2.4440030000000001E-3</v>
      </c>
      <c r="S114" s="6">
        <v>-2.3873309999999999E-3</v>
      </c>
      <c r="T114" s="6">
        <v>9.8560000000000408E-6</v>
      </c>
      <c r="U114" s="6">
        <v>-2.4691969999999998E-3</v>
      </c>
      <c r="V114" s="6">
        <v>-2.4158510000000001E-3</v>
      </c>
      <c r="W114" s="6">
        <v>9.2775652173912499E-6</v>
      </c>
      <c r="X114" s="6">
        <v>-2.4424989999999999E-3</v>
      </c>
      <c r="Y114" s="6">
        <v>-2.3863489999999998E-3</v>
      </c>
      <c r="Z114" s="6">
        <v>9.7652173913043535E-6</v>
      </c>
      <c r="AA114" s="6">
        <v>-2.4712039999999998E-3</v>
      </c>
      <c r="AB114" s="6">
        <v>-2.4185299999999999E-3</v>
      </c>
      <c r="AC114" s="6">
        <v>9.1606956521739036E-6</v>
      </c>
      <c r="AD114" s="6">
        <v>-1.7883409999999999E-3</v>
      </c>
      <c r="AE114" s="6">
        <v>-1.7014059999999999E-3</v>
      </c>
      <c r="AF114" s="6">
        <v>1.5119130434782609E-5</v>
      </c>
      <c r="AG114" s="6">
        <v>-1.7619459999999999E-3</v>
      </c>
      <c r="AH114" s="6">
        <v>-1.670731E-3</v>
      </c>
      <c r="AI114" s="6">
        <v>1.5863478260869557E-5</v>
      </c>
      <c r="AJ114" s="6">
        <v>-1.7898440000000001E-3</v>
      </c>
      <c r="AK114" s="6">
        <v>-1.702388E-3</v>
      </c>
      <c r="AL114" s="6">
        <v>1.5209739130434796E-5</v>
      </c>
      <c r="AM114" s="6">
        <v>-1.7611390000000001E-3</v>
      </c>
      <c r="AN114" s="6">
        <v>-1.6702069999999999E-3</v>
      </c>
      <c r="AO114" s="6">
        <v>1.5814260869565246E-5</v>
      </c>
      <c r="AP114" s="6">
        <v>-2.2121229999999999E-3</v>
      </c>
      <c r="AQ114" s="6">
        <v>-2.1608999999999999E-3</v>
      </c>
      <c r="AR114" s="6">
        <v>8.9083478260869534E-6</v>
      </c>
      <c r="AS114" s="6">
        <v>-2.2385180000000001E-3</v>
      </c>
      <c r="AT114" s="6">
        <v>-2.1915749999999999E-3</v>
      </c>
      <c r="AU114" s="6">
        <v>8.1640000000000425E-6</v>
      </c>
      <c r="AV114" s="6">
        <v>-2.2106199999999999E-3</v>
      </c>
      <c r="AW114" s="6">
        <v>-2.1599179999999998E-3</v>
      </c>
      <c r="AX114" s="6">
        <v>8.8177391304348038E-6</v>
      </c>
      <c r="AY114" s="6">
        <v>-2.2393249999999999E-3</v>
      </c>
      <c r="AZ114" s="6">
        <v>-2.1920989999999999E-3</v>
      </c>
      <c r="BA114" s="6">
        <v>8.2132173913043538E-6</v>
      </c>
      <c r="BB114" s="6">
        <v>-1.5564610000000001E-3</v>
      </c>
      <c r="BC114" s="6">
        <v>-1.4749749999999999E-3</v>
      </c>
      <c r="BD114" s="6">
        <v>1.4171478260869598E-5</v>
      </c>
      <c r="BE114" s="6">
        <v>-1.5300660000000001E-3</v>
      </c>
      <c r="BF114" s="6">
        <v>-1.4442999999999999E-3</v>
      </c>
      <c r="BG114" s="6">
        <v>1.4915826086956546E-5</v>
      </c>
      <c r="BH114" s="6">
        <v>-1.5579649999999999E-3</v>
      </c>
      <c r="BI114" s="6">
        <v>-1.475957E-3</v>
      </c>
      <c r="BJ114" s="6">
        <v>1.4262260869565209E-5</v>
      </c>
      <c r="BK114" s="6">
        <v>-1.52926E-3</v>
      </c>
      <c r="BL114" s="6">
        <v>-1.4437759999999999E-3</v>
      </c>
      <c r="BM114" s="6">
        <v>1.4866782608695659E-5</v>
      </c>
      <c r="BN114" s="6">
        <v>-2.4850470000000002E-3</v>
      </c>
      <c r="BO114" s="6">
        <v>-2.4114269999999998E-3</v>
      </c>
      <c r="BP114" s="6">
        <v>1.2803478260869629E-5</v>
      </c>
      <c r="BQ114" s="6">
        <v>-2.4929660000000001E-3</v>
      </c>
      <c r="BR114" s="6">
        <v>-2.42063E-3</v>
      </c>
      <c r="BS114" s="6">
        <v>1.2580173913043495E-5</v>
      </c>
      <c r="BT114" s="6">
        <v>-2.4845959999999999E-3</v>
      </c>
      <c r="BU114" s="6">
        <v>-2.4111319999999999E-3</v>
      </c>
      <c r="BV114" s="6">
        <v>1.2776347826086971E-5</v>
      </c>
      <c r="BW114" s="6">
        <v>-2.4932079999999998E-3</v>
      </c>
      <c r="BX114" s="6">
        <v>-2.4207870000000002E-3</v>
      </c>
      <c r="BY114" s="6">
        <v>1.259495652173906E-5</v>
      </c>
      <c r="BZ114" s="6">
        <v>-2.2883489999999999E-3</v>
      </c>
      <c r="CA114" s="6">
        <v>-2.2056490000000001E-3</v>
      </c>
      <c r="CB114" s="6">
        <v>1.4382608695652137E-5</v>
      </c>
      <c r="CC114" s="6">
        <v>-2.28043E-3</v>
      </c>
      <c r="CD114" s="6">
        <v>-2.1964469999999998E-3</v>
      </c>
      <c r="CE114" s="6">
        <v>1.4605739130434808E-5</v>
      </c>
      <c r="CF114" s="6">
        <v>-2.2888000000000001E-3</v>
      </c>
      <c r="CG114" s="6">
        <v>-2.205944E-3</v>
      </c>
      <c r="CH114" s="6">
        <v>1.4409739130434795E-5</v>
      </c>
      <c r="CI114" s="6">
        <v>-2.2801879999999998E-3</v>
      </c>
      <c r="CJ114" s="6">
        <v>-2.19629E-3</v>
      </c>
      <c r="CK114" s="6">
        <v>1.4590956521739093E-5</v>
      </c>
      <c r="CL114" s="6">
        <v>-1.7121149999999999E-3</v>
      </c>
      <c r="CM114" s="6">
        <v>-1.656657E-3</v>
      </c>
      <c r="CN114" s="6">
        <v>9.6448695652173878E-6</v>
      </c>
      <c r="CO114" s="6">
        <v>-1.7200340000000001E-3</v>
      </c>
      <c r="CP114" s="6">
        <v>-1.6658599999999999E-3</v>
      </c>
      <c r="CQ114" s="6">
        <v>9.4215652173913301E-6</v>
      </c>
      <c r="CR114" s="6">
        <v>-1.7116639999999999E-3</v>
      </c>
      <c r="CS114" s="6">
        <v>-1.656362E-3</v>
      </c>
      <c r="CT114" s="6">
        <v>9.6177391304347673E-6</v>
      </c>
      <c r="CU114" s="6">
        <v>-1.720276E-3</v>
      </c>
      <c r="CV114" s="6">
        <v>-1.6660170000000001E-3</v>
      </c>
      <c r="CW114" s="6">
        <v>9.4363478260869321E-6</v>
      </c>
      <c r="CX114" s="6">
        <v>-1.515417E-3</v>
      </c>
      <c r="CY114" s="6">
        <v>-1.450879E-3</v>
      </c>
      <c r="CZ114" s="6">
        <v>1.122400000000001E-5</v>
      </c>
      <c r="DA114" s="6">
        <v>-1.5074979999999999E-3</v>
      </c>
      <c r="DB114" s="6">
        <v>-1.4416769999999999E-3</v>
      </c>
      <c r="DC114" s="6">
        <v>1.1447130434782604E-5</v>
      </c>
      <c r="DD114" s="6">
        <v>-1.5158680000000001E-3</v>
      </c>
      <c r="DE114" s="6">
        <v>-1.451174E-3</v>
      </c>
      <c r="DF114" s="6">
        <v>1.125113043478263E-5</v>
      </c>
      <c r="DG114" s="6">
        <v>-1.507256E-3</v>
      </c>
      <c r="DH114" s="6">
        <v>-1.44152E-3</v>
      </c>
      <c r="DI114" s="6">
        <v>1.1432347826086965E-5</v>
      </c>
    </row>
    <row r="115" spans="1:113" x14ac:dyDescent="0.3">
      <c r="A115" s="13" t="s">
        <v>461</v>
      </c>
      <c r="B115" s="13" t="s">
        <v>326</v>
      </c>
      <c r="C115" s="13" t="s">
        <v>328</v>
      </c>
      <c r="D115" s="13" t="s">
        <v>350</v>
      </c>
      <c r="E115" s="13">
        <v>9.9</v>
      </c>
      <c r="F115" s="6">
        <v>-1.415468E-3</v>
      </c>
      <c r="G115" s="6">
        <v>-1.387887E-3</v>
      </c>
      <c r="H115" s="6">
        <v>2.7859595959596004E-6</v>
      </c>
      <c r="I115" s="6">
        <v>-1.771601E-3</v>
      </c>
      <c r="J115" s="6">
        <v>-1.748358E-3</v>
      </c>
      <c r="K115" s="6">
        <v>2.3477777777777825E-6</v>
      </c>
      <c r="L115" s="6">
        <v>-1.802309E-3</v>
      </c>
      <c r="M115" s="6">
        <v>-1.7717640000000001E-3</v>
      </c>
      <c r="N115" s="6">
        <v>3.085353535353523E-6</v>
      </c>
      <c r="O115" s="6">
        <v>-2.1400159999999998E-3</v>
      </c>
      <c r="P115" s="6">
        <v>-2.1139489999999999E-3</v>
      </c>
      <c r="Q115" s="6">
        <v>2.6330303030302873E-6</v>
      </c>
      <c r="R115" s="6">
        <v>-2.3349249999999998E-3</v>
      </c>
      <c r="S115" s="6">
        <v>-2.3873309999999999E-3</v>
      </c>
      <c r="T115" s="6">
        <v>5.2935353535353604E-6</v>
      </c>
      <c r="U115" s="6">
        <v>-2.3959020000000001E-3</v>
      </c>
      <c r="V115" s="6">
        <v>-2.4158510000000001E-3</v>
      </c>
      <c r="W115" s="6">
        <v>2.0150505050505059E-6</v>
      </c>
      <c r="X115" s="6">
        <v>-2.3336849999999998E-3</v>
      </c>
      <c r="Y115" s="6">
        <v>-2.3863489999999998E-3</v>
      </c>
      <c r="Z115" s="6">
        <v>5.3195959595959606E-6</v>
      </c>
      <c r="AA115" s="6">
        <v>-2.407008E-3</v>
      </c>
      <c r="AB115" s="6">
        <v>-2.4185299999999999E-3</v>
      </c>
      <c r="AC115" s="6">
        <v>1.1638383838383758E-6</v>
      </c>
      <c r="AD115" s="6">
        <v>-1.806895E-3</v>
      </c>
      <c r="AE115" s="6">
        <v>-1.7014059999999999E-3</v>
      </c>
      <c r="AF115" s="6">
        <v>1.0655454545454551E-5</v>
      </c>
      <c r="AG115" s="6">
        <v>-1.735508E-3</v>
      </c>
      <c r="AH115" s="6">
        <v>-1.670731E-3</v>
      </c>
      <c r="AI115" s="6">
        <v>6.5431313131313152E-6</v>
      </c>
      <c r="AJ115" s="6">
        <v>-1.808135E-3</v>
      </c>
      <c r="AK115" s="6">
        <v>-1.702388E-3</v>
      </c>
      <c r="AL115" s="6">
        <v>1.0681515151515152E-5</v>
      </c>
      <c r="AM115" s="6">
        <v>-1.7348120000000001E-3</v>
      </c>
      <c r="AN115" s="6">
        <v>-1.6702069999999999E-3</v>
      </c>
      <c r="AO115" s="6">
        <v>6.525757575757589E-6</v>
      </c>
      <c r="AP115" s="6">
        <v>-2.1047219999999998E-3</v>
      </c>
      <c r="AQ115" s="6">
        <v>-2.1608999999999999E-3</v>
      </c>
      <c r="AR115" s="6">
        <v>5.6745454545454591E-6</v>
      </c>
      <c r="AS115" s="6">
        <v>-2.1761089999999999E-3</v>
      </c>
      <c r="AT115" s="6">
        <v>-2.1915749999999999E-3</v>
      </c>
      <c r="AU115" s="6">
        <v>1.5622222222222227E-6</v>
      </c>
      <c r="AV115" s="6">
        <v>-2.1034819999999998E-3</v>
      </c>
      <c r="AW115" s="6">
        <v>-2.1599179999999998E-3</v>
      </c>
      <c r="AX115" s="6">
        <v>5.7006060606060593E-6</v>
      </c>
      <c r="AY115" s="6">
        <v>-2.176805E-3</v>
      </c>
      <c r="AZ115" s="6">
        <v>-2.1920989999999999E-3</v>
      </c>
      <c r="BA115" s="6">
        <v>1.5448484848484745E-6</v>
      </c>
      <c r="BB115" s="6">
        <v>-1.576692E-3</v>
      </c>
      <c r="BC115" s="6">
        <v>-1.4749749999999999E-3</v>
      </c>
      <c r="BD115" s="6">
        <v>1.0274444444444452E-5</v>
      </c>
      <c r="BE115" s="6">
        <v>-1.5053040000000001E-3</v>
      </c>
      <c r="BF115" s="6">
        <v>-1.4442999999999999E-3</v>
      </c>
      <c r="BG115" s="6">
        <v>6.162020202020216E-6</v>
      </c>
      <c r="BH115" s="6">
        <v>-1.577932E-3</v>
      </c>
      <c r="BI115" s="6">
        <v>-1.475957E-3</v>
      </c>
      <c r="BJ115" s="6">
        <v>1.0300505050505052E-5</v>
      </c>
      <c r="BK115" s="6">
        <v>-1.5046090000000001E-3</v>
      </c>
      <c r="BL115" s="6">
        <v>-1.4437759999999999E-3</v>
      </c>
      <c r="BM115" s="6">
        <v>6.1447474747474903E-6</v>
      </c>
      <c r="BN115" s="6">
        <v>-2.4186849999999998E-3</v>
      </c>
      <c r="BO115" s="6">
        <v>-2.4114269999999998E-3</v>
      </c>
      <c r="BP115" s="6">
        <v>7.3313131313131351E-7</v>
      </c>
      <c r="BQ115" s="6">
        <v>-2.4401010000000001E-3</v>
      </c>
      <c r="BR115" s="6">
        <v>-2.42063E-3</v>
      </c>
      <c r="BS115" s="6">
        <v>1.9667676767676838E-6</v>
      </c>
      <c r="BT115" s="6">
        <v>-2.4183130000000001E-3</v>
      </c>
      <c r="BU115" s="6">
        <v>-2.4111319999999999E-3</v>
      </c>
      <c r="BV115" s="6">
        <v>7.2535353535355566E-7</v>
      </c>
      <c r="BW115" s="6">
        <v>-2.4403099999999998E-3</v>
      </c>
      <c r="BX115" s="6">
        <v>-2.4207870000000002E-3</v>
      </c>
      <c r="BY115" s="6">
        <v>1.9720202020201604E-6</v>
      </c>
      <c r="BZ115" s="6">
        <v>-2.2602759999999999E-3</v>
      </c>
      <c r="CA115" s="6">
        <v>-2.2056490000000001E-3</v>
      </c>
      <c r="CB115" s="6">
        <v>5.5178787878787674E-6</v>
      </c>
      <c r="CC115" s="6">
        <v>-2.2388600000000001E-3</v>
      </c>
      <c r="CD115" s="6">
        <v>-2.1964469999999998E-3</v>
      </c>
      <c r="CE115" s="6">
        <v>4.28414141414144E-6</v>
      </c>
      <c r="CF115" s="6">
        <v>-2.2606480000000001E-3</v>
      </c>
      <c r="CG115" s="6">
        <v>-2.205944E-3</v>
      </c>
      <c r="CH115" s="6">
        <v>5.5256565656565693E-6</v>
      </c>
      <c r="CI115" s="6">
        <v>-2.2386509999999999E-3</v>
      </c>
      <c r="CJ115" s="6">
        <v>-2.19629E-3</v>
      </c>
      <c r="CK115" s="6">
        <v>4.2788888888888757E-6</v>
      </c>
      <c r="CL115" s="6">
        <v>-1.651341E-3</v>
      </c>
      <c r="CM115" s="6">
        <v>-1.656657E-3</v>
      </c>
      <c r="CN115" s="6">
        <v>5.3696969696969706E-7</v>
      </c>
      <c r="CO115" s="6">
        <v>-1.672757E-3</v>
      </c>
      <c r="CP115" s="6">
        <v>-1.6658599999999999E-3</v>
      </c>
      <c r="CQ115" s="6">
        <v>6.966666666666733E-7</v>
      </c>
      <c r="CR115" s="6">
        <v>-1.650969E-3</v>
      </c>
      <c r="CS115" s="6">
        <v>-1.656362E-3</v>
      </c>
      <c r="CT115" s="6">
        <v>5.4474747474747682E-7</v>
      </c>
      <c r="CU115" s="6">
        <v>-1.6729659999999999E-3</v>
      </c>
      <c r="CV115" s="6">
        <v>-1.6660170000000001E-3</v>
      </c>
      <c r="CW115" s="6">
        <v>7.0191919191917173E-7</v>
      </c>
      <c r="CX115" s="6">
        <v>-1.492932E-3</v>
      </c>
      <c r="CY115" s="6">
        <v>-1.450879E-3</v>
      </c>
      <c r="CZ115" s="6">
        <v>4.2477777777777791E-6</v>
      </c>
      <c r="DA115" s="6">
        <v>-1.471516E-3</v>
      </c>
      <c r="DB115" s="6">
        <v>-1.4416769999999999E-3</v>
      </c>
      <c r="DC115" s="6">
        <v>3.0140404040404076E-6</v>
      </c>
      <c r="DD115" s="6">
        <v>-1.493304E-3</v>
      </c>
      <c r="DE115" s="6">
        <v>-1.451174E-3</v>
      </c>
      <c r="DF115" s="6">
        <v>4.255555555555559E-6</v>
      </c>
      <c r="DG115" s="6">
        <v>-1.471307E-3</v>
      </c>
      <c r="DH115" s="6">
        <v>-1.44152E-3</v>
      </c>
      <c r="DI115" s="6">
        <v>3.0087878787878874E-6</v>
      </c>
    </row>
    <row r="116" spans="1:113" x14ac:dyDescent="0.3">
      <c r="A116" s="13" t="s">
        <v>462</v>
      </c>
      <c r="B116" s="13" t="s">
        <v>97</v>
      </c>
      <c r="C116" s="13" t="s">
        <v>98</v>
      </c>
      <c r="D116" s="13" t="s">
        <v>364</v>
      </c>
      <c r="E116" s="13">
        <v>9.9</v>
      </c>
      <c r="F116" s="6">
        <v>-2.4298470000000002E-3</v>
      </c>
      <c r="G116" s="6">
        <v>-2.3073249999999998E-3</v>
      </c>
      <c r="H116" s="6">
        <v>1.237595959595963E-5</v>
      </c>
      <c r="I116" s="6">
        <v>-3.4692389999999998E-3</v>
      </c>
      <c r="J116" s="6">
        <v>-2.8493720000000002E-3</v>
      </c>
      <c r="K116" s="6">
        <v>6.2612828282828246E-5</v>
      </c>
      <c r="L116" s="6">
        <v>-3.0529279999999999E-3</v>
      </c>
      <c r="M116" s="6">
        <v>-2.6936659999999999E-3</v>
      </c>
      <c r="N116" s="6">
        <v>3.6289090909090901E-5</v>
      </c>
      <c r="O116" s="6">
        <v>-4.0626539999999997E-3</v>
      </c>
      <c r="P116" s="6">
        <v>-3.217283E-3</v>
      </c>
      <c r="Q116" s="6">
        <v>8.5391010101010072E-5</v>
      </c>
      <c r="R116" s="6">
        <v>-4.5538200000000001E-3</v>
      </c>
      <c r="S116" s="6">
        <v>-3.6806080000000001E-3</v>
      </c>
      <c r="T116" s="6">
        <v>8.8203232323232316E-5</v>
      </c>
      <c r="U116" s="6">
        <v>-4.0042360000000004E-3</v>
      </c>
      <c r="V116" s="6">
        <v>-2.6862879999999998E-3</v>
      </c>
      <c r="W116" s="6">
        <v>1.3312606060606066E-4</v>
      </c>
      <c r="X116" s="6">
        <v>-4.4426450000000003E-3</v>
      </c>
      <c r="Y116" s="6">
        <v>-3.6696419999999999E-3</v>
      </c>
      <c r="Z116" s="6">
        <v>7.8081111111111143E-5</v>
      </c>
      <c r="AA116" s="6">
        <v>-4.0750029999999998E-3</v>
      </c>
      <c r="AB116" s="6">
        <v>-2.5503520000000001E-3</v>
      </c>
      <c r="AC116" s="6">
        <v>1.5400515151515147E-4</v>
      </c>
      <c r="AD116" s="6">
        <v>-3.3668539999999999E-3</v>
      </c>
      <c r="AE116" s="6">
        <v>-2.7231960000000002E-3</v>
      </c>
      <c r="AF116" s="6">
        <v>6.5015959595959551E-5</v>
      </c>
      <c r="AG116" s="6">
        <v>-3.906634E-3</v>
      </c>
      <c r="AH116" s="6">
        <v>-3.8599099999999998E-3</v>
      </c>
      <c r="AI116" s="6">
        <v>4.7195959595959757E-6</v>
      </c>
      <c r="AJ116" s="6">
        <v>-3.47803E-3</v>
      </c>
      <c r="AK116" s="6">
        <v>-2.7341610000000001E-3</v>
      </c>
      <c r="AL116" s="6">
        <v>7.5138282828282819E-5</v>
      </c>
      <c r="AM116" s="6">
        <v>-3.8456710000000002E-3</v>
      </c>
      <c r="AN116" s="6">
        <v>-3.8534509999999999E-3</v>
      </c>
      <c r="AO116" s="6">
        <v>7.858585858585622E-7</v>
      </c>
      <c r="AP116" s="6">
        <v>-4.1650380000000002E-3</v>
      </c>
      <c r="AQ116" s="6">
        <v>-3.3434609999999998E-3</v>
      </c>
      <c r="AR116" s="6">
        <v>8.2987575757575795E-5</v>
      </c>
      <c r="AS116" s="6">
        <v>-3.6252580000000001E-3</v>
      </c>
      <c r="AT116" s="6">
        <v>-2.2067469999999998E-3</v>
      </c>
      <c r="AU116" s="6">
        <v>1.4328393939393942E-4</v>
      </c>
      <c r="AV116" s="6">
        <v>-4.0538620000000001E-3</v>
      </c>
      <c r="AW116" s="6">
        <v>-3.332495E-3</v>
      </c>
      <c r="AX116" s="6">
        <v>7.2865353535353541E-5</v>
      </c>
      <c r="AY116" s="6">
        <v>-3.6862209999999999E-3</v>
      </c>
      <c r="AZ116" s="6">
        <v>-2.2132050000000002E-3</v>
      </c>
      <c r="BA116" s="6">
        <v>1.4878949494949491E-4</v>
      </c>
      <c r="BB116" s="6">
        <v>-2.978072E-3</v>
      </c>
      <c r="BC116" s="6">
        <v>-2.3860489999999999E-3</v>
      </c>
      <c r="BD116" s="6">
        <v>5.9800303030303043E-5</v>
      </c>
      <c r="BE116" s="6">
        <v>-3.5178520000000001E-3</v>
      </c>
      <c r="BF116" s="6">
        <v>-3.5227629999999999E-3</v>
      </c>
      <c r="BG116" s="6">
        <v>4.9606060606058629E-7</v>
      </c>
      <c r="BH116" s="6">
        <v>-3.0892480000000002E-3</v>
      </c>
      <c r="BI116" s="6">
        <v>-2.3970139999999998E-3</v>
      </c>
      <c r="BJ116" s="6">
        <v>6.9922626262626297E-5</v>
      </c>
      <c r="BK116" s="6">
        <v>-3.4568889999999999E-3</v>
      </c>
      <c r="BL116" s="6">
        <v>-3.516305E-3</v>
      </c>
      <c r="BM116" s="6">
        <v>6.0016161616161681E-6</v>
      </c>
      <c r="BN116" s="6">
        <v>-4.5919619999999998E-3</v>
      </c>
      <c r="BO116" s="6">
        <v>-3.738852E-3</v>
      </c>
      <c r="BP116" s="6">
        <v>8.6172727272727245E-5</v>
      </c>
      <c r="BQ116" s="6">
        <v>-4.4300279999999999E-3</v>
      </c>
      <c r="BR116" s="6">
        <v>-3.3978379999999998E-3</v>
      </c>
      <c r="BS116" s="6">
        <v>1.0426161616161616E-4</v>
      </c>
      <c r="BT116" s="6">
        <v>-4.5586089999999999E-3</v>
      </c>
      <c r="BU116" s="6">
        <v>-3.735562E-3</v>
      </c>
      <c r="BV116" s="6">
        <v>8.3136060606060601E-5</v>
      </c>
      <c r="BW116" s="6">
        <v>-4.4483170000000002E-3</v>
      </c>
      <c r="BX116" s="6">
        <v>-3.3997749999999998E-3</v>
      </c>
      <c r="BY116" s="6">
        <v>1.0591333333333338E-4</v>
      </c>
      <c r="BZ116" s="6">
        <v>-4.2358719999999999E-3</v>
      </c>
      <c r="CA116" s="6">
        <v>-3.451628E-3</v>
      </c>
      <c r="CB116" s="6">
        <v>7.921656565656565E-5</v>
      </c>
      <c r="CC116" s="6">
        <v>-4.3978059999999998E-3</v>
      </c>
      <c r="CD116" s="6">
        <v>-3.7926420000000001E-3</v>
      </c>
      <c r="CE116" s="6">
        <v>6.112767676767673E-5</v>
      </c>
      <c r="CF116" s="6">
        <v>-4.2692249999999998E-3</v>
      </c>
      <c r="CG116" s="6">
        <v>-3.454918E-3</v>
      </c>
      <c r="CH116" s="6">
        <v>8.2253232323232294E-5</v>
      </c>
      <c r="CI116" s="6">
        <v>-4.3795170000000003E-3</v>
      </c>
      <c r="CJ116" s="6">
        <v>-3.7907050000000001E-3</v>
      </c>
      <c r="CK116" s="6">
        <v>5.9475959595959614E-5</v>
      </c>
      <c r="CL116" s="6">
        <v>-3.2960200000000002E-3</v>
      </c>
      <c r="CM116" s="6">
        <v>-2.6150290000000001E-3</v>
      </c>
      <c r="CN116" s="6">
        <v>6.8786969696969709E-5</v>
      </c>
      <c r="CO116" s="6">
        <v>-3.1340859999999999E-3</v>
      </c>
      <c r="CP116" s="6">
        <v>-2.274014E-3</v>
      </c>
      <c r="CQ116" s="6">
        <v>8.6875959595959589E-5</v>
      </c>
      <c r="CR116" s="6">
        <v>-3.2626669999999999E-3</v>
      </c>
      <c r="CS116" s="6">
        <v>-2.6117390000000001E-3</v>
      </c>
      <c r="CT116" s="6">
        <v>6.5750303030303011E-5</v>
      </c>
      <c r="CU116" s="6">
        <v>-3.1523749999999998E-3</v>
      </c>
      <c r="CV116" s="6">
        <v>-2.2759519999999999E-3</v>
      </c>
      <c r="CW116" s="6">
        <v>8.8527575757575745E-5</v>
      </c>
      <c r="CX116" s="6">
        <v>-2.9399299999999999E-3</v>
      </c>
      <c r="CY116" s="6">
        <v>-2.3278050000000001E-3</v>
      </c>
      <c r="CZ116" s="6">
        <v>6.1830808080808061E-5</v>
      </c>
      <c r="DA116" s="6">
        <v>-3.1018640000000002E-3</v>
      </c>
      <c r="DB116" s="6">
        <v>-2.6688189999999998E-3</v>
      </c>
      <c r="DC116" s="6">
        <v>4.3741919191919228E-5</v>
      </c>
      <c r="DD116" s="6">
        <v>-2.9732830000000002E-3</v>
      </c>
      <c r="DE116" s="6">
        <v>-2.331095E-3</v>
      </c>
      <c r="DF116" s="6">
        <v>6.4867474747474759E-5</v>
      </c>
      <c r="DG116" s="6">
        <v>-3.0835749999999999E-3</v>
      </c>
      <c r="DH116" s="6">
        <v>-2.6668820000000002E-3</v>
      </c>
      <c r="DI116" s="6">
        <v>4.2090202020201984E-5</v>
      </c>
    </row>
    <row r="117" spans="1:113" x14ac:dyDescent="0.3">
      <c r="A117" s="13" t="s">
        <v>463</v>
      </c>
      <c r="B117" s="13" t="s">
        <v>133</v>
      </c>
      <c r="C117" s="13" t="s">
        <v>134</v>
      </c>
      <c r="D117" s="13" t="s">
        <v>364</v>
      </c>
      <c r="E117" s="13">
        <v>9.9</v>
      </c>
      <c r="F117" s="6">
        <v>-2.9870460000000001E-3</v>
      </c>
      <c r="G117" s="6">
        <v>-1.9674330000000002E-3</v>
      </c>
      <c r="H117" s="6">
        <v>1.0299121212121211E-4</v>
      </c>
      <c r="I117" s="6">
        <v>-4.1254910000000002E-3</v>
      </c>
      <c r="J117" s="6">
        <v>-2.466902E-3</v>
      </c>
      <c r="K117" s="6">
        <v>1.6753424242424244E-4</v>
      </c>
      <c r="L117" s="6">
        <v>-3.5983569999999999E-3</v>
      </c>
      <c r="M117" s="6">
        <v>-2.3595719999999999E-3</v>
      </c>
      <c r="N117" s="6">
        <v>1.2512979797979799E-4</v>
      </c>
      <c r="O117" s="6">
        <v>-4.7076949999999996E-3</v>
      </c>
      <c r="P117" s="6">
        <v>-2.8403529999999999E-3</v>
      </c>
      <c r="Q117" s="6">
        <v>1.8862040404040399E-4</v>
      </c>
      <c r="R117" s="6">
        <v>-5.2529250000000003E-3</v>
      </c>
      <c r="S117" s="6">
        <v>-3.10867E-3</v>
      </c>
      <c r="T117" s="6">
        <v>2.1659141414141417E-4</v>
      </c>
      <c r="U117" s="6">
        <v>-4.6782760000000003E-3</v>
      </c>
      <c r="V117" s="6">
        <v>-2.5127940000000001E-3</v>
      </c>
      <c r="W117" s="6">
        <v>2.1873555555555556E-4</v>
      </c>
      <c r="X117" s="6">
        <v>-5.1953119999999997E-3</v>
      </c>
      <c r="Y117" s="6">
        <v>-3.1026040000000001E-3</v>
      </c>
      <c r="Z117" s="6">
        <v>2.1138464646464642E-4</v>
      </c>
      <c r="AA117" s="6">
        <v>-4.7145670000000002E-3</v>
      </c>
      <c r="AB117" s="6">
        <v>-2.4217840000000002E-3</v>
      </c>
      <c r="AC117" s="6">
        <v>2.3159424242424242E-4</v>
      </c>
      <c r="AD117" s="6">
        <v>-4.0340710000000002E-3</v>
      </c>
      <c r="AE117" s="6">
        <v>-2.49585E-3</v>
      </c>
      <c r="AF117" s="6">
        <v>1.553758585858586E-4</v>
      </c>
      <c r="AG117" s="6">
        <v>-4.6042610000000001E-3</v>
      </c>
      <c r="AH117" s="6">
        <v>-3.1862879999999998E-3</v>
      </c>
      <c r="AI117" s="6">
        <v>1.43229595959596E-4</v>
      </c>
      <c r="AJ117" s="6">
        <v>-4.0916839999999999E-3</v>
      </c>
      <c r="AK117" s="6">
        <v>-2.5019159999999999E-3</v>
      </c>
      <c r="AL117" s="6">
        <v>1.6058262626262627E-4</v>
      </c>
      <c r="AM117" s="6">
        <v>-4.5724290000000003E-3</v>
      </c>
      <c r="AN117" s="6">
        <v>-3.1827359999999998E-3</v>
      </c>
      <c r="AO117" s="6">
        <v>1.4037303030303035E-4</v>
      </c>
      <c r="AP117" s="6">
        <v>-4.7991149999999996E-3</v>
      </c>
      <c r="AQ117" s="6">
        <v>-2.8114049999999999E-3</v>
      </c>
      <c r="AR117" s="6">
        <v>2.0077878787878785E-4</v>
      </c>
      <c r="AS117" s="6">
        <v>-4.2289240000000002E-3</v>
      </c>
      <c r="AT117" s="6">
        <v>-2.1209670000000001E-3</v>
      </c>
      <c r="AU117" s="6">
        <v>2.1292494949494951E-4</v>
      </c>
      <c r="AV117" s="6">
        <v>-4.7415019999999999E-3</v>
      </c>
      <c r="AW117" s="6">
        <v>-2.805339E-3</v>
      </c>
      <c r="AX117" s="6">
        <v>1.9557202020202018E-4</v>
      </c>
      <c r="AY117" s="6">
        <v>-4.2607570000000004E-3</v>
      </c>
      <c r="AZ117" s="6">
        <v>-2.1245190000000001E-3</v>
      </c>
      <c r="BA117" s="6">
        <v>2.1578161616161618E-4</v>
      </c>
      <c r="BB117" s="6">
        <v>-3.5802609999999999E-3</v>
      </c>
      <c r="BC117" s="6">
        <v>-2.1985849999999999E-3</v>
      </c>
      <c r="BD117" s="6">
        <v>1.3956323232323234E-4</v>
      </c>
      <c r="BE117" s="6">
        <v>-4.1504510000000003E-3</v>
      </c>
      <c r="BF117" s="6">
        <v>-2.8890230000000001E-3</v>
      </c>
      <c r="BG117" s="6">
        <v>1.2741696969696971E-4</v>
      </c>
      <c r="BH117" s="6">
        <v>-3.6378729999999998E-3</v>
      </c>
      <c r="BI117" s="6">
        <v>-2.2046510000000002E-3</v>
      </c>
      <c r="BJ117" s="6">
        <v>1.4476989898989896E-4</v>
      </c>
      <c r="BK117" s="6">
        <v>-4.1186189999999996E-3</v>
      </c>
      <c r="BL117" s="6">
        <v>-2.8854699999999998E-3</v>
      </c>
      <c r="BM117" s="6">
        <v>1.2456050505050501E-4</v>
      </c>
      <c r="BN117" s="6">
        <v>-5.3557709999999996E-3</v>
      </c>
      <c r="BO117" s="6">
        <v>-3.2409930000000002E-3</v>
      </c>
      <c r="BP117" s="6">
        <v>2.1361393939393932E-4</v>
      </c>
      <c r="BQ117" s="6">
        <v>-5.184714E-3</v>
      </c>
      <c r="BR117" s="6">
        <v>-3.0338610000000001E-3</v>
      </c>
      <c r="BS117" s="6">
        <v>2.1725787878787878E-4</v>
      </c>
      <c r="BT117" s="6">
        <v>-5.3384870000000003E-3</v>
      </c>
      <c r="BU117" s="6">
        <v>-3.2391730000000001E-3</v>
      </c>
      <c r="BV117" s="6">
        <v>2.1205191919191919E-4</v>
      </c>
      <c r="BW117" s="6">
        <v>-5.1942639999999997E-3</v>
      </c>
      <c r="BX117" s="6">
        <v>-3.0349270000000002E-3</v>
      </c>
      <c r="BY117" s="6">
        <v>2.1811484848484843E-4</v>
      </c>
      <c r="BZ117" s="6">
        <v>-4.9901149999999998E-3</v>
      </c>
      <c r="CA117" s="6">
        <v>-3.0571460000000002E-3</v>
      </c>
      <c r="CB117" s="6">
        <v>1.952493939393939E-4</v>
      </c>
      <c r="CC117" s="6">
        <v>-5.1611720000000003E-3</v>
      </c>
      <c r="CD117" s="6">
        <v>-3.2642779999999998E-3</v>
      </c>
      <c r="CE117" s="6">
        <v>1.916054545454546E-4</v>
      </c>
      <c r="CF117" s="6">
        <v>-5.0073990000000001E-3</v>
      </c>
      <c r="CG117" s="6">
        <v>-3.0589660000000002E-3</v>
      </c>
      <c r="CH117" s="6">
        <v>1.9681141414141411E-4</v>
      </c>
      <c r="CI117" s="6">
        <v>-5.1516219999999998E-3</v>
      </c>
      <c r="CJ117" s="6">
        <v>-3.2632120000000001E-3</v>
      </c>
      <c r="CK117" s="6">
        <v>1.9074848484848482E-4</v>
      </c>
      <c r="CL117" s="6">
        <v>-3.8430700000000001E-3</v>
      </c>
      <c r="CM117" s="6">
        <v>-2.2501090000000001E-3</v>
      </c>
      <c r="CN117" s="6">
        <v>1.609051515151515E-4</v>
      </c>
      <c r="CO117" s="6">
        <v>-3.6720139999999999E-3</v>
      </c>
      <c r="CP117" s="6">
        <v>-2.0429770000000001E-3</v>
      </c>
      <c r="CQ117" s="6">
        <v>1.6454919191919191E-4</v>
      </c>
      <c r="CR117" s="6">
        <v>-3.8257870000000002E-3</v>
      </c>
      <c r="CS117" s="6">
        <v>-2.2482890000000001E-3</v>
      </c>
      <c r="CT117" s="6">
        <v>1.5934323232323232E-4</v>
      </c>
      <c r="CU117" s="6">
        <v>-3.6815630000000001E-3</v>
      </c>
      <c r="CV117" s="6">
        <v>-2.0440430000000002E-3</v>
      </c>
      <c r="CW117" s="6">
        <v>1.6540606060606058E-4</v>
      </c>
      <c r="CX117" s="6">
        <v>-3.4774139999999999E-3</v>
      </c>
      <c r="CY117" s="6">
        <v>-2.066263E-3</v>
      </c>
      <c r="CZ117" s="6">
        <v>1.4254050505050503E-4</v>
      </c>
      <c r="DA117" s="6">
        <v>-3.6484709999999999E-3</v>
      </c>
      <c r="DB117" s="6">
        <v>-2.2733940000000002E-3</v>
      </c>
      <c r="DC117" s="6">
        <v>1.3889666666666662E-4</v>
      </c>
      <c r="DD117" s="6">
        <v>-3.4946980000000001E-3</v>
      </c>
      <c r="DE117" s="6">
        <v>-2.0680830000000001E-3</v>
      </c>
      <c r="DF117" s="6">
        <v>1.4410252525252524E-4</v>
      </c>
      <c r="DG117" s="6">
        <v>-3.6389220000000002E-3</v>
      </c>
      <c r="DH117" s="6">
        <v>-2.2723280000000001E-3</v>
      </c>
      <c r="DI117" s="6">
        <v>1.3803979797979797E-4</v>
      </c>
    </row>
    <row r="118" spans="1:113" x14ac:dyDescent="0.3">
      <c r="A118" s="13" t="s">
        <v>464</v>
      </c>
      <c r="B118" s="13" t="s">
        <v>172</v>
      </c>
      <c r="C118" s="13" t="s">
        <v>173</v>
      </c>
      <c r="D118" s="13" t="s">
        <v>364</v>
      </c>
      <c r="E118" s="13">
        <v>9.9</v>
      </c>
      <c r="F118" s="6">
        <v>-2.9707309999999999E-3</v>
      </c>
      <c r="G118" s="6">
        <v>-1.6907350000000001E-3</v>
      </c>
      <c r="H118" s="6">
        <v>1.2929252525252524E-4</v>
      </c>
      <c r="I118" s="6">
        <v>-4.1545729999999999E-3</v>
      </c>
      <c r="J118" s="6">
        <v>-2.1698920000000001E-3</v>
      </c>
      <c r="K118" s="6">
        <v>2.0047282828282827E-4</v>
      </c>
      <c r="L118" s="6">
        <v>-3.5818180000000001E-3</v>
      </c>
      <c r="M118" s="6">
        <v>-2.0858230000000001E-3</v>
      </c>
      <c r="N118" s="6">
        <v>1.5111060606060606E-4</v>
      </c>
      <c r="O118" s="6">
        <v>-4.7365619999999997E-3</v>
      </c>
      <c r="P118" s="6">
        <v>-2.5461619999999998E-3</v>
      </c>
      <c r="Q118" s="6">
        <v>2.2125252525252525E-4</v>
      </c>
      <c r="R118" s="6">
        <v>-5.2687819999999996E-3</v>
      </c>
      <c r="S118" s="6">
        <v>-2.680768E-3</v>
      </c>
      <c r="T118" s="6">
        <v>2.6141555555555553E-4</v>
      </c>
      <c r="U118" s="6">
        <v>-4.6761190000000003E-3</v>
      </c>
      <c r="V118" s="6">
        <v>-2.4103520000000002E-3</v>
      </c>
      <c r="W118" s="6">
        <v>2.2886535353535355E-4</v>
      </c>
      <c r="X118" s="6">
        <v>-5.2797340000000003E-3</v>
      </c>
      <c r="Y118" s="6">
        <v>-2.6762930000000002E-3</v>
      </c>
      <c r="Z118" s="6">
        <v>2.6297383838383838E-4</v>
      </c>
      <c r="AA118" s="6">
        <v>-4.6732259999999999E-3</v>
      </c>
      <c r="AB118" s="6">
        <v>-2.362346E-3</v>
      </c>
      <c r="AC118" s="6">
        <v>2.3342222222222221E-4</v>
      </c>
      <c r="AD118" s="6">
        <v>-4.0741700000000002E-3</v>
      </c>
      <c r="AE118" s="6">
        <v>-2.299808E-3</v>
      </c>
      <c r="AF118" s="6">
        <v>1.7922848484848487E-4</v>
      </c>
      <c r="AG118" s="6">
        <v>-4.6649509999999996E-3</v>
      </c>
      <c r="AH118" s="6">
        <v>-2.6207240000000001E-3</v>
      </c>
      <c r="AI118" s="6">
        <v>2.0648757575757572E-4</v>
      </c>
      <c r="AJ118" s="6">
        <v>-4.0632180000000004E-3</v>
      </c>
      <c r="AK118" s="6">
        <v>-2.3042829999999999E-3</v>
      </c>
      <c r="AL118" s="6">
        <v>1.7767020202020208E-4</v>
      </c>
      <c r="AM118" s="6">
        <v>-4.6697270000000003E-3</v>
      </c>
      <c r="AN118" s="6">
        <v>-2.61823E-3</v>
      </c>
      <c r="AO118" s="6">
        <v>2.0722191919191919E-4</v>
      </c>
      <c r="AP118" s="6">
        <v>-4.8169650000000003E-3</v>
      </c>
      <c r="AQ118" s="6">
        <v>-2.4162459999999999E-3</v>
      </c>
      <c r="AR118" s="6">
        <v>2.4249686868686873E-4</v>
      </c>
      <c r="AS118" s="6">
        <v>-4.226184E-3</v>
      </c>
      <c r="AT118" s="6">
        <v>-2.0953299999999998E-3</v>
      </c>
      <c r="AU118" s="6">
        <v>2.152377777777778E-4</v>
      </c>
      <c r="AV118" s="6">
        <v>-4.8279170000000001E-3</v>
      </c>
      <c r="AW118" s="6">
        <v>-2.4117710000000001E-3</v>
      </c>
      <c r="AX118" s="6">
        <v>2.4405515151515152E-4</v>
      </c>
      <c r="AY118" s="6">
        <v>-4.2214089999999998E-3</v>
      </c>
      <c r="AZ118" s="6">
        <v>-2.0978239999999999E-3</v>
      </c>
      <c r="BA118" s="6">
        <v>2.1450353535353532E-4</v>
      </c>
      <c r="BB118" s="6">
        <v>-3.622353E-3</v>
      </c>
      <c r="BC118" s="6">
        <v>-2.0352859999999999E-3</v>
      </c>
      <c r="BD118" s="6">
        <v>1.6030979797979799E-4</v>
      </c>
      <c r="BE118" s="6">
        <v>-4.2131340000000003E-3</v>
      </c>
      <c r="BF118" s="6">
        <v>-2.3562019999999999E-3</v>
      </c>
      <c r="BG118" s="6">
        <v>1.8756888888888892E-4</v>
      </c>
      <c r="BH118" s="6">
        <v>-3.6114010000000002E-3</v>
      </c>
      <c r="BI118" s="6">
        <v>-2.0397610000000002E-3</v>
      </c>
      <c r="BJ118" s="6">
        <v>1.5875151515151514E-4</v>
      </c>
      <c r="BK118" s="6">
        <v>-4.2179100000000001E-3</v>
      </c>
      <c r="BL118" s="6">
        <v>-2.3537079999999999E-3</v>
      </c>
      <c r="BM118" s="6">
        <v>1.8830323232323234E-4</v>
      </c>
      <c r="BN118" s="6">
        <v>-5.377789E-3</v>
      </c>
      <c r="BO118" s="6">
        <v>-2.8560410000000001E-3</v>
      </c>
      <c r="BP118" s="6">
        <v>2.5472202020202016E-4</v>
      </c>
      <c r="BQ118" s="6">
        <v>-5.2005539999999996E-3</v>
      </c>
      <c r="BR118" s="6">
        <v>-2.7597659999999999E-3</v>
      </c>
      <c r="BS118" s="6">
        <v>2.4654424242424237E-4</v>
      </c>
      <c r="BT118" s="6">
        <v>-5.3810739999999996E-3</v>
      </c>
      <c r="BU118" s="6">
        <v>-2.8546980000000001E-3</v>
      </c>
      <c r="BV118" s="6">
        <v>2.5518949494949487E-4</v>
      </c>
      <c r="BW118" s="6">
        <v>-5.1991210000000001E-3</v>
      </c>
      <c r="BX118" s="6">
        <v>-2.7605139999999999E-3</v>
      </c>
      <c r="BY118" s="6">
        <v>2.4632393939393938E-4</v>
      </c>
      <c r="BZ118" s="6">
        <v>-5.0194050000000002E-3</v>
      </c>
      <c r="CA118" s="6">
        <v>-2.7417520000000001E-3</v>
      </c>
      <c r="CB118" s="6">
        <v>2.3006595959595961E-4</v>
      </c>
      <c r="CC118" s="6">
        <v>-5.1966390000000003E-3</v>
      </c>
      <c r="CD118" s="6">
        <v>-2.8380269999999999E-3</v>
      </c>
      <c r="CE118" s="6">
        <v>2.3824363636363639E-4</v>
      </c>
      <c r="CF118" s="6">
        <v>-5.0161190000000003E-3</v>
      </c>
      <c r="CG118" s="6">
        <v>-2.7430950000000001E-3</v>
      </c>
      <c r="CH118" s="6">
        <v>2.2959838383838384E-4</v>
      </c>
      <c r="CI118" s="6">
        <v>-5.1980719999999998E-3</v>
      </c>
      <c r="CJ118" s="6">
        <v>-2.8372789999999998E-3</v>
      </c>
      <c r="CK118" s="6">
        <v>2.3846393939393938E-4</v>
      </c>
      <c r="CL118" s="6">
        <v>-3.8717309999999998E-3</v>
      </c>
      <c r="CM118" s="6">
        <v>-1.9743009999999999E-3</v>
      </c>
      <c r="CN118" s="6">
        <v>1.9165959595959594E-4</v>
      </c>
      <c r="CO118" s="6">
        <v>-3.6944959999999998E-3</v>
      </c>
      <c r="CP118" s="6">
        <v>-1.8780260000000001E-3</v>
      </c>
      <c r="CQ118" s="6">
        <v>1.8348181818181815E-4</v>
      </c>
      <c r="CR118" s="6">
        <v>-3.8750159999999998E-3</v>
      </c>
      <c r="CS118" s="6">
        <v>-1.9729589999999998E-3</v>
      </c>
      <c r="CT118" s="6">
        <v>1.9212696969696968E-4</v>
      </c>
      <c r="CU118" s="6">
        <v>-3.6930639999999998E-3</v>
      </c>
      <c r="CV118" s="6">
        <v>-1.8787750000000001E-3</v>
      </c>
      <c r="CW118" s="6">
        <v>1.8326151515151511E-4</v>
      </c>
      <c r="CX118" s="6">
        <v>-3.513347E-3</v>
      </c>
      <c r="CY118" s="6">
        <v>-1.860013E-3</v>
      </c>
      <c r="CZ118" s="6">
        <v>1.6700343434343433E-4</v>
      </c>
      <c r="DA118" s="6">
        <v>-3.690582E-3</v>
      </c>
      <c r="DB118" s="6">
        <v>-1.956288E-3</v>
      </c>
      <c r="DC118" s="6">
        <v>1.7518121212121212E-4</v>
      </c>
      <c r="DD118" s="6">
        <v>-3.510062E-3</v>
      </c>
      <c r="DE118" s="6">
        <v>-1.861356E-3</v>
      </c>
      <c r="DF118" s="6">
        <v>1.665359595959596E-4</v>
      </c>
      <c r="DG118" s="6">
        <v>-3.692014E-3</v>
      </c>
      <c r="DH118" s="6">
        <v>-1.95554E-3</v>
      </c>
      <c r="DI118" s="6">
        <v>1.7540141414141414E-4</v>
      </c>
    </row>
    <row r="119" spans="1:113" x14ac:dyDescent="0.3">
      <c r="A119" s="13" t="s">
        <v>465</v>
      </c>
      <c r="B119" s="13" t="s">
        <v>213</v>
      </c>
      <c r="C119" s="13" t="s">
        <v>214</v>
      </c>
      <c r="D119" s="13" t="s">
        <v>364</v>
      </c>
      <c r="E119" s="13">
        <v>9.9</v>
      </c>
      <c r="F119" s="6">
        <v>-2.60166E-3</v>
      </c>
      <c r="G119" s="6">
        <v>-1.54882E-3</v>
      </c>
      <c r="H119" s="6">
        <v>1.0634747474747475E-4</v>
      </c>
      <c r="I119" s="6">
        <v>-3.7039410000000001E-3</v>
      </c>
      <c r="J119" s="6">
        <v>-2.0063400000000001E-3</v>
      </c>
      <c r="K119" s="6">
        <v>1.7147484848484848E-4</v>
      </c>
      <c r="L119" s="6">
        <v>-3.2125320000000001E-3</v>
      </c>
      <c r="M119" s="6">
        <v>-1.944065E-3</v>
      </c>
      <c r="N119" s="6">
        <v>1.281279797979798E-4</v>
      </c>
      <c r="O119" s="6">
        <v>-4.2857260000000001E-3</v>
      </c>
      <c r="P119" s="6">
        <v>-2.382763E-3</v>
      </c>
      <c r="Q119" s="6">
        <v>1.9221848484848484E-4</v>
      </c>
      <c r="R119" s="6">
        <v>-4.7471609999999997E-3</v>
      </c>
      <c r="S119" s="6">
        <v>-2.4945029999999999E-3</v>
      </c>
      <c r="T119" s="6">
        <v>2.2754121212121208E-4</v>
      </c>
      <c r="U119" s="6">
        <v>-4.1891250000000001E-3</v>
      </c>
      <c r="V119" s="6">
        <v>-2.4139470000000001E-3</v>
      </c>
      <c r="W119" s="6">
        <v>1.7931090909090909E-4</v>
      </c>
      <c r="X119" s="6">
        <v>-4.8196469999999998E-3</v>
      </c>
      <c r="Y119" s="6">
        <v>-2.4902510000000002E-3</v>
      </c>
      <c r="Z119" s="6">
        <v>2.3529252525252521E-4</v>
      </c>
      <c r="AA119" s="6">
        <v>-4.1521079999999998E-3</v>
      </c>
      <c r="AB119" s="6">
        <v>-2.3946900000000001E-3</v>
      </c>
      <c r="AC119" s="6">
        <v>1.7751696969696965E-4</v>
      </c>
      <c r="AD119" s="6">
        <v>-3.6500009999999999E-3</v>
      </c>
      <c r="AE119" s="6">
        <v>-2.1421159999999999E-3</v>
      </c>
      <c r="AF119" s="6">
        <v>1.5231161616161617E-4</v>
      </c>
      <c r="AG119" s="6">
        <v>-4.2065610000000002E-3</v>
      </c>
      <c r="AH119" s="6">
        <v>-2.2442199999999999E-3</v>
      </c>
      <c r="AI119" s="6">
        <v>1.9821626262626264E-4</v>
      </c>
      <c r="AJ119" s="6">
        <v>-3.5775149999999999E-3</v>
      </c>
      <c r="AK119" s="6">
        <v>-2.146369E-3</v>
      </c>
      <c r="AL119" s="6">
        <v>1.4456020202020201E-4</v>
      </c>
      <c r="AM119" s="6">
        <v>-4.2450539999999998E-3</v>
      </c>
      <c r="AN119" s="6">
        <v>-2.2419300000000001E-3</v>
      </c>
      <c r="AO119" s="6">
        <v>2.0233575757575754E-4</v>
      </c>
      <c r="AP119" s="6">
        <v>-4.3396659999999998E-3</v>
      </c>
      <c r="AQ119" s="6">
        <v>-2.2469870000000002E-3</v>
      </c>
      <c r="AR119" s="6">
        <v>2.1138171717171713E-4</v>
      </c>
      <c r="AS119" s="6">
        <v>-3.7831060000000001E-3</v>
      </c>
      <c r="AT119" s="6">
        <v>-2.1448830000000002E-3</v>
      </c>
      <c r="AU119" s="6">
        <v>1.6547707070707068E-4</v>
      </c>
      <c r="AV119" s="6">
        <v>-4.4121509999999996E-3</v>
      </c>
      <c r="AW119" s="6">
        <v>-2.2427340000000001E-3</v>
      </c>
      <c r="AX119" s="6">
        <v>2.1913303030303023E-4</v>
      </c>
      <c r="AY119" s="6">
        <v>-3.7446129999999999E-3</v>
      </c>
      <c r="AZ119" s="6">
        <v>-2.147174E-3</v>
      </c>
      <c r="BA119" s="6">
        <v>1.6135747474747475E-4</v>
      </c>
      <c r="BB119" s="6">
        <v>-3.2425050000000001E-3</v>
      </c>
      <c r="BC119" s="6">
        <v>-1.8946E-3</v>
      </c>
      <c r="BD119" s="6">
        <v>1.3615202020202021E-4</v>
      </c>
      <c r="BE119" s="6">
        <v>-3.7990649999999999E-3</v>
      </c>
      <c r="BF119" s="6">
        <v>-1.9967029999999998E-3</v>
      </c>
      <c r="BG119" s="6">
        <v>1.8205676767676769E-4</v>
      </c>
      <c r="BH119" s="6">
        <v>-3.17002E-3</v>
      </c>
      <c r="BI119" s="6">
        <v>-1.8988519999999999E-3</v>
      </c>
      <c r="BJ119" s="6">
        <v>1.2840080808080808E-4</v>
      </c>
      <c r="BK119" s="6">
        <v>-3.837558E-3</v>
      </c>
      <c r="BL119" s="6">
        <v>-1.994413E-3</v>
      </c>
      <c r="BM119" s="6">
        <v>1.8617626262626262E-4</v>
      </c>
      <c r="BN119" s="6">
        <v>-4.8385659999999999E-3</v>
      </c>
      <c r="BO119" s="6">
        <v>-2.6599369999999998E-3</v>
      </c>
      <c r="BP119" s="6">
        <v>2.2006353535353534E-4</v>
      </c>
      <c r="BQ119" s="6">
        <v>-4.6715979999999999E-3</v>
      </c>
      <c r="BR119" s="6">
        <v>-2.6293060000000001E-3</v>
      </c>
      <c r="BS119" s="6">
        <v>2.0629212121212119E-4</v>
      </c>
      <c r="BT119" s="6">
        <v>-4.8603120000000003E-3</v>
      </c>
      <c r="BU119" s="6">
        <v>-2.6586610000000001E-3</v>
      </c>
      <c r="BV119" s="6">
        <v>2.2238898989898991E-4</v>
      </c>
      <c r="BW119" s="6">
        <v>-4.6600499999999998E-3</v>
      </c>
      <c r="BX119" s="6">
        <v>-2.6299930000000002E-3</v>
      </c>
      <c r="BY119" s="6">
        <v>2.0505626262626257E-4</v>
      </c>
      <c r="BZ119" s="6">
        <v>-4.5094180000000003E-3</v>
      </c>
      <c r="CA119" s="6">
        <v>-2.5542210000000002E-3</v>
      </c>
      <c r="CB119" s="6">
        <v>1.9749464646464648E-4</v>
      </c>
      <c r="CC119" s="6">
        <v>-4.6763860000000003E-3</v>
      </c>
      <c r="CD119" s="6">
        <v>-2.5848519999999999E-3</v>
      </c>
      <c r="CE119" s="6">
        <v>2.1126606060606064E-4</v>
      </c>
      <c r="CF119" s="6">
        <v>-4.4876719999999998E-3</v>
      </c>
      <c r="CG119" s="6">
        <v>-2.5554969999999999E-3</v>
      </c>
      <c r="CH119" s="6">
        <v>1.9516919191919191E-4</v>
      </c>
      <c r="CI119" s="6">
        <v>-4.6879340000000004E-3</v>
      </c>
      <c r="CJ119" s="6">
        <v>-2.5841649999999998E-3</v>
      </c>
      <c r="CK119" s="6">
        <v>2.1250191919191925E-4</v>
      </c>
      <c r="CL119" s="6">
        <v>-3.4802489999999999E-3</v>
      </c>
      <c r="CM119" s="6">
        <v>-1.8348819999999999E-3</v>
      </c>
      <c r="CN119" s="6">
        <v>1.6619868686868687E-4</v>
      </c>
      <c r="CO119" s="6">
        <v>-3.313281E-3</v>
      </c>
      <c r="CP119" s="6">
        <v>-1.804251E-3</v>
      </c>
      <c r="CQ119" s="6">
        <v>1.5242727272727271E-4</v>
      </c>
      <c r="CR119" s="6">
        <v>-3.501994E-3</v>
      </c>
      <c r="CS119" s="6">
        <v>-1.833606E-3</v>
      </c>
      <c r="CT119" s="6">
        <v>1.6852404040404041E-4</v>
      </c>
      <c r="CU119" s="6">
        <v>-3.3017329999999998E-3</v>
      </c>
      <c r="CV119" s="6">
        <v>-1.8049380000000001E-3</v>
      </c>
      <c r="CW119" s="6">
        <v>1.5119141414141412E-4</v>
      </c>
      <c r="CX119" s="6">
        <v>-3.1511E-3</v>
      </c>
      <c r="CY119" s="6">
        <v>-1.7291660000000001E-3</v>
      </c>
      <c r="CZ119" s="6">
        <v>1.4362969696969695E-4</v>
      </c>
      <c r="DA119" s="6">
        <v>-3.318068E-3</v>
      </c>
      <c r="DB119" s="6">
        <v>-1.759797E-3</v>
      </c>
      <c r="DC119" s="6">
        <v>1.5740111111111111E-4</v>
      </c>
      <c r="DD119" s="6">
        <v>-3.1293549999999999E-3</v>
      </c>
      <c r="DE119" s="6">
        <v>-1.730442E-3</v>
      </c>
      <c r="DF119" s="6">
        <v>1.4130434343434341E-4</v>
      </c>
      <c r="DG119" s="6">
        <v>-3.3296160000000001E-3</v>
      </c>
      <c r="DH119" s="6">
        <v>-1.7591099999999999E-3</v>
      </c>
      <c r="DI119" s="6">
        <v>1.586369696969697E-4</v>
      </c>
    </row>
    <row r="120" spans="1:113" x14ac:dyDescent="0.3">
      <c r="A120" s="13" t="s">
        <v>466</v>
      </c>
      <c r="B120" s="13" t="s">
        <v>251</v>
      </c>
      <c r="C120" s="13" t="s">
        <v>252</v>
      </c>
      <c r="D120" s="13" t="s">
        <v>364</v>
      </c>
      <c r="E120" s="13">
        <v>9.9</v>
      </c>
      <c r="F120" s="6">
        <v>-2.1207439999999999E-3</v>
      </c>
      <c r="G120" s="6">
        <v>-1.491673E-3</v>
      </c>
      <c r="H120" s="6">
        <v>6.354252525252524E-5</v>
      </c>
      <c r="I120" s="6">
        <v>-3.0711319999999999E-3</v>
      </c>
      <c r="J120" s="6">
        <v>-1.922792E-3</v>
      </c>
      <c r="K120" s="6">
        <v>1.1599393939393937E-4</v>
      </c>
      <c r="L120" s="6">
        <v>-2.734696E-3</v>
      </c>
      <c r="M120" s="6">
        <v>-1.884553E-3</v>
      </c>
      <c r="N120" s="6">
        <v>8.5873030303030304E-5</v>
      </c>
      <c r="O120" s="6">
        <v>-3.65585E-3</v>
      </c>
      <c r="P120" s="6">
        <v>-2.296963E-3</v>
      </c>
      <c r="Q120" s="6">
        <v>1.3726131313131313E-4</v>
      </c>
      <c r="R120" s="6">
        <v>-3.913499E-3</v>
      </c>
      <c r="S120" s="6">
        <v>-2.4762159999999998E-3</v>
      </c>
      <c r="T120" s="6">
        <v>1.4518010101010102E-4</v>
      </c>
      <c r="U120" s="6">
        <v>-3.6384080000000001E-3</v>
      </c>
      <c r="V120" s="6">
        <v>-2.4762809999999999E-3</v>
      </c>
      <c r="W120" s="6">
        <v>1.1738656565656567E-4</v>
      </c>
      <c r="X120" s="6">
        <v>-3.9790099999999998E-3</v>
      </c>
      <c r="Y120" s="6">
        <v>-2.4731050000000002E-3</v>
      </c>
      <c r="Z120" s="6">
        <v>1.5211161616161611E-4</v>
      </c>
      <c r="AA120" s="6">
        <v>-3.6012869999999999E-3</v>
      </c>
      <c r="AB120" s="6">
        <v>-2.4720229999999998E-3</v>
      </c>
      <c r="AC120" s="6">
        <v>1.1406707070707071E-4</v>
      </c>
      <c r="AD120" s="6">
        <v>-3.1637480000000001E-3</v>
      </c>
      <c r="AE120" s="6">
        <v>-1.9838289999999999E-3</v>
      </c>
      <c r="AF120" s="6">
        <v>1.1918373737373739E-4</v>
      </c>
      <c r="AG120" s="6">
        <v>-3.4386080000000001E-3</v>
      </c>
      <c r="AH120" s="6">
        <v>-1.9896979999999998E-3</v>
      </c>
      <c r="AI120" s="6">
        <v>1.4635454545454548E-4</v>
      </c>
      <c r="AJ120" s="6">
        <v>-3.0982380000000001E-3</v>
      </c>
      <c r="AK120" s="6">
        <v>-1.9869390000000001E-3</v>
      </c>
      <c r="AL120" s="6">
        <v>1.1225242424242424E-4</v>
      </c>
      <c r="AM120" s="6">
        <v>-3.4759610000000001E-3</v>
      </c>
      <c r="AN120" s="6">
        <v>-1.9880219999999999E-3</v>
      </c>
      <c r="AO120" s="6">
        <v>1.5029686868686871E-4</v>
      </c>
      <c r="AP120" s="6">
        <v>-3.5632340000000002E-3</v>
      </c>
      <c r="AQ120" s="6">
        <v>-2.2359260000000001E-3</v>
      </c>
      <c r="AR120" s="6">
        <v>1.3407151515151515E-4</v>
      </c>
      <c r="AS120" s="6">
        <v>-3.2883740000000002E-3</v>
      </c>
      <c r="AT120" s="6">
        <v>-2.2300570000000001E-3</v>
      </c>
      <c r="AU120" s="6">
        <v>1.0690070707070708E-4</v>
      </c>
      <c r="AV120" s="6">
        <v>-3.6287440000000002E-3</v>
      </c>
      <c r="AW120" s="6">
        <v>-2.232815E-3</v>
      </c>
      <c r="AX120" s="6">
        <v>1.410029292929293E-4</v>
      </c>
      <c r="AY120" s="6">
        <v>-3.2510210000000002E-3</v>
      </c>
      <c r="AZ120" s="6">
        <v>-2.2317330000000001E-3</v>
      </c>
      <c r="BA120" s="6">
        <v>1.0295838383838385E-4</v>
      </c>
      <c r="BB120" s="6">
        <v>-2.813482E-3</v>
      </c>
      <c r="BC120" s="6">
        <v>-1.7435389999999999E-3</v>
      </c>
      <c r="BD120" s="6">
        <v>1.0807505050505051E-4</v>
      </c>
      <c r="BE120" s="6">
        <v>-3.088342E-3</v>
      </c>
      <c r="BF120" s="6">
        <v>-1.749408E-3</v>
      </c>
      <c r="BG120" s="6">
        <v>1.3524585858585859E-4</v>
      </c>
      <c r="BH120" s="6">
        <v>-2.747972E-3</v>
      </c>
      <c r="BI120" s="6">
        <v>-1.74665E-3</v>
      </c>
      <c r="BJ120" s="6">
        <v>1.0114363636363636E-4</v>
      </c>
      <c r="BK120" s="6">
        <v>-3.1256949999999999E-3</v>
      </c>
      <c r="BL120" s="6">
        <v>-1.7477320000000001E-3</v>
      </c>
      <c r="BM120" s="6">
        <v>1.3918818181818179E-4</v>
      </c>
      <c r="BN120" s="6">
        <v>-4.0597300000000001E-3</v>
      </c>
      <c r="BO120" s="6">
        <v>-2.584219E-3</v>
      </c>
      <c r="BP120" s="6">
        <v>1.4904151515151515E-4</v>
      </c>
      <c r="BQ120" s="6">
        <v>-3.9772719999999996E-3</v>
      </c>
      <c r="BR120" s="6">
        <v>-2.5824580000000001E-3</v>
      </c>
      <c r="BS120" s="6">
        <v>1.4089030303030296E-4</v>
      </c>
      <c r="BT120" s="6">
        <v>-4.0793829999999998E-3</v>
      </c>
      <c r="BU120" s="6">
        <v>-2.5832860000000002E-3</v>
      </c>
      <c r="BV120" s="6">
        <v>1.5112090909090905E-4</v>
      </c>
      <c r="BW120" s="6">
        <v>-3.9660659999999999E-3</v>
      </c>
      <c r="BX120" s="6">
        <v>-2.5829609999999999E-3</v>
      </c>
      <c r="BY120" s="6">
        <v>1.3970757575757574E-4</v>
      </c>
      <c r="BZ120" s="6">
        <v>-3.8348050000000002E-3</v>
      </c>
      <c r="CA120" s="6">
        <v>-2.436503E-3</v>
      </c>
      <c r="CB120" s="6">
        <v>1.4124262626262626E-4</v>
      </c>
      <c r="CC120" s="6">
        <v>-3.9172620000000003E-3</v>
      </c>
      <c r="CD120" s="6">
        <v>-2.438263E-3</v>
      </c>
      <c r="CE120" s="6">
        <v>1.4939383838383842E-4</v>
      </c>
      <c r="CF120" s="6">
        <v>-3.815152E-3</v>
      </c>
      <c r="CG120" s="6">
        <v>-2.4374359999999999E-3</v>
      </c>
      <c r="CH120" s="6">
        <v>1.3916323232323233E-4</v>
      </c>
      <c r="CI120" s="6">
        <v>-3.9284680000000001E-3</v>
      </c>
      <c r="CJ120" s="6">
        <v>-2.4377610000000001E-3</v>
      </c>
      <c r="CK120" s="6">
        <v>1.5057646464646464E-4</v>
      </c>
      <c r="CL120" s="6">
        <v>-2.8921770000000001E-3</v>
      </c>
      <c r="CM120" s="6">
        <v>-1.7832519999999999E-3</v>
      </c>
      <c r="CN120" s="6">
        <v>1.1201262626262628E-4</v>
      </c>
      <c r="CO120" s="6">
        <v>-2.809719E-3</v>
      </c>
      <c r="CP120" s="6">
        <v>-1.781492E-3</v>
      </c>
      <c r="CQ120" s="6">
        <v>1.0386131313131313E-4</v>
      </c>
      <c r="CR120" s="6">
        <v>-2.9118299999999998E-3</v>
      </c>
      <c r="CS120" s="6">
        <v>-1.7823190000000001E-3</v>
      </c>
      <c r="CT120" s="6">
        <v>1.1409202020202017E-4</v>
      </c>
      <c r="CU120" s="6">
        <v>-2.7985129999999999E-3</v>
      </c>
      <c r="CV120" s="6">
        <v>-1.7819940000000001E-3</v>
      </c>
      <c r="CW120" s="6">
        <v>1.0267868686868684E-4</v>
      </c>
      <c r="CX120" s="6">
        <v>-2.6672509999999998E-3</v>
      </c>
      <c r="CY120" s="6">
        <v>-1.6355359999999999E-3</v>
      </c>
      <c r="CZ120" s="6">
        <v>1.0421363636363635E-4</v>
      </c>
      <c r="DA120" s="6">
        <v>-2.7497089999999999E-3</v>
      </c>
      <c r="DB120" s="6">
        <v>-1.637297E-3</v>
      </c>
      <c r="DC120" s="6">
        <v>1.1236484848484847E-4</v>
      </c>
      <c r="DD120" s="6">
        <v>-2.6475980000000001E-3</v>
      </c>
      <c r="DE120" s="6">
        <v>-1.636469E-3</v>
      </c>
      <c r="DF120" s="6">
        <v>1.0213424242424243E-4</v>
      </c>
      <c r="DG120" s="6">
        <v>-2.7609150000000001E-3</v>
      </c>
      <c r="DH120" s="6">
        <v>-1.636794E-3</v>
      </c>
      <c r="DI120" s="6">
        <v>1.1354757575757576E-4</v>
      </c>
    </row>
    <row r="121" spans="1:113" x14ac:dyDescent="0.3">
      <c r="A121" s="13" t="s">
        <v>467</v>
      </c>
      <c r="B121" s="13" t="s">
        <v>292</v>
      </c>
      <c r="C121" s="13" t="s">
        <v>294</v>
      </c>
      <c r="D121" s="13" t="s">
        <v>364</v>
      </c>
      <c r="E121" s="13">
        <v>9.9</v>
      </c>
      <c r="F121" s="6">
        <v>-1.482787E-3</v>
      </c>
      <c r="G121" s="6">
        <v>-1.427296E-3</v>
      </c>
      <c r="H121" s="6">
        <v>5.605151515151511E-6</v>
      </c>
      <c r="I121" s="6">
        <v>-2.192608E-3</v>
      </c>
      <c r="J121" s="6">
        <v>-1.8152400000000001E-3</v>
      </c>
      <c r="K121" s="6">
        <v>3.8117979797979784E-5</v>
      </c>
      <c r="L121" s="6">
        <v>-2.0920019999999999E-3</v>
      </c>
      <c r="M121" s="6">
        <v>-1.815784E-3</v>
      </c>
      <c r="N121" s="6">
        <v>2.7900808080808076E-5</v>
      </c>
      <c r="O121" s="6">
        <v>-2.7728129999999998E-3</v>
      </c>
      <c r="P121" s="6">
        <v>-2.1852239999999999E-3</v>
      </c>
      <c r="Q121" s="6">
        <v>5.9352424242424228E-5</v>
      </c>
      <c r="R121" s="6">
        <v>-2.9969390000000001E-3</v>
      </c>
      <c r="S121" s="6">
        <v>-2.4440030000000001E-3</v>
      </c>
      <c r="T121" s="6">
        <v>5.5852121212121205E-5</v>
      </c>
      <c r="U121" s="6">
        <v>-3.0957469999999998E-3</v>
      </c>
      <c r="V121" s="6">
        <v>-2.4691969999999998E-3</v>
      </c>
      <c r="W121" s="6">
        <v>6.3287878787878789E-5</v>
      </c>
      <c r="X121" s="6">
        <v>-3.043231E-3</v>
      </c>
      <c r="Y121" s="6">
        <v>-2.4424989999999999E-3</v>
      </c>
      <c r="Z121" s="6">
        <v>6.0680000000000009E-5</v>
      </c>
      <c r="AA121" s="6">
        <v>-3.0674439999999999E-3</v>
      </c>
      <c r="AB121" s="6">
        <v>-2.4712039999999998E-3</v>
      </c>
      <c r="AC121" s="6">
        <v>6.0226262626262631E-5</v>
      </c>
      <c r="AD121" s="6">
        <v>-2.2414539999999999E-3</v>
      </c>
      <c r="AE121" s="6">
        <v>-1.7883409999999999E-3</v>
      </c>
      <c r="AF121" s="6">
        <v>4.5768989898989899E-5</v>
      </c>
      <c r="AG121" s="6">
        <v>-2.1440999999999999E-3</v>
      </c>
      <c r="AH121" s="6">
        <v>-1.7619459999999999E-3</v>
      </c>
      <c r="AI121" s="6">
        <v>3.860141414141414E-5</v>
      </c>
      <c r="AJ121" s="6">
        <v>-2.1951620000000001E-3</v>
      </c>
      <c r="AK121" s="6">
        <v>-1.7898440000000001E-3</v>
      </c>
      <c r="AL121" s="6">
        <v>4.0941212121212122E-5</v>
      </c>
      <c r="AM121" s="6">
        <v>-2.1709490000000001E-3</v>
      </c>
      <c r="AN121" s="6">
        <v>-1.7611390000000001E-3</v>
      </c>
      <c r="AO121" s="6">
        <v>4.1394949494949499E-5</v>
      </c>
      <c r="AP121" s="6">
        <v>-2.7239669999999999E-3</v>
      </c>
      <c r="AQ121" s="6">
        <v>-2.2121229999999999E-3</v>
      </c>
      <c r="AR121" s="6">
        <v>5.170141414141414E-5</v>
      </c>
      <c r="AS121" s="6">
        <v>-2.8213209999999999E-3</v>
      </c>
      <c r="AT121" s="6">
        <v>-2.2385180000000001E-3</v>
      </c>
      <c r="AU121" s="6">
        <v>5.8868989898989879E-5</v>
      </c>
      <c r="AV121" s="6">
        <v>-2.7702590000000002E-3</v>
      </c>
      <c r="AW121" s="6">
        <v>-2.2106199999999999E-3</v>
      </c>
      <c r="AX121" s="6">
        <v>5.6529191919191938E-5</v>
      </c>
      <c r="AY121" s="6">
        <v>-2.7944720000000001E-3</v>
      </c>
      <c r="AZ121" s="6">
        <v>-2.2393249999999999E-3</v>
      </c>
      <c r="BA121" s="6">
        <v>5.607545454545456E-5</v>
      </c>
      <c r="BB121" s="6">
        <v>-1.9684820000000001E-3</v>
      </c>
      <c r="BC121" s="6">
        <v>-1.5564610000000001E-3</v>
      </c>
      <c r="BD121" s="6">
        <v>4.1618282828282835E-5</v>
      </c>
      <c r="BE121" s="6">
        <v>-1.8711279999999999E-3</v>
      </c>
      <c r="BF121" s="6">
        <v>-1.5300660000000001E-3</v>
      </c>
      <c r="BG121" s="6">
        <v>3.4450707070707056E-5</v>
      </c>
      <c r="BH121" s="6">
        <v>-1.9221900000000001E-3</v>
      </c>
      <c r="BI121" s="6">
        <v>-1.5579649999999999E-3</v>
      </c>
      <c r="BJ121" s="6">
        <v>3.6790404040404051E-5</v>
      </c>
      <c r="BK121" s="6">
        <v>-1.8979769999999999E-3</v>
      </c>
      <c r="BL121" s="6">
        <v>-1.52926E-3</v>
      </c>
      <c r="BM121" s="6">
        <v>3.7244141414141408E-5</v>
      </c>
      <c r="BN121" s="6">
        <v>-3.0509869999999998E-3</v>
      </c>
      <c r="BO121" s="6">
        <v>-2.4850470000000002E-3</v>
      </c>
      <c r="BP121" s="6">
        <v>5.7165656565656524E-5</v>
      </c>
      <c r="BQ121" s="6">
        <v>-3.0801930000000002E-3</v>
      </c>
      <c r="BR121" s="6">
        <v>-2.4929660000000001E-3</v>
      </c>
      <c r="BS121" s="6">
        <v>5.9315858585858589E-5</v>
      </c>
      <c r="BT121" s="6">
        <v>-3.064874E-3</v>
      </c>
      <c r="BU121" s="6">
        <v>-2.4845959999999999E-3</v>
      </c>
      <c r="BV121" s="6">
        <v>5.8613939393939396E-5</v>
      </c>
      <c r="BW121" s="6">
        <v>-3.0721379999999999E-3</v>
      </c>
      <c r="BX121" s="6">
        <v>-2.4932079999999998E-3</v>
      </c>
      <c r="BY121" s="6">
        <v>5.847777777777778E-5</v>
      </c>
      <c r="BZ121" s="6">
        <v>-2.8243410000000002E-3</v>
      </c>
      <c r="CA121" s="6">
        <v>-2.2883489999999999E-3</v>
      </c>
      <c r="CB121" s="6">
        <v>5.4140606060606093E-5</v>
      </c>
      <c r="CC121" s="6">
        <v>-2.7951349999999998E-3</v>
      </c>
      <c r="CD121" s="6">
        <v>-2.28043E-3</v>
      </c>
      <c r="CE121" s="6">
        <v>5.1990404040404021E-5</v>
      </c>
      <c r="CF121" s="6">
        <v>-2.810454E-3</v>
      </c>
      <c r="CG121" s="6">
        <v>-2.2888000000000001E-3</v>
      </c>
      <c r="CH121" s="6">
        <v>5.2692323232323214E-5</v>
      </c>
      <c r="CI121" s="6">
        <v>-2.8031900000000001E-3</v>
      </c>
      <c r="CJ121" s="6">
        <v>-2.2801879999999998E-3</v>
      </c>
      <c r="CK121" s="6">
        <v>5.2828484848484877E-5</v>
      </c>
      <c r="CL121" s="6">
        <v>-2.1410800000000001E-3</v>
      </c>
      <c r="CM121" s="6">
        <v>-1.7121149999999999E-3</v>
      </c>
      <c r="CN121" s="6">
        <v>4.3329797979797987E-5</v>
      </c>
      <c r="CO121" s="6">
        <v>-2.170286E-3</v>
      </c>
      <c r="CP121" s="6">
        <v>-1.7200340000000001E-3</v>
      </c>
      <c r="CQ121" s="6">
        <v>4.5479999999999991E-5</v>
      </c>
      <c r="CR121" s="6">
        <v>-2.1549680000000002E-3</v>
      </c>
      <c r="CS121" s="6">
        <v>-1.7116639999999999E-3</v>
      </c>
      <c r="CT121" s="6">
        <v>4.4778181818181845E-5</v>
      </c>
      <c r="CU121" s="6">
        <v>-2.162232E-3</v>
      </c>
      <c r="CV121" s="6">
        <v>-1.720276E-3</v>
      </c>
      <c r="CW121" s="6">
        <v>4.4642020202020209E-5</v>
      </c>
      <c r="CX121" s="6">
        <v>-1.9144349999999999E-3</v>
      </c>
      <c r="CY121" s="6">
        <v>-1.515417E-3</v>
      </c>
      <c r="CZ121" s="6">
        <v>4.0304848484848475E-5</v>
      </c>
      <c r="DA121" s="6">
        <v>-1.8852280000000001E-3</v>
      </c>
      <c r="DB121" s="6">
        <v>-1.5074979999999999E-3</v>
      </c>
      <c r="DC121" s="6">
        <v>3.8154545454545471E-5</v>
      </c>
      <c r="DD121" s="6">
        <v>-1.900547E-3</v>
      </c>
      <c r="DE121" s="6">
        <v>-1.5158680000000001E-3</v>
      </c>
      <c r="DF121" s="6">
        <v>3.8856464646464644E-5</v>
      </c>
      <c r="DG121" s="6">
        <v>-1.8932829999999999E-3</v>
      </c>
      <c r="DH121" s="6">
        <v>-1.507256E-3</v>
      </c>
      <c r="DI121" s="6">
        <v>3.8992626262626253E-5</v>
      </c>
    </row>
    <row r="122" spans="1:113" x14ac:dyDescent="0.3">
      <c r="A122" s="13" t="s">
        <v>468</v>
      </c>
      <c r="B122" s="13" t="s">
        <v>78</v>
      </c>
      <c r="C122" s="13" t="s">
        <v>80</v>
      </c>
      <c r="D122" s="13" t="s">
        <v>347</v>
      </c>
      <c r="E122" s="13">
        <v>9.9</v>
      </c>
      <c r="F122" s="6">
        <v>-1.040734E-3</v>
      </c>
      <c r="G122" s="6">
        <v>-2.4288809999999999E-3</v>
      </c>
      <c r="H122" s="6">
        <v>1.4021686868686867E-4</v>
      </c>
      <c r="I122" s="6">
        <v>-1.5630170000000001E-3</v>
      </c>
      <c r="J122" s="6">
        <v>-2.9916970000000002E-3</v>
      </c>
      <c r="K122" s="6">
        <v>1.4431111111111111E-4</v>
      </c>
      <c r="L122" s="6">
        <v>-1.6288019999999999E-3</v>
      </c>
      <c r="M122" s="6">
        <v>-2.8113650000000001E-3</v>
      </c>
      <c r="N122" s="6">
        <v>1.194508080808081E-4</v>
      </c>
      <c r="O122" s="6">
        <v>-2.1230789999999999E-3</v>
      </c>
      <c r="P122" s="6">
        <v>-3.3559229999999998E-3</v>
      </c>
      <c r="Q122" s="6">
        <v>1.2452969696969695E-4</v>
      </c>
      <c r="R122" s="6">
        <v>-2.2293740000000001E-3</v>
      </c>
      <c r="S122" s="6">
        <v>-3.8891500000000001E-3</v>
      </c>
      <c r="T122" s="6">
        <v>1.676541414141414E-4</v>
      </c>
      <c r="U122" s="6">
        <v>-1.8680739999999999E-3</v>
      </c>
      <c r="V122" s="6">
        <v>-2.749025E-3</v>
      </c>
      <c r="W122" s="6">
        <v>8.8984949494949503E-5</v>
      </c>
      <c r="X122" s="6">
        <v>-2.1848000000000002E-3</v>
      </c>
      <c r="Y122" s="6">
        <v>-3.875131E-3</v>
      </c>
      <c r="Z122" s="6">
        <v>1.7074050505050503E-4</v>
      </c>
      <c r="AA122" s="6">
        <v>-1.8837420000000001E-3</v>
      </c>
      <c r="AB122" s="6">
        <v>-2.6019260000000001E-3</v>
      </c>
      <c r="AC122" s="6">
        <v>7.2543838383838373E-5</v>
      </c>
      <c r="AD122" s="6">
        <v>-1.6733480000000001E-3</v>
      </c>
      <c r="AE122" s="6">
        <v>-2.8096029999999999E-3</v>
      </c>
      <c r="AF122" s="6">
        <v>1.147732323232323E-4</v>
      </c>
      <c r="AG122" s="6">
        <v>-2.0434889999999999E-3</v>
      </c>
      <c r="AH122" s="6">
        <v>-4.1050440000000004E-3</v>
      </c>
      <c r="AI122" s="6">
        <v>2.0823787878787884E-4</v>
      </c>
      <c r="AJ122" s="6">
        <v>-1.717922E-3</v>
      </c>
      <c r="AK122" s="6">
        <v>-2.823622E-3</v>
      </c>
      <c r="AL122" s="6">
        <v>1.1168686868686868E-4</v>
      </c>
      <c r="AM122" s="6">
        <v>-2.0189800000000001E-3</v>
      </c>
      <c r="AN122" s="6">
        <v>-4.0968259999999996E-3</v>
      </c>
      <c r="AO122" s="6">
        <v>2.0988343434343428E-4</v>
      </c>
      <c r="AP122" s="6">
        <v>-2.012748E-3</v>
      </c>
      <c r="AQ122" s="6">
        <v>-3.538018E-3</v>
      </c>
      <c r="AR122" s="6">
        <v>1.5406767676767676E-4</v>
      </c>
      <c r="AS122" s="6">
        <v>-1.642606E-3</v>
      </c>
      <c r="AT122" s="6">
        <v>-2.2425769999999999E-3</v>
      </c>
      <c r="AU122" s="6">
        <v>6.0603131313131303E-5</v>
      </c>
      <c r="AV122" s="6">
        <v>-1.9681740000000001E-3</v>
      </c>
      <c r="AW122" s="6">
        <v>-3.5239989999999999E-3</v>
      </c>
      <c r="AX122" s="6">
        <v>1.5715404040404039E-4</v>
      </c>
      <c r="AY122" s="6">
        <v>-1.667115E-3</v>
      </c>
      <c r="AZ122" s="6">
        <v>-2.2507949999999999E-3</v>
      </c>
      <c r="BA122" s="6">
        <v>5.8957575757575735E-5</v>
      </c>
      <c r="BB122" s="6">
        <v>-1.456721E-3</v>
      </c>
      <c r="BC122" s="6">
        <v>-2.4584709999999998E-3</v>
      </c>
      <c r="BD122" s="6">
        <v>1.0118686868686867E-4</v>
      </c>
      <c r="BE122" s="6">
        <v>-1.826863E-3</v>
      </c>
      <c r="BF122" s="6">
        <v>-3.7539119999999999E-3</v>
      </c>
      <c r="BG122" s="6">
        <v>1.9465141414141412E-4</v>
      </c>
      <c r="BH122" s="6">
        <v>-1.5012949999999999E-3</v>
      </c>
      <c r="BI122" s="6">
        <v>-2.4724899999999999E-3</v>
      </c>
      <c r="BJ122" s="6">
        <v>9.8100505050505052E-5</v>
      </c>
      <c r="BK122" s="6">
        <v>-1.802353E-3</v>
      </c>
      <c r="BL122" s="6">
        <v>-3.7456949999999998E-3</v>
      </c>
      <c r="BM122" s="6">
        <v>1.9629717171717169E-4</v>
      </c>
      <c r="BN122" s="6">
        <v>-2.287496E-3</v>
      </c>
      <c r="BO122" s="6">
        <v>-3.9209620000000001E-3</v>
      </c>
      <c r="BP122" s="6">
        <v>1.6499656565656566E-4</v>
      </c>
      <c r="BQ122" s="6">
        <v>-2.1764530000000001E-3</v>
      </c>
      <c r="BR122" s="6">
        <v>-3.5323289999999999E-3</v>
      </c>
      <c r="BS122" s="6">
        <v>1.369571717171717E-4</v>
      </c>
      <c r="BT122" s="6">
        <v>-2.2741240000000002E-3</v>
      </c>
      <c r="BU122" s="6">
        <v>-3.9167560000000004E-3</v>
      </c>
      <c r="BV122" s="6">
        <v>1.6592242424242425E-4</v>
      </c>
      <c r="BW122" s="6">
        <v>-2.1838059999999999E-3</v>
      </c>
      <c r="BX122" s="6">
        <v>-3.5347949999999999E-3</v>
      </c>
      <c r="BY122" s="6">
        <v>1.3646353535353534E-4</v>
      </c>
      <c r="BZ122" s="6">
        <v>-2.1206879999999999E-3</v>
      </c>
      <c r="CA122" s="6">
        <v>-3.597098E-3</v>
      </c>
      <c r="CB122" s="6">
        <v>1.4913232323232324E-4</v>
      </c>
      <c r="CC122" s="6">
        <v>-2.2317299999999999E-3</v>
      </c>
      <c r="CD122" s="6">
        <v>-3.9857299999999998E-3</v>
      </c>
      <c r="CE122" s="6">
        <v>1.7717171717171717E-4</v>
      </c>
      <c r="CF122" s="6">
        <v>-2.1340600000000001E-3</v>
      </c>
      <c r="CG122" s="6">
        <v>-3.6013030000000001E-3</v>
      </c>
      <c r="CH122" s="6">
        <v>1.4820636363636363E-4</v>
      </c>
      <c r="CI122" s="6">
        <v>-2.2243779999999999E-3</v>
      </c>
      <c r="CJ122" s="6">
        <v>-3.9832649999999997E-3</v>
      </c>
      <c r="CK122" s="6">
        <v>1.776653535353535E-4</v>
      </c>
      <c r="CL122" s="6">
        <v>-1.565407E-3</v>
      </c>
      <c r="CM122" s="6">
        <v>-2.7505229999999999E-3</v>
      </c>
      <c r="CN122" s="6">
        <v>1.1970868686868686E-4</v>
      </c>
      <c r="CO122" s="6">
        <v>-1.454365E-3</v>
      </c>
      <c r="CP122" s="6">
        <v>-2.3618910000000001E-3</v>
      </c>
      <c r="CQ122" s="6">
        <v>9.1669292929292929E-5</v>
      </c>
      <c r="CR122" s="6">
        <v>-1.552035E-3</v>
      </c>
      <c r="CS122" s="6">
        <v>-2.7463180000000002E-3</v>
      </c>
      <c r="CT122" s="6">
        <v>1.2063464646464647E-4</v>
      </c>
      <c r="CU122" s="6">
        <v>-1.4617180000000001E-3</v>
      </c>
      <c r="CV122" s="6">
        <v>-2.3643560000000002E-3</v>
      </c>
      <c r="CW122" s="6">
        <v>9.1175555555555559E-5</v>
      </c>
      <c r="CX122" s="6">
        <v>-1.3985989999999999E-3</v>
      </c>
      <c r="CY122" s="6">
        <v>-2.4266589999999998E-3</v>
      </c>
      <c r="CZ122" s="6">
        <v>1.0384444444444443E-4</v>
      </c>
      <c r="DA122" s="6">
        <v>-1.5096420000000001E-3</v>
      </c>
      <c r="DB122" s="6">
        <v>-2.8152920000000001E-3</v>
      </c>
      <c r="DC122" s="6">
        <v>1.3188383838383838E-4</v>
      </c>
      <c r="DD122" s="6">
        <v>-1.4119720000000001E-3</v>
      </c>
      <c r="DE122" s="6">
        <v>-2.4308649999999999E-3</v>
      </c>
      <c r="DF122" s="6">
        <v>1.0291848484848483E-4</v>
      </c>
      <c r="DG122" s="6">
        <v>-1.502289E-3</v>
      </c>
      <c r="DH122" s="6">
        <v>-2.812826E-3</v>
      </c>
      <c r="DI122" s="6">
        <v>1.3237747474747474E-4</v>
      </c>
    </row>
    <row r="123" spans="1:113" x14ac:dyDescent="0.3">
      <c r="A123" s="13" t="s">
        <v>469</v>
      </c>
      <c r="B123" s="13" t="s">
        <v>115</v>
      </c>
      <c r="C123" s="13" t="s">
        <v>116</v>
      </c>
      <c r="D123" s="13" t="s">
        <v>347</v>
      </c>
      <c r="E123" s="13">
        <v>9.9</v>
      </c>
      <c r="F123" s="6">
        <v>-1.781166E-3</v>
      </c>
      <c r="G123" s="6">
        <v>-2.1285620000000001E-3</v>
      </c>
      <c r="H123" s="6">
        <v>3.509050505050505E-5</v>
      </c>
      <c r="I123" s="6">
        <v>-2.5458120000000002E-3</v>
      </c>
      <c r="J123" s="6">
        <v>-2.6411579999999998E-3</v>
      </c>
      <c r="K123" s="6">
        <v>9.630909090909052E-6</v>
      </c>
      <c r="L123" s="6">
        <v>-2.3972659999999999E-3</v>
      </c>
      <c r="M123" s="6">
        <v>-2.518073E-3</v>
      </c>
      <c r="N123" s="6">
        <v>1.2202727272727284E-5</v>
      </c>
      <c r="O123" s="6">
        <v>-3.132578E-3</v>
      </c>
      <c r="P123" s="6">
        <v>-3.0120979999999999E-3</v>
      </c>
      <c r="Q123" s="6">
        <v>1.2169696969696976E-5</v>
      </c>
      <c r="R123" s="6">
        <v>-3.404785E-3</v>
      </c>
      <c r="S123" s="6">
        <v>-3.374906E-3</v>
      </c>
      <c r="T123" s="6">
        <v>3.0180808080808097E-6</v>
      </c>
      <c r="U123" s="6">
        <v>-3.0329799999999998E-3</v>
      </c>
      <c r="V123" s="6">
        <v>-2.5806430000000001E-3</v>
      </c>
      <c r="W123" s="6">
        <v>4.569060606060603E-5</v>
      </c>
      <c r="X123" s="6">
        <v>-3.3437860000000001E-3</v>
      </c>
      <c r="Y123" s="6">
        <v>-3.3668840000000001E-3</v>
      </c>
      <c r="Z123" s="6">
        <v>2.3331313131313174E-6</v>
      </c>
      <c r="AA123" s="6">
        <v>-3.074158E-3</v>
      </c>
      <c r="AB123" s="6">
        <v>-2.466008E-3</v>
      </c>
      <c r="AC123" s="6">
        <v>6.1429292929292934E-5</v>
      </c>
      <c r="AD123" s="6">
        <v>-2.5834569999999999E-3</v>
      </c>
      <c r="AE123" s="6">
        <v>-2.5945410000000001E-3</v>
      </c>
      <c r="AF123" s="6">
        <v>1.1195959595959778E-6</v>
      </c>
      <c r="AG123" s="6">
        <v>-2.947557E-3</v>
      </c>
      <c r="AH123" s="6">
        <v>-3.5081740000000002E-3</v>
      </c>
      <c r="AI123" s="6">
        <v>5.6627979797979822E-5</v>
      </c>
      <c r="AJ123" s="6">
        <v>-2.6444559999999999E-3</v>
      </c>
      <c r="AK123" s="6">
        <v>-2.602563E-3</v>
      </c>
      <c r="AL123" s="6">
        <v>4.2316161616161495E-6</v>
      </c>
      <c r="AM123" s="6">
        <v>-2.9140839999999999E-3</v>
      </c>
      <c r="AN123" s="6">
        <v>-3.5034390000000001E-3</v>
      </c>
      <c r="AO123" s="6">
        <v>5.9530808080808093E-5</v>
      </c>
      <c r="AP123" s="6">
        <v>-3.0949329999999998E-3</v>
      </c>
      <c r="AQ123" s="6">
        <v>-3.058715E-3</v>
      </c>
      <c r="AR123" s="6">
        <v>3.6583838383838135E-6</v>
      </c>
      <c r="AS123" s="6">
        <v>-2.7308340000000001E-3</v>
      </c>
      <c r="AT123" s="6">
        <v>-2.145082E-3</v>
      </c>
      <c r="AU123" s="6">
        <v>5.9166868686868697E-5</v>
      </c>
      <c r="AV123" s="6">
        <v>-3.0339339999999998E-3</v>
      </c>
      <c r="AW123" s="6">
        <v>-3.0506930000000002E-3</v>
      </c>
      <c r="AX123" s="6">
        <v>1.6928282828283135E-6</v>
      </c>
      <c r="AY123" s="6">
        <v>-2.7643059999999998E-3</v>
      </c>
      <c r="AZ123" s="6">
        <v>-2.149818E-3</v>
      </c>
      <c r="BA123" s="6">
        <v>6.2069494949494928E-5</v>
      </c>
      <c r="BB123" s="6">
        <v>-2.2736060000000001E-3</v>
      </c>
      <c r="BC123" s="6">
        <v>-2.2783510000000001E-3</v>
      </c>
      <c r="BD123" s="6">
        <v>4.7929292929293023E-7</v>
      </c>
      <c r="BE123" s="6">
        <v>-2.6377050000000002E-3</v>
      </c>
      <c r="BF123" s="6">
        <v>-3.1919840000000001E-3</v>
      </c>
      <c r="BG123" s="6">
        <v>5.5987777777777775E-5</v>
      </c>
      <c r="BH123" s="6">
        <v>-2.334605E-3</v>
      </c>
      <c r="BI123" s="6">
        <v>-2.286373E-3</v>
      </c>
      <c r="BJ123" s="6">
        <v>4.8719191919191965E-6</v>
      </c>
      <c r="BK123" s="6">
        <v>-2.6042320000000002E-3</v>
      </c>
      <c r="BL123" s="6">
        <v>-3.1872490000000001E-3</v>
      </c>
      <c r="BM123" s="6">
        <v>5.8890606060606052E-5</v>
      </c>
      <c r="BN123" s="6">
        <v>-3.4788140000000002E-3</v>
      </c>
      <c r="BO123" s="6">
        <v>-3.4706670000000002E-3</v>
      </c>
      <c r="BP123" s="6">
        <v>8.229292929292944E-7</v>
      </c>
      <c r="BQ123" s="6">
        <v>-3.3695840000000001E-3</v>
      </c>
      <c r="BR123" s="6">
        <v>-3.1965769999999999E-3</v>
      </c>
      <c r="BS123" s="6">
        <v>1.7475454545454564E-5</v>
      </c>
      <c r="BT123" s="6">
        <v>-3.460514E-3</v>
      </c>
      <c r="BU123" s="6">
        <v>-3.4682599999999999E-3</v>
      </c>
      <c r="BV123" s="6">
        <v>7.8242424242423039E-7</v>
      </c>
      <c r="BW123" s="6">
        <v>-3.3796260000000002E-3</v>
      </c>
      <c r="BX123" s="6">
        <v>-3.1979970000000002E-3</v>
      </c>
      <c r="BY123" s="6">
        <v>1.8346363636363636E-5</v>
      </c>
      <c r="BZ123" s="6">
        <v>-3.2324160000000001E-3</v>
      </c>
      <c r="CA123" s="6">
        <v>-3.2365570000000001E-3</v>
      </c>
      <c r="CB123" s="6">
        <v>4.1828282828283235E-7</v>
      </c>
      <c r="CC123" s="6">
        <v>-3.3416449999999999E-3</v>
      </c>
      <c r="CD123" s="6">
        <v>-3.510647E-3</v>
      </c>
      <c r="CE123" s="6">
        <v>1.7070909090909103E-5</v>
      </c>
      <c r="CF123" s="6">
        <v>-3.2507149999999999E-3</v>
      </c>
      <c r="CG123" s="6">
        <v>-3.238964E-3</v>
      </c>
      <c r="CH123" s="6">
        <v>1.1869696969696918E-6</v>
      </c>
      <c r="CI123" s="6">
        <v>-3.3316029999999998E-3</v>
      </c>
      <c r="CJ123" s="6">
        <v>-3.5092270000000002E-3</v>
      </c>
      <c r="CK123" s="6">
        <v>1.7941818181818218E-5</v>
      </c>
      <c r="CL123" s="6">
        <v>-2.445975E-3</v>
      </c>
      <c r="CM123" s="6">
        <v>-2.416699E-3</v>
      </c>
      <c r="CN123" s="6">
        <v>2.9571717171717127E-6</v>
      </c>
      <c r="CO123" s="6">
        <v>-2.3367449999999999E-3</v>
      </c>
      <c r="CP123" s="6">
        <v>-2.1426090000000002E-3</v>
      </c>
      <c r="CQ123" s="6">
        <v>1.960969696969694E-5</v>
      </c>
      <c r="CR123" s="6">
        <v>-2.4276749999999998E-3</v>
      </c>
      <c r="CS123" s="6">
        <v>-2.4142930000000001E-3</v>
      </c>
      <c r="CT123" s="6">
        <v>1.351717171717143E-6</v>
      </c>
      <c r="CU123" s="6">
        <v>-2.3467869999999999E-3</v>
      </c>
      <c r="CV123" s="6">
        <v>-2.1440299999999999E-3</v>
      </c>
      <c r="CW123" s="6">
        <v>2.0480505050505053E-5</v>
      </c>
      <c r="CX123" s="6">
        <v>-2.1995769999999999E-3</v>
      </c>
      <c r="CY123" s="6">
        <v>-2.1825899999999999E-3</v>
      </c>
      <c r="CZ123" s="6">
        <v>1.715858585858585E-6</v>
      </c>
      <c r="DA123" s="6">
        <v>-2.3088060000000001E-3</v>
      </c>
      <c r="DB123" s="6">
        <v>-2.4566800000000001E-3</v>
      </c>
      <c r="DC123" s="6">
        <v>1.4936767676767685E-5</v>
      </c>
      <c r="DD123" s="6">
        <v>-2.2178760000000001E-3</v>
      </c>
      <c r="DE123" s="6">
        <v>-2.1849970000000002E-3</v>
      </c>
      <c r="DF123" s="6">
        <v>3.3211111111111091E-6</v>
      </c>
      <c r="DG123" s="6">
        <v>-2.2987649999999999E-3</v>
      </c>
      <c r="DH123" s="6">
        <v>-2.455259E-3</v>
      </c>
      <c r="DI123" s="6">
        <v>1.5807474747474754E-5</v>
      </c>
    </row>
    <row r="124" spans="1:113" x14ac:dyDescent="0.3">
      <c r="A124" s="13" t="s">
        <v>470</v>
      </c>
      <c r="B124" s="13" t="s">
        <v>150</v>
      </c>
      <c r="C124" s="13" t="s">
        <v>151</v>
      </c>
      <c r="D124" s="13" t="s">
        <v>347</v>
      </c>
      <c r="E124" s="13">
        <v>9.9</v>
      </c>
      <c r="F124" s="6">
        <v>-1.8116269999999999E-3</v>
      </c>
      <c r="G124" s="6">
        <v>-1.8041089999999999E-3</v>
      </c>
      <c r="H124" s="6">
        <v>7.5939393939393715E-7</v>
      </c>
      <c r="I124" s="6">
        <v>-2.6046580000000001E-3</v>
      </c>
      <c r="J124" s="6">
        <v>-2.2900759999999998E-3</v>
      </c>
      <c r="K124" s="6">
        <v>3.1775959595959625E-5</v>
      </c>
      <c r="L124" s="6">
        <v>-2.422221E-3</v>
      </c>
      <c r="M124" s="6">
        <v>-2.1980599999999999E-3</v>
      </c>
      <c r="N124" s="6">
        <v>2.2642525252525259E-5</v>
      </c>
      <c r="O124" s="6">
        <v>-3.186178E-3</v>
      </c>
      <c r="P124" s="6">
        <v>-2.6652580000000002E-3</v>
      </c>
      <c r="Q124" s="6">
        <v>5.2618181818181797E-5</v>
      </c>
      <c r="R124" s="6">
        <v>-3.449517E-3</v>
      </c>
      <c r="S124" s="6">
        <v>-2.8529039999999999E-3</v>
      </c>
      <c r="T124" s="6">
        <v>6.0263939393939409E-5</v>
      </c>
      <c r="U124" s="6">
        <v>-3.0651580000000001E-3</v>
      </c>
      <c r="V124" s="6">
        <v>-2.43648E-3</v>
      </c>
      <c r="W124" s="6">
        <v>6.35028282828283E-5</v>
      </c>
      <c r="X124" s="6">
        <v>-3.4336280000000002E-3</v>
      </c>
      <c r="Y124" s="6">
        <v>-2.8479949999999999E-3</v>
      </c>
      <c r="Z124" s="6">
        <v>5.9154848484848519E-5</v>
      </c>
      <c r="AA124" s="6">
        <v>-3.0761780000000002E-3</v>
      </c>
      <c r="AB124" s="6">
        <v>-2.3684589999999998E-3</v>
      </c>
      <c r="AC124" s="6">
        <v>7.1486767676767708E-5</v>
      </c>
      <c r="AD124" s="6">
        <v>-2.6539659999999998E-3</v>
      </c>
      <c r="AE124" s="6">
        <v>-2.3803790000000002E-3</v>
      </c>
      <c r="AF124" s="6">
        <v>2.7635050505050465E-5</v>
      </c>
      <c r="AG124" s="6">
        <v>-3.0364950000000002E-3</v>
      </c>
      <c r="AH124" s="6">
        <v>-2.867639E-3</v>
      </c>
      <c r="AI124" s="6">
        <v>1.7056161616161637E-5</v>
      </c>
      <c r="AJ124" s="6">
        <v>-2.6698550000000001E-3</v>
      </c>
      <c r="AK124" s="6">
        <v>-2.3852880000000002E-3</v>
      </c>
      <c r="AL124" s="6">
        <v>2.8744141414141401E-5</v>
      </c>
      <c r="AM124" s="6">
        <v>-3.0273050000000001E-3</v>
      </c>
      <c r="AN124" s="6">
        <v>-2.8648240000000002E-3</v>
      </c>
      <c r="AO124" s="6">
        <v>1.6412222222222213E-5</v>
      </c>
      <c r="AP124" s="6">
        <v>-3.136869E-3</v>
      </c>
      <c r="AQ124" s="6">
        <v>-2.5749549999999999E-3</v>
      </c>
      <c r="AR124" s="6">
        <v>5.6758989898989914E-5</v>
      </c>
      <c r="AS124" s="6">
        <v>-2.7543400000000001E-3</v>
      </c>
      <c r="AT124" s="6">
        <v>-2.0876950000000001E-3</v>
      </c>
      <c r="AU124" s="6">
        <v>6.7337878787878779E-5</v>
      </c>
      <c r="AV124" s="6">
        <v>-3.1209800000000002E-3</v>
      </c>
      <c r="AW124" s="6">
        <v>-2.5700459999999999E-3</v>
      </c>
      <c r="AX124" s="6">
        <v>5.5649898989899018E-5</v>
      </c>
      <c r="AY124" s="6">
        <v>-2.7635300000000002E-3</v>
      </c>
      <c r="AZ124" s="6">
        <v>-2.0905099999999999E-3</v>
      </c>
      <c r="BA124" s="6">
        <v>6.7981818181818207E-5</v>
      </c>
      <c r="BB124" s="6">
        <v>-2.3413179999999998E-3</v>
      </c>
      <c r="BC124" s="6">
        <v>-2.1024300000000002E-3</v>
      </c>
      <c r="BD124" s="6">
        <v>2.413010101010097E-5</v>
      </c>
      <c r="BE124" s="6">
        <v>-2.7238470000000002E-3</v>
      </c>
      <c r="BF124" s="6">
        <v>-2.58969E-3</v>
      </c>
      <c r="BG124" s="6">
        <v>1.355121212121214E-5</v>
      </c>
      <c r="BH124" s="6">
        <v>-2.3572070000000001E-3</v>
      </c>
      <c r="BI124" s="6">
        <v>-2.1073390000000002E-3</v>
      </c>
      <c r="BJ124" s="6">
        <v>2.5239191919191907E-5</v>
      </c>
      <c r="BK124" s="6">
        <v>-2.7146570000000001E-3</v>
      </c>
      <c r="BL124" s="6">
        <v>-2.5868750000000002E-3</v>
      </c>
      <c r="BM124" s="6">
        <v>1.2907272727272717E-5</v>
      </c>
      <c r="BN124" s="6">
        <v>-3.5358299999999998E-3</v>
      </c>
      <c r="BO124" s="6">
        <v>-3.0117939999999999E-3</v>
      </c>
      <c r="BP124" s="6">
        <v>5.2932929292929277E-5</v>
      </c>
      <c r="BQ124" s="6">
        <v>-3.4210709999999999E-3</v>
      </c>
      <c r="BR124" s="6">
        <v>-2.8656160000000001E-3</v>
      </c>
      <c r="BS124" s="6">
        <v>5.6106565656565636E-5</v>
      </c>
      <c r="BT124" s="6">
        <v>-3.531064E-3</v>
      </c>
      <c r="BU124" s="6">
        <v>-3.0103209999999998E-3</v>
      </c>
      <c r="BV124" s="6">
        <v>5.2600303030303044E-5</v>
      </c>
      <c r="BW124" s="6">
        <v>-3.4238290000000002E-3</v>
      </c>
      <c r="BX124" s="6">
        <v>-2.8664609999999998E-3</v>
      </c>
      <c r="BY124" s="6">
        <v>5.6299797979798014E-5</v>
      </c>
      <c r="BZ124" s="6">
        <v>-3.2971649999999999E-3</v>
      </c>
      <c r="CA124" s="6">
        <v>-2.8700370000000002E-3</v>
      </c>
      <c r="CB124" s="6">
        <v>4.3144242424242395E-5</v>
      </c>
      <c r="CC124" s="6">
        <v>-3.4119240000000002E-3</v>
      </c>
      <c r="CD124" s="6">
        <v>-3.016215E-3</v>
      </c>
      <c r="CE124" s="6">
        <v>3.9970606060606078E-5</v>
      </c>
      <c r="CF124" s="6">
        <v>-3.301932E-3</v>
      </c>
      <c r="CG124" s="6">
        <v>-2.871509E-3</v>
      </c>
      <c r="CH124" s="6">
        <v>4.3477070707070716E-5</v>
      </c>
      <c r="CI124" s="6">
        <v>-3.4091669999999998E-3</v>
      </c>
      <c r="CJ124" s="6">
        <v>-3.0153699999999999E-3</v>
      </c>
      <c r="CK124" s="6">
        <v>3.9777474747474747E-5</v>
      </c>
      <c r="CL124" s="6">
        <v>-2.4936699999999999E-3</v>
      </c>
      <c r="CM124" s="6">
        <v>-2.0852969999999998E-3</v>
      </c>
      <c r="CN124" s="6">
        <v>4.1249797979797987E-5</v>
      </c>
      <c r="CO124" s="6">
        <v>-2.378911E-3</v>
      </c>
      <c r="CP124" s="6">
        <v>-1.939119E-3</v>
      </c>
      <c r="CQ124" s="6">
        <v>4.4423434343434345E-5</v>
      </c>
      <c r="CR124" s="6">
        <v>-2.4889030000000002E-3</v>
      </c>
      <c r="CS124" s="6">
        <v>-2.0838240000000002E-3</v>
      </c>
      <c r="CT124" s="6">
        <v>4.0917070707070707E-5</v>
      </c>
      <c r="CU124" s="6">
        <v>-2.381668E-3</v>
      </c>
      <c r="CV124" s="6">
        <v>-1.939964E-3</v>
      </c>
      <c r="CW124" s="6">
        <v>4.4616565656565656E-5</v>
      </c>
      <c r="CX124" s="6">
        <v>-2.255005E-3</v>
      </c>
      <c r="CY124" s="6">
        <v>-1.9435399999999999E-3</v>
      </c>
      <c r="CZ124" s="6">
        <v>3.1461111111111125E-5</v>
      </c>
      <c r="DA124" s="6">
        <v>-2.3697639999999999E-3</v>
      </c>
      <c r="DB124" s="6">
        <v>-2.089718E-3</v>
      </c>
      <c r="DC124" s="6">
        <v>2.828747474747474E-5</v>
      </c>
      <c r="DD124" s="6">
        <v>-2.2597720000000002E-3</v>
      </c>
      <c r="DE124" s="6">
        <v>-1.945013E-3</v>
      </c>
      <c r="DF124" s="6">
        <v>3.1793838383838399E-5</v>
      </c>
      <c r="DG124" s="6">
        <v>-2.367007E-3</v>
      </c>
      <c r="DH124" s="6">
        <v>-2.0888730000000002E-3</v>
      </c>
      <c r="DI124" s="6">
        <v>2.8094343434343409E-5</v>
      </c>
    </row>
    <row r="125" spans="1:113" x14ac:dyDescent="0.3">
      <c r="A125" s="13" t="s">
        <v>471</v>
      </c>
      <c r="B125" s="13" t="s">
        <v>191</v>
      </c>
      <c r="C125" s="13" t="s">
        <v>192</v>
      </c>
      <c r="D125" s="13" t="s">
        <v>347</v>
      </c>
      <c r="E125" s="13">
        <v>9.9</v>
      </c>
      <c r="F125" s="6">
        <v>-2.0637379999999999E-3</v>
      </c>
      <c r="G125" s="6">
        <v>-1.5951050000000001E-3</v>
      </c>
      <c r="H125" s="6">
        <v>4.7336666666666643E-5</v>
      </c>
      <c r="I125" s="6">
        <v>-2.9686949999999999E-3</v>
      </c>
      <c r="J125" s="6">
        <v>-2.060044E-3</v>
      </c>
      <c r="K125" s="6">
        <v>9.178292929292928E-5</v>
      </c>
      <c r="L125" s="6">
        <v>-2.6760270000000001E-3</v>
      </c>
      <c r="M125" s="6">
        <v>-1.9905690000000002E-3</v>
      </c>
      <c r="N125" s="6">
        <v>6.9238181818181811E-5</v>
      </c>
      <c r="O125" s="6">
        <v>-3.5518289999999998E-3</v>
      </c>
      <c r="P125" s="6">
        <v>-2.4366739999999998E-3</v>
      </c>
      <c r="Q125" s="6">
        <v>1.1264191919191919E-4</v>
      </c>
      <c r="R125" s="6">
        <v>-3.875426E-3</v>
      </c>
      <c r="S125" s="6">
        <v>-2.5446990000000001E-3</v>
      </c>
      <c r="T125" s="6">
        <v>1.3441686868686866E-4</v>
      </c>
      <c r="U125" s="6">
        <v>-3.4266320000000002E-3</v>
      </c>
      <c r="V125" s="6">
        <v>-2.3862309999999999E-3</v>
      </c>
      <c r="W125" s="6">
        <v>1.0509101010101012E-4</v>
      </c>
      <c r="X125" s="6">
        <v>-3.9097239999999998E-3</v>
      </c>
      <c r="Y125" s="6">
        <v>-2.5403069999999999E-3</v>
      </c>
      <c r="Z125" s="6">
        <v>1.3832494949494949E-4</v>
      </c>
      <c r="AA125" s="6">
        <v>-3.410906E-3</v>
      </c>
      <c r="AB125" s="6">
        <v>-2.354582E-3</v>
      </c>
      <c r="AC125" s="6">
        <v>1.0669939393939394E-4</v>
      </c>
      <c r="AD125" s="6">
        <v>-2.988264E-3</v>
      </c>
      <c r="AE125" s="6">
        <v>-2.2051240000000001E-3</v>
      </c>
      <c r="AF125" s="6">
        <v>7.9105050505050495E-5</v>
      </c>
      <c r="AG125" s="6">
        <v>-3.4350470000000001E-3</v>
      </c>
      <c r="AH125" s="6">
        <v>-2.397634E-3</v>
      </c>
      <c r="AI125" s="6">
        <v>1.0478919191919193E-4</v>
      </c>
      <c r="AJ125" s="6">
        <v>-2.9539660000000001E-3</v>
      </c>
      <c r="AK125" s="6">
        <v>-2.2095159999999999E-3</v>
      </c>
      <c r="AL125" s="6">
        <v>7.5196969696969724E-5</v>
      </c>
      <c r="AM125" s="6">
        <v>-3.452784E-3</v>
      </c>
      <c r="AN125" s="6">
        <v>-2.3952410000000002E-3</v>
      </c>
      <c r="AO125" s="6">
        <v>1.0682252525252522E-4</v>
      </c>
      <c r="AP125" s="6">
        <v>-3.5322610000000001E-3</v>
      </c>
      <c r="AQ125" s="6">
        <v>-2.291595E-3</v>
      </c>
      <c r="AR125" s="6">
        <v>1.2531979797979797E-4</v>
      </c>
      <c r="AS125" s="6">
        <v>-3.085478E-3</v>
      </c>
      <c r="AT125" s="6">
        <v>-2.0990850000000001E-3</v>
      </c>
      <c r="AU125" s="6">
        <v>9.9635656565656556E-5</v>
      </c>
      <c r="AV125" s="6">
        <v>-3.566559E-3</v>
      </c>
      <c r="AW125" s="6">
        <v>-2.2872019999999999E-3</v>
      </c>
      <c r="AX125" s="6">
        <v>1.292279797979798E-4</v>
      </c>
      <c r="AY125" s="6">
        <v>-3.0677399999999998E-3</v>
      </c>
      <c r="AZ125" s="6">
        <v>-2.101477E-3</v>
      </c>
      <c r="BA125" s="6">
        <v>9.7602323232323209E-5</v>
      </c>
      <c r="BB125" s="6">
        <v>-2.6450979999999998E-3</v>
      </c>
      <c r="BC125" s="6">
        <v>-1.9520189999999999E-3</v>
      </c>
      <c r="BD125" s="6">
        <v>7.0007979797979779E-5</v>
      </c>
      <c r="BE125" s="6">
        <v>-3.0918809999999999E-3</v>
      </c>
      <c r="BF125" s="6">
        <v>-2.1445290000000001E-3</v>
      </c>
      <c r="BG125" s="6">
        <v>9.5692121212121196E-5</v>
      </c>
      <c r="BH125" s="6">
        <v>-2.6107999999999999E-3</v>
      </c>
      <c r="BI125" s="6">
        <v>-1.9564109999999999E-3</v>
      </c>
      <c r="BJ125" s="6">
        <v>6.6099898989898994E-5</v>
      </c>
      <c r="BK125" s="6">
        <v>-3.1096180000000002E-3</v>
      </c>
      <c r="BL125" s="6">
        <v>-2.1421360000000002E-3</v>
      </c>
      <c r="BM125" s="6">
        <v>9.7725454545454543E-5</v>
      </c>
      <c r="BN125" s="6">
        <v>-3.9652799999999998E-3</v>
      </c>
      <c r="BO125" s="6">
        <v>-2.7211370000000002E-3</v>
      </c>
      <c r="BP125" s="6">
        <v>1.2567101010101006E-4</v>
      </c>
      <c r="BQ125" s="6">
        <v>-3.8312440000000001E-3</v>
      </c>
      <c r="BR125" s="6">
        <v>-2.663384E-3</v>
      </c>
      <c r="BS125" s="6">
        <v>1.1796565656565658E-4</v>
      </c>
      <c r="BT125" s="6">
        <v>-3.975569E-3</v>
      </c>
      <c r="BU125" s="6">
        <v>-2.7198190000000001E-3</v>
      </c>
      <c r="BV125" s="6">
        <v>1.2684343434343434E-4</v>
      </c>
      <c r="BW125" s="6">
        <v>-3.8259230000000002E-3</v>
      </c>
      <c r="BX125" s="6">
        <v>-2.6641019999999998E-3</v>
      </c>
      <c r="BY125" s="6">
        <v>1.173556565656566E-4</v>
      </c>
      <c r="BZ125" s="6">
        <v>-3.699131E-3</v>
      </c>
      <c r="CA125" s="6">
        <v>-2.6192640000000001E-3</v>
      </c>
      <c r="CB125" s="6">
        <v>1.0907747474747474E-4</v>
      </c>
      <c r="CC125" s="6">
        <v>-3.8331659999999998E-3</v>
      </c>
      <c r="CD125" s="6">
        <v>-2.6770169999999999E-3</v>
      </c>
      <c r="CE125" s="6">
        <v>1.1678272727272726E-4</v>
      </c>
      <c r="CF125" s="6">
        <v>-3.688841E-3</v>
      </c>
      <c r="CG125" s="6">
        <v>-2.6205820000000002E-3</v>
      </c>
      <c r="CH125" s="6">
        <v>1.0790494949494946E-4</v>
      </c>
      <c r="CI125" s="6">
        <v>-3.8384869999999998E-3</v>
      </c>
      <c r="CJ125" s="6">
        <v>-2.676299E-3</v>
      </c>
      <c r="CK125" s="6">
        <v>1.1739272727272725E-4</v>
      </c>
      <c r="CL125" s="6">
        <v>-2.8213940000000001E-3</v>
      </c>
      <c r="CM125" s="6">
        <v>-1.877454E-3</v>
      </c>
      <c r="CN125" s="6">
        <v>9.5347474747474752E-5</v>
      </c>
      <c r="CO125" s="6">
        <v>-2.6873589999999998E-3</v>
      </c>
      <c r="CP125" s="6">
        <v>-1.819701E-3</v>
      </c>
      <c r="CQ125" s="6">
        <v>8.7642222222222203E-5</v>
      </c>
      <c r="CR125" s="6">
        <v>-2.8316830000000002E-3</v>
      </c>
      <c r="CS125" s="6">
        <v>-1.876136E-3</v>
      </c>
      <c r="CT125" s="6">
        <v>9.6519898989899005E-5</v>
      </c>
      <c r="CU125" s="6">
        <v>-2.6820379999999999E-3</v>
      </c>
      <c r="CV125" s="6">
        <v>-1.820419E-3</v>
      </c>
      <c r="CW125" s="6">
        <v>8.7032222222222208E-5</v>
      </c>
      <c r="CX125" s="6">
        <v>-2.5552449999999998E-3</v>
      </c>
      <c r="CY125" s="6">
        <v>-1.775581E-3</v>
      </c>
      <c r="CZ125" s="6">
        <v>7.8753939393939369E-5</v>
      </c>
      <c r="DA125" s="6">
        <v>-2.6892800000000001E-3</v>
      </c>
      <c r="DB125" s="6">
        <v>-1.833334E-3</v>
      </c>
      <c r="DC125" s="6">
        <v>8.6459191919191917E-5</v>
      </c>
      <c r="DD125" s="6">
        <v>-2.5449560000000001E-3</v>
      </c>
      <c r="DE125" s="6">
        <v>-1.776899E-3</v>
      </c>
      <c r="DF125" s="6">
        <v>7.758151515151517E-5</v>
      </c>
      <c r="DG125" s="6">
        <v>-2.694601E-3</v>
      </c>
      <c r="DH125" s="6">
        <v>-1.832616E-3</v>
      </c>
      <c r="DI125" s="6">
        <v>8.7069191919191913E-5</v>
      </c>
    </row>
    <row r="126" spans="1:113" x14ac:dyDescent="0.3">
      <c r="A126" s="13" t="s">
        <v>472</v>
      </c>
      <c r="B126" s="13" t="s">
        <v>232</v>
      </c>
      <c r="C126" s="13" t="s">
        <v>233</v>
      </c>
      <c r="D126" s="13" t="s">
        <v>347</v>
      </c>
      <c r="E126" s="13">
        <v>9.9</v>
      </c>
      <c r="F126" s="6">
        <v>-1.4108860000000001E-3</v>
      </c>
      <c r="G126" s="6">
        <v>-1.5067780000000001E-3</v>
      </c>
      <c r="H126" s="6">
        <v>9.6860606060606043E-6</v>
      </c>
      <c r="I126" s="6">
        <v>-2.1139510000000002E-3</v>
      </c>
      <c r="J126" s="6">
        <v>-1.9493620000000001E-3</v>
      </c>
      <c r="K126" s="6">
        <v>1.6625151515151527E-5</v>
      </c>
      <c r="L126" s="6">
        <v>-2.021396E-3</v>
      </c>
      <c r="M126" s="6">
        <v>-1.9011099999999999E-3</v>
      </c>
      <c r="N126" s="6">
        <v>1.2150101010101014E-5</v>
      </c>
      <c r="O126" s="6">
        <v>-2.6953900000000002E-3</v>
      </c>
      <c r="P126" s="6">
        <v>-2.3249149999999999E-3</v>
      </c>
      <c r="Q126" s="6">
        <v>3.7421717171717202E-5</v>
      </c>
      <c r="R126" s="6">
        <v>-2.8379709999999999E-3</v>
      </c>
      <c r="S126" s="6">
        <v>-2.4617129999999999E-3</v>
      </c>
      <c r="T126" s="6">
        <v>3.8005858585858585E-5</v>
      </c>
      <c r="U126" s="6">
        <v>-2.5568990000000001E-3</v>
      </c>
      <c r="V126" s="6">
        <v>-2.432184E-3</v>
      </c>
      <c r="W126" s="6">
        <v>1.2597474747474754E-5</v>
      </c>
      <c r="X126" s="6">
        <v>-2.8859609999999998E-3</v>
      </c>
      <c r="Y126" s="6">
        <v>-2.4578529999999999E-3</v>
      </c>
      <c r="Z126" s="6">
        <v>4.324323232323232E-5</v>
      </c>
      <c r="AA126" s="6">
        <v>-2.5328490000000002E-3</v>
      </c>
      <c r="AB126" s="6">
        <v>-2.4218870000000002E-3</v>
      </c>
      <c r="AC126" s="6">
        <v>1.1208282828282833E-5</v>
      </c>
      <c r="AD126" s="6">
        <v>-2.2359160000000001E-3</v>
      </c>
      <c r="AE126" s="6">
        <v>-2.0548939999999998E-3</v>
      </c>
      <c r="AF126" s="6">
        <v>1.8285050505050536E-5</v>
      </c>
      <c r="AG126" s="6">
        <v>-2.514685E-3</v>
      </c>
      <c r="AH126" s="6">
        <v>-2.0967949999999998E-3</v>
      </c>
      <c r="AI126" s="6">
        <v>4.2211111111111129E-5</v>
      </c>
      <c r="AJ126" s="6">
        <v>-2.1879270000000001E-3</v>
      </c>
      <c r="AK126" s="6">
        <v>-2.058753E-3</v>
      </c>
      <c r="AL126" s="6">
        <v>1.3047878787878801E-5</v>
      </c>
      <c r="AM126" s="6">
        <v>-2.5410390000000001E-3</v>
      </c>
      <c r="AN126" s="6">
        <v>-2.0947190000000001E-3</v>
      </c>
      <c r="AO126" s="6">
        <v>4.5082828282828284E-5</v>
      </c>
      <c r="AP126" s="6">
        <v>-2.5734249999999998E-3</v>
      </c>
      <c r="AQ126" s="6">
        <v>-2.219384E-3</v>
      </c>
      <c r="AR126" s="6">
        <v>3.5761717171717153E-5</v>
      </c>
      <c r="AS126" s="6">
        <v>-2.2946569999999999E-3</v>
      </c>
      <c r="AT126" s="6">
        <v>-2.1774820000000001E-3</v>
      </c>
      <c r="AU126" s="6">
        <v>1.1835858585858559E-5</v>
      </c>
      <c r="AV126" s="6">
        <v>-2.6214150000000002E-3</v>
      </c>
      <c r="AW126" s="6">
        <v>-2.215524E-3</v>
      </c>
      <c r="AX126" s="6">
        <v>4.0999090909090929E-5</v>
      </c>
      <c r="AY126" s="6">
        <v>-2.2683030000000002E-3</v>
      </c>
      <c r="AZ126" s="6">
        <v>-2.1795579999999998E-3</v>
      </c>
      <c r="BA126" s="6">
        <v>8.9641414141414451E-6</v>
      </c>
      <c r="BB126" s="6">
        <v>-1.971371E-3</v>
      </c>
      <c r="BC126" s="6">
        <v>-1.8125649999999999E-3</v>
      </c>
      <c r="BD126" s="6">
        <v>1.6041010101010107E-5</v>
      </c>
      <c r="BE126" s="6">
        <v>-2.250139E-3</v>
      </c>
      <c r="BF126" s="6">
        <v>-1.8544659999999999E-3</v>
      </c>
      <c r="BG126" s="6">
        <v>3.9966969696969697E-5</v>
      </c>
      <c r="BH126" s="6">
        <v>-1.923381E-3</v>
      </c>
      <c r="BI126" s="6">
        <v>-1.8164240000000001E-3</v>
      </c>
      <c r="BJ126" s="6">
        <v>1.0803737373737371E-5</v>
      </c>
      <c r="BK126" s="6">
        <v>-2.2764930000000001E-3</v>
      </c>
      <c r="BL126" s="6">
        <v>-1.85239E-3</v>
      </c>
      <c r="BM126" s="6">
        <v>4.2838686868686879E-5</v>
      </c>
      <c r="BN126" s="6">
        <v>-2.9358890000000001E-3</v>
      </c>
      <c r="BO126" s="6">
        <v>-2.6020430000000001E-3</v>
      </c>
      <c r="BP126" s="6">
        <v>3.3721818181818186E-5</v>
      </c>
      <c r="BQ126" s="6">
        <v>-2.8522589999999998E-3</v>
      </c>
      <c r="BR126" s="6">
        <v>-2.5894730000000001E-3</v>
      </c>
      <c r="BS126" s="6">
        <v>2.6544040404040369E-5</v>
      </c>
      <c r="BT126" s="6">
        <v>-2.9502859999999999E-3</v>
      </c>
      <c r="BU126" s="6">
        <v>-2.6008849999999998E-3</v>
      </c>
      <c r="BV126" s="6">
        <v>3.5293030303030304E-5</v>
      </c>
      <c r="BW126" s="6">
        <v>-2.8443520000000001E-3</v>
      </c>
      <c r="BX126" s="6">
        <v>-2.5900960000000001E-3</v>
      </c>
      <c r="BY126" s="6">
        <v>2.5682424242424244E-5</v>
      </c>
      <c r="BZ126" s="6">
        <v>-2.755272E-3</v>
      </c>
      <c r="CA126" s="6">
        <v>-2.4799969999999998E-3</v>
      </c>
      <c r="CB126" s="6">
        <v>2.7805555555555571E-5</v>
      </c>
      <c r="CC126" s="6">
        <v>-2.8389029999999998E-3</v>
      </c>
      <c r="CD126" s="6">
        <v>-2.4925680000000001E-3</v>
      </c>
      <c r="CE126" s="6">
        <v>3.49833333333333E-5</v>
      </c>
      <c r="CF126" s="6">
        <v>-2.7408760000000002E-3</v>
      </c>
      <c r="CG126" s="6">
        <v>-2.4811550000000001E-3</v>
      </c>
      <c r="CH126" s="6">
        <v>2.6234444444444453E-5</v>
      </c>
      <c r="CI126" s="6">
        <v>-2.8468090000000001E-3</v>
      </c>
      <c r="CJ126" s="6">
        <v>-2.4919450000000002E-3</v>
      </c>
      <c r="CK126" s="6">
        <v>3.5844848484848473E-5</v>
      </c>
      <c r="CL126" s="6">
        <v>-2.0540689999999999E-3</v>
      </c>
      <c r="CM126" s="6">
        <v>-1.7942800000000001E-3</v>
      </c>
      <c r="CN126" s="6">
        <v>2.6241313131313117E-5</v>
      </c>
      <c r="CO126" s="6">
        <v>-1.970439E-3</v>
      </c>
      <c r="CP126" s="6">
        <v>-1.781709E-3</v>
      </c>
      <c r="CQ126" s="6">
        <v>1.9063636363636364E-5</v>
      </c>
      <c r="CR126" s="6">
        <v>-2.0684660000000001E-3</v>
      </c>
      <c r="CS126" s="6">
        <v>-1.7931220000000001E-3</v>
      </c>
      <c r="CT126" s="6">
        <v>2.7812525252525258E-5</v>
      </c>
      <c r="CU126" s="6">
        <v>-1.9625329999999998E-3</v>
      </c>
      <c r="CV126" s="6">
        <v>-1.782332E-3</v>
      </c>
      <c r="CW126" s="6">
        <v>1.8202121212121194E-5</v>
      </c>
      <c r="CX126" s="6">
        <v>-1.873453E-3</v>
      </c>
      <c r="CY126" s="6">
        <v>-1.6722340000000001E-3</v>
      </c>
      <c r="CZ126" s="6">
        <v>2.0325151515151502E-5</v>
      </c>
      <c r="DA126" s="6">
        <v>-1.9570830000000001E-3</v>
      </c>
      <c r="DB126" s="6">
        <v>-1.684804E-3</v>
      </c>
      <c r="DC126" s="6">
        <v>2.7502929292929299E-5</v>
      </c>
      <c r="DD126" s="6">
        <v>-1.859056E-3</v>
      </c>
      <c r="DE126" s="6">
        <v>-1.6733919999999999E-3</v>
      </c>
      <c r="DF126" s="6">
        <v>1.8753939393939405E-5</v>
      </c>
      <c r="DG126" s="6">
        <v>-1.9649899999999998E-3</v>
      </c>
      <c r="DH126" s="6">
        <v>-1.684182E-3</v>
      </c>
      <c r="DI126" s="6">
        <v>2.8364444444444424E-5</v>
      </c>
    </row>
    <row r="127" spans="1:113" x14ac:dyDescent="0.3">
      <c r="A127" s="13" t="s">
        <v>473</v>
      </c>
      <c r="B127" s="13" t="s">
        <v>270</v>
      </c>
      <c r="C127" s="13" t="s">
        <v>271</v>
      </c>
      <c r="D127" s="13" t="s">
        <v>347</v>
      </c>
      <c r="E127" s="13">
        <v>9.9</v>
      </c>
      <c r="F127" s="6">
        <v>-1.0130639999999999E-3</v>
      </c>
      <c r="G127" s="6">
        <v>-1.4493279999999999E-3</v>
      </c>
      <c r="H127" s="6">
        <v>4.4067070707070709E-5</v>
      </c>
      <c r="I127" s="6">
        <v>-1.594924E-3</v>
      </c>
      <c r="J127" s="6">
        <v>-1.8559959999999999E-3</v>
      </c>
      <c r="K127" s="6">
        <v>2.6370909090909088E-5</v>
      </c>
      <c r="L127" s="6">
        <v>-1.637028E-3</v>
      </c>
      <c r="M127" s="6">
        <v>-1.8401839999999999E-3</v>
      </c>
      <c r="N127" s="6">
        <v>2.0520808080808072E-5</v>
      </c>
      <c r="O127" s="6">
        <v>-2.189177E-3</v>
      </c>
      <c r="P127" s="6">
        <v>-2.228238E-3</v>
      </c>
      <c r="Q127" s="6">
        <v>3.9455555555555509E-6</v>
      </c>
      <c r="R127" s="6">
        <v>-2.242267E-3</v>
      </c>
      <c r="S127" s="6">
        <v>-2.447781E-3</v>
      </c>
      <c r="T127" s="6">
        <v>2.0758989898989893E-5</v>
      </c>
      <c r="U127" s="6">
        <v>-2.1847730000000001E-3</v>
      </c>
      <c r="V127" s="6">
        <v>-2.46488E-3</v>
      </c>
      <c r="W127" s="6">
        <v>2.8293636363636355E-5</v>
      </c>
      <c r="X127" s="6">
        <v>-2.2811020000000001E-3</v>
      </c>
      <c r="Y127" s="6">
        <v>-2.4454059999999998E-3</v>
      </c>
      <c r="Z127" s="6">
        <v>1.6596363636363603E-5</v>
      </c>
      <c r="AA127" s="6">
        <v>-2.1599089999999998E-3</v>
      </c>
      <c r="AB127" s="6">
        <v>-2.4646630000000002E-3</v>
      </c>
      <c r="AC127" s="6">
        <v>3.0783232323232361E-5</v>
      </c>
      <c r="AD127" s="6">
        <v>-1.7607409999999999E-3</v>
      </c>
      <c r="AE127" s="6">
        <v>-1.8713460000000001E-3</v>
      </c>
      <c r="AF127" s="6">
        <v>1.1172222222222239E-5</v>
      </c>
      <c r="AG127" s="6">
        <v>-1.820707E-3</v>
      </c>
      <c r="AH127" s="6">
        <v>-1.855747E-3</v>
      </c>
      <c r="AI127" s="6">
        <v>3.5393939393939466E-6</v>
      </c>
      <c r="AJ127" s="6">
        <v>-1.7219049999999999E-3</v>
      </c>
      <c r="AK127" s="6">
        <v>-1.8737210000000001E-3</v>
      </c>
      <c r="AL127" s="6">
        <v>1.5334949494949508E-5</v>
      </c>
      <c r="AM127" s="6">
        <v>-1.843098E-3</v>
      </c>
      <c r="AN127" s="6">
        <v>-1.854463E-3</v>
      </c>
      <c r="AO127" s="6">
        <v>1.1479797979797922E-6</v>
      </c>
      <c r="AP127" s="6">
        <v>-2.0233600000000001E-3</v>
      </c>
      <c r="AQ127" s="6">
        <v>-2.2128880000000001E-3</v>
      </c>
      <c r="AR127" s="6">
        <v>1.9144242424242425E-5</v>
      </c>
      <c r="AS127" s="6">
        <v>-1.9633939999999998E-3</v>
      </c>
      <c r="AT127" s="6">
        <v>-2.2284869999999999E-3</v>
      </c>
      <c r="AU127" s="6">
        <v>2.6777070707070717E-5</v>
      </c>
      <c r="AV127" s="6">
        <v>-2.0621960000000001E-3</v>
      </c>
      <c r="AW127" s="6">
        <v>-2.2105129999999999E-3</v>
      </c>
      <c r="AX127" s="6">
        <v>1.4981515151515131E-5</v>
      </c>
      <c r="AY127" s="6">
        <v>-1.941003E-3</v>
      </c>
      <c r="AZ127" s="6">
        <v>-2.2297699999999998E-3</v>
      </c>
      <c r="BA127" s="6">
        <v>2.9168383838383826E-5</v>
      </c>
      <c r="BB127" s="6">
        <v>-1.541834E-3</v>
      </c>
      <c r="BC127" s="6">
        <v>-1.636453E-3</v>
      </c>
      <c r="BD127" s="6">
        <v>9.5574747474747462E-6</v>
      </c>
      <c r="BE127" s="6">
        <v>-1.6018009999999999E-3</v>
      </c>
      <c r="BF127" s="6">
        <v>-1.6208539999999999E-3</v>
      </c>
      <c r="BG127" s="6">
        <v>1.9245454545454539E-6</v>
      </c>
      <c r="BH127" s="6">
        <v>-1.5029990000000001E-3</v>
      </c>
      <c r="BI127" s="6">
        <v>-1.6388279999999999E-3</v>
      </c>
      <c r="BJ127" s="6">
        <v>1.3720101010100995E-5</v>
      </c>
      <c r="BK127" s="6">
        <v>-1.624192E-3</v>
      </c>
      <c r="BL127" s="6">
        <v>-1.619571E-3</v>
      </c>
      <c r="BM127" s="6">
        <v>4.6676767676767764E-7</v>
      </c>
      <c r="BN127" s="6">
        <v>-2.3291229999999998E-3</v>
      </c>
      <c r="BO127" s="6">
        <v>-2.5200700000000001E-3</v>
      </c>
      <c r="BP127" s="6">
        <v>1.9287575757575792E-5</v>
      </c>
      <c r="BQ127" s="6">
        <v>-2.3111329999999999E-3</v>
      </c>
      <c r="BR127" s="6">
        <v>-2.5247500000000001E-3</v>
      </c>
      <c r="BS127" s="6">
        <v>2.1577474747474762E-5</v>
      </c>
      <c r="BT127" s="6">
        <v>-2.3407739999999999E-3</v>
      </c>
      <c r="BU127" s="6">
        <v>-2.5193580000000002E-3</v>
      </c>
      <c r="BV127" s="6">
        <v>1.8038787878787909E-5</v>
      </c>
      <c r="BW127" s="6">
        <v>-2.3044160000000001E-3</v>
      </c>
      <c r="BX127" s="6">
        <v>-2.525135E-3</v>
      </c>
      <c r="BY127" s="6">
        <v>2.2294848484848469E-5</v>
      </c>
      <c r="BZ127" s="6">
        <v>-2.1846650000000001E-3</v>
      </c>
      <c r="CA127" s="6">
        <v>-2.3471400000000002E-3</v>
      </c>
      <c r="CB127" s="6">
        <v>1.6411616161616164E-5</v>
      </c>
      <c r="CC127" s="6">
        <v>-2.202655E-3</v>
      </c>
      <c r="CD127" s="6">
        <v>-2.3424600000000002E-3</v>
      </c>
      <c r="CE127" s="6">
        <v>1.4121717171717194E-5</v>
      </c>
      <c r="CF127" s="6">
        <v>-2.1730149999999999E-3</v>
      </c>
      <c r="CG127" s="6">
        <v>-2.3478520000000001E-3</v>
      </c>
      <c r="CH127" s="6">
        <v>1.7660303030303047E-5</v>
      </c>
      <c r="CI127" s="6">
        <v>-2.2093719999999998E-3</v>
      </c>
      <c r="CJ127" s="6">
        <v>-2.3420749999999999E-3</v>
      </c>
      <c r="CK127" s="6">
        <v>1.3404343434343441E-5</v>
      </c>
      <c r="CL127" s="6">
        <v>-1.5994360000000001E-3</v>
      </c>
      <c r="CM127" s="6">
        <v>-1.737094E-3</v>
      </c>
      <c r="CN127" s="6">
        <v>1.3904848484848477E-5</v>
      </c>
      <c r="CO127" s="6">
        <v>-1.581446E-3</v>
      </c>
      <c r="CP127" s="6">
        <v>-1.741774E-3</v>
      </c>
      <c r="CQ127" s="6">
        <v>1.619474747474747E-5</v>
      </c>
      <c r="CR127" s="6">
        <v>-1.6110860000000001E-3</v>
      </c>
      <c r="CS127" s="6">
        <v>-1.7363820000000001E-3</v>
      </c>
      <c r="CT127" s="6">
        <v>1.2656161616161616E-5</v>
      </c>
      <c r="CU127" s="6">
        <v>-1.574729E-3</v>
      </c>
      <c r="CV127" s="6">
        <v>-1.7421590000000001E-3</v>
      </c>
      <c r="CW127" s="6">
        <v>1.6912121212121222E-5</v>
      </c>
      <c r="CX127" s="6">
        <v>-1.454978E-3</v>
      </c>
      <c r="CY127" s="6">
        <v>-1.564164E-3</v>
      </c>
      <c r="CZ127" s="6">
        <v>1.1028888888888893E-5</v>
      </c>
      <c r="DA127" s="6">
        <v>-1.4729680000000001E-3</v>
      </c>
      <c r="DB127" s="6">
        <v>-1.5594840000000001E-3</v>
      </c>
      <c r="DC127" s="6">
        <v>8.7389898989899012E-6</v>
      </c>
      <c r="DD127" s="6">
        <v>-1.443328E-3</v>
      </c>
      <c r="DE127" s="6">
        <v>-1.564876E-3</v>
      </c>
      <c r="DF127" s="6">
        <v>1.2277575757575754E-5</v>
      </c>
      <c r="DG127" s="6">
        <v>-1.4796849999999999E-3</v>
      </c>
      <c r="DH127" s="6">
        <v>-1.559099E-3</v>
      </c>
      <c r="DI127" s="6">
        <v>8.0216161616161699E-6</v>
      </c>
    </row>
    <row r="128" spans="1:113" x14ac:dyDescent="0.3">
      <c r="A128" s="13" t="s">
        <v>474</v>
      </c>
      <c r="B128" s="13" t="s">
        <v>293</v>
      </c>
      <c r="C128" s="13" t="s">
        <v>327</v>
      </c>
      <c r="D128" s="13" t="s">
        <v>347</v>
      </c>
      <c r="E128" s="13">
        <v>5.75</v>
      </c>
      <c r="F128" s="6">
        <v>-3.7497970000000002E-4</v>
      </c>
      <c r="G128" s="6">
        <v>-1.3793799999999999E-3</v>
      </c>
      <c r="H128" s="6">
        <v>1.7467831304347826E-4</v>
      </c>
      <c r="I128" s="6">
        <v>-6.9620629999999999E-4</v>
      </c>
      <c r="J128" s="6">
        <v>-1.731841E-3</v>
      </c>
      <c r="K128" s="6">
        <v>1.8011038260869563E-4</v>
      </c>
      <c r="L128" s="6">
        <v>-9.6568089999999999E-4</v>
      </c>
      <c r="M128" s="6">
        <v>-1.7650999999999999E-3</v>
      </c>
      <c r="N128" s="6">
        <v>1.3902940869565215E-4</v>
      </c>
      <c r="O128" s="6">
        <v>-1.258779E-3</v>
      </c>
      <c r="P128" s="6">
        <v>-2.0991849999999999E-3</v>
      </c>
      <c r="Q128" s="6">
        <v>1.4615756521739129E-4</v>
      </c>
      <c r="R128" s="6">
        <v>-1.2010129999999999E-3</v>
      </c>
      <c r="S128" s="6">
        <v>-2.3433299999999998E-3</v>
      </c>
      <c r="T128" s="6">
        <v>1.9866382608695651E-4</v>
      </c>
      <c r="U128" s="6">
        <v>-1.229511E-3</v>
      </c>
      <c r="V128" s="6">
        <v>-2.3797089999999998E-3</v>
      </c>
      <c r="W128" s="6">
        <v>2.0003443478260868E-4</v>
      </c>
      <c r="X128" s="6">
        <v>-1.216504E-3</v>
      </c>
      <c r="Y128" s="6">
        <v>-2.3422439999999998E-3</v>
      </c>
      <c r="Z128" s="6">
        <v>1.9578086956521736E-4</v>
      </c>
      <c r="AA128" s="6">
        <v>-1.218245E-3</v>
      </c>
      <c r="AB128" s="6">
        <v>-2.384611E-3</v>
      </c>
      <c r="AC128" s="6">
        <v>2.0284626086956522E-4</v>
      </c>
      <c r="AD128" s="6">
        <v>-8.9111940000000003E-4</v>
      </c>
      <c r="AE128" s="6">
        <v>-1.713394E-3</v>
      </c>
      <c r="AF128" s="6">
        <v>1.4300427826086958E-4</v>
      </c>
      <c r="AG128" s="6">
        <v>-8.6489740000000002E-4</v>
      </c>
      <c r="AH128" s="6">
        <v>-1.6727070000000001E-3</v>
      </c>
      <c r="AI128" s="6">
        <v>1.4048862608695653E-4</v>
      </c>
      <c r="AJ128" s="6">
        <v>-8.756282E-4</v>
      </c>
      <c r="AK128" s="6">
        <v>-1.71448E-3</v>
      </c>
      <c r="AL128" s="6">
        <v>1.4588726956521738E-4</v>
      </c>
      <c r="AM128" s="6">
        <v>-8.7388720000000002E-4</v>
      </c>
      <c r="AN128" s="6">
        <v>-1.672113E-3</v>
      </c>
      <c r="AO128" s="6">
        <v>1.3882187826086957E-4</v>
      </c>
      <c r="AP128" s="6">
        <v>-1.0638659999999999E-3</v>
      </c>
      <c r="AQ128" s="6">
        <v>-2.1176319999999999E-3</v>
      </c>
      <c r="AR128" s="6">
        <v>1.8326365217391304E-4</v>
      </c>
      <c r="AS128" s="6">
        <v>-1.0900879999999999E-3</v>
      </c>
      <c r="AT128" s="6">
        <v>-2.15832E-3</v>
      </c>
      <c r="AU128" s="6">
        <v>1.8577947826086959E-4</v>
      </c>
      <c r="AV128" s="6">
        <v>-1.079357E-3</v>
      </c>
      <c r="AW128" s="6">
        <v>-2.116546E-3</v>
      </c>
      <c r="AX128" s="6">
        <v>1.8038069565217392E-4</v>
      </c>
      <c r="AY128" s="6">
        <v>-1.081098E-3</v>
      </c>
      <c r="AZ128" s="6">
        <v>-2.1589130000000002E-3</v>
      </c>
      <c r="BA128" s="6">
        <v>1.8744608695652178E-4</v>
      </c>
      <c r="BB128" s="6">
        <v>-7.5397240000000003E-4</v>
      </c>
      <c r="BC128" s="6">
        <v>-1.4876959999999999E-3</v>
      </c>
      <c r="BD128" s="6">
        <v>1.2760410434782608E-4</v>
      </c>
      <c r="BE128" s="6">
        <v>-7.2775050000000005E-4</v>
      </c>
      <c r="BF128" s="6">
        <v>-1.447009E-3</v>
      </c>
      <c r="BG128" s="6">
        <v>1.2508843478260868E-4</v>
      </c>
      <c r="BH128" s="6">
        <v>-7.3848130000000003E-4</v>
      </c>
      <c r="BI128" s="6">
        <v>-1.4887819999999999E-3</v>
      </c>
      <c r="BJ128" s="6">
        <v>1.3048707826086953E-4</v>
      </c>
      <c r="BK128" s="6">
        <v>-7.3674030000000004E-4</v>
      </c>
      <c r="BL128" s="6">
        <v>-1.4464149999999999E-3</v>
      </c>
      <c r="BM128" s="6">
        <v>1.2342168695652172E-4</v>
      </c>
      <c r="BN128" s="6">
        <v>-1.252555E-3</v>
      </c>
      <c r="BO128" s="6">
        <v>-2.3861659999999999E-3</v>
      </c>
      <c r="BP128" s="6">
        <v>1.9714973913043476E-4</v>
      </c>
      <c r="BQ128" s="6">
        <v>-1.2604210000000001E-3</v>
      </c>
      <c r="BR128" s="6">
        <v>-2.3983720000000002E-3</v>
      </c>
      <c r="BS128" s="6">
        <v>1.9790452173913046E-4</v>
      </c>
      <c r="BT128" s="6">
        <v>-1.257202E-3</v>
      </c>
      <c r="BU128" s="6">
        <v>-2.3858410000000001E-3</v>
      </c>
      <c r="BV128" s="6">
        <v>1.9628504347826088E-4</v>
      </c>
      <c r="BW128" s="6">
        <v>-1.257724E-3</v>
      </c>
      <c r="BX128" s="6">
        <v>-2.3985510000000001E-3</v>
      </c>
      <c r="BY128" s="6">
        <v>1.9840469565217392E-4</v>
      </c>
      <c r="BZ128" s="6">
        <v>-1.1595869999999999E-3</v>
      </c>
      <c r="CA128" s="6">
        <v>-2.1971859999999998E-3</v>
      </c>
      <c r="CB128" s="6">
        <v>1.80452E-4</v>
      </c>
      <c r="CC128" s="6">
        <v>-1.15172E-3</v>
      </c>
      <c r="CD128" s="6">
        <v>-2.1849790000000001E-3</v>
      </c>
      <c r="CE128" s="6">
        <v>1.7969721739130438E-4</v>
      </c>
      <c r="CF128" s="6">
        <v>-1.154939E-3</v>
      </c>
      <c r="CG128" s="6">
        <v>-2.1975110000000001E-3</v>
      </c>
      <c r="CH128" s="6">
        <v>1.8131686956521741E-4</v>
      </c>
      <c r="CI128" s="6">
        <v>-1.154417E-3</v>
      </c>
      <c r="CJ128" s="6">
        <v>-2.1848010000000001E-3</v>
      </c>
      <c r="CK128" s="6">
        <v>1.7919721739130437E-4</v>
      </c>
      <c r="CL128" s="6">
        <v>-7.953983E-4</v>
      </c>
      <c r="CM128" s="6">
        <v>-1.633841E-3</v>
      </c>
      <c r="CN128" s="6">
        <v>1.4581612173913044E-4</v>
      </c>
      <c r="CO128" s="6">
        <v>-8.0326479999999999E-4</v>
      </c>
      <c r="CP128" s="6">
        <v>-1.6460470000000001E-3</v>
      </c>
      <c r="CQ128" s="6">
        <v>1.4657081739130436E-4</v>
      </c>
      <c r="CR128" s="6">
        <v>-8.0004559999999998E-4</v>
      </c>
      <c r="CS128" s="6">
        <v>-1.6335150000000001E-3</v>
      </c>
      <c r="CT128" s="6">
        <v>1.4495120000000003E-4</v>
      </c>
      <c r="CU128" s="6">
        <v>-8.0056789999999995E-4</v>
      </c>
      <c r="CV128" s="6">
        <v>-1.6462250000000001E-3</v>
      </c>
      <c r="CW128" s="6">
        <v>1.4707080000000001E-4</v>
      </c>
      <c r="CX128" s="6">
        <v>-7.0243029999999998E-4</v>
      </c>
      <c r="CY128" s="6">
        <v>-1.4448600000000001E-3</v>
      </c>
      <c r="CZ128" s="6">
        <v>1.2911820869565218E-4</v>
      </c>
      <c r="DA128" s="6">
        <v>-6.9456369999999995E-4</v>
      </c>
      <c r="DB128" s="6">
        <v>-1.432654E-3</v>
      </c>
      <c r="DC128" s="6">
        <v>1.2836353043478262E-4</v>
      </c>
      <c r="DD128" s="6">
        <v>-6.97783E-4</v>
      </c>
      <c r="DE128" s="6">
        <v>-1.445186E-3</v>
      </c>
      <c r="DF128" s="6">
        <v>1.299831304347826E-4</v>
      </c>
      <c r="DG128" s="6">
        <v>-6.9726070000000002E-4</v>
      </c>
      <c r="DH128" s="6">
        <v>-1.432476E-3</v>
      </c>
      <c r="DI128" s="6">
        <v>1.2786353043478261E-4</v>
      </c>
    </row>
  </sheetData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4"/>
  <dimension ref="A1:J311"/>
  <sheetViews>
    <sheetView workbookViewId="0">
      <selection activeCell="F311" sqref="F311"/>
    </sheetView>
  </sheetViews>
  <sheetFormatPr defaultColWidth="8.88671875" defaultRowHeight="15.6" x14ac:dyDescent="0.3"/>
  <cols>
    <col min="1" max="1" width="8.88671875" style="14"/>
    <col min="2" max="3" width="9" style="6" bestFit="1" customWidth="1"/>
    <col min="4" max="4" width="8.88671875" style="6"/>
    <col min="5" max="5" width="12.88671875" style="6" bestFit="1" customWidth="1"/>
    <col min="6" max="6" width="15.21875" style="6" bestFit="1" customWidth="1"/>
    <col min="7" max="7" width="14.109375" style="6" bestFit="1" customWidth="1"/>
    <col min="8" max="9" width="9" style="6" bestFit="1" customWidth="1"/>
    <col min="10" max="10" width="15.21875" style="6" bestFit="1" customWidth="1"/>
    <col min="11" max="16384" width="8.88671875" style="6"/>
  </cols>
  <sheetData>
    <row r="1" spans="1:10" x14ac:dyDescent="0.3">
      <c r="A1" s="32" t="s">
        <v>556</v>
      </c>
      <c r="B1" s="22"/>
      <c r="C1" s="22"/>
      <c r="D1" s="22"/>
      <c r="E1" s="22"/>
      <c r="F1" s="22"/>
      <c r="G1" s="22"/>
      <c r="H1" s="22"/>
      <c r="I1" s="22"/>
      <c r="J1" s="22"/>
    </row>
    <row r="2" spans="1:10" x14ac:dyDescent="0.3">
      <c r="A2" s="20" t="s">
        <v>479</v>
      </c>
      <c r="B2" s="20" t="s">
        <v>480</v>
      </c>
      <c r="C2" s="20" t="s">
        <v>481</v>
      </c>
      <c r="D2" s="20" t="s">
        <v>482</v>
      </c>
      <c r="E2" s="20" t="s">
        <v>483</v>
      </c>
      <c r="F2" s="20" t="s">
        <v>484</v>
      </c>
      <c r="G2" s="20" t="s">
        <v>485</v>
      </c>
      <c r="H2" s="20" t="s">
        <v>486</v>
      </c>
      <c r="I2" s="20" t="s">
        <v>487</v>
      </c>
      <c r="J2" s="20" t="s">
        <v>488</v>
      </c>
    </row>
    <row r="3" spans="1:10" x14ac:dyDescent="0.3">
      <c r="A3" s="21" t="s">
        <v>489</v>
      </c>
      <c r="B3" s="21" t="s">
        <v>489</v>
      </c>
      <c r="C3" s="21" t="s">
        <v>489</v>
      </c>
      <c r="D3" s="21" t="s">
        <v>489</v>
      </c>
      <c r="E3" s="21" t="s">
        <v>490</v>
      </c>
      <c r="F3" s="21" t="s">
        <v>490</v>
      </c>
      <c r="G3" s="21" t="s">
        <v>490</v>
      </c>
      <c r="H3" s="21" t="s">
        <v>491</v>
      </c>
      <c r="I3" s="21" t="s">
        <v>491</v>
      </c>
      <c r="J3" s="21" t="s">
        <v>491</v>
      </c>
    </row>
    <row r="4" spans="1:10" x14ac:dyDescent="0.3">
      <c r="A4" s="6" t="s">
        <v>56</v>
      </c>
      <c r="B4" s="6" t="s">
        <v>56</v>
      </c>
      <c r="C4" s="6" t="s">
        <v>11</v>
      </c>
      <c r="D4" s="6" t="s">
        <v>492</v>
      </c>
      <c r="E4" s="6">
        <v>0</v>
      </c>
      <c r="F4" s="6">
        <v>0</v>
      </c>
      <c r="G4" s="6">
        <v>-2.519E-3</v>
      </c>
      <c r="H4" s="6">
        <v>0</v>
      </c>
      <c r="I4" s="6">
        <v>0</v>
      </c>
      <c r="J4" s="6">
        <v>0</v>
      </c>
    </row>
    <row r="5" spans="1:10" x14ac:dyDescent="0.3">
      <c r="A5" s="6" t="s">
        <v>91</v>
      </c>
      <c r="B5" s="6" t="s">
        <v>91</v>
      </c>
      <c r="C5" s="6" t="s">
        <v>11</v>
      </c>
      <c r="D5" s="6" t="s">
        <v>492</v>
      </c>
      <c r="E5" s="6">
        <v>0</v>
      </c>
      <c r="F5" s="6">
        <v>0</v>
      </c>
      <c r="G5" s="6">
        <v>-2.4450000000000001E-3</v>
      </c>
      <c r="H5" s="6">
        <v>1.2E-5</v>
      </c>
      <c r="I5" s="6">
        <v>-7.5199999999999996E-4</v>
      </c>
      <c r="J5" s="6">
        <v>0</v>
      </c>
    </row>
    <row r="6" spans="1:10" x14ac:dyDescent="0.3">
      <c r="A6" s="6" t="s">
        <v>127</v>
      </c>
      <c r="B6" s="6" t="s">
        <v>127</v>
      </c>
      <c r="C6" s="6" t="s">
        <v>11</v>
      </c>
      <c r="D6" s="6" t="s">
        <v>492</v>
      </c>
      <c r="E6" s="6">
        <v>0</v>
      </c>
      <c r="F6" s="6">
        <v>0</v>
      </c>
      <c r="G6" s="6">
        <v>-2.2690000000000002E-3</v>
      </c>
      <c r="H6" s="6">
        <v>1.9000000000000001E-5</v>
      </c>
      <c r="I6" s="6">
        <v>-6.6600000000000003E-4</v>
      </c>
      <c r="J6" s="6">
        <v>0</v>
      </c>
    </row>
    <row r="7" spans="1:10" x14ac:dyDescent="0.3">
      <c r="A7" s="6" t="s">
        <v>164</v>
      </c>
      <c r="B7" s="6" t="s">
        <v>164</v>
      </c>
      <c r="C7" s="6" t="s">
        <v>11</v>
      </c>
      <c r="D7" s="6" t="s">
        <v>492</v>
      </c>
      <c r="E7" s="6">
        <v>0</v>
      </c>
      <c r="F7" s="6">
        <v>0</v>
      </c>
      <c r="G7" s="6">
        <v>-2.0839999999999999E-3</v>
      </c>
      <c r="H7" s="6">
        <v>2.0999999999999999E-5</v>
      </c>
      <c r="I7" s="6">
        <v>-6.2E-4</v>
      </c>
      <c r="J7" s="6">
        <v>0</v>
      </c>
    </row>
    <row r="8" spans="1:10" x14ac:dyDescent="0.3">
      <c r="A8" s="6" t="s">
        <v>205</v>
      </c>
      <c r="B8" s="6" t="s">
        <v>205</v>
      </c>
      <c r="C8" s="6" t="s">
        <v>11</v>
      </c>
      <c r="D8" s="6" t="s">
        <v>492</v>
      </c>
      <c r="E8" s="6">
        <v>0</v>
      </c>
      <c r="F8" s="6">
        <v>0</v>
      </c>
      <c r="G8" s="6">
        <v>-1.8990000000000001E-3</v>
      </c>
      <c r="H8" s="6">
        <v>2.1999999999999999E-5</v>
      </c>
      <c r="I8" s="6">
        <v>-5.7899999999999998E-4</v>
      </c>
      <c r="J8" s="6">
        <v>0</v>
      </c>
    </row>
    <row r="9" spans="1:10" x14ac:dyDescent="0.3">
      <c r="A9" s="6" t="s">
        <v>246</v>
      </c>
      <c r="B9" s="6" t="s">
        <v>246</v>
      </c>
      <c r="C9" s="6" t="s">
        <v>11</v>
      </c>
      <c r="D9" s="6" t="s">
        <v>492</v>
      </c>
      <c r="E9" s="6">
        <v>0</v>
      </c>
      <c r="F9" s="6">
        <v>0</v>
      </c>
      <c r="G9" s="6">
        <v>-1.689E-3</v>
      </c>
      <c r="H9" s="6">
        <v>1.9000000000000001E-5</v>
      </c>
      <c r="I9" s="6">
        <v>-5.2499999999999997E-4</v>
      </c>
      <c r="J9" s="6">
        <v>0</v>
      </c>
    </row>
    <row r="10" spans="1:10" x14ac:dyDescent="0.3">
      <c r="A10" s="6" t="s">
        <v>284</v>
      </c>
      <c r="B10" s="6" t="s">
        <v>284</v>
      </c>
      <c r="C10" s="6" t="s">
        <v>11</v>
      </c>
      <c r="D10" s="6" t="s">
        <v>492</v>
      </c>
      <c r="E10" s="6">
        <v>0</v>
      </c>
      <c r="F10" s="6">
        <v>0</v>
      </c>
      <c r="G10" s="6">
        <v>-1.4790000000000001E-3</v>
      </c>
      <c r="H10" s="6">
        <v>0</v>
      </c>
      <c r="I10" s="6">
        <v>0</v>
      </c>
      <c r="J10" s="6">
        <v>0</v>
      </c>
    </row>
    <row r="11" spans="1:10" x14ac:dyDescent="0.3">
      <c r="A11" s="6" t="s">
        <v>285</v>
      </c>
      <c r="B11" s="6" t="s">
        <v>285</v>
      </c>
      <c r="C11" s="6" t="s">
        <v>11</v>
      </c>
      <c r="D11" s="6" t="s">
        <v>492</v>
      </c>
      <c r="E11" s="6">
        <v>0</v>
      </c>
      <c r="F11" s="6">
        <v>0</v>
      </c>
      <c r="G11" s="6">
        <v>-1.3799999999999999E-3</v>
      </c>
      <c r="H11" s="6">
        <v>0</v>
      </c>
      <c r="I11" s="6">
        <v>0</v>
      </c>
      <c r="J11" s="6">
        <v>0</v>
      </c>
    </row>
    <row r="12" spans="1:10" x14ac:dyDescent="0.3">
      <c r="A12" s="6" t="s">
        <v>57</v>
      </c>
      <c r="B12" s="6" t="s">
        <v>57</v>
      </c>
      <c r="C12" s="6" t="s">
        <v>11</v>
      </c>
      <c r="D12" s="6" t="s">
        <v>492</v>
      </c>
      <c r="E12" s="6">
        <v>0</v>
      </c>
      <c r="F12" s="6">
        <v>0</v>
      </c>
      <c r="G12" s="6">
        <v>-2.6619999999999999E-3</v>
      </c>
      <c r="H12" s="6">
        <v>8.3900000000000001E-4</v>
      </c>
      <c r="I12" s="6">
        <v>3.6000000000000001E-5</v>
      </c>
      <c r="J12" s="6">
        <v>0</v>
      </c>
    </row>
    <row r="13" spans="1:10" x14ac:dyDescent="0.3">
      <c r="A13" s="6" t="s">
        <v>73</v>
      </c>
      <c r="B13" s="6" t="s">
        <v>73</v>
      </c>
      <c r="C13" s="6" t="s">
        <v>11</v>
      </c>
      <c r="D13" s="6" t="s">
        <v>492</v>
      </c>
      <c r="E13" s="6">
        <v>0</v>
      </c>
      <c r="F13" s="6">
        <v>0</v>
      </c>
      <c r="G13" s="6">
        <v>-2.48E-3</v>
      </c>
      <c r="H13" s="6">
        <v>6.4999999999999996E-6</v>
      </c>
      <c r="I13" s="6">
        <v>-6.8099999999999996E-4</v>
      </c>
      <c r="J13" s="6">
        <v>0</v>
      </c>
    </row>
    <row r="14" spans="1:10" x14ac:dyDescent="0.3">
      <c r="A14" s="6" t="s">
        <v>109</v>
      </c>
      <c r="B14" s="6" t="s">
        <v>109</v>
      </c>
      <c r="C14" s="6" t="s">
        <v>11</v>
      </c>
      <c r="D14" s="6" t="s">
        <v>492</v>
      </c>
      <c r="E14" s="6">
        <v>0</v>
      </c>
      <c r="F14" s="6">
        <v>0</v>
      </c>
      <c r="G14" s="6">
        <v>-2.3509999999999998E-3</v>
      </c>
      <c r="H14" s="6">
        <v>1.7E-5</v>
      </c>
      <c r="I14" s="6">
        <v>-7.1699999999999997E-4</v>
      </c>
      <c r="J14" s="6">
        <v>0</v>
      </c>
    </row>
    <row r="15" spans="1:10" x14ac:dyDescent="0.3">
      <c r="A15" s="6" t="s">
        <v>493</v>
      </c>
      <c r="B15" s="6" t="s">
        <v>493</v>
      </c>
      <c r="C15" s="6" t="s">
        <v>11</v>
      </c>
      <c r="D15" s="6" t="s">
        <v>492</v>
      </c>
      <c r="E15" s="6">
        <v>0</v>
      </c>
      <c r="F15" s="6">
        <v>0</v>
      </c>
      <c r="G15" s="6">
        <v>3.0400000000000002E-4</v>
      </c>
      <c r="H15" s="6">
        <v>-1.0000000000000001E-5</v>
      </c>
      <c r="I15" s="6">
        <v>-5.3000000000000001E-5</v>
      </c>
      <c r="J15" s="6">
        <v>0</v>
      </c>
    </row>
    <row r="16" spans="1:10" x14ac:dyDescent="0.3">
      <c r="A16" s="6" t="s">
        <v>494</v>
      </c>
      <c r="B16" s="6" t="s">
        <v>494</v>
      </c>
      <c r="C16" s="6" t="s">
        <v>11</v>
      </c>
      <c r="D16" s="6" t="s">
        <v>492</v>
      </c>
      <c r="E16" s="6">
        <v>0</v>
      </c>
      <c r="F16" s="6">
        <v>0</v>
      </c>
      <c r="G16" s="6">
        <v>8.7999999999999998E-5</v>
      </c>
      <c r="H16" s="6">
        <v>-8.9420000000000001E-6</v>
      </c>
      <c r="I16" s="6">
        <v>-2.5000000000000001E-5</v>
      </c>
      <c r="J16" s="6">
        <v>0</v>
      </c>
    </row>
    <row r="17" spans="1:10" x14ac:dyDescent="0.3">
      <c r="A17" s="6" t="s">
        <v>495</v>
      </c>
      <c r="B17" s="6" t="s">
        <v>495</v>
      </c>
      <c r="C17" s="6" t="s">
        <v>11</v>
      </c>
      <c r="D17" s="6" t="s">
        <v>492</v>
      </c>
      <c r="E17" s="6">
        <v>0</v>
      </c>
      <c r="F17" s="6">
        <v>0</v>
      </c>
      <c r="G17" s="6">
        <v>8.6000000000000003E-5</v>
      </c>
      <c r="H17" s="6">
        <v>1.359E-6</v>
      </c>
      <c r="I17" s="6">
        <v>-1.1E-5</v>
      </c>
      <c r="J17" s="6">
        <v>0</v>
      </c>
    </row>
    <row r="18" spans="1:10" x14ac:dyDescent="0.3">
      <c r="A18" s="6" t="s">
        <v>145</v>
      </c>
      <c r="B18" s="6" t="s">
        <v>145</v>
      </c>
      <c r="C18" s="6" t="s">
        <v>11</v>
      </c>
      <c r="D18" s="6" t="s">
        <v>492</v>
      </c>
      <c r="E18" s="6">
        <v>0</v>
      </c>
      <c r="F18" s="6">
        <v>0</v>
      </c>
      <c r="G18" s="6">
        <v>-2.1649999999999998E-3</v>
      </c>
      <c r="H18" s="6">
        <v>2.0999999999999999E-5</v>
      </c>
      <c r="I18" s="6">
        <v>-6.4899999999999995E-4</v>
      </c>
      <c r="J18" s="6">
        <v>0</v>
      </c>
    </row>
    <row r="19" spans="1:10" x14ac:dyDescent="0.3">
      <c r="A19" s="6" t="s">
        <v>496</v>
      </c>
      <c r="B19" s="6" t="s">
        <v>496</v>
      </c>
      <c r="C19" s="6" t="s">
        <v>11</v>
      </c>
      <c r="D19" s="6" t="s">
        <v>492</v>
      </c>
      <c r="E19" s="6">
        <v>0</v>
      </c>
      <c r="F19" s="6">
        <v>0</v>
      </c>
      <c r="G19" s="6">
        <v>1.12E-4</v>
      </c>
      <c r="H19" s="6">
        <v>8.2940000000000006E-6</v>
      </c>
      <c r="I19" s="6">
        <v>2.8159999999999998E-6</v>
      </c>
      <c r="J19" s="6">
        <v>0</v>
      </c>
    </row>
    <row r="20" spans="1:10" x14ac:dyDescent="0.3">
      <c r="A20" s="6" t="s">
        <v>497</v>
      </c>
      <c r="B20" s="6" t="s">
        <v>497</v>
      </c>
      <c r="C20" s="6" t="s">
        <v>11</v>
      </c>
      <c r="D20" s="6" t="s">
        <v>492</v>
      </c>
      <c r="E20" s="6">
        <v>0</v>
      </c>
      <c r="F20" s="6">
        <v>0</v>
      </c>
      <c r="G20" s="6">
        <v>1.2300000000000001E-4</v>
      </c>
      <c r="H20" s="6">
        <v>-4.8000000000000001E-5</v>
      </c>
      <c r="I20" s="6">
        <v>1.5E-5</v>
      </c>
      <c r="J20" s="6">
        <v>0</v>
      </c>
    </row>
    <row r="21" spans="1:10" x14ac:dyDescent="0.3">
      <c r="A21" s="6" t="s">
        <v>498</v>
      </c>
      <c r="B21" s="6" t="s">
        <v>498</v>
      </c>
      <c r="C21" s="6" t="s">
        <v>11</v>
      </c>
      <c r="D21" s="6" t="s">
        <v>492</v>
      </c>
      <c r="E21" s="6">
        <v>0</v>
      </c>
      <c r="F21" s="6">
        <v>0</v>
      </c>
      <c r="G21" s="6">
        <v>-1.2639999999999999E-3</v>
      </c>
      <c r="H21" s="6">
        <v>8.7000000000000001E-5</v>
      </c>
      <c r="I21" s="6">
        <v>6.9999999999999994E-5</v>
      </c>
      <c r="J21" s="6">
        <v>0</v>
      </c>
    </row>
    <row r="22" spans="1:10" x14ac:dyDescent="0.3">
      <c r="A22" s="6" t="s">
        <v>499</v>
      </c>
      <c r="B22" s="6" t="s">
        <v>499</v>
      </c>
      <c r="C22" s="6" t="s">
        <v>11</v>
      </c>
      <c r="D22" s="6" t="s">
        <v>492</v>
      </c>
      <c r="E22" s="6">
        <v>0</v>
      </c>
      <c r="F22" s="6">
        <v>0</v>
      </c>
      <c r="G22" s="6">
        <v>-8.4900000000000004E-4</v>
      </c>
      <c r="H22" s="6">
        <v>3.4999999999999997E-5</v>
      </c>
      <c r="I22" s="6">
        <v>2.1999999999999999E-5</v>
      </c>
      <c r="J22" s="6">
        <v>0</v>
      </c>
    </row>
    <row r="23" spans="1:10" x14ac:dyDescent="0.3">
      <c r="A23" s="6" t="s">
        <v>500</v>
      </c>
      <c r="B23" s="6" t="s">
        <v>500</v>
      </c>
      <c r="C23" s="6" t="s">
        <v>11</v>
      </c>
      <c r="D23" s="6" t="s">
        <v>492</v>
      </c>
      <c r="E23" s="6">
        <v>0</v>
      </c>
      <c r="F23" s="6">
        <v>0</v>
      </c>
      <c r="G23" s="6">
        <v>-1.436E-3</v>
      </c>
      <c r="H23" s="6">
        <v>2.1599999999999999E-4</v>
      </c>
      <c r="I23" s="6">
        <v>-5.3999999999999998E-5</v>
      </c>
      <c r="J23" s="6">
        <v>0</v>
      </c>
    </row>
    <row r="24" spans="1:10" x14ac:dyDescent="0.3">
      <c r="A24" s="6" t="s">
        <v>186</v>
      </c>
      <c r="B24" s="6" t="s">
        <v>186</v>
      </c>
      <c r="C24" s="6" t="s">
        <v>11</v>
      </c>
      <c r="D24" s="6" t="s">
        <v>492</v>
      </c>
      <c r="E24" s="6">
        <v>0</v>
      </c>
      <c r="F24" s="6">
        <v>0</v>
      </c>
      <c r="G24" s="6">
        <v>-1.983E-3</v>
      </c>
      <c r="H24" s="6">
        <v>2.1999999999999999E-5</v>
      </c>
      <c r="I24" s="6">
        <v>-6.0400000000000004E-4</v>
      </c>
      <c r="J24" s="6">
        <v>0</v>
      </c>
    </row>
    <row r="25" spans="1:10" x14ac:dyDescent="0.3">
      <c r="A25" s="6" t="s">
        <v>501</v>
      </c>
      <c r="B25" s="6" t="s">
        <v>501</v>
      </c>
      <c r="C25" s="6" t="s">
        <v>11</v>
      </c>
      <c r="D25" s="6" t="s">
        <v>492</v>
      </c>
      <c r="E25" s="6">
        <v>0</v>
      </c>
      <c r="F25" s="6">
        <v>0</v>
      </c>
      <c r="G25" s="6">
        <v>-1.2669999999999999E-3</v>
      </c>
      <c r="H25" s="6">
        <v>-1.8000000000000001E-4</v>
      </c>
      <c r="I25" s="6">
        <v>-6.7000000000000002E-5</v>
      </c>
      <c r="J25" s="6">
        <v>0</v>
      </c>
    </row>
    <row r="26" spans="1:10" x14ac:dyDescent="0.3">
      <c r="A26" s="6" t="s">
        <v>502</v>
      </c>
      <c r="B26" s="6" t="s">
        <v>502</v>
      </c>
      <c r="C26" s="6" t="s">
        <v>11</v>
      </c>
      <c r="D26" s="6" t="s">
        <v>492</v>
      </c>
      <c r="E26" s="6">
        <v>0</v>
      </c>
      <c r="F26" s="6">
        <v>0</v>
      </c>
      <c r="G26" s="6">
        <v>-6.9800000000000005E-4</v>
      </c>
      <c r="H26" s="6">
        <v>1.2999999999999999E-5</v>
      </c>
      <c r="I26" s="6">
        <v>-6.3E-5</v>
      </c>
      <c r="J26" s="6">
        <v>0</v>
      </c>
    </row>
    <row r="27" spans="1:10" x14ac:dyDescent="0.3">
      <c r="A27" s="6" t="s">
        <v>503</v>
      </c>
      <c r="B27" s="6" t="s">
        <v>503</v>
      </c>
      <c r="C27" s="6" t="s">
        <v>11</v>
      </c>
      <c r="D27" s="6" t="s">
        <v>492</v>
      </c>
      <c r="E27" s="6">
        <v>0</v>
      </c>
      <c r="F27" s="6">
        <v>0</v>
      </c>
      <c r="G27" s="6">
        <v>-3.5500000000000001E-4</v>
      </c>
      <c r="H27" s="6">
        <v>-3.1999999999999999E-5</v>
      </c>
      <c r="I27" s="6">
        <v>-6.6000000000000005E-5</v>
      </c>
      <c r="J27" s="6">
        <v>0</v>
      </c>
    </row>
    <row r="28" spans="1:10" x14ac:dyDescent="0.3">
      <c r="A28" s="6" t="s">
        <v>504</v>
      </c>
      <c r="B28" s="6" t="s">
        <v>504</v>
      </c>
      <c r="C28" s="6" t="s">
        <v>11</v>
      </c>
      <c r="D28" s="6" t="s">
        <v>492</v>
      </c>
      <c r="E28" s="6">
        <v>0</v>
      </c>
      <c r="F28" s="6">
        <v>0</v>
      </c>
      <c r="G28" s="6">
        <v>-1E-3</v>
      </c>
      <c r="H28" s="6">
        <v>1E-4</v>
      </c>
      <c r="I28" s="6">
        <v>6.7999999999999999E-5</v>
      </c>
      <c r="J28" s="6">
        <v>0</v>
      </c>
    </row>
    <row r="29" spans="1:10" x14ac:dyDescent="0.3">
      <c r="A29" s="6" t="s">
        <v>505</v>
      </c>
      <c r="B29" s="6" t="s">
        <v>505</v>
      </c>
      <c r="C29" s="6" t="s">
        <v>11</v>
      </c>
      <c r="D29" s="6" t="s">
        <v>492</v>
      </c>
      <c r="E29" s="6">
        <v>0</v>
      </c>
      <c r="F29" s="6">
        <v>0</v>
      </c>
      <c r="G29" s="6">
        <v>-1.3159999999999999E-3</v>
      </c>
      <c r="H29" s="6">
        <v>6.0999999999999999E-5</v>
      </c>
      <c r="I29" s="6">
        <v>-4.6E-5</v>
      </c>
      <c r="J29" s="6">
        <v>0</v>
      </c>
    </row>
    <row r="30" spans="1:10" x14ac:dyDescent="0.3">
      <c r="A30" s="6" t="s">
        <v>227</v>
      </c>
      <c r="B30" s="6" t="s">
        <v>227</v>
      </c>
      <c r="C30" s="6" t="s">
        <v>11</v>
      </c>
      <c r="D30" s="6" t="s">
        <v>492</v>
      </c>
      <c r="E30" s="6">
        <v>0</v>
      </c>
      <c r="F30" s="6">
        <v>0</v>
      </c>
      <c r="G30" s="6">
        <v>-1.787E-3</v>
      </c>
      <c r="H30" s="6">
        <v>2.0999999999999999E-5</v>
      </c>
      <c r="I30" s="6">
        <v>-5.6700000000000001E-4</v>
      </c>
      <c r="J30" s="6">
        <v>0</v>
      </c>
    </row>
    <row r="31" spans="1:10" x14ac:dyDescent="0.3">
      <c r="A31" s="6" t="s">
        <v>506</v>
      </c>
      <c r="B31" s="6" t="s">
        <v>506</v>
      </c>
      <c r="C31" s="6" t="s">
        <v>11</v>
      </c>
      <c r="D31" s="6" t="s">
        <v>492</v>
      </c>
      <c r="E31" s="6">
        <v>0</v>
      </c>
      <c r="F31" s="6">
        <v>0</v>
      </c>
      <c r="G31" s="6">
        <v>-1.4220000000000001E-3</v>
      </c>
      <c r="H31" s="6">
        <v>1.5E-5</v>
      </c>
      <c r="I31" s="6">
        <v>-4.8879999999999998E-7</v>
      </c>
      <c r="J31" s="6">
        <v>0</v>
      </c>
    </row>
    <row r="32" spans="1:10" x14ac:dyDescent="0.3">
      <c r="A32" s="6" t="s">
        <v>507</v>
      </c>
      <c r="B32" s="6" t="s">
        <v>507</v>
      </c>
      <c r="C32" s="6" t="s">
        <v>11</v>
      </c>
      <c r="D32" s="6" t="s">
        <v>492</v>
      </c>
      <c r="E32" s="6">
        <v>0</v>
      </c>
      <c r="F32" s="6">
        <v>0</v>
      </c>
      <c r="G32" s="6">
        <v>-1.0549999999999999E-3</v>
      </c>
      <c r="H32" s="6">
        <v>3.3000000000000003E-5</v>
      </c>
      <c r="I32" s="6">
        <v>1.2E-5</v>
      </c>
      <c r="J32" s="6">
        <v>0</v>
      </c>
    </row>
    <row r="33" spans="1:10" x14ac:dyDescent="0.3">
      <c r="A33" s="6" t="s">
        <v>508</v>
      </c>
      <c r="B33" s="6" t="s">
        <v>508</v>
      </c>
      <c r="C33" s="6" t="s">
        <v>11</v>
      </c>
      <c r="D33" s="6" t="s">
        <v>492</v>
      </c>
      <c r="E33" s="6">
        <v>0</v>
      </c>
      <c r="F33" s="6">
        <v>0</v>
      </c>
      <c r="G33" s="6">
        <v>-1.31E-3</v>
      </c>
      <c r="H33" s="6">
        <v>-1.9000000000000001E-5</v>
      </c>
      <c r="I33" s="6">
        <v>1.13E-4</v>
      </c>
      <c r="J33" s="6">
        <v>0</v>
      </c>
    </row>
    <row r="34" spans="1:10" x14ac:dyDescent="0.3">
      <c r="A34" s="6" t="s">
        <v>509</v>
      </c>
      <c r="B34" s="6" t="s">
        <v>509</v>
      </c>
      <c r="C34" s="6" t="s">
        <v>11</v>
      </c>
      <c r="D34" s="6" t="s">
        <v>492</v>
      </c>
      <c r="E34" s="6">
        <v>0</v>
      </c>
      <c r="F34" s="6">
        <v>0</v>
      </c>
      <c r="G34" s="6">
        <v>-1.7979999999999999E-3</v>
      </c>
      <c r="H34" s="6">
        <v>-1.5999999999999999E-5</v>
      </c>
      <c r="I34" s="6">
        <v>-5.1E-5</v>
      </c>
      <c r="J34" s="6">
        <v>0</v>
      </c>
    </row>
    <row r="35" spans="1:10" x14ac:dyDescent="0.3">
      <c r="A35" s="6" t="s">
        <v>510</v>
      </c>
      <c r="B35" s="6" t="s">
        <v>510</v>
      </c>
      <c r="C35" s="6" t="s">
        <v>11</v>
      </c>
      <c r="D35" s="6" t="s">
        <v>492</v>
      </c>
      <c r="E35" s="6">
        <v>0</v>
      </c>
      <c r="F35" s="6">
        <v>0</v>
      </c>
      <c r="G35" s="6">
        <v>-2.1059999999999998E-3</v>
      </c>
      <c r="H35" s="6">
        <v>-4.5000000000000003E-5</v>
      </c>
      <c r="I35" s="6">
        <v>1.5719999999999999E-6</v>
      </c>
      <c r="J35" s="6">
        <v>0</v>
      </c>
    </row>
    <row r="36" spans="1:10" x14ac:dyDescent="0.3">
      <c r="A36" s="6" t="s">
        <v>265</v>
      </c>
      <c r="B36" s="6" t="s">
        <v>265</v>
      </c>
      <c r="C36" s="6" t="s">
        <v>11</v>
      </c>
      <c r="D36" s="6" t="s">
        <v>492</v>
      </c>
      <c r="E36" s="6">
        <v>0</v>
      </c>
      <c r="F36" s="6">
        <v>0</v>
      </c>
      <c r="G36" s="6">
        <v>-1.5590000000000001E-3</v>
      </c>
      <c r="H36" s="6">
        <v>1.2999999999999999E-5</v>
      </c>
      <c r="I36" s="6">
        <v>-3.8699999999999997E-4</v>
      </c>
      <c r="J36" s="6">
        <v>0</v>
      </c>
    </row>
    <row r="37" spans="1:10" x14ac:dyDescent="0.3">
      <c r="A37" s="6" t="s">
        <v>511</v>
      </c>
      <c r="B37" s="6" t="s">
        <v>511</v>
      </c>
      <c r="C37" s="6" t="s">
        <v>11</v>
      </c>
      <c r="D37" s="6" t="s">
        <v>492</v>
      </c>
      <c r="E37" s="6">
        <v>0</v>
      </c>
      <c r="F37" s="6">
        <v>0</v>
      </c>
      <c r="G37" s="6">
        <v>-1.7730000000000001E-3</v>
      </c>
      <c r="H37" s="6">
        <v>-8.1000000000000004E-5</v>
      </c>
      <c r="I37" s="6">
        <v>-7.4769999999999997E-6</v>
      </c>
      <c r="J37" s="6">
        <v>0</v>
      </c>
    </row>
    <row r="38" spans="1:10" x14ac:dyDescent="0.3">
      <c r="A38" s="6" t="s">
        <v>512</v>
      </c>
      <c r="B38" s="6" t="s">
        <v>512</v>
      </c>
      <c r="C38" s="6" t="s">
        <v>11</v>
      </c>
      <c r="D38" s="6" t="s">
        <v>492</v>
      </c>
      <c r="E38" s="6">
        <v>0</v>
      </c>
      <c r="F38" s="6">
        <v>0</v>
      </c>
      <c r="G38" s="6">
        <v>-1.333E-3</v>
      </c>
      <c r="H38" s="6">
        <v>-5.2050000000000004E-7</v>
      </c>
      <c r="I38" s="6">
        <v>1.0399999999999999E-4</v>
      </c>
      <c r="J38" s="6">
        <v>0</v>
      </c>
    </row>
    <row r="39" spans="1:10" x14ac:dyDescent="0.3">
      <c r="A39" s="6" t="s">
        <v>513</v>
      </c>
      <c r="B39" s="6" t="s">
        <v>513</v>
      </c>
      <c r="C39" s="6" t="s">
        <v>11</v>
      </c>
      <c r="D39" s="6" t="s">
        <v>492</v>
      </c>
      <c r="E39" s="6">
        <v>0</v>
      </c>
      <c r="F39" s="6">
        <v>0</v>
      </c>
      <c r="G39" s="6">
        <v>-1.7910000000000001E-3</v>
      </c>
      <c r="H39" s="6">
        <v>1.4529999999999999E-6</v>
      </c>
      <c r="I39" s="6">
        <v>-5.0000000000000002E-5</v>
      </c>
      <c r="J39" s="6">
        <v>0</v>
      </c>
    </row>
    <row r="40" spans="1:10" x14ac:dyDescent="0.3">
      <c r="A40" s="6" t="s">
        <v>514</v>
      </c>
      <c r="B40" s="6" t="s">
        <v>514</v>
      </c>
      <c r="C40" s="6" t="s">
        <v>11</v>
      </c>
      <c r="D40" s="6" t="s">
        <v>492</v>
      </c>
      <c r="E40" s="6">
        <v>0</v>
      </c>
      <c r="F40" s="6">
        <v>0</v>
      </c>
      <c r="G40" s="6">
        <v>-2.101E-3</v>
      </c>
      <c r="H40" s="6">
        <v>-1.4389999999999999E-6</v>
      </c>
      <c r="I40" s="6">
        <v>-2.0000000000000002E-5</v>
      </c>
      <c r="J40" s="6">
        <v>0</v>
      </c>
    </row>
    <row r="41" spans="1:10" x14ac:dyDescent="0.3">
      <c r="A41" s="6" t="s">
        <v>515</v>
      </c>
      <c r="B41" s="6" t="s">
        <v>515</v>
      </c>
      <c r="C41" s="6" t="s">
        <v>11</v>
      </c>
      <c r="D41" s="6" t="s">
        <v>492</v>
      </c>
      <c r="E41" s="6">
        <v>0</v>
      </c>
      <c r="F41" s="6">
        <v>0</v>
      </c>
      <c r="G41" s="6">
        <v>-1.7719999999999999E-3</v>
      </c>
      <c r="H41" s="6">
        <v>6.0220000000000001E-6</v>
      </c>
      <c r="I41" s="6">
        <v>-3.1200000000000002E-6</v>
      </c>
      <c r="J41" s="6">
        <v>0</v>
      </c>
    </row>
    <row r="42" spans="1:10" x14ac:dyDescent="0.3">
      <c r="A42" s="6" t="s">
        <v>516</v>
      </c>
      <c r="B42" s="6" t="s">
        <v>516</v>
      </c>
      <c r="C42" s="6" t="s">
        <v>11</v>
      </c>
      <c r="D42" s="6" t="s">
        <v>492</v>
      </c>
      <c r="E42" s="6">
        <v>0</v>
      </c>
      <c r="F42" s="6">
        <v>0</v>
      </c>
      <c r="G42" s="6">
        <v>-1.34E-3</v>
      </c>
      <c r="H42" s="6">
        <v>-1.2669999999999999E-6</v>
      </c>
      <c r="I42" s="6">
        <v>1.03E-4</v>
      </c>
      <c r="J42" s="6">
        <v>0</v>
      </c>
    </row>
    <row r="43" spans="1:10" x14ac:dyDescent="0.3">
      <c r="A43" s="6" t="s">
        <v>517</v>
      </c>
      <c r="B43" s="6" t="s">
        <v>517</v>
      </c>
      <c r="C43" s="6" t="s">
        <v>11</v>
      </c>
      <c r="D43" s="6" t="s">
        <v>492</v>
      </c>
      <c r="E43" s="6">
        <v>0</v>
      </c>
      <c r="F43" s="6">
        <v>0</v>
      </c>
      <c r="G43" s="6">
        <v>-1.7600000000000001E-3</v>
      </c>
      <c r="H43" s="6">
        <v>1.189E-6</v>
      </c>
      <c r="I43" s="6">
        <v>-6.7999999999999999E-5</v>
      </c>
      <c r="J43" s="6">
        <v>0</v>
      </c>
    </row>
    <row r="44" spans="1:10" x14ac:dyDescent="0.3">
      <c r="A44" s="6" t="s">
        <v>518</v>
      </c>
      <c r="B44" s="6" t="s">
        <v>518</v>
      </c>
      <c r="C44" s="6" t="s">
        <v>11</v>
      </c>
      <c r="D44" s="6" t="s">
        <v>492</v>
      </c>
      <c r="E44" s="6">
        <v>0</v>
      </c>
      <c r="F44" s="6">
        <v>0</v>
      </c>
      <c r="G44" s="6">
        <v>-2.5639999999999999E-3</v>
      </c>
      <c r="H44" s="6">
        <v>3.4E-5</v>
      </c>
      <c r="I44" s="6">
        <v>4.66E-4</v>
      </c>
      <c r="J44" s="6">
        <v>0</v>
      </c>
    </row>
    <row r="45" spans="1:10" x14ac:dyDescent="0.3">
      <c r="A45" s="6" t="s">
        <v>519</v>
      </c>
      <c r="B45" s="6" t="s">
        <v>519</v>
      </c>
      <c r="C45" s="6" t="s">
        <v>11</v>
      </c>
      <c r="D45" s="6" t="s">
        <v>492</v>
      </c>
      <c r="E45" s="6">
        <v>0</v>
      </c>
      <c r="F45" s="6">
        <v>0</v>
      </c>
      <c r="G45" s="6">
        <v>-2.1150000000000001E-3</v>
      </c>
      <c r="H45" s="6">
        <v>5.0000000000000002E-5</v>
      </c>
      <c r="I45" s="6">
        <v>-4.26E-4</v>
      </c>
      <c r="J45" s="6">
        <v>0</v>
      </c>
    </row>
    <row r="46" spans="1:10" x14ac:dyDescent="0.3">
      <c r="A46" s="6" t="s">
        <v>266</v>
      </c>
      <c r="B46" s="6" t="s">
        <v>266</v>
      </c>
      <c r="C46" s="6" t="s">
        <v>11</v>
      </c>
      <c r="D46" s="6" t="s">
        <v>492</v>
      </c>
      <c r="E46" s="6">
        <v>0</v>
      </c>
      <c r="F46" s="6">
        <v>0</v>
      </c>
      <c r="G46" s="6">
        <v>-1.346E-3</v>
      </c>
      <c r="H46" s="6">
        <v>3.0350000000000002E-6</v>
      </c>
      <c r="I46" s="6">
        <v>1.07E-4</v>
      </c>
      <c r="J46" s="6">
        <v>0</v>
      </c>
    </row>
    <row r="47" spans="1:10" x14ac:dyDescent="0.3">
      <c r="A47" s="6" t="s">
        <v>74</v>
      </c>
      <c r="B47" s="6" t="s">
        <v>74</v>
      </c>
      <c r="C47" s="6" t="s">
        <v>11</v>
      </c>
      <c r="D47" s="6" t="s">
        <v>492</v>
      </c>
      <c r="E47" s="6">
        <v>0</v>
      </c>
      <c r="F47" s="6">
        <v>0</v>
      </c>
      <c r="G47" s="6">
        <v>-1.8129999999999999E-3</v>
      </c>
      <c r="H47" s="6">
        <v>-2.8650000000000001E-6</v>
      </c>
      <c r="I47" s="6">
        <v>-5.1999999999999997E-5</v>
      </c>
      <c r="J47" s="6">
        <v>0</v>
      </c>
    </row>
    <row r="48" spans="1:10" x14ac:dyDescent="0.3">
      <c r="A48" s="6" t="s">
        <v>110</v>
      </c>
      <c r="B48" s="6" t="s">
        <v>110</v>
      </c>
      <c r="C48" s="6" t="s">
        <v>11</v>
      </c>
      <c r="D48" s="6" t="s">
        <v>492</v>
      </c>
      <c r="E48" s="6">
        <v>0</v>
      </c>
      <c r="F48" s="6">
        <v>0</v>
      </c>
      <c r="G48" s="6">
        <v>-1.8699999999999999E-3</v>
      </c>
      <c r="H48" s="6">
        <v>3.1000000000000001E-5</v>
      </c>
      <c r="I48" s="6">
        <v>-2.5999999999999998E-5</v>
      </c>
      <c r="J48" s="6">
        <v>0</v>
      </c>
    </row>
    <row r="49" spans="1:10" x14ac:dyDescent="0.3">
      <c r="A49" s="6" t="s">
        <v>146</v>
      </c>
      <c r="B49" s="6" t="s">
        <v>146</v>
      </c>
      <c r="C49" s="6" t="s">
        <v>11</v>
      </c>
      <c r="D49" s="6" t="s">
        <v>492</v>
      </c>
      <c r="E49" s="6">
        <v>0</v>
      </c>
      <c r="F49" s="6">
        <v>0</v>
      </c>
      <c r="G49" s="6">
        <v>-1.372E-3</v>
      </c>
      <c r="H49" s="6">
        <v>6.0000000000000002E-5</v>
      </c>
      <c r="I49" s="6">
        <v>2.8309999999999999E-7</v>
      </c>
      <c r="J49" s="6">
        <v>0</v>
      </c>
    </row>
    <row r="50" spans="1:10" x14ac:dyDescent="0.3">
      <c r="A50" s="6" t="s">
        <v>187</v>
      </c>
      <c r="B50" s="6" t="s">
        <v>187</v>
      </c>
      <c r="C50" s="6" t="s">
        <v>11</v>
      </c>
      <c r="D50" s="6" t="s">
        <v>492</v>
      </c>
      <c r="E50" s="6">
        <v>0</v>
      </c>
      <c r="F50" s="6">
        <v>0</v>
      </c>
      <c r="G50" s="6">
        <v>-1.08E-3</v>
      </c>
      <c r="H50" s="6">
        <v>8.5000000000000006E-5</v>
      </c>
      <c r="I50" s="6">
        <v>5.1999999999999997E-5</v>
      </c>
      <c r="J50" s="6">
        <v>0</v>
      </c>
    </row>
    <row r="51" spans="1:10" x14ac:dyDescent="0.3">
      <c r="A51" s="6" t="s">
        <v>228</v>
      </c>
      <c r="B51" s="6" t="s">
        <v>228</v>
      </c>
      <c r="C51" s="6" t="s">
        <v>11</v>
      </c>
      <c r="D51" s="6" t="s">
        <v>492</v>
      </c>
      <c r="E51" s="6">
        <v>0</v>
      </c>
      <c r="F51" s="6">
        <v>0</v>
      </c>
      <c r="G51" s="6">
        <v>-1.436E-3</v>
      </c>
      <c r="H51" s="6">
        <v>1.22E-4</v>
      </c>
      <c r="I51" s="6">
        <v>-4.3999999999999999E-5</v>
      </c>
      <c r="J51" s="6">
        <v>0</v>
      </c>
    </row>
    <row r="52" spans="1:10" x14ac:dyDescent="0.3">
      <c r="A52" s="6" t="s">
        <v>520</v>
      </c>
      <c r="B52" s="6" t="s">
        <v>520</v>
      </c>
      <c r="C52" s="6" t="s">
        <v>11</v>
      </c>
      <c r="D52" s="6" t="s">
        <v>492</v>
      </c>
      <c r="E52" s="6">
        <v>0</v>
      </c>
      <c r="F52" s="6">
        <v>0</v>
      </c>
      <c r="G52" s="6">
        <v>-1.5020000000000001E-3</v>
      </c>
      <c r="H52" s="6">
        <v>1.21E-4</v>
      </c>
      <c r="I52" s="6">
        <v>-2.6989999999999999E-6</v>
      </c>
      <c r="J52" s="6">
        <v>0</v>
      </c>
    </row>
    <row r="53" spans="1:10" x14ac:dyDescent="0.3">
      <c r="A53" s="6" t="s">
        <v>521</v>
      </c>
      <c r="B53" s="6" t="s">
        <v>521</v>
      </c>
      <c r="C53" s="6" t="s">
        <v>11</v>
      </c>
      <c r="D53" s="6" t="s">
        <v>492</v>
      </c>
      <c r="E53" s="6">
        <v>0</v>
      </c>
      <c r="F53" s="6">
        <v>0</v>
      </c>
      <c r="G53" s="6">
        <v>-9.6900000000000003E-4</v>
      </c>
      <c r="H53" s="6">
        <v>9.2E-5</v>
      </c>
      <c r="I53" s="6">
        <v>-2.6999999999999999E-5</v>
      </c>
      <c r="J53" s="6">
        <v>0</v>
      </c>
    </row>
    <row r="54" spans="1:10" x14ac:dyDescent="0.3">
      <c r="A54" s="6" t="s">
        <v>169</v>
      </c>
      <c r="B54" s="6" t="s">
        <v>169</v>
      </c>
      <c r="C54" s="6" t="s">
        <v>11</v>
      </c>
      <c r="D54" s="6" t="s">
        <v>492</v>
      </c>
      <c r="E54" s="6">
        <v>0</v>
      </c>
      <c r="F54" s="6">
        <v>0</v>
      </c>
      <c r="G54" s="6">
        <v>-2.3500000000000001E-3</v>
      </c>
      <c r="H54" s="6">
        <v>2.81E-4</v>
      </c>
      <c r="I54" s="6">
        <v>-3.9800000000000002E-4</v>
      </c>
      <c r="J54" s="6">
        <v>0</v>
      </c>
    </row>
    <row r="55" spans="1:10" x14ac:dyDescent="0.3">
      <c r="A55" s="6" t="s">
        <v>210</v>
      </c>
      <c r="B55" s="6" t="s">
        <v>210</v>
      </c>
      <c r="C55" s="6" t="s">
        <v>11</v>
      </c>
      <c r="D55" s="6" t="s">
        <v>492</v>
      </c>
      <c r="E55" s="6">
        <v>0</v>
      </c>
      <c r="F55" s="6">
        <v>0</v>
      </c>
      <c r="G55" s="6">
        <v>-2.1559999999999999E-3</v>
      </c>
      <c r="H55" s="6">
        <v>-2.3900000000000001E-4</v>
      </c>
      <c r="I55" s="6">
        <v>-3.8200000000000002E-4</v>
      </c>
      <c r="J55" s="6">
        <v>0</v>
      </c>
    </row>
    <row r="56" spans="1:10" x14ac:dyDescent="0.3">
      <c r="A56" s="6" t="s">
        <v>171</v>
      </c>
      <c r="B56" s="6" t="s">
        <v>171</v>
      </c>
      <c r="C56" s="6" t="s">
        <v>11</v>
      </c>
      <c r="D56" s="6" t="s">
        <v>492</v>
      </c>
      <c r="E56" s="6">
        <v>0</v>
      </c>
      <c r="F56" s="6">
        <v>0</v>
      </c>
      <c r="G56" s="6">
        <v>-2.0470000000000002E-3</v>
      </c>
      <c r="H56" s="6">
        <v>2.5599999999999999E-4</v>
      </c>
      <c r="I56" s="6">
        <v>3.0299999999999999E-4</v>
      </c>
      <c r="J56" s="6">
        <v>0</v>
      </c>
    </row>
    <row r="57" spans="1:10" x14ac:dyDescent="0.3">
      <c r="A57" s="6" t="s">
        <v>212</v>
      </c>
      <c r="B57" s="6" t="s">
        <v>212</v>
      </c>
      <c r="C57" s="6" t="s">
        <v>11</v>
      </c>
      <c r="D57" s="6" t="s">
        <v>492</v>
      </c>
      <c r="E57" s="6">
        <v>0</v>
      </c>
      <c r="F57" s="6">
        <v>0</v>
      </c>
      <c r="G57" s="6">
        <v>-1.781E-3</v>
      </c>
      <c r="H57" s="6">
        <v>-1.9799999999999999E-4</v>
      </c>
      <c r="I57" s="6">
        <v>2.6499999999999999E-4</v>
      </c>
      <c r="J57" s="6">
        <v>0</v>
      </c>
    </row>
    <row r="58" spans="1:10" x14ac:dyDescent="0.3">
      <c r="A58" s="6" t="s">
        <v>114</v>
      </c>
      <c r="B58" s="6" t="s">
        <v>114</v>
      </c>
      <c r="C58" s="6" t="s">
        <v>11</v>
      </c>
      <c r="D58" s="6" t="s">
        <v>492</v>
      </c>
      <c r="E58" s="6">
        <v>0</v>
      </c>
      <c r="F58" s="6">
        <v>0</v>
      </c>
      <c r="G58" s="6">
        <v>-3.4600000000000001E-4</v>
      </c>
      <c r="H58" s="6">
        <v>-2.3499999999999999E-4</v>
      </c>
      <c r="I58" s="6">
        <v>-3.4999999999999997E-5</v>
      </c>
      <c r="J58" s="6">
        <v>0</v>
      </c>
    </row>
    <row r="59" spans="1:10" x14ac:dyDescent="0.3">
      <c r="A59" s="6" t="s">
        <v>132</v>
      </c>
      <c r="B59" s="6" t="s">
        <v>132</v>
      </c>
      <c r="C59" s="6" t="s">
        <v>11</v>
      </c>
      <c r="D59" s="6" t="s">
        <v>492</v>
      </c>
      <c r="E59" s="6">
        <v>0</v>
      </c>
      <c r="F59" s="6">
        <v>0</v>
      </c>
      <c r="G59" s="6">
        <v>-6.0999999999999999E-5</v>
      </c>
      <c r="H59" s="6">
        <v>3.1300000000000002E-4</v>
      </c>
      <c r="I59" s="6">
        <v>-1.15E-4</v>
      </c>
      <c r="J59" s="6">
        <v>0</v>
      </c>
    </row>
    <row r="60" spans="1:10" x14ac:dyDescent="0.3">
      <c r="A60" s="6" t="s">
        <v>96</v>
      </c>
      <c r="B60" s="6" t="s">
        <v>96</v>
      </c>
      <c r="C60" s="6" t="s">
        <v>11</v>
      </c>
      <c r="D60" s="6" t="s">
        <v>492</v>
      </c>
      <c r="E60" s="6">
        <v>0</v>
      </c>
      <c r="F60" s="6">
        <v>0</v>
      </c>
      <c r="G60" s="6">
        <v>2.3800000000000001E-4</v>
      </c>
      <c r="H60" s="6">
        <v>-3.3000000000000003E-5</v>
      </c>
      <c r="I60" s="6">
        <v>-8.3999999999999995E-5</v>
      </c>
      <c r="J60" s="6">
        <v>0</v>
      </c>
    </row>
    <row r="61" spans="1:10" x14ac:dyDescent="0.3">
      <c r="A61" s="6" t="s">
        <v>522</v>
      </c>
      <c r="B61" s="6" t="s">
        <v>522</v>
      </c>
      <c r="C61" s="6" t="s">
        <v>11</v>
      </c>
      <c r="D61" s="6" t="s">
        <v>492</v>
      </c>
      <c r="E61" s="6">
        <v>0</v>
      </c>
      <c r="F61" s="6">
        <v>0</v>
      </c>
      <c r="G61" s="6">
        <v>1.45E-4</v>
      </c>
      <c r="H61" s="6">
        <v>1.4100000000000001E-6</v>
      </c>
      <c r="I61" s="6">
        <v>-6.7999999999999999E-5</v>
      </c>
      <c r="J61" s="6">
        <v>0</v>
      </c>
    </row>
    <row r="62" spans="1:10" x14ac:dyDescent="0.3">
      <c r="A62" s="6" t="s">
        <v>523</v>
      </c>
      <c r="B62" s="6" t="s">
        <v>523</v>
      </c>
      <c r="C62" s="6" t="s">
        <v>11</v>
      </c>
      <c r="D62" s="6" t="s">
        <v>492</v>
      </c>
      <c r="E62" s="6">
        <v>0</v>
      </c>
      <c r="F62" s="6">
        <v>0</v>
      </c>
      <c r="G62" s="6">
        <v>1.5699999999999999E-4</v>
      </c>
      <c r="H62" s="6">
        <v>2.2859999999999998E-6</v>
      </c>
      <c r="I62" s="6">
        <v>-5.5999999999999999E-5</v>
      </c>
      <c r="J62" s="6">
        <v>0</v>
      </c>
    </row>
    <row r="63" spans="1:10" x14ac:dyDescent="0.3">
      <c r="A63" s="6" t="s">
        <v>524</v>
      </c>
      <c r="B63" s="6" t="s">
        <v>524</v>
      </c>
      <c r="C63" s="6" t="s">
        <v>11</v>
      </c>
      <c r="D63" s="6" t="s">
        <v>492</v>
      </c>
      <c r="E63" s="6">
        <v>0</v>
      </c>
      <c r="F63" s="6">
        <v>0</v>
      </c>
      <c r="G63" s="6">
        <v>2.23E-4</v>
      </c>
      <c r="H63" s="6">
        <v>1.0000000000000001E-5</v>
      </c>
      <c r="I63" s="6">
        <v>-4.3000000000000002E-5</v>
      </c>
      <c r="J63" s="6">
        <v>0</v>
      </c>
    </row>
    <row r="64" spans="1:10" x14ac:dyDescent="0.3">
      <c r="A64" s="6" t="s">
        <v>525</v>
      </c>
      <c r="B64" s="6" t="s">
        <v>525</v>
      </c>
      <c r="C64" s="6" t="s">
        <v>11</v>
      </c>
      <c r="D64" s="6" t="s">
        <v>492</v>
      </c>
      <c r="E64" s="6">
        <v>0</v>
      </c>
      <c r="F64" s="6">
        <v>0</v>
      </c>
      <c r="G64" s="6">
        <v>-6.6699999999999995E-4</v>
      </c>
      <c r="H64" s="6">
        <v>-3.6000000000000001E-5</v>
      </c>
      <c r="I64" s="6">
        <v>-3.1000000000000001E-5</v>
      </c>
      <c r="J64" s="6">
        <v>0</v>
      </c>
    </row>
    <row r="65" spans="1:10" x14ac:dyDescent="0.3">
      <c r="A65" s="6" t="s">
        <v>526</v>
      </c>
      <c r="B65" s="6" t="s">
        <v>526</v>
      </c>
      <c r="C65" s="6" t="s">
        <v>11</v>
      </c>
      <c r="D65" s="6" t="s">
        <v>492</v>
      </c>
      <c r="E65" s="6">
        <v>0</v>
      </c>
      <c r="F65" s="6">
        <v>0</v>
      </c>
      <c r="G65" s="6">
        <v>-1.655E-3</v>
      </c>
      <c r="H65" s="6">
        <v>2.0660000000000002E-6</v>
      </c>
      <c r="I65" s="6">
        <v>-4.3000000000000002E-5</v>
      </c>
      <c r="J65" s="6">
        <v>0</v>
      </c>
    </row>
    <row r="66" spans="1:10" x14ac:dyDescent="0.3">
      <c r="A66" s="6" t="s">
        <v>527</v>
      </c>
      <c r="B66" s="6" t="s">
        <v>527</v>
      </c>
      <c r="C66" s="6" t="s">
        <v>11</v>
      </c>
      <c r="D66" s="6" t="s">
        <v>492</v>
      </c>
      <c r="E66" s="6">
        <v>0</v>
      </c>
      <c r="F66" s="6">
        <v>0</v>
      </c>
      <c r="G66" s="6">
        <v>-1.3649999999999999E-3</v>
      </c>
      <c r="H66" s="6">
        <v>-4.1999999999999998E-5</v>
      </c>
      <c r="I66" s="6">
        <v>-6.7999999999999999E-5</v>
      </c>
      <c r="J66" s="6">
        <v>0</v>
      </c>
    </row>
    <row r="67" spans="1:10" x14ac:dyDescent="0.3">
      <c r="A67" s="6" t="s">
        <v>528</v>
      </c>
      <c r="B67" s="6" t="s">
        <v>528</v>
      </c>
      <c r="C67" s="6" t="s">
        <v>11</v>
      </c>
      <c r="D67" s="6" t="s">
        <v>492</v>
      </c>
      <c r="E67" s="6">
        <v>0</v>
      </c>
      <c r="F67" s="6">
        <v>0</v>
      </c>
      <c r="G67" s="6">
        <v>-1.4610000000000001E-3</v>
      </c>
      <c r="H67" s="6">
        <v>-1.47E-4</v>
      </c>
      <c r="I67" s="6">
        <v>1.36E-4</v>
      </c>
      <c r="J67" s="6">
        <v>0</v>
      </c>
    </row>
    <row r="68" spans="1:10" x14ac:dyDescent="0.3">
      <c r="A68" s="6" t="s">
        <v>529</v>
      </c>
      <c r="B68" s="6" t="s">
        <v>529</v>
      </c>
      <c r="C68" s="6" t="s">
        <v>11</v>
      </c>
      <c r="D68" s="6" t="s">
        <v>492</v>
      </c>
      <c r="E68" s="6">
        <v>0</v>
      </c>
      <c r="F68" s="6">
        <v>0</v>
      </c>
      <c r="G68" s="6">
        <v>-1.5089999999999999E-3</v>
      </c>
      <c r="H68" s="6">
        <v>-2.5000000000000001E-5</v>
      </c>
      <c r="I68" s="6">
        <v>1.4E-5</v>
      </c>
      <c r="J68" s="6">
        <v>0</v>
      </c>
    </row>
    <row r="69" spans="1:10" x14ac:dyDescent="0.3">
      <c r="A69" s="6" t="s">
        <v>272</v>
      </c>
      <c r="B69" s="6" t="s">
        <v>272</v>
      </c>
      <c r="C69" s="6" t="s">
        <v>11</v>
      </c>
      <c r="D69" s="6" t="s">
        <v>492</v>
      </c>
      <c r="E69" s="6">
        <v>0</v>
      </c>
      <c r="F69" s="6">
        <v>0</v>
      </c>
      <c r="G69" s="6">
        <v>-1.5020000000000001E-3</v>
      </c>
      <c r="H69" s="6">
        <v>9.2E-5</v>
      </c>
      <c r="I69" s="6">
        <v>-1.11E-4</v>
      </c>
      <c r="J69" s="6">
        <v>0</v>
      </c>
    </row>
    <row r="70" spans="1:10" x14ac:dyDescent="0.3">
      <c r="A70" s="6" t="s">
        <v>273</v>
      </c>
      <c r="B70" s="6" t="s">
        <v>273</v>
      </c>
      <c r="C70" s="6" t="s">
        <v>11</v>
      </c>
      <c r="D70" s="6" t="s">
        <v>492</v>
      </c>
      <c r="E70" s="6">
        <v>0</v>
      </c>
      <c r="F70" s="6">
        <v>0</v>
      </c>
      <c r="G70" s="6">
        <v>-1.5219999999999999E-3</v>
      </c>
      <c r="H70" s="6">
        <v>-2.4000000000000001E-5</v>
      </c>
      <c r="I70" s="6">
        <v>1.5E-5</v>
      </c>
      <c r="J70" s="6">
        <v>0</v>
      </c>
    </row>
    <row r="71" spans="1:10" x14ac:dyDescent="0.3">
      <c r="A71" s="6" t="s">
        <v>300</v>
      </c>
      <c r="B71" s="6" t="s">
        <v>300</v>
      </c>
      <c r="C71" s="6" t="s">
        <v>11</v>
      </c>
      <c r="D71" s="6" t="s">
        <v>492</v>
      </c>
      <c r="E71" s="6">
        <v>0</v>
      </c>
      <c r="F71" s="6">
        <v>0</v>
      </c>
      <c r="G71" s="6">
        <v>-1.9400000000000001E-3</v>
      </c>
      <c r="H71" s="6">
        <v>-1.2E-5</v>
      </c>
      <c r="I71" s="6">
        <v>-4.1999999999999998E-5</v>
      </c>
      <c r="J71" s="6">
        <v>0</v>
      </c>
    </row>
    <row r="72" spans="1:10" x14ac:dyDescent="0.3">
      <c r="A72" s="6" t="s">
        <v>299</v>
      </c>
      <c r="B72" s="6" t="s">
        <v>299</v>
      </c>
      <c r="C72" s="6" t="s">
        <v>11</v>
      </c>
      <c r="D72" s="6" t="s">
        <v>492</v>
      </c>
      <c r="E72" s="6">
        <v>0</v>
      </c>
      <c r="F72" s="6">
        <v>0</v>
      </c>
      <c r="G72" s="6">
        <v>-1.8979999999999999E-3</v>
      </c>
      <c r="H72" s="6">
        <v>-1.2E-5</v>
      </c>
      <c r="I72" s="6">
        <v>-4.1999999999999998E-5</v>
      </c>
      <c r="J72" s="6">
        <v>0</v>
      </c>
    </row>
    <row r="73" spans="1:10" x14ac:dyDescent="0.3">
      <c r="A73" s="6" t="s">
        <v>274</v>
      </c>
      <c r="B73" s="6" t="s">
        <v>274</v>
      </c>
      <c r="C73" s="6" t="s">
        <v>11</v>
      </c>
      <c r="D73" s="6" t="s">
        <v>492</v>
      </c>
      <c r="E73" s="6">
        <v>0</v>
      </c>
      <c r="F73" s="6">
        <v>0</v>
      </c>
      <c r="G73" s="6">
        <v>-1.9120000000000001E-3</v>
      </c>
      <c r="H73" s="6">
        <v>-1.2E-5</v>
      </c>
      <c r="I73" s="6">
        <v>-4.1999999999999998E-5</v>
      </c>
      <c r="J73" s="6">
        <v>0</v>
      </c>
    </row>
    <row r="74" spans="1:10" x14ac:dyDescent="0.3">
      <c r="A74" s="6" t="s">
        <v>275</v>
      </c>
      <c r="B74" s="6" t="s">
        <v>275</v>
      </c>
      <c r="C74" s="6" t="s">
        <v>11</v>
      </c>
      <c r="D74" s="6" t="s">
        <v>492</v>
      </c>
      <c r="E74" s="6">
        <v>0</v>
      </c>
      <c r="F74" s="6">
        <v>0</v>
      </c>
      <c r="G74" s="6">
        <v>-1.9530000000000001E-3</v>
      </c>
      <c r="H74" s="6">
        <v>-1.2E-5</v>
      </c>
      <c r="I74" s="6">
        <v>-4.1999999999999998E-5</v>
      </c>
      <c r="J74" s="6">
        <v>0</v>
      </c>
    </row>
    <row r="75" spans="1:10" x14ac:dyDescent="0.3">
      <c r="A75" s="6" t="s">
        <v>302</v>
      </c>
      <c r="B75" s="6" t="s">
        <v>302</v>
      </c>
      <c r="C75" s="6" t="s">
        <v>11</v>
      </c>
      <c r="D75" s="6" t="s">
        <v>492</v>
      </c>
      <c r="E75" s="6">
        <v>0</v>
      </c>
      <c r="F75" s="6">
        <v>0</v>
      </c>
      <c r="G75" s="6">
        <v>-2.0339999999999998E-3</v>
      </c>
      <c r="H75" s="6">
        <v>-6.533E-6</v>
      </c>
      <c r="I75" s="6">
        <v>-6.1550000000000004E-6</v>
      </c>
      <c r="J75" s="6">
        <v>0</v>
      </c>
    </row>
    <row r="76" spans="1:10" x14ac:dyDescent="0.3">
      <c r="A76" s="6" t="s">
        <v>301</v>
      </c>
      <c r="B76" s="6" t="s">
        <v>301</v>
      </c>
      <c r="C76" s="6" t="s">
        <v>11</v>
      </c>
      <c r="D76" s="6" t="s">
        <v>492</v>
      </c>
      <c r="E76" s="6">
        <v>0</v>
      </c>
      <c r="F76" s="6">
        <v>0</v>
      </c>
      <c r="G76" s="6">
        <v>-2.0279999999999999E-3</v>
      </c>
      <c r="H76" s="6">
        <v>-6.5320000000000003E-6</v>
      </c>
      <c r="I76" s="6">
        <v>-6.2020000000000001E-6</v>
      </c>
      <c r="J76" s="6">
        <v>0</v>
      </c>
    </row>
    <row r="77" spans="1:10" x14ac:dyDescent="0.3">
      <c r="A77" s="6" t="s">
        <v>276</v>
      </c>
      <c r="B77" s="6" t="s">
        <v>276</v>
      </c>
      <c r="C77" s="6" t="s">
        <v>11</v>
      </c>
      <c r="D77" s="6" t="s">
        <v>492</v>
      </c>
      <c r="E77" s="6">
        <v>0</v>
      </c>
      <c r="F77" s="6">
        <v>0</v>
      </c>
      <c r="G77" s="6">
        <v>-2.0349999999999999E-3</v>
      </c>
      <c r="H77" s="6">
        <v>-6.4849999999999997E-6</v>
      </c>
      <c r="I77" s="6">
        <v>-6.2009999999999996E-6</v>
      </c>
      <c r="J77" s="6">
        <v>0</v>
      </c>
    </row>
    <row r="78" spans="1:10" x14ac:dyDescent="0.3">
      <c r="A78" s="6" t="s">
        <v>277</v>
      </c>
      <c r="B78" s="6" t="s">
        <v>277</v>
      </c>
      <c r="C78" s="6" t="s">
        <v>11</v>
      </c>
      <c r="D78" s="6" t="s">
        <v>492</v>
      </c>
      <c r="E78" s="6">
        <v>0</v>
      </c>
      <c r="F78" s="6">
        <v>0</v>
      </c>
      <c r="G78" s="6">
        <v>-2.042E-3</v>
      </c>
      <c r="H78" s="6">
        <v>-6.4840000000000001E-6</v>
      </c>
      <c r="I78" s="6">
        <v>-6.1569999999999997E-6</v>
      </c>
      <c r="J78" s="6">
        <v>0</v>
      </c>
    </row>
    <row r="79" spans="1:10" x14ac:dyDescent="0.3">
      <c r="A79" s="6" t="s">
        <v>304</v>
      </c>
      <c r="B79" s="6" t="s">
        <v>304</v>
      </c>
      <c r="C79" s="6" t="s">
        <v>11</v>
      </c>
      <c r="D79" s="6" t="s">
        <v>492</v>
      </c>
      <c r="E79" s="6">
        <v>0</v>
      </c>
      <c r="F79" s="6">
        <v>0</v>
      </c>
      <c r="G79" s="6">
        <v>-1.428E-3</v>
      </c>
      <c r="H79" s="6">
        <v>-3.6999999999999998E-5</v>
      </c>
      <c r="I79" s="6">
        <v>-2.9E-5</v>
      </c>
      <c r="J79" s="6">
        <v>0</v>
      </c>
    </row>
    <row r="80" spans="1:10" x14ac:dyDescent="0.3">
      <c r="A80" s="6" t="s">
        <v>303</v>
      </c>
      <c r="B80" s="6" t="s">
        <v>303</v>
      </c>
      <c r="C80" s="6" t="s">
        <v>11</v>
      </c>
      <c r="D80" s="6" t="s">
        <v>492</v>
      </c>
      <c r="E80" s="6">
        <v>0</v>
      </c>
      <c r="F80" s="6">
        <v>0</v>
      </c>
      <c r="G80" s="6">
        <v>-1.3990000000000001E-3</v>
      </c>
      <c r="H80" s="6">
        <v>-3.6999999999999998E-5</v>
      </c>
      <c r="I80" s="6">
        <v>-2.9E-5</v>
      </c>
      <c r="J80" s="6">
        <v>0</v>
      </c>
    </row>
    <row r="81" spans="1:10" x14ac:dyDescent="0.3">
      <c r="A81" s="6" t="s">
        <v>278</v>
      </c>
      <c r="B81" s="6" t="s">
        <v>278</v>
      </c>
      <c r="C81" s="6" t="s">
        <v>11</v>
      </c>
      <c r="D81" s="6" t="s">
        <v>492</v>
      </c>
      <c r="E81" s="6">
        <v>0</v>
      </c>
      <c r="F81" s="6">
        <v>0</v>
      </c>
      <c r="G81" s="6">
        <v>-1.4400000000000001E-3</v>
      </c>
      <c r="H81" s="6">
        <v>-3.6999999999999998E-5</v>
      </c>
      <c r="I81" s="6">
        <v>-2.9E-5</v>
      </c>
      <c r="J81" s="6">
        <v>0</v>
      </c>
    </row>
    <row r="82" spans="1:10" x14ac:dyDescent="0.3">
      <c r="A82" s="6" t="s">
        <v>279</v>
      </c>
      <c r="B82" s="6" t="s">
        <v>279</v>
      </c>
      <c r="C82" s="6" t="s">
        <v>11</v>
      </c>
      <c r="D82" s="6" t="s">
        <v>492</v>
      </c>
      <c r="E82" s="6">
        <v>0</v>
      </c>
      <c r="F82" s="6">
        <v>0</v>
      </c>
      <c r="G82" s="6">
        <v>-1.469E-3</v>
      </c>
      <c r="H82" s="6">
        <v>-3.6999999999999998E-5</v>
      </c>
      <c r="I82" s="6">
        <v>-2.9E-5</v>
      </c>
      <c r="J82" s="6">
        <v>0</v>
      </c>
    </row>
    <row r="83" spans="1:10" x14ac:dyDescent="0.3">
      <c r="A83" s="6" t="s">
        <v>306</v>
      </c>
      <c r="B83" s="6" t="s">
        <v>306</v>
      </c>
      <c r="C83" s="6" t="s">
        <v>11</v>
      </c>
      <c r="D83" s="6" t="s">
        <v>492</v>
      </c>
      <c r="E83" s="6">
        <v>0</v>
      </c>
      <c r="F83" s="6">
        <v>0</v>
      </c>
      <c r="G83" s="6">
        <v>-1.9880000000000002E-3</v>
      </c>
      <c r="H83" s="6">
        <v>2.5999999999999998E-5</v>
      </c>
      <c r="I83" s="6">
        <v>1.47E-4</v>
      </c>
      <c r="J83" s="6">
        <v>0</v>
      </c>
    </row>
    <row r="84" spans="1:10" x14ac:dyDescent="0.3">
      <c r="A84" s="6" t="s">
        <v>305</v>
      </c>
      <c r="B84" s="6" t="s">
        <v>305</v>
      </c>
      <c r="C84" s="6" t="s">
        <v>11</v>
      </c>
      <c r="D84" s="6" t="s">
        <v>492</v>
      </c>
      <c r="E84" s="6">
        <v>0</v>
      </c>
      <c r="F84" s="6">
        <v>0</v>
      </c>
      <c r="G84" s="6">
        <v>-2.15E-3</v>
      </c>
      <c r="H84" s="6">
        <v>2.5999999999999998E-5</v>
      </c>
      <c r="I84" s="6">
        <v>1.47E-4</v>
      </c>
      <c r="J84" s="6">
        <v>0</v>
      </c>
    </row>
    <row r="85" spans="1:10" x14ac:dyDescent="0.3">
      <c r="A85" s="6" t="s">
        <v>234</v>
      </c>
      <c r="B85" s="6" t="s">
        <v>234</v>
      </c>
      <c r="C85" s="6" t="s">
        <v>11</v>
      </c>
      <c r="D85" s="6" t="s">
        <v>492</v>
      </c>
      <c r="E85" s="6">
        <v>0</v>
      </c>
      <c r="F85" s="6">
        <v>0</v>
      </c>
      <c r="G85" s="6">
        <v>-2.124E-3</v>
      </c>
      <c r="H85" s="6">
        <v>2.5999999999999998E-5</v>
      </c>
      <c r="I85" s="6">
        <v>1.47E-4</v>
      </c>
      <c r="J85" s="6">
        <v>0</v>
      </c>
    </row>
    <row r="86" spans="1:10" x14ac:dyDescent="0.3">
      <c r="A86" s="6" t="s">
        <v>235</v>
      </c>
      <c r="B86" s="6" t="s">
        <v>235</v>
      </c>
      <c r="C86" s="6" t="s">
        <v>11</v>
      </c>
      <c r="D86" s="6" t="s">
        <v>492</v>
      </c>
      <c r="E86" s="6">
        <v>0</v>
      </c>
      <c r="F86" s="6">
        <v>0</v>
      </c>
      <c r="G86" s="6">
        <v>-1.9620000000000002E-3</v>
      </c>
      <c r="H86" s="6">
        <v>2.5999999999999998E-5</v>
      </c>
      <c r="I86" s="6">
        <v>1.47E-4</v>
      </c>
      <c r="J86" s="6">
        <v>0</v>
      </c>
    </row>
    <row r="87" spans="1:10" x14ac:dyDescent="0.3">
      <c r="A87" s="6" t="s">
        <v>258</v>
      </c>
      <c r="B87" s="6" t="s">
        <v>258</v>
      </c>
      <c r="C87" s="6" t="s">
        <v>11</v>
      </c>
      <c r="D87" s="6" t="s">
        <v>492</v>
      </c>
      <c r="E87" s="6">
        <v>0</v>
      </c>
      <c r="F87" s="6">
        <v>0</v>
      </c>
      <c r="G87" s="6">
        <v>-2.019E-3</v>
      </c>
      <c r="H87" s="6">
        <v>4.3560000000000001E-8</v>
      </c>
      <c r="I87" s="6">
        <v>1.5100000000000001E-4</v>
      </c>
      <c r="J87" s="6">
        <v>0</v>
      </c>
    </row>
    <row r="88" spans="1:10" x14ac:dyDescent="0.3">
      <c r="A88" s="6" t="s">
        <v>257</v>
      </c>
      <c r="B88" s="6" t="s">
        <v>257</v>
      </c>
      <c r="C88" s="6" t="s">
        <v>11</v>
      </c>
      <c r="D88" s="6" t="s">
        <v>492</v>
      </c>
      <c r="E88" s="6">
        <v>0</v>
      </c>
      <c r="F88" s="6">
        <v>0</v>
      </c>
      <c r="G88" s="6">
        <v>-2.1849999999999999E-3</v>
      </c>
      <c r="H88" s="6">
        <v>3.3960000000000001E-8</v>
      </c>
      <c r="I88" s="6">
        <v>1.5100000000000001E-4</v>
      </c>
      <c r="J88" s="6">
        <v>0</v>
      </c>
    </row>
    <row r="89" spans="1:10" x14ac:dyDescent="0.3">
      <c r="A89" s="6" t="s">
        <v>193</v>
      </c>
      <c r="B89" s="6" t="s">
        <v>193</v>
      </c>
      <c r="C89" s="6" t="s">
        <v>11</v>
      </c>
      <c r="D89" s="6" t="s">
        <v>492</v>
      </c>
      <c r="E89" s="6">
        <v>0</v>
      </c>
      <c r="F89" s="6">
        <v>0</v>
      </c>
      <c r="G89" s="6">
        <v>-2.1849999999999999E-3</v>
      </c>
      <c r="H89" s="6">
        <v>5.5530000000000002E-8</v>
      </c>
      <c r="I89" s="6">
        <v>1.5100000000000001E-4</v>
      </c>
      <c r="J89" s="6">
        <v>0</v>
      </c>
    </row>
    <row r="90" spans="1:10" x14ac:dyDescent="0.3">
      <c r="A90" s="6" t="s">
        <v>194</v>
      </c>
      <c r="B90" s="6" t="s">
        <v>194</v>
      </c>
      <c r="C90" s="6" t="s">
        <v>11</v>
      </c>
      <c r="D90" s="6" t="s">
        <v>492</v>
      </c>
      <c r="E90" s="6">
        <v>0</v>
      </c>
      <c r="F90" s="6">
        <v>0</v>
      </c>
      <c r="G90" s="6">
        <v>-2.019E-3</v>
      </c>
      <c r="H90" s="6">
        <v>4.6199999999999997E-8</v>
      </c>
      <c r="I90" s="6">
        <v>1.5100000000000001E-4</v>
      </c>
      <c r="J90" s="6">
        <v>0</v>
      </c>
    </row>
    <row r="91" spans="1:10" x14ac:dyDescent="0.3">
      <c r="A91" s="6" t="s">
        <v>220</v>
      </c>
      <c r="B91" s="6" t="s">
        <v>220</v>
      </c>
      <c r="C91" s="6" t="s">
        <v>11</v>
      </c>
      <c r="D91" s="6" t="s">
        <v>492</v>
      </c>
      <c r="E91" s="6">
        <v>0</v>
      </c>
      <c r="F91" s="6">
        <v>0</v>
      </c>
      <c r="G91" s="6">
        <v>-2.0110000000000002E-3</v>
      </c>
      <c r="H91" s="6">
        <v>1.2949999999999999E-7</v>
      </c>
      <c r="I91" s="6">
        <v>1.5100000000000001E-4</v>
      </c>
      <c r="J91" s="6">
        <v>0</v>
      </c>
    </row>
    <row r="92" spans="1:10" x14ac:dyDescent="0.3">
      <c r="A92" s="6" t="s">
        <v>219</v>
      </c>
      <c r="B92" s="6" t="s">
        <v>219</v>
      </c>
      <c r="C92" s="6" t="s">
        <v>11</v>
      </c>
      <c r="D92" s="6" t="s">
        <v>492</v>
      </c>
      <c r="E92" s="6">
        <v>0</v>
      </c>
      <c r="F92" s="6">
        <v>0</v>
      </c>
      <c r="G92" s="6">
        <v>-2.1779999999999998E-3</v>
      </c>
      <c r="H92" s="6">
        <v>1.201E-7</v>
      </c>
      <c r="I92" s="6">
        <v>1.5100000000000001E-4</v>
      </c>
      <c r="J92" s="6">
        <v>0</v>
      </c>
    </row>
    <row r="93" spans="1:10" x14ac:dyDescent="0.3">
      <c r="A93" s="6" t="s">
        <v>152</v>
      </c>
      <c r="B93" s="6" t="s">
        <v>152</v>
      </c>
      <c r="C93" s="6" t="s">
        <v>11</v>
      </c>
      <c r="D93" s="6" t="s">
        <v>492</v>
      </c>
      <c r="E93" s="6">
        <v>0</v>
      </c>
      <c r="F93" s="6">
        <v>0</v>
      </c>
      <c r="G93" s="6">
        <v>-2.1770000000000001E-3</v>
      </c>
      <c r="H93" s="6">
        <v>1.424E-7</v>
      </c>
      <c r="I93" s="6">
        <v>1.5100000000000001E-4</v>
      </c>
      <c r="J93" s="6">
        <v>0</v>
      </c>
    </row>
    <row r="94" spans="1:10" x14ac:dyDescent="0.3">
      <c r="A94" s="6" t="s">
        <v>153</v>
      </c>
      <c r="B94" s="6" t="s">
        <v>153</v>
      </c>
      <c r="C94" s="6" t="s">
        <v>11</v>
      </c>
      <c r="D94" s="6" t="s">
        <v>492</v>
      </c>
      <c r="E94" s="6">
        <v>0</v>
      </c>
      <c r="F94" s="6">
        <v>0</v>
      </c>
      <c r="G94" s="6">
        <v>-2.0110000000000002E-3</v>
      </c>
      <c r="H94" s="6">
        <v>1.3290000000000001E-7</v>
      </c>
      <c r="I94" s="6">
        <v>1.5100000000000001E-4</v>
      </c>
      <c r="J94" s="6">
        <v>0</v>
      </c>
    </row>
    <row r="95" spans="1:10" x14ac:dyDescent="0.3">
      <c r="A95" s="6" t="s">
        <v>179</v>
      </c>
      <c r="B95" s="6" t="s">
        <v>179</v>
      </c>
      <c r="C95" s="6" t="s">
        <v>11</v>
      </c>
      <c r="D95" s="6" t="s">
        <v>492</v>
      </c>
      <c r="E95" s="6">
        <v>0</v>
      </c>
      <c r="F95" s="6">
        <v>0</v>
      </c>
      <c r="G95" s="6">
        <v>-2.0070000000000001E-3</v>
      </c>
      <c r="H95" s="6">
        <v>1.4049999999999999E-7</v>
      </c>
      <c r="I95" s="6">
        <v>1.54E-4</v>
      </c>
      <c r="J95" s="6">
        <v>0</v>
      </c>
    </row>
    <row r="96" spans="1:10" x14ac:dyDescent="0.3">
      <c r="A96" s="6" t="s">
        <v>178</v>
      </c>
      <c r="B96" s="6" t="s">
        <v>178</v>
      </c>
      <c r="C96" s="6" t="s">
        <v>11</v>
      </c>
      <c r="D96" s="6" t="s">
        <v>492</v>
      </c>
      <c r="E96" s="6">
        <v>0</v>
      </c>
      <c r="F96" s="6">
        <v>0</v>
      </c>
      <c r="G96" s="6">
        <v>-2.176E-3</v>
      </c>
      <c r="H96" s="6">
        <v>1.3150000000000001E-7</v>
      </c>
      <c r="I96" s="6">
        <v>1.54E-4</v>
      </c>
      <c r="J96" s="6">
        <v>0</v>
      </c>
    </row>
    <row r="97" spans="1:10" x14ac:dyDescent="0.3">
      <c r="A97" s="6" t="s">
        <v>117</v>
      </c>
      <c r="B97" s="6" t="s">
        <v>117</v>
      </c>
      <c r="C97" s="6" t="s">
        <v>11</v>
      </c>
      <c r="D97" s="6" t="s">
        <v>492</v>
      </c>
      <c r="E97" s="6">
        <v>0</v>
      </c>
      <c r="F97" s="6">
        <v>0</v>
      </c>
      <c r="G97" s="6">
        <v>-2.176E-3</v>
      </c>
      <c r="H97" s="6">
        <v>1.5340000000000001E-7</v>
      </c>
      <c r="I97" s="6">
        <v>1.54E-4</v>
      </c>
      <c r="J97" s="6">
        <v>0</v>
      </c>
    </row>
    <row r="98" spans="1:10" x14ac:dyDescent="0.3">
      <c r="A98" s="6" t="s">
        <v>118</v>
      </c>
      <c r="B98" s="6" t="s">
        <v>118</v>
      </c>
      <c r="C98" s="6" t="s">
        <v>11</v>
      </c>
      <c r="D98" s="6" t="s">
        <v>492</v>
      </c>
      <c r="E98" s="6">
        <v>0</v>
      </c>
      <c r="F98" s="6">
        <v>0</v>
      </c>
      <c r="G98" s="6">
        <v>-2.006E-3</v>
      </c>
      <c r="H98" s="6">
        <v>1.4359999999999999E-7</v>
      </c>
      <c r="I98" s="6">
        <v>1.54E-4</v>
      </c>
      <c r="J98" s="6">
        <v>0</v>
      </c>
    </row>
    <row r="99" spans="1:10" x14ac:dyDescent="0.3">
      <c r="A99" s="6" t="s">
        <v>138</v>
      </c>
      <c r="B99" s="6" t="s">
        <v>138</v>
      </c>
      <c r="C99" s="6" t="s">
        <v>11</v>
      </c>
      <c r="D99" s="6" t="s">
        <v>492</v>
      </c>
      <c r="E99" s="6">
        <v>0</v>
      </c>
      <c r="F99" s="6">
        <v>0</v>
      </c>
      <c r="G99" s="6">
        <v>-1.799E-3</v>
      </c>
      <c r="H99" s="6">
        <v>-5.1999999999999997E-5</v>
      </c>
      <c r="I99" s="6">
        <v>1.64E-4</v>
      </c>
      <c r="J99" s="6">
        <v>0</v>
      </c>
    </row>
    <row r="100" spans="1:10" x14ac:dyDescent="0.3">
      <c r="A100" s="6" t="s">
        <v>137</v>
      </c>
      <c r="B100" s="6" t="s">
        <v>137</v>
      </c>
      <c r="C100" s="6" t="s">
        <v>11</v>
      </c>
      <c r="D100" s="6" t="s">
        <v>492</v>
      </c>
      <c r="E100" s="6">
        <v>0</v>
      </c>
      <c r="F100" s="6">
        <v>0</v>
      </c>
      <c r="G100" s="6">
        <v>-1.98E-3</v>
      </c>
      <c r="H100" s="6">
        <v>-5.1999999999999997E-5</v>
      </c>
      <c r="I100" s="6">
        <v>1.64E-4</v>
      </c>
      <c r="J100" s="6">
        <v>0</v>
      </c>
    </row>
    <row r="101" spans="1:10" x14ac:dyDescent="0.3">
      <c r="A101" s="6" t="s">
        <v>81</v>
      </c>
      <c r="B101" s="6" t="s">
        <v>81</v>
      </c>
      <c r="C101" s="6" t="s">
        <v>11</v>
      </c>
      <c r="D101" s="6" t="s">
        <v>492</v>
      </c>
      <c r="E101" s="6">
        <v>0</v>
      </c>
      <c r="F101" s="6">
        <v>0</v>
      </c>
      <c r="G101" s="6">
        <v>-2.032E-3</v>
      </c>
      <c r="H101" s="6">
        <v>-5.1999999999999997E-5</v>
      </c>
      <c r="I101" s="6">
        <v>1.64E-4</v>
      </c>
      <c r="J101" s="6">
        <v>0</v>
      </c>
    </row>
    <row r="102" spans="1:10" x14ac:dyDescent="0.3">
      <c r="A102" s="6" t="s">
        <v>82</v>
      </c>
      <c r="B102" s="6" t="s">
        <v>82</v>
      </c>
      <c r="C102" s="6" t="s">
        <v>11</v>
      </c>
      <c r="D102" s="6" t="s">
        <v>492</v>
      </c>
      <c r="E102" s="6">
        <v>0</v>
      </c>
      <c r="F102" s="6">
        <v>0</v>
      </c>
      <c r="G102" s="6">
        <v>-1.851E-3</v>
      </c>
      <c r="H102" s="6">
        <v>-5.1999999999999997E-5</v>
      </c>
      <c r="I102" s="6">
        <v>1.64E-4</v>
      </c>
      <c r="J102" s="6">
        <v>0</v>
      </c>
    </row>
    <row r="103" spans="1:10" x14ac:dyDescent="0.3">
      <c r="A103" s="6" t="s">
        <v>102</v>
      </c>
      <c r="B103" s="6" t="s">
        <v>102</v>
      </c>
      <c r="C103" s="6" t="s">
        <v>11</v>
      </c>
      <c r="D103" s="6" t="s">
        <v>492</v>
      </c>
      <c r="E103" s="6">
        <v>0</v>
      </c>
      <c r="F103" s="6">
        <v>0</v>
      </c>
      <c r="G103" s="6">
        <v>-2.7920000000000002E-3</v>
      </c>
      <c r="H103" s="6">
        <v>3.8000000000000002E-5</v>
      </c>
      <c r="I103" s="6">
        <v>-6.7999999999999999E-5</v>
      </c>
      <c r="J103" s="6">
        <v>0</v>
      </c>
    </row>
    <row r="104" spans="1:10" x14ac:dyDescent="0.3">
      <c r="A104" s="6" t="s">
        <v>101</v>
      </c>
      <c r="B104" s="6" t="s">
        <v>101</v>
      </c>
      <c r="C104" s="6" t="s">
        <v>11</v>
      </c>
      <c r="D104" s="6" t="s">
        <v>492</v>
      </c>
      <c r="E104" s="6">
        <v>0</v>
      </c>
      <c r="F104" s="6">
        <v>0</v>
      </c>
      <c r="G104" s="6">
        <v>-2.7169999999999998E-3</v>
      </c>
      <c r="H104" s="6">
        <v>3.8000000000000002E-5</v>
      </c>
      <c r="I104" s="6">
        <v>-6.7999999999999999E-5</v>
      </c>
      <c r="J104" s="6">
        <v>0</v>
      </c>
    </row>
    <row r="105" spans="1:10" x14ac:dyDescent="0.3">
      <c r="A105" s="6" t="s">
        <v>236</v>
      </c>
      <c r="B105" s="6" t="s">
        <v>236</v>
      </c>
      <c r="C105" s="6" t="s">
        <v>11</v>
      </c>
      <c r="D105" s="6" t="s">
        <v>492</v>
      </c>
      <c r="E105" s="6">
        <v>0</v>
      </c>
      <c r="F105" s="6">
        <v>0</v>
      </c>
      <c r="G105" s="6">
        <v>-2.679E-3</v>
      </c>
      <c r="H105" s="6">
        <v>3.8000000000000002E-5</v>
      </c>
      <c r="I105" s="6">
        <v>-6.7999999999999999E-5</v>
      </c>
      <c r="J105" s="6">
        <v>0</v>
      </c>
    </row>
    <row r="106" spans="1:10" x14ac:dyDescent="0.3">
      <c r="A106" s="6" t="s">
        <v>237</v>
      </c>
      <c r="B106" s="6" t="s">
        <v>237</v>
      </c>
      <c r="C106" s="6" t="s">
        <v>11</v>
      </c>
      <c r="D106" s="6" t="s">
        <v>492</v>
      </c>
      <c r="E106" s="6">
        <v>0</v>
      </c>
      <c r="F106" s="6">
        <v>0</v>
      </c>
      <c r="G106" s="6">
        <v>-2.7539999999999999E-3</v>
      </c>
      <c r="H106" s="6">
        <v>3.8000000000000002E-5</v>
      </c>
      <c r="I106" s="6">
        <v>-6.7999999999999999E-5</v>
      </c>
      <c r="J106" s="6">
        <v>0</v>
      </c>
    </row>
    <row r="107" spans="1:10" x14ac:dyDescent="0.3">
      <c r="A107" s="6" t="s">
        <v>260</v>
      </c>
      <c r="B107" s="6" t="s">
        <v>260</v>
      </c>
      <c r="C107" s="6" t="s">
        <v>11</v>
      </c>
      <c r="D107" s="6" t="s">
        <v>492</v>
      </c>
      <c r="E107" s="6">
        <v>0</v>
      </c>
      <c r="F107" s="6">
        <v>0</v>
      </c>
      <c r="G107" s="6">
        <v>-2.7880000000000001E-3</v>
      </c>
      <c r="H107" s="6">
        <v>-6.9260000000000003E-6</v>
      </c>
      <c r="I107" s="6">
        <v>-7.7000000000000001E-5</v>
      </c>
      <c r="J107" s="6">
        <v>0</v>
      </c>
    </row>
    <row r="108" spans="1:10" x14ac:dyDescent="0.3">
      <c r="A108" s="6" t="s">
        <v>259</v>
      </c>
      <c r="B108" s="6" t="s">
        <v>259</v>
      </c>
      <c r="C108" s="6" t="s">
        <v>11</v>
      </c>
      <c r="D108" s="6" t="s">
        <v>492</v>
      </c>
      <c r="E108" s="6">
        <v>0</v>
      </c>
      <c r="F108" s="6">
        <v>0</v>
      </c>
      <c r="G108" s="6">
        <v>-2.7039999999999998E-3</v>
      </c>
      <c r="H108" s="6">
        <v>-6.9260000000000003E-6</v>
      </c>
      <c r="I108" s="6">
        <v>-7.7000000000000001E-5</v>
      </c>
      <c r="J108" s="6">
        <v>0</v>
      </c>
    </row>
    <row r="109" spans="1:10" x14ac:dyDescent="0.3">
      <c r="A109" s="6" t="s">
        <v>195</v>
      </c>
      <c r="B109" s="6" t="s">
        <v>195</v>
      </c>
      <c r="C109" s="6" t="s">
        <v>11</v>
      </c>
      <c r="D109" s="6" t="s">
        <v>492</v>
      </c>
      <c r="E109" s="6">
        <v>0</v>
      </c>
      <c r="F109" s="6">
        <v>0</v>
      </c>
      <c r="G109" s="6">
        <v>-2.7109999999999999E-3</v>
      </c>
      <c r="H109" s="6">
        <v>-6.9029999999999998E-6</v>
      </c>
      <c r="I109" s="6">
        <v>-7.7000000000000001E-5</v>
      </c>
      <c r="J109" s="6">
        <v>0</v>
      </c>
    </row>
    <row r="110" spans="1:10" x14ac:dyDescent="0.3">
      <c r="A110" s="6" t="s">
        <v>196</v>
      </c>
      <c r="B110" s="6" t="s">
        <v>196</v>
      </c>
      <c r="C110" s="6" t="s">
        <v>11</v>
      </c>
      <c r="D110" s="6" t="s">
        <v>492</v>
      </c>
      <c r="E110" s="6">
        <v>0</v>
      </c>
      <c r="F110" s="6">
        <v>0</v>
      </c>
      <c r="G110" s="6">
        <v>-2.7950000000000002E-3</v>
      </c>
      <c r="H110" s="6">
        <v>-6.9009999999999997E-6</v>
      </c>
      <c r="I110" s="6">
        <v>-7.7000000000000001E-5</v>
      </c>
      <c r="J110" s="6">
        <v>0</v>
      </c>
    </row>
    <row r="111" spans="1:10" x14ac:dyDescent="0.3">
      <c r="A111" s="6" t="s">
        <v>222</v>
      </c>
      <c r="B111" s="6" t="s">
        <v>222</v>
      </c>
      <c r="C111" s="6" t="s">
        <v>11</v>
      </c>
      <c r="D111" s="6" t="s">
        <v>492</v>
      </c>
      <c r="E111" s="6">
        <v>0</v>
      </c>
      <c r="F111" s="6">
        <v>0</v>
      </c>
      <c r="G111" s="6">
        <v>-2.7989999999999998E-3</v>
      </c>
      <c r="H111" s="6">
        <v>5.4650000000000002E-6</v>
      </c>
      <c r="I111" s="6">
        <v>-7.3999999999999996E-5</v>
      </c>
      <c r="J111" s="6">
        <v>0</v>
      </c>
    </row>
    <row r="112" spans="1:10" x14ac:dyDescent="0.3">
      <c r="A112" s="6" t="s">
        <v>221</v>
      </c>
      <c r="B112" s="6" t="s">
        <v>221</v>
      </c>
      <c r="C112" s="6" t="s">
        <v>11</v>
      </c>
      <c r="D112" s="6" t="s">
        <v>492</v>
      </c>
      <c r="E112" s="6">
        <v>0</v>
      </c>
      <c r="F112" s="6">
        <v>0</v>
      </c>
      <c r="G112" s="6">
        <v>-2.7179999999999999E-3</v>
      </c>
      <c r="H112" s="6">
        <v>5.4659999999999998E-6</v>
      </c>
      <c r="I112" s="6">
        <v>-7.3999999999999996E-5</v>
      </c>
      <c r="J112" s="6">
        <v>0</v>
      </c>
    </row>
    <row r="113" spans="1:10" x14ac:dyDescent="0.3">
      <c r="A113" s="6" t="s">
        <v>154</v>
      </c>
      <c r="B113" s="6" t="s">
        <v>154</v>
      </c>
      <c r="C113" s="6" t="s">
        <v>11</v>
      </c>
      <c r="D113" s="6" t="s">
        <v>492</v>
      </c>
      <c r="E113" s="6">
        <v>0</v>
      </c>
      <c r="F113" s="6">
        <v>0</v>
      </c>
      <c r="G113" s="6">
        <v>-2.712E-3</v>
      </c>
      <c r="H113" s="6">
        <v>5.4929999999999998E-6</v>
      </c>
      <c r="I113" s="6">
        <v>-7.3999999999999996E-5</v>
      </c>
      <c r="J113" s="6">
        <v>0</v>
      </c>
    </row>
    <row r="114" spans="1:10" x14ac:dyDescent="0.3">
      <c r="A114" s="6" t="s">
        <v>155</v>
      </c>
      <c r="B114" s="6" t="s">
        <v>155</v>
      </c>
      <c r="C114" s="6" t="s">
        <v>11</v>
      </c>
      <c r="D114" s="6" t="s">
        <v>492</v>
      </c>
      <c r="E114" s="6">
        <v>0</v>
      </c>
      <c r="F114" s="6">
        <v>0</v>
      </c>
      <c r="G114" s="6">
        <v>-2.794E-3</v>
      </c>
      <c r="H114" s="6">
        <v>5.4920000000000001E-6</v>
      </c>
      <c r="I114" s="6">
        <v>-7.3999999999999996E-5</v>
      </c>
      <c r="J114" s="6">
        <v>0</v>
      </c>
    </row>
    <row r="115" spans="1:10" x14ac:dyDescent="0.3">
      <c r="A115" s="6" t="s">
        <v>181</v>
      </c>
      <c r="B115" s="6" t="s">
        <v>181</v>
      </c>
      <c r="C115" s="6" t="s">
        <v>11</v>
      </c>
      <c r="D115" s="6" t="s">
        <v>492</v>
      </c>
      <c r="E115" s="6">
        <v>0</v>
      </c>
      <c r="F115" s="6">
        <v>0</v>
      </c>
      <c r="G115" s="6">
        <v>-2.8170000000000001E-3</v>
      </c>
      <c r="H115" s="6">
        <v>3.535E-6</v>
      </c>
      <c r="I115" s="6">
        <v>-7.3999999999999996E-5</v>
      </c>
      <c r="J115" s="6">
        <v>0</v>
      </c>
    </row>
    <row r="116" spans="1:10" x14ac:dyDescent="0.3">
      <c r="A116" s="6" t="s">
        <v>180</v>
      </c>
      <c r="B116" s="6" t="s">
        <v>180</v>
      </c>
      <c r="C116" s="6" t="s">
        <v>11</v>
      </c>
      <c r="D116" s="6" t="s">
        <v>492</v>
      </c>
      <c r="E116" s="6">
        <v>0</v>
      </c>
      <c r="F116" s="6">
        <v>0</v>
      </c>
      <c r="G116" s="6">
        <v>-2.7360000000000002E-3</v>
      </c>
      <c r="H116" s="6">
        <v>3.5360000000000001E-6</v>
      </c>
      <c r="I116" s="6">
        <v>-7.3999999999999996E-5</v>
      </c>
      <c r="J116" s="6">
        <v>0</v>
      </c>
    </row>
    <row r="117" spans="1:10" x14ac:dyDescent="0.3">
      <c r="A117" s="6" t="s">
        <v>119</v>
      </c>
      <c r="B117" s="6" t="s">
        <v>119</v>
      </c>
      <c r="C117" s="6" t="s">
        <v>11</v>
      </c>
      <c r="D117" s="6" t="s">
        <v>492</v>
      </c>
      <c r="E117" s="6">
        <v>0</v>
      </c>
      <c r="F117" s="6">
        <v>0</v>
      </c>
      <c r="G117" s="6">
        <v>-2.7320000000000001E-3</v>
      </c>
      <c r="H117" s="6">
        <v>3.5590000000000001E-6</v>
      </c>
      <c r="I117" s="6">
        <v>-7.3999999999999996E-5</v>
      </c>
      <c r="J117" s="6">
        <v>0</v>
      </c>
    </row>
    <row r="118" spans="1:10" x14ac:dyDescent="0.3">
      <c r="A118" s="6" t="s">
        <v>120</v>
      </c>
      <c r="B118" s="6" t="s">
        <v>120</v>
      </c>
      <c r="C118" s="6" t="s">
        <v>11</v>
      </c>
      <c r="D118" s="6" t="s">
        <v>492</v>
      </c>
      <c r="E118" s="6">
        <v>0</v>
      </c>
      <c r="F118" s="6">
        <v>0</v>
      </c>
      <c r="G118" s="6">
        <v>-2.8140000000000001E-3</v>
      </c>
      <c r="H118" s="6">
        <v>3.5599999999999998E-6</v>
      </c>
      <c r="I118" s="6">
        <v>-7.3999999999999996E-5</v>
      </c>
      <c r="J118" s="6">
        <v>0</v>
      </c>
    </row>
    <row r="119" spans="1:10" x14ac:dyDescent="0.3">
      <c r="A119" s="6" t="s">
        <v>140</v>
      </c>
      <c r="B119" s="6" t="s">
        <v>140</v>
      </c>
      <c r="C119" s="6" t="s">
        <v>11</v>
      </c>
      <c r="D119" s="6" t="s">
        <v>492</v>
      </c>
      <c r="E119" s="6">
        <v>0</v>
      </c>
      <c r="F119" s="6">
        <v>0</v>
      </c>
      <c r="G119" s="6">
        <v>-2.604E-3</v>
      </c>
      <c r="H119" s="6">
        <v>-7.1000000000000005E-5</v>
      </c>
      <c r="I119" s="6">
        <v>-7.2999999999999999E-5</v>
      </c>
      <c r="J119" s="6">
        <v>0</v>
      </c>
    </row>
    <row r="120" spans="1:10" x14ac:dyDescent="0.3">
      <c r="A120" s="6" t="s">
        <v>139</v>
      </c>
      <c r="B120" s="6" t="s">
        <v>139</v>
      </c>
      <c r="C120" s="6" t="s">
        <v>11</v>
      </c>
      <c r="D120" s="6" t="s">
        <v>492</v>
      </c>
      <c r="E120" s="6">
        <v>0</v>
      </c>
      <c r="F120" s="6">
        <v>0</v>
      </c>
      <c r="G120" s="6">
        <v>-2.5240000000000002E-3</v>
      </c>
      <c r="H120" s="6">
        <v>-7.1000000000000005E-5</v>
      </c>
      <c r="I120" s="6">
        <v>-7.2999999999999999E-5</v>
      </c>
      <c r="J120" s="6">
        <v>0</v>
      </c>
    </row>
    <row r="121" spans="1:10" x14ac:dyDescent="0.3">
      <c r="A121" s="6" t="s">
        <v>83</v>
      </c>
      <c r="B121" s="6" t="s">
        <v>83</v>
      </c>
      <c r="C121" s="6" t="s">
        <v>11</v>
      </c>
      <c r="D121" s="6" t="s">
        <v>492</v>
      </c>
      <c r="E121" s="6">
        <v>0</v>
      </c>
      <c r="F121" s="6">
        <v>0</v>
      </c>
      <c r="G121" s="6">
        <v>-2.5950000000000001E-3</v>
      </c>
      <c r="H121" s="6">
        <v>-7.1000000000000005E-5</v>
      </c>
      <c r="I121" s="6">
        <v>-7.2999999999999999E-5</v>
      </c>
      <c r="J121" s="6">
        <v>0</v>
      </c>
    </row>
    <row r="122" spans="1:10" x14ac:dyDescent="0.3">
      <c r="A122" s="6" t="s">
        <v>84</v>
      </c>
      <c r="B122" s="6" t="s">
        <v>84</v>
      </c>
      <c r="C122" s="6" t="s">
        <v>11</v>
      </c>
      <c r="D122" s="6" t="s">
        <v>492</v>
      </c>
      <c r="E122" s="6">
        <v>0</v>
      </c>
      <c r="F122" s="6">
        <v>0</v>
      </c>
      <c r="G122" s="6">
        <v>-2.6749999999999999E-3</v>
      </c>
      <c r="H122" s="6">
        <v>-7.1000000000000005E-5</v>
      </c>
      <c r="I122" s="6">
        <v>-7.2999999999999999E-5</v>
      </c>
      <c r="J122" s="6">
        <v>0</v>
      </c>
    </row>
    <row r="123" spans="1:10" x14ac:dyDescent="0.3">
      <c r="A123" s="6" t="s">
        <v>104</v>
      </c>
      <c r="B123" s="6" t="s">
        <v>104</v>
      </c>
      <c r="C123" s="6" t="s">
        <v>11</v>
      </c>
      <c r="D123" s="6" t="s">
        <v>492</v>
      </c>
      <c r="E123" s="6">
        <v>0</v>
      </c>
      <c r="F123" s="6">
        <v>0</v>
      </c>
      <c r="G123" s="6">
        <v>-2.8630000000000001E-3</v>
      </c>
      <c r="H123" s="6">
        <v>3.3000000000000003E-5</v>
      </c>
      <c r="I123" s="6">
        <v>-6.9569999999999996E-6</v>
      </c>
      <c r="J123" s="6">
        <v>0</v>
      </c>
    </row>
    <row r="124" spans="1:10" x14ac:dyDescent="0.3">
      <c r="A124" s="6" t="s">
        <v>103</v>
      </c>
      <c r="B124" s="6" t="s">
        <v>103</v>
      </c>
      <c r="C124" s="6" t="s">
        <v>11</v>
      </c>
      <c r="D124" s="6" t="s">
        <v>492</v>
      </c>
      <c r="E124" s="6">
        <v>0</v>
      </c>
      <c r="F124" s="6">
        <v>0</v>
      </c>
      <c r="G124" s="6">
        <v>-2.856E-3</v>
      </c>
      <c r="H124" s="6">
        <v>3.3000000000000003E-5</v>
      </c>
      <c r="I124" s="6">
        <v>-7.097E-6</v>
      </c>
      <c r="J124" s="6">
        <v>0</v>
      </c>
    </row>
    <row r="125" spans="1:10" x14ac:dyDescent="0.3">
      <c r="A125" s="6" t="s">
        <v>238</v>
      </c>
      <c r="B125" s="6" t="s">
        <v>238</v>
      </c>
      <c r="C125" s="6" t="s">
        <v>11</v>
      </c>
      <c r="D125" s="6" t="s">
        <v>492</v>
      </c>
      <c r="E125" s="6">
        <v>0</v>
      </c>
      <c r="F125" s="6">
        <v>0</v>
      </c>
      <c r="G125" s="6">
        <v>-2.823E-3</v>
      </c>
      <c r="H125" s="6">
        <v>3.3000000000000003E-5</v>
      </c>
      <c r="I125" s="6">
        <v>-7.0940000000000002E-6</v>
      </c>
      <c r="J125" s="6">
        <v>0</v>
      </c>
    </row>
    <row r="126" spans="1:10" x14ac:dyDescent="0.3">
      <c r="A126" s="6" t="s">
        <v>239</v>
      </c>
      <c r="B126" s="6" t="s">
        <v>239</v>
      </c>
      <c r="C126" s="6" t="s">
        <v>11</v>
      </c>
      <c r="D126" s="6" t="s">
        <v>492</v>
      </c>
      <c r="E126" s="6">
        <v>0</v>
      </c>
      <c r="F126" s="6">
        <v>0</v>
      </c>
      <c r="G126" s="6">
        <v>-2.8310000000000002E-3</v>
      </c>
      <c r="H126" s="6">
        <v>3.3000000000000003E-5</v>
      </c>
      <c r="I126" s="6">
        <v>-6.9600000000000003E-6</v>
      </c>
      <c r="J126" s="6">
        <v>0</v>
      </c>
    </row>
    <row r="127" spans="1:10" x14ac:dyDescent="0.3">
      <c r="A127" s="6" t="s">
        <v>262</v>
      </c>
      <c r="B127" s="6" t="s">
        <v>262</v>
      </c>
      <c r="C127" s="6" t="s">
        <v>11</v>
      </c>
      <c r="D127" s="6" t="s">
        <v>492</v>
      </c>
      <c r="E127" s="6">
        <v>0</v>
      </c>
      <c r="F127" s="6">
        <v>0</v>
      </c>
      <c r="G127" s="6">
        <v>-2.0660000000000001E-3</v>
      </c>
      <c r="H127" s="6">
        <v>3.8000000000000002E-5</v>
      </c>
      <c r="I127" s="6">
        <v>-3.3000000000000003E-5</v>
      </c>
      <c r="J127" s="6">
        <v>0</v>
      </c>
    </row>
    <row r="128" spans="1:10" x14ac:dyDescent="0.3">
      <c r="A128" s="6" t="s">
        <v>261</v>
      </c>
      <c r="B128" s="6" t="s">
        <v>261</v>
      </c>
      <c r="C128" s="6" t="s">
        <v>11</v>
      </c>
      <c r="D128" s="6" t="s">
        <v>492</v>
      </c>
      <c r="E128" s="6">
        <v>0</v>
      </c>
      <c r="F128" s="6">
        <v>0</v>
      </c>
      <c r="G128" s="6">
        <v>-2.0300000000000001E-3</v>
      </c>
      <c r="H128" s="6">
        <v>3.8000000000000002E-5</v>
      </c>
      <c r="I128" s="6">
        <v>-3.3000000000000003E-5</v>
      </c>
      <c r="J128" s="6">
        <v>0</v>
      </c>
    </row>
    <row r="129" spans="1:10" x14ac:dyDescent="0.3">
      <c r="A129" s="6" t="s">
        <v>240</v>
      </c>
      <c r="B129" s="6" t="s">
        <v>240</v>
      </c>
      <c r="C129" s="6" t="s">
        <v>11</v>
      </c>
      <c r="D129" s="6" t="s">
        <v>492</v>
      </c>
      <c r="E129" s="6">
        <v>0</v>
      </c>
      <c r="F129" s="6">
        <v>0</v>
      </c>
      <c r="G129" s="6">
        <v>-1.9919999999999998E-3</v>
      </c>
      <c r="H129" s="6">
        <v>3.8000000000000002E-5</v>
      </c>
      <c r="I129" s="6">
        <v>-3.3000000000000003E-5</v>
      </c>
      <c r="J129" s="6">
        <v>0</v>
      </c>
    </row>
    <row r="130" spans="1:10" x14ac:dyDescent="0.3">
      <c r="A130" s="6" t="s">
        <v>241</v>
      </c>
      <c r="B130" s="6" t="s">
        <v>241</v>
      </c>
      <c r="C130" s="6" t="s">
        <v>11</v>
      </c>
      <c r="D130" s="6" t="s">
        <v>492</v>
      </c>
      <c r="E130" s="6">
        <v>0</v>
      </c>
      <c r="F130" s="6">
        <v>0</v>
      </c>
      <c r="G130" s="6">
        <v>-2.029E-3</v>
      </c>
      <c r="H130" s="6">
        <v>3.8000000000000002E-5</v>
      </c>
      <c r="I130" s="6">
        <v>-3.3000000000000003E-5</v>
      </c>
      <c r="J130" s="6">
        <v>0</v>
      </c>
    </row>
    <row r="131" spans="1:10" x14ac:dyDescent="0.3">
      <c r="A131" s="6" t="s">
        <v>264</v>
      </c>
      <c r="B131" s="6" t="s">
        <v>264</v>
      </c>
      <c r="C131" s="6" t="s">
        <v>11</v>
      </c>
      <c r="D131" s="6" t="s">
        <v>492</v>
      </c>
      <c r="E131" s="6">
        <v>0</v>
      </c>
      <c r="F131" s="6">
        <v>0</v>
      </c>
      <c r="G131" s="6">
        <v>-3.2209999999999999E-3</v>
      </c>
      <c r="H131" s="6">
        <v>8.3999999999999995E-5</v>
      </c>
      <c r="I131" s="6">
        <v>5.8189999999999997E-6</v>
      </c>
      <c r="J131" s="6">
        <v>0</v>
      </c>
    </row>
    <row r="132" spans="1:10" x14ac:dyDescent="0.3">
      <c r="A132" s="6" t="s">
        <v>263</v>
      </c>
      <c r="B132" s="6" t="s">
        <v>263</v>
      </c>
      <c r="C132" s="6" t="s">
        <v>11</v>
      </c>
      <c r="D132" s="6" t="s">
        <v>492</v>
      </c>
      <c r="E132" s="6">
        <v>0</v>
      </c>
      <c r="F132" s="6">
        <v>0</v>
      </c>
      <c r="G132" s="6">
        <v>-3.1470000000000001E-3</v>
      </c>
      <c r="H132" s="6">
        <v>-1.93E-4</v>
      </c>
      <c r="I132" s="6">
        <v>-2.9100000000000003E-4</v>
      </c>
      <c r="J132" s="6">
        <v>0</v>
      </c>
    </row>
    <row r="133" spans="1:10" x14ac:dyDescent="0.3">
      <c r="A133" s="6" t="s">
        <v>197</v>
      </c>
      <c r="B133" s="6" t="s">
        <v>197</v>
      </c>
      <c r="C133" s="6" t="s">
        <v>11</v>
      </c>
      <c r="D133" s="6" t="s">
        <v>492</v>
      </c>
      <c r="E133" s="6">
        <v>0</v>
      </c>
      <c r="F133" s="6">
        <v>0</v>
      </c>
      <c r="G133" s="6">
        <v>-3.1410000000000001E-3</v>
      </c>
      <c r="H133" s="6">
        <v>8.5000000000000006E-5</v>
      </c>
      <c r="I133" s="6">
        <v>3.568E-6</v>
      </c>
      <c r="J133" s="6">
        <v>0</v>
      </c>
    </row>
    <row r="134" spans="1:10" x14ac:dyDescent="0.3">
      <c r="A134" s="6" t="s">
        <v>198</v>
      </c>
      <c r="B134" s="6" t="s">
        <v>198</v>
      </c>
      <c r="C134" s="6" t="s">
        <v>11</v>
      </c>
      <c r="D134" s="6" t="s">
        <v>492</v>
      </c>
      <c r="E134" s="6">
        <v>0</v>
      </c>
      <c r="F134" s="6">
        <v>0</v>
      </c>
      <c r="G134" s="6">
        <v>-3.0620000000000001E-3</v>
      </c>
      <c r="H134" s="6">
        <v>3.57E-4</v>
      </c>
      <c r="I134" s="6">
        <v>2.7300000000000002E-4</v>
      </c>
      <c r="J134" s="6">
        <v>0</v>
      </c>
    </row>
    <row r="135" spans="1:10" x14ac:dyDescent="0.3">
      <c r="A135" s="6" t="s">
        <v>224</v>
      </c>
      <c r="B135" s="6" t="s">
        <v>224</v>
      </c>
      <c r="C135" s="6" t="s">
        <v>11</v>
      </c>
      <c r="D135" s="6" t="s">
        <v>492</v>
      </c>
      <c r="E135" s="6">
        <v>0</v>
      </c>
      <c r="F135" s="6">
        <v>0</v>
      </c>
      <c r="G135" s="6">
        <v>-2.5469999999999998E-3</v>
      </c>
      <c r="H135" s="6">
        <v>-1.4899999999999999E-4</v>
      </c>
      <c r="I135" s="6">
        <v>2.22E-4</v>
      </c>
      <c r="J135" s="6">
        <v>0</v>
      </c>
    </row>
    <row r="136" spans="1:10" x14ac:dyDescent="0.3">
      <c r="A136" s="6" t="s">
        <v>223</v>
      </c>
      <c r="B136" s="6" t="s">
        <v>223</v>
      </c>
      <c r="C136" s="6" t="s">
        <v>11</v>
      </c>
      <c r="D136" s="6" t="s">
        <v>492</v>
      </c>
      <c r="E136" s="6">
        <v>0</v>
      </c>
      <c r="F136" s="6">
        <v>0</v>
      </c>
      <c r="G136" s="6">
        <v>-2.5829999999999998E-3</v>
      </c>
      <c r="H136" s="6">
        <v>8.3999999999999995E-5</v>
      </c>
      <c r="I136" s="6">
        <v>-2.9E-5</v>
      </c>
      <c r="J136" s="6">
        <v>0</v>
      </c>
    </row>
    <row r="137" spans="1:10" x14ac:dyDescent="0.3">
      <c r="A137" s="6" t="s">
        <v>199</v>
      </c>
      <c r="B137" s="6" t="s">
        <v>199</v>
      </c>
      <c r="C137" s="6" t="s">
        <v>11</v>
      </c>
      <c r="D137" s="6" t="s">
        <v>492</v>
      </c>
      <c r="E137" s="6">
        <v>0</v>
      </c>
      <c r="F137" s="6">
        <v>0</v>
      </c>
      <c r="G137" s="6">
        <v>-2.4369999999999999E-3</v>
      </c>
      <c r="H137" s="6">
        <v>3.1E-4</v>
      </c>
      <c r="I137" s="6">
        <v>-2.5300000000000002E-4</v>
      </c>
      <c r="J137" s="6">
        <v>0</v>
      </c>
    </row>
    <row r="138" spans="1:10" x14ac:dyDescent="0.3">
      <c r="A138" s="6" t="s">
        <v>200</v>
      </c>
      <c r="B138" s="6" t="s">
        <v>200</v>
      </c>
      <c r="C138" s="6" t="s">
        <v>11</v>
      </c>
      <c r="D138" s="6" t="s">
        <v>492</v>
      </c>
      <c r="E138" s="6">
        <v>0</v>
      </c>
      <c r="F138" s="6">
        <v>0</v>
      </c>
      <c r="G138" s="6">
        <v>-2.529E-3</v>
      </c>
      <c r="H138" s="6">
        <v>8.5000000000000006E-5</v>
      </c>
      <c r="I138" s="6">
        <v>-2.6999999999999999E-5</v>
      </c>
      <c r="J138" s="6">
        <v>0</v>
      </c>
    </row>
    <row r="139" spans="1:10" x14ac:dyDescent="0.3">
      <c r="A139" s="6" t="s">
        <v>226</v>
      </c>
      <c r="B139" s="6" t="s">
        <v>226</v>
      </c>
      <c r="C139" s="6" t="s">
        <v>11</v>
      </c>
      <c r="D139" s="6" t="s">
        <v>492</v>
      </c>
      <c r="E139" s="6">
        <v>0</v>
      </c>
      <c r="F139" s="6">
        <v>0</v>
      </c>
      <c r="G139" s="6">
        <v>-3.3089999999999999E-3</v>
      </c>
      <c r="H139" s="6">
        <v>-3.6000000000000002E-4</v>
      </c>
      <c r="I139" s="6">
        <v>2.9999999999999997E-4</v>
      </c>
      <c r="J139" s="6">
        <v>0</v>
      </c>
    </row>
    <row r="140" spans="1:10" x14ac:dyDescent="0.3">
      <c r="A140" s="6" t="s">
        <v>225</v>
      </c>
      <c r="B140" s="6" t="s">
        <v>225</v>
      </c>
      <c r="C140" s="6" t="s">
        <v>11</v>
      </c>
      <c r="D140" s="6" t="s">
        <v>492</v>
      </c>
      <c r="E140" s="6">
        <v>0</v>
      </c>
      <c r="F140" s="6">
        <v>0</v>
      </c>
      <c r="G140" s="6">
        <v>-3.4009999999999999E-3</v>
      </c>
      <c r="H140" s="6">
        <v>-6.3E-5</v>
      </c>
      <c r="I140" s="6">
        <v>9.2450000000000004E-6</v>
      </c>
      <c r="J140" s="6">
        <v>0</v>
      </c>
    </row>
    <row r="141" spans="1:10" x14ac:dyDescent="0.3">
      <c r="A141" s="6" t="s">
        <v>156</v>
      </c>
      <c r="B141" s="6" t="s">
        <v>156</v>
      </c>
      <c r="C141" s="6" t="s">
        <v>11</v>
      </c>
      <c r="D141" s="6" t="s">
        <v>492</v>
      </c>
      <c r="E141" s="6">
        <v>0</v>
      </c>
      <c r="F141" s="6">
        <v>0</v>
      </c>
      <c r="G141" s="6">
        <v>-3.3790000000000001E-3</v>
      </c>
      <c r="H141" s="6">
        <v>2.3699999999999999E-4</v>
      </c>
      <c r="I141" s="6">
        <v>-3.0600000000000001E-4</v>
      </c>
      <c r="J141" s="6">
        <v>0</v>
      </c>
    </row>
    <row r="142" spans="1:10" x14ac:dyDescent="0.3">
      <c r="A142" s="6" t="s">
        <v>157</v>
      </c>
      <c r="B142" s="6" t="s">
        <v>157</v>
      </c>
      <c r="C142" s="6" t="s">
        <v>11</v>
      </c>
      <c r="D142" s="6" t="s">
        <v>492</v>
      </c>
      <c r="E142" s="6">
        <v>0</v>
      </c>
      <c r="F142" s="6">
        <v>0</v>
      </c>
      <c r="G142" s="6">
        <v>-3.4520000000000002E-3</v>
      </c>
      <c r="H142" s="6">
        <v>-6.2000000000000003E-5</v>
      </c>
      <c r="I142" s="6">
        <v>1.2E-5</v>
      </c>
      <c r="J142" s="6">
        <v>0</v>
      </c>
    </row>
    <row r="143" spans="1:10" x14ac:dyDescent="0.3">
      <c r="A143" s="6" t="s">
        <v>183</v>
      </c>
      <c r="B143" s="6" t="s">
        <v>183</v>
      </c>
      <c r="C143" s="6" t="s">
        <v>11</v>
      </c>
      <c r="D143" s="6" t="s">
        <v>492</v>
      </c>
      <c r="E143" s="6">
        <v>0</v>
      </c>
      <c r="F143" s="6">
        <v>0</v>
      </c>
      <c r="G143" s="6">
        <v>-2.9099999999999998E-3</v>
      </c>
      <c r="H143" s="6">
        <v>-4.6999999999999997E-5</v>
      </c>
      <c r="I143" s="6">
        <v>-3.0000000000000001E-5</v>
      </c>
      <c r="J143" s="6">
        <v>0</v>
      </c>
    </row>
    <row r="144" spans="1:10" x14ac:dyDescent="0.3">
      <c r="A144" s="6" t="s">
        <v>182</v>
      </c>
      <c r="B144" s="6" t="s">
        <v>182</v>
      </c>
      <c r="C144" s="6" t="s">
        <v>11</v>
      </c>
      <c r="D144" s="6" t="s">
        <v>492</v>
      </c>
      <c r="E144" s="6">
        <v>0</v>
      </c>
      <c r="F144" s="6">
        <v>0</v>
      </c>
      <c r="G144" s="6">
        <v>-2.8050000000000002E-3</v>
      </c>
      <c r="H144" s="6">
        <v>-3.1E-4</v>
      </c>
      <c r="I144" s="6">
        <v>-2.9E-4</v>
      </c>
      <c r="J144" s="6">
        <v>0</v>
      </c>
    </row>
    <row r="145" spans="1:10" x14ac:dyDescent="0.3">
      <c r="A145" s="6" t="s">
        <v>158</v>
      </c>
      <c r="B145" s="6" t="s">
        <v>158</v>
      </c>
      <c r="C145" s="6" t="s">
        <v>11</v>
      </c>
      <c r="D145" s="6" t="s">
        <v>492</v>
      </c>
      <c r="E145" s="6">
        <v>0</v>
      </c>
      <c r="F145" s="6">
        <v>0</v>
      </c>
      <c r="G145" s="6">
        <v>-2.9220000000000001E-3</v>
      </c>
      <c r="H145" s="6">
        <v>-4.6E-5</v>
      </c>
      <c r="I145" s="6">
        <v>-3.1999999999999999E-5</v>
      </c>
      <c r="J145" s="6">
        <v>0</v>
      </c>
    </row>
    <row r="146" spans="1:10" x14ac:dyDescent="0.3">
      <c r="A146" s="6" t="s">
        <v>159</v>
      </c>
      <c r="B146" s="6" t="s">
        <v>159</v>
      </c>
      <c r="C146" s="6" t="s">
        <v>11</v>
      </c>
      <c r="D146" s="6" t="s">
        <v>492</v>
      </c>
      <c r="E146" s="6">
        <v>0</v>
      </c>
      <c r="F146" s="6">
        <v>0</v>
      </c>
      <c r="G146" s="6">
        <v>-2.8830000000000001E-3</v>
      </c>
      <c r="H146" s="6">
        <v>2.1499999999999999E-4</v>
      </c>
      <c r="I146" s="6">
        <v>2.4600000000000002E-4</v>
      </c>
      <c r="J146" s="6">
        <v>0</v>
      </c>
    </row>
    <row r="147" spans="1:10" x14ac:dyDescent="0.3">
      <c r="A147" s="6" t="s">
        <v>185</v>
      </c>
      <c r="B147" s="6" t="s">
        <v>185</v>
      </c>
      <c r="C147" s="6" t="s">
        <v>11</v>
      </c>
      <c r="D147" s="6" t="s">
        <v>492</v>
      </c>
      <c r="E147" s="6">
        <v>0</v>
      </c>
      <c r="F147" s="6">
        <v>0</v>
      </c>
      <c r="G147" s="6">
        <v>-2.892E-3</v>
      </c>
      <c r="H147" s="6">
        <v>-2.63E-4</v>
      </c>
      <c r="I147" s="6">
        <v>2.02E-4</v>
      </c>
      <c r="J147" s="6">
        <v>0</v>
      </c>
    </row>
    <row r="148" spans="1:10" x14ac:dyDescent="0.3">
      <c r="A148" s="6" t="s">
        <v>184</v>
      </c>
      <c r="B148" s="6" t="s">
        <v>184</v>
      </c>
      <c r="C148" s="6" t="s">
        <v>11</v>
      </c>
      <c r="D148" s="6" t="s">
        <v>492</v>
      </c>
      <c r="E148" s="6">
        <v>0</v>
      </c>
      <c r="F148" s="6">
        <v>0</v>
      </c>
      <c r="G148" s="6">
        <v>-2.8960000000000001E-3</v>
      </c>
      <c r="H148" s="6">
        <v>1.2999999999999999E-5</v>
      </c>
      <c r="I148" s="6">
        <v>-6.4999999999999994E-5</v>
      </c>
      <c r="J148" s="6">
        <v>0</v>
      </c>
    </row>
    <row r="149" spans="1:10" x14ac:dyDescent="0.3">
      <c r="A149" s="6" t="s">
        <v>123</v>
      </c>
      <c r="B149" s="6" t="s">
        <v>123</v>
      </c>
      <c r="C149" s="6" t="s">
        <v>11</v>
      </c>
      <c r="D149" s="6" t="s">
        <v>492</v>
      </c>
      <c r="E149" s="6">
        <v>0</v>
      </c>
      <c r="F149" s="6">
        <v>0</v>
      </c>
      <c r="G149" s="6">
        <v>-2.81E-3</v>
      </c>
      <c r="H149" s="6">
        <v>2.8499999999999999E-4</v>
      </c>
      <c r="I149" s="6">
        <v>-3.21E-4</v>
      </c>
      <c r="J149" s="6">
        <v>0</v>
      </c>
    </row>
    <row r="150" spans="1:10" x14ac:dyDescent="0.3">
      <c r="A150" s="6" t="s">
        <v>124</v>
      </c>
      <c r="B150" s="6" t="s">
        <v>124</v>
      </c>
      <c r="C150" s="6" t="s">
        <v>11</v>
      </c>
      <c r="D150" s="6" t="s">
        <v>492</v>
      </c>
      <c r="E150" s="6">
        <v>0</v>
      </c>
      <c r="F150" s="6">
        <v>0</v>
      </c>
      <c r="G150" s="6">
        <v>-2.9529999999999999E-3</v>
      </c>
      <c r="H150" s="6">
        <v>1.4E-5</v>
      </c>
      <c r="I150" s="6">
        <v>-6.3E-5</v>
      </c>
      <c r="J150" s="6">
        <v>0</v>
      </c>
    </row>
    <row r="151" spans="1:10" x14ac:dyDescent="0.3">
      <c r="A151" s="6" t="s">
        <v>144</v>
      </c>
      <c r="B151" s="6" t="s">
        <v>144</v>
      </c>
      <c r="C151" s="6" t="s">
        <v>11</v>
      </c>
      <c r="D151" s="6" t="s">
        <v>492</v>
      </c>
      <c r="E151" s="6">
        <v>0</v>
      </c>
      <c r="F151" s="6">
        <v>0</v>
      </c>
      <c r="G151" s="6">
        <v>-3.3430000000000001E-3</v>
      </c>
      <c r="H151" s="6">
        <v>5.7699999999999998E-6</v>
      </c>
      <c r="I151" s="6">
        <v>4.0000000000000003E-5</v>
      </c>
      <c r="J151" s="6">
        <v>0</v>
      </c>
    </row>
    <row r="152" spans="1:10" x14ac:dyDescent="0.3">
      <c r="A152" s="6" t="s">
        <v>143</v>
      </c>
      <c r="B152" s="6" t="s">
        <v>143</v>
      </c>
      <c r="C152" s="6" t="s">
        <v>11</v>
      </c>
      <c r="D152" s="6" t="s">
        <v>492</v>
      </c>
      <c r="E152" s="6">
        <v>0</v>
      </c>
      <c r="F152" s="6">
        <v>0</v>
      </c>
      <c r="G152" s="6">
        <v>-3.3010000000000001E-3</v>
      </c>
      <c r="H152" s="6">
        <v>-3.1E-4</v>
      </c>
      <c r="I152" s="6">
        <v>-2.6499999999999999E-4</v>
      </c>
      <c r="J152" s="6">
        <v>0</v>
      </c>
    </row>
    <row r="153" spans="1:10" x14ac:dyDescent="0.3">
      <c r="A153" s="6" t="s">
        <v>121</v>
      </c>
      <c r="B153" s="6" t="s">
        <v>121</v>
      </c>
      <c r="C153" s="6" t="s">
        <v>11</v>
      </c>
      <c r="D153" s="6" t="s">
        <v>492</v>
      </c>
      <c r="E153" s="6">
        <v>0</v>
      </c>
      <c r="F153" s="6">
        <v>0</v>
      </c>
      <c r="G153" s="6">
        <v>-3.3800000000000002E-3</v>
      </c>
      <c r="H153" s="6">
        <v>7.2620000000000001E-6</v>
      </c>
      <c r="I153" s="6">
        <v>3.8000000000000002E-5</v>
      </c>
      <c r="J153" s="6">
        <v>0</v>
      </c>
    </row>
    <row r="154" spans="1:10" x14ac:dyDescent="0.3">
      <c r="A154" s="6" t="s">
        <v>122</v>
      </c>
      <c r="B154" s="6" t="s">
        <v>122</v>
      </c>
      <c r="C154" s="6" t="s">
        <v>11</v>
      </c>
      <c r="D154" s="6" t="s">
        <v>492</v>
      </c>
      <c r="E154" s="6">
        <v>0</v>
      </c>
      <c r="F154" s="6">
        <v>0</v>
      </c>
      <c r="G154" s="6">
        <v>-3.2550000000000001E-3</v>
      </c>
      <c r="H154" s="6">
        <v>3.1199999999999999E-4</v>
      </c>
      <c r="I154" s="6">
        <v>3.2699999999999998E-4</v>
      </c>
      <c r="J154" s="6">
        <v>0</v>
      </c>
    </row>
    <row r="155" spans="1:10" x14ac:dyDescent="0.3">
      <c r="A155" s="6" t="s">
        <v>142</v>
      </c>
      <c r="B155" s="6" t="s">
        <v>142</v>
      </c>
      <c r="C155" s="6" t="s">
        <v>11</v>
      </c>
      <c r="D155" s="6" t="s">
        <v>492</v>
      </c>
      <c r="E155" s="6">
        <v>0</v>
      </c>
      <c r="F155" s="6">
        <v>0</v>
      </c>
      <c r="G155" s="6">
        <v>-2.8990000000000001E-3</v>
      </c>
      <c r="H155" s="6">
        <v>-8.8999999999999995E-5</v>
      </c>
      <c r="I155" s="6">
        <v>3.1000000000000001E-5</v>
      </c>
      <c r="J155" s="6">
        <v>0</v>
      </c>
    </row>
    <row r="156" spans="1:10" x14ac:dyDescent="0.3">
      <c r="A156" s="6" t="s">
        <v>141</v>
      </c>
      <c r="B156" s="6" t="s">
        <v>141</v>
      </c>
      <c r="C156" s="6" t="s">
        <v>11</v>
      </c>
      <c r="D156" s="6" t="s">
        <v>492</v>
      </c>
      <c r="E156" s="6">
        <v>0</v>
      </c>
      <c r="F156" s="6">
        <v>0</v>
      </c>
      <c r="G156" s="6">
        <v>-2.9329999999999998E-3</v>
      </c>
      <c r="H156" s="6">
        <v>-8.8999999999999995E-5</v>
      </c>
      <c r="I156" s="6">
        <v>3.1000000000000001E-5</v>
      </c>
      <c r="J156" s="6">
        <v>0</v>
      </c>
    </row>
    <row r="157" spans="1:10" x14ac:dyDescent="0.3">
      <c r="A157" s="6" t="s">
        <v>85</v>
      </c>
      <c r="B157" s="6" t="s">
        <v>85</v>
      </c>
      <c r="C157" s="6" t="s">
        <v>11</v>
      </c>
      <c r="D157" s="6" t="s">
        <v>492</v>
      </c>
      <c r="E157" s="6">
        <v>0</v>
      </c>
      <c r="F157" s="6">
        <v>0</v>
      </c>
      <c r="G157" s="6">
        <v>-3.0209999999999998E-3</v>
      </c>
      <c r="H157" s="6">
        <v>-8.8999999999999995E-5</v>
      </c>
      <c r="I157" s="6">
        <v>3.1000000000000001E-5</v>
      </c>
      <c r="J157" s="6">
        <v>0</v>
      </c>
    </row>
    <row r="158" spans="1:10" x14ac:dyDescent="0.3">
      <c r="A158" s="6" t="s">
        <v>86</v>
      </c>
      <c r="B158" s="6" t="s">
        <v>86</v>
      </c>
      <c r="C158" s="6" t="s">
        <v>11</v>
      </c>
      <c r="D158" s="6" t="s">
        <v>492</v>
      </c>
      <c r="E158" s="6">
        <v>0</v>
      </c>
      <c r="F158" s="6">
        <v>0</v>
      </c>
      <c r="G158" s="6">
        <v>-2.9880000000000002E-3</v>
      </c>
      <c r="H158" s="6">
        <v>-8.8999999999999995E-5</v>
      </c>
      <c r="I158" s="6">
        <v>3.1000000000000001E-5</v>
      </c>
      <c r="J158" s="6">
        <v>0</v>
      </c>
    </row>
    <row r="159" spans="1:10" x14ac:dyDescent="0.3">
      <c r="A159" s="6" t="s">
        <v>106</v>
      </c>
      <c r="B159" s="6" t="s">
        <v>106</v>
      </c>
      <c r="C159" s="6" t="s">
        <v>11</v>
      </c>
      <c r="D159" s="6" t="s">
        <v>492</v>
      </c>
      <c r="E159" s="6">
        <v>0</v>
      </c>
      <c r="F159" s="6">
        <v>0</v>
      </c>
      <c r="G159" s="6">
        <v>-2.3040000000000001E-3</v>
      </c>
      <c r="H159" s="6">
        <v>-9.3999999999999994E-5</v>
      </c>
      <c r="I159" s="6">
        <v>-7.4999999999999993E-5</v>
      </c>
      <c r="J159" s="6">
        <v>0</v>
      </c>
    </row>
    <row r="160" spans="1:10" x14ac:dyDescent="0.3">
      <c r="A160" s="6" t="s">
        <v>105</v>
      </c>
      <c r="B160" s="6" t="s">
        <v>105</v>
      </c>
      <c r="C160" s="6" t="s">
        <v>11</v>
      </c>
      <c r="D160" s="6" t="s">
        <v>492</v>
      </c>
      <c r="E160" s="6">
        <v>0</v>
      </c>
      <c r="F160" s="6">
        <v>0</v>
      </c>
      <c r="G160" s="6">
        <v>-2.222E-3</v>
      </c>
      <c r="H160" s="6">
        <v>-9.3999999999999994E-5</v>
      </c>
      <c r="I160" s="6">
        <v>-7.4999999999999993E-5</v>
      </c>
      <c r="J160" s="6">
        <v>0</v>
      </c>
    </row>
    <row r="161" spans="1:10" x14ac:dyDescent="0.3">
      <c r="A161" s="6" t="s">
        <v>87</v>
      </c>
      <c r="B161" s="6" t="s">
        <v>87</v>
      </c>
      <c r="C161" s="6" t="s">
        <v>11</v>
      </c>
      <c r="D161" s="6" t="s">
        <v>492</v>
      </c>
      <c r="E161" s="6">
        <v>0</v>
      </c>
      <c r="F161" s="6">
        <v>0</v>
      </c>
      <c r="G161" s="6">
        <v>-2.3159999999999999E-3</v>
      </c>
      <c r="H161" s="6">
        <v>-9.3999999999999994E-5</v>
      </c>
      <c r="I161" s="6">
        <v>-7.4999999999999993E-5</v>
      </c>
      <c r="J161" s="6">
        <v>0</v>
      </c>
    </row>
    <row r="162" spans="1:10" x14ac:dyDescent="0.3">
      <c r="A162" s="6" t="s">
        <v>88</v>
      </c>
      <c r="B162" s="6" t="s">
        <v>88</v>
      </c>
      <c r="C162" s="6" t="s">
        <v>11</v>
      </c>
      <c r="D162" s="6" t="s">
        <v>492</v>
      </c>
      <c r="E162" s="6">
        <v>0</v>
      </c>
      <c r="F162" s="6">
        <v>0</v>
      </c>
      <c r="G162" s="6">
        <v>-2.398E-3</v>
      </c>
      <c r="H162" s="6">
        <v>-9.3999999999999994E-5</v>
      </c>
      <c r="I162" s="6">
        <v>-7.4999999999999993E-5</v>
      </c>
      <c r="J162" s="6">
        <v>0</v>
      </c>
    </row>
    <row r="163" spans="1:10" x14ac:dyDescent="0.3">
      <c r="A163" s="6" t="s">
        <v>108</v>
      </c>
      <c r="B163" s="6" t="s">
        <v>108</v>
      </c>
      <c r="C163" s="6" t="s">
        <v>11</v>
      </c>
      <c r="D163" s="6" t="s">
        <v>492</v>
      </c>
      <c r="E163" s="6">
        <v>0</v>
      </c>
      <c r="F163" s="6">
        <v>0</v>
      </c>
      <c r="G163" s="6">
        <v>-3.62E-3</v>
      </c>
      <c r="H163" s="6">
        <v>7.3200000000000001E-4</v>
      </c>
      <c r="I163" s="6">
        <v>-4.3000000000000002E-5</v>
      </c>
      <c r="J163" s="6">
        <v>0</v>
      </c>
    </row>
    <row r="164" spans="1:10" x14ac:dyDescent="0.3">
      <c r="A164" s="6" t="s">
        <v>107</v>
      </c>
      <c r="B164" s="6" t="s">
        <v>107</v>
      </c>
      <c r="C164" s="6" t="s">
        <v>11</v>
      </c>
      <c r="D164" s="6" t="s">
        <v>492</v>
      </c>
      <c r="E164" s="6">
        <v>0</v>
      </c>
      <c r="F164" s="6">
        <v>0</v>
      </c>
      <c r="G164" s="6">
        <v>-3.5720000000000001E-3</v>
      </c>
      <c r="H164" s="6">
        <v>7.3200000000000001E-4</v>
      </c>
      <c r="I164" s="6">
        <v>-4.3000000000000002E-5</v>
      </c>
      <c r="J164" s="6">
        <v>0</v>
      </c>
    </row>
    <row r="165" spans="1:10" x14ac:dyDescent="0.3">
      <c r="A165" s="6" t="s">
        <v>52</v>
      </c>
      <c r="B165" s="6" t="s">
        <v>52</v>
      </c>
      <c r="C165" s="6" t="s">
        <v>11</v>
      </c>
      <c r="D165" s="6" t="s">
        <v>492</v>
      </c>
      <c r="E165" s="6">
        <v>0</v>
      </c>
      <c r="F165" s="6">
        <v>0</v>
      </c>
      <c r="G165" s="6">
        <v>-2.8400000000000001E-3</v>
      </c>
      <c r="H165" s="6">
        <v>7.3200000000000001E-4</v>
      </c>
      <c r="I165" s="6">
        <v>-4.3000000000000002E-5</v>
      </c>
      <c r="J165" s="6">
        <v>0</v>
      </c>
    </row>
    <row r="166" spans="1:10" x14ac:dyDescent="0.3">
      <c r="A166" s="6" t="s">
        <v>53</v>
      </c>
      <c r="B166" s="6" t="s">
        <v>53</v>
      </c>
      <c r="C166" s="6" t="s">
        <v>11</v>
      </c>
      <c r="D166" s="6" t="s">
        <v>492</v>
      </c>
      <c r="E166" s="6">
        <v>0</v>
      </c>
      <c r="F166" s="6">
        <v>0</v>
      </c>
      <c r="G166" s="6">
        <v>-2.8879999999999999E-3</v>
      </c>
      <c r="H166" s="6">
        <v>7.3200000000000001E-4</v>
      </c>
      <c r="I166" s="6">
        <v>-4.3000000000000002E-5</v>
      </c>
      <c r="J166" s="6">
        <v>0</v>
      </c>
    </row>
    <row r="167" spans="1:10" x14ac:dyDescent="0.3">
      <c r="A167" s="6" t="s">
        <v>72</v>
      </c>
      <c r="B167" s="6" t="s">
        <v>72</v>
      </c>
      <c r="C167" s="6" t="s">
        <v>11</v>
      </c>
      <c r="D167" s="6" t="s">
        <v>492</v>
      </c>
      <c r="E167" s="6">
        <v>0</v>
      </c>
      <c r="F167" s="6">
        <v>0</v>
      </c>
      <c r="G167" s="6">
        <v>-4.3090000000000003E-3</v>
      </c>
      <c r="H167" s="6">
        <v>8.3500000000000002E-4</v>
      </c>
      <c r="I167" s="6">
        <v>-2.1999999999999999E-5</v>
      </c>
      <c r="J167" s="6">
        <v>0</v>
      </c>
    </row>
    <row r="168" spans="1:10" x14ac:dyDescent="0.3">
      <c r="A168" s="6" t="s">
        <v>71</v>
      </c>
      <c r="B168" s="6" t="s">
        <v>71</v>
      </c>
      <c r="C168" s="6" t="s">
        <v>11</v>
      </c>
      <c r="D168" s="6" t="s">
        <v>492</v>
      </c>
      <c r="E168" s="6">
        <v>0</v>
      </c>
      <c r="F168" s="6">
        <v>0</v>
      </c>
      <c r="G168" s="6">
        <v>-4.2839999999999996E-3</v>
      </c>
      <c r="H168" s="6">
        <v>8.3500000000000002E-4</v>
      </c>
      <c r="I168" s="6">
        <v>-2.1999999999999999E-5</v>
      </c>
      <c r="J168" s="6">
        <v>0</v>
      </c>
    </row>
    <row r="169" spans="1:10" x14ac:dyDescent="0.3">
      <c r="A169" s="6" t="s">
        <v>50</v>
      </c>
      <c r="B169" s="6" t="s">
        <v>50</v>
      </c>
      <c r="C169" s="6" t="s">
        <v>11</v>
      </c>
      <c r="D169" s="6" t="s">
        <v>492</v>
      </c>
      <c r="E169" s="6">
        <v>0</v>
      </c>
      <c r="F169" s="6">
        <v>0</v>
      </c>
      <c r="G169" s="6">
        <v>-3.4499999999999999E-3</v>
      </c>
      <c r="H169" s="6">
        <v>8.34E-4</v>
      </c>
      <c r="I169" s="6">
        <v>-2.1999999999999999E-5</v>
      </c>
      <c r="J169" s="6">
        <v>0</v>
      </c>
    </row>
    <row r="170" spans="1:10" x14ac:dyDescent="0.3">
      <c r="A170" s="6" t="s">
        <v>51</v>
      </c>
      <c r="B170" s="6" t="s">
        <v>51</v>
      </c>
      <c r="C170" s="6" t="s">
        <v>11</v>
      </c>
      <c r="D170" s="6" t="s">
        <v>492</v>
      </c>
      <c r="E170" s="6">
        <v>0</v>
      </c>
      <c r="F170" s="6">
        <v>0</v>
      </c>
      <c r="G170" s="6">
        <v>-3.4740000000000001E-3</v>
      </c>
      <c r="H170" s="6">
        <v>8.34E-4</v>
      </c>
      <c r="I170" s="6">
        <v>-2.1999999999999999E-5</v>
      </c>
      <c r="J170" s="6">
        <v>0</v>
      </c>
    </row>
    <row r="171" spans="1:10" x14ac:dyDescent="0.3">
      <c r="A171" s="6" t="s">
        <v>70</v>
      </c>
      <c r="B171" s="6" t="s">
        <v>70</v>
      </c>
      <c r="C171" s="6" t="s">
        <v>11</v>
      </c>
      <c r="D171" s="6" t="s">
        <v>492</v>
      </c>
      <c r="E171" s="6">
        <v>0</v>
      </c>
      <c r="F171" s="6">
        <v>0</v>
      </c>
      <c r="G171" s="6">
        <v>-4.2420000000000001E-3</v>
      </c>
      <c r="H171" s="6">
        <v>8.3799999999999999E-4</v>
      </c>
      <c r="I171" s="6">
        <v>2.5000000000000001E-5</v>
      </c>
      <c r="J171" s="6">
        <v>0</v>
      </c>
    </row>
    <row r="172" spans="1:10" x14ac:dyDescent="0.3">
      <c r="A172" s="6" t="s">
        <v>69</v>
      </c>
      <c r="B172" s="6" t="s">
        <v>69</v>
      </c>
      <c r="C172" s="6" t="s">
        <v>11</v>
      </c>
      <c r="D172" s="6" t="s">
        <v>492</v>
      </c>
      <c r="E172" s="6">
        <v>0</v>
      </c>
      <c r="F172" s="6">
        <v>0</v>
      </c>
      <c r="G172" s="6">
        <v>-4.2690000000000002E-3</v>
      </c>
      <c r="H172" s="6">
        <v>8.3799999999999999E-4</v>
      </c>
      <c r="I172" s="6">
        <v>2.5000000000000001E-5</v>
      </c>
      <c r="J172" s="6">
        <v>0</v>
      </c>
    </row>
    <row r="173" spans="1:10" x14ac:dyDescent="0.3">
      <c r="A173" s="6" t="s">
        <v>48</v>
      </c>
      <c r="B173" s="6" t="s">
        <v>48</v>
      </c>
      <c r="C173" s="6" t="s">
        <v>11</v>
      </c>
      <c r="D173" s="6" t="s">
        <v>492</v>
      </c>
      <c r="E173" s="6">
        <v>0</v>
      </c>
      <c r="F173" s="6">
        <v>0</v>
      </c>
      <c r="G173" s="6">
        <v>-3.431E-3</v>
      </c>
      <c r="H173" s="6">
        <v>8.3799999999999999E-4</v>
      </c>
      <c r="I173" s="6">
        <v>2.5000000000000001E-5</v>
      </c>
      <c r="J173" s="6">
        <v>0</v>
      </c>
    </row>
    <row r="174" spans="1:10" x14ac:dyDescent="0.3">
      <c r="A174" s="6" t="s">
        <v>49</v>
      </c>
      <c r="B174" s="6" t="s">
        <v>49</v>
      </c>
      <c r="C174" s="6" t="s">
        <v>11</v>
      </c>
      <c r="D174" s="6" t="s">
        <v>492</v>
      </c>
      <c r="E174" s="6">
        <v>0</v>
      </c>
      <c r="F174" s="6">
        <v>0</v>
      </c>
      <c r="G174" s="6">
        <v>-3.4030000000000002E-3</v>
      </c>
      <c r="H174" s="6">
        <v>8.3799999999999999E-4</v>
      </c>
      <c r="I174" s="6">
        <v>2.5000000000000001E-5</v>
      </c>
      <c r="J174" s="6">
        <v>0</v>
      </c>
    </row>
    <row r="175" spans="1:10" x14ac:dyDescent="0.3">
      <c r="A175" s="6" t="s">
        <v>68</v>
      </c>
      <c r="B175" s="6" t="s">
        <v>68</v>
      </c>
      <c r="C175" s="6" t="s">
        <v>11</v>
      </c>
      <c r="D175" s="6" t="s">
        <v>492</v>
      </c>
      <c r="E175" s="6">
        <v>0</v>
      </c>
      <c r="F175" s="6">
        <v>0</v>
      </c>
      <c r="G175" s="6">
        <v>-3.6870000000000002E-3</v>
      </c>
      <c r="H175" s="6">
        <v>7.6000000000000004E-4</v>
      </c>
      <c r="I175" s="6">
        <v>5.3000000000000001E-5</v>
      </c>
      <c r="J175" s="6">
        <v>0</v>
      </c>
    </row>
    <row r="176" spans="1:10" x14ac:dyDescent="0.3">
      <c r="A176" s="6" t="s">
        <v>67</v>
      </c>
      <c r="B176" s="6" t="s">
        <v>67</v>
      </c>
      <c r="C176" s="6" t="s">
        <v>11</v>
      </c>
      <c r="D176" s="6" t="s">
        <v>492</v>
      </c>
      <c r="E176" s="6">
        <v>0</v>
      </c>
      <c r="F176" s="6">
        <v>0</v>
      </c>
      <c r="G176" s="6">
        <v>-3.7460000000000002E-3</v>
      </c>
      <c r="H176" s="6">
        <v>7.6000000000000004E-4</v>
      </c>
      <c r="I176" s="6">
        <v>5.3000000000000001E-5</v>
      </c>
      <c r="J176" s="6">
        <v>0</v>
      </c>
    </row>
    <row r="177" spans="1:10" x14ac:dyDescent="0.3">
      <c r="A177" s="6" t="s">
        <v>10</v>
      </c>
      <c r="B177" s="6" t="s">
        <v>10</v>
      </c>
      <c r="C177" s="6" t="s">
        <v>11</v>
      </c>
      <c r="D177" s="6" t="s">
        <v>492</v>
      </c>
      <c r="E177" s="6">
        <v>0</v>
      </c>
      <c r="F177" s="6">
        <v>0</v>
      </c>
      <c r="G177" s="6">
        <v>-2.9859999999999999E-3</v>
      </c>
      <c r="H177" s="6">
        <v>7.6000000000000004E-4</v>
      </c>
      <c r="I177" s="6">
        <v>5.3000000000000001E-5</v>
      </c>
      <c r="J177" s="6">
        <v>0</v>
      </c>
    </row>
    <row r="178" spans="1:10" x14ac:dyDescent="0.3">
      <c r="A178" s="6" t="s">
        <v>47</v>
      </c>
      <c r="B178" s="6" t="s">
        <v>47</v>
      </c>
      <c r="C178" s="6" t="s">
        <v>11</v>
      </c>
      <c r="D178" s="6" t="s">
        <v>492</v>
      </c>
      <c r="E178" s="6">
        <v>0</v>
      </c>
      <c r="F178" s="6">
        <v>0</v>
      </c>
      <c r="G178" s="6">
        <v>-2.928E-3</v>
      </c>
      <c r="H178" s="6">
        <v>7.6000000000000004E-4</v>
      </c>
      <c r="I178" s="6">
        <v>5.3000000000000001E-5</v>
      </c>
      <c r="J178" s="6">
        <v>0</v>
      </c>
    </row>
    <row r="179" spans="1:10" x14ac:dyDescent="0.3">
      <c r="A179" s="6" t="s">
        <v>66</v>
      </c>
      <c r="B179" s="6" t="s">
        <v>66</v>
      </c>
      <c r="C179" s="6" t="s">
        <v>11</v>
      </c>
      <c r="D179" s="6" t="s">
        <v>492</v>
      </c>
      <c r="E179" s="6">
        <v>0</v>
      </c>
      <c r="F179" s="6">
        <v>0</v>
      </c>
      <c r="G179" s="6">
        <v>-2.519E-3</v>
      </c>
      <c r="H179" s="6">
        <v>5.7919999999999999E-9</v>
      </c>
      <c r="I179" s="6">
        <v>1.212E-7</v>
      </c>
      <c r="J179" s="6">
        <v>0</v>
      </c>
    </row>
    <row r="180" spans="1:10" x14ac:dyDescent="0.3">
      <c r="A180" s="6" t="s">
        <v>65</v>
      </c>
      <c r="B180" s="6" t="s">
        <v>65</v>
      </c>
      <c r="C180" s="6" t="s">
        <v>11</v>
      </c>
      <c r="D180" s="6" t="s">
        <v>492</v>
      </c>
      <c r="E180" s="6">
        <v>0</v>
      </c>
      <c r="F180" s="6">
        <v>0</v>
      </c>
      <c r="G180" s="6">
        <v>-2.5200000000000001E-3</v>
      </c>
      <c r="H180" s="6">
        <v>-1.213E-8</v>
      </c>
      <c r="I180" s="6">
        <v>2.0340000000000001E-7</v>
      </c>
      <c r="J180" s="6">
        <v>0</v>
      </c>
    </row>
    <row r="181" spans="1:10" x14ac:dyDescent="0.3">
      <c r="A181" s="6" t="s">
        <v>54</v>
      </c>
      <c r="B181" s="6" t="s">
        <v>54</v>
      </c>
      <c r="C181" s="6" t="s">
        <v>11</v>
      </c>
      <c r="D181" s="6" t="s">
        <v>492</v>
      </c>
      <c r="E181" s="6">
        <v>0</v>
      </c>
      <c r="F181" s="6">
        <v>0</v>
      </c>
      <c r="G181" s="6">
        <v>-2.5200000000000001E-3</v>
      </c>
      <c r="H181" s="6">
        <v>2.2499999999999999E-7</v>
      </c>
      <c r="I181" s="6">
        <v>1.3960000000000001E-7</v>
      </c>
      <c r="J181" s="6">
        <v>0</v>
      </c>
    </row>
    <row r="182" spans="1:10" x14ac:dyDescent="0.3">
      <c r="A182" s="6" t="s">
        <v>55</v>
      </c>
      <c r="B182" s="6" t="s">
        <v>55</v>
      </c>
      <c r="C182" s="6" t="s">
        <v>11</v>
      </c>
      <c r="D182" s="6" t="s">
        <v>492</v>
      </c>
      <c r="E182" s="6">
        <v>0</v>
      </c>
      <c r="F182" s="6">
        <v>0</v>
      </c>
      <c r="G182" s="6">
        <v>-2.519E-3</v>
      </c>
      <c r="H182" s="6">
        <v>1.2700000000000001E-7</v>
      </c>
      <c r="I182" s="6">
        <v>1.094E-7</v>
      </c>
      <c r="J182" s="6">
        <v>0</v>
      </c>
    </row>
    <row r="183" spans="1:10" x14ac:dyDescent="0.3">
      <c r="A183" s="6" t="s">
        <v>64</v>
      </c>
      <c r="B183" s="6" t="s">
        <v>64</v>
      </c>
      <c r="C183" s="6" t="s">
        <v>11</v>
      </c>
      <c r="D183" s="6" t="s">
        <v>492</v>
      </c>
      <c r="E183" s="6">
        <v>0</v>
      </c>
      <c r="F183" s="6">
        <v>0</v>
      </c>
      <c r="G183" s="6">
        <v>-2.712E-3</v>
      </c>
      <c r="H183" s="6">
        <v>1.2E-5</v>
      </c>
      <c r="I183" s="6">
        <v>-7.5199999999999996E-4</v>
      </c>
      <c r="J183" s="6">
        <v>0</v>
      </c>
    </row>
    <row r="184" spans="1:10" x14ac:dyDescent="0.3">
      <c r="A184" s="6" t="s">
        <v>63</v>
      </c>
      <c r="B184" s="6" t="s">
        <v>63</v>
      </c>
      <c r="C184" s="6" t="s">
        <v>11</v>
      </c>
      <c r="D184" s="6" t="s">
        <v>492</v>
      </c>
      <c r="E184" s="6">
        <v>0</v>
      </c>
      <c r="F184" s="6">
        <v>0</v>
      </c>
      <c r="G184" s="6">
        <v>-2.186E-3</v>
      </c>
      <c r="H184" s="6">
        <v>1.2E-5</v>
      </c>
      <c r="I184" s="6">
        <v>-7.5199999999999996E-4</v>
      </c>
      <c r="J184" s="6">
        <v>0</v>
      </c>
    </row>
    <row r="185" spans="1:10" x14ac:dyDescent="0.3">
      <c r="A185" s="6" t="s">
        <v>94</v>
      </c>
      <c r="B185" s="6" t="s">
        <v>94</v>
      </c>
      <c r="C185" s="6" t="s">
        <v>11</v>
      </c>
      <c r="D185" s="6" t="s">
        <v>492</v>
      </c>
      <c r="E185" s="6">
        <v>0</v>
      </c>
      <c r="F185" s="6">
        <v>0</v>
      </c>
      <c r="G185" s="6">
        <v>-2.5999999999999999E-3</v>
      </c>
      <c r="H185" s="6">
        <v>-7.1000000000000005E-5</v>
      </c>
      <c r="I185" s="6">
        <v>-7.2999999999999999E-5</v>
      </c>
      <c r="J185" s="6">
        <v>0</v>
      </c>
    </row>
    <row r="186" spans="1:10" x14ac:dyDescent="0.3">
      <c r="A186" s="6" t="s">
        <v>130</v>
      </c>
      <c r="B186" s="6" t="s">
        <v>130</v>
      </c>
      <c r="C186" s="6" t="s">
        <v>11</v>
      </c>
      <c r="D186" s="6" t="s">
        <v>492</v>
      </c>
      <c r="E186" s="6">
        <v>0</v>
      </c>
      <c r="F186" s="6">
        <v>0</v>
      </c>
      <c r="G186" s="6">
        <v>-2.7750000000000001E-3</v>
      </c>
      <c r="H186" s="6">
        <v>3.5480000000000002E-6</v>
      </c>
      <c r="I186" s="6">
        <v>-7.3999999999999996E-5</v>
      </c>
      <c r="J186" s="6">
        <v>0</v>
      </c>
    </row>
    <row r="187" spans="1:10" x14ac:dyDescent="0.3">
      <c r="A187" s="6" t="s">
        <v>59</v>
      </c>
      <c r="B187" s="6" t="s">
        <v>59</v>
      </c>
      <c r="C187" s="6" t="s">
        <v>11</v>
      </c>
      <c r="D187" s="6" t="s">
        <v>492</v>
      </c>
      <c r="E187" s="6">
        <v>0</v>
      </c>
      <c r="F187" s="6">
        <v>0</v>
      </c>
      <c r="G187" s="6">
        <v>-3.836E-3</v>
      </c>
      <c r="H187" s="6">
        <v>8.3799999999999999E-4</v>
      </c>
      <c r="I187" s="6">
        <v>2.5000000000000001E-5</v>
      </c>
      <c r="J187" s="6">
        <v>0</v>
      </c>
    </row>
    <row r="188" spans="1:10" x14ac:dyDescent="0.3">
      <c r="A188" s="6" t="s">
        <v>167</v>
      </c>
      <c r="B188" s="6" t="s">
        <v>167</v>
      </c>
      <c r="C188" s="6" t="s">
        <v>11</v>
      </c>
      <c r="D188" s="6" t="s">
        <v>492</v>
      </c>
      <c r="E188" s="6">
        <v>0</v>
      </c>
      <c r="F188" s="6">
        <v>0</v>
      </c>
      <c r="G188" s="6">
        <v>-2.7560000000000002E-3</v>
      </c>
      <c r="H188" s="6">
        <v>5.48E-6</v>
      </c>
      <c r="I188" s="6">
        <v>-7.3999999999999996E-5</v>
      </c>
      <c r="J188" s="6">
        <v>0</v>
      </c>
    </row>
    <row r="189" spans="1:10" x14ac:dyDescent="0.3">
      <c r="A189" s="6" t="s">
        <v>208</v>
      </c>
      <c r="B189" s="6" t="s">
        <v>208</v>
      </c>
      <c r="C189" s="6" t="s">
        <v>11</v>
      </c>
      <c r="D189" s="6" t="s">
        <v>492</v>
      </c>
      <c r="E189" s="6">
        <v>0</v>
      </c>
      <c r="F189" s="6">
        <v>0</v>
      </c>
      <c r="G189" s="6">
        <v>-2.7499999999999998E-3</v>
      </c>
      <c r="H189" s="6">
        <v>-6.9129999999999997E-6</v>
      </c>
      <c r="I189" s="6">
        <v>-7.7000000000000001E-5</v>
      </c>
      <c r="J189" s="6">
        <v>0</v>
      </c>
    </row>
    <row r="190" spans="1:10" x14ac:dyDescent="0.3">
      <c r="A190" s="6" t="s">
        <v>249</v>
      </c>
      <c r="B190" s="6" t="s">
        <v>249</v>
      </c>
      <c r="C190" s="6" t="s">
        <v>11</v>
      </c>
      <c r="D190" s="6" t="s">
        <v>492</v>
      </c>
      <c r="E190" s="6">
        <v>0</v>
      </c>
      <c r="F190" s="6">
        <v>0</v>
      </c>
      <c r="G190" s="6">
        <v>-2.7360000000000002E-3</v>
      </c>
      <c r="H190" s="6">
        <v>3.8000000000000002E-5</v>
      </c>
      <c r="I190" s="6">
        <v>-6.7999999999999999E-5</v>
      </c>
      <c r="J190" s="6">
        <v>0</v>
      </c>
    </row>
    <row r="191" spans="1:10" x14ac:dyDescent="0.3">
      <c r="A191" s="6" t="s">
        <v>288</v>
      </c>
      <c r="B191" s="6" t="s">
        <v>288</v>
      </c>
      <c r="C191" s="6" t="s">
        <v>11</v>
      </c>
      <c r="D191" s="6" t="s">
        <v>492</v>
      </c>
      <c r="E191" s="6">
        <v>0</v>
      </c>
      <c r="F191" s="6">
        <v>0</v>
      </c>
      <c r="G191" s="6">
        <v>-1.926E-3</v>
      </c>
      <c r="H191" s="6">
        <v>-1.2E-5</v>
      </c>
      <c r="I191" s="6">
        <v>-4.1999999999999998E-5</v>
      </c>
      <c r="J191" s="6">
        <v>0</v>
      </c>
    </row>
    <row r="192" spans="1:10" x14ac:dyDescent="0.3">
      <c r="A192" s="6" t="s">
        <v>530</v>
      </c>
      <c r="B192" s="6" t="s">
        <v>530</v>
      </c>
      <c r="C192" s="6" t="s">
        <v>11</v>
      </c>
      <c r="D192" s="6" t="s">
        <v>492</v>
      </c>
      <c r="E192" s="6">
        <v>0</v>
      </c>
      <c r="F192" s="6">
        <v>0</v>
      </c>
      <c r="G192" s="6">
        <v>-2.1770000000000001E-3</v>
      </c>
      <c r="H192" s="6">
        <v>1.2E-5</v>
      </c>
      <c r="I192" s="6">
        <v>-7.5199999999999996E-4</v>
      </c>
      <c r="J192" s="6">
        <v>0</v>
      </c>
    </row>
    <row r="193" spans="1:10" x14ac:dyDescent="0.3">
      <c r="A193" s="6" t="s">
        <v>76</v>
      </c>
      <c r="B193" s="6" t="s">
        <v>76</v>
      </c>
      <c r="C193" s="6" t="s">
        <v>11</v>
      </c>
      <c r="D193" s="6" t="s">
        <v>492</v>
      </c>
      <c r="E193" s="6">
        <v>0</v>
      </c>
      <c r="F193" s="6">
        <v>0</v>
      </c>
      <c r="G193" s="6">
        <v>-2.7039999999999998E-3</v>
      </c>
      <c r="H193" s="6">
        <v>1.2E-5</v>
      </c>
      <c r="I193" s="6">
        <v>-7.5199999999999996E-4</v>
      </c>
      <c r="J193" s="6">
        <v>0</v>
      </c>
    </row>
    <row r="194" spans="1:10" x14ac:dyDescent="0.3">
      <c r="A194" s="6" t="s">
        <v>112</v>
      </c>
      <c r="B194" s="6" t="s">
        <v>112</v>
      </c>
      <c r="C194" s="6" t="s">
        <v>11</v>
      </c>
      <c r="D194" s="6" t="s">
        <v>492</v>
      </c>
      <c r="E194" s="6">
        <v>0</v>
      </c>
      <c r="F194" s="6">
        <v>0</v>
      </c>
      <c r="G194" s="6">
        <v>-2.5089999999999999E-3</v>
      </c>
      <c r="H194" s="6">
        <v>1.9000000000000001E-5</v>
      </c>
      <c r="I194" s="6">
        <v>-6.6600000000000003E-4</v>
      </c>
      <c r="J194" s="6">
        <v>0</v>
      </c>
    </row>
    <row r="195" spans="1:10" x14ac:dyDescent="0.3">
      <c r="A195" s="6" t="s">
        <v>148</v>
      </c>
      <c r="B195" s="6" t="s">
        <v>148</v>
      </c>
      <c r="C195" s="6" t="s">
        <v>11</v>
      </c>
      <c r="D195" s="6" t="s">
        <v>492</v>
      </c>
      <c r="E195" s="6">
        <v>0</v>
      </c>
      <c r="F195" s="6">
        <v>0</v>
      </c>
      <c r="G195" s="6">
        <v>-2.0430000000000001E-3</v>
      </c>
      <c r="H195" s="6">
        <v>1.9000000000000001E-5</v>
      </c>
      <c r="I195" s="6">
        <v>-6.6600000000000003E-4</v>
      </c>
      <c r="J195" s="6">
        <v>0</v>
      </c>
    </row>
    <row r="196" spans="1:10" x14ac:dyDescent="0.3">
      <c r="A196" s="6" t="s">
        <v>189</v>
      </c>
      <c r="B196" s="6" t="s">
        <v>189</v>
      </c>
      <c r="C196" s="6" t="s">
        <v>11</v>
      </c>
      <c r="D196" s="6" t="s">
        <v>492</v>
      </c>
      <c r="E196" s="6">
        <v>0</v>
      </c>
      <c r="F196" s="6">
        <v>0</v>
      </c>
      <c r="G196" s="6">
        <v>-2.029E-3</v>
      </c>
      <c r="H196" s="6">
        <v>1.9000000000000001E-5</v>
      </c>
      <c r="I196" s="6">
        <v>-6.6600000000000003E-4</v>
      </c>
      <c r="J196" s="6">
        <v>0</v>
      </c>
    </row>
    <row r="197" spans="1:10" x14ac:dyDescent="0.3">
      <c r="A197" s="6" t="s">
        <v>230</v>
      </c>
      <c r="B197" s="6" t="s">
        <v>230</v>
      </c>
      <c r="C197" s="6" t="s">
        <v>11</v>
      </c>
      <c r="D197" s="6" t="s">
        <v>492</v>
      </c>
      <c r="E197" s="6">
        <v>0</v>
      </c>
      <c r="F197" s="6">
        <v>0</v>
      </c>
      <c r="G197" s="6">
        <v>-2.4949999999999998E-3</v>
      </c>
      <c r="H197" s="6">
        <v>1.9000000000000001E-5</v>
      </c>
      <c r="I197" s="6">
        <v>-6.6600000000000003E-4</v>
      </c>
      <c r="J197" s="6">
        <v>0</v>
      </c>
    </row>
    <row r="198" spans="1:10" x14ac:dyDescent="0.3">
      <c r="A198" s="6" t="s">
        <v>268</v>
      </c>
      <c r="B198" s="6" t="s">
        <v>268</v>
      </c>
      <c r="C198" s="6" t="s">
        <v>11</v>
      </c>
      <c r="D198" s="6" t="s">
        <v>492</v>
      </c>
      <c r="E198" s="6">
        <v>0</v>
      </c>
      <c r="F198" s="6">
        <v>0</v>
      </c>
      <c r="G198" s="6">
        <v>-2.3080000000000002E-3</v>
      </c>
      <c r="H198" s="6">
        <v>2.0999999999999999E-5</v>
      </c>
      <c r="I198" s="6">
        <v>-6.2E-4</v>
      </c>
      <c r="J198" s="6">
        <v>0</v>
      </c>
    </row>
    <row r="199" spans="1:10" x14ac:dyDescent="0.3">
      <c r="A199" s="6" t="s">
        <v>531</v>
      </c>
      <c r="B199" s="6" t="s">
        <v>531</v>
      </c>
      <c r="C199" s="6" t="s">
        <v>11</v>
      </c>
      <c r="D199" s="6" t="s">
        <v>492</v>
      </c>
      <c r="E199" s="6">
        <v>0</v>
      </c>
      <c r="F199" s="6">
        <v>0</v>
      </c>
      <c r="G199" s="6">
        <v>-1.8749999999999999E-3</v>
      </c>
      <c r="H199" s="6">
        <v>2.0999999999999999E-5</v>
      </c>
      <c r="I199" s="6">
        <v>-6.2E-4</v>
      </c>
      <c r="J199" s="6">
        <v>0</v>
      </c>
    </row>
    <row r="200" spans="1:10" x14ac:dyDescent="0.3">
      <c r="A200" s="6" t="s">
        <v>532</v>
      </c>
      <c r="B200" s="6" t="s">
        <v>532</v>
      </c>
      <c r="C200" s="6" t="s">
        <v>11</v>
      </c>
      <c r="D200" s="6" t="s">
        <v>492</v>
      </c>
      <c r="E200" s="6">
        <v>0</v>
      </c>
      <c r="F200" s="6">
        <v>0</v>
      </c>
      <c r="G200" s="6">
        <v>-1.8600000000000001E-3</v>
      </c>
      <c r="H200" s="6">
        <v>2.0999999999999999E-5</v>
      </c>
      <c r="I200" s="6">
        <v>-6.2E-4</v>
      </c>
      <c r="J200" s="6">
        <v>0</v>
      </c>
    </row>
    <row r="201" spans="1:10" x14ac:dyDescent="0.3">
      <c r="A201" s="6" t="s">
        <v>533</v>
      </c>
      <c r="B201" s="6" t="s">
        <v>533</v>
      </c>
      <c r="C201" s="6" t="s">
        <v>11</v>
      </c>
      <c r="D201" s="6" t="s">
        <v>492</v>
      </c>
      <c r="E201" s="6">
        <v>0</v>
      </c>
      <c r="F201" s="6">
        <v>0</v>
      </c>
      <c r="G201" s="6">
        <v>-2.294E-3</v>
      </c>
      <c r="H201" s="6">
        <v>2.0999999999999999E-5</v>
      </c>
      <c r="I201" s="6">
        <v>-6.2E-4</v>
      </c>
      <c r="J201" s="6">
        <v>0</v>
      </c>
    </row>
    <row r="202" spans="1:10" x14ac:dyDescent="0.3">
      <c r="A202" s="6" t="s">
        <v>89</v>
      </c>
      <c r="B202" s="6" t="s">
        <v>89</v>
      </c>
      <c r="C202" s="6" t="s">
        <v>11</v>
      </c>
      <c r="D202" s="6" t="s">
        <v>492</v>
      </c>
      <c r="E202" s="6">
        <v>0</v>
      </c>
      <c r="F202" s="6">
        <v>0</v>
      </c>
      <c r="G202" s="6">
        <v>-2.1099999999999999E-3</v>
      </c>
      <c r="H202" s="6">
        <v>2.1999999999999999E-5</v>
      </c>
      <c r="I202" s="6">
        <v>-5.7899999999999998E-4</v>
      </c>
      <c r="J202" s="6">
        <v>0</v>
      </c>
    </row>
    <row r="203" spans="1:10" x14ac:dyDescent="0.3">
      <c r="A203" s="6" t="s">
        <v>90</v>
      </c>
      <c r="B203" s="6" t="s">
        <v>90</v>
      </c>
      <c r="C203" s="6" t="s">
        <v>11</v>
      </c>
      <c r="D203" s="6" t="s">
        <v>492</v>
      </c>
      <c r="E203" s="6">
        <v>0</v>
      </c>
      <c r="F203" s="6">
        <v>0</v>
      </c>
      <c r="G203" s="6">
        <v>-1.7049999999999999E-3</v>
      </c>
      <c r="H203" s="6">
        <v>2.1999999999999999E-5</v>
      </c>
      <c r="I203" s="6">
        <v>-5.7899999999999998E-4</v>
      </c>
      <c r="J203" s="6">
        <v>0</v>
      </c>
    </row>
    <row r="204" spans="1:10" x14ac:dyDescent="0.3">
      <c r="A204" s="6" t="s">
        <v>100</v>
      </c>
      <c r="B204" s="6" t="s">
        <v>100</v>
      </c>
      <c r="C204" s="6" t="s">
        <v>11</v>
      </c>
      <c r="D204" s="6" t="s">
        <v>492</v>
      </c>
      <c r="E204" s="6">
        <v>0</v>
      </c>
      <c r="F204" s="6">
        <v>0</v>
      </c>
      <c r="G204" s="6">
        <v>-1.689E-3</v>
      </c>
      <c r="H204" s="6">
        <v>2.1999999999999999E-5</v>
      </c>
      <c r="I204" s="6">
        <v>-5.7899999999999998E-4</v>
      </c>
      <c r="J204" s="6">
        <v>0</v>
      </c>
    </row>
    <row r="205" spans="1:10" x14ac:dyDescent="0.3">
      <c r="A205" s="6" t="s">
        <v>99</v>
      </c>
      <c r="B205" s="6" t="s">
        <v>99</v>
      </c>
      <c r="C205" s="6" t="s">
        <v>11</v>
      </c>
      <c r="D205" s="6" t="s">
        <v>492</v>
      </c>
      <c r="E205" s="6">
        <v>0</v>
      </c>
      <c r="F205" s="6">
        <v>0</v>
      </c>
      <c r="G205" s="6">
        <v>-2.0939999999999999E-3</v>
      </c>
      <c r="H205" s="6">
        <v>2.1999999999999999E-5</v>
      </c>
      <c r="I205" s="6">
        <v>-5.7899999999999998E-4</v>
      </c>
      <c r="J205" s="6">
        <v>0</v>
      </c>
    </row>
    <row r="206" spans="1:10" x14ac:dyDescent="0.3">
      <c r="A206" s="6" t="s">
        <v>125</v>
      </c>
      <c r="B206" s="6" t="s">
        <v>125</v>
      </c>
      <c r="C206" s="6" t="s">
        <v>11</v>
      </c>
      <c r="D206" s="6" t="s">
        <v>492</v>
      </c>
      <c r="E206" s="6">
        <v>0</v>
      </c>
      <c r="F206" s="6">
        <v>0</v>
      </c>
      <c r="G206" s="6">
        <v>-1.879E-3</v>
      </c>
      <c r="H206" s="6">
        <v>1.9000000000000001E-5</v>
      </c>
      <c r="I206" s="6">
        <v>-5.2499999999999997E-4</v>
      </c>
      <c r="J206" s="6">
        <v>0</v>
      </c>
    </row>
    <row r="207" spans="1:10" x14ac:dyDescent="0.3">
      <c r="A207" s="6" t="s">
        <v>126</v>
      </c>
      <c r="B207" s="6" t="s">
        <v>126</v>
      </c>
      <c r="C207" s="6" t="s">
        <v>11</v>
      </c>
      <c r="D207" s="6" t="s">
        <v>492</v>
      </c>
      <c r="E207" s="6">
        <v>0</v>
      </c>
      <c r="F207" s="6">
        <v>0</v>
      </c>
      <c r="G207" s="6">
        <v>-1.5120000000000001E-3</v>
      </c>
      <c r="H207" s="6">
        <v>1.9000000000000001E-5</v>
      </c>
      <c r="I207" s="6">
        <v>-5.2499999999999997E-4</v>
      </c>
      <c r="J207" s="6">
        <v>0</v>
      </c>
    </row>
    <row r="208" spans="1:10" x14ac:dyDescent="0.3">
      <c r="A208" s="6" t="s">
        <v>136</v>
      </c>
      <c r="B208" s="6" t="s">
        <v>136</v>
      </c>
      <c r="C208" s="6" t="s">
        <v>11</v>
      </c>
      <c r="D208" s="6" t="s">
        <v>492</v>
      </c>
      <c r="E208" s="6">
        <v>0</v>
      </c>
      <c r="F208" s="6">
        <v>0</v>
      </c>
      <c r="G208" s="6">
        <v>-1.498E-3</v>
      </c>
      <c r="H208" s="6">
        <v>1.9000000000000001E-5</v>
      </c>
      <c r="I208" s="6">
        <v>-5.2499999999999997E-4</v>
      </c>
      <c r="J208" s="6">
        <v>0</v>
      </c>
    </row>
    <row r="209" spans="1:10" x14ac:dyDescent="0.3">
      <c r="A209" s="6" t="s">
        <v>135</v>
      </c>
      <c r="B209" s="6" t="s">
        <v>135</v>
      </c>
      <c r="C209" s="6" t="s">
        <v>11</v>
      </c>
      <c r="D209" s="6" t="s">
        <v>492</v>
      </c>
      <c r="E209" s="6">
        <v>0</v>
      </c>
      <c r="F209" s="6">
        <v>0</v>
      </c>
      <c r="G209" s="6">
        <v>-1.866E-3</v>
      </c>
      <c r="H209" s="6">
        <v>1.9000000000000001E-5</v>
      </c>
      <c r="I209" s="6">
        <v>-5.2499999999999997E-4</v>
      </c>
      <c r="J209" s="6">
        <v>0</v>
      </c>
    </row>
    <row r="210" spans="1:10" x14ac:dyDescent="0.3">
      <c r="A210" s="6" t="s">
        <v>160</v>
      </c>
      <c r="B210" s="6" t="s">
        <v>160</v>
      </c>
      <c r="C210" s="6" t="s">
        <v>11</v>
      </c>
      <c r="D210" s="6" t="s">
        <v>492</v>
      </c>
      <c r="E210" s="6">
        <v>0</v>
      </c>
      <c r="F210" s="6">
        <v>0</v>
      </c>
      <c r="G210" s="6">
        <v>-1.4790000000000001E-3</v>
      </c>
      <c r="H210" s="6">
        <v>1.192E-7</v>
      </c>
      <c r="I210" s="6">
        <v>1.7510000000000001E-9</v>
      </c>
      <c r="J210" s="6">
        <v>0</v>
      </c>
    </row>
    <row r="211" spans="1:10" x14ac:dyDescent="0.3">
      <c r="A211" s="6" t="s">
        <v>161</v>
      </c>
      <c r="B211" s="6" t="s">
        <v>161</v>
      </c>
      <c r="C211" s="6" t="s">
        <v>11</v>
      </c>
      <c r="D211" s="6" t="s">
        <v>492</v>
      </c>
      <c r="E211" s="6">
        <v>0</v>
      </c>
      <c r="F211" s="6">
        <v>0</v>
      </c>
      <c r="G211" s="6">
        <v>-1.4790000000000001E-3</v>
      </c>
      <c r="H211" s="6">
        <v>8.2160000000000002E-8</v>
      </c>
      <c r="I211" s="6">
        <v>-1.3619999999999999E-7</v>
      </c>
      <c r="J211" s="6">
        <v>0</v>
      </c>
    </row>
    <row r="212" spans="1:10" x14ac:dyDescent="0.3">
      <c r="A212" s="6" t="s">
        <v>175</v>
      </c>
      <c r="B212" s="6" t="s">
        <v>175</v>
      </c>
      <c r="C212" s="6" t="s">
        <v>11</v>
      </c>
      <c r="D212" s="6" t="s">
        <v>492</v>
      </c>
      <c r="E212" s="6">
        <v>0</v>
      </c>
      <c r="F212" s="6">
        <v>0</v>
      </c>
      <c r="G212" s="6">
        <v>-1.4790000000000001E-3</v>
      </c>
      <c r="H212" s="6">
        <v>5.9179999999999998E-8</v>
      </c>
      <c r="I212" s="6">
        <v>-8.05E-8</v>
      </c>
      <c r="J212" s="6">
        <v>0</v>
      </c>
    </row>
    <row r="213" spans="1:10" x14ac:dyDescent="0.3">
      <c r="A213" s="6" t="s">
        <v>174</v>
      </c>
      <c r="B213" s="6" t="s">
        <v>174</v>
      </c>
      <c r="C213" s="6" t="s">
        <v>11</v>
      </c>
      <c r="D213" s="6" t="s">
        <v>492</v>
      </c>
      <c r="E213" s="6">
        <v>0</v>
      </c>
      <c r="F213" s="6">
        <v>0</v>
      </c>
      <c r="G213" s="6">
        <v>-1.4790000000000001E-3</v>
      </c>
      <c r="H213" s="6">
        <v>6.6349999999999995E-8</v>
      </c>
      <c r="I213" s="6">
        <v>-8.0269999999999997E-9</v>
      </c>
      <c r="J213" s="6">
        <v>0</v>
      </c>
    </row>
    <row r="214" spans="1:10" x14ac:dyDescent="0.3">
      <c r="A214" s="6" t="s">
        <v>201</v>
      </c>
      <c r="B214" s="6" t="s">
        <v>201</v>
      </c>
      <c r="C214" s="6" t="s">
        <v>11</v>
      </c>
      <c r="D214" s="6" t="s">
        <v>492</v>
      </c>
      <c r="E214" s="6">
        <v>0</v>
      </c>
      <c r="F214" s="6">
        <v>0</v>
      </c>
      <c r="G214" s="6">
        <v>-1.4300000000000001E-3</v>
      </c>
      <c r="H214" s="6">
        <v>-3.5859999999999998E-8</v>
      </c>
      <c r="I214" s="6">
        <v>-1.1749999999999999E-8</v>
      </c>
      <c r="J214" s="6">
        <v>0</v>
      </c>
    </row>
    <row r="215" spans="1:10" x14ac:dyDescent="0.3">
      <c r="A215" s="6" t="s">
        <v>202</v>
      </c>
      <c r="B215" s="6" t="s">
        <v>202</v>
      </c>
      <c r="C215" s="6" t="s">
        <v>11</v>
      </c>
      <c r="D215" s="6" t="s">
        <v>492</v>
      </c>
      <c r="E215" s="6">
        <v>0</v>
      </c>
      <c r="F215" s="6">
        <v>0</v>
      </c>
      <c r="G215" s="6">
        <v>-1.4300000000000001E-3</v>
      </c>
      <c r="H215" s="6">
        <v>-8.8739999999999999E-8</v>
      </c>
      <c r="I215" s="6">
        <v>-3.0659999999999998E-8</v>
      </c>
      <c r="J215" s="6">
        <v>0</v>
      </c>
    </row>
    <row r="216" spans="1:10" x14ac:dyDescent="0.3">
      <c r="A216" s="6" t="s">
        <v>216</v>
      </c>
      <c r="B216" s="6" t="s">
        <v>216</v>
      </c>
      <c r="C216" s="6" t="s">
        <v>11</v>
      </c>
      <c r="D216" s="6" t="s">
        <v>492</v>
      </c>
      <c r="E216" s="6">
        <v>0</v>
      </c>
      <c r="F216" s="6">
        <v>0</v>
      </c>
      <c r="G216" s="6">
        <v>-1.4300000000000001E-3</v>
      </c>
      <c r="H216" s="6">
        <v>-2.599E-8</v>
      </c>
      <c r="I216" s="6">
        <v>1.4950000000000002E-8</v>
      </c>
      <c r="J216" s="6">
        <v>0</v>
      </c>
    </row>
    <row r="217" spans="1:10" x14ac:dyDescent="0.3">
      <c r="A217" s="6" t="s">
        <v>215</v>
      </c>
      <c r="B217" s="6" t="s">
        <v>215</v>
      </c>
      <c r="C217" s="6" t="s">
        <v>11</v>
      </c>
      <c r="D217" s="6" t="s">
        <v>492</v>
      </c>
      <c r="E217" s="6">
        <v>0</v>
      </c>
      <c r="F217" s="6">
        <v>0</v>
      </c>
      <c r="G217" s="6">
        <v>-1.4300000000000001E-3</v>
      </c>
      <c r="H217" s="6">
        <v>-2.4220000000000001E-8</v>
      </c>
      <c r="I217" s="6">
        <v>-5.8470000000000002E-9</v>
      </c>
      <c r="J217" s="6">
        <v>0</v>
      </c>
    </row>
    <row r="218" spans="1:10" x14ac:dyDescent="0.3">
      <c r="A218" s="6" t="s">
        <v>242</v>
      </c>
      <c r="B218" s="6" t="s">
        <v>242</v>
      </c>
      <c r="C218" s="6" t="s">
        <v>11</v>
      </c>
      <c r="D218" s="6" t="s">
        <v>492</v>
      </c>
      <c r="E218" s="6">
        <v>0</v>
      </c>
      <c r="F218" s="6">
        <v>0</v>
      </c>
      <c r="G218" s="6">
        <v>-1.438E-3</v>
      </c>
      <c r="H218" s="6">
        <v>-1.13E-4</v>
      </c>
      <c r="I218" s="6">
        <v>1.9259999999999999E-6</v>
      </c>
      <c r="J218" s="6">
        <v>0</v>
      </c>
    </row>
    <row r="219" spans="1:10" x14ac:dyDescent="0.3">
      <c r="A219" s="6" t="s">
        <v>243</v>
      </c>
      <c r="B219" s="6" t="s">
        <v>243</v>
      </c>
      <c r="C219" s="6" t="s">
        <v>11</v>
      </c>
      <c r="D219" s="6" t="s">
        <v>492</v>
      </c>
      <c r="E219" s="6">
        <v>0</v>
      </c>
      <c r="F219" s="6">
        <v>0</v>
      </c>
      <c r="G219" s="6">
        <v>-1.439E-3</v>
      </c>
      <c r="H219" s="6">
        <v>-1.13E-4</v>
      </c>
      <c r="I219" s="6">
        <v>1.854E-6</v>
      </c>
      <c r="J219" s="6">
        <v>0</v>
      </c>
    </row>
    <row r="220" spans="1:10" x14ac:dyDescent="0.3">
      <c r="A220" s="6" t="s">
        <v>254</v>
      </c>
      <c r="B220" s="6" t="s">
        <v>254</v>
      </c>
      <c r="C220" s="6" t="s">
        <v>11</v>
      </c>
      <c r="D220" s="6" t="s">
        <v>492</v>
      </c>
      <c r="E220" s="6">
        <v>0</v>
      </c>
      <c r="F220" s="6">
        <v>0</v>
      </c>
      <c r="G220" s="6">
        <v>-1.518E-3</v>
      </c>
      <c r="H220" s="6">
        <v>-1.13E-4</v>
      </c>
      <c r="I220" s="6">
        <v>1.875E-6</v>
      </c>
      <c r="J220" s="6">
        <v>0</v>
      </c>
    </row>
    <row r="221" spans="1:10" x14ac:dyDescent="0.3">
      <c r="A221" s="6" t="s">
        <v>253</v>
      </c>
      <c r="B221" s="6" t="s">
        <v>253</v>
      </c>
      <c r="C221" s="6" t="s">
        <v>11</v>
      </c>
      <c r="D221" s="6" t="s">
        <v>492</v>
      </c>
      <c r="E221" s="6">
        <v>0</v>
      </c>
      <c r="F221" s="6">
        <v>0</v>
      </c>
      <c r="G221" s="6">
        <v>-1.5169999999999999E-3</v>
      </c>
      <c r="H221" s="6">
        <v>-1.13E-4</v>
      </c>
      <c r="I221" s="6">
        <v>1.891E-6</v>
      </c>
      <c r="J221" s="6">
        <v>0</v>
      </c>
    </row>
    <row r="222" spans="1:10" x14ac:dyDescent="0.3">
      <c r="A222" s="6" t="s">
        <v>280</v>
      </c>
      <c r="B222" s="6" t="s">
        <v>280</v>
      </c>
      <c r="C222" s="6" t="s">
        <v>11</v>
      </c>
      <c r="D222" s="6" t="s">
        <v>492</v>
      </c>
      <c r="E222" s="6">
        <v>0</v>
      </c>
      <c r="F222" s="6">
        <v>0</v>
      </c>
      <c r="G222" s="6">
        <v>-1.487E-3</v>
      </c>
      <c r="H222" s="6">
        <v>-3.0000000000000001E-5</v>
      </c>
      <c r="I222" s="6">
        <v>-6.1880000000000001E-7</v>
      </c>
      <c r="J222" s="6">
        <v>0</v>
      </c>
    </row>
    <row r="223" spans="1:10" x14ac:dyDescent="0.3">
      <c r="A223" s="6" t="s">
        <v>281</v>
      </c>
      <c r="B223" s="6" t="s">
        <v>281</v>
      </c>
      <c r="C223" s="6" t="s">
        <v>11</v>
      </c>
      <c r="D223" s="6" t="s">
        <v>492</v>
      </c>
      <c r="E223" s="6">
        <v>0</v>
      </c>
      <c r="F223" s="6">
        <v>0</v>
      </c>
      <c r="G223" s="6">
        <v>-1.4859999999999999E-3</v>
      </c>
      <c r="H223" s="6">
        <v>-3.0000000000000001E-5</v>
      </c>
      <c r="I223" s="6">
        <v>-6.9400000000000005E-7</v>
      </c>
      <c r="J223" s="6">
        <v>0</v>
      </c>
    </row>
    <row r="224" spans="1:10" x14ac:dyDescent="0.3">
      <c r="A224" s="6" t="s">
        <v>296</v>
      </c>
      <c r="B224" s="6" t="s">
        <v>296</v>
      </c>
      <c r="C224" s="6" t="s">
        <v>11</v>
      </c>
      <c r="D224" s="6" t="s">
        <v>492</v>
      </c>
      <c r="E224" s="6">
        <v>0</v>
      </c>
      <c r="F224" s="6">
        <v>0</v>
      </c>
      <c r="G224" s="6">
        <v>-1.508E-3</v>
      </c>
      <c r="H224" s="6">
        <v>-3.0000000000000001E-5</v>
      </c>
      <c r="I224" s="6">
        <v>-6.6130000000000003E-7</v>
      </c>
      <c r="J224" s="6">
        <v>0</v>
      </c>
    </row>
    <row r="225" spans="1:10" x14ac:dyDescent="0.3">
      <c r="A225" s="6" t="s">
        <v>295</v>
      </c>
      <c r="B225" s="6" t="s">
        <v>295</v>
      </c>
      <c r="C225" s="6" t="s">
        <v>11</v>
      </c>
      <c r="D225" s="6" t="s">
        <v>492</v>
      </c>
      <c r="E225" s="6">
        <v>0</v>
      </c>
      <c r="F225" s="6">
        <v>0</v>
      </c>
      <c r="G225" s="6">
        <v>-1.508E-3</v>
      </c>
      <c r="H225" s="6">
        <v>-3.0000000000000001E-5</v>
      </c>
      <c r="I225" s="6">
        <v>-6.4249999999999999E-7</v>
      </c>
      <c r="J225" s="6">
        <v>0</v>
      </c>
    </row>
    <row r="226" spans="1:10" x14ac:dyDescent="0.3">
      <c r="A226" s="6" t="s">
        <v>307</v>
      </c>
      <c r="B226" s="6" t="s">
        <v>307</v>
      </c>
      <c r="C226" s="6" t="s">
        <v>11</v>
      </c>
      <c r="D226" s="6" t="s">
        <v>492</v>
      </c>
      <c r="E226" s="6">
        <v>0</v>
      </c>
      <c r="F226" s="6">
        <v>0</v>
      </c>
      <c r="G226" s="6">
        <v>-1.485E-3</v>
      </c>
      <c r="H226" s="6">
        <v>-1.1E-5</v>
      </c>
      <c r="I226" s="6">
        <v>-1.8220000000000001E-6</v>
      </c>
      <c r="J226" s="6">
        <v>0</v>
      </c>
    </row>
    <row r="227" spans="1:10" x14ac:dyDescent="0.3">
      <c r="A227" s="6" t="s">
        <v>308</v>
      </c>
      <c r="B227" s="6" t="s">
        <v>308</v>
      </c>
      <c r="C227" s="6" t="s">
        <v>11</v>
      </c>
      <c r="D227" s="6" t="s">
        <v>492</v>
      </c>
      <c r="E227" s="6">
        <v>0</v>
      </c>
      <c r="F227" s="6">
        <v>0</v>
      </c>
      <c r="G227" s="6">
        <v>-1.4829999999999999E-3</v>
      </c>
      <c r="H227" s="6">
        <v>-1.1E-5</v>
      </c>
      <c r="I227" s="6">
        <v>-1.9039999999999999E-6</v>
      </c>
      <c r="J227" s="6">
        <v>0</v>
      </c>
    </row>
    <row r="228" spans="1:10" x14ac:dyDescent="0.3">
      <c r="A228" s="6" t="s">
        <v>330</v>
      </c>
      <c r="B228" s="6" t="s">
        <v>330</v>
      </c>
      <c r="C228" s="6" t="s">
        <v>11</v>
      </c>
      <c r="D228" s="6" t="s">
        <v>492</v>
      </c>
      <c r="E228" s="6">
        <v>0</v>
      </c>
      <c r="F228" s="6">
        <v>0</v>
      </c>
      <c r="G228" s="6">
        <v>-1.4909999999999999E-3</v>
      </c>
      <c r="H228" s="6">
        <v>-1.2E-5</v>
      </c>
      <c r="I228" s="6">
        <v>-1.8729999999999999E-6</v>
      </c>
      <c r="J228" s="6">
        <v>0</v>
      </c>
    </row>
    <row r="229" spans="1:10" x14ac:dyDescent="0.3">
      <c r="A229" s="6" t="s">
        <v>329</v>
      </c>
      <c r="B229" s="6" t="s">
        <v>329</v>
      </c>
      <c r="C229" s="6" t="s">
        <v>11</v>
      </c>
      <c r="D229" s="6" t="s">
        <v>492</v>
      </c>
      <c r="E229" s="6">
        <v>0</v>
      </c>
      <c r="F229" s="6">
        <v>0</v>
      </c>
      <c r="G229" s="6">
        <v>-1.493E-3</v>
      </c>
      <c r="H229" s="6">
        <v>-1.2E-5</v>
      </c>
      <c r="I229" s="6">
        <v>-1.8530000000000001E-6</v>
      </c>
      <c r="J229" s="6">
        <v>0</v>
      </c>
    </row>
    <row r="230" spans="1:10" x14ac:dyDescent="0.3">
      <c r="A230" s="6" t="s">
        <v>309</v>
      </c>
      <c r="B230" s="6" t="s">
        <v>309</v>
      </c>
      <c r="C230" s="6" t="s">
        <v>11</v>
      </c>
      <c r="D230" s="6" t="s">
        <v>492</v>
      </c>
      <c r="E230" s="6">
        <v>0</v>
      </c>
      <c r="F230" s="6">
        <v>0</v>
      </c>
      <c r="G230" s="6">
        <v>-1.4139999999999999E-3</v>
      </c>
      <c r="H230" s="6">
        <v>-1.17E-4</v>
      </c>
      <c r="I230" s="6">
        <v>-1.8619999999999999E-6</v>
      </c>
      <c r="J230" s="6">
        <v>0</v>
      </c>
    </row>
    <row r="231" spans="1:10" x14ac:dyDescent="0.3">
      <c r="A231" s="6" t="s">
        <v>310</v>
      </c>
      <c r="B231" s="6" t="s">
        <v>310</v>
      </c>
      <c r="C231" s="6" t="s">
        <v>11</v>
      </c>
      <c r="D231" s="6" t="s">
        <v>492</v>
      </c>
      <c r="E231" s="6">
        <v>0</v>
      </c>
      <c r="F231" s="6">
        <v>0</v>
      </c>
      <c r="G231" s="6">
        <v>-1.4120000000000001E-3</v>
      </c>
      <c r="H231" s="6">
        <v>-1.17E-4</v>
      </c>
      <c r="I231" s="6">
        <v>-1.933E-6</v>
      </c>
      <c r="J231" s="6">
        <v>0</v>
      </c>
    </row>
    <row r="232" spans="1:10" x14ac:dyDescent="0.3">
      <c r="A232" s="6" t="s">
        <v>332</v>
      </c>
      <c r="B232" s="6" t="s">
        <v>332</v>
      </c>
      <c r="C232" s="6" t="s">
        <v>11</v>
      </c>
      <c r="D232" s="6" t="s">
        <v>492</v>
      </c>
      <c r="E232" s="6">
        <v>0</v>
      </c>
      <c r="F232" s="6">
        <v>0</v>
      </c>
      <c r="G232" s="6">
        <v>-1.4940000000000001E-3</v>
      </c>
      <c r="H232" s="6">
        <v>-1.17E-4</v>
      </c>
      <c r="I232" s="6">
        <v>-1.906E-6</v>
      </c>
      <c r="J232" s="6">
        <v>0</v>
      </c>
    </row>
    <row r="233" spans="1:10" x14ac:dyDescent="0.3">
      <c r="A233" s="6" t="s">
        <v>331</v>
      </c>
      <c r="B233" s="6" t="s">
        <v>331</v>
      </c>
      <c r="C233" s="6" t="s">
        <v>11</v>
      </c>
      <c r="D233" s="6" t="s">
        <v>492</v>
      </c>
      <c r="E233" s="6">
        <v>0</v>
      </c>
      <c r="F233" s="6">
        <v>0</v>
      </c>
      <c r="G233" s="6">
        <v>-1.495E-3</v>
      </c>
      <c r="H233" s="6">
        <v>-1.17E-4</v>
      </c>
      <c r="I233" s="6">
        <v>-1.891E-6</v>
      </c>
      <c r="J233" s="6">
        <v>0</v>
      </c>
    </row>
    <row r="234" spans="1:10" x14ac:dyDescent="0.3">
      <c r="A234" s="6" t="s">
        <v>311</v>
      </c>
      <c r="B234" s="6" t="s">
        <v>311</v>
      </c>
      <c r="C234" s="6" t="s">
        <v>11</v>
      </c>
      <c r="D234" s="6" t="s">
        <v>492</v>
      </c>
      <c r="E234" s="6">
        <v>0</v>
      </c>
      <c r="F234" s="6">
        <v>0</v>
      </c>
      <c r="G234" s="6">
        <v>-1.4250000000000001E-3</v>
      </c>
      <c r="H234" s="6">
        <v>-2.4739999999999999E-8</v>
      </c>
      <c r="I234" s="6">
        <v>6.088E-8</v>
      </c>
      <c r="J234" s="6">
        <v>0</v>
      </c>
    </row>
    <row r="235" spans="1:10" x14ac:dyDescent="0.3">
      <c r="A235" s="6" t="s">
        <v>312</v>
      </c>
      <c r="B235" s="6" t="s">
        <v>312</v>
      </c>
      <c r="C235" s="6" t="s">
        <v>11</v>
      </c>
      <c r="D235" s="6" t="s">
        <v>492</v>
      </c>
      <c r="E235" s="6">
        <v>0</v>
      </c>
      <c r="F235" s="6">
        <v>0</v>
      </c>
      <c r="G235" s="6">
        <v>-1.4250000000000001E-3</v>
      </c>
      <c r="H235" s="6">
        <v>2.0520000000000001E-8</v>
      </c>
      <c r="I235" s="6">
        <v>1.9150000000000001E-9</v>
      </c>
      <c r="J235" s="6">
        <v>0</v>
      </c>
    </row>
    <row r="236" spans="1:10" x14ac:dyDescent="0.3">
      <c r="A236" s="6" t="s">
        <v>334</v>
      </c>
      <c r="B236" s="6" t="s">
        <v>334</v>
      </c>
      <c r="C236" s="6" t="s">
        <v>11</v>
      </c>
      <c r="D236" s="6" t="s">
        <v>492</v>
      </c>
      <c r="E236" s="6">
        <v>0</v>
      </c>
      <c r="F236" s="6">
        <v>0</v>
      </c>
      <c r="G236" s="6">
        <v>-1.4250000000000001E-3</v>
      </c>
      <c r="H236" s="6">
        <v>1.061E-8</v>
      </c>
      <c r="I236" s="6">
        <v>1.651E-9</v>
      </c>
      <c r="J236" s="6">
        <v>0</v>
      </c>
    </row>
    <row r="237" spans="1:10" x14ac:dyDescent="0.3">
      <c r="A237" s="6" t="s">
        <v>333</v>
      </c>
      <c r="B237" s="6" t="s">
        <v>333</v>
      </c>
      <c r="C237" s="6" t="s">
        <v>11</v>
      </c>
      <c r="D237" s="6" t="s">
        <v>492</v>
      </c>
      <c r="E237" s="6">
        <v>0</v>
      </c>
      <c r="F237" s="6">
        <v>0</v>
      </c>
      <c r="G237" s="6">
        <v>-1.4250000000000001E-3</v>
      </c>
      <c r="H237" s="6">
        <v>7.629E-9</v>
      </c>
      <c r="I237" s="6">
        <v>1.294E-8</v>
      </c>
      <c r="J237" s="6">
        <v>0</v>
      </c>
    </row>
    <row r="238" spans="1:10" x14ac:dyDescent="0.3">
      <c r="A238" s="6" t="s">
        <v>313</v>
      </c>
      <c r="B238" s="6" t="s">
        <v>313</v>
      </c>
      <c r="C238" s="6" t="s">
        <v>11</v>
      </c>
      <c r="D238" s="6" t="s">
        <v>492</v>
      </c>
      <c r="E238" s="6">
        <v>0</v>
      </c>
      <c r="F238" s="6">
        <v>0</v>
      </c>
      <c r="G238" s="6">
        <v>-1.3309999999999999E-3</v>
      </c>
      <c r="H238" s="6">
        <v>3.1990000000000002E-6</v>
      </c>
      <c r="I238" s="6">
        <v>3.9100000000000002E-4</v>
      </c>
      <c r="J238" s="6">
        <v>0</v>
      </c>
    </row>
    <row r="239" spans="1:10" x14ac:dyDescent="0.3">
      <c r="A239" s="6" t="s">
        <v>314</v>
      </c>
      <c r="B239" s="6" t="s">
        <v>314</v>
      </c>
      <c r="C239" s="6" t="s">
        <v>11</v>
      </c>
      <c r="D239" s="6" t="s">
        <v>492</v>
      </c>
      <c r="E239" s="6">
        <v>0</v>
      </c>
      <c r="F239" s="6">
        <v>0</v>
      </c>
      <c r="G239" s="6">
        <v>-1.6050000000000001E-3</v>
      </c>
      <c r="H239" s="6">
        <v>3.2210000000000002E-6</v>
      </c>
      <c r="I239" s="6">
        <v>3.9100000000000002E-4</v>
      </c>
      <c r="J239" s="6">
        <v>0</v>
      </c>
    </row>
    <row r="240" spans="1:10" x14ac:dyDescent="0.3">
      <c r="A240" s="6" t="s">
        <v>336</v>
      </c>
      <c r="B240" s="6" t="s">
        <v>336</v>
      </c>
      <c r="C240" s="6" t="s">
        <v>11</v>
      </c>
      <c r="D240" s="6" t="s">
        <v>492</v>
      </c>
      <c r="E240" s="6">
        <v>0</v>
      </c>
      <c r="F240" s="6">
        <v>0</v>
      </c>
      <c r="G240" s="6">
        <v>-1.603E-3</v>
      </c>
      <c r="H240" s="6">
        <v>3.2279999999999998E-6</v>
      </c>
      <c r="I240" s="6">
        <v>3.9100000000000002E-4</v>
      </c>
      <c r="J240" s="6">
        <v>0</v>
      </c>
    </row>
    <row r="241" spans="1:10" x14ac:dyDescent="0.3">
      <c r="A241" s="6" t="s">
        <v>335</v>
      </c>
      <c r="B241" s="6" t="s">
        <v>335</v>
      </c>
      <c r="C241" s="6" t="s">
        <v>11</v>
      </c>
      <c r="D241" s="6" t="s">
        <v>492</v>
      </c>
      <c r="E241" s="6">
        <v>0</v>
      </c>
      <c r="F241" s="6">
        <v>0</v>
      </c>
      <c r="G241" s="6">
        <v>-1.3290000000000001E-3</v>
      </c>
      <c r="H241" s="6">
        <v>3.2499999999999998E-6</v>
      </c>
      <c r="I241" s="6">
        <v>3.9100000000000002E-4</v>
      </c>
      <c r="J241" s="6">
        <v>0</v>
      </c>
    </row>
    <row r="242" spans="1:10" x14ac:dyDescent="0.3">
      <c r="A242" s="6" t="s">
        <v>315</v>
      </c>
      <c r="B242" s="6" t="s">
        <v>315</v>
      </c>
      <c r="C242" s="6" t="s">
        <v>11</v>
      </c>
      <c r="D242" s="6" t="s">
        <v>492</v>
      </c>
      <c r="E242" s="6">
        <v>0</v>
      </c>
      <c r="F242" s="6">
        <v>0</v>
      </c>
      <c r="G242" s="6">
        <v>-1.3929999999999999E-3</v>
      </c>
      <c r="H242" s="6">
        <v>5.8470000000000001E-6</v>
      </c>
      <c r="I242" s="6">
        <v>3.5799999999999997E-4</v>
      </c>
      <c r="J242" s="6">
        <v>0</v>
      </c>
    </row>
    <row r="243" spans="1:10" x14ac:dyDescent="0.3">
      <c r="A243" s="6" t="s">
        <v>316</v>
      </c>
      <c r="B243" s="6" t="s">
        <v>316</v>
      </c>
      <c r="C243" s="6" t="s">
        <v>11</v>
      </c>
      <c r="D243" s="6" t="s">
        <v>492</v>
      </c>
      <c r="E243" s="6">
        <v>0</v>
      </c>
      <c r="F243" s="6">
        <v>0</v>
      </c>
      <c r="G243" s="6">
        <v>-1.6429999999999999E-3</v>
      </c>
      <c r="H243" s="6">
        <v>5.8719999999999999E-6</v>
      </c>
      <c r="I243" s="6">
        <v>3.5799999999999997E-4</v>
      </c>
      <c r="J243" s="6">
        <v>0</v>
      </c>
    </row>
    <row r="244" spans="1:10" x14ac:dyDescent="0.3">
      <c r="A244" s="6" t="s">
        <v>338</v>
      </c>
      <c r="B244" s="6" t="s">
        <v>338</v>
      </c>
      <c r="C244" s="6" t="s">
        <v>11</v>
      </c>
      <c r="D244" s="6" t="s">
        <v>492</v>
      </c>
      <c r="E244" s="6">
        <v>0</v>
      </c>
      <c r="F244" s="6">
        <v>0</v>
      </c>
      <c r="G244" s="6">
        <v>-1.639E-3</v>
      </c>
      <c r="H244" s="6">
        <v>5.8839999999999999E-6</v>
      </c>
      <c r="I244" s="6">
        <v>3.5799999999999997E-4</v>
      </c>
      <c r="J244" s="6">
        <v>0</v>
      </c>
    </row>
    <row r="245" spans="1:10" x14ac:dyDescent="0.3">
      <c r="A245" s="6" t="s">
        <v>337</v>
      </c>
      <c r="B245" s="6" t="s">
        <v>337</v>
      </c>
      <c r="C245" s="6" t="s">
        <v>11</v>
      </c>
      <c r="D245" s="6" t="s">
        <v>492</v>
      </c>
      <c r="E245" s="6">
        <v>0</v>
      </c>
      <c r="F245" s="6">
        <v>0</v>
      </c>
      <c r="G245" s="6">
        <v>-1.389E-3</v>
      </c>
      <c r="H245" s="6">
        <v>5.9070000000000004E-6</v>
      </c>
      <c r="I245" s="6">
        <v>3.5799999999999997E-4</v>
      </c>
      <c r="J245" s="6">
        <v>0</v>
      </c>
    </row>
    <row r="246" spans="1:10" x14ac:dyDescent="0.3">
      <c r="A246" s="6" t="s">
        <v>317</v>
      </c>
      <c r="B246" s="6" t="s">
        <v>317</v>
      </c>
      <c r="C246" s="6" t="s">
        <v>11</v>
      </c>
      <c r="D246" s="6" t="s">
        <v>492</v>
      </c>
      <c r="E246" s="6">
        <v>0</v>
      </c>
      <c r="F246" s="6">
        <v>0</v>
      </c>
      <c r="G246" s="6">
        <v>-1.4270000000000001E-3</v>
      </c>
      <c r="H246" s="6">
        <v>1.1E-5</v>
      </c>
      <c r="I246" s="6">
        <v>3.5100000000000002E-4</v>
      </c>
      <c r="J246" s="6">
        <v>0</v>
      </c>
    </row>
    <row r="247" spans="1:10" x14ac:dyDescent="0.3">
      <c r="A247" s="6" t="s">
        <v>318</v>
      </c>
      <c r="B247" s="6" t="s">
        <v>318</v>
      </c>
      <c r="C247" s="6" t="s">
        <v>11</v>
      </c>
      <c r="D247" s="6" t="s">
        <v>492</v>
      </c>
      <c r="E247" s="6">
        <v>0</v>
      </c>
      <c r="F247" s="6">
        <v>0</v>
      </c>
      <c r="G247" s="6">
        <v>-1.6720000000000001E-3</v>
      </c>
      <c r="H247" s="6">
        <v>1.1E-5</v>
      </c>
      <c r="I247" s="6">
        <v>3.5100000000000002E-4</v>
      </c>
      <c r="J247" s="6">
        <v>0</v>
      </c>
    </row>
    <row r="248" spans="1:10" x14ac:dyDescent="0.3">
      <c r="A248" s="6" t="s">
        <v>340</v>
      </c>
      <c r="B248" s="6" t="s">
        <v>340</v>
      </c>
      <c r="C248" s="6" t="s">
        <v>11</v>
      </c>
      <c r="D248" s="6" t="s">
        <v>492</v>
      </c>
      <c r="E248" s="6">
        <v>0</v>
      </c>
      <c r="F248" s="6">
        <v>0</v>
      </c>
      <c r="G248" s="6">
        <v>-1.6639999999999999E-3</v>
      </c>
      <c r="H248" s="6">
        <v>1.1E-5</v>
      </c>
      <c r="I248" s="6">
        <v>3.5100000000000002E-4</v>
      </c>
      <c r="J248" s="6">
        <v>0</v>
      </c>
    </row>
    <row r="249" spans="1:10" x14ac:dyDescent="0.3">
      <c r="A249" s="6" t="s">
        <v>339</v>
      </c>
      <c r="B249" s="6" t="s">
        <v>339</v>
      </c>
      <c r="C249" s="6" t="s">
        <v>11</v>
      </c>
      <c r="D249" s="6" t="s">
        <v>492</v>
      </c>
      <c r="E249" s="6">
        <v>0</v>
      </c>
      <c r="F249" s="6">
        <v>0</v>
      </c>
      <c r="G249" s="6">
        <v>-1.4189999999999999E-3</v>
      </c>
      <c r="H249" s="6">
        <v>1.1E-5</v>
      </c>
      <c r="I249" s="6">
        <v>3.5100000000000002E-4</v>
      </c>
      <c r="J249" s="6">
        <v>0</v>
      </c>
    </row>
    <row r="250" spans="1:10" x14ac:dyDescent="0.3">
      <c r="A250" s="6" t="s">
        <v>282</v>
      </c>
      <c r="B250" s="6" t="s">
        <v>282</v>
      </c>
      <c r="C250" s="6" t="s">
        <v>11</v>
      </c>
      <c r="D250" s="6" t="s">
        <v>492</v>
      </c>
      <c r="E250" s="6">
        <v>0</v>
      </c>
      <c r="F250" s="6">
        <v>0</v>
      </c>
      <c r="G250" s="6">
        <v>-1.549E-3</v>
      </c>
      <c r="H250" s="6">
        <v>2.3E-5</v>
      </c>
      <c r="I250" s="6">
        <v>3.6600000000000001E-4</v>
      </c>
      <c r="J250" s="6">
        <v>0</v>
      </c>
    </row>
    <row r="251" spans="1:10" x14ac:dyDescent="0.3">
      <c r="A251" s="6" t="s">
        <v>283</v>
      </c>
      <c r="B251" s="6" t="s">
        <v>283</v>
      </c>
      <c r="C251" s="6" t="s">
        <v>11</v>
      </c>
      <c r="D251" s="6" t="s">
        <v>492</v>
      </c>
      <c r="E251" s="6">
        <v>0</v>
      </c>
      <c r="F251" s="6">
        <v>0</v>
      </c>
      <c r="G251" s="6">
        <v>-1.805E-3</v>
      </c>
      <c r="H251" s="6">
        <v>2.3E-5</v>
      </c>
      <c r="I251" s="6">
        <v>3.6600000000000001E-4</v>
      </c>
      <c r="J251" s="6">
        <v>0</v>
      </c>
    </row>
    <row r="252" spans="1:10" x14ac:dyDescent="0.3">
      <c r="A252" s="6" t="s">
        <v>298</v>
      </c>
      <c r="B252" s="6" t="s">
        <v>298</v>
      </c>
      <c r="C252" s="6" t="s">
        <v>11</v>
      </c>
      <c r="D252" s="6" t="s">
        <v>492</v>
      </c>
      <c r="E252" s="6">
        <v>0</v>
      </c>
      <c r="F252" s="6">
        <v>0</v>
      </c>
      <c r="G252" s="6">
        <v>-1.789E-3</v>
      </c>
      <c r="H252" s="6">
        <v>2.3E-5</v>
      </c>
      <c r="I252" s="6">
        <v>3.6600000000000001E-4</v>
      </c>
      <c r="J252" s="6">
        <v>0</v>
      </c>
    </row>
    <row r="253" spans="1:10" x14ac:dyDescent="0.3">
      <c r="A253" s="6" t="s">
        <v>297</v>
      </c>
      <c r="B253" s="6" t="s">
        <v>297</v>
      </c>
      <c r="C253" s="6" t="s">
        <v>11</v>
      </c>
      <c r="D253" s="6" t="s">
        <v>492</v>
      </c>
      <c r="E253" s="6">
        <v>0</v>
      </c>
      <c r="F253" s="6">
        <v>0</v>
      </c>
      <c r="G253" s="6">
        <v>-1.5330000000000001E-3</v>
      </c>
      <c r="H253" s="6">
        <v>2.4000000000000001E-5</v>
      </c>
      <c r="I253" s="6">
        <v>3.6600000000000001E-4</v>
      </c>
      <c r="J253" s="6">
        <v>0</v>
      </c>
    </row>
    <row r="254" spans="1:10" x14ac:dyDescent="0.3">
      <c r="A254" s="6" t="s">
        <v>244</v>
      </c>
      <c r="B254" s="6" t="s">
        <v>244</v>
      </c>
      <c r="C254" s="6" t="s">
        <v>11</v>
      </c>
      <c r="D254" s="6" t="s">
        <v>492</v>
      </c>
      <c r="E254" s="6">
        <v>0</v>
      </c>
      <c r="F254" s="6">
        <v>0</v>
      </c>
      <c r="G254" s="6">
        <v>-1.8190000000000001E-3</v>
      </c>
      <c r="H254" s="6">
        <v>3.4E-5</v>
      </c>
      <c r="I254" s="6">
        <v>4.1800000000000002E-4</v>
      </c>
      <c r="J254" s="6">
        <v>0</v>
      </c>
    </row>
    <row r="255" spans="1:10" x14ac:dyDescent="0.3">
      <c r="A255" s="6" t="s">
        <v>245</v>
      </c>
      <c r="B255" s="6" t="s">
        <v>245</v>
      </c>
      <c r="C255" s="6" t="s">
        <v>11</v>
      </c>
      <c r="D255" s="6" t="s">
        <v>492</v>
      </c>
      <c r="E255" s="6">
        <v>0</v>
      </c>
      <c r="F255" s="6">
        <v>0</v>
      </c>
      <c r="G255" s="6">
        <v>-2.1120000000000002E-3</v>
      </c>
      <c r="H255" s="6">
        <v>3.4E-5</v>
      </c>
      <c r="I255" s="6">
        <v>4.1800000000000002E-4</v>
      </c>
      <c r="J255" s="6">
        <v>0</v>
      </c>
    </row>
    <row r="256" spans="1:10" x14ac:dyDescent="0.3">
      <c r="A256" s="6" t="s">
        <v>256</v>
      </c>
      <c r="B256" s="6" t="s">
        <v>256</v>
      </c>
      <c r="C256" s="6" t="s">
        <v>11</v>
      </c>
      <c r="D256" s="6" t="s">
        <v>492</v>
      </c>
      <c r="E256" s="6">
        <v>0</v>
      </c>
      <c r="F256" s="6">
        <v>0</v>
      </c>
      <c r="G256" s="6">
        <v>-2.088E-3</v>
      </c>
      <c r="H256" s="6">
        <v>3.4E-5</v>
      </c>
      <c r="I256" s="6">
        <v>4.1800000000000002E-4</v>
      </c>
      <c r="J256" s="6">
        <v>0</v>
      </c>
    </row>
    <row r="257" spans="1:10" x14ac:dyDescent="0.3">
      <c r="A257" s="6" t="s">
        <v>255</v>
      </c>
      <c r="B257" s="6" t="s">
        <v>255</v>
      </c>
      <c r="C257" s="6" t="s">
        <v>11</v>
      </c>
      <c r="D257" s="6" t="s">
        <v>492</v>
      </c>
      <c r="E257" s="6">
        <v>0</v>
      </c>
      <c r="F257" s="6">
        <v>0</v>
      </c>
      <c r="G257" s="6">
        <v>-1.7960000000000001E-3</v>
      </c>
      <c r="H257" s="6">
        <v>3.4E-5</v>
      </c>
      <c r="I257" s="6">
        <v>4.1800000000000002E-4</v>
      </c>
      <c r="J257" s="6">
        <v>0</v>
      </c>
    </row>
    <row r="258" spans="1:10" x14ac:dyDescent="0.3">
      <c r="A258" s="6" t="s">
        <v>203</v>
      </c>
      <c r="B258" s="6" t="s">
        <v>203</v>
      </c>
      <c r="C258" s="6" t="s">
        <v>11</v>
      </c>
      <c r="D258" s="6" t="s">
        <v>492</v>
      </c>
      <c r="E258" s="6">
        <v>0</v>
      </c>
      <c r="F258" s="6">
        <v>0</v>
      </c>
      <c r="G258" s="6">
        <v>-2.1510000000000001E-3</v>
      </c>
      <c r="H258" s="6">
        <v>2.9E-5</v>
      </c>
      <c r="I258" s="6">
        <v>5.3399999999999997E-4</v>
      </c>
      <c r="J258" s="6">
        <v>0</v>
      </c>
    </row>
    <row r="259" spans="1:10" x14ac:dyDescent="0.3">
      <c r="A259" s="6" t="s">
        <v>204</v>
      </c>
      <c r="B259" s="6" t="s">
        <v>204</v>
      </c>
      <c r="C259" s="6" t="s">
        <v>11</v>
      </c>
      <c r="D259" s="6" t="s">
        <v>492</v>
      </c>
      <c r="E259" s="6">
        <v>0</v>
      </c>
      <c r="F259" s="6">
        <v>0</v>
      </c>
      <c r="G259" s="6">
        <v>-2.5249999999999999E-3</v>
      </c>
      <c r="H259" s="6">
        <v>2.9E-5</v>
      </c>
      <c r="I259" s="6">
        <v>5.3399999999999997E-4</v>
      </c>
      <c r="J259" s="6">
        <v>0</v>
      </c>
    </row>
    <row r="260" spans="1:10" x14ac:dyDescent="0.3">
      <c r="A260" s="6" t="s">
        <v>218</v>
      </c>
      <c r="B260" s="6" t="s">
        <v>218</v>
      </c>
      <c r="C260" s="6" t="s">
        <v>11</v>
      </c>
      <c r="D260" s="6" t="s">
        <v>492</v>
      </c>
      <c r="E260" s="6">
        <v>0</v>
      </c>
      <c r="F260" s="6">
        <v>0</v>
      </c>
      <c r="G260" s="6">
        <v>-2.5049999999999998E-3</v>
      </c>
      <c r="H260" s="6">
        <v>2.9E-5</v>
      </c>
      <c r="I260" s="6">
        <v>5.3399999999999997E-4</v>
      </c>
      <c r="J260" s="6">
        <v>0</v>
      </c>
    </row>
    <row r="261" spans="1:10" x14ac:dyDescent="0.3">
      <c r="A261" s="6" t="s">
        <v>217</v>
      </c>
      <c r="B261" s="6" t="s">
        <v>217</v>
      </c>
      <c r="C261" s="6" t="s">
        <v>11</v>
      </c>
      <c r="D261" s="6" t="s">
        <v>492</v>
      </c>
      <c r="E261" s="6">
        <v>0</v>
      </c>
      <c r="F261" s="6">
        <v>0</v>
      </c>
      <c r="G261" s="6">
        <v>-2.1310000000000001E-3</v>
      </c>
      <c r="H261" s="6">
        <v>2.9E-5</v>
      </c>
      <c r="I261" s="6">
        <v>5.3399999999999997E-4</v>
      </c>
      <c r="J261" s="6">
        <v>0</v>
      </c>
    </row>
    <row r="262" spans="1:10" x14ac:dyDescent="0.3">
      <c r="A262" s="6" t="s">
        <v>162</v>
      </c>
      <c r="B262" s="6" t="s">
        <v>162</v>
      </c>
      <c r="C262" s="6" t="s">
        <v>11</v>
      </c>
      <c r="D262" s="6" t="s">
        <v>492</v>
      </c>
      <c r="E262" s="6">
        <v>0</v>
      </c>
      <c r="F262" s="6">
        <v>0</v>
      </c>
      <c r="G262" s="6">
        <v>-2.6059999999999998E-3</v>
      </c>
      <c r="H262" s="6">
        <v>7.0739999999999997E-8</v>
      </c>
      <c r="I262" s="6">
        <v>-2.5040000000000002E-7</v>
      </c>
      <c r="J262" s="6">
        <v>0</v>
      </c>
    </row>
    <row r="263" spans="1:10" x14ac:dyDescent="0.3">
      <c r="A263" s="6" t="s">
        <v>163</v>
      </c>
      <c r="B263" s="6" t="s">
        <v>163</v>
      </c>
      <c r="C263" s="6" t="s">
        <v>11</v>
      </c>
      <c r="D263" s="6" t="s">
        <v>492</v>
      </c>
      <c r="E263" s="6">
        <v>0</v>
      </c>
      <c r="F263" s="6">
        <v>0</v>
      </c>
      <c r="G263" s="6">
        <v>-2.6050000000000001E-3</v>
      </c>
      <c r="H263" s="6">
        <v>8.9470000000000006E-8</v>
      </c>
      <c r="I263" s="6">
        <v>-9.9760000000000001E-8</v>
      </c>
      <c r="J263" s="6">
        <v>0</v>
      </c>
    </row>
    <row r="264" spans="1:10" x14ac:dyDescent="0.3">
      <c r="A264" s="6" t="s">
        <v>177</v>
      </c>
      <c r="B264" s="6" t="s">
        <v>177</v>
      </c>
      <c r="C264" s="6" t="s">
        <v>11</v>
      </c>
      <c r="D264" s="6" t="s">
        <v>492</v>
      </c>
      <c r="E264" s="6">
        <v>0</v>
      </c>
      <c r="F264" s="6">
        <v>0</v>
      </c>
      <c r="G264" s="6">
        <v>-2.6050000000000001E-3</v>
      </c>
      <c r="H264" s="6">
        <v>2.4690000000000002E-7</v>
      </c>
      <c r="I264" s="6">
        <v>-7.5409999999999998E-8</v>
      </c>
      <c r="J264" s="6">
        <v>0</v>
      </c>
    </row>
    <row r="265" spans="1:10" x14ac:dyDescent="0.3">
      <c r="A265" s="6" t="s">
        <v>176</v>
      </c>
      <c r="B265" s="6" t="s">
        <v>176</v>
      </c>
      <c r="C265" s="6" t="s">
        <v>11</v>
      </c>
      <c r="D265" s="6" t="s">
        <v>492</v>
      </c>
      <c r="E265" s="6">
        <v>0</v>
      </c>
      <c r="F265" s="6">
        <v>0</v>
      </c>
      <c r="G265" s="6">
        <v>-2.6050000000000001E-3</v>
      </c>
      <c r="H265" s="6">
        <v>3.6479999999999998E-7</v>
      </c>
      <c r="I265" s="6">
        <v>-1.909E-7</v>
      </c>
      <c r="J265" s="6">
        <v>0</v>
      </c>
    </row>
    <row r="266" spans="1:10" x14ac:dyDescent="0.3">
      <c r="A266" s="6" t="s">
        <v>319</v>
      </c>
      <c r="B266" s="6" t="s">
        <v>319</v>
      </c>
      <c r="C266" s="6" t="s">
        <v>11</v>
      </c>
      <c r="D266" s="6" t="s">
        <v>492</v>
      </c>
      <c r="E266" s="6">
        <v>0</v>
      </c>
      <c r="F266" s="6">
        <v>0</v>
      </c>
      <c r="G266" s="6">
        <v>-1.4300000000000001E-3</v>
      </c>
      <c r="H266" s="6">
        <v>0</v>
      </c>
      <c r="I266" s="6">
        <v>0</v>
      </c>
      <c r="J266" s="6">
        <v>0</v>
      </c>
    </row>
    <row r="267" spans="1:10" x14ac:dyDescent="0.3">
      <c r="A267" s="6" t="s">
        <v>322</v>
      </c>
      <c r="B267" s="6" t="s">
        <v>322</v>
      </c>
      <c r="C267" s="6" t="s">
        <v>11</v>
      </c>
      <c r="D267" s="6" t="s">
        <v>492</v>
      </c>
      <c r="E267" s="6">
        <v>0</v>
      </c>
      <c r="F267" s="6">
        <v>0</v>
      </c>
      <c r="G267" s="6">
        <v>-1.4970000000000001E-3</v>
      </c>
      <c r="H267" s="6">
        <v>-3.0000000000000001E-5</v>
      </c>
      <c r="I267" s="6">
        <v>-6.5570000000000003E-7</v>
      </c>
      <c r="J267" s="6">
        <v>0</v>
      </c>
    </row>
    <row r="268" spans="1:10" x14ac:dyDescent="0.3">
      <c r="A268" s="6" t="s">
        <v>93</v>
      </c>
      <c r="B268" s="6" t="s">
        <v>93</v>
      </c>
      <c r="C268" s="6" t="s">
        <v>11</v>
      </c>
      <c r="D268" s="6" t="s">
        <v>492</v>
      </c>
      <c r="E268" s="6">
        <v>0</v>
      </c>
      <c r="F268" s="6">
        <v>0</v>
      </c>
      <c r="G268" s="6">
        <v>-1.916E-3</v>
      </c>
      <c r="H268" s="6">
        <v>-5.1999999999999997E-5</v>
      </c>
      <c r="I268" s="6">
        <v>1.64E-4</v>
      </c>
      <c r="J268" s="6">
        <v>0</v>
      </c>
    </row>
    <row r="269" spans="1:10" x14ac:dyDescent="0.3">
      <c r="A269" s="6" t="s">
        <v>129</v>
      </c>
      <c r="B269" s="6" t="s">
        <v>129</v>
      </c>
      <c r="C269" s="6" t="s">
        <v>11</v>
      </c>
      <c r="D269" s="6" t="s">
        <v>492</v>
      </c>
      <c r="E269" s="6">
        <v>0</v>
      </c>
      <c r="F269" s="6">
        <v>0</v>
      </c>
      <c r="G269" s="6">
        <v>-2.091E-3</v>
      </c>
      <c r="H269" s="6">
        <v>1.431E-7</v>
      </c>
      <c r="I269" s="6">
        <v>1.54E-4</v>
      </c>
      <c r="J269" s="6">
        <v>0</v>
      </c>
    </row>
    <row r="270" spans="1:10" x14ac:dyDescent="0.3">
      <c r="A270" s="6" t="s">
        <v>58</v>
      </c>
      <c r="B270" s="6" t="s">
        <v>58</v>
      </c>
      <c r="C270" s="6" t="s">
        <v>11</v>
      </c>
      <c r="D270" s="6" t="s">
        <v>492</v>
      </c>
      <c r="E270" s="6">
        <v>0</v>
      </c>
      <c r="F270" s="6">
        <v>0</v>
      </c>
      <c r="G270" s="6">
        <v>-3.3370000000000001E-3</v>
      </c>
      <c r="H270" s="6">
        <v>7.6000000000000004E-4</v>
      </c>
      <c r="I270" s="6">
        <v>5.3000000000000001E-5</v>
      </c>
      <c r="J270" s="6">
        <v>0</v>
      </c>
    </row>
    <row r="271" spans="1:10" x14ac:dyDescent="0.3">
      <c r="A271" s="6" t="s">
        <v>166</v>
      </c>
      <c r="B271" s="6" t="s">
        <v>166</v>
      </c>
      <c r="C271" s="6" t="s">
        <v>11</v>
      </c>
      <c r="D271" s="6" t="s">
        <v>492</v>
      </c>
      <c r="E271" s="6">
        <v>0</v>
      </c>
      <c r="F271" s="6">
        <v>0</v>
      </c>
      <c r="G271" s="6">
        <v>-2.0939999999999999E-3</v>
      </c>
      <c r="H271" s="6">
        <v>1.3199999999999999E-7</v>
      </c>
      <c r="I271" s="6">
        <v>1.5100000000000001E-4</v>
      </c>
      <c r="J271" s="6">
        <v>0</v>
      </c>
    </row>
    <row r="272" spans="1:10" x14ac:dyDescent="0.3">
      <c r="A272" s="6" t="s">
        <v>207</v>
      </c>
      <c r="B272" s="6" t="s">
        <v>207</v>
      </c>
      <c r="C272" s="6" t="s">
        <v>11</v>
      </c>
      <c r="D272" s="6" t="s">
        <v>492</v>
      </c>
      <c r="E272" s="6">
        <v>0</v>
      </c>
      <c r="F272" s="6">
        <v>0</v>
      </c>
      <c r="G272" s="6">
        <v>-2.1020000000000001E-3</v>
      </c>
      <c r="H272" s="6">
        <v>4.5900000000000001E-8</v>
      </c>
      <c r="I272" s="6">
        <v>1.5100000000000001E-4</v>
      </c>
      <c r="J272" s="6">
        <v>0</v>
      </c>
    </row>
    <row r="273" spans="1:10" x14ac:dyDescent="0.3">
      <c r="A273" s="6" t="s">
        <v>248</v>
      </c>
      <c r="B273" s="6" t="s">
        <v>248</v>
      </c>
      <c r="C273" s="6" t="s">
        <v>11</v>
      </c>
      <c r="D273" s="6" t="s">
        <v>492</v>
      </c>
      <c r="E273" s="6">
        <v>0</v>
      </c>
      <c r="F273" s="6">
        <v>0</v>
      </c>
      <c r="G273" s="6">
        <v>-2.0560000000000001E-3</v>
      </c>
      <c r="H273" s="6">
        <v>2.5999999999999998E-5</v>
      </c>
      <c r="I273" s="6">
        <v>1.47E-4</v>
      </c>
      <c r="J273" s="6">
        <v>0</v>
      </c>
    </row>
    <row r="274" spans="1:10" x14ac:dyDescent="0.3">
      <c r="A274" s="6" t="s">
        <v>320</v>
      </c>
      <c r="B274" s="6" t="s">
        <v>320</v>
      </c>
      <c r="C274" s="6" t="s">
        <v>11</v>
      </c>
      <c r="D274" s="6" t="s">
        <v>492</v>
      </c>
      <c r="E274" s="6">
        <v>0</v>
      </c>
      <c r="F274" s="6">
        <v>0</v>
      </c>
      <c r="G274" s="6">
        <v>-1.4779999999999999E-3</v>
      </c>
      <c r="H274" s="6">
        <v>-1.13E-4</v>
      </c>
      <c r="I274" s="6">
        <v>1.8759999999999999E-6</v>
      </c>
      <c r="J274" s="6">
        <v>0</v>
      </c>
    </row>
    <row r="275" spans="1:10" x14ac:dyDescent="0.3">
      <c r="A275" s="6" t="s">
        <v>286</v>
      </c>
      <c r="B275" s="6" t="s">
        <v>286</v>
      </c>
      <c r="C275" s="6" t="s">
        <v>11</v>
      </c>
      <c r="D275" s="6" t="s">
        <v>492</v>
      </c>
      <c r="E275" s="6">
        <v>0</v>
      </c>
      <c r="F275" s="6">
        <v>0</v>
      </c>
      <c r="G275" s="6">
        <v>-1.516E-3</v>
      </c>
      <c r="H275" s="6">
        <v>-2.5000000000000001E-5</v>
      </c>
      <c r="I275" s="6">
        <v>1.5E-5</v>
      </c>
      <c r="J275" s="6">
        <v>0</v>
      </c>
    </row>
    <row r="276" spans="1:10" x14ac:dyDescent="0.3">
      <c r="A276" s="6" t="s">
        <v>321</v>
      </c>
      <c r="B276" s="6" t="s">
        <v>321</v>
      </c>
      <c r="C276" s="6" t="s">
        <v>11</v>
      </c>
      <c r="D276" s="6" t="s">
        <v>492</v>
      </c>
      <c r="E276" s="6">
        <v>0</v>
      </c>
      <c r="F276" s="6">
        <v>0</v>
      </c>
      <c r="G276" s="6">
        <v>-1.4779999999999999E-3</v>
      </c>
      <c r="H276" s="6">
        <v>-2.0900000000000001E-4</v>
      </c>
      <c r="I276" s="6">
        <v>1.0729999999999999E-6</v>
      </c>
      <c r="J276" s="6">
        <v>0</v>
      </c>
    </row>
    <row r="277" spans="1:10" x14ac:dyDescent="0.3">
      <c r="A277" s="6" t="s">
        <v>95</v>
      </c>
      <c r="B277" s="6" t="s">
        <v>95</v>
      </c>
      <c r="C277" s="6" t="s">
        <v>11</v>
      </c>
      <c r="D277" s="6" t="s">
        <v>492</v>
      </c>
      <c r="E277" s="6">
        <v>0</v>
      </c>
      <c r="F277" s="6">
        <v>0</v>
      </c>
      <c r="G277" s="6">
        <v>-2.96E-3</v>
      </c>
      <c r="H277" s="6">
        <v>-8.8999999999999995E-5</v>
      </c>
      <c r="I277" s="6">
        <v>3.1000000000000001E-5</v>
      </c>
      <c r="J277" s="6">
        <v>0</v>
      </c>
    </row>
    <row r="278" spans="1:10" x14ac:dyDescent="0.3">
      <c r="A278" s="6" t="s">
        <v>131</v>
      </c>
      <c r="B278" s="6" t="s">
        <v>131</v>
      </c>
      <c r="C278" s="6" t="s">
        <v>11</v>
      </c>
      <c r="D278" s="6" t="s">
        <v>492</v>
      </c>
      <c r="E278" s="6">
        <v>0</v>
      </c>
      <c r="F278" s="6">
        <v>0</v>
      </c>
      <c r="G278" s="6">
        <v>-3.3630000000000001E-3</v>
      </c>
      <c r="H278" s="6">
        <v>6.5209999999999999E-6</v>
      </c>
      <c r="I278" s="6">
        <v>3.8999999999999999E-5</v>
      </c>
      <c r="J278" s="6">
        <v>0</v>
      </c>
    </row>
    <row r="279" spans="1:10" x14ac:dyDescent="0.3">
      <c r="A279" s="6" t="s">
        <v>60</v>
      </c>
      <c r="B279" s="6" t="s">
        <v>60</v>
      </c>
      <c r="C279" s="6" t="s">
        <v>11</v>
      </c>
      <c r="D279" s="6" t="s">
        <v>492</v>
      </c>
      <c r="E279" s="6">
        <v>0</v>
      </c>
      <c r="F279" s="6">
        <v>0</v>
      </c>
      <c r="G279" s="6">
        <v>-3.8790000000000001E-3</v>
      </c>
      <c r="H279" s="6">
        <v>8.34E-4</v>
      </c>
      <c r="I279" s="6">
        <v>-2.1999999999999999E-5</v>
      </c>
      <c r="J279" s="6">
        <v>0</v>
      </c>
    </row>
    <row r="280" spans="1:10" x14ac:dyDescent="0.3">
      <c r="A280" s="6" t="s">
        <v>168</v>
      </c>
      <c r="B280" s="6" t="s">
        <v>168</v>
      </c>
      <c r="C280" s="6" t="s">
        <v>11</v>
      </c>
      <c r="D280" s="6" t="s">
        <v>492</v>
      </c>
      <c r="E280" s="6">
        <v>0</v>
      </c>
      <c r="F280" s="6">
        <v>0</v>
      </c>
      <c r="G280" s="6">
        <v>-3.4280000000000001E-3</v>
      </c>
      <c r="H280" s="6">
        <v>-6.2000000000000003E-5</v>
      </c>
      <c r="I280" s="6">
        <v>1.1E-5</v>
      </c>
      <c r="J280" s="6">
        <v>0</v>
      </c>
    </row>
    <row r="281" spans="1:10" x14ac:dyDescent="0.3">
      <c r="A281" s="6" t="s">
        <v>209</v>
      </c>
      <c r="B281" s="6" t="s">
        <v>209</v>
      </c>
      <c r="C281" s="6" t="s">
        <v>11</v>
      </c>
      <c r="D281" s="6" t="s">
        <v>492</v>
      </c>
      <c r="E281" s="6">
        <v>0</v>
      </c>
      <c r="F281" s="6">
        <v>0</v>
      </c>
      <c r="G281" s="6">
        <v>-3.1819999999999999E-3</v>
      </c>
      <c r="H281" s="6">
        <v>8.3999999999999995E-5</v>
      </c>
      <c r="I281" s="6">
        <v>4.7679999999999999E-6</v>
      </c>
      <c r="J281" s="6">
        <v>0</v>
      </c>
    </row>
    <row r="282" spans="1:10" x14ac:dyDescent="0.3">
      <c r="A282" s="6" t="s">
        <v>250</v>
      </c>
      <c r="B282" s="6" t="s">
        <v>250</v>
      </c>
      <c r="C282" s="6" t="s">
        <v>11</v>
      </c>
      <c r="D282" s="6" t="s">
        <v>492</v>
      </c>
      <c r="E282" s="6">
        <v>0</v>
      </c>
      <c r="F282" s="6">
        <v>0</v>
      </c>
      <c r="G282" s="6">
        <v>-2.843E-3</v>
      </c>
      <c r="H282" s="6">
        <v>3.3000000000000003E-5</v>
      </c>
      <c r="I282" s="6">
        <v>-7.0269999999999998E-6</v>
      </c>
      <c r="J282" s="6">
        <v>0</v>
      </c>
    </row>
    <row r="283" spans="1:10" x14ac:dyDescent="0.3">
      <c r="A283" s="6" t="s">
        <v>290</v>
      </c>
      <c r="B283" s="6" t="s">
        <v>290</v>
      </c>
      <c r="C283" s="6" t="s">
        <v>11</v>
      </c>
      <c r="D283" s="6" t="s">
        <v>492</v>
      </c>
      <c r="E283" s="6">
        <v>0</v>
      </c>
      <c r="F283" s="6">
        <v>0</v>
      </c>
      <c r="G283" s="6">
        <v>-2.0349999999999999E-3</v>
      </c>
      <c r="H283" s="6">
        <v>-6.4989999999999999E-6</v>
      </c>
      <c r="I283" s="6">
        <v>-6.1800000000000001E-6</v>
      </c>
      <c r="J283" s="6">
        <v>0</v>
      </c>
    </row>
    <row r="284" spans="1:10" x14ac:dyDescent="0.3">
      <c r="A284" s="6" t="s">
        <v>324</v>
      </c>
      <c r="B284" s="6" t="s">
        <v>324</v>
      </c>
      <c r="C284" s="6" t="s">
        <v>11</v>
      </c>
      <c r="D284" s="6" t="s">
        <v>492</v>
      </c>
      <c r="E284" s="6">
        <v>0</v>
      </c>
      <c r="F284" s="6">
        <v>0</v>
      </c>
      <c r="G284" s="6">
        <v>-1.488E-3</v>
      </c>
      <c r="H284" s="6">
        <v>-1.1E-5</v>
      </c>
      <c r="I284" s="6">
        <v>-1.863E-6</v>
      </c>
      <c r="J284" s="6">
        <v>0</v>
      </c>
    </row>
    <row r="285" spans="1:10" x14ac:dyDescent="0.3">
      <c r="A285" s="6" t="s">
        <v>323</v>
      </c>
      <c r="B285" s="6" t="s">
        <v>323</v>
      </c>
      <c r="C285" s="6" t="s">
        <v>11</v>
      </c>
      <c r="D285" s="6" t="s">
        <v>492</v>
      </c>
      <c r="E285" s="6">
        <v>0</v>
      </c>
      <c r="F285" s="6">
        <v>0</v>
      </c>
      <c r="G285" s="6">
        <v>-1.47E-3</v>
      </c>
      <c r="H285" s="6">
        <v>-2.9500000000000001E-4</v>
      </c>
      <c r="I285" s="6">
        <v>-1.1149999999999999E-6</v>
      </c>
      <c r="J285" s="6">
        <v>0</v>
      </c>
    </row>
    <row r="286" spans="1:10" x14ac:dyDescent="0.3">
      <c r="A286" s="6" t="s">
        <v>97</v>
      </c>
      <c r="B286" s="6" t="s">
        <v>97</v>
      </c>
      <c r="C286" s="6" t="s">
        <v>11</v>
      </c>
      <c r="D286" s="6" t="s">
        <v>492</v>
      </c>
      <c r="E286" s="6">
        <v>0</v>
      </c>
      <c r="F286" s="6">
        <v>0</v>
      </c>
      <c r="G286" s="6">
        <v>-2.31E-3</v>
      </c>
      <c r="H286" s="6">
        <v>-9.3999999999999994E-5</v>
      </c>
      <c r="I286" s="6">
        <v>-7.4999999999999993E-5</v>
      </c>
      <c r="J286" s="6">
        <v>0</v>
      </c>
    </row>
    <row r="287" spans="1:10" x14ac:dyDescent="0.3">
      <c r="A287" s="6" t="s">
        <v>133</v>
      </c>
      <c r="B287" s="6" t="s">
        <v>133</v>
      </c>
      <c r="C287" s="6" t="s">
        <v>11</v>
      </c>
      <c r="D287" s="6" t="s">
        <v>492</v>
      </c>
      <c r="E287" s="6">
        <v>0</v>
      </c>
      <c r="F287" s="6">
        <v>0</v>
      </c>
      <c r="G287" s="6">
        <v>-2.9250000000000001E-3</v>
      </c>
      <c r="H287" s="6">
        <v>1.4E-5</v>
      </c>
      <c r="I287" s="6">
        <v>-6.3999999999999997E-5</v>
      </c>
      <c r="J287" s="6">
        <v>0</v>
      </c>
    </row>
    <row r="288" spans="1:10" x14ac:dyDescent="0.3">
      <c r="A288" s="6" t="s">
        <v>172</v>
      </c>
      <c r="B288" s="6" t="s">
        <v>172</v>
      </c>
      <c r="C288" s="6" t="s">
        <v>11</v>
      </c>
      <c r="D288" s="6" t="s">
        <v>492</v>
      </c>
      <c r="E288" s="6">
        <v>0</v>
      </c>
      <c r="F288" s="6">
        <v>0</v>
      </c>
      <c r="G288" s="6">
        <v>-2.9169999999999999E-3</v>
      </c>
      <c r="H288" s="6">
        <v>-4.6E-5</v>
      </c>
      <c r="I288" s="6">
        <v>-3.1000000000000001E-5</v>
      </c>
      <c r="J288" s="6">
        <v>0</v>
      </c>
    </row>
    <row r="289" spans="1:10" x14ac:dyDescent="0.3">
      <c r="A289" s="6" t="s">
        <v>213</v>
      </c>
      <c r="B289" s="6" t="s">
        <v>213</v>
      </c>
      <c r="C289" s="6" t="s">
        <v>11</v>
      </c>
      <c r="D289" s="6" t="s">
        <v>492</v>
      </c>
      <c r="E289" s="6">
        <v>0</v>
      </c>
      <c r="F289" s="6">
        <v>0</v>
      </c>
      <c r="G289" s="6">
        <v>-2.5569999999999998E-3</v>
      </c>
      <c r="H289" s="6">
        <v>8.3999999999999995E-5</v>
      </c>
      <c r="I289" s="6">
        <v>-2.8E-5</v>
      </c>
      <c r="J289" s="6">
        <v>0</v>
      </c>
    </row>
    <row r="290" spans="1:10" x14ac:dyDescent="0.3">
      <c r="A290" s="6" t="s">
        <v>251</v>
      </c>
      <c r="B290" s="6" t="s">
        <v>251</v>
      </c>
      <c r="C290" s="6" t="s">
        <v>11</v>
      </c>
      <c r="D290" s="6" t="s">
        <v>492</v>
      </c>
      <c r="E290" s="6">
        <v>0</v>
      </c>
      <c r="F290" s="6">
        <v>0</v>
      </c>
      <c r="G290" s="6">
        <v>-2.029E-3</v>
      </c>
      <c r="H290" s="6">
        <v>3.8000000000000002E-5</v>
      </c>
      <c r="I290" s="6">
        <v>-3.3000000000000003E-5</v>
      </c>
      <c r="J290" s="6">
        <v>0</v>
      </c>
    </row>
    <row r="291" spans="1:10" x14ac:dyDescent="0.3">
      <c r="A291" s="6" t="s">
        <v>292</v>
      </c>
      <c r="B291" s="6" t="s">
        <v>292</v>
      </c>
      <c r="C291" s="6" t="s">
        <v>11</v>
      </c>
      <c r="D291" s="6" t="s">
        <v>492</v>
      </c>
      <c r="E291" s="6">
        <v>0</v>
      </c>
      <c r="F291" s="6">
        <v>0</v>
      </c>
      <c r="G291" s="6">
        <v>-1.4339999999999999E-3</v>
      </c>
      <c r="H291" s="6">
        <v>-3.6999999999999998E-5</v>
      </c>
      <c r="I291" s="6">
        <v>-2.9E-5</v>
      </c>
      <c r="J291" s="6">
        <v>0</v>
      </c>
    </row>
    <row r="292" spans="1:10" x14ac:dyDescent="0.3">
      <c r="A292" s="6" t="s">
        <v>61</v>
      </c>
      <c r="B292" s="6" t="s">
        <v>61</v>
      </c>
      <c r="C292" s="6" t="s">
        <v>11</v>
      </c>
      <c r="D292" s="6" t="s">
        <v>492</v>
      </c>
      <c r="E292" s="6">
        <v>0</v>
      </c>
      <c r="F292" s="6">
        <v>0</v>
      </c>
      <c r="G292" s="6">
        <v>-3.2299999999999998E-3</v>
      </c>
      <c r="H292" s="6">
        <v>7.3200000000000001E-4</v>
      </c>
      <c r="I292" s="6">
        <v>-4.3000000000000002E-5</v>
      </c>
      <c r="J292" s="6">
        <v>0</v>
      </c>
    </row>
    <row r="293" spans="1:10" x14ac:dyDescent="0.3">
      <c r="A293" s="6" t="s">
        <v>326</v>
      </c>
      <c r="B293" s="6" t="s">
        <v>326</v>
      </c>
      <c r="C293" s="6" t="s">
        <v>11</v>
      </c>
      <c r="D293" s="6" t="s">
        <v>492</v>
      </c>
      <c r="E293" s="6">
        <v>0</v>
      </c>
      <c r="F293" s="6">
        <v>0</v>
      </c>
      <c r="G293" s="6">
        <v>-1.454E-3</v>
      </c>
      <c r="H293" s="6">
        <v>-1.17E-4</v>
      </c>
      <c r="I293" s="6">
        <v>-1.8950000000000001E-6</v>
      </c>
      <c r="J293" s="6">
        <v>0</v>
      </c>
    </row>
    <row r="294" spans="1:10" x14ac:dyDescent="0.3">
      <c r="A294" s="6" t="s">
        <v>325</v>
      </c>
      <c r="B294" s="6" t="s">
        <v>325</v>
      </c>
      <c r="C294" s="6" t="s">
        <v>11</v>
      </c>
      <c r="D294" s="6" t="s">
        <v>492</v>
      </c>
      <c r="E294" s="6">
        <v>0</v>
      </c>
      <c r="F294" s="6">
        <v>0</v>
      </c>
      <c r="G294" s="6">
        <v>-1.4469999999999999E-3</v>
      </c>
      <c r="H294" s="6">
        <v>-3.1199999999999999E-4</v>
      </c>
      <c r="I294" s="6">
        <v>-2.2460000000000002E-6</v>
      </c>
      <c r="J294" s="6">
        <v>0</v>
      </c>
    </row>
    <row r="295" spans="1:10" x14ac:dyDescent="0.3">
      <c r="A295" s="6" t="s">
        <v>62</v>
      </c>
      <c r="B295" s="6" t="s">
        <v>62</v>
      </c>
      <c r="C295" s="6" t="s">
        <v>11</v>
      </c>
      <c r="D295" s="6" t="s">
        <v>492</v>
      </c>
      <c r="E295" s="6">
        <v>0</v>
      </c>
      <c r="F295" s="6">
        <v>0</v>
      </c>
      <c r="G295" s="6">
        <v>-2.6050000000000001E-3</v>
      </c>
      <c r="H295" s="6">
        <v>0</v>
      </c>
      <c r="I295" s="6">
        <v>0</v>
      </c>
      <c r="J295" s="6">
        <v>0</v>
      </c>
    </row>
    <row r="296" spans="1:10" x14ac:dyDescent="0.3">
      <c r="A296" s="6" t="s">
        <v>98</v>
      </c>
      <c r="B296" s="6" t="s">
        <v>98</v>
      </c>
      <c r="C296" s="6" t="s">
        <v>11</v>
      </c>
      <c r="D296" s="6" t="s">
        <v>492</v>
      </c>
      <c r="E296" s="6">
        <v>0</v>
      </c>
      <c r="F296" s="6">
        <v>0</v>
      </c>
      <c r="G296" s="6">
        <v>-2.3280000000000002E-3</v>
      </c>
      <c r="H296" s="6">
        <v>2.9E-5</v>
      </c>
      <c r="I296" s="6">
        <v>5.3399999999999997E-4</v>
      </c>
      <c r="J296" s="6">
        <v>0</v>
      </c>
    </row>
    <row r="297" spans="1:10" x14ac:dyDescent="0.3">
      <c r="A297" s="6" t="s">
        <v>134</v>
      </c>
      <c r="B297" s="6" t="s">
        <v>134</v>
      </c>
      <c r="C297" s="6" t="s">
        <v>11</v>
      </c>
      <c r="D297" s="6" t="s">
        <v>492</v>
      </c>
      <c r="E297" s="6">
        <v>0</v>
      </c>
      <c r="F297" s="6">
        <v>0</v>
      </c>
      <c r="G297" s="6">
        <v>-1.954E-3</v>
      </c>
      <c r="H297" s="6">
        <v>3.4E-5</v>
      </c>
      <c r="I297" s="6">
        <v>4.1800000000000002E-4</v>
      </c>
      <c r="J297" s="6">
        <v>0</v>
      </c>
    </row>
    <row r="298" spans="1:10" x14ac:dyDescent="0.3">
      <c r="A298" s="6" t="s">
        <v>173</v>
      </c>
      <c r="B298" s="6" t="s">
        <v>173</v>
      </c>
      <c r="C298" s="6" t="s">
        <v>11</v>
      </c>
      <c r="D298" s="6" t="s">
        <v>492</v>
      </c>
      <c r="E298" s="6">
        <v>0</v>
      </c>
      <c r="F298" s="6">
        <v>0</v>
      </c>
      <c r="G298" s="6">
        <v>-1.6689999999999999E-3</v>
      </c>
      <c r="H298" s="6">
        <v>2.3E-5</v>
      </c>
      <c r="I298" s="6">
        <v>3.6600000000000001E-4</v>
      </c>
      <c r="J298" s="6">
        <v>0</v>
      </c>
    </row>
    <row r="299" spans="1:10" x14ac:dyDescent="0.3">
      <c r="A299" s="6" t="s">
        <v>214</v>
      </c>
      <c r="B299" s="6" t="s">
        <v>214</v>
      </c>
      <c r="C299" s="6" t="s">
        <v>11</v>
      </c>
      <c r="D299" s="6" t="s">
        <v>492</v>
      </c>
      <c r="E299" s="6">
        <v>0</v>
      </c>
      <c r="F299" s="6">
        <v>0</v>
      </c>
      <c r="G299" s="6">
        <v>-1.5449999999999999E-3</v>
      </c>
      <c r="H299" s="6">
        <v>1.1E-5</v>
      </c>
      <c r="I299" s="6">
        <v>3.5100000000000002E-4</v>
      </c>
      <c r="J299" s="6">
        <v>0</v>
      </c>
    </row>
    <row r="300" spans="1:10" x14ac:dyDescent="0.3">
      <c r="A300" s="6" t="s">
        <v>252</v>
      </c>
      <c r="B300" s="6" t="s">
        <v>252</v>
      </c>
      <c r="C300" s="6" t="s">
        <v>11</v>
      </c>
      <c r="D300" s="6" t="s">
        <v>492</v>
      </c>
      <c r="E300" s="6">
        <v>0</v>
      </c>
      <c r="F300" s="6">
        <v>0</v>
      </c>
      <c r="G300" s="6">
        <v>-1.516E-3</v>
      </c>
      <c r="H300" s="6">
        <v>5.879E-6</v>
      </c>
      <c r="I300" s="6">
        <v>3.5799999999999997E-4</v>
      </c>
      <c r="J300" s="6">
        <v>0</v>
      </c>
    </row>
    <row r="301" spans="1:10" x14ac:dyDescent="0.3">
      <c r="A301" s="6" t="s">
        <v>294</v>
      </c>
      <c r="B301" s="6" t="s">
        <v>294</v>
      </c>
      <c r="C301" s="6" t="s">
        <v>11</v>
      </c>
      <c r="D301" s="6" t="s">
        <v>492</v>
      </c>
      <c r="E301" s="6">
        <v>0</v>
      </c>
      <c r="F301" s="6">
        <v>0</v>
      </c>
      <c r="G301" s="6">
        <v>-1.467E-3</v>
      </c>
      <c r="H301" s="6">
        <v>3.2169999999999999E-6</v>
      </c>
      <c r="I301" s="6">
        <v>3.9100000000000002E-4</v>
      </c>
      <c r="J301" s="6">
        <v>0</v>
      </c>
    </row>
    <row r="302" spans="1:10" x14ac:dyDescent="0.3">
      <c r="A302" s="6" t="s">
        <v>328</v>
      </c>
      <c r="B302" s="6" t="s">
        <v>328</v>
      </c>
      <c r="C302" s="6" t="s">
        <v>11</v>
      </c>
      <c r="D302" s="6" t="s">
        <v>492</v>
      </c>
      <c r="E302" s="6">
        <v>0</v>
      </c>
      <c r="F302" s="6">
        <v>0</v>
      </c>
      <c r="G302" s="6">
        <v>-1.4250000000000001E-3</v>
      </c>
      <c r="H302" s="6">
        <v>0</v>
      </c>
      <c r="I302" s="6">
        <v>0</v>
      </c>
      <c r="J302" s="6">
        <v>0</v>
      </c>
    </row>
    <row r="303" spans="1:10" x14ac:dyDescent="0.3">
      <c r="A303" s="6" t="s">
        <v>80</v>
      </c>
      <c r="B303" s="6" t="s">
        <v>80</v>
      </c>
      <c r="C303" s="6" t="s">
        <v>11</v>
      </c>
      <c r="D303" s="6" t="s">
        <v>492</v>
      </c>
      <c r="E303" s="6">
        <v>0</v>
      </c>
      <c r="F303" s="6">
        <v>0</v>
      </c>
      <c r="G303" s="6">
        <v>-2.4689999999999998E-3</v>
      </c>
      <c r="H303" s="6">
        <v>1.8E-5</v>
      </c>
      <c r="I303" s="6">
        <v>6.38E-4</v>
      </c>
      <c r="J303" s="6">
        <v>0</v>
      </c>
    </row>
    <row r="304" spans="1:10" x14ac:dyDescent="0.3">
      <c r="A304" s="6" t="s">
        <v>116</v>
      </c>
      <c r="B304" s="6" t="s">
        <v>116</v>
      </c>
      <c r="C304" s="6" t="s">
        <v>11</v>
      </c>
      <c r="D304" s="6" t="s">
        <v>492</v>
      </c>
      <c r="E304" s="6">
        <v>0</v>
      </c>
      <c r="F304" s="6">
        <v>0</v>
      </c>
      <c r="G304" s="6">
        <v>-2.127E-3</v>
      </c>
      <c r="H304" s="6">
        <v>3.4E-5</v>
      </c>
      <c r="I304" s="6">
        <v>5.2099999999999998E-4</v>
      </c>
      <c r="J304" s="6">
        <v>0</v>
      </c>
    </row>
    <row r="305" spans="1:10" x14ac:dyDescent="0.3">
      <c r="A305" s="6" t="s">
        <v>151</v>
      </c>
      <c r="B305" s="6" t="s">
        <v>151</v>
      </c>
      <c r="C305" s="6" t="s">
        <v>11</v>
      </c>
      <c r="D305" s="6" t="s">
        <v>492</v>
      </c>
      <c r="E305" s="6">
        <v>0</v>
      </c>
      <c r="F305" s="6">
        <v>0</v>
      </c>
      <c r="G305" s="6">
        <v>-1.781E-3</v>
      </c>
      <c r="H305" s="6">
        <v>3.0000000000000001E-5</v>
      </c>
      <c r="I305" s="6">
        <v>4.7800000000000002E-4</v>
      </c>
      <c r="J305" s="6">
        <v>0</v>
      </c>
    </row>
    <row r="306" spans="1:10" x14ac:dyDescent="0.3">
      <c r="A306" s="6" t="s">
        <v>192</v>
      </c>
      <c r="B306" s="6" t="s">
        <v>192</v>
      </c>
      <c r="C306" s="6" t="s">
        <v>11</v>
      </c>
      <c r="D306" s="6" t="s">
        <v>492</v>
      </c>
      <c r="E306" s="6">
        <v>0</v>
      </c>
      <c r="F306" s="6">
        <v>0</v>
      </c>
      <c r="G306" s="6">
        <v>-1.578E-3</v>
      </c>
      <c r="H306" s="6">
        <v>1.7E-5</v>
      </c>
      <c r="I306" s="6">
        <v>4.6500000000000003E-4</v>
      </c>
      <c r="J306" s="6">
        <v>0</v>
      </c>
    </row>
    <row r="307" spans="1:10" x14ac:dyDescent="0.3">
      <c r="A307" s="6" t="s">
        <v>233</v>
      </c>
      <c r="B307" s="6" t="s">
        <v>233</v>
      </c>
      <c r="C307" s="6" t="s">
        <v>11</v>
      </c>
      <c r="D307" s="6" t="s">
        <v>492</v>
      </c>
      <c r="E307" s="6">
        <v>0</v>
      </c>
      <c r="F307" s="6">
        <v>0</v>
      </c>
      <c r="G307" s="6">
        <v>-1.516E-3</v>
      </c>
      <c r="H307" s="6">
        <v>7.6199999999999999E-6</v>
      </c>
      <c r="I307" s="6">
        <v>4.2200000000000001E-4</v>
      </c>
      <c r="J307" s="6">
        <v>0</v>
      </c>
    </row>
    <row r="308" spans="1:10" x14ac:dyDescent="0.3">
      <c r="A308" s="6" t="s">
        <v>271</v>
      </c>
      <c r="B308" s="6" t="s">
        <v>271</v>
      </c>
      <c r="C308" s="6" t="s">
        <v>11</v>
      </c>
      <c r="D308" s="6" t="s">
        <v>492</v>
      </c>
      <c r="E308" s="6">
        <v>0</v>
      </c>
      <c r="F308" s="6">
        <v>0</v>
      </c>
      <c r="G308" s="6">
        <v>-1.4790000000000001E-3</v>
      </c>
      <c r="H308" s="6">
        <v>4.8709999999999996E-6</v>
      </c>
      <c r="I308" s="6">
        <v>4.4299999999999998E-4</v>
      </c>
      <c r="J308" s="6">
        <v>0</v>
      </c>
    </row>
    <row r="309" spans="1:10" x14ac:dyDescent="0.3">
      <c r="A309" s="6" t="s">
        <v>327</v>
      </c>
      <c r="B309" s="6" t="s">
        <v>327</v>
      </c>
      <c r="C309" s="6" t="s">
        <v>11</v>
      </c>
      <c r="D309" s="6" t="s">
        <v>492</v>
      </c>
      <c r="E309" s="6">
        <v>0</v>
      </c>
      <c r="F309" s="6">
        <v>0</v>
      </c>
      <c r="G309" s="6">
        <v>-1.4120000000000001E-3</v>
      </c>
      <c r="H309" s="6">
        <v>-3.5399999999999999E-4</v>
      </c>
      <c r="I309" s="6">
        <v>-1.6130000000000001E-6</v>
      </c>
      <c r="J309" s="6">
        <v>0</v>
      </c>
    </row>
    <row r="310" spans="1:10" x14ac:dyDescent="0.3">
      <c r="A310" s="6" t="s">
        <v>79</v>
      </c>
      <c r="B310" s="6" t="s">
        <v>79</v>
      </c>
      <c r="C310" s="6" t="s">
        <v>11</v>
      </c>
      <c r="D310" s="6" t="s">
        <v>492</v>
      </c>
      <c r="E310" s="6">
        <v>0</v>
      </c>
      <c r="F310" s="6">
        <v>0</v>
      </c>
      <c r="G310" s="6">
        <v>-4.1399999999999998E-4</v>
      </c>
      <c r="H310" s="6">
        <v>5.6779999999999997E-6</v>
      </c>
      <c r="I310" s="6">
        <v>6.3E-5</v>
      </c>
      <c r="J310" s="6">
        <v>0</v>
      </c>
    </row>
    <row r="311" spans="1:10" x14ac:dyDescent="0.3">
      <c r="A311" s="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/>
  <dimension ref="A1:F128"/>
  <sheetViews>
    <sheetView workbookViewId="0">
      <selection activeCell="H13" sqref="H13"/>
    </sheetView>
  </sheetViews>
  <sheetFormatPr defaultColWidth="8.88671875" defaultRowHeight="15.6" x14ac:dyDescent="0.3"/>
  <cols>
    <col min="1" max="16384" width="8.88671875" style="6"/>
  </cols>
  <sheetData>
    <row r="1" spans="1:6" x14ac:dyDescent="0.3">
      <c r="A1" s="32" t="s">
        <v>554</v>
      </c>
      <c r="B1" s="22"/>
      <c r="C1" s="22"/>
      <c r="D1" s="22"/>
      <c r="E1" s="22"/>
      <c r="F1" s="22"/>
    </row>
    <row r="2" spans="1:6" x14ac:dyDescent="0.3">
      <c r="A2" s="23" t="s">
        <v>534</v>
      </c>
      <c r="B2" s="23" t="s">
        <v>535</v>
      </c>
      <c r="C2" s="23" t="s">
        <v>536</v>
      </c>
      <c r="D2" s="20" t="s">
        <v>537</v>
      </c>
      <c r="E2" s="20" t="s">
        <v>538</v>
      </c>
      <c r="F2" s="20" t="s">
        <v>345</v>
      </c>
    </row>
    <row r="3" spans="1:6" x14ac:dyDescent="0.3">
      <c r="A3" s="24" t="s">
        <v>489</v>
      </c>
      <c r="B3" s="24" t="s">
        <v>489</v>
      </c>
      <c r="C3" s="24" t="s">
        <v>489</v>
      </c>
      <c r="D3" s="21" t="s">
        <v>489</v>
      </c>
      <c r="E3" s="21" t="s">
        <v>489</v>
      </c>
      <c r="F3" s="21" t="s">
        <v>490</v>
      </c>
    </row>
    <row r="4" spans="1:6" x14ac:dyDescent="0.3">
      <c r="A4" s="6" t="s">
        <v>346</v>
      </c>
      <c r="B4" s="6" t="s">
        <v>169</v>
      </c>
      <c r="C4" s="6" t="s">
        <v>210</v>
      </c>
      <c r="D4" s="6" t="s">
        <v>539</v>
      </c>
      <c r="E4" s="6" t="s">
        <v>540</v>
      </c>
      <c r="F4" s="6">
        <v>8.3000000000000007</v>
      </c>
    </row>
    <row r="5" spans="1:6" x14ac:dyDescent="0.3">
      <c r="A5" s="6" t="s">
        <v>348</v>
      </c>
      <c r="B5" s="6" t="s">
        <v>171</v>
      </c>
      <c r="C5" s="6" t="s">
        <v>212</v>
      </c>
      <c r="D5" s="6" t="s">
        <v>539</v>
      </c>
      <c r="E5" s="6" t="s">
        <v>540</v>
      </c>
      <c r="F5" s="6">
        <v>8.3000000000000007</v>
      </c>
    </row>
    <row r="6" spans="1:6" x14ac:dyDescent="0.3">
      <c r="A6" s="6" t="s">
        <v>349</v>
      </c>
      <c r="B6" s="6" t="s">
        <v>56</v>
      </c>
      <c r="C6" s="6" t="s">
        <v>91</v>
      </c>
      <c r="D6" s="6" t="s">
        <v>539</v>
      </c>
      <c r="E6" s="6" t="s">
        <v>540</v>
      </c>
      <c r="F6" s="6">
        <v>8.3000000000000007</v>
      </c>
    </row>
    <row r="7" spans="1:6" x14ac:dyDescent="0.3">
      <c r="A7" s="6" t="s">
        <v>351</v>
      </c>
      <c r="B7" s="6" t="s">
        <v>91</v>
      </c>
      <c r="C7" s="6" t="s">
        <v>127</v>
      </c>
      <c r="D7" s="6" t="s">
        <v>539</v>
      </c>
      <c r="E7" s="6" t="s">
        <v>540</v>
      </c>
      <c r="F7" s="6">
        <v>8.3000000000000007</v>
      </c>
    </row>
    <row r="8" spans="1:6" x14ac:dyDescent="0.3">
      <c r="A8" s="6" t="s">
        <v>352</v>
      </c>
      <c r="B8" s="6" t="s">
        <v>127</v>
      </c>
      <c r="C8" s="6" t="s">
        <v>164</v>
      </c>
      <c r="D8" s="6" t="s">
        <v>539</v>
      </c>
      <c r="E8" s="6" t="s">
        <v>540</v>
      </c>
      <c r="F8" s="6">
        <v>8.3000000000000007</v>
      </c>
    </row>
    <row r="9" spans="1:6" x14ac:dyDescent="0.3">
      <c r="A9" s="6" t="s">
        <v>353</v>
      </c>
      <c r="B9" s="6" t="s">
        <v>164</v>
      </c>
      <c r="C9" s="6" t="s">
        <v>205</v>
      </c>
      <c r="D9" s="6" t="s">
        <v>539</v>
      </c>
      <c r="E9" s="6" t="s">
        <v>540</v>
      </c>
      <c r="F9" s="6">
        <v>8.3000000000000007</v>
      </c>
    </row>
    <row r="10" spans="1:6" x14ac:dyDescent="0.3">
      <c r="A10" s="6" t="s">
        <v>354</v>
      </c>
      <c r="B10" s="6" t="s">
        <v>205</v>
      </c>
      <c r="C10" s="6" t="s">
        <v>246</v>
      </c>
      <c r="D10" s="6" t="s">
        <v>539</v>
      </c>
      <c r="E10" s="6" t="s">
        <v>540</v>
      </c>
      <c r="F10" s="6">
        <v>8.3000000000000007</v>
      </c>
    </row>
    <row r="11" spans="1:6" x14ac:dyDescent="0.3">
      <c r="A11" s="6" t="s">
        <v>355</v>
      </c>
      <c r="B11" s="6" t="s">
        <v>246</v>
      </c>
      <c r="C11" s="6" t="s">
        <v>284</v>
      </c>
      <c r="D11" s="6" t="s">
        <v>539</v>
      </c>
      <c r="E11" s="6" t="s">
        <v>540</v>
      </c>
      <c r="F11" s="6">
        <v>8.3000000000000007</v>
      </c>
    </row>
    <row r="12" spans="1:6" x14ac:dyDescent="0.3">
      <c r="A12" s="6" t="s">
        <v>356</v>
      </c>
      <c r="B12" s="6" t="s">
        <v>284</v>
      </c>
      <c r="C12" s="6" t="s">
        <v>285</v>
      </c>
      <c r="D12" s="6" t="s">
        <v>539</v>
      </c>
      <c r="E12" s="6" t="s">
        <v>540</v>
      </c>
      <c r="F12" s="6">
        <v>5.5</v>
      </c>
    </row>
    <row r="13" spans="1:6" x14ac:dyDescent="0.3">
      <c r="A13" s="6" t="s">
        <v>357</v>
      </c>
      <c r="B13" s="6" t="s">
        <v>57</v>
      </c>
      <c r="C13" s="6" t="s">
        <v>493</v>
      </c>
      <c r="D13" s="6" t="s">
        <v>539</v>
      </c>
      <c r="E13" s="6" t="s">
        <v>540</v>
      </c>
      <c r="F13" s="6">
        <v>8.3000000000000007</v>
      </c>
    </row>
    <row r="14" spans="1:6" x14ac:dyDescent="0.3">
      <c r="A14" s="6" t="s">
        <v>358</v>
      </c>
      <c r="B14" s="6" t="s">
        <v>493</v>
      </c>
      <c r="C14" s="6" t="s">
        <v>494</v>
      </c>
      <c r="D14" s="6" t="s">
        <v>539</v>
      </c>
      <c r="E14" s="6" t="s">
        <v>540</v>
      </c>
      <c r="F14" s="6">
        <v>8.3000000000000007</v>
      </c>
    </row>
    <row r="15" spans="1:6" x14ac:dyDescent="0.3">
      <c r="A15" s="6" t="s">
        <v>359</v>
      </c>
      <c r="B15" s="6" t="s">
        <v>494</v>
      </c>
      <c r="C15" s="6" t="s">
        <v>495</v>
      </c>
      <c r="D15" s="6" t="s">
        <v>539</v>
      </c>
      <c r="E15" s="6" t="s">
        <v>540</v>
      </c>
      <c r="F15" s="6">
        <v>8.3000000000000007</v>
      </c>
    </row>
    <row r="16" spans="1:6" x14ac:dyDescent="0.3">
      <c r="A16" s="6" t="s">
        <v>360</v>
      </c>
      <c r="B16" s="6" t="s">
        <v>495</v>
      </c>
      <c r="C16" s="6" t="s">
        <v>496</v>
      </c>
      <c r="D16" s="6" t="s">
        <v>539</v>
      </c>
      <c r="E16" s="6" t="s">
        <v>540</v>
      </c>
      <c r="F16" s="6">
        <v>8.3000000000000007</v>
      </c>
    </row>
    <row r="17" spans="1:6" x14ac:dyDescent="0.3">
      <c r="A17" s="6" t="s">
        <v>361</v>
      </c>
      <c r="B17" s="6" t="s">
        <v>496</v>
      </c>
      <c r="C17" s="6" t="s">
        <v>497</v>
      </c>
      <c r="D17" s="6" t="s">
        <v>539</v>
      </c>
      <c r="E17" s="6" t="s">
        <v>540</v>
      </c>
      <c r="F17" s="6">
        <v>8.3000000000000007</v>
      </c>
    </row>
    <row r="18" spans="1:6" x14ac:dyDescent="0.3">
      <c r="A18" s="6" t="s">
        <v>362</v>
      </c>
      <c r="B18" s="6" t="s">
        <v>497</v>
      </c>
      <c r="C18" s="6" t="s">
        <v>285</v>
      </c>
      <c r="D18" s="6" t="s">
        <v>539</v>
      </c>
      <c r="E18" s="6" t="s">
        <v>540</v>
      </c>
      <c r="F18" s="6">
        <v>8.3000000000000007</v>
      </c>
    </row>
    <row r="19" spans="1:6" x14ac:dyDescent="0.3">
      <c r="A19" s="6" t="s">
        <v>363</v>
      </c>
      <c r="B19" s="6" t="s">
        <v>59</v>
      </c>
      <c r="C19" s="6" t="s">
        <v>94</v>
      </c>
      <c r="D19" s="6" t="s">
        <v>539</v>
      </c>
      <c r="E19" s="6" t="s">
        <v>540</v>
      </c>
      <c r="F19" s="6">
        <v>8.3000000000000007</v>
      </c>
    </row>
    <row r="20" spans="1:6" x14ac:dyDescent="0.3">
      <c r="A20" s="6" t="s">
        <v>365</v>
      </c>
      <c r="B20" s="6" t="s">
        <v>94</v>
      </c>
      <c r="C20" s="6" t="s">
        <v>130</v>
      </c>
      <c r="D20" s="6" t="s">
        <v>539</v>
      </c>
      <c r="E20" s="6" t="s">
        <v>540</v>
      </c>
      <c r="F20" s="6">
        <v>8.3000000000000007</v>
      </c>
    </row>
    <row r="21" spans="1:6" x14ac:dyDescent="0.3">
      <c r="A21" s="6" t="s">
        <v>366</v>
      </c>
      <c r="B21" s="6" t="s">
        <v>130</v>
      </c>
      <c r="C21" s="6" t="s">
        <v>167</v>
      </c>
      <c r="D21" s="6" t="s">
        <v>539</v>
      </c>
      <c r="E21" s="6" t="s">
        <v>540</v>
      </c>
      <c r="F21" s="6">
        <v>8.3000000000000007</v>
      </c>
    </row>
    <row r="22" spans="1:6" x14ac:dyDescent="0.3">
      <c r="A22" s="6" t="s">
        <v>367</v>
      </c>
      <c r="B22" s="6" t="s">
        <v>167</v>
      </c>
      <c r="C22" s="6" t="s">
        <v>208</v>
      </c>
      <c r="D22" s="6" t="s">
        <v>539</v>
      </c>
      <c r="E22" s="6" t="s">
        <v>540</v>
      </c>
      <c r="F22" s="6">
        <v>8.3000000000000007</v>
      </c>
    </row>
    <row r="23" spans="1:6" x14ac:dyDescent="0.3">
      <c r="A23" s="6" t="s">
        <v>368</v>
      </c>
      <c r="B23" s="6" t="s">
        <v>208</v>
      </c>
      <c r="C23" s="6" t="s">
        <v>249</v>
      </c>
      <c r="D23" s="6" t="s">
        <v>539</v>
      </c>
      <c r="E23" s="6" t="s">
        <v>540</v>
      </c>
      <c r="F23" s="6">
        <v>8.3000000000000007</v>
      </c>
    </row>
    <row r="24" spans="1:6" x14ac:dyDescent="0.3">
      <c r="A24" s="6" t="s">
        <v>369</v>
      </c>
      <c r="B24" s="6" t="s">
        <v>249</v>
      </c>
      <c r="C24" s="6" t="s">
        <v>288</v>
      </c>
      <c r="D24" s="6" t="s">
        <v>539</v>
      </c>
      <c r="E24" s="6" t="s">
        <v>540</v>
      </c>
      <c r="F24" s="6">
        <v>8.3000000000000007</v>
      </c>
    </row>
    <row r="25" spans="1:6" x14ac:dyDescent="0.3">
      <c r="A25" s="6" t="s">
        <v>370</v>
      </c>
      <c r="B25" s="6" t="s">
        <v>285</v>
      </c>
      <c r="C25" s="6" t="s">
        <v>319</v>
      </c>
      <c r="D25" s="6" t="s">
        <v>539</v>
      </c>
      <c r="E25" s="6" t="s">
        <v>540</v>
      </c>
      <c r="F25" s="6">
        <v>5.75</v>
      </c>
    </row>
    <row r="26" spans="1:6" x14ac:dyDescent="0.3">
      <c r="A26" s="6" t="s">
        <v>371</v>
      </c>
      <c r="B26" s="6" t="s">
        <v>288</v>
      </c>
      <c r="C26" s="6" t="s">
        <v>322</v>
      </c>
      <c r="D26" s="6" t="s">
        <v>539</v>
      </c>
      <c r="E26" s="6" t="s">
        <v>540</v>
      </c>
      <c r="F26" s="6">
        <v>5.75</v>
      </c>
    </row>
    <row r="27" spans="1:6" x14ac:dyDescent="0.3">
      <c r="A27" s="6" t="s">
        <v>372</v>
      </c>
      <c r="B27" s="6" t="s">
        <v>93</v>
      </c>
      <c r="C27" s="6" t="s">
        <v>94</v>
      </c>
      <c r="D27" s="6" t="s">
        <v>539</v>
      </c>
      <c r="E27" s="6" t="s">
        <v>540</v>
      </c>
      <c r="F27" s="6">
        <v>8.3000000000000007</v>
      </c>
    </row>
    <row r="28" spans="1:6" x14ac:dyDescent="0.3">
      <c r="A28" s="6" t="s">
        <v>373</v>
      </c>
      <c r="B28" s="6" t="s">
        <v>129</v>
      </c>
      <c r="C28" s="6" t="s">
        <v>130</v>
      </c>
      <c r="D28" s="6" t="s">
        <v>539</v>
      </c>
      <c r="E28" s="6" t="s">
        <v>540</v>
      </c>
      <c r="F28" s="6">
        <v>8.3000000000000007</v>
      </c>
    </row>
    <row r="29" spans="1:6" x14ac:dyDescent="0.3">
      <c r="A29" s="6" t="s">
        <v>374</v>
      </c>
      <c r="B29" s="6" t="s">
        <v>58</v>
      </c>
      <c r="C29" s="6" t="s">
        <v>59</v>
      </c>
      <c r="D29" s="6" t="s">
        <v>539</v>
      </c>
      <c r="E29" s="6" t="s">
        <v>540</v>
      </c>
      <c r="F29" s="6">
        <v>8.3000000000000007</v>
      </c>
    </row>
    <row r="30" spans="1:6" x14ac:dyDescent="0.3">
      <c r="A30" s="6" t="s">
        <v>375</v>
      </c>
      <c r="B30" s="6" t="s">
        <v>166</v>
      </c>
      <c r="C30" s="6" t="s">
        <v>167</v>
      </c>
      <c r="D30" s="6" t="s">
        <v>539</v>
      </c>
      <c r="E30" s="6" t="s">
        <v>540</v>
      </c>
      <c r="F30" s="6">
        <v>8.3000000000000007</v>
      </c>
    </row>
    <row r="31" spans="1:6" x14ac:dyDescent="0.3">
      <c r="A31" s="6" t="s">
        <v>376</v>
      </c>
      <c r="B31" s="6" t="s">
        <v>207</v>
      </c>
      <c r="C31" s="6" t="s">
        <v>208</v>
      </c>
      <c r="D31" s="6" t="s">
        <v>539</v>
      </c>
      <c r="E31" s="6" t="s">
        <v>540</v>
      </c>
      <c r="F31" s="6">
        <v>8.3000000000000007</v>
      </c>
    </row>
    <row r="32" spans="1:6" x14ac:dyDescent="0.3">
      <c r="A32" s="6" t="s">
        <v>377</v>
      </c>
      <c r="B32" s="6" t="s">
        <v>248</v>
      </c>
      <c r="C32" s="6" t="s">
        <v>249</v>
      </c>
      <c r="D32" s="6" t="s">
        <v>539</v>
      </c>
      <c r="E32" s="6" t="s">
        <v>540</v>
      </c>
      <c r="F32" s="6">
        <v>8.3000000000000007</v>
      </c>
    </row>
    <row r="33" spans="1:6" x14ac:dyDescent="0.3">
      <c r="A33" s="6" t="s">
        <v>378</v>
      </c>
      <c r="B33" s="6" t="s">
        <v>58</v>
      </c>
      <c r="C33" s="6" t="s">
        <v>93</v>
      </c>
      <c r="D33" s="6" t="s">
        <v>539</v>
      </c>
      <c r="E33" s="6" t="s">
        <v>540</v>
      </c>
      <c r="F33" s="6">
        <v>8.3000000000000007</v>
      </c>
    </row>
    <row r="34" spans="1:6" x14ac:dyDescent="0.3">
      <c r="A34" s="6" t="s">
        <v>379</v>
      </c>
      <c r="B34" s="6" t="s">
        <v>93</v>
      </c>
      <c r="C34" s="6" t="s">
        <v>129</v>
      </c>
      <c r="D34" s="6" t="s">
        <v>539</v>
      </c>
      <c r="E34" s="6" t="s">
        <v>540</v>
      </c>
      <c r="F34" s="6">
        <v>8.3000000000000007</v>
      </c>
    </row>
    <row r="35" spans="1:6" x14ac:dyDescent="0.3">
      <c r="A35" s="6" t="s">
        <v>380</v>
      </c>
      <c r="B35" s="6" t="s">
        <v>129</v>
      </c>
      <c r="C35" s="6" t="s">
        <v>166</v>
      </c>
      <c r="D35" s="6" t="s">
        <v>539</v>
      </c>
      <c r="E35" s="6" t="s">
        <v>540</v>
      </c>
      <c r="F35" s="6">
        <v>8.3000000000000007</v>
      </c>
    </row>
    <row r="36" spans="1:6" x14ac:dyDescent="0.3">
      <c r="A36" s="6" t="s">
        <v>382</v>
      </c>
      <c r="B36" s="6" t="s">
        <v>166</v>
      </c>
      <c r="C36" s="6" t="s">
        <v>207</v>
      </c>
      <c r="D36" s="6" t="s">
        <v>539</v>
      </c>
      <c r="E36" s="6" t="s">
        <v>540</v>
      </c>
      <c r="F36" s="6">
        <v>8.3000000000000007</v>
      </c>
    </row>
    <row r="37" spans="1:6" x14ac:dyDescent="0.3">
      <c r="A37" s="6" t="s">
        <v>383</v>
      </c>
      <c r="B37" s="6" t="s">
        <v>207</v>
      </c>
      <c r="C37" s="6" t="s">
        <v>248</v>
      </c>
      <c r="D37" s="6" t="s">
        <v>539</v>
      </c>
      <c r="E37" s="6" t="s">
        <v>540</v>
      </c>
      <c r="F37" s="6">
        <v>8.3000000000000007</v>
      </c>
    </row>
    <row r="38" spans="1:6" x14ac:dyDescent="0.3">
      <c r="A38" s="6" t="s">
        <v>384</v>
      </c>
      <c r="B38" s="6" t="s">
        <v>56</v>
      </c>
      <c r="C38" s="6" t="s">
        <v>58</v>
      </c>
      <c r="D38" s="6" t="s">
        <v>539</v>
      </c>
      <c r="E38" s="6" t="s">
        <v>540</v>
      </c>
      <c r="F38" s="6">
        <v>12.6</v>
      </c>
    </row>
    <row r="39" spans="1:6" x14ac:dyDescent="0.3">
      <c r="A39" s="6" t="s">
        <v>385</v>
      </c>
      <c r="B39" s="6" t="s">
        <v>319</v>
      </c>
      <c r="C39" s="6" t="s">
        <v>320</v>
      </c>
      <c r="D39" s="6" t="s">
        <v>539</v>
      </c>
      <c r="E39" s="6" t="s">
        <v>540</v>
      </c>
      <c r="F39" s="6">
        <v>7.1</v>
      </c>
    </row>
    <row r="40" spans="1:6" x14ac:dyDescent="0.3">
      <c r="A40" s="6" t="s">
        <v>386</v>
      </c>
      <c r="B40" s="6" t="s">
        <v>320</v>
      </c>
      <c r="C40" s="6" t="s">
        <v>322</v>
      </c>
      <c r="D40" s="6" t="s">
        <v>539</v>
      </c>
      <c r="E40" s="6" t="s">
        <v>540</v>
      </c>
      <c r="F40" s="6">
        <v>8.3000000000000007</v>
      </c>
    </row>
    <row r="41" spans="1:6" x14ac:dyDescent="0.3">
      <c r="A41" s="6" t="s">
        <v>387</v>
      </c>
      <c r="B41" s="6" t="s">
        <v>91</v>
      </c>
      <c r="C41" s="6" t="s">
        <v>93</v>
      </c>
      <c r="D41" s="6" t="s">
        <v>539</v>
      </c>
      <c r="E41" s="6" t="s">
        <v>540</v>
      </c>
      <c r="F41" s="6">
        <v>12.6</v>
      </c>
    </row>
    <row r="42" spans="1:6" x14ac:dyDescent="0.3">
      <c r="A42" s="6" t="s">
        <v>388</v>
      </c>
      <c r="B42" s="6" t="s">
        <v>127</v>
      </c>
      <c r="C42" s="6" t="s">
        <v>129</v>
      </c>
      <c r="D42" s="6" t="s">
        <v>539</v>
      </c>
      <c r="E42" s="6" t="s">
        <v>540</v>
      </c>
      <c r="F42" s="6">
        <v>12.6</v>
      </c>
    </row>
    <row r="43" spans="1:6" x14ac:dyDescent="0.3">
      <c r="A43" s="6" t="s">
        <v>389</v>
      </c>
      <c r="B43" s="6" t="s">
        <v>164</v>
      </c>
      <c r="C43" s="6" t="s">
        <v>166</v>
      </c>
      <c r="D43" s="6" t="s">
        <v>539</v>
      </c>
      <c r="E43" s="6" t="s">
        <v>540</v>
      </c>
      <c r="F43" s="6">
        <v>12.6</v>
      </c>
    </row>
    <row r="44" spans="1:6" x14ac:dyDescent="0.3">
      <c r="A44" s="6" t="s">
        <v>390</v>
      </c>
      <c r="B44" s="6" t="s">
        <v>205</v>
      </c>
      <c r="C44" s="6" t="s">
        <v>207</v>
      </c>
      <c r="D44" s="6" t="s">
        <v>539</v>
      </c>
      <c r="E44" s="6" t="s">
        <v>540</v>
      </c>
      <c r="F44" s="6">
        <v>12.6</v>
      </c>
    </row>
    <row r="45" spans="1:6" x14ac:dyDescent="0.3">
      <c r="A45" s="6" t="s">
        <v>391</v>
      </c>
      <c r="B45" s="6" t="s">
        <v>246</v>
      </c>
      <c r="C45" s="6" t="s">
        <v>248</v>
      </c>
      <c r="D45" s="6" t="s">
        <v>539</v>
      </c>
      <c r="E45" s="6" t="s">
        <v>540</v>
      </c>
      <c r="F45" s="6">
        <v>12.6</v>
      </c>
    </row>
    <row r="46" spans="1:6" x14ac:dyDescent="0.3">
      <c r="A46" s="6" t="s">
        <v>392</v>
      </c>
      <c r="B46" s="6" t="s">
        <v>285</v>
      </c>
      <c r="C46" s="6" t="s">
        <v>286</v>
      </c>
      <c r="D46" s="6" t="s">
        <v>539</v>
      </c>
      <c r="E46" s="6" t="s">
        <v>540</v>
      </c>
      <c r="F46" s="6">
        <v>7.1</v>
      </c>
    </row>
    <row r="47" spans="1:6" x14ac:dyDescent="0.3">
      <c r="A47" s="6" t="s">
        <v>393</v>
      </c>
      <c r="B47" s="6" t="s">
        <v>286</v>
      </c>
      <c r="C47" s="6" t="s">
        <v>288</v>
      </c>
      <c r="D47" s="6" t="s">
        <v>539</v>
      </c>
      <c r="E47" s="6" t="s">
        <v>540</v>
      </c>
      <c r="F47" s="6">
        <v>8.3000000000000007</v>
      </c>
    </row>
    <row r="48" spans="1:6" x14ac:dyDescent="0.3">
      <c r="A48" s="6" t="s">
        <v>394</v>
      </c>
      <c r="B48" s="6" t="s">
        <v>248</v>
      </c>
      <c r="C48" s="6" t="s">
        <v>286</v>
      </c>
      <c r="D48" s="6" t="s">
        <v>539</v>
      </c>
      <c r="E48" s="6" t="s">
        <v>540</v>
      </c>
      <c r="F48" s="6">
        <v>8.3000000000000007</v>
      </c>
    </row>
    <row r="49" spans="1:6" x14ac:dyDescent="0.3">
      <c r="A49" s="6" t="s">
        <v>395</v>
      </c>
      <c r="B49" s="6" t="s">
        <v>286</v>
      </c>
      <c r="C49" s="6" t="s">
        <v>320</v>
      </c>
      <c r="D49" s="6" t="s">
        <v>539</v>
      </c>
      <c r="E49" s="6" t="s">
        <v>540</v>
      </c>
      <c r="F49" s="6">
        <v>5.75</v>
      </c>
    </row>
    <row r="50" spans="1:6" x14ac:dyDescent="0.3">
      <c r="A50" s="6" t="s">
        <v>396</v>
      </c>
      <c r="B50" s="6" t="s">
        <v>73</v>
      </c>
      <c r="C50" s="6" t="s">
        <v>504</v>
      </c>
      <c r="D50" s="6" t="s">
        <v>539</v>
      </c>
      <c r="E50" s="6" t="s">
        <v>540</v>
      </c>
      <c r="F50" s="6">
        <v>12.6</v>
      </c>
    </row>
    <row r="51" spans="1:6" x14ac:dyDescent="0.3">
      <c r="A51" s="6" t="s">
        <v>397</v>
      </c>
      <c r="B51" s="6" t="s">
        <v>504</v>
      </c>
      <c r="C51" s="6" t="s">
        <v>505</v>
      </c>
      <c r="D51" s="6" t="s">
        <v>539</v>
      </c>
      <c r="E51" s="6" t="s">
        <v>540</v>
      </c>
      <c r="F51" s="6">
        <v>8.3000000000000007</v>
      </c>
    </row>
    <row r="52" spans="1:6" x14ac:dyDescent="0.3">
      <c r="A52" s="6" t="s">
        <v>398</v>
      </c>
      <c r="B52" s="6" t="s">
        <v>109</v>
      </c>
      <c r="C52" s="6" t="s">
        <v>508</v>
      </c>
      <c r="D52" s="6" t="s">
        <v>539</v>
      </c>
      <c r="E52" s="6" t="s">
        <v>540</v>
      </c>
      <c r="F52" s="6">
        <v>12.6</v>
      </c>
    </row>
    <row r="53" spans="1:6" x14ac:dyDescent="0.3">
      <c r="A53" s="6" t="s">
        <v>399</v>
      </c>
      <c r="B53" s="6" t="s">
        <v>508</v>
      </c>
      <c r="C53" s="6" t="s">
        <v>509</v>
      </c>
      <c r="D53" s="6" t="s">
        <v>539</v>
      </c>
      <c r="E53" s="6" t="s">
        <v>540</v>
      </c>
      <c r="F53" s="6">
        <v>8.3000000000000007</v>
      </c>
    </row>
    <row r="54" spans="1:6" x14ac:dyDescent="0.3">
      <c r="A54" s="6" t="s">
        <v>400</v>
      </c>
      <c r="B54" s="6" t="s">
        <v>145</v>
      </c>
      <c r="C54" s="6" t="s">
        <v>512</v>
      </c>
      <c r="D54" s="6" t="s">
        <v>539</v>
      </c>
      <c r="E54" s="6" t="s">
        <v>540</v>
      </c>
      <c r="F54" s="6">
        <v>12.6</v>
      </c>
    </row>
    <row r="55" spans="1:6" x14ac:dyDescent="0.3">
      <c r="A55" s="6" t="s">
        <v>401</v>
      </c>
      <c r="B55" s="6" t="s">
        <v>512</v>
      </c>
      <c r="C55" s="6" t="s">
        <v>513</v>
      </c>
      <c r="D55" s="6" t="s">
        <v>539</v>
      </c>
      <c r="E55" s="6" t="s">
        <v>540</v>
      </c>
      <c r="F55" s="6">
        <v>8.3000000000000007</v>
      </c>
    </row>
    <row r="56" spans="1:6" x14ac:dyDescent="0.3">
      <c r="A56" s="6" t="s">
        <v>402</v>
      </c>
      <c r="B56" s="6" t="s">
        <v>186</v>
      </c>
      <c r="C56" s="6" t="s">
        <v>516</v>
      </c>
      <c r="D56" s="6" t="s">
        <v>539</v>
      </c>
      <c r="E56" s="6" t="s">
        <v>540</v>
      </c>
      <c r="F56" s="6">
        <v>12.6</v>
      </c>
    </row>
    <row r="57" spans="1:6" x14ac:dyDescent="0.3">
      <c r="A57" s="6" t="s">
        <v>403</v>
      </c>
      <c r="B57" s="6" t="s">
        <v>516</v>
      </c>
      <c r="C57" s="6" t="s">
        <v>517</v>
      </c>
      <c r="D57" s="6" t="s">
        <v>539</v>
      </c>
      <c r="E57" s="6" t="s">
        <v>540</v>
      </c>
      <c r="F57" s="6">
        <v>8.3000000000000007</v>
      </c>
    </row>
    <row r="58" spans="1:6" x14ac:dyDescent="0.3">
      <c r="A58" s="6" t="s">
        <v>404</v>
      </c>
      <c r="B58" s="6" t="s">
        <v>227</v>
      </c>
      <c r="C58" s="6" t="s">
        <v>266</v>
      </c>
      <c r="D58" s="6" t="s">
        <v>539</v>
      </c>
      <c r="E58" s="6" t="s">
        <v>540</v>
      </c>
      <c r="F58" s="6">
        <v>12.6</v>
      </c>
    </row>
    <row r="59" spans="1:6" x14ac:dyDescent="0.3">
      <c r="A59" s="6" t="s">
        <v>405</v>
      </c>
      <c r="B59" s="6" t="s">
        <v>266</v>
      </c>
      <c r="C59" s="6" t="s">
        <v>74</v>
      </c>
      <c r="D59" s="6" t="s">
        <v>539</v>
      </c>
      <c r="E59" s="6" t="s">
        <v>540</v>
      </c>
      <c r="F59" s="6">
        <v>8.3000000000000007</v>
      </c>
    </row>
    <row r="60" spans="1:6" x14ac:dyDescent="0.3">
      <c r="A60" s="6" t="s">
        <v>406</v>
      </c>
      <c r="B60" s="6" t="s">
        <v>265</v>
      </c>
      <c r="C60" s="6" t="s">
        <v>187</v>
      </c>
      <c r="D60" s="6" t="s">
        <v>539</v>
      </c>
      <c r="E60" s="6" t="s">
        <v>540</v>
      </c>
      <c r="F60" s="6">
        <v>12.6</v>
      </c>
    </row>
    <row r="61" spans="1:6" x14ac:dyDescent="0.3">
      <c r="A61" s="6" t="s">
        <v>407</v>
      </c>
      <c r="B61" s="6" t="s">
        <v>187</v>
      </c>
      <c r="C61" s="6" t="s">
        <v>228</v>
      </c>
      <c r="D61" s="6" t="s">
        <v>539</v>
      </c>
      <c r="E61" s="6" t="s">
        <v>540</v>
      </c>
      <c r="F61" s="6">
        <v>8.3000000000000007</v>
      </c>
    </row>
    <row r="62" spans="1:6" x14ac:dyDescent="0.3">
      <c r="A62" s="6" t="s">
        <v>408</v>
      </c>
      <c r="B62" s="6" t="s">
        <v>498</v>
      </c>
      <c r="C62" s="6" t="s">
        <v>321</v>
      </c>
      <c r="D62" s="6" t="s">
        <v>539</v>
      </c>
      <c r="E62" s="6" t="s">
        <v>540</v>
      </c>
      <c r="F62" s="6">
        <v>5.75</v>
      </c>
    </row>
    <row r="63" spans="1:6" x14ac:dyDescent="0.3">
      <c r="A63" s="6" t="s">
        <v>409</v>
      </c>
      <c r="B63" s="6" t="s">
        <v>94</v>
      </c>
      <c r="C63" s="6" t="s">
        <v>95</v>
      </c>
      <c r="D63" s="6" t="s">
        <v>539</v>
      </c>
      <c r="E63" s="6" t="s">
        <v>540</v>
      </c>
      <c r="F63" s="6">
        <v>10.7</v>
      </c>
    </row>
    <row r="64" spans="1:6" x14ac:dyDescent="0.3">
      <c r="A64" s="6" t="s">
        <v>410</v>
      </c>
      <c r="B64" s="6" t="s">
        <v>130</v>
      </c>
      <c r="C64" s="6" t="s">
        <v>131</v>
      </c>
      <c r="D64" s="6" t="s">
        <v>539</v>
      </c>
      <c r="E64" s="6" t="s">
        <v>540</v>
      </c>
      <c r="F64" s="6">
        <v>10.7</v>
      </c>
    </row>
    <row r="65" spans="1:6" x14ac:dyDescent="0.3">
      <c r="A65" s="6" t="s">
        <v>411</v>
      </c>
      <c r="B65" s="6" t="s">
        <v>59</v>
      </c>
      <c r="C65" s="6" t="s">
        <v>60</v>
      </c>
      <c r="D65" s="6" t="s">
        <v>539</v>
      </c>
      <c r="E65" s="6" t="s">
        <v>540</v>
      </c>
      <c r="F65" s="6">
        <v>10.7</v>
      </c>
    </row>
    <row r="66" spans="1:6" x14ac:dyDescent="0.3">
      <c r="A66" s="6" t="s">
        <v>412</v>
      </c>
      <c r="B66" s="6" t="s">
        <v>167</v>
      </c>
      <c r="C66" s="6" t="s">
        <v>168</v>
      </c>
      <c r="D66" s="6" t="s">
        <v>539</v>
      </c>
      <c r="E66" s="6" t="s">
        <v>540</v>
      </c>
      <c r="F66" s="6">
        <v>10.7</v>
      </c>
    </row>
    <row r="67" spans="1:6" x14ac:dyDescent="0.3">
      <c r="A67" s="6" t="s">
        <v>413</v>
      </c>
      <c r="B67" s="6" t="s">
        <v>208</v>
      </c>
      <c r="C67" s="6" t="s">
        <v>209</v>
      </c>
      <c r="D67" s="6" t="s">
        <v>539</v>
      </c>
      <c r="E67" s="6" t="s">
        <v>540</v>
      </c>
      <c r="F67" s="6">
        <v>10.7</v>
      </c>
    </row>
    <row r="68" spans="1:6" x14ac:dyDescent="0.3">
      <c r="A68" s="6" t="s">
        <v>414</v>
      </c>
      <c r="B68" s="6" t="s">
        <v>249</v>
      </c>
      <c r="C68" s="6" t="s">
        <v>250</v>
      </c>
      <c r="D68" s="6" t="s">
        <v>539</v>
      </c>
      <c r="E68" s="6" t="s">
        <v>540</v>
      </c>
      <c r="F68" s="6">
        <v>10.7</v>
      </c>
    </row>
    <row r="69" spans="1:6" x14ac:dyDescent="0.3">
      <c r="A69" s="6" t="s">
        <v>415</v>
      </c>
      <c r="B69" s="6" t="s">
        <v>288</v>
      </c>
      <c r="C69" s="6" t="s">
        <v>290</v>
      </c>
      <c r="D69" s="6" t="s">
        <v>539</v>
      </c>
      <c r="E69" s="6" t="s">
        <v>540</v>
      </c>
      <c r="F69" s="6">
        <v>10.7</v>
      </c>
    </row>
    <row r="70" spans="1:6" x14ac:dyDescent="0.3">
      <c r="A70" s="6" t="s">
        <v>416</v>
      </c>
      <c r="B70" s="6" t="s">
        <v>60</v>
      </c>
      <c r="C70" s="6" t="s">
        <v>95</v>
      </c>
      <c r="D70" s="6" t="s">
        <v>539</v>
      </c>
      <c r="E70" s="6" t="s">
        <v>540</v>
      </c>
      <c r="F70" s="6">
        <v>8.3000000000000007</v>
      </c>
    </row>
    <row r="71" spans="1:6" x14ac:dyDescent="0.3">
      <c r="A71" s="6" t="s">
        <v>417</v>
      </c>
      <c r="B71" s="6" t="s">
        <v>95</v>
      </c>
      <c r="C71" s="6" t="s">
        <v>131</v>
      </c>
      <c r="D71" s="6" t="s">
        <v>539</v>
      </c>
      <c r="E71" s="6" t="s">
        <v>540</v>
      </c>
      <c r="F71" s="6">
        <v>8.3000000000000007</v>
      </c>
    </row>
    <row r="72" spans="1:6" x14ac:dyDescent="0.3">
      <c r="A72" s="6" t="s">
        <v>418</v>
      </c>
      <c r="B72" s="6" t="s">
        <v>131</v>
      </c>
      <c r="C72" s="6" t="s">
        <v>168</v>
      </c>
      <c r="D72" s="6" t="s">
        <v>539</v>
      </c>
      <c r="E72" s="6" t="s">
        <v>540</v>
      </c>
      <c r="F72" s="6">
        <v>8.3000000000000007</v>
      </c>
    </row>
    <row r="73" spans="1:6" x14ac:dyDescent="0.3">
      <c r="A73" s="6" t="s">
        <v>419</v>
      </c>
      <c r="B73" s="6" t="s">
        <v>168</v>
      </c>
      <c r="C73" s="6" t="s">
        <v>209</v>
      </c>
      <c r="D73" s="6" t="s">
        <v>539</v>
      </c>
      <c r="E73" s="6" t="s">
        <v>540</v>
      </c>
      <c r="F73" s="6">
        <v>8.3000000000000007</v>
      </c>
    </row>
    <row r="74" spans="1:6" x14ac:dyDescent="0.3">
      <c r="A74" s="6" t="s">
        <v>420</v>
      </c>
      <c r="B74" s="6" t="s">
        <v>209</v>
      </c>
      <c r="C74" s="6" t="s">
        <v>250</v>
      </c>
      <c r="D74" s="6" t="s">
        <v>539</v>
      </c>
      <c r="E74" s="6" t="s">
        <v>540</v>
      </c>
      <c r="F74" s="6">
        <v>8.3000000000000007</v>
      </c>
    </row>
    <row r="75" spans="1:6" x14ac:dyDescent="0.3">
      <c r="A75" s="6" t="s">
        <v>421</v>
      </c>
      <c r="B75" s="6" t="s">
        <v>250</v>
      </c>
      <c r="C75" s="6" t="s">
        <v>290</v>
      </c>
      <c r="D75" s="6" t="s">
        <v>539</v>
      </c>
      <c r="E75" s="6" t="s">
        <v>540</v>
      </c>
      <c r="F75" s="6">
        <v>8.3000000000000007</v>
      </c>
    </row>
    <row r="76" spans="1:6" x14ac:dyDescent="0.3">
      <c r="A76" s="6" t="s">
        <v>422</v>
      </c>
      <c r="B76" s="6" t="s">
        <v>322</v>
      </c>
      <c r="C76" s="6" t="s">
        <v>324</v>
      </c>
      <c r="D76" s="6" t="s">
        <v>539</v>
      </c>
      <c r="E76" s="6" t="s">
        <v>540</v>
      </c>
      <c r="F76" s="6">
        <v>10.7</v>
      </c>
    </row>
    <row r="77" spans="1:6" x14ac:dyDescent="0.3">
      <c r="A77" s="6" t="s">
        <v>423</v>
      </c>
      <c r="B77" s="6" t="s">
        <v>290</v>
      </c>
      <c r="C77" s="6" t="s">
        <v>324</v>
      </c>
      <c r="D77" s="6" t="s">
        <v>539</v>
      </c>
      <c r="E77" s="6" t="s">
        <v>540</v>
      </c>
      <c r="F77" s="6">
        <v>5.75</v>
      </c>
    </row>
    <row r="78" spans="1:6" x14ac:dyDescent="0.3">
      <c r="A78" s="6" t="s">
        <v>424</v>
      </c>
      <c r="B78" s="6" t="s">
        <v>505</v>
      </c>
      <c r="C78" s="6" t="s">
        <v>506</v>
      </c>
      <c r="D78" s="6" t="s">
        <v>539</v>
      </c>
      <c r="E78" s="6" t="s">
        <v>540</v>
      </c>
      <c r="F78" s="6">
        <v>10.7</v>
      </c>
    </row>
    <row r="79" spans="1:6" x14ac:dyDescent="0.3">
      <c r="A79" s="6" t="s">
        <v>425</v>
      </c>
      <c r="B79" s="6" t="s">
        <v>509</v>
      </c>
      <c r="C79" s="6" t="s">
        <v>510</v>
      </c>
      <c r="D79" s="6" t="s">
        <v>539</v>
      </c>
      <c r="E79" s="6" t="s">
        <v>540</v>
      </c>
      <c r="F79" s="6">
        <v>10.7</v>
      </c>
    </row>
    <row r="80" spans="1:6" x14ac:dyDescent="0.3">
      <c r="A80" s="6" t="s">
        <v>426</v>
      </c>
      <c r="B80" s="6" t="s">
        <v>513</v>
      </c>
      <c r="C80" s="6" t="s">
        <v>514</v>
      </c>
      <c r="D80" s="6" t="s">
        <v>539</v>
      </c>
      <c r="E80" s="6" t="s">
        <v>540</v>
      </c>
      <c r="F80" s="6">
        <v>10.7</v>
      </c>
    </row>
    <row r="81" spans="1:6" x14ac:dyDescent="0.3">
      <c r="A81" s="6" t="s">
        <v>427</v>
      </c>
      <c r="B81" s="6" t="s">
        <v>517</v>
      </c>
      <c r="C81" s="6" t="s">
        <v>518</v>
      </c>
      <c r="D81" s="6" t="s">
        <v>539</v>
      </c>
      <c r="E81" s="6" t="s">
        <v>540</v>
      </c>
      <c r="F81" s="6">
        <v>10.7</v>
      </c>
    </row>
    <row r="82" spans="1:6" x14ac:dyDescent="0.3">
      <c r="A82" s="6" t="s">
        <v>428</v>
      </c>
      <c r="B82" s="6" t="s">
        <v>74</v>
      </c>
      <c r="C82" s="6" t="s">
        <v>110</v>
      </c>
      <c r="D82" s="6" t="s">
        <v>539</v>
      </c>
      <c r="E82" s="6" t="s">
        <v>540</v>
      </c>
      <c r="F82" s="6">
        <v>10.7</v>
      </c>
    </row>
    <row r="83" spans="1:6" x14ac:dyDescent="0.3">
      <c r="A83" s="6" t="s">
        <v>429</v>
      </c>
      <c r="B83" s="6" t="s">
        <v>228</v>
      </c>
      <c r="C83" s="6" t="s">
        <v>520</v>
      </c>
      <c r="D83" s="6" t="s">
        <v>539</v>
      </c>
      <c r="E83" s="6" t="s">
        <v>540</v>
      </c>
      <c r="F83" s="6">
        <v>10.7</v>
      </c>
    </row>
    <row r="84" spans="1:6" x14ac:dyDescent="0.3">
      <c r="A84" s="6" t="s">
        <v>430</v>
      </c>
      <c r="B84" s="6" t="s">
        <v>499</v>
      </c>
      <c r="C84" s="6" t="s">
        <v>323</v>
      </c>
      <c r="D84" s="6" t="s">
        <v>539</v>
      </c>
      <c r="E84" s="6" t="s">
        <v>540</v>
      </c>
      <c r="F84" s="6">
        <v>5.75</v>
      </c>
    </row>
    <row r="85" spans="1:6" x14ac:dyDescent="0.3">
      <c r="A85" s="6" t="s">
        <v>431</v>
      </c>
      <c r="B85" s="6" t="s">
        <v>95</v>
      </c>
      <c r="C85" s="6" t="s">
        <v>97</v>
      </c>
      <c r="D85" s="6" t="s">
        <v>539</v>
      </c>
      <c r="E85" s="6" t="s">
        <v>540</v>
      </c>
      <c r="F85" s="6">
        <v>11</v>
      </c>
    </row>
    <row r="86" spans="1:6" x14ac:dyDescent="0.3">
      <c r="A86" s="6" t="s">
        <v>432</v>
      </c>
      <c r="B86" s="6" t="s">
        <v>131</v>
      </c>
      <c r="C86" s="6" t="s">
        <v>133</v>
      </c>
      <c r="D86" s="6" t="s">
        <v>539</v>
      </c>
      <c r="E86" s="6" t="s">
        <v>540</v>
      </c>
      <c r="F86" s="6">
        <v>11</v>
      </c>
    </row>
    <row r="87" spans="1:6" x14ac:dyDescent="0.3">
      <c r="A87" s="6" t="s">
        <v>433</v>
      </c>
      <c r="B87" s="6" t="s">
        <v>168</v>
      </c>
      <c r="C87" s="6" t="s">
        <v>172</v>
      </c>
      <c r="D87" s="6" t="s">
        <v>539</v>
      </c>
      <c r="E87" s="6" t="s">
        <v>540</v>
      </c>
      <c r="F87" s="6">
        <v>11</v>
      </c>
    </row>
    <row r="88" spans="1:6" x14ac:dyDescent="0.3">
      <c r="A88" s="6" t="s">
        <v>434</v>
      </c>
      <c r="B88" s="6" t="s">
        <v>209</v>
      </c>
      <c r="C88" s="6" t="s">
        <v>213</v>
      </c>
      <c r="D88" s="6" t="s">
        <v>539</v>
      </c>
      <c r="E88" s="6" t="s">
        <v>540</v>
      </c>
      <c r="F88" s="6">
        <v>11</v>
      </c>
    </row>
    <row r="89" spans="1:6" x14ac:dyDescent="0.3">
      <c r="A89" s="6" t="s">
        <v>435</v>
      </c>
      <c r="B89" s="6" t="s">
        <v>290</v>
      </c>
      <c r="C89" s="6" t="s">
        <v>292</v>
      </c>
      <c r="D89" s="6" t="s">
        <v>539</v>
      </c>
      <c r="E89" s="6" t="s">
        <v>540</v>
      </c>
      <c r="F89" s="6">
        <v>11</v>
      </c>
    </row>
    <row r="90" spans="1:6" x14ac:dyDescent="0.3">
      <c r="A90" s="6" t="s">
        <v>436</v>
      </c>
      <c r="B90" s="6" t="s">
        <v>97</v>
      </c>
      <c r="C90" s="6" t="s">
        <v>133</v>
      </c>
      <c r="D90" s="6" t="s">
        <v>539</v>
      </c>
      <c r="E90" s="6" t="s">
        <v>540</v>
      </c>
      <c r="F90" s="6">
        <v>8.3000000000000007</v>
      </c>
    </row>
    <row r="91" spans="1:6" x14ac:dyDescent="0.3">
      <c r="A91" s="6" t="s">
        <v>437</v>
      </c>
      <c r="B91" s="6" t="s">
        <v>133</v>
      </c>
      <c r="C91" s="6" t="s">
        <v>172</v>
      </c>
      <c r="D91" s="6" t="s">
        <v>539</v>
      </c>
      <c r="E91" s="6" t="s">
        <v>540</v>
      </c>
      <c r="F91" s="6">
        <v>8.3000000000000007</v>
      </c>
    </row>
    <row r="92" spans="1:6" x14ac:dyDescent="0.3">
      <c r="A92" s="6" t="s">
        <v>438</v>
      </c>
      <c r="B92" s="6" t="s">
        <v>172</v>
      </c>
      <c r="C92" s="6" t="s">
        <v>213</v>
      </c>
      <c r="D92" s="6" t="s">
        <v>539</v>
      </c>
      <c r="E92" s="6" t="s">
        <v>540</v>
      </c>
      <c r="F92" s="6">
        <v>8.3000000000000007</v>
      </c>
    </row>
    <row r="93" spans="1:6" x14ac:dyDescent="0.3">
      <c r="A93" s="6" t="s">
        <v>439</v>
      </c>
      <c r="B93" s="6" t="s">
        <v>213</v>
      </c>
      <c r="C93" s="6" t="s">
        <v>251</v>
      </c>
      <c r="D93" s="6" t="s">
        <v>539</v>
      </c>
      <c r="E93" s="6" t="s">
        <v>540</v>
      </c>
      <c r="F93" s="6">
        <v>8.3000000000000007</v>
      </c>
    </row>
    <row r="94" spans="1:6" x14ac:dyDescent="0.3">
      <c r="A94" s="6" t="s">
        <v>440</v>
      </c>
      <c r="B94" s="6" t="s">
        <v>251</v>
      </c>
      <c r="C94" s="6" t="s">
        <v>292</v>
      </c>
      <c r="D94" s="6" t="s">
        <v>539</v>
      </c>
      <c r="E94" s="6" t="s">
        <v>540</v>
      </c>
      <c r="F94" s="6">
        <v>8.3000000000000007</v>
      </c>
    </row>
    <row r="95" spans="1:6" x14ac:dyDescent="0.3">
      <c r="A95" s="6" t="s">
        <v>441</v>
      </c>
      <c r="B95" s="6" t="s">
        <v>250</v>
      </c>
      <c r="C95" s="6" t="s">
        <v>251</v>
      </c>
      <c r="D95" s="6" t="s">
        <v>539</v>
      </c>
      <c r="E95" s="6" t="s">
        <v>540</v>
      </c>
      <c r="F95" s="6">
        <v>11</v>
      </c>
    </row>
    <row r="96" spans="1:6" x14ac:dyDescent="0.3">
      <c r="A96" s="6" t="s">
        <v>442</v>
      </c>
      <c r="B96" s="6" t="s">
        <v>60</v>
      </c>
      <c r="C96" s="6" t="s">
        <v>61</v>
      </c>
      <c r="D96" s="6" t="s">
        <v>539</v>
      </c>
      <c r="E96" s="6" t="s">
        <v>540</v>
      </c>
      <c r="F96" s="6">
        <v>11</v>
      </c>
    </row>
    <row r="97" spans="1:6" x14ac:dyDescent="0.3">
      <c r="A97" s="6" t="s">
        <v>443</v>
      </c>
      <c r="B97" s="6" t="s">
        <v>324</v>
      </c>
      <c r="C97" s="6" t="s">
        <v>326</v>
      </c>
      <c r="D97" s="6" t="s">
        <v>539</v>
      </c>
      <c r="E97" s="6" t="s">
        <v>540</v>
      </c>
      <c r="F97" s="6">
        <v>11</v>
      </c>
    </row>
    <row r="98" spans="1:6" x14ac:dyDescent="0.3">
      <c r="A98" s="6" t="s">
        <v>444</v>
      </c>
      <c r="B98" s="6" t="s">
        <v>61</v>
      </c>
      <c r="C98" s="6" t="s">
        <v>97</v>
      </c>
      <c r="D98" s="6" t="s">
        <v>539</v>
      </c>
      <c r="E98" s="6" t="s">
        <v>540</v>
      </c>
      <c r="F98" s="6">
        <v>8.3000000000000007</v>
      </c>
    </row>
    <row r="99" spans="1:6" x14ac:dyDescent="0.3">
      <c r="A99" s="6" t="s">
        <v>445</v>
      </c>
      <c r="B99" s="6" t="s">
        <v>292</v>
      </c>
      <c r="C99" s="6" t="s">
        <v>326</v>
      </c>
      <c r="D99" s="6" t="s">
        <v>539</v>
      </c>
      <c r="E99" s="6" t="s">
        <v>540</v>
      </c>
      <c r="F99" s="6">
        <v>5.75</v>
      </c>
    </row>
    <row r="100" spans="1:6" x14ac:dyDescent="0.3">
      <c r="A100" s="6" t="s">
        <v>446</v>
      </c>
      <c r="B100" s="6" t="s">
        <v>506</v>
      </c>
      <c r="C100" s="6" t="s">
        <v>507</v>
      </c>
      <c r="D100" s="6" t="s">
        <v>539</v>
      </c>
      <c r="E100" s="6" t="s">
        <v>540</v>
      </c>
      <c r="F100" s="6">
        <v>11</v>
      </c>
    </row>
    <row r="101" spans="1:6" x14ac:dyDescent="0.3">
      <c r="A101" s="6" t="s">
        <v>447</v>
      </c>
      <c r="B101" s="6" t="s">
        <v>510</v>
      </c>
      <c r="C101" s="6" t="s">
        <v>511</v>
      </c>
      <c r="D101" s="6" t="s">
        <v>539</v>
      </c>
      <c r="E101" s="6" t="s">
        <v>540</v>
      </c>
      <c r="F101" s="6">
        <v>11</v>
      </c>
    </row>
    <row r="102" spans="1:6" x14ac:dyDescent="0.3">
      <c r="A102" s="6" t="s">
        <v>448</v>
      </c>
      <c r="B102" s="6" t="s">
        <v>514</v>
      </c>
      <c r="C102" s="6" t="s">
        <v>515</v>
      </c>
      <c r="D102" s="6" t="s">
        <v>539</v>
      </c>
      <c r="E102" s="6" t="s">
        <v>540</v>
      </c>
      <c r="F102" s="6">
        <v>11</v>
      </c>
    </row>
    <row r="103" spans="1:6" x14ac:dyDescent="0.3">
      <c r="A103" s="6" t="s">
        <v>449</v>
      </c>
      <c r="B103" s="6" t="s">
        <v>110</v>
      </c>
      <c r="C103" s="6" t="s">
        <v>146</v>
      </c>
      <c r="D103" s="6" t="s">
        <v>539</v>
      </c>
      <c r="E103" s="6" t="s">
        <v>540</v>
      </c>
      <c r="F103" s="6">
        <v>11</v>
      </c>
    </row>
    <row r="104" spans="1:6" x14ac:dyDescent="0.3">
      <c r="A104" s="6" t="s">
        <v>450</v>
      </c>
      <c r="B104" s="6" t="s">
        <v>520</v>
      </c>
      <c r="C104" s="6" t="s">
        <v>521</v>
      </c>
      <c r="D104" s="6" t="s">
        <v>539</v>
      </c>
      <c r="E104" s="6" t="s">
        <v>540</v>
      </c>
      <c r="F104" s="6">
        <v>11</v>
      </c>
    </row>
    <row r="105" spans="1:6" x14ac:dyDescent="0.3">
      <c r="A105" s="6" t="s">
        <v>451</v>
      </c>
      <c r="B105" s="6" t="s">
        <v>500</v>
      </c>
      <c r="C105" s="6" t="s">
        <v>501</v>
      </c>
      <c r="D105" s="6" t="s">
        <v>539</v>
      </c>
      <c r="E105" s="6" t="s">
        <v>540</v>
      </c>
      <c r="F105" s="6">
        <v>8.3000000000000007</v>
      </c>
    </row>
    <row r="106" spans="1:6" x14ac:dyDescent="0.3">
      <c r="A106" s="6" t="s">
        <v>452</v>
      </c>
      <c r="B106" s="6" t="s">
        <v>502</v>
      </c>
      <c r="C106" s="6" t="s">
        <v>325</v>
      </c>
      <c r="D106" s="6" t="s">
        <v>539</v>
      </c>
      <c r="E106" s="6" t="s">
        <v>540</v>
      </c>
      <c r="F106" s="6">
        <v>5.75</v>
      </c>
    </row>
    <row r="107" spans="1:6" x14ac:dyDescent="0.3">
      <c r="A107" s="6" t="s">
        <v>453</v>
      </c>
      <c r="B107" s="6" t="s">
        <v>61</v>
      </c>
      <c r="C107" s="6" t="s">
        <v>62</v>
      </c>
      <c r="D107" s="6" t="s">
        <v>539</v>
      </c>
      <c r="E107" s="6" t="s">
        <v>540</v>
      </c>
      <c r="F107" s="6">
        <v>9.9</v>
      </c>
    </row>
    <row r="108" spans="1:6" x14ac:dyDescent="0.3">
      <c r="A108" s="6" t="s">
        <v>454</v>
      </c>
      <c r="B108" s="6" t="s">
        <v>62</v>
      </c>
      <c r="C108" s="6" t="s">
        <v>98</v>
      </c>
      <c r="D108" s="6" t="s">
        <v>539</v>
      </c>
      <c r="E108" s="6" t="s">
        <v>540</v>
      </c>
      <c r="F108" s="6">
        <v>8.3000000000000007</v>
      </c>
    </row>
    <row r="109" spans="1:6" x14ac:dyDescent="0.3">
      <c r="A109" s="6" t="s">
        <v>455</v>
      </c>
      <c r="B109" s="6" t="s">
        <v>98</v>
      </c>
      <c r="C109" s="6" t="s">
        <v>134</v>
      </c>
      <c r="D109" s="6" t="s">
        <v>539</v>
      </c>
      <c r="E109" s="6" t="s">
        <v>540</v>
      </c>
      <c r="F109" s="6">
        <v>8.3000000000000007</v>
      </c>
    </row>
    <row r="110" spans="1:6" x14ac:dyDescent="0.3">
      <c r="A110" s="6" t="s">
        <v>456</v>
      </c>
      <c r="B110" s="6" t="s">
        <v>134</v>
      </c>
      <c r="C110" s="6" t="s">
        <v>173</v>
      </c>
      <c r="D110" s="6" t="s">
        <v>539</v>
      </c>
      <c r="E110" s="6" t="s">
        <v>540</v>
      </c>
      <c r="F110" s="6">
        <v>8.3000000000000007</v>
      </c>
    </row>
    <row r="111" spans="1:6" x14ac:dyDescent="0.3">
      <c r="A111" s="6" t="s">
        <v>457</v>
      </c>
      <c r="B111" s="6" t="s">
        <v>173</v>
      </c>
      <c r="C111" s="6" t="s">
        <v>214</v>
      </c>
      <c r="D111" s="6" t="s">
        <v>539</v>
      </c>
      <c r="E111" s="6" t="s">
        <v>540</v>
      </c>
      <c r="F111" s="6">
        <v>8.3000000000000007</v>
      </c>
    </row>
    <row r="112" spans="1:6" x14ac:dyDescent="0.3">
      <c r="A112" s="6" t="s">
        <v>458</v>
      </c>
      <c r="B112" s="6" t="s">
        <v>214</v>
      </c>
      <c r="C112" s="6" t="s">
        <v>252</v>
      </c>
      <c r="D112" s="6" t="s">
        <v>539</v>
      </c>
      <c r="E112" s="6" t="s">
        <v>540</v>
      </c>
      <c r="F112" s="6">
        <v>8.3000000000000007</v>
      </c>
    </row>
    <row r="113" spans="1:6" x14ac:dyDescent="0.3">
      <c r="A113" s="6" t="s">
        <v>459</v>
      </c>
      <c r="B113" s="6" t="s">
        <v>252</v>
      </c>
      <c r="C113" s="6" t="s">
        <v>294</v>
      </c>
      <c r="D113" s="6" t="s">
        <v>539</v>
      </c>
      <c r="E113" s="6" t="s">
        <v>540</v>
      </c>
      <c r="F113" s="6">
        <v>8.3000000000000007</v>
      </c>
    </row>
    <row r="114" spans="1:6" x14ac:dyDescent="0.3">
      <c r="A114" s="6" t="s">
        <v>460</v>
      </c>
      <c r="B114" s="6" t="s">
        <v>294</v>
      </c>
      <c r="C114" s="6" t="s">
        <v>328</v>
      </c>
      <c r="D114" s="6" t="s">
        <v>539</v>
      </c>
      <c r="E114" s="6" t="s">
        <v>540</v>
      </c>
      <c r="F114" s="6">
        <v>5.75</v>
      </c>
    </row>
    <row r="115" spans="1:6" x14ac:dyDescent="0.3">
      <c r="A115" s="6" t="s">
        <v>461</v>
      </c>
      <c r="B115" s="6" t="s">
        <v>326</v>
      </c>
      <c r="C115" s="6" t="s">
        <v>328</v>
      </c>
      <c r="D115" s="6" t="s">
        <v>539</v>
      </c>
      <c r="E115" s="6" t="s">
        <v>540</v>
      </c>
      <c r="F115" s="6">
        <v>9.9</v>
      </c>
    </row>
    <row r="116" spans="1:6" x14ac:dyDescent="0.3">
      <c r="A116" s="6" t="s">
        <v>462</v>
      </c>
      <c r="B116" s="6" t="s">
        <v>97</v>
      </c>
      <c r="C116" s="6" t="s">
        <v>98</v>
      </c>
      <c r="D116" s="6" t="s">
        <v>539</v>
      </c>
      <c r="E116" s="6" t="s">
        <v>540</v>
      </c>
      <c r="F116" s="6">
        <v>9.9</v>
      </c>
    </row>
    <row r="117" spans="1:6" x14ac:dyDescent="0.3">
      <c r="A117" s="6" t="s">
        <v>463</v>
      </c>
      <c r="B117" s="6" t="s">
        <v>133</v>
      </c>
      <c r="C117" s="6" t="s">
        <v>134</v>
      </c>
      <c r="D117" s="6" t="s">
        <v>539</v>
      </c>
      <c r="E117" s="6" t="s">
        <v>540</v>
      </c>
      <c r="F117" s="6">
        <v>9.9</v>
      </c>
    </row>
    <row r="118" spans="1:6" x14ac:dyDescent="0.3">
      <c r="A118" s="6" t="s">
        <v>464</v>
      </c>
      <c r="B118" s="6" t="s">
        <v>172</v>
      </c>
      <c r="C118" s="6" t="s">
        <v>173</v>
      </c>
      <c r="D118" s="6" t="s">
        <v>539</v>
      </c>
      <c r="E118" s="6" t="s">
        <v>540</v>
      </c>
      <c r="F118" s="6">
        <v>9.9</v>
      </c>
    </row>
    <row r="119" spans="1:6" x14ac:dyDescent="0.3">
      <c r="A119" s="6" t="s">
        <v>465</v>
      </c>
      <c r="B119" s="6" t="s">
        <v>213</v>
      </c>
      <c r="C119" s="6" t="s">
        <v>214</v>
      </c>
      <c r="D119" s="6" t="s">
        <v>539</v>
      </c>
      <c r="E119" s="6" t="s">
        <v>540</v>
      </c>
      <c r="F119" s="6">
        <v>9.9</v>
      </c>
    </row>
    <row r="120" spans="1:6" x14ac:dyDescent="0.3">
      <c r="A120" s="6" t="s">
        <v>466</v>
      </c>
      <c r="B120" s="6" t="s">
        <v>251</v>
      </c>
      <c r="C120" s="6" t="s">
        <v>252</v>
      </c>
      <c r="D120" s="6" t="s">
        <v>539</v>
      </c>
      <c r="E120" s="6" t="s">
        <v>540</v>
      </c>
      <c r="F120" s="6">
        <v>9.9</v>
      </c>
    </row>
    <row r="121" spans="1:6" x14ac:dyDescent="0.3">
      <c r="A121" s="6" t="s">
        <v>467</v>
      </c>
      <c r="B121" s="6" t="s">
        <v>292</v>
      </c>
      <c r="C121" s="6" t="s">
        <v>294</v>
      </c>
      <c r="D121" s="6" t="s">
        <v>539</v>
      </c>
      <c r="E121" s="6" t="s">
        <v>540</v>
      </c>
      <c r="F121" s="6">
        <v>9.9</v>
      </c>
    </row>
    <row r="122" spans="1:6" x14ac:dyDescent="0.3">
      <c r="A122" s="6" t="s">
        <v>468</v>
      </c>
      <c r="B122" s="6" t="s">
        <v>507</v>
      </c>
      <c r="C122" s="6" t="s">
        <v>80</v>
      </c>
      <c r="D122" s="6" t="s">
        <v>539</v>
      </c>
      <c r="E122" s="6" t="s">
        <v>540</v>
      </c>
      <c r="F122" s="6">
        <v>9.9</v>
      </c>
    </row>
    <row r="123" spans="1:6" x14ac:dyDescent="0.3">
      <c r="A123" s="6" t="s">
        <v>469</v>
      </c>
      <c r="B123" s="6" t="s">
        <v>511</v>
      </c>
      <c r="C123" s="6" t="s">
        <v>116</v>
      </c>
      <c r="D123" s="6" t="s">
        <v>539</v>
      </c>
      <c r="E123" s="6" t="s">
        <v>540</v>
      </c>
      <c r="F123" s="6">
        <v>9.9</v>
      </c>
    </row>
    <row r="124" spans="1:6" x14ac:dyDescent="0.3">
      <c r="A124" s="6" t="s">
        <v>470</v>
      </c>
      <c r="B124" s="6" t="s">
        <v>515</v>
      </c>
      <c r="C124" s="6" t="s">
        <v>151</v>
      </c>
      <c r="D124" s="6" t="s">
        <v>539</v>
      </c>
      <c r="E124" s="6" t="s">
        <v>540</v>
      </c>
      <c r="F124" s="6">
        <v>9.9</v>
      </c>
    </row>
    <row r="125" spans="1:6" x14ac:dyDescent="0.3">
      <c r="A125" s="6" t="s">
        <v>471</v>
      </c>
      <c r="B125" s="6" t="s">
        <v>519</v>
      </c>
      <c r="C125" s="6" t="s">
        <v>192</v>
      </c>
      <c r="D125" s="6" t="s">
        <v>539</v>
      </c>
      <c r="E125" s="6" t="s">
        <v>540</v>
      </c>
      <c r="F125" s="6">
        <v>9.9</v>
      </c>
    </row>
    <row r="126" spans="1:6" x14ac:dyDescent="0.3">
      <c r="A126" s="6" t="s">
        <v>472</v>
      </c>
      <c r="B126" s="6" t="s">
        <v>146</v>
      </c>
      <c r="C126" s="6" t="s">
        <v>233</v>
      </c>
      <c r="D126" s="6" t="s">
        <v>539</v>
      </c>
      <c r="E126" s="6" t="s">
        <v>540</v>
      </c>
      <c r="F126" s="6">
        <v>9.9</v>
      </c>
    </row>
    <row r="127" spans="1:6" x14ac:dyDescent="0.3">
      <c r="A127" s="6" t="s">
        <v>473</v>
      </c>
      <c r="B127" s="6" t="s">
        <v>521</v>
      </c>
      <c r="C127" s="6" t="s">
        <v>271</v>
      </c>
      <c r="D127" s="6" t="s">
        <v>539</v>
      </c>
      <c r="E127" s="6" t="s">
        <v>540</v>
      </c>
      <c r="F127" s="6">
        <v>9.9</v>
      </c>
    </row>
    <row r="128" spans="1:6" x14ac:dyDescent="0.3">
      <c r="A128" s="6" t="s">
        <v>474</v>
      </c>
      <c r="B128" s="6" t="s">
        <v>503</v>
      </c>
      <c r="C128" s="6" t="s">
        <v>327</v>
      </c>
      <c r="D128" s="6" t="s">
        <v>539</v>
      </c>
      <c r="E128" s="6" t="s">
        <v>540</v>
      </c>
      <c r="F128" s="6">
        <v>5.75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6"/>
  <dimension ref="D4:DK41"/>
  <sheetViews>
    <sheetView workbookViewId="0">
      <selection activeCell="H6" sqref="H6"/>
    </sheetView>
  </sheetViews>
  <sheetFormatPr defaultColWidth="8.88671875" defaultRowHeight="15.6" x14ac:dyDescent="0.3"/>
  <cols>
    <col min="1" max="3" width="8.88671875" style="6"/>
    <col min="4" max="4" width="10.33203125" style="6" bestFit="1" customWidth="1"/>
    <col min="5" max="5" width="17.88671875" style="6" bestFit="1" customWidth="1"/>
    <col min="6" max="6" width="11.44140625" style="6" bestFit="1" customWidth="1"/>
    <col min="7" max="7" width="8.88671875" style="6"/>
    <col min="8" max="10" width="9.44140625" style="6" bestFit="1" customWidth="1"/>
    <col min="11" max="12" width="12.33203125" style="6" bestFit="1" customWidth="1"/>
    <col min="13" max="13" width="9.44140625" style="6" bestFit="1" customWidth="1"/>
    <col min="14" max="15" width="9" style="6" bestFit="1" customWidth="1"/>
    <col min="16" max="16" width="9.44140625" style="6" bestFit="1" customWidth="1"/>
    <col min="17" max="18" width="9" style="6" bestFit="1" customWidth="1"/>
    <col min="19" max="19" width="9.44140625" style="6" bestFit="1" customWidth="1"/>
    <col min="20" max="21" width="9" style="6" bestFit="1" customWidth="1"/>
    <col min="22" max="22" width="9.44140625" style="6" bestFit="1" customWidth="1"/>
    <col min="23" max="24" width="9" style="6" bestFit="1" customWidth="1"/>
    <col min="25" max="25" width="9.44140625" style="6" bestFit="1" customWidth="1"/>
    <col min="26" max="27" width="9" style="6" bestFit="1" customWidth="1"/>
    <col min="28" max="28" width="9.44140625" style="6" bestFit="1" customWidth="1"/>
    <col min="29" max="30" width="9" style="6" bestFit="1" customWidth="1"/>
    <col min="31" max="31" width="9.44140625" style="6" bestFit="1" customWidth="1"/>
    <col min="32" max="33" width="9" style="6" bestFit="1" customWidth="1"/>
    <col min="34" max="34" width="9.44140625" style="6" bestFit="1" customWidth="1"/>
    <col min="35" max="36" width="9" style="6" bestFit="1" customWidth="1"/>
    <col min="37" max="37" width="9.44140625" style="6" bestFit="1" customWidth="1"/>
    <col min="38" max="39" width="9" style="6" bestFit="1" customWidth="1"/>
    <col min="40" max="40" width="9.44140625" style="6" bestFit="1" customWidth="1"/>
    <col min="41" max="42" width="9" style="6" bestFit="1" customWidth="1"/>
    <col min="43" max="43" width="9.44140625" style="6" bestFit="1" customWidth="1"/>
    <col min="44" max="45" width="9" style="6" bestFit="1" customWidth="1"/>
    <col min="46" max="46" width="9.44140625" style="6" bestFit="1" customWidth="1"/>
    <col min="47" max="48" width="9" style="6" bestFit="1" customWidth="1"/>
    <col min="49" max="49" width="9.44140625" style="6" bestFit="1" customWidth="1"/>
    <col min="50" max="51" width="9" style="6" bestFit="1" customWidth="1"/>
    <col min="52" max="52" width="9.44140625" style="6" bestFit="1" customWidth="1"/>
    <col min="53" max="54" width="9" style="6" bestFit="1" customWidth="1"/>
    <col min="55" max="55" width="9.44140625" style="6" bestFit="1" customWidth="1"/>
    <col min="56" max="57" width="9" style="6" bestFit="1" customWidth="1"/>
    <col min="58" max="58" width="9.44140625" style="6" bestFit="1" customWidth="1"/>
    <col min="59" max="60" width="9" style="6" bestFit="1" customWidth="1"/>
    <col min="61" max="61" width="9.44140625" style="6" bestFit="1" customWidth="1"/>
    <col min="62" max="63" width="9" style="6" bestFit="1" customWidth="1"/>
    <col min="64" max="64" width="9.44140625" style="6" bestFit="1" customWidth="1"/>
    <col min="65" max="66" width="9" style="6" bestFit="1" customWidth="1"/>
    <col min="67" max="67" width="9.44140625" style="6" bestFit="1" customWidth="1"/>
    <col min="68" max="69" width="9" style="6" bestFit="1" customWidth="1"/>
    <col min="70" max="70" width="9.44140625" style="6" bestFit="1" customWidth="1"/>
    <col min="71" max="72" width="9" style="6" bestFit="1" customWidth="1"/>
    <col min="73" max="73" width="9.44140625" style="6" bestFit="1" customWidth="1"/>
    <col min="74" max="75" width="9" style="6" bestFit="1" customWidth="1"/>
    <col min="76" max="76" width="9.44140625" style="6" bestFit="1" customWidth="1"/>
    <col min="77" max="78" width="9" style="6" bestFit="1" customWidth="1"/>
    <col min="79" max="79" width="9.44140625" style="6" bestFit="1" customWidth="1"/>
    <col min="80" max="81" width="9" style="6" bestFit="1" customWidth="1"/>
    <col min="82" max="82" width="9.44140625" style="6" bestFit="1" customWidth="1"/>
    <col min="83" max="84" width="9" style="6" bestFit="1" customWidth="1"/>
    <col min="85" max="85" width="9.44140625" style="6" bestFit="1" customWidth="1"/>
    <col min="86" max="87" width="9" style="6" bestFit="1" customWidth="1"/>
    <col min="88" max="88" width="9.44140625" style="6" bestFit="1" customWidth="1"/>
    <col min="89" max="90" width="9" style="6" bestFit="1" customWidth="1"/>
    <col min="91" max="91" width="9.44140625" style="6" bestFit="1" customWidth="1"/>
    <col min="92" max="93" width="9" style="6" bestFit="1" customWidth="1"/>
    <col min="94" max="94" width="9.44140625" style="6" bestFit="1" customWidth="1"/>
    <col min="95" max="96" width="9" style="6" bestFit="1" customWidth="1"/>
    <col min="97" max="97" width="9.44140625" style="6" bestFit="1" customWidth="1"/>
    <col min="98" max="99" width="9" style="6" bestFit="1" customWidth="1"/>
    <col min="100" max="100" width="9.44140625" style="6" bestFit="1" customWidth="1"/>
    <col min="101" max="102" width="9" style="6" bestFit="1" customWidth="1"/>
    <col min="103" max="103" width="9.44140625" style="6" bestFit="1" customWidth="1"/>
    <col min="104" max="105" width="9" style="6" bestFit="1" customWidth="1"/>
    <col min="106" max="106" width="9.44140625" style="6" bestFit="1" customWidth="1"/>
    <col min="107" max="108" width="9" style="6" bestFit="1" customWidth="1"/>
    <col min="109" max="109" width="9.44140625" style="6" bestFit="1" customWidth="1"/>
    <col min="110" max="111" width="9" style="6" bestFit="1" customWidth="1"/>
    <col min="112" max="112" width="9.44140625" style="6" bestFit="1" customWidth="1"/>
    <col min="113" max="114" width="9" style="6" bestFit="1" customWidth="1"/>
    <col min="115" max="115" width="9.44140625" style="6" bestFit="1" customWidth="1"/>
    <col min="116" max="16384" width="8.88671875" style="6"/>
  </cols>
  <sheetData>
    <row r="4" spans="4:115" ht="16.2" thickBot="1" x14ac:dyDescent="0.35">
      <c r="H4" s="6" t="s">
        <v>11</v>
      </c>
      <c r="K4" s="6" t="s">
        <v>12</v>
      </c>
      <c r="N4" s="6" t="s">
        <v>13</v>
      </c>
      <c r="Q4" s="6" t="s">
        <v>14</v>
      </c>
      <c r="T4" s="6" t="s">
        <v>15</v>
      </c>
      <c r="W4" s="6" t="s">
        <v>16</v>
      </c>
      <c r="Z4" s="6" t="s">
        <v>17</v>
      </c>
      <c r="AC4" s="6" t="s">
        <v>18</v>
      </c>
      <c r="AF4" s="6" t="s">
        <v>19</v>
      </c>
      <c r="AI4" s="6" t="s">
        <v>20</v>
      </c>
      <c r="AL4" s="6" t="s">
        <v>21</v>
      </c>
      <c r="AO4" s="6" t="s">
        <v>22</v>
      </c>
      <c r="AR4" s="6" t="s">
        <v>23</v>
      </c>
      <c r="AU4" s="6" t="s">
        <v>24</v>
      </c>
      <c r="AX4" s="6" t="s">
        <v>25</v>
      </c>
      <c r="BA4" s="6" t="s">
        <v>26</v>
      </c>
      <c r="BD4" s="6" t="s">
        <v>27</v>
      </c>
      <c r="BG4" s="6" t="s">
        <v>28</v>
      </c>
      <c r="BJ4" s="6" t="s">
        <v>29</v>
      </c>
      <c r="BM4" s="6" t="s">
        <v>30</v>
      </c>
      <c r="BP4" s="6" t="s">
        <v>31</v>
      </c>
      <c r="BS4" s="6" t="s">
        <v>32</v>
      </c>
      <c r="BV4" s="6" t="s">
        <v>33</v>
      </c>
      <c r="BY4" s="6" t="s">
        <v>34</v>
      </c>
      <c r="CB4" s="6" t="s">
        <v>35</v>
      </c>
      <c r="CE4" s="6" t="s">
        <v>36</v>
      </c>
      <c r="CH4" s="6" t="s">
        <v>37</v>
      </c>
      <c r="CK4" s="6" t="s">
        <v>38</v>
      </c>
      <c r="CN4" s="6" t="s">
        <v>39</v>
      </c>
      <c r="CQ4" s="6" t="s">
        <v>40</v>
      </c>
      <c r="CT4" s="6" t="s">
        <v>41</v>
      </c>
      <c r="CW4" s="6" t="s">
        <v>42</v>
      </c>
      <c r="CZ4" s="6" t="s">
        <v>43</v>
      </c>
      <c r="DC4" s="6" t="s">
        <v>44</v>
      </c>
      <c r="DF4" s="6" t="s">
        <v>45</v>
      </c>
      <c r="DI4" s="6" t="s">
        <v>46</v>
      </c>
    </row>
    <row r="5" spans="4:115" ht="16.2" thickBot="1" x14ac:dyDescent="0.35">
      <c r="D5" s="1" t="s">
        <v>476</v>
      </c>
      <c r="E5" s="2" t="s">
        <v>477</v>
      </c>
      <c r="F5" s="2" t="s">
        <v>478</v>
      </c>
      <c r="H5" s="6" t="s">
        <v>342</v>
      </c>
      <c r="I5" s="6" t="s">
        <v>343</v>
      </c>
      <c r="J5" s="6" t="s">
        <v>549</v>
      </c>
      <c r="K5" s="6" t="s">
        <v>342</v>
      </c>
      <c r="L5" s="6" t="s">
        <v>343</v>
      </c>
      <c r="M5" s="6" t="s">
        <v>549</v>
      </c>
      <c r="N5" s="6" t="s">
        <v>342</v>
      </c>
      <c r="O5" s="6" t="s">
        <v>343</v>
      </c>
      <c r="P5" s="6" t="s">
        <v>549</v>
      </c>
      <c r="Q5" s="6" t="s">
        <v>342</v>
      </c>
      <c r="R5" s="6" t="s">
        <v>343</v>
      </c>
      <c r="S5" s="6" t="s">
        <v>549</v>
      </c>
      <c r="T5" s="6" t="s">
        <v>342</v>
      </c>
      <c r="U5" s="6" t="s">
        <v>343</v>
      </c>
      <c r="V5" s="6" t="s">
        <v>549</v>
      </c>
      <c r="W5" s="6" t="s">
        <v>342</v>
      </c>
      <c r="X5" s="6" t="s">
        <v>343</v>
      </c>
      <c r="Y5" s="6" t="s">
        <v>549</v>
      </c>
      <c r="Z5" s="6" t="s">
        <v>342</v>
      </c>
      <c r="AA5" s="6" t="s">
        <v>343</v>
      </c>
      <c r="AB5" s="6" t="s">
        <v>549</v>
      </c>
      <c r="AC5" s="6" t="s">
        <v>342</v>
      </c>
      <c r="AD5" s="6" t="s">
        <v>343</v>
      </c>
      <c r="AE5" s="6" t="s">
        <v>549</v>
      </c>
      <c r="AF5" s="6" t="s">
        <v>342</v>
      </c>
      <c r="AG5" s="6" t="s">
        <v>343</v>
      </c>
      <c r="AH5" s="6" t="s">
        <v>549</v>
      </c>
      <c r="AI5" s="6" t="s">
        <v>342</v>
      </c>
      <c r="AJ5" s="6" t="s">
        <v>343</v>
      </c>
      <c r="AK5" s="6" t="s">
        <v>549</v>
      </c>
      <c r="AL5" s="6" t="s">
        <v>342</v>
      </c>
      <c r="AM5" s="6" t="s">
        <v>343</v>
      </c>
      <c r="AN5" s="6" t="s">
        <v>549</v>
      </c>
      <c r="AO5" s="6" t="s">
        <v>342</v>
      </c>
      <c r="AP5" s="6" t="s">
        <v>343</v>
      </c>
      <c r="AQ5" s="6" t="s">
        <v>549</v>
      </c>
      <c r="AR5" s="6" t="s">
        <v>342</v>
      </c>
      <c r="AS5" s="6" t="s">
        <v>343</v>
      </c>
      <c r="AT5" s="6" t="s">
        <v>549</v>
      </c>
      <c r="AU5" s="6" t="s">
        <v>342</v>
      </c>
      <c r="AV5" s="6" t="s">
        <v>343</v>
      </c>
      <c r="AW5" s="6" t="s">
        <v>549</v>
      </c>
      <c r="AX5" s="6" t="s">
        <v>342</v>
      </c>
      <c r="AY5" s="6" t="s">
        <v>343</v>
      </c>
      <c r="AZ5" s="6" t="s">
        <v>549</v>
      </c>
      <c r="BA5" s="6" t="s">
        <v>342</v>
      </c>
      <c r="BB5" s="6" t="s">
        <v>343</v>
      </c>
      <c r="BC5" s="6" t="s">
        <v>549</v>
      </c>
      <c r="BD5" s="6" t="s">
        <v>342</v>
      </c>
      <c r="BE5" s="6" t="s">
        <v>343</v>
      </c>
      <c r="BF5" s="6" t="s">
        <v>549</v>
      </c>
      <c r="BG5" s="6" t="s">
        <v>342</v>
      </c>
      <c r="BH5" s="6" t="s">
        <v>343</v>
      </c>
      <c r="BI5" s="6" t="s">
        <v>549</v>
      </c>
      <c r="BJ5" s="6" t="s">
        <v>342</v>
      </c>
      <c r="BK5" s="6" t="s">
        <v>343</v>
      </c>
      <c r="BL5" s="6" t="s">
        <v>549</v>
      </c>
      <c r="BM5" s="6" t="s">
        <v>342</v>
      </c>
      <c r="BN5" s="6" t="s">
        <v>343</v>
      </c>
      <c r="BO5" s="6" t="s">
        <v>549</v>
      </c>
      <c r="BP5" s="6" t="s">
        <v>342</v>
      </c>
      <c r="BQ5" s="6" t="s">
        <v>343</v>
      </c>
      <c r="BR5" s="6" t="s">
        <v>549</v>
      </c>
      <c r="BS5" s="6" t="s">
        <v>342</v>
      </c>
      <c r="BT5" s="6" t="s">
        <v>343</v>
      </c>
      <c r="BU5" s="6" t="s">
        <v>549</v>
      </c>
      <c r="BV5" s="6" t="s">
        <v>342</v>
      </c>
      <c r="BW5" s="6" t="s">
        <v>343</v>
      </c>
      <c r="BX5" s="6" t="s">
        <v>549</v>
      </c>
      <c r="BY5" s="6" t="s">
        <v>342</v>
      </c>
      <c r="BZ5" s="6" t="s">
        <v>343</v>
      </c>
      <c r="CA5" s="6" t="s">
        <v>549</v>
      </c>
      <c r="CB5" s="6" t="s">
        <v>342</v>
      </c>
      <c r="CC5" s="6" t="s">
        <v>343</v>
      </c>
      <c r="CD5" s="6" t="s">
        <v>549</v>
      </c>
      <c r="CE5" s="6" t="s">
        <v>342</v>
      </c>
      <c r="CF5" s="6" t="s">
        <v>343</v>
      </c>
      <c r="CG5" s="6" t="s">
        <v>549</v>
      </c>
      <c r="CH5" s="6" t="s">
        <v>342</v>
      </c>
      <c r="CI5" s="6" t="s">
        <v>343</v>
      </c>
      <c r="CJ5" s="6" t="s">
        <v>549</v>
      </c>
      <c r="CK5" s="6" t="s">
        <v>342</v>
      </c>
      <c r="CL5" s="6" t="s">
        <v>343</v>
      </c>
      <c r="CM5" s="6" t="s">
        <v>549</v>
      </c>
      <c r="CN5" s="6" t="s">
        <v>342</v>
      </c>
      <c r="CO5" s="6" t="s">
        <v>343</v>
      </c>
      <c r="CP5" s="6" t="s">
        <v>549</v>
      </c>
      <c r="CQ5" s="6" t="s">
        <v>342</v>
      </c>
      <c r="CR5" s="6" t="s">
        <v>343</v>
      </c>
      <c r="CS5" s="6" t="s">
        <v>549</v>
      </c>
      <c r="CT5" s="6" t="s">
        <v>342</v>
      </c>
      <c r="CU5" s="6" t="s">
        <v>343</v>
      </c>
      <c r="CV5" s="6" t="s">
        <v>549</v>
      </c>
      <c r="CW5" s="6" t="s">
        <v>342</v>
      </c>
      <c r="CX5" s="6" t="s">
        <v>343</v>
      </c>
      <c r="CY5" s="6" t="s">
        <v>549</v>
      </c>
      <c r="CZ5" s="6" t="s">
        <v>342</v>
      </c>
      <c r="DA5" s="6" t="s">
        <v>343</v>
      </c>
      <c r="DB5" s="6" t="s">
        <v>549</v>
      </c>
      <c r="DC5" s="6" t="s">
        <v>342</v>
      </c>
      <c r="DD5" s="6" t="s">
        <v>343</v>
      </c>
      <c r="DE5" s="6" t="s">
        <v>549</v>
      </c>
      <c r="DF5" s="6" t="s">
        <v>342</v>
      </c>
      <c r="DG5" s="6" t="s">
        <v>343</v>
      </c>
      <c r="DH5" s="6" t="s">
        <v>549</v>
      </c>
      <c r="DI5" s="6" t="s">
        <v>342</v>
      </c>
      <c r="DJ5" s="6" t="s">
        <v>343</v>
      </c>
      <c r="DK5" s="6" t="s">
        <v>549</v>
      </c>
    </row>
    <row r="6" spans="4:115" ht="16.2" thickBot="1" x14ac:dyDescent="0.35">
      <c r="D6" s="3" t="s">
        <v>11</v>
      </c>
      <c r="E6" s="4">
        <v>2798.3816587997303</v>
      </c>
      <c r="F6" s="5" t="str">
        <f>IF(E6&gt;250,"OK","N.G")</f>
        <v>OK</v>
      </c>
    </row>
    <row r="7" spans="4:115" ht="16.2" thickBot="1" x14ac:dyDescent="0.35">
      <c r="D7" s="3" t="s">
        <v>12</v>
      </c>
      <c r="E7" s="4">
        <v>2480.5738194859537</v>
      </c>
      <c r="F7" s="5" t="str">
        <f t="shared" ref="F7:F41" si="0">IF(E7&gt;250,"OK","N.G")</f>
        <v>OK</v>
      </c>
    </row>
    <row r="8" spans="4:115" ht="16.2" thickBot="1" x14ac:dyDescent="0.35">
      <c r="D8" s="3" t="s">
        <v>13</v>
      </c>
      <c r="E8" s="4">
        <v>3157.0939520730312</v>
      </c>
      <c r="F8" s="5" t="str">
        <f t="shared" si="0"/>
        <v>OK</v>
      </c>
    </row>
    <row r="9" spans="4:115" ht="16.2" thickBot="1" x14ac:dyDescent="0.35">
      <c r="D9" s="3" t="s">
        <v>14</v>
      </c>
      <c r="E9" s="4">
        <v>2660.2564102564106</v>
      </c>
      <c r="F9" s="5" t="str">
        <f t="shared" si="0"/>
        <v>OK</v>
      </c>
    </row>
    <row r="10" spans="4:115" ht="16.2" thickBot="1" x14ac:dyDescent="0.35">
      <c r="D10" s="3" t="s">
        <v>15</v>
      </c>
      <c r="E10" s="4">
        <v>2843.4395340870165</v>
      </c>
      <c r="F10" s="5" t="str">
        <f t="shared" si="0"/>
        <v>OK</v>
      </c>
    </row>
    <row r="11" spans="4:115" ht="16.2" thickBot="1" x14ac:dyDescent="0.35">
      <c r="D11" s="3" t="s">
        <v>16</v>
      </c>
      <c r="E11" s="4">
        <v>3210.8317214700201</v>
      </c>
      <c r="F11" s="5" t="str">
        <f t="shared" si="0"/>
        <v>OK</v>
      </c>
    </row>
    <row r="12" spans="4:115" ht="16.2" thickBot="1" x14ac:dyDescent="0.35">
      <c r="D12" s="3" t="s">
        <v>17</v>
      </c>
      <c r="E12" s="4">
        <v>2830.8321964529332</v>
      </c>
      <c r="F12" s="5" t="str">
        <f t="shared" si="0"/>
        <v>OK</v>
      </c>
    </row>
    <row r="13" spans="4:115" ht="16.2" thickBot="1" x14ac:dyDescent="0.35">
      <c r="D13" s="3" t="s">
        <v>18</v>
      </c>
      <c r="E13" s="4">
        <v>3219.5500387897596</v>
      </c>
      <c r="F13" s="5" t="str">
        <f t="shared" si="0"/>
        <v>OK</v>
      </c>
    </row>
    <row r="14" spans="4:115" ht="16.2" thickBot="1" x14ac:dyDescent="0.35">
      <c r="D14" s="3" t="s">
        <v>19</v>
      </c>
      <c r="E14" s="4">
        <v>2157.5253444242267</v>
      </c>
      <c r="F14" s="5" t="str">
        <f t="shared" si="0"/>
        <v>OK</v>
      </c>
    </row>
    <row r="15" spans="4:115" ht="16.2" thickBot="1" x14ac:dyDescent="0.35">
      <c r="D15" s="3" t="s">
        <v>20</v>
      </c>
      <c r="E15" s="4">
        <v>1985.1710117196842</v>
      </c>
      <c r="F15" s="5" t="str">
        <f t="shared" si="0"/>
        <v>OK</v>
      </c>
    </row>
    <row r="16" spans="4:115" ht="16.2" thickBot="1" x14ac:dyDescent="0.35">
      <c r="D16" s="3" t="s">
        <v>21</v>
      </c>
      <c r="E16" s="4">
        <v>2164.2764015645371</v>
      </c>
      <c r="F16" s="5" t="str">
        <f t="shared" si="0"/>
        <v>OK</v>
      </c>
    </row>
    <row r="17" spans="4:6" ht="16.2" thickBot="1" x14ac:dyDescent="0.35">
      <c r="D17" s="3" t="s">
        <v>22</v>
      </c>
      <c r="E17" s="4">
        <v>1981.8529130850052</v>
      </c>
      <c r="F17" s="5" t="str">
        <f t="shared" si="0"/>
        <v>OK</v>
      </c>
    </row>
    <row r="18" spans="4:6" ht="16.2" thickBot="1" x14ac:dyDescent="0.35">
      <c r="D18" s="3" t="s">
        <v>23</v>
      </c>
      <c r="E18" s="4">
        <v>3177.6416539050542</v>
      </c>
      <c r="F18" s="5" t="str">
        <f t="shared" si="0"/>
        <v>OK</v>
      </c>
    </row>
    <row r="19" spans="4:6" ht="16.2" thickBot="1" x14ac:dyDescent="0.35">
      <c r="D19" s="3" t="s">
        <v>24</v>
      </c>
      <c r="E19" s="4">
        <v>3643.5469710272173</v>
      </c>
      <c r="F19" s="5" t="str">
        <f t="shared" si="0"/>
        <v>OK</v>
      </c>
    </row>
    <row r="20" spans="4:6" ht="16.2" thickBot="1" x14ac:dyDescent="0.35">
      <c r="D20" s="3" t="s">
        <v>25</v>
      </c>
      <c r="E20" s="4">
        <v>3161.9047619047628</v>
      </c>
      <c r="F20" s="5" t="str">
        <f t="shared" si="0"/>
        <v>OK</v>
      </c>
    </row>
    <row r="21" spans="4:6" ht="16.2" thickBot="1" x14ac:dyDescent="0.35">
      <c r="D21" s="3" t="s">
        <v>26</v>
      </c>
      <c r="E21" s="4">
        <v>3654.7776309995597</v>
      </c>
      <c r="F21" s="5" t="str">
        <f t="shared" si="0"/>
        <v>OK</v>
      </c>
    </row>
    <row r="22" spans="4:6" ht="16.2" thickBot="1" x14ac:dyDescent="0.35">
      <c r="D22" s="3" t="s">
        <v>27</v>
      </c>
      <c r="E22" s="4">
        <v>2344.6327683615818</v>
      </c>
      <c r="F22" s="5" t="str">
        <f t="shared" si="0"/>
        <v>OK</v>
      </c>
    </row>
    <row r="23" spans="4:6" ht="16.2" thickBot="1" x14ac:dyDescent="0.35">
      <c r="D23" s="3" t="s">
        <v>28</v>
      </c>
      <c r="E23" s="4">
        <v>2142.4883840991224</v>
      </c>
      <c r="F23" s="5" t="str">
        <f t="shared" si="0"/>
        <v>OK</v>
      </c>
    </row>
    <row r="24" spans="4:6" ht="16.2" thickBot="1" x14ac:dyDescent="0.35">
      <c r="D24" s="3" t="s">
        <v>29</v>
      </c>
      <c r="E24" s="4">
        <v>2352.6077097505672</v>
      </c>
      <c r="F24" s="5" t="str">
        <f t="shared" si="0"/>
        <v>OK</v>
      </c>
    </row>
    <row r="25" spans="4:6" ht="16.2" thickBot="1" x14ac:dyDescent="0.35">
      <c r="D25" s="3" t="s">
        <v>30</v>
      </c>
      <c r="E25" s="4">
        <v>2138.6240659623813</v>
      </c>
      <c r="F25" s="5" t="str">
        <f t="shared" si="0"/>
        <v>OK</v>
      </c>
    </row>
    <row r="26" spans="4:6" ht="16.2" thickBot="1" x14ac:dyDescent="0.35">
      <c r="D26" s="3" t="s">
        <v>31</v>
      </c>
      <c r="E26" s="4">
        <v>2304.2754025541367</v>
      </c>
      <c r="F26" s="5" t="str">
        <f t="shared" si="0"/>
        <v>OK</v>
      </c>
    </row>
    <row r="27" spans="4:6" ht="16.2" thickBot="1" x14ac:dyDescent="0.35">
      <c r="D27" s="3" t="s">
        <v>32</v>
      </c>
      <c r="E27" s="4">
        <v>2370.074243289549</v>
      </c>
      <c r="F27" s="5" t="str">
        <f t="shared" si="0"/>
        <v>OK</v>
      </c>
    </row>
    <row r="28" spans="4:6" ht="16.2" thickBot="1" x14ac:dyDescent="0.35">
      <c r="D28" s="3" t="s">
        <v>33</v>
      </c>
      <c r="E28" s="4">
        <v>2301.7193566278429</v>
      </c>
      <c r="F28" s="5" t="str">
        <f t="shared" si="0"/>
        <v>OK</v>
      </c>
    </row>
    <row r="29" spans="4:6" ht="16.2" thickBot="1" x14ac:dyDescent="0.35">
      <c r="D29" s="3" t="s">
        <v>34</v>
      </c>
      <c r="E29" s="4">
        <v>2371.4285714285716</v>
      </c>
      <c r="F29" s="5" t="str">
        <f t="shared" si="0"/>
        <v>OK</v>
      </c>
    </row>
    <row r="30" spans="4:6" ht="16.2" thickBot="1" x14ac:dyDescent="0.35">
      <c r="D30" s="3" t="s">
        <v>35</v>
      </c>
      <c r="E30" s="4">
        <v>2139.1752577319589</v>
      </c>
      <c r="F30" s="5" t="str">
        <f t="shared" si="0"/>
        <v>OK</v>
      </c>
    </row>
    <row r="31" spans="4:6" ht="16.2" thickBot="1" x14ac:dyDescent="0.35">
      <c r="D31" s="3" t="s">
        <v>36</v>
      </c>
      <c r="E31" s="4">
        <v>2084.9032906304956</v>
      </c>
      <c r="F31" s="5" t="str">
        <f t="shared" si="0"/>
        <v>OK</v>
      </c>
    </row>
    <row r="32" spans="4:6" ht="16.2" thickBot="1" x14ac:dyDescent="0.35">
      <c r="D32" s="3" t="s">
        <v>37</v>
      </c>
      <c r="E32" s="4">
        <v>2140.8305390766054</v>
      </c>
      <c r="F32" s="5" t="str">
        <f t="shared" si="0"/>
        <v>OK</v>
      </c>
    </row>
    <row r="33" spans="4:6" ht="16.2" thickBot="1" x14ac:dyDescent="0.35">
      <c r="D33" s="3" t="s">
        <v>38</v>
      </c>
      <c r="E33" s="4">
        <v>2083.8563896560381</v>
      </c>
      <c r="F33" s="5" t="str">
        <f t="shared" si="0"/>
        <v>OK</v>
      </c>
    </row>
    <row r="34" spans="4:6" ht="16.2" thickBot="1" x14ac:dyDescent="0.35">
      <c r="D34" s="3" t="s">
        <v>39</v>
      </c>
      <c r="E34" s="4">
        <v>3218.3016673129123</v>
      </c>
      <c r="F34" s="5" t="str">
        <f t="shared" si="0"/>
        <v>OK</v>
      </c>
    </row>
    <row r="35" spans="4:6" ht="16.2" thickBot="1" x14ac:dyDescent="0.35">
      <c r="D35" s="3" t="s">
        <v>40</v>
      </c>
      <c r="E35" s="4">
        <v>3349.4753833736891</v>
      </c>
      <c r="F35" s="5" t="str">
        <f t="shared" si="0"/>
        <v>OK</v>
      </c>
    </row>
    <row r="36" spans="4:6" ht="16.2" thickBot="1" x14ac:dyDescent="0.35">
      <c r="D36" s="3" t="s">
        <v>41</v>
      </c>
      <c r="E36" s="4">
        <v>3213.3178474641895</v>
      </c>
      <c r="F36" s="5" t="str">
        <f t="shared" si="0"/>
        <v>OK</v>
      </c>
    </row>
    <row r="37" spans="4:6" ht="16.2" thickBot="1" x14ac:dyDescent="0.35">
      <c r="D37" s="3" t="s">
        <v>42</v>
      </c>
      <c r="E37" s="4">
        <v>3352.1809369951543</v>
      </c>
      <c r="F37" s="5" t="str">
        <f t="shared" si="0"/>
        <v>OK</v>
      </c>
    </row>
    <row r="38" spans="4:6" ht="16.2" thickBot="1" x14ac:dyDescent="0.35">
      <c r="D38" s="3" t="s">
        <v>43</v>
      </c>
      <c r="E38" s="4">
        <v>2906.1624649859946</v>
      </c>
      <c r="F38" s="5" t="str">
        <f t="shared" si="0"/>
        <v>OK</v>
      </c>
    </row>
    <row r="39" spans="4:6" ht="16.2" thickBot="1" x14ac:dyDescent="0.35">
      <c r="D39" s="3" t="s">
        <v>44</v>
      </c>
      <c r="E39" s="4">
        <v>2806.8988840040583</v>
      </c>
      <c r="F39" s="5" t="str">
        <f t="shared" si="0"/>
        <v>OK</v>
      </c>
    </row>
    <row r="40" spans="4:6" ht="16.2" thickBot="1" x14ac:dyDescent="0.35">
      <c r="D40" s="3" t="s">
        <v>45</v>
      </c>
      <c r="E40" s="4">
        <v>2909.2183666316164</v>
      </c>
      <c r="F40" s="5" t="str">
        <f t="shared" si="0"/>
        <v>OK</v>
      </c>
    </row>
    <row r="41" spans="4:6" ht="16.2" thickBot="1" x14ac:dyDescent="0.35">
      <c r="D41" s="3" t="s">
        <v>46</v>
      </c>
      <c r="E41" s="4">
        <v>2804.0540540540542</v>
      </c>
      <c r="F41" s="5" t="str">
        <f t="shared" si="0"/>
        <v>OK</v>
      </c>
    </row>
  </sheetData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3"/>
  <dimension ref="A1:DO128"/>
  <sheetViews>
    <sheetView zoomScale="85" zoomScaleNormal="85" workbookViewId="0">
      <selection activeCell="DO7" sqref="DO7"/>
    </sheetView>
  </sheetViews>
  <sheetFormatPr defaultRowHeight="15.6" x14ac:dyDescent="0.3"/>
  <cols>
    <col min="1" max="4" width="8.88671875" style="6"/>
    <col min="5" max="5" width="9.33203125" style="6" bestFit="1" customWidth="1"/>
    <col min="6" max="7" width="9.88671875" style="6" bestFit="1" customWidth="1"/>
    <col min="8" max="8" width="9.33203125" style="6" bestFit="1" customWidth="1"/>
    <col min="9" max="10" width="18.21875" style="6" bestFit="1" customWidth="1"/>
    <col min="11" max="11" width="9.33203125" style="6" bestFit="1" customWidth="1"/>
    <col min="12" max="13" width="10.44140625" style="6" bestFit="1" customWidth="1"/>
    <col min="14" max="14" width="12.21875" style="6" bestFit="1" customWidth="1"/>
    <col min="15" max="16" width="10.44140625" style="6" bestFit="1" customWidth="1"/>
    <col min="17" max="17" width="9.33203125" style="6" bestFit="1" customWidth="1"/>
    <col min="18" max="19" width="10.44140625" style="6" bestFit="1" customWidth="1"/>
    <col min="20" max="20" width="9.33203125" style="6" bestFit="1" customWidth="1"/>
    <col min="21" max="22" width="10.44140625" style="6" bestFit="1" customWidth="1"/>
    <col min="23" max="23" width="9.33203125" style="6" bestFit="1" customWidth="1"/>
    <col min="24" max="25" width="10.44140625" style="6" bestFit="1" customWidth="1"/>
    <col min="26" max="26" width="9.33203125" style="6" bestFit="1" customWidth="1"/>
    <col min="27" max="28" width="10.44140625" style="6" bestFit="1" customWidth="1"/>
    <col min="29" max="29" width="9.33203125" style="6" bestFit="1" customWidth="1"/>
    <col min="30" max="31" width="10.44140625" style="6" bestFit="1" customWidth="1"/>
    <col min="32" max="32" width="9.33203125" style="6" bestFit="1" customWidth="1"/>
    <col min="33" max="34" width="10.44140625" style="6" bestFit="1" customWidth="1"/>
    <col min="35" max="35" width="9.33203125" style="6" bestFit="1" customWidth="1"/>
    <col min="36" max="37" width="10.44140625" style="6" bestFit="1" customWidth="1"/>
    <col min="38" max="38" width="9.33203125" style="6" bestFit="1" customWidth="1"/>
    <col min="39" max="40" width="10.44140625" style="6" bestFit="1" customWidth="1"/>
    <col min="41" max="41" width="9.33203125" style="6" bestFit="1" customWidth="1"/>
    <col min="42" max="43" width="10.44140625" style="6" bestFit="1" customWidth="1"/>
    <col min="44" max="44" width="9.33203125" style="6" bestFit="1" customWidth="1"/>
    <col min="45" max="46" width="10.44140625" style="6" bestFit="1" customWidth="1"/>
    <col min="47" max="47" width="9.33203125" style="6" bestFit="1" customWidth="1"/>
    <col min="48" max="49" width="10.44140625" style="6" bestFit="1" customWidth="1"/>
    <col min="50" max="50" width="9.33203125" style="6" bestFit="1" customWidth="1"/>
    <col min="51" max="52" width="10.44140625" style="6" bestFit="1" customWidth="1"/>
    <col min="53" max="53" width="9.33203125" style="6" bestFit="1" customWidth="1"/>
    <col min="54" max="55" width="10.44140625" style="6" bestFit="1" customWidth="1"/>
    <col min="56" max="56" width="9.33203125" style="6" bestFit="1" customWidth="1"/>
    <col min="57" max="58" width="10.44140625" style="6" bestFit="1" customWidth="1"/>
    <col min="59" max="59" width="9.33203125" style="6" bestFit="1" customWidth="1"/>
    <col min="60" max="61" width="10.44140625" style="6" bestFit="1" customWidth="1"/>
    <col min="62" max="62" width="9.33203125" style="6" bestFit="1" customWidth="1"/>
    <col min="63" max="64" width="10.44140625" style="6" bestFit="1" customWidth="1"/>
    <col min="65" max="65" width="9.33203125" style="6" bestFit="1" customWidth="1"/>
    <col min="66" max="67" width="10.44140625" style="6" bestFit="1" customWidth="1"/>
    <col min="68" max="68" width="9.33203125" style="6" bestFit="1" customWidth="1"/>
    <col min="69" max="70" width="10.44140625" style="6" bestFit="1" customWidth="1"/>
    <col min="71" max="71" width="9.33203125" style="6" bestFit="1" customWidth="1"/>
    <col min="72" max="73" width="10.44140625" style="6" bestFit="1" customWidth="1"/>
    <col min="74" max="74" width="9.33203125" style="6" bestFit="1" customWidth="1"/>
    <col min="75" max="76" width="10.44140625" style="6" bestFit="1" customWidth="1"/>
    <col min="77" max="77" width="9.33203125" style="6" bestFit="1" customWidth="1"/>
    <col min="78" max="79" width="10.44140625" style="6" bestFit="1" customWidth="1"/>
    <col min="80" max="80" width="9.33203125" style="6" bestFit="1" customWidth="1"/>
    <col min="81" max="82" width="10.44140625" style="6" bestFit="1" customWidth="1"/>
    <col min="83" max="83" width="9.33203125" style="6" bestFit="1" customWidth="1"/>
    <col min="84" max="85" width="10.44140625" style="6" bestFit="1" customWidth="1"/>
    <col min="86" max="86" width="9.33203125" style="6" bestFit="1" customWidth="1"/>
    <col min="87" max="88" width="10.44140625" style="6" bestFit="1" customWidth="1"/>
    <col min="89" max="89" width="9.33203125" style="6" bestFit="1" customWidth="1"/>
    <col min="90" max="91" width="10.44140625" style="6" bestFit="1" customWidth="1"/>
    <col min="92" max="92" width="9.33203125" style="6" bestFit="1" customWidth="1"/>
    <col min="93" max="94" width="10.44140625" style="6" bestFit="1" customWidth="1"/>
    <col min="95" max="95" width="9.33203125" style="6" bestFit="1" customWidth="1"/>
    <col min="96" max="97" width="10.44140625" style="6" bestFit="1" customWidth="1"/>
    <col min="98" max="98" width="9.33203125" style="6" bestFit="1" customWidth="1"/>
    <col min="99" max="100" width="10.44140625" style="6" bestFit="1" customWidth="1"/>
    <col min="101" max="101" width="9.33203125" style="6" bestFit="1" customWidth="1"/>
    <col min="102" max="103" width="10.44140625" style="6" bestFit="1" customWidth="1"/>
    <col min="104" max="104" width="9.33203125" style="6" bestFit="1" customWidth="1"/>
    <col min="105" max="106" width="10.44140625" style="6" bestFit="1" customWidth="1"/>
    <col min="107" max="107" width="9.33203125" style="6" bestFit="1" customWidth="1"/>
    <col min="108" max="109" width="10.44140625" style="6" bestFit="1" customWidth="1"/>
    <col min="110" max="110" width="9.33203125" style="6" bestFit="1" customWidth="1"/>
    <col min="111" max="112" width="10.44140625" style="6" bestFit="1" customWidth="1"/>
    <col min="113" max="113" width="9.33203125" style="6" bestFit="1" customWidth="1"/>
    <col min="114" max="114" width="8.88671875" style="6"/>
    <col min="115" max="115" width="10.33203125" style="6" bestFit="1" customWidth="1"/>
    <col min="116" max="116" width="18.21875" style="6" bestFit="1" customWidth="1"/>
    <col min="117" max="117" width="11.21875" style="6" bestFit="1" customWidth="1"/>
    <col min="118" max="269" width="8.88671875" style="6"/>
    <col min="270" max="270" width="11.77734375" style="6" bestFit="1" customWidth="1"/>
    <col min="271" max="293" width="8.88671875" style="6"/>
    <col min="294" max="294" width="12.21875" style="6" bestFit="1" customWidth="1"/>
    <col min="295" max="525" width="8.88671875" style="6"/>
    <col min="526" max="526" width="11.77734375" style="6" bestFit="1" customWidth="1"/>
    <col min="527" max="549" width="8.88671875" style="6"/>
    <col min="550" max="550" width="12.21875" style="6" bestFit="1" customWidth="1"/>
    <col min="551" max="781" width="8.88671875" style="6"/>
    <col min="782" max="782" width="11.77734375" style="6" bestFit="1" customWidth="1"/>
    <col min="783" max="805" width="8.88671875" style="6"/>
    <col min="806" max="806" width="12.21875" style="6" bestFit="1" customWidth="1"/>
    <col min="807" max="1037" width="8.88671875" style="6"/>
    <col min="1038" max="1038" width="11.77734375" style="6" bestFit="1" customWidth="1"/>
    <col min="1039" max="1061" width="8.88671875" style="6"/>
    <col min="1062" max="1062" width="12.21875" style="6" bestFit="1" customWidth="1"/>
    <col min="1063" max="1293" width="8.88671875" style="6"/>
    <col min="1294" max="1294" width="11.77734375" style="6" bestFit="1" customWidth="1"/>
    <col min="1295" max="1317" width="8.88671875" style="6"/>
    <col min="1318" max="1318" width="12.21875" style="6" bestFit="1" customWidth="1"/>
    <col min="1319" max="1549" width="8.88671875" style="6"/>
    <col min="1550" max="1550" width="11.77734375" style="6" bestFit="1" customWidth="1"/>
    <col min="1551" max="1573" width="8.88671875" style="6"/>
    <col min="1574" max="1574" width="12.21875" style="6" bestFit="1" customWidth="1"/>
    <col min="1575" max="1805" width="8.88671875" style="6"/>
    <col min="1806" max="1806" width="11.77734375" style="6" bestFit="1" customWidth="1"/>
    <col min="1807" max="1829" width="8.88671875" style="6"/>
    <col min="1830" max="1830" width="12.21875" style="6" bestFit="1" customWidth="1"/>
    <col min="1831" max="2061" width="8.88671875" style="6"/>
    <col min="2062" max="2062" width="11.77734375" style="6" bestFit="1" customWidth="1"/>
    <col min="2063" max="2085" width="8.88671875" style="6"/>
    <col min="2086" max="2086" width="12.21875" style="6" bestFit="1" customWidth="1"/>
    <col min="2087" max="2317" width="8.88671875" style="6"/>
    <col min="2318" max="2318" width="11.77734375" style="6" bestFit="1" customWidth="1"/>
    <col min="2319" max="2341" width="8.88671875" style="6"/>
    <col min="2342" max="2342" width="12.21875" style="6" bestFit="1" customWidth="1"/>
    <col min="2343" max="2573" width="8.88671875" style="6"/>
    <col min="2574" max="2574" width="11.77734375" style="6" bestFit="1" customWidth="1"/>
    <col min="2575" max="2597" width="8.88671875" style="6"/>
    <col min="2598" max="2598" width="12.21875" style="6" bestFit="1" customWidth="1"/>
    <col min="2599" max="2829" width="8.88671875" style="6"/>
    <col min="2830" max="2830" width="11.77734375" style="6" bestFit="1" customWidth="1"/>
    <col min="2831" max="2853" width="8.88671875" style="6"/>
    <col min="2854" max="2854" width="12.21875" style="6" bestFit="1" customWidth="1"/>
    <col min="2855" max="3085" width="8.88671875" style="6"/>
    <col min="3086" max="3086" width="11.77734375" style="6" bestFit="1" customWidth="1"/>
    <col min="3087" max="3109" width="8.88671875" style="6"/>
    <col min="3110" max="3110" width="12.21875" style="6" bestFit="1" customWidth="1"/>
    <col min="3111" max="3341" width="8.88671875" style="6"/>
    <col min="3342" max="3342" width="11.77734375" style="6" bestFit="1" customWidth="1"/>
    <col min="3343" max="3365" width="8.88671875" style="6"/>
    <col min="3366" max="3366" width="12.21875" style="6" bestFit="1" customWidth="1"/>
    <col min="3367" max="3597" width="8.88671875" style="6"/>
    <col min="3598" max="3598" width="11.77734375" style="6" bestFit="1" customWidth="1"/>
    <col min="3599" max="3621" width="8.88671875" style="6"/>
    <col min="3622" max="3622" width="12.21875" style="6" bestFit="1" customWidth="1"/>
    <col min="3623" max="3853" width="8.88671875" style="6"/>
    <col min="3854" max="3854" width="11.77734375" style="6" bestFit="1" customWidth="1"/>
    <col min="3855" max="3877" width="8.88671875" style="6"/>
    <col min="3878" max="3878" width="12.21875" style="6" bestFit="1" customWidth="1"/>
    <col min="3879" max="4109" width="8.88671875" style="6"/>
    <col min="4110" max="4110" width="11.77734375" style="6" bestFit="1" customWidth="1"/>
    <col min="4111" max="4133" width="8.88671875" style="6"/>
    <col min="4134" max="4134" width="12.21875" style="6" bestFit="1" customWidth="1"/>
    <col min="4135" max="4365" width="8.88671875" style="6"/>
    <col min="4366" max="4366" width="11.77734375" style="6" bestFit="1" customWidth="1"/>
    <col min="4367" max="4389" width="8.88671875" style="6"/>
    <col min="4390" max="4390" width="12.21875" style="6" bestFit="1" customWidth="1"/>
    <col min="4391" max="4621" width="8.88671875" style="6"/>
    <col min="4622" max="4622" width="11.77734375" style="6" bestFit="1" customWidth="1"/>
    <col min="4623" max="4645" width="8.88671875" style="6"/>
    <col min="4646" max="4646" width="12.21875" style="6" bestFit="1" customWidth="1"/>
    <col min="4647" max="4877" width="8.88671875" style="6"/>
    <col min="4878" max="4878" width="11.77734375" style="6" bestFit="1" customWidth="1"/>
    <col min="4879" max="4901" width="8.88671875" style="6"/>
    <col min="4902" max="4902" width="12.21875" style="6" bestFit="1" customWidth="1"/>
    <col min="4903" max="5133" width="8.88671875" style="6"/>
    <col min="5134" max="5134" width="11.77734375" style="6" bestFit="1" customWidth="1"/>
    <col min="5135" max="5157" width="8.88671875" style="6"/>
    <col min="5158" max="5158" width="12.21875" style="6" bestFit="1" customWidth="1"/>
    <col min="5159" max="5389" width="8.88671875" style="6"/>
    <col min="5390" max="5390" width="11.77734375" style="6" bestFit="1" customWidth="1"/>
    <col min="5391" max="5413" width="8.88671875" style="6"/>
    <col min="5414" max="5414" width="12.21875" style="6" bestFit="1" customWidth="1"/>
    <col min="5415" max="5645" width="8.88671875" style="6"/>
    <col min="5646" max="5646" width="11.77734375" style="6" bestFit="1" customWidth="1"/>
    <col min="5647" max="5669" width="8.88671875" style="6"/>
    <col min="5670" max="5670" width="12.21875" style="6" bestFit="1" customWidth="1"/>
    <col min="5671" max="5901" width="8.88671875" style="6"/>
    <col min="5902" max="5902" width="11.77734375" style="6" bestFit="1" customWidth="1"/>
    <col min="5903" max="5925" width="8.88671875" style="6"/>
    <col min="5926" max="5926" width="12.21875" style="6" bestFit="1" customWidth="1"/>
    <col min="5927" max="6157" width="8.88671875" style="6"/>
    <col min="6158" max="6158" width="11.77734375" style="6" bestFit="1" customWidth="1"/>
    <col min="6159" max="6181" width="8.88671875" style="6"/>
    <col min="6182" max="6182" width="12.21875" style="6" bestFit="1" customWidth="1"/>
    <col min="6183" max="6413" width="8.88671875" style="6"/>
    <col min="6414" max="6414" width="11.77734375" style="6" bestFit="1" customWidth="1"/>
    <col min="6415" max="6437" width="8.88671875" style="6"/>
    <col min="6438" max="6438" width="12.21875" style="6" bestFit="1" customWidth="1"/>
    <col min="6439" max="6669" width="8.88671875" style="6"/>
    <col min="6670" max="6670" width="11.77734375" style="6" bestFit="1" customWidth="1"/>
    <col min="6671" max="6693" width="8.88671875" style="6"/>
    <col min="6694" max="6694" width="12.21875" style="6" bestFit="1" customWidth="1"/>
    <col min="6695" max="6925" width="8.88671875" style="6"/>
    <col min="6926" max="6926" width="11.77734375" style="6" bestFit="1" customWidth="1"/>
    <col min="6927" max="6949" width="8.88671875" style="6"/>
    <col min="6950" max="6950" width="12.21875" style="6" bestFit="1" customWidth="1"/>
    <col min="6951" max="7181" width="8.88671875" style="6"/>
    <col min="7182" max="7182" width="11.77734375" style="6" bestFit="1" customWidth="1"/>
    <col min="7183" max="7205" width="8.88671875" style="6"/>
    <col min="7206" max="7206" width="12.21875" style="6" bestFit="1" customWidth="1"/>
    <col min="7207" max="7437" width="8.88671875" style="6"/>
    <col min="7438" max="7438" width="11.77734375" style="6" bestFit="1" customWidth="1"/>
    <col min="7439" max="7461" width="8.88671875" style="6"/>
    <col min="7462" max="7462" width="12.21875" style="6" bestFit="1" customWidth="1"/>
    <col min="7463" max="7693" width="8.88671875" style="6"/>
    <col min="7694" max="7694" width="11.77734375" style="6" bestFit="1" customWidth="1"/>
    <col min="7695" max="7717" width="8.88671875" style="6"/>
    <col min="7718" max="7718" width="12.21875" style="6" bestFit="1" customWidth="1"/>
    <col min="7719" max="7949" width="8.88671875" style="6"/>
    <col min="7950" max="7950" width="11.77734375" style="6" bestFit="1" customWidth="1"/>
    <col min="7951" max="7973" width="8.88671875" style="6"/>
    <col min="7974" max="7974" width="12.21875" style="6" bestFit="1" customWidth="1"/>
    <col min="7975" max="8205" width="8.88671875" style="6"/>
    <col min="8206" max="8206" width="11.77734375" style="6" bestFit="1" customWidth="1"/>
    <col min="8207" max="8229" width="8.88671875" style="6"/>
    <col min="8230" max="8230" width="12.21875" style="6" bestFit="1" customWidth="1"/>
    <col min="8231" max="8461" width="8.88671875" style="6"/>
    <col min="8462" max="8462" width="11.77734375" style="6" bestFit="1" customWidth="1"/>
    <col min="8463" max="8485" width="8.88671875" style="6"/>
    <col min="8486" max="8486" width="12.21875" style="6" bestFit="1" customWidth="1"/>
    <col min="8487" max="8717" width="8.88671875" style="6"/>
    <col min="8718" max="8718" width="11.77734375" style="6" bestFit="1" customWidth="1"/>
    <col min="8719" max="8741" width="8.88671875" style="6"/>
    <col min="8742" max="8742" width="12.21875" style="6" bestFit="1" customWidth="1"/>
    <col min="8743" max="8973" width="8.88671875" style="6"/>
    <col min="8974" max="8974" width="11.77734375" style="6" bestFit="1" customWidth="1"/>
    <col min="8975" max="8997" width="8.88671875" style="6"/>
    <col min="8998" max="8998" width="12.21875" style="6" bestFit="1" customWidth="1"/>
    <col min="8999" max="9229" width="8.88671875" style="6"/>
    <col min="9230" max="9230" width="11.77734375" style="6" bestFit="1" customWidth="1"/>
    <col min="9231" max="9253" width="8.88671875" style="6"/>
    <col min="9254" max="9254" width="12.21875" style="6" bestFit="1" customWidth="1"/>
    <col min="9255" max="9485" width="8.88671875" style="6"/>
    <col min="9486" max="9486" width="11.77734375" style="6" bestFit="1" customWidth="1"/>
    <col min="9487" max="9509" width="8.88671875" style="6"/>
    <col min="9510" max="9510" width="12.21875" style="6" bestFit="1" customWidth="1"/>
    <col min="9511" max="9741" width="8.88671875" style="6"/>
    <col min="9742" max="9742" width="11.77734375" style="6" bestFit="1" customWidth="1"/>
    <col min="9743" max="9765" width="8.88671875" style="6"/>
    <col min="9766" max="9766" width="12.21875" style="6" bestFit="1" customWidth="1"/>
    <col min="9767" max="9997" width="8.88671875" style="6"/>
    <col min="9998" max="9998" width="11.77734375" style="6" bestFit="1" customWidth="1"/>
    <col min="9999" max="10021" width="8.88671875" style="6"/>
    <col min="10022" max="10022" width="12.21875" style="6" bestFit="1" customWidth="1"/>
    <col min="10023" max="10253" width="8.88671875" style="6"/>
    <col min="10254" max="10254" width="11.77734375" style="6" bestFit="1" customWidth="1"/>
    <col min="10255" max="10277" width="8.88671875" style="6"/>
    <col min="10278" max="10278" width="12.21875" style="6" bestFit="1" customWidth="1"/>
    <col min="10279" max="10509" width="8.88671875" style="6"/>
    <col min="10510" max="10510" width="11.77734375" style="6" bestFit="1" customWidth="1"/>
    <col min="10511" max="10533" width="8.88671875" style="6"/>
    <col min="10534" max="10534" width="12.21875" style="6" bestFit="1" customWidth="1"/>
    <col min="10535" max="10765" width="8.88671875" style="6"/>
    <col min="10766" max="10766" width="11.77734375" style="6" bestFit="1" customWidth="1"/>
    <col min="10767" max="10789" width="8.88671875" style="6"/>
    <col min="10790" max="10790" width="12.21875" style="6" bestFit="1" customWidth="1"/>
    <col min="10791" max="11021" width="8.88671875" style="6"/>
    <col min="11022" max="11022" width="11.77734375" style="6" bestFit="1" customWidth="1"/>
    <col min="11023" max="11045" width="8.88671875" style="6"/>
    <col min="11046" max="11046" width="12.21875" style="6" bestFit="1" customWidth="1"/>
    <col min="11047" max="11277" width="8.88671875" style="6"/>
    <col min="11278" max="11278" width="11.77734375" style="6" bestFit="1" customWidth="1"/>
    <col min="11279" max="11301" width="8.88671875" style="6"/>
    <col min="11302" max="11302" width="12.21875" style="6" bestFit="1" customWidth="1"/>
    <col min="11303" max="11533" width="8.88671875" style="6"/>
    <col min="11534" max="11534" width="11.77734375" style="6" bestFit="1" customWidth="1"/>
    <col min="11535" max="11557" width="8.88671875" style="6"/>
    <col min="11558" max="11558" width="12.21875" style="6" bestFit="1" customWidth="1"/>
    <col min="11559" max="11789" width="8.88671875" style="6"/>
    <col min="11790" max="11790" width="11.77734375" style="6" bestFit="1" customWidth="1"/>
    <col min="11791" max="11813" width="8.88671875" style="6"/>
    <col min="11814" max="11814" width="12.21875" style="6" bestFit="1" customWidth="1"/>
    <col min="11815" max="12045" width="8.88671875" style="6"/>
    <col min="12046" max="12046" width="11.77734375" style="6" bestFit="1" customWidth="1"/>
    <col min="12047" max="12069" width="8.88671875" style="6"/>
    <col min="12070" max="12070" width="12.21875" style="6" bestFit="1" customWidth="1"/>
    <col min="12071" max="12301" width="8.88671875" style="6"/>
    <col min="12302" max="12302" width="11.77734375" style="6" bestFit="1" customWidth="1"/>
    <col min="12303" max="12325" width="8.88671875" style="6"/>
    <col min="12326" max="12326" width="12.21875" style="6" bestFit="1" customWidth="1"/>
    <col min="12327" max="12557" width="8.88671875" style="6"/>
    <col min="12558" max="12558" width="11.77734375" style="6" bestFit="1" customWidth="1"/>
    <col min="12559" max="12581" width="8.88671875" style="6"/>
    <col min="12582" max="12582" width="12.21875" style="6" bestFit="1" customWidth="1"/>
    <col min="12583" max="12813" width="8.88671875" style="6"/>
    <col min="12814" max="12814" width="11.77734375" style="6" bestFit="1" customWidth="1"/>
    <col min="12815" max="12837" width="8.88671875" style="6"/>
    <col min="12838" max="12838" width="12.21875" style="6" bestFit="1" customWidth="1"/>
    <col min="12839" max="13069" width="8.88671875" style="6"/>
    <col min="13070" max="13070" width="11.77734375" style="6" bestFit="1" customWidth="1"/>
    <col min="13071" max="13093" width="8.88671875" style="6"/>
    <col min="13094" max="13094" width="12.21875" style="6" bestFit="1" customWidth="1"/>
    <col min="13095" max="13325" width="8.88671875" style="6"/>
    <col min="13326" max="13326" width="11.77734375" style="6" bestFit="1" customWidth="1"/>
    <col min="13327" max="13349" width="8.88671875" style="6"/>
    <col min="13350" max="13350" width="12.21875" style="6" bestFit="1" customWidth="1"/>
    <col min="13351" max="13581" width="8.88671875" style="6"/>
    <col min="13582" max="13582" width="11.77734375" style="6" bestFit="1" customWidth="1"/>
    <col min="13583" max="13605" width="8.88671875" style="6"/>
    <col min="13606" max="13606" width="12.21875" style="6" bestFit="1" customWidth="1"/>
    <col min="13607" max="13837" width="8.88671875" style="6"/>
    <col min="13838" max="13838" width="11.77734375" style="6" bestFit="1" customWidth="1"/>
    <col min="13839" max="13861" width="8.88671875" style="6"/>
    <col min="13862" max="13862" width="12.21875" style="6" bestFit="1" customWidth="1"/>
    <col min="13863" max="14093" width="8.88671875" style="6"/>
    <col min="14094" max="14094" width="11.77734375" style="6" bestFit="1" customWidth="1"/>
    <col min="14095" max="14117" width="8.88671875" style="6"/>
    <col min="14118" max="14118" width="12.21875" style="6" bestFit="1" customWidth="1"/>
    <col min="14119" max="14349" width="8.88671875" style="6"/>
    <col min="14350" max="14350" width="11.77734375" style="6" bestFit="1" customWidth="1"/>
    <col min="14351" max="14373" width="8.88671875" style="6"/>
    <col min="14374" max="14374" width="12.21875" style="6" bestFit="1" customWidth="1"/>
    <col min="14375" max="14605" width="8.88671875" style="6"/>
    <col min="14606" max="14606" width="11.77734375" style="6" bestFit="1" customWidth="1"/>
    <col min="14607" max="14629" width="8.88671875" style="6"/>
    <col min="14630" max="14630" width="12.21875" style="6" bestFit="1" customWidth="1"/>
    <col min="14631" max="14861" width="8.88671875" style="6"/>
    <col min="14862" max="14862" width="11.77734375" style="6" bestFit="1" customWidth="1"/>
    <col min="14863" max="14885" width="8.88671875" style="6"/>
    <col min="14886" max="14886" width="12.21875" style="6" bestFit="1" customWidth="1"/>
    <col min="14887" max="15117" width="8.88671875" style="6"/>
    <col min="15118" max="15118" width="11.77734375" style="6" bestFit="1" customWidth="1"/>
    <col min="15119" max="15141" width="8.88671875" style="6"/>
    <col min="15142" max="15142" width="12.21875" style="6" bestFit="1" customWidth="1"/>
    <col min="15143" max="15373" width="8.88671875" style="6"/>
    <col min="15374" max="15374" width="11.77734375" style="6" bestFit="1" customWidth="1"/>
    <col min="15375" max="15397" width="8.88671875" style="6"/>
    <col min="15398" max="15398" width="12.21875" style="6" bestFit="1" customWidth="1"/>
    <col min="15399" max="15629" width="8.88671875" style="6"/>
    <col min="15630" max="15630" width="11.77734375" style="6" bestFit="1" customWidth="1"/>
    <col min="15631" max="15653" width="8.88671875" style="6"/>
    <col min="15654" max="15654" width="12.21875" style="6" bestFit="1" customWidth="1"/>
    <col min="15655" max="15885" width="8.88671875" style="6"/>
    <col min="15886" max="15886" width="11.77734375" style="6" bestFit="1" customWidth="1"/>
    <col min="15887" max="15909" width="8.88671875" style="6"/>
    <col min="15910" max="15910" width="12.21875" style="6" bestFit="1" customWidth="1"/>
    <col min="15911" max="16141" width="8.88671875" style="6"/>
    <col min="16142" max="16142" width="11.77734375" style="6" bestFit="1" customWidth="1"/>
    <col min="16143" max="16165" width="8.88671875" style="6"/>
    <col min="16166" max="16166" width="12.21875" style="6" bestFit="1" customWidth="1"/>
    <col min="16167" max="16384" width="8.88671875" style="6"/>
  </cols>
  <sheetData>
    <row r="1" spans="1:119" x14ac:dyDescent="0.3">
      <c r="H1" s="6">
        <f>1/MAX(H4:H30)</f>
        <v>2875.7116390201645</v>
      </c>
      <c r="K1" s="6">
        <f>1/MAX(K4:K30)</f>
        <v>2531.4284991438703</v>
      </c>
      <c r="N1" s="6">
        <f>1/MAX(N4:N30)</f>
        <v>3220.9444903590729</v>
      </c>
      <c r="Q1" s="6">
        <f>1/MAX(Q4:Q30)</f>
        <v>2708.344101448436</v>
      </c>
      <c r="T1" s="6">
        <f>1/MAX(T4:T30)</f>
        <v>2866.0438718802425</v>
      </c>
      <c r="W1" s="6">
        <f>1/MAX(W4:W30)</f>
        <v>3257.5198570364805</v>
      </c>
      <c r="Z1" s="6">
        <f>1/MAX(Z4:Z30)</f>
        <v>2856.2704410456663</v>
      </c>
      <c r="AC1" s="6">
        <f>1/MAX(AC4:AC30)</f>
        <v>3265.2404804372559</v>
      </c>
      <c r="AF1" s="6">
        <f>1/MAX(AF4:AF30)</f>
        <v>2215.4710561251959</v>
      </c>
      <c r="AI1" s="6">
        <f>1/MAX(AI4:AI30)</f>
        <v>2027.0028528233522</v>
      </c>
      <c r="AL1" s="6">
        <f t="shared" ref="AL1" si="0">1/MAX(AL4:AL30)</f>
        <v>2221.3465894019873</v>
      </c>
      <c r="AO1" s="6">
        <f>1/MAX(AO4:AO30)</f>
        <v>2024.1762242943339</v>
      </c>
      <c r="AR1" s="6">
        <f t="shared" ref="AR1" si="1">1/MAX(AR4:AR30)</f>
        <v>3198.7503445882717</v>
      </c>
      <c r="AU1" s="6">
        <f t="shared" ref="AU1" si="2">1/MAX(AU4:AU30)</f>
        <v>3694.75237880845</v>
      </c>
      <c r="AX1" s="6">
        <f>1/MAX(AX4:AX30)</f>
        <v>3186.5809161581387</v>
      </c>
      <c r="BA1" s="6">
        <f t="shared" ref="BA1" si="3">1/MAX(BA4:BA30)</f>
        <v>3704.180900056157</v>
      </c>
      <c r="BD1" s="6">
        <f>1/MAX(BD4:BD30)</f>
        <v>2409.1721770916874</v>
      </c>
      <c r="BG1" s="6">
        <f>1/MAX(BG4:BG30)</f>
        <v>2187.9526162219345</v>
      </c>
      <c r="BJ1" s="6">
        <f>1/MAX(BJ4:BJ30)</f>
        <v>2416.121644447323</v>
      </c>
      <c r="BM1" s="6">
        <f>1/MAX(BM4:BM30)</f>
        <v>2184.6596463462438</v>
      </c>
      <c r="BP1" s="6">
        <f>1/MAX(BP4:BP30)</f>
        <v>2341.30137428749</v>
      </c>
      <c r="BS1" s="6">
        <f>1/MAX(BS4:BS30)</f>
        <v>2412.4148799028662</v>
      </c>
      <c r="BV1" s="6">
        <f>1/MAX(BV4:BV30)</f>
        <v>2339.3400445523089</v>
      </c>
      <c r="BY1" s="6">
        <f>1/MAX(BY4:BY30)</f>
        <v>2413.617782744855</v>
      </c>
      <c r="CB1" s="6">
        <f t="shared" ref="CB1" si="4">1/MAX(CB4:CB30)</f>
        <v>2184.1198853405481</v>
      </c>
      <c r="CE1" s="6">
        <f>1/MAX(CE4:CE30)</f>
        <v>2125.6664828776161</v>
      </c>
      <c r="CH1" s="6">
        <f t="shared" ref="CH1" si="5">1/MAX(CH4:CH30)</f>
        <v>2185.8300538201402</v>
      </c>
      <c r="CK1" s="6">
        <f t="shared" ref="CK1" si="6">1/MAX(CK4:CK30)</f>
        <v>2124.7334227530382</v>
      </c>
      <c r="CN1" s="6">
        <f>1/MAX(CN4:CN30)</f>
        <v>3266.4469935149618</v>
      </c>
      <c r="CQ1" s="6">
        <f t="shared" ref="CQ1" si="7">1/MAX(CQ4:CQ30)</f>
        <v>3406.5437900327897</v>
      </c>
      <c r="CT1" s="6">
        <f>1/MAX(CT4:CT30)</f>
        <v>3262.6294025645998</v>
      </c>
      <c r="CW1" s="6">
        <f t="shared" ref="CW1" si="8">1/MAX(CW4:CW30)</f>
        <v>3408.94426474699</v>
      </c>
      <c r="CZ1" s="6">
        <f t="shared" ref="CZ1" si="9">1/MAX(CZ4:CZ30)</f>
        <v>2968.4119128592997</v>
      </c>
      <c r="DC1" s="6">
        <f>1/MAX(DC4:DC30)</f>
        <v>2861.4681558758239</v>
      </c>
      <c r="DF1" s="6">
        <f t="shared" ref="DF1" si="10">1/MAX(DF4:DF30)</f>
        <v>2971.570625802392</v>
      </c>
      <c r="DI1" s="6">
        <f>1/MAX(DI4:DI30)</f>
        <v>2859.7774948397382</v>
      </c>
    </row>
    <row r="2" spans="1:119" x14ac:dyDescent="0.3">
      <c r="F2" s="8" t="s">
        <v>11</v>
      </c>
      <c r="G2" s="9"/>
      <c r="H2" s="7"/>
      <c r="I2" s="8" t="s">
        <v>12</v>
      </c>
      <c r="J2" s="9"/>
      <c r="K2" s="7"/>
      <c r="L2" s="8" t="s">
        <v>13</v>
      </c>
      <c r="M2" s="9"/>
      <c r="N2" s="7"/>
      <c r="O2" s="8" t="s">
        <v>14</v>
      </c>
      <c r="P2" s="9"/>
      <c r="Q2" s="7"/>
      <c r="R2" s="8" t="s">
        <v>15</v>
      </c>
      <c r="S2" s="9"/>
      <c r="T2" s="7"/>
      <c r="U2" s="8" t="s">
        <v>16</v>
      </c>
      <c r="V2" s="9"/>
      <c r="W2" s="7"/>
      <c r="X2" s="8" t="s">
        <v>17</v>
      </c>
      <c r="Y2" s="9"/>
      <c r="Z2" s="7"/>
      <c r="AA2" s="8" t="s">
        <v>18</v>
      </c>
      <c r="AB2" s="9"/>
      <c r="AC2" s="7"/>
      <c r="AD2" s="8" t="s">
        <v>19</v>
      </c>
      <c r="AE2" s="9"/>
      <c r="AF2" s="7"/>
      <c r="AG2" s="8" t="s">
        <v>20</v>
      </c>
      <c r="AH2" s="9"/>
      <c r="AI2" s="7"/>
      <c r="AJ2" s="8" t="s">
        <v>21</v>
      </c>
      <c r="AK2" s="9"/>
      <c r="AL2" s="7"/>
      <c r="AM2" s="8" t="s">
        <v>22</v>
      </c>
      <c r="AN2" s="9"/>
      <c r="AO2" s="7"/>
      <c r="AP2" s="8" t="s">
        <v>23</v>
      </c>
      <c r="AQ2" s="9"/>
      <c r="AR2" s="7"/>
      <c r="AS2" s="8" t="s">
        <v>24</v>
      </c>
      <c r="AT2" s="9"/>
      <c r="AU2" s="7"/>
      <c r="AV2" s="8" t="s">
        <v>25</v>
      </c>
      <c r="AW2" s="9"/>
      <c r="AX2" s="7"/>
      <c r="AY2" s="8" t="s">
        <v>26</v>
      </c>
      <c r="AZ2" s="9"/>
      <c r="BA2" s="7"/>
      <c r="BB2" s="8" t="s">
        <v>27</v>
      </c>
      <c r="BC2" s="9"/>
      <c r="BD2" s="7"/>
      <c r="BE2" s="8" t="s">
        <v>28</v>
      </c>
      <c r="BF2" s="9"/>
      <c r="BG2" s="7"/>
      <c r="BH2" s="8" t="s">
        <v>29</v>
      </c>
      <c r="BI2" s="9"/>
      <c r="BJ2" s="7"/>
      <c r="BK2" s="8" t="s">
        <v>30</v>
      </c>
      <c r="BL2" s="9"/>
      <c r="BM2" s="7"/>
      <c r="BN2" s="8" t="s">
        <v>31</v>
      </c>
      <c r="BO2" s="9"/>
      <c r="BP2" s="7"/>
      <c r="BQ2" s="8" t="s">
        <v>32</v>
      </c>
      <c r="BR2" s="9"/>
      <c r="BS2" s="7"/>
      <c r="BT2" s="8" t="s">
        <v>33</v>
      </c>
      <c r="BU2" s="9"/>
      <c r="BV2" s="7"/>
      <c r="BW2" s="8" t="s">
        <v>34</v>
      </c>
      <c r="BX2" s="9"/>
      <c r="BY2" s="7"/>
      <c r="BZ2" s="8" t="s">
        <v>35</v>
      </c>
      <c r="CA2" s="9"/>
      <c r="CB2" s="7"/>
      <c r="CC2" s="8" t="s">
        <v>36</v>
      </c>
      <c r="CD2" s="9"/>
      <c r="CE2" s="7"/>
      <c r="CF2" s="8" t="s">
        <v>37</v>
      </c>
      <c r="CG2" s="9"/>
      <c r="CH2" s="7"/>
      <c r="CI2" s="8" t="s">
        <v>38</v>
      </c>
      <c r="CJ2" s="9"/>
      <c r="CK2" s="7"/>
      <c r="CL2" s="8" t="s">
        <v>39</v>
      </c>
      <c r="CM2" s="9"/>
      <c r="CN2" s="7"/>
      <c r="CO2" s="8" t="s">
        <v>40</v>
      </c>
      <c r="CP2" s="9"/>
      <c r="CQ2" s="7"/>
      <c r="CR2" s="8" t="s">
        <v>41</v>
      </c>
      <c r="CS2" s="9"/>
      <c r="CT2" s="7"/>
      <c r="CU2" s="8" t="s">
        <v>42</v>
      </c>
      <c r="CV2" s="9"/>
      <c r="CW2" s="7"/>
      <c r="CX2" s="8" t="s">
        <v>43</v>
      </c>
      <c r="CY2" s="9"/>
      <c r="CZ2" s="7"/>
      <c r="DA2" s="8" t="s">
        <v>44</v>
      </c>
      <c r="DB2" s="9"/>
      <c r="DC2" s="7"/>
      <c r="DD2" s="8" t="s">
        <v>45</v>
      </c>
      <c r="DE2" s="9"/>
      <c r="DF2" s="7"/>
      <c r="DG2" s="8" t="s">
        <v>46</v>
      </c>
      <c r="DH2" s="9"/>
      <c r="DI2" s="7"/>
    </row>
    <row r="3" spans="1:119" ht="16.2" thickBot="1" x14ac:dyDescent="0.35">
      <c r="A3" s="10" t="s">
        <v>341</v>
      </c>
      <c r="B3" s="10" t="s">
        <v>342</v>
      </c>
      <c r="C3" s="10" t="s">
        <v>343</v>
      </c>
      <c r="D3" s="10" t="s">
        <v>344</v>
      </c>
      <c r="E3" s="10" t="s">
        <v>345</v>
      </c>
      <c r="F3" s="11" t="s">
        <v>342</v>
      </c>
      <c r="G3" s="11" t="s">
        <v>343</v>
      </c>
      <c r="H3" s="12" t="s">
        <v>475</v>
      </c>
      <c r="I3" s="11" t="s">
        <v>342</v>
      </c>
      <c r="J3" s="11" t="s">
        <v>343</v>
      </c>
      <c r="K3" s="12" t="s">
        <v>475</v>
      </c>
      <c r="L3" s="11" t="s">
        <v>342</v>
      </c>
      <c r="M3" s="11" t="s">
        <v>343</v>
      </c>
      <c r="N3" s="12" t="s">
        <v>475</v>
      </c>
      <c r="O3" s="11" t="s">
        <v>342</v>
      </c>
      <c r="P3" s="11" t="s">
        <v>343</v>
      </c>
      <c r="Q3" s="12" t="s">
        <v>475</v>
      </c>
      <c r="R3" s="11" t="s">
        <v>342</v>
      </c>
      <c r="S3" s="11" t="s">
        <v>343</v>
      </c>
      <c r="T3" s="12" t="s">
        <v>475</v>
      </c>
      <c r="U3" s="11" t="s">
        <v>342</v>
      </c>
      <c r="V3" s="11" t="s">
        <v>343</v>
      </c>
      <c r="W3" s="12" t="s">
        <v>475</v>
      </c>
      <c r="X3" s="11" t="s">
        <v>342</v>
      </c>
      <c r="Y3" s="11" t="s">
        <v>343</v>
      </c>
      <c r="Z3" s="12" t="s">
        <v>475</v>
      </c>
      <c r="AA3" s="11" t="s">
        <v>342</v>
      </c>
      <c r="AB3" s="11" t="s">
        <v>343</v>
      </c>
      <c r="AC3" s="12" t="s">
        <v>475</v>
      </c>
      <c r="AD3" s="11" t="s">
        <v>342</v>
      </c>
      <c r="AE3" s="11" t="s">
        <v>343</v>
      </c>
      <c r="AF3" s="12" t="s">
        <v>475</v>
      </c>
      <c r="AG3" s="11" t="s">
        <v>342</v>
      </c>
      <c r="AH3" s="11" t="s">
        <v>343</v>
      </c>
      <c r="AI3" s="12" t="s">
        <v>475</v>
      </c>
      <c r="AJ3" s="11" t="s">
        <v>342</v>
      </c>
      <c r="AK3" s="11" t="s">
        <v>343</v>
      </c>
      <c r="AL3" s="12" t="s">
        <v>475</v>
      </c>
      <c r="AM3" s="11" t="s">
        <v>342</v>
      </c>
      <c r="AN3" s="11" t="s">
        <v>343</v>
      </c>
      <c r="AO3" s="12" t="s">
        <v>475</v>
      </c>
      <c r="AP3" s="11" t="s">
        <v>342</v>
      </c>
      <c r="AQ3" s="11" t="s">
        <v>343</v>
      </c>
      <c r="AR3" s="12" t="s">
        <v>475</v>
      </c>
      <c r="AS3" s="11" t="s">
        <v>342</v>
      </c>
      <c r="AT3" s="11" t="s">
        <v>343</v>
      </c>
      <c r="AU3" s="12" t="s">
        <v>475</v>
      </c>
      <c r="AV3" s="11" t="s">
        <v>342</v>
      </c>
      <c r="AW3" s="11" t="s">
        <v>343</v>
      </c>
      <c r="AX3" s="12" t="s">
        <v>475</v>
      </c>
      <c r="AY3" s="11" t="s">
        <v>342</v>
      </c>
      <c r="AZ3" s="11" t="s">
        <v>343</v>
      </c>
      <c r="BA3" s="12" t="s">
        <v>475</v>
      </c>
      <c r="BB3" s="11" t="s">
        <v>342</v>
      </c>
      <c r="BC3" s="11" t="s">
        <v>343</v>
      </c>
      <c r="BD3" s="12" t="s">
        <v>475</v>
      </c>
      <c r="BE3" s="11" t="s">
        <v>342</v>
      </c>
      <c r="BF3" s="11" t="s">
        <v>343</v>
      </c>
      <c r="BG3" s="12" t="s">
        <v>475</v>
      </c>
      <c r="BH3" s="11" t="s">
        <v>342</v>
      </c>
      <c r="BI3" s="11" t="s">
        <v>343</v>
      </c>
      <c r="BJ3" s="12" t="s">
        <v>475</v>
      </c>
      <c r="BK3" s="11" t="s">
        <v>342</v>
      </c>
      <c r="BL3" s="11" t="s">
        <v>343</v>
      </c>
      <c r="BM3" s="12" t="s">
        <v>475</v>
      </c>
      <c r="BN3" s="11" t="s">
        <v>342</v>
      </c>
      <c r="BO3" s="11" t="s">
        <v>343</v>
      </c>
      <c r="BP3" s="12" t="s">
        <v>475</v>
      </c>
      <c r="BQ3" s="11" t="s">
        <v>342</v>
      </c>
      <c r="BR3" s="11" t="s">
        <v>343</v>
      </c>
      <c r="BS3" s="12" t="s">
        <v>475</v>
      </c>
      <c r="BT3" s="11" t="s">
        <v>342</v>
      </c>
      <c r="BU3" s="11" t="s">
        <v>343</v>
      </c>
      <c r="BV3" s="12" t="s">
        <v>475</v>
      </c>
      <c r="BW3" s="11" t="s">
        <v>342</v>
      </c>
      <c r="BX3" s="11" t="s">
        <v>343</v>
      </c>
      <c r="BY3" s="12" t="s">
        <v>475</v>
      </c>
      <c r="BZ3" s="11" t="s">
        <v>342</v>
      </c>
      <c r="CA3" s="11" t="s">
        <v>343</v>
      </c>
      <c r="CB3" s="12" t="s">
        <v>475</v>
      </c>
      <c r="CC3" s="11" t="s">
        <v>342</v>
      </c>
      <c r="CD3" s="11" t="s">
        <v>343</v>
      </c>
      <c r="CE3" s="12" t="s">
        <v>475</v>
      </c>
      <c r="CF3" s="11" t="s">
        <v>342</v>
      </c>
      <c r="CG3" s="11" t="s">
        <v>343</v>
      </c>
      <c r="CH3" s="12" t="s">
        <v>475</v>
      </c>
      <c r="CI3" s="11" t="s">
        <v>342</v>
      </c>
      <c r="CJ3" s="11" t="s">
        <v>343</v>
      </c>
      <c r="CK3" s="12" t="s">
        <v>475</v>
      </c>
      <c r="CL3" s="11" t="s">
        <v>342</v>
      </c>
      <c r="CM3" s="11" t="s">
        <v>343</v>
      </c>
      <c r="CN3" s="12" t="s">
        <v>475</v>
      </c>
      <c r="CO3" s="11" t="s">
        <v>342</v>
      </c>
      <c r="CP3" s="11" t="s">
        <v>343</v>
      </c>
      <c r="CQ3" s="12" t="s">
        <v>475</v>
      </c>
      <c r="CR3" s="11" t="s">
        <v>342</v>
      </c>
      <c r="CS3" s="11" t="s">
        <v>343</v>
      </c>
      <c r="CT3" s="12" t="s">
        <v>475</v>
      </c>
      <c r="CU3" s="11" t="s">
        <v>342</v>
      </c>
      <c r="CV3" s="11" t="s">
        <v>343</v>
      </c>
      <c r="CW3" s="12" t="s">
        <v>475</v>
      </c>
      <c r="CX3" s="11" t="s">
        <v>342</v>
      </c>
      <c r="CY3" s="11" t="s">
        <v>343</v>
      </c>
      <c r="CZ3" s="12" t="s">
        <v>475</v>
      </c>
      <c r="DA3" s="11" t="s">
        <v>342</v>
      </c>
      <c r="DB3" s="11" t="s">
        <v>343</v>
      </c>
      <c r="DC3" s="12" t="s">
        <v>475</v>
      </c>
      <c r="DD3" s="11" t="s">
        <v>342</v>
      </c>
      <c r="DE3" s="11" t="s">
        <v>343</v>
      </c>
      <c r="DF3" s="12" t="s">
        <v>475</v>
      </c>
      <c r="DG3" s="11" t="s">
        <v>342</v>
      </c>
      <c r="DH3" s="11" t="s">
        <v>343</v>
      </c>
      <c r="DI3" s="12" t="s">
        <v>475</v>
      </c>
    </row>
    <row r="4" spans="1:119" ht="16.5" customHeight="1" thickBot="1" x14ac:dyDescent="0.35">
      <c r="A4" s="13" t="s">
        <v>346</v>
      </c>
      <c r="B4" s="13" t="s">
        <v>169</v>
      </c>
      <c r="C4" s="13" t="s">
        <v>210</v>
      </c>
      <c r="D4" s="13" t="s">
        <v>347</v>
      </c>
      <c r="E4" s="13">
        <v>8.3000000000000007</v>
      </c>
      <c r="F4" s="6">
        <v>-2.3329280000000002E-3</v>
      </c>
      <c r="G4" s="6">
        <v>-2.1393829999999999E-3</v>
      </c>
      <c r="H4" s="6">
        <v>2.3318674698795212E-5</v>
      </c>
      <c r="I4" s="6">
        <v>-3.3219790000000001E-3</v>
      </c>
      <c r="J4" s="6">
        <v>-3.0857480000000001E-3</v>
      </c>
      <c r="K4" s="6">
        <v>2.846156626506023E-5</v>
      </c>
      <c r="L4" s="6">
        <v>-2.932961E-3</v>
      </c>
      <c r="M4" s="6">
        <v>-2.7392660000000002E-3</v>
      </c>
      <c r="N4" s="6">
        <v>2.3336746987951781E-5</v>
      </c>
      <c r="O4" s="6">
        <v>-3.8934149999999999E-3</v>
      </c>
      <c r="P4" s="6">
        <v>-3.6570359999999998E-3</v>
      </c>
      <c r="Q4" s="6">
        <v>2.8479397590361455E-5</v>
      </c>
      <c r="R4" s="6">
        <v>-3.7849860000000002E-3</v>
      </c>
      <c r="S4" s="6">
        <v>-3.5471080000000002E-3</v>
      </c>
      <c r="T4" s="6">
        <v>2.8659999999999993E-5</v>
      </c>
      <c r="U4" s="6">
        <v>-3.8060559999999999E-3</v>
      </c>
      <c r="V4" s="6">
        <v>-3.573082E-3</v>
      </c>
      <c r="W4" s="6">
        <v>2.8069156626506014E-5</v>
      </c>
      <c r="X4" s="6">
        <v>-3.779817E-3</v>
      </c>
      <c r="Y4" s="6">
        <v>-3.5401510000000001E-3</v>
      </c>
      <c r="Z4" s="6">
        <v>2.8875421686746977E-5</v>
      </c>
      <c r="AA4" s="6">
        <v>-3.8021230000000001E-3</v>
      </c>
      <c r="AB4" s="6">
        <v>-3.5691249999999998E-3</v>
      </c>
      <c r="AC4" s="6">
        <v>2.8072048192771122E-5</v>
      </c>
      <c r="AD4" s="6">
        <v>-3.803964E-3</v>
      </c>
      <c r="AE4" s="6">
        <v>-3.5459829999999999E-3</v>
      </c>
      <c r="AF4" s="6">
        <v>3.1082048192771081E-5</v>
      </c>
      <c r="AG4" s="6">
        <v>-3.7889349999999998E-3</v>
      </c>
      <c r="AH4" s="6">
        <v>-3.5260140000000001E-3</v>
      </c>
      <c r="AI4" s="6">
        <v>3.1677228915662618E-5</v>
      </c>
      <c r="AJ4" s="6">
        <v>-3.8091330000000001E-3</v>
      </c>
      <c r="AK4" s="6">
        <v>-3.5529390000000002E-3</v>
      </c>
      <c r="AL4" s="6">
        <v>3.0866746987951799E-5</v>
      </c>
      <c r="AM4" s="6">
        <v>-3.786827E-3</v>
      </c>
      <c r="AN4" s="6">
        <v>-3.523965E-3</v>
      </c>
      <c r="AO4" s="6">
        <v>3.1670120481927705E-5</v>
      </c>
      <c r="AP4" s="6">
        <v>-3.41143E-3</v>
      </c>
      <c r="AQ4" s="6">
        <v>-3.196801E-3</v>
      </c>
      <c r="AR4" s="6">
        <v>2.5858915662650604E-5</v>
      </c>
      <c r="AS4" s="6">
        <v>-3.4264590000000002E-3</v>
      </c>
      <c r="AT4" s="6">
        <v>-3.2167699999999999E-3</v>
      </c>
      <c r="AU4" s="6">
        <v>2.5263734939759073E-5</v>
      </c>
      <c r="AV4" s="6">
        <v>-3.4062609999999998E-3</v>
      </c>
      <c r="AW4" s="6">
        <v>-3.1898439999999998E-3</v>
      </c>
      <c r="AX4" s="6">
        <v>2.6074337349397587E-5</v>
      </c>
      <c r="AY4" s="6">
        <v>-3.428567E-3</v>
      </c>
      <c r="AZ4" s="6">
        <v>-3.2188189999999999E-3</v>
      </c>
      <c r="BA4" s="6">
        <v>2.527084337349398E-5</v>
      </c>
      <c r="BB4" s="6">
        <v>-3.4304090000000001E-3</v>
      </c>
      <c r="BC4" s="6">
        <v>-3.1956760000000002E-3</v>
      </c>
      <c r="BD4" s="6">
        <v>2.8281084337349393E-5</v>
      </c>
      <c r="BE4" s="6">
        <v>-3.4153790000000001E-3</v>
      </c>
      <c r="BF4" s="6">
        <v>-3.1757069999999998E-3</v>
      </c>
      <c r="BG4" s="6">
        <v>2.8876144578313279E-5</v>
      </c>
      <c r="BH4" s="6">
        <v>-3.435577E-3</v>
      </c>
      <c r="BI4" s="6">
        <v>-3.202632E-3</v>
      </c>
      <c r="BJ4" s="6">
        <v>2.8065662650602409E-5</v>
      </c>
      <c r="BK4" s="6">
        <v>-3.4132720000000002E-3</v>
      </c>
      <c r="BL4" s="6">
        <v>-3.1736580000000002E-3</v>
      </c>
      <c r="BM4" s="6">
        <v>2.886915662650602E-5</v>
      </c>
      <c r="BN4" s="6">
        <v>-4.227443E-3</v>
      </c>
      <c r="BO4" s="6">
        <v>-3.9554050000000004E-3</v>
      </c>
      <c r="BP4" s="6">
        <v>3.2775662650602363E-5</v>
      </c>
      <c r="BQ4" s="6">
        <v>-4.2319519999999998E-3</v>
      </c>
      <c r="BR4" s="6">
        <v>-3.9613950000000004E-3</v>
      </c>
      <c r="BS4" s="6">
        <v>3.2597228915662576E-5</v>
      </c>
      <c r="BT4" s="6">
        <v>-4.2258920000000002E-3</v>
      </c>
      <c r="BU4" s="6">
        <v>-3.9533179999999999E-3</v>
      </c>
      <c r="BV4" s="6">
        <v>3.2840240963855447E-5</v>
      </c>
      <c r="BW4" s="6">
        <v>-4.2325840000000002E-3</v>
      </c>
      <c r="BX4" s="6">
        <v>-3.9620100000000002E-3</v>
      </c>
      <c r="BY4" s="6">
        <v>3.2599277108433731E-5</v>
      </c>
      <c r="BZ4" s="6">
        <v>-4.2331369999999997E-3</v>
      </c>
      <c r="CA4" s="6">
        <v>-3.9550669999999996E-3</v>
      </c>
      <c r="CB4" s="6">
        <v>3.3502409638554223E-5</v>
      </c>
      <c r="CC4" s="6">
        <v>-4.2286279999999999E-3</v>
      </c>
      <c r="CD4" s="6">
        <v>-3.9490769999999996E-3</v>
      </c>
      <c r="CE4" s="6">
        <v>3.368084337349401E-5</v>
      </c>
      <c r="CF4" s="6">
        <v>-4.234687E-3</v>
      </c>
      <c r="CG4" s="6">
        <v>-3.9571540000000001E-3</v>
      </c>
      <c r="CH4" s="6">
        <v>3.3437710843373488E-5</v>
      </c>
      <c r="CI4" s="6">
        <v>-4.227995E-3</v>
      </c>
      <c r="CJ4" s="6">
        <v>-3.9484619999999998E-3</v>
      </c>
      <c r="CK4" s="6">
        <v>3.3678674698795204E-5</v>
      </c>
      <c r="CL4" s="6">
        <v>-2.9822579999999998E-3</v>
      </c>
      <c r="CM4" s="6">
        <v>-2.787716E-3</v>
      </c>
      <c r="CN4" s="6">
        <v>2.3438795180722865E-5</v>
      </c>
      <c r="CO4" s="6">
        <v>-2.986767E-3</v>
      </c>
      <c r="CP4" s="6">
        <v>-2.793706E-3</v>
      </c>
      <c r="CQ4" s="6">
        <v>2.3260361445783132E-5</v>
      </c>
      <c r="CR4" s="6">
        <v>-2.980707E-3</v>
      </c>
      <c r="CS4" s="6">
        <v>-2.785629E-3</v>
      </c>
      <c r="CT4" s="6">
        <v>2.3503373493975902E-5</v>
      </c>
      <c r="CU4" s="6">
        <v>-2.987399E-3</v>
      </c>
      <c r="CV4" s="6">
        <v>-2.7943209999999998E-3</v>
      </c>
      <c r="CW4" s="6">
        <v>2.3262409638554236E-5</v>
      </c>
      <c r="CX4" s="6">
        <v>-2.987951E-3</v>
      </c>
      <c r="CY4" s="6">
        <v>-2.7873780000000001E-3</v>
      </c>
      <c r="CZ4" s="6">
        <v>2.4165421686746973E-5</v>
      </c>
      <c r="DA4" s="6">
        <v>-2.9834430000000001E-3</v>
      </c>
      <c r="DB4" s="6">
        <v>-2.7813880000000001E-3</v>
      </c>
      <c r="DC4" s="6">
        <v>2.4343975903614458E-5</v>
      </c>
      <c r="DD4" s="6">
        <v>-2.9895019999999998E-3</v>
      </c>
      <c r="DE4" s="6">
        <v>-2.7894650000000001E-3</v>
      </c>
      <c r="DF4" s="6">
        <v>2.4100843373493939E-5</v>
      </c>
      <c r="DG4" s="6">
        <v>-2.9828099999999998E-3</v>
      </c>
      <c r="DH4" s="6">
        <v>-2.7807729999999998E-3</v>
      </c>
      <c r="DI4" s="6">
        <v>2.4341807228915655E-5</v>
      </c>
      <c r="DK4" s="1" t="s">
        <v>476</v>
      </c>
      <c r="DL4" s="2" t="s">
        <v>477</v>
      </c>
      <c r="DM4" s="2" t="s">
        <v>478</v>
      </c>
    </row>
    <row r="5" spans="1:119" ht="16.2" thickBot="1" x14ac:dyDescent="0.35">
      <c r="A5" s="13" t="s">
        <v>348</v>
      </c>
      <c r="B5" s="13" t="s">
        <v>171</v>
      </c>
      <c r="C5" s="13" t="s">
        <v>212</v>
      </c>
      <c r="D5" s="13" t="s">
        <v>347</v>
      </c>
      <c r="E5" s="13">
        <v>8.3000000000000007</v>
      </c>
      <c r="F5" s="6">
        <v>-2.0279600000000001E-3</v>
      </c>
      <c r="G5" s="6">
        <v>-1.7633060000000001E-3</v>
      </c>
      <c r="H5" s="6">
        <v>3.1886024096385544E-5</v>
      </c>
      <c r="I5" s="6">
        <v>-2.8956630000000001E-3</v>
      </c>
      <c r="J5" s="6">
        <v>-2.5726429999999999E-3</v>
      </c>
      <c r="K5" s="6">
        <v>3.8918072289156651E-5</v>
      </c>
      <c r="L5" s="6">
        <v>-2.6344680000000001E-3</v>
      </c>
      <c r="M5" s="6">
        <v>-2.3696479999999998E-3</v>
      </c>
      <c r="N5" s="6">
        <v>3.1906024096385568E-5</v>
      </c>
      <c r="O5" s="6">
        <v>-3.4732909999999999E-3</v>
      </c>
      <c r="P5" s="6">
        <v>-3.150113E-3</v>
      </c>
      <c r="Q5" s="6">
        <v>3.8937108433734929E-5</v>
      </c>
      <c r="R5" s="6">
        <v>-3.7358199999999999E-3</v>
      </c>
      <c r="S5" s="6">
        <v>-3.3649959999999999E-3</v>
      </c>
      <c r="T5" s="6">
        <v>4.4677590361445784E-5</v>
      </c>
      <c r="U5" s="6">
        <v>-3.3539440000000002E-3</v>
      </c>
      <c r="V5" s="6">
        <v>-3.0076909999999998E-3</v>
      </c>
      <c r="W5" s="6">
        <v>4.1717228915662692E-5</v>
      </c>
      <c r="X5" s="6">
        <v>-3.7422240000000002E-3</v>
      </c>
      <c r="Y5" s="6">
        <v>-3.41253E-3</v>
      </c>
      <c r="Z5" s="6">
        <v>3.9722168674698812E-5</v>
      </c>
      <c r="AA5" s="6">
        <v>-3.3543729999999999E-3</v>
      </c>
      <c r="AB5" s="6">
        <v>-2.9855950000000002E-3</v>
      </c>
      <c r="AC5" s="6">
        <v>4.4431084337349362E-5</v>
      </c>
      <c r="AD5" s="6">
        <v>-2.9711049999999999E-3</v>
      </c>
      <c r="AE5" s="6">
        <v>-2.6639459999999999E-3</v>
      </c>
      <c r="AF5" s="6">
        <v>3.7007108433734939E-5</v>
      </c>
      <c r="AG5" s="6">
        <v>-3.3498059999999999E-3</v>
      </c>
      <c r="AH5" s="6">
        <v>-3.0179790000000001E-3</v>
      </c>
      <c r="AI5" s="6">
        <v>3.9979156626506E-5</v>
      </c>
      <c r="AJ5" s="6">
        <v>-2.9647010000000001E-3</v>
      </c>
      <c r="AK5" s="6">
        <v>-2.6164119999999998E-3</v>
      </c>
      <c r="AL5" s="6">
        <v>4.1962530120481965E-5</v>
      </c>
      <c r="AM5" s="6">
        <v>-3.3525510000000001E-3</v>
      </c>
      <c r="AN5" s="6">
        <v>-3.0433460000000002E-3</v>
      </c>
      <c r="AO5" s="6">
        <v>3.7253614457831307E-5</v>
      </c>
      <c r="AP5" s="6">
        <v>-3.3978490000000001E-3</v>
      </c>
      <c r="AQ5" s="6">
        <v>-3.0588099999999999E-3</v>
      </c>
      <c r="AR5" s="6">
        <v>4.0848072289156648E-5</v>
      </c>
      <c r="AS5" s="6">
        <v>-3.0191480000000001E-3</v>
      </c>
      <c r="AT5" s="6">
        <v>-2.7047769999999998E-3</v>
      </c>
      <c r="AU5" s="6">
        <v>3.787602409638558E-5</v>
      </c>
      <c r="AV5" s="6">
        <v>-3.4042529999999999E-3</v>
      </c>
      <c r="AW5" s="6">
        <v>-3.106344E-3</v>
      </c>
      <c r="AX5" s="6">
        <v>3.5892650602409615E-5</v>
      </c>
      <c r="AY5" s="6">
        <v>-3.016403E-3</v>
      </c>
      <c r="AZ5" s="6">
        <v>-2.6794089999999998E-3</v>
      </c>
      <c r="BA5" s="6">
        <v>4.0601686746987971E-5</v>
      </c>
      <c r="BB5" s="6">
        <v>-2.6331340000000001E-3</v>
      </c>
      <c r="BC5" s="6">
        <v>-2.35776E-3</v>
      </c>
      <c r="BD5" s="6">
        <v>3.3177590361445796E-5</v>
      </c>
      <c r="BE5" s="6">
        <v>-3.0118359999999999E-3</v>
      </c>
      <c r="BF5" s="6">
        <v>-2.7117920000000002E-3</v>
      </c>
      <c r="BG5" s="6">
        <v>3.6149879518072252E-5</v>
      </c>
      <c r="BH5" s="6">
        <v>-2.6267299999999999E-3</v>
      </c>
      <c r="BI5" s="6">
        <v>-2.3102259999999999E-3</v>
      </c>
      <c r="BJ5" s="6">
        <v>3.8133012048192768E-5</v>
      </c>
      <c r="BK5" s="6">
        <v>-3.0145810000000001E-3</v>
      </c>
      <c r="BL5" s="6">
        <v>-2.7371600000000002E-3</v>
      </c>
      <c r="BM5" s="6">
        <v>3.3424216867469868E-5</v>
      </c>
      <c r="BN5" s="6">
        <v>-3.8624689999999999E-3</v>
      </c>
      <c r="BO5" s="6">
        <v>-3.4768450000000001E-3</v>
      </c>
      <c r="BP5" s="6">
        <v>4.6460722891566234E-5</v>
      </c>
      <c r="BQ5" s="6">
        <v>-3.7488579999999999E-3</v>
      </c>
      <c r="BR5" s="6">
        <v>-3.3706360000000002E-3</v>
      </c>
      <c r="BS5" s="6">
        <v>4.5568915662650562E-5</v>
      </c>
      <c r="BT5" s="6">
        <v>-3.8643900000000001E-3</v>
      </c>
      <c r="BU5" s="6">
        <v>-3.4911059999999999E-3</v>
      </c>
      <c r="BV5" s="6">
        <v>4.4973975903614475E-5</v>
      </c>
      <c r="BW5" s="6">
        <v>-3.7480349999999998E-3</v>
      </c>
      <c r="BX5" s="6">
        <v>-3.363025E-3</v>
      </c>
      <c r="BY5" s="6">
        <v>4.6386746987951786E-5</v>
      </c>
      <c r="BZ5" s="6">
        <v>-3.6330540000000001E-3</v>
      </c>
      <c r="CA5" s="6">
        <v>-3.266531E-3</v>
      </c>
      <c r="CB5" s="6">
        <v>4.4159397590361454E-5</v>
      </c>
      <c r="CC5" s="6">
        <v>-3.7466639999999998E-3</v>
      </c>
      <c r="CD5" s="6">
        <v>-3.3727399999999999E-3</v>
      </c>
      <c r="CE5" s="6">
        <v>4.505108433734938E-5</v>
      </c>
      <c r="CF5" s="6">
        <v>-3.6311329999999999E-3</v>
      </c>
      <c r="CG5" s="6">
        <v>-3.2522699999999998E-3</v>
      </c>
      <c r="CH5" s="6">
        <v>4.5646144578313266E-5</v>
      </c>
      <c r="CI5" s="6">
        <v>-3.7474880000000002E-3</v>
      </c>
      <c r="CJ5" s="6">
        <v>-3.3803510000000002E-3</v>
      </c>
      <c r="CK5" s="6">
        <v>4.4233373493975902E-5</v>
      </c>
      <c r="CL5" s="6">
        <v>-2.7358999999999999E-3</v>
      </c>
      <c r="CM5" s="6">
        <v>-2.4562249999999998E-3</v>
      </c>
      <c r="CN5" s="6">
        <v>3.3695783132530126E-5</v>
      </c>
      <c r="CO5" s="6">
        <v>-2.6222900000000002E-3</v>
      </c>
      <c r="CP5" s="6">
        <v>-2.350015E-3</v>
      </c>
      <c r="CQ5" s="6">
        <v>3.2804216867469905E-5</v>
      </c>
      <c r="CR5" s="6">
        <v>-2.7378210000000001E-3</v>
      </c>
      <c r="CS5" s="6">
        <v>-2.4704850000000001E-3</v>
      </c>
      <c r="CT5" s="6">
        <v>3.2209156626506018E-5</v>
      </c>
      <c r="CU5" s="6">
        <v>-2.6214659999999998E-3</v>
      </c>
      <c r="CV5" s="6">
        <v>-2.3424050000000001E-3</v>
      </c>
      <c r="CW5" s="6">
        <v>3.3621807228915624E-5</v>
      </c>
      <c r="CX5" s="6">
        <v>-2.506486E-3</v>
      </c>
      <c r="CY5" s="6">
        <v>-2.2459099999999998E-3</v>
      </c>
      <c r="CZ5" s="6">
        <v>3.1394698795180749E-5</v>
      </c>
      <c r="DA5" s="6">
        <v>-2.6200960000000001E-3</v>
      </c>
      <c r="DB5" s="6">
        <v>-2.3521200000000001E-3</v>
      </c>
      <c r="DC5" s="6">
        <v>3.228626506024097E-5</v>
      </c>
      <c r="DD5" s="6">
        <v>-2.5045639999999999E-3</v>
      </c>
      <c r="DE5" s="6">
        <v>-2.23165E-3</v>
      </c>
      <c r="DF5" s="6">
        <v>3.2881204819277104E-5</v>
      </c>
      <c r="DG5" s="6">
        <v>-2.6209200000000001E-3</v>
      </c>
      <c r="DH5" s="6">
        <v>-2.35973E-3</v>
      </c>
      <c r="DI5" s="6">
        <v>3.146867469879519E-5</v>
      </c>
      <c r="DK5" s="3" t="s">
        <v>11</v>
      </c>
      <c r="DL5" s="4">
        <f>H1</f>
        <v>2875.7116390201645</v>
      </c>
      <c r="DM5" s="5" t="str">
        <f>IF(DL5&gt;250,"OK","N.G")</f>
        <v>OK</v>
      </c>
      <c r="DN5" s="6">
        <f>IF('Lines-v8'!DL5=old!DL5,0,1)</f>
        <v>0</v>
      </c>
      <c r="DO5" s="6">
        <f>IF('Result-v12'!E6=old!DL5,0,1)</f>
        <v>1</v>
      </c>
    </row>
    <row r="6" spans="1:119" ht="16.2" thickBot="1" x14ac:dyDescent="0.35">
      <c r="A6" s="13" t="s">
        <v>349</v>
      </c>
      <c r="B6" s="13" t="s">
        <v>56</v>
      </c>
      <c r="C6" s="13" t="s">
        <v>91</v>
      </c>
      <c r="D6" s="13" t="s">
        <v>350</v>
      </c>
      <c r="E6" s="13">
        <v>8.3000000000000007</v>
      </c>
      <c r="F6" s="6">
        <v>-2.502729E-3</v>
      </c>
      <c r="G6" s="6">
        <v>-2.4215759999999999E-3</v>
      </c>
      <c r="H6" s="6">
        <v>9.7774698795180764E-6</v>
      </c>
      <c r="I6" s="6">
        <v>-3.126439E-3</v>
      </c>
      <c r="J6" s="6">
        <v>-3.076666E-3</v>
      </c>
      <c r="K6" s="6">
        <v>5.9967469879517965E-6</v>
      </c>
      <c r="L6" s="6">
        <v>-2.8827739999999998E-3</v>
      </c>
      <c r="M6" s="6">
        <v>-2.8099900000000001E-3</v>
      </c>
      <c r="N6" s="6">
        <v>8.769156626505997E-6</v>
      </c>
      <c r="O6" s="6">
        <v>-3.4898709999999999E-3</v>
      </c>
      <c r="P6" s="6">
        <v>-3.4467870000000002E-3</v>
      </c>
      <c r="Q6" s="6">
        <v>5.1908433734939346E-6</v>
      </c>
      <c r="R6" s="6">
        <v>-2.967557E-3</v>
      </c>
      <c r="S6" s="6">
        <v>-2.9880520000000002E-3</v>
      </c>
      <c r="T6" s="6">
        <v>2.4692771084337526E-6</v>
      </c>
      <c r="U6" s="6">
        <v>-2.7857229999999999E-3</v>
      </c>
      <c r="V6" s="6">
        <v>-2.866674E-3</v>
      </c>
      <c r="W6" s="6">
        <v>9.7531325301204954E-6</v>
      </c>
      <c r="X6" s="6">
        <v>-2.9903249999999998E-3</v>
      </c>
      <c r="Y6" s="6">
        <v>-3.0058300000000001E-3</v>
      </c>
      <c r="Z6" s="6">
        <v>1.8680722891566616E-6</v>
      </c>
      <c r="AA6" s="6">
        <v>-2.7755150000000001E-3</v>
      </c>
      <c r="AB6" s="6">
        <v>-2.8627710000000001E-3</v>
      </c>
      <c r="AC6" s="6">
        <v>1.0512771084337344E-5</v>
      </c>
      <c r="AD6" s="6">
        <v>-4.0083790000000003E-3</v>
      </c>
      <c r="AE6" s="6">
        <v>-3.886577E-3</v>
      </c>
      <c r="AF6" s="6">
        <v>1.4674939759036177E-5</v>
      </c>
      <c r="AG6" s="6">
        <v>-4.1872139999999999E-3</v>
      </c>
      <c r="AH6" s="6">
        <v>-4.0015420000000003E-3</v>
      </c>
      <c r="AI6" s="6">
        <v>2.2370120481927658E-5</v>
      </c>
      <c r="AJ6" s="6">
        <v>-3.9856099999999997E-3</v>
      </c>
      <c r="AK6" s="6">
        <v>-3.868799E-3</v>
      </c>
      <c r="AL6" s="6">
        <v>1.4073614457831283E-5</v>
      </c>
      <c r="AM6" s="6">
        <v>-4.2004210000000002E-3</v>
      </c>
      <c r="AN6" s="6">
        <v>-4.0118580000000001E-3</v>
      </c>
      <c r="AO6" s="6">
        <v>2.2718433734939768E-5</v>
      </c>
      <c r="AP6" s="6">
        <v>-2.607884E-3</v>
      </c>
      <c r="AQ6" s="6">
        <v>-2.6368619999999998E-3</v>
      </c>
      <c r="AR6" s="6">
        <v>3.491325301204797E-6</v>
      </c>
      <c r="AS6" s="6">
        <v>-2.4290499999999999E-3</v>
      </c>
      <c r="AT6" s="6">
        <v>-2.5218969999999999E-3</v>
      </c>
      <c r="AU6" s="6">
        <v>1.1186385542168682E-5</v>
      </c>
      <c r="AV6" s="6">
        <v>-2.6306530000000002E-3</v>
      </c>
      <c r="AW6" s="6">
        <v>-2.6546400000000002E-3</v>
      </c>
      <c r="AX6" s="6">
        <v>2.8900000000000062E-6</v>
      </c>
      <c r="AY6" s="6">
        <v>-2.4158420000000001E-3</v>
      </c>
      <c r="AZ6" s="6">
        <v>-2.5115810000000001E-3</v>
      </c>
      <c r="BA6" s="6">
        <v>1.153481927710844E-5</v>
      </c>
      <c r="BB6" s="6">
        <v>-3.6487070000000002E-3</v>
      </c>
      <c r="BC6" s="6">
        <v>-3.535388E-3</v>
      </c>
      <c r="BD6" s="6">
        <v>1.3652891566265081E-5</v>
      </c>
      <c r="BE6" s="6">
        <v>-3.8275420000000002E-3</v>
      </c>
      <c r="BF6" s="6">
        <v>-3.6503529999999998E-3</v>
      </c>
      <c r="BG6" s="6">
        <v>2.1348072289156665E-5</v>
      </c>
      <c r="BH6" s="6">
        <v>-3.625938E-3</v>
      </c>
      <c r="BI6" s="6">
        <v>-3.5176090000000001E-3</v>
      </c>
      <c r="BJ6" s="6">
        <v>1.3051686746987937E-5</v>
      </c>
      <c r="BK6" s="6">
        <v>-3.8407490000000001E-3</v>
      </c>
      <c r="BL6" s="6">
        <v>-3.6606690000000001E-3</v>
      </c>
      <c r="BM6" s="6">
        <v>2.1696385542168673E-5</v>
      </c>
      <c r="BN6" s="6">
        <v>-3.7514620000000001E-3</v>
      </c>
      <c r="BO6" s="6">
        <v>-3.7122570000000001E-3</v>
      </c>
      <c r="BP6" s="6">
        <v>4.7234939759036211E-6</v>
      </c>
      <c r="BQ6" s="6">
        <v>-3.697812E-3</v>
      </c>
      <c r="BR6" s="6">
        <v>-3.6777680000000001E-3</v>
      </c>
      <c r="BS6" s="6">
        <v>2.4149397590361296E-6</v>
      </c>
      <c r="BT6" s="6">
        <v>-3.7582929999999998E-3</v>
      </c>
      <c r="BU6" s="6">
        <v>-3.7175910000000001E-3</v>
      </c>
      <c r="BV6" s="6">
        <v>4.9038554216867063E-6</v>
      </c>
      <c r="BW6" s="6">
        <v>-3.6938499999999998E-3</v>
      </c>
      <c r="BX6" s="6">
        <v>-3.6746729999999998E-3</v>
      </c>
      <c r="BY6" s="6">
        <v>2.3104819277108427E-6</v>
      </c>
      <c r="BZ6" s="6">
        <v>-4.0637090000000004E-3</v>
      </c>
      <c r="CA6" s="6">
        <v>-3.9818149999999997E-3</v>
      </c>
      <c r="CB6" s="6">
        <v>9.8667469879518984E-6</v>
      </c>
      <c r="CC6" s="6">
        <v>-4.1173590000000001E-3</v>
      </c>
      <c r="CD6" s="6">
        <v>-4.0163040000000001E-3</v>
      </c>
      <c r="CE6" s="6">
        <v>1.2175301204819285E-5</v>
      </c>
      <c r="CF6" s="6">
        <v>-4.0568779999999999E-3</v>
      </c>
      <c r="CG6" s="6">
        <v>-3.9764819999999999E-3</v>
      </c>
      <c r="CH6" s="6">
        <v>9.6862650602409561E-6</v>
      </c>
      <c r="CI6" s="6">
        <v>-4.1213220000000002E-3</v>
      </c>
      <c r="CJ6" s="6">
        <v>-4.0193989999999999E-3</v>
      </c>
      <c r="CK6" s="6">
        <v>1.2279879518072323E-5</v>
      </c>
      <c r="CL6" s="6">
        <v>-2.5525539999999998E-3</v>
      </c>
      <c r="CM6" s="6">
        <v>-2.5416240000000001E-3</v>
      </c>
      <c r="CN6" s="6">
        <v>1.3168674698794827E-6</v>
      </c>
      <c r="CO6" s="6">
        <v>-2.4989040000000001E-3</v>
      </c>
      <c r="CP6" s="6">
        <v>-2.5071350000000002E-3</v>
      </c>
      <c r="CQ6" s="6">
        <v>9.916867469879561E-7</v>
      </c>
      <c r="CR6" s="6">
        <v>-2.559385E-3</v>
      </c>
      <c r="CS6" s="6">
        <v>-2.5469580000000002E-3</v>
      </c>
      <c r="CT6" s="6">
        <v>1.4972289156626205E-6</v>
      </c>
      <c r="CU6" s="6">
        <v>-2.494942E-3</v>
      </c>
      <c r="CV6" s="6">
        <v>-2.5040399999999999E-3</v>
      </c>
      <c r="CW6" s="6">
        <v>1.0961445783132431E-6</v>
      </c>
      <c r="CX6" s="6">
        <v>-2.8648010000000002E-3</v>
      </c>
      <c r="CY6" s="6">
        <v>-2.8111820000000002E-3</v>
      </c>
      <c r="CZ6" s="6">
        <v>6.4601204819277072E-6</v>
      </c>
      <c r="DA6" s="6">
        <v>-2.9184520000000002E-3</v>
      </c>
      <c r="DB6" s="6">
        <v>-2.845672E-3</v>
      </c>
      <c r="DC6" s="6">
        <v>8.7686746987951987E-6</v>
      </c>
      <c r="DD6" s="6">
        <v>-2.8579709999999999E-3</v>
      </c>
      <c r="DE6" s="6">
        <v>-2.805849E-3</v>
      </c>
      <c r="DF6" s="6">
        <v>6.2797590361445695E-6</v>
      </c>
      <c r="DG6" s="6">
        <v>-2.9224139999999999E-3</v>
      </c>
      <c r="DH6" s="6">
        <v>-2.848766E-3</v>
      </c>
      <c r="DI6" s="6">
        <v>8.8732530120481848E-6</v>
      </c>
      <c r="DK6" s="3" t="s">
        <v>12</v>
      </c>
      <c r="DL6" s="4">
        <f>K1</f>
        <v>2531.4284991438703</v>
      </c>
      <c r="DM6" s="5" t="str">
        <f t="shared" ref="DM6:DM40" si="11">IF(DL6&gt;250,"OK","N.G")</f>
        <v>OK</v>
      </c>
      <c r="DN6" s="6">
        <f>IF('Lines-v8'!DL6=old!DL6,0,1)</f>
        <v>0</v>
      </c>
      <c r="DO6" s="6">
        <f>IF('Result-v12'!E7=old!DL6,0,1)</f>
        <v>1</v>
      </c>
    </row>
    <row r="7" spans="1:119" ht="16.2" thickBot="1" x14ac:dyDescent="0.35">
      <c r="A7" s="13" t="s">
        <v>351</v>
      </c>
      <c r="B7" s="13" t="s">
        <v>91</v>
      </c>
      <c r="C7" s="13" t="s">
        <v>127</v>
      </c>
      <c r="D7" s="13" t="s">
        <v>350</v>
      </c>
      <c r="E7" s="13">
        <v>8.3000000000000007</v>
      </c>
      <c r="F7" s="6">
        <v>-2.4215759999999999E-3</v>
      </c>
      <c r="G7" s="6">
        <v>-2.2545080000000001E-3</v>
      </c>
      <c r="H7" s="6">
        <v>2.0128674698795156E-5</v>
      </c>
      <c r="I7" s="6">
        <v>-3.076666E-3</v>
      </c>
      <c r="J7" s="6">
        <v>-2.9175020000000002E-3</v>
      </c>
      <c r="K7" s="6">
        <v>1.9176385542168653E-5</v>
      </c>
      <c r="L7" s="6">
        <v>-2.8099900000000001E-3</v>
      </c>
      <c r="M7" s="6">
        <v>-2.6484239999999999E-3</v>
      </c>
      <c r="N7" s="6">
        <v>1.9465783132530135E-5</v>
      </c>
      <c r="O7" s="6">
        <v>-3.4467870000000002E-3</v>
      </c>
      <c r="P7" s="6">
        <v>-3.2923470000000002E-3</v>
      </c>
      <c r="Q7" s="6">
        <v>1.8607228915662654E-5</v>
      </c>
      <c r="R7" s="6">
        <v>-2.9880520000000002E-3</v>
      </c>
      <c r="S7" s="6">
        <v>-2.9543820000000002E-3</v>
      </c>
      <c r="T7" s="6">
        <v>4.0566265060240918E-6</v>
      </c>
      <c r="U7" s="6">
        <v>-2.866674E-3</v>
      </c>
      <c r="V7" s="6">
        <v>-2.9252610000000002E-3</v>
      </c>
      <c r="W7" s="6">
        <v>7.0586746987951964E-6</v>
      </c>
      <c r="X7" s="6">
        <v>-3.0058300000000001E-3</v>
      </c>
      <c r="Y7" s="6">
        <v>-2.9654299999999998E-3</v>
      </c>
      <c r="Z7" s="6">
        <v>4.8674698795181115E-6</v>
      </c>
      <c r="AA7" s="6">
        <v>-2.8627710000000001E-3</v>
      </c>
      <c r="AB7" s="6">
        <v>-2.9363200000000001E-3</v>
      </c>
      <c r="AC7" s="6">
        <v>8.8613253012048206E-6</v>
      </c>
      <c r="AD7" s="6">
        <v>-3.886577E-3</v>
      </c>
      <c r="AE7" s="6">
        <v>-3.5874349999999999E-3</v>
      </c>
      <c r="AF7" s="6">
        <v>3.6041204819277115E-5</v>
      </c>
      <c r="AG7" s="6">
        <v>-4.0015420000000003E-3</v>
      </c>
      <c r="AH7" s="6">
        <v>-3.5990839999999998E-3</v>
      </c>
      <c r="AI7" s="6">
        <v>4.8488915662650656E-5</v>
      </c>
      <c r="AJ7" s="6">
        <v>-3.868799E-3</v>
      </c>
      <c r="AK7" s="6">
        <v>-3.5763869999999999E-3</v>
      </c>
      <c r="AL7" s="6">
        <v>3.5230361445783148E-5</v>
      </c>
      <c r="AM7" s="6">
        <v>-4.0118580000000001E-3</v>
      </c>
      <c r="AN7" s="6">
        <v>-3.605497E-3</v>
      </c>
      <c r="AO7" s="6">
        <v>4.8959156626506026E-5</v>
      </c>
      <c r="AP7" s="6">
        <v>-2.6368619999999998E-3</v>
      </c>
      <c r="AQ7" s="6">
        <v>-2.6224019999999998E-3</v>
      </c>
      <c r="AR7" s="6">
        <v>1.7421686746987942E-6</v>
      </c>
      <c r="AS7" s="6">
        <v>-2.5218969999999999E-3</v>
      </c>
      <c r="AT7" s="6">
        <v>-2.610752E-3</v>
      </c>
      <c r="AU7" s="6">
        <v>1.0705421686746998E-5</v>
      </c>
      <c r="AV7" s="6">
        <v>-2.6546400000000002E-3</v>
      </c>
      <c r="AW7" s="6">
        <v>-2.6334499999999999E-3</v>
      </c>
      <c r="AX7" s="6">
        <v>2.553012048192814E-6</v>
      </c>
      <c r="AY7" s="6">
        <v>-2.5115810000000001E-3</v>
      </c>
      <c r="AZ7" s="6">
        <v>-2.6043400000000001E-3</v>
      </c>
      <c r="BA7" s="6">
        <v>1.1175783132530118E-5</v>
      </c>
      <c r="BB7" s="6">
        <v>-3.535388E-3</v>
      </c>
      <c r="BC7" s="6">
        <v>-3.255455E-3</v>
      </c>
      <c r="BD7" s="6">
        <v>3.3726867469879514E-5</v>
      </c>
      <c r="BE7" s="6">
        <v>-3.6503529999999998E-3</v>
      </c>
      <c r="BF7" s="6">
        <v>-3.2671039999999998E-3</v>
      </c>
      <c r="BG7" s="6">
        <v>4.6174578313253007E-5</v>
      </c>
      <c r="BH7" s="6">
        <v>-3.5176090000000001E-3</v>
      </c>
      <c r="BI7" s="6">
        <v>-3.244406E-3</v>
      </c>
      <c r="BJ7" s="6">
        <v>3.2916024096385546E-5</v>
      </c>
      <c r="BK7" s="6">
        <v>-3.6606690000000001E-3</v>
      </c>
      <c r="BL7" s="6">
        <v>-3.2735160000000002E-3</v>
      </c>
      <c r="BM7" s="6">
        <v>4.6644939759036129E-5</v>
      </c>
      <c r="BN7" s="6">
        <v>-3.7122570000000001E-3</v>
      </c>
      <c r="BO7" s="6">
        <v>-3.5632609999999999E-3</v>
      </c>
      <c r="BP7" s="6">
        <v>1.7951325301204842E-5</v>
      </c>
      <c r="BQ7" s="6">
        <v>-3.6777680000000001E-3</v>
      </c>
      <c r="BR7" s="6">
        <v>-3.5597659999999998E-3</v>
      </c>
      <c r="BS7" s="6">
        <v>1.4217108433734974E-5</v>
      </c>
      <c r="BT7" s="6">
        <v>-3.7175910000000001E-3</v>
      </c>
      <c r="BU7" s="6">
        <v>-3.5665760000000001E-3</v>
      </c>
      <c r="BV7" s="6">
        <v>1.8194578313253011E-5</v>
      </c>
      <c r="BW7" s="6">
        <v>-3.6746729999999998E-3</v>
      </c>
      <c r="BX7" s="6">
        <v>-3.5578430000000002E-3</v>
      </c>
      <c r="BY7" s="6">
        <v>1.4075903614457785E-5</v>
      </c>
      <c r="BZ7" s="6">
        <v>-3.9818149999999997E-3</v>
      </c>
      <c r="CA7" s="6">
        <v>-3.7531769999999999E-3</v>
      </c>
      <c r="CB7" s="6">
        <v>2.7546746987951777E-5</v>
      </c>
      <c r="CC7" s="6">
        <v>-4.0163040000000001E-3</v>
      </c>
      <c r="CD7" s="6">
        <v>-3.756672E-3</v>
      </c>
      <c r="CE7" s="6">
        <v>3.1280963855421697E-5</v>
      </c>
      <c r="CF7" s="6">
        <v>-3.9764819999999999E-3</v>
      </c>
      <c r="CG7" s="6">
        <v>-3.749863E-3</v>
      </c>
      <c r="CH7" s="6">
        <v>2.7303493975903607E-5</v>
      </c>
      <c r="CI7" s="6">
        <v>-4.0193989999999999E-3</v>
      </c>
      <c r="CJ7" s="6">
        <v>-3.7585959999999999E-3</v>
      </c>
      <c r="CK7" s="6">
        <v>3.1422048192771082E-5</v>
      </c>
      <c r="CL7" s="6">
        <v>-2.5416240000000001E-3</v>
      </c>
      <c r="CM7" s="6">
        <v>-2.4566599999999998E-3</v>
      </c>
      <c r="CN7" s="6">
        <v>1.0236626506024133E-5</v>
      </c>
      <c r="CO7" s="6">
        <v>-2.5071350000000002E-3</v>
      </c>
      <c r="CP7" s="6">
        <v>-2.4531650000000002E-3</v>
      </c>
      <c r="CQ7" s="6">
        <v>6.502409638554213E-6</v>
      </c>
      <c r="CR7" s="6">
        <v>-2.5469580000000002E-3</v>
      </c>
      <c r="CS7" s="6">
        <v>-2.4599740000000002E-3</v>
      </c>
      <c r="CT7" s="6">
        <v>1.0480000000000001E-5</v>
      </c>
      <c r="CU7" s="6">
        <v>-2.5040399999999999E-3</v>
      </c>
      <c r="CV7" s="6">
        <v>-2.4512409999999998E-3</v>
      </c>
      <c r="CW7" s="6">
        <v>6.3613253012048276E-6</v>
      </c>
      <c r="CX7" s="6">
        <v>-2.8111820000000002E-3</v>
      </c>
      <c r="CY7" s="6">
        <v>-2.646575E-3</v>
      </c>
      <c r="CZ7" s="6">
        <v>1.9832168674698818E-5</v>
      </c>
      <c r="DA7" s="6">
        <v>-2.845672E-3</v>
      </c>
      <c r="DB7" s="6">
        <v>-2.65007E-3</v>
      </c>
      <c r="DC7" s="6">
        <v>2.3566506024096385E-5</v>
      </c>
      <c r="DD7" s="6">
        <v>-2.805849E-3</v>
      </c>
      <c r="DE7" s="6">
        <v>-2.643261E-3</v>
      </c>
      <c r="DF7" s="6">
        <v>1.9588915662650598E-5</v>
      </c>
      <c r="DG7" s="6">
        <v>-2.848766E-3</v>
      </c>
      <c r="DH7" s="6">
        <v>-2.651994E-3</v>
      </c>
      <c r="DI7" s="6">
        <v>2.3707469879518072E-5</v>
      </c>
      <c r="DK7" s="3" t="s">
        <v>13</v>
      </c>
      <c r="DL7" s="4">
        <f>N1</f>
        <v>3220.9444903590729</v>
      </c>
      <c r="DM7" s="5" t="str">
        <f t="shared" si="11"/>
        <v>OK</v>
      </c>
      <c r="DN7" s="6">
        <f>IF('Lines-v8'!DL7=old!DL7,0,1)</f>
        <v>0</v>
      </c>
      <c r="DO7" s="6">
        <f>IF('Result-v12'!E8=old!DL7,0,1)</f>
        <v>1</v>
      </c>
    </row>
    <row r="8" spans="1:119" ht="16.2" thickBot="1" x14ac:dyDescent="0.35">
      <c r="A8" s="13" t="s">
        <v>352</v>
      </c>
      <c r="B8" s="13" t="s">
        <v>127</v>
      </c>
      <c r="C8" s="13" t="s">
        <v>164</v>
      </c>
      <c r="D8" s="13" t="s">
        <v>350</v>
      </c>
      <c r="E8" s="13">
        <v>8.3000000000000007</v>
      </c>
      <c r="F8" s="6">
        <v>-2.2545080000000001E-3</v>
      </c>
      <c r="G8" s="6">
        <v>-2.0644919999999998E-3</v>
      </c>
      <c r="H8" s="6">
        <v>2.2893493975903651E-5</v>
      </c>
      <c r="I8" s="6">
        <v>-2.9175020000000002E-3</v>
      </c>
      <c r="J8" s="6">
        <v>-2.7059950000000001E-3</v>
      </c>
      <c r="K8" s="6">
        <v>2.548277108433736E-5</v>
      </c>
      <c r="L8" s="6">
        <v>-2.6484239999999999E-3</v>
      </c>
      <c r="M8" s="6">
        <v>-2.4632439999999999E-3</v>
      </c>
      <c r="N8" s="6">
        <v>2.2310843373493982E-5</v>
      </c>
      <c r="O8" s="6">
        <v>-3.2923470000000002E-3</v>
      </c>
      <c r="P8" s="6">
        <v>-3.0848899999999999E-3</v>
      </c>
      <c r="Q8" s="6">
        <v>2.4994819277108467E-5</v>
      </c>
      <c r="R8" s="6">
        <v>-2.9543820000000002E-3</v>
      </c>
      <c r="S8" s="6">
        <v>-2.8249669999999998E-3</v>
      </c>
      <c r="T8" s="6">
        <v>1.5592168674698834E-5</v>
      </c>
      <c r="U8" s="6">
        <v>-2.9252610000000002E-3</v>
      </c>
      <c r="V8" s="6">
        <v>-2.9140490000000002E-3</v>
      </c>
      <c r="W8" s="6">
        <v>1.3508433734939792E-6</v>
      </c>
      <c r="X8" s="6">
        <v>-2.9654299999999998E-3</v>
      </c>
      <c r="Y8" s="6">
        <v>-2.8309720000000002E-3</v>
      </c>
      <c r="Z8" s="6">
        <v>1.619975903614453E-5</v>
      </c>
      <c r="AA8" s="6">
        <v>-2.9363200000000001E-3</v>
      </c>
      <c r="AB8" s="6">
        <v>-2.9478830000000001E-3</v>
      </c>
      <c r="AC8" s="6">
        <v>1.3931325301204848E-6</v>
      </c>
      <c r="AD8" s="6">
        <v>-3.5874349999999999E-3</v>
      </c>
      <c r="AE8" s="6">
        <v>-3.2758209999999999E-3</v>
      </c>
      <c r="AF8" s="6">
        <v>3.7543855421686742E-5</v>
      </c>
      <c r="AG8" s="6">
        <v>-3.5990839999999998E-3</v>
      </c>
      <c r="AH8" s="6">
        <v>-3.14942E-3</v>
      </c>
      <c r="AI8" s="6">
        <v>5.4176385542168643E-5</v>
      </c>
      <c r="AJ8" s="6">
        <v>-3.5763869999999999E-3</v>
      </c>
      <c r="AK8" s="6">
        <v>-3.269816E-3</v>
      </c>
      <c r="AL8" s="6">
        <v>3.6936265060240941E-5</v>
      </c>
      <c r="AM8" s="6">
        <v>-3.605497E-3</v>
      </c>
      <c r="AN8" s="6">
        <v>-3.1529050000000001E-3</v>
      </c>
      <c r="AO8" s="6">
        <v>5.4529156626506008E-5</v>
      </c>
      <c r="AP8" s="6">
        <v>-2.6224019999999998E-3</v>
      </c>
      <c r="AQ8" s="6">
        <v>-2.515055E-3</v>
      </c>
      <c r="AR8" s="6">
        <v>1.2933373493975881E-5</v>
      </c>
      <c r="AS8" s="6">
        <v>-2.610752E-3</v>
      </c>
      <c r="AT8" s="6">
        <v>-2.6414559999999999E-3</v>
      </c>
      <c r="AU8" s="6">
        <v>3.699277108433721E-6</v>
      </c>
      <c r="AV8" s="6">
        <v>-2.6334499999999999E-3</v>
      </c>
      <c r="AW8" s="6">
        <v>-2.5210599999999999E-3</v>
      </c>
      <c r="AX8" s="6">
        <v>1.3540963855421682E-5</v>
      </c>
      <c r="AY8" s="6">
        <v>-2.6043400000000001E-3</v>
      </c>
      <c r="AZ8" s="6">
        <v>-2.6379709999999998E-3</v>
      </c>
      <c r="BA8" s="6">
        <v>4.051927710843334E-6</v>
      </c>
      <c r="BB8" s="6">
        <v>-3.255455E-3</v>
      </c>
      <c r="BC8" s="6">
        <v>-2.9659090000000001E-3</v>
      </c>
      <c r="BD8" s="6">
        <v>3.4885060240963838E-5</v>
      </c>
      <c r="BE8" s="6">
        <v>-3.2671039999999998E-3</v>
      </c>
      <c r="BF8" s="6">
        <v>-2.8395080000000001E-3</v>
      </c>
      <c r="BG8" s="6">
        <v>5.1517590361445746E-5</v>
      </c>
      <c r="BH8" s="6">
        <v>-3.244406E-3</v>
      </c>
      <c r="BI8" s="6">
        <v>-2.9599040000000002E-3</v>
      </c>
      <c r="BJ8" s="6">
        <v>3.4277349397590339E-5</v>
      </c>
      <c r="BK8" s="6">
        <v>-3.2735160000000002E-3</v>
      </c>
      <c r="BL8" s="6">
        <v>-2.8429929999999998E-3</v>
      </c>
      <c r="BM8" s="6">
        <v>5.187024096385546E-5</v>
      </c>
      <c r="BN8" s="6">
        <v>-3.5632609999999999E-3</v>
      </c>
      <c r="BO8" s="6">
        <v>-3.34433E-3</v>
      </c>
      <c r="BP8" s="6">
        <v>2.6377228915662635E-5</v>
      </c>
      <c r="BQ8" s="6">
        <v>-3.5597659999999998E-3</v>
      </c>
      <c r="BR8" s="6">
        <v>-3.3822499999999998E-3</v>
      </c>
      <c r="BS8" s="6">
        <v>2.1387469879518067E-5</v>
      </c>
      <c r="BT8" s="6">
        <v>-3.5665760000000001E-3</v>
      </c>
      <c r="BU8" s="6">
        <v>-3.346131E-3</v>
      </c>
      <c r="BV8" s="6">
        <v>2.6559638554216879E-5</v>
      </c>
      <c r="BW8" s="6">
        <v>-3.5578430000000002E-3</v>
      </c>
      <c r="BX8" s="6">
        <v>-3.381205E-3</v>
      </c>
      <c r="BY8" s="6">
        <v>2.1281686746987977E-5</v>
      </c>
      <c r="BZ8" s="6">
        <v>-3.7531769999999999E-3</v>
      </c>
      <c r="CA8" s="6">
        <v>-3.4795859999999998E-3</v>
      </c>
      <c r="CB8" s="6">
        <v>3.2962771084337359E-5</v>
      </c>
      <c r="CC8" s="6">
        <v>-3.756672E-3</v>
      </c>
      <c r="CD8" s="6">
        <v>-3.4416659999999999E-3</v>
      </c>
      <c r="CE8" s="6">
        <v>3.7952530120481934E-5</v>
      </c>
      <c r="CF8" s="6">
        <v>-3.749863E-3</v>
      </c>
      <c r="CG8" s="6">
        <v>-3.4777839999999998E-3</v>
      </c>
      <c r="CH8" s="6">
        <v>3.2780602409638572E-5</v>
      </c>
      <c r="CI8" s="6">
        <v>-3.7585959999999999E-3</v>
      </c>
      <c r="CJ8" s="6">
        <v>-3.4427110000000002E-3</v>
      </c>
      <c r="CK8" s="6">
        <v>3.8058433734939716E-5</v>
      </c>
      <c r="CL8" s="6">
        <v>-2.4566599999999998E-3</v>
      </c>
      <c r="CM8" s="6">
        <v>-2.3112900000000001E-3</v>
      </c>
      <c r="CN8" s="6">
        <v>1.7514457831325262E-5</v>
      </c>
      <c r="CO8" s="6">
        <v>-2.4531650000000002E-3</v>
      </c>
      <c r="CP8" s="6">
        <v>-2.34921E-3</v>
      </c>
      <c r="CQ8" s="6">
        <v>1.2524698795180745E-5</v>
      </c>
      <c r="CR8" s="6">
        <v>-2.4599740000000002E-3</v>
      </c>
      <c r="CS8" s="6">
        <v>-2.3130920000000001E-3</v>
      </c>
      <c r="CT8" s="6">
        <v>1.7696626506024107E-5</v>
      </c>
      <c r="CU8" s="6">
        <v>-2.4512409999999998E-3</v>
      </c>
      <c r="CV8" s="6">
        <v>-2.3481650000000001E-3</v>
      </c>
      <c r="CW8" s="6">
        <v>1.2418795180722853E-5</v>
      </c>
      <c r="CX8" s="6">
        <v>-2.646575E-3</v>
      </c>
      <c r="CY8" s="6">
        <v>-2.446546E-3</v>
      </c>
      <c r="CZ8" s="6">
        <v>2.4099879518072288E-5</v>
      </c>
      <c r="DA8" s="6">
        <v>-2.65007E-3</v>
      </c>
      <c r="DB8" s="6">
        <v>-2.4086260000000001E-3</v>
      </c>
      <c r="DC8" s="6">
        <v>2.908963855421686E-5</v>
      </c>
      <c r="DD8" s="6">
        <v>-2.643261E-3</v>
      </c>
      <c r="DE8" s="6">
        <v>-2.4447449999999999E-3</v>
      </c>
      <c r="DF8" s="6">
        <v>2.39175903614458E-5</v>
      </c>
      <c r="DG8" s="6">
        <v>-2.651994E-3</v>
      </c>
      <c r="DH8" s="6">
        <v>-2.4096719999999999E-3</v>
      </c>
      <c r="DI8" s="6">
        <v>2.9195421686746998E-5</v>
      </c>
      <c r="DK8" s="3" t="s">
        <v>14</v>
      </c>
      <c r="DL8" s="4">
        <f>Q1</f>
        <v>2708.344101448436</v>
      </c>
      <c r="DM8" s="5" t="str">
        <f t="shared" si="11"/>
        <v>OK</v>
      </c>
      <c r="DN8" s="6">
        <f>IF('Lines-v8'!DL8=old!DL8,0,1)</f>
        <v>0</v>
      </c>
      <c r="DO8" s="6">
        <f>IF('Result-v12'!E9=old!DL8,0,1)</f>
        <v>1</v>
      </c>
    </row>
    <row r="9" spans="1:119" ht="16.2" thickBot="1" x14ac:dyDescent="0.35">
      <c r="A9" s="13" t="s">
        <v>353</v>
      </c>
      <c r="B9" s="13" t="s">
        <v>164</v>
      </c>
      <c r="C9" s="13" t="s">
        <v>205</v>
      </c>
      <c r="D9" s="13" t="s">
        <v>350</v>
      </c>
      <c r="E9" s="13">
        <v>8.3000000000000007</v>
      </c>
      <c r="F9" s="6">
        <v>-2.0644919999999998E-3</v>
      </c>
      <c r="G9" s="6">
        <v>-1.864217E-3</v>
      </c>
      <c r="H9" s="6">
        <v>2.4129518072289125E-5</v>
      </c>
      <c r="I9" s="6">
        <v>-2.7059950000000001E-3</v>
      </c>
      <c r="J9" s="6">
        <v>-2.4538279999999999E-3</v>
      </c>
      <c r="K9" s="6">
        <v>3.0381566265060263E-5</v>
      </c>
      <c r="L9" s="6">
        <v>-2.4632439999999999E-3</v>
      </c>
      <c r="M9" s="6">
        <v>-2.2684010000000002E-3</v>
      </c>
      <c r="N9" s="6">
        <v>2.3475060240963813E-5</v>
      </c>
      <c r="O9" s="6">
        <v>-3.0848899999999999E-3</v>
      </c>
      <c r="P9" s="6">
        <v>-2.8374030000000001E-3</v>
      </c>
      <c r="Q9" s="6">
        <v>2.9817710843373465E-5</v>
      </c>
      <c r="R9" s="6">
        <v>-2.8249669999999998E-3</v>
      </c>
      <c r="S9" s="6">
        <v>-2.5803039999999998E-3</v>
      </c>
      <c r="T9" s="6">
        <v>2.9477469879518069E-5</v>
      </c>
      <c r="U9" s="6">
        <v>-2.9140490000000002E-3</v>
      </c>
      <c r="V9" s="6">
        <v>-2.814357E-3</v>
      </c>
      <c r="W9" s="6">
        <v>1.2011084337349418E-5</v>
      </c>
      <c r="X9" s="6">
        <v>-2.8309720000000002E-3</v>
      </c>
      <c r="Y9" s="6">
        <v>-2.5828919999999998E-3</v>
      </c>
      <c r="Z9" s="6">
        <v>2.9889156626506064E-5</v>
      </c>
      <c r="AA9" s="6">
        <v>-2.9478830000000001E-3</v>
      </c>
      <c r="AB9" s="6">
        <v>-2.878153E-3</v>
      </c>
      <c r="AC9" s="6">
        <v>8.4012048192771135E-6</v>
      </c>
      <c r="AD9" s="6">
        <v>-3.2758209999999999E-3</v>
      </c>
      <c r="AE9" s="6">
        <v>-2.9976310000000002E-3</v>
      </c>
      <c r="AF9" s="6">
        <v>3.3516867469879487E-5</v>
      </c>
      <c r="AG9" s="6">
        <v>-3.14942E-3</v>
      </c>
      <c r="AH9" s="6">
        <v>-2.6982830000000001E-3</v>
      </c>
      <c r="AI9" s="6">
        <v>5.4353855421686732E-5</v>
      </c>
      <c r="AJ9" s="6">
        <v>-3.269816E-3</v>
      </c>
      <c r="AK9" s="6">
        <v>-2.9950430000000002E-3</v>
      </c>
      <c r="AL9" s="6">
        <v>3.3105180722891549E-5</v>
      </c>
      <c r="AM9" s="6">
        <v>-3.1529050000000001E-3</v>
      </c>
      <c r="AN9" s="6">
        <v>-2.699782E-3</v>
      </c>
      <c r="AO9" s="6">
        <v>5.4593132530120495E-5</v>
      </c>
      <c r="AP9" s="6">
        <v>-2.515055E-3</v>
      </c>
      <c r="AQ9" s="6">
        <v>-2.2935970000000001E-3</v>
      </c>
      <c r="AR9" s="6">
        <v>2.6681686746987938E-5</v>
      </c>
      <c r="AS9" s="6">
        <v>-2.6414559999999999E-3</v>
      </c>
      <c r="AT9" s="6">
        <v>-2.5929450000000001E-3</v>
      </c>
      <c r="AU9" s="6">
        <v>5.8446987951806959E-6</v>
      </c>
      <c r="AV9" s="6">
        <v>-2.5210599999999999E-3</v>
      </c>
      <c r="AW9" s="6">
        <v>-2.2961850000000001E-3</v>
      </c>
      <c r="AX9" s="6">
        <v>2.7093373493975879E-5</v>
      </c>
      <c r="AY9" s="6">
        <v>-2.6379709999999998E-3</v>
      </c>
      <c r="AZ9" s="6">
        <v>-2.5914449999999999E-3</v>
      </c>
      <c r="BA9" s="6">
        <v>5.6055421686746817E-6</v>
      </c>
      <c r="BB9" s="6">
        <v>-2.9659090000000001E-3</v>
      </c>
      <c r="BC9" s="6">
        <v>-2.710924E-3</v>
      </c>
      <c r="BD9" s="6">
        <v>3.0721084337349407E-5</v>
      </c>
      <c r="BE9" s="6">
        <v>-2.8395080000000001E-3</v>
      </c>
      <c r="BF9" s="6">
        <v>-2.4115759999999999E-3</v>
      </c>
      <c r="BG9" s="6">
        <v>5.1558072289156652E-5</v>
      </c>
      <c r="BH9" s="6">
        <v>-2.9599040000000002E-3</v>
      </c>
      <c r="BI9" s="6">
        <v>-2.708336E-3</v>
      </c>
      <c r="BJ9" s="6">
        <v>3.0309397590361466E-5</v>
      </c>
      <c r="BK9" s="6">
        <v>-2.8429929999999998E-3</v>
      </c>
      <c r="BL9" s="6">
        <v>-2.4130750000000002E-3</v>
      </c>
      <c r="BM9" s="6">
        <v>5.1797349397590313E-5</v>
      </c>
      <c r="BN9" s="6">
        <v>-3.34433E-3</v>
      </c>
      <c r="BO9" s="6">
        <v>-3.0608599999999999E-3</v>
      </c>
      <c r="BP9" s="6">
        <v>3.4153012048192776E-5</v>
      </c>
      <c r="BQ9" s="6">
        <v>-3.3822499999999998E-3</v>
      </c>
      <c r="BR9" s="6">
        <v>-3.150665E-3</v>
      </c>
      <c r="BS9" s="6">
        <v>2.7901807228915645E-5</v>
      </c>
      <c r="BT9" s="6">
        <v>-3.346131E-3</v>
      </c>
      <c r="BU9" s="6">
        <v>-3.0616369999999999E-3</v>
      </c>
      <c r="BV9" s="6">
        <v>3.4276385542168688E-5</v>
      </c>
      <c r="BW9" s="6">
        <v>-3.381205E-3</v>
      </c>
      <c r="BX9" s="6">
        <v>-3.150215E-3</v>
      </c>
      <c r="BY9" s="6">
        <v>2.7830120481927701E-5</v>
      </c>
      <c r="BZ9" s="6">
        <v>-3.4795859999999998E-3</v>
      </c>
      <c r="CA9" s="6">
        <v>-3.1860579999999999E-3</v>
      </c>
      <c r="CB9" s="6">
        <v>3.5364819277108424E-5</v>
      </c>
      <c r="CC9" s="6">
        <v>-3.4416659999999999E-3</v>
      </c>
      <c r="CD9" s="6">
        <v>-3.0962540000000001E-3</v>
      </c>
      <c r="CE9" s="6">
        <v>4.1615903614457802E-5</v>
      </c>
      <c r="CF9" s="6">
        <v>-3.4777839999999998E-3</v>
      </c>
      <c r="CG9" s="6">
        <v>-3.1852819999999998E-3</v>
      </c>
      <c r="CH9" s="6">
        <v>3.5241204819277109E-5</v>
      </c>
      <c r="CI9" s="6">
        <v>-3.4427110000000002E-3</v>
      </c>
      <c r="CJ9" s="6">
        <v>-3.096704E-3</v>
      </c>
      <c r="CK9" s="6">
        <v>4.1687590361445801E-5</v>
      </c>
      <c r="CL9" s="6">
        <v>-2.3112900000000001E-3</v>
      </c>
      <c r="CM9" s="6">
        <v>-2.1051690000000001E-3</v>
      </c>
      <c r="CN9" s="6">
        <v>2.4833855421686753E-5</v>
      </c>
      <c r="CO9" s="6">
        <v>-2.34921E-3</v>
      </c>
      <c r="CP9" s="6">
        <v>-2.1949740000000001E-3</v>
      </c>
      <c r="CQ9" s="6">
        <v>1.8582650602409623E-5</v>
      </c>
      <c r="CR9" s="6">
        <v>-2.3130920000000001E-3</v>
      </c>
      <c r="CS9" s="6">
        <v>-2.105946E-3</v>
      </c>
      <c r="CT9" s="6">
        <v>2.4957349397590367E-5</v>
      </c>
      <c r="CU9" s="6">
        <v>-2.3481650000000001E-3</v>
      </c>
      <c r="CV9" s="6">
        <v>-2.1945240000000002E-3</v>
      </c>
      <c r="CW9" s="6">
        <v>1.8510963855421679E-5</v>
      </c>
      <c r="CX9" s="6">
        <v>-2.446546E-3</v>
      </c>
      <c r="CY9" s="6">
        <v>-2.230367E-3</v>
      </c>
      <c r="CZ9" s="6">
        <v>2.6045662650602398E-5</v>
      </c>
      <c r="DA9" s="6">
        <v>-2.4086260000000001E-3</v>
      </c>
      <c r="DB9" s="6">
        <v>-2.1405629999999998E-3</v>
      </c>
      <c r="DC9" s="6">
        <v>3.2296746987951831E-5</v>
      </c>
      <c r="DD9" s="6">
        <v>-2.4447449999999999E-3</v>
      </c>
      <c r="DE9" s="6">
        <v>-2.229591E-3</v>
      </c>
      <c r="DF9" s="6">
        <v>2.5922168674698788E-5</v>
      </c>
      <c r="DG9" s="6">
        <v>-2.4096719999999999E-3</v>
      </c>
      <c r="DH9" s="6">
        <v>-2.1410130000000002E-3</v>
      </c>
      <c r="DI9" s="6">
        <v>3.2368554216867426E-5</v>
      </c>
      <c r="DK9" s="3" t="s">
        <v>15</v>
      </c>
      <c r="DL9" s="4">
        <f>T1</f>
        <v>2866.0438718802425</v>
      </c>
      <c r="DM9" s="5" t="str">
        <f t="shared" si="11"/>
        <v>OK</v>
      </c>
      <c r="DN9" s="6">
        <f>IF('Lines-v8'!DL9=old!DL9,0,1)</f>
        <v>0</v>
      </c>
      <c r="DO9" s="6">
        <f>IF('Result-v12'!E10=old!DL9,0,1)</f>
        <v>1</v>
      </c>
    </row>
    <row r="10" spans="1:119" ht="16.2" thickBot="1" x14ac:dyDescent="0.35">
      <c r="A10" s="13" t="s">
        <v>354</v>
      </c>
      <c r="B10" s="13" t="s">
        <v>205</v>
      </c>
      <c r="C10" s="13" t="s">
        <v>246</v>
      </c>
      <c r="D10" s="13" t="s">
        <v>350</v>
      </c>
      <c r="E10" s="13">
        <v>8.3000000000000007</v>
      </c>
      <c r="F10" s="6">
        <v>-1.864217E-3</v>
      </c>
      <c r="G10" s="6">
        <v>-1.644665E-3</v>
      </c>
      <c r="H10" s="6">
        <v>2.6452048192771087E-5</v>
      </c>
      <c r="I10" s="6">
        <v>-2.4538279999999999E-3</v>
      </c>
      <c r="J10" s="6">
        <v>-2.1552749999999999E-3</v>
      </c>
      <c r="K10" s="6">
        <v>3.5970240963855419E-5</v>
      </c>
      <c r="L10" s="6">
        <v>-2.2684010000000002E-3</v>
      </c>
      <c r="M10" s="6">
        <v>-2.055032E-3</v>
      </c>
      <c r="N10" s="6">
        <v>2.5707108433734956E-5</v>
      </c>
      <c r="O10" s="6">
        <v>-2.8374030000000001E-3</v>
      </c>
      <c r="P10" s="6">
        <v>-2.5452180000000001E-3</v>
      </c>
      <c r="Q10" s="6">
        <v>3.5203012048192761E-5</v>
      </c>
      <c r="R10" s="6">
        <v>-2.5803039999999998E-3</v>
      </c>
      <c r="S10" s="6">
        <v>-2.2374719999999999E-3</v>
      </c>
      <c r="T10" s="6">
        <v>4.1305060240963847E-5</v>
      </c>
      <c r="U10" s="6">
        <v>-2.814357E-3</v>
      </c>
      <c r="V10" s="6">
        <v>-2.6172669999999999E-3</v>
      </c>
      <c r="W10" s="6">
        <v>2.3745783132530121E-5</v>
      </c>
      <c r="X10" s="6">
        <v>-2.5828919999999998E-3</v>
      </c>
      <c r="Y10" s="6">
        <v>-2.2370089999999999E-3</v>
      </c>
      <c r="Z10" s="6">
        <v>4.167265060240963E-5</v>
      </c>
      <c r="AA10" s="6">
        <v>-2.878153E-3</v>
      </c>
      <c r="AB10" s="6">
        <v>-2.7110039999999999E-3</v>
      </c>
      <c r="AC10" s="6">
        <v>2.0138433734939772E-5</v>
      </c>
      <c r="AD10" s="6">
        <v>-2.9976310000000002E-3</v>
      </c>
      <c r="AE10" s="6">
        <v>-2.724363E-3</v>
      </c>
      <c r="AF10" s="6">
        <v>3.2923855421686756E-5</v>
      </c>
      <c r="AG10" s="6">
        <v>-2.6982830000000001E-3</v>
      </c>
      <c r="AH10" s="6">
        <v>-2.251107E-3</v>
      </c>
      <c r="AI10" s="6">
        <v>5.3876626506024099E-5</v>
      </c>
      <c r="AJ10" s="6">
        <v>-2.9950430000000002E-3</v>
      </c>
      <c r="AK10" s="6">
        <v>-2.7248260000000001E-3</v>
      </c>
      <c r="AL10" s="6">
        <v>3.2556265060240973E-5</v>
      </c>
      <c r="AM10" s="6">
        <v>-2.699782E-3</v>
      </c>
      <c r="AN10" s="6">
        <v>-2.250831E-3</v>
      </c>
      <c r="AO10" s="6">
        <v>5.4090481927710831E-5</v>
      </c>
      <c r="AP10" s="6">
        <v>-2.2935970000000001E-3</v>
      </c>
      <c r="AQ10" s="6">
        <v>-1.9761290000000001E-3</v>
      </c>
      <c r="AR10" s="6">
        <v>3.8249156626506021E-5</v>
      </c>
      <c r="AS10" s="6">
        <v>-2.5929450000000001E-3</v>
      </c>
      <c r="AT10" s="6">
        <v>-2.4493840000000002E-3</v>
      </c>
      <c r="AU10" s="6">
        <v>1.7296506024096379E-5</v>
      </c>
      <c r="AV10" s="6">
        <v>-2.2961850000000001E-3</v>
      </c>
      <c r="AW10" s="6">
        <v>-1.9756650000000001E-3</v>
      </c>
      <c r="AX10" s="6">
        <v>3.8616867469879502E-5</v>
      </c>
      <c r="AY10" s="6">
        <v>-2.5914449999999999E-3</v>
      </c>
      <c r="AZ10" s="6">
        <v>-2.4496610000000001E-3</v>
      </c>
      <c r="BA10" s="6">
        <v>1.7082409638554194E-5</v>
      </c>
      <c r="BB10" s="6">
        <v>-2.710924E-3</v>
      </c>
      <c r="BC10" s="6">
        <v>-2.4630189999999999E-3</v>
      </c>
      <c r="BD10" s="6">
        <v>2.9868072289156634E-5</v>
      </c>
      <c r="BE10" s="6">
        <v>-2.4115759999999999E-3</v>
      </c>
      <c r="BF10" s="6">
        <v>-1.9897640000000002E-3</v>
      </c>
      <c r="BG10" s="6">
        <v>5.0820722891566226E-5</v>
      </c>
      <c r="BH10" s="6">
        <v>-2.708336E-3</v>
      </c>
      <c r="BI10" s="6">
        <v>-2.4634829999999998E-3</v>
      </c>
      <c r="BJ10" s="6">
        <v>2.950036144578315E-5</v>
      </c>
      <c r="BK10" s="6">
        <v>-2.4130750000000002E-3</v>
      </c>
      <c r="BL10" s="6">
        <v>-1.9894869999999999E-3</v>
      </c>
      <c r="BM10" s="6">
        <v>5.1034698795180764E-5</v>
      </c>
      <c r="BN10" s="6">
        <v>-3.0608599999999999E-3</v>
      </c>
      <c r="BO10" s="6">
        <v>-2.7127850000000001E-3</v>
      </c>
      <c r="BP10" s="6">
        <v>4.1936746987951779E-5</v>
      </c>
      <c r="BQ10" s="6">
        <v>-3.150665E-3</v>
      </c>
      <c r="BR10" s="6">
        <v>-2.8547619999999998E-3</v>
      </c>
      <c r="BS10" s="6">
        <v>3.5650963855421697E-5</v>
      </c>
      <c r="BT10" s="6">
        <v>-3.0616369999999999E-3</v>
      </c>
      <c r="BU10" s="6">
        <v>-2.712646E-3</v>
      </c>
      <c r="BV10" s="6">
        <v>4.2047108433734924E-5</v>
      </c>
      <c r="BW10" s="6">
        <v>-3.150215E-3</v>
      </c>
      <c r="BX10" s="6">
        <v>-2.854845E-3</v>
      </c>
      <c r="BY10" s="6">
        <v>3.5586746987951815E-5</v>
      </c>
      <c r="BZ10" s="6">
        <v>-3.1860579999999999E-3</v>
      </c>
      <c r="CA10" s="6">
        <v>-2.8588519999999998E-3</v>
      </c>
      <c r="CB10" s="6">
        <v>3.9422409638554214E-5</v>
      </c>
      <c r="CC10" s="6">
        <v>-3.0962540000000001E-3</v>
      </c>
      <c r="CD10" s="6">
        <v>-2.716876E-3</v>
      </c>
      <c r="CE10" s="6">
        <v>4.5708192771084343E-5</v>
      </c>
      <c r="CF10" s="6">
        <v>-3.1852819999999998E-3</v>
      </c>
      <c r="CG10" s="6">
        <v>-2.858991E-3</v>
      </c>
      <c r="CH10" s="6">
        <v>3.9312168674698773E-5</v>
      </c>
      <c r="CI10" s="6">
        <v>-3.096704E-3</v>
      </c>
      <c r="CJ10" s="6">
        <v>-2.7167929999999999E-3</v>
      </c>
      <c r="CK10" s="6">
        <v>4.5772409638554233E-5</v>
      </c>
      <c r="CL10" s="6">
        <v>-2.1051690000000001E-3</v>
      </c>
      <c r="CM10" s="6">
        <v>-1.8416389999999999E-3</v>
      </c>
      <c r="CN10" s="6">
        <v>3.1750602409638563E-5</v>
      </c>
      <c r="CO10" s="6">
        <v>-2.1949740000000001E-3</v>
      </c>
      <c r="CP10" s="6">
        <v>-1.9836160000000001E-3</v>
      </c>
      <c r="CQ10" s="6">
        <v>2.5464819277108434E-5</v>
      </c>
      <c r="CR10" s="6">
        <v>-2.105946E-3</v>
      </c>
      <c r="CS10" s="6">
        <v>-1.8415E-3</v>
      </c>
      <c r="CT10" s="6">
        <v>3.1860963855421681E-5</v>
      </c>
      <c r="CU10" s="6">
        <v>-2.1945240000000002E-3</v>
      </c>
      <c r="CV10" s="6">
        <v>-1.9836989999999998E-3</v>
      </c>
      <c r="CW10" s="6">
        <v>2.5400602409638602E-5</v>
      </c>
      <c r="CX10" s="6">
        <v>-2.230367E-3</v>
      </c>
      <c r="CY10" s="6">
        <v>-1.9877060000000001E-3</v>
      </c>
      <c r="CZ10" s="6">
        <v>2.923626506024095E-5</v>
      </c>
      <c r="DA10" s="6">
        <v>-2.1405629999999998E-3</v>
      </c>
      <c r="DB10" s="6">
        <v>-1.8457300000000001E-3</v>
      </c>
      <c r="DC10" s="6">
        <v>3.5522048192771052E-5</v>
      </c>
      <c r="DD10" s="6">
        <v>-2.229591E-3</v>
      </c>
      <c r="DE10" s="6">
        <v>-1.9878449999999998E-3</v>
      </c>
      <c r="DF10" s="6">
        <v>2.9126024096385557E-5</v>
      </c>
      <c r="DG10" s="6">
        <v>-2.1410130000000002E-3</v>
      </c>
      <c r="DH10" s="6">
        <v>-1.845647E-3</v>
      </c>
      <c r="DI10" s="6">
        <v>3.5586265060240989E-5</v>
      </c>
      <c r="DK10" s="3" t="s">
        <v>16</v>
      </c>
      <c r="DL10" s="4">
        <f>W1</f>
        <v>3257.5198570364805</v>
      </c>
      <c r="DM10" s="5" t="str">
        <f t="shared" si="11"/>
        <v>OK</v>
      </c>
      <c r="DN10" s="6">
        <f>IF('Lines-v8'!DL10=old!DL10,0,1)</f>
        <v>0</v>
      </c>
      <c r="DO10" s="6">
        <f>IF('Result-v12'!E11=old!DL10,0,1)</f>
        <v>1</v>
      </c>
    </row>
    <row r="11" spans="1:119" ht="16.2" thickBot="1" x14ac:dyDescent="0.35">
      <c r="A11" s="13" t="s">
        <v>355</v>
      </c>
      <c r="B11" s="13" t="s">
        <v>246</v>
      </c>
      <c r="C11" s="13" t="s">
        <v>284</v>
      </c>
      <c r="D11" s="13" t="s">
        <v>350</v>
      </c>
      <c r="E11" s="13">
        <v>8.3000000000000007</v>
      </c>
      <c r="F11" s="6">
        <v>-1.644665E-3</v>
      </c>
      <c r="G11" s="6">
        <v>-1.4523940000000001E-3</v>
      </c>
      <c r="H11" s="6">
        <v>2.3165180722891556E-5</v>
      </c>
      <c r="I11" s="6">
        <v>-2.1552749999999999E-3</v>
      </c>
      <c r="J11" s="6">
        <v>-1.8877010000000001E-3</v>
      </c>
      <c r="K11" s="6">
        <v>3.2237831325301177E-5</v>
      </c>
      <c r="L11" s="6">
        <v>-2.055032E-3</v>
      </c>
      <c r="M11" s="6">
        <v>-1.8681430000000001E-3</v>
      </c>
      <c r="N11" s="6">
        <v>2.2516746987951803E-5</v>
      </c>
      <c r="O11" s="6">
        <v>-2.5452180000000001E-3</v>
      </c>
      <c r="P11" s="6">
        <v>-2.2837259999999998E-3</v>
      </c>
      <c r="Q11" s="6">
        <v>3.1505060240963894E-5</v>
      </c>
      <c r="R11" s="6">
        <v>-2.2374719999999999E-3</v>
      </c>
      <c r="S11" s="6">
        <v>-1.9420730000000001E-3</v>
      </c>
      <c r="T11" s="6">
        <v>3.5590240963855392E-5</v>
      </c>
      <c r="U11" s="6">
        <v>-2.6172669999999999E-3</v>
      </c>
      <c r="V11" s="6">
        <v>-2.384171E-3</v>
      </c>
      <c r="W11" s="6">
        <v>2.8083855421686734E-5</v>
      </c>
      <c r="X11" s="6">
        <v>-2.2370089999999999E-3</v>
      </c>
      <c r="Y11" s="6">
        <v>-1.938644E-3</v>
      </c>
      <c r="Z11" s="6">
        <v>3.5947590361445764E-5</v>
      </c>
      <c r="AA11" s="6">
        <v>-2.7110039999999999E-3</v>
      </c>
      <c r="AB11" s="6">
        <v>-2.4878499999999998E-3</v>
      </c>
      <c r="AC11" s="6">
        <v>2.6886024096385558E-5</v>
      </c>
      <c r="AD11" s="6">
        <v>-2.724363E-3</v>
      </c>
      <c r="AE11" s="6">
        <v>-2.468498E-3</v>
      </c>
      <c r="AF11" s="6">
        <v>3.0827108433734947E-5</v>
      </c>
      <c r="AG11" s="6">
        <v>-2.251107E-3</v>
      </c>
      <c r="AH11" s="6">
        <v>-1.924725E-3</v>
      </c>
      <c r="AI11" s="6">
        <v>3.9323132530120487E-5</v>
      </c>
      <c r="AJ11" s="6">
        <v>-2.7248260000000001E-3</v>
      </c>
      <c r="AK11" s="6">
        <v>-2.471928E-3</v>
      </c>
      <c r="AL11" s="6">
        <v>3.0469638554216877E-5</v>
      </c>
      <c r="AM11" s="6">
        <v>-2.250831E-3</v>
      </c>
      <c r="AN11" s="6">
        <v>-1.922722E-3</v>
      </c>
      <c r="AO11" s="6">
        <v>3.953120481927711E-5</v>
      </c>
      <c r="AP11" s="6">
        <v>-1.9761290000000001E-3</v>
      </c>
      <c r="AQ11" s="6">
        <v>-1.702926E-3</v>
      </c>
      <c r="AR11" s="6">
        <v>3.2916024096385546E-5</v>
      </c>
      <c r="AS11" s="6">
        <v>-2.4493840000000002E-3</v>
      </c>
      <c r="AT11" s="6">
        <v>-2.246699E-3</v>
      </c>
      <c r="AU11" s="6">
        <v>2.4419879518072309E-5</v>
      </c>
      <c r="AV11" s="6">
        <v>-1.9756650000000001E-3</v>
      </c>
      <c r="AW11" s="6">
        <v>-1.6994969999999999E-3</v>
      </c>
      <c r="AX11" s="6">
        <v>3.3273253012048221E-5</v>
      </c>
      <c r="AY11" s="6">
        <v>-2.4496610000000001E-3</v>
      </c>
      <c r="AZ11" s="6">
        <v>-2.2487029999999999E-3</v>
      </c>
      <c r="BA11" s="6">
        <v>2.4211807228915685E-5</v>
      </c>
      <c r="BB11" s="6">
        <v>-2.4630189999999999E-3</v>
      </c>
      <c r="BC11" s="6">
        <v>-2.2293510000000001E-3</v>
      </c>
      <c r="BD11" s="6">
        <v>2.8152771084337326E-5</v>
      </c>
      <c r="BE11" s="6">
        <v>-1.9897640000000002E-3</v>
      </c>
      <c r="BF11" s="6">
        <v>-1.6855780000000001E-3</v>
      </c>
      <c r="BG11" s="6">
        <v>3.6648915662650614E-5</v>
      </c>
      <c r="BH11" s="6">
        <v>-2.4634829999999998E-3</v>
      </c>
      <c r="BI11" s="6">
        <v>-2.2327800000000002E-3</v>
      </c>
      <c r="BJ11" s="6">
        <v>2.7795542168674651E-5</v>
      </c>
      <c r="BK11" s="6">
        <v>-1.9894869999999999E-3</v>
      </c>
      <c r="BL11" s="6">
        <v>-1.683574E-3</v>
      </c>
      <c r="BM11" s="6">
        <v>3.685698795180721E-5</v>
      </c>
      <c r="BN11" s="6">
        <v>-2.7127850000000001E-3</v>
      </c>
      <c r="BO11" s="6">
        <v>-2.4053270000000001E-3</v>
      </c>
      <c r="BP11" s="6">
        <v>3.7043132530120481E-5</v>
      </c>
      <c r="BQ11" s="6">
        <v>-2.8547619999999998E-3</v>
      </c>
      <c r="BR11" s="6">
        <v>-2.5684589999999999E-3</v>
      </c>
      <c r="BS11" s="6">
        <v>3.4494337349397574E-5</v>
      </c>
      <c r="BT11" s="6">
        <v>-2.712646E-3</v>
      </c>
      <c r="BU11" s="6">
        <v>-2.404298E-3</v>
      </c>
      <c r="BV11" s="6">
        <v>3.7150361445783123E-5</v>
      </c>
      <c r="BW11" s="6">
        <v>-2.854845E-3</v>
      </c>
      <c r="BX11" s="6">
        <v>-2.5690600000000002E-3</v>
      </c>
      <c r="BY11" s="6">
        <v>3.4431927710843343E-5</v>
      </c>
      <c r="BZ11" s="6">
        <v>-2.8588519999999998E-3</v>
      </c>
      <c r="CA11" s="6">
        <v>-2.5632540000000001E-3</v>
      </c>
      <c r="CB11" s="6">
        <v>3.5614216867469852E-5</v>
      </c>
      <c r="CC11" s="6">
        <v>-2.716876E-3</v>
      </c>
      <c r="CD11" s="6">
        <v>-2.4001220000000002E-3</v>
      </c>
      <c r="CE11" s="6">
        <v>3.8163132530120457E-5</v>
      </c>
      <c r="CF11" s="6">
        <v>-2.858991E-3</v>
      </c>
      <c r="CG11" s="6">
        <v>-2.5642830000000001E-3</v>
      </c>
      <c r="CH11" s="6">
        <v>3.5506987951807211E-5</v>
      </c>
      <c r="CI11" s="6">
        <v>-2.7167929999999999E-3</v>
      </c>
      <c r="CJ11" s="6">
        <v>-2.3995209999999999E-3</v>
      </c>
      <c r="CK11" s="6">
        <v>3.8225542168674689E-5</v>
      </c>
      <c r="CL11" s="6">
        <v>-1.8416389999999999E-3</v>
      </c>
      <c r="CM11" s="6">
        <v>-1.6081699999999999E-3</v>
      </c>
      <c r="CN11" s="6">
        <v>2.8128795180722892E-5</v>
      </c>
      <c r="CO11" s="6">
        <v>-1.9836160000000001E-3</v>
      </c>
      <c r="CP11" s="6">
        <v>-1.771302E-3</v>
      </c>
      <c r="CQ11" s="6">
        <v>2.5580000000000013E-5</v>
      </c>
      <c r="CR11" s="6">
        <v>-1.8415E-3</v>
      </c>
      <c r="CS11" s="6">
        <v>-1.6071410000000001E-3</v>
      </c>
      <c r="CT11" s="6">
        <v>2.8236024096385534E-5</v>
      </c>
      <c r="CU11" s="6">
        <v>-1.9836989999999998E-3</v>
      </c>
      <c r="CV11" s="6">
        <v>-1.771903E-3</v>
      </c>
      <c r="CW11" s="6">
        <v>2.5517590361445754E-5</v>
      </c>
      <c r="CX11" s="6">
        <v>-1.9877060000000001E-3</v>
      </c>
      <c r="CY11" s="6">
        <v>-1.7660969999999999E-3</v>
      </c>
      <c r="CZ11" s="6">
        <v>2.6699879518072314E-5</v>
      </c>
      <c r="DA11" s="6">
        <v>-1.8457300000000001E-3</v>
      </c>
      <c r="DB11" s="6">
        <v>-1.602965E-3</v>
      </c>
      <c r="DC11" s="6">
        <v>2.9248795180722895E-5</v>
      </c>
      <c r="DD11" s="6">
        <v>-1.9878449999999998E-3</v>
      </c>
      <c r="DE11" s="6">
        <v>-1.7671259999999999E-3</v>
      </c>
      <c r="DF11" s="6">
        <v>2.6592650602409619E-5</v>
      </c>
      <c r="DG11" s="6">
        <v>-1.845647E-3</v>
      </c>
      <c r="DH11" s="6">
        <v>-1.602364E-3</v>
      </c>
      <c r="DI11" s="6">
        <v>2.93112048192771E-5</v>
      </c>
      <c r="DK11" s="3" t="s">
        <v>17</v>
      </c>
      <c r="DL11" s="4">
        <f>Z1</f>
        <v>2856.2704410456663</v>
      </c>
      <c r="DM11" s="5" t="str">
        <f t="shared" si="11"/>
        <v>OK</v>
      </c>
      <c r="DN11" s="6">
        <f>IF('Lines-v8'!DL11=old!DL11,0,1)</f>
        <v>0</v>
      </c>
      <c r="DO11" s="6">
        <f>IF('Result-v12'!E12=old!DL11,0,1)</f>
        <v>1</v>
      </c>
    </row>
    <row r="12" spans="1:119" ht="16.2" thickBot="1" x14ac:dyDescent="0.35">
      <c r="A12" s="13" t="s">
        <v>356</v>
      </c>
      <c r="B12" s="13" t="s">
        <v>284</v>
      </c>
      <c r="C12" s="13" t="s">
        <v>285</v>
      </c>
      <c r="D12" s="13" t="s">
        <v>350</v>
      </c>
      <c r="E12" s="13">
        <v>5.5</v>
      </c>
      <c r="F12" s="6">
        <v>-1.4523940000000001E-3</v>
      </c>
      <c r="G12" s="6">
        <v>-1.3754749999999999E-3</v>
      </c>
      <c r="H12" s="6">
        <v>1.3985272727272756E-5</v>
      </c>
      <c r="I12" s="6">
        <v>-1.8877010000000001E-3</v>
      </c>
      <c r="J12" s="6">
        <v>-1.7900069999999999E-3</v>
      </c>
      <c r="K12" s="6">
        <v>1.7762545454545484E-5</v>
      </c>
      <c r="L12" s="6">
        <v>-1.8681430000000001E-3</v>
      </c>
      <c r="M12" s="6">
        <v>-1.8017440000000001E-3</v>
      </c>
      <c r="N12" s="6">
        <v>1.207254545454545E-5</v>
      </c>
      <c r="O12" s="6">
        <v>-2.2837259999999998E-3</v>
      </c>
      <c r="P12" s="6">
        <v>-2.1963540000000002E-3</v>
      </c>
      <c r="Q12" s="6">
        <v>1.5885818181818115E-5</v>
      </c>
      <c r="R12" s="6">
        <v>-1.9420730000000001E-3</v>
      </c>
      <c r="S12" s="6">
        <v>-1.8569979999999999E-3</v>
      </c>
      <c r="T12" s="6">
        <v>1.5468181818181857E-5</v>
      </c>
      <c r="U12" s="6">
        <v>-2.384171E-3</v>
      </c>
      <c r="V12" s="6">
        <v>-2.2833910000000001E-3</v>
      </c>
      <c r="W12" s="6">
        <v>1.8323636363636357E-5</v>
      </c>
      <c r="X12" s="6">
        <v>-1.938644E-3</v>
      </c>
      <c r="Y12" s="6">
        <v>-1.852605E-3</v>
      </c>
      <c r="Z12" s="6">
        <v>1.5643454545454545E-5</v>
      </c>
      <c r="AA12" s="6">
        <v>-2.4878499999999998E-3</v>
      </c>
      <c r="AB12" s="6">
        <v>-2.3807110000000002E-3</v>
      </c>
      <c r="AC12" s="6">
        <v>1.9479818181818108E-5</v>
      </c>
      <c r="AD12" s="6">
        <v>-2.468498E-3</v>
      </c>
      <c r="AE12" s="6">
        <v>-2.3609289999999999E-3</v>
      </c>
      <c r="AF12" s="6">
        <v>1.9558000000000012E-5</v>
      </c>
      <c r="AG12" s="6">
        <v>-1.924725E-3</v>
      </c>
      <c r="AH12" s="6">
        <v>-1.8397820000000001E-3</v>
      </c>
      <c r="AI12" s="6">
        <v>1.5444181818181794E-5</v>
      </c>
      <c r="AJ12" s="6">
        <v>-2.471928E-3</v>
      </c>
      <c r="AK12" s="6">
        <v>-2.365322E-3</v>
      </c>
      <c r="AL12" s="6">
        <v>1.9382909090909087E-5</v>
      </c>
      <c r="AM12" s="6">
        <v>-1.922722E-3</v>
      </c>
      <c r="AN12" s="6">
        <v>-1.837216E-3</v>
      </c>
      <c r="AO12" s="6">
        <v>1.5546545454545446E-5</v>
      </c>
      <c r="AP12" s="6">
        <v>-1.702926E-3</v>
      </c>
      <c r="AQ12" s="6">
        <v>-1.6254290000000001E-3</v>
      </c>
      <c r="AR12" s="6">
        <v>1.4090363636363626E-5</v>
      </c>
      <c r="AS12" s="6">
        <v>-2.246699E-3</v>
      </c>
      <c r="AT12" s="6">
        <v>-2.146575E-3</v>
      </c>
      <c r="AU12" s="6">
        <v>1.8204363636363646E-5</v>
      </c>
      <c r="AV12" s="6">
        <v>-1.6994969999999999E-3</v>
      </c>
      <c r="AW12" s="6">
        <v>-1.621036E-3</v>
      </c>
      <c r="AX12" s="6">
        <v>1.4265636363636353E-5</v>
      </c>
      <c r="AY12" s="6">
        <v>-2.2487029999999999E-3</v>
      </c>
      <c r="AZ12" s="6">
        <v>-2.1491420000000002E-3</v>
      </c>
      <c r="BA12" s="6">
        <v>1.8101999999999953E-5</v>
      </c>
      <c r="BB12" s="6">
        <v>-2.2293510000000001E-3</v>
      </c>
      <c r="BC12" s="6">
        <v>-2.1293599999999998E-3</v>
      </c>
      <c r="BD12" s="6">
        <v>1.818018181818186E-5</v>
      </c>
      <c r="BE12" s="6">
        <v>-1.6855780000000001E-3</v>
      </c>
      <c r="BF12" s="6">
        <v>-1.608213E-3</v>
      </c>
      <c r="BG12" s="6">
        <v>1.4066363636363641E-5</v>
      </c>
      <c r="BH12" s="6">
        <v>-2.2327800000000002E-3</v>
      </c>
      <c r="BI12" s="6">
        <v>-2.133752E-3</v>
      </c>
      <c r="BJ12" s="6">
        <v>1.8005090909090935E-5</v>
      </c>
      <c r="BK12" s="6">
        <v>-1.683574E-3</v>
      </c>
      <c r="BL12" s="6">
        <v>-1.605647E-3</v>
      </c>
      <c r="BM12" s="6">
        <v>1.4168545454545452E-5</v>
      </c>
      <c r="BN12" s="6">
        <v>-2.4053270000000001E-3</v>
      </c>
      <c r="BO12" s="6">
        <v>-2.3035379999999999E-3</v>
      </c>
      <c r="BP12" s="6">
        <v>1.8507090909090932E-5</v>
      </c>
      <c r="BQ12" s="6">
        <v>-2.5684589999999999E-3</v>
      </c>
      <c r="BR12" s="6">
        <v>-2.459882E-3</v>
      </c>
      <c r="BS12" s="6">
        <v>1.9741272727272707E-5</v>
      </c>
      <c r="BT12" s="6">
        <v>-2.404298E-3</v>
      </c>
      <c r="BU12" s="6">
        <v>-2.3022199999999998E-3</v>
      </c>
      <c r="BV12" s="6">
        <v>1.8559636363636407E-5</v>
      </c>
      <c r="BW12" s="6">
        <v>-2.5690600000000002E-3</v>
      </c>
      <c r="BX12" s="6">
        <v>-2.4606519999999998E-3</v>
      </c>
      <c r="BY12" s="6">
        <v>1.9710545454545523E-5</v>
      </c>
      <c r="BZ12" s="6">
        <v>-2.5632540000000001E-3</v>
      </c>
      <c r="CA12" s="6">
        <v>-2.4547169999999999E-3</v>
      </c>
      <c r="CB12" s="6">
        <v>1.9734000000000025E-5</v>
      </c>
      <c r="CC12" s="6">
        <v>-2.4001220000000002E-3</v>
      </c>
      <c r="CD12" s="6">
        <v>-2.2983729999999998E-3</v>
      </c>
      <c r="CE12" s="6">
        <v>1.8499818181818249E-5</v>
      </c>
      <c r="CF12" s="6">
        <v>-2.5642830000000001E-3</v>
      </c>
      <c r="CG12" s="6">
        <v>-2.4560350000000001E-3</v>
      </c>
      <c r="CH12" s="6">
        <v>1.9681454545454549E-5</v>
      </c>
      <c r="CI12" s="6">
        <v>-2.3995209999999999E-3</v>
      </c>
      <c r="CJ12" s="6">
        <v>-2.297604E-3</v>
      </c>
      <c r="CK12" s="6">
        <v>1.8530363636363632E-5</v>
      </c>
      <c r="CL12" s="6">
        <v>-1.6081699999999999E-3</v>
      </c>
      <c r="CM12" s="6">
        <v>-1.5316399999999999E-3</v>
      </c>
      <c r="CN12" s="6">
        <v>1.3914545454545454E-5</v>
      </c>
      <c r="CO12" s="6">
        <v>-1.771302E-3</v>
      </c>
      <c r="CP12" s="6">
        <v>-1.687984E-3</v>
      </c>
      <c r="CQ12" s="6">
        <v>1.5148727272727269E-5</v>
      </c>
      <c r="CR12" s="6">
        <v>-1.6071410000000001E-3</v>
      </c>
      <c r="CS12" s="6">
        <v>-1.530322E-3</v>
      </c>
      <c r="CT12" s="6">
        <v>1.3967090909090928E-5</v>
      </c>
      <c r="CU12" s="6">
        <v>-1.771903E-3</v>
      </c>
      <c r="CV12" s="6">
        <v>-1.688754E-3</v>
      </c>
      <c r="CW12" s="6">
        <v>1.5118000000000005E-5</v>
      </c>
      <c r="CX12" s="6">
        <v>-1.7660969999999999E-3</v>
      </c>
      <c r="CY12" s="6">
        <v>-1.68282E-3</v>
      </c>
      <c r="CZ12" s="6">
        <v>1.5141272727272704E-5</v>
      </c>
      <c r="DA12" s="6">
        <v>-1.602965E-3</v>
      </c>
      <c r="DB12" s="6">
        <v>-1.5264759999999999E-3</v>
      </c>
      <c r="DC12" s="6">
        <v>1.390709090909093E-5</v>
      </c>
      <c r="DD12" s="6">
        <v>-1.7671259999999999E-3</v>
      </c>
      <c r="DE12" s="6">
        <v>-1.684137E-3</v>
      </c>
      <c r="DF12" s="6">
        <v>1.5088909090909072E-5</v>
      </c>
      <c r="DG12" s="6">
        <v>-1.602364E-3</v>
      </c>
      <c r="DH12" s="6">
        <v>-1.5257059999999999E-3</v>
      </c>
      <c r="DI12" s="6">
        <v>1.3937818181818194E-5</v>
      </c>
      <c r="DK12" s="3" t="s">
        <v>18</v>
      </c>
      <c r="DL12" s="4">
        <f>AC1</f>
        <v>3265.2404804372559</v>
      </c>
      <c r="DM12" s="5" t="str">
        <f t="shared" si="11"/>
        <v>OK</v>
      </c>
      <c r="DN12" s="6">
        <f>IF('Lines-v8'!DL12=old!DL12,0,1)</f>
        <v>0</v>
      </c>
      <c r="DO12" s="6">
        <f>IF('Result-v12'!E13=old!DL12,0,1)</f>
        <v>1</v>
      </c>
    </row>
    <row r="13" spans="1:119" ht="16.2" thickBot="1" x14ac:dyDescent="0.35">
      <c r="A13" s="13" t="s">
        <v>357</v>
      </c>
      <c r="B13" s="13" t="s">
        <v>57</v>
      </c>
      <c r="C13" s="13" t="s">
        <v>92</v>
      </c>
      <c r="D13" s="13" t="s">
        <v>347</v>
      </c>
      <c r="E13" s="13">
        <v>8.3000000000000007</v>
      </c>
      <c r="F13" s="6">
        <v>-2.6441799999999999E-3</v>
      </c>
      <c r="G13" s="6">
        <v>2.4206210000000001E-4</v>
      </c>
      <c r="H13" s="6">
        <v>3.4774001204819271E-4</v>
      </c>
      <c r="I13" s="6">
        <v>-3.280481E-3</v>
      </c>
      <c r="J13" s="6">
        <v>-1.699868E-6</v>
      </c>
      <c r="K13" s="6">
        <v>3.9503387132530117E-4</v>
      </c>
      <c r="L13" s="6">
        <v>-3.0242509999999999E-3</v>
      </c>
      <c r="M13" s="6">
        <v>-4.4736709999999998E-4</v>
      </c>
      <c r="N13" s="6">
        <v>3.1046793975903614E-4</v>
      </c>
      <c r="O13" s="6">
        <v>-3.6444139999999999E-3</v>
      </c>
      <c r="P13" s="6">
        <v>-5.798108E-4</v>
      </c>
      <c r="Q13" s="6">
        <v>3.6922930120481922E-4</v>
      </c>
      <c r="R13" s="6">
        <v>-3.146743E-3</v>
      </c>
      <c r="S13" s="6">
        <v>-2.5076500000000002E-4</v>
      </c>
      <c r="T13" s="6">
        <v>3.4891301204819275E-4</v>
      </c>
      <c r="U13" s="6">
        <v>-2.8871050000000001E-3</v>
      </c>
      <c r="V13" s="6">
        <v>-3.3915429999999998E-4</v>
      </c>
      <c r="W13" s="6">
        <v>3.0698201204819276E-4</v>
      </c>
      <c r="X13" s="6">
        <v>-3.1704250000000002E-3</v>
      </c>
      <c r="Y13" s="6">
        <v>-2.6453769999999999E-4</v>
      </c>
      <c r="Z13" s="6">
        <v>3.5010690361445782E-4</v>
      </c>
      <c r="AA13" s="6">
        <v>-2.8741769999999999E-3</v>
      </c>
      <c r="AB13" s="6">
        <v>-3.3225090000000001E-4</v>
      </c>
      <c r="AC13" s="6">
        <v>3.0625615662650601E-4</v>
      </c>
      <c r="AD13" s="6">
        <v>-4.1547609999999999E-3</v>
      </c>
      <c r="AE13" s="6">
        <v>-4.0837939999999997E-4</v>
      </c>
      <c r="AF13" s="6">
        <v>4.5137127710843369E-4</v>
      </c>
      <c r="AG13" s="6">
        <v>-4.4135980000000003E-3</v>
      </c>
      <c r="AH13" s="6">
        <v>-3.1888249999999999E-4</v>
      </c>
      <c r="AI13" s="6">
        <v>4.9333921686746992E-4</v>
      </c>
      <c r="AJ13" s="6">
        <v>-4.1310790000000002E-3</v>
      </c>
      <c r="AK13" s="6">
        <v>-3.946067E-4</v>
      </c>
      <c r="AL13" s="6">
        <v>4.5017738554216868E-4</v>
      </c>
      <c r="AM13" s="6">
        <v>-4.427327E-3</v>
      </c>
      <c r="AN13" s="6">
        <v>-3.2689349999999998E-4</v>
      </c>
      <c r="AO13" s="6">
        <v>4.9402813253012043E-4</v>
      </c>
      <c r="AP13" s="6">
        <v>-2.770074E-3</v>
      </c>
      <c r="AQ13" s="6">
        <v>-1.753107E-4</v>
      </c>
      <c r="AR13" s="6">
        <v>3.1262208433734936E-4</v>
      </c>
      <c r="AS13" s="6">
        <v>-2.5112369999999999E-3</v>
      </c>
      <c r="AT13" s="6">
        <v>-2.6480770000000001E-4</v>
      </c>
      <c r="AU13" s="6">
        <v>2.7065413253012045E-4</v>
      </c>
      <c r="AV13" s="6">
        <v>-2.7937560000000001E-3</v>
      </c>
      <c r="AW13" s="6">
        <v>-1.8908339999999999E-4</v>
      </c>
      <c r="AX13" s="6">
        <v>3.1381597590361443E-4</v>
      </c>
      <c r="AY13" s="6">
        <v>-2.4975079999999998E-3</v>
      </c>
      <c r="AZ13" s="6">
        <v>-2.5679670000000002E-4</v>
      </c>
      <c r="BA13" s="6">
        <v>2.6996521686746983E-4</v>
      </c>
      <c r="BB13" s="6">
        <v>-3.7780919999999998E-3</v>
      </c>
      <c r="BC13" s="6">
        <v>-3.3292519999999999E-4</v>
      </c>
      <c r="BD13" s="6">
        <v>4.1508033734939751E-4</v>
      </c>
      <c r="BE13" s="6">
        <v>-4.0369289999999999E-3</v>
      </c>
      <c r="BF13" s="6">
        <v>-2.434282E-4</v>
      </c>
      <c r="BG13" s="6">
        <v>4.5704828915662642E-4</v>
      </c>
      <c r="BH13" s="6">
        <v>-3.7544100000000001E-3</v>
      </c>
      <c r="BI13" s="6">
        <v>-3.1915250000000002E-4</v>
      </c>
      <c r="BJ13" s="6">
        <v>4.1388644578313255E-4</v>
      </c>
      <c r="BK13" s="6">
        <v>-4.0506580000000004E-3</v>
      </c>
      <c r="BL13" s="6">
        <v>-2.5143920000000002E-4</v>
      </c>
      <c r="BM13" s="6">
        <v>4.577372048192771E-4</v>
      </c>
      <c r="BN13" s="6">
        <v>-3.9389969999999996E-3</v>
      </c>
      <c r="BO13" s="6">
        <v>-3.9396E-4</v>
      </c>
      <c r="BP13" s="6">
        <v>4.2711289156626499E-4</v>
      </c>
      <c r="BQ13" s="6">
        <v>-3.861345E-3</v>
      </c>
      <c r="BR13" s="6">
        <v>-4.208091E-4</v>
      </c>
      <c r="BS13" s="6">
        <v>4.1452239759036142E-4</v>
      </c>
      <c r="BT13" s="6">
        <v>-3.9461009999999996E-3</v>
      </c>
      <c r="BU13" s="6">
        <v>-3.980918E-4</v>
      </c>
      <c r="BV13" s="6">
        <v>4.2747098795180717E-4</v>
      </c>
      <c r="BW13" s="6">
        <v>-3.857227E-3</v>
      </c>
      <c r="BX13" s="6">
        <v>-4.184058E-4</v>
      </c>
      <c r="BY13" s="6">
        <v>4.1431580722891561E-4</v>
      </c>
      <c r="BZ13" s="6">
        <v>-4.241402E-3</v>
      </c>
      <c r="CA13" s="6">
        <v>-4.4124430000000003E-4</v>
      </c>
      <c r="CB13" s="6">
        <v>4.578503253012048E-4</v>
      </c>
      <c r="CC13" s="6">
        <v>-4.3190529999999998E-3</v>
      </c>
      <c r="CD13" s="6">
        <v>-4.1439530000000001E-4</v>
      </c>
      <c r="CE13" s="6">
        <v>4.7044068674698787E-4</v>
      </c>
      <c r="CF13" s="6">
        <v>-4.2342969999999997E-3</v>
      </c>
      <c r="CG13" s="6">
        <v>-4.3711249999999998E-4</v>
      </c>
      <c r="CH13" s="6">
        <v>4.5749210843373485E-4</v>
      </c>
      <c r="CI13" s="6">
        <v>-4.3231709999999998E-3</v>
      </c>
      <c r="CJ13" s="6">
        <v>-4.167986E-4</v>
      </c>
      <c r="CK13" s="6">
        <v>4.7064727710843373E-4</v>
      </c>
      <c r="CL13" s="6">
        <v>-2.6834329999999998E-3</v>
      </c>
      <c r="CM13" s="6">
        <v>-1.424458E-4</v>
      </c>
      <c r="CN13" s="6">
        <v>3.0614303614457826E-4</v>
      </c>
      <c r="CO13" s="6">
        <v>-2.6057820000000001E-3</v>
      </c>
      <c r="CP13" s="6">
        <v>-1.6929489999999999E-4</v>
      </c>
      <c r="CQ13" s="6">
        <v>2.935526626506024E-4</v>
      </c>
      <c r="CR13" s="6">
        <v>-2.6905380000000001E-3</v>
      </c>
      <c r="CS13" s="6">
        <v>-1.4657759999999999E-4</v>
      </c>
      <c r="CT13" s="6">
        <v>3.065012530120482E-4</v>
      </c>
      <c r="CU13" s="6">
        <v>-2.6016630000000002E-3</v>
      </c>
      <c r="CV13" s="6">
        <v>-1.668916E-4</v>
      </c>
      <c r="CW13" s="6">
        <v>2.9334595180722893E-4</v>
      </c>
      <c r="CX13" s="6">
        <v>-2.9858380000000002E-3</v>
      </c>
      <c r="CY13" s="6">
        <v>-1.8973009999999999E-4</v>
      </c>
      <c r="CZ13" s="6">
        <v>3.3688046987951807E-4</v>
      </c>
      <c r="DA13" s="6">
        <v>-3.0634899999999999E-3</v>
      </c>
      <c r="DB13" s="6">
        <v>-1.6288110000000001E-4</v>
      </c>
      <c r="DC13" s="6">
        <v>3.4947095180722884E-4</v>
      </c>
      <c r="DD13" s="6">
        <v>-2.9787339999999998E-3</v>
      </c>
      <c r="DE13" s="6">
        <v>-1.855983E-4</v>
      </c>
      <c r="DF13" s="6">
        <v>3.3652237349397583E-4</v>
      </c>
      <c r="DG13" s="6">
        <v>-3.0676079999999999E-3</v>
      </c>
      <c r="DH13" s="6">
        <v>-1.6528429999999999E-4</v>
      </c>
      <c r="DI13" s="6">
        <v>3.4967755421686745E-4</v>
      </c>
      <c r="DK13" s="3" t="s">
        <v>19</v>
      </c>
      <c r="DL13" s="4">
        <f>AF1</f>
        <v>2215.4710561251959</v>
      </c>
      <c r="DM13" s="5" t="str">
        <f t="shared" si="11"/>
        <v>OK</v>
      </c>
      <c r="DN13" s="6">
        <f>IF('Lines-v8'!DL13=old!DL13,0,1)</f>
        <v>0</v>
      </c>
      <c r="DO13" s="6">
        <f>IF('Result-v12'!E14=old!DL13,0,1)</f>
        <v>1</v>
      </c>
    </row>
    <row r="14" spans="1:119" ht="16.2" thickBot="1" x14ac:dyDescent="0.35">
      <c r="A14" s="13" t="s">
        <v>358</v>
      </c>
      <c r="B14" s="13" t="s">
        <v>92</v>
      </c>
      <c r="C14" s="13" t="s">
        <v>128</v>
      </c>
      <c r="D14" s="13" t="s">
        <v>347</v>
      </c>
      <c r="E14" s="13">
        <v>8.3000000000000007</v>
      </c>
      <c r="F14" s="6">
        <v>2.4206210000000001E-4</v>
      </c>
      <c r="G14" s="6">
        <v>9.4286660000000004E-5</v>
      </c>
      <c r="H14" s="6">
        <v>1.780426987951807E-5</v>
      </c>
      <c r="I14" s="6">
        <v>-1.699868E-6</v>
      </c>
      <c r="J14" s="6">
        <v>-1.3752670000000001E-4</v>
      </c>
      <c r="K14" s="6">
        <v>1.6364678554216869E-5</v>
      </c>
      <c r="L14" s="6">
        <v>-4.4736709999999998E-4</v>
      </c>
      <c r="M14" s="6">
        <v>-5.5193539999999995E-4</v>
      </c>
      <c r="N14" s="6">
        <v>1.2598590361445778E-5</v>
      </c>
      <c r="O14" s="6">
        <v>-5.798108E-4</v>
      </c>
      <c r="P14" s="6">
        <v>-7.0508300000000001E-4</v>
      </c>
      <c r="Q14" s="6">
        <v>1.5093036144578313E-5</v>
      </c>
      <c r="R14" s="6">
        <v>-2.5076500000000002E-4</v>
      </c>
      <c r="S14" s="6">
        <v>-3.7626800000000002E-4</v>
      </c>
      <c r="T14" s="6">
        <v>1.5120843373493976E-5</v>
      </c>
      <c r="U14" s="6">
        <v>-3.3915429999999998E-4</v>
      </c>
      <c r="V14" s="6">
        <v>-4.5454909999999998E-4</v>
      </c>
      <c r="W14" s="6">
        <v>1.3902987951807228E-5</v>
      </c>
      <c r="X14" s="6">
        <v>-2.6453769999999999E-4</v>
      </c>
      <c r="Y14" s="6">
        <v>-3.8373520000000003E-4</v>
      </c>
      <c r="Z14" s="6">
        <v>1.4361144578313257E-5</v>
      </c>
      <c r="AA14" s="6">
        <v>-3.3225090000000001E-4</v>
      </c>
      <c r="AB14" s="6">
        <v>-4.5148269999999998E-4</v>
      </c>
      <c r="AC14" s="6">
        <v>1.4365277108433731E-5</v>
      </c>
      <c r="AD14" s="6">
        <v>-4.0837939999999997E-4</v>
      </c>
      <c r="AE14" s="6">
        <v>-5.5437569999999999E-4</v>
      </c>
      <c r="AF14" s="6">
        <v>1.7589915662650602E-5</v>
      </c>
      <c r="AG14" s="6">
        <v>-3.1888249999999999E-4</v>
      </c>
      <c r="AH14" s="6">
        <v>-4.7481919999999998E-4</v>
      </c>
      <c r="AI14" s="6">
        <v>1.8787554216867465E-5</v>
      </c>
      <c r="AJ14" s="6">
        <v>-3.946067E-4</v>
      </c>
      <c r="AK14" s="6">
        <v>-5.4690839999999995E-4</v>
      </c>
      <c r="AL14" s="6">
        <v>1.8349602409638547E-5</v>
      </c>
      <c r="AM14" s="6">
        <v>-3.2689349999999998E-4</v>
      </c>
      <c r="AN14" s="6">
        <v>-4.791609E-4</v>
      </c>
      <c r="AO14" s="6">
        <v>1.8345469879518071E-5</v>
      </c>
      <c r="AP14" s="6">
        <v>-1.753107E-4</v>
      </c>
      <c r="AQ14" s="6">
        <v>-2.885958E-4</v>
      </c>
      <c r="AR14" s="6">
        <v>1.3648807228915661E-5</v>
      </c>
      <c r="AS14" s="6">
        <v>-2.6480770000000001E-4</v>
      </c>
      <c r="AT14" s="6">
        <v>-3.6815220000000002E-4</v>
      </c>
      <c r="AU14" s="6">
        <v>1.2451144578313253E-5</v>
      </c>
      <c r="AV14" s="6">
        <v>-1.8908339999999999E-4</v>
      </c>
      <c r="AW14" s="6">
        <v>-2.96063E-4</v>
      </c>
      <c r="AX14" s="6">
        <v>1.288910843373494E-5</v>
      </c>
      <c r="AY14" s="6">
        <v>-2.5679670000000002E-4</v>
      </c>
      <c r="AZ14" s="6">
        <v>-3.6381050000000001E-4</v>
      </c>
      <c r="BA14" s="6">
        <v>1.2893228915662649E-5</v>
      </c>
      <c r="BB14" s="6">
        <v>-3.3292519999999999E-4</v>
      </c>
      <c r="BC14" s="6">
        <v>-4.6670350000000002E-4</v>
      </c>
      <c r="BD14" s="6">
        <v>1.611786746987952E-5</v>
      </c>
      <c r="BE14" s="6">
        <v>-2.434282E-4</v>
      </c>
      <c r="BF14" s="6">
        <v>-3.8714700000000001E-4</v>
      </c>
      <c r="BG14" s="6">
        <v>1.7315518072289156E-5</v>
      </c>
      <c r="BH14" s="6">
        <v>-3.1915250000000002E-4</v>
      </c>
      <c r="BI14" s="6">
        <v>-4.5923619999999998E-4</v>
      </c>
      <c r="BJ14" s="6">
        <v>1.6877554216867465E-5</v>
      </c>
      <c r="BK14" s="6">
        <v>-2.5143920000000002E-4</v>
      </c>
      <c r="BL14" s="6">
        <v>-3.9148870000000002E-4</v>
      </c>
      <c r="BM14" s="6">
        <v>1.6873433734939758E-5</v>
      </c>
      <c r="BN14" s="6">
        <v>-3.9396E-4</v>
      </c>
      <c r="BO14" s="6">
        <v>-5.408899E-4</v>
      </c>
      <c r="BP14" s="6">
        <v>1.7702397590361443E-5</v>
      </c>
      <c r="BQ14" s="6">
        <v>-4.208091E-4</v>
      </c>
      <c r="BR14" s="6">
        <v>-5.6475690000000001E-4</v>
      </c>
      <c r="BS14" s="6">
        <v>1.7343108433734939E-5</v>
      </c>
      <c r="BT14" s="6">
        <v>-3.980918E-4</v>
      </c>
      <c r="BU14" s="6">
        <v>-5.4313009999999999E-4</v>
      </c>
      <c r="BV14" s="6">
        <v>1.7474493975903614E-5</v>
      </c>
      <c r="BW14" s="6">
        <v>-4.184058E-4</v>
      </c>
      <c r="BX14" s="6">
        <v>-5.6345430000000001E-4</v>
      </c>
      <c r="BY14" s="6">
        <v>1.7475722891566263E-5</v>
      </c>
      <c r="BZ14" s="6">
        <v>-4.4124430000000003E-4</v>
      </c>
      <c r="CA14" s="6">
        <v>-5.9432219999999995E-4</v>
      </c>
      <c r="CB14" s="6">
        <v>1.8443120481927701E-5</v>
      </c>
      <c r="CC14" s="6">
        <v>-4.1439530000000001E-4</v>
      </c>
      <c r="CD14" s="6">
        <v>-5.7045529999999998E-4</v>
      </c>
      <c r="CE14" s="6">
        <v>1.8802409638554211E-5</v>
      </c>
      <c r="CF14" s="6">
        <v>-4.3711249999999998E-4</v>
      </c>
      <c r="CG14" s="6">
        <v>-5.9208199999999996E-4</v>
      </c>
      <c r="CH14" s="6">
        <v>1.867102409638554E-5</v>
      </c>
      <c r="CI14" s="6">
        <v>-4.167986E-4</v>
      </c>
      <c r="CJ14" s="6">
        <v>-5.7175780000000005E-4</v>
      </c>
      <c r="CK14" s="6">
        <v>1.8669783132530125E-5</v>
      </c>
      <c r="CL14" s="6">
        <v>-1.424458E-4</v>
      </c>
      <c r="CM14" s="6">
        <v>-2.486492E-4</v>
      </c>
      <c r="CN14" s="6">
        <v>1.2795590361445782E-5</v>
      </c>
      <c r="CO14" s="6">
        <v>-1.6929489999999999E-4</v>
      </c>
      <c r="CP14" s="6">
        <v>-2.725162E-4</v>
      </c>
      <c r="CQ14" s="6">
        <v>1.2436301204819278E-5</v>
      </c>
      <c r="CR14" s="6">
        <v>-1.4657759999999999E-4</v>
      </c>
      <c r="CS14" s="6">
        <v>-2.5088939999999999E-4</v>
      </c>
      <c r="CT14" s="6">
        <v>1.2567686746987951E-5</v>
      </c>
      <c r="CU14" s="6">
        <v>-1.668916E-4</v>
      </c>
      <c r="CV14" s="6">
        <v>-2.7121360000000001E-4</v>
      </c>
      <c r="CW14" s="6">
        <v>1.2568915662650602E-5</v>
      </c>
      <c r="CX14" s="6">
        <v>-1.8973009999999999E-4</v>
      </c>
      <c r="CY14" s="6">
        <v>-3.020815E-4</v>
      </c>
      <c r="CZ14" s="6">
        <v>1.3536313253012048E-5</v>
      </c>
      <c r="DA14" s="6">
        <v>-1.6288110000000001E-4</v>
      </c>
      <c r="DB14" s="6">
        <v>-2.7821459999999998E-4</v>
      </c>
      <c r="DC14" s="6">
        <v>1.3895602409638549E-5</v>
      </c>
      <c r="DD14" s="6">
        <v>-1.855983E-4</v>
      </c>
      <c r="DE14" s="6">
        <v>-2.9984130000000001E-4</v>
      </c>
      <c r="DF14" s="6">
        <v>1.376421686746988E-5</v>
      </c>
      <c r="DG14" s="6">
        <v>-1.6528429999999999E-4</v>
      </c>
      <c r="DH14" s="6">
        <v>-2.7951709999999999E-4</v>
      </c>
      <c r="DI14" s="6">
        <v>1.3762987951807228E-5</v>
      </c>
      <c r="DK14" s="3" t="s">
        <v>20</v>
      </c>
      <c r="DL14" s="4">
        <f>AI1</f>
        <v>2027.0028528233522</v>
      </c>
      <c r="DM14" s="5" t="str">
        <f t="shared" si="11"/>
        <v>OK</v>
      </c>
      <c r="DN14" s="6">
        <f>IF('Lines-v8'!DL14=old!DL14,0,1)</f>
        <v>0</v>
      </c>
      <c r="DO14" s="6">
        <f>IF('Result-v12'!E15=old!DL14,0,1)</f>
        <v>1</v>
      </c>
    </row>
    <row r="15" spans="1:119" ht="16.2" thickBot="1" x14ac:dyDescent="0.35">
      <c r="A15" s="13" t="s">
        <v>359</v>
      </c>
      <c r="B15" s="13" t="s">
        <v>128</v>
      </c>
      <c r="C15" s="13" t="s">
        <v>165</v>
      </c>
      <c r="D15" s="13" t="s">
        <v>347</v>
      </c>
      <c r="E15" s="13">
        <v>8.3000000000000007</v>
      </c>
      <c r="F15" s="6">
        <v>9.4286660000000004E-5</v>
      </c>
      <c r="G15" s="6">
        <v>9.1981430000000002E-5</v>
      </c>
      <c r="H15" s="6">
        <v>2.7773855421686764E-7</v>
      </c>
      <c r="I15" s="6">
        <v>-1.3752670000000001E-4</v>
      </c>
      <c r="J15" s="6">
        <v>-1.318414E-4</v>
      </c>
      <c r="K15" s="6">
        <v>6.8497590361445829E-7</v>
      </c>
      <c r="L15" s="6">
        <v>-5.5193539999999995E-4</v>
      </c>
      <c r="M15" s="6">
        <v>-5.4673950000000003E-4</v>
      </c>
      <c r="N15" s="6">
        <v>6.2601204819276151E-7</v>
      </c>
      <c r="O15" s="6">
        <v>-7.0508300000000001E-4</v>
      </c>
      <c r="P15" s="6">
        <v>-6.9892130000000002E-4</v>
      </c>
      <c r="Q15" s="6">
        <v>7.4237349397590262E-7</v>
      </c>
      <c r="R15" s="6">
        <v>-3.7626800000000002E-4</v>
      </c>
      <c r="S15" s="6">
        <v>-3.7732370000000001E-4</v>
      </c>
      <c r="T15" s="6">
        <v>1.2719277108433619E-7</v>
      </c>
      <c r="U15" s="6">
        <v>-4.5454909999999998E-4</v>
      </c>
      <c r="V15" s="6">
        <v>-4.550849E-4</v>
      </c>
      <c r="W15" s="6">
        <v>6.4554216867472633E-8</v>
      </c>
      <c r="X15" s="6">
        <v>-3.8373520000000003E-4</v>
      </c>
      <c r="Y15" s="6">
        <v>-3.7714479999999999E-4</v>
      </c>
      <c r="Z15" s="6">
        <v>7.9402409638554578E-7</v>
      </c>
      <c r="AA15" s="6">
        <v>-4.5148269999999998E-4</v>
      </c>
      <c r="AB15" s="6">
        <v>-4.5703539999999998E-4</v>
      </c>
      <c r="AC15" s="6">
        <v>6.6899999999999976E-7</v>
      </c>
      <c r="AD15" s="6">
        <v>-5.5437569999999999E-4</v>
      </c>
      <c r="AE15" s="6">
        <v>-5.4044599999999998E-4</v>
      </c>
      <c r="AF15" s="6">
        <v>1.6782771084337351E-6</v>
      </c>
      <c r="AG15" s="6">
        <v>-4.7481919999999998E-4</v>
      </c>
      <c r="AH15" s="6">
        <v>-4.6083909999999998E-4</v>
      </c>
      <c r="AI15" s="6">
        <v>1.6843493975903619E-6</v>
      </c>
      <c r="AJ15" s="6">
        <v>-5.4690839999999995E-4</v>
      </c>
      <c r="AK15" s="6">
        <v>-5.4062489999999995E-4</v>
      </c>
      <c r="AL15" s="6">
        <v>7.570481927710845E-7</v>
      </c>
      <c r="AM15" s="6">
        <v>-4.791609E-4</v>
      </c>
      <c r="AN15" s="6">
        <v>-4.6073430000000002E-4</v>
      </c>
      <c r="AO15" s="6">
        <v>2.2200722891566235E-6</v>
      </c>
      <c r="AP15" s="6">
        <v>-2.885958E-4</v>
      </c>
      <c r="AQ15" s="6">
        <v>-2.9027779999999997E-4</v>
      </c>
      <c r="AR15" s="6">
        <v>2.026506024096355E-7</v>
      </c>
      <c r="AS15" s="6">
        <v>-3.6815220000000002E-4</v>
      </c>
      <c r="AT15" s="6">
        <v>-3.6988480000000001E-4</v>
      </c>
      <c r="AU15" s="6">
        <v>2.0874698795180609E-7</v>
      </c>
      <c r="AV15" s="6">
        <v>-2.96063E-4</v>
      </c>
      <c r="AW15" s="6">
        <v>-2.9009899999999999E-4</v>
      </c>
      <c r="AX15" s="6">
        <v>7.1855421686747136E-7</v>
      </c>
      <c r="AY15" s="6">
        <v>-3.6381050000000001E-4</v>
      </c>
      <c r="AZ15" s="6">
        <v>-3.6998960000000003E-4</v>
      </c>
      <c r="BA15" s="6">
        <v>7.4446987951807429E-7</v>
      </c>
      <c r="BB15" s="6">
        <v>-4.6670350000000002E-4</v>
      </c>
      <c r="BC15" s="6">
        <v>-4.5340019999999998E-4</v>
      </c>
      <c r="BD15" s="6">
        <v>1.6028072289156673E-6</v>
      </c>
      <c r="BE15" s="6">
        <v>-3.8714700000000001E-4</v>
      </c>
      <c r="BF15" s="6">
        <v>-3.7379330000000002E-4</v>
      </c>
      <c r="BG15" s="6">
        <v>1.6088795180722875E-6</v>
      </c>
      <c r="BH15" s="6">
        <v>-4.5923619999999998E-4</v>
      </c>
      <c r="BI15" s="6">
        <v>-4.535791E-4</v>
      </c>
      <c r="BJ15" s="6">
        <v>6.8157831325300997E-7</v>
      </c>
      <c r="BK15" s="6">
        <v>-3.9148870000000002E-4</v>
      </c>
      <c r="BL15" s="6">
        <v>-3.7368839999999998E-4</v>
      </c>
      <c r="BM15" s="6">
        <v>2.1446144578313307E-6</v>
      </c>
      <c r="BN15" s="6">
        <v>-5.408899E-4</v>
      </c>
      <c r="BO15" s="6">
        <v>-5.3596999999999998E-4</v>
      </c>
      <c r="BP15" s="6">
        <v>5.9275903614458071E-7</v>
      </c>
      <c r="BQ15" s="6">
        <v>-5.6475690000000001E-4</v>
      </c>
      <c r="BR15" s="6">
        <v>-5.5985210000000004E-4</v>
      </c>
      <c r="BS15" s="6">
        <v>5.9093975903614051E-7</v>
      </c>
      <c r="BT15" s="6">
        <v>-5.4313009999999999E-4</v>
      </c>
      <c r="BU15" s="6">
        <v>-5.3591629999999999E-4</v>
      </c>
      <c r="BV15" s="6">
        <v>8.6913253012048209E-7</v>
      </c>
      <c r="BW15" s="6">
        <v>-5.6345430000000001E-4</v>
      </c>
      <c r="BX15" s="6">
        <v>-5.5988350000000001E-4</v>
      </c>
      <c r="BY15" s="6">
        <v>4.3021686746987905E-7</v>
      </c>
      <c r="BZ15" s="6">
        <v>-5.9432219999999995E-4</v>
      </c>
      <c r="CA15" s="6">
        <v>-5.8490669999999997E-4</v>
      </c>
      <c r="CB15" s="6">
        <v>1.1343975903614438E-6</v>
      </c>
      <c r="CC15" s="6">
        <v>-5.7045529999999998E-4</v>
      </c>
      <c r="CD15" s="6">
        <v>-5.6102460000000002E-4</v>
      </c>
      <c r="CE15" s="6">
        <v>1.1362289156626461E-6</v>
      </c>
      <c r="CF15" s="6">
        <v>-5.9208199999999996E-4</v>
      </c>
      <c r="CG15" s="6">
        <v>-5.8496030000000003E-4</v>
      </c>
      <c r="CH15" s="6">
        <v>8.5803614457830456E-7</v>
      </c>
      <c r="CI15" s="6">
        <v>-5.7175780000000005E-4</v>
      </c>
      <c r="CJ15" s="6">
        <v>-5.6099320000000004E-4</v>
      </c>
      <c r="CK15" s="6">
        <v>1.2969397590361456E-6</v>
      </c>
      <c r="CL15" s="6">
        <v>-2.486492E-4</v>
      </c>
      <c r="CM15" s="6">
        <v>-2.4581720000000002E-4</v>
      </c>
      <c r="CN15" s="6">
        <v>3.4120481927710547E-7</v>
      </c>
      <c r="CO15" s="6">
        <v>-2.725162E-4</v>
      </c>
      <c r="CP15" s="6">
        <v>-2.6969929999999997E-4</v>
      </c>
      <c r="CQ15" s="6">
        <v>3.3938554216867835E-7</v>
      </c>
      <c r="CR15" s="6">
        <v>-2.5088939999999999E-4</v>
      </c>
      <c r="CS15" s="6">
        <v>-2.4576349999999998E-4</v>
      </c>
      <c r="CT15" s="6">
        <v>6.1757831325301332E-7</v>
      </c>
      <c r="CU15" s="6">
        <v>-2.7121360000000001E-4</v>
      </c>
      <c r="CV15" s="6">
        <v>-2.697307E-4</v>
      </c>
      <c r="CW15" s="6">
        <v>1.7866265060241033E-7</v>
      </c>
      <c r="CX15" s="6">
        <v>-3.020815E-4</v>
      </c>
      <c r="CY15" s="6">
        <v>-2.9475390000000001E-4</v>
      </c>
      <c r="CZ15" s="6">
        <v>8.8284337349397515E-7</v>
      </c>
      <c r="DA15" s="6">
        <v>-2.7821459999999998E-4</v>
      </c>
      <c r="DB15" s="6">
        <v>-2.708718E-4</v>
      </c>
      <c r="DC15" s="6">
        <v>8.8467469879517737E-7</v>
      </c>
      <c r="DD15" s="6">
        <v>-2.9984130000000001E-4</v>
      </c>
      <c r="DE15" s="6">
        <v>-2.948076E-4</v>
      </c>
      <c r="DF15" s="6">
        <v>6.0646987951807377E-7</v>
      </c>
      <c r="DG15" s="6">
        <v>-2.7951709999999999E-4</v>
      </c>
      <c r="DH15" s="6">
        <v>-2.7084039999999998E-4</v>
      </c>
      <c r="DI15" s="6">
        <v>1.0453855421686767E-6</v>
      </c>
      <c r="DK15" s="3" t="s">
        <v>21</v>
      </c>
      <c r="DL15" s="4">
        <f>AL1</f>
        <v>2221.3465894019873</v>
      </c>
      <c r="DM15" s="5" t="str">
        <f t="shared" si="11"/>
        <v>OK</v>
      </c>
      <c r="DN15" s="6">
        <f>IF('Lines-v8'!DL15=old!DL15,0,1)</f>
        <v>0</v>
      </c>
      <c r="DO15" s="6">
        <f>IF('Result-v12'!E16=old!DL15,0,1)</f>
        <v>1</v>
      </c>
    </row>
    <row r="16" spans="1:119" ht="16.2" thickBot="1" x14ac:dyDescent="0.35">
      <c r="A16" s="13" t="s">
        <v>360</v>
      </c>
      <c r="B16" s="13" t="s">
        <v>165</v>
      </c>
      <c r="C16" s="13" t="s">
        <v>206</v>
      </c>
      <c r="D16" s="13" t="s">
        <v>347</v>
      </c>
      <c r="E16" s="13">
        <v>8.3000000000000007</v>
      </c>
      <c r="F16" s="6">
        <v>9.1981430000000002E-5</v>
      </c>
      <c r="G16" s="6">
        <v>1.14128E-4</v>
      </c>
      <c r="H16" s="6">
        <v>2.6682614457831325E-6</v>
      </c>
      <c r="I16" s="6">
        <v>-1.318414E-4</v>
      </c>
      <c r="J16" s="6">
        <v>-1.20665E-4</v>
      </c>
      <c r="K16" s="6">
        <v>1.3465542168674703E-6</v>
      </c>
      <c r="L16" s="6">
        <v>-5.4673950000000003E-4</v>
      </c>
      <c r="M16" s="6">
        <v>-5.3824229999999997E-4</v>
      </c>
      <c r="N16" s="6">
        <v>1.0237590361445861E-6</v>
      </c>
      <c r="O16" s="6">
        <v>-6.9892130000000002E-4</v>
      </c>
      <c r="P16" s="6">
        <v>-6.885328E-4</v>
      </c>
      <c r="Q16" s="6">
        <v>1.2516265060240983E-6</v>
      </c>
      <c r="R16" s="6">
        <v>-3.7732370000000001E-4</v>
      </c>
      <c r="S16" s="6">
        <v>-3.7078460000000002E-4</v>
      </c>
      <c r="T16" s="6">
        <v>7.87843373493975E-7</v>
      </c>
      <c r="U16" s="6">
        <v>-4.550849E-4</v>
      </c>
      <c r="V16" s="6">
        <v>-4.485391E-4</v>
      </c>
      <c r="W16" s="6">
        <v>7.886506024096386E-7</v>
      </c>
      <c r="X16" s="6">
        <v>-3.7714479999999999E-4</v>
      </c>
      <c r="Y16" s="6">
        <v>-3.631684E-4</v>
      </c>
      <c r="Z16" s="6">
        <v>1.6839036144578301E-6</v>
      </c>
      <c r="AA16" s="6">
        <v>-4.5703539999999998E-4</v>
      </c>
      <c r="AB16" s="6">
        <v>-4.5539909999999997E-4</v>
      </c>
      <c r="AC16" s="6">
        <v>1.9714457831325339E-7</v>
      </c>
      <c r="AD16" s="6">
        <v>-5.4044599999999998E-4</v>
      </c>
      <c r="AE16" s="6">
        <v>-5.2454800000000001E-4</v>
      </c>
      <c r="AF16" s="6">
        <v>1.9154216867469848E-6</v>
      </c>
      <c r="AG16" s="6">
        <v>-4.6083909999999998E-4</v>
      </c>
      <c r="AH16" s="6">
        <v>-4.4436230000000001E-4</v>
      </c>
      <c r="AI16" s="6">
        <v>1.9851566265060205E-6</v>
      </c>
      <c r="AJ16" s="6">
        <v>-5.4062489999999995E-4</v>
      </c>
      <c r="AK16" s="6">
        <v>-5.3216419999999997E-4</v>
      </c>
      <c r="AL16" s="6">
        <v>1.0193614457831298E-6</v>
      </c>
      <c r="AM16" s="6">
        <v>-4.6073430000000002E-4</v>
      </c>
      <c r="AN16" s="6">
        <v>-4.399335E-4</v>
      </c>
      <c r="AO16" s="6">
        <v>2.5061204819277129E-6</v>
      </c>
      <c r="AP16" s="6">
        <v>-2.9027779999999997E-4</v>
      </c>
      <c r="AQ16" s="6">
        <v>-2.8473330000000001E-4</v>
      </c>
      <c r="AR16" s="6">
        <v>6.680120481927671E-7</v>
      </c>
      <c r="AS16" s="6">
        <v>-3.6988480000000001E-4</v>
      </c>
      <c r="AT16" s="6">
        <v>-3.6491900000000001E-4</v>
      </c>
      <c r="AU16" s="6">
        <v>5.9828915662650665E-7</v>
      </c>
      <c r="AV16" s="6">
        <v>-2.9009899999999999E-4</v>
      </c>
      <c r="AW16" s="6">
        <v>-2.7711709999999999E-4</v>
      </c>
      <c r="AX16" s="6">
        <v>1.5640843373493973E-6</v>
      </c>
      <c r="AY16" s="6">
        <v>-3.6998960000000003E-4</v>
      </c>
      <c r="AZ16" s="6">
        <v>-3.6934780000000001E-4</v>
      </c>
      <c r="BA16" s="6">
        <v>7.7325301204820646E-8</v>
      </c>
      <c r="BB16" s="6">
        <v>-4.5340019999999998E-4</v>
      </c>
      <c r="BC16" s="6">
        <v>-4.3849669999999999E-4</v>
      </c>
      <c r="BD16" s="6">
        <v>1.7956024096385521E-6</v>
      </c>
      <c r="BE16" s="6">
        <v>-3.7379330000000002E-4</v>
      </c>
      <c r="BF16" s="6">
        <v>-3.5831099999999999E-4</v>
      </c>
      <c r="BG16" s="6">
        <v>1.8653373493975941E-6</v>
      </c>
      <c r="BH16" s="6">
        <v>-4.535791E-4</v>
      </c>
      <c r="BI16" s="6">
        <v>-4.4611290000000001E-4</v>
      </c>
      <c r="BJ16" s="6">
        <v>8.995421686746971E-7</v>
      </c>
      <c r="BK16" s="6">
        <v>-3.7368839999999998E-4</v>
      </c>
      <c r="BL16" s="6">
        <v>-3.5388219999999998E-4</v>
      </c>
      <c r="BM16" s="6">
        <v>2.3862891566265049E-6</v>
      </c>
      <c r="BN16" s="6">
        <v>-5.3596999999999998E-4</v>
      </c>
      <c r="BO16" s="6">
        <v>-5.24995E-4</v>
      </c>
      <c r="BP16" s="6">
        <v>1.3222891566265038E-6</v>
      </c>
      <c r="BQ16" s="6">
        <v>-5.5985210000000004E-4</v>
      </c>
      <c r="BR16" s="6">
        <v>-5.4905069999999995E-4</v>
      </c>
      <c r="BS16" s="6">
        <v>1.3013734939759143E-6</v>
      </c>
      <c r="BT16" s="6">
        <v>-5.3591629999999999E-4</v>
      </c>
      <c r="BU16" s="6">
        <v>-5.2271019999999997E-4</v>
      </c>
      <c r="BV16" s="6">
        <v>1.5910963855421703E-6</v>
      </c>
      <c r="BW16" s="6">
        <v>-5.5988350000000001E-4</v>
      </c>
      <c r="BX16" s="6">
        <v>-5.5037939999999996E-4</v>
      </c>
      <c r="BY16" s="6">
        <v>1.1450722891566333E-6</v>
      </c>
      <c r="BZ16" s="6">
        <v>-5.8490669999999997E-4</v>
      </c>
      <c r="CA16" s="6">
        <v>-5.71124E-4</v>
      </c>
      <c r="CB16" s="6">
        <v>1.6605662650602367E-6</v>
      </c>
      <c r="CC16" s="6">
        <v>-5.6102460000000002E-4</v>
      </c>
      <c r="CD16" s="6">
        <v>-5.4706830000000005E-4</v>
      </c>
      <c r="CE16" s="6">
        <v>1.6814819277108393E-6</v>
      </c>
      <c r="CF16" s="6">
        <v>-5.8496030000000003E-4</v>
      </c>
      <c r="CG16" s="6">
        <v>-5.7340889999999995E-4</v>
      </c>
      <c r="CH16" s="6">
        <v>1.3917349397590457E-6</v>
      </c>
      <c r="CI16" s="6">
        <v>-5.6099320000000004E-4</v>
      </c>
      <c r="CJ16" s="6">
        <v>-5.4573969999999997E-4</v>
      </c>
      <c r="CK16" s="6">
        <v>1.8377710843373581E-6</v>
      </c>
      <c r="CL16" s="6">
        <v>-2.4581720000000002E-4</v>
      </c>
      <c r="CM16" s="6">
        <v>-2.3815730000000001E-4</v>
      </c>
      <c r="CN16" s="6">
        <v>9.2287951807229046E-7</v>
      </c>
      <c r="CO16" s="6">
        <v>-2.6969929999999997E-4</v>
      </c>
      <c r="CP16" s="6">
        <v>-2.6221300000000002E-4</v>
      </c>
      <c r="CQ16" s="6">
        <v>9.0196385542168134E-7</v>
      </c>
      <c r="CR16" s="6">
        <v>-2.4576349999999998E-4</v>
      </c>
      <c r="CS16" s="6">
        <v>-2.3587240000000001E-4</v>
      </c>
      <c r="CT16" s="6">
        <v>1.1916987951807193E-6</v>
      </c>
      <c r="CU16" s="6">
        <v>-2.697307E-4</v>
      </c>
      <c r="CV16" s="6">
        <v>-2.6354159999999999E-4</v>
      </c>
      <c r="CW16" s="6">
        <v>7.4567469879518207E-7</v>
      </c>
      <c r="CX16" s="6">
        <v>-2.9475390000000001E-4</v>
      </c>
      <c r="CY16" s="6">
        <v>-2.8428630000000002E-4</v>
      </c>
      <c r="CZ16" s="6">
        <v>1.2611566265060233E-6</v>
      </c>
      <c r="DA16" s="6">
        <v>-2.708718E-4</v>
      </c>
      <c r="DB16" s="6">
        <v>-2.6023060000000001E-4</v>
      </c>
      <c r="DC16" s="6">
        <v>1.2820722891566259E-6</v>
      </c>
      <c r="DD16" s="6">
        <v>-2.948076E-4</v>
      </c>
      <c r="DE16" s="6">
        <v>-2.8657120000000002E-4</v>
      </c>
      <c r="DF16" s="6">
        <v>9.9233734939758802E-7</v>
      </c>
      <c r="DG16" s="6">
        <v>-2.7084039999999998E-4</v>
      </c>
      <c r="DH16" s="6">
        <v>-2.589019E-4</v>
      </c>
      <c r="DI16" s="6">
        <v>1.4383734939759003E-6</v>
      </c>
      <c r="DK16" s="3" t="s">
        <v>22</v>
      </c>
      <c r="DL16" s="4">
        <f>AO1</f>
        <v>2024.1762242943339</v>
      </c>
      <c r="DM16" s="5" t="str">
        <f t="shared" si="11"/>
        <v>OK</v>
      </c>
      <c r="DN16" s="6">
        <f>IF('Lines-v8'!DL16=old!DL16,0,1)</f>
        <v>0</v>
      </c>
      <c r="DO16" s="6">
        <f>IF('Result-v12'!E17=old!DL16,0,1)</f>
        <v>1</v>
      </c>
    </row>
    <row r="17" spans="1:119" ht="16.2" thickBot="1" x14ac:dyDescent="0.35">
      <c r="A17" s="13" t="s">
        <v>361</v>
      </c>
      <c r="B17" s="13" t="s">
        <v>206</v>
      </c>
      <c r="C17" s="13" t="s">
        <v>247</v>
      </c>
      <c r="D17" s="13" t="s">
        <v>347</v>
      </c>
      <c r="E17" s="13">
        <v>8.3000000000000007</v>
      </c>
      <c r="F17" s="6">
        <v>1.14128E-4</v>
      </c>
      <c r="G17" s="6">
        <v>1.034819E-4</v>
      </c>
      <c r="H17" s="6">
        <v>1.2826626506024095E-6</v>
      </c>
      <c r="I17" s="6">
        <v>-1.20665E-4</v>
      </c>
      <c r="J17" s="6">
        <v>-1.100179E-4</v>
      </c>
      <c r="K17" s="6">
        <v>1.2827831325301207E-6</v>
      </c>
      <c r="L17" s="6">
        <v>-5.3824229999999997E-4</v>
      </c>
      <c r="M17" s="6">
        <v>-5.3074890000000003E-4</v>
      </c>
      <c r="N17" s="6">
        <v>9.0281927710842615E-7</v>
      </c>
      <c r="O17" s="6">
        <v>-6.885328E-4</v>
      </c>
      <c r="P17" s="6">
        <v>-6.7849849999999999E-4</v>
      </c>
      <c r="Q17" s="6">
        <v>1.2089518072289172E-6</v>
      </c>
      <c r="R17" s="6">
        <v>-3.7078460000000002E-4</v>
      </c>
      <c r="S17" s="6">
        <v>-3.6099830000000001E-4</v>
      </c>
      <c r="T17" s="6">
        <v>1.1790722891566279E-6</v>
      </c>
      <c r="U17" s="6">
        <v>-4.485391E-4</v>
      </c>
      <c r="V17" s="6">
        <v>-4.4521909999999999E-4</v>
      </c>
      <c r="W17" s="6">
        <v>4.0000000000000183E-7</v>
      </c>
      <c r="X17" s="6">
        <v>-3.631684E-4</v>
      </c>
      <c r="Y17" s="6">
        <v>-3.4599979999999999E-4</v>
      </c>
      <c r="Z17" s="6">
        <v>2.0685060240963864E-6</v>
      </c>
      <c r="AA17" s="6">
        <v>-4.5539909999999997E-4</v>
      </c>
      <c r="AB17" s="6">
        <v>-4.5740499999999998E-4</v>
      </c>
      <c r="AC17" s="6">
        <v>2.4167469879518078E-7</v>
      </c>
      <c r="AD17" s="6">
        <v>-5.2454800000000001E-4</v>
      </c>
      <c r="AE17" s="6">
        <v>-5.1281190000000004E-4</v>
      </c>
      <c r="AF17" s="6">
        <v>1.4139879518072245E-6</v>
      </c>
      <c r="AG17" s="6">
        <v>-4.4436230000000001E-4</v>
      </c>
      <c r="AH17" s="6">
        <v>-4.2512490000000001E-4</v>
      </c>
      <c r="AI17" s="6">
        <v>2.3177590361445772E-6</v>
      </c>
      <c r="AJ17" s="6">
        <v>-5.3216419999999997E-4</v>
      </c>
      <c r="AK17" s="6">
        <v>-5.278104E-4</v>
      </c>
      <c r="AL17" s="6">
        <v>5.2455421686746557E-7</v>
      </c>
      <c r="AM17" s="6">
        <v>-4.399335E-4</v>
      </c>
      <c r="AN17" s="6">
        <v>-4.1640520000000002E-4</v>
      </c>
      <c r="AO17" s="6">
        <v>2.8347349397590329E-6</v>
      </c>
      <c r="AP17" s="6">
        <v>-2.8473330000000001E-4</v>
      </c>
      <c r="AQ17" s="6">
        <v>-2.7582440000000001E-4</v>
      </c>
      <c r="AR17" s="6">
        <v>1.0733614457831323E-6</v>
      </c>
      <c r="AS17" s="6">
        <v>-3.6491900000000001E-4</v>
      </c>
      <c r="AT17" s="6">
        <v>-3.6351139999999998E-4</v>
      </c>
      <c r="AU17" s="6">
        <v>1.6959036144578596E-7</v>
      </c>
      <c r="AV17" s="6">
        <v>-2.7711709999999999E-4</v>
      </c>
      <c r="AW17" s="6">
        <v>-2.6082589999999999E-4</v>
      </c>
      <c r="AX17" s="6">
        <v>1.9627951807228909E-6</v>
      </c>
      <c r="AY17" s="6">
        <v>-3.6934780000000001E-4</v>
      </c>
      <c r="AZ17" s="6">
        <v>-3.7223109999999997E-4</v>
      </c>
      <c r="BA17" s="6">
        <v>3.4738554216866979E-7</v>
      </c>
      <c r="BB17" s="6">
        <v>-4.3849669999999999E-4</v>
      </c>
      <c r="BC17" s="6">
        <v>-4.2763799999999999E-4</v>
      </c>
      <c r="BD17" s="6">
        <v>1.3082771084337355E-6</v>
      </c>
      <c r="BE17" s="6">
        <v>-3.5831099999999999E-4</v>
      </c>
      <c r="BF17" s="6">
        <v>-3.3995100000000001E-4</v>
      </c>
      <c r="BG17" s="6">
        <v>2.2120481927710817E-6</v>
      </c>
      <c r="BH17" s="6">
        <v>-4.4611290000000001E-4</v>
      </c>
      <c r="BI17" s="6">
        <v>-4.426365E-4</v>
      </c>
      <c r="BJ17" s="6">
        <v>4.1884337349397661E-7</v>
      </c>
      <c r="BK17" s="6">
        <v>-3.5388219999999998E-4</v>
      </c>
      <c r="BL17" s="6">
        <v>-3.3123130000000002E-4</v>
      </c>
      <c r="BM17" s="6">
        <v>2.7290240963855374E-6</v>
      </c>
      <c r="BN17" s="6">
        <v>-5.24995E-4</v>
      </c>
      <c r="BO17" s="6">
        <v>-5.1350259999999998E-4</v>
      </c>
      <c r="BP17" s="6">
        <v>1.3846265060240986E-6</v>
      </c>
      <c r="BQ17" s="6">
        <v>-5.4905069999999995E-4</v>
      </c>
      <c r="BR17" s="6">
        <v>-5.3980870000000004E-4</v>
      </c>
      <c r="BS17" s="6">
        <v>1.1134939759036034E-6</v>
      </c>
      <c r="BT17" s="6">
        <v>-5.2271019999999997E-4</v>
      </c>
      <c r="BU17" s="6">
        <v>-5.0900309999999999E-4</v>
      </c>
      <c r="BV17" s="6">
        <v>1.6514578313252998E-6</v>
      </c>
      <c r="BW17" s="6">
        <v>-5.5037939999999996E-4</v>
      </c>
      <c r="BX17" s="6">
        <v>-5.424246E-4</v>
      </c>
      <c r="BY17" s="6">
        <v>9.5840963855421199E-7</v>
      </c>
      <c r="BZ17" s="6">
        <v>-5.71124E-4</v>
      </c>
      <c r="CA17" s="6">
        <v>-5.5904670000000002E-4</v>
      </c>
      <c r="CB17" s="6">
        <v>1.4550963855421661E-6</v>
      </c>
      <c r="CC17" s="6">
        <v>-5.4706830000000005E-4</v>
      </c>
      <c r="CD17" s="6">
        <v>-5.3274059999999996E-4</v>
      </c>
      <c r="CE17" s="6">
        <v>1.7262289156626612E-6</v>
      </c>
      <c r="CF17" s="6">
        <v>-5.7340889999999995E-4</v>
      </c>
      <c r="CG17" s="6">
        <v>-5.6354630000000005E-4</v>
      </c>
      <c r="CH17" s="6">
        <v>1.1882650602409519E-6</v>
      </c>
      <c r="CI17" s="6">
        <v>-5.4573969999999997E-4</v>
      </c>
      <c r="CJ17" s="6">
        <v>-5.301247E-4</v>
      </c>
      <c r="CK17" s="6">
        <v>1.881325301204815E-6</v>
      </c>
      <c r="CL17" s="6">
        <v>-2.3815730000000001E-4</v>
      </c>
      <c r="CM17" s="6">
        <v>-2.295896E-4</v>
      </c>
      <c r="CN17" s="6">
        <v>1.0322530120481939E-6</v>
      </c>
      <c r="CO17" s="6">
        <v>-2.6221300000000002E-4</v>
      </c>
      <c r="CP17" s="6">
        <v>-2.5589569999999998E-4</v>
      </c>
      <c r="CQ17" s="6">
        <v>7.6112048192771503E-7</v>
      </c>
      <c r="CR17" s="6">
        <v>-2.3587240000000001E-4</v>
      </c>
      <c r="CS17" s="6">
        <v>-2.2509E-4</v>
      </c>
      <c r="CT17" s="6">
        <v>1.2990843373493984E-6</v>
      </c>
      <c r="CU17" s="6">
        <v>-2.6354159999999999E-4</v>
      </c>
      <c r="CV17" s="6">
        <v>-2.5851159999999999E-4</v>
      </c>
      <c r="CW17" s="6">
        <v>6.0602409638554182E-7</v>
      </c>
      <c r="CX17" s="6">
        <v>-2.8428630000000002E-4</v>
      </c>
      <c r="CY17" s="6">
        <v>-2.7513370000000002E-4</v>
      </c>
      <c r="CZ17" s="6">
        <v>1.1027228915662648E-6</v>
      </c>
      <c r="DA17" s="6">
        <v>-2.6023060000000001E-4</v>
      </c>
      <c r="DB17" s="6">
        <v>-2.4882760000000001E-4</v>
      </c>
      <c r="DC17" s="6">
        <v>1.3738554216867468E-6</v>
      </c>
      <c r="DD17" s="6">
        <v>-2.8657120000000002E-4</v>
      </c>
      <c r="DE17" s="6">
        <v>-2.7963320000000001E-4</v>
      </c>
      <c r="DF17" s="6">
        <v>8.359036144578321E-7</v>
      </c>
      <c r="DG17" s="6">
        <v>-2.589019E-4</v>
      </c>
      <c r="DH17" s="6">
        <v>-2.462117E-4</v>
      </c>
      <c r="DI17" s="6">
        <v>1.5289397590361448E-6</v>
      </c>
      <c r="DK17" s="3" t="s">
        <v>23</v>
      </c>
      <c r="DL17" s="4">
        <f>AR1</f>
        <v>3198.7503445882717</v>
      </c>
      <c r="DM17" s="5" t="str">
        <f t="shared" si="11"/>
        <v>OK</v>
      </c>
      <c r="DN17" s="6">
        <f>IF('Lines-v8'!DL17=old!DL17,0,1)</f>
        <v>0</v>
      </c>
      <c r="DO17" s="6">
        <f>IF('Result-v12'!E18=old!DL17,0,1)</f>
        <v>1</v>
      </c>
    </row>
    <row r="18" spans="1:119" ht="16.2" thickBot="1" x14ac:dyDescent="0.35">
      <c r="A18" s="13" t="s">
        <v>362</v>
      </c>
      <c r="B18" s="13" t="s">
        <v>247</v>
      </c>
      <c r="C18" s="13" t="s">
        <v>285</v>
      </c>
      <c r="D18" s="13" t="s">
        <v>347</v>
      </c>
      <c r="E18" s="13">
        <v>8.3000000000000007</v>
      </c>
      <c r="F18" s="6">
        <v>1.034819E-4</v>
      </c>
      <c r="G18" s="6">
        <v>-1.3754749999999999E-3</v>
      </c>
      <c r="H18" s="6">
        <v>1.7818757831325298E-4</v>
      </c>
      <c r="I18" s="6">
        <v>-1.100179E-4</v>
      </c>
      <c r="J18" s="6">
        <v>-1.7900069999999999E-3</v>
      </c>
      <c r="K18" s="6">
        <v>2.0240832530120479E-4</v>
      </c>
      <c r="L18" s="6">
        <v>-5.3074890000000003E-4</v>
      </c>
      <c r="M18" s="6">
        <v>-1.8017440000000001E-3</v>
      </c>
      <c r="N18" s="6">
        <v>1.5313193975903614E-4</v>
      </c>
      <c r="O18" s="6">
        <v>-6.7849849999999999E-4</v>
      </c>
      <c r="P18" s="6">
        <v>-2.1963540000000002E-3</v>
      </c>
      <c r="Q18" s="6">
        <v>1.8287415662650603E-4</v>
      </c>
      <c r="R18" s="6">
        <v>-3.6099830000000001E-4</v>
      </c>
      <c r="S18" s="6">
        <v>-1.8569979999999999E-3</v>
      </c>
      <c r="T18" s="6">
        <v>1.8024092771084334E-4</v>
      </c>
      <c r="U18" s="6">
        <v>-4.4521909999999999E-4</v>
      </c>
      <c r="V18" s="6">
        <v>-2.2833910000000001E-3</v>
      </c>
      <c r="W18" s="6">
        <v>2.2146649397590361E-4</v>
      </c>
      <c r="X18" s="6">
        <v>-3.4599979999999999E-4</v>
      </c>
      <c r="Y18" s="6">
        <v>-1.852605E-3</v>
      </c>
      <c r="Z18" s="6">
        <v>1.8151869879518069E-4</v>
      </c>
      <c r="AA18" s="6">
        <v>-4.5740499999999998E-4</v>
      </c>
      <c r="AB18" s="6">
        <v>-2.3807110000000002E-3</v>
      </c>
      <c r="AC18" s="6">
        <v>2.3172361445783133E-4</v>
      </c>
      <c r="AD18" s="6">
        <v>-5.1281190000000004E-4</v>
      </c>
      <c r="AE18" s="6">
        <v>-2.3609289999999999E-3</v>
      </c>
      <c r="AF18" s="6">
        <v>2.2266471084337347E-4</v>
      </c>
      <c r="AG18" s="6">
        <v>-4.2512490000000001E-4</v>
      </c>
      <c r="AH18" s="6">
        <v>-1.8397820000000001E-3</v>
      </c>
      <c r="AI18" s="6">
        <v>1.7044061445783132E-4</v>
      </c>
      <c r="AJ18" s="6">
        <v>-5.278104E-4</v>
      </c>
      <c r="AK18" s="6">
        <v>-2.365322E-3</v>
      </c>
      <c r="AL18" s="6">
        <v>2.2138693975903612E-4</v>
      </c>
      <c r="AM18" s="6">
        <v>-4.1640520000000002E-4</v>
      </c>
      <c r="AN18" s="6">
        <v>-1.837216E-3</v>
      </c>
      <c r="AO18" s="6">
        <v>1.7118202409638553E-4</v>
      </c>
      <c r="AP18" s="6">
        <v>-2.7582440000000001E-4</v>
      </c>
      <c r="AQ18" s="6">
        <v>-1.6254290000000001E-3</v>
      </c>
      <c r="AR18" s="6">
        <v>1.6260296385542169E-4</v>
      </c>
      <c r="AS18" s="6">
        <v>-3.6351139999999998E-4</v>
      </c>
      <c r="AT18" s="6">
        <v>-2.146575E-3</v>
      </c>
      <c r="AU18" s="6">
        <v>2.148269397590361E-4</v>
      </c>
      <c r="AV18" s="6">
        <v>-2.6082589999999999E-4</v>
      </c>
      <c r="AW18" s="6">
        <v>-1.621036E-3</v>
      </c>
      <c r="AX18" s="6">
        <v>1.6388073493975902E-4</v>
      </c>
      <c r="AY18" s="6">
        <v>-3.7223109999999997E-4</v>
      </c>
      <c r="AZ18" s="6">
        <v>-2.1491420000000002E-3</v>
      </c>
      <c r="BA18" s="6">
        <v>2.1408565060240963E-4</v>
      </c>
      <c r="BB18" s="6">
        <v>-4.2763799999999999E-4</v>
      </c>
      <c r="BC18" s="6">
        <v>-2.1293599999999998E-3</v>
      </c>
      <c r="BD18" s="6">
        <v>2.0502674698795177E-4</v>
      </c>
      <c r="BE18" s="6">
        <v>-3.3995100000000001E-4</v>
      </c>
      <c r="BF18" s="6">
        <v>-1.608213E-3</v>
      </c>
      <c r="BG18" s="6">
        <v>1.5280265060240963E-4</v>
      </c>
      <c r="BH18" s="6">
        <v>-4.426365E-4</v>
      </c>
      <c r="BI18" s="6">
        <v>-2.133752E-3</v>
      </c>
      <c r="BJ18" s="6">
        <v>2.0374885542168676E-4</v>
      </c>
      <c r="BK18" s="6">
        <v>-3.3123130000000002E-4</v>
      </c>
      <c r="BL18" s="6">
        <v>-1.605647E-3</v>
      </c>
      <c r="BM18" s="6">
        <v>1.5354406024096383E-4</v>
      </c>
      <c r="BN18" s="6">
        <v>-5.1350259999999998E-4</v>
      </c>
      <c r="BO18" s="6">
        <v>-2.3035379999999999E-3</v>
      </c>
      <c r="BP18" s="6">
        <v>2.1566691566265057E-4</v>
      </c>
      <c r="BQ18" s="6">
        <v>-5.3980870000000004E-4</v>
      </c>
      <c r="BR18" s="6">
        <v>-2.459882E-3</v>
      </c>
      <c r="BS18" s="6">
        <v>2.3133413253012048E-4</v>
      </c>
      <c r="BT18" s="6">
        <v>-5.0900309999999999E-4</v>
      </c>
      <c r="BU18" s="6">
        <v>-2.3022199999999998E-3</v>
      </c>
      <c r="BV18" s="6">
        <v>2.160502289156626E-4</v>
      </c>
      <c r="BW18" s="6">
        <v>-5.424246E-4</v>
      </c>
      <c r="BX18" s="6">
        <v>-2.4606519999999998E-3</v>
      </c>
      <c r="BY18" s="6">
        <v>2.31111734939759E-4</v>
      </c>
      <c r="BZ18" s="6">
        <v>-5.5904670000000002E-4</v>
      </c>
      <c r="CA18" s="6">
        <v>-2.4547169999999999E-3</v>
      </c>
      <c r="CB18" s="6">
        <v>2.2839401204819275E-4</v>
      </c>
      <c r="CC18" s="6">
        <v>-5.3274059999999996E-4</v>
      </c>
      <c r="CD18" s="6">
        <v>-2.2983729999999998E-3</v>
      </c>
      <c r="CE18" s="6">
        <v>2.1272679518072283E-4</v>
      </c>
      <c r="CF18" s="6">
        <v>-5.6354630000000005E-4</v>
      </c>
      <c r="CG18" s="6">
        <v>-2.4560350000000001E-3</v>
      </c>
      <c r="CH18" s="6">
        <v>2.2801068674698795E-4</v>
      </c>
      <c r="CI18" s="6">
        <v>-5.301247E-4</v>
      </c>
      <c r="CJ18" s="6">
        <v>-2.297604E-3</v>
      </c>
      <c r="CK18" s="6">
        <v>2.12949313253012E-4</v>
      </c>
      <c r="CL18" s="6">
        <v>-2.295896E-4</v>
      </c>
      <c r="CM18" s="6">
        <v>-1.5316399999999999E-3</v>
      </c>
      <c r="CN18" s="6">
        <v>1.5687354216867467E-4</v>
      </c>
      <c r="CO18" s="6">
        <v>-2.5589569999999998E-4</v>
      </c>
      <c r="CP18" s="6">
        <v>-1.687984E-3</v>
      </c>
      <c r="CQ18" s="6">
        <v>1.7254075903614456E-4</v>
      </c>
      <c r="CR18" s="6">
        <v>-2.2509E-4</v>
      </c>
      <c r="CS18" s="6">
        <v>-1.530322E-3</v>
      </c>
      <c r="CT18" s="6">
        <v>1.572568674698795E-4</v>
      </c>
      <c r="CU18" s="6">
        <v>-2.5851159999999999E-4</v>
      </c>
      <c r="CV18" s="6">
        <v>-1.688754E-3</v>
      </c>
      <c r="CW18" s="6">
        <v>1.7231836144578313E-4</v>
      </c>
      <c r="CX18" s="6">
        <v>-2.7513370000000002E-4</v>
      </c>
      <c r="CY18" s="6">
        <v>-1.68282E-3</v>
      </c>
      <c r="CZ18" s="6">
        <v>1.6960075903614457E-4</v>
      </c>
      <c r="DA18" s="6">
        <v>-2.4882760000000001E-4</v>
      </c>
      <c r="DB18" s="6">
        <v>-1.5264759999999999E-3</v>
      </c>
      <c r="DC18" s="6">
        <v>1.5393354216867468E-4</v>
      </c>
      <c r="DD18" s="6">
        <v>-2.7963320000000001E-4</v>
      </c>
      <c r="DE18" s="6">
        <v>-1.684137E-3</v>
      </c>
      <c r="DF18" s="6">
        <v>1.692173253012048E-4</v>
      </c>
      <c r="DG18" s="6">
        <v>-2.462117E-4</v>
      </c>
      <c r="DH18" s="6">
        <v>-1.5257059999999999E-3</v>
      </c>
      <c r="DI18" s="6">
        <v>1.5415593975903614E-4</v>
      </c>
      <c r="DK18" s="3" t="s">
        <v>24</v>
      </c>
      <c r="DL18" s="4">
        <f>AU1</f>
        <v>3694.75237880845</v>
      </c>
      <c r="DM18" s="5" t="str">
        <f t="shared" si="11"/>
        <v>OK</v>
      </c>
      <c r="DN18" s="6">
        <f>IF('Lines-v8'!DL18=old!DL18,0,1)</f>
        <v>0</v>
      </c>
      <c r="DO18" s="6">
        <f>IF('Result-v12'!E19=old!DL18,0,1)</f>
        <v>1</v>
      </c>
    </row>
    <row r="19" spans="1:119" ht="16.2" thickBot="1" x14ac:dyDescent="0.35">
      <c r="A19" s="13" t="s">
        <v>363</v>
      </c>
      <c r="B19" s="13" t="s">
        <v>59</v>
      </c>
      <c r="C19" s="13" t="s">
        <v>94</v>
      </c>
      <c r="D19" s="13" t="s">
        <v>364</v>
      </c>
      <c r="E19" s="13">
        <v>8.3000000000000007</v>
      </c>
      <c r="F19" s="6">
        <v>-3.6643940000000001E-3</v>
      </c>
      <c r="G19" s="6">
        <v>-2.6743100000000001E-3</v>
      </c>
      <c r="H19" s="6">
        <v>1.1928722891566264E-4</v>
      </c>
      <c r="I19" s="6">
        <v>-4.489514E-3</v>
      </c>
      <c r="J19" s="6">
        <v>-3.804932E-3</v>
      </c>
      <c r="K19" s="6">
        <v>8.2479759036144573E-5</v>
      </c>
      <c r="L19" s="6">
        <v>-4.039768E-3</v>
      </c>
      <c r="M19" s="6">
        <v>-3.2841609999999999E-3</v>
      </c>
      <c r="N19" s="6">
        <v>9.1036987951807237E-5</v>
      </c>
      <c r="O19" s="6">
        <v>-4.8478660000000002E-3</v>
      </c>
      <c r="P19" s="6">
        <v>-4.3874990000000004E-3</v>
      </c>
      <c r="Q19" s="6">
        <v>5.5465903614457793E-5</v>
      </c>
      <c r="R19" s="6">
        <v>-4.7287220000000003E-3</v>
      </c>
      <c r="S19" s="6">
        <v>-4.4731090000000003E-3</v>
      </c>
      <c r="T19" s="6">
        <v>3.0796746987951808E-5</v>
      </c>
      <c r="U19" s="6">
        <v>-3.8582500000000001E-3</v>
      </c>
      <c r="V19" s="6">
        <v>-4.3176400000000002E-3</v>
      </c>
      <c r="W19" s="6">
        <v>5.5348192771084339E-5</v>
      </c>
      <c r="X19" s="6">
        <v>-4.7320510000000001E-3</v>
      </c>
      <c r="Y19" s="6">
        <v>-4.4445810000000004E-3</v>
      </c>
      <c r="Z19" s="6">
        <v>3.4634939759036113E-5</v>
      </c>
      <c r="AA19" s="6">
        <v>-3.827563E-3</v>
      </c>
      <c r="AB19" s="6">
        <v>-4.3344739999999996E-3</v>
      </c>
      <c r="AC19" s="6">
        <v>6.1073614457831272E-5</v>
      </c>
      <c r="AD19" s="6">
        <v>-5.106953E-3</v>
      </c>
      <c r="AE19" s="6">
        <v>-4.1354E-3</v>
      </c>
      <c r="AF19" s="6">
        <v>1.1705457831325301E-4</v>
      </c>
      <c r="AG19" s="6">
        <v>-6.0062520000000001E-3</v>
      </c>
      <c r="AH19" s="6">
        <v>-4.2908879999999996E-3</v>
      </c>
      <c r="AI19" s="6">
        <v>2.0667036144578316E-4</v>
      </c>
      <c r="AJ19" s="6">
        <v>-5.1036229999999998E-3</v>
      </c>
      <c r="AK19" s="6">
        <v>-4.1639279999999999E-3</v>
      </c>
      <c r="AL19" s="6">
        <v>1.1321626506024095E-4</v>
      </c>
      <c r="AM19" s="6">
        <v>-6.008111E-3</v>
      </c>
      <c r="AN19" s="6">
        <v>-4.2740349999999998E-3</v>
      </c>
      <c r="AO19" s="6">
        <v>2.0892481927710843E-4</v>
      </c>
      <c r="AP19" s="6">
        <v>-4.2304029999999998E-3</v>
      </c>
      <c r="AQ19" s="6">
        <v>-4.0569869999999997E-3</v>
      </c>
      <c r="AR19" s="6">
        <v>2.0893493975903616E-5</v>
      </c>
      <c r="AS19" s="6">
        <v>-3.3311040000000001E-3</v>
      </c>
      <c r="AT19" s="6">
        <v>-3.9014990000000001E-3</v>
      </c>
      <c r="AU19" s="6">
        <v>6.8722289156626496E-5</v>
      </c>
      <c r="AV19" s="6">
        <v>-4.2337329999999999E-3</v>
      </c>
      <c r="AW19" s="6">
        <v>-4.0284580000000004E-3</v>
      </c>
      <c r="AX19" s="6">
        <v>2.4731927710843317E-5</v>
      </c>
      <c r="AY19" s="6">
        <v>-3.3292439999999999E-3</v>
      </c>
      <c r="AZ19" s="6">
        <v>-3.9183509999999996E-3</v>
      </c>
      <c r="BA19" s="6">
        <v>7.0976746987951766E-5</v>
      </c>
      <c r="BB19" s="6">
        <v>-4.6086340000000003E-3</v>
      </c>
      <c r="BC19" s="6">
        <v>-3.7192779999999999E-3</v>
      </c>
      <c r="BD19" s="6">
        <v>1.0715132530120487E-4</v>
      </c>
      <c r="BE19" s="6">
        <v>-5.5079329999999996E-3</v>
      </c>
      <c r="BF19" s="6">
        <v>-3.8747650000000001E-3</v>
      </c>
      <c r="BG19" s="6">
        <v>1.9676722891566258E-4</v>
      </c>
      <c r="BH19" s="6">
        <v>-4.6053040000000002E-3</v>
      </c>
      <c r="BI19" s="6">
        <v>-3.7478059999999998E-3</v>
      </c>
      <c r="BJ19" s="6">
        <v>1.0331301204819281E-4</v>
      </c>
      <c r="BK19" s="6">
        <v>-5.5097929999999998E-3</v>
      </c>
      <c r="BL19" s="6">
        <v>-3.8579130000000001E-3</v>
      </c>
      <c r="BM19" s="6">
        <v>1.9902168674698791E-4</v>
      </c>
      <c r="BN19" s="6">
        <v>-5.4424749999999996E-3</v>
      </c>
      <c r="BO19" s="6">
        <v>-4.8403869999999998E-3</v>
      </c>
      <c r="BP19" s="6">
        <v>7.2540722891566235E-5</v>
      </c>
      <c r="BQ19" s="6">
        <v>-5.1726849999999998E-3</v>
      </c>
      <c r="BR19" s="6">
        <v>-4.7937400000000003E-3</v>
      </c>
      <c r="BS19" s="6">
        <v>4.5656024096385475E-5</v>
      </c>
      <c r="BT19" s="6">
        <v>-5.4434740000000002E-3</v>
      </c>
      <c r="BU19" s="6">
        <v>-4.8318279999999998E-3</v>
      </c>
      <c r="BV19" s="6">
        <v>7.3692289156626552E-5</v>
      </c>
      <c r="BW19" s="6">
        <v>-5.1721270000000003E-3</v>
      </c>
      <c r="BX19" s="6">
        <v>-4.7987960000000001E-3</v>
      </c>
      <c r="BY19" s="6">
        <v>4.4979638554216886E-5</v>
      </c>
      <c r="BZ19" s="6">
        <v>-5.5559440000000002E-3</v>
      </c>
      <c r="CA19" s="6">
        <v>-4.7390740000000002E-3</v>
      </c>
      <c r="CB19" s="6">
        <v>9.8418072289156613E-5</v>
      </c>
      <c r="CC19" s="6">
        <v>-5.8257339999999999E-3</v>
      </c>
      <c r="CD19" s="6">
        <v>-4.7857200000000003E-3</v>
      </c>
      <c r="CE19" s="6">
        <v>1.25302891566265E-4</v>
      </c>
      <c r="CF19" s="6">
        <v>-5.5549450000000004E-3</v>
      </c>
      <c r="CG19" s="6">
        <v>-4.7476319999999999E-3</v>
      </c>
      <c r="CH19" s="6">
        <v>9.7266626506024143E-5</v>
      </c>
      <c r="CI19" s="6">
        <v>-5.8262920000000003E-3</v>
      </c>
      <c r="CJ19" s="6">
        <v>-4.7806649999999999E-3</v>
      </c>
      <c r="CK19" s="6">
        <v>1.2597915662650606E-4</v>
      </c>
      <c r="CL19" s="6">
        <v>-3.7814120000000001E-3</v>
      </c>
      <c r="CM19" s="6">
        <v>-3.453313E-3</v>
      </c>
      <c r="CN19" s="6">
        <v>3.9530000000000009E-5</v>
      </c>
      <c r="CO19" s="6">
        <v>-3.5116230000000002E-3</v>
      </c>
      <c r="CP19" s="6">
        <v>-3.4066669999999999E-3</v>
      </c>
      <c r="CQ19" s="6">
        <v>1.2645301204819304E-5</v>
      </c>
      <c r="CR19" s="6">
        <v>-3.7824109999999998E-3</v>
      </c>
      <c r="CS19" s="6">
        <v>-3.4447549999999999E-3</v>
      </c>
      <c r="CT19" s="6">
        <v>4.0681445783132527E-5</v>
      </c>
      <c r="CU19" s="6">
        <v>-3.5110639999999999E-3</v>
      </c>
      <c r="CV19" s="6">
        <v>-3.4117219999999998E-3</v>
      </c>
      <c r="CW19" s="6">
        <v>1.1968915662650613E-5</v>
      </c>
      <c r="CX19" s="6">
        <v>-3.8948810000000002E-3</v>
      </c>
      <c r="CY19" s="6">
        <v>-3.3519999999999999E-3</v>
      </c>
      <c r="CZ19" s="6">
        <v>6.5407349397590388E-5</v>
      </c>
      <c r="DA19" s="6">
        <v>-4.164671E-3</v>
      </c>
      <c r="DB19" s="6">
        <v>-3.3986469999999999E-3</v>
      </c>
      <c r="DC19" s="6">
        <v>9.2292048192771093E-5</v>
      </c>
      <c r="DD19" s="6">
        <v>-3.8938829999999999E-3</v>
      </c>
      <c r="DE19" s="6">
        <v>-3.3605589999999999E-3</v>
      </c>
      <c r="DF19" s="6">
        <v>6.4255903614457823E-5</v>
      </c>
      <c r="DG19" s="6">
        <v>-4.1652290000000003E-3</v>
      </c>
      <c r="DH19" s="6">
        <v>-3.3935910000000001E-3</v>
      </c>
      <c r="DI19" s="6">
        <v>9.2968433734939778E-5</v>
      </c>
      <c r="DK19" s="3" t="s">
        <v>25</v>
      </c>
      <c r="DL19" s="4">
        <f>AX1</f>
        <v>3186.5809161581387</v>
      </c>
      <c r="DM19" s="5" t="str">
        <f t="shared" si="11"/>
        <v>OK</v>
      </c>
      <c r="DN19" s="6">
        <f>IF('Lines-v8'!DL19=old!DL19,0,1)</f>
        <v>0</v>
      </c>
      <c r="DO19" s="6">
        <f>IF('Result-v12'!E20=old!DL19,0,1)</f>
        <v>1</v>
      </c>
    </row>
    <row r="20" spans="1:119" ht="16.2" thickBot="1" x14ac:dyDescent="0.35">
      <c r="A20" s="13" t="s">
        <v>365</v>
      </c>
      <c r="B20" s="13" t="s">
        <v>94</v>
      </c>
      <c r="C20" s="13" t="s">
        <v>130</v>
      </c>
      <c r="D20" s="13" t="s">
        <v>364</v>
      </c>
      <c r="E20" s="13">
        <v>8.3000000000000007</v>
      </c>
      <c r="F20" s="6">
        <v>-2.6743100000000001E-3</v>
      </c>
      <c r="G20" s="6">
        <v>-2.8426789999999999E-3</v>
      </c>
      <c r="H20" s="6">
        <v>2.0285421686746963E-5</v>
      </c>
      <c r="I20" s="6">
        <v>-3.804932E-3</v>
      </c>
      <c r="J20" s="6">
        <v>-4.0099350000000001E-3</v>
      </c>
      <c r="K20" s="6">
        <v>2.4699156626506027E-5</v>
      </c>
      <c r="L20" s="6">
        <v>-3.2841609999999999E-3</v>
      </c>
      <c r="M20" s="6">
        <v>-3.4411070000000001E-3</v>
      </c>
      <c r="N20" s="6">
        <v>1.8909156626506054E-5</v>
      </c>
      <c r="O20" s="6">
        <v>-4.3874990000000004E-3</v>
      </c>
      <c r="P20" s="6">
        <v>-4.5811430000000002E-3</v>
      </c>
      <c r="Q20" s="6">
        <v>2.3330602409638522E-5</v>
      </c>
      <c r="R20" s="6">
        <v>-4.4731090000000003E-3</v>
      </c>
      <c r="S20" s="6">
        <v>-4.6742850000000002E-3</v>
      </c>
      <c r="T20" s="6">
        <v>2.4238072289156619E-5</v>
      </c>
      <c r="U20" s="6">
        <v>-4.3176400000000002E-3</v>
      </c>
      <c r="V20" s="6">
        <v>-4.5243469999999997E-3</v>
      </c>
      <c r="W20" s="6">
        <v>2.4904457831325244E-5</v>
      </c>
      <c r="X20" s="6">
        <v>-4.4445810000000004E-3</v>
      </c>
      <c r="Y20" s="6">
        <v>-4.6605639999999999E-3</v>
      </c>
      <c r="Z20" s="6">
        <v>2.6022048192771015E-5</v>
      </c>
      <c r="AA20" s="6">
        <v>-4.3344739999999996E-3</v>
      </c>
      <c r="AB20" s="6">
        <v>-4.5313150000000002E-3</v>
      </c>
      <c r="AC20" s="6">
        <v>2.3715783132530184E-5</v>
      </c>
      <c r="AD20" s="6">
        <v>-4.1354E-3</v>
      </c>
      <c r="AE20" s="6">
        <v>-4.3513049999999998E-3</v>
      </c>
      <c r="AF20" s="6">
        <v>2.6012650602409604E-5</v>
      </c>
      <c r="AG20" s="6">
        <v>-4.2908879999999996E-3</v>
      </c>
      <c r="AH20" s="6">
        <v>-4.5024030000000003E-3</v>
      </c>
      <c r="AI20" s="6">
        <v>2.5483734939759112E-5</v>
      </c>
      <c r="AJ20" s="6">
        <v>-4.1639279999999999E-3</v>
      </c>
      <c r="AK20" s="6">
        <v>-4.3650260000000001E-3</v>
      </c>
      <c r="AL20" s="6">
        <v>2.4228674698795208E-5</v>
      </c>
      <c r="AM20" s="6">
        <v>-4.2740349999999998E-3</v>
      </c>
      <c r="AN20" s="6">
        <v>-4.4942749999999998E-3</v>
      </c>
      <c r="AO20" s="6">
        <v>2.6534939759036143E-5</v>
      </c>
      <c r="AP20" s="6">
        <v>-4.0569869999999997E-3</v>
      </c>
      <c r="AQ20" s="6">
        <v>-4.2397600000000004E-3</v>
      </c>
      <c r="AR20" s="6">
        <v>2.2020843373494054E-5</v>
      </c>
      <c r="AS20" s="6">
        <v>-3.9014990000000001E-3</v>
      </c>
      <c r="AT20" s="6">
        <v>-4.0886630000000002E-3</v>
      </c>
      <c r="AU20" s="6">
        <v>2.2549879518072298E-5</v>
      </c>
      <c r="AV20" s="6">
        <v>-4.0284580000000004E-3</v>
      </c>
      <c r="AW20" s="6">
        <v>-4.226039E-3</v>
      </c>
      <c r="AX20" s="6">
        <v>2.3804939759036097E-5</v>
      </c>
      <c r="AY20" s="6">
        <v>-3.9183509999999996E-3</v>
      </c>
      <c r="AZ20" s="6">
        <v>-4.0967900000000003E-3</v>
      </c>
      <c r="BA20" s="6">
        <v>2.1498674698795267E-5</v>
      </c>
      <c r="BB20" s="6">
        <v>-3.7192779999999999E-3</v>
      </c>
      <c r="BC20" s="6">
        <v>-3.9167799999999999E-3</v>
      </c>
      <c r="BD20" s="6">
        <v>2.3795421686746988E-5</v>
      </c>
      <c r="BE20" s="6">
        <v>-3.8747650000000001E-3</v>
      </c>
      <c r="BF20" s="6">
        <v>-4.0678779999999996E-3</v>
      </c>
      <c r="BG20" s="6">
        <v>2.3266626506024038E-5</v>
      </c>
      <c r="BH20" s="6">
        <v>-3.7478059999999998E-3</v>
      </c>
      <c r="BI20" s="6">
        <v>-3.9305010000000003E-3</v>
      </c>
      <c r="BJ20" s="6">
        <v>2.2011445783132589E-5</v>
      </c>
      <c r="BK20" s="6">
        <v>-3.8579130000000001E-3</v>
      </c>
      <c r="BL20" s="6">
        <v>-4.05975E-3</v>
      </c>
      <c r="BM20" s="6">
        <v>2.4317710843373474E-5</v>
      </c>
      <c r="BN20" s="6">
        <v>-4.8403869999999998E-3</v>
      </c>
      <c r="BO20" s="6">
        <v>-5.0681880000000004E-3</v>
      </c>
      <c r="BP20" s="6">
        <v>2.7445903614457896E-5</v>
      </c>
      <c r="BQ20" s="6">
        <v>-4.7937400000000003E-3</v>
      </c>
      <c r="BR20" s="6">
        <v>-5.0228590000000002E-3</v>
      </c>
      <c r="BS20" s="6">
        <v>2.7604698795180702E-5</v>
      </c>
      <c r="BT20" s="6">
        <v>-4.8318279999999998E-3</v>
      </c>
      <c r="BU20" s="6">
        <v>-5.0640720000000002E-3</v>
      </c>
      <c r="BV20" s="6">
        <v>2.7981204819277151E-5</v>
      </c>
      <c r="BW20" s="6">
        <v>-4.7987960000000001E-3</v>
      </c>
      <c r="BX20" s="6">
        <v>-5.0252969999999998E-3</v>
      </c>
      <c r="BY20" s="6">
        <v>2.7289277108433685E-5</v>
      </c>
      <c r="BZ20" s="6">
        <v>-4.7390740000000002E-3</v>
      </c>
      <c r="CA20" s="6">
        <v>-4.9712940000000002E-3</v>
      </c>
      <c r="CB20" s="6">
        <v>2.7978313253012046E-5</v>
      </c>
      <c r="CC20" s="6">
        <v>-4.7857200000000003E-3</v>
      </c>
      <c r="CD20" s="6">
        <v>-5.0166229999999996E-3</v>
      </c>
      <c r="CE20" s="6">
        <v>2.7819638554216782E-5</v>
      </c>
      <c r="CF20" s="6">
        <v>-4.7476319999999999E-3</v>
      </c>
      <c r="CG20" s="6">
        <v>-4.9754100000000004E-3</v>
      </c>
      <c r="CH20" s="6">
        <v>2.7443132530120543E-5</v>
      </c>
      <c r="CI20" s="6">
        <v>-4.7806649999999999E-3</v>
      </c>
      <c r="CJ20" s="6">
        <v>-5.014185E-3</v>
      </c>
      <c r="CK20" s="6">
        <v>2.8134939759036152E-5</v>
      </c>
      <c r="CL20" s="6">
        <v>-3.453313E-3</v>
      </c>
      <c r="CM20" s="6">
        <v>-3.6197709999999999E-3</v>
      </c>
      <c r="CN20" s="6">
        <v>2.0055180722891561E-5</v>
      </c>
      <c r="CO20" s="6">
        <v>-3.4066669999999999E-3</v>
      </c>
      <c r="CP20" s="6">
        <v>-3.5744420000000002E-3</v>
      </c>
      <c r="CQ20" s="6">
        <v>2.0213855421686771E-5</v>
      </c>
      <c r="CR20" s="6">
        <v>-3.4447549999999999E-3</v>
      </c>
      <c r="CS20" s="6">
        <v>-3.6156550000000002E-3</v>
      </c>
      <c r="CT20" s="6">
        <v>2.0590361445783166E-5</v>
      </c>
      <c r="CU20" s="6">
        <v>-3.4117219999999998E-3</v>
      </c>
      <c r="CV20" s="6">
        <v>-3.5768800000000002E-3</v>
      </c>
      <c r="CW20" s="6">
        <v>1.9898554216867506E-5</v>
      </c>
      <c r="CX20" s="6">
        <v>-3.3519999999999999E-3</v>
      </c>
      <c r="CY20" s="6">
        <v>-3.5228770000000002E-3</v>
      </c>
      <c r="CZ20" s="6">
        <v>2.0587590361445813E-5</v>
      </c>
      <c r="DA20" s="6">
        <v>-3.3986469999999999E-3</v>
      </c>
      <c r="DB20" s="6">
        <v>-3.568206E-3</v>
      </c>
      <c r="DC20" s="6">
        <v>2.0428795180722905E-5</v>
      </c>
      <c r="DD20" s="6">
        <v>-3.3605589999999999E-3</v>
      </c>
      <c r="DE20" s="6">
        <v>-3.5269939999999999E-3</v>
      </c>
      <c r="DF20" s="6">
        <v>2.0052409638554208E-5</v>
      </c>
      <c r="DG20" s="6">
        <v>-3.3935910000000001E-3</v>
      </c>
      <c r="DH20" s="6">
        <v>-3.565768E-3</v>
      </c>
      <c r="DI20" s="6">
        <v>2.0744216867469868E-5</v>
      </c>
      <c r="DK20" s="3" t="s">
        <v>26</v>
      </c>
      <c r="DL20" s="4">
        <f>BA1</f>
        <v>3704.180900056157</v>
      </c>
      <c r="DM20" s="5" t="str">
        <f t="shared" si="11"/>
        <v>OK</v>
      </c>
      <c r="DN20" s="6">
        <f>IF('Lines-v8'!DL20=old!DL20,0,1)</f>
        <v>0</v>
      </c>
      <c r="DO20" s="6">
        <f>IF('Result-v12'!E21=old!DL20,0,1)</f>
        <v>1</v>
      </c>
    </row>
    <row r="21" spans="1:119" ht="16.2" thickBot="1" x14ac:dyDescent="0.35">
      <c r="A21" s="13" t="s">
        <v>366</v>
      </c>
      <c r="B21" s="13" t="s">
        <v>130</v>
      </c>
      <c r="C21" s="13" t="s">
        <v>167</v>
      </c>
      <c r="D21" s="13" t="s">
        <v>364</v>
      </c>
      <c r="E21" s="13">
        <v>8.3000000000000007</v>
      </c>
      <c r="F21" s="6">
        <v>-2.8426789999999999E-3</v>
      </c>
      <c r="G21" s="6">
        <v>-2.823192E-3</v>
      </c>
      <c r="H21" s="6">
        <v>2.3478313253011912E-6</v>
      </c>
      <c r="I21" s="6">
        <v>-4.0099350000000001E-3</v>
      </c>
      <c r="J21" s="6">
        <v>-3.9821099999999996E-3</v>
      </c>
      <c r="K21" s="6">
        <v>3.3524096385542669E-6</v>
      </c>
      <c r="L21" s="6">
        <v>-3.4411070000000001E-3</v>
      </c>
      <c r="M21" s="6">
        <v>-3.4216440000000002E-3</v>
      </c>
      <c r="N21" s="6">
        <v>2.3449397590361379E-6</v>
      </c>
      <c r="O21" s="6">
        <v>-4.5811430000000002E-3</v>
      </c>
      <c r="P21" s="6">
        <v>-4.553082E-3</v>
      </c>
      <c r="Q21" s="6">
        <v>3.3808433734940036E-6</v>
      </c>
      <c r="R21" s="6">
        <v>-4.6742850000000002E-3</v>
      </c>
      <c r="S21" s="6">
        <v>-4.6360380000000003E-3</v>
      </c>
      <c r="T21" s="6">
        <v>4.6080722891566178E-6</v>
      </c>
      <c r="U21" s="6">
        <v>-4.5243469999999997E-3</v>
      </c>
      <c r="V21" s="6">
        <v>-4.4855140000000003E-3</v>
      </c>
      <c r="W21" s="6">
        <v>4.6786746987951082E-6</v>
      </c>
      <c r="X21" s="6">
        <v>-4.6605639999999999E-3</v>
      </c>
      <c r="Y21" s="6">
        <v>-4.6362460000000001E-3</v>
      </c>
      <c r="Z21" s="6">
        <v>2.9298795180722571E-6</v>
      </c>
      <c r="AA21" s="6">
        <v>-4.5313150000000002E-3</v>
      </c>
      <c r="AB21" s="6">
        <v>-4.4840610000000001E-3</v>
      </c>
      <c r="AC21" s="6">
        <v>5.6932530120481974E-6</v>
      </c>
      <c r="AD21" s="6">
        <v>-4.3513049999999998E-3</v>
      </c>
      <c r="AE21" s="6">
        <v>-4.3313350000000004E-3</v>
      </c>
      <c r="AF21" s="6">
        <v>2.4060240963854653E-6</v>
      </c>
      <c r="AG21" s="6">
        <v>-4.5024030000000003E-3</v>
      </c>
      <c r="AH21" s="6">
        <v>-4.4830709999999999E-3</v>
      </c>
      <c r="AI21" s="6">
        <v>2.3291566265060692E-6</v>
      </c>
      <c r="AJ21" s="6">
        <v>-4.3650260000000001E-3</v>
      </c>
      <c r="AK21" s="6">
        <v>-4.3311280000000001E-3</v>
      </c>
      <c r="AL21" s="6">
        <v>4.0840963855421785E-6</v>
      </c>
      <c r="AM21" s="6">
        <v>-4.4942749999999998E-3</v>
      </c>
      <c r="AN21" s="6">
        <v>-4.4833130000000001E-3</v>
      </c>
      <c r="AO21" s="6">
        <v>1.3207228915662382E-6</v>
      </c>
      <c r="AP21" s="6">
        <v>-4.2397600000000004E-3</v>
      </c>
      <c r="AQ21" s="6">
        <v>-4.2038580000000004E-3</v>
      </c>
      <c r="AR21" s="6">
        <v>4.3255421686746965E-6</v>
      </c>
      <c r="AS21" s="6">
        <v>-4.0886630000000002E-3</v>
      </c>
      <c r="AT21" s="6">
        <v>-4.052122E-3</v>
      </c>
      <c r="AU21" s="6">
        <v>4.4025301204819488E-6</v>
      </c>
      <c r="AV21" s="6">
        <v>-4.226039E-3</v>
      </c>
      <c r="AW21" s="6">
        <v>-4.2040660000000002E-3</v>
      </c>
      <c r="AX21" s="6">
        <v>2.6473493975903354E-6</v>
      </c>
      <c r="AY21" s="6">
        <v>-4.0967900000000003E-3</v>
      </c>
      <c r="AZ21" s="6">
        <v>-4.0518799999999999E-3</v>
      </c>
      <c r="BA21" s="6">
        <v>5.4108433734940282E-6</v>
      </c>
      <c r="BB21" s="6">
        <v>-3.9167799999999999E-3</v>
      </c>
      <c r="BC21" s="6">
        <v>-3.899156E-3</v>
      </c>
      <c r="BD21" s="6">
        <v>2.123373493975896E-6</v>
      </c>
      <c r="BE21" s="6">
        <v>-4.0678779999999996E-3</v>
      </c>
      <c r="BF21" s="6">
        <v>-4.050891E-3</v>
      </c>
      <c r="BG21" s="6">
        <v>2.0466265060240429E-6</v>
      </c>
      <c r="BH21" s="6">
        <v>-3.9305010000000003E-3</v>
      </c>
      <c r="BI21" s="6">
        <v>-3.8989480000000002E-3</v>
      </c>
      <c r="BJ21" s="6">
        <v>3.8015662650602572E-6</v>
      </c>
      <c r="BK21" s="6">
        <v>-4.05975E-3</v>
      </c>
      <c r="BL21" s="6">
        <v>-4.0511330000000002E-3</v>
      </c>
      <c r="BM21" s="6">
        <v>1.0381927710843164E-6</v>
      </c>
      <c r="BN21" s="6">
        <v>-5.0681880000000004E-3</v>
      </c>
      <c r="BO21" s="6">
        <v>-5.0336019999999999E-3</v>
      </c>
      <c r="BP21" s="6">
        <v>4.1669879518072903E-6</v>
      </c>
      <c r="BQ21" s="6">
        <v>-5.0228590000000002E-3</v>
      </c>
      <c r="BR21" s="6">
        <v>-4.9880810000000001E-3</v>
      </c>
      <c r="BS21" s="6">
        <v>4.1901204819277188E-6</v>
      </c>
      <c r="BT21" s="6">
        <v>-5.0640720000000002E-3</v>
      </c>
      <c r="BU21" s="6">
        <v>-5.0336640000000002E-3</v>
      </c>
      <c r="BV21" s="6">
        <v>3.6636144578313245E-6</v>
      </c>
      <c r="BW21" s="6">
        <v>-5.0252969999999998E-3</v>
      </c>
      <c r="BX21" s="6">
        <v>-4.9880089999999998E-3</v>
      </c>
      <c r="BY21" s="6">
        <v>4.4925301204819158E-6</v>
      </c>
      <c r="BZ21" s="6">
        <v>-4.9712940000000002E-3</v>
      </c>
      <c r="CA21" s="6">
        <v>-4.9421910000000003E-3</v>
      </c>
      <c r="CB21" s="6">
        <v>3.5063855421686674E-6</v>
      </c>
      <c r="CC21" s="6">
        <v>-5.0166229999999996E-3</v>
      </c>
      <c r="CD21" s="6">
        <v>-4.987712E-3</v>
      </c>
      <c r="CE21" s="6">
        <v>3.4832530120481347E-6</v>
      </c>
      <c r="CF21" s="6">
        <v>-4.9754100000000004E-3</v>
      </c>
      <c r="CG21" s="6">
        <v>-4.942129E-3</v>
      </c>
      <c r="CH21" s="6">
        <v>4.0097590361446328E-6</v>
      </c>
      <c r="CI21" s="6">
        <v>-5.014185E-3</v>
      </c>
      <c r="CJ21" s="6">
        <v>-4.9877849999999998E-3</v>
      </c>
      <c r="CK21" s="6">
        <v>3.1807228915662898E-6</v>
      </c>
      <c r="CL21" s="6">
        <v>-3.6197709999999999E-3</v>
      </c>
      <c r="CM21" s="6">
        <v>-3.5930020000000001E-3</v>
      </c>
      <c r="CN21" s="6">
        <v>3.2251807228915464E-6</v>
      </c>
      <c r="CO21" s="6">
        <v>-3.5744420000000002E-3</v>
      </c>
      <c r="CP21" s="6">
        <v>-3.5474809999999999E-3</v>
      </c>
      <c r="CQ21" s="6">
        <v>3.2483132530120791E-6</v>
      </c>
      <c r="CR21" s="6">
        <v>-3.6156550000000002E-3</v>
      </c>
      <c r="CS21" s="6">
        <v>-3.5930649999999999E-3</v>
      </c>
      <c r="CT21" s="6">
        <v>2.7216867469879857E-6</v>
      </c>
      <c r="CU21" s="6">
        <v>-3.5768800000000002E-3</v>
      </c>
      <c r="CV21" s="6">
        <v>-3.5474090000000001E-3</v>
      </c>
      <c r="CW21" s="6">
        <v>3.5507228915662765E-6</v>
      </c>
      <c r="CX21" s="6">
        <v>-3.5228770000000002E-3</v>
      </c>
      <c r="CY21" s="6">
        <v>-3.501592E-3</v>
      </c>
      <c r="CZ21" s="6">
        <v>2.5644578313253282E-6</v>
      </c>
      <c r="DA21" s="6">
        <v>-3.568206E-3</v>
      </c>
      <c r="DB21" s="6">
        <v>-3.5471119999999998E-3</v>
      </c>
      <c r="DC21" s="6">
        <v>2.5414457831325476E-6</v>
      </c>
      <c r="DD21" s="6">
        <v>-3.5269939999999999E-3</v>
      </c>
      <c r="DE21" s="6">
        <v>-3.5015290000000002E-3</v>
      </c>
      <c r="DF21" s="6">
        <v>3.0680722891565889E-6</v>
      </c>
      <c r="DG21" s="6">
        <v>-3.565768E-3</v>
      </c>
      <c r="DH21" s="6">
        <v>-3.547185E-3</v>
      </c>
      <c r="DI21" s="6">
        <v>2.2389156626505985E-6</v>
      </c>
      <c r="DK21" s="3" t="s">
        <v>27</v>
      </c>
      <c r="DL21" s="4">
        <f>BD1</f>
        <v>2409.1721770916874</v>
      </c>
      <c r="DM21" s="5" t="str">
        <f t="shared" si="11"/>
        <v>OK</v>
      </c>
      <c r="DN21" s="6">
        <f>IF('Lines-v8'!DL21=old!DL21,0,1)</f>
        <v>0</v>
      </c>
      <c r="DO21" s="6">
        <f>IF('Result-v12'!E22=old!DL21,0,1)</f>
        <v>1</v>
      </c>
    </row>
    <row r="22" spans="1:119" ht="16.2" thickBot="1" x14ac:dyDescent="0.35">
      <c r="A22" s="13" t="s">
        <v>367</v>
      </c>
      <c r="B22" s="13" t="s">
        <v>167</v>
      </c>
      <c r="C22" s="13" t="s">
        <v>208</v>
      </c>
      <c r="D22" s="13" t="s">
        <v>364</v>
      </c>
      <c r="E22" s="13">
        <v>8.3000000000000007</v>
      </c>
      <c r="F22" s="6">
        <v>-2.823192E-3</v>
      </c>
      <c r="G22" s="6">
        <v>-2.8149759999999998E-3</v>
      </c>
      <c r="H22" s="6">
        <v>9.8987951807230429E-7</v>
      </c>
      <c r="I22" s="6">
        <v>-3.9821099999999996E-3</v>
      </c>
      <c r="J22" s="6">
        <v>-3.9728740000000004E-3</v>
      </c>
      <c r="K22" s="6">
        <v>1.1127710843372617E-6</v>
      </c>
      <c r="L22" s="6">
        <v>-3.4216440000000002E-3</v>
      </c>
      <c r="M22" s="6">
        <v>-3.4129149999999999E-3</v>
      </c>
      <c r="N22" s="6">
        <v>1.0516867469879864E-6</v>
      </c>
      <c r="O22" s="6">
        <v>-4.553082E-3</v>
      </c>
      <c r="P22" s="6">
        <v>-4.5436089999999997E-3</v>
      </c>
      <c r="Q22" s="6">
        <v>1.1413253012048545E-6</v>
      </c>
      <c r="R22" s="6">
        <v>-4.6360380000000003E-3</v>
      </c>
      <c r="S22" s="6">
        <v>-4.6208509999999996E-3</v>
      </c>
      <c r="T22" s="6">
        <v>1.8297590361446634E-6</v>
      </c>
      <c r="U22" s="6">
        <v>-4.4855140000000003E-3</v>
      </c>
      <c r="V22" s="6">
        <v>-4.463725E-3</v>
      </c>
      <c r="W22" s="6">
        <v>2.6251807228916089E-6</v>
      </c>
      <c r="X22" s="6">
        <v>-4.6362460000000001E-3</v>
      </c>
      <c r="Y22" s="6">
        <v>-4.6351750000000001E-3</v>
      </c>
      <c r="Z22" s="6">
        <v>1.2903614457832023E-7</v>
      </c>
      <c r="AA22" s="6">
        <v>-4.4840610000000001E-3</v>
      </c>
      <c r="AB22" s="6">
        <v>-4.4540489999999999E-3</v>
      </c>
      <c r="AC22" s="6">
        <v>3.6159036144578634E-6</v>
      </c>
      <c r="AD22" s="6">
        <v>-4.3313350000000004E-3</v>
      </c>
      <c r="AE22" s="6">
        <v>-4.3267540000000004E-3</v>
      </c>
      <c r="AF22" s="6">
        <v>5.5192771084337704E-7</v>
      </c>
      <c r="AG22" s="6">
        <v>-4.4830709999999999E-3</v>
      </c>
      <c r="AH22" s="6">
        <v>-4.4849900000000003E-3</v>
      </c>
      <c r="AI22" s="6">
        <v>2.3120481927715656E-7</v>
      </c>
      <c r="AJ22" s="6">
        <v>-4.3311280000000001E-3</v>
      </c>
      <c r="AK22" s="6">
        <v>-4.3124299999999999E-3</v>
      </c>
      <c r="AL22" s="6">
        <v>2.2527710843373677E-6</v>
      </c>
      <c r="AM22" s="6">
        <v>-4.4833130000000001E-3</v>
      </c>
      <c r="AN22" s="6">
        <v>-4.4935560000000001E-3</v>
      </c>
      <c r="AO22" s="6">
        <v>1.2340963855421755E-6</v>
      </c>
      <c r="AP22" s="6">
        <v>-4.2038580000000004E-3</v>
      </c>
      <c r="AQ22" s="6">
        <v>-4.1897269999999999E-3</v>
      </c>
      <c r="AR22" s="6">
        <v>1.702530120481995E-6</v>
      </c>
      <c r="AS22" s="6">
        <v>-4.052122E-3</v>
      </c>
      <c r="AT22" s="6">
        <v>-4.0314909999999999E-3</v>
      </c>
      <c r="AU22" s="6">
        <v>2.4856626506024242E-6</v>
      </c>
      <c r="AV22" s="6">
        <v>-4.2040660000000002E-3</v>
      </c>
      <c r="AW22" s="6">
        <v>-4.2040519999999998E-3</v>
      </c>
      <c r="AX22" s="6">
        <v>1.6867469880044907E-9</v>
      </c>
      <c r="AY22" s="6">
        <v>-4.0518799999999999E-3</v>
      </c>
      <c r="AZ22" s="6">
        <v>-4.0229259999999996E-3</v>
      </c>
      <c r="BA22" s="6">
        <v>3.4884337349397954E-6</v>
      </c>
      <c r="BB22" s="6">
        <v>-3.899156E-3</v>
      </c>
      <c r="BC22" s="6">
        <v>-3.8956300000000002E-3</v>
      </c>
      <c r="BD22" s="6">
        <v>4.2481927710840835E-7</v>
      </c>
      <c r="BE22" s="6">
        <v>-4.050891E-3</v>
      </c>
      <c r="BF22" s="6">
        <v>-4.0538659999999997E-3</v>
      </c>
      <c r="BG22" s="6">
        <v>3.5843373493972038E-7</v>
      </c>
      <c r="BH22" s="6">
        <v>-3.8989480000000002E-3</v>
      </c>
      <c r="BI22" s="6">
        <v>-3.8813060000000002E-3</v>
      </c>
      <c r="BJ22" s="6">
        <v>2.1255421686746993E-6</v>
      </c>
      <c r="BK22" s="6">
        <v>-4.0511330000000002E-3</v>
      </c>
      <c r="BL22" s="6">
        <v>-4.0624320000000004E-3</v>
      </c>
      <c r="BM22" s="6">
        <v>1.3613253012048439E-6</v>
      </c>
      <c r="BN22" s="6">
        <v>-5.0336019999999999E-3</v>
      </c>
      <c r="BO22" s="6">
        <v>-5.020895E-3</v>
      </c>
      <c r="BP22" s="6">
        <v>1.5309638554216652E-6</v>
      </c>
      <c r="BQ22" s="6">
        <v>-4.9880810000000001E-3</v>
      </c>
      <c r="BR22" s="6">
        <v>-4.9734239999999997E-3</v>
      </c>
      <c r="BS22" s="6">
        <v>1.7659036144578775E-6</v>
      </c>
      <c r="BT22" s="6">
        <v>-5.0336640000000002E-3</v>
      </c>
      <c r="BU22" s="6">
        <v>-5.0251920000000004E-3</v>
      </c>
      <c r="BV22" s="6">
        <v>1.0207228915662434E-6</v>
      </c>
      <c r="BW22" s="6">
        <v>-4.9880089999999998E-3</v>
      </c>
      <c r="BX22" s="6">
        <v>-4.9708540000000002E-3</v>
      </c>
      <c r="BY22" s="6">
        <v>2.0668674698794698E-6</v>
      </c>
      <c r="BZ22" s="6">
        <v>-4.9421910000000003E-3</v>
      </c>
      <c r="CA22" s="6">
        <v>-4.9326650000000001E-3</v>
      </c>
      <c r="CB22" s="6">
        <v>1.1477108433735122E-6</v>
      </c>
      <c r="CC22" s="6">
        <v>-4.987712E-3</v>
      </c>
      <c r="CD22" s="6">
        <v>-4.9801359999999996E-3</v>
      </c>
      <c r="CE22" s="6">
        <v>9.1277108433740446E-7</v>
      </c>
      <c r="CF22" s="6">
        <v>-4.942129E-3</v>
      </c>
      <c r="CG22" s="6">
        <v>-4.9283679999999998E-3</v>
      </c>
      <c r="CH22" s="6">
        <v>1.6579518072289342E-6</v>
      </c>
      <c r="CI22" s="6">
        <v>-4.9877849999999998E-3</v>
      </c>
      <c r="CJ22" s="6">
        <v>-4.9827059999999999E-3</v>
      </c>
      <c r="CK22" s="6">
        <v>6.1192771084335508E-7</v>
      </c>
      <c r="CL22" s="6">
        <v>-3.5930020000000001E-3</v>
      </c>
      <c r="CM22" s="6">
        <v>-3.5838160000000001E-3</v>
      </c>
      <c r="CN22" s="6">
        <v>1.1067469879518075E-6</v>
      </c>
      <c r="CO22" s="6">
        <v>-3.5474809999999999E-3</v>
      </c>
      <c r="CP22" s="6">
        <v>-3.5363450000000002E-3</v>
      </c>
      <c r="CQ22" s="6">
        <v>1.3416867469879153E-6</v>
      </c>
      <c r="CR22" s="6">
        <v>-3.5930649999999999E-3</v>
      </c>
      <c r="CS22" s="6">
        <v>-3.588113E-3</v>
      </c>
      <c r="CT22" s="6">
        <v>5.9662650602408522E-7</v>
      </c>
      <c r="CU22" s="6">
        <v>-3.5474090000000001E-3</v>
      </c>
      <c r="CV22" s="6">
        <v>-3.5337749999999999E-3</v>
      </c>
      <c r="CW22" s="6">
        <v>1.6426506024096644E-6</v>
      </c>
      <c r="CX22" s="6">
        <v>-3.501592E-3</v>
      </c>
      <c r="CY22" s="6">
        <v>-3.4955870000000001E-3</v>
      </c>
      <c r="CZ22" s="6">
        <v>7.2349397590360225E-7</v>
      </c>
      <c r="DA22" s="6">
        <v>-3.5471119999999998E-3</v>
      </c>
      <c r="DB22" s="6">
        <v>-3.5430570000000001E-3</v>
      </c>
      <c r="DC22" s="6">
        <v>4.8855421686744222E-7</v>
      </c>
      <c r="DD22" s="6">
        <v>-3.5015290000000002E-3</v>
      </c>
      <c r="DE22" s="6">
        <v>-3.4912889999999999E-3</v>
      </c>
      <c r="DF22" s="6">
        <v>1.2337349397590766E-6</v>
      </c>
      <c r="DG22" s="6">
        <v>-3.547185E-3</v>
      </c>
      <c r="DH22" s="6">
        <v>-3.545627E-3</v>
      </c>
      <c r="DI22" s="6">
        <v>1.8771084337349734E-7</v>
      </c>
      <c r="DK22" s="3" t="s">
        <v>28</v>
      </c>
      <c r="DL22" s="4">
        <f>BG1</f>
        <v>2187.9526162219345</v>
      </c>
      <c r="DM22" s="5" t="str">
        <f t="shared" si="11"/>
        <v>OK</v>
      </c>
      <c r="DN22" s="6">
        <f>IF('Lines-v8'!DL22=old!DL22,0,1)</f>
        <v>0</v>
      </c>
      <c r="DO22" s="6">
        <f>IF('Result-v12'!E23=old!DL22,0,1)</f>
        <v>1</v>
      </c>
    </row>
    <row r="23" spans="1:119" ht="16.2" thickBot="1" x14ac:dyDescent="0.35">
      <c r="A23" s="13" t="s">
        <v>368</v>
      </c>
      <c r="B23" s="13" t="s">
        <v>208</v>
      </c>
      <c r="C23" s="13" t="s">
        <v>249</v>
      </c>
      <c r="D23" s="13" t="s">
        <v>364</v>
      </c>
      <c r="E23" s="13">
        <v>8.3000000000000007</v>
      </c>
      <c r="F23" s="6">
        <v>-2.8149759999999998E-3</v>
      </c>
      <c r="G23" s="6">
        <v>-2.8181479999999999E-3</v>
      </c>
      <c r="H23" s="6">
        <v>3.8216867469880366E-7</v>
      </c>
      <c r="I23" s="6">
        <v>-3.9728740000000004E-3</v>
      </c>
      <c r="J23" s="6">
        <v>-3.9797779999999998E-3</v>
      </c>
      <c r="K23" s="6">
        <v>8.3180722891559241E-7</v>
      </c>
      <c r="L23" s="6">
        <v>-3.4129149999999999E-3</v>
      </c>
      <c r="M23" s="6">
        <v>-3.4199030000000002E-3</v>
      </c>
      <c r="N23" s="6">
        <v>8.4192771084341037E-7</v>
      </c>
      <c r="O23" s="6">
        <v>-4.5436089999999997E-3</v>
      </c>
      <c r="P23" s="6">
        <v>-4.5536800000000001E-3</v>
      </c>
      <c r="Q23" s="6">
        <v>1.2133734939759499E-6</v>
      </c>
      <c r="R23" s="6">
        <v>-4.6208509999999996E-3</v>
      </c>
      <c r="S23" s="6">
        <v>-4.6259819999999998E-3</v>
      </c>
      <c r="T23" s="6">
        <v>6.1819277108436533E-7</v>
      </c>
      <c r="U23" s="6">
        <v>-4.463725E-3</v>
      </c>
      <c r="V23" s="6">
        <v>-4.5137700000000003E-3</v>
      </c>
      <c r="W23" s="6">
        <v>6.0295180722891922E-6</v>
      </c>
      <c r="X23" s="6">
        <v>-4.6351750000000001E-3</v>
      </c>
      <c r="Y23" s="6">
        <v>-4.6602470000000002E-3</v>
      </c>
      <c r="Z23" s="6">
        <v>3.0207228915662787E-6</v>
      </c>
      <c r="AA23" s="6">
        <v>-4.4540489999999999E-3</v>
      </c>
      <c r="AB23" s="6">
        <v>-4.491063E-3</v>
      </c>
      <c r="AC23" s="6">
        <v>4.4595180722891734E-6</v>
      </c>
      <c r="AD23" s="6">
        <v>-4.3267540000000004E-3</v>
      </c>
      <c r="AE23" s="6">
        <v>-4.3395550000000001E-3</v>
      </c>
      <c r="AF23" s="6">
        <v>1.5422891566264801E-6</v>
      </c>
      <c r="AG23" s="6">
        <v>-4.4849900000000003E-3</v>
      </c>
      <c r="AH23" s="6">
        <v>-4.4544490000000001E-3</v>
      </c>
      <c r="AI23" s="6">
        <v>3.679638554216897E-6</v>
      </c>
      <c r="AJ23" s="6">
        <v>-4.3124299999999999E-3</v>
      </c>
      <c r="AK23" s="6">
        <v>-4.3052899999999998E-3</v>
      </c>
      <c r="AL23" s="6">
        <v>8.6024096385543337E-7</v>
      </c>
      <c r="AM23" s="6">
        <v>-4.4935560000000001E-3</v>
      </c>
      <c r="AN23" s="6">
        <v>-4.474474E-3</v>
      </c>
      <c r="AO23" s="6">
        <v>2.2990361445783284E-6</v>
      </c>
      <c r="AP23" s="6">
        <v>-4.1897269999999999E-3</v>
      </c>
      <c r="AQ23" s="6">
        <v>-4.1939000000000004E-3</v>
      </c>
      <c r="AR23" s="6">
        <v>5.0277108433741495E-7</v>
      </c>
      <c r="AS23" s="6">
        <v>-4.0314909999999999E-3</v>
      </c>
      <c r="AT23" s="6">
        <v>-4.0790059999999996E-3</v>
      </c>
      <c r="AU23" s="6">
        <v>5.7246987951806878E-6</v>
      </c>
      <c r="AV23" s="6">
        <v>-4.2040519999999998E-3</v>
      </c>
      <c r="AW23" s="6">
        <v>-4.2281649999999999E-3</v>
      </c>
      <c r="AX23" s="6">
        <v>2.9051807228915762E-6</v>
      </c>
      <c r="AY23" s="6">
        <v>-4.0229259999999996E-3</v>
      </c>
      <c r="AZ23" s="6">
        <v>-4.0589809999999997E-3</v>
      </c>
      <c r="BA23" s="6">
        <v>4.3439759036144713E-6</v>
      </c>
      <c r="BB23" s="6">
        <v>-3.8956300000000002E-3</v>
      </c>
      <c r="BC23" s="6">
        <v>-3.9074729999999998E-3</v>
      </c>
      <c r="BD23" s="6">
        <v>1.4268674698794774E-6</v>
      </c>
      <c r="BE23" s="6">
        <v>-4.0538659999999997E-3</v>
      </c>
      <c r="BF23" s="6">
        <v>-4.0223669999999998E-3</v>
      </c>
      <c r="BG23" s="6">
        <v>3.7950602409638473E-6</v>
      </c>
      <c r="BH23" s="6">
        <v>-3.8813060000000002E-3</v>
      </c>
      <c r="BI23" s="6">
        <v>-3.8732079999999999E-3</v>
      </c>
      <c r="BJ23" s="6">
        <v>9.7566265060243595E-7</v>
      </c>
      <c r="BK23" s="6">
        <v>-4.0624320000000004E-3</v>
      </c>
      <c r="BL23" s="6">
        <v>-4.0423919999999997E-3</v>
      </c>
      <c r="BM23" s="6">
        <v>2.414457831325383E-6</v>
      </c>
      <c r="BN23" s="6">
        <v>-5.020895E-3</v>
      </c>
      <c r="BO23" s="6">
        <v>-5.0298280000000001E-3</v>
      </c>
      <c r="BP23" s="6">
        <v>1.0762650602409676E-6</v>
      </c>
      <c r="BQ23" s="6">
        <v>-4.9734239999999997E-3</v>
      </c>
      <c r="BR23" s="6">
        <v>-4.9953599999999999E-3</v>
      </c>
      <c r="BS23" s="6">
        <v>2.6428915662650813E-6</v>
      </c>
      <c r="BT23" s="6">
        <v>-5.0251920000000004E-3</v>
      </c>
      <c r="BU23" s="6">
        <v>-5.0401079999999997E-3</v>
      </c>
      <c r="BV23" s="6">
        <v>1.7971084337348635E-6</v>
      </c>
      <c r="BW23" s="6">
        <v>-4.9708540000000002E-3</v>
      </c>
      <c r="BX23" s="6">
        <v>-4.9893530000000002E-3</v>
      </c>
      <c r="BY23" s="6">
        <v>2.2287951807228851E-6</v>
      </c>
      <c r="BZ23" s="6">
        <v>-4.9326650000000001E-3</v>
      </c>
      <c r="CA23" s="6">
        <v>-4.9439000000000002E-3</v>
      </c>
      <c r="CB23" s="6">
        <v>1.3536144578313329E-6</v>
      </c>
      <c r="CC23" s="6">
        <v>-4.9801359999999996E-3</v>
      </c>
      <c r="CD23" s="6">
        <v>-4.9783689999999998E-3</v>
      </c>
      <c r="CE23" s="6">
        <v>2.1289156626502902E-7</v>
      </c>
      <c r="CF23" s="6">
        <v>-4.9283679999999998E-3</v>
      </c>
      <c r="CG23" s="6">
        <v>-4.933621E-3</v>
      </c>
      <c r="CH23" s="6">
        <v>6.3289156626508448E-7</v>
      </c>
      <c r="CI23" s="6">
        <v>-4.9827059999999999E-3</v>
      </c>
      <c r="CJ23" s="6">
        <v>-4.9843760000000004E-3</v>
      </c>
      <c r="CK23" s="6">
        <v>2.0120481927716751E-7</v>
      </c>
      <c r="CL23" s="6">
        <v>-3.5838160000000001E-3</v>
      </c>
      <c r="CM23" s="6">
        <v>-3.5895549999999999E-3</v>
      </c>
      <c r="CN23" s="6">
        <v>6.9144578313250974E-7</v>
      </c>
      <c r="CO23" s="6">
        <v>-3.5363450000000002E-3</v>
      </c>
      <c r="CP23" s="6">
        <v>-3.5550870000000002E-3</v>
      </c>
      <c r="CQ23" s="6">
        <v>2.2580722891566238E-6</v>
      </c>
      <c r="CR23" s="6">
        <v>-3.588113E-3</v>
      </c>
      <c r="CS23" s="6">
        <v>-3.599835E-3</v>
      </c>
      <c r="CT23" s="6">
        <v>1.4122891566265101E-6</v>
      </c>
      <c r="CU23" s="6">
        <v>-3.5337749999999999E-3</v>
      </c>
      <c r="CV23" s="6">
        <v>-3.5490790000000001E-3</v>
      </c>
      <c r="CW23" s="6">
        <v>1.8438554216867796E-6</v>
      </c>
      <c r="CX23" s="6">
        <v>-3.4955870000000001E-3</v>
      </c>
      <c r="CY23" s="6">
        <v>-3.503627E-3</v>
      </c>
      <c r="CZ23" s="6">
        <v>9.6867469879517553E-7</v>
      </c>
      <c r="DA23" s="6">
        <v>-3.5430570000000001E-3</v>
      </c>
      <c r="DB23" s="6">
        <v>-3.5380950000000002E-3</v>
      </c>
      <c r="DC23" s="6">
        <v>5.9783132530118654E-7</v>
      </c>
      <c r="DD23" s="6">
        <v>-3.4912889999999999E-3</v>
      </c>
      <c r="DE23" s="6">
        <v>-3.4933469999999999E-3</v>
      </c>
      <c r="DF23" s="6">
        <v>2.4795180722892705E-7</v>
      </c>
      <c r="DG23" s="6">
        <v>-3.545627E-3</v>
      </c>
      <c r="DH23" s="6">
        <v>-3.5441029999999998E-3</v>
      </c>
      <c r="DI23" s="6">
        <v>1.8361445783134254E-7</v>
      </c>
      <c r="DK23" s="3" t="s">
        <v>29</v>
      </c>
      <c r="DL23" s="4">
        <f>BJ1</f>
        <v>2416.121644447323</v>
      </c>
      <c r="DM23" s="5" t="str">
        <f t="shared" si="11"/>
        <v>OK</v>
      </c>
      <c r="DN23" s="6">
        <f>IF('Lines-v8'!DL23=old!DL23,0,1)</f>
        <v>0</v>
      </c>
      <c r="DO23" s="6">
        <f>IF('Result-v12'!E24=old!DL23,0,1)</f>
        <v>1</v>
      </c>
    </row>
    <row r="24" spans="1:119" ht="16.2" thickBot="1" x14ac:dyDescent="0.35">
      <c r="A24" s="13" t="s">
        <v>369</v>
      </c>
      <c r="B24" s="13" t="s">
        <v>249</v>
      </c>
      <c r="C24" s="13" t="s">
        <v>288</v>
      </c>
      <c r="D24" s="13" t="s">
        <v>364</v>
      </c>
      <c r="E24" s="13">
        <v>8.3000000000000007</v>
      </c>
      <c r="F24" s="6">
        <v>-2.8181479999999999E-3</v>
      </c>
      <c r="G24" s="6">
        <v>-1.9709939999999998E-3</v>
      </c>
      <c r="H24" s="6">
        <v>1.0206674698795181E-4</v>
      </c>
      <c r="I24" s="6">
        <v>-3.9797779999999998E-3</v>
      </c>
      <c r="J24" s="6">
        <v>-2.7757160000000001E-3</v>
      </c>
      <c r="K24" s="6">
        <v>1.4506771084337345E-4</v>
      </c>
      <c r="L24" s="6">
        <v>-3.4199030000000002E-3</v>
      </c>
      <c r="M24" s="6">
        <v>-2.573297E-3</v>
      </c>
      <c r="N24" s="6">
        <v>1.0200072289156628E-4</v>
      </c>
      <c r="O24" s="6">
        <v>-4.5536800000000001E-3</v>
      </c>
      <c r="P24" s="6">
        <v>-3.3493429999999999E-3</v>
      </c>
      <c r="Q24" s="6">
        <v>1.4510084337349398E-4</v>
      </c>
      <c r="R24" s="6">
        <v>-4.6259819999999998E-3</v>
      </c>
      <c r="S24" s="6">
        <v>-3.3419399999999998E-3</v>
      </c>
      <c r="T24" s="6">
        <v>1.5470385542168673E-4</v>
      </c>
      <c r="U24" s="6">
        <v>-4.5137700000000003E-3</v>
      </c>
      <c r="V24" s="6">
        <v>-3.8181930000000001E-3</v>
      </c>
      <c r="W24" s="6">
        <v>8.3804457831325314E-5</v>
      </c>
      <c r="X24" s="6">
        <v>-4.6602470000000002E-3</v>
      </c>
      <c r="Y24" s="6">
        <v>-3.426686E-3</v>
      </c>
      <c r="Z24" s="6">
        <v>1.4862180722891567E-4</v>
      </c>
      <c r="AA24" s="6">
        <v>-4.491063E-3</v>
      </c>
      <c r="AB24" s="6">
        <v>-3.7664439999999999E-3</v>
      </c>
      <c r="AC24" s="6">
        <v>8.7303493975903626E-5</v>
      </c>
      <c r="AD24" s="6">
        <v>-4.3395550000000001E-3</v>
      </c>
      <c r="AE24" s="6">
        <v>-3.1135989999999999E-3</v>
      </c>
      <c r="AF24" s="6">
        <v>1.4770554216867471E-4</v>
      </c>
      <c r="AG24" s="6">
        <v>-4.4544490000000001E-3</v>
      </c>
      <c r="AH24" s="6">
        <v>-2.6398010000000002E-3</v>
      </c>
      <c r="AI24" s="6">
        <v>2.1863228915662648E-4</v>
      </c>
      <c r="AJ24" s="6">
        <v>-4.3052899999999998E-3</v>
      </c>
      <c r="AK24" s="6">
        <v>-3.0288530000000002E-3</v>
      </c>
      <c r="AL24" s="6">
        <v>1.5378759036144572E-4</v>
      </c>
      <c r="AM24" s="6">
        <v>-4.474474E-3</v>
      </c>
      <c r="AN24" s="6">
        <v>-2.6890949999999999E-3</v>
      </c>
      <c r="AO24" s="6">
        <v>2.1510590361445783E-4</v>
      </c>
      <c r="AP24" s="6">
        <v>-4.1939000000000004E-3</v>
      </c>
      <c r="AQ24" s="6">
        <v>-3.011461E-3</v>
      </c>
      <c r="AR24" s="6">
        <v>1.4246253012048196E-4</v>
      </c>
      <c r="AS24" s="6">
        <v>-4.0790059999999996E-3</v>
      </c>
      <c r="AT24" s="6">
        <v>-3.4852580000000002E-3</v>
      </c>
      <c r="AU24" s="6">
        <v>7.1535903614457753E-5</v>
      </c>
      <c r="AV24" s="6">
        <v>-4.2281649999999999E-3</v>
      </c>
      <c r="AW24" s="6">
        <v>-3.0962070000000001E-3</v>
      </c>
      <c r="AX24" s="6">
        <v>1.3638048192771081E-4</v>
      </c>
      <c r="AY24" s="6">
        <v>-4.0589809999999997E-3</v>
      </c>
      <c r="AZ24" s="6">
        <v>-3.435965E-3</v>
      </c>
      <c r="BA24" s="6">
        <v>7.5062168674698755E-5</v>
      </c>
      <c r="BB24" s="6">
        <v>-3.9074729999999998E-3</v>
      </c>
      <c r="BC24" s="6">
        <v>-2.78312E-3</v>
      </c>
      <c r="BD24" s="6">
        <v>1.3546421686746985E-4</v>
      </c>
      <c r="BE24" s="6">
        <v>-4.0223669999999998E-3</v>
      </c>
      <c r="BF24" s="6">
        <v>-2.3093229999999998E-3</v>
      </c>
      <c r="BG24" s="6">
        <v>2.0639084337349396E-4</v>
      </c>
      <c r="BH24" s="6">
        <v>-3.8732079999999999E-3</v>
      </c>
      <c r="BI24" s="6">
        <v>-2.6983739999999999E-3</v>
      </c>
      <c r="BJ24" s="6">
        <v>1.4154626506024094E-4</v>
      </c>
      <c r="BK24" s="6">
        <v>-4.0423919999999997E-3</v>
      </c>
      <c r="BL24" s="6">
        <v>-2.358616E-3</v>
      </c>
      <c r="BM24" s="6">
        <v>2.0286457831325295E-4</v>
      </c>
      <c r="BN24" s="6">
        <v>-5.0298280000000001E-3</v>
      </c>
      <c r="BO24" s="6">
        <v>-3.6475790000000002E-3</v>
      </c>
      <c r="BP24" s="6">
        <v>1.6653602409638551E-4</v>
      </c>
      <c r="BQ24" s="6">
        <v>-4.9953599999999999E-3</v>
      </c>
      <c r="BR24" s="6">
        <v>-3.7897180000000001E-3</v>
      </c>
      <c r="BS24" s="6">
        <v>1.4525807228915659E-4</v>
      </c>
      <c r="BT24" s="6">
        <v>-5.0401079999999997E-3</v>
      </c>
      <c r="BU24" s="6">
        <v>-3.6730030000000002E-3</v>
      </c>
      <c r="BV24" s="6">
        <v>1.6471144578313247E-4</v>
      </c>
      <c r="BW24" s="6">
        <v>-4.9893530000000002E-3</v>
      </c>
      <c r="BX24" s="6">
        <v>-3.7749300000000001E-3</v>
      </c>
      <c r="BY24" s="6">
        <v>1.4631602409638554E-4</v>
      </c>
      <c r="BZ24" s="6">
        <v>-4.9439000000000002E-3</v>
      </c>
      <c r="CA24" s="6">
        <v>-3.579077E-3</v>
      </c>
      <c r="CB24" s="6">
        <v>1.6443650602409641E-4</v>
      </c>
      <c r="CC24" s="6">
        <v>-4.9783689999999998E-3</v>
      </c>
      <c r="CD24" s="6">
        <v>-3.4369370000000002E-3</v>
      </c>
      <c r="CE24" s="6">
        <v>1.8571469879518067E-4</v>
      </c>
      <c r="CF24" s="6">
        <v>-4.933621E-3</v>
      </c>
      <c r="CG24" s="6">
        <v>-3.5536529999999999E-3</v>
      </c>
      <c r="CH24" s="6">
        <v>1.6626120481927711E-4</v>
      </c>
      <c r="CI24" s="6">
        <v>-4.9843760000000004E-3</v>
      </c>
      <c r="CJ24" s="6">
        <v>-3.4517250000000001E-3</v>
      </c>
      <c r="CK24" s="6">
        <v>1.8465674698795183E-4</v>
      </c>
      <c r="CL24" s="6">
        <v>-3.5895549999999999E-3</v>
      </c>
      <c r="CM24" s="6">
        <v>-2.5459829999999999E-3</v>
      </c>
      <c r="CN24" s="6">
        <v>1.2573156626506023E-4</v>
      </c>
      <c r="CO24" s="6">
        <v>-3.5550870000000002E-3</v>
      </c>
      <c r="CP24" s="6">
        <v>-2.6881219999999998E-3</v>
      </c>
      <c r="CQ24" s="6">
        <v>1.0445361445783136E-4</v>
      </c>
      <c r="CR24" s="6">
        <v>-3.599835E-3</v>
      </c>
      <c r="CS24" s="6">
        <v>-2.5714069999999999E-3</v>
      </c>
      <c r="CT24" s="6">
        <v>1.2390698795180724E-4</v>
      </c>
      <c r="CU24" s="6">
        <v>-3.5490790000000001E-3</v>
      </c>
      <c r="CV24" s="6">
        <v>-2.6733339999999999E-3</v>
      </c>
      <c r="CW24" s="6">
        <v>1.0551144578313255E-4</v>
      </c>
      <c r="CX24" s="6">
        <v>-3.503627E-3</v>
      </c>
      <c r="CY24" s="6">
        <v>-2.4774810000000001E-3</v>
      </c>
      <c r="CZ24" s="6">
        <v>1.2363204819277107E-4</v>
      </c>
      <c r="DA24" s="6">
        <v>-3.5380950000000002E-3</v>
      </c>
      <c r="DB24" s="6">
        <v>-2.3353419999999998E-3</v>
      </c>
      <c r="DC24" s="6">
        <v>1.4491000000000005E-4</v>
      </c>
      <c r="DD24" s="6">
        <v>-3.4933469999999999E-3</v>
      </c>
      <c r="DE24" s="6">
        <v>-2.4520570000000001E-3</v>
      </c>
      <c r="DF24" s="6">
        <v>1.2545662650602406E-4</v>
      </c>
      <c r="DG24" s="6">
        <v>-3.5441029999999998E-3</v>
      </c>
      <c r="DH24" s="6">
        <v>-2.3501300000000002E-3</v>
      </c>
      <c r="DI24" s="6">
        <v>1.4385216867469875E-4</v>
      </c>
      <c r="DK24" s="3" t="s">
        <v>30</v>
      </c>
      <c r="DL24" s="4">
        <f>BM1</f>
        <v>2184.6596463462438</v>
      </c>
      <c r="DM24" s="5" t="str">
        <f t="shared" si="11"/>
        <v>OK</v>
      </c>
      <c r="DN24" s="6">
        <f>IF('Lines-v8'!DL24=old!DL24,0,1)</f>
        <v>0</v>
      </c>
      <c r="DO24" s="6">
        <f>IF('Result-v12'!E25=old!DL24,0,1)</f>
        <v>1</v>
      </c>
    </row>
    <row r="25" spans="1:119" ht="16.2" thickBot="1" x14ac:dyDescent="0.35">
      <c r="A25" s="13" t="s">
        <v>370</v>
      </c>
      <c r="B25" s="13" t="s">
        <v>285</v>
      </c>
      <c r="C25" s="13" t="s">
        <v>319</v>
      </c>
      <c r="D25" s="13" t="s">
        <v>350</v>
      </c>
      <c r="E25" s="13">
        <v>5.75</v>
      </c>
      <c r="F25" s="6">
        <v>-1.3754749999999999E-3</v>
      </c>
      <c r="G25" s="6">
        <v>-1.40168E-3</v>
      </c>
      <c r="H25" s="6">
        <v>4.557391304347837E-6</v>
      </c>
      <c r="I25" s="6">
        <v>-1.7900069999999999E-3</v>
      </c>
      <c r="J25" s="6">
        <v>-1.800484E-3</v>
      </c>
      <c r="K25" s="6">
        <v>1.8220869565217488E-6</v>
      </c>
      <c r="L25" s="6">
        <v>-1.8017440000000001E-3</v>
      </c>
      <c r="M25" s="6">
        <v>-1.815784E-3</v>
      </c>
      <c r="N25" s="6">
        <v>2.4417391304347627E-6</v>
      </c>
      <c r="O25" s="6">
        <v>-2.1963540000000002E-3</v>
      </c>
      <c r="P25" s="6">
        <v>-2.1951570000000001E-3</v>
      </c>
      <c r="Q25" s="6">
        <v>2.0817391304349397E-7</v>
      </c>
      <c r="R25" s="6">
        <v>-1.8569979999999999E-3</v>
      </c>
      <c r="S25" s="6">
        <v>-1.8457720000000001E-3</v>
      </c>
      <c r="T25" s="6">
        <v>1.9523478260869242E-6</v>
      </c>
      <c r="U25" s="6">
        <v>-2.2833910000000001E-3</v>
      </c>
      <c r="V25" s="6">
        <v>-2.3001050000000002E-3</v>
      </c>
      <c r="W25" s="6">
        <v>2.9067826086956761E-6</v>
      </c>
      <c r="X25" s="6">
        <v>-1.852605E-3</v>
      </c>
      <c r="Y25" s="6">
        <v>-1.841746E-3</v>
      </c>
      <c r="Z25" s="6">
        <v>1.8885217391304346E-6</v>
      </c>
      <c r="AA25" s="6">
        <v>-2.3807110000000002E-3</v>
      </c>
      <c r="AB25" s="6">
        <v>-2.4085740000000001E-3</v>
      </c>
      <c r="AC25" s="6">
        <v>4.8457391304347713E-6</v>
      </c>
      <c r="AD25" s="6">
        <v>-2.3609289999999999E-3</v>
      </c>
      <c r="AE25" s="6">
        <v>-2.382679E-3</v>
      </c>
      <c r="AF25" s="6">
        <v>3.7826086956521856E-6</v>
      </c>
      <c r="AG25" s="6">
        <v>-1.8397820000000001E-3</v>
      </c>
      <c r="AH25" s="6">
        <v>-1.8222360000000001E-3</v>
      </c>
      <c r="AI25" s="6">
        <v>3.0514782608695672E-6</v>
      </c>
      <c r="AJ25" s="6">
        <v>-2.365322E-3</v>
      </c>
      <c r="AK25" s="6">
        <v>-2.3867060000000002E-3</v>
      </c>
      <c r="AL25" s="6">
        <v>3.7189565217391582E-6</v>
      </c>
      <c r="AM25" s="6">
        <v>-1.837216E-3</v>
      </c>
      <c r="AN25" s="6">
        <v>-1.819878E-3</v>
      </c>
      <c r="AO25" s="6">
        <v>3.0153043478260849E-6</v>
      </c>
      <c r="AP25" s="6">
        <v>-1.6254290000000001E-3</v>
      </c>
      <c r="AQ25" s="6">
        <v>-1.6129600000000001E-3</v>
      </c>
      <c r="AR25" s="6">
        <v>2.1685217391304311E-6</v>
      </c>
      <c r="AS25" s="6">
        <v>-2.146575E-3</v>
      </c>
      <c r="AT25" s="6">
        <v>-2.173403E-3</v>
      </c>
      <c r="AU25" s="6">
        <v>4.6657391304347841E-6</v>
      </c>
      <c r="AV25" s="6">
        <v>-1.621036E-3</v>
      </c>
      <c r="AW25" s="6">
        <v>-1.6089330000000001E-3</v>
      </c>
      <c r="AX25" s="6">
        <v>2.104869565217366E-6</v>
      </c>
      <c r="AY25" s="6">
        <v>-2.1491420000000002E-3</v>
      </c>
      <c r="AZ25" s="6">
        <v>-2.175761E-3</v>
      </c>
      <c r="BA25" s="6">
        <v>4.6293913043478018E-6</v>
      </c>
      <c r="BB25" s="6">
        <v>-2.1293599999999998E-3</v>
      </c>
      <c r="BC25" s="6">
        <v>-2.1498670000000002E-3</v>
      </c>
      <c r="BD25" s="6">
        <v>3.5664347826087541E-6</v>
      </c>
      <c r="BE25" s="6">
        <v>-1.608213E-3</v>
      </c>
      <c r="BF25" s="6">
        <v>-1.589423E-3</v>
      </c>
      <c r="BG25" s="6">
        <v>3.2678260869565359E-6</v>
      </c>
      <c r="BH25" s="6">
        <v>-2.133752E-3</v>
      </c>
      <c r="BI25" s="6">
        <v>-2.153893E-3</v>
      </c>
      <c r="BJ25" s="6">
        <v>3.5027826086956514E-6</v>
      </c>
      <c r="BK25" s="6">
        <v>-1.605647E-3</v>
      </c>
      <c r="BL25" s="6">
        <v>-1.5870649999999999E-3</v>
      </c>
      <c r="BM25" s="6">
        <v>3.231652173913054E-6</v>
      </c>
      <c r="BN25" s="6">
        <v>-2.3035379999999999E-3</v>
      </c>
      <c r="BO25" s="6">
        <v>-2.3053050000000001E-3</v>
      </c>
      <c r="BP25" s="6">
        <v>3.0730434782611732E-7</v>
      </c>
      <c r="BQ25" s="6">
        <v>-2.459882E-3</v>
      </c>
      <c r="BR25" s="6">
        <v>-2.4734380000000001E-3</v>
      </c>
      <c r="BS25" s="6">
        <v>2.357565217391317E-6</v>
      </c>
      <c r="BT25" s="6">
        <v>-2.3022199999999998E-3</v>
      </c>
      <c r="BU25" s="6">
        <v>-2.3040970000000002E-3</v>
      </c>
      <c r="BV25" s="6">
        <v>3.2643478260876324E-7</v>
      </c>
      <c r="BW25" s="6">
        <v>-2.4606519999999998E-3</v>
      </c>
      <c r="BX25" s="6">
        <v>-2.4741450000000001E-3</v>
      </c>
      <c r="BY25" s="6">
        <v>2.3466086956522213E-6</v>
      </c>
      <c r="BZ25" s="6">
        <v>-2.4547169999999999E-3</v>
      </c>
      <c r="CA25" s="6">
        <v>-2.4663770000000001E-3</v>
      </c>
      <c r="CB25" s="6">
        <v>2.0278260869565465E-6</v>
      </c>
      <c r="CC25" s="6">
        <v>-2.2983729999999998E-3</v>
      </c>
      <c r="CD25" s="6">
        <v>-2.2982440000000001E-3</v>
      </c>
      <c r="CE25" s="6">
        <v>2.2434782608652924E-8</v>
      </c>
      <c r="CF25" s="6">
        <v>-2.4560350000000001E-3</v>
      </c>
      <c r="CG25" s="6">
        <v>-2.467585E-3</v>
      </c>
      <c r="CH25" s="6">
        <v>2.0086956521739008E-6</v>
      </c>
      <c r="CI25" s="6">
        <v>-2.297604E-3</v>
      </c>
      <c r="CJ25" s="6">
        <v>-2.2975360000000002E-3</v>
      </c>
      <c r="CK25" s="6">
        <v>1.1826086956481675E-8</v>
      </c>
      <c r="CL25" s="6">
        <v>-1.5316399999999999E-3</v>
      </c>
      <c r="CM25" s="6">
        <v>-1.529262E-3</v>
      </c>
      <c r="CN25" s="6">
        <v>4.1356521739129198E-7</v>
      </c>
      <c r="CO25" s="6">
        <v>-1.687984E-3</v>
      </c>
      <c r="CP25" s="6">
        <v>-1.697395E-3</v>
      </c>
      <c r="CQ25" s="6">
        <v>1.6366956521739076E-6</v>
      </c>
      <c r="CR25" s="6">
        <v>-1.530322E-3</v>
      </c>
      <c r="CS25" s="6">
        <v>-1.528054E-3</v>
      </c>
      <c r="CT25" s="6">
        <v>3.9443478260868375E-7</v>
      </c>
      <c r="CU25" s="6">
        <v>-1.688754E-3</v>
      </c>
      <c r="CV25" s="6">
        <v>-1.6981030000000001E-3</v>
      </c>
      <c r="CW25" s="6">
        <v>1.6259130434782741E-6</v>
      </c>
      <c r="CX25" s="6">
        <v>-1.68282E-3</v>
      </c>
      <c r="CY25" s="6">
        <v>-1.6903339999999999E-3</v>
      </c>
      <c r="CZ25" s="6">
        <v>1.3067826086956374E-6</v>
      </c>
      <c r="DA25" s="6">
        <v>-1.5264759999999999E-3</v>
      </c>
      <c r="DB25" s="6">
        <v>-1.5222009999999999E-3</v>
      </c>
      <c r="DC25" s="6">
        <v>7.4347826086956209E-7</v>
      </c>
      <c r="DD25" s="6">
        <v>-1.684137E-3</v>
      </c>
      <c r="DE25" s="6">
        <v>-1.6915420000000001E-3</v>
      </c>
      <c r="DF25" s="6">
        <v>1.2878260869565291E-6</v>
      </c>
      <c r="DG25" s="6">
        <v>-1.5257059999999999E-3</v>
      </c>
      <c r="DH25" s="6">
        <v>-1.521494E-3</v>
      </c>
      <c r="DI25" s="6">
        <v>7.3252173913042884E-7</v>
      </c>
      <c r="DK25" s="3" t="s">
        <v>31</v>
      </c>
      <c r="DL25" s="4">
        <f>BP1</f>
        <v>2341.30137428749</v>
      </c>
      <c r="DM25" s="5" t="str">
        <f t="shared" si="11"/>
        <v>OK</v>
      </c>
      <c r="DN25" s="6">
        <f>IF('Lines-v8'!DL25=old!DL25,0,1)</f>
        <v>0</v>
      </c>
      <c r="DO25" s="6">
        <f>IF('Result-v12'!E26=old!DL25,0,1)</f>
        <v>1</v>
      </c>
    </row>
    <row r="26" spans="1:119" ht="16.2" thickBot="1" x14ac:dyDescent="0.35">
      <c r="A26" s="13" t="s">
        <v>371</v>
      </c>
      <c r="B26" s="13" t="s">
        <v>288</v>
      </c>
      <c r="C26" s="13" t="s">
        <v>322</v>
      </c>
      <c r="D26" s="13" t="s">
        <v>364</v>
      </c>
      <c r="E26" s="13">
        <v>5.75</v>
      </c>
      <c r="F26" s="6">
        <v>-1.9709939999999998E-3</v>
      </c>
      <c r="G26" s="6">
        <v>-1.4583479999999999E-3</v>
      </c>
      <c r="H26" s="6">
        <v>8.9155826086956499E-5</v>
      </c>
      <c r="I26" s="6">
        <v>-2.7757160000000001E-3</v>
      </c>
      <c r="J26" s="6">
        <v>-1.8308910000000001E-3</v>
      </c>
      <c r="K26" s="6">
        <v>1.6431739130434784E-4</v>
      </c>
      <c r="L26" s="6">
        <v>-2.573297E-3</v>
      </c>
      <c r="M26" s="6">
        <v>-1.85663E-3</v>
      </c>
      <c r="N26" s="6">
        <v>1.2463773913043479E-4</v>
      </c>
      <c r="O26" s="6">
        <v>-3.3493429999999999E-3</v>
      </c>
      <c r="P26" s="6">
        <v>-2.2102950000000001E-3</v>
      </c>
      <c r="Q26" s="6">
        <v>1.9809530434782604E-4</v>
      </c>
      <c r="R26" s="6">
        <v>-3.3419399999999998E-3</v>
      </c>
      <c r="S26" s="6">
        <v>-2.018826E-3</v>
      </c>
      <c r="T26" s="6">
        <v>2.3010678260869562E-4</v>
      </c>
      <c r="U26" s="6">
        <v>-3.8181930000000001E-3</v>
      </c>
      <c r="V26" s="6">
        <v>-2.3322989999999999E-3</v>
      </c>
      <c r="W26" s="6">
        <v>2.5841634782608697E-4</v>
      </c>
      <c r="X26" s="6">
        <v>-3.426686E-3</v>
      </c>
      <c r="Y26" s="6">
        <v>-2.0160080000000001E-3</v>
      </c>
      <c r="Z26" s="6">
        <v>2.4533530434782608E-4</v>
      </c>
      <c r="AA26" s="6">
        <v>-3.7664439999999999E-3</v>
      </c>
      <c r="AB26" s="6">
        <v>-2.4073369999999998E-3</v>
      </c>
      <c r="AC26" s="6">
        <v>2.3636643478260871E-4</v>
      </c>
      <c r="AD26" s="6">
        <v>-3.1135989999999999E-3</v>
      </c>
      <c r="AE26" s="6">
        <v>-2.2594960000000002E-3</v>
      </c>
      <c r="AF26" s="6">
        <v>1.4853965217391299E-4</v>
      </c>
      <c r="AG26" s="6">
        <v>-2.6398010000000002E-3</v>
      </c>
      <c r="AH26" s="6">
        <v>-1.8726350000000001E-3</v>
      </c>
      <c r="AI26" s="6">
        <v>1.3342017391304351E-4</v>
      </c>
      <c r="AJ26" s="6">
        <v>-3.0288530000000002E-3</v>
      </c>
      <c r="AK26" s="6">
        <v>-2.2623140000000001E-3</v>
      </c>
      <c r="AL26" s="6">
        <v>1.3331113043478263E-4</v>
      </c>
      <c r="AM26" s="6">
        <v>-2.6890949999999999E-3</v>
      </c>
      <c r="AN26" s="6">
        <v>-1.8709849999999999E-3</v>
      </c>
      <c r="AO26" s="6">
        <v>1.4228E-4</v>
      </c>
      <c r="AP26" s="6">
        <v>-3.011461E-3</v>
      </c>
      <c r="AQ26" s="6">
        <v>-1.7816889999999999E-3</v>
      </c>
      <c r="AR26" s="6">
        <v>2.1387339130434784E-4</v>
      </c>
      <c r="AS26" s="6">
        <v>-3.4852580000000002E-3</v>
      </c>
      <c r="AT26" s="6">
        <v>-2.16855E-3</v>
      </c>
      <c r="AU26" s="6">
        <v>2.2899269565217396E-4</v>
      </c>
      <c r="AV26" s="6">
        <v>-3.0962070000000001E-3</v>
      </c>
      <c r="AW26" s="6">
        <v>-1.778871E-3</v>
      </c>
      <c r="AX26" s="6">
        <v>2.2910191304347828E-4</v>
      </c>
      <c r="AY26" s="6">
        <v>-3.435965E-3</v>
      </c>
      <c r="AZ26" s="6">
        <v>-2.1702000000000002E-3</v>
      </c>
      <c r="BA26" s="6">
        <v>2.2013304347826086E-4</v>
      </c>
      <c r="BB26" s="6">
        <v>-2.78312E-3</v>
      </c>
      <c r="BC26" s="6">
        <v>-2.02236E-3</v>
      </c>
      <c r="BD26" s="6">
        <v>1.3230608695652177E-4</v>
      </c>
      <c r="BE26" s="6">
        <v>-2.3093229999999998E-3</v>
      </c>
      <c r="BF26" s="6">
        <v>-1.635498E-3</v>
      </c>
      <c r="BG26" s="6">
        <v>1.1718695652173911E-4</v>
      </c>
      <c r="BH26" s="6">
        <v>-2.6983739999999999E-3</v>
      </c>
      <c r="BI26" s="6">
        <v>-2.025177E-3</v>
      </c>
      <c r="BJ26" s="6">
        <v>1.1707773913043477E-4</v>
      </c>
      <c r="BK26" s="6">
        <v>-2.358616E-3</v>
      </c>
      <c r="BL26" s="6">
        <v>-1.633848E-3</v>
      </c>
      <c r="BM26" s="6">
        <v>1.2604660869565217E-4</v>
      </c>
      <c r="BN26" s="6">
        <v>-3.6475790000000002E-3</v>
      </c>
      <c r="BO26" s="6">
        <v>-2.379721E-3</v>
      </c>
      <c r="BP26" s="6">
        <v>2.2049704347826089E-4</v>
      </c>
      <c r="BQ26" s="6">
        <v>-3.7897180000000001E-3</v>
      </c>
      <c r="BR26" s="6">
        <v>-2.4957790000000001E-3</v>
      </c>
      <c r="BS26" s="6">
        <v>2.2503286956521739E-4</v>
      </c>
      <c r="BT26" s="6">
        <v>-3.6730030000000002E-3</v>
      </c>
      <c r="BU26" s="6">
        <v>-2.3788749999999999E-3</v>
      </c>
      <c r="BV26" s="6">
        <v>2.2506573913043482E-4</v>
      </c>
      <c r="BW26" s="6">
        <v>-3.7749300000000001E-3</v>
      </c>
      <c r="BX26" s="6">
        <v>-2.4962740000000001E-3</v>
      </c>
      <c r="BY26" s="6">
        <v>2.2237495652173913E-4</v>
      </c>
      <c r="BZ26" s="6">
        <v>-3.579077E-3</v>
      </c>
      <c r="CA26" s="6">
        <v>-2.451922E-3</v>
      </c>
      <c r="CB26" s="6">
        <v>1.9602695652173912E-4</v>
      </c>
      <c r="CC26" s="6">
        <v>-3.4369370000000002E-3</v>
      </c>
      <c r="CD26" s="6">
        <v>-2.3358630000000001E-3</v>
      </c>
      <c r="CE26" s="6">
        <v>1.9149113043478262E-4</v>
      </c>
      <c r="CF26" s="6">
        <v>-3.5536529999999999E-3</v>
      </c>
      <c r="CG26" s="6">
        <v>-2.4527669999999998E-3</v>
      </c>
      <c r="CH26" s="6">
        <v>1.9145843478260872E-4</v>
      </c>
      <c r="CI26" s="6">
        <v>-3.4517250000000001E-3</v>
      </c>
      <c r="CJ26" s="6">
        <v>-2.335368E-3</v>
      </c>
      <c r="CK26" s="6">
        <v>1.9414904347826088E-4</v>
      </c>
      <c r="CL26" s="6">
        <v>-2.5459829999999999E-3</v>
      </c>
      <c r="CM26" s="6">
        <v>-1.589264E-3</v>
      </c>
      <c r="CN26" s="6">
        <v>1.6638591304347827E-4</v>
      </c>
      <c r="CO26" s="6">
        <v>-2.6881219999999998E-3</v>
      </c>
      <c r="CP26" s="6">
        <v>-1.705322E-3</v>
      </c>
      <c r="CQ26" s="6">
        <v>1.7092173913043474E-4</v>
      </c>
      <c r="CR26" s="6">
        <v>-2.5714069999999999E-3</v>
      </c>
      <c r="CS26" s="6">
        <v>-1.5884180000000001E-3</v>
      </c>
      <c r="CT26" s="6">
        <v>1.7095460869565214E-4</v>
      </c>
      <c r="CU26" s="6">
        <v>-2.6733339999999999E-3</v>
      </c>
      <c r="CV26" s="6">
        <v>-1.7058170000000001E-3</v>
      </c>
      <c r="CW26" s="6">
        <v>1.6826382608695647E-4</v>
      </c>
      <c r="CX26" s="6">
        <v>-2.4774810000000001E-3</v>
      </c>
      <c r="CY26" s="6">
        <v>-1.661465E-3</v>
      </c>
      <c r="CZ26" s="6">
        <v>1.4191582608695654E-4</v>
      </c>
      <c r="DA26" s="6">
        <v>-2.3353419999999998E-3</v>
      </c>
      <c r="DB26" s="6">
        <v>-1.5454069999999999E-3</v>
      </c>
      <c r="DC26" s="6">
        <v>1.3737999999999996E-4</v>
      </c>
      <c r="DD26" s="6">
        <v>-2.4520570000000001E-3</v>
      </c>
      <c r="DE26" s="6">
        <v>-1.66231E-3</v>
      </c>
      <c r="DF26" s="6">
        <v>1.3734730434782611E-4</v>
      </c>
      <c r="DG26" s="6">
        <v>-2.3501300000000002E-3</v>
      </c>
      <c r="DH26" s="6">
        <v>-1.5449120000000001E-3</v>
      </c>
      <c r="DI26" s="6">
        <v>1.4003791304347828E-4</v>
      </c>
      <c r="DK26" s="3" t="s">
        <v>32</v>
      </c>
      <c r="DL26" s="4">
        <f>BS1</f>
        <v>2412.4148799028662</v>
      </c>
      <c r="DM26" s="5" t="str">
        <f t="shared" si="11"/>
        <v>OK</v>
      </c>
      <c r="DN26" s="6">
        <f>IF('Lines-v8'!DL26=old!DL26,0,1)</f>
        <v>0</v>
      </c>
      <c r="DO26" s="6">
        <f>IF('Result-v12'!E27=old!DL26,0,1)</f>
        <v>1</v>
      </c>
    </row>
    <row r="27" spans="1:119" ht="16.2" thickBot="1" x14ac:dyDescent="0.35">
      <c r="A27" s="13" t="s">
        <v>372</v>
      </c>
      <c r="B27" s="13" t="s">
        <v>93</v>
      </c>
      <c r="C27" s="13" t="s">
        <v>94</v>
      </c>
      <c r="D27" s="13" t="s">
        <v>364</v>
      </c>
      <c r="E27" s="13">
        <v>8.3000000000000007</v>
      </c>
      <c r="F27" s="6">
        <v>-1.9818570000000001E-3</v>
      </c>
      <c r="G27" s="6">
        <v>-2.6743100000000001E-3</v>
      </c>
      <c r="H27" s="6">
        <v>8.3428072289156623E-5</v>
      </c>
      <c r="I27" s="6">
        <v>-2.9082959999999999E-3</v>
      </c>
      <c r="J27" s="6">
        <v>-3.804932E-3</v>
      </c>
      <c r="K27" s="6">
        <v>1.0802843373493977E-4</v>
      </c>
      <c r="L27" s="6">
        <v>-2.612783E-3</v>
      </c>
      <c r="M27" s="6">
        <v>-3.2841609999999999E-3</v>
      </c>
      <c r="N27" s="6">
        <v>8.0888915662650576E-5</v>
      </c>
      <c r="O27" s="6">
        <v>-3.497923E-3</v>
      </c>
      <c r="P27" s="6">
        <v>-4.3874990000000004E-3</v>
      </c>
      <c r="Q27" s="6">
        <v>1.0717783132530125E-4</v>
      </c>
      <c r="R27" s="6">
        <v>-2.630715E-3</v>
      </c>
      <c r="S27" s="6">
        <v>-4.4731090000000003E-3</v>
      </c>
      <c r="T27" s="6">
        <v>2.2197518072289158E-4</v>
      </c>
      <c r="U27" s="6">
        <v>-3.3615889999999999E-3</v>
      </c>
      <c r="V27" s="6">
        <v>-4.3176400000000002E-3</v>
      </c>
      <c r="W27" s="6">
        <v>1.1518686746987954E-4</v>
      </c>
      <c r="X27" s="6">
        <v>-2.7583109999999998E-3</v>
      </c>
      <c r="Y27" s="6">
        <v>-4.4445810000000004E-3</v>
      </c>
      <c r="Z27" s="6">
        <v>2.0316506024096391E-4</v>
      </c>
      <c r="AA27" s="6">
        <v>-3.2899000000000001E-3</v>
      </c>
      <c r="AB27" s="6">
        <v>-4.3344739999999996E-3</v>
      </c>
      <c r="AC27" s="6">
        <v>1.2585228915662643E-4</v>
      </c>
      <c r="AD27" s="6">
        <v>-4.1115709999999996E-3</v>
      </c>
      <c r="AE27" s="6">
        <v>-4.1354E-3</v>
      </c>
      <c r="AF27" s="6">
        <v>2.870963855421733E-6</v>
      </c>
      <c r="AG27" s="6">
        <v>-3.3782230000000001E-3</v>
      </c>
      <c r="AH27" s="6">
        <v>-4.2908879999999996E-3</v>
      </c>
      <c r="AI27" s="6">
        <v>1.0995963855421681E-4</v>
      </c>
      <c r="AJ27" s="6">
        <v>-3.9839749999999998E-3</v>
      </c>
      <c r="AK27" s="6">
        <v>-4.1639279999999999E-3</v>
      </c>
      <c r="AL27" s="6">
        <v>2.1681084337349402E-5</v>
      </c>
      <c r="AM27" s="6">
        <v>-3.4523869999999999E-3</v>
      </c>
      <c r="AN27" s="6">
        <v>-4.2740349999999998E-3</v>
      </c>
      <c r="AO27" s="6">
        <v>9.8993734939759013E-5</v>
      </c>
      <c r="AP27" s="6">
        <v>-2.294903E-3</v>
      </c>
      <c r="AQ27" s="6">
        <v>-4.0569869999999997E-3</v>
      </c>
      <c r="AR27" s="6">
        <v>2.1229927710843369E-4</v>
      </c>
      <c r="AS27" s="6">
        <v>-3.028251E-3</v>
      </c>
      <c r="AT27" s="6">
        <v>-3.9014990000000001E-3</v>
      </c>
      <c r="AU27" s="6">
        <v>1.0521060240963856E-4</v>
      </c>
      <c r="AV27" s="6">
        <v>-2.4224989999999998E-3</v>
      </c>
      <c r="AW27" s="6">
        <v>-4.0284580000000004E-3</v>
      </c>
      <c r="AX27" s="6">
        <v>1.9348903614457836E-4</v>
      </c>
      <c r="AY27" s="6">
        <v>-2.9540870000000002E-3</v>
      </c>
      <c r="AZ27" s="6">
        <v>-3.9183509999999996E-3</v>
      </c>
      <c r="BA27" s="6">
        <v>1.1617638554216859E-4</v>
      </c>
      <c r="BB27" s="6">
        <v>-3.7757590000000001E-3</v>
      </c>
      <c r="BC27" s="6">
        <v>-3.7192779999999999E-3</v>
      </c>
      <c r="BD27" s="6">
        <v>6.8049397590361621E-6</v>
      </c>
      <c r="BE27" s="6">
        <v>-3.0424100000000002E-3</v>
      </c>
      <c r="BF27" s="6">
        <v>-3.8747650000000001E-3</v>
      </c>
      <c r="BG27" s="6">
        <v>1.0028373493975901E-4</v>
      </c>
      <c r="BH27" s="6">
        <v>-3.6481629999999998E-3</v>
      </c>
      <c r="BI27" s="6">
        <v>-3.7478059999999998E-3</v>
      </c>
      <c r="BJ27" s="6">
        <v>1.200518072289156E-5</v>
      </c>
      <c r="BK27" s="6">
        <v>-3.116574E-3</v>
      </c>
      <c r="BL27" s="6">
        <v>-3.8579130000000001E-3</v>
      </c>
      <c r="BM27" s="6">
        <v>8.9317951807228925E-5</v>
      </c>
      <c r="BN27" s="6">
        <v>-3.5407960000000001E-3</v>
      </c>
      <c r="BO27" s="6">
        <v>-4.8403869999999998E-3</v>
      </c>
      <c r="BP27" s="6">
        <v>1.565772289156626E-4</v>
      </c>
      <c r="BQ27" s="6">
        <v>-3.7607999999999999E-3</v>
      </c>
      <c r="BR27" s="6">
        <v>-4.7937400000000003E-3</v>
      </c>
      <c r="BS27" s="6">
        <v>1.244506024096386E-4</v>
      </c>
      <c r="BT27" s="6">
        <v>-3.5790739999999998E-3</v>
      </c>
      <c r="BU27" s="6">
        <v>-4.8318279999999998E-3</v>
      </c>
      <c r="BV27" s="6">
        <v>1.5093421686746987E-4</v>
      </c>
      <c r="BW27" s="6">
        <v>-3.7385510000000001E-3</v>
      </c>
      <c r="BX27" s="6">
        <v>-4.7987960000000001E-3</v>
      </c>
      <c r="BY27" s="6">
        <v>1.2774036144578313E-4</v>
      </c>
      <c r="BZ27" s="6">
        <v>-3.9850520000000002E-3</v>
      </c>
      <c r="CA27" s="6">
        <v>-4.7390740000000002E-3</v>
      </c>
      <c r="CB27" s="6">
        <v>9.0846024096385535E-5</v>
      </c>
      <c r="CC27" s="6">
        <v>-3.765048E-3</v>
      </c>
      <c r="CD27" s="6">
        <v>-4.7857200000000003E-3</v>
      </c>
      <c r="CE27" s="6">
        <v>1.2297253012048194E-4</v>
      </c>
      <c r="CF27" s="6">
        <v>-3.9467740000000001E-3</v>
      </c>
      <c r="CG27" s="6">
        <v>-4.7476319999999999E-3</v>
      </c>
      <c r="CH27" s="6">
        <v>9.6488915662650563E-5</v>
      </c>
      <c r="CI27" s="6">
        <v>-3.7872969999999998E-3</v>
      </c>
      <c r="CJ27" s="6">
        <v>-4.7806649999999999E-3</v>
      </c>
      <c r="CK27" s="6">
        <v>1.1968289156626507E-4</v>
      </c>
      <c r="CL27" s="6">
        <v>-2.421421E-3</v>
      </c>
      <c r="CM27" s="6">
        <v>-3.453313E-3</v>
      </c>
      <c r="CN27" s="6">
        <v>1.2432433734939759E-4</v>
      </c>
      <c r="CO27" s="6">
        <v>-2.6414260000000001E-3</v>
      </c>
      <c r="CP27" s="6">
        <v>-3.4066669999999999E-3</v>
      </c>
      <c r="CQ27" s="6">
        <v>9.2197710843373461E-5</v>
      </c>
      <c r="CR27" s="6">
        <v>-2.4597E-3</v>
      </c>
      <c r="CS27" s="6">
        <v>-3.4447549999999999E-3</v>
      </c>
      <c r="CT27" s="6">
        <v>1.1868132530120479E-4</v>
      </c>
      <c r="CU27" s="6">
        <v>-2.6191769999999999E-3</v>
      </c>
      <c r="CV27" s="6">
        <v>-3.4117219999999998E-3</v>
      </c>
      <c r="CW27" s="6">
        <v>9.5487349397590344E-5</v>
      </c>
      <c r="CX27" s="6">
        <v>-2.865678E-3</v>
      </c>
      <c r="CY27" s="6">
        <v>-3.3519999999999999E-3</v>
      </c>
      <c r="CZ27" s="6">
        <v>5.8593012048192765E-5</v>
      </c>
      <c r="DA27" s="6">
        <v>-2.6456740000000002E-3</v>
      </c>
      <c r="DB27" s="6">
        <v>-3.3986469999999999E-3</v>
      </c>
      <c r="DC27" s="6">
        <v>9.0719638554216824E-5</v>
      </c>
      <c r="DD27" s="6">
        <v>-2.8273999999999999E-3</v>
      </c>
      <c r="DE27" s="6">
        <v>-3.3605589999999999E-3</v>
      </c>
      <c r="DF27" s="6">
        <v>6.4236024096385545E-5</v>
      </c>
      <c r="DG27" s="6">
        <v>-2.667923E-3</v>
      </c>
      <c r="DH27" s="6">
        <v>-3.3935910000000001E-3</v>
      </c>
      <c r="DI27" s="6">
        <v>8.7429879518072283E-5</v>
      </c>
      <c r="DK27" s="3" t="s">
        <v>33</v>
      </c>
      <c r="DL27" s="4">
        <f>BV1</f>
        <v>2339.3400445523089</v>
      </c>
      <c r="DM27" s="5" t="str">
        <f t="shared" si="11"/>
        <v>OK</v>
      </c>
      <c r="DN27" s="6">
        <f>IF('Lines-v8'!DL27=old!DL27,0,1)</f>
        <v>0</v>
      </c>
      <c r="DO27" s="6">
        <f>IF('Result-v12'!E28=old!DL27,0,1)</f>
        <v>1</v>
      </c>
    </row>
    <row r="28" spans="1:119" ht="16.2" thickBot="1" x14ac:dyDescent="0.35">
      <c r="A28" s="13" t="s">
        <v>373</v>
      </c>
      <c r="B28" s="13" t="s">
        <v>129</v>
      </c>
      <c r="C28" s="13" t="s">
        <v>130</v>
      </c>
      <c r="D28" s="13" t="s">
        <v>364</v>
      </c>
      <c r="E28" s="13">
        <v>8.3000000000000007</v>
      </c>
      <c r="F28" s="6">
        <v>-2.1475750000000001E-3</v>
      </c>
      <c r="G28" s="6">
        <v>-2.8426789999999999E-3</v>
      </c>
      <c r="H28" s="6">
        <v>8.3747469879518036E-5</v>
      </c>
      <c r="I28" s="6">
        <v>-3.0993570000000001E-3</v>
      </c>
      <c r="J28" s="6">
        <v>-4.0099350000000001E-3</v>
      </c>
      <c r="K28" s="6">
        <v>1.0970819277108433E-4</v>
      </c>
      <c r="L28" s="6">
        <v>-2.7614979999999998E-3</v>
      </c>
      <c r="M28" s="6">
        <v>-3.4411070000000001E-3</v>
      </c>
      <c r="N28" s="6">
        <v>8.188060240963858E-5</v>
      </c>
      <c r="O28" s="6">
        <v>-3.6772829999999999E-3</v>
      </c>
      <c r="P28" s="6">
        <v>-4.5811430000000002E-3</v>
      </c>
      <c r="Q28" s="6">
        <v>1.0889879518072292E-4</v>
      </c>
      <c r="R28" s="6">
        <v>-2.8227069999999998E-3</v>
      </c>
      <c r="S28" s="6">
        <v>-4.6742850000000002E-3</v>
      </c>
      <c r="T28" s="6">
        <v>2.2308168674698797E-4</v>
      </c>
      <c r="U28" s="6">
        <v>-3.5627520000000002E-3</v>
      </c>
      <c r="V28" s="6">
        <v>-4.5243469999999997E-3</v>
      </c>
      <c r="W28" s="6">
        <v>1.1585481927710837E-4</v>
      </c>
      <c r="X28" s="6">
        <v>-2.8897749999999998E-3</v>
      </c>
      <c r="Y28" s="6">
        <v>-4.6605639999999999E-3</v>
      </c>
      <c r="Z28" s="6">
        <v>2.1334807228915663E-4</v>
      </c>
      <c r="AA28" s="6">
        <v>-3.5254819999999999E-3</v>
      </c>
      <c r="AB28" s="6">
        <v>-4.5313150000000002E-3</v>
      </c>
      <c r="AC28" s="6">
        <v>1.2118469879518075E-4</v>
      </c>
      <c r="AD28" s="6">
        <v>-4.3072099999999997E-3</v>
      </c>
      <c r="AE28" s="6">
        <v>-4.3513049999999998E-3</v>
      </c>
      <c r="AF28" s="6">
        <v>5.3126506024096465E-6</v>
      </c>
      <c r="AG28" s="6">
        <v>-3.5654620000000001E-3</v>
      </c>
      <c r="AH28" s="6">
        <v>-4.5024030000000003E-3</v>
      </c>
      <c r="AI28" s="6">
        <v>1.1288445783132531E-4</v>
      </c>
      <c r="AJ28" s="6">
        <v>-4.2401410000000002E-3</v>
      </c>
      <c r="AK28" s="6">
        <v>-4.3650260000000001E-3</v>
      </c>
      <c r="AL28" s="6">
        <v>1.5046385542168665E-5</v>
      </c>
      <c r="AM28" s="6">
        <v>-3.604435E-3</v>
      </c>
      <c r="AN28" s="6">
        <v>-4.4942749999999998E-3</v>
      </c>
      <c r="AO28" s="6">
        <v>1.0720963855421684E-4</v>
      </c>
      <c r="AP28" s="6">
        <v>-2.4694840000000001E-3</v>
      </c>
      <c r="AQ28" s="6">
        <v>-4.2397600000000004E-3</v>
      </c>
      <c r="AR28" s="6">
        <v>2.1328626506024099E-4</v>
      </c>
      <c r="AS28" s="6">
        <v>-3.2112310000000002E-3</v>
      </c>
      <c r="AT28" s="6">
        <v>-4.0886630000000002E-3</v>
      </c>
      <c r="AU28" s="6">
        <v>1.0571469879518072E-4</v>
      </c>
      <c r="AV28" s="6">
        <v>-2.5365520000000001E-3</v>
      </c>
      <c r="AW28" s="6">
        <v>-4.226039E-3</v>
      </c>
      <c r="AX28" s="6">
        <v>2.0355265060240961E-4</v>
      </c>
      <c r="AY28" s="6">
        <v>-3.1722590000000002E-3</v>
      </c>
      <c r="AZ28" s="6">
        <v>-4.0967900000000003E-3</v>
      </c>
      <c r="BA28" s="6">
        <v>1.1138927710843375E-4</v>
      </c>
      <c r="BB28" s="6">
        <v>-3.9539859999999996E-3</v>
      </c>
      <c r="BC28" s="6">
        <v>-3.9167799999999999E-3</v>
      </c>
      <c r="BD28" s="6">
        <v>4.4826506024096019E-6</v>
      </c>
      <c r="BE28" s="6">
        <v>-3.212239E-3</v>
      </c>
      <c r="BF28" s="6">
        <v>-4.0678779999999996E-3</v>
      </c>
      <c r="BG28" s="6">
        <v>1.0308903614457826E-4</v>
      </c>
      <c r="BH28" s="6">
        <v>-3.8869180000000001E-3</v>
      </c>
      <c r="BI28" s="6">
        <v>-3.9305010000000003E-3</v>
      </c>
      <c r="BJ28" s="6">
        <v>5.2509638554217166E-6</v>
      </c>
      <c r="BK28" s="6">
        <v>-3.2512119999999999E-3</v>
      </c>
      <c r="BL28" s="6">
        <v>-4.05975E-3</v>
      </c>
      <c r="BM28" s="6">
        <v>9.7414216867469891E-5</v>
      </c>
      <c r="BN28" s="6">
        <v>-3.7543770000000001E-3</v>
      </c>
      <c r="BO28" s="6">
        <v>-5.0681880000000004E-3</v>
      </c>
      <c r="BP28" s="6">
        <v>1.5829048192771085E-4</v>
      </c>
      <c r="BQ28" s="6">
        <v>-3.9769009999999997E-3</v>
      </c>
      <c r="BR28" s="6">
        <v>-5.0228590000000002E-3</v>
      </c>
      <c r="BS28" s="6">
        <v>1.2601903614457835E-4</v>
      </c>
      <c r="BT28" s="6">
        <v>-3.7744969999999999E-3</v>
      </c>
      <c r="BU28" s="6">
        <v>-5.0640720000000002E-3</v>
      </c>
      <c r="BV28" s="6">
        <v>1.5537048192771087E-4</v>
      </c>
      <c r="BW28" s="6">
        <v>-3.9652089999999999E-3</v>
      </c>
      <c r="BX28" s="6">
        <v>-5.0252969999999998E-3</v>
      </c>
      <c r="BY28" s="6">
        <v>1.2772144578313249E-4</v>
      </c>
      <c r="BZ28" s="6">
        <v>-4.1997270000000003E-3</v>
      </c>
      <c r="CA28" s="6">
        <v>-4.9712940000000002E-3</v>
      </c>
      <c r="CB28" s="6">
        <v>9.2959879518072266E-5</v>
      </c>
      <c r="CC28" s="6">
        <v>-3.9772030000000003E-3</v>
      </c>
      <c r="CD28" s="6">
        <v>-5.0166229999999996E-3</v>
      </c>
      <c r="CE28" s="6">
        <v>1.2523132530120471E-4</v>
      </c>
      <c r="CF28" s="6">
        <v>-4.1796070000000001E-3</v>
      </c>
      <c r="CG28" s="6">
        <v>-4.9754100000000004E-3</v>
      </c>
      <c r="CH28" s="6">
        <v>9.5879879518072312E-5</v>
      </c>
      <c r="CI28" s="6">
        <v>-3.9888950000000001E-3</v>
      </c>
      <c r="CJ28" s="6">
        <v>-5.014185E-3</v>
      </c>
      <c r="CK28" s="6">
        <v>1.2352891566265057E-4</v>
      </c>
      <c r="CL28" s="6">
        <v>-2.576966E-3</v>
      </c>
      <c r="CM28" s="6">
        <v>-3.6197709999999999E-3</v>
      </c>
      <c r="CN28" s="6">
        <v>1.2563915662650602E-4</v>
      </c>
      <c r="CO28" s="6">
        <v>-2.79949E-3</v>
      </c>
      <c r="CP28" s="6">
        <v>-3.5744420000000002E-3</v>
      </c>
      <c r="CQ28" s="6">
        <v>9.3367710843373505E-5</v>
      </c>
      <c r="CR28" s="6">
        <v>-2.5970860000000002E-3</v>
      </c>
      <c r="CS28" s="6">
        <v>-3.6156550000000002E-3</v>
      </c>
      <c r="CT28" s="6">
        <v>1.2271915662650601E-4</v>
      </c>
      <c r="CU28" s="6">
        <v>-2.7877980000000002E-3</v>
      </c>
      <c r="CV28" s="6">
        <v>-3.5768800000000002E-3</v>
      </c>
      <c r="CW28" s="6">
        <v>9.5070120481927694E-5</v>
      </c>
      <c r="CX28" s="6">
        <v>-3.0223170000000001E-3</v>
      </c>
      <c r="CY28" s="6">
        <v>-3.5228770000000002E-3</v>
      </c>
      <c r="CZ28" s="6">
        <v>6.0308433734939775E-5</v>
      </c>
      <c r="DA28" s="6">
        <v>-2.7997920000000002E-3</v>
      </c>
      <c r="DB28" s="6">
        <v>-3.568206E-3</v>
      </c>
      <c r="DC28" s="6">
        <v>9.2579999999999971E-5</v>
      </c>
      <c r="DD28" s="6">
        <v>-3.0021959999999999E-3</v>
      </c>
      <c r="DE28" s="6">
        <v>-3.5269939999999999E-3</v>
      </c>
      <c r="DF28" s="6">
        <v>6.3228674698795163E-5</v>
      </c>
      <c r="DG28" s="6">
        <v>-2.8114839999999999E-3</v>
      </c>
      <c r="DH28" s="6">
        <v>-3.565768E-3</v>
      </c>
      <c r="DI28" s="6">
        <v>9.0877590361445782E-5</v>
      </c>
      <c r="DK28" s="3" t="s">
        <v>34</v>
      </c>
      <c r="DL28" s="4">
        <f>BY1</f>
        <v>2413.617782744855</v>
      </c>
      <c r="DM28" s="5" t="str">
        <f t="shared" si="11"/>
        <v>OK</v>
      </c>
      <c r="DN28" s="6">
        <f>IF('Lines-v8'!DL28=old!DL28,0,1)</f>
        <v>0</v>
      </c>
      <c r="DO28" s="6">
        <f>IF('Result-v12'!E29=old!DL28,0,1)</f>
        <v>1</v>
      </c>
    </row>
    <row r="29" spans="1:119" ht="16.2" thickBot="1" x14ac:dyDescent="0.35">
      <c r="A29" s="13" t="s">
        <v>374</v>
      </c>
      <c r="B29" s="13" t="s">
        <v>58</v>
      </c>
      <c r="C29" s="13" t="s">
        <v>59</v>
      </c>
      <c r="D29" s="13" t="s">
        <v>350</v>
      </c>
      <c r="E29" s="13">
        <v>8.3000000000000007</v>
      </c>
      <c r="F29" s="6">
        <v>-3.2207500000000001E-3</v>
      </c>
      <c r="G29" s="6">
        <v>-3.6643940000000001E-3</v>
      </c>
      <c r="H29" s="6">
        <v>5.3451084337349394E-5</v>
      </c>
      <c r="I29" s="6">
        <v>-3.9649459999999996E-3</v>
      </c>
      <c r="J29" s="6">
        <v>-4.489514E-3</v>
      </c>
      <c r="K29" s="6">
        <v>6.3200963855421737E-5</v>
      </c>
      <c r="L29" s="6">
        <v>-3.598955E-3</v>
      </c>
      <c r="M29" s="6">
        <v>-4.039768E-3</v>
      </c>
      <c r="N29" s="6">
        <v>5.3109999999999991E-5</v>
      </c>
      <c r="O29" s="6">
        <v>-4.326753E-3</v>
      </c>
      <c r="P29" s="6">
        <v>-4.8478660000000002E-3</v>
      </c>
      <c r="Q29" s="6">
        <v>6.2784698795180738E-5</v>
      </c>
      <c r="R29" s="6">
        <v>-3.9183259999999998E-3</v>
      </c>
      <c r="S29" s="6">
        <v>-4.7287220000000003E-3</v>
      </c>
      <c r="T29" s="6">
        <v>9.7638072289156678E-5</v>
      </c>
      <c r="U29" s="6">
        <v>-3.4161080000000002E-3</v>
      </c>
      <c r="V29" s="6">
        <v>-3.8582500000000001E-3</v>
      </c>
      <c r="W29" s="6">
        <v>5.3270120481927701E-5</v>
      </c>
      <c r="X29" s="6">
        <v>-3.9411899999999998E-3</v>
      </c>
      <c r="Y29" s="6">
        <v>-4.7320510000000001E-3</v>
      </c>
      <c r="Z29" s="6">
        <v>9.5284457831325332E-5</v>
      </c>
      <c r="AA29" s="6">
        <v>-3.3939579999999999E-3</v>
      </c>
      <c r="AB29" s="6">
        <v>-3.827563E-3</v>
      </c>
      <c r="AC29" s="6">
        <v>5.224156626506025E-5</v>
      </c>
      <c r="AD29" s="6">
        <v>-4.8188780000000004E-3</v>
      </c>
      <c r="AE29" s="6">
        <v>-5.106953E-3</v>
      </c>
      <c r="AF29" s="6">
        <v>3.4707831325301158E-5</v>
      </c>
      <c r="AG29" s="6">
        <v>-5.3300129999999998E-3</v>
      </c>
      <c r="AH29" s="6">
        <v>-6.0062520000000001E-3</v>
      </c>
      <c r="AI29" s="6">
        <v>8.1474578313253052E-5</v>
      </c>
      <c r="AJ29" s="6">
        <v>-4.7960140000000004E-3</v>
      </c>
      <c r="AK29" s="6">
        <v>-5.1036229999999998E-3</v>
      </c>
      <c r="AL29" s="6">
        <v>3.7061325301204752E-5</v>
      </c>
      <c r="AM29" s="6">
        <v>-5.3432460000000003E-3</v>
      </c>
      <c r="AN29" s="6">
        <v>-6.008111E-3</v>
      </c>
      <c r="AO29" s="6">
        <v>8.0104216867469841E-5</v>
      </c>
      <c r="AP29" s="6">
        <v>-3.4727730000000002E-3</v>
      </c>
      <c r="AQ29" s="6">
        <v>-4.2304029999999998E-3</v>
      </c>
      <c r="AR29" s="6">
        <v>9.1280722891566208E-5</v>
      </c>
      <c r="AS29" s="6">
        <v>-2.9616379999999999E-3</v>
      </c>
      <c r="AT29" s="6">
        <v>-3.3311040000000001E-3</v>
      </c>
      <c r="AU29" s="6">
        <v>4.451397590361447E-5</v>
      </c>
      <c r="AV29" s="6">
        <v>-3.4956380000000001E-3</v>
      </c>
      <c r="AW29" s="6">
        <v>-4.2337329999999999E-3</v>
      </c>
      <c r="AX29" s="6">
        <v>8.8927108433734903E-5</v>
      </c>
      <c r="AY29" s="6">
        <v>-2.9484049999999999E-3</v>
      </c>
      <c r="AZ29" s="6">
        <v>-3.3292439999999999E-3</v>
      </c>
      <c r="BA29" s="6">
        <v>4.5884216867469874E-5</v>
      </c>
      <c r="BB29" s="6">
        <v>-4.3733260000000003E-3</v>
      </c>
      <c r="BC29" s="6">
        <v>-4.6086340000000003E-3</v>
      </c>
      <c r="BD29" s="6">
        <v>2.8350361445783136E-5</v>
      </c>
      <c r="BE29" s="6">
        <v>-4.8844600000000002E-3</v>
      </c>
      <c r="BF29" s="6">
        <v>-5.5079329999999996E-3</v>
      </c>
      <c r="BG29" s="6">
        <v>7.5117228915662568E-5</v>
      </c>
      <c r="BH29" s="6">
        <v>-4.3504609999999999E-3</v>
      </c>
      <c r="BI29" s="6">
        <v>-4.6053040000000002E-3</v>
      </c>
      <c r="BJ29" s="6">
        <v>3.0703975903614485E-5</v>
      </c>
      <c r="BK29" s="6">
        <v>-4.8976929999999998E-3</v>
      </c>
      <c r="BL29" s="6">
        <v>-5.5097929999999998E-3</v>
      </c>
      <c r="BM29" s="6">
        <v>7.3746987951807218E-5</v>
      </c>
      <c r="BN29" s="6">
        <v>-4.7533310000000004E-3</v>
      </c>
      <c r="BO29" s="6">
        <v>-5.4424749999999996E-3</v>
      </c>
      <c r="BP29" s="6">
        <v>8.3029397590361344E-5</v>
      </c>
      <c r="BQ29" s="6">
        <v>-4.59999E-3</v>
      </c>
      <c r="BR29" s="6">
        <v>-5.1726849999999998E-3</v>
      </c>
      <c r="BS29" s="6">
        <v>6.8999397590361412E-5</v>
      </c>
      <c r="BT29" s="6">
        <v>-4.7601900000000001E-3</v>
      </c>
      <c r="BU29" s="6">
        <v>-5.4434740000000002E-3</v>
      </c>
      <c r="BV29" s="6">
        <v>8.2323373493975918E-5</v>
      </c>
      <c r="BW29" s="6">
        <v>-4.5960200000000001E-3</v>
      </c>
      <c r="BX29" s="6">
        <v>-5.1721270000000003E-3</v>
      </c>
      <c r="BY29" s="6">
        <v>6.941048192771086E-5</v>
      </c>
      <c r="BZ29" s="6">
        <v>-5.0234959999999997E-3</v>
      </c>
      <c r="CA29" s="6">
        <v>-5.5559440000000002E-3</v>
      </c>
      <c r="CB29" s="6">
        <v>6.4150361445783189E-5</v>
      </c>
      <c r="CC29" s="6">
        <v>-5.1768370000000001E-3</v>
      </c>
      <c r="CD29" s="6">
        <v>-5.8257339999999999E-3</v>
      </c>
      <c r="CE29" s="6">
        <v>7.8180361445783107E-5</v>
      </c>
      <c r="CF29" s="6">
        <v>-5.016637E-3</v>
      </c>
      <c r="CG29" s="6">
        <v>-5.5549450000000004E-3</v>
      </c>
      <c r="CH29" s="6">
        <v>6.485638554216871E-5</v>
      </c>
      <c r="CI29" s="6">
        <v>-5.1808059999999996E-3</v>
      </c>
      <c r="CJ29" s="6">
        <v>-5.8262920000000003E-3</v>
      </c>
      <c r="CK29" s="6">
        <v>7.776939759036152E-5</v>
      </c>
      <c r="CL29" s="6">
        <v>-3.268155E-3</v>
      </c>
      <c r="CM29" s="6">
        <v>-3.7814120000000001E-3</v>
      </c>
      <c r="CN29" s="6">
        <v>6.1838192771084333E-5</v>
      </c>
      <c r="CO29" s="6">
        <v>-3.1148149999999999E-3</v>
      </c>
      <c r="CP29" s="6">
        <v>-3.5116230000000002E-3</v>
      </c>
      <c r="CQ29" s="6">
        <v>4.780819277108436E-5</v>
      </c>
      <c r="CR29" s="6">
        <v>-3.2750140000000001E-3</v>
      </c>
      <c r="CS29" s="6">
        <v>-3.7824109999999998E-3</v>
      </c>
      <c r="CT29" s="6">
        <v>6.1132168674698758E-5</v>
      </c>
      <c r="CU29" s="6">
        <v>-3.1108450000000001E-3</v>
      </c>
      <c r="CV29" s="6">
        <v>-3.5110639999999999E-3</v>
      </c>
      <c r="CW29" s="6">
        <v>4.8219156626506002E-5</v>
      </c>
      <c r="CX29" s="6">
        <v>-3.5383210000000001E-3</v>
      </c>
      <c r="CY29" s="6">
        <v>-3.8948810000000002E-3</v>
      </c>
      <c r="CZ29" s="6">
        <v>4.2959036144578324E-5</v>
      </c>
      <c r="DA29" s="6">
        <v>-3.6916610000000002E-3</v>
      </c>
      <c r="DB29" s="6">
        <v>-4.164671E-3</v>
      </c>
      <c r="DC29" s="6">
        <v>5.6989156626506001E-5</v>
      </c>
      <c r="DD29" s="6">
        <v>-3.5314610000000001E-3</v>
      </c>
      <c r="DE29" s="6">
        <v>-3.8938829999999999E-3</v>
      </c>
      <c r="DF29" s="6">
        <v>4.3665301204819254E-5</v>
      </c>
      <c r="DG29" s="6">
        <v>-3.695631E-3</v>
      </c>
      <c r="DH29" s="6">
        <v>-4.1652290000000003E-3</v>
      </c>
      <c r="DI29" s="6">
        <v>5.6578072289156661E-5</v>
      </c>
      <c r="DK29" s="3" t="s">
        <v>35</v>
      </c>
      <c r="DL29" s="4">
        <f>CB1</f>
        <v>2184.1198853405481</v>
      </c>
      <c r="DM29" s="5" t="str">
        <f t="shared" si="11"/>
        <v>OK</v>
      </c>
      <c r="DN29" s="6">
        <f>IF('Lines-v8'!DL29=old!DL29,0,1)</f>
        <v>0</v>
      </c>
      <c r="DO29" s="6">
        <f>IF('Result-v12'!E30=old!DL29,0,1)</f>
        <v>1</v>
      </c>
    </row>
    <row r="30" spans="1:119" ht="18" customHeight="1" thickBot="1" x14ac:dyDescent="0.35">
      <c r="A30" s="13" t="s">
        <v>375</v>
      </c>
      <c r="B30" s="13" t="s">
        <v>166</v>
      </c>
      <c r="C30" s="13" t="s">
        <v>167</v>
      </c>
      <c r="D30" s="13" t="s">
        <v>364</v>
      </c>
      <c r="E30" s="13">
        <v>8.3000000000000007</v>
      </c>
      <c r="F30" s="6">
        <v>-2.1505629999999999E-3</v>
      </c>
      <c r="G30" s="6">
        <v>-2.823192E-3</v>
      </c>
      <c r="H30" s="6">
        <v>8.1039638554216876E-5</v>
      </c>
      <c r="I30" s="6">
        <v>-3.0974100000000001E-3</v>
      </c>
      <c r="J30" s="6">
        <v>-3.9821099999999996E-3</v>
      </c>
      <c r="K30" s="6">
        <v>1.0659036144578307E-4</v>
      </c>
      <c r="L30" s="6">
        <v>-2.7620190000000001E-3</v>
      </c>
      <c r="M30" s="6">
        <v>-3.4216440000000002E-3</v>
      </c>
      <c r="N30" s="6">
        <v>7.9472891566265057E-5</v>
      </c>
      <c r="O30" s="6">
        <v>-3.674666E-3</v>
      </c>
      <c r="P30" s="6">
        <v>-4.553082E-3</v>
      </c>
      <c r="Q30" s="6">
        <v>1.0583325301204818E-4</v>
      </c>
      <c r="R30" s="6">
        <v>-2.858991E-3</v>
      </c>
      <c r="S30" s="6">
        <v>-4.6360380000000003E-3</v>
      </c>
      <c r="T30" s="6">
        <v>2.1410204819277112E-4</v>
      </c>
      <c r="U30" s="6">
        <v>-3.5658479999999999E-3</v>
      </c>
      <c r="V30" s="6">
        <v>-4.4855140000000003E-3</v>
      </c>
      <c r="W30" s="6">
        <v>1.1080313253012052E-4</v>
      </c>
      <c r="X30" s="6">
        <v>-2.8554700000000001E-3</v>
      </c>
      <c r="Y30" s="6">
        <v>-4.6362460000000001E-3</v>
      </c>
      <c r="Z30" s="6">
        <v>2.1455132530120481E-4</v>
      </c>
      <c r="AA30" s="6">
        <v>-3.5690320000000002E-3</v>
      </c>
      <c r="AB30" s="6">
        <v>-4.4840610000000001E-3</v>
      </c>
      <c r="AC30" s="6">
        <v>1.1024445783132528E-4</v>
      </c>
      <c r="AD30" s="6">
        <v>-4.2663370000000003E-3</v>
      </c>
      <c r="AE30" s="6">
        <v>-4.3313350000000004E-3</v>
      </c>
      <c r="AF30" s="6">
        <v>7.8310843373494143E-6</v>
      </c>
      <c r="AG30" s="6">
        <v>-3.5583289999999998E-3</v>
      </c>
      <c r="AH30" s="6">
        <v>-4.4830709999999999E-3</v>
      </c>
      <c r="AI30" s="6">
        <v>1.1141469879518072E-4</v>
      </c>
      <c r="AJ30" s="6">
        <v>-4.2698579999999996E-3</v>
      </c>
      <c r="AK30" s="6">
        <v>-4.3311280000000001E-3</v>
      </c>
      <c r="AL30" s="6">
        <v>7.3819277108434232E-6</v>
      </c>
      <c r="AM30" s="6">
        <v>-3.556296E-3</v>
      </c>
      <c r="AN30" s="6">
        <v>-4.4833130000000001E-3</v>
      </c>
      <c r="AO30" s="6">
        <v>1.1168879518072288E-4</v>
      </c>
      <c r="AP30" s="6">
        <v>-2.505728E-3</v>
      </c>
      <c r="AQ30" s="6">
        <v>-4.2038580000000004E-3</v>
      </c>
      <c r="AR30" s="6">
        <v>2.045939759036145E-4</v>
      </c>
      <c r="AS30" s="6">
        <v>-3.213736E-3</v>
      </c>
      <c r="AT30" s="6">
        <v>-4.052122E-3</v>
      </c>
      <c r="AU30" s="6">
        <v>1.0101036144578312E-4</v>
      </c>
      <c r="AV30" s="6">
        <v>-2.5022070000000002E-3</v>
      </c>
      <c r="AW30" s="6">
        <v>-4.2040660000000002E-3</v>
      </c>
      <c r="AX30" s="6">
        <v>2.0504325301204818E-4</v>
      </c>
      <c r="AY30" s="6">
        <v>-3.2157700000000002E-3</v>
      </c>
      <c r="AZ30" s="6">
        <v>-4.0518799999999999E-3</v>
      </c>
      <c r="BA30" s="6">
        <v>1.0073614457831321E-4</v>
      </c>
      <c r="BB30" s="6">
        <v>-3.9130750000000002E-3</v>
      </c>
      <c r="BC30" s="6">
        <v>-3.899156E-3</v>
      </c>
      <c r="BD30" s="6">
        <v>1.6769879518072599E-6</v>
      </c>
      <c r="BE30" s="6">
        <v>-3.2050659999999999E-3</v>
      </c>
      <c r="BF30" s="6">
        <v>-4.050891E-3</v>
      </c>
      <c r="BG30" s="6">
        <v>1.019066265060241E-4</v>
      </c>
      <c r="BH30" s="6">
        <v>-3.9165950000000001E-3</v>
      </c>
      <c r="BI30" s="6">
        <v>-3.8989480000000002E-3</v>
      </c>
      <c r="BJ30" s="6">
        <v>2.1261445783132497E-6</v>
      </c>
      <c r="BK30" s="6">
        <v>-3.2030330000000001E-3</v>
      </c>
      <c r="BL30" s="6">
        <v>-4.0511330000000002E-3</v>
      </c>
      <c r="BM30" s="6">
        <v>1.0218072289156627E-4</v>
      </c>
      <c r="BN30" s="6">
        <v>-3.7637019999999998E-3</v>
      </c>
      <c r="BO30" s="6">
        <v>-5.0336019999999999E-3</v>
      </c>
      <c r="BP30" s="6">
        <v>1.5299999999999998E-4</v>
      </c>
      <c r="BQ30" s="6">
        <v>-3.9761049999999997E-3</v>
      </c>
      <c r="BR30" s="6">
        <v>-4.9880810000000001E-3</v>
      </c>
      <c r="BS30" s="6">
        <v>1.2192481927710847E-4</v>
      </c>
      <c r="BT30" s="6">
        <v>-3.7626460000000001E-3</v>
      </c>
      <c r="BU30" s="6">
        <v>-5.0336640000000002E-3</v>
      </c>
      <c r="BV30" s="6">
        <v>1.5313469879518071E-4</v>
      </c>
      <c r="BW30" s="6">
        <v>-3.9767149999999996E-3</v>
      </c>
      <c r="BX30" s="6">
        <v>-4.9880089999999998E-3</v>
      </c>
      <c r="BY30" s="6">
        <v>1.2184265060240966E-4</v>
      </c>
      <c r="BZ30" s="6">
        <v>-4.1859059999999997E-3</v>
      </c>
      <c r="CA30" s="6">
        <v>-4.9421910000000003E-3</v>
      </c>
      <c r="CB30" s="6">
        <v>9.111867469879525E-5</v>
      </c>
      <c r="CC30" s="6">
        <v>-3.9735040000000001E-3</v>
      </c>
      <c r="CD30" s="6">
        <v>-4.987712E-3</v>
      </c>
      <c r="CE30" s="6">
        <v>1.2219373493975902E-4</v>
      </c>
      <c r="CF30" s="6">
        <v>-4.1869619999999998E-3</v>
      </c>
      <c r="CG30" s="6">
        <v>-4.942129E-3</v>
      </c>
      <c r="CH30" s="6">
        <v>9.0983975903614463E-5</v>
      </c>
      <c r="CI30" s="6">
        <v>-3.9728940000000003E-3</v>
      </c>
      <c r="CJ30" s="6">
        <v>-4.9877849999999998E-3</v>
      </c>
      <c r="CK30" s="6">
        <v>1.2227602409638547E-4</v>
      </c>
      <c r="CL30" s="6">
        <v>-2.5861590000000002E-3</v>
      </c>
      <c r="CM30" s="6">
        <v>-3.5930020000000001E-3</v>
      </c>
      <c r="CN30" s="6">
        <v>1.2130638554216865E-4</v>
      </c>
      <c r="CO30" s="6">
        <v>-2.7985620000000001E-3</v>
      </c>
      <c r="CP30" s="6">
        <v>-3.5474809999999999E-3</v>
      </c>
      <c r="CQ30" s="6">
        <v>9.0231204819277082E-5</v>
      </c>
      <c r="CR30" s="6">
        <v>-2.5851030000000001E-3</v>
      </c>
      <c r="CS30" s="6">
        <v>-3.5930649999999999E-3</v>
      </c>
      <c r="CT30" s="6">
        <v>1.2144120481927708E-4</v>
      </c>
      <c r="CU30" s="6">
        <v>-2.799171E-3</v>
      </c>
      <c r="CV30" s="6">
        <v>-3.5474090000000001E-3</v>
      </c>
      <c r="CW30" s="6">
        <v>9.0149156626506016E-5</v>
      </c>
      <c r="CX30" s="6">
        <v>-3.008363E-3</v>
      </c>
      <c r="CY30" s="6">
        <v>-3.501592E-3</v>
      </c>
      <c r="CZ30" s="6">
        <v>5.9425180722891561E-5</v>
      </c>
      <c r="DA30" s="6">
        <v>-2.795961E-3</v>
      </c>
      <c r="DB30" s="6">
        <v>-3.5471119999999998E-3</v>
      </c>
      <c r="DC30" s="6">
        <v>9.0500120481927675E-5</v>
      </c>
      <c r="DD30" s="6">
        <v>-3.0094190000000002E-3</v>
      </c>
      <c r="DE30" s="6">
        <v>-3.5015290000000002E-3</v>
      </c>
      <c r="DF30" s="6">
        <v>5.9290361445783131E-5</v>
      </c>
      <c r="DG30" s="6">
        <v>-2.7953510000000002E-3</v>
      </c>
      <c r="DH30" s="6">
        <v>-3.547185E-3</v>
      </c>
      <c r="DI30" s="6">
        <v>9.0582409638554192E-5</v>
      </c>
      <c r="DK30" s="3" t="s">
        <v>36</v>
      </c>
      <c r="DL30" s="4">
        <f>CE1</f>
        <v>2125.6664828776161</v>
      </c>
      <c r="DM30" s="5" t="str">
        <f t="shared" si="11"/>
        <v>OK</v>
      </c>
      <c r="DN30" s="6">
        <f>IF('Lines-v8'!DL30=old!DL30,0,1)</f>
        <v>0</v>
      </c>
      <c r="DO30" s="6">
        <f>IF('Result-v12'!E31=old!DL30,0,1)</f>
        <v>1</v>
      </c>
    </row>
    <row r="31" spans="1:119" ht="16.2" thickBot="1" x14ac:dyDescent="0.35">
      <c r="A31" s="13" t="s">
        <v>376</v>
      </c>
      <c r="B31" s="13" t="s">
        <v>207</v>
      </c>
      <c r="C31" s="13" t="s">
        <v>208</v>
      </c>
      <c r="D31" s="13" t="s">
        <v>364</v>
      </c>
      <c r="E31" s="13">
        <v>8.3000000000000007</v>
      </c>
      <c r="F31" s="6">
        <v>-2.1587260000000001E-3</v>
      </c>
      <c r="G31" s="6">
        <v>-2.8149759999999998E-3</v>
      </c>
      <c r="H31" s="6">
        <v>7.9066265060240919E-5</v>
      </c>
      <c r="I31" s="6">
        <v>-3.1115589999999999E-3</v>
      </c>
      <c r="J31" s="6">
        <v>-3.9728740000000004E-3</v>
      </c>
      <c r="K31" s="6">
        <v>1.0377289156626512E-4</v>
      </c>
      <c r="L31" s="6">
        <v>-2.7717140000000002E-3</v>
      </c>
      <c r="M31" s="6">
        <v>-3.4129149999999999E-3</v>
      </c>
      <c r="N31" s="6">
        <v>7.7253132530120437E-5</v>
      </c>
      <c r="O31" s="6">
        <v>-3.688803E-3</v>
      </c>
      <c r="P31" s="6">
        <v>-4.5436089999999997E-3</v>
      </c>
      <c r="Q31" s="6">
        <v>1.0298867469879512E-4</v>
      </c>
      <c r="R31" s="6">
        <v>-2.9115090000000001E-3</v>
      </c>
      <c r="S31" s="6">
        <v>-4.6208509999999996E-3</v>
      </c>
      <c r="T31" s="6">
        <v>2.0594481927710837E-4</v>
      </c>
      <c r="U31" s="6">
        <v>-3.5853949999999999E-3</v>
      </c>
      <c r="V31" s="6">
        <v>-4.463725E-3</v>
      </c>
      <c r="W31" s="6">
        <v>1.0582289156626506E-4</v>
      </c>
      <c r="X31" s="6">
        <v>-2.8382160000000002E-3</v>
      </c>
      <c r="Y31" s="6">
        <v>-4.6351750000000001E-3</v>
      </c>
      <c r="Z31" s="6">
        <v>2.1650108433734935E-4</v>
      </c>
      <c r="AA31" s="6">
        <v>-3.6283130000000002E-3</v>
      </c>
      <c r="AB31" s="6">
        <v>-4.4540489999999999E-3</v>
      </c>
      <c r="AC31" s="6">
        <v>9.9486265060240916E-5</v>
      </c>
      <c r="AD31" s="6">
        <v>-4.2432900000000003E-3</v>
      </c>
      <c r="AE31" s="6">
        <v>-4.3267540000000004E-3</v>
      </c>
      <c r="AF31" s="6">
        <v>1.0055903614457844E-5</v>
      </c>
      <c r="AG31" s="6">
        <v>-3.5690660000000001E-3</v>
      </c>
      <c r="AH31" s="6">
        <v>-4.4849900000000003E-3</v>
      </c>
      <c r="AI31" s="6">
        <v>1.1035228915662653E-4</v>
      </c>
      <c r="AJ31" s="6">
        <v>-4.3165820000000002E-3</v>
      </c>
      <c r="AK31" s="6">
        <v>-4.3124299999999999E-3</v>
      </c>
      <c r="AL31" s="6">
        <v>5.0024096385546043E-7</v>
      </c>
      <c r="AM31" s="6">
        <v>-3.5264860000000001E-3</v>
      </c>
      <c r="AN31" s="6">
        <v>-4.4935560000000001E-3</v>
      </c>
      <c r="AO31" s="6">
        <v>1.1651445783132529E-4</v>
      </c>
      <c r="AP31" s="6">
        <v>-2.5570839999999998E-3</v>
      </c>
      <c r="AQ31" s="6">
        <v>-4.1897269999999999E-3</v>
      </c>
      <c r="AR31" s="6">
        <v>1.9670397590361443E-4</v>
      </c>
      <c r="AS31" s="6">
        <v>-3.231308E-3</v>
      </c>
      <c r="AT31" s="6">
        <v>-4.0314909999999999E-3</v>
      </c>
      <c r="AU31" s="6">
        <v>9.6407590361445765E-5</v>
      </c>
      <c r="AV31" s="6">
        <v>-2.483791E-3</v>
      </c>
      <c r="AW31" s="6">
        <v>-4.2040519999999998E-3</v>
      </c>
      <c r="AX31" s="6">
        <v>2.072603614457831E-4</v>
      </c>
      <c r="AY31" s="6">
        <v>-3.273888E-3</v>
      </c>
      <c r="AZ31" s="6">
        <v>-4.0229259999999996E-3</v>
      </c>
      <c r="BA31" s="6">
        <v>9.0245542168674648E-5</v>
      </c>
      <c r="BB31" s="6">
        <v>-3.888865E-3</v>
      </c>
      <c r="BC31" s="6">
        <v>-3.8956300000000002E-3</v>
      </c>
      <c r="BD31" s="6">
        <v>8.1506024096387417E-7</v>
      </c>
      <c r="BE31" s="6">
        <v>-3.2146409999999999E-3</v>
      </c>
      <c r="BF31" s="6">
        <v>-4.0538659999999997E-3</v>
      </c>
      <c r="BG31" s="6">
        <v>1.0111144578313251E-4</v>
      </c>
      <c r="BH31" s="6">
        <v>-3.962157E-3</v>
      </c>
      <c r="BI31" s="6">
        <v>-3.8813060000000002E-3</v>
      </c>
      <c r="BJ31" s="6">
        <v>9.7410843373493774E-6</v>
      </c>
      <c r="BK31" s="6">
        <v>-3.1720609999999999E-3</v>
      </c>
      <c r="BL31" s="6">
        <v>-4.0624320000000004E-3</v>
      </c>
      <c r="BM31" s="6">
        <v>1.0727361445783138E-4</v>
      </c>
      <c r="BN31" s="6">
        <v>-3.7911279999999999E-3</v>
      </c>
      <c r="BO31" s="6">
        <v>-5.020895E-3</v>
      </c>
      <c r="BP31" s="6">
        <v>1.4816469879518071E-4</v>
      </c>
      <c r="BQ31" s="6">
        <v>-3.9933959999999998E-3</v>
      </c>
      <c r="BR31" s="6">
        <v>-4.9734239999999997E-3</v>
      </c>
      <c r="BS31" s="6">
        <v>1.180756626506024E-4</v>
      </c>
      <c r="BT31" s="6">
        <v>-3.7691399999999998E-3</v>
      </c>
      <c r="BU31" s="6">
        <v>-5.0251920000000004E-3</v>
      </c>
      <c r="BV31" s="6">
        <v>1.5133156626506031E-4</v>
      </c>
      <c r="BW31" s="6">
        <v>-4.0061699999999999E-3</v>
      </c>
      <c r="BX31" s="6">
        <v>-4.9708540000000002E-3</v>
      </c>
      <c r="BY31" s="6">
        <v>1.1622698795180726E-4</v>
      </c>
      <c r="BZ31" s="6">
        <v>-4.1906620000000004E-3</v>
      </c>
      <c r="CA31" s="6">
        <v>-4.9326650000000001E-3</v>
      </c>
      <c r="CB31" s="6">
        <v>8.9397951807228883E-5</v>
      </c>
      <c r="CC31" s="6">
        <v>-3.9883949999999996E-3</v>
      </c>
      <c r="CD31" s="6">
        <v>-4.9801359999999996E-3</v>
      </c>
      <c r="CE31" s="6">
        <v>1.194868674698795E-4</v>
      </c>
      <c r="CF31" s="6">
        <v>-4.2126500000000001E-3</v>
      </c>
      <c r="CG31" s="6">
        <v>-4.9283679999999998E-3</v>
      </c>
      <c r="CH31" s="6">
        <v>8.6231084337349355E-5</v>
      </c>
      <c r="CI31" s="6">
        <v>-3.9756210000000004E-3</v>
      </c>
      <c r="CJ31" s="6">
        <v>-4.9827059999999999E-3</v>
      </c>
      <c r="CK31" s="6">
        <v>1.2133554216867464E-4</v>
      </c>
      <c r="CL31" s="6">
        <v>-2.6097109999999998E-3</v>
      </c>
      <c r="CM31" s="6">
        <v>-3.5838160000000001E-3</v>
      </c>
      <c r="CN31" s="6">
        <v>1.1736204819277111E-4</v>
      </c>
      <c r="CO31" s="6">
        <v>-2.811979E-3</v>
      </c>
      <c r="CP31" s="6">
        <v>-3.5363450000000002E-3</v>
      </c>
      <c r="CQ31" s="6">
        <v>8.7273012048192782E-5</v>
      </c>
      <c r="CR31" s="6">
        <v>-2.587724E-3</v>
      </c>
      <c r="CS31" s="6">
        <v>-3.588113E-3</v>
      </c>
      <c r="CT31" s="6">
        <v>1.2052879518072287E-4</v>
      </c>
      <c r="CU31" s="6">
        <v>-2.8247519999999998E-3</v>
      </c>
      <c r="CV31" s="6">
        <v>-3.5337749999999999E-3</v>
      </c>
      <c r="CW31" s="6">
        <v>8.5424457831325301E-5</v>
      </c>
      <c r="CX31" s="6">
        <v>-3.0092449999999998E-3</v>
      </c>
      <c r="CY31" s="6">
        <v>-3.4955870000000001E-3</v>
      </c>
      <c r="CZ31" s="6">
        <v>5.8595421686747014E-5</v>
      </c>
      <c r="DA31" s="6">
        <v>-2.8069779999999999E-3</v>
      </c>
      <c r="DB31" s="6">
        <v>-3.5430570000000001E-3</v>
      </c>
      <c r="DC31" s="6">
        <v>8.8684216867469885E-5</v>
      </c>
      <c r="DD31" s="6">
        <v>-3.0312329999999999E-3</v>
      </c>
      <c r="DE31" s="6">
        <v>-3.4912889999999999E-3</v>
      </c>
      <c r="DF31" s="6">
        <v>5.5428433734939748E-5</v>
      </c>
      <c r="DG31" s="6">
        <v>-2.7942039999999998E-3</v>
      </c>
      <c r="DH31" s="6">
        <v>-3.545627E-3</v>
      </c>
      <c r="DI31" s="6">
        <v>9.0532891566265077E-5</v>
      </c>
      <c r="DK31" s="3" t="s">
        <v>37</v>
      </c>
      <c r="DL31" s="4">
        <f>CH1</f>
        <v>2185.8300538201402</v>
      </c>
      <c r="DM31" s="5" t="str">
        <f t="shared" si="11"/>
        <v>OK</v>
      </c>
      <c r="DN31" s="6">
        <f>IF('Lines-v8'!DL31=old!DL31,0,1)</f>
        <v>0</v>
      </c>
      <c r="DO31" s="6">
        <f>IF('Result-v12'!E32=old!DL31,0,1)</f>
        <v>1</v>
      </c>
    </row>
    <row r="32" spans="1:119" ht="16.2" thickBot="1" x14ac:dyDescent="0.35">
      <c r="A32" s="13" t="s">
        <v>377</v>
      </c>
      <c r="B32" s="13" t="s">
        <v>248</v>
      </c>
      <c r="C32" s="13" t="s">
        <v>249</v>
      </c>
      <c r="D32" s="13" t="s">
        <v>364</v>
      </c>
      <c r="E32" s="13">
        <v>8.3000000000000007</v>
      </c>
      <c r="F32" s="6">
        <v>-2.1227849999999999E-3</v>
      </c>
      <c r="G32" s="6">
        <v>-2.8181479999999999E-3</v>
      </c>
      <c r="H32" s="6">
        <v>8.3778674698795175E-5</v>
      </c>
      <c r="I32" s="6">
        <v>-3.060381E-3</v>
      </c>
      <c r="J32" s="6">
        <v>-3.9797779999999998E-3</v>
      </c>
      <c r="K32" s="6">
        <v>1.1077072289156623E-4</v>
      </c>
      <c r="L32" s="6">
        <v>-2.7357229999999998E-3</v>
      </c>
      <c r="M32" s="6">
        <v>-3.4199030000000002E-3</v>
      </c>
      <c r="N32" s="6">
        <v>8.2431325301204862E-5</v>
      </c>
      <c r="O32" s="6">
        <v>-3.640094E-3</v>
      </c>
      <c r="P32" s="6">
        <v>-4.5536800000000001E-3</v>
      </c>
      <c r="Q32" s="6">
        <v>1.1007060240963855E-4</v>
      </c>
      <c r="R32" s="6">
        <v>-2.8930940000000001E-3</v>
      </c>
      <c r="S32" s="6">
        <v>-4.6259819999999998E-3</v>
      </c>
      <c r="T32" s="6">
        <v>2.087816867469879E-4</v>
      </c>
      <c r="U32" s="6">
        <v>-3.5900459999999999E-3</v>
      </c>
      <c r="V32" s="6">
        <v>-4.5137700000000003E-3</v>
      </c>
      <c r="W32" s="6">
        <v>1.1129204819277112E-4</v>
      </c>
      <c r="X32" s="6">
        <v>-2.7544520000000001E-3</v>
      </c>
      <c r="Y32" s="6">
        <v>-4.6602470000000002E-3</v>
      </c>
      <c r="Z32" s="6">
        <v>2.2961385542168673E-4</v>
      </c>
      <c r="AA32" s="6">
        <v>-3.6691369999999998E-3</v>
      </c>
      <c r="AB32" s="6">
        <v>-4.491063E-3</v>
      </c>
      <c r="AC32" s="6">
        <v>9.9027228915662656E-5</v>
      </c>
      <c r="AD32" s="6">
        <v>-4.157595E-3</v>
      </c>
      <c r="AE32" s="6">
        <v>-4.3395550000000001E-3</v>
      </c>
      <c r="AF32" s="6">
        <v>2.1922891566265071E-5</v>
      </c>
      <c r="AG32" s="6">
        <v>-3.4621360000000002E-3</v>
      </c>
      <c r="AH32" s="6">
        <v>-4.4544490000000001E-3</v>
      </c>
      <c r="AI32" s="6">
        <v>1.195557831325301E-4</v>
      </c>
      <c r="AJ32" s="6">
        <v>-4.296238E-3</v>
      </c>
      <c r="AK32" s="6">
        <v>-4.3052899999999998E-3</v>
      </c>
      <c r="AL32" s="6">
        <v>1.0906024096385355E-6</v>
      </c>
      <c r="AM32" s="6">
        <v>-3.3815519999999999E-3</v>
      </c>
      <c r="AN32" s="6">
        <v>-4.474474E-3</v>
      </c>
      <c r="AO32" s="6">
        <v>1.3167734939759036E-4</v>
      </c>
      <c r="AP32" s="6">
        <v>-2.5428949999999999E-3</v>
      </c>
      <c r="AQ32" s="6">
        <v>-4.1939000000000004E-3</v>
      </c>
      <c r="AR32" s="6">
        <v>1.98916265060241E-4</v>
      </c>
      <c r="AS32" s="6">
        <v>-3.2383540000000001E-3</v>
      </c>
      <c r="AT32" s="6">
        <v>-4.0790059999999996E-3</v>
      </c>
      <c r="AU32" s="6">
        <v>1.0128337349397583E-4</v>
      </c>
      <c r="AV32" s="6">
        <v>-2.4042529999999999E-3</v>
      </c>
      <c r="AW32" s="6">
        <v>-4.2281649999999999E-3</v>
      </c>
      <c r="AX32" s="6">
        <v>2.1974843373493975E-4</v>
      </c>
      <c r="AY32" s="6">
        <v>-3.318938E-3</v>
      </c>
      <c r="AZ32" s="6">
        <v>-4.0589809999999997E-3</v>
      </c>
      <c r="BA32" s="6">
        <v>8.9161807228915624E-5</v>
      </c>
      <c r="BB32" s="6">
        <v>-3.8073959999999998E-3</v>
      </c>
      <c r="BC32" s="6">
        <v>-3.9074729999999998E-3</v>
      </c>
      <c r="BD32" s="6">
        <v>1.205746987951808E-5</v>
      </c>
      <c r="BE32" s="6">
        <v>-3.111936E-3</v>
      </c>
      <c r="BF32" s="6">
        <v>-4.0223669999999998E-3</v>
      </c>
      <c r="BG32" s="6">
        <v>1.0969048192771081E-4</v>
      </c>
      <c r="BH32" s="6">
        <v>-3.9460379999999998E-3</v>
      </c>
      <c r="BI32" s="6">
        <v>-3.8732079999999999E-3</v>
      </c>
      <c r="BJ32" s="6">
        <v>8.7746987951807043E-6</v>
      </c>
      <c r="BK32" s="6">
        <v>-3.0313530000000001E-3</v>
      </c>
      <c r="BL32" s="6">
        <v>-4.0423919999999997E-3</v>
      </c>
      <c r="BM32" s="6">
        <v>1.2181192771084332E-4</v>
      </c>
      <c r="BN32" s="6">
        <v>-3.7442349999999998E-3</v>
      </c>
      <c r="BO32" s="6">
        <v>-5.0298280000000001E-3</v>
      </c>
      <c r="BP32" s="6">
        <v>1.5489072289156627E-4</v>
      </c>
      <c r="BQ32" s="6">
        <v>-3.952873E-3</v>
      </c>
      <c r="BR32" s="6">
        <v>-4.9953599999999999E-3</v>
      </c>
      <c r="BS32" s="6">
        <v>1.2560084337349394E-4</v>
      </c>
      <c r="BT32" s="6">
        <v>-3.7026429999999998E-3</v>
      </c>
      <c r="BU32" s="6">
        <v>-5.0401079999999997E-3</v>
      </c>
      <c r="BV32" s="6">
        <v>1.611403614457831E-4</v>
      </c>
      <c r="BW32" s="6">
        <v>-3.9770480000000004E-3</v>
      </c>
      <c r="BX32" s="6">
        <v>-4.9893530000000002E-3</v>
      </c>
      <c r="BY32" s="6">
        <v>1.2196445783132527E-4</v>
      </c>
      <c r="BZ32" s="6">
        <v>-4.1235860000000003E-3</v>
      </c>
      <c r="CA32" s="6">
        <v>-4.9439000000000002E-3</v>
      </c>
      <c r="CB32" s="6">
        <v>9.8833012048192759E-5</v>
      </c>
      <c r="CC32" s="6">
        <v>-3.9149479999999997E-3</v>
      </c>
      <c r="CD32" s="6">
        <v>-4.9783689999999998E-3</v>
      </c>
      <c r="CE32" s="6">
        <v>1.2812301204819277E-4</v>
      </c>
      <c r="CF32" s="6">
        <v>-4.1651789999999998E-3</v>
      </c>
      <c r="CG32" s="6">
        <v>-4.933621E-3</v>
      </c>
      <c r="CH32" s="6">
        <v>9.2583373493975932E-5</v>
      </c>
      <c r="CI32" s="6">
        <v>-3.8907730000000001E-3</v>
      </c>
      <c r="CJ32" s="6">
        <v>-4.9843760000000004E-3</v>
      </c>
      <c r="CK32" s="6">
        <v>1.3175939759036147E-4</v>
      </c>
      <c r="CL32" s="6">
        <v>-2.576905E-3</v>
      </c>
      <c r="CM32" s="6">
        <v>-3.5895549999999999E-3</v>
      </c>
      <c r="CN32" s="6">
        <v>1.2200602409638553E-4</v>
      </c>
      <c r="CO32" s="6">
        <v>-2.7855419999999998E-3</v>
      </c>
      <c r="CP32" s="6">
        <v>-3.5550870000000002E-3</v>
      </c>
      <c r="CQ32" s="6">
        <v>9.2716265060241006E-5</v>
      </c>
      <c r="CR32" s="6">
        <v>-2.5353120000000001E-3</v>
      </c>
      <c r="CS32" s="6">
        <v>-3.599835E-3</v>
      </c>
      <c r="CT32" s="6">
        <v>1.2825578313253009E-4</v>
      </c>
      <c r="CU32" s="6">
        <v>-2.8097170000000002E-3</v>
      </c>
      <c r="CV32" s="6">
        <v>-3.5490790000000001E-3</v>
      </c>
      <c r="CW32" s="6">
        <v>8.9079759036144558E-5</v>
      </c>
      <c r="CX32" s="6">
        <v>-2.9562550000000001E-3</v>
      </c>
      <c r="CY32" s="6">
        <v>-3.503627E-3</v>
      </c>
      <c r="CZ32" s="6">
        <v>6.5948433734939755E-5</v>
      </c>
      <c r="DA32" s="6">
        <v>-2.7476169999999999E-3</v>
      </c>
      <c r="DB32" s="6">
        <v>-3.5380950000000002E-3</v>
      </c>
      <c r="DC32" s="6">
        <v>9.523831325301207E-5</v>
      </c>
      <c r="DD32" s="6">
        <v>-2.997848E-3</v>
      </c>
      <c r="DE32" s="6">
        <v>-3.4933469999999999E-3</v>
      </c>
      <c r="DF32" s="6">
        <v>5.9698674698795168E-5</v>
      </c>
      <c r="DG32" s="6">
        <v>-2.723442E-3</v>
      </c>
      <c r="DH32" s="6">
        <v>-3.5441029999999998E-3</v>
      </c>
      <c r="DI32" s="6">
        <v>9.887481927710841E-5</v>
      </c>
      <c r="DK32" s="3" t="s">
        <v>38</v>
      </c>
      <c r="DL32" s="4">
        <f>CK1</f>
        <v>2124.7334227530382</v>
      </c>
      <c r="DM32" s="5" t="str">
        <f t="shared" si="11"/>
        <v>OK</v>
      </c>
      <c r="DN32" s="6">
        <f>IF('Lines-v8'!DL32=old!DL32,0,1)</f>
        <v>0</v>
      </c>
      <c r="DO32" s="6">
        <f>IF('Result-v12'!E33=old!DL32,0,1)</f>
        <v>1</v>
      </c>
    </row>
    <row r="33" spans="1:119" ht="16.2" thickBot="1" x14ac:dyDescent="0.35">
      <c r="A33" s="13" t="s">
        <v>378</v>
      </c>
      <c r="B33" s="13" t="s">
        <v>58</v>
      </c>
      <c r="C33" s="13" t="s">
        <v>93</v>
      </c>
      <c r="D33" s="13" t="s">
        <v>364</v>
      </c>
      <c r="E33" s="13">
        <v>8.3000000000000007</v>
      </c>
      <c r="F33" s="6">
        <v>-3.2207500000000001E-3</v>
      </c>
      <c r="G33" s="6">
        <v>-1.9818570000000001E-3</v>
      </c>
      <c r="H33" s="6">
        <v>1.4926421686746986E-4</v>
      </c>
      <c r="I33" s="6">
        <v>-3.9649459999999996E-3</v>
      </c>
      <c r="J33" s="6">
        <v>-2.9082959999999999E-3</v>
      </c>
      <c r="K33" s="6">
        <v>1.2730722891566261E-4</v>
      </c>
      <c r="L33" s="6">
        <v>-3.598955E-3</v>
      </c>
      <c r="M33" s="6">
        <v>-2.612783E-3</v>
      </c>
      <c r="N33" s="6">
        <v>1.1881590361445782E-4</v>
      </c>
      <c r="O33" s="6">
        <v>-4.326753E-3</v>
      </c>
      <c r="P33" s="6">
        <v>-3.497923E-3</v>
      </c>
      <c r="Q33" s="6">
        <v>9.9859036144578304E-5</v>
      </c>
      <c r="R33" s="6">
        <v>-3.9183259999999998E-3</v>
      </c>
      <c r="S33" s="6">
        <v>-2.630715E-3</v>
      </c>
      <c r="T33" s="6">
        <v>1.551338554216867E-4</v>
      </c>
      <c r="U33" s="6">
        <v>-3.4161080000000002E-3</v>
      </c>
      <c r="V33" s="6">
        <v>-3.3615889999999999E-3</v>
      </c>
      <c r="W33" s="6">
        <v>6.5685542168675015E-6</v>
      </c>
      <c r="X33" s="6">
        <v>-3.9411899999999998E-3</v>
      </c>
      <c r="Y33" s="6">
        <v>-2.7583109999999998E-3</v>
      </c>
      <c r="Z33" s="6">
        <v>1.4251554216867469E-4</v>
      </c>
      <c r="AA33" s="6">
        <v>-3.3939579999999999E-3</v>
      </c>
      <c r="AB33" s="6">
        <v>-3.2899000000000001E-3</v>
      </c>
      <c r="AC33" s="6">
        <v>1.2537108433734909E-5</v>
      </c>
      <c r="AD33" s="6">
        <v>-4.8188780000000004E-3</v>
      </c>
      <c r="AE33" s="6">
        <v>-4.1115709999999996E-3</v>
      </c>
      <c r="AF33" s="6">
        <v>8.5217710843373578E-5</v>
      </c>
      <c r="AG33" s="6">
        <v>-5.3300129999999998E-3</v>
      </c>
      <c r="AH33" s="6">
        <v>-3.3782230000000001E-3</v>
      </c>
      <c r="AI33" s="6">
        <v>2.3515542168674693E-4</v>
      </c>
      <c r="AJ33" s="6">
        <v>-4.7960140000000004E-3</v>
      </c>
      <c r="AK33" s="6">
        <v>-3.9839749999999998E-3</v>
      </c>
      <c r="AL33" s="6">
        <v>9.7836024096385589E-5</v>
      </c>
      <c r="AM33" s="6">
        <v>-5.3432460000000003E-3</v>
      </c>
      <c r="AN33" s="6">
        <v>-3.4523869999999999E-3</v>
      </c>
      <c r="AO33" s="6">
        <v>2.2781433734939761E-4</v>
      </c>
      <c r="AP33" s="6">
        <v>-3.4727730000000002E-3</v>
      </c>
      <c r="AQ33" s="6">
        <v>-2.294903E-3</v>
      </c>
      <c r="AR33" s="6">
        <v>1.419120481927711E-4</v>
      </c>
      <c r="AS33" s="6">
        <v>-2.9616379999999999E-3</v>
      </c>
      <c r="AT33" s="6">
        <v>-3.028251E-3</v>
      </c>
      <c r="AU33" s="6">
        <v>8.0256626506024199E-6</v>
      </c>
      <c r="AV33" s="6">
        <v>-3.4956380000000001E-3</v>
      </c>
      <c r="AW33" s="6">
        <v>-2.4224989999999998E-3</v>
      </c>
      <c r="AX33" s="6">
        <v>1.2929385542168677E-4</v>
      </c>
      <c r="AY33" s="6">
        <v>-2.9484049999999999E-3</v>
      </c>
      <c r="AZ33" s="6">
        <v>-2.9540870000000002E-3</v>
      </c>
      <c r="BA33" s="6">
        <v>6.8457831325305329E-7</v>
      </c>
      <c r="BB33" s="6">
        <v>-4.3733260000000003E-3</v>
      </c>
      <c r="BC33" s="6">
        <v>-3.7757590000000001E-3</v>
      </c>
      <c r="BD33" s="6">
        <v>7.1996024096385565E-5</v>
      </c>
      <c r="BE33" s="6">
        <v>-4.8844600000000002E-3</v>
      </c>
      <c r="BF33" s="6">
        <v>-3.0424100000000002E-3</v>
      </c>
      <c r="BG33" s="6">
        <v>2.2193373493975901E-4</v>
      </c>
      <c r="BH33" s="6">
        <v>-4.3504609999999999E-3</v>
      </c>
      <c r="BI33" s="6">
        <v>-3.6481629999999998E-3</v>
      </c>
      <c r="BJ33" s="6">
        <v>8.4614216867469878E-5</v>
      </c>
      <c r="BK33" s="6">
        <v>-4.8976929999999998E-3</v>
      </c>
      <c r="BL33" s="6">
        <v>-3.116574E-3</v>
      </c>
      <c r="BM33" s="6">
        <v>2.1459265060240961E-4</v>
      </c>
      <c r="BN33" s="6">
        <v>-4.7533310000000004E-3</v>
      </c>
      <c r="BO33" s="6">
        <v>-3.5407960000000001E-3</v>
      </c>
      <c r="BP33" s="6">
        <v>1.460885542168675E-4</v>
      </c>
      <c r="BQ33" s="6">
        <v>-4.59999E-3</v>
      </c>
      <c r="BR33" s="6">
        <v>-3.7607999999999999E-3</v>
      </c>
      <c r="BS33" s="6">
        <v>1.0110722891566265E-4</v>
      </c>
      <c r="BT33" s="6">
        <v>-4.7601900000000001E-3</v>
      </c>
      <c r="BU33" s="6">
        <v>-3.5790739999999998E-3</v>
      </c>
      <c r="BV33" s="6">
        <v>1.4230313253012051E-4</v>
      </c>
      <c r="BW33" s="6">
        <v>-4.5960200000000001E-3</v>
      </c>
      <c r="BX33" s="6">
        <v>-3.7385510000000001E-3</v>
      </c>
      <c r="BY33" s="6">
        <v>1.0330951807228915E-4</v>
      </c>
      <c r="BZ33" s="6">
        <v>-5.0234959999999997E-3</v>
      </c>
      <c r="CA33" s="6">
        <v>-3.9850520000000002E-3</v>
      </c>
      <c r="CB33" s="6">
        <v>1.2511373493975897E-4</v>
      </c>
      <c r="CC33" s="6">
        <v>-5.1768370000000001E-3</v>
      </c>
      <c r="CD33" s="6">
        <v>-3.765048E-3</v>
      </c>
      <c r="CE33" s="6">
        <v>1.7009506024096385E-4</v>
      </c>
      <c r="CF33" s="6">
        <v>-5.016637E-3</v>
      </c>
      <c r="CG33" s="6">
        <v>-3.9467740000000001E-3</v>
      </c>
      <c r="CH33" s="6">
        <v>1.2889915662650601E-4</v>
      </c>
      <c r="CI33" s="6">
        <v>-5.1808059999999996E-3</v>
      </c>
      <c r="CJ33" s="6">
        <v>-3.7872969999999998E-3</v>
      </c>
      <c r="CK33" s="6">
        <v>1.6789265060240959E-4</v>
      </c>
      <c r="CL33" s="6">
        <v>-3.268155E-3</v>
      </c>
      <c r="CM33" s="6">
        <v>-2.421421E-3</v>
      </c>
      <c r="CN33" s="6">
        <v>1.0201614457831325E-4</v>
      </c>
      <c r="CO33" s="6">
        <v>-3.1148149999999999E-3</v>
      </c>
      <c r="CP33" s="6">
        <v>-2.6414260000000001E-3</v>
      </c>
      <c r="CQ33" s="6">
        <v>5.7034819277108411E-5</v>
      </c>
      <c r="CR33" s="6">
        <v>-3.2750140000000001E-3</v>
      </c>
      <c r="CS33" s="6">
        <v>-2.4597E-3</v>
      </c>
      <c r="CT33" s="6">
        <v>9.8230602409638557E-5</v>
      </c>
      <c r="CU33" s="6">
        <v>-3.1108450000000001E-3</v>
      </c>
      <c r="CV33" s="6">
        <v>-2.6191769999999999E-3</v>
      </c>
      <c r="CW33" s="6">
        <v>5.9237108433734961E-5</v>
      </c>
      <c r="CX33" s="6">
        <v>-3.5383210000000001E-3</v>
      </c>
      <c r="CY33" s="6">
        <v>-2.865678E-3</v>
      </c>
      <c r="CZ33" s="6">
        <v>8.1041325301204822E-5</v>
      </c>
      <c r="DA33" s="6">
        <v>-3.6916610000000002E-3</v>
      </c>
      <c r="DB33" s="6">
        <v>-2.6456740000000002E-3</v>
      </c>
      <c r="DC33" s="6">
        <v>1.260225301204819E-4</v>
      </c>
      <c r="DD33" s="6">
        <v>-3.5314610000000001E-3</v>
      </c>
      <c r="DE33" s="6">
        <v>-2.8273999999999999E-3</v>
      </c>
      <c r="DF33" s="6">
        <v>8.4826626506024106E-5</v>
      </c>
      <c r="DG33" s="6">
        <v>-3.695631E-3</v>
      </c>
      <c r="DH33" s="6">
        <v>-2.667923E-3</v>
      </c>
      <c r="DI33" s="6">
        <v>1.2382024096385541E-4</v>
      </c>
      <c r="DK33" s="3" t="s">
        <v>39</v>
      </c>
      <c r="DL33" s="4">
        <f>CN1</f>
        <v>3266.4469935149618</v>
      </c>
      <c r="DM33" s="5" t="str">
        <f t="shared" si="11"/>
        <v>OK</v>
      </c>
      <c r="DN33" s="6">
        <f>IF('Lines-v8'!DL33=old!DL33,0,1)</f>
        <v>0</v>
      </c>
      <c r="DO33" s="6">
        <f>IF('Result-v12'!E34=old!DL33,0,1)</f>
        <v>1</v>
      </c>
    </row>
    <row r="34" spans="1:119" ht="16.2" thickBot="1" x14ac:dyDescent="0.35">
      <c r="A34" s="13" t="s">
        <v>379</v>
      </c>
      <c r="B34" s="13" t="s">
        <v>93</v>
      </c>
      <c r="C34" s="13" t="s">
        <v>129</v>
      </c>
      <c r="D34" s="13" t="s">
        <v>364</v>
      </c>
      <c r="E34" s="13">
        <v>8.3000000000000007</v>
      </c>
      <c r="F34" s="6">
        <v>-1.9818570000000001E-3</v>
      </c>
      <c r="G34" s="6">
        <v>-2.1475750000000001E-3</v>
      </c>
      <c r="H34" s="6">
        <v>1.9966024096385543E-5</v>
      </c>
      <c r="I34" s="6">
        <v>-2.9082959999999999E-3</v>
      </c>
      <c r="J34" s="6">
        <v>-3.0993570000000001E-3</v>
      </c>
      <c r="K34" s="6">
        <v>2.3019397590361466E-5</v>
      </c>
      <c r="L34" s="6">
        <v>-2.612783E-3</v>
      </c>
      <c r="M34" s="6">
        <v>-2.7614979999999998E-3</v>
      </c>
      <c r="N34" s="6">
        <v>1.7917469879518044E-5</v>
      </c>
      <c r="O34" s="6">
        <v>-3.497923E-3</v>
      </c>
      <c r="P34" s="6">
        <v>-3.6772829999999999E-3</v>
      </c>
      <c r="Q34" s="6">
        <v>2.1609638554216857E-5</v>
      </c>
      <c r="R34" s="6">
        <v>-2.630715E-3</v>
      </c>
      <c r="S34" s="6">
        <v>-2.8227069999999998E-3</v>
      </c>
      <c r="T34" s="6">
        <v>2.3131566265060212E-5</v>
      </c>
      <c r="U34" s="6">
        <v>-3.3615889999999999E-3</v>
      </c>
      <c r="V34" s="6">
        <v>-3.5627520000000002E-3</v>
      </c>
      <c r="W34" s="6">
        <v>2.4236506024096418E-5</v>
      </c>
      <c r="X34" s="6">
        <v>-2.7583109999999998E-3</v>
      </c>
      <c r="Y34" s="6">
        <v>-2.8897749999999998E-3</v>
      </c>
      <c r="Z34" s="6">
        <v>1.5839036144578309E-5</v>
      </c>
      <c r="AA34" s="6">
        <v>-3.2899000000000001E-3</v>
      </c>
      <c r="AB34" s="6">
        <v>-3.5254819999999999E-3</v>
      </c>
      <c r="AC34" s="6">
        <v>2.8383373493975879E-5</v>
      </c>
      <c r="AD34" s="6">
        <v>-4.1115709999999996E-3</v>
      </c>
      <c r="AE34" s="6">
        <v>-4.3072099999999997E-3</v>
      </c>
      <c r="AF34" s="6">
        <v>2.3570963855421691E-5</v>
      </c>
      <c r="AG34" s="6">
        <v>-3.3782230000000001E-3</v>
      </c>
      <c r="AH34" s="6">
        <v>-3.5654620000000001E-3</v>
      </c>
      <c r="AI34" s="6">
        <v>2.2558915662650608E-5</v>
      </c>
      <c r="AJ34" s="6">
        <v>-3.9839749999999998E-3</v>
      </c>
      <c r="AK34" s="6">
        <v>-4.2401410000000002E-3</v>
      </c>
      <c r="AL34" s="6">
        <v>3.0863373493975947E-5</v>
      </c>
      <c r="AM34" s="6">
        <v>-3.4523869999999999E-3</v>
      </c>
      <c r="AN34" s="6">
        <v>-3.604435E-3</v>
      </c>
      <c r="AO34" s="6">
        <v>1.8319036144578326E-5</v>
      </c>
      <c r="AP34" s="6">
        <v>-2.294903E-3</v>
      </c>
      <c r="AQ34" s="6">
        <v>-2.4694840000000001E-3</v>
      </c>
      <c r="AR34" s="6">
        <v>2.1033855421686749E-5</v>
      </c>
      <c r="AS34" s="6">
        <v>-3.028251E-3</v>
      </c>
      <c r="AT34" s="6">
        <v>-3.2112310000000002E-3</v>
      </c>
      <c r="AU34" s="6">
        <v>2.2045783132530134E-5</v>
      </c>
      <c r="AV34" s="6">
        <v>-2.4224989999999998E-3</v>
      </c>
      <c r="AW34" s="6">
        <v>-2.5365520000000001E-3</v>
      </c>
      <c r="AX34" s="6">
        <v>1.3741325301204848E-5</v>
      </c>
      <c r="AY34" s="6">
        <v>-2.9540870000000002E-3</v>
      </c>
      <c r="AZ34" s="6">
        <v>-3.1722590000000002E-3</v>
      </c>
      <c r="BA34" s="6">
        <v>2.6285783132530117E-5</v>
      </c>
      <c r="BB34" s="6">
        <v>-3.7757590000000001E-3</v>
      </c>
      <c r="BC34" s="6">
        <v>-3.9539859999999996E-3</v>
      </c>
      <c r="BD34" s="6">
        <v>2.1473132530120426E-5</v>
      </c>
      <c r="BE34" s="6">
        <v>-3.0424100000000002E-3</v>
      </c>
      <c r="BF34" s="6">
        <v>-3.212239E-3</v>
      </c>
      <c r="BG34" s="6">
        <v>2.0461325301204796E-5</v>
      </c>
      <c r="BH34" s="6">
        <v>-3.6481629999999998E-3</v>
      </c>
      <c r="BI34" s="6">
        <v>-3.8869180000000001E-3</v>
      </c>
      <c r="BJ34" s="6">
        <v>2.8765662650602433E-5</v>
      </c>
      <c r="BK34" s="6">
        <v>-3.116574E-3</v>
      </c>
      <c r="BL34" s="6">
        <v>-3.2512119999999999E-3</v>
      </c>
      <c r="BM34" s="6">
        <v>1.6221445783132511E-5</v>
      </c>
      <c r="BN34" s="6">
        <v>-3.5407960000000001E-3</v>
      </c>
      <c r="BO34" s="6">
        <v>-3.7543770000000001E-3</v>
      </c>
      <c r="BP34" s="6">
        <v>2.5732650602409637E-5</v>
      </c>
      <c r="BQ34" s="6">
        <v>-3.7607999999999999E-3</v>
      </c>
      <c r="BR34" s="6">
        <v>-3.9769009999999997E-3</v>
      </c>
      <c r="BS34" s="6">
        <v>2.6036265060240937E-5</v>
      </c>
      <c r="BT34" s="6">
        <v>-3.5790739999999998E-3</v>
      </c>
      <c r="BU34" s="6">
        <v>-3.7744969999999999E-3</v>
      </c>
      <c r="BV34" s="6">
        <v>2.3544939759036157E-5</v>
      </c>
      <c r="BW34" s="6">
        <v>-3.7385510000000001E-3</v>
      </c>
      <c r="BX34" s="6">
        <v>-3.9652089999999999E-3</v>
      </c>
      <c r="BY34" s="6">
        <v>2.7308192771084313E-5</v>
      </c>
      <c r="BZ34" s="6">
        <v>-3.9850520000000002E-3</v>
      </c>
      <c r="CA34" s="6">
        <v>-4.1997270000000003E-3</v>
      </c>
      <c r="CB34" s="6">
        <v>2.5864457831325313E-5</v>
      </c>
      <c r="CC34" s="6">
        <v>-3.765048E-3</v>
      </c>
      <c r="CD34" s="6">
        <v>-3.9772030000000003E-3</v>
      </c>
      <c r="CE34" s="6">
        <v>2.5560843373494013E-5</v>
      </c>
      <c r="CF34" s="6">
        <v>-3.9467740000000001E-3</v>
      </c>
      <c r="CG34" s="6">
        <v>-4.1796070000000001E-3</v>
      </c>
      <c r="CH34" s="6">
        <v>2.8052168674698793E-5</v>
      </c>
      <c r="CI34" s="6">
        <v>-3.7872969999999998E-3</v>
      </c>
      <c r="CJ34" s="6">
        <v>-3.9888950000000001E-3</v>
      </c>
      <c r="CK34" s="6">
        <v>2.4288915662650637E-5</v>
      </c>
      <c r="CL34" s="6">
        <v>-2.421421E-3</v>
      </c>
      <c r="CM34" s="6">
        <v>-2.576966E-3</v>
      </c>
      <c r="CN34" s="6">
        <v>1.8740361445783131E-5</v>
      </c>
      <c r="CO34" s="6">
        <v>-2.6414260000000001E-3</v>
      </c>
      <c r="CP34" s="6">
        <v>-2.79949E-3</v>
      </c>
      <c r="CQ34" s="6">
        <v>1.9043855421686729E-5</v>
      </c>
      <c r="CR34" s="6">
        <v>-2.4597E-3</v>
      </c>
      <c r="CS34" s="6">
        <v>-2.5970860000000002E-3</v>
      </c>
      <c r="CT34" s="6">
        <v>1.6552530120481949E-5</v>
      </c>
      <c r="CU34" s="6">
        <v>-2.6191769999999999E-3</v>
      </c>
      <c r="CV34" s="6">
        <v>-2.7877980000000002E-3</v>
      </c>
      <c r="CW34" s="6">
        <v>2.0315783132530156E-5</v>
      </c>
      <c r="CX34" s="6">
        <v>-2.865678E-3</v>
      </c>
      <c r="CY34" s="6">
        <v>-3.0223170000000001E-3</v>
      </c>
      <c r="CZ34" s="6">
        <v>1.8872168674698803E-5</v>
      </c>
      <c r="DA34" s="6">
        <v>-2.6456740000000002E-3</v>
      </c>
      <c r="DB34" s="6">
        <v>-2.7997920000000002E-3</v>
      </c>
      <c r="DC34" s="6">
        <v>1.8568433734939751E-5</v>
      </c>
      <c r="DD34" s="6">
        <v>-2.8273999999999999E-3</v>
      </c>
      <c r="DE34" s="6">
        <v>-3.0021959999999999E-3</v>
      </c>
      <c r="DF34" s="6">
        <v>2.1059759036144586E-5</v>
      </c>
      <c r="DG34" s="6">
        <v>-2.667923E-3</v>
      </c>
      <c r="DH34" s="6">
        <v>-2.8114839999999999E-3</v>
      </c>
      <c r="DI34" s="6">
        <v>1.7296506024096379E-5</v>
      </c>
      <c r="DK34" s="3" t="s">
        <v>40</v>
      </c>
      <c r="DL34" s="4">
        <f>CQ1</f>
        <v>3406.5437900327897</v>
      </c>
      <c r="DM34" s="5" t="str">
        <f t="shared" si="11"/>
        <v>OK</v>
      </c>
      <c r="DN34" s="6">
        <f>IF('Lines-v8'!DL34=old!DL34,0,1)</f>
        <v>0</v>
      </c>
      <c r="DO34" s="6">
        <f>IF('Result-v12'!E35=old!DL34,0,1)</f>
        <v>1</v>
      </c>
    </row>
    <row r="35" spans="1:119" ht="16.2" thickBot="1" x14ac:dyDescent="0.35">
      <c r="A35" s="13" t="s">
        <v>380</v>
      </c>
      <c r="B35" s="13" t="s">
        <v>129</v>
      </c>
      <c r="C35" s="13" t="s">
        <v>166</v>
      </c>
      <c r="D35" s="13" t="s">
        <v>364</v>
      </c>
      <c r="E35" s="13">
        <v>8.3000000000000007</v>
      </c>
      <c r="F35" s="6">
        <v>-2.1475750000000001E-3</v>
      </c>
      <c r="G35" s="6">
        <v>-2.1505629999999999E-3</v>
      </c>
      <c r="H35" s="6">
        <v>3.5999999999997294E-7</v>
      </c>
      <c r="I35" s="6">
        <v>-3.0993570000000001E-3</v>
      </c>
      <c r="J35" s="6">
        <v>-3.0974100000000001E-3</v>
      </c>
      <c r="K35" s="6">
        <v>2.3457831325300879E-7</v>
      </c>
      <c r="L35" s="6">
        <v>-2.7614979999999998E-3</v>
      </c>
      <c r="M35" s="6">
        <v>-2.7620190000000001E-3</v>
      </c>
      <c r="N35" s="6">
        <v>6.2771084337384169E-8</v>
      </c>
      <c r="O35" s="6">
        <v>-3.6772829999999999E-3</v>
      </c>
      <c r="P35" s="6">
        <v>-3.674666E-3</v>
      </c>
      <c r="Q35" s="6">
        <v>3.1530120481926472E-7</v>
      </c>
      <c r="R35" s="6">
        <v>-2.8227069999999998E-3</v>
      </c>
      <c r="S35" s="6">
        <v>-2.858991E-3</v>
      </c>
      <c r="T35" s="6">
        <v>4.3715662650602576E-6</v>
      </c>
      <c r="U35" s="6">
        <v>-3.5627520000000002E-3</v>
      </c>
      <c r="V35" s="6">
        <v>-3.5658479999999999E-3</v>
      </c>
      <c r="W35" s="6">
        <v>3.7301204819273991E-7</v>
      </c>
      <c r="X35" s="6">
        <v>-2.8897749999999998E-3</v>
      </c>
      <c r="Y35" s="6">
        <v>-2.8554700000000001E-3</v>
      </c>
      <c r="Z35" s="6">
        <v>4.1331325301204417E-6</v>
      </c>
      <c r="AA35" s="6">
        <v>-3.5254819999999999E-3</v>
      </c>
      <c r="AB35" s="6">
        <v>-3.5690320000000002E-3</v>
      </c>
      <c r="AC35" s="6">
        <v>5.2469879518072613E-6</v>
      </c>
      <c r="AD35" s="6">
        <v>-4.3072099999999997E-3</v>
      </c>
      <c r="AE35" s="6">
        <v>-4.2663370000000003E-3</v>
      </c>
      <c r="AF35" s="6">
        <v>4.9244578313252319E-6</v>
      </c>
      <c r="AG35" s="6">
        <v>-3.5654620000000001E-3</v>
      </c>
      <c r="AH35" s="6">
        <v>-3.5583289999999998E-3</v>
      </c>
      <c r="AI35" s="6">
        <v>8.5939759036148341E-7</v>
      </c>
      <c r="AJ35" s="6">
        <v>-4.2401410000000002E-3</v>
      </c>
      <c r="AK35" s="6">
        <v>-4.2698579999999996E-3</v>
      </c>
      <c r="AL35" s="6">
        <v>3.5803614457830619E-6</v>
      </c>
      <c r="AM35" s="6">
        <v>-3.604435E-3</v>
      </c>
      <c r="AN35" s="6">
        <v>-3.556296E-3</v>
      </c>
      <c r="AO35" s="6">
        <v>5.7998795180722881E-6</v>
      </c>
      <c r="AP35" s="6" t="s">
        <v>381</v>
      </c>
      <c r="AQ35" s="6">
        <v>-2.505728E-3</v>
      </c>
      <c r="AR35" s="6">
        <v>4.3667469879518003E-6</v>
      </c>
      <c r="AS35" s="6">
        <v>-3.2112310000000002E-3</v>
      </c>
      <c r="AT35" s="6">
        <v>-3.213736E-3</v>
      </c>
      <c r="AU35" s="6">
        <v>3.0180722891564678E-7</v>
      </c>
      <c r="AV35" s="6">
        <v>-2.5365520000000001E-3</v>
      </c>
      <c r="AW35" s="6">
        <v>-2.5022070000000002E-3</v>
      </c>
      <c r="AX35" s="6">
        <v>4.137951807228899E-6</v>
      </c>
      <c r="AY35" s="6">
        <v>-3.1722590000000002E-3</v>
      </c>
      <c r="AZ35" s="6">
        <v>-3.2157700000000002E-3</v>
      </c>
      <c r="BA35" s="6">
        <v>5.2422891566265035E-6</v>
      </c>
      <c r="BB35" s="6">
        <v>-3.9539859999999996E-3</v>
      </c>
      <c r="BC35" s="6">
        <v>-3.9130750000000002E-3</v>
      </c>
      <c r="BD35" s="6">
        <v>4.9290361445782376E-6</v>
      </c>
      <c r="BE35" s="6">
        <v>-3.212239E-3</v>
      </c>
      <c r="BF35" s="6">
        <v>-3.2050659999999999E-3</v>
      </c>
      <c r="BG35" s="6">
        <v>8.6421686746988847E-7</v>
      </c>
      <c r="BH35" s="6">
        <v>-3.8869180000000001E-3</v>
      </c>
      <c r="BI35" s="6">
        <v>-3.9165950000000001E-3</v>
      </c>
      <c r="BJ35" s="6">
        <v>3.5755421686747092E-6</v>
      </c>
      <c r="BK35" s="6">
        <v>-3.2512119999999999E-3</v>
      </c>
      <c r="BL35" s="6">
        <v>-3.2030330000000001E-3</v>
      </c>
      <c r="BM35" s="6">
        <v>5.8046987951806929E-6</v>
      </c>
      <c r="BN35" s="6">
        <v>-3.7543770000000001E-3</v>
      </c>
      <c r="BO35" s="6">
        <v>-3.7637019999999998E-3</v>
      </c>
      <c r="BP35" s="6">
        <v>1.1234939759035781E-6</v>
      </c>
      <c r="BQ35" s="6">
        <v>-3.9769009999999997E-3</v>
      </c>
      <c r="BR35" s="6">
        <v>-3.9761049999999997E-3</v>
      </c>
      <c r="BS35" s="6">
        <v>9.5903614457826072E-8</v>
      </c>
      <c r="BT35" s="6">
        <v>-3.7744969999999999E-3</v>
      </c>
      <c r="BU35" s="6">
        <v>-3.7626460000000001E-3</v>
      </c>
      <c r="BV35" s="6">
        <v>1.4278313253011792E-6</v>
      </c>
      <c r="BW35" s="6">
        <v>-3.9652089999999999E-3</v>
      </c>
      <c r="BX35" s="6">
        <v>-3.9767149999999996E-3</v>
      </c>
      <c r="BY35" s="6">
        <v>1.386265060240924E-6</v>
      </c>
      <c r="BZ35" s="6">
        <v>-4.1997270000000003E-3</v>
      </c>
      <c r="CA35" s="6">
        <v>-4.1859059999999997E-3</v>
      </c>
      <c r="CB35" s="6">
        <v>1.6651807228916463E-6</v>
      </c>
      <c r="CC35" s="6">
        <v>-3.9772030000000003E-3</v>
      </c>
      <c r="CD35" s="6">
        <v>-3.9735040000000001E-3</v>
      </c>
      <c r="CE35" s="6">
        <v>4.4566265060243811E-7</v>
      </c>
      <c r="CF35" s="6">
        <v>-4.1796070000000001E-3</v>
      </c>
      <c r="CG35" s="6">
        <v>-4.1869619999999998E-3</v>
      </c>
      <c r="CH35" s="6">
        <v>8.8614457831321532E-7</v>
      </c>
      <c r="CI35" s="6">
        <v>-3.9888950000000001E-3</v>
      </c>
      <c r="CJ35" s="6">
        <v>-3.9728940000000003E-3</v>
      </c>
      <c r="CK35" s="6">
        <v>1.927831325301188E-6</v>
      </c>
      <c r="CL35" s="6">
        <v>-2.576966E-3</v>
      </c>
      <c r="CM35" s="6">
        <v>-2.5861590000000002E-3</v>
      </c>
      <c r="CN35" s="6">
        <v>1.1075903614458098E-6</v>
      </c>
      <c r="CO35" s="6">
        <v>-2.79949E-3</v>
      </c>
      <c r="CP35" s="6">
        <v>-2.7985620000000001E-3</v>
      </c>
      <c r="CQ35" s="6">
        <v>1.1180722891564654E-7</v>
      </c>
      <c r="CR35" s="6">
        <v>-2.5970860000000002E-3</v>
      </c>
      <c r="CS35" s="6">
        <v>-2.5851030000000001E-3</v>
      </c>
      <c r="CT35" s="6">
        <v>1.4437349397590519E-6</v>
      </c>
      <c r="CU35" s="6">
        <v>-2.7877980000000002E-3</v>
      </c>
      <c r="CV35" s="6">
        <v>-2.799171E-3</v>
      </c>
      <c r="CW35" s="6">
        <v>1.3702409638554038E-6</v>
      </c>
      <c r="CX35" s="6">
        <v>-3.0223170000000001E-3</v>
      </c>
      <c r="CY35" s="6">
        <v>-3.008363E-3</v>
      </c>
      <c r="CZ35" s="6">
        <v>1.6812048192771143E-6</v>
      </c>
      <c r="DA35" s="6">
        <v>-2.7997920000000002E-3</v>
      </c>
      <c r="DB35" s="6">
        <v>-2.795961E-3</v>
      </c>
      <c r="DC35" s="6">
        <v>4.6156626506025859E-7</v>
      </c>
      <c r="DD35" s="6">
        <v>-3.0021959999999999E-3</v>
      </c>
      <c r="DE35" s="6">
        <v>-3.0094190000000002E-3</v>
      </c>
      <c r="DF35" s="6">
        <v>8.7024096385544715E-7</v>
      </c>
      <c r="DG35" s="6">
        <v>-2.8114839999999999E-3</v>
      </c>
      <c r="DH35" s="6">
        <v>-2.7953510000000002E-3</v>
      </c>
      <c r="DI35" s="6">
        <v>1.9437349397590088E-6</v>
      </c>
      <c r="DK35" s="3" t="s">
        <v>41</v>
      </c>
      <c r="DL35" s="4">
        <f>CT1</f>
        <v>3262.6294025645998</v>
      </c>
      <c r="DM35" s="5" t="str">
        <f t="shared" si="11"/>
        <v>OK</v>
      </c>
      <c r="DN35" s="6">
        <f>IF('Lines-v8'!DL35=old!DL35,0,1)</f>
        <v>0</v>
      </c>
      <c r="DO35" s="6">
        <f>IF('Result-v12'!E36=old!DL35,0,1)</f>
        <v>1</v>
      </c>
    </row>
    <row r="36" spans="1:119" ht="16.2" thickBot="1" x14ac:dyDescent="0.35">
      <c r="A36" s="13" t="s">
        <v>382</v>
      </c>
      <c r="B36" s="13" t="s">
        <v>166</v>
      </c>
      <c r="C36" s="13" t="s">
        <v>207</v>
      </c>
      <c r="D36" s="13" t="s">
        <v>364</v>
      </c>
      <c r="E36" s="13">
        <v>8.3000000000000007</v>
      </c>
      <c r="F36" s="6">
        <v>-2.1505629999999999E-3</v>
      </c>
      <c r="G36" s="6">
        <v>-2.1587260000000001E-3</v>
      </c>
      <c r="H36" s="6">
        <v>9.8349397590364656E-7</v>
      </c>
      <c r="I36" s="6">
        <v>-3.0974100000000001E-3</v>
      </c>
      <c r="J36" s="6">
        <v>-3.1115589999999999E-3</v>
      </c>
      <c r="K36" s="6">
        <v>1.7046987951806937E-6</v>
      </c>
      <c r="L36" s="6">
        <v>-2.7620190000000001E-3</v>
      </c>
      <c r="M36" s="6">
        <v>-2.7717140000000002E-3</v>
      </c>
      <c r="N36" s="6">
        <v>1.1680722891566389E-6</v>
      </c>
      <c r="O36" s="6">
        <v>-3.674666E-3</v>
      </c>
      <c r="P36" s="6">
        <v>-3.688803E-3</v>
      </c>
      <c r="Q36" s="6">
        <v>1.7032530120481931E-6</v>
      </c>
      <c r="R36" s="6">
        <v>-2.858991E-3</v>
      </c>
      <c r="S36" s="6">
        <v>-2.9115090000000001E-3</v>
      </c>
      <c r="T36" s="6">
        <v>6.3274698795180831E-6</v>
      </c>
      <c r="U36" s="6">
        <v>-3.5658479999999999E-3</v>
      </c>
      <c r="V36" s="6">
        <v>-3.5853949999999999E-3</v>
      </c>
      <c r="W36" s="6">
        <v>2.3550602409638514E-6</v>
      </c>
      <c r="X36" s="6">
        <v>-2.8554700000000001E-3</v>
      </c>
      <c r="Y36" s="6">
        <v>-2.8382160000000002E-3</v>
      </c>
      <c r="Z36" s="6">
        <v>2.0787951807228873E-6</v>
      </c>
      <c r="AA36" s="6">
        <v>-3.5690320000000002E-3</v>
      </c>
      <c r="AB36" s="6">
        <v>-3.6283130000000002E-3</v>
      </c>
      <c r="AC36" s="6">
        <v>7.1422891566265056E-6</v>
      </c>
      <c r="AD36" s="6">
        <v>-4.2663370000000003E-3</v>
      </c>
      <c r="AE36" s="6">
        <v>-4.2432900000000003E-3</v>
      </c>
      <c r="AF36" s="6">
        <v>2.7767469879518066E-6</v>
      </c>
      <c r="AG36" s="6">
        <v>-3.5583289999999998E-3</v>
      </c>
      <c r="AH36" s="6">
        <v>-3.5690660000000001E-3</v>
      </c>
      <c r="AI36" s="6">
        <v>1.2936144578313548E-6</v>
      </c>
      <c r="AJ36" s="6">
        <v>-4.2698579999999996E-3</v>
      </c>
      <c r="AK36" s="6">
        <v>-4.3165820000000002E-3</v>
      </c>
      <c r="AL36" s="6">
        <v>5.6293975903615168E-6</v>
      </c>
      <c r="AM36" s="6">
        <v>-3.556296E-3</v>
      </c>
      <c r="AN36" s="6">
        <v>-3.5264860000000001E-3</v>
      </c>
      <c r="AO36" s="6">
        <v>3.5915662650602295E-6</v>
      </c>
      <c r="AP36" s="6">
        <v>-2.505728E-3</v>
      </c>
      <c r="AQ36" s="6">
        <v>-2.5570839999999998E-3</v>
      </c>
      <c r="AR36" s="6">
        <v>6.1874698795180472E-6</v>
      </c>
      <c r="AS36" s="6">
        <v>-3.213736E-3</v>
      </c>
      <c r="AT36" s="6">
        <v>-3.231308E-3</v>
      </c>
      <c r="AU36" s="6">
        <v>2.1171084337349379E-6</v>
      </c>
      <c r="AV36" s="6">
        <v>-2.5022070000000002E-3</v>
      </c>
      <c r="AW36" s="6">
        <v>-2.483791E-3</v>
      </c>
      <c r="AX36" s="6">
        <v>2.2187951807229233E-6</v>
      </c>
      <c r="AY36" s="6">
        <v>-3.2157700000000002E-3</v>
      </c>
      <c r="AZ36" s="6">
        <v>-3.273888E-3</v>
      </c>
      <c r="BA36" s="6">
        <v>7.0021686746987701E-6</v>
      </c>
      <c r="BB36" s="6">
        <v>-3.9130750000000002E-3</v>
      </c>
      <c r="BC36" s="6">
        <v>-3.888865E-3</v>
      </c>
      <c r="BD36" s="6">
        <v>2.9168674698795425E-6</v>
      </c>
      <c r="BE36" s="6">
        <v>-3.2050659999999999E-3</v>
      </c>
      <c r="BF36" s="6">
        <v>-3.2146409999999999E-3</v>
      </c>
      <c r="BG36" s="6">
        <v>1.1536144578313189E-6</v>
      </c>
      <c r="BH36" s="6">
        <v>-3.9165950000000001E-3</v>
      </c>
      <c r="BI36" s="6">
        <v>-3.962157E-3</v>
      </c>
      <c r="BJ36" s="6">
        <v>5.4893975903614284E-6</v>
      </c>
      <c r="BK36" s="6">
        <v>-3.2030330000000001E-3</v>
      </c>
      <c r="BL36" s="6">
        <v>-3.1720609999999999E-3</v>
      </c>
      <c r="BM36" s="6">
        <v>3.7315662650602654E-6</v>
      </c>
      <c r="BN36" s="6">
        <v>-3.7637019999999998E-3</v>
      </c>
      <c r="BO36" s="6">
        <v>-3.7911279999999999E-3</v>
      </c>
      <c r="BP36" s="6">
        <v>3.3043373493976021E-6</v>
      </c>
      <c r="BQ36" s="6">
        <v>-3.9761049999999997E-3</v>
      </c>
      <c r="BR36" s="6">
        <v>-3.9933959999999998E-3</v>
      </c>
      <c r="BS36" s="6">
        <v>2.0832530120481935E-6</v>
      </c>
      <c r="BT36" s="6">
        <v>-3.7626460000000001E-3</v>
      </c>
      <c r="BU36" s="6">
        <v>-3.7691399999999998E-3</v>
      </c>
      <c r="BV36" s="6">
        <v>7.8240963855417876E-7</v>
      </c>
      <c r="BW36" s="6">
        <v>-3.9767149999999996E-3</v>
      </c>
      <c r="BX36" s="6">
        <v>-4.0061699999999999E-3</v>
      </c>
      <c r="BY36" s="6">
        <v>3.5487951807229249E-6</v>
      </c>
      <c r="BZ36" s="6">
        <v>-4.1859059999999997E-3</v>
      </c>
      <c r="CA36" s="6">
        <v>-4.1906620000000004E-3</v>
      </c>
      <c r="CB36" s="6">
        <v>5.7301204819285843E-7</v>
      </c>
      <c r="CC36" s="6">
        <v>-3.9735040000000001E-3</v>
      </c>
      <c r="CD36" s="6">
        <v>-3.9883949999999996E-3</v>
      </c>
      <c r="CE36" s="6">
        <v>1.7940963855421102E-6</v>
      </c>
      <c r="CF36" s="6">
        <v>-4.1869619999999998E-3</v>
      </c>
      <c r="CG36" s="6">
        <v>-4.2126500000000001E-3</v>
      </c>
      <c r="CH36" s="6">
        <v>3.0949397590361773E-6</v>
      </c>
      <c r="CI36" s="6">
        <v>-3.9728940000000003E-3</v>
      </c>
      <c r="CJ36" s="6">
        <v>-3.9756210000000004E-3</v>
      </c>
      <c r="CK36" s="6">
        <v>3.2855421686748324E-7</v>
      </c>
      <c r="CL36" s="6">
        <v>-2.5861590000000002E-3</v>
      </c>
      <c r="CM36" s="6">
        <v>-2.6097109999999998E-3</v>
      </c>
      <c r="CN36" s="6">
        <v>2.8375903614457348E-6</v>
      </c>
      <c r="CO36" s="6">
        <v>-2.7985620000000001E-3</v>
      </c>
      <c r="CP36" s="6">
        <v>-2.811979E-3</v>
      </c>
      <c r="CQ36" s="6">
        <v>1.6165060240963785E-6</v>
      </c>
      <c r="CR36" s="6">
        <v>-2.5851030000000001E-3</v>
      </c>
      <c r="CS36" s="6">
        <v>-2.587724E-3</v>
      </c>
      <c r="CT36" s="6">
        <v>3.1578313253011564E-7</v>
      </c>
      <c r="CU36" s="6">
        <v>-2.799171E-3</v>
      </c>
      <c r="CV36" s="6">
        <v>-2.8247519999999998E-3</v>
      </c>
      <c r="CW36" s="6">
        <v>3.0820481927710577E-6</v>
      </c>
      <c r="CX36" s="6">
        <v>-3.008363E-3</v>
      </c>
      <c r="CY36" s="6">
        <v>-3.0092449999999998E-3</v>
      </c>
      <c r="CZ36" s="6">
        <v>1.0626506024093886E-7</v>
      </c>
      <c r="DA36" s="6">
        <v>-2.795961E-3</v>
      </c>
      <c r="DB36" s="6">
        <v>-2.8069779999999999E-3</v>
      </c>
      <c r="DC36" s="6">
        <v>1.3273493975903474E-6</v>
      </c>
      <c r="DD36" s="6">
        <v>-3.0094190000000002E-3</v>
      </c>
      <c r="DE36" s="6">
        <v>-3.0312329999999999E-3</v>
      </c>
      <c r="DF36" s="6">
        <v>2.6281927710843101E-6</v>
      </c>
      <c r="DG36" s="6">
        <v>-2.7953510000000002E-3</v>
      </c>
      <c r="DH36" s="6">
        <v>-2.7942039999999998E-3</v>
      </c>
      <c r="DI36" s="6">
        <v>1.38192771084384E-7</v>
      </c>
      <c r="DK36" s="3" t="s">
        <v>42</v>
      </c>
      <c r="DL36" s="4">
        <f>CW1</f>
        <v>3408.94426474699</v>
      </c>
      <c r="DM36" s="5" t="str">
        <f t="shared" si="11"/>
        <v>OK</v>
      </c>
      <c r="DN36" s="6">
        <f>IF('Lines-v8'!DL36=old!DL36,0,1)</f>
        <v>0</v>
      </c>
      <c r="DO36" s="6">
        <f>IF('Result-v12'!E37=old!DL36,0,1)</f>
        <v>1</v>
      </c>
    </row>
    <row r="37" spans="1:119" ht="16.2" thickBot="1" x14ac:dyDescent="0.35">
      <c r="A37" s="13" t="s">
        <v>383</v>
      </c>
      <c r="B37" s="13" t="s">
        <v>207</v>
      </c>
      <c r="C37" s="13" t="s">
        <v>248</v>
      </c>
      <c r="D37" s="13" t="s">
        <v>364</v>
      </c>
      <c r="E37" s="13">
        <v>8.3000000000000007</v>
      </c>
      <c r="F37" s="6">
        <v>-2.1587260000000001E-3</v>
      </c>
      <c r="G37" s="6">
        <v>-2.1227849999999999E-3</v>
      </c>
      <c r="H37" s="6">
        <v>4.3302409638554543E-6</v>
      </c>
      <c r="I37" s="6">
        <v>-3.1115589999999999E-3</v>
      </c>
      <c r="J37" s="6">
        <v>-3.060381E-3</v>
      </c>
      <c r="K37" s="6">
        <v>6.1660240963855195E-6</v>
      </c>
      <c r="L37" s="6">
        <v>-2.7717140000000002E-3</v>
      </c>
      <c r="M37" s="6">
        <v>-2.7357229999999998E-3</v>
      </c>
      <c r="N37" s="6">
        <v>4.3362650602410124E-6</v>
      </c>
      <c r="O37" s="6">
        <v>-3.688803E-3</v>
      </c>
      <c r="P37" s="6">
        <v>-3.640094E-3</v>
      </c>
      <c r="Q37" s="6">
        <v>5.8685542168674786E-6</v>
      </c>
      <c r="R37" s="6">
        <v>-2.9115090000000001E-3</v>
      </c>
      <c r="S37" s="6">
        <v>-2.8930940000000001E-3</v>
      </c>
      <c r="T37" s="6">
        <v>2.2186746987951716E-6</v>
      </c>
      <c r="U37" s="6">
        <v>-3.5853949999999999E-3</v>
      </c>
      <c r="V37" s="6">
        <v>-3.5900459999999999E-3</v>
      </c>
      <c r="W37" s="6">
        <v>5.6036144578313815E-7</v>
      </c>
      <c r="X37" s="6">
        <v>-2.8382160000000002E-3</v>
      </c>
      <c r="Y37" s="6">
        <v>-2.7544520000000001E-3</v>
      </c>
      <c r="Z37" s="6">
        <v>1.0092048192771091E-5</v>
      </c>
      <c r="AA37" s="6">
        <v>-3.6283130000000002E-3</v>
      </c>
      <c r="AB37" s="6">
        <v>-3.6691369999999998E-3</v>
      </c>
      <c r="AC37" s="6">
        <v>4.9185542168674258E-6</v>
      </c>
      <c r="AD37" s="6">
        <v>-4.2432900000000003E-3</v>
      </c>
      <c r="AE37" s="6">
        <v>-4.157595E-3</v>
      </c>
      <c r="AF37" s="6">
        <v>1.0324698795180749E-5</v>
      </c>
      <c r="AG37" s="6">
        <v>-3.5690660000000001E-3</v>
      </c>
      <c r="AH37" s="6">
        <v>-3.4621360000000002E-3</v>
      </c>
      <c r="AI37" s="6">
        <v>1.2883132530120465E-5</v>
      </c>
      <c r="AJ37" s="6">
        <v>-4.3165820000000002E-3</v>
      </c>
      <c r="AK37" s="6">
        <v>-4.296238E-3</v>
      </c>
      <c r="AL37" s="6">
        <v>2.4510843373494294E-6</v>
      </c>
      <c r="AM37" s="6">
        <v>-3.5264860000000001E-3</v>
      </c>
      <c r="AN37" s="6">
        <v>-3.3815519999999999E-3</v>
      </c>
      <c r="AO37" s="6">
        <v>1.7461927710843399E-5</v>
      </c>
      <c r="AP37" s="6">
        <v>-2.5570839999999998E-3</v>
      </c>
      <c r="AQ37" s="6">
        <v>-2.5428949999999999E-3</v>
      </c>
      <c r="AR37" s="6">
        <v>1.709518072289151E-6</v>
      </c>
      <c r="AS37" s="6">
        <v>-3.231308E-3</v>
      </c>
      <c r="AT37" s="6">
        <v>-3.2383540000000001E-3</v>
      </c>
      <c r="AU37" s="6">
        <v>8.4891566265061871E-7</v>
      </c>
      <c r="AV37" s="6">
        <v>-2.483791E-3</v>
      </c>
      <c r="AW37" s="6">
        <v>-2.4042529999999999E-3</v>
      </c>
      <c r="AX37" s="6">
        <v>9.5828915662650708E-6</v>
      </c>
      <c r="AY37" s="6">
        <v>-3.273888E-3</v>
      </c>
      <c r="AZ37" s="6">
        <v>-3.318938E-3</v>
      </c>
      <c r="BA37" s="6">
        <v>5.4277108433734977E-6</v>
      </c>
      <c r="BB37" s="6">
        <v>-3.888865E-3</v>
      </c>
      <c r="BC37" s="6">
        <v>-3.8073959999999998E-3</v>
      </c>
      <c r="BD37" s="6">
        <v>9.8155421686747269E-6</v>
      </c>
      <c r="BE37" s="6">
        <v>-3.2146409999999999E-3</v>
      </c>
      <c r="BF37" s="6">
        <v>-3.111936E-3</v>
      </c>
      <c r="BG37" s="6">
        <v>1.2374096385542145E-5</v>
      </c>
      <c r="BH37" s="6">
        <v>-3.962157E-3</v>
      </c>
      <c r="BI37" s="6">
        <v>-3.9460379999999998E-3</v>
      </c>
      <c r="BJ37" s="6">
        <v>1.9420481927711084E-6</v>
      </c>
      <c r="BK37" s="6">
        <v>-3.1720609999999999E-3</v>
      </c>
      <c r="BL37" s="6">
        <v>-3.0313530000000001E-3</v>
      </c>
      <c r="BM37" s="6">
        <v>1.6952771084337324E-5</v>
      </c>
      <c r="BN37" s="6">
        <v>-3.7911279999999999E-3</v>
      </c>
      <c r="BO37" s="6">
        <v>-3.7442349999999998E-3</v>
      </c>
      <c r="BP37" s="6">
        <v>5.6497590361445908E-6</v>
      </c>
      <c r="BQ37" s="6">
        <v>-3.9933959999999998E-3</v>
      </c>
      <c r="BR37" s="6">
        <v>-3.952873E-3</v>
      </c>
      <c r="BS37" s="6">
        <v>4.8822891566264781E-6</v>
      </c>
      <c r="BT37" s="6">
        <v>-3.7691399999999998E-3</v>
      </c>
      <c r="BU37" s="6">
        <v>-3.7026429999999998E-3</v>
      </c>
      <c r="BV37" s="6">
        <v>8.0116867469879511E-6</v>
      </c>
      <c r="BW37" s="6">
        <v>-4.0061699999999999E-3</v>
      </c>
      <c r="BX37" s="6">
        <v>-3.9770480000000004E-3</v>
      </c>
      <c r="BY37" s="6">
        <v>3.5086746987951182E-6</v>
      </c>
      <c r="BZ37" s="6">
        <v>-4.1906620000000004E-3</v>
      </c>
      <c r="CA37" s="6">
        <v>-4.1235860000000003E-3</v>
      </c>
      <c r="CB37" s="6">
        <v>8.0814457831325429E-6</v>
      </c>
      <c r="CC37" s="6">
        <v>-3.9883949999999996E-3</v>
      </c>
      <c r="CD37" s="6">
        <v>-3.9149479999999997E-3</v>
      </c>
      <c r="CE37" s="6">
        <v>8.8490361445783034E-6</v>
      </c>
      <c r="CF37" s="6">
        <v>-4.2126500000000001E-3</v>
      </c>
      <c r="CG37" s="6">
        <v>-4.1651789999999998E-3</v>
      </c>
      <c r="CH37" s="6">
        <v>5.7193975903614838E-6</v>
      </c>
      <c r="CI37" s="6">
        <v>-3.9756210000000004E-3</v>
      </c>
      <c r="CJ37" s="6">
        <v>-3.8907730000000001E-3</v>
      </c>
      <c r="CK37" s="6">
        <v>1.0222650602409664E-5</v>
      </c>
      <c r="CL37" s="6">
        <v>-2.6097109999999998E-3</v>
      </c>
      <c r="CM37" s="6">
        <v>-2.576905E-3</v>
      </c>
      <c r="CN37" s="6">
        <v>3.952530120481904E-6</v>
      </c>
      <c r="CO37" s="6">
        <v>-2.811979E-3</v>
      </c>
      <c r="CP37" s="6">
        <v>-2.7855419999999998E-3</v>
      </c>
      <c r="CQ37" s="6">
        <v>3.1851807228915959E-6</v>
      </c>
      <c r="CR37" s="6">
        <v>-2.587724E-3</v>
      </c>
      <c r="CS37" s="6">
        <v>-2.5353120000000001E-3</v>
      </c>
      <c r="CT37" s="6">
        <v>6.314698795180716E-6</v>
      </c>
      <c r="CU37" s="6">
        <v>-2.8247519999999998E-3</v>
      </c>
      <c r="CV37" s="6">
        <v>-2.8097170000000002E-3</v>
      </c>
      <c r="CW37" s="6">
        <v>1.8114457831324835E-6</v>
      </c>
      <c r="CX37" s="6">
        <v>-3.0092449999999998E-3</v>
      </c>
      <c r="CY37" s="6">
        <v>-2.9562550000000001E-3</v>
      </c>
      <c r="CZ37" s="6">
        <v>6.3843373493975565E-6</v>
      </c>
      <c r="DA37" s="6">
        <v>-2.8069779999999999E-3</v>
      </c>
      <c r="DB37" s="6">
        <v>-2.7476169999999999E-3</v>
      </c>
      <c r="DC37" s="6">
        <v>7.1519277108433687E-6</v>
      </c>
      <c r="DD37" s="6">
        <v>-3.0312329999999999E-3</v>
      </c>
      <c r="DE37" s="6">
        <v>-2.997848E-3</v>
      </c>
      <c r="DF37" s="6">
        <v>4.0222891566264965E-6</v>
      </c>
      <c r="DG37" s="6">
        <v>-2.7942039999999998E-3</v>
      </c>
      <c r="DH37" s="6">
        <v>-2.723442E-3</v>
      </c>
      <c r="DI37" s="6">
        <v>8.5255421686746766E-6</v>
      </c>
      <c r="DK37" s="3" t="s">
        <v>43</v>
      </c>
      <c r="DL37" s="4">
        <f>CZ1</f>
        <v>2968.4119128592997</v>
      </c>
      <c r="DM37" s="5" t="str">
        <f t="shared" si="11"/>
        <v>OK</v>
      </c>
      <c r="DN37" s="6">
        <f>IF('Lines-v8'!DL37=old!DL37,0,1)</f>
        <v>0</v>
      </c>
      <c r="DO37" s="6">
        <f>IF('Result-v12'!E38=old!DL37,0,1)</f>
        <v>1</v>
      </c>
    </row>
    <row r="38" spans="1:119" ht="16.2" thickBot="1" x14ac:dyDescent="0.35">
      <c r="A38" s="13" t="s">
        <v>384</v>
      </c>
      <c r="B38" s="13" t="s">
        <v>56</v>
      </c>
      <c r="C38" s="13" t="s">
        <v>58</v>
      </c>
      <c r="D38" s="13" t="s">
        <v>350</v>
      </c>
      <c r="E38" s="13">
        <v>12.6</v>
      </c>
      <c r="F38" s="6">
        <v>-2.502729E-3</v>
      </c>
      <c r="G38" s="6">
        <v>-3.2207500000000001E-3</v>
      </c>
      <c r="H38" s="6">
        <v>5.6985793650793662E-5</v>
      </c>
      <c r="I38" s="6">
        <v>-3.126439E-3</v>
      </c>
      <c r="J38" s="6">
        <v>-3.9649459999999996E-3</v>
      </c>
      <c r="K38" s="6">
        <v>6.654817460317457E-5</v>
      </c>
      <c r="L38" s="6">
        <v>-2.8827739999999998E-3</v>
      </c>
      <c r="M38" s="6">
        <v>-3.598955E-3</v>
      </c>
      <c r="N38" s="6">
        <v>5.683976190476192E-5</v>
      </c>
      <c r="O38" s="6">
        <v>-3.4898709999999999E-3</v>
      </c>
      <c r="P38" s="6">
        <v>-4.326753E-3</v>
      </c>
      <c r="Q38" s="6">
        <v>6.641920634920636E-5</v>
      </c>
      <c r="R38" s="6">
        <v>-2.967557E-3</v>
      </c>
      <c r="S38" s="6">
        <v>-3.9183259999999998E-3</v>
      </c>
      <c r="T38" s="6">
        <v>7.5457857142857132E-5</v>
      </c>
      <c r="U38" s="6">
        <v>-2.7857229999999999E-3</v>
      </c>
      <c r="V38" s="6">
        <v>-3.4161080000000002E-3</v>
      </c>
      <c r="W38" s="6">
        <v>5.0030555555555573E-5</v>
      </c>
      <c r="X38" s="6">
        <v>-2.9903249999999998E-3</v>
      </c>
      <c r="Y38" s="6">
        <v>-3.9411899999999998E-3</v>
      </c>
      <c r="Z38" s="6">
        <v>7.5465476190476194E-5</v>
      </c>
      <c r="AA38" s="6">
        <v>-2.7755150000000001E-3</v>
      </c>
      <c r="AB38" s="6">
        <v>-3.3939579999999999E-3</v>
      </c>
      <c r="AC38" s="6">
        <v>4.9082777777777759E-5</v>
      </c>
      <c r="AD38" s="6">
        <v>-4.0083790000000003E-3</v>
      </c>
      <c r="AE38" s="6">
        <v>-4.8188780000000004E-3</v>
      </c>
      <c r="AF38" s="6">
        <v>6.4325317460317465E-5</v>
      </c>
      <c r="AG38" s="6">
        <v>-4.1872139999999999E-3</v>
      </c>
      <c r="AH38" s="6">
        <v>-5.3300129999999998E-3</v>
      </c>
      <c r="AI38" s="6">
        <v>9.0698333333333325E-5</v>
      </c>
      <c r="AJ38" s="6">
        <v>-3.9856099999999997E-3</v>
      </c>
      <c r="AK38" s="6">
        <v>-4.7960140000000004E-3</v>
      </c>
      <c r="AL38" s="6">
        <v>6.4317777777777839E-5</v>
      </c>
      <c r="AM38" s="6">
        <v>-4.2004210000000002E-3</v>
      </c>
      <c r="AN38" s="6">
        <v>-5.3432460000000003E-3</v>
      </c>
      <c r="AO38" s="6">
        <v>9.0700396825396838E-5</v>
      </c>
      <c r="AP38" s="6">
        <v>-2.607884E-3</v>
      </c>
      <c r="AQ38" s="6">
        <v>-3.4727730000000002E-3</v>
      </c>
      <c r="AR38" s="6">
        <v>6.8641984126984151E-5</v>
      </c>
      <c r="AS38" s="6">
        <v>-2.4290499999999999E-3</v>
      </c>
      <c r="AT38" s="6">
        <v>-2.9616379999999999E-3</v>
      </c>
      <c r="AU38" s="6">
        <v>4.2268888888888896E-5</v>
      </c>
      <c r="AV38" s="6">
        <v>-2.6306530000000002E-3</v>
      </c>
      <c r="AW38" s="6">
        <v>-3.4956380000000001E-3</v>
      </c>
      <c r="AX38" s="6">
        <v>6.8649603174603173E-5</v>
      </c>
      <c r="AY38" s="6">
        <v>-2.4158420000000001E-3</v>
      </c>
      <c r="AZ38" s="6">
        <v>-2.9484049999999999E-3</v>
      </c>
      <c r="BA38" s="6">
        <v>4.2266904761904745E-5</v>
      </c>
      <c r="BB38" s="6">
        <v>-3.6487070000000002E-3</v>
      </c>
      <c r="BC38" s="6">
        <v>-4.3733260000000003E-3</v>
      </c>
      <c r="BD38" s="6">
        <v>5.7509444444444458E-5</v>
      </c>
      <c r="BE38" s="6">
        <v>-3.8275420000000002E-3</v>
      </c>
      <c r="BF38" s="6">
        <v>-4.8844600000000002E-3</v>
      </c>
      <c r="BG38" s="6">
        <v>8.3882380952380949E-5</v>
      </c>
      <c r="BH38" s="6">
        <v>-3.625938E-3</v>
      </c>
      <c r="BI38" s="6">
        <v>-4.3504609999999999E-3</v>
      </c>
      <c r="BJ38" s="6">
        <v>5.7501825396825395E-5</v>
      </c>
      <c r="BK38" s="6">
        <v>-3.8407490000000001E-3</v>
      </c>
      <c r="BL38" s="6">
        <v>-4.8976929999999998E-3</v>
      </c>
      <c r="BM38" s="6">
        <v>8.3884444444444435E-5</v>
      </c>
      <c r="BN38" s="6">
        <v>-3.7514620000000001E-3</v>
      </c>
      <c r="BO38" s="6">
        <v>-4.7533310000000004E-3</v>
      </c>
      <c r="BP38" s="6">
        <v>7.9513412698412725E-5</v>
      </c>
      <c r="BQ38" s="6">
        <v>-3.697812E-3</v>
      </c>
      <c r="BR38" s="6">
        <v>-4.59999E-3</v>
      </c>
      <c r="BS38" s="6">
        <v>7.1601428571428571E-5</v>
      </c>
      <c r="BT38" s="6">
        <v>-3.7582929999999998E-3</v>
      </c>
      <c r="BU38" s="6">
        <v>-4.7601900000000001E-3</v>
      </c>
      <c r="BV38" s="6">
        <v>7.9515634920634948E-5</v>
      </c>
      <c r="BW38" s="6">
        <v>-3.6938499999999998E-3</v>
      </c>
      <c r="BX38" s="6">
        <v>-4.5960200000000001E-3</v>
      </c>
      <c r="BY38" s="6">
        <v>7.1600793650793677E-5</v>
      </c>
      <c r="BZ38" s="6">
        <v>-4.0637090000000004E-3</v>
      </c>
      <c r="CA38" s="6">
        <v>-5.0234959999999997E-3</v>
      </c>
      <c r="CB38" s="6">
        <v>7.6173571428571376E-5</v>
      </c>
      <c r="CC38" s="6">
        <v>-4.1173590000000001E-3</v>
      </c>
      <c r="CD38" s="6">
        <v>-5.1768370000000001E-3</v>
      </c>
      <c r="CE38" s="6">
        <v>8.4085555555555558E-5</v>
      </c>
      <c r="CF38" s="6">
        <v>-4.0568779999999999E-3</v>
      </c>
      <c r="CG38" s="6">
        <v>-5.016637E-3</v>
      </c>
      <c r="CH38" s="6">
        <v>7.6171349206349221E-5</v>
      </c>
      <c r="CI38" s="6">
        <v>-4.1213220000000002E-3</v>
      </c>
      <c r="CJ38" s="6">
        <v>-5.1808059999999996E-3</v>
      </c>
      <c r="CK38" s="6">
        <v>8.4086031746031701E-5</v>
      </c>
      <c r="CL38" s="6">
        <v>-2.5525539999999998E-3</v>
      </c>
      <c r="CM38" s="6">
        <v>-3.268155E-3</v>
      </c>
      <c r="CN38" s="6">
        <v>5.6793730158730173E-5</v>
      </c>
      <c r="CO38" s="6">
        <v>-2.4989040000000001E-3</v>
      </c>
      <c r="CP38" s="6">
        <v>-3.1148149999999999E-3</v>
      </c>
      <c r="CQ38" s="6">
        <v>4.888182539682538E-5</v>
      </c>
      <c r="CR38" s="6">
        <v>-2.559385E-3</v>
      </c>
      <c r="CS38" s="6">
        <v>-3.2750140000000001E-3</v>
      </c>
      <c r="CT38" s="6">
        <v>5.6795952380952396E-5</v>
      </c>
      <c r="CU38" s="6">
        <v>-2.494942E-3</v>
      </c>
      <c r="CV38" s="6">
        <v>-3.1108450000000001E-3</v>
      </c>
      <c r="CW38" s="6">
        <v>4.8881190476190486E-5</v>
      </c>
      <c r="CX38" s="6">
        <v>-2.8648010000000002E-3</v>
      </c>
      <c r="CY38" s="6">
        <v>-3.5383210000000001E-3</v>
      </c>
      <c r="CZ38" s="6">
        <v>5.3453968253968253E-5</v>
      </c>
      <c r="DA38" s="6">
        <v>-2.9184520000000002E-3</v>
      </c>
      <c r="DB38" s="6">
        <v>-3.6916610000000002E-3</v>
      </c>
      <c r="DC38" s="6">
        <v>6.136579365079365E-5</v>
      </c>
      <c r="DD38" s="6">
        <v>-2.8579709999999999E-3</v>
      </c>
      <c r="DE38" s="6">
        <v>-3.5314610000000001E-3</v>
      </c>
      <c r="DF38" s="6">
        <v>5.3451587301587314E-5</v>
      </c>
      <c r="DG38" s="6">
        <v>-2.9224139999999999E-3</v>
      </c>
      <c r="DH38" s="6">
        <v>-3.695631E-3</v>
      </c>
      <c r="DI38" s="6">
        <v>6.1366428571428585E-5</v>
      </c>
      <c r="DK38" s="3" t="s">
        <v>44</v>
      </c>
      <c r="DL38" s="4">
        <f>DC1</f>
        <v>2861.4681558758239</v>
      </c>
      <c r="DM38" s="5" t="str">
        <f t="shared" si="11"/>
        <v>OK</v>
      </c>
      <c r="DN38" s="6">
        <f>IF('Lines-v8'!DL38=old!DL38,0,1)</f>
        <v>0</v>
      </c>
      <c r="DO38" s="6">
        <f>IF('Result-v12'!E39=old!DL38,0,1)</f>
        <v>1</v>
      </c>
    </row>
    <row r="39" spans="1:119" ht="16.2" thickBot="1" x14ac:dyDescent="0.35">
      <c r="A39" s="13" t="s">
        <v>385</v>
      </c>
      <c r="B39" s="13" t="s">
        <v>319</v>
      </c>
      <c r="C39" s="13" t="s">
        <v>320</v>
      </c>
      <c r="D39" s="13" t="s">
        <v>350</v>
      </c>
      <c r="E39" s="13">
        <v>7.1</v>
      </c>
      <c r="F39" s="6">
        <v>-1.40168E-3</v>
      </c>
      <c r="G39" s="6">
        <v>-1.438829E-3</v>
      </c>
      <c r="H39" s="6">
        <v>5.2322535211267595E-6</v>
      </c>
      <c r="I39" s="6">
        <v>-1.800484E-3</v>
      </c>
      <c r="J39" s="6">
        <v>-1.8281669999999999E-3</v>
      </c>
      <c r="K39" s="6">
        <v>3.8990140845070307E-6</v>
      </c>
      <c r="L39" s="6">
        <v>-1.815784E-3</v>
      </c>
      <c r="M39" s="6">
        <v>-1.846231E-3</v>
      </c>
      <c r="N39" s="6">
        <v>4.2883098591549397E-6</v>
      </c>
      <c r="O39" s="6">
        <v>-2.1951570000000001E-3</v>
      </c>
      <c r="P39" s="6">
        <v>-2.2163629999999998E-3</v>
      </c>
      <c r="Q39" s="6">
        <v>2.9867605633802455E-6</v>
      </c>
      <c r="R39" s="6">
        <v>-1.8457720000000001E-3</v>
      </c>
      <c r="S39" s="6">
        <v>-1.9066300000000001E-3</v>
      </c>
      <c r="T39" s="6">
        <v>8.5715492957746487E-6</v>
      </c>
      <c r="U39" s="6">
        <v>-2.3001050000000002E-3</v>
      </c>
      <c r="V39" s="6">
        <v>-2.3306860000000002E-3</v>
      </c>
      <c r="W39" s="6">
        <v>4.3071830985915512E-6</v>
      </c>
      <c r="X39" s="6">
        <v>-1.841746E-3</v>
      </c>
      <c r="Y39" s="6">
        <v>-1.9031E-3</v>
      </c>
      <c r="Z39" s="6">
        <v>8.6414084507042273E-6</v>
      </c>
      <c r="AA39" s="6">
        <v>-2.4085740000000001E-3</v>
      </c>
      <c r="AB39" s="6">
        <v>-2.432774E-3</v>
      </c>
      <c r="AC39" s="6">
        <v>3.4084507042253281E-6</v>
      </c>
      <c r="AD39" s="6">
        <v>-2.382679E-3</v>
      </c>
      <c r="AE39" s="6">
        <v>-2.37412E-3</v>
      </c>
      <c r="AF39" s="6">
        <v>1.2054929577464786E-6</v>
      </c>
      <c r="AG39" s="6">
        <v>-1.8222360000000001E-3</v>
      </c>
      <c r="AH39" s="6">
        <v>-1.850045E-3</v>
      </c>
      <c r="AI39" s="6">
        <v>3.9167605633802751E-6</v>
      </c>
      <c r="AJ39" s="6">
        <v>-2.3867060000000002E-3</v>
      </c>
      <c r="AK39" s="6">
        <v>-2.3776499999999998E-3</v>
      </c>
      <c r="AL39" s="6">
        <v>1.2754929577465271E-6</v>
      </c>
      <c r="AM39" s="6">
        <v>-1.819878E-3</v>
      </c>
      <c r="AN39" s="6">
        <v>-1.847975E-3</v>
      </c>
      <c r="AO39" s="6">
        <v>3.9573239436619625E-6</v>
      </c>
      <c r="AP39" s="6">
        <v>-1.6129600000000001E-3</v>
      </c>
      <c r="AQ39" s="6">
        <v>-1.670408E-3</v>
      </c>
      <c r="AR39" s="6">
        <v>8.0912676056337848E-6</v>
      </c>
      <c r="AS39" s="6">
        <v>-2.173403E-3</v>
      </c>
      <c r="AT39" s="6">
        <v>-2.1944830000000001E-3</v>
      </c>
      <c r="AU39" s="6">
        <v>2.9690140845070629E-6</v>
      </c>
      <c r="AV39" s="6">
        <v>-1.6089330000000001E-3</v>
      </c>
      <c r="AW39" s="6">
        <v>-1.6668779999999999E-3</v>
      </c>
      <c r="AX39" s="6">
        <v>8.1612676056337723E-6</v>
      </c>
      <c r="AY39" s="6">
        <v>-2.175761E-3</v>
      </c>
      <c r="AZ39" s="6">
        <v>-2.196553E-3</v>
      </c>
      <c r="BA39" s="6">
        <v>2.9284507042253445E-6</v>
      </c>
      <c r="BB39" s="6">
        <v>-2.1498670000000002E-3</v>
      </c>
      <c r="BC39" s="6">
        <v>-2.1378980000000001E-3</v>
      </c>
      <c r="BD39" s="6">
        <v>1.6857746478873422E-6</v>
      </c>
      <c r="BE39" s="6">
        <v>-1.589423E-3</v>
      </c>
      <c r="BF39" s="6">
        <v>-1.6138229999999999E-3</v>
      </c>
      <c r="BG39" s="6">
        <v>3.4366197183098514E-6</v>
      </c>
      <c r="BH39" s="6">
        <v>-2.153893E-3</v>
      </c>
      <c r="BI39" s="6">
        <v>-2.1414279999999999E-3</v>
      </c>
      <c r="BJ39" s="6">
        <v>1.7556338028169201E-6</v>
      </c>
      <c r="BK39" s="6">
        <v>-1.5870649999999999E-3</v>
      </c>
      <c r="BL39" s="6">
        <v>-1.6117530000000001E-3</v>
      </c>
      <c r="BM39" s="6">
        <v>3.4771830985915693E-6</v>
      </c>
      <c r="BN39" s="6">
        <v>-2.3053050000000001E-3</v>
      </c>
      <c r="BO39" s="6">
        <v>-2.3458429999999998E-3</v>
      </c>
      <c r="BP39" s="6">
        <v>5.7095774647886884E-6</v>
      </c>
      <c r="BQ39" s="6">
        <v>-2.4734380000000001E-3</v>
      </c>
      <c r="BR39" s="6">
        <v>-2.503066E-3</v>
      </c>
      <c r="BS39" s="6">
        <v>4.1729577464788535E-6</v>
      </c>
      <c r="BT39" s="6">
        <v>-2.3040970000000002E-3</v>
      </c>
      <c r="BU39" s="6">
        <v>-2.3447839999999999E-3</v>
      </c>
      <c r="BV39" s="6">
        <v>5.7305633802816558E-6</v>
      </c>
      <c r="BW39" s="6">
        <v>-2.4741450000000001E-3</v>
      </c>
      <c r="BX39" s="6">
        <v>-2.5036860000000002E-3</v>
      </c>
      <c r="BY39" s="6">
        <v>4.1607042253521296E-6</v>
      </c>
      <c r="BZ39" s="6">
        <v>-2.4663770000000001E-3</v>
      </c>
      <c r="CA39" s="6">
        <v>-2.4860899999999998E-3</v>
      </c>
      <c r="CB39" s="6">
        <v>2.7764788732394032E-6</v>
      </c>
      <c r="CC39" s="6">
        <v>-2.2982440000000001E-3</v>
      </c>
      <c r="CD39" s="6">
        <v>-2.328868E-3</v>
      </c>
      <c r="CE39" s="6">
        <v>4.3132394366197087E-6</v>
      </c>
      <c r="CF39" s="6">
        <v>-2.467585E-3</v>
      </c>
      <c r="CG39" s="6">
        <v>-2.4871490000000001E-3</v>
      </c>
      <c r="CH39" s="6">
        <v>2.7554929577464968E-6</v>
      </c>
      <c r="CI39" s="6">
        <v>-2.2975360000000002E-3</v>
      </c>
      <c r="CJ39" s="6">
        <v>-2.3282469999999999E-3</v>
      </c>
      <c r="CK39" s="6">
        <v>4.3254929577464326E-6</v>
      </c>
      <c r="CL39" s="6">
        <v>-1.529262E-3</v>
      </c>
      <c r="CM39" s="6">
        <v>-1.5584380000000001E-3</v>
      </c>
      <c r="CN39" s="6">
        <v>4.1092957746479039E-6</v>
      </c>
      <c r="CO39" s="6">
        <v>-1.697395E-3</v>
      </c>
      <c r="CP39" s="6">
        <v>-1.7156599999999999E-3</v>
      </c>
      <c r="CQ39" s="6">
        <v>2.5725352112675983E-6</v>
      </c>
      <c r="CR39" s="6">
        <v>-1.528054E-3</v>
      </c>
      <c r="CS39" s="6">
        <v>-1.557379E-3</v>
      </c>
      <c r="CT39" s="6">
        <v>4.1302816901408408E-6</v>
      </c>
      <c r="CU39" s="6">
        <v>-1.6981030000000001E-3</v>
      </c>
      <c r="CV39" s="6">
        <v>-1.7162810000000001E-3</v>
      </c>
      <c r="CW39" s="6">
        <v>2.5602816901408435E-6</v>
      </c>
      <c r="CX39" s="6">
        <v>-1.6903339999999999E-3</v>
      </c>
      <c r="CY39" s="6">
        <v>-1.6986849999999999E-3</v>
      </c>
      <c r="CZ39" s="6">
        <v>1.176197183098588E-6</v>
      </c>
      <c r="DA39" s="6">
        <v>-1.5222009999999999E-3</v>
      </c>
      <c r="DB39" s="6">
        <v>-1.541462E-3</v>
      </c>
      <c r="DC39" s="6">
        <v>2.7128169014084532E-6</v>
      </c>
      <c r="DD39" s="6">
        <v>-1.6915420000000001E-3</v>
      </c>
      <c r="DE39" s="6">
        <v>-1.699744E-3</v>
      </c>
      <c r="DF39" s="6">
        <v>1.1552112676056206E-6</v>
      </c>
      <c r="DG39" s="6">
        <v>-1.521494E-3</v>
      </c>
      <c r="DH39" s="6">
        <v>-1.540841E-3</v>
      </c>
      <c r="DI39" s="6">
        <v>2.7249295774647987E-6</v>
      </c>
      <c r="DK39" s="3" t="s">
        <v>45</v>
      </c>
      <c r="DL39" s="4">
        <f>DF1</f>
        <v>2971.570625802392</v>
      </c>
      <c r="DM39" s="5" t="str">
        <f t="shared" si="11"/>
        <v>OK</v>
      </c>
      <c r="DN39" s="6">
        <f>IF('Lines-v8'!DL39=old!DL39,0,1)</f>
        <v>0</v>
      </c>
      <c r="DO39" s="6">
        <f>IF('Result-v12'!E40=old!DL39,0,1)</f>
        <v>1</v>
      </c>
    </row>
    <row r="40" spans="1:119" ht="16.2" thickBot="1" x14ac:dyDescent="0.35">
      <c r="A40" s="13" t="s">
        <v>386</v>
      </c>
      <c r="B40" s="13" t="s">
        <v>320</v>
      </c>
      <c r="C40" s="13" t="s">
        <v>322</v>
      </c>
      <c r="D40" s="13" t="s">
        <v>350</v>
      </c>
      <c r="E40" s="13">
        <v>8.3000000000000007</v>
      </c>
      <c r="F40" s="6">
        <v>-1.438829E-3</v>
      </c>
      <c r="G40" s="6">
        <v>-1.4583479999999999E-3</v>
      </c>
      <c r="H40" s="6">
        <v>2.3516867469879469E-6</v>
      </c>
      <c r="I40" s="6">
        <v>-1.8281669999999999E-3</v>
      </c>
      <c r="J40" s="6">
        <v>-1.8308910000000001E-3</v>
      </c>
      <c r="K40" s="6">
        <v>3.281927710843581E-7</v>
      </c>
      <c r="L40" s="6">
        <v>-1.846231E-3</v>
      </c>
      <c r="M40" s="6">
        <v>-1.85663E-3</v>
      </c>
      <c r="N40" s="6">
        <v>1.2528915662650495E-6</v>
      </c>
      <c r="O40" s="6">
        <v>-2.2163629999999998E-3</v>
      </c>
      <c r="P40" s="6">
        <v>-2.2102950000000001E-3</v>
      </c>
      <c r="Q40" s="6">
        <v>7.3108433734936119E-7</v>
      </c>
      <c r="R40" s="6">
        <v>-1.9066300000000001E-3</v>
      </c>
      <c r="S40" s="6">
        <v>-2.018826E-3</v>
      </c>
      <c r="T40" s="6">
        <v>1.3517590361445776E-5</v>
      </c>
      <c r="U40" s="6">
        <v>-2.3306860000000002E-3</v>
      </c>
      <c r="V40" s="6">
        <v>-2.3322989999999999E-3</v>
      </c>
      <c r="W40" s="6">
        <v>1.9433734939755438E-7</v>
      </c>
      <c r="X40" s="6">
        <v>-1.9031E-3</v>
      </c>
      <c r="Y40" s="6">
        <v>-2.0160080000000001E-3</v>
      </c>
      <c r="Z40" s="6">
        <v>1.3603373493975915E-5</v>
      </c>
      <c r="AA40" s="6">
        <v>-2.432774E-3</v>
      </c>
      <c r="AB40" s="6">
        <v>-2.4073369999999998E-3</v>
      </c>
      <c r="AC40" s="6">
        <v>3.0646987951807365E-6</v>
      </c>
      <c r="AD40" s="6">
        <v>-2.37412E-3</v>
      </c>
      <c r="AE40" s="6">
        <v>-2.2594960000000002E-3</v>
      </c>
      <c r="AF40" s="6">
        <v>1.3810120481927686E-5</v>
      </c>
      <c r="AG40" s="6">
        <v>-1.850045E-3</v>
      </c>
      <c r="AH40" s="6">
        <v>-1.8726350000000001E-3</v>
      </c>
      <c r="AI40" s="6">
        <v>2.7216867469879594E-6</v>
      </c>
      <c r="AJ40" s="6">
        <v>-2.3776499999999998E-3</v>
      </c>
      <c r="AK40" s="6">
        <v>-2.2623140000000001E-3</v>
      </c>
      <c r="AL40" s="6">
        <v>1.3895903614457798E-5</v>
      </c>
      <c r="AM40" s="6">
        <v>-1.847975E-3</v>
      </c>
      <c r="AN40" s="6">
        <v>-1.8709849999999999E-3</v>
      </c>
      <c r="AO40" s="6">
        <v>2.7722891566265005E-6</v>
      </c>
      <c r="AP40" s="6">
        <v>-1.670408E-3</v>
      </c>
      <c r="AQ40" s="6">
        <v>-1.7816889999999999E-3</v>
      </c>
      <c r="AR40" s="6">
        <v>1.3407349397590356E-5</v>
      </c>
      <c r="AS40" s="6">
        <v>-2.1944830000000001E-3</v>
      </c>
      <c r="AT40" s="6">
        <v>-2.16855E-3</v>
      </c>
      <c r="AU40" s="6">
        <v>3.1244578313253152E-6</v>
      </c>
      <c r="AV40" s="6">
        <v>-1.6668779999999999E-3</v>
      </c>
      <c r="AW40" s="6">
        <v>-1.778871E-3</v>
      </c>
      <c r="AX40" s="6">
        <v>1.3493132530120495E-5</v>
      </c>
      <c r="AY40" s="6">
        <v>-2.196553E-3</v>
      </c>
      <c r="AZ40" s="6">
        <v>-2.1702000000000002E-3</v>
      </c>
      <c r="BA40" s="6">
        <v>3.1750602409638304E-6</v>
      </c>
      <c r="BB40" s="6">
        <v>-2.1378980000000001E-3</v>
      </c>
      <c r="BC40" s="6">
        <v>-2.02236E-3</v>
      </c>
      <c r="BD40" s="6">
        <v>1.3920240963855432E-5</v>
      </c>
      <c r="BE40" s="6">
        <v>-1.6138229999999999E-3</v>
      </c>
      <c r="BF40" s="6">
        <v>-1.635498E-3</v>
      </c>
      <c r="BG40" s="6">
        <v>2.6114457831325393E-6</v>
      </c>
      <c r="BH40" s="6">
        <v>-2.1414279999999999E-3</v>
      </c>
      <c r="BI40" s="6">
        <v>-2.025177E-3</v>
      </c>
      <c r="BJ40" s="6">
        <v>1.4006144578313244E-5</v>
      </c>
      <c r="BK40" s="6">
        <v>-1.6117530000000001E-3</v>
      </c>
      <c r="BL40" s="6">
        <v>-1.633848E-3</v>
      </c>
      <c r="BM40" s="6">
        <v>2.6620481927710808E-6</v>
      </c>
      <c r="BN40" s="6">
        <v>-2.3458429999999998E-3</v>
      </c>
      <c r="BO40" s="6">
        <v>-2.379721E-3</v>
      </c>
      <c r="BP40" s="6">
        <v>4.0816867469879761E-6</v>
      </c>
      <c r="BQ40" s="6">
        <v>-2.503066E-3</v>
      </c>
      <c r="BR40" s="6">
        <v>-2.4957790000000001E-3</v>
      </c>
      <c r="BS40" s="6">
        <v>8.7795180722890577E-7</v>
      </c>
      <c r="BT40" s="6">
        <v>-2.3447839999999999E-3</v>
      </c>
      <c r="BU40" s="6">
        <v>-2.3788749999999999E-3</v>
      </c>
      <c r="BV40" s="6">
        <v>4.1073493975903591E-6</v>
      </c>
      <c r="BW40" s="6">
        <v>-2.5036860000000002E-3</v>
      </c>
      <c r="BX40" s="6">
        <v>-2.4962740000000001E-3</v>
      </c>
      <c r="BY40" s="6">
        <v>8.9301204819277627E-7</v>
      </c>
      <c r="BZ40" s="6">
        <v>-2.4860899999999998E-3</v>
      </c>
      <c r="CA40" s="6">
        <v>-2.451922E-3</v>
      </c>
      <c r="CB40" s="6">
        <v>4.11662650602407E-6</v>
      </c>
      <c r="CC40" s="6">
        <v>-2.328868E-3</v>
      </c>
      <c r="CD40" s="6">
        <v>-2.3358630000000001E-3</v>
      </c>
      <c r="CE40" s="6">
        <v>8.4277108433736034E-7</v>
      </c>
      <c r="CF40" s="6">
        <v>-2.4871490000000001E-3</v>
      </c>
      <c r="CG40" s="6">
        <v>-2.4527669999999998E-3</v>
      </c>
      <c r="CH40" s="6">
        <v>4.1424096385542568E-6</v>
      </c>
      <c r="CI40" s="6">
        <v>-2.3282469999999999E-3</v>
      </c>
      <c r="CJ40" s="6">
        <v>-2.335368E-3</v>
      </c>
      <c r="CK40" s="6">
        <v>8.5795180722893053E-7</v>
      </c>
      <c r="CL40" s="6">
        <v>-1.5584380000000001E-3</v>
      </c>
      <c r="CM40" s="6">
        <v>-1.589264E-3</v>
      </c>
      <c r="CN40" s="6">
        <v>3.7139759036144401E-6</v>
      </c>
      <c r="CO40" s="6">
        <v>-1.7156599999999999E-3</v>
      </c>
      <c r="CP40" s="6">
        <v>-1.705322E-3</v>
      </c>
      <c r="CQ40" s="6">
        <v>1.24554216867469E-6</v>
      </c>
      <c r="CR40" s="6">
        <v>-1.557379E-3</v>
      </c>
      <c r="CS40" s="6">
        <v>-1.5884180000000001E-3</v>
      </c>
      <c r="CT40" s="6">
        <v>3.7396385542168752E-6</v>
      </c>
      <c r="CU40" s="6">
        <v>-1.7162810000000001E-3</v>
      </c>
      <c r="CV40" s="6">
        <v>-1.7058170000000001E-3</v>
      </c>
      <c r="CW40" s="6">
        <v>1.2607228915662601E-6</v>
      </c>
      <c r="CX40" s="6">
        <v>-1.6986849999999999E-3</v>
      </c>
      <c r="CY40" s="6">
        <v>-1.661465E-3</v>
      </c>
      <c r="CZ40" s="6">
        <v>4.4843373493975797E-6</v>
      </c>
      <c r="DA40" s="6">
        <v>-1.541462E-3</v>
      </c>
      <c r="DB40" s="6">
        <v>-1.5454069999999999E-3</v>
      </c>
      <c r="DC40" s="6">
        <v>4.7530120481927589E-7</v>
      </c>
      <c r="DD40" s="6">
        <v>-1.699744E-3</v>
      </c>
      <c r="DE40" s="6">
        <v>-1.66231E-3</v>
      </c>
      <c r="DF40" s="6">
        <v>4.5101204819277148E-6</v>
      </c>
      <c r="DG40" s="6">
        <v>-1.540841E-3</v>
      </c>
      <c r="DH40" s="6">
        <v>-1.5449120000000001E-3</v>
      </c>
      <c r="DI40" s="6">
        <v>4.9048192771084602E-7</v>
      </c>
      <c r="DK40" s="3" t="s">
        <v>46</v>
      </c>
      <c r="DL40" s="4">
        <f>DI1</f>
        <v>2859.7774948397382</v>
      </c>
      <c r="DM40" s="5" t="str">
        <f t="shared" si="11"/>
        <v>OK</v>
      </c>
      <c r="DN40" s="6">
        <f>IF('Lines-v8'!DL40=old!DL40,0,1)</f>
        <v>0</v>
      </c>
      <c r="DO40" s="6">
        <f>IF('Result-v12'!E41=old!DL40,0,1)</f>
        <v>1</v>
      </c>
    </row>
    <row r="41" spans="1:119" x14ac:dyDescent="0.3">
      <c r="A41" s="13" t="s">
        <v>387</v>
      </c>
      <c r="B41" s="13" t="s">
        <v>91</v>
      </c>
      <c r="C41" s="13" t="s">
        <v>93</v>
      </c>
      <c r="D41" s="13" t="s">
        <v>364</v>
      </c>
      <c r="E41" s="13">
        <v>12.6</v>
      </c>
      <c r="F41" s="6">
        <v>-2.4215759999999999E-3</v>
      </c>
      <c r="G41" s="6">
        <v>-1.9818570000000001E-3</v>
      </c>
      <c r="H41" s="6">
        <v>3.4898333333333324E-5</v>
      </c>
      <c r="I41" s="6">
        <v>-3.076666E-3</v>
      </c>
      <c r="J41" s="6">
        <v>-2.9082959999999999E-3</v>
      </c>
      <c r="K41" s="6">
        <v>1.3362698412698426E-5</v>
      </c>
      <c r="L41" s="6">
        <v>-2.8099900000000001E-3</v>
      </c>
      <c r="M41" s="6">
        <v>-2.612783E-3</v>
      </c>
      <c r="N41" s="6">
        <v>1.5651349206349207E-5</v>
      </c>
      <c r="O41" s="6">
        <v>-3.4467870000000002E-3</v>
      </c>
      <c r="P41" s="6">
        <v>-3.497923E-3</v>
      </c>
      <c r="Q41" s="6">
        <v>4.058412698412683E-6</v>
      </c>
      <c r="R41" s="6">
        <v>-2.9880520000000002E-3</v>
      </c>
      <c r="S41" s="6">
        <v>-2.630715E-3</v>
      </c>
      <c r="T41" s="6">
        <v>2.8360079365079375E-5</v>
      </c>
      <c r="U41" s="6">
        <v>-2.866674E-3</v>
      </c>
      <c r="V41" s="6">
        <v>-3.3615889999999999E-3</v>
      </c>
      <c r="W41" s="6">
        <v>3.927896825396824E-5</v>
      </c>
      <c r="X41" s="6">
        <v>-3.0058300000000001E-3</v>
      </c>
      <c r="Y41" s="6">
        <v>-2.7583109999999998E-3</v>
      </c>
      <c r="Z41" s="6">
        <v>1.9644365079365102E-5</v>
      </c>
      <c r="AA41" s="6">
        <v>-2.8627710000000001E-3</v>
      </c>
      <c r="AB41" s="6">
        <v>-3.2899000000000001E-3</v>
      </c>
      <c r="AC41" s="6">
        <v>3.3899126984126991E-5</v>
      </c>
      <c r="AD41" s="6">
        <v>-3.886577E-3</v>
      </c>
      <c r="AE41" s="6">
        <v>-4.1115709999999996E-3</v>
      </c>
      <c r="AF41" s="6">
        <v>1.7856666666666637E-5</v>
      </c>
      <c r="AG41" s="6">
        <v>-4.0015420000000003E-3</v>
      </c>
      <c r="AH41" s="6">
        <v>-3.3782230000000001E-3</v>
      </c>
      <c r="AI41" s="6">
        <v>4.9469761904761921E-5</v>
      </c>
      <c r="AJ41" s="6">
        <v>-3.868799E-3</v>
      </c>
      <c r="AK41" s="6">
        <v>-3.9839749999999998E-3</v>
      </c>
      <c r="AL41" s="6">
        <v>9.1409523809523664E-6</v>
      </c>
      <c r="AM41" s="6">
        <v>-4.0118580000000001E-3</v>
      </c>
      <c r="AN41" s="6">
        <v>-3.4523869999999999E-3</v>
      </c>
      <c r="AO41" s="6">
        <v>4.4402460317460337E-5</v>
      </c>
      <c r="AP41" s="6">
        <v>-2.6368619999999998E-3</v>
      </c>
      <c r="AQ41" s="6">
        <v>-2.294903E-3</v>
      </c>
      <c r="AR41" s="6">
        <v>2.7139603174603155E-5</v>
      </c>
      <c r="AS41" s="6">
        <v>-2.5218969999999999E-3</v>
      </c>
      <c r="AT41" s="6">
        <v>-3.028251E-3</v>
      </c>
      <c r="AU41" s="6">
        <v>4.0186825396825403E-5</v>
      </c>
      <c r="AV41" s="6">
        <v>-2.6546400000000002E-3</v>
      </c>
      <c r="AW41" s="6">
        <v>-2.4224989999999998E-3</v>
      </c>
      <c r="AX41" s="6">
        <v>1.842388888888892E-5</v>
      </c>
      <c r="AY41" s="6">
        <v>-2.5115810000000001E-3</v>
      </c>
      <c r="AZ41" s="6">
        <v>-2.9540870000000002E-3</v>
      </c>
      <c r="BA41" s="6">
        <v>3.5119523809523819E-5</v>
      </c>
      <c r="BB41" s="6">
        <v>-3.535388E-3</v>
      </c>
      <c r="BC41" s="6">
        <v>-3.7757590000000001E-3</v>
      </c>
      <c r="BD41" s="6">
        <v>1.9077063492063499E-5</v>
      </c>
      <c r="BE41" s="6">
        <v>-3.6503529999999998E-3</v>
      </c>
      <c r="BF41" s="6">
        <v>-3.0424100000000002E-3</v>
      </c>
      <c r="BG41" s="6">
        <v>4.8249444444444421E-5</v>
      </c>
      <c r="BH41" s="6">
        <v>-3.5176090000000001E-3</v>
      </c>
      <c r="BI41" s="6">
        <v>-3.6481629999999998E-3</v>
      </c>
      <c r="BJ41" s="6">
        <v>1.036142857142855E-5</v>
      </c>
      <c r="BK41" s="6">
        <v>-3.6606690000000001E-3</v>
      </c>
      <c r="BL41" s="6">
        <v>-3.116574E-3</v>
      </c>
      <c r="BM41" s="6">
        <v>4.3182142857142864E-5</v>
      </c>
      <c r="BN41" s="6">
        <v>-3.7122570000000001E-3</v>
      </c>
      <c r="BO41" s="6">
        <v>-3.5407960000000001E-3</v>
      </c>
      <c r="BP41" s="6">
        <v>1.3608015873015868E-5</v>
      </c>
      <c r="BQ41" s="6">
        <v>-3.6777680000000001E-3</v>
      </c>
      <c r="BR41" s="6">
        <v>-3.7607999999999999E-3</v>
      </c>
      <c r="BS41" s="6">
        <v>6.589841269841255E-6</v>
      </c>
      <c r="BT41" s="6">
        <v>-3.7175910000000001E-3</v>
      </c>
      <c r="BU41" s="6">
        <v>-3.5790739999999998E-3</v>
      </c>
      <c r="BV41" s="6">
        <v>1.0993412698412724E-5</v>
      </c>
      <c r="BW41" s="6">
        <v>-3.6746729999999998E-3</v>
      </c>
      <c r="BX41" s="6">
        <v>-3.7385510000000001E-3</v>
      </c>
      <c r="BY41" s="6">
        <v>5.0696825396825622E-6</v>
      </c>
      <c r="BZ41" s="6">
        <v>-3.9818149999999997E-3</v>
      </c>
      <c r="CA41" s="6">
        <v>-3.9850520000000002E-3</v>
      </c>
      <c r="CB41" s="6">
        <v>2.5690476190480572E-7</v>
      </c>
      <c r="CC41" s="6">
        <v>-4.0163040000000001E-3</v>
      </c>
      <c r="CD41" s="6">
        <v>-3.765048E-3</v>
      </c>
      <c r="CE41" s="6">
        <v>1.9940952380952387E-5</v>
      </c>
      <c r="CF41" s="6">
        <v>-3.9764819999999999E-3</v>
      </c>
      <c r="CG41" s="6">
        <v>-3.9467740000000001E-3</v>
      </c>
      <c r="CH41" s="6">
        <v>2.3577777777777633E-6</v>
      </c>
      <c r="CI41" s="6">
        <v>-4.0193989999999999E-3</v>
      </c>
      <c r="CJ41" s="6">
        <v>-3.7872969999999998E-3</v>
      </c>
      <c r="CK41" s="6">
        <v>1.8420793650793658E-5</v>
      </c>
      <c r="CL41" s="6">
        <v>-2.5416240000000001E-3</v>
      </c>
      <c r="CM41" s="6">
        <v>-2.421421E-3</v>
      </c>
      <c r="CN41" s="6">
        <v>9.5399206349206469E-6</v>
      </c>
      <c r="CO41" s="6">
        <v>-2.5071350000000002E-3</v>
      </c>
      <c r="CP41" s="6">
        <v>-2.6414260000000001E-3</v>
      </c>
      <c r="CQ41" s="6">
        <v>1.0658015873015867E-5</v>
      </c>
      <c r="CR41" s="6">
        <v>-2.5469580000000002E-3</v>
      </c>
      <c r="CS41" s="6">
        <v>-2.4597E-3</v>
      </c>
      <c r="CT41" s="6">
        <v>6.9252380952381128E-6</v>
      </c>
      <c r="CU41" s="6">
        <v>-2.5040399999999999E-3</v>
      </c>
      <c r="CV41" s="6">
        <v>-2.6191769999999999E-3</v>
      </c>
      <c r="CW41" s="6">
        <v>9.1378571428571397E-6</v>
      </c>
      <c r="CX41" s="6">
        <v>-2.8111820000000002E-3</v>
      </c>
      <c r="CY41" s="6">
        <v>-2.865678E-3</v>
      </c>
      <c r="CZ41" s="6">
        <v>4.3250793650793491E-6</v>
      </c>
      <c r="DA41" s="6">
        <v>-2.845672E-3</v>
      </c>
      <c r="DB41" s="6">
        <v>-2.6456740000000002E-3</v>
      </c>
      <c r="DC41" s="6">
        <v>1.5872857142857132E-5</v>
      </c>
      <c r="DD41" s="6">
        <v>-2.805849E-3</v>
      </c>
      <c r="DE41" s="6">
        <v>-2.8273999999999999E-3</v>
      </c>
      <c r="DF41" s="6">
        <v>1.7103968253968144E-6</v>
      </c>
      <c r="DG41" s="6">
        <v>-2.848766E-3</v>
      </c>
      <c r="DH41" s="6">
        <v>-2.667923E-3</v>
      </c>
      <c r="DI41" s="6">
        <v>1.4352619047619046E-5</v>
      </c>
    </row>
    <row r="42" spans="1:119" x14ac:dyDescent="0.3">
      <c r="A42" s="13" t="s">
        <v>388</v>
      </c>
      <c r="B42" s="13" t="s">
        <v>127</v>
      </c>
      <c r="C42" s="13" t="s">
        <v>129</v>
      </c>
      <c r="D42" s="13" t="s">
        <v>364</v>
      </c>
      <c r="E42" s="13">
        <v>12.6</v>
      </c>
      <c r="F42" s="6">
        <v>-2.2545080000000001E-3</v>
      </c>
      <c r="G42" s="6">
        <v>-2.1475750000000001E-3</v>
      </c>
      <c r="H42" s="6">
        <v>8.4867460317460346E-6</v>
      </c>
      <c r="I42" s="6">
        <v>-2.9175020000000002E-3</v>
      </c>
      <c r="J42" s="6">
        <v>-3.0993570000000001E-3</v>
      </c>
      <c r="K42" s="6">
        <v>1.4432936507936497E-5</v>
      </c>
      <c r="L42" s="6">
        <v>-2.6484239999999999E-3</v>
      </c>
      <c r="M42" s="6">
        <v>-2.7614979999999998E-3</v>
      </c>
      <c r="N42" s="6">
        <v>8.9741269841269768E-6</v>
      </c>
      <c r="O42" s="6">
        <v>-3.2923470000000002E-3</v>
      </c>
      <c r="P42" s="6">
        <v>-3.6772829999999999E-3</v>
      </c>
      <c r="Q42" s="6">
        <v>3.0550476190476174E-5</v>
      </c>
      <c r="R42" s="6">
        <v>-2.9543820000000002E-3</v>
      </c>
      <c r="S42" s="6">
        <v>-2.8227069999999998E-3</v>
      </c>
      <c r="T42" s="6">
        <v>1.0450396825396854E-5</v>
      </c>
      <c r="U42" s="6">
        <v>-2.9252610000000002E-3</v>
      </c>
      <c r="V42" s="6">
        <v>-3.5627520000000002E-3</v>
      </c>
      <c r="W42" s="6">
        <v>5.0594523809523809E-5</v>
      </c>
      <c r="X42" s="6">
        <v>-2.9654299999999998E-3</v>
      </c>
      <c r="Y42" s="6">
        <v>-2.8897749999999998E-3</v>
      </c>
      <c r="Z42" s="6">
        <v>6.0043650793650794E-6</v>
      </c>
      <c r="AA42" s="6">
        <v>-2.9363200000000001E-3</v>
      </c>
      <c r="AB42" s="6">
        <v>-3.5254819999999999E-3</v>
      </c>
      <c r="AC42" s="6">
        <v>4.6758888888888875E-5</v>
      </c>
      <c r="AD42" s="6">
        <v>-3.5874349999999999E-3</v>
      </c>
      <c r="AE42" s="6">
        <v>-4.3072099999999997E-3</v>
      </c>
      <c r="AF42" s="6">
        <v>5.7124999999999979E-5</v>
      </c>
      <c r="AG42" s="6">
        <v>-3.5990839999999998E-3</v>
      </c>
      <c r="AH42" s="6">
        <v>-3.5654620000000001E-3</v>
      </c>
      <c r="AI42" s="6">
        <v>2.6684126984126705E-6</v>
      </c>
      <c r="AJ42" s="6">
        <v>-3.5763869999999999E-3</v>
      </c>
      <c r="AK42" s="6">
        <v>-4.2401410000000002E-3</v>
      </c>
      <c r="AL42" s="6">
        <v>5.267888888888892E-5</v>
      </c>
      <c r="AM42" s="6">
        <v>-3.605497E-3</v>
      </c>
      <c r="AN42" s="6">
        <v>-3.604435E-3</v>
      </c>
      <c r="AO42" s="6">
        <v>8.4285714285716256E-8</v>
      </c>
      <c r="AP42" s="6">
        <v>-2.6224019999999998E-3</v>
      </c>
      <c r="AQ42" s="6">
        <v>-2.4694840000000001E-3</v>
      </c>
      <c r="AR42" s="6">
        <v>1.2136349206349184E-5</v>
      </c>
      <c r="AS42" s="6">
        <v>-2.610752E-3</v>
      </c>
      <c r="AT42" s="6">
        <v>-3.2112310000000002E-3</v>
      </c>
      <c r="AU42" s="6">
        <v>4.7657063492063503E-5</v>
      </c>
      <c r="AV42" s="6">
        <v>-2.6334499999999999E-3</v>
      </c>
      <c r="AW42" s="6">
        <v>-2.5365520000000001E-3</v>
      </c>
      <c r="AX42" s="6">
        <v>7.6903174603174426E-6</v>
      </c>
      <c r="AY42" s="6">
        <v>-2.6043400000000001E-3</v>
      </c>
      <c r="AZ42" s="6">
        <v>-3.1722590000000002E-3</v>
      </c>
      <c r="BA42" s="6">
        <v>4.5072936507936512E-5</v>
      </c>
      <c r="BB42" s="6">
        <v>-3.255455E-3</v>
      </c>
      <c r="BC42" s="6">
        <v>-3.9539859999999996E-3</v>
      </c>
      <c r="BD42" s="6">
        <v>5.5438968253968228E-5</v>
      </c>
      <c r="BE42" s="6">
        <v>-3.2671039999999998E-3</v>
      </c>
      <c r="BF42" s="6">
        <v>-3.212239E-3</v>
      </c>
      <c r="BG42" s="6">
        <v>4.3543650793650689E-6</v>
      </c>
      <c r="BH42" s="6">
        <v>-3.244406E-3</v>
      </c>
      <c r="BI42" s="6">
        <v>-3.8869180000000001E-3</v>
      </c>
      <c r="BJ42" s="6">
        <v>5.0993015873015878E-5</v>
      </c>
      <c r="BK42" s="6">
        <v>-3.2735160000000002E-3</v>
      </c>
      <c r="BL42" s="6">
        <v>-3.2512119999999999E-3</v>
      </c>
      <c r="BM42" s="6">
        <v>1.7701587301587566E-6</v>
      </c>
      <c r="BN42" s="6">
        <v>-3.5632609999999999E-3</v>
      </c>
      <c r="BO42" s="6">
        <v>-3.7543770000000001E-3</v>
      </c>
      <c r="BP42" s="6">
        <v>1.5167936507936532E-5</v>
      </c>
      <c r="BQ42" s="6">
        <v>-3.5597659999999998E-3</v>
      </c>
      <c r="BR42" s="6">
        <v>-3.9769009999999997E-3</v>
      </c>
      <c r="BS42" s="6">
        <v>3.3105952380952377E-5</v>
      </c>
      <c r="BT42" s="6">
        <v>-3.5665760000000001E-3</v>
      </c>
      <c r="BU42" s="6">
        <v>-3.7744969999999999E-3</v>
      </c>
      <c r="BV42" s="6">
        <v>1.6501666666666651E-5</v>
      </c>
      <c r="BW42" s="6">
        <v>-3.5578430000000002E-3</v>
      </c>
      <c r="BX42" s="6">
        <v>-3.9652089999999999E-3</v>
      </c>
      <c r="BY42" s="6">
        <v>3.2330634920634897E-5</v>
      </c>
      <c r="BZ42" s="6">
        <v>-3.7531769999999999E-3</v>
      </c>
      <c r="CA42" s="6">
        <v>-4.1997270000000003E-3</v>
      </c>
      <c r="CB42" s="6">
        <v>3.5440476190476224E-5</v>
      </c>
      <c r="CC42" s="6">
        <v>-3.756672E-3</v>
      </c>
      <c r="CD42" s="6">
        <v>-3.9772030000000003E-3</v>
      </c>
      <c r="CE42" s="6">
        <v>1.7502460317460347E-5</v>
      </c>
      <c r="CF42" s="6">
        <v>-3.749863E-3</v>
      </c>
      <c r="CG42" s="6">
        <v>-4.1796070000000001E-3</v>
      </c>
      <c r="CH42" s="6">
        <v>3.4106666666666677E-5</v>
      </c>
      <c r="CI42" s="6">
        <v>-3.7585959999999999E-3</v>
      </c>
      <c r="CJ42" s="6">
        <v>-3.9888950000000001E-3</v>
      </c>
      <c r="CK42" s="6">
        <v>1.827769841269843E-5</v>
      </c>
      <c r="CL42" s="6">
        <v>-2.4566599999999998E-3</v>
      </c>
      <c r="CM42" s="6">
        <v>-2.576966E-3</v>
      </c>
      <c r="CN42" s="6">
        <v>9.5480952380952497E-6</v>
      </c>
      <c r="CO42" s="6">
        <v>-2.4531650000000002E-3</v>
      </c>
      <c r="CP42" s="6">
        <v>-2.79949E-3</v>
      </c>
      <c r="CQ42" s="6">
        <v>2.7486111111111093E-5</v>
      </c>
      <c r="CR42" s="6">
        <v>-2.4599740000000002E-3</v>
      </c>
      <c r="CS42" s="6">
        <v>-2.5970860000000002E-3</v>
      </c>
      <c r="CT42" s="6">
        <v>1.0881904761904761E-5</v>
      </c>
      <c r="CU42" s="6">
        <v>-2.4512409999999998E-3</v>
      </c>
      <c r="CV42" s="6">
        <v>-2.7877980000000002E-3</v>
      </c>
      <c r="CW42" s="6">
        <v>2.6710873015873043E-5</v>
      </c>
      <c r="CX42" s="6">
        <v>-2.646575E-3</v>
      </c>
      <c r="CY42" s="6">
        <v>-3.0223170000000001E-3</v>
      </c>
      <c r="CZ42" s="6">
        <v>2.982079365079366E-5</v>
      </c>
      <c r="DA42" s="6">
        <v>-2.65007E-3</v>
      </c>
      <c r="DB42" s="6">
        <v>-2.7997920000000002E-3</v>
      </c>
      <c r="DC42" s="6">
        <v>1.1882698412698423E-5</v>
      </c>
      <c r="DD42" s="6">
        <v>-2.643261E-3</v>
      </c>
      <c r="DE42" s="6">
        <v>-3.0021959999999999E-3</v>
      </c>
      <c r="DF42" s="6">
        <v>2.8486904761904755E-5</v>
      </c>
      <c r="DG42" s="6">
        <v>-2.651994E-3</v>
      </c>
      <c r="DH42" s="6">
        <v>-2.8114839999999999E-3</v>
      </c>
      <c r="DI42" s="6">
        <v>1.2657936507936507E-5</v>
      </c>
    </row>
    <row r="43" spans="1:119" x14ac:dyDescent="0.3">
      <c r="A43" s="13" t="s">
        <v>389</v>
      </c>
      <c r="B43" s="13" t="s">
        <v>164</v>
      </c>
      <c r="C43" s="13" t="s">
        <v>166</v>
      </c>
      <c r="D43" s="13" t="s">
        <v>364</v>
      </c>
      <c r="E43" s="13">
        <v>12.6</v>
      </c>
      <c r="F43" s="6">
        <v>-2.0644919999999998E-3</v>
      </c>
      <c r="G43" s="6">
        <v>-2.1505629999999999E-3</v>
      </c>
      <c r="H43" s="6">
        <v>6.8310317460317511E-6</v>
      </c>
      <c r="I43" s="6">
        <v>-2.7059950000000001E-3</v>
      </c>
      <c r="J43" s="6">
        <v>-3.0974100000000001E-3</v>
      </c>
      <c r="K43" s="6">
        <v>3.1064682539682541E-5</v>
      </c>
      <c r="L43" s="6">
        <v>-2.4632439999999999E-3</v>
      </c>
      <c r="M43" s="6">
        <v>-2.7620190000000001E-3</v>
      </c>
      <c r="N43" s="6">
        <v>2.371230158730161E-5</v>
      </c>
      <c r="O43" s="6">
        <v>-3.0848899999999999E-3</v>
      </c>
      <c r="P43" s="6">
        <v>-3.674666E-3</v>
      </c>
      <c r="Q43" s="6">
        <v>4.6807619047619062E-5</v>
      </c>
      <c r="R43" s="6">
        <v>-2.8249669999999998E-3</v>
      </c>
      <c r="S43" s="6">
        <v>-2.858991E-3</v>
      </c>
      <c r="T43" s="6">
        <v>2.7003174603174701E-6</v>
      </c>
      <c r="U43" s="6">
        <v>-2.9140490000000002E-3</v>
      </c>
      <c r="V43" s="6">
        <v>-3.5658479999999999E-3</v>
      </c>
      <c r="W43" s="6">
        <v>5.1730079365079349E-5</v>
      </c>
      <c r="X43" s="6">
        <v>-2.8309720000000002E-3</v>
      </c>
      <c r="Y43" s="6">
        <v>-2.8554700000000001E-3</v>
      </c>
      <c r="Z43" s="6">
        <v>1.9442857142857116E-6</v>
      </c>
      <c r="AA43" s="6">
        <v>-2.9478830000000001E-3</v>
      </c>
      <c r="AB43" s="6">
        <v>-3.5690320000000002E-3</v>
      </c>
      <c r="AC43" s="6">
        <v>4.9297539682539691E-5</v>
      </c>
      <c r="AD43" s="6">
        <v>-3.2758209999999999E-3</v>
      </c>
      <c r="AE43" s="6">
        <v>-4.2663370000000003E-3</v>
      </c>
      <c r="AF43" s="6">
        <v>7.8612380952380981E-5</v>
      </c>
      <c r="AG43" s="6">
        <v>-3.14942E-3</v>
      </c>
      <c r="AH43" s="6">
        <v>-3.5583289999999998E-3</v>
      </c>
      <c r="AI43" s="6">
        <v>3.2453095238095224E-5</v>
      </c>
      <c r="AJ43" s="6">
        <v>-3.269816E-3</v>
      </c>
      <c r="AK43" s="6">
        <v>-4.2698579999999996E-3</v>
      </c>
      <c r="AL43" s="6">
        <v>7.9368412698412665E-5</v>
      </c>
      <c r="AM43" s="6">
        <v>-3.1529050000000001E-3</v>
      </c>
      <c r="AN43" s="6">
        <v>-3.556296E-3</v>
      </c>
      <c r="AO43" s="6">
        <v>3.2015158730158721E-5</v>
      </c>
      <c r="AP43" s="6">
        <v>-2.515055E-3</v>
      </c>
      <c r="AQ43" s="6">
        <v>-2.505728E-3</v>
      </c>
      <c r="AR43" s="6">
        <v>7.4023809523809105E-7</v>
      </c>
      <c r="AS43" s="6">
        <v>-2.6414559999999999E-3</v>
      </c>
      <c r="AT43" s="6">
        <v>-3.213736E-3</v>
      </c>
      <c r="AU43" s="6">
        <v>4.5419047619047628E-5</v>
      </c>
      <c r="AV43" s="6">
        <v>-2.5210599999999999E-3</v>
      </c>
      <c r="AW43" s="6">
        <v>-2.5022070000000002E-3</v>
      </c>
      <c r="AX43" s="6">
        <v>1.4962698412698147E-6</v>
      </c>
      <c r="AY43" s="6">
        <v>-2.6379709999999998E-3</v>
      </c>
      <c r="AZ43" s="6">
        <v>-3.2157700000000002E-3</v>
      </c>
      <c r="BA43" s="6">
        <v>4.585706349206352E-5</v>
      </c>
      <c r="BB43" s="6">
        <v>-2.9659090000000001E-3</v>
      </c>
      <c r="BC43" s="6">
        <v>-3.9130750000000002E-3</v>
      </c>
      <c r="BD43" s="6">
        <v>7.5171904761904776E-5</v>
      </c>
      <c r="BE43" s="6">
        <v>-2.8395080000000001E-3</v>
      </c>
      <c r="BF43" s="6">
        <v>-3.2050659999999999E-3</v>
      </c>
      <c r="BG43" s="6">
        <v>2.9012539682539664E-5</v>
      </c>
      <c r="BH43" s="6">
        <v>-2.9599040000000002E-3</v>
      </c>
      <c r="BI43" s="6">
        <v>-3.9165950000000001E-3</v>
      </c>
      <c r="BJ43" s="6">
        <v>7.5927857142857146E-5</v>
      </c>
      <c r="BK43" s="6">
        <v>-2.8429929999999998E-3</v>
      </c>
      <c r="BL43" s="6">
        <v>-3.2030330000000001E-3</v>
      </c>
      <c r="BM43" s="6">
        <v>2.8574603174603198E-5</v>
      </c>
      <c r="BN43" s="6">
        <v>-3.34433E-3</v>
      </c>
      <c r="BO43" s="6">
        <v>-3.7637019999999998E-3</v>
      </c>
      <c r="BP43" s="6">
        <v>3.3283492063492057E-5</v>
      </c>
      <c r="BQ43" s="6">
        <v>-3.3822499999999998E-3</v>
      </c>
      <c r="BR43" s="6">
        <v>-3.9761049999999997E-3</v>
      </c>
      <c r="BS43" s="6">
        <v>4.7131349206349201E-5</v>
      </c>
      <c r="BT43" s="6">
        <v>-3.346131E-3</v>
      </c>
      <c r="BU43" s="6">
        <v>-3.7626460000000001E-3</v>
      </c>
      <c r="BV43" s="6">
        <v>3.305674603174604E-5</v>
      </c>
      <c r="BW43" s="6">
        <v>-3.381205E-3</v>
      </c>
      <c r="BX43" s="6">
        <v>-3.9767149999999996E-3</v>
      </c>
      <c r="BY43" s="6">
        <v>4.7262698412698384E-5</v>
      </c>
      <c r="BZ43" s="6">
        <v>-3.4795859999999998E-3</v>
      </c>
      <c r="CA43" s="6">
        <v>-4.1859059999999997E-3</v>
      </c>
      <c r="CB43" s="6">
        <v>5.6057142857142845E-5</v>
      </c>
      <c r="CC43" s="6">
        <v>-3.4416659999999999E-3</v>
      </c>
      <c r="CD43" s="6">
        <v>-3.9735040000000001E-3</v>
      </c>
      <c r="CE43" s="6">
        <v>4.2209365079365097E-5</v>
      </c>
      <c r="CF43" s="6">
        <v>-3.4777839999999998E-3</v>
      </c>
      <c r="CG43" s="6">
        <v>-4.1869619999999998E-3</v>
      </c>
      <c r="CH43" s="6">
        <v>5.6283968253968251E-5</v>
      </c>
      <c r="CI43" s="6">
        <v>-3.4427110000000002E-3</v>
      </c>
      <c r="CJ43" s="6">
        <v>-3.9728940000000003E-3</v>
      </c>
      <c r="CK43" s="6">
        <v>4.207801587301588E-5</v>
      </c>
      <c r="CL43" s="6">
        <v>-2.3112900000000001E-3</v>
      </c>
      <c r="CM43" s="6">
        <v>-2.5861590000000002E-3</v>
      </c>
      <c r="CN43" s="6">
        <v>2.1815000000000007E-5</v>
      </c>
      <c r="CO43" s="6">
        <v>-2.34921E-3</v>
      </c>
      <c r="CP43" s="6">
        <v>-2.7985620000000001E-3</v>
      </c>
      <c r="CQ43" s="6">
        <v>3.5662857142857151E-5</v>
      </c>
      <c r="CR43" s="6">
        <v>-2.3130920000000001E-3</v>
      </c>
      <c r="CS43" s="6">
        <v>-2.5851030000000001E-3</v>
      </c>
      <c r="CT43" s="6">
        <v>2.1588174603174601E-5</v>
      </c>
      <c r="CU43" s="6">
        <v>-2.3481650000000001E-3</v>
      </c>
      <c r="CV43" s="6">
        <v>-2.799171E-3</v>
      </c>
      <c r="CW43" s="6">
        <v>3.5794126984126979E-5</v>
      </c>
      <c r="CX43" s="6">
        <v>-2.446546E-3</v>
      </c>
      <c r="CY43" s="6">
        <v>-3.008363E-3</v>
      </c>
      <c r="CZ43" s="6">
        <v>4.4588650793650802E-5</v>
      </c>
      <c r="DA43" s="6">
        <v>-2.4086260000000001E-3</v>
      </c>
      <c r="DB43" s="6">
        <v>-2.795961E-3</v>
      </c>
      <c r="DC43" s="6">
        <v>3.0740873015873013E-5</v>
      </c>
      <c r="DD43" s="6">
        <v>-2.4447449999999999E-3</v>
      </c>
      <c r="DE43" s="6">
        <v>-3.0094190000000002E-3</v>
      </c>
      <c r="DF43" s="6">
        <v>4.4815396825396846E-5</v>
      </c>
      <c r="DG43" s="6">
        <v>-2.4096719999999999E-3</v>
      </c>
      <c r="DH43" s="6">
        <v>-2.7953510000000002E-3</v>
      </c>
      <c r="DI43" s="6">
        <v>3.0609444444444468E-5</v>
      </c>
    </row>
    <row r="44" spans="1:119" x14ac:dyDescent="0.3">
      <c r="A44" s="13" t="s">
        <v>390</v>
      </c>
      <c r="B44" s="13" t="s">
        <v>205</v>
      </c>
      <c r="C44" s="13" t="s">
        <v>207</v>
      </c>
      <c r="D44" s="13" t="s">
        <v>364</v>
      </c>
      <c r="E44" s="13">
        <v>12.6</v>
      </c>
      <c r="F44" s="6">
        <v>-1.864217E-3</v>
      </c>
      <c r="G44" s="6">
        <v>-2.1587260000000001E-3</v>
      </c>
      <c r="H44" s="6">
        <v>2.3373730158730168E-5</v>
      </c>
      <c r="I44" s="6">
        <v>-2.4538279999999999E-3</v>
      </c>
      <c r="J44" s="6">
        <v>-3.1115589999999999E-3</v>
      </c>
      <c r="K44" s="6">
        <v>5.2200873015873014E-5</v>
      </c>
      <c r="L44" s="6">
        <v>-2.2684010000000002E-3</v>
      </c>
      <c r="M44" s="6">
        <v>-2.7717140000000002E-3</v>
      </c>
      <c r="N44" s="6">
        <v>3.9945476190476195E-5</v>
      </c>
      <c r="O44" s="6">
        <v>-2.8374030000000001E-3</v>
      </c>
      <c r="P44" s="6">
        <v>-3.688803E-3</v>
      </c>
      <c r="Q44" s="6">
        <v>6.757142857142857E-5</v>
      </c>
      <c r="R44" s="6">
        <v>-2.5803039999999998E-3</v>
      </c>
      <c r="S44" s="6">
        <v>-2.9115090000000001E-3</v>
      </c>
      <c r="T44" s="6">
        <v>2.6286111111111128E-5</v>
      </c>
      <c r="U44" s="6">
        <v>-2.814357E-3</v>
      </c>
      <c r="V44" s="6">
        <v>-3.5853949999999999E-3</v>
      </c>
      <c r="W44" s="6">
        <v>6.1193492063492066E-5</v>
      </c>
      <c r="X44" s="6">
        <v>-2.5828919999999998E-3</v>
      </c>
      <c r="Y44" s="6">
        <v>-2.8382160000000002E-3</v>
      </c>
      <c r="Z44" s="6">
        <v>2.0263809523809551E-5</v>
      </c>
      <c r="AA44" s="6">
        <v>-2.878153E-3</v>
      </c>
      <c r="AB44" s="6">
        <v>-3.6283130000000002E-3</v>
      </c>
      <c r="AC44" s="6">
        <v>5.9536507936507952E-5</v>
      </c>
      <c r="AD44" s="6">
        <v>-2.9976310000000002E-3</v>
      </c>
      <c r="AE44" s="6">
        <v>-4.2432900000000003E-3</v>
      </c>
      <c r="AF44" s="6">
        <v>9.8861825396825406E-5</v>
      </c>
      <c r="AG44" s="6">
        <v>-2.6982830000000001E-3</v>
      </c>
      <c r="AH44" s="6">
        <v>-3.5690660000000001E-3</v>
      </c>
      <c r="AI44" s="6">
        <v>6.9109761904761902E-5</v>
      </c>
      <c r="AJ44" s="6">
        <v>-2.9950430000000002E-3</v>
      </c>
      <c r="AK44" s="6">
        <v>-4.3165820000000002E-3</v>
      </c>
      <c r="AL44" s="6">
        <v>1.0488404761904763E-4</v>
      </c>
      <c r="AM44" s="6">
        <v>-2.699782E-3</v>
      </c>
      <c r="AN44" s="6">
        <v>-3.5264860000000001E-3</v>
      </c>
      <c r="AO44" s="6">
        <v>6.5611428571428582E-5</v>
      </c>
      <c r="AP44" s="6">
        <v>-2.2935970000000001E-3</v>
      </c>
      <c r="AQ44" s="6">
        <v>-2.5570839999999998E-3</v>
      </c>
      <c r="AR44" s="6">
        <v>2.0911666666666648E-5</v>
      </c>
      <c r="AS44" s="6">
        <v>-2.5929450000000001E-3</v>
      </c>
      <c r="AT44" s="6">
        <v>-3.231308E-3</v>
      </c>
      <c r="AU44" s="6">
        <v>5.0663730158730149E-5</v>
      </c>
      <c r="AV44" s="6">
        <v>-2.2961850000000001E-3</v>
      </c>
      <c r="AW44" s="6">
        <v>-2.483791E-3</v>
      </c>
      <c r="AX44" s="6">
        <v>1.4889365079365071E-5</v>
      </c>
      <c r="AY44" s="6">
        <v>-2.5914449999999999E-3</v>
      </c>
      <c r="AZ44" s="6">
        <v>-3.273888E-3</v>
      </c>
      <c r="BA44" s="6">
        <v>5.4162142857142857E-5</v>
      </c>
      <c r="BB44" s="6">
        <v>-2.710924E-3</v>
      </c>
      <c r="BC44" s="6">
        <v>-3.888865E-3</v>
      </c>
      <c r="BD44" s="6">
        <v>9.3487380952380963E-5</v>
      </c>
      <c r="BE44" s="6">
        <v>-2.4115759999999999E-3</v>
      </c>
      <c r="BF44" s="6">
        <v>-3.2146409999999999E-3</v>
      </c>
      <c r="BG44" s="6">
        <v>6.3735317460317459E-5</v>
      </c>
      <c r="BH44" s="6">
        <v>-2.708336E-3</v>
      </c>
      <c r="BI44" s="6">
        <v>-3.962157E-3</v>
      </c>
      <c r="BJ44" s="6">
        <v>9.9509603174603172E-5</v>
      </c>
      <c r="BK44" s="6">
        <v>-2.4130750000000002E-3</v>
      </c>
      <c r="BL44" s="6">
        <v>-3.1720609999999999E-3</v>
      </c>
      <c r="BM44" s="6">
        <v>6.0236984126984105E-5</v>
      </c>
      <c r="BN44" s="6">
        <v>-3.0608599999999999E-3</v>
      </c>
      <c r="BO44" s="6">
        <v>-3.7911279999999999E-3</v>
      </c>
      <c r="BP44" s="6">
        <v>5.7957777777777785E-5</v>
      </c>
      <c r="BQ44" s="6">
        <v>-3.150665E-3</v>
      </c>
      <c r="BR44" s="6">
        <v>-3.9933959999999998E-3</v>
      </c>
      <c r="BS44" s="6">
        <v>6.6883412698412679E-5</v>
      </c>
      <c r="BT44" s="6">
        <v>-3.0616369999999999E-3</v>
      </c>
      <c r="BU44" s="6">
        <v>-3.7691399999999998E-3</v>
      </c>
      <c r="BV44" s="6">
        <v>5.6151031746031746E-5</v>
      </c>
      <c r="BW44" s="6">
        <v>-3.150215E-3</v>
      </c>
      <c r="BX44" s="6">
        <v>-4.0061699999999999E-3</v>
      </c>
      <c r="BY44" s="6">
        <v>6.7932936507936493E-5</v>
      </c>
      <c r="BZ44" s="6">
        <v>-3.1860579999999999E-3</v>
      </c>
      <c r="CA44" s="6">
        <v>-4.1906620000000004E-3</v>
      </c>
      <c r="CB44" s="6">
        <v>7.9730476190476235E-5</v>
      </c>
      <c r="CC44" s="6">
        <v>-3.0962540000000001E-3</v>
      </c>
      <c r="CD44" s="6">
        <v>-3.9883949999999996E-3</v>
      </c>
      <c r="CE44" s="6">
        <v>7.0804841269841233E-5</v>
      </c>
      <c r="CF44" s="6">
        <v>-3.1852819999999998E-3</v>
      </c>
      <c r="CG44" s="6">
        <v>-4.2126500000000001E-3</v>
      </c>
      <c r="CH44" s="6">
        <v>8.1537142857142879E-5</v>
      </c>
      <c r="CI44" s="6">
        <v>-3.096704E-3</v>
      </c>
      <c r="CJ44" s="6">
        <v>-3.9756210000000004E-3</v>
      </c>
      <c r="CK44" s="6">
        <v>6.9755317460317486E-5</v>
      </c>
      <c r="CL44" s="6">
        <v>-2.1051690000000001E-3</v>
      </c>
      <c r="CM44" s="6">
        <v>-2.6097109999999998E-3</v>
      </c>
      <c r="CN44" s="6">
        <v>4.0043015873015856E-5</v>
      </c>
      <c r="CO44" s="6">
        <v>-2.1949740000000001E-3</v>
      </c>
      <c r="CP44" s="6">
        <v>-2.811979E-3</v>
      </c>
      <c r="CQ44" s="6">
        <v>4.8968650793650784E-5</v>
      </c>
      <c r="CR44" s="6">
        <v>-2.105946E-3</v>
      </c>
      <c r="CS44" s="6">
        <v>-2.587724E-3</v>
      </c>
      <c r="CT44" s="6">
        <v>3.8236349206349206E-5</v>
      </c>
      <c r="CU44" s="6">
        <v>-2.1945240000000002E-3</v>
      </c>
      <c r="CV44" s="6">
        <v>-2.8247519999999998E-3</v>
      </c>
      <c r="CW44" s="6">
        <v>5.001809523809521E-5</v>
      </c>
      <c r="CX44" s="6">
        <v>-2.230367E-3</v>
      </c>
      <c r="CY44" s="6">
        <v>-3.0092449999999998E-3</v>
      </c>
      <c r="CZ44" s="6">
        <v>6.1815714285714266E-5</v>
      </c>
      <c r="DA44" s="6">
        <v>-2.1405629999999998E-3</v>
      </c>
      <c r="DB44" s="6">
        <v>-2.8069779999999999E-3</v>
      </c>
      <c r="DC44" s="6">
        <v>5.2890079365079372E-5</v>
      </c>
      <c r="DD44" s="6">
        <v>-2.229591E-3</v>
      </c>
      <c r="DE44" s="6">
        <v>-3.0312329999999999E-3</v>
      </c>
      <c r="DF44" s="6">
        <v>6.362238095238095E-5</v>
      </c>
      <c r="DG44" s="6">
        <v>-2.1410130000000002E-3</v>
      </c>
      <c r="DH44" s="6">
        <v>-2.7942039999999998E-3</v>
      </c>
      <c r="DI44" s="6">
        <v>5.1840555555555523E-5</v>
      </c>
    </row>
    <row r="45" spans="1:119" x14ac:dyDescent="0.3">
      <c r="A45" s="13" t="s">
        <v>391</v>
      </c>
      <c r="B45" s="13" t="s">
        <v>246</v>
      </c>
      <c r="C45" s="13" t="s">
        <v>248</v>
      </c>
      <c r="D45" s="13" t="s">
        <v>364</v>
      </c>
      <c r="E45" s="13">
        <v>12.6</v>
      </c>
      <c r="F45" s="6">
        <v>-1.644665E-3</v>
      </c>
      <c r="G45" s="6">
        <v>-2.1227849999999999E-3</v>
      </c>
      <c r="H45" s="6">
        <v>3.7946031746031733E-5</v>
      </c>
      <c r="I45" s="6">
        <v>-2.1552749999999999E-3</v>
      </c>
      <c r="J45" s="6">
        <v>-3.060381E-3</v>
      </c>
      <c r="K45" s="6">
        <v>7.1833809523809533E-5</v>
      </c>
      <c r="L45" s="6">
        <v>-2.055032E-3</v>
      </c>
      <c r="M45" s="6">
        <v>-2.7357229999999998E-3</v>
      </c>
      <c r="N45" s="6">
        <v>5.4023095238095223E-5</v>
      </c>
      <c r="O45" s="6">
        <v>-2.5452180000000001E-3</v>
      </c>
      <c r="P45" s="6">
        <v>-3.640094E-3</v>
      </c>
      <c r="Q45" s="6">
        <v>8.6894920634920619E-5</v>
      </c>
      <c r="R45" s="6">
        <v>-2.2374719999999999E-3</v>
      </c>
      <c r="S45" s="6">
        <v>-2.8930940000000001E-3</v>
      </c>
      <c r="T45" s="6">
        <v>5.2033492063492086E-5</v>
      </c>
      <c r="U45" s="6">
        <v>-2.6172669999999999E-3</v>
      </c>
      <c r="V45" s="6">
        <v>-3.5900459999999999E-3</v>
      </c>
      <c r="W45" s="6">
        <v>7.7204682539682543E-5</v>
      </c>
      <c r="X45" s="6">
        <v>-2.2370089999999999E-3</v>
      </c>
      <c r="Y45" s="6">
        <v>-2.7544520000000001E-3</v>
      </c>
      <c r="Z45" s="6">
        <v>4.1066904761904783E-5</v>
      </c>
      <c r="AA45" s="6">
        <v>-2.7110039999999999E-3</v>
      </c>
      <c r="AB45" s="6">
        <v>-3.6691369999999998E-3</v>
      </c>
      <c r="AC45" s="6">
        <v>7.6042301587301588E-5</v>
      </c>
      <c r="AD45" s="6">
        <v>-2.724363E-3</v>
      </c>
      <c r="AE45" s="6">
        <v>-4.157595E-3</v>
      </c>
      <c r="AF45" s="6">
        <v>1.1374857142857144E-4</v>
      </c>
      <c r="AG45" s="6">
        <v>-2.251107E-3</v>
      </c>
      <c r="AH45" s="6">
        <v>-3.4621360000000002E-3</v>
      </c>
      <c r="AI45" s="6">
        <v>9.6113412698412722E-5</v>
      </c>
      <c r="AJ45" s="6">
        <v>-2.7248260000000001E-3</v>
      </c>
      <c r="AK45" s="6">
        <v>-4.296238E-3</v>
      </c>
      <c r="AL45" s="6">
        <v>1.2471523809523809E-4</v>
      </c>
      <c r="AM45" s="6">
        <v>-2.250831E-3</v>
      </c>
      <c r="AN45" s="6">
        <v>-3.3815519999999999E-3</v>
      </c>
      <c r="AO45" s="6">
        <v>8.9739761904761899E-5</v>
      </c>
      <c r="AP45" s="6">
        <v>-1.9761290000000001E-3</v>
      </c>
      <c r="AQ45" s="6">
        <v>-2.5428949999999999E-3</v>
      </c>
      <c r="AR45" s="6">
        <v>4.4981428571428558E-5</v>
      </c>
      <c r="AS45" s="6">
        <v>-2.4493840000000002E-3</v>
      </c>
      <c r="AT45" s="6">
        <v>-3.2383540000000001E-3</v>
      </c>
      <c r="AU45" s="6">
        <v>6.2616666666666666E-5</v>
      </c>
      <c r="AV45" s="6">
        <v>-1.9756650000000001E-3</v>
      </c>
      <c r="AW45" s="6">
        <v>-2.4042529999999999E-3</v>
      </c>
      <c r="AX45" s="6">
        <v>3.401492063492061E-5</v>
      </c>
      <c r="AY45" s="6">
        <v>-2.4496610000000001E-3</v>
      </c>
      <c r="AZ45" s="6">
        <v>-3.318938E-3</v>
      </c>
      <c r="BA45" s="6">
        <v>6.8990238095238094E-5</v>
      </c>
      <c r="BB45" s="6">
        <v>-2.4630189999999999E-3</v>
      </c>
      <c r="BC45" s="6">
        <v>-3.8073959999999998E-3</v>
      </c>
      <c r="BD45" s="6">
        <v>1.066965873015873E-4</v>
      </c>
      <c r="BE45" s="6">
        <v>-1.9897640000000002E-3</v>
      </c>
      <c r="BF45" s="6">
        <v>-3.111936E-3</v>
      </c>
      <c r="BG45" s="6">
        <v>8.9061269841269832E-5</v>
      </c>
      <c r="BH45" s="6">
        <v>-2.4634829999999998E-3</v>
      </c>
      <c r="BI45" s="6">
        <v>-3.9460379999999998E-3</v>
      </c>
      <c r="BJ45" s="6">
        <v>1.1766309523809524E-4</v>
      </c>
      <c r="BK45" s="6">
        <v>-1.9894869999999999E-3</v>
      </c>
      <c r="BL45" s="6">
        <v>-3.0313530000000001E-3</v>
      </c>
      <c r="BM45" s="6">
        <v>8.2687777777777801E-5</v>
      </c>
      <c r="BN45" s="6">
        <v>-2.7127850000000001E-3</v>
      </c>
      <c r="BO45" s="6">
        <v>-3.7442349999999998E-3</v>
      </c>
      <c r="BP45" s="6">
        <v>8.1861111111111097E-5</v>
      </c>
      <c r="BQ45" s="6">
        <v>-2.8547619999999998E-3</v>
      </c>
      <c r="BR45" s="6">
        <v>-3.952873E-3</v>
      </c>
      <c r="BS45" s="6">
        <v>8.7151666666666674E-5</v>
      </c>
      <c r="BT45" s="6">
        <v>-2.712646E-3</v>
      </c>
      <c r="BU45" s="6">
        <v>-3.7026429999999998E-3</v>
      </c>
      <c r="BV45" s="6">
        <v>7.8571190476190461E-5</v>
      </c>
      <c r="BW45" s="6">
        <v>-2.854845E-3</v>
      </c>
      <c r="BX45" s="6">
        <v>-3.9770480000000004E-3</v>
      </c>
      <c r="BY45" s="6">
        <v>8.9063730158730201E-5</v>
      </c>
      <c r="BZ45" s="6">
        <v>-2.8588519999999998E-3</v>
      </c>
      <c r="CA45" s="6">
        <v>-4.1235860000000003E-3</v>
      </c>
      <c r="CB45" s="6">
        <v>1.0037571428571432E-4</v>
      </c>
      <c r="CC45" s="6">
        <v>-2.716876E-3</v>
      </c>
      <c r="CD45" s="6">
        <v>-3.9149479999999997E-3</v>
      </c>
      <c r="CE45" s="6">
        <v>9.5085079365079343E-5</v>
      </c>
      <c r="CF45" s="6">
        <v>-2.858991E-3</v>
      </c>
      <c r="CG45" s="6">
        <v>-4.1651789999999998E-3</v>
      </c>
      <c r="CH45" s="6">
        <v>1.0366571428571427E-4</v>
      </c>
      <c r="CI45" s="6">
        <v>-2.7167929999999999E-3</v>
      </c>
      <c r="CJ45" s="6">
        <v>-3.8907730000000001E-3</v>
      </c>
      <c r="CK45" s="6">
        <v>9.3173015873015898E-5</v>
      </c>
      <c r="CL45" s="6">
        <v>-1.8416389999999999E-3</v>
      </c>
      <c r="CM45" s="6">
        <v>-2.576905E-3</v>
      </c>
      <c r="CN45" s="6">
        <v>5.8354444444444447E-5</v>
      </c>
      <c r="CO45" s="6">
        <v>-1.9836160000000001E-3</v>
      </c>
      <c r="CP45" s="6">
        <v>-2.7855419999999998E-3</v>
      </c>
      <c r="CQ45" s="6">
        <v>6.3644920634920609E-5</v>
      </c>
      <c r="CR45" s="6">
        <v>-1.8415E-3</v>
      </c>
      <c r="CS45" s="6">
        <v>-2.5353120000000001E-3</v>
      </c>
      <c r="CT45" s="6">
        <v>5.506444444444445E-5</v>
      </c>
      <c r="CU45" s="6">
        <v>-1.9836989999999998E-3</v>
      </c>
      <c r="CV45" s="6">
        <v>-2.8097170000000002E-3</v>
      </c>
      <c r="CW45" s="6">
        <v>6.5556984126984163E-5</v>
      </c>
      <c r="CX45" s="6">
        <v>-1.9877060000000001E-3</v>
      </c>
      <c r="CY45" s="6">
        <v>-2.9562550000000001E-3</v>
      </c>
      <c r="CZ45" s="6">
        <v>7.6868968253968251E-5</v>
      </c>
      <c r="DA45" s="6">
        <v>-1.8457300000000001E-3</v>
      </c>
      <c r="DB45" s="6">
        <v>-2.7476169999999999E-3</v>
      </c>
      <c r="DC45" s="6">
        <v>7.1578333333333319E-5</v>
      </c>
      <c r="DD45" s="6">
        <v>-1.9878449999999998E-3</v>
      </c>
      <c r="DE45" s="6">
        <v>-2.997848E-3</v>
      </c>
      <c r="DF45" s="6">
        <v>8.0158968253968269E-5</v>
      </c>
      <c r="DG45" s="6">
        <v>-1.845647E-3</v>
      </c>
      <c r="DH45" s="6">
        <v>-2.723442E-3</v>
      </c>
      <c r="DI45" s="6">
        <v>6.9666269841269846E-5</v>
      </c>
    </row>
    <row r="46" spans="1:119" x14ac:dyDescent="0.3">
      <c r="A46" s="13" t="s">
        <v>392</v>
      </c>
      <c r="B46" s="13" t="s">
        <v>285</v>
      </c>
      <c r="C46" s="13" t="s">
        <v>286</v>
      </c>
      <c r="D46" s="13" t="s">
        <v>364</v>
      </c>
      <c r="E46" s="13">
        <v>7.1</v>
      </c>
      <c r="F46" s="6">
        <v>-1.3754749999999999E-3</v>
      </c>
      <c r="G46" s="6">
        <v>-1.5304450000000001E-3</v>
      </c>
      <c r="H46" s="6">
        <v>2.1826760563380305E-5</v>
      </c>
      <c r="I46" s="6">
        <v>-1.7900069999999999E-3</v>
      </c>
      <c r="J46" s="6">
        <v>-2.1647709999999998E-3</v>
      </c>
      <c r="K46" s="6">
        <v>5.2783661971830967E-5</v>
      </c>
      <c r="L46" s="6">
        <v>-1.8017440000000001E-3</v>
      </c>
      <c r="M46" s="6">
        <v>-2.1156600000000001E-3</v>
      </c>
      <c r="N46" s="6">
        <v>4.4213521126760571E-5</v>
      </c>
      <c r="O46" s="6">
        <v>-2.1963540000000002E-3</v>
      </c>
      <c r="P46" s="6">
        <v>-2.7223619999999999E-3</v>
      </c>
      <c r="Q46" s="6">
        <v>7.4085633802816863E-5</v>
      </c>
      <c r="R46" s="6">
        <v>-1.8569979999999999E-3</v>
      </c>
      <c r="S46" s="6">
        <v>-1.9399910000000001E-3</v>
      </c>
      <c r="T46" s="6">
        <v>1.1689154929577489E-5</v>
      </c>
      <c r="U46" s="6">
        <v>-2.2833910000000001E-3</v>
      </c>
      <c r="V46" s="6">
        <v>-3.2209859999999999E-3</v>
      </c>
      <c r="W46" s="6">
        <v>1.3205563380281688E-4</v>
      </c>
      <c r="X46" s="6">
        <v>-1.852605E-3</v>
      </c>
      <c r="Y46" s="6">
        <v>-1.8174700000000001E-3</v>
      </c>
      <c r="Z46" s="6">
        <v>4.9485915492957662E-6</v>
      </c>
      <c r="AA46" s="6">
        <v>-2.3807110000000002E-3</v>
      </c>
      <c r="AB46" s="6">
        <v>-3.3024899999999999E-3</v>
      </c>
      <c r="AC46" s="6">
        <v>1.2982802816901404E-4</v>
      </c>
      <c r="AD46" s="6">
        <v>-2.3609289999999999E-3</v>
      </c>
      <c r="AE46" s="6">
        <v>-3.2220970000000002E-3</v>
      </c>
      <c r="AF46" s="6">
        <v>1.2129126760563385E-4</v>
      </c>
      <c r="AG46" s="6">
        <v>-1.8397820000000001E-3</v>
      </c>
      <c r="AH46" s="6">
        <v>-1.930813E-3</v>
      </c>
      <c r="AI46" s="6">
        <v>1.2821267605633787E-5</v>
      </c>
      <c r="AJ46" s="6">
        <v>-2.365322E-3</v>
      </c>
      <c r="AK46" s="6">
        <v>-3.3446180000000002E-3</v>
      </c>
      <c r="AL46" s="6">
        <v>1.3792901408450707E-4</v>
      </c>
      <c r="AM46" s="6">
        <v>-1.837216E-3</v>
      </c>
      <c r="AN46" s="6">
        <v>-1.8595980000000001E-3</v>
      </c>
      <c r="AO46" s="6">
        <v>3.1523943661971895E-6</v>
      </c>
      <c r="AP46" s="6">
        <v>-1.6254290000000001E-3</v>
      </c>
      <c r="AQ46" s="6">
        <v>-1.665035E-3</v>
      </c>
      <c r="AR46" s="6">
        <v>5.5783098591549256E-6</v>
      </c>
      <c r="AS46" s="6">
        <v>-2.146575E-3</v>
      </c>
      <c r="AT46" s="6">
        <v>-2.9563189999999998E-3</v>
      </c>
      <c r="AU46" s="6">
        <v>1.1404845070422533E-4</v>
      </c>
      <c r="AV46" s="6">
        <v>-1.621036E-3</v>
      </c>
      <c r="AW46" s="6">
        <v>-1.542514E-3</v>
      </c>
      <c r="AX46" s="6">
        <v>1.10594366197183E-5</v>
      </c>
      <c r="AY46" s="6">
        <v>-2.1491420000000002E-3</v>
      </c>
      <c r="AZ46" s="6">
        <v>-3.0275340000000001E-3</v>
      </c>
      <c r="BA46" s="6">
        <v>1.2371718309859154E-4</v>
      </c>
      <c r="BB46" s="6">
        <v>-2.1293599999999998E-3</v>
      </c>
      <c r="BC46" s="6">
        <v>-2.9471409999999999E-3</v>
      </c>
      <c r="BD46" s="6">
        <v>1.1518042253521128E-4</v>
      </c>
      <c r="BE46" s="6">
        <v>-1.608213E-3</v>
      </c>
      <c r="BF46" s="6">
        <v>-1.655856E-3</v>
      </c>
      <c r="BG46" s="6">
        <v>6.710281690140844E-6</v>
      </c>
      <c r="BH46" s="6">
        <v>-2.133752E-3</v>
      </c>
      <c r="BI46" s="6">
        <v>-3.0696619999999999E-3</v>
      </c>
      <c r="BJ46" s="6">
        <v>1.3181830985915493E-4</v>
      </c>
      <c r="BK46" s="6">
        <v>-1.605647E-3</v>
      </c>
      <c r="BL46" s="6">
        <v>-1.5846409999999999E-3</v>
      </c>
      <c r="BM46" s="6">
        <v>2.9585915492957836E-6</v>
      </c>
      <c r="BN46" s="6">
        <v>-2.3035379999999999E-3</v>
      </c>
      <c r="BO46" s="6">
        <v>-2.70951E-3</v>
      </c>
      <c r="BP46" s="6">
        <v>5.7179154929577484E-5</v>
      </c>
      <c r="BQ46" s="6">
        <v>-2.459882E-3</v>
      </c>
      <c r="BR46" s="6">
        <v>-3.096896E-3</v>
      </c>
      <c r="BS46" s="6">
        <v>8.9720281690140846E-5</v>
      </c>
      <c r="BT46" s="6">
        <v>-2.3022199999999998E-3</v>
      </c>
      <c r="BU46" s="6">
        <v>-2.6727539999999998E-3</v>
      </c>
      <c r="BV46" s="6">
        <v>5.2187887323943671E-5</v>
      </c>
      <c r="BW46" s="6">
        <v>-2.4606519999999998E-3</v>
      </c>
      <c r="BX46" s="6">
        <v>-3.1182599999999999E-3</v>
      </c>
      <c r="BY46" s="6">
        <v>9.2620845070422552E-5</v>
      </c>
      <c r="BZ46" s="6">
        <v>-2.4547169999999999E-3</v>
      </c>
      <c r="CA46" s="6">
        <v>-3.0941419999999998E-3</v>
      </c>
      <c r="CB46" s="6">
        <v>9.0059859154929573E-5</v>
      </c>
      <c r="CC46" s="6">
        <v>-2.2983729999999998E-3</v>
      </c>
      <c r="CD46" s="6">
        <v>-2.7067570000000002E-3</v>
      </c>
      <c r="CE46" s="6">
        <v>5.7518873239436673E-5</v>
      </c>
      <c r="CF46" s="6">
        <v>-2.4560350000000001E-3</v>
      </c>
      <c r="CG46" s="6">
        <v>-3.130898E-3</v>
      </c>
      <c r="CH46" s="6">
        <v>9.5051126760563372E-5</v>
      </c>
      <c r="CI46" s="6">
        <v>-2.297604E-3</v>
      </c>
      <c r="CJ46" s="6">
        <v>-2.685392E-3</v>
      </c>
      <c r="CK46" s="6">
        <v>5.4618028169014089E-5</v>
      </c>
      <c r="CL46" s="6">
        <v>-1.5316399999999999E-3</v>
      </c>
      <c r="CM46" s="6">
        <v>-1.792989E-3</v>
      </c>
      <c r="CN46" s="6">
        <v>3.6809718309859177E-5</v>
      </c>
      <c r="CO46" s="6">
        <v>-1.687984E-3</v>
      </c>
      <c r="CP46" s="6">
        <v>-2.180375E-3</v>
      </c>
      <c r="CQ46" s="6">
        <v>6.9350845070422539E-5</v>
      </c>
      <c r="CR46" s="6">
        <v>-1.530322E-3</v>
      </c>
      <c r="CS46" s="6">
        <v>-1.7562330000000001E-3</v>
      </c>
      <c r="CT46" s="6">
        <v>3.1818450704225364E-5</v>
      </c>
      <c r="CU46" s="6">
        <v>-1.688754E-3</v>
      </c>
      <c r="CV46" s="6">
        <v>-2.2017389999999999E-3</v>
      </c>
      <c r="CW46" s="6">
        <v>7.2251408450704204E-5</v>
      </c>
      <c r="CX46" s="6">
        <v>-1.68282E-3</v>
      </c>
      <c r="CY46" s="6">
        <v>-2.1776209999999998E-3</v>
      </c>
      <c r="CZ46" s="6">
        <v>6.9690281690140823E-5</v>
      </c>
      <c r="DA46" s="6">
        <v>-1.5264759999999999E-3</v>
      </c>
      <c r="DB46" s="6">
        <v>-1.790236E-3</v>
      </c>
      <c r="DC46" s="6">
        <v>3.7149295774647897E-5</v>
      </c>
      <c r="DD46" s="6">
        <v>-1.684137E-3</v>
      </c>
      <c r="DE46" s="6">
        <v>-2.2143779999999999E-3</v>
      </c>
      <c r="DF46" s="6">
        <v>7.468183098591548E-5</v>
      </c>
      <c r="DG46" s="6">
        <v>-1.5257059999999999E-3</v>
      </c>
      <c r="DH46" s="6">
        <v>-1.768871E-3</v>
      </c>
      <c r="DI46" s="6">
        <v>3.4248591549295782E-5</v>
      </c>
    </row>
    <row r="47" spans="1:119" x14ac:dyDescent="0.3">
      <c r="A47" s="13" t="s">
        <v>393</v>
      </c>
      <c r="B47" s="13" t="s">
        <v>286</v>
      </c>
      <c r="C47" s="13" t="s">
        <v>288</v>
      </c>
      <c r="D47" s="13" t="s">
        <v>364</v>
      </c>
      <c r="E47" s="13">
        <v>8.3000000000000007</v>
      </c>
      <c r="F47" s="6">
        <v>-1.5304450000000001E-3</v>
      </c>
      <c r="G47" s="6">
        <v>-1.9709939999999998E-3</v>
      </c>
      <c r="H47" s="6">
        <v>5.3078192771084301E-5</v>
      </c>
      <c r="I47" s="6">
        <v>-2.1647709999999998E-3</v>
      </c>
      <c r="J47" s="6">
        <v>-2.7757160000000001E-3</v>
      </c>
      <c r="K47" s="6">
        <v>7.3607831325301243E-5</v>
      </c>
      <c r="L47" s="6">
        <v>-2.1156600000000001E-3</v>
      </c>
      <c r="M47" s="6">
        <v>-2.573297E-3</v>
      </c>
      <c r="N47" s="6">
        <v>5.5136987951807211E-5</v>
      </c>
      <c r="O47" s="6">
        <v>-2.7223619999999999E-3</v>
      </c>
      <c r="P47" s="6">
        <v>-3.3493429999999999E-3</v>
      </c>
      <c r="Q47" s="6">
        <v>7.5539879518072273E-5</v>
      </c>
      <c r="R47" s="6">
        <v>-1.9399910000000001E-3</v>
      </c>
      <c r="S47" s="6">
        <v>-3.3419399999999998E-3</v>
      </c>
      <c r="T47" s="6">
        <v>1.6890951807228911E-4</v>
      </c>
      <c r="U47" s="6">
        <v>-3.2209859999999999E-3</v>
      </c>
      <c r="V47" s="6">
        <v>-3.8181930000000001E-3</v>
      </c>
      <c r="W47" s="6">
        <v>7.1952650602409652E-5</v>
      </c>
      <c r="X47" s="6">
        <v>-1.8174700000000001E-3</v>
      </c>
      <c r="Y47" s="6">
        <v>-3.426686E-3</v>
      </c>
      <c r="Z47" s="6">
        <v>1.9388144578313249E-4</v>
      </c>
      <c r="AA47" s="6">
        <v>-3.3024899999999999E-3</v>
      </c>
      <c r="AB47" s="6">
        <v>-3.7664439999999999E-3</v>
      </c>
      <c r="AC47" s="6">
        <v>5.5898072289156614E-5</v>
      </c>
      <c r="AD47" s="6">
        <v>-3.2220970000000002E-3</v>
      </c>
      <c r="AE47" s="6">
        <v>-3.1135989999999999E-3</v>
      </c>
      <c r="AF47" s="6">
        <v>1.3072048192771117E-5</v>
      </c>
      <c r="AG47" s="6">
        <v>-1.930813E-3</v>
      </c>
      <c r="AH47" s="6">
        <v>-2.6398010000000002E-3</v>
      </c>
      <c r="AI47" s="6">
        <v>8.5420240963855442E-5</v>
      </c>
      <c r="AJ47" s="6">
        <v>-3.3446180000000002E-3</v>
      </c>
      <c r="AK47" s="6">
        <v>-3.0288530000000002E-3</v>
      </c>
      <c r="AL47" s="6">
        <v>3.8043975903614452E-5</v>
      </c>
      <c r="AM47" s="6">
        <v>-1.8595980000000001E-3</v>
      </c>
      <c r="AN47" s="6">
        <v>-2.6890949999999999E-3</v>
      </c>
      <c r="AO47" s="6">
        <v>9.9939397590361411E-5</v>
      </c>
      <c r="AP47" s="6">
        <v>-1.665035E-3</v>
      </c>
      <c r="AQ47" s="6">
        <v>-3.011461E-3</v>
      </c>
      <c r="AR47" s="6">
        <v>1.6221999999999997E-4</v>
      </c>
      <c r="AS47" s="6">
        <v>-2.9563189999999998E-3</v>
      </c>
      <c r="AT47" s="6">
        <v>-3.4852580000000002E-3</v>
      </c>
      <c r="AU47" s="6">
        <v>6.3727590361445827E-5</v>
      </c>
      <c r="AV47" s="6">
        <v>-1.542514E-3</v>
      </c>
      <c r="AW47" s="6">
        <v>-3.0962070000000001E-3</v>
      </c>
      <c r="AX47" s="6">
        <v>1.8719192771084336E-4</v>
      </c>
      <c r="AY47" s="6">
        <v>-3.0275340000000001E-3</v>
      </c>
      <c r="AZ47" s="6">
        <v>-3.435965E-3</v>
      </c>
      <c r="BA47" s="6">
        <v>4.9208554216867454E-5</v>
      </c>
      <c r="BB47" s="6">
        <v>-2.9471409999999999E-3</v>
      </c>
      <c r="BC47" s="6">
        <v>-2.78312E-3</v>
      </c>
      <c r="BD47" s="6">
        <v>1.9761566265060225E-5</v>
      </c>
      <c r="BE47" s="6">
        <v>-1.655856E-3</v>
      </c>
      <c r="BF47" s="6">
        <v>-2.3093229999999998E-3</v>
      </c>
      <c r="BG47" s="6">
        <v>7.8730963855421651E-5</v>
      </c>
      <c r="BH47" s="6">
        <v>-3.0696619999999999E-3</v>
      </c>
      <c r="BI47" s="6">
        <v>-2.6983739999999999E-3</v>
      </c>
      <c r="BJ47" s="6">
        <v>4.4733493975903612E-5</v>
      </c>
      <c r="BK47" s="6">
        <v>-1.5846409999999999E-3</v>
      </c>
      <c r="BL47" s="6">
        <v>-2.358616E-3</v>
      </c>
      <c r="BM47" s="6">
        <v>9.3250000000000003E-5</v>
      </c>
      <c r="BN47" s="6">
        <v>-2.70951E-3</v>
      </c>
      <c r="BO47" s="6">
        <v>-3.6475790000000002E-3</v>
      </c>
      <c r="BP47" s="6">
        <v>1.1302036144578315E-4</v>
      </c>
      <c r="BQ47" s="6">
        <v>-3.096896E-3</v>
      </c>
      <c r="BR47" s="6">
        <v>-3.7897180000000001E-3</v>
      </c>
      <c r="BS47" s="6">
        <v>8.3472530120481925E-5</v>
      </c>
      <c r="BT47" s="6">
        <v>-2.6727539999999998E-3</v>
      </c>
      <c r="BU47" s="6">
        <v>-3.6730030000000002E-3</v>
      </c>
      <c r="BV47" s="6">
        <v>1.2051192771084341E-4</v>
      </c>
      <c r="BW47" s="6">
        <v>-3.1182599999999999E-3</v>
      </c>
      <c r="BX47" s="6">
        <v>-3.7749300000000001E-3</v>
      </c>
      <c r="BY47" s="6">
        <v>7.9116867469879545E-5</v>
      </c>
      <c r="BZ47" s="6">
        <v>-3.0941419999999998E-3</v>
      </c>
      <c r="CA47" s="6">
        <v>-3.579077E-3</v>
      </c>
      <c r="CB47" s="6">
        <v>5.8425903614457846E-5</v>
      </c>
      <c r="CC47" s="6">
        <v>-2.7067570000000002E-3</v>
      </c>
      <c r="CD47" s="6">
        <v>-3.4369370000000002E-3</v>
      </c>
      <c r="CE47" s="6">
        <v>8.7973493975903604E-5</v>
      </c>
      <c r="CF47" s="6">
        <v>-3.130898E-3</v>
      </c>
      <c r="CG47" s="6">
        <v>-3.5536529999999999E-3</v>
      </c>
      <c r="CH47" s="6">
        <v>5.0934337349397573E-5</v>
      </c>
      <c r="CI47" s="6">
        <v>-2.685392E-3</v>
      </c>
      <c r="CJ47" s="6">
        <v>-3.4517250000000001E-3</v>
      </c>
      <c r="CK47" s="6">
        <v>9.2329277108433737E-5</v>
      </c>
      <c r="CL47" s="6">
        <v>-1.792989E-3</v>
      </c>
      <c r="CM47" s="6">
        <v>-2.5459829999999999E-3</v>
      </c>
      <c r="CN47" s="6">
        <v>9.0722168674698777E-5</v>
      </c>
      <c r="CO47" s="6">
        <v>-2.180375E-3</v>
      </c>
      <c r="CP47" s="6">
        <v>-2.6881219999999998E-3</v>
      </c>
      <c r="CQ47" s="6">
        <v>6.1174337349397556E-5</v>
      </c>
      <c r="CR47" s="6">
        <v>-1.7562330000000001E-3</v>
      </c>
      <c r="CS47" s="6">
        <v>-2.5714069999999999E-3</v>
      </c>
      <c r="CT47" s="6">
        <v>9.821373493975901E-5</v>
      </c>
      <c r="CU47" s="6">
        <v>-2.2017389999999999E-3</v>
      </c>
      <c r="CV47" s="6">
        <v>-2.6733339999999999E-3</v>
      </c>
      <c r="CW47" s="6">
        <v>5.6818674698795176E-5</v>
      </c>
      <c r="CX47" s="6">
        <v>-2.1776209999999998E-3</v>
      </c>
      <c r="CY47" s="6">
        <v>-2.4774810000000001E-3</v>
      </c>
      <c r="CZ47" s="6">
        <v>3.6127710843373532E-5</v>
      </c>
      <c r="DA47" s="6">
        <v>-1.790236E-3</v>
      </c>
      <c r="DB47" s="6">
        <v>-2.3353419999999998E-3</v>
      </c>
      <c r="DC47" s="6">
        <v>6.567542168674696E-5</v>
      </c>
      <c r="DD47" s="6">
        <v>-2.2143779999999999E-3</v>
      </c>
      <c r="DE47" s="6">
        <v>-2.4520570000000001E-3</v>
      </c>
      <c r="DF47" s="6">
        <v>2.8636024096385564E-5</v>
      </c>
      <c r="DG47" s="6">
        <v>-1.768871E-3</v>
      </c>
      <c r="DH47" s="6">
        <v>-2.3501300000000002E-3</v>
      </c>
      <c r="DI47" s="6">
        <v>7.0031204819277133E-5</v>
      </c>
    </row>
    <row r="48" spans="1:119" x14ac:dyDescent="0.3">
      <c r="A48" s="13" t="s">
        <v>394</v>
      </c>
      <c r="B48" s="13" t="s">
        <v>248</v>
      </c>
      <c r="C48" s="13" t="s">
        <v>286</v>
      </c>
      <c r="D48" s="13" t="s">
        <v>364</v>
      </c>
      <c r="E48" s="13">
        <v>8.3000000000000007</v>
      </c>
      <c r="F48" s="6">
        <v>-2.1227849999999999E-3</v>
      </c>
      <c r="G48" s="6">
        <v>-1.5304450000000001E-3</v>
      </c>
      <c r="H48" s="6">
        <v>7.1366265060240935E-5</v>
      </c>
      <c r="I48" s="6">
        <v>-3.060381E-3</v>
      </c>
      <c r="J48" s="6">
        <v>-2.1647709999999998E-3</v>
      </c>
      <c r="K48" s="6">
        <v>1.0790481927710845E-4</v>
      </c>
      <c r="L48" s="6">
        <v>-2.7357229999999998E-3</v>
      </c>
      <c r="M48" s="6">
        <v>-2.1156600000000001E-3</v>
      </c>
      <c r="N48" s="6">
        <v>7.4706385542168624E-5</v>
      </c>
      <c r="O48" s="6">
        <v>-3.640094E-3</v>
      </c>
      <c r="P48" s="6">
        <v>-2.7223619999999999E-3</v>
      </c>
      <c r="Q48" s="6">
        <v>1.1057012048192772E-4</v>
      </c>
      <c r="R48" s="6">
        <v>-2.8930940000000001E-3</v>
      </c>
      <c r="S48" s="6">
        <v>-1.9399910000000001E-3</v>
      </c>
      <c r="T48" s="6">
        <v>1.1483168674698796E-4</v>
      </c>
      <c r="U48" s="6">
        <v>-3.5900459999999999E-3</v>
      </c>
      <c r="V48" s="6">
        <v>-3.2209859999999999E-3</v>
      </c>
      <c r="W48" s="6">
        <v>4.4465060240963858E-5</v>
      </c>
      <c r="X48" s="6">
        <v>-2.7544520000000001E-3</v>
      </c>
      <c r="Y48" s="6">
        <v>-1.8174700000000001E-3</v>
      </c>
      <c r="Z48" s="6">
        <v>1.1288939759036144E-4</v>
      </c>
      <c r="AA48" s="6">
        <v>-3.6691369999999998E-3</v>
      </c>
      <c r="AB48" s="6">
        <v>-3.3024899999999999E-3</v>
      </c>
      <c r="AC48" s="6">
        <v>4.4174337349397577E-5</v>
      </c>
      <c r="AD48" s="6">
        <v>-4.157595E-3</v>
      </c>
      <c r="AE48" s="6">
        <v>-3.2220970000000002E-3</v>
      </c>
      <c r="AF48" s="6">
        <v>1.1271060240963853E-4</v>
      </c>
      <c r="AG48" s="6">
        <v>-3.4621360000000002E-3</v>
      </c>
      <c r="AH48" s="6">
        <v>-1.930813E-3</v>
      </c>
      <c r="AI48" s="6">
        <v>1.8449674698795183E-4</v>
      </c>
      <c r="AJ48" s="6">
        <v>-4.296238E-3</v>
      </c>
      <c r="AK48" s="6">
        <v>-3.3446180000000002E-3</v>
      </c>
      <c r="AL48" s="6">
        <v>1.1465301204819274E-4</v>
      </c>
      <c r="AM48" s="6">
        <v>-3.3815519999999999E-3</v>
      </c>
      <c r="AN48" s="6">
        <v>-1.8595980000000001E-3</v>
      </c>
      <c r="AO48" s="6">
        <v>1.8336795180722888E-4</v>
      </c>
      <c r="AP48" s="6">
        <v>-2.5428949999999999E-3</v>
      </c>
      <c r="AQ48" s="6">
        <v>-1.665035E-3</v>
      </c>
      <c r="AR48" s="6">
        <v>1.0576626506024093E-4</v>
      </c>
      <c r="AS48" s="6">
        <v>-3.2383540000000001E-3</v>
      </c>
      <c r="AT48" s="6">
        <v>-2.9563189999999998E-3</v>
      </c>
      <c r="AU48" s="6">
        <v>3.3980120481927749E-5</v>
      </c>
      <c r="AV48" s="6">
        <v>-2.4042529999999999E-3</v>
      </c>
      <c r="AW48" s="6">
        <v>-1.542514E-3</v>
      </c>
      <c r="AX48" s="6">
        <v>1.0382397590361443E-4</v>
      </c>
      <c r="AY48" s="6">
        <v>-3.318938E-3</v>
      </c>
      <c r="AZ48" s="6">
        <v>-3.0275340000000001E-3</v>
      </c>
      <c r="BA48" s="6">
        <v>3.5108915662650585E-5</v>
      </c>
      <c r="BB48" s="6">
        <v>-3.8073959999999998E-3</v>
      </c>
      <c r="BC48" s="6">
        <v>-2.9471409999999999E-3</v>
      </c>
      <c r="BD48" s="6">
        <v>1.0364518072289154E-4</v>
      </c>
      <c r="BE48" s="6">
        <v>-3.111936E-3</v>
      </c>
      <c r="BF48" s="6">
        <v>-1.655856E-3</v>
      </c>
      <c r="BG48" s="6">
        <v>1.7543132530120482E-4</v>
      </c>
      <c r="BH48" s="6">
        <v>-3.9460379999999998E-3</v>
      </c>
      <c r="BI48" s="6">
        <v>-3.0696619999999999E-3</v>
      </c>
      <c r="BJ48" s="6">
        <v>1.0558746987951806E-4</v>
      </c>
      <c r="BK48" s="6">
        <v>-3.0313530000000001E-3</v>
      </c>
      <c r="BL48" s="6">
        <v>-1.5846409999999999E-3</v>
      </c>
      <c r="BM48" s="6">
        <v>1.7430265060240963E-4</v>
      </c>
      <c r="BN48" s="6">
        <v>-3.7442349999999998E-3</v>
      </c>
      <c r="BO48" s="6">
        <v>-2.70951E-3</v>
      </c>
      <c r="BP48" s="6">
        <v>1.2466566265060237E-4</v>
      </c>
      <c r="BQ48" s="6">
        <v>-3.952873E-3</v>
      </c>
      <c r="BR48" s="6">
        <v>-3.096896E-3</v>
      </c>
      <c r="BS48" s="6">
        <v>1.0312975903614456E-4</v>
      </c>
      <c r="BT48" s="6">
        <v>-3.7026429999999998E-3</v>
      </c>
      <c r="BU48" s="6">
        <v>-2.6727539999999998E-3</v>
      </c>
      <c r="BV48" s="6">
        <v>1.2408301204819275E-4</v>
      </c>
      <c r="BW48" s="6">
        <v>-3.9770480000000004E-3</v>
      </c>
      <c r="BX48" s="6">
        <v>-3.1182599999999999E-3</v>
      </c>
      <c r="BY48" s="6">
        <v>1.0346843373493982E-4</v>
      </c>
      <c r="BZ48" s="6">
        <v>-4.1235860000000003E-3</v>
      </c>
      <c r="CA48" s="6">
        <v>-3.0941419999999998E-3</v>
      </c>
      <c r="CB48" s="6">
        <v>1.2402939759036149E-4</v>
      </c>
      <c r="CC48" s="6">
        <v>-3.9149479999999997E-3</v>
      </c>
      <c r="CD48" s="6">
        <v>-2.7067570000000002E-3</v>
      </c>
      <c r="CE48" s="6">
        <v>1.4556518072289149E-4</v>
      </c>
      <c r="CF48" s="6">
        <v>-4.1651789999999998E-3</v>
      </c>
      <c r="CG48" s="6">
        <v>-3.130898E-3</v>
      </c>
      <c r="CH48" s="6">
        <v>1.2461216867469877E-4</v>
      </c>
      <c r="CI48" s="6">
        <v>-3.8907730000000001E-3</v>
      </c>
      <c r="CJ48" s="6">
        <v>-2.685392E-3</v>
      </c>
      <c r="CK48" s="6">
        <v>1.452266265060241E-4</v>
      </c>
      <c r="CL48" s="6">
        <v>-2.576905E-3</v>
      </c>
      <c r="CM48" s="6">
        <v>-1.792989E-3</v>
      </c>
      <c r="CN48" s="6">
        <v>9.4447710843373475E-5</v>
      </c>
      <c r="CO48" s="6">
        <v>-2.7855419999999998E-3</v>
      </c>
      <c r="CP48" s="6">
        <v>-2.180375E-3</v>
      </c>
      <c r="CQ48" s="6">
        <v>7.2911686746987924E-5</v>
      </c>
      <c r="CR48" s="6">
        <v>-2.5353120000000001E-3</v>
      </c>
      <c r="CS48" s="6">
        <v>-1.7562330000000001E-3</v>
      </c>
      <c r="CT48" s="6">
        <v>9.3864939759036141E-5</v>
      </c>
      <c r="CU48" s="6">
        <v>-2.8097170000000002E-3</v>
      </c>
      <c r="CV48" s="6">
        <v>-2.2017389999999999E-3</v>
      </c>
      <c r="CW48" s="6">
        <v>7.3250361445783167E-5</v>
      </c>
      <c r="CX48" s="6">
        <v>-2.9562550000000001E-3</v>
      </c>
      <c r="CY48" s="6">
        <v>-2.1776209999999998E-3</v>
      </c>
      <c r="CZ48" s="6">
        <v>9.3811325301204837E-5</v>
      </c>
      <c r="DA48" s="6">
        <v>-2.7476169999999999E-3</v>
      </c>
      <c r="DB48" s="6">
        <v>-1.790236E-3</v>
      </c>
      <c r="DC48" s="6">
        <v>1.1534710843373492E-4</v>
      </c>
      <c r="DD48" s="6">
        <v>-2.997848E-3</v>
      </c>
      <c r="DE48" s="6">
        <v>-2.2143779999999999E-3</v>
      </c>
      <c r="DF48" s="6">
        <v>9.439397590361446E-5</v>
      </c>
      <c r="DG48" s="6">
        <v>-2.723442E-3</v>
      </c>
      <c r="DH48" s="6">
        <v>-1.768871E-3</v>
      </c>
      <c r="DI48" s="6">
        <v>1.1500855421686746E-4</v>
      </c>
    </row>
    <row r="49" spans="1:113" x14ac:dyDescent="0.3">
      <c r="A49" s="13" t="s">
        <v>395</v>
      </c>
      <c r="B49" s="13" t="s">
        <v>286</v>
      </c>
      <c r="C49" s="13" t="s">
        <v>320</v>
      </c>
      <c r="D49" s="13" t="s">
        <v>364</v>
      </c>
      <c r="E49" s="13">
        <v>5.75</v>
      </c>
      <c r="F49" s="6">
        <v>-1.5304450000000001E-3</v>
      </c>
      <c r="G49" s="6">
        <v>-1.438829E-3</v>
      </c>
      <c r="H49" s="6">
        <v>1.5933217391304365E-5</v>
      </c>
      <c r="I49" s="6">
        <v>-2.1647709999999998E-3</v>
      </c>
      <c r="J49" s="6">
        <v>-1.8281669999999999E-3</v>
      </c>
      <c r="K49" s="6">
        <v>5.8539826086956507E-5</v>
      </c>
      <c r="L49" s="6">
        <v>-2.1156600000000001E-3</v>
      </c>
      <c r="M49" s="6">
        <v>-1.846231E-3</v>
      </c>
      <c r="N49" s="6">
        <v>4.6857217391304362E-5</v>
      </c>
      <c r="O49" s="6">
        <v>-2.7223619999999999E-3</v>
      </c>
      <c r="P49" s="6">
        <v>-2.2163629999999998E-3</v>
      </c>
      <c r="Q49" s="6">
        <v>8.7999826086956526E-5</v>
      </c>
      <c r="R49" s="6">
        <v>-1.9399910000000001E-3</v>
      </c>
      <c r="S49" s="6">
        <v>-1.9066300000000001E-3</v>
      </c>
      <c r="T49" s="6">
        <v>5.801913043478258E-6</v>
      </c>
      <c r="U49" s="6">
        <v>-3.2209859999999999E-3</v>
      </c>
      <c r="V49" s="6">
        <v>-2.3306860000000002E-3</v>
      </c>
      <c r="W49" s="6">
        <v>1.5483478260869561E-4</v>
      </c>
      <c r="X49" s="6">
        <v>-1.8174700000000001E-3</v>
      </c>
      <c r="Y49" s="6">
        <v>-1.9031E-3</v>
      </c>
      <c r="Z49" s="6">
        <v>1.4892173913043469E-5</v>
      </c>
      <c r="AA49" s="6">
        <v>-3.3024899999999999E-3</v>
      </c>
      <c r="AB49" s="6">
        <v>-2.432774E-3</v>
      </c>
      <c r="AC49" s="6">
        <v>1.5125495652173912E-4</v>
      </c>
      <c r="AD49" s="6">
        <v>-3.2220970000000002E-3</v>
      </c>
      <c r="AE49" s="6">
        <v>-2.37412E-3</v>
      </c>
      <c r="AF49" s="6">
        <v>1.4747426086956524E-4</v>
      </c>
      <c r="AG49" s="6">
        <v>-1.930813E-3</v>
      </c>
      <c r="AH49" s="6">
        <v>-1.850045E-3</v>
      </c>
      <c r="AI49" s="6">
        <v>1.4046608695652163E-5</v>
      </c>
      <c r="AJ49" s="6">
        <v>-3.3446180000000002E-3</v>
      </c>
      <c r="AK49" s="6">
        <v>-2.3776499999999998E-3</v>
      </c>
      <c r="AL49" s="6">
        <v>1.68168347826087E-4</v>
      </c>
      <c r="AM49" s="6">
        <v>-1.8595980000000001E-3</v>
      </c>
      <c r="AN49" s="6">
        <v>-1.847975E-3</v>
      </c>
      <c r="AO49" s="6">
        <v>2.0213913043478439E-6</v>
      </c>
      <c r="AP49" s="6">
        <v>-1.665035E-3</v>
      </c>
      <c r="AQ49" s="6">
        <v>-1.670408E-3</v>
      </c>
      <c r="AR49" s="6">
        <v>9.3443478260868229E-7</v>
      </c>
      <c r="AS49" s="6">
        <v>-2.9563189999999998E-3</v>
      </c>
      <c r="AT49" s="6">
        <v>-2.1944830000000001E-3</v>
      </c>
      <c r="AU49" s="6">
        <v>1.3249321739130428E-4</v>
      </c>
      <c r="AV49" s="6">
        <v>-1.542514E-3</v>
      </c>
      <c r="AW49" s="6">
        <v>-1.6668779999999999E-3</v>
      </c>
      <c r="AX49" s="6">
        <v>2.1628521739130408E-5</v>
      </c>
      <c r="AY49" s="6">
        <v>-3.0275340000000001E-3</v>
      </c>
      <c r="AZ49" s="6">
        <v>-2.196553E-3</v>
      </c>
      <c r="BA49" s="6">
        <v>1.4451843478260873E-4</v>
      </c>
      <c r="BB49" s="6">
        <v>-2.9471409999999999E-3</v>
      </c>
      <c r="BC49" s="6">
        <v>-2.1378980000000001E-3</v>
      </c>
      <c r="BD49" s="6">
        <v>1.4073791304347824E-4</v>
      </c>
      <c r="BE49" s="6">
        <v>-1.655856E-3</v>
      </c>
      <c r="BF49" s="6">
        <v>-1.6138229999999999E-3</v>
      </c>
      <c r="BG49" s="6">
        <v>7.3100869565217615E-6</v>
      </c>
      <c r="BH49" s="6">
        <v>-3.0696619999999999E-3</v>
      </c>
      <c r="BI49" s="6">
        <v>-2.1414279999999999E-3</v>
      </c>
      <c r="BJ49" s="6">
        <v>1.6143200000000001E-4</v>
      </c>
      <c r="BK49" s="6">
        <v>-1.5846409999999999E-3</v>
      </c>
      <c r="BL49" s="6">
        <v>-1.6117530000000001E-3</v>
      </c>
      <c r="BM49" s="6">
        <v>4.7151304347826339E-6</v>
      </c>
      <c r="BN49" s="6">
        <v>-2.70951E-3</v>
      </c>
      <c r="BO49" s="6">
        <v>-2.3458429999999998E-3</v>
      </c>
      <c r="BP49" s="6">
        <v>6.3246434782608744E-5</v>
      </c>
      <c r="BQ49" s="6">
        <v>-3.096896E-3</v>
      </c>
      <c r="BR49" s="6">
        <v>-2.503066E-3</v>
      </c>
      <c r="BS49" s="6">
        <v>1.0327478260869566E-4</v>
      </c>
      <c r="BT49" s="6">
        <v>-2.6727539999999998E-3</v>
      </c>
      <c r="BU49" s="6">
        <v>-2.3447839999999999E-3</v>
      </c>
      <c r="BV49" s="6">
        <v>5.7038260869565199E-5</v>
      </c>
      <c r="BW49" s="6">
        <v>-3.1182599999999999E-3</v>
      </c>
      <c r="BX49" s="6">
        <v>-2.5036860000000002E-3</v>
      </c>
      <c r="BY49" s="6">
        <v>1.0688243478260864E-4</v>
      </c>
      <c r="BZ49" s="6">
        <v>-3.0941419999999998E-3</v>
      </c>
      <c r="CA49" s="6">
        <v>-2.4860899999999998E-3</v>
      </c>
      <c r="CB49" s="6">
        <v>1.0574817391304348E-4</v>
      </c>
      <c r="CC49" s="6">
        <v>-2.7067570000000002E-3</v>
      </c>
      <c r="CD49" s="6">
        <v>-2.328868E-3</v>
      </c>
      <c r="CE49" s="6">
        <v>6.5719826086956556E-5</v>
      </c>
      <c r="CF49" s="6">
        <v>-3.130898E-3</v>
      </c>
      <c r="CG49" s="6">
        <v>-2.4871490000000001E-3</v>
      </c>
      <c r="CH49" s="6">
        <v>1.1195634782608694E-4</v>
      </c>
      <c r="CI49" s="6">
        <v>-2.685392E-3</v>
      </c>
      <c r="CJ49" s="6">
        <v>-2.3282469999999999E-3</v>
      </c>
      <c r="CK49" s="6">
        <v>6.2112173913043503E-5</v>
      </c>
      <c r="CL49" s="6">
        <v>-1.792989E-3</v>
      </c>
      <c r="CM49" s="6">
        <v>-1.5584380000000001E-3</v>
      </c>
      <c r="CN49" s="6">
        <v>4.0791478260869557E-5</v>
      </c>
      <c r="CO49" s="6">
        <v>-2.180375E-3</v>
      </c>
      <c r="CP49" s="6">
        <v>-1.7156599999999999E-3</v>
      </c>
      <c r="CQ49" s="6">
        <v>8.0820000000000016E-5</v>
      </c>
      <c r="CR49" s="6">
        <v>-1.7562330000000001E-3</v>
      </c>
      <c r="CS49" s="6">
        <v>-1.557379E-3</v>
      </c>
      <c r="CT49" s="6">
        <v>3.4583304347826093E-5</v>
      </c>
      <c r="CU49" s="6">
        <v>-2.2017389999999999E-3</v>
      </c>
      <c r="CV49" s="6">
        <v>-1.7162810000000001E-3</v>
      </c>
      <c r="CW49" s="6">
        <v>8.442747826086953E-5</v>
      </c>
      <c r="CX49" s="6">
        <v>-2.1776209999999998E-3</v>
      </c>
      <c r="CY49" s="6">
        <v>-1.6986849999999999E-3</v>
      </c>
      <c r="CZ49" s="6">
        <v>8.329321739130433E-5</v>
      </c>
      <c r="DA49" s="6">
        <v>-1.790236E-3</v>
      </c>
      <c r="DB49" s="6">
        <v>-1.541462E-3</v>
      </c>
      <c r="DC49" s="6">
        <v>4.3265043478260868E-5</v>
      </c>
      <c r="DD49" s="6">
        <v>-2.2143779999999999E-3</v>
      </c>
      <c r="DE49" s="6">
        <v>-1.699744E-3</v>
      </c>
      <c r="DF49" s="6">
        <v>8.9501565217391292E-5</v>
      </c>
      <c r="DG49" s="6">
        <v>-1.768871E-3</v>
      </c>
      <c r="DH49" s="6">
        <v>-1.540841E-3</v>
      </c>
      <c r="DI49" s="6">
        <v>3.9657391304347814E-5</v>
      </c>
    </row>
    <row r="50" spans="1:113" x14ac:dyDescent="0.3">
      <c r="A50" s="13" t="s">
        <v>396</v>
      </c>
      <c r="B50" s="13" t="s">
        <v>73</v>
      </c>
      <c r="C50" s="13" t="s">
        <v>75</v>
      </c>
      <c r="D50" s="13" t="s">
        <v>347</v>
      </c>
      <c r="E50" s="13">
        <v>12.6</v>
      </c>
      <c r="F50" s="6">
        <v>-2.4589149999999999E-3</v>
      </c>
      <c r="G50" s="6">
        <v>-9.6518540000000005E-4</v>
      </c>
      <c r="H50" s="6">
        <v>1.1854996825396825E-4</v>
      </c>
      <c r="I50" s="6">
        <v>-3.0938900000000002E-3</v>
      </c>
      <c r="J50" s="6">
        <v>-1.451426E-3</v>
      </c>
      <c r="K50" s="6">
        <v>1.3035428571428573E-4</v>
      </c>
      <c r="L50" s="6">
        <v>-2.8433239999999999E-3</v>
      </c>
      <c r="M50" s="6">
        <v>-1.554148E-3</v>
      </c>
      <c r="N50" s="6">
        <v>1.0231555555555555E-4</v>
      </c>
      <c r="O50" s="6">
        <v>-3.4609530000000001E-3</v>
      </c>
      <c r="P50" s="6">
        <v>-2.00702E-3</v>
      </c>
      <c r="Q50" s="6">
        <v>1.1539150793650795E-4</v>
      </c>
      <c r="R50" s="6">
        <v>-2.959766E-3</v>
      </c>
      <c r="S50" s="6">
        <v>-1.501191E-3</v>
      </c>
      <c r="T50" s="6">
        <v>1.1575992063492063E-4</v>
      </c>
      <c r="U50" s="6">
        <v>-2.8029470000000001E-3</v>
      </c>
      <c r="V50" s="6">
        <v>-1.701382E-3</v>
      </c>
      <c r="W50" s="6">
        <v>8.7425793650793655E-5</v>
      </c>
      <c r="X50" s="6">
        <v>-2.9804409999999999E-3</v>
      </c>
      <c r="Y50" s="6">
        <v>-1.552554E-3</v>
      </c>
      <c r="Z50" s="6">
        <v>1.1332436507936507E-4</v>
      </c>
      <c r="AA50" s="6">
        <v>-2.7946830000000001E-3</v>
      </c>
      <c r="AB50" s="6">
        <v>-1.6727560000000001E-3</v>
      </c>
      <c r="AC50" s="6">
        <v>8.9041825396825395E-5</v>
      </c>
      <c r="AD50" s="6">
        <v>-3.9501199999999997E-3</v>
      </c>
      <c r="AE50" s="6">
        <v>-2.1648570000000001E-3</v>
      </c>
      <c r="AF50" s="6">
        <v>1.4168753968253967E-4</v>
      </c>
      <c r="AG50" s="6">
        <v>-4.1032079999999997E-3</v>
      </c>
      <c r="AH50" s="6">
        <v>-1.963443E-3</v>
      </c>
      <c r="AI50" s="6">
        <v>1.6982261904761902E-4</v>
      </c>
      <c r="AJ50" s="6">
        <v>-3.9294450000000002E-3</v>
      </c>
      <c r="AK50" s="6">
        <v>-2.1134930000000001E-3</v>
      </c>
      <c r="AL50" s="6">
        <v>1.441231746031746E-4</v>
      </c>
      <c r="AM50" s="6">
        <v>-4.1152029999999996E-3</v>
      </c>
      <c r="AN50" s="6">
        <v>-1.9932909999999999E-3</v>
      </c>
      <c r="AO50" s="6">
        <v>1.6840571428571426E-4</v>
      </c>
      <c r="AP50" s="6">
        <v>-2.6046910000000001E-3</v>
      </c>
      <c r="AQ50" s="6">
        <v>-1.293696E-3</v>
      </c>
      <c r="AR50" s="6">
        <v>1.0404722222222223E-4</v>
      </c>
      <c r="AS50" s="6">
        <v>-2.4516030000000001E-3</v>
      </c>
      <c r="AT50" s="6">
        <v>-1.4951090000000001E-3</v>
      </c>
      <c r="AU50" s="6">
        <v>7.5912222222222219E-5</v>
      </c>
      <c r="AV50" s="6">
        <v>-2.6253660000000001E-3</v>
      </c>
      <c r="AW50" s="6">
        <v>-1.345059E-3</v>
      </c>
      <c r="AX50" s="6">
        <v>1.0161166666666667E-4</v>
      </c>
      <c r="AY50" s="6">
        <v>-2.4396079999999998E-3</v>
      </c>
      <c r="AZ50" s="6">
        <v>-1.465261E-3</v>
      </c>
      <c r="BA50" s="6">
        <v>7.7329126984126967E-5</v>
      </c>
      <c r="BB50" s="6">
        <v>-3.5950449999999998E-3</v>
      </c>
      <c r="BC50" s="6">
        <v>-1.9573609999999999E-3</v>
      </c>
      <c r="BD50" s="6">
        <v>1.2997492063492063E-4</v>
      </c>
      <c r="BE50" s="6">
        <v>-3.7481329999999998E-3</v>
      </c>
      <c r="BF50" s="6">
        <v>-1.755948E-3</v>
      </c>
      <c r="BG50" s="6">
        <v>1.5810992063492062E-4</v>
      </c>
      <c r="BH50" s="6">
        <v>-3.5743699999999999E-3</v>
      </c>
      <c r="BI50" s="6">
        <v>-1.9059979999999999E-3</v>
      </c>
      <c r="BJ50" s="6">
        <v>1.324104761904762E-4</v>
      </c>
      <c r="BK50" s="6">
        <v>-3.7601280000000002E-3</v>
      </c>
      <c r="BL50" s="6">
        <v>-1.7857960000000001E-3</v>
      </c>
      <c r="BM50" s="6">
        <v>1.5669301587301589E-4</v>
      </c>
      <c r="BN50" s="6">
        <v>-3.7206439999999999E-3</v>
      </c>
      <c r="BO50" s="6">
        <v>-1.9755520000000002E-3</v>
      </c>
      <c r="BP50" s="6">
        <v>1.3849936507936506E-4</v>
      </c>
      <c r="BQ50" s="6">
        <v>-3.674718E-3</v>
      </c>
      <c r="BR50" s="6">
        <v>-2.0359760000000001E-3</v>
      </c>
      <c r="BS50" s="6">
        <v>1.3005888888888888E-4</v>
      </c>
      <c r="BT50" s="6">
        <v>-3.7268470000000001E-3</v>
      </c>
      <c r="BU50" s="6">
        <v>-1.9909609999999999E-3</v>
      </c>
      <c r="BV50" s="6">
        <v>1.3776873015873019E-4</v>
      </c>
      <c r="BW50" s="6">
        <v>-3.6711199999999999E-3</v>
      </c>
      <c r="BX50" s="6">
        <v>-2.0270209999999999E-3</v>
      </c>
      <c r="BY50" s="6">
        <v>1.3048404761904761E-4</v>
      </c>
      <c r="BZ50" s="6">
        <v>-4.017751E-3</v>
      </c>
      <c r="CA50" s="6">
        <v>-2.1746510000000001E-3</v>
      </c>
      <c r="CB50" s="6">
        <v>1.4627777777777778E-4</v>
      </c>
      <c r="CC50" s="6">
        <v>-4.0636769999999999E-3</v>
      </c>
      <c r="CD50" s="6">
        <v>-2.1142280000000001E-3</v>
      </c>
      <c r="CE50" s="6">
        <v>1.5471817460317459E-4</v>
      </c>
      <c r="CF50" s="6">
        <v>-4.0115480000000002E-3</v>
      </c>
      <c r="CG50" s="6">
        <v>-2.159242E-3</v>
      </c>
      <c r="CH50" s="6">
        <v>1.4700841269841273E-4</v>
      </c>
      <c r="CI50" s="6">
        <v>-4.0672759999999999E-3</v>
      </c>
      <c r="CJ50" s="6">
        <v>-2.1231819999999999E-3</v>
      </c>
      <c r="CK50" s="6">
        <v>1.5429317460317459E-4</v>
      </c>
      <c r="CL50" s="6">
        <v>-2.5370610000000002E-3</v>
      </c>
      <c r="CM50" s="6">
        <v>-1.2839010000000001E-3</v>
      </c>
      <c r="CN50" s="6">
        <v>9.945714285714287E-5</v>
      </c>
      <c r="CO50" s="6">
        <v>-2.4911339999999999E-3</v>
      </c>
      <c r="CP50" s="6">
        <v>-1.3443249999999999E-3</v>
      </c>
      <c r="CQ50" s="6">
        <v>9.1016587301587297E-5</v>
      </c>
      <c r="CR50" s="6">
        <v>-2.543263E-3</v>
      </c>
      <c r="CS50" s="6">
        <v>-1.2993099999999999E-3</v>
      </c>
      <c r="CT50" s="6">
        <v>9.8726428571428579E-5</v>
      </c>
      <c r="CU50" s="6">
        <v>-2.4875359999999998E-3</v>
      </c>
      <c r="CV50" s="6">
        <v>-1.3353709999999999E-3</v>
      </c>
      <c r="CW50" s="6">
        <v>9.1441666666666662E-5</v>
      </c>
      <c r="CX50" s="6">
        <v>-2.8341669999999998E-3</v>
      </c>
      <c r="CY50" s="6">
        <v>-1.4830010000000001E-3</v>
      </c>
      <c r="CZ50" s="6">
        <v>1.0723539682539681E-4</v>
      </c>
      <c r="DA50" s="6">
        <v>-2.8800929999999998E-3</v>
      </c>
      <c r="DB50" s="6">
        <v>-1.422577E-3</v>
      </c>
      <c r="DC50" s="6">
        <v>1.1567587301587301E-4</v>
      </c>
      <c r="DD50" s="6">
        <v>-2.8279640000000001E-3</v>
      </c>
      <c r="DE50" s="6">
        <v>-1.467592E-3</v>
      </c>
      <c r="DF50" s="6">
        <v>1.0796603174603176E-4</v>
      </c>
      <c r="DG50" s="6">
        <v>-2.8836920000000002E-3</v>
      </c>
      <c r="DH50" s="6">
        <v>-1.431531E-3</v>
      </c>
      <c r="DI50" s="6">
        <v>1.1525087301587304E-4</v>
      </c>
    </row>
    <row r="51" spans="1:113" x14ac:dyDescent="0.3">
      <c r="A51" s="13" t="s">
        <v>397</v>
      </c>
      <c r="B51" s="13" t="s">
        <v>75</v>
      </c>
      <c r="C51" s="13" t="s">
        <v>76</v>
      </c>
      <c r="D51" s="13" t="s">
        <v>347</v>
      </c>
      <c r="E51" s="13">
        <v>8.3000000000000007</v>
      </c>
      <c r="F51" s="6">
        <v>-9.6518540000000005E-4</v>
      </c>
      <c r="G51" s="6">
        <v>-1.262024E-3</v>
      </c>
      <c r="H51" s="6">
        <v>3.5763686746987947E-5</v>
      </c>
      <c r="I51" s="6">
        <v>-1.451426E-3</v>
      </c>
      <c r="J51" s="6">
        <v>-1.8270090000000001E-3</v>
      </c>
      <c r="K51" s="6">
        <v>4.5250963855421694E-5</v>
      </c>
      <c r="L51" s="6">
        <v>-1.554148E-3</v>
      </c>
      <c r="M51" s="6">
        <v>-1.8408599999999999E-3</v>
      </c>
      <c r="N51" s="6">
        <v>3.4543614457831314E-5</v>
      </c>
      <c r="O51" s="6">
        <v>-2.00702E-3</v>
      </c>
      <c r="P51" s="6">
        <v>-2.3792399999999999E-3</v>
      </c>
      <c r="Q51" s="6">
        <v>4.4845783132530106E-5</v>
      </c>
      <c r="R51" s="6">
        <v>-1.501191E-3</v>
      </c>
      <c r="S51" s="6">
        <v>-2.2582560000000002E-3</v>
      </c>
      <c r="T51" s="6">
        <v>9.1212650602409641E-5</v>
      </c>
      <c r="U51" s="6">
        <v>-1.701382E-3</v>
      </c>
      <c r="V51" s="6">
        <v>-2.0886559999999999E-3</v>
      </c>
      <c r="W51" s="6">
        <v>4.6659518072289145E-5</v>
      </c>
      <c r="X51" s="6">
        <v>-1.552554E-3</v>
      </c>
      <c r="Y51" s="6">
        <v>-2.247663E-3</v>
      </c>
      <c r="Z51" s="6">
        <v>8.374807228915662E-5</v>
      </c>
      <c r="AA51" s="6">
        <v>-1.6727560000000001E-3</v>
      </c>
      <c r="AB51" s="6">
        <v>-2.0930229999999998E-3</v>
      </c>
      <c r="AC51" s="6">
        <v>5.0634578313252982E-5</v>
      </c>
      <c r="AD51" s="6">
        <v>-2.1648570000000001E-3</v>
      </c>
      <c r="AE51" s="6">
        <v>-2.189748E-3</v>
      </c>
      <c r="AF51" s="6">
        <v>2.9989156626505993E-6</v>
      </c>
      <c r="AG51" s="6">
        <v>-1.963443E-3</v>
      </c>
      <c r="AH51" s="6">
        <v>-2.361232E-3</v>
      </c>
      <c r="AI51" s="6">
        <v>4.7926385542168667E-5</v>
      </c>
      <c r="AJ51" s="6">
        <v>-2.1134930000000001E-3</v>
      </c>
      <c r="AK51" s="6">
        <v>-2.2003410000000002E-3</v>
      </c>
      <c r="AL51" s="6">
        <v>1.0463614457831329E-5</v>
      </c>
      <c r="AM51" s="6">
        <v>-1.9932909999999999E-3</v>
      </c>
      <c r="AN51" s="6">
        <v>-2.35498E-3</v>
      </c>
      <c r="AO51" s="6">
        <v>4.3576987951807241E-5</v>
      </c>
      <c r="AP51" s="6">
        <v>-1.293696E-3</v>
      </c>
      <c r="AQ51" s="6">
        <v>-2.016477E-3</v>
      </c>
      <c r="AR51" s="6">
        <v>8.7082048192771081E-5</v>
      </c>
      <c r="AS51" s="6">
        <v>-1.4951090000000001E-3</v>
      </c>
      <c r="AT51" s="6">
        <v>-1.8449930000000001E-3</v>
      </c>
      <c r="AU51" s="6">
        <v>4.2154698795180713E-5</v>
      </c>
      <c r="AV51" s="6">
        <v>-1.345059E-3</v>
      </c>
      <c r="AW51" s="6">
        <v>-2.0058839999999999E-3</v>
      </c>
      <c r="AX51" s="6">
        <v>7.9617469879518046E-5</v>
      </c>
      <c r="AY51" s="6">
        <v>-1.465261E-3</v>
      </c>
      <c r="AZ51" s="6">
        <v>-1.8512450000000001E-3</v>
      </c>
      <c r="BA51" s="6">
        <v>4.6504096385542167E-5</v>
      </c>
      <c r="BB51" s="6">
        <v>-1.9573609999999999E-3</v>
      </c>
      <c r="BC51" s="6">
        <v>-1.9479689999999999E-3</v>
      </c>
      <c r="BD51" s="6">
        <v>1.1315662650602402E-6</v>
      </c>
      <c r="BE51" s="6">
        <v>-1.755948E-3</v>
      </c>
      <c r="BF51" s="6">
        <v>-2.1194540000000002E-3</v>
      </c>
      <c r="BG51" s="6">
        <v>4.3795903614457853E-5</v>
      </c>
      <c r="BH51" s="6">
        <v>-1.9059979999999999E-3</v>
      </c>
      <c r="BI51" s="6">
        <v>-1.958563E-3</v>
      </c>
      <c r="BJ51" s="6">
        <v>6.3331325301204909E-6</v>
      </c>
      <c r="BK51" s="6">
        <v>-1.7857960000000001E-3</v>
      </c>
      <c r="BL51" s="6">
        <v>-2.1132019999999998E-3</v>
      </c>
      <c r="BM51" s="6">
        <v>3.9446506024096345E-5</v>
      </c>
      <c r="BN51" s="6">
        <v>-1.9755520000000002E-3</v>
      </c>
      <c r="BO51" s="6">
        <v>-2.5163529999999998E-3</v>
      </c>
      <c r="BP51" s="6">
        <v>6.5156746987951757E-5</v>
      </c>
      <c r="BQ51" s="6">
        <v>-2.0359760000000001E-3</v>
      </c>
      <c r="BR51" s="6">
        <v>-2.4649070000000001E-3</v>
      </c>
      <c r="BS51" s="6">
        <v>5.1678433734939758E-5</v>
      </c>
      <c r="BT51" s="6">
        <v>-1.9909609999999999E-3</v>
      </c>
      <c r="BU51" s="6">
        <v>-2.5131749999999999E-3</v>
      </c>
      <c r="BV51" s="6">
        <v>6.2917349397590363E-5</v>
      </c>
      <c r="BW51" s="6">
        <v>-2.0270209999999999E-3</v>
      </c>
      <c r="BX51" s="6">
        <v>-2.4667830000000002E-3</v>
      </c>
      <c r="BY51" s="6">
        <v>5.2983373493975925E-5</v>
      </c>
      <c r="BZ51" s="6">
        <v>-2.1746510000000001E-3</v>
      </c>
      <c r="CA51" s="6">
        <v>-2.4957999999999998E-3</v>
      </c>
      <c r="CB51" s="6">
        <v>3.8692650602409601E-5</v>
      </c>
      <c r="CC51" s="6">
        <v>-2.1142280000000001E-3</v>
      </c>
      <c r="CD51" s="6">
        <v>-2.547246E-3</v>
      </c>
      <c r="CE51" s="6">
        <v>5.2170843373493957E-5</v>
      </c>
      <c r="CF51" s="6">
        <v>-2.159242E-3</v>
      </c>
      <c r="CG51" s="6">
        <v>-2.4989779999999998E-3</v>
      </c>
      <c r="CH51" s="6">
        <v>4.0932048192771057E-5</v>
      </c>
      <c r="CI51" s="6">
        <v>-2.1231819999999999E-3</v>
      </c>
      <c r="CJ51" s="6">
        <v>-2.5453699999999999E-3</v>
      </c>
      <c r="CK51" s="6">
        <v>5.0866024096385535E-5</v>
      </c>
      <c r="CL51" s="6">
        <v>-1.2839010000000001E-3</v>
      </c>
      <c r="CM51" s="6">
        <v>-1.710425E-3</v>
      </c>
      <c r="CN51" s="6">
        <v>5.1388433734939752E-5</v>
      </c>
      <c r="CO51" s="6">
        <v>-1.3443249999999999E-3</v>
      </c>
      <c r="CP51" s="6">
        <v>-1.6589790000000001E-3</v>
      </c>
      <c r="CQ51" s="6">
        <v>3.7910120481927726E-5</v>
      </c>
      <c r="CR51" s="6">
        <v>-1.2993099999999999E-3</v>
      </c>
      <c r="CS51" s="6">
        <v>-1.7072470000000001E-3</v>
      </c>
      <c r="CT51" s="6">
        <v>4.9149036144578324E-5</v>
      </c>
      <c r="CU51" s="6">
        <v>-1.3353709999999999E-3</v>
      </c>
      <c r="CV51" s="6">
        <v>-1.6608549999999999E-3</v>
      </c>
      <c r="CW51" s="6">
        <v>3.9214939759036141E-5</v>
      </c>
      <c r="CX51" s="6">
        <v>-1.4830010000000001E-3</v>
      </c>
      <c r="CY51" s="6">
        <v>-1.689872E-3</v>
      </c>
      <c r="CZ51" s="6">
        <v>2.4924216867469872E-5</v>
      </c>
      <c r="DA51" s="6">
        <v>-1.422577E-3</v>
      </c>
      <c r="DB51" s="6">
        <v>-1.741317E-3</v>
      </c>
      <c r="DC51" s="6">
        <v>3.840240963855422E-5</v>
      </c>
      <c r="DD51" s="6">
        <v>-1.467592E-3</v>
      </c>
      <c r="DE51" s="6">
        <v>-1.69305E-3</v>
      </c>
      <c r="DF51" s="6">
        <v>2.7163614457831324E-5</v>
      </c>
      <c r="DG51" s="6">
        <v>-1.431531E-3</v>
      </c>
      <c r="DH51" s="6">
        <v>-1.7394419999999999E-3</v>
      </c>
      <c r="DI51" s="6">
        <v>3.7097710843373477E-5</v>
      </c>
    </row>
    <row r="52" spans="1:113" x14ac:dyDescent="0.3">
      <c r="A52" s="13" t="s">
        <v>398</v>
      </c>
      <c r="B52" s="13" t="s">
        <v>109</v>
      </c>
      <c r="C52" s="13" t="s">
        <v>111</v>
      </c>
      <c r="D52" s="13" t="s">
        <v>347</v>
      </c>
      <c r="E52" s="13">
        <v>12.6</v>
      </c>
      <c r="F52" s="6">
        <v>-2.3349450000000002E-3</v>
      </c>
      <c r="G52" s="6">
        <v>-1.3073519999999999E-3</v>
      </c>
      <c r="H52" s="6">
        <v>8.1555000000000028E-5</v>
      </c>
      <c r="I52" s="6">
        <v>-2.9942979999999998E-3</v>
      </c>
      <c r="J52" s="6">
        <v>-1.9907240000000001E-3</v>
      </c>
      <c r="K52" s="6">
        <v>7.9648730158730143E-5</v>
      </c>
      <c r="L52" s="6">
        <v>-2.7262419999999998E-3</v>
      </c>
      <c r="M52" s="6">
        <v>-1.9300439999999999E-3</v>
      </c>
      <c r="N52" s="6">
        <v>6.3190317460317457E-5</v>
      </c>
      <c r="O52" s="6">
        <v>-3.366871E-3</v>
      </c>
      <c r="P52" s="6">
        <v>-2.5732950000000002E-3</v>
      </c>
      <c r="Q52" s="6">
        <v>6.2982222222222206E-5</v>
      </c>
      <c r="R52" s="6">
        <v>-2.9698569999999998E-3</v>
      </c>
      <c r="S52" s="6">
        <v>-1.8963719999999999E-3</v>
      </c>
      <c r="T52" s="6">
        <v>8.5197222222222223E-5</v>
      </c>
      <c r="U52" s="6">
        <v>-2.8910659999999999E-3</v>
      </c>
      <c r="V52" s="6">
        <v>-2.4129709999999999E-3</v>
      </c>
      <c r="W52" s="6">
        <v>3.7944047619047622E-5</v>
      </c>
      <c r="X52" s="6">
        <v>-2.9841070000000002E-3</v>
      </c>
      <c r="Y52" s="6">
        <v>-1.9665080000000001E-3</v>
      </c>
      <c r="Z52" s="6">
        <v>8.0761825396825413E-5</v>
      </c>
      <c r="AA52" s="6">
        <v>-2.893671E-3</v>
      </c>
      <c r="AB52" s="6">
        <v>-2.3735190000000001E-3</v>
      </c>
      <c r="AC52" s="6">
        <v>4.1281904761904753E-5</v>
      </c>
      <c r="AD52" s="6">
        <v>-3.7325330000000001E-3</v>
      </c>
      <c r="AE52" s="6">
        <v>-2.9214739999999999E-3</v>
      </c>
      <c r="AF52" s="6">
        <v>6.436976190476193E-5</v>
      </c>
      <c r="AG52" s="6">
        <v>-3.8004499999999999E-3</v>
      </c>
      <c r="AH52" s="6">
        <v>-2.4035609999999998E-3</v>
      </c>
      <c r="AI52" s="6">
        <v>1.1086420634920636E-4</v>
      </c>
      <c r="AJ52" s="6">
        <v>-3.7182840000000001E-3</v>
      </c>
      <c r="AK52" s="6">
        <v>-2.8513369999999998E-3</v>
      </c>
      <c r="AL52" s="6">
        <v>6.880531746031749E-5</v>
      </c>
      <c r="AM52" s="6">
        <v>-3.8087189999999999E-3</v>
      </c>
      <c r="AN52" s="6">
        <v>-2.4443260000000001E-3</v>
      </c>
      <c r="AO52" s="6">
        <v>1.0828515873015872E-4</v>
      </c>
      <c r="AP52" s="6">
        <v>-2.628624E-3</v>
      </c>
      <c r="AQ52" s="6">
        <v>-1.6427530000000001E-3</v>
      </c>
      <c r="AR52" s="6">
        <v>7.8243730158730152E-5</v>
      </c>
      <c r="AS52" s="6">
        <v>-2.5607080000000001E-3</v>
      </c>
      <c r="AT52" s="6">
        <v>-2.160665E-3</v>
      </c>
      <c r="AU52" s="6">
        <v>3.1749444444444454E-5</v>
      </c>
      <c r="AV52" s="6">
        <v>-2.6428739999999999E-3</v>
      </c>
      <c r="AW52" s="6">
        <v>-1.7128899999999999E-3</v>
      </c>
      <c r="AX52" s="6">
        <v>7.3808253968253974E-5</v>
      </c>
      <c r="AY52" s="6">
        <v>-2.5524390000000001E-3</v>
      </c>
      <c r="AZ52" s="6">
        <v>-2.119901E-3</v>
      </c>
      <c r="BA52" s="6">
        <v>3.432841269841271E-5</v>
      </c>
      <c r="BB52" s="6">
        <v>-3.3913010000000002E-3</v>
      </c>
      <c r="BC52" s="6">
        <v>-2.6678549999999998E-3</v>
      </c>
      <c r="BD52" s="6">
        <v>5.7416349206349242E-5</v>
      </c>
      <c r="BE52" s="6">
        <v>-3.4592170000000001E-3</v>
      </c>
      <c r="BF52" s="6">
        <v>-2.1499430000000001E-3</v>
      </c>
      <c r="BG52" s="6">
        <v>1.0391063492063492E-4</v>
      </c>
      <c r="BH52" s="6">
        <v>-3.3770509999999998E-3</v>
      </c>
      <c r="BI52" s="6">
        <v>-2.5977180000000002E-3</v>
      </c>
      <c r="BJ52" s="6">
        <v>6.1851825396825379E-5</v>
      </c>
      <c r="BK52" s="6">
        <v>-3.467487E-3</v>
      </c>
      <c r="BL52" s="6">
        <v>-2.1907070000000001E-3</v>
      </c>
      <c r="BM52" s="6">
        <v>1.0133174603174603E-4</v>
      </c>
      <c r="BN52" s="6">
        <v>-3.634899E-3</v>
      </c>
      <c r="BO52" s="6">
        <v>-2.551046E-3</v>
      </c>
      <c r="BP52" s="6">
        <v>8.6020079365079375E-5</v>
      </c>
      <c r="BQ52" s="6">
        <v>-3.614524E-3</v>
      </c>
      <c r="BR52" s="6">
        <v>-2.7064189999999998E-3</v>
      </c>
      <c r="BS52" s="6">
        <v>7.2071825396825414E-5</v>
      </c>
      <c r="BT52" s="6">
        <v>-3.6391739999999998E-3</v>
      </c>
      <c r="BU52" s="6">
        <v>-2.5720869999999998E-3</v>
      </c>
      <c r="BV52" s="6">
        <v>8.4689444444444452E-5</v>
      </c>
      <c r="BW52" s="6">
        <v>-3.6120430000000001E-3</v>
      </c>
      <c r="BX52" s="6">
        <v>-2.69419E-3</v>
      </c>
      <c r="BY52" s="6">
        <v>7.2845476190476209E-5</v>
      </c>
      <c r="BZ52" s="6">
        <v>-3.8637020000000001E-3</v>
      </c>
      <c r="CA52" s="6">
        <v>-2.8585759999999998E-3</v>
      </c>
      <c r="CB52" s="6">
        <v>7.9771904761904793E-5</v>
      </c>
      <c r="CC52" s="6">
        <v>-3.8840770000000001E-3</v>
      </c>
      <c r="CD52" s="6">
        <v>-2.7032029999999999E-3</v>
      </c>
      <c r="CE52" s="6">
        <v>9.3720158730158741E-5</v>
      </c>
      <c r="CF52" s="6">
        <v>-3.8594269999999999E-3</v>
      </c>
      <c r="CG52" s="6">
        <v>-2.837535E-3</v>
      </c>
      <c r="CH52" s="6">
        <v>8.1102539682539676E-5</v>
      </c>
      <c r="CI52" s="6">
        <v>-3.8865570000000001E-3</v>
      </c>
      <c r="CJ52" s="6">
        <v>-2.7154319999999998E-3</v>
      </c>
      <c r="CK52" s="6">
        <v>9.2946428571428591E-5</v>
      </c>
      <c r="CL52" s="6">
        <v>-2.4974559999999999E-3</v>
      </c>
      <c r="CM52" s="6">
        <v>-1.70565E-3</v>
      </c>
      <c r="CN52" s="6">
        <v>6.2841746031746027E-5</v>
      </c>
      <c r="CO52" s="6">
        <v>-2.4770809999999999E-3</v>
      </c>
      <c r="CP52" s="6">
        <v>-1.861024E-3</v>
      </c>
      <c r="CQ52" s="6">
        <v>4.8893412698412697E-5</v>
      </c>
      <c r="CR52" s="6">
        <v>-2.5017310000000001E-3</v>
      </c>
      <c r="CS52" s="6">
        <v>-1.726691E-3</v>
      </c>
      <c r="CT52" s="6">
        <v>6.1511111111111117E-5</v>
      </c>
      <c r="CU52" s="6">
        <v>-2.4746009999999999E-3</v>
      </c>
      <c r="CV52" s="6">
        <v>-1.8487950000000001E-3</v>
      </c>
      <c r="CW52" s="6">
        <v>4.966714285714284E-5</v>
      </c>
      <c r="CX52" s="6">
        <v>-2.726259E-3</v>
      </c>
      <c r="CY52" s="6">
        <v>-2.0131810000000002E-3</v>
      </c>
      <c r="CZ52" s="6">
        <v>5.6593492063492049E-5</v>
      </c>
      <c r="DA52" s="6">
        <v>-2.746634E-3</v>
      </c>
      <c r="DB52" s="6">
        <v>-1.8578069999999999E-3</v>
      </c>
      <c r="DC52" s="6">
        <v>7.0541825396825406E-5</v>
      </c>
      <c r="DD52" s="6">
        <v>-2.7219840000000002E-3</v>
      </c>
      <c r="DE52" s="6">
        <v>-1.9921399999999999E-3</v>
      </c>
      <c r="DF52" s="6">
        <v>5.7924126984127013E-5</v>
      </c>
      <c r="DG52" s="6">
        <v>-2.7491149999999999E-3</v>
      </c>
      <c r="DH52" s="6">
        <v>-1.870037E-3</v>
      </c>
      <c r="DI52" s="6">
        <v>6.9768095238095229E-5</v>
      </c>
    </row>
    <row r="53" spans="1:113" x14ac:dyDescent="0.3">
      <c r="A53" s="13" t="s">
        <v>399</v>
      </c>
      <c r="B53" s="13" t="s">
        <v>111</v>
      </c>
      <c r="C53" s="13" t="s">
        <v>112</v>
      </c>
      <c r="D53" s="13" t="s">
        <v>347</v>
      </c>
      <c r="E53" s="13">
        <v>8.3000000000000007</v>
      </c>
      <c r="F53" s="6">
        <v>-1.3073519999999999E-3</v>
      </c>
      <c r="G53" s="6">
        <v>-1.7882169999999999E-3</v>
      </c>
      <c r="H53" s="6">
        <v>5.7935542168674695E-5</v>
      </c>
      <c r="I53" s="6">
        <v>-1.9907240000000001E-3</v>
      </c>
      <c r="J53" s="6">
        <v>-2.6068279999999998E-3</v>
      </c>
      <c r="K53" s="6">
        <v>7.4229397590361401E-5</v>
      </c>
      <c r="L53" s="6">
        <v>-1.9300439999999999E-3</v>
      </c>
      <c r="M53" s="6">
        <v>-2.3906890000000001E-3</v>
      </c>
      <c r="N53" s="6">
        <v>5.5499397590361464E-5</v>
      </c>
      <c r="O53" s="6">
        <v>-2.5732950000000002E-3</v>
      </c>
      <c r="P53" s="6">
        <v>-3.1822909999999999E-3</v>
      </c>
      <c r="Q53" s="6">
        <v>7.3373012048192729E-5</v>
      </c>
      <c r="R53" s="6">
        <v>-1.8963719999999999E-3</v>
      </c>
      <c r="S53" s="6">
        <v>-3.1666929999999999E-3</v>
      </c>
      <c r="T53" s="6">
        <v>1.5305072289156625E-4</v>
      </c>
      <c r="U53" s="6">
        <v>-2.4129709999999999E-3</v>
      </c>
      <c r="V53" s="6">
        <v>-3.0614209999999999E-3</v>
      </c>
      <c r="W53" s="6">
        <v>7.8126506024096381E-5</v>
      </c>
      <c r="X53" s="6">
        <v>-1.9665080000000001E-3</v>
      </c>
      <c r="Y53" s="6">
        <v>-3.1512329999999998E-3</v>
      </c>
      <c r="Z53" s="6">
        <v>1.4273795180722888E-4</v>
      </c>
      <c r="AA53" s="6">
        <v>-2.3735190000000001E-3</v>
      </c>
      <c r="AB53" s="6">
        <v>-3.0699659999999999E-3</v>
      </c>
      <c r="AC53" s="6">
        <v>8.3909277108433706E-5</v>
      </c>
      <c r="AD53" s="6">
        <v>-2.9214739999999999E-3</v>
      </c>
      <c r="AE53" s="6">
        <v>-2.9310260000000002E-3</v>
      </c>
      <c r="AF53" s="6">
        <v>1.1508433734940173E-6</v>
      </c>
      <c r="AG53" s="6">
        <v>-2.4035609999999998E-3</v>
      </c>
      <c r="AH53" s="6">
        <v>-3.0368679999999999E-3</v>
      </c>
      <c r="AI53" s="6">
        <v>7.6302048192771079E-5</v>
      </c>
      <c r="AJ53" s="6">
        <v>-2.8513369999999998E-3</v>
      </c>
      <c r="AK53" s="6">
        <v>-2.9464859999999999E-3</v>
      </c>
      <c r="AL53" s="6">
        <v>1.1463734939759048E-5</v>
      </c>
      <c r="AM53" s="6">
        <v>-2.4443260000000001E-3</v>
      </c>
      <c r="AN53" s="6">
        <v>-3.0277530000000002E-3</v>
      </c>
      <c r="AO53" s="6">
        <v>7.0292409638554221E-5</v>
      </c>
      <c r="AP53" s="6">
        <v>-1.6427530000000001E-3</v>
      </c>
      <c r="AQ53" s="6">
        <v>-2.8580569999999998E-3</v>
      </c>
      <c r="AR53" s="6">
        <v>1.4642216867469875E-4</v>
      </c>
      <c r="AS53" s="6">
        <v>-2.160665E-3</v>
      </c>
      <c r="AT53" s="6">
        <v>-2.7522139999999998E-3</v>
      </c>
      <c r="AU53" s="6">
        <v>7.1270963855421651E-5</v>
      </c>
      <c r="AV53" s="6">
        <v>-1.7128899999999999E-3</v>
      </c>
      <c r="AW53" s="6">
        <v>-2.8425960000000002E-3</v>
      </c>
      <c r="AX53" s="6">
        <v>1.3610915662650604E-4</v>
      </c>
      <c r="AY53" s="6">
        <v>-2.119901E-3</v>
      </c>
      <c r="AZ53" s="6">
        <v>-2.7613300000000002E-3</v>
      </c>
      <c r="BA53" s="6">
        <v>7.7280602409638576E-5</v>
      </c>
      <c r="BB53" s="6">
        <v>-2.6678549999999998E-3</v>
      </c>
      <c r="BC53" s="6">
        <v>-2.6223890000000001E-3</v>
      </c>
      <c r="BD53" s="6">
        <v>5.477831325301162E-6</v>
      </c>
      <c r="BE53" s="6">
        <v>-2.1499430000000001E-3</v>
      </c>
      <c r="BF53" s="6">
        <v>-2.7282309999999998E-3</v>
      </c>
      <c r="BG53" s="6">
        <v>6.9673253012048157E-5</v>
      </c>
      <c r="BH53" s="6">
        <v>-2.5977180000000002E-3</v>
      </c>
      <c r="BI53" s="6">
        <v>-2.6378500000000002E-3</v>
      </c>
      <c r="BJ53" s="6">
        <v>4.8351807228915674E-6</v>
      </c>
      <c r="BK53" s="6">
        <v>-2.1907070000000001E-3</v>
      </c>
      <c r="BL53" s="6">
        <v>-2.7191160000000002E-3</v>
      </c>
      <c r="BM53" s="6">
        <v>6.3663734939759038E-5</v>
      </c>
      <c r="BN53" s="6">
        <v>-2.551046E-3</v>
      </c>
      <c r="BO53" s="6">
        <v>-3.444286E-3</v>
      </c>
      <c r="BP53" s="6">
        <v>1.0761927710843372E-4</v>
      </c>
      <c r="BQ53" s="6">
        <v>-2.7064189999999998E-3</v>
      </c>
      <c r="BR53" s="6">
        <v>-3.4125330000000001E-3</v>
      </c>
      <c r="BS53" s="6">
        <v>8.5073975903614488E-5</v>
      </c>
      <c r="BT53" s="6">
        <v>-2.5720869999999998E-3</v>
      </c>
      <c r="BU53" s="6">
        <v>-3.4396470000000001E-3</v>
      </c>
      <c r="BV53" s="6">
        <v>1.045253012048193E-4</v>
      </c>
      <c r="BW53" s="6">
        <v>-2.69419E-3</v>
      </c>
      <c r="BX53" s="6">
        <v>-3.4152679999999999E-3</v>
      </c>
      <c r="BY53" s="6">
        <v>8.6876867469879511E-5</v>
      </c>
      <c r="BZ53" s="6">
        <v>-2.8585759999999998E-3</v>
      </c>
      <c r="CA53" s="6">
        <v>-3.3735850000000001E-3</v>
      </c>
      <c r="CB53" s="6">
        <v>6.2049277108433762E-5</v>
      </c>
      <c r="CC53" s="6">
        <v>-2.7032029999999999E-3</v>
      </c>
      <c r="CD53" s="6">
        <v>-3.4053379999999999E-3</v>
      </c>
      <c r="CE53" s="6">
        <v>8.4594578313253009E-5</v>
      </c>
      <c r="CF53" s="6">
        <v>-2.837535E-3</v>
      </c>
      <c r="CG53" s="6">
        <v>-3.378224E-3</v>
      </c>
      <c r="CH53" s="6">
        <v>6.5143253012048185E-5</v>
      </c>
      <c r="CI53" s="6">
        <v>-2.7154319999999998E-3</v>
      </c>
      <c r="CJ53" s="6">
        <v>-3.402604E-3</v>
      </c>
      <c r="CK53" s="6">
        <v>8.2791807228915684E-5</v>
      </c>
      <c r="CL53" s="6">
        <v>-1.70565E-3</v>
      </c>
      <c r="CM53" s="6">
        <v>-2.415497E-3</v>
      </c>
      <c r="CN53" s="6">
        <v>8.5523734939759022E-5</v>
      </c>
      <c r="CO53" s="6">
        <v>-1.861024E-3</v>
      </c>
      <c r="CP53" s="6">
        <v>-2.3837440000000001E-3</v>
      </c>
      <c r="CQ53" s="6">
        <v>6.2978313253012064E-5</v>
      </c>
      <c r="CR53" s="6">
        <v>-1.726691E-3</v>
      </c>
      <c r="CS53" s="6">
        <v>-2.410859E-3</v>
      </c>
      <c r="CT53" s="6">
        <v>8.2429879518072284E-5</v>
      </c>
      <c r="CU53" s="6">
        <v>-1.8487950000000001E-3</v>
      </c>
      <c r="CV53" s="6">
        <v>-2.3864789999999999E-3</v>
      </c>
      <c r="CW53" s="6">
        <v>6.4781204819277087E-5</v>
      </c>
      <c r="CX53" s="6">
        <v>-2.0131810000000002E-3</v>
      </c>
      <c r="CY53" s="6">
        <v>-2.344797E-3</v>
      </c>
      <c r="CZ53" s="6">
        <v>3.9953734939759016E-5</v>
      </c>
      <c r="DA53" s="6">
        <v>-1.8578069999999999E-3</v>
      </c>
      <c r="DB53" s="6">
        <v>-2.3765499999999998E-3</v>
      </c>
      <c r="DC53" s="6">
        <v>6.2499156626506008E-5</v>
      </c>
      <c r="DD53" s="6">
        <v>-1.9921399999999999E-3</v>
      </c>
      <c r="DE53" s="6">
        <v>-2.349435E-3</v>
      </c>
      <c r="DF53" s="6">
        <v>4.3047590361445788E-5</v>
      </c>
      <c r="DG53" s="6">
        <v>-1.870037E-3</v>
      </c>
      <c r="DH53" s="6">
        <v>-2.373815E-3</v>
      </c>
      <c r="DI53" s="6">
        <v>6.0696144578313259E-5</v>
      </c>
    </row>
    <row r="54" spans="1:113" x14ac:dyDescent="0.3">
      <c r="A54" s="13" t="s">
        <v>400</v>
      </c>
      <c r="B54" s="13" t="s">
        <v>145</v>
      </c>
      <c r="C54" s="13" t="s">
        <v>147</v>
      </c>
      <c r="D54" s="13" t="s">
        <v>347</v>
      </c>
      <c r="E54" s="13">
        <v>12.6</v>
      </c>
      <c r="F54" s="6">
        <v>-2.15161E-3</v>
      </c>
      <c r="G54" s="6">
        <v>-1.324787E-3</v>
      </c>
      <c r="H54" s="6">
        <v>6.5620873015873011E-5</v>
      </c>
      <c r="I54" s="6">
        <v>-2.8042480000000001E-3</v>
      </c>
      <c r="J54" s="6">
        <v>-1.9927270000000001E-3</v>
      </c>
      <c r="K54" s="6">
        <v>6.4406428571428569E-5</v>
      </c>
      <c r="L54" s="6">
        <v>-2.5478649999999999E-3</v>
      </c>
      <c r="M54" s="6">
        <v>-1.9357689999999999E-3</v>
      </c>
      <c r="N54" s="6">
        <v>4.8579047619047611E-5</v>
      </c>
      <c r="O54" s="6">
        <v>-3.1811000000000001E-3</v>
      </c>
      <c r="P54" s="6">
        <v>-2.5694509999999999E-3</v>
      </c>
      <c r="Q54" s="6">
        <v>4.8543571428571439E-5</v>
      </c>
      <c r="R54" s="6">
        <v>-2.8910149999999998E-3</v>
      </c>
      <c r="S54" s="6">
        <v>-1.9243089999999999E-3</v>
      </c>
      <c r="T54" s="6">
        <v>7.6722698412698404E-5</v>
      </c>
      <c r="U54" s="6">
        <v>-2.9171829999999998E-3</v>
      </c>
      <c r="V54" s="6">
        <v>-2.4099E-3</v>
      </c>
      <c r="W54" s="6">
        <v>4.0260555555555543E-5</v>
      </c>
      <c r="X54" s="6">
        <v>-2.8992639999999999E-3</v>
      </c>
      <c r="Y54" s="6">
        <v>-1.945343E-3</v>
      </c>
      <c r="Z54" s="6">
        <v>7.5708015873015875E-5</v>
      </c>
      <c r="AA54" s="6">
        <v>-2.9385800000000001E-3</v>
      </c>
      <c r="AB54" s="6">
        <v>-2.3984800000000001E-3</v>
      </c>
      <c r="AC54" s="6">
        <v>4.2865079365079365E-5</v>
      </c>
      <c r="AD54" s="6">
        <v>-3.4143099999999998E-3</v>
      </c>
      <c r="AE54" s="6">
        <v>-2.8919499999999999E-3</v>
      </c>
      <c r="AF54" s="6">
        <v>4.1457142857142849E-5</v>
      </c>
      <c r="AG54" s="6">
        <v>-3.3619570000000001E-3</v>
      </c>
      <c r="AH54" s="6">
        <v>-2.405552E-3</v>
      </c>
      <c r="AI54" s="6">
        <v>7.5905158730158736E-5</v>
      </c>
      <c r="AJ54" s="6">
        <v>-3.4060610000000002E-3</v>
      </c>
      <c r="AK54" s="6">
        <v>-2.8709149999999999E-3</v>
      </c>
      <c r="AL54" s="6">
        <v>4.2471904761904781E-5</v>
      </c>
      <c r="AM54" s="6">
        <v>-3.3667440000000001E-3</v>
      </c>
      <c r="AN54" s="6">
        <v>-2.4177780000000002E-3</v>
      </c>
      <c r="AO54" s="6">
        <v>7.5314761904761901E-5</v>
      </c>
      <c r="AP54" s="6">
        <v>-2.5710260000000001E-3</v>
      </c>
      <c r="AQ54" s="6">
        <v>-1.670216E-3</v>
      </c>
      <c r="AR54" s="6">
        <v>7.1492857142857152E-5</v>
      </c>
      <c r="AS54" s="6">
        <v>-2.6233789999999999E-3</v>
      </c>
      <c r="AT54" s="6">
        <v>-2.1566139999999998E-3</v>
      </c>
      <c r="AU54" s="6">
        <v>3.7044841269841279E-5</v>
      </c>
      <c r="AV54" s="6">
        <v>-2.5792749999999998E-3</v>
      </c>
      <c r="AW54" s="6">
        <v>-1.69125E-3</v>
      </c>
      <c r="AX54" s="6">
        <v>7.0478174603174582E-5</v>
      </c>
      <c r="AY54" s="6">
        <v>-2.618591E-3</v>
      </c>
      <c r="AZ54" s="6">
        <v>-2.1443870000000002E-3</v>
      </c>
      <c r="BA54" s="6">
        <v>3.763523809523808E-5</v>
      </c>
      <c r="BB54" s="6">
        <v>-3.0943199999999998E-3</v>
      </c>
      <c r="BC54" s="6">
        <v>-2.637857E-3</v>
      </c>
      <c r="BD54" s="6">
        <v>3.6227222222222209E-5</v>
      </c>
      <c r="BE54" s="6">
        <v>-3.0419679999999999E-3</v>
      </c>
      <c r="BF54" s="6">
        <v>-2.1514590000000001E-3</v>
      </c>
      <c r="BG54" s="6">
        <v>7.0675317460317444E-5</v>
      </c>
      <c r="BH54" s="6">
        <v>-3.086072E-3</v>
      </c>
      <c r="BI54" s="6">
        <v>-2.616822E-3</v>
      </c>
      <c r="BJ54" s="6">
        <v>3.7242063492063495E-5</v>
      </c>
      <c r="BK54" s="6">
        <v>-3.0467549999999999E-3</v>
      </c>
      <c r="BL54" s="6">
        <v>-2.1636849999999998E-3</v>
      </c>
      <c r="BM54" s="6">
        <v>7.0084920634920649E-5</v>
      </c>
      <c r="BN54" s="6">
        <v>-3.4474890000000002E-3</v>
      </c>
      <c r="BO54" s="6">
        <v>-2.5594250000000002E-3</v>
      </c>
      <c r="BP54" s="6">
        <v>7.0481269841269844E-5</v>
      </c>
      <c r="BQ54" s="6">
        <v>-3.4631950000000001E-3</v>
      </c>
      <c r="BR54" s="6">
        <v>-2.7053440000000002E-3</v>
      </c>
      <c r="BS54" s="6">
        <v>6.0146904761904756E-5</v>
      </c>
      <c r="BT54" s="6">
        <v>-3.4499639999999998E-3</v>
      </c>
      <c r="BU54" s="6">
        <v>-2.565735E-3</v>
      </c>
      <c r="BV54" s="6">
        <v>7.0176904761904747E-5</v>
      </c>
      <c r="BW54" s="6">
        <v>-3.461759E-3</v>
      </c>
      <c r="BX54" s="6">
        <v>-2.7016760000000001E-3</v>
      </c>
      <c r="BY54" s="6">
        <v>6.0324047619047615E-5</v>
      </c>
      <c r="BZ54" s="6">
        <v>-3.604477E-3</v>
      </c>
      <c r="CA54" s="6">
        <v>-2.8497169999999999E-3</v>
      </c>
      <c r="CB54" s="6">
        <v>5.9901587301587314E-5</v>
      </c>
      <c r="CC54" s="6">
        <v>-3.5887710000000001E-3</v>
      </c>
      <c r="CD54" s="6">
        <v>-2.7037979999999999E-3</v>
      </c>
      <c r="CE54" s="6">
        <v>7.0235952380952402E-5</v>
      </c>
      <c r="CF54" s="6">
        <v>-3.6020029999999999E-3</v>
      </c>
      <c r="CG54" s="6">
        <v>-2.8434070000000001E-3</v>
      </c>
      <c r="CH54" s="6">
        <v>6.0206031746031733E-5</v>
      </c>
      <c r="CI54" s="6">
        <v>-3.5902080000000001E-3</v>
      </c>
      <c r="CJ54" s="6">
        <v>-2.707466E-3</v>
      </c>
      <c r="CK54" s="6">
        <v>7.0058888888888899E-5</v>
      </c>
      <c r="CL54" s="6">
        <v>-2.380858E-3</v>
      </c>
      <c r="CM54" s="6">
        <v>-1.7124480000000001E-3</v>
      </c>
      <c r="CN54" s="6">
        <v>5.3048412698412693E-5</v>
      </c>
      <c r="CO54" s="6">
        <v>-2.3965639999999999E-3</v>
      </c>
      <c r="CP54" s="6">
        <v>-1.858368E-3</v>
      </c>
      <c r="CQ54" s="6">
        <v>4.2713968253968251E-5</v>
      </c>
      <c r="CR54" s="6">
        <v>-2.3833330000000001E-3</v>
      </c>
      <c r="CS54" s="6">
        <v>-1.7187579999999999E-3</v>
      </c>
      <c r="CT54" s="6">
        <v>5.274404761904763E-5</v>
      </c>
      <c r="CU54" s="6">
        <v>-2.3951279999999998E-3</v>
      </c>
      <c r="CV54" s="6">
        <v>-1.8546999999999999E-3</v>
      </c>
      <c r="CW54" s="6">
        <v>4.2891111111111109E-5</v>
      </c>
      <c r="CX54" s="6">
        <v>-2.5378470000000002E-3</v>
      </c>
      <c r="CY54" s="6">
        <v>-2.0027410000000002E-3</v>
      </c>
      <c r="CZ54" s="6">
        <v>4.2468730158730164E-5</v>
      </c>
      <c r="DA54" s="6">
        <v>-2.5221409999999999E-3</v>
      </c>
      <c r="DB54" s="6">
        <v>-1.856821E-3</v>
      </c>
      <c r="DC54" s="6">
        <v>5.2803174603174593E-5</v>
      </c>
      <c r="DD54" s="6">
        <v>-2.5353720000000001E-3</v>
      </c>
      <c r="DE54" s="6">
        <v>-1.99643E-3</v>
      </c>
      <c r="DF54" s="6">
        <v>4.2773174603174616E-5</v>
      </c>
      <c r="DG54" s="6">
        <v>-2.5235769999999999E-3</v>
      </c>
      <c r="DH54" s="6">
        <v>-1.8604889999999999E-3</v>
      </c>
      <c r="DI54" s="6">
        <v>5.2626031746031748E-5</v>
      </c>
    </row>
    <row r="55" spans="1:113" x14ac:dyDescent="0.3">
      <c r="A55" s="13" t="s">
        <v>401</v>
      </c>
      <c r="B55" s="13" t="s">
        <v>147</v>
      </c>
      <c r="C55" s="13" t="s">
        <v>148</v>
      </c>
      <c r="D55" s="13" t="s">
        <v>347</v>
      </c>
      <c r="E55" s="13">
        <v>8.3000000000000007</v>
      </c>
      <c r="F55" s="6">
        <v>-1.324787E-3</v>
      </c>
      <c r="G55" s="6">
        <v>-1.77699E-3</v>
      </c>
      <c r="H55" s="6">
        <v>5.4482289156626497E-5</v>
      </c>
      <c r="I55" s="6">
        <v>-1.9927270000000001E-3</v>
      </c>
      <c r="J55" s="6">
        <v>-2.5824120000000001E-3</v>
      </c>
      <c r="K55" s="6">
        <v>7.1046385542168663E-5</v>
      </c>
      <c r="L55" s="6">
        <v>-1.9357689999999999E-3</v>
      </c>
      <c r="M55" s="6">
        <v>-2.3751639999999999E-3</v>
      </c>
      <c r="N55" s="6">
        <v>5.2939156626506018E-5</v>
      </c>
      <c r="O55" s="6">
        <v>-2.5694509999999999E-3</v>
      </c>
      <c r="P55" s="6">
        <v>-3.153107E-3</v>
      </c>
      <c r="Q55" s="6">
        <v>7.0320000000000004E-5</v>
      </c>
      <c r="R55" s="6">
        <v>-1.9243089999999999E-3</v>
      </c>
      <c r="S55" s="6">
        <v>-3.1273189999999999E-3</v>
      </c>
      <c r="T55" s="6">
        <v>1.4494096385542167E-4</v>
      </c>
      <c r="U55" s="6">
        <v>-2.4099E-3</v>
      </c>
      <c r="V55" s="6">
        <v>-3.0252539999999998E-3</v>
      </c>
      <c r="W55" s="6">
        <v>7.4139036144578286E-5</v>
      </c>
      <c r="X55" s="6">
        <v>-1.945343E-3</v>
      </c>
      <c r="Y55" s="6">
        <v>-3.122863E-3</v>
      </c>
      <c r="Z55" s="6">
        <v>1.4186987951807228E-4</v>
      </c>
      <c r="AA55" s="6">
        <v>-2.3984800000000001E-3</v>
      </c>
      <c r="AB55" s="6">
        <v>-3.0270150000000001E-3</v>
      </c>
      <c r="AC55" s="6">
        <v>7.572710843373492E-5</v>
      </c>
      <c r="AD55" s="6">
        <v>-2.8919499999999999E-3</v>
      </c>
      <c r="AE55" s="6">
        <v>-2.9147909999999999E-3</v>
      </c>
      <c r="AF55" s="6">
        <v>2.751927710843374E-6</v>
      </c>
      <c r="AG55" s="6">
        <v>-2.405552E-3</v>
      </c>
      <c r="AH55" s="6">
        <v>-3.0176930000000001E-3</v>
      </c>
      <c r="AI55" s="6">
        <v>7.3751927710843373E-5</v>
      </c>
      <c r="AJ55" s="6">
        <v>-2.8709149999999999E-3</v>
      </c>
      <c r="AK55" s="6">
        <v>-2.9192469999999998E-3</v>
      </c>
      <c r="AL55" s="6">
        <v>5.8231325301204678E-6</v>
      </c>
      <c r="AM55" s="6">
        <v>-2.4177780000000002E-3</v>
      </c>
      <c r="AN55" s="6">
        <v>-3.0150950000000002E-3</v>
      </c>
      <c r="AO55" s="6">
        <v>7.1965903614457829E-5</v>
      </c>
      <c r="AP55" s="6">
        <v>-1.670216E-3</v>
      </c>
      <c r="AQ55" s="6">
        <v>-2.8207269999999999E-3</v>
      </c>
      <c r="AR55" s="6">
        <v>1.386157831325301E-4</v>
      </c>
      <c r="AS55" s="6">
        <v>-2.1566139999999998E-3</v>
      </c>
      <c r="AT55" s="6">
        <v>-2.7178250000000001E-3</v>
      </c>
      <c r="AU55" s="6">
        <v>6.7615783132530147E-5</v>
      </c>
      <c r="AV55" s="6">
        <v>-1.69125E-3</v>
      </c>
      <c r="AW55" s="6">
        <v>-2.816271E-3</v>
      </c>
      <c r="AX55" s="6">
        <v>1.3554469879518071E-4</v>
      </c>
      <c r="AY55" s="6">
        <v>-2.1443870000000002E-3</v>
      </c>
      <c r="AZ55" s="6">
        <v>-2.720423E-3</v>
      </c>
      <c r="BA55" s="6">
        <v>6.9401927710843349E-5</v>
      </c>
      <c r="BB55" s="6">
        <v>-2.637857E-3</v>
      </c>
      <c r="BC55" s="6">
        <v>-2.6081989999999998E-3</v>
      </c>
      <c r="BD55" s="6">
        <v>3.5732530120482063E-6</v>
      </c>
      <c r="BE55" s="6">
        <v>-2.1514590000000001E-3</v>
      </c>
      <c r="BF55" s="6">
        <v>-2.711101E-3</v>
      </c>
      <c r="BG55" s="6">
        <v>6.7426746987951801E-5</v>
      </c>
      <c r="BH55" s="6">
        <v>-2.616822E-3</v>
      </c>
      <c r="BI55" s="6">
        <v>-2.6126550000000002E-3</v>
      </c>
      <c r="BJ55" s="6">
        <v>5.0204819277106016E-7</v>
      </c>
      <c r="BK55" s="6">
        <v>-2.1636849999999998E-3</v>
      </c>
      <c r="BL55" s="6">
        <v>-2.7085030000000001E-3</v>
      </c>
      <c r="BM55" s="6">
        <v>6.5640722891566297E-5</v>
      </c>
      <c r="BN55" s="6">
        <v>-2.5594250000000002E-3</v>
      </c>
      <c r="BO55" s="6">
        <v>-3.410625E-3</v>
      </c>
      <c r="BP55" s="6">
        <v>1.0255421686746986E-4</v>
      </c>
      <c r="BQ55" s="6">
        <v>-2.7053440000000002E-3</v>
      </c>
      <c r="BR55" s="6">
        <v>-3.379754E-3</v>
      </c>
      <c r="BS55" s="6">
        <v>8.1254216867469856E-5</v>
      </c>
      <c r="BT55" s="6">
        <v>-2.565735E-3</v>
      </c>
      <c r="BU55" s="6">
        <v>-3.4092879999999999E-3</v>
      </c>
      <c r="BV55" s="6">
        <v>1.0163289156626505E-4</v>
      </c>
      <c r="BW55" s="6">
        <v>-2.7016760000000001E-3</v>
      </c>
      <c r="BX55" s="6">
        <v>-3.3805340000000001E-3</v>
      </c>
      <c r="BY55" s="6">
        <v>8.1790120481927713E-5</v>
      </c>
      <c r="BZ55" s="6">
        <v>-2.8497169999999999E-3</v>
      </c>
      <c r="CA55" s="6">
        <v>-3.346866E-3</v>
      </c>
      <c r="CB55" s="6">
        <v>5.9897469879518079E-5</v>
      </c>
      <c r="CC55" s="6">
        <v>-2.7037979999999999E-3</v>
      </c>
      <c r="CD55" s="6">
        <v>-3.377737E-3</v>
      </c>
      <c r="CE55" s="6">
        <v>8.1197469879518082E-5</v>
      </c>
      <c r="CF55" s="6">
        <v>-2.8434070000000001E-3</v>
      </c>
      <c r="CG55" s="6">
        <v>-3.3482030000000001E-3</v>
      </c>
      <c r="CH55" s="6">
        <v>6.0818795180722896E-5</v>
      </c>
      <c r="CI55" s="6">
        <v>-2.707466E-3</v>
      </c>
      <c r="CJ55" s="6">
        <v>-3.3769569999999999E-3</v>
      </c>
      <c r="CK55" s="6">
        <v>8.0661566265060225E-5</v>
      </c>
      <c r="CL55" s="6">
        <v>-1.7124480000000001E-3</v>
      </c>
      <c r="CM55" s="6">
        <v>-2.3886509999999999E-3</v>
      </c>
      <c r="CN55" s="6">
        <v>8.1470240963855387E-5</v>
      </c>
      <c r="CO55" s="6">
        <v>-1.858368E-3</v>
      </c>
      <c r="CP55" s="6">
        <v>-2.3577810000000002E-3</v>
      </c>
      <c r="CQ55" s="6">
        <v>6.0170240963855438E-5</v>
      </c>
      <c r="CR55" s="6">
        <v>-1.7187579999999999E-3</v>
      </c>
      <c r="CS55" s="6">
        <v>-2.3873150000000001E-3</v>
      </c>
      <c r="CT55" s="6">
        <v>8.0549036144578328E-5</v>
      </c>
      <c r="CU55" s="6">
        <v>-1.8546999999999999E-3</v>
      </c>
      <c r="CV55" s="6">
        <v>-2.35856E-3</v>
      </c>
      <c r="CW55" s="6">
        <v>6.0706024096385543E-5</v>
      </c>
      <c r="CX55" s="6">
        <v>-2.0027410000000002E-3</v>
      </c>
      <c r="CY55" s="6">
        <v>-2.3248930000000002E-3</v>
      </c>
      <c r="CZ55" s="6">
        <v>3.8813493975903614E-5</v>
      </c>
      <c r="DA55" s="6">
        <v>-1.856821E-3</v>
      </c>
      <c r="DB55" s="6">
        <v>-2.3557629999999999E-3</v>
      </c>
      <c r="DC55" s="6">
        <v>6.011349397590359E-5</v>
      </c>
      <c r="DD55" s="6">
        <v>-1.99643E-3</v>
      </c>
      <c r="DE55" s="6">
        <v>-2.3262299999999999E-3</v>
      </c>
      <c r="DF55" s="6">
        <v>3.9734939759036129E-5</v>
      </c>
      <c r="DG55" s="6">
        <v>-1.8604889999999999E-3</v>
      </c>
      <c r="DH55" s="6">
        <v>-2.3549840000000001E-3</v>
      </c>
      <c r="DI55" s="6">
        <v>5.9577710843373512E-5</v>
      </c>
    </row>
    <row r="56" spans="1:113" x14ac:dyDescent="0.3">
      <c r="A56" s="13" t="s">
        <v>402</v>
      </c>
      <c r="B56" s="13" t="s">
        <v>186</v>
      </c>
      <c r="C56" s="13" t="s">
        <v>188</v>
      </c>
      <c r="D56" s="13" t="s">
        <v>347</v>
      </c>
      <c r="E56" s="13">
        <v>12.6</v>
      </c>
      <c r="F56" s="6">
        <v>-1.95772E-3</v>
      </c>
      <c r="G56" s="6">
        <v>-1.331544E-3</v>
      </c>
      <c r="H56" s="6">
        <v>4.9696507936507938E-5</v>
      </c>
      <c r="I56" s="6">
        <v>-2.5738330000000002E-3</v>
      </c>
      <c r="J56" s="6">
        <v>-2.0021090000000002E-3</v>
      </c>
      <c r="K56" s="6">
        <v>4.5374920634920637E-5</v>
      </c>
      <c r="L56" s="6">
        <v>-2.3590009999999999E-3</v>
      </c>
      <c r="M56" s="6">
        <v>-1.943171E-3</v>
      </c>
      <c r="N56" s="6">
        <v>3.3002380952380942E-5</v>
      </c>
      <c r="O56" s="6">
        <v>-2.954871E-3</v>
      </c>
      <c r="P56" s="6">
        <v>-2.5790499999999998E-3</v>
      </c>
      <c r="Q56" s="6">
        <v>2.9827063492063502E-5</v>
      </c>
      <c r="R56" s="6">
        <v>-2.705556E-3</v>
      </c>
      <c r="S56" s="6">
        <v>-1.9583740000000001E-3</v>
      </c>
      <c r="T56" s="6">
        <v>5.9300158730158721E-5</v>
      </c>
      <c r="U56" s="6">
        <v>-2.8638700000000001E-3</v>
      </c>
      <c r="V56" s="6">
        <v>-2.4227480000000002E-3</v>
      </c>
      <c r="W56" s="6">
        <v>3.5009682539682538E-5</v>
      </c>
      <c r="X56" s="6">
        <v>-2.7097279999999998E-3</v>
      </c>
      <c r="Y56" s="6">
        <v>-1.9325830000000001E-3</v>
      </c>
      <c r="Z56" s="6">
        <v>6.1678174603174585E-5</v>
      </c>
      <c r="AA56" s="6">
        <v>-2.9118939999999999E-3</v>
      </c>
      <c r="AB56" s="6">
        <v>-2.4378899999999998E-3</v>
      </c>
      <c r="AC56" s="6">
        <v>3.7619365079365088E-5</v>
      </c>
      <c r="AD56" s="6">
        <v>-3.120626E-3</v>
      </c>
      <c r="AE56" s="6">
        <v>-2.8777730000000001E-3</v>
      </c>
      <c r="AF56" s="6">
        <v>1.9274047619047613E-5</v>
      </c>
      <c r="AG56" s="6">
        <v>-2.9118680000000002E-3</v>
      </c>
      <c r="AH56" s="6">
        <v>-2.413236E-3</v>
      </c>
      <c r="AI56" s="6">
        <v>3.957396825396827E-5</v>
      </c>
      <c r="AJ56" s="6">
        <v>-3.1164539999999998E-3</v>
      </c>
      <c r="AK56" s="6">
        <v>-2.903564E-3</v>
      </c>
      <c r="AL56" s="6">
        <v>1.6896031746031736E-5</v>
      </c>
      <c r="AM56" s="6">
        <v>-2.9142880000000001E-3</v>
      </c>
      <c r="AN56" s="6">
        <v>-2.3982579999999999E-3</v>
      </c>
      <c r="AO56" s="6">
        <v>4.0954761904761925E-5</v>
      </c>
      <c r="AP56" s="6">
        <v>-2.4080730000000002E-3</v>
      </c>
      <c r="AQ56" s="6">
        <v>-1.703385E-3</v>
      </c>
      <c r="AR56" s="6">
        <v>5.5927619047619062E-5</v>
      </c>
      <c r="AS56" s="6">
        <v>-2.616831E-3</v>
      </c>
      <c r="AT56" s="6">
        <v>-2.1679220000000001E-3</v>
      </c>
      <c r="AU56" s="6">
        <v>3.5627698412698412E-5</v>
      </c>
      <c r="AV56" s="6">
        <v>-2.4122449999999999E-3</v>
      </c>
      <c r="AW56" s="6">
        <v>-1.6775939999999999E-3</v>
      </c>
      <c r="AX56" s="6">
        <v>5.8305634920634926E-5</v>
      </c>
      <c r="AY56" s="6">
        <v>-2.6144110000000001E-3</v>
      </c>
      <c r="AZ56" s="6">
        <v>-2.1829000000000002E-3</v>
      </c>
      <c r="BA56" s="6">
        <v>3.424690476190475E-5</v>
      </c>
      <c r="BB56" s="6">
        <v>-2.8231419999999998E-3</v>
      </c>
      <c r="BC56" s="6">
        <v>-2.622784E-3</v>
      </c>
      <c r="BD56" s="6">
        <v>1.5901428571428562E-5</v>
      </c>
      <c r="BE56" s="6">
        <v>-2.614384E-3</v>
      </c>
      <c r="BF56" s="6">
        <v>-2.1582469999999999E-3</v>
      </c>
      <c r="BG56" s="6">
        <v>3.6201349206349216E-5</v>
      </c>
      <c r="BH56" s="6">
        <v>-2.8189700000000001E-3</v>
      </c>
      <c r="BI56" s="6">
        <v>-2.6485749999999998E-3</v>
      </c>
      <c r="BJ56" s="6">
        <v>1.352341269841272E-5</v>
      </c>
      <c r="BK56" s="6">
        <v>-2.6168039999999999E-3</v>
      </c>
      <c r="BL56" s="6">
        <v>-2.1432679999999998E-3</v>
      </c>
      <c r="BM56" s="6">
        <v>3.7582222222222232E-5</v>
      </c>
      <c r="BN56" s="6">
        <v>-3.1978950000000001E-3</v>
      </c>
      <c r="BO56" s="6">
        <v>-2.5776509999999998E-3</v>
      </c>
      <c r="BP56" s="6">
        <v>4.9225714285714307E-5</v>
      </c>
      <c r="BQ56" s="6">
        <v>-3.2605220000000001E-3</v>
      </c>
      <c r="BR56" s="6">
        <v>-2.717012E-3</v>
      </c>
      <c r="BS56" s="6">
        <v>4.3135714285714296E-5</v>
      </c>
      <c r="BT56" s="6">
        <v>-3.1991459999999999E-3</v>
      </c>
      <c r="BU56" s="6">
        <v>-2.5699130000000001E-3</v>
      </c>
      <c r="BV56" s="6">
        <v>4.9939126984126973E-5</v>
      </c>
      <c r="BW56" s="6">
        <v>-3.2597960000000001E-3</v>
      </c>
      <c r="BX56" s="6">
        <v>-2.7215049999999999E-3</v>
      </c>
      <c r="BY56" s="6">
        <v>4.2721507936507951E-5</v>
      </c>
      <c r="BZ56" s="6">
        <v>-3.3224159999999999E-3</v>
      </c>
      <c r="CA56" s="6">
        <v>-2.8534699999999999E-3</v>
      </c>
      <c r="CB56" s="6">
        <v>3.7217936507936514E-5</v>
      </c>
      <c r="CC56" s="6">
        <v>-3.259788E-3</v>
      </c>
      <c r="CD56" s="6">
        <v>-2.7141090000000001E-3</v>
      </c>
      <c r="CE56" s="6">
        <v>4.3307857142857136E-5</v>
      </c>
      <c r="CF56" s="6">
        <v>-3.3211640000000001E-3</v>
      </c>
      <c r="CG56" s="6">
        <v>-2.8612080000000001E-3</v>
      </c>
      <c r="CH56" s="6">
        <v>3.6504444444444451E-5</v>
      </c>
      <c r="CI56" s="6">
        <v>-3.2605139999999999E-3</v>
      </c>
      <c r="CJ56" s="6">
        <v>-2.7096160000000002E-3</v>
      </c>
      <c r="CK56" s="6">
        <v>4.3722063492063474E-5</v>
      </c>
      <c r="CL56" s="6">
        <v>-2.2062829999999999E-3</v>
      </c>
      <c r="CM56" s="6">
        <v>-1.727688E-3</v>
      </c>
      <c r="CN56" s="6">
        <v>3.7983730158730148E-5</v>
      </c>
      <c r="CO56" s="6">
        <v>-2.2689099999999999E-3</v>
      </c>
      <c r="CP56" s="6">
        <v>-1.867049E-3</v>
      </c>
      <c r="CQ56" s="6">
        <v>3.189373015873015E-5</v>
      </c>
      <c r="CR56" s="6">
        <v>-2.2075350000000001E-3</v>
      </c>
      <c r="CS56" s="6">
        <v>-1.71995E-3</v>
      </c>
      <c r="CT56" s="6">
        <v>3.8697222222222224E-5</v>
      </c>
      <c r="CU56" s="6">
        <v>-2.2681839999999999E-3</v>
      </c>
      <c r="CV56" s="6">
        <v>-1.8715419999999999E-3</v>
      </c>
      <c r="CW56" s="6">
        <v>3.1479523809523813E-5</v>
      </c>
      <c r="CX56" s="6">
        <v>-2.3308040000000001E-3</v>
      </c>
      <c r="CY56" s="6">
        <v>-2.0035069999999999E-3</v>
      </c>
      <c r="CZ56" s="6">
        <v>2.5975952380952403E-5</v>
      </c>
      <c r="DA56" s="6">
        <v>-2.2681759999999998E-3</v>
      </c>
      <c r="DB56" s="6">
        <v>-1.8641459999999999E-3</v>
      </c>
      <c r="DC56" s="6">
        <v>3.2065873015873005E-5</v>
      </c>
      <c r="DD56" s="6">
        <v>-2.3295519999999999E-3</v>
      </c>
      <c r="DE56" s="6">
        <v>-2.011245E-3</v>
      </c>
      <c r="DF56" s="6">
        <v>2.526246031746031E-5</v>
      </c>
      <c r="DG56" s="6">
        <v>-2.2689020000000002E-3</v>
      </c>
      <c r="DH56" s="6">
        <v>-1.859653E-3</v>
      </c>
      <c r="DI56" s="6">
        <v>3.2480079365079383E-5</v>
      </c>
    </row>
    <row r="57" spans="1:113" x14ac:dyDescent="0.3">
      <c r="A57" s="13" t="s">
        <v>403</v>
      </c>
      <c r="B57" s="13" t="s">
        <v>188</v>
      </c>
      <c r="C57" s="13" t="s">
        <v>189</v>
      </c>
      <c r="D57" s="13" t="s">
        <v>347</v>
      </c>
      <c r="E57" s="13">
        <v>8.3000000000000007</v>
      </c>
      <c r="F57" s="6">
        <v>-1.331544E-3</v>
      </c>
      <c r="G57" s="6">
        <v>-1.7493229999999999E-3</v>
      </c>
      <c r="H57" s="6">
        <v>5.0334819277108411E-5</v>
      </c>
      <c r="I57" s="6">
        <v>-2.0021090000000002E-3</v>
      </c>
      <c r="J57" s="6">
        <v>-2.5460389999999999E-3</v>
      </c>
      <c r="K57" s="6">
        <v>6.5533734939759005E-5</v>
      </c>
      <c r="L57" s="6">
        <v>-1.943171E-3</v>
      </c>
      <c r="M57" s="6">
        <v>-2.3477709999999998E-3</v>
      </c>
      <c r="N57" s="6">
        <v>4.8746987951807193E-5</v>
      </c>
      <c r="O57" s="6">
        <v>-2.5790499999999998E-3</v>
      </c>
      <c r="P57" s="6">
        <v>-3.1170719999999998E-3</v>
      </c>
      <c r="Q57" s="6">
        <v>6.4821927710843362E-5</v>
      </c>
      <c r="R57" s="6">
        <v>-1.9583740000000001E-3</v>
      </c>
      <c r="S57" s="6">
        <v>-3.0856289999999999E-3</v>
      </c>
      <c r="T57" s="6">
        <v>1.358138554216867E-4</v>
      </c>
      <c r="U57" s="6">
        <v>-2.4227480000000002E-3</v>
      </c>
      <c r="V57" s="6">
        <v>-2.9806350000000001E-3</v>
      </c>
      <c r="W57" s="6">
        <v>6.7215301204819264E-5</v>
      </c>
      <c r="X57" s="6">
        <v>-1.9325830000000001E-3</v>
      </c>
      <c r="Y57" s="6">
        <v>-3.0907320000000001E-3</v>
      </c>
      <c r="Z57" s="6">
        <v>1.3953602409638553E-4</v>
      </c>
      <c r="AA57" s="6">
        <v>-2.4378899999999998E-3</v>
      </c>
      <c r="AB57" s="6">
        <v>-2.9767460000000002E-3</v>
      </c>
      <c r="AC57" s="6">
        <v>6.4922409638554251E-5</v>
      </c>
      <c r="AD57" s="6">
        <v>-2.8777730000000001E-3</v>
      </c>
      <c r="AE57" s="6">
        <v>-2.8808000000000002E-3</v>
      </c>
      <c r="AF57" s="6">
        <v>3.6469879518073063E-7</v>
      </c>
      <c r="AG57" s="6">
        <v>-2.413236E-3</v>
      </c>
      <c r="AH57" s="6">
        <v>-2.9866200000000002E-3</v>
      </c>
      <c r="AI57" s="6">
        <v>6.9082409638554225E-5</v>
      </c>
      <c r="AJ57" s="6">
        <v>-2.903564E-3</v>
      </c>
      <c r="AK57" s="6">
        <v>-2.875697E-3</v>
      </c>
      <c r="AL57" s="6">
        <v>3.3574698795180713E-6</v>
      </c>
      <c r="AM57" s="6">
        <v>-2.3982579999999999E-3</v>
      </c>
      <c r="AN57" s="6">
        <v>-2.9896829999999999E-3</v>
      </c>
      <c r="AO57" s="6">
        <v>7.1256024096385542E-5</v>
      </c>
      <c r="AP57" s="6">
        <v>-1.703385E-3</v>
      </c>
      <c r="AQ57" s="6">
        <v>-2.782311E-3</v>
      </c>
      <c r="AR57" s="6">
        <v>1.299910843373494E-4</v>
      </c>
      <c r="AS57" s="6">
        <v>-2.1679220000000001E-3</v>
      </c>
      <c r="AT57" s="6">
        <v>-2.676491E-3</v>
      </c>
      <c r="AU57" s="6">
        <v>6.1273373493975894E-5</v>
      </c>
      <c r="AV57" s="6">
        <v>-1.6775939999999999E-3</v>
      </c>
      <c r="AW57" s="6">
        <v>-2.7874140000000002E-3</v>
      </c>
      <c r="AX57" s="6">
        <v>1.3371325301204823E-4</v>
      </c>
      <c r="AY57" s="6">
        <v>-2.1829000000000002E-3</v>
      </c>
      <c r="AZ57" s="6">
        <v>-2.6734279999999998E-3</v>
      </c>
      <c r="BA57" s="6">
        <v>5.909975903614453E-5</v>
      </c>
      <c r="BB57" s="6">
        <v>-2.622784E-3</v>
      </c>
      <c r="BC57" s="6">
        <v>-2.5774819999999999E-3</v>
      </c>
      <c r="BD57" s="6">
        <v>5.4580722891566385E-6</v>
      </c>
      <c r="BE57" s="6">
        <v>-2.1582469999999999E-3</v>
      </c>
      <c r="BF57" s="6">
        <v>-2.6833030000000002E-3</v>
      </c>
      <c r="BG57" s="6">
        <v>6.3259759036144605E-5</v>
      </c>
      <c r="BH57" s="6">
        <v>-2.6485749999999998E-3</v>
      </c>
      <c r="BI57" s="6">
        <v>-2.5723790000000001E-3</v>
      </c>
      <c r="BJ57" s="6">
        <v>9.1802409638553875E-6</v>
      </c>
      <c r="BK57" s="6">
        <v>-2.1432679999999998E-3</v>
      </c>
      <c r="BL57" s="6">
        <v>-2.686365E-3</v>
      </c>
      <c r="BM57" s="6">
        <v>6.5433373493975922E-5</v>
      </c>
      <c r="BN57" s="6">
        <v>-2.5776509999999998E-3</v>
      </c>
      <c r="BO57" s="6">
        <v>-3.3678089999999998E-3</v>
      </c>
      <c r="BP57" s="6">
        <v>9.5199759036144574E-5</v>
      </c>
      <c r="BQ57" s="6">
        <v>-2.717012E-3</v>
      </c>
      <c r="BR57" s="6">
        <v>-3.3360629999999998E-3</v>
      </c>
      <c r="BS57" s="6">
        <v>7.4584457831325276E-5</v>
      </c>
      <c r="BT57" s="6">
        <v>-2.5699130000000001E-3</v>
      </c>
      <c r="BU57" s="6">
        <v>-3.3693400000000002E-3</v>
      </c>
      <c r="BV57" s="6">
        <v>9.6316506024096395E-5</v>
      </c>
      <c r="BW57" s="6">
        <v>-2.7215049999999999E-3</v>
      </c>
      <c r="BX57" s="6">
        <v>-3.335144E-3</v>
      </c>
      <c r="BY57" s="6">
        <v>7.3932409638554207E-5</v>
      </c>
      <c r="BZ57" s="6">
        <v>-2.8534699999999999E-3</v>
      </c>
      <c r="CA57" s="6">
        <v>-3.3063609999999998E-3</v>
      </c>
      <c r="CB57" s="6">
        <v>5.4565180722891557E-5</v>
      </c>
      <c r="CC57" s="6">
        <v>-2.7141090000000001E-3</v>
      </c>
      <c r="CD57" s="6">
        <v>-3.3381069999999999E-3</v>
      </c>
      <c r="CE57" s="6">
        <v>7.51804819277108E-5</v>
      </c>
      <c r="CF57" s="6">
        <v>-2.8612080000000001E-3</v>
      </c>
      <c r="CG57" s="6">
        <v>-3.3048299999999999E-3</v>
      </c>
      <c r="CH57" s="6">
        <v>5.3448433734939736E-5</v>
      </c>
      <c r="CI57" s="6">
        <v>-2.7096160000000002E-3</v>
      </c>
      <c r="CJ57" s="6">
        <v>-3.3390260000000001E-3</v>
      </c>
      <c r="CK57" s="6">
        <v>7.583253012048191E-5</v>
      </c>
      <c r="CL57" s="6">
        <v>-1.727688E-3</v>
      </c>
      <c r="CM57" s="6">
        <v>-2.3567509999999998E-3</v>
      </c>
      <c r="CN57" s="6">
        <v>7.5790722891566232E-5</v>
      </c>
      <c r="CO57" s="6">
        <v>-1.867049E-3</v>
      </c>
      <c r="CP57" s="6">
        <v>-2.3250039999999999E-3</v>
      </c>
      <c r="CQ57" s="6">
        <v>5.5175301204819264E-5</v>
      </c>
      <c r="CR57" s="6">
        <v>-1.71995E-3</v>
      </c>
      <c r="CS57" s="6">
        <v>-2.3582820000000002E-3</v>
      </c>
      <c r="CT57" s="6">
        <v>7.6907469879518081E-5</v>
      </c>
      <c r="CU57" s="6">
        <v>-1.8715419999999999E-3</v>
      </c>
      <c r="CV57" s="6">
        <v>-2.3240859999999999E-3</v>
      </c>
      <c r="CW57" s="6">
        <v>5.4523373493975906E-5</v>
      </c>
      <c r="CX57" s="6">
        <v>-2.0035069999999999E-3</v>
      </c>
      <c r="CY57" s="6">
        <v>-2.2953019999999999E-3</v>
      </c>
      <c r="CZ57" s="6">
        <v>3.5156024096385545E-5</v>
      </c>
      <c r="DA57" s="6">
        <v>-1.8641459999999999E-3</v>
      </c>
      <c r="DB57" s="6">
        <v>-2.327048E-3</v>
      </c>
      <c r="DC57" s="6">
        <v>5.5771325301204822E-5</v>
      </c>
      <c r="DD57" s="6">
        <v>-2.011245E-3</v>
      </c>
      <c r="DE57" s="6">
        <v>-2.293771E-3</v>
      </c>
      <c r="DF57" s="6">
        <v>3.4039277108433724E-5</v>
      </c>
      <c r="DG57" s="6">
        <v>-1.859653E-3</v>
      </c>
      <c r="DH57" s="6">
        <v>-2.3279669999999998E-3</v>
      </c>
      <c r="DI57" s="6">
        <v>5.6423373493975878E-5</v>
      </c>
    </row>
    <row r="58" spans="1:113" x14ac:dyDescent="0.3">
      <c r="A58" s="13" t="s">
        <v>404</v>
      </c>
      <c r="B58" s="13" t="s">
        <v>227</v>
      </c>
      <c r="C58" s="13" t="s">
        <v>229</v>
      </c>
      <c r="D58" s="13" t="s">
        <v>347</v>
      </c>
      <c r="E58" s="13">
        <v>12.6</v>
      </c>
      <c r="F58" s="6">
        <v>-1.747501E-3</v>
      </c>
      <c r="G58" s="6">
        <v>-1.3388580000000001E-3</v>
      </c>
      <c r="H58" s="6">
        <v>3.2431984126984123E-5</v>
      </c>
      <c r="I58" s="6">
        <v>-2.2968789999999999E-3</v>
      </c>
      <c r="J58" s="6">
        <v>-2.0160130000000001E-3</v>
      </c>
      <c r="K58" s="6">
        <v>2.2290952380952369E-5</v>
      </c>
      <c r="L58" s="6">
        <v>-2.1547440000000001E-3</v>
      </c>
      <c r="M58" s="6">
        <v>-1.9523570000000001E-3</v>
      </c>
      <c r="N58" s="6">
        <v>1.6062460317460323E-5</v>
      </c>
      <c r="O58" s="6">
        <v>-2.6834239999999998E-3</v>
      </c>
      <c r="P58" s="6">
        <v>-2.5934629999999998E-3</v>
      </c>
      <c r="Q58" s="6">
        <v>7.1397619047619007E-6</v>
      </c>
      <c r="R58" s="6">
        <v>-2.404612E-3</v>
      </c>
      <c r="S58" s="6">
        <v>-2.000127E-3</v>
      </c>
      <c r="T58" s="6">
        <v>3.2101984126984125E-5</v>
      </c>
      <c r="U58" s="6">
        <v>-2.71434E-3</v>
      </c>
      <c r="V58" s="6">
        <v>-2.4391270000000001E-3</v>
      </c>
      <c r="W58" s="6">
        <v>2.1842301587301575E-5</v>
      </c>
      <c r="X58" s="6">
        <v>-2.4057129999999999E-3</v>
      </c>
      <c r="Y58" s="6">
        <v>-1.927004E-3</v>
      </c>
      <c r="Z58" s="6">
        <v>3.7992777777777769E-5</v>
      </c>
      <c r="AA58" s="6">
        <v>-2.7937779999999998E-3</v>
      </c>
      <c r="AB58" s="6">
        <v>-2.4807449999999999E-3</v>
      </c>
      <c r="AC58" s="6">
        <v>2.4843888888888882E-5</v>
      </c>
      <c r="AD58" s="6">
        <v>-2.848869E-3</v>
      </c>
      <c r="AE58" s="6">
        <v>-2.865486E-3</v>
      </c>
      <c r="AF58" s="6">
        <v>1.3188095238095254E-6</v>
      </c>
      <c r="AG58" s="6">
        <v>-2.4590689999999999E-3</v>
      </c>
      <c r="AH58" s="6">
        <v>-2.4273630000000001E-3</v>
      </c>
      <c r="AI58" s="6">
        <v>2.5163492063491935E-6</v>
      </c>
      <c r="AJ58" s="6">
        <v>-2.8477680000000001E-3</v>
      </c>
      <c r="AK58" s="6">
        <v>-2.9386080000000001E-3</v>
      </c>
      <c r="AL58" s="6">
        <v>7.2095238095238116E-6</v>
      </c>
      <c r="AM58" s="6">
        <v>-2.4597030000000001E-3</v>
      </c>
      <c r="AN58" s="6">
        <v>-2.3848680000000001E-3</v>
      </c>
      <c r="AO58" s="6">
        <v>5.9392857142857217E-6</v>
      </c>
      <c r="AP58" s="6">
        <v>-2.1314319999999999E-3</v>
      </c>
      <c r="AQ58" s="6">
        <v>-1.744017E-3</v>
      </c>
      <c r="AR58" s="6">
        <v>3.0747222222222214E-5</v>
      </c>
      <c r="AS58" s="6">
        <v>-2.521232E-3</v>
      </c>
      <c r="AT58" s="6">
        <v>-2.1821399999999999E-3</v>
      </c>
      <c r="AU58" s="6">
        <v>2.6912063492063497E-5</v>
      </c>
      <c r="AV58" s="6">
        <v>-2.1325329999999998E-3</v>
      </c>
      <c r="AW58" s="6">
        <v>-1.670894E-3</v>
      </c>
      <c r="AX58" s="6">
        <v>3.6638015873015857E-5</v>
      </c>
      <c r="AY58" s="6">
        <v>-2.5205980000000002E-3</v>
      </c>
      <c r="AZ58" s="6">
        <v>-2.224635E-3</v>
      </c>
      <c r="BA58" s="6">
        <v>2.3489126984127001E-5</v>
      </c>
      <c r="BB58" s="6">
        <v>-2.5756889999999999E-3</v>
      </c>
      <c r="BC58" s="6">
        <v>-2.6093760000000001E-3</v>
      </c>
      <c r="BD58" s="6">
        <v>2.6735714285714387E-6</v>
      </c>
      <c r="BE58" s="6">
        <v>-2.185888E-3</v>
      </c>
      <c r="BF58" s="6">
        <v>-2.1712540000000001E-3</v>
      </c>
      <c r="BG58" s="6">
        <v>1.1614285714285646E-6</v>
      </c>
      <c r="BH58" s="6">
        <v>-2.5745880000000001E-3</v>
      </c>
      <c r="BI58" s="6">
        <v>-2.6824990000000001E-3</v>
      </c>
      <c r="BJ58" s="6">
        <v>8.5643650793650828E-6</v>
      </c>
      <c r="BK58" s="6">
        <v>-2.1865230000000001E-3</v>
      </c>
      <c r="BL58" s="6">
        <v>-2.1287580000000001E-3</v>
      </c>
      <c r="BM58" s="6">
        <v>4.5845238095238087E-6</v>
      </c>
      <c r="BN58" s="6">
        <v>-2.878813E-3</v>
      </c>
      <c r="BO58" s="6">
        <v>-2.6017969999999999E-3</v>
      </c>
      <c r="BP58" s="6">
        <v>2.1985396825396839E-5</v>
      </c>
      <c r="BQ58" s="6">
        <v>-2.9957529999999999E-3</v>
      </c>
      <c r="BR58" s="6">
        <v>-2.7332329999999998E-3</v>
      </c>
      <c r="BS58" s="6">
        <v>2.0834920634920638E-5</v>
      </c>
      <c r="BT58" s="6">
        <v>-2.8791429999999998E-3</v>
      </c>
      <c r="BU58" s="6">
        <v>-2.5798599999999998E-3</v>
      </c>
      <c r="BV58" s="6">
        <v>2.3752619047619049E-5</v>
      </c>
      <c r="BW58" s="6">
        <v>-2.9955630000000001E-3</v>
      </c>
      <c r="BX58" s="6">
        <v>-2.7459820000000001E-3</v>
      </c>
      <c r="BY58" s="6">
        <v>1.9808015873015874E-5</v>
      </c>
      <c r="BZ58" s="6">
        <v>-3.0120899999999998E-3</v>
      </c>
      <c r="CA58" s="6">
        <v>-2.8614040000000001E-3</v>
      </c>
      <c r="CB58" s="6">
        <v>1.1959206349206326E-5</v>
      </c>
      <c r="CC58" s="6">
        <v>-2.89515E-3</v>
      </c>
      <c r="CD58" s="6">
        <v>-2.7299680000000002E-3</v>
      </c>
      <c r="CE58" s="6">
        <v>1.3109682539682526E-5</v>
      </c>
      <c r="CF58" s="6">
        <v>-3.01176E-3</v>
      </c>
      <c r="CG58" s="6">
        <v>-2.8833410000000002E-3</v>
      </c>
      <c r="CH58" s="6">
        <v>1.0191984126984114E-5</v>
      </c>
      <c r="CI58" s="6">
        <v>-2.8953400000000002E-3</v>
      </c>
      <c r="CJ58" s="6">
        <v>-2.7172189999999999E-3</v>
      </c>
      <c r="CK58" s="6">
        <v>1.4136587301587323E-5</v>
      </c>
      <c r="CL58" s="6">
        <v>-1.9682110000000001E-3</v>
      </c>
      <c r="CM58" s="6">
        <v>-1.7480989999999999E-3</v>
      </c>
      <c r="CN58" s="6">
        <v>1.7469206349206363E-5</v>
      </c>
      <c r="CO58" s="6">
        <v>-2.0851509999999999E-3</v>
      </c>
      <c r="CP58" s="6">
        <v>-1.8795350000000001E-3</v>
      </c>
      <c r="CQ58" s="6">
        <v>1.6318730158730145E-5</v>
      </c>
      <c r="CR58" s="6">
        <v>-1.9685409999999999E-3</v>
      </c>
      <c r="CS58" s="6">
        <v>-1.7261620000000001E-3</v>
      </c>
      <c r="CT58" s="6">
        <v>1.9236428571428556E-5</v>
      </c>
      <c r="CU58" s="6">
        <v>-2.0849599999999999E-3</v>
      </c>
      <c r="CV58" s="6">
        <v>-1.8922839999999999E-3</v>
      </c>
      <c r="CW58" s="6">
        <v>1.5291746031746026E-5</v>
      </c>
      <c r="CX58" s="6">
        <v>-2.1014879999999999E-3</v>
      </c>
      <c r="CY58" s="6">
        <v>-2.0077060000000002E-3</v>
      </c>
      <c r="CZ58" s="6">
        <v>7.4430158730158514E-6</v>
      </c>
      <c r="DA58" s="6">
        <v>-1.984548E-3</v>
      </c>
      <c r="DB58" s="6">
        <v>-1.87627E-3</v>
      </c>
      <c r="DC58" s="6">
        <v>8.5934920634920682E-6</v>
      </c>
      <c r="DD58" s="6">
        <v>-2.1011580000000001E-3</v>
      </c>
      <c r="DE58" s="6">
        <v>-2.0296429999999998E-3</v>
      </c>
      <c r="DF58" s="6">
        <v>5.6757936507936745E-6</v>
      </c>
      <c r="DG58" s="6">
        <v>-1.9847380000000002E-3</v>
      </c>
      <c r="DH58" s="6">
        <v>-1.8635209999999999E-3</v>
      </c>
      <c r="DI58" s="6">
        <v>9.6203968253968486E-6</v>
      </c>
    </row>
    <row r="59" spans="1:113" x14ac:dyDescent="0.3">
      <c r="A59" s="13" t="s">
        <v>405</v>
      </c>
      <c r="B59" s="13" t="s">
        <v>229</v>
      </c>
      <c r="C59" s="13" t="s">
        <v>230</v>
      </c>
      <c r="D59" s="13" t="s">
        <v>347</v>
      </c>
      <c r="E59" s="13">
        <v>8.3000000000000007</v>
      </c>
      <c r="F59" s="6">
        <v>-1.3388580000000001E-3</v>
      </c>
      <c r="G59" s="6">
        <v>-1.796998E-3</v>
      </c>
      <c r="H59" s="6">
        <v>5.5197590361445765E-5</v>
      </c>
      <c r="I59" s="6">
        <v>-2.0160130000000001E-3</v>
      </c>
      <c r="J59" s="6">
        <v>-2.6110220000000002E-3</v>
      </c>
      <c r="K59" s="6">
        <v>7.1687831325301207E-5</v>
      </c>
      <c r="L59" s="6">
        <v>-1.9523570000000001E-3</v>
      </c>
      <c r="M59" s="6">
        <v>-2.3948210000000001E-3</v>
      </c>
      <c r="N59" s="6">
        <v>5.3308915662650607E-5</v>
      </c>
      <c r="O59" s="6">
        <v>-2.5934629999999998E-3</v>
      </c>
      <c r="P59" s="6">
        <v>-3.1815749999999999E-3</v>
      </c>
      <c r="Q59" s="6">
        <v>7.0856867469879512E-5</v>
      </c>
      <c r="R59" s="6">
        <v>-2.000127E-3</v>
      </c>
      <c r="S59" s="6">
        <v>-3.1485100000000002E-3</v>
      </c>
      <c r="T59" s="6">
        <v>1.3835939759036147E-4</v>
      </c>
      <c r="U59" s="6">
        <v>-2.4391270000000001E-3</v>
      </c>
      <c r="V59" s="6">
        <v>-3.0413229999999999E-3</v>
      </c>
      <c r="W59" s="6">
        <v>7.2553734939759002E-5</v>
      </c>
      <c r="X59" s="6">
        <v>-1.927004E-3</v>
      </c>
      <c r="Y59" s="6">
        <v>-3.163571E-3</v>
      </c>
      <c r="Z59" s="6">
        <v>1.4898397590361445E-4</v>
      </c>
      <c r="AA59" s="6">
        <v>-2.4807449999999999E-3</v>
      </c>
      <c r="AB59" s="6">
        <v>-3.0318189999999998E-3</v>
      </c>
      <c r="AC59" s="6">
        <v>6.6394457831325289E-5</v>
      </c>
      <c r="AD59" s="6">
        <v>-2.865486E-3</v>
      </c>
      <c r="AE59" s="6">
        <v>-2.9530279999999999E-3</v>
      </c>
      <c r="AF59" s="6">
        <v>1.0547228915662639E-5</v>
      </c>
      <c r="AG59" s="6">
        <v>-2.4273630000000001E-3</v>
      </c>
      <c r="AH59" s="6">
        <v>-3.0608609999999998E-3</v>
      </c>
      <c r="AI59" s="6">
        <v>7.6325060240963814E-5</v>
      </c>
      <c r="AJ59" s="6">
        <v>-2.9386080000000001E-3</v>
      </c>
      <c r="AK59" s="6">
        <v>-2.9379670000000001E-3</v>
      </c>
      <c r="AL59" s="6">
        <v>7.7228915662651761E-8</v>
      </c>
      <c r="AM59" s="6">
        <v>-2.3848680000000001E-3</v>
      </c>
      <c r="AN59" s="6">
        <v>-3.0697200000000002E-3</v>
      </c>
      <c r="AO59" s="6">
        <v>8.2512289156626512E-5</v>
      </c>
      <c r="AP59" s="6">
        <v>-1.744017E-3</v>
      </c>
      <c r="AQ59" s="6">
        <v>-2.8395650000000001E-3</v>
      </c>
      <c r="AR59" s="6">
        <v>1.3199373493975902E-4</v>
      </c>
      <c r="AS59" s="6">
        <v>-2.1821399999999999E-3</v>
      </c>
      <c r="AT59" s="6">
        <v>-2.7317320000000002E-3</v>
      </c>
      <c r="AU59" s="6">
        <v>6.6215903614457851E-5</v>
      </c>
      <c r="AV59" s="6">
        <v>-1.670894E-3</v>
      </c>
      <c r="AW59" s="6">
        <v>-2.854625E-3</v>
      </c>
      <c r="AX59" s="6">
        <v>1.4261819277108431E-4</v>
      </c>
      <c r="AY59" s="6">
        <v>-2.224635E-3</v>
      </c>
      <c r="AZ59" s="6">
        <v>-2.7228729999999998E-3</v>
      </c>
      <c r="BA59" s="6">
        <v>6.0028674698795153E-5</v>
      </c>
      <c r="BB59" s="6">
        <v>-2.6093760000000001E-3</v>
      </c>
      <c r="BC59" s="6">
        <v>-2.6440830000000002E-3</v>
      </c>
      <c r="BD59" s="6">
        <v>4.1815662650602578E-6</v>
      </c>
      <c r="BE59" s="6">
        <v>-2.1712540000000001E-3</v>
      </c>
      <c r="BF59" s="6">
        <v>-2.7519150000000002E-3</v>
      </c>
      <c r="BG59" s="6">
        <v>6.9959156626506035E-5</v>
      </c>
      <c r="BH59" s="6">
        <v>-2.6824990000000001E-3</v>
      </c>
      <c r="BI59" s="6">
        <v>-2.629022E-3</v>
      </c>
      <c r="BJ59" s="6">
        <v>6.443012048192786E-6</v>
      </c>
      <c r="BK59" s="6">
        <v>-2.1287580000000001E-3</v>
      </c>
      <c r="BL59" s="6">
        <v>-2.7607740000000001E-3</v>
      </c>
      <c r="BM59" s="6">
        <v>7.6146506024096376E-5</v>
      </c>
      <c r="BN59" s="6">
        <v>-2.6017969999999999E-3</v>
      </c>
      <c r="BO59" s="6">
        <v>-3.440528E-3</v>
      </c>
      <c r="BP59" s="6">
        <v>1.0105192771084337E-4</v>
      </c>
      <c r="BQ59" s="6">
        <v>-2.7332329999999998E-3</v>
      </c>
      <c r="BR59" s="6">
        <v>-3.408178E-3</v>
      </c>
      <c r="BS59" s="6">
        <v>8.1318674698795188E-5</v>
      </c>
      <c r="BT59" s="6">
        <v>-2.5798599999999998E-3</v>
      </c>
      <c r="BU59" s="6">
        <v>-3.4450459999999998E-3</v>
      </c>
      <c r="BV59" s="6">
        <v>1.0423927710843372E-4</v>
      </c>
      <c r="BW59" s="6">
        <v>-2.7459820000000001E-3</v>
      </c>
      <c r="BX59" s="6">
        <v>-3.40552E-3</v>
      </c>
      <c r="BY59" s="6">
        <v>7.946240963855419E-5</v>
      </c>
      <c r="BZ59" s="6">
        <v>-2.8614040000000001E-3</v>
      </c>
      <c r="CA59" s="6">
        <v>-3.381883E-3</v>
      </c>
      <c r="CB59" s="6">
        <v>6.2708313253012027E-5</v>
      </c>
      <c r="CC59" s="6">
        <v>-2.7299680000000002E-3</v>
      </c>
      <c r="CD59" s="6">
        <v>-3.414233E-3</v>
      </c>
      <c r="CE59" s="6">
        <v>8.2441566265060225E-5</v>
      </c>
      <c r="CF59" s="6">
        <v>-2.8833410000000002E-3</v>
      </c>
      <c r="CG59" s="6">
        <v>-3.3773649999999998E-3</v>
      </c>
      <c r="CH59" s="6">
        <v>5.952096385542163E-5</v>
      </c>
      <c r="CI59" s="6">
        <v>-2.7172189999999999E-3</v>
      </c>
      <c r="CJ59" s="6">
        <v>-3.416891E-3</v>
      </c>
      <c r="CK59" s="6">
        <v>8.429783132530121E-5</v>
      </c>
      <c r="CL59" s="6">
        <v>-1.7480989999999999E-3</v>
      </c>
      <c r="CM59" s="6">
        <v>-2.410709E-3</v>
      </c>
      <c r="CN59" s="6">
        <v>7.983253012048194E-5</v>
      </c>
      <c r="CO59" s="6">
        <v>-1.8795350000000001E-3</v>
      </c>
      <c r="CP59" s="6">
        <v>-2.3783599999999999E-3</v>
      </c>
      <c r="CQ59" s="6">
        <v>6.009939759036142E-5</v>
      </c>
      <c r="CR59" s="6">
        <v>-1.7261620000000001E-3</v>
      </c>
      <c r="CS59" s="6">
        <v>-2.4152269999999998E-3</v>
      </c>
      <c r="CT59" s="6">
        <v>8.3019879518072249E-5</v>
      </c>
      <c r="CU59" s="6">
        <v>-1.8922839999999999E-3</v>
      </c>
      <c r="CV59" s="6">
        <v>-2.3757019999999999E-3</v>
      </c>
      <c r="CW59" s="6">
        <v>5.8243132530120475E-5</v>
      </c>
      <c r="CX59" s="6">
        <v>-2.0077060000000002E-3</v>
      </c>
      <c r="CY59" s="6">
        <v>-2.352065E-3</v>
      </c>
      <c r="CZ59" s="6">
        <v>4.1489036144578286E-5</v>
      </c>
      <c r="DA59" s="6">
        <v>-1.87627E-3</v>
      </c>
      <c r="DB59" s="6">
        <v>-2.384415E-3</v>
      </c>
      <c r="DC59" s="6">
        <v>6.1222289156626504E-5</v>
      </c>
      <c r="DD59" s="6">
        <v>-2.0296429999999998E-3</v>
      </c>
      <c r="DE59" s="6">
        <v>-2.3475470000000002E-3</v>
      </c>
      <c r="DF59" s="6">
        <v>3.830168674698799E-5</v>
      </c>
      <c r="DG59" s="6">
        <v>-1.8635209999999999E-3</v>
      </c>
      <c r="DH59" s="6">
        <v>-2.3870720000000001E-3</v>
      </c>
      <c r="DI59" s="6">
        <v>6.3078433734939764E-5</v>
      </c>
    </row>
    <row r="60" spans="1:113" x14ac:dyDescent="0.3">
      <c r="A60" s="13" t="s">
        <v>406</v>
      </c>
      <c r="B60" s="13" t="s">
        <v>265</v>
      </c>
      <c r="C60" s="13" t="s">
        <v>267</v>
      </c>
      <c r="D60" s="13" t="s">
        <v>347</v>
      </c>
      <c r="E60" s="13">
        <v>12.6</v>
      </c>
      <c r="F60" s="6">
        <v>-1.524278E-3</v>
      </c>
      <c r="G60" s="6">
        <v>-1.0950179999999999E-3</v>
      </c>
      <c r="H60" s="6">
        <v>3.4068253968253979E-5</v>
      </c>
      <c r="I60" s="6">
        <v>-1.9883050000000001E-3</v>
      </c>
      <c r="J60" s="6">
        <v>-1.657789E-3</v>
      </c>
      <c r="K60" s="6">
        <v>2.623142857142858E-5</v>
      </c>
      <c r="L60" s="6">
        <v>-1.937514E-3</v>
      </c>
      <c r="M60" s="6">
        <v>-1.704606E-3</v>
      </c>
      <c r="N60" s="6">
        <v>1.8484761904761905E-5</v>
      </c>
      <c r="O60" s="6">
        <v>-2.3815970000000001E-3</v>
      </c>
      <c r="P60" s="6">
        <v>-2.2378239999999998E-3</v>
      </c>
      <c r="Q60" s="6">
        <v>1.1410555555555575E-5</v>
      </c>
      <c r="R60" s="6">
        <v>-2.0521189999999998E-3</v>
      </c>
      <c r="S60" s="6">
        <v>-1.6253439999999999E-3</v>
      </c>
      <c r="T60" s="6">
        <v>3.3871031746031742E-5</v>
      </c>
      <c r="U60" s="6">
        <v>-2.474988E-3</v>
      </c>
      <c r="V60" s="6">
        <v>-2.308156E-3</v>
      </c>
      <c r="W60" s="6">
        <v>1.3240634920634921E-5</v>
      </c>
      <c r="X60" s="6">
        <v>-2.0501260000000002E-3</v>
      </c>
      <c r="Y60" s="6">
        <v>-1.532196E-3</v>
      </c>
      <c r="Z60" s="6">
        <v>4.1105555555555573E-5</v>
      </c>
      <c r="AA60" s="6">
        <v>-2.5765860000000001E-3</v>
      </c>
      <c r="AB60" s="6">
        <v>-2.3592690000000002E-3</v>
      </c>
      <c r="AC60" s="6">
        <v>1.7247380952380941E-5</v>
      </c>
      <c r="AD60" s="6">
        <v>-2.56515E-3</v>
      </c>
      <c r="AE60" s="6">
        <v>-2.4967470000000001E-3</v>
      </c>
      <c r="AF60" s="6">
        <v>5.4288095238095131E-6</v>
      </c>
      <c r="AG60" s="6">
        <v>-2.04185E-3</v>
      </c>
      <c r="AH60" s="6">
        <v>-1.8169639999999999E-3</v>
      </c>
      <c r="AI60" s="6">
        <v>1.7848095238095245E-5</v>
      </c>
      <c r="AJ60" s="6">
        <v>-2.5671420000000001E-3</v>
      </c>
      <c r="AK60" s="6">
        <v>-2.589895E-3</v>
      </c>
      <c r="AL60" s="6">
        <v>1.8057936507936447E-6</v>
      </c>
      <c r="AM60" s="6">
        <v>-2.0406830000000002E-3</v>
      </c>
      <c r="AN60" s="6">
        <v>-1.762823E-3</v>
      </c>
      <c r="AO60" s="6">
        <v>2.205238095238097E-5</v>
      </c>
      <c r="AP60" s="6">
        <v>-1.8047499999999999E-3</v>
      </c>
      <c r="AQ60" s="6">
        <v>-1.3988659999999999E-3</v>
      </c>
      <c r="AR60" s="6">
        <v>3.2213015873015879E-5</v>
      </c>
      <c r="AS60" s="6">
        <v>-2.3280509999999998E-3</v>
      </c>
      <c r="AT60" s="6">
        <v>-2.0786490000000001E-3</v>
      </c>
      <c r="AU60" s="6">
        <v>1.9793809523809499E-5</v>
      </c>
      <c r="AV60" s="6">
        <v>-1.802758E-3</v>
      </c>
      <c r="AW60" s="6">
        <v>-1.305718E-3</v>
      </c>
      <c r="AX60" s="6">
        <v>3.9447619047619051E-5</v>
      </c>
      <c r="AY60" s="6">
        <v>-2.3292170000000002E-3</v>
      </c>
      <c r="AZ60" s="6">
        <v>-2.1327910000000002E-3</v>
      </c>
      <c r="BA60" s="6">
        <v>1.5589365079365077E-5</v>
      </c>
      <c r="BB60" s="6">
        <v>-2.317782E-3</v>
      </c>
      <c r="BC60" s="6">
        <v>-2.2702690000000001E-3</v>
      </c>
      <c r="BD60" s="6">
        <v>3.7708730158730079E-6</v>
      </c>
      <c r="BE60" s="6">
        <v>-1.7944809999999999E-3</v>
      </c>
      <c r="BF60" s="6">
        <v>-1.5904859999999999E-3</v>
      </c>
      <c r="BG60" s="6">
        <v>1.6190079365079364E-5</v>
      </c>
      <c r="BH60" s="6">
        <v>-2.3197740000000001E-3</v>
      </c>
      <c r="BI60" s="6">
        <v>-2.363417E-3</v>
      </c>
      <c r="BJ60" s="6">
        <v>3.4637301587301503E-6</v>
      </c>
      <c r="BK60" s="6">
        <v>-1.793315E-3</v>
      </c>
      <c r="BL60" s="6">
        <v>-1.5363449999999999E-3</v>
      </c>
      <c r="BM60" s="6">
        <v>2.0394444444444448E-5</v>
      </c>
      <c r="BN60" s="6">
        <v>-2.5202760000000001E-3</v>
      </c>
      <c r="BO60" s="6">
        <v>-2.1945599999999999E-3</v>
      </c>
      <c r="BP60" s="6">
        <v>2.5850476190476206E-5</v>
      </c>
      <c r="BQ60" s="6">
        <v>-2.6772660000000002E-3</v>
      </c>
      <c r="BR60" s="6">
        <v>-2.3984940000000001E-3</v>
      </c>
      <c r="BS60" s="6">
        <v>2.2124761904761911E-5</v>
      </c>
      <c r="BT60" s="6">
        <v>-2.519678E-3</v>
      </c>
      <c r="BU60" s="6">
        <v>-2.1666150000000002E-3</v>
      </c>
      <c r="BV60" s="6">
        <v>2.8020873015873002E-5</v>
      </c>
      <c r="BW60" s="6">
        <v>-2.6776159999999999E-3</v>
      </c>
      <c r="BX60" s="6">
        <v>-2.4147370000000001E-3</v>
      </c>
      <c r="BY60" s="6">
        <v>2.0863412698412675E-5</v>
      </c>
      <c r="BZ60" s="6">
        <v>-2.6741849999999999E-3</v>
      </c>
      <c r="CA60" s="6">
        <v>-2.4559809999999999E-3</v>
      </c>
      <c r="CB60" s="6">
        <v>1.7317777777777781E-5</v>
      </c>
      <c r="CC60" s="6">
        <v>-2.5171949999999998E-3</v>
      </c>
      <c r="CD60" s="6">
        <v>-2.2520460000000002E-3</v>
      </c>
      <c r="CE60" s="6">
        <v>2.1043571428571404E-5</v>
      </c>
      <c r="CF60" s="6">
        <v>-2.674783E-3</v>
      </c>
      <c r="CG60" s="6">
        <v>-2.4839250000000001E-3</v>
      </c>
      <c r="CH60" s="6">
        <v>1.5147460317460311E-5</v>
      </c>
      <c r="CI60" s="6">
        <v>-2.5168450000000002E-3</v>
      </c>
      <c r="CJ60" s="6">
        <v>-2.2358030000000002E-3</v>
      </c>
      <c r="CK60" s="6">
        <v>2.2304920634920636E-5</v>
      </c>
      <c r="CL60" s="6">
        <v>-1.695715E-3</v>
      </c>
      <c r="CM60" s="6">
        <v>-1.4396330000000001E-3</v>
      </c>
      <c r="CN60" s="6">
        <v>2.032396825396825E-5</v>
      </c>
      <c r="CO60" s="6">
        <v>-1.8527050000000001E-3</v>
      </c>
      <c r="CP60" s="6">
        <v>-1.643568E-3</v>
      </c>
      <c r="CQ60" s="6">
        <v>1.659817460317461E-5</v>
      </c>
      <c r="CR60" s="6">
        <v>-1.6951170000000001E-3</v>
      </c>
      <c r="CS60" s="6">
        <v>-1.411689E-3</v>
      </c>
      <c r="CT60" s="6">
        <v>2.2494285714285722E-5</v>
      </c>
      <c r="CU60" s="6">
        <v>-1.8530549999999999E-3</v>
      </c>
      <c r="CV60" s="6">
        <v>-1.6598100000000001E-3</v>
      </c>
      <c r="CW60" s="6">
        <v>1.5336904761904753E-5</v>
      </c>
      <c r="CX60" s="6">
        <v>-1.849624E-3</v>
      </c>
      <c r="CY60" s="6">
        <v>-1.701054E-3</v>
      </c>
      <c r="CZ60" s="6">
        <v>1.179126984126984E-5</v>
      </c>
      <c r="DA60" s="6">
        <v>-1.6926339999999999E-3</v>
      </c>
      <c r="DB60" s="6">
        <v>-1.4971190000000001E-3</v>
      </c>
      <c r="DC60" s="6">
        <v>1.5517063492063479E-5</v>
      </c>
      <c r="DD60" s="6">
        <v>-1.8502220000000001E-3</v>
      </c>
      <c r="DE60" s="6">
        <v>-1.728998E-3</v>
      </c>
      <c r="DF60" s="6">
        <v>9.6209523809523873E-6</v>
      </c>
      <c r="DG60" s="6">
        <v>-1.6922840000000001E-3</v>
      </c>
      <c r="DH60" s="6">
        <v>-1.480877E-3</v>
      </c>
      <c r="DI60" s="6">
        <v>1.6778333333333338E-5</v>
      </c>
    </row>
    <row r="61" spans="1:113" x14ac:dyDescent="0.3">
      <c r="A61" s="13" t="s">
        <v>407</v>
      </c>
      <c r="B61" s="13" t="s">
        <v>267</v>
      </c>
      <c r="C61" s="13" t="s">
        <v>268</v>
      </c>
      <c r="D61" s="13" t="s">
        <v>347</v>
      </c>
      <c r="E61" s="13">
        <v>8.3000000000000007</v>
      </c>
      <c r="F61" s="6">
        <v>-1.0950179999999999E-3</v>
      </c>
      <c r="G61" s="6">
        <v>-1.4655639999999999E-3</v>
      </c>
      <c r="H61" s="6">
        <v>4.4644096385542168E-5</v>
      </c>
      <c r="I61" s="6">
        <v>-1.657789E-3</v>
      </c>
      <c r="J61" s="6">
        <v>-2.1607620000000001E-3</v>
      </c>
      <c r="K61" s="6">
        <v>6.0599156626506029E-5</v>
      </c>
      <c r="L61" s="6">
        <v>-1.704606E-3</v>
      </c>
      <c r="M61" s="6">
        <v>-2.0787039999999998E-3</v>
      </c>
      <c r="N61" s="6">
        <v>4.5072048192771054E-5</v>
      </c>
      <c r="O61" s="6">
        <v>-2.2378239999999998E-3</v>
      </c>
      <c r="P61" s="6">
        <v>-2.7449280000000002E-3</v>
      </c>
      <c r="Q61" s="6">
        <v>6.1096867469879565E-5</v>
      </c>
      <c r="R61" s="6">
        <v>-1.6253439999999999E-3</v>
      </c>
      <c r="S61" s="6">
        <v>-2.684643E-3</v>
      </c>
      <c r="T61" s="6">
        <v>1.2762638554216868E-4</v>
      </c>
      <c r="U61" s="6">
        <v>-2.308156E-3</v>
      </c>
      <c r="V61" s="6">
        <v>-2.8026829999999998E-3</v>
      </c>
      <c r="W61" s="6">
        <v>5.958156626506021E-5</v>
      </c>
      <c r="X61" s="6">
        <v>-1.532196E-3</v>
      </c>
      <c r="Y61" s="6">
        <v>-2.7280210000000002E-3</v>
      </c>
      <c r="Z61" s="6">
        <v>1.440753012048193E-4</v>
      </c>
      <c r="AA61" s="6">
        <v>-2.3592690000000002E-3</v>
      </c>
      <c r="AB61" s="6">
        <v>-2.7703210000000001E-3</v>
      </c>
      <c r="AC61" s="6">
        <v>4.9524337349397571E-5</v>
      </c>
      <c r="AD61" s="6">
        <v>-2.4967470000000001E-3</v>
      </c>
      <c r="AE61" s="6">
        <v>-2.4925730000000001E-3</v>
      </c>
      <c r="AF61" s="6">
        <v>5.0289156626506233E-7</v>
      </c>
      <c r="AG61" s="6">
        <v>-1.8169639999999999E-3</v>
      </c>
      <c r="AH61" s="6">
        <v>-2.381635E-3</v>
      </c>
      <c r="AI61" s="6">
        <v>6.8032650602409649E-5</v>
      </c>
      <c r="AJ61" s="6">
        <v>-2.589895E-3</v>
      </c>
      <c r="AK61" s="6">
        <v>-2.449194E-3</v>
      </c>
      <c r="AL61" s="6">
        <v>1.6951927710843375E-5</v>
      </c>
      <c r="AM61" s="6">
        <v>-1.762823E-3</v>
      </c>
      <c r="AN61" s="6">
        <v>-2.4068940000000001E-3</v>
      </c>
      <c r="AO61" s="6">
        <v>7.7598915662650613E-5</v>
      </c>
      <c r="AP61" s="6">
        <v>-1.3988659999999999E-3</v>
      </c>
      <c r="AQ61" s="6">
        <v>-2.4131170000000002E-3</v>
      </c>
      <c r="AR61" s="6">
        <v>1.2219891566265064E-4</v>
      </c>
      <c r="AS61" s="6">
        <v>-2.0786490000000001E-3</v>
      </c>
      <c r="AT61" s="6">
        <v>-2.524054E-3</v>
      </c>
      <c r="AU61" s="6">
        <v>5.3663253012048173E-5</v>
      </c>
      <c r="AV61" s="6">
        <v>-1.305718E-3</v>
      </c>
      <c r="AW61" s="6">
        <v>-2.4564949999999999E-3</v>
      </c>
      <c r="AX61" s="6">
        <v>1.3864783132530118E-4</v>
      </c>
      <c r="AY61" s="6">
        <v>-2.1327910000000002E-3</v>
      </c>
      <c r="AZ61" s="6">
        <v>-2.4987949999999998E-3</v>
      </c>
      <c r="BA61" s="6">
        <v>4.409686746987947E-5</v>
      </c>
      <c r="BB61" s="6">
        <v>-2.2702690000000001E-3</v>
      </c>
      <c r="BC61" s="6">
        <v>-2.2210469999999999E-3</v>
      </c>
      <c r="BD61" s="6">
        <v>5.9303614457831614E-6</v>
      </c>
      <c r="BE61" s="6">
        <v>-1.5904859999999999E-3</v>
      </c>
      <c r="BF61" s="6">
        <v>-2.1101090000000002E-3</v>
      </c>
      <c r="BG61" s="6">
        <v>6.2605180722891595E-5</v>
      </c>
      <c r="BH61" s="6">
        <v>-2.363417E-3</v>
      </c>
      <c r="BI61" s="6">
        <v>-2.1776679999999998E-3</v>
      </c>
      <c r="BJ61" s="6">
        <v>2.2379397590361473E-5</v>
      </c>
      <c r="BK61" s="6">
        <v>-1.5363449999999999E-3</v>
      </c>
      <c r="BL61" s="6">
        <v>-2.1353689999999998E-3</v>
      </c>
      <c r="BM61" s="6">
        <v>7.2171566265060217E-5</v>
      </c>
      <c r="BN61" s="6">
        <v>-2.1945599999999999E-3</v>
      </c>
      <c r="BO61" s="6">
        <v>-2.9341979999999998E-3</v>
      </c>
      <c r="BP61" s="6">
        <v>8.9113012048192751E-5</v>
      </c>
      <c r="BQ61" s="6">
        <v>-2.3984940000000001E-3</v>
      </c>
      <c r="BR61" s="6">
        <v>-2.9674800000000002E-3</v>
      </c>
      <c r="BS61" s="6">
        <v>6.8552530120481926E-5</v>
      </c>
      <c r="BT61" s="6">
        <v>-2.1666150000000002E-3</v>
      </c>
      <c r="BU61" s="6">
        <v>-2.9472119999999998E-3</v>
      </c>
      <c r="BV61" s="6">
        <v>9.4047831325301149E-5</v>
      </c>
      <c r="BW61" s="6">
        <v>-2.4147370000000001E-3</v>
      </c>
      <c r="BX61" s="6">
        <v>-2.9599019999999999E-3</v>
      </c>
      <c r="BY61" s="6">
        <v>6.5682530120481894E-5</v>
      </c>
      <c r="BZ61" s="6">
        <v>-2.4559809999999999E-3</v>
      </c>
      <c r="CA61" s="6">
        <v>-2.876577E-3</v>
      </c>
      <c r="CB61" s="6">
        <v>5.0674216867469888E-5</v>
      </c>
      <c r="CC61" s="6">
        <v>-2.2520460000000002E-3</v>
      </c>
      <c r="CD61" s="6">
        <v>-2.8432959999999999E-3</v>
      </c>
      <c r="CE61" s="6">
        <v>7.1234939759036109E-5</v>
      </c>
      <c r="CF61" s="6">
        <v>-2.4839250000000001E-3</v>
      </c>
      <c r="CG61" s="6">
        <v>-2.8635639999999999E-3</v>
      </c>
      <c r="CH61" s="6">
        <v>4.5739638554216838E-5</v>
      </c>
      <c r="CI61" s="6">
        <v>-2.2358030000000002E-3</v>
      </c>
      <c r="CJ61" s="6">
        <v>-2.8508740000000002E-3</v>
      </c>
      <c r="CK61" s="6">
        <v>7.410493975903614E-5</v>
      </c>
      <c r="CL61" s="6">
        <v>-1.4396330000000001E-3</v>
      </c>
      <c r="CM61" s="6">
        <v>-2.029112E-3</v>
      </c>
      <c r="CN61" s="6">
        <v>7.1021566265060229E-5</v>
      </c>
      <c r="CO61" s="6">
        <v>-1.643568E-3</v>
      </c>
      <c r="CP61" s="6">
        <v>-2.062393E-3</v>
      </c>
      <c r="CQ61" s="6">
        <v>5.0460843373493981E-5</v>
      </c>
      <c r="CR61" s="6">
        <v>-1.411689E-3</v>
      </c>
      <c r="CS61" s="6">
        <v>-2.0421250000000001E-3</v>
      </c>
      <c r="CT61" s="6">
        <v>7.5956144578313259E-5</v>
      </c>
      <c r="CU61" s="6">
        <v>-1.6598100000000001E-3</v>
      </c>
      <c r="CV61" s="6">
        <v>-2.0548150000000002E-3</v>
      </c>
      <c r="CW61" s="6">
        <v>4.7590963855421702E-5</v>
      </c>
      <c r="CX61" s="6">
        <v>-1.701054E-3</v>
      </c>
      <c r="CY61" s="6">
        <v>-1.9714910000000001E-3</v>
      </c>
      <c r="CZ61" s="6">
        <v>3.2582771084337359E-5</v>
      </c>
      <c r="DA61" s="6">
        <v>-1.4971190000000001E-3</v>
      </c>
      <c r="DB61" s="6">
        <v>-1.9382100000000001E-3</v>
      </c>
      <c r="DC61" s="6">
        <v>5.3143493975903614E-5</v>
      </c>
      <c r="DD61" s="6">
        <v>-1.728998E-3</v>
      </c>
      <c r="DE61" s="6">
        <v>-1.9584770000000001E-3</v>
      </c>
      <c r="DF61" s="6">
        <v>2.7648072289156635E-5</v>
      </c>
      <c r="DG61" s="6">
        <v>-1.480877E-3</v>
      </c>
      <c r="DH61" s="6">
        <v>-1.945787E-3</v>
      </c>
      <c r="DI61" s="6">
        <v>5.6013253012048189E-5</v>
      </c>
    </row>
    <row r="62" spans="1:113" x14ac:dyDescent="0.3">
      <c r="A62" s="13" t="s">
        <v>408</v>
      </c>
      <c r="B62" s="13" t="s">
        <v>287</v>
      </c>
      <c r="C62" s="13" t="s">
        <v>321</v>
      </c>
      <c r="D62" s="13" t="s">
        <v>347</v>
      </c>
      <c r="E62" s="13">
        <v>5.75</v>
      </c>
      <c r="F62" s="6">
        <v>-1.247328E-3</v>
      </c>
      <c r="G62" s="6">
        <v>-1.441024E-3</v>
      </c>
      <c r="H62" s="6">
        <v>3.3686260869565203E-5</v>
      </c>
      <c r="I62" s="6">
        <v>-1.83289E-3</v>
      </c>
      <c r="J62" s="6">
        <v>-1.8187609999999999E-3</v>
      </c>
      <c r="K62" s="6">
        <v>2.4572173913043644E-6</v>
      </c>
      <c r="L62" s="6">
        <v>-1.857547E-3</v>
      </c>
      <c r="M62" s="6">
        <v>-1.843625E-3</v>
      </c>
      <c r="N62" s="6">
        <v>2.4212173913043443E-6</v>
      </c>
      <c r="O62" s="6">
        <v>-2.414125E-3</v>
      </c>
      <c r="P62" s="6">
        <v>-2.202327E-3</v>
      </c>
      <c r="Q62" s="6">
        <v>3.6834434782608699E-5</v>
      </c>
      <c r="R62" s="6">
        <v>-2.0372189999999998E-3</v>
      </c>
      <c r="S62" s="6">
        <v>-1.947137E-3</v>
      </c>
      <c r="T62" s="6">
        <v>1.5666434782608661E-5</v>
      </c>
      <c r="U62" s="6">
        <v>-2.7419190000000002E-3</v>
      </c>
      <c r="V62" s="6">
        <v>-2.315171E-3</v>
      </c>
      <c r="W62" s="6">
        <v>7.4217043478260906E-5</v>
      </c>
      <c r="X62" s="6">
        <v>-2.0199129999999999E-3</v>
      </c>
      <c r="Y62" s="6">
        <v>-1.944072E-3</v>
      </c>
      <c r="Z62" s="6">
        <v>1.3189739130434763E-5</v>
      </c>
      <c r="AA62" s="6">
        <v>-2.7472519999999999E-3</v>
      </c>
      <c r="AB62" s="6">
        <v>-2.404495E-3</v>
      </c>
      <c r="AC62" s="6">
        <v>5.9609913043478251E-5</v>
      </c>
      <c r="AD62" s="6">
        <v>-2.4546720000000002E-3</v>
      </c>
      <c r="AE62" s="6">
        <v>-2.3096840000000002E-3</v>
      </c>
      <c r="AF62" s="6">
        <v>2.5215304347826084E-5</v>
      </c>
      <c r="AG62" s="6">
        <v>-1.7546829999999999E-3</v>
      </c>
      <c r="AH62" s="6">
        <v>-1.8541230000000001E-3</v>
      </c>
      <c r="AI62" s="6">
        <v>1.7293913043478282E-5</v>
      </c>
      <c r="AJ62" s="6">
        <v>-2.4719780000000001E-3</v>
      </c>
      <c r="AK62" s="6">
        <v>-2.3127489999999998E-3</v>
      </c>
      <c r="AL62" s="6">
        <v>2.7692000000000056E-5</v>
      </c>
      <c r="AM62" s="6">
        <v>-1.7446390000000001E-3</v>
      </c>
      <c r="AN62" s="6">
        <v>-1.8523260000000001E-3</v>
      </c>
      <c r="AO62" s="6">
        <v>1.8728173913043473E-5</v>
      </c>
      <c r="AP62" s="6">
        <v>-1.7923430000000001E-3</v>
      </c>
      <c r="AQ62" s="6">
        <v>-1.711403E-3</v>
      </c>
      <c r="AR62" s="6">
        <v>1.4076521739130444E-5</v>
      </c>
      <c r="AS62" s="6">
        <v>-2.4923319999999999E-3</v>
      </c>
      <c r="AT62" s="6">
        <v>-2.166964E-3</v>
      </c>
      <c r="AU62" s="6">
        <v>5.6585739130434769E-5</v>
      </c>
      <c r="AV62" s="6">
        <v>-1.7750369999999999E-3</v>
      </c>
      <c r="AW62" s="6">
        <v>-1.708338E-3</v>
      </c>
      <c r="AX62" s="6">
        <v>1.1599826086956509E-5</v>
      </c>
      <c r="AY62" s="6">
        <v>-2.5023760000000002E-3</v>
      </c>
      <c r="AZ62" s="6">
        <v>-2.168761E-3</v>
      </c>
      <c r="BA62" s="6">
        <v>5.8020000000000037E-5</v>
      </c>
      <c r="BB62" s="6">
        <v>-2.209796E-3</v>
      </c>
      <c r="BC62" s="6">
        <v>-2.0739510000000001E-3</v>
      </c>
      <c r="BD62" s="6">
        <v>2.3625217391304328E-5</v>
      </c>
      <c r="BE62" s="6">
        <v>-1.5098069999999999E-3</v>
      </c>
      <c r="BF62" s="6">
        <v>-1.6183899999999999E-3</v>
      </c>
      <c r="BG62" s="6">
        <v>1.8883999999999997E-5</v>
      </c>
      <c r="BH62" s="6">
        <v>-2.2271019999999999E-3</v>
      </c>
      <c r="BI62" s="6">
        <v>-2.0770160000000001E-3</v>
      </c>
      <c r="BJ62" s="6">
        <v>2.6101913043478225E-5</v>
      </c>
      <c r="BK62" s="6">
        <v>-1.4997630000000001E-3</v>
      </c>
      <c r="BL62" s="6">
        <v>-1.616592E-3</v>
      </c>
      <c r="BM62" s="6">
        <v>2.0318086956521727E-5</v>
      </c>
      <c r="BN62" s="6">
        <v>-2.469017E-3</v>
      </c>
      <c r="BO62" s="6">
        <v>-2.349051E-3</v>
      </c>
      <c r="BP62" s="6">
        <v>2.0863652173913042E-5</v>
      </c>
      <c r="BQ62" s="6">
        <v>-2.6790130000000001E-3</v>
      </c>
      <c r="BR62" s="6">
        <v>-2.4857199999999999E-3</v>
      </c>
      <c r="BS62" s="6">
        <v>3.361617391304351E-5</v>
      </c>
      <c r="BT62" s="6">
        <v>-2.4638250000000002E-3</v>
      </c>
      <c r="BU62" s="6">
        <v>-2.3481320000000002E-3</v>
      </c>
      <c r="BV62" s="6">
        <v>2.0120521739130442E-5</v>
      </c>
      <c r="BW62" s="6">
        <v>-2.682027E-3</v>
      </c>
      <c r="BX62" s="6">
        <v>-2.4862590000000002E-3</v>
      </c>
      <c r="BY62" s="6">
        <v>3.4046608695652143E-5</v>
      </c>
      <c r="BZ62" s="6">
        <v>-2.5942529999999999E-3</v>
      </c>
      <c r="CA62" s="6">
        <v>-2.4578159999999998E-3</v>
      </c>
      <c r="CB62" s="6">
        <v>2.3728173913043496E-5</v>
      </c>
      <c r="CC62" s="6">
        <v>-2.384256E-3</v>
      </c>
      <c r="CD62" s="6">
        <v>-2.321147E-3</v>
      </c>
      <c r="CE62" s="6">
        <v>1.0975478260869565E-5</v>
      </c>
      <c r="CF62" s="6">
        <v>-2.5994439999999998E-3</v>
      </c>
      <c r="CG62" s="6">
        <v>-2.4587350000000001E-3</v>
      </c>
      <c r="CH62" s="6">
        <v>2.447113043478256E-5</v>
      </c>
      <c r="CI62" s="6">
        <v>-2.3812429999999999E-3</v>
      </c>
      <c r="CJ62" s="6">
        <v>-2.320608E-3</v>
      </c>
      <c r="CK62" s="6">
        <v>1.0545217391304322E-5</v>
      </c>
      <c r="CL62" s="6">
        <v>-1.6527619999999999E-3</v>
      </c>
      <c r="CM62" s="6">
        <v>-1.5632720000000001E-3</v>
      </c>
      <c r="CN62" s="6">
        <v>1.556347826086953E-5</v>
      </c>
      <c r="CO62" s="6">
        <v>-1.8627590000000001E-3</v>
      </c>
      <c r="CP62" s="6">
        <v>-1.69994E-3</v>
      </c>
      <c r="CQ62" s="6">
        <v>2.8316347826086961E-5</v>
      </c>
      <c r="CR62" s="6">
        <v>-1.647571E-3</v>
      </c>
      <c r="CS62" s="6">
        <v>-1.5623519999999999E-3</v>
      </c>
      <c r="CT62" s="6">
        <v>1.4820695652173929E-5</v>
      </c>
      <c r="CU62" s="6">
        <v>-1.8657719999999999E-3</v>
      </c>
      <c r="CV62" s="6">
        <v>-1.700479E-3</v>
      </c>
      <c r="CW62" s="6">
        <v>2.8746608695652166E-5</v>
      </c>
      <c r="CX62" s="6">
        <v>-1.777998E-3</v>
      </c>
      <c r="CY62" s="6">
        <v>-1.672036E-3</v>
      </c>
      <c r="CZ62" s="6">
        <v>1.8428173913043482E-5</v>
      </c>
      <c r="DA62" s="6">
        <v>-1.568002E-3</v>
      </c>
      <c r="DB62" s="6">
        <v>-1.5353680000000001E-3</v>
      </c>
      <c r="DC62" s="6">
        <v>5.6754782608695509E-6</v>
      </c>
      <c r="DD62" s="6">
        <v>-1.78319E-3</v>
      </c>
      <c r="DE62" s="6">
        <v>-1.672956E-3</v>
      </c>
      <c r="DF62" s="6">
        <v>1.9171130434782621E-5</v>
      </c>
      <c r="DG62" s="6">
        <v>-1.564988E-3</v>
      </c>
      <c r="DH62" s="6">
        <v>-1.5348289999999999E-3</v>
      </c>
      <c r="DI62" s="6">
        <v>5.2450434782608846E-6</v>
      </c>
    </row>
    <row r="63" spans="1:113" x14ac:dyDescent="0.3">
      <c r="A63" s="13" t="s">
        <v>409</v>
      </c>
      <c r="B63" s="13" t="s">
        <v>94</v>
      </c>
      <c r="C63" s="13" t="s">
        <v>95</v>
      </c>
      <c r="D63" s="13" t="s">
        <v>364</v>
      </c>
      <c r="E63" s="13">
        <v>10.7</v>
      </c>
      <c r="F63" s="6">
        <v>-2.6743100000000001E-3</v>
      </c>
      <c r="G63" s="6">
        <v>-3.05099E-3</v>
      </c>
      <c r="H63" s="6">
        <v>3.5203738317757004E-5</v>
      </c>
      <c r="I63" s="6">
        <v>-3.804932E-3</v>
      </c>
      <c r="J63" s="6">
        <v>-4.3575890000000003E-3</v>
      </c>
      <c r="K63" s="6">
        <v>5.1650186915887873E-5</v>
      </c>
      <c r="L63" s="6">
        <v>-3.2841609999999999E-3</v>
      </c>
      <c r="M63" s="6">
        <v>-3.6629470000000002E-3</v>
      </c>
      <c r="N63" s="6">
        <v>3.540056074766358E-5</v>
      </c>
      <c r="O63" s="6">
        <v>-4.3874990000000004E-3</v>
      </c>
      <c r="P63" s="6">
        <v>-4.940318E-3</v>
      </c>
      <c r="Q63" s="6">
        <v>5.16653271028037E-5</v>
      </c>
      <c r="R63" s="6">
        <v>-4.4731090000000003E-3</v>
      </c>
      <c r="S63" s="6">
        <v>-4.807965E-3</v>
      </c>
      <c r="T63" s="6">
        <v>3.1294953271028008E-5</v>
      </c>
      <c r="U63" s="6">
        <v>-4.3176400000000002E-3</v>
      </c>
      <c r="V63" s="6">
        <v>-4.848682E-3</v>
      </c>
      <c r="W63" s="6">
        <v>4.9630093457943909E-5</v>
      </c>
      <c r="X63" s="6">
        <v>-4.4445810000000004E-3</v>
      </c>
      <c r="Y63" s="6">
        <v>-4.8248090000000002E-3</v>
      </c>
      <c r="Z63" s="6">
        <v>3.5535327102803724E-5</v>
      </c>
      <c r="AA63" s="6">
        <v>-4.3344739999999996E-3</v>
      </c>
      <c r="AB63" s="6">
        <v>-4.8440030000000004E-3</v>
      </c>
      <c r="AC63" s="6">
        <v>4.7619532710280448E-5</v>
      </c>
      <c r="AD63" s="6">
        <v>-4.1354E-3</v>
      </c>
      <c r="AE63" s="6">
        <v>-4.951525E-3</v>
      </c>
      <c r="AF63" s="6">
        <v>7.627336448598132E-5</v>
      </c>
      <c r="AG63" s="6">
        <v>-4.2908879999999996E-3</v>
      </c>
      <c r="AH63" s="6">
        <v>-4.9089870000000001E-3</v>
      </c>
      <c r="AI63" s="6">
        <v>5.7766261682243036E-5</v>
      </c>
      <c r="AJ63" s="6">
        <v>-4.1639279999999999E-3</v>
      </c>
      <c r="AK63" s="6">
        <v>-4.9346800000000003E-3</v>
      </c>
      <c r="AL63" s="6">
        <v>7.2032897196261719E-5</v>
      </c>
      <c r="AM63" s="6">
        <v>-4.2740349999999998E-3</v>
      </c>
      <c r="AN63" s="6">
        <v>-4.9154860000000002E-3</v>
      </c>
      <c r="AO63" s="6">
        <v>5.9948691588785083E-5</v>
      </c>
      <c r="AP63" s="6">
        <v>-4.0569869999999997E-3</v>
      </c>
      <c r="AQ63" s="6">
        <v>-4.346384E-3</v>
      </c>
      <c r="AR63" s="6">
        <v>2.7046448598130869E-5</v>
      </c>
      <c r="AS63" s="6">
        <v>-3.9014990000000001E-3</v>
      </c>
      <c r="AT63" s="6">
        <v>-4.3889209999999996E-3</v>
      </c>
      <c r="AU63" s="6">
        <v>4.5553457943925188E-5</v>
      </c>
      <c r="AV63" s="6">
        <v>-4.0284580000000004E-3</v>
      </c>
      <c r="AW63" s="6">
        <v>-4.3632289999999997E-3</v>
      </c>
      <c r="AX63" s="6">
        <v>3.1287009345794335E-5</v>
      </c>
      <c r="AY63" s="6">
        <v>-3.9183509999999996E-3</v>
      </c>
      <c r="AZ63" s="6">
        <v>-4.3824229999999999E-3</v>
      </c>
      <c r="BA63" s="6">
        <v>4.3371214953271059E-5</v>
      </c>
      <c r="BB63" s="6">
        <v>-3.7192779999999999E-3</v>
      </c>
      <c r="BC63" s="6">
        <v>-4.4899440000000001E-3</v>
      </c>
      <c r="BD63" s="6">
        <v>7.2024859813084134E-5</v>
      </c>
      <c r="BE63" s="6">
        <v>-3.8747650000000001E-3</v>
      </c>
      <c r="BF63" s="6">
        <v>-4.4474069999999996E-3</v>
      </c>
      <c r="BG63" s="6">
        <v>5.3517943925233599E-5</v>
      </c>
      <c r="BH63" s="6">
        <v>-3.7478059999999998E-3</v>
      </c>
      <c r="BI63" s="6">
        <v>-4.4730990000000003E-3</v>
      </c>
      <c r="BJ63" s="6">
        <v>6.7784392523364547E-5</v>
      </c>
      <c r="BK63" s="6">
        <v>-3.8579130000000001E-3</v>
      </c>
      <c r="BL63" s="6">
        <v>-4.4539050000000002E-3</v>
      </c>
      <c r="BM63" s="6">
        <v>5.5700186915887857E-5</v>
      </c>
      <c r="BN63" s="6">
        <v>-4.8403869999999998E-3</v>
      </c>
      <c r="BO63" s="6">
        <v>-5.3967219999999996E-3</v>
      </c>
      <c r="BP63" s="6">
        <v>5.1993925233644849E-5</v>
      </c>
      <c r="BQ63" s="6">
        <v>-4.7937400000000003E-3</v>
      </c>
      <c r="BR63" s="6">
        <v>-5.4094829999999997E-3</v>
      </c>
      <c r="BS63" s="6">
        <v>5.7546074766355082E-5</v>
      </c>
      <c r="BT63" s="6">
        <v>-4.8318279999999998E-3</v>
      </c>
      <c r="BU63" s="6">
        <v>-5.4017750000000002E-3</v>
      </c>
      <c r="BV63" s="6">
        <v>5.3266074766355177E-5</v>
      </c>
      <c r="BW63" s="6">
        <v>-4.7987960000000001E-3</v>
      </c>
      <c r="BX63" s="6">
        <v>-5.407533E-3</v>
      </c>
      <c r="BY63" s="6">
        <v>5.6891308411214943E-5</v>
      </c>
      <c r="BZ63" s="6">
        <v>-4.7390740000000002E-3</v>
      </c>
      <c r="CA63" s="6">
        <v>-5.4397899999999999E-3</v>
      </c>
      <c r="CB63" s="6">
        <v>6.5487476635513994E-5</v>
      </c>
      <c r="CC63" s="6">
        <v>-4.7857200000000003E-3</v>
      </c>
      <c r="CD63" s="6">
        <v>-5.4270289999999999E-3</v>
      </c>
      <c r="CE63" s="6">
        <v>5.9935420560747632E-5</v>
      </c>
      <c r="CF63" s="6">
        <v>-4.7476319999999999E-3</v>
      </c>
      <c r="CG63" s="6">
        <v>-5.4347359999999999E-3</v>
      </c>
      <c r="CH63" s="6">
        <v>6.421532710280374E-5</v>
      </c>
      <c r="CI63" s="6">
        <v>-4.7806649999999999E-3</v>
      </c>
      <c r="CJ63" s="6">
        <v>-5.4289780000000001E-3</v>
      </c>
      <c r="CK63" s="6">
        <v>6.0590000000000021E-5</v>
      </c>
      <c r="CL63" s="6">
        <v>-3.453313E-3</v>
      </c>
      <c r="CM63" s="6">
        <v>-3.8581190000000001E-3</v>
      </c>
      <c r="CN63" s="6">
        <v>3.7832336448598148E-5</v>
      </c>
      <c r="CO63" s="6">
        <v>-3.4066669999999999E-3</v>
      </c>
      <c r="CP63" s="6">
        <v>-3.8708800000000002E-3</v>
      </c>
      <c r="CQ63" s="6">
        <v>4.338439252336451E-5</v>
      </c>
      <c r="CR63" s="6">
        <v>-3.4447549999999999E-3</v>
      </c>
      <c r="CS63" s="6">
        <v>-3.8631730000000001E-3</v>
      </c>
      <c r="CT63" s="6">
        <v>3.9104485981308436E-5</v>
      </c>
      <c r="CU63" s="6">
        <v>-3.4117219999999998E-3</v>
      </c>
      <c r="CV63" s="6">
        <v>-3.8689309999999999E-3</v>
      </c>
      <c r="CW63" s="6">
        <v>4.2729813084112162E-5</v>
      </c>
      <c r="CX63" s="6">
        <v>-3.3519999999999999E-3</v>
      </c>
      <c r="CY63" s="6">
        <v>-3.901187E-3</v>
      </c>
      <c r="CZ63" s="6">
        <v>5.1325887850467294E-5</v>
      </c>
      <c r="DA63" s="6">
        <v>-3.3986469999999999E-3</v>
      </c>
      <c r="DB63" s="6">
        <v>-3.8884259999999999E-3</v>
      </c>
      <c r="DC63" s="6">
        <v>4.577373831775702E-5</v>
      </c>
      <c r="DD63" s="6">
        <v>-3.3605589999999999E-3</v>
      </c>
      <c r="DE63" s="6">
        <v>-3.8961339999999999E-3</v>
      </c>
      <c r="DF63" s="6">
        <v>5.0053738317757006E-5</v>
      </c>
      <c r="DG63" s="6">
        <v>-3.3935910000000001E-3</v>
      </c>
      <c r="DH63" s="6">
        <v>-3.8903760000000001E-3</v>
      </c>
      <c r="DI63" s="6">
        <v>4.6428504672897199E-5</v>
      </c>
    </row>
    <row r="64" spans="1:113" x14ac:dyDescent="0.3">
      <c r="A64" s="13" t="s">
        <v>410</v>
      </c>
      <c r="B64" s="13" t="s">
        <v>130</v>
      </c>
      <c r="C64" s="13" t="s">
        <v>131</v>
      </c>
      <c r="D64" s="13" t="s">
        <v>364</v>
      </c>
      <c r="E64" s="13">
        <v>10.7</v>
      </c>
      <c r="F64" s="6">
        <v>-2.8426789999999999E-3</v>
      </c>
      <c r="G64" s="6">
        <v>-3.4312180000000002E-3</v>
      </c>
      <c r="H64" s="6">
        <v>5.5003644859813119E-5</v>
      </c>
      <c r="I64" s="6">
        <v>-4.0099350000000001E-3</v>
      </c>
      <c r="J64" s="6">
        <v>-4.8036099999999998E-3</v>
      </c>
      <c r="K64" s="6">
        <v>7.4175233644859794E-5</v>
      </c>
      <c r="L64" s="6">
        <v>-3.4411070000000001E-3</v>
      </c>
      <c r="M64" s="6">
        <v>-4.0310509999999999E-3</v>
      </c>
      <c r="N64" s="6">
        <v>5.5134953271028023E-5</v>
      </c>
      <c r="O64" s="6">
        <v>-4.5811430000000002E-3</v>
      </c>
      <c r="P64" s="6">
        <v>-5.3748219999999996E-3</v>
      </c>
      <c r="Q64" s="6">
        <v>7.4175607476635456E-5</v>
      </c>
      <c r="R64" s="6">
        <v>-4.6742850000000002E-3</v>
      </c>
      <c r="S64" s="6">
        <v>-5.2656960000000003E-3</v>
      </c>
      <c r="T64" s="6">
        <v>5.527205607476636E-5</v>
      </c>
      <c r="U64" s="6">
        <v>-4.5243469999999997E-3</v>
      </c>
      <c r="V64" s="6">
        <v>-5.3371709999999999E-3</v>
      </c>
      <c r="W64" s="6">
        <v>7.5964859813084141E-5</v>
      </c>
      <c r="X64" s="6">
        <v>-4.6605639999999999E-3</v>
      </c>
      <c r="Y64" s="6">
        <v>-5.2731139999999998E-3</v>
      </c>
      <c r="Z64" s="6">
        <v>5.7247663551401863E-5</v>
      </c>
      <c r="AA64" s="6">
        <v>-4.5313150000000002E-3</v>
      </c>
      <c r="AB64" s="6">
        <v>-5.334297E-3</v>
      </c>
      <c r="AC64" s="6">
        <v>7.5045046728971953E-5</v>
      </c>
      <c r="AD64" s="6">
        <v>-4.3513049999999998E-3</v>
      </c>
      <c r="AE64" s="6">
        <v>-5.4180549999999997E-3</v>
      </c>
      <c r="AF64" s="6">
        <v>9.9696261682243002E-5</v>
      </c>
      <c r="AG64" s="6">
        <v>-4.5024030000000003E-3</v>
      </c>
      <c r="AH64" s="6">
        <v>-5.3466440000000002E-3</v>
      </c>
      <c r="AI64" s="6">
        <v>7.8901028037383175E-5</v>
      </c>
      <c r="AJ64" s="6">
        <v>-4.3650260000000001E-3</v>
      </c>
      <c r="AK64" s="6">
        <v>-5.4106370000000003E-3</v>
      </c>
      <c r="AL64" s="6">
        <v>9.7720654205607499E-5</v>
      </c>
      <c r="AM64" s="6">
        <v>-4.4942749999999998E-3</v>
      </c>
      <c r="AN64" s="6">
        <v>-5.349454E-3</v>
      </c>
      <c r="AO64" s="6">
        <v>7.9923271028037402E-5</v>
      </c>
      <c r="AP64" s="6">
        <v>-4.2397600000000004E-3</v>
      </c>
      <c r="AQ64" s="6">
        <v>-4.760378E-3</v>
      </c>
      <c r="AR64" s="6">
        <v>4.8655887850467253E-5</v>
      </c>
      <c r="AS64" s="6">
        <v>-4.0886630000000002E-3</v>
      </c>
      <c r="AT64" s="6">
        <v>-4.8317899999999999E-3</v>
      </c>
      <c r="AU64" s="6">
        <v>6.9451121495327074E-5</v>
      </c>
      <c r="AV64" s="6">
        <v>-4.226039E-3</v>
      </c>
      <c r="AW64" s="6">
        <v>-4.7677960000000004E-3</v>
      </c>
      <c r="AX64" s="6">
        <v>5.0631495327102838E-5</v>
      </c>
      <c r="AY64" s="6">
        <v>-4.0967900000000003E-3</v>
      </c>
      <c r="AZ64" s="6">
        <v>-4.8289789999999997E-3</v>
      </c>
      <c r="BA64" s="6">
        <v>6.8428878504672846E-5</v>
      </c>
      <c r="BB64" s="6">
        <v>-3.9167799999999999E-3</v>
      </c>
      <c r="BC64" s="6">
        <v>-4.9127370000000004E-3</v>
      </c>
      <c r="BD64" s="6">
        <v>9.3080093457943976E-5</v>
      </c>
      <c r="BE64" s="6">
        <v>-4.0678779999999996E-3</v>
      </c>
      <c r="BF64" s="6">
        <v>-4.841326E-3</v>
      </c>
      <c r="BG64" s="6">
        <v>7.2284859813084149E-5</v>
      </c>
      <c r="BH64" s="6">
        <v>-3.9305010000000003E-3</v>
      </c>
      <c r="BI64" s="6">
        <v>-4.905319E-3</v>
      </c>
      <c r="BJ64" s="6">
        <v>9.1104485981308392E-5</v>
      </c>
      <c r="BK64" s="6">
        <v>-4.05975E-3</v>
      </c>
      <c r="BL64" s="6">
        <v>-4.8441359999999998E-3</v>
      </c>
      <c r="BM64" s="6">
        <v>7.3307102803738295E-5</v>
      </c>
      <c r="BN64" s="6">
        <v>-5.0681880000000004E-3</v>
      </c>
      <c r="BO64" s="6">
        <v>-5.9085589999999999E-3</v>
      </c>
      <c r="BP64" s="6">
        <v>7.8539345794392484E-5</v>
      </c>
      <c r="BQ64" s="6">
        <v>-5.0228590000000002E-3</v>
      </c>
      <c r="BR64" s="6">
        <v>-5.9299829999999998E-3</v>
      </c>
      <c r="BS64" s="6">
        <v>8.4777943925233609E-5</v>
      </c>
      <c r="BT64" s="6">
        <v>-5.0640720000000002E-3</v>
      </c>
      <c r="BU64" s="6">
        <v>-5.9107839999999997E-3</v>
      </c>
      <c r="BV64" s="6">
        <v>7.9131962616822379E-5</v>
      </c>
      <c r="BW64" s="6">
        <v>-5.0252969999999998E-3</v>
      </c>
      <c r="BX64" s="6">
        <v>-5.9291389999999999E-3</v>
      </c>
      <c r="BY64" s="6">
        <v>8.4471214953271055E-5</v>
      </c>
      <c r="BZ64" s="6">
        <v>-4.9712940000000002E-3</v>
      </c>
      <c r="CA64" s="6">
        <v>-5.9542670000000001E-3</v>
      </c>
      <c r="CB64" s="6">
        <v>9.1866635514018679E-5</v>
      </c>
      <c r="CC64" s="6">
        <v>-5.0166229999999996E-3</v>
      </c>
      <c r="CD64" s="6">
        <v>-5.9328430000000001E-3</v>
      </c>
      <c r="CE64" s="6">
        <v>8.5628037383177636E-5</v>
      </c>
      <c r="CF64" s="6">
        <v>-4.9754100000000004E-3</v>
      </c>
      <c r="CG64" s="6">
        <v>-5.9520420000000003E-3</v>
      </c>
      <c r="CH64" s="6">
        <v>9.1274018691588771E-5</v>
      </c>
      <c r="CI64" s="6">
        <v>-5.014185E-3</v>
      </c>
      <c r="CJ64" s="6">
        <v>-5.933687E-3</v>
      </c>
      <c r="CK64" s="6">
        <v>8.5934766355140189E-5</v>
      </c>
      <c r="CL64" s="6">
        <v>-3.6197709999999999E-3</v>
      </c>
      <c r="CM64" s="6">
        <v>-4.2241659999999997E-3</v>
      </c>
      <c r="CN64" s="6">
        <v>5.6485514018691569E-5</v>
      </c>
      <c r="CO64" s="6">
        <v>-3.5744420000000002E-3</v>
      </c>
      <c r="CP64" s="6">
        <v>-4.2455890000000001E-3</v>
      </c>
      <c r="CQ64" s="6">
        <v>6.2724018691588782E-5</v>
      </c>
      <c r="CR64" s="6">
        <v>-3.6156550000000002E-3</v>
      </c>
      <c r="CS64" s="6">
        <v>-4.2263919999999998E-3</v>
      </c>
      <c r="CT64" s="6">
        <v>5.707822429906539E-5</v>
      </c>
      <c r="CU64" s="6">
        <v>-3.5768800000000002E-3</v>
      </c>
      <c r="CV64" s="6">
        <v>-4.2447459999999998E-3</v>
      </c>
      <c r="CW64" s="6">
        <v>6.2417383177570059E-5</v>
      </c>
      <c r="CX64" s="6">
        <v>-3.5228770000000002E-3</v>
      </c>
      <c r="CY64" s="6">
        <v>-4.2698739999999999E-3</v>
      </c>
      <c r="CZ64" s="6">
        <v>6.9812803738317737E-5</v>
      </c>
      <c r="DA64" s="6">
        <v>-3.568206E-3</v>
      </c>
      <c r="DB64" s="6">
        <v>-4.2484510000000003E-3</v>
      </c>
      <c r="DC64" s="6">
        <v>6.3574299065420592E-5</v>
      </c>
      <c r="DD64" s="6">
        <v>-3.5269939999999999E-3</v>
      </c>
      <c r="DE64" s="6">
        <v>-4.2676479999999998E-3</v>
      </c>
      <c r="DF64" s="6">
        <v>6.9219999999999991E-5</v>
      </c>
      <c r="DG64" s="6">
        <v>-3.565768E-3</v>
      </c>
      <c r="DH64" s="6">
        <v>-4.2492930000000003E-3</v>
      </c>
      <c r="DI64" s="6">
        <v>6.3880841121495362E-5</v>
      </c>
    </row>
    <row r="65" spans="1:113" x14ac:dyDescent="0.3">
      <c r="A65" s="13" t="s">
        <v>411</v>
      </c>
      <c r="B65" s="13" t="s">
        <v>59</v>
      </c>
      <c r="C65" s="13" t="s">
        <v>60</v>
      </c>
      <c r="D65" s="13" t="s">
        <v>350</v>
      </c>
      <c r="E65" s="13">
        <v>10.7</v>
      </c>
      <c r="F65" s="6">
        <v>-3.6643940000000001E-3</v>
      </c>
      <c r="G65" s="6">
        <v>-3.688729E-3</v>
      </c>
      <c r="H65" s="6">
        <v>2.2742990654205509E-6</v>
      </c>
      <c r="I65" s="6">
        <v>-4.489514E-3</v>
      </c>
      <c r="J65" s="6">
        <v>-4.516272E-3</v>
      </c>
      <c r="K65" s="6">
        <v>2.5007476635514009E-6</v>
      </c>
      <c r="L65" s="6">
        <v>-4.039768E-3</v>
      </c>
      <c r="M65" s="6">
        <v>-4.0622760000000001E-3</v>
      </c>
      <c r="N65" s="6">
        <v>2.1035514018691662E-6</v>
      </c>
      <c r="O65" s="6">
        <v>-4.8478660000000002E-3</v>
      </c>
      <c r="P65" s="6">
        <v>-4.8722490000000004E-3</v>
      </c>
      <c r="Q65" s="6">
        <v>2.2787850467289924E-6</v>
      </c>
      <c r="R65" s="6">
        <v>-4.7287220000000003E-3</v>
      </c>
      <c r="S65" s="6">
        <v>-5.1418009999999997E-3</v>
      </c>
      <c r="T65" s="6">
        <v>3.860551401869153E-5</v>
      </c>
      <c r="U65" s="6">
        <v>-3.8582500000000001E-3</v>
      </c>
      <c r="V65" s="6">
        <v>-3.913522E-3</v>
      </c>
      <c r="W65" s="6">
        <v>5.1656074766355023E-6</v>
      </c>
      <c r="X65" s="6">
        <v>-4.7320510000000001E-3</v>
      </c>
      <c r="Y65" s="6">
        <v>-5.1299079999999999E-3</v>
      </c>
      <c r="Z65" s="6">
        <v>3.7182897196261658E-5</v>
      </c>
      <c r="AA65" s="6">
        <v>-3.827563E-3</v>
      </c>
      <c r="AB65" s="6">
        <v>-3.8495080000000002E-3</v>
      </c>
      <c r="AC65" s="6">
        <v>2.050934579439272E-6</v>
      </c>
      <c r="AD65" s="6">
        <v>-5.106953E-3</v>
      </c>
      <c r="AE65" s="6">
        <v>-4.7476430000000002E-3</v>
      </c>
      <c r="AF65" s="6">
        <v>3.3580373831775689E-5</v>
      </c>
      <c r="AG65" s="6">
        <v>-6.0062520000000001E-3</v>
      </c>
      <c r="AH65" s="6">
        <v>-6.0469080000000001E-3</v>
      </c>
      <c r="AI65" s="6">
        <v>3.7996261682243016E-6</v>
      </c>
      <c r="AJ65" s="6">
        <v>-5.1036229999999998E-3</v>
      </c>
      <c r="AK65" s="6">
        <v>-4.759536E-3</v>
      </c>
      <c r="AL65" s="6">
        <v>3.2157663551401858E-5</v>
      </c>
      <c r="AM65" s="6">
        <v>-6.008111E-3</v>
      </c>
      <c r="AN65" s="6">
        <v>-6.0399370000000004E-3</v>
      </c>
      <c r="AO65" s="6">
        <v>2.9743925233645256E-6</v>
      </c>
      <c r="AP65" s="6">
        <v>-4.2304029999999998E-3</v>
      </c>
      <c r="AQ65" s="6">
        <v>-4.6408710000000004E-3</v>
      </c>
      <c r="AR65" s="6">
        <v>3.8361495327102869E-5</v>
      </c>
      <c r="AS65" s="6">
        <v>-3.3311040000000001E-3</v>
      </c>
      <c r="AT65" s="6">
        <v>-3.3416069999999999E-3</v>
      </c>
      <c r="AU65" s="6">
        <v>9.8158878504671167E-7</v>
      </c>
      <c r="AV65" s="6">
        <v>-4.2337329999999999E-3</v>
      </c>
      <c r="AW65" s="6">
        <v>-4.6289790000000001E-3</v>
      </c>
      <c r="AX65" s="6">
        <v>3.6938878504672916E-5</v>
      </c>
      <c r="AY65" s="6">
        <v>-3.3292439999999999E-3</v>
      </c>
      <c r="AZ65" s="6">
        <v>-3.3485780000000001E-3</v>
      </c>
      <c r="BA65" s="6">
        <v>1.8069158878504854E-6</v>
      </c>
      <c r="BB65" s="6">
        <v>-4.6086340000000003E-3</v>
      </c>
      <c r="BC65" s="6">
        <v>-4.2467140000000004E-3</v>
      </c>
      <c r="BD65" s="6">
        <v>3.3824299065420561E-5</v>
      </c>
      <c r="BE65" s="6">
        <v>-5.5079329999999996E-3</v>
      </c>
      <c r="BF65" s="6">
        <v>-5.5459790000000004E-3</v>
      </c>
      <c r="BG65" s="6">
        <v>3.5557009345795123E-6</v>
      </c>
      <c r="BH65" s="6">
        <v>-4.6053040000000002E-3</v>
      </c>
      <c r="BI65" s="6">
        <v>-4.2586070000000002E-3</v>
      </c>
      <c r="BJ65" s="6">
        <v>3.2401588785046729E-5</v>
      </c>
      <c r="BK65" s="6">
        <v>-5.5097929999999998E-3</v>
      </c>
      <c r="BL65" s="6">
        <v>-5.5390070000000003E-3</v>
      </c>
      <c r="BM65" s="6">
        <v>2.7302803738318221E-6</v>
      </c>
      <c r="BN65" s="6">
        <v>-5.4424749999999996E-3</v>
      </c>
      <c r="BO65" s="6">
        <v>-5.5882630000000004E-3</v>
      </c>
      <c r="BP65" s="6">
        <v>1.3625046728972043E-5</v>
      </c>
      <c r="BQ65" s="6">
        <v>-5.1726849999999998E-3</v>
      </c>
      <c r="BR65" s="6">
        <v>-5.1984830000000003E-3</v>
      </c>
      <c r="BS65" s="6">
        <v>2.4110280373832234E-6</v>
      </c>
      <c r="BT65" s="6">
        <v>-5.4434740000000002E-3</v>
      </c>
      <c r="BU65" s="6">
        <v>-5.5846949999999998E-3</v>
      </c>
      <c r="BV65" s="6">
        <v>1.3198224299065378E-5</v>
      </c>
      <c r="BW65" s="6">
        <v>-5.1721270000000003E-3</v>
      </c>
      <c r="BX65" s="6">
        <v>-5.2005749999999998E-3</v>
      </c>
      <c r="BY65" s="6">
        <v>2.6586915887849997E-6</v>
      </c>
      <c r="BZ65" s="6">
        <v>-5.5559440000000002E-3</v>
      </c>
      <c r="CA65" s="6">
        <v>-5.4700160000000003E-3</v>
      </c>
      <c r="CB65" s="6">
        <v>8.0306542056074648E-6</v>
      </c>
      <c r="CC65" s="6">
        <v>-5.8257339999999999E-3</v>
      </c>
      <c r="CD65" s="6">
        <v>-5.8597950000000001E-3</v>
      </c>
      <c r="CE65" s="6">
        <v>3.1832710280373982E-6</v>
      </c>
      <c r="CF65" s="6">
        <v>-5.5549450000000004E-3</v>
      </c>
      <c r="CG65" s="6">
        <v>-5.4735829999999997E-3</v>
      </c>
      <c r="CH65" s="6">
        <v>7.6039252336449187E-6</v>
      </c>
      <c r="CI65" s="6">
        <v>-5.8262920000000003E-3</v>
      </c>
      <c r="CJ65" s="6">
        <v>-5.857704E-3</v>
      </c>
      <c r="CK65" s="6">
        <v>2.935700934579417E-6</v>
      </c>
      <c r="CL65" s="6">
        <v>-3.7814120000000001E-3</v>
      </c>
      <c r="CM65" s="6">
        <v>-3.9184989999999998E-3</v>
      </c>
      <c r="CN65" s="6">
        <v>1.2811869158878478E-5</v>
      </c>
      <c r="CO65" s="6">
        <v>-3.5116230000000002E-3</v>
      </c>
      <c r="CP65" s="6">
        <v>-3.528719E-3</v>
      </c>
      <c r="CQ65" s="6">
        <v>1.5977570093457819E-6</v>
      </c>
      <c r="CR65" s="6">
        <v>-3.7824109999999998E-3</v>
      </c>
      <c r="CS65" s="6">
        <v>-3.914931E-3</v>
      </c>
      <c r="CT65" s="6">
        <v>1.2385046728971975E-5</v>
      </c>
      <c r="CU65" s="6">
        <v>-3.5110639999999999E-3</v>
      </c>
      <c r="CV65" s="6">
        <v>-3.530811E-3</v>
      </c>
      <c r="CW65" s="6">
        <v>1.8455140186915964E-6</v>
      </c>
      <c r="CX65" s="6">
        <v>-3.8948810000000002E-3</v>
      </c>
      <c r="CY65" s="6">
        <v>-3.8002520000000001E-3</v>
      </c>
      <c r="CZ65" s="6">
        <v>8.8438317757009499E-6</v>
      </c>
      <c r="DA65" s="6">
        <v>-4.164671E-3</v>
      </c>
      <c r="DB65" s="6">
        <v>-4.1900310000000003E-3</v>
      </c>
      <c r="DC65" s="6">
        <v>2.3700934579439545E-6</v>
      </c>
      <c r="DD65" s="6">
        <v>-3.8938829999999999E-3</v>
      </c>
      <c r="DE65" s="6">
        <v>-3.803819E-3</v>
      </c>
      <c r="DF65" s="6">
        <v>8.4171962616822388E-6</v>
      </c>
      <c r="DG65" s="6">
        <v>-4.1652290000000003E-3</v>
      </c>
      <c r="DH65" s="6">
        <v>-4.1879400000000002E-3</v>
      </c>
      <c r="DI65" s="6">
        <v>2.1225233644859734E-6</v>
      </c>
    </row>
    <row r="66" spans="1:113" x14ac:dyDescent="0.3">
      <c r="A66" s="13" t="s">
        <v>412</v>
      </c>
      <c r="B66" s="13" t="s">
        <v>167</v>
      </c>
      <c r="C66" s="13" t="s">
        <v>168</v>
      </c>
      <c r="D66" s="13" t="s">
        <v>364</v>
      </c>
      <c r="E66" s="13">
        <v>10.7</v>
      </c>
      <c r="F66" s="6">
        <v>-2.823192E-3</v>
      </c>
      <c r="G66" s="6">
        <v>-3.4896850000000002E-3</v>
      </c>
      <c r="H66" s="6">
        <v>6.2289065420560773E-5</v>
      </c>
      <c r="I66" s="6">
        <v>-3.9821099999999996E-3</v>
      </c>
      <c r="J66" s="6">
        <v>-4.8772340000000003E-3</v>
      </c>
      <c r="K66" s="6">
        <v>8.3656448598130905E-5</v>
      </c>
      <c r="L66" s="6">
        <v>-3.4216440000000002E-3</v>
      </c>
      <c r="M66" s="6">
        <v>-4.0893290000000001E-3</v>
      </c>
      <c r="N66" s="6">
        <v>6.2400467289719627E-5</v>
      </c>
      <c r="O66" s="6">
        <v>-4.553082E-3</v>
      </c>
      <c r="P66" s="6">
        <v>-5.4482740000000003E-3</v>
      </c>
      <c r="Q66" s="6">
        <v>8.3662803738317803E-5</v>
      </c>
      <c r="R66" s="6">
        <v>-4.6360380000000003E-3</v>
      </c>
      <c r="S66" s="6">
        <v>-5.3425089999999996E-3</v>
      </c>
      <c r="T66" s="6">
        <v>6.6025327102803684E-5</v>
      </c>
      <c r="U66" s="6">
        <v>-4.4855140000000003E-3</v>
      </c>
      <c r="V66" s="6">
        <v>-5.4278699999999996E-3</v>
      </c>
      <c r="W66" s="6">
        <v>8.8070654205607413E-5</v>
      </c>
      <c r="X66" s="6">
        <v>-4.6362460000000001E-3</v>
      </c>
      <c r="Y66" s="6">
        <v>-5.3348809999999997E-3</v>
      </c>
      <c r="Z66" s="6">
        <v>6.5292990654205571E-5</v>
      </c>
      <c r="AA66" s="6">
        <v>-4.4840610000000001E-3</v>
      </c>
      <c r="AB66" s="6">
        <v>-5.4306550000000004E-3</v>
      </c>
      <c r="AC66" s="6">
        <v>8.8466728971962644E-5</v>
      </c>
      <c r="AD66" s="6">
        <v>-4.3313350000000004E-3</v>
      </c>
      <c r="AE66" s="6">
        <v>-5.4953040000000003E-3</v>
      </c>
      <c r="AF66" s="6">
        <v>1.0878214953271029E-4</v>
      </c>
      <c r="AG66" s="6">
        <v>-4.4830709999999999E-3</v>
      </c>
      <c r="AH66" s="6">
        <v>-5.4101339999999996E-3</v>
      </c>
      <c r="AI66" s="6">
        <v>8.6641401869158854E-5</v>
      </c>
      <c r="AJ66" s="6">
        <v>-4.3311280000000001E-3</v>
      </c>
      <c r="AK66" s="6">
        <v>-5.5029320000000003E-3</v>
      </c>
      <c r="AL66" s="6">
        <v>1.0951439252336452E-4</v>
      </c>
      <c r="AM66" s="6">
        <v>-4.4833130000000001E-3</v>
      </c>
      <c r="AN66" s="6">
        <v>-5.4071579999999996E-3</v>
      </c>
      <c r="AO66" s="6">
        <v>8.6340654205607442E-5</v>
      </c>
      <c r="AP66" s="6">
        <v>-4.2038580000000004E-3</v>
      </c>
      <c r="AQ66" s="6">
        <v>-4.8302040000000003E-3</v>
      </c>
      <c r="AR66" s="6">
        <v>5.853700934579438E-5</v>
      </c>
      <c r="AS66" s="6">
        <v>-4.052122E-3</v>
      </c>
      <c r="AT66" s="6">
        <v>-4.9153740000000001E-3</v>
      </c>
      <c r="AU66" s="6">
        <v>8.0677757009345807E-5</v>
      </c>
      <c r="AV66" s="6">
        <v>-4.2040660000000002E-3</v>
      </c>
      <c r="AW66" s="6">
        <v>-4.8225760000000003E-3</v>
      </c>
      <c r="AX66" s="6">
        <v>5.7804672897196274E-5</v>
      </c>
      <c r="AY66" s="6">
        <v>-4.0518799999999999E-3</v>
      </c>
      <c r="AZ66" s="6">
        <v>-4.9183500000000002E-3</v>
      </c>
      <c r="BA66" s="6">
        <v>8.0978504672897232E-5</v>
      </c>
      <c r="BB66" s="6">
        <v>-3.899156E-3</v>
      </c>
      <c r="BC66" s="6">
        <v>-4.9829990000000001E-3</v>
      </c>
      <c r="BD66" s="6">
        <v>1.0129373831775702E-4</v>
      </c>
      <c r="BE66" s="6">
        <v>-4.050891E-3</v>
      </c>
      <c r="BF66" s="6">
        <v>-4.8978290000000002E-3</v>
      </c>
      <c r="BG66" s="6">
        <v>7.9153084112149557E-5</v>
      </c>
      <c r="BH66" s="6">
        <v>-3.8989480000000002E-3</v>
      </c>
      <c r="BI66" s="6">
        <v>-4.9906280000000004E-3</v>
      </c>
      <c r="BJ66" s="6">
        <v>1.0202616822429909E-4</v>
      </c>
      <c r="BK66" s="6">
        <v>-4.0511330000000002E-3</v>
      </c>
      <c r="BL66" s="6">
        <v>-4.8948539999999997E-3</v>
      </c>
      <c r="BM66" s="6">
        <v>7.8852429906542016E-5</v>
      </c>
      <c r="BN66" s="6">
        <v>-5.0336019999999999E-3</v>
      </c>
      <c r="BO66" s="6">
        <v>-5.9936759999999999E-3</v>
      </c>
      <c r="BP66" s="6">
        <v>8.9726542056074778E-5</v>
      </c>
      <c r="BQ66" s="6">
        <v>-4.9880810000000001E-3</v>
      </c>
      <c r="BR66" s="6">
        <v>-6.0192270000000003E-3</v>
      </c>
      <c r="BS66" s="6">
        <v>9.6368785046728995E-5</v>
      </c>
      <c r="BT66" s="6">
        <v>-5.0336640000000002E-3</v>
      </c>
      <c r="BU66" s="6">
        <v>-5.9913880000000003E-3</v>
      </c>
      <c r="BV66" s="6">
        <v>8.9506915887850485E-5</v>
      </c>
      <c r="BW66" s="6">
        <v>-4.9880089999999998E-3</v>
      </c>
      <c r="BX66" s="6">
        <v>-6.0201200000000003E-3</v>
      </c>
      <c r="BY66" s="6">
        <v>9.6458971962616868E-5</v>
      </c>
      <c r="BZ66" s="6">
        <v>-4.9421910000000003E-3</v>
      </c>
      <c r="CA66" s="6">
        <v>-6.0395149999999996E-3</v>
      </c>
      <c r="CB66" s="6">
        <v>1.0255364485981303E-4</v>
      </c>
      <c r="CC66" s="6">
        <v>-4.987712E-3</v>
      </c>
      <c r="CD66" s="6">
        <v>-6.0139640000000001E-3</v>
      </c>
      <c r="CE66" s="6">
        <v>9.5911401869158892E-5</v>
      </c>
      <c r="CF66" s="6">
        <v>-4.942129E-3</v>
      </c>
      <c r="CG66" s="6">
        <v>-6.0418030000000001E-3</v>
      </c>
      <c r="CH66" s="6">
        <v>1.027732710280374E-4</v>
      </c>
      <c r="CI66" s="6">
        <v>-4.9877849999999998E-3</v>
      </c>
      <c r="CJ66" s="6">
        <v>-6.013071E-3</v>
      </c>
      <c r="CK66" s="6">
        <v>9.5821121495327135E-5</v>
      </c>
      <c r="CL66" s="6">
        <v>-3.5930020000000001E-3</v>
      </c>
      <c r="CM66" s="6">
        <v>-4.2859939999999996E-3</v>
      </c>
      <c r="CN66" s="6">
        <v>6.4765607476635476E-5</v>
      </c>
      <c r="CO66" s="6">
        <v>-3.5474809999999999E-3</v>
      </c>
      <c r="CP66" s="6">
        <v>-4.3115439999999996E-3</v>
      </c>
      <c r="CQ66" s="6">
        <v>7.1407757009345768E-5</v>
      </c>
      <c r="CR66" s="6">
        <v>-3.5930649999999999E-3</v>
      </c>
      <c r="CS66" s="6">
        <v>-4.2837049999999996E-3</v>
      </c>
      <c r="CT66" s="6">
        <v>6.4545794392523346E-5</v>
      </c>
      <c r="CU66" s="6">
        <v>-3.5474090000000001E-3</v>
      </c>
      <c r="CV66" s="6">
        <v>-4.3124369999999997E-3</v>
      </c>
      <c r="CW66" s="6">
        <v>7.1497943925233614E-5</v>
      </c>
      <c r="CX66" s="6">
        <v>-3.501592E-3</v>
      </c>
      <c r="CY66" s="6">
        <v>-4.3318319999999999E-3</v>
      </c>
      <c r="CZ66" s="6">
        <v>7.7592523364485971E-5</v>
      </c>
      <c r="DA66" s="6">
        <v>-3.5471119999999998E-3</v>
      </c>
      <c r="DB66" s="6">
        <v>-4.3062810000000003E-3</v>
      </c>
      <c r="DC66" s="6">
        <v>7.095037383177576E-5</v>
      </c>
      <c r="DD66" s="6">
        <v>-3.5015290000000002E-3</v>
      </c>
      <c r="DE66" s="6">
        <v>-4.3341209999999998E-3</v>
      </c>
      <c r="DF66" s="6">
        <v>7.7812336448598101E-5</v>
      </c>
      <c r="DG66" s="6">
        <v>-3.547185E-3</v>
      </c>
      <c r="DH66" s="6">
        <v>-4.3053880000000003E-3</v>
      </c>
      <c r="DI66" s="6">
        <v>7.0860093457943948E-5</v>
      </c>
    </row>
    <row r="67" spans="1:113" x14ac:dyDescent="0.3">
      <c r="A67" s="13" t="s">
        <v>413</v>
      </c>
      <c r="B67" s="13" t="s">
        <v>208</v>
      </c>
      <c r="C67" s="13" t="s">
        <v>209</v>
      </c>
      <c r="D67" s="13" t="s">
        <v>364</v>
      </c>
      <c r="E67" s="13">
        <v>10.7</v>
      </c>
      <c r="F67" s="6">
        <v>-2.8149759999999998E-3</v>
      </c>
      <c r="G67" s="6">
        <v>-3.2360050000000001E-3</v>
      </c>
      <c r="H67" s="6">
        <v>3.9348504672897226E-5</v>
      </c>
      <c r="I67" s="6">
        <v>-3.9728740000000004E-3</v>
      </c>
      <c r="J67" s="6">
        <v>-4.5674890000000001E-3</v>
      </c>
      <c r="K67" s="6">
        <v>5.557149532710278E-5</v>
      </c>
      <c r="L67" s="6">
        <v>-3.4129149999999999E-3</v>
      </c>
      <c r="M67" s="6">
        <v>-3.8354550000000002E-3</v>
      </c>
      <c r="N67" s="6">
        <v>3.948971962616826E-5</v>
      </c>
      <c r="O67" s="6">
        <v>-4.5436089999999997E-3</v>
      </c>
      <c r="P67" s="6">
        <v>-5.1383360000000003E-3</v>
      </c>
      <c r="Q67" s="6">
        <v>5.5581962616822491E-5</v>
      </c>
      <c r="R67" s="6">
        <v>-4.6208509999999996E-3</v>
      </c>
      <c r="S67" s="6">
        <v>-5.0360479999999996E-3</v>
      </c>
      <c r="T67" s="6">
        <v>3.8803457943925234E-5</v>
      </c>
      <c r="U67" s="6">
        <v>-4.463725E-3</v>
      </c>
      <c r="V67" s="6">
        <v>-5.125325E-3</v>
      </c>
      <c r="W67" s="6">
        <v>6.1831775700934582E-5</v>
      </c>
      <c r="X67" s="6">
        <v>-4.6351750000000001E-3</v>
      </c>
      <c r="Y67" s="6">
        <v>-5.0209240000000004E-3</v>
      </c>
      <c r="Z67" s="6">
        <v>3.6051308411214987E-5</v>
      </c>
      <c r="AA67" s="6">
        <v>-4.4540489999999999E-3</v>
      </c>
      <c r="AB67" s="6">
        <v>-5.1309370000000003E-3</v>
      </c>
      <c r="AC67" s="6">
        <v>6.3260560747663595E-5</v>
      </c>
      <c r="AD67" s="6">
        <v>-4.3267540000000004E-3</v>
      </c>
      <c r="AE67" s="6">
        <v>-5.15161E-3</v>
      </c>
      <c r="AF67" s="6">
        <v>7.7089345794392503E-5</v>
      </c>
      <c r="AG67" s="6">
        <v>-4.4849900000000003E-3</v>
      </c>
      <c r="AH67" s="6">
        <v>-5.0622790000000003E-3</v>
      </c>
      <c r="AI67" s="6">
        <v>5.3952242990654204E-5</v>
      </c>
      <c r="AJ67" s="6">
        <v>-4.3124299999999999E-3</v>
      </c>
      <c r="AK67" s="6">
        <v>-5.1667340000000001E-3</v>
      </c>
      <c r="AL67" s="6">
        <v>7.9841495327102831E-5</v>
      </c>
      <c r="AM67" s="6">
        <v>-4.4935560000000001E-3</v>
      </c>
      <c r="AN67" s="6">
        <v>-5.0567210000000001E-3</v>
      </c>
      <c r="AO67" s="6">
        <v>5.2632242990654209E-5</v>
      </c>
      <c r="AP67" s="6">
        <v>-4.1897269999999999E-3</v>
      </c>
      <c r="AQ67" s="6">
        <v>-4.5542150000000003E-3</v>
      </c>
      <c r="AR67" s="6">
        <v>3.4064299065420606E-5</v>
      </c>
      <c r="AS67" s="6">
        <v>-4.0314909999999999E-3</v>
      </c>
      <c r="AT67" s="6">
        <v>-4.6435460000000001E-3</v>
      </c>
      <c r="AU67" s="6">
        <v>5.7201401869158905E-5</v>
      </c>
      <c r="AV67" s="6">
        <v>-4.2040519999999998E-3</v>
      </c>
      <c r="AW67" s="6">
        <v>-4.5390910000000003E-3</v>
      </c>
      <c r="AX67" s="6">
        <v>3.1312056074766407E-5</v>
      </c>
      <c r="AY67" s="6">
        <v>-4.0229259999999996E-3</v>
      </c>
      <c r="AZ67" s="6">
        <v>-4.6491049999999997E-3</v>
      </c>
      <c r="BA67" s="6">
        <v>5.8521401869158899E-5</v>
      </c>
      <c r="BB67" s="6">
        <v>-3.8956300000000002E-3</v>
      </c>
      <c r="BC67" s="6">
        <v>-4.6697780000000003E-3</v>
      </c>
      <c r="BD67" s="6">
        <v>7.2350280373831787E-5</v>
      </c>
      <c r="BE67" s="6">
        <v>-4.0538659999999997E-3</v>
      </c>
      <c r="BF67" s="6">
        <v>-4.5804469999999996E-3</v>
      </c>
      <c r="BG67" s="6">
        <v>4.9213177570093454E-5</v>
      </c>
      <c r="BH67" s="6">
        <v>-3.8813060000000002E-3</v>
      </c>
      <c r="BI67" s="6">
        <v>-4.6849020000000003E-3</v>
      </c>
      <c r="BJ67" s="6">
        <v>7.5102429906542074E-5</v>
      </c>
      <c r="BK67" s="6">
        <v>-4.0624320000000004E-3</v>
      </c>
      <c r="BL67" s="6">
        <v>-4.574888E-3</v>
      </c>
      <c r="BM67" s="6">
        <v>4.7893084112149507E-5</v>
      </c>
      <c r="BN67" s="6">
        <v>-5.020895E-3</v>
      </c>
      <c r="BO67" s="6">
        <v>-5.6386320000000002E-3</v>
      </c>
      <c r="BP67" s="6">
        <v>5.7732429906542076E-5</v>
      </c>
      <c r="BQ67" s="6">
        <v>-4.9734239999999997E-3</v>
      </c>
      <c r="BR67" s="6">
        <v>-5.6654319999999998E-3</v>
      </c>
      <c r="BS67" s="6">
        <v>6.4673644859813086E-5</v>
      </c>
      <c r="BT67" s="6">
        <v>-5.0251920000000004E-3</v>
      </c>
      <c r="BU67" s="6">
        <v>-5.6340959999999999E-3</v>
      </c>
      <c r="BV67" s="6">
        <v>5.6906915887850425E-5</v>
      </c>
      <c r="BW67" s="6">
        <v>-4.9708540000000002E-3</v>
      </c>
      <c r="BX67" s="6">
        <v>-5.6670990000000001E-3</v>
      </c>
      <c r="BY67" s="6">
        <v>6.5069626168224283E-5</v>
      </c>
      <c r="BZ67" s="6">
        <v>-4.9326650000000001E-3</v>
      </c>
      <c r="CA67" s="6">
        <v>-5.6733010000000004E-3</v>
      </c>
      <c r="CB67" s="6">
        <v>6.9218317757009372E-5</v>
      </c>
      <c r="CC67" s="6">
        <v>-4.9801359999999996E-3</v>
      </c>
      <c r="CD67" s="6">
        <v>-5.6465020000000003E-3</v>
      </c>
      <c r="CE67" s="6">
        <v>6.2277196261682308E-5</v>
      </c>
      <c r="CF67" s="6">
        <v>-4.9283679999999998E-3</v>
      </c>
      <c r="CG67" s="6">
        <v>-5.6778380000000002E-3</v>
      </c>
      <c r="CH67" s="6">
        <v>7.0043925233644901E-5</v>
      </c>
      <c r="CI67" s="6">
        <v>-4.9827059999999999E-3</v>
      </c>
      <c r="CJ67" s="6">
        <v>-5.644835E-3</v>
      </c>
      <c r="CK67" s="6">
        <v>6.1881214953271029E-5</v>
      </c>
      <c r="CL67" s="6">
        <v>-3.5838160000000001E-3</v>
      </c>
      <c r="CM67" s="6">
        <v>-4.032524E-3</v>
      </c>
      <c r="CN67" s="6">
        <v>4.1935327102803737E-5</v>
      </c>
      <c r="CO67" s="6">
        <v>-3.5363450000000002E-3</v>
      </c>
      <c r="CP67" s="6">
        <v>-4.0593239999999996E-3</v>
      </c>
      <c r="CQ67" s="6">
        <v>4.8876542056074713E-5</v>
      </c>
      <c r="CR67" s="6">
        <v>-3.588113E-3</v>
      </c>
      <c r="CS67" s="6">
        <v>-4.0279870000000002E-3</v>
      </c>
      <c r="CT67" s="6">
        <v>4.1109719626168248E-5</v>
      </c>
      <c r="CU67" s="6">
        <v>-3.5337749999999999E-3</v>
      </c>
      <c r="CV67" s="6">
        <v>-4.0609909999999999E-3</v>
      </c>
      <c r="CW67" s="6">
        <v>4.9272523364485991E-5</v>
      </c>
      <c r="CX67" s="6">
        <v>-3.4955870000000001E-3</v>
      </c>
      <c r="CY67" s="6">
        <v>-4.0671930000000002E-3</v>
      </c>
      <c r="CZ67" s="6">
        <v>5.3421121495327114E-5</v>
      </c>
      <c r="DA67" s="6">
        <v>-3.5430570000000001E-3</v>
      </c>
      <c r="DB67" s="6">
        <v>-4.0403940000000001E-3</v>
      </c>
      <c r="DC67" s="6">
        <v>4.6480093457943935E-5</v>
      </c>
      <c r="DD67" s="6">
        <v>-3.4912889999999999E-3</v>
      </c>
      <c r="DE67" s="6">
        <v>-4.07173E-3</v>
      </c>
      <c r="DF67" s="6">
        <v>5.4246822429906555E-5</v>
      </c>
      <c r="DG67" s="6">
        <v>-3.545627E-3</v>
      </c>
      <c r="DH67" s="6">
        <v>-4.0387260000000003E-3</v>
      </c>
      <c r="DI67" s="6">
        <v>4.6084018691588819E-5</v>
      </c>
    </row>
    <row r="68" spans="1:113" x14ac:dyDescent="0.3">
      <c r="A68" s="13" t="s">
        <v>414</v>
      </c>
      <c r="B68" s="13" t="s">
        <v>249</v>
      </c>
      <c r="C68" s="13" t="s">
        <v>250</v>
      </c>
      <c r="D68" s="13" t="s">
        <v>364</v>
      </c>
      <c r="E68" s="13">
        <v>10.7</v>
      </c>
      <c r="F68" s="6">
        <v>-2.8181479999999999E-3</v>
      </c>
      <c r="G68" s="6">
        <v>-2.9568120000000001E-3</v>
      </c>
      <c r="H68" s="6">
        <v>1.2959252336448612E-5</v>
      </c>
      <c r="I68" s="6">
        <v>-3.9797779999999998E-3</v>
      </c>
      <c r="J68" s="6">
        <v>-4.2027269999999999E-3</v>
      </c>
      <c r="K68" s="6">
        <v>2.0836355140186924E-5</v>
      </c>
      <c r="L68" s="6">
        <v>-3.4199030000000002E-3</v>
      </c>
      <c r="M68" s="6">
        <v>-3.5590190000000001E-3</v>
      </c>
      <c r="N68" s="6">
        <v>1.3001495327102795E-5</v>
      </c>
      <c r="O68" s="6">
        <v>-4.5536800000000001E-3</v>
      </c>
      <c r="P68" s="6">
        <v>-4.7762209999999998E-3</v>
      </c>
      <c r="Q68" s="6">
        <v>2.0798224299065395E-5</v>
      </c>
      <c r="R68" s="6">
        <v>-4.6259819999999998E-3</v>
      </c>
      <c r="S68" s="6">
        <v>-4.7903720000000002E-3</v>
      </c>
      <c r="T68" s="6">
        <v>1.5363551401869194E-5</v>
      </c>
      <c r="U68" s="6">
        <v>-4.5137700000000003E-3</v>
      </c>
      <c r="V68" s="6">
        <v>-4.7511979999999999E-3</v>
      </c>
      <c r="W68" s="6">
        <v>2.2189532710280338E-5</v>
      </c>
      <c r="X68" s="6">
        <v>-4.6602470000000002E-3</v>
      </c>
      <c r="Y68" s="6">
        <v>-4.8059899999999996E-3</v>
      </c>
      <c r="Z68" s="6">
        <v>1.3620841121495271E-5</v>
      </c>
      <c r="AA68" s="6">
        <v>-4.491063E-3</v>
      </c>
      <c r="AB68" s="6">
        <v>-4.7406890000000002E-3</v>
      </c>
      <c r="AC68" s="6">
        <v>2.3329532710280394E-5</v>
      </c>
      <c r="AD68" s="6">
        <v>-4.3395550000000001E-3</v>
      </c>
      <c r="AE68" s="6">
        <v>-4.6373359999999997E-3</v>
      </c>
      <c r="AF68" s="6">
        <v>2.7829999999999962E-5</v>
      </c>
      <c r="AG68" s="6">
        <v>-4.4544490000000001E-3</v>
      </c>
      <c r="AH68" s="6">
        <v>-4.6773550000000002E-3</v>
      </c>
      <c r="AI68" s="6">
        <v>2.0832336448598145E-5</v>
      </c>
      <c r="AJ68" s="6">
        <v>-4.3052899999999998E-3</v>
      </c>
      <c r="AK68" s="6">
        <v>-4.6217180000000004E-3</v>
      </c>
      <c r="AL68" s="6">
        <v>2.9572710280373885E-5</v>
      </c>
      <c r="AM68" s="6">
        <v>-4.474474E-3</v>
      </c>
      <c r="AN68" s="6">
        <v>-4.6870189999999997E-3</v>
      </c>
      <c r="AO68" s="6">
        <v>1.9864018691588762E-5</v>
      </c>
      <c r="AP68" s="6">
        <v>-4.1939000000000004E-3</v>
      </c>
      <c r="AQ68" s="6">
        <v>-4.3416119999999999E-3</v>
      </c>
      <c r="AR68" s="6">
        <v>1.3804859813084067E-5</v>
      </c>
      <c r="AS68" s="6">
        <v>-4.0790059999999996E-3</v>
      </c>
      <c r="AT68" s="6">
        <v>-4.3015919999999999E-3</v>
      </c>
      <c r="AU68" s="6">
        <v>2.0802429906542086E-5</v>
      </c>
      <c r="AV68" s="6">
        <v>-4.2281649999999999E-3</v>
      </c>
      <c r="AW68" s="6">
        <v>-4.3572300000000001E-3</v>
      </c>
      <c r="AX68" s="6">
        <v>1.2062149532710305E-5</v>
      </c>
      <c r="AY68" s="6">
        <v>-4.0589809999999997E-3</v>
      </c>
      <c r="AZ68" s="6">
        <v>-4.2919280000000004E-3</v>
      </c>
      <c r="BA68" s="6">
        <v>2.1770747663551469E-5</v>
      </c>
      <c r="BB68" s="6">
        <v>-3.9074729999999998E-3</v>
      </c>
      <c r="BC68" s="6">
        <v>-4.1885760000000003E-3</v>
      </c>
      <c r="BD68" s="6">
        <v>2.6271308411214996E-5</v>
      </c>
      <c r="BE68" s="6">
        <v>-4.0223669999999998E-3</v>
      </c>
      <c r="BF68" s="6">
        <v>-4.2285949999999999E-3</v>
      </c>
      <c r="BG68" s="6">
        <v>1.9273644859813097E-5</v>
      </c>
      <c r="BH68" s="6">
        <v>-3.8732079999999999E-3</v>
      </c>
      <c r="BI68" s="6">
        <v>-4.172958E-3</v>
      </c>
      <c r="BJ68" s="6">
        <v>2.8014018691588797E-5</v>
      </c>
      <c r="BK68" s="6">
        <v>-4.0423919999999997E-3</v>
      </c>
      <c r="BL68" s="6">
        <v>-4.2382590000000003E-3</v>
      </c>
      <c r="BM68" s="6">
        <v>1.8305327102803795E-5</v>
      </c>
      <c r="BN68" s="6">
        <v>-5.0298280000000001E-3</v>
      </c>
      <c r="BO68" s="6">
        <v>-5.2603629999999997E-3</v>
      </c>
      <c r="BP68" s="6">
        <v>2.1545327102803703E-5</v>
      </c>
      <c r="BQ68" s="6">
        <v>-4.9953599999999999E-3</v>
      </c>
      <c r="BR68" s="6">
        <v>-5.2483579999999998E-3</v>
      </c>
      <c r="BS68" s="6">
        <v>2.3644672897196259E-5</v>
      </c>
      <c r="BT68" s="6">
        <v>-5.0401079999999997E-3</v>
      </c>
      <c r="BU68" s="6">
        <v>-5.2650489999999999E-3</v>
      </c>
      <c r="BV68" s="6">
        <v>2.1022523364486002E-5</v>
      </c>
      <c r="BW68" s="6">
        <v>-4.9893530000000002E-3</v>
      </c>
      <c r="BX68" s="6">
        <v>-5.2454579999999997E-3</v>
      </c>
      <c r="BY68" s="6">
        <v>2.3935046728971919E-5</v>
      </c>
      <c r="BZ68" s="6">
        <v>-4.9439000000000002E-3</v>
      </c>
      <c r="CA68" s="6">
        <v>-5.2144519999999996E-3</v>
      </c>
      <c r="CB68" s="6">
        <v>2.5285233644859762E-5</v>
      </c>
      <c r="CC68" s="6">
        <v>-4.9783689999999998E-3</v>
      </c>
      <c r="CD68" s="6">
        <v>-5.2264579999999998E-3</v>
      </c>
      <c r="CE68" s="6">
        <v>2.3185887850467285E-5</v>
      </c>
      <c r="CF68" s="6">
        <v>-4.933621E-3</v>
      </c>
      <c r="CG68" s="6">
        <v>-5.2097669999999997E-3</v>
      </c>
      <c r="CH68" s="6">
        <v>2.5808037383177541E-5</v>
      </c>
      <c r="CI68" s="6">
        <v>-4.9843760000000004E-3</v>
      </c>
      <c r="CJ68" s="6">
        <v>-5.2293569999999996E-3</v>
      </c>
      <c r="CK68" s="6">
        <v>2.2895420560747587E-5</v>
      </c>
      <c r="CL68" s="6">
        <v>-3.5895549999999999E-3</v>
      </c>
      <c r="CM68" s="6">
        <v>-3.7644950000000001E-3</v>
      </c>
      <c r="CN68" s="6">
        <v>1.634953271028039E-5</v>
      </c>
      <c r="CO68" s="6">
        <v>-3.5550870000000002E-3</v>
      </c>
      <c r="CP68" s="6">
        <v>-3.7524899999999998E-3</v>
      </c>
      <c r="CQ68" s="6">
        <v>1.8448878504672864E-5</v>
      </c>
      <c r="CR68" s="6">
        <v>-3.599835E-3</v>
      </c>
      <c r="CS68" s="6">
        <v>-3.7691809999999999E-3</v>
      </c>
      <c r="CT68" s="6">
        <v>1.5826728971962608E-5</v>
      </c>
      <c r="CU68" s="6">
        <v>-3.5490790000000001E-3</v>
      </c>
      <c r="CV68" s="6">
        <v>-3.7495900000000001E-3</v>
      </c>
      <c r="CW68" s="6">
        <v>1.8739345794392525E-5</v>
      </c>
      <c r="CX68" s="6">
        <v>-3.503627E-3</v>
      </c>
      <c r="CY68" s="6">
        <v>-3.7185849999999999E-3</v>
      </c>
      <c r="CZ68" s="6">
        <v>2.0089532710280364E-5</v>
      </c>
      <c r="DA68" s="6">
        <v>-3.5380950000000002E-3</v>
      </c>
      <c r="DB68" s="6">
        <v>-3.7305900000000002E-3</v>
      </c>
      <c r="DC68" s="6">
        <v>1.799018691588785E-5</v>
      </c>
      <c r="DD68" s="6">
        <v>-3.4933469999999999E-3</v>
      </c>
      <c r="DE68" s="6">
        <v>-3.7138990000000001E-3</v>
      </c>
      <c r="DF68" s="6">
        <v>2.0612336448598147E-5</v>
      </c>
      <c r="DG68" s="6">
        <v>-3.5441029999999998E-3</v>
      </c>
      <c r="DH68" s="6">
        <v>-3.733489E-3</v>
      </c>
      <c r="DI68" s="6">
        <v>1.7699626168224315E-5</v>
      </c>
    </row>
    <row r="69" spans="1:113" x14ac:dyDescent="0.3">
      <c r="A69" s="13" t="s">
        <v>415</v>
      </c>
      <c r="B69" s="13" t="s">
        <v>288</v>
      </c>
      <c r="C69" s="13" t="s">
        <v>290</v>
      </c>
      <c r="D69" s="13" t="s">
        <v>364</v>
      </c>
      <c r="E69" s="13">
        <v>10.7</v>
      </c>
      <c r="F69" s="6">
        <v>-1.9709939999999998E-3</v>
      </c>
      <c r="G69" s="6">
        <v>-2.084799E-3</v>
      </c>
      <c r="H69" s="6">
        <v>1.0635981308411238E-5</v>
      </c>
      <c r="I69" s="6">
        <v>-2.7757160000000001E-3</v>
      </c>
      <c r="J69" s="6">
        <v>-2.952409E-3</v>
      </c>
      <c r="K69" s="6">
        <v>1.6513364485981299E-5</v>
      </c>
      <c r="L69" s="6">
        <v>-2.573297E-3</v>
      </c>
      <c r="M69" s="6">
        <v>-2.6849780000000002E-3</v>
      </c>
      <c r="N69" s="6">
        <v>1.0437476635514037E-5</v>
      </c>
      <c r="O69" s="6">
        <v>-3.3493429999999999E-3</v>
      </c>
      <c r="P69" s="6">
        <v>-3.5240050000000002E-3</v>
      </c>
      <c r="Q69" s="6">
        <v>1.6323551401869191E-5</v>
      </c>
      <c r="R69" s="6">
        <v>-3.3419399999999998E-3</v>
      </c>
      <c r="S69" s="6">
        <v>-3.5170879999999998E-3</v>
      </c>
      <c r="T69" s="6">
        <v>1.636897196261682E-5</v>
      </c>
      <c r="U69" s="6">
        <v>-3.8181930000000001E-3</v>
      </c>
      <c r="V69" s="6">
        <v>-3.9895670000000003E-3</v>
      </c>
      <c r="W69" s="6">
        <v>1.6016261682243007E-5</v>
      </c>
      <c r="X69" s="6">
        <v>-3.426686E-3</v>
      </c>
      <c r="Y69" s="6">
        <v>-3.521143E-3</v>
      </c>
      <c r="Z69" s="6">
        <v>8.8277570093458001E-6</v>
      </c>
      <c r="AA69" s="6">
        <v>-3.7664439999999999E-3</v>
      </c>
      <c r="AB69" s="6">
        <v>-3.9859969999999998E-3</v>
      </c>
      <c r="AC69" s="6">
        <v>2.0518971962616819E-5</v>
      </c>
      <c r="AD69" s="6">
        <v>-3.1135989999999999E-3</v>
      </c>
      <c r="AE69" s="6">
        <v>-3.30313E-3</v>
      </c>
      <c r="AF69" s="6">
        <v>1.7713177570093474E-5</v>
      </c>
      <c r="AG69" s="6">
        <v>-2.6398010000000002E-3</v>
      </c>
      <c r="AH69" s="6">
        <v>-2.831793E-3</v>
      </c>
      <c r="AI69" s="6">
        <v>1.7943177570093436E-5</v>
      </c>
      <c r="AJ69" s="6">
        <v>-3.0288530000000002E-3</v>
      </c>
      <c r="AK69" s="6">
        <v>-3.2990749999999998E-3</v>
      </c>
      <c r="AL69" s="6">
        <v>2.5254392523364455E-5</v>
      </c>
      <c r="AM69" s="6">
        <v>-2.6890949999999999E-3</v>
      </c>
      <c r="AN69" s="6">
        <v>-2.834221E-3</v>
      </c>
      <c r="AO69" s="6">
        <v>1.3563177570093477E-5</v>
      </c>
      <c r="AP69" s="6">
        <v>-3.011461E-3</v>
      </c>
      <c r="AQ69" s="6">
        <v>-3.1732840000000002E-3</v>
      </c>
      <c r="AR69" s="6">
        <v>1.5123644859813101E-5</v>
      </c>
      <c r="AS69" s="6">
        <v>-3.4852580000000002E-3</v>
      </c>
      <c r="AT69" s="6">
        <v>-3.6446209999999998E-3</v>
      </c>
      <c r="AU69" s="6">
        <v>1.4893738317756973E-5</v>
      </c>
      <c r="AV69" s="6">
        <v>-3.0962070000000001E-3</v>
      </c>
      <c r="AW69" s="6">
        <v>-3.1773389999999999E-3</v>
      </c>
      <c r="AX69" s="6">
        <v>7.5824299065420396E-6</v>
      </c>
      <c r="AY69" s="6">
        <v>-3.435965E-3</v>
      </c>
      <c r="AZ69" s="6">
        <v>-3.6421940000000001E-3</v>
      </c>
      <c r="BA69" s="6">
        <v>1.9273738317757016E-5</v>
      </c>
      <c r="BB69" s="6">
        <v>-2.78312E-3</v>
      </c>
      <c r="BC69" s="6">
        <v>-2.9593269999999999E-3</v>
      </c>
      <c r="BD69" s="6">
        <v>1.6467943925233631E-5</v>
      </c>
      <c r="BE69" s="6">
        <v>-2.3093229999999998E-3</v>
      </c>
      <c r="BF69" s="6">
        <v>-2.4879889999999999E-3</v>
      </c>
      <c r="BG69" s="6">
        <v>1.6697757009345803E-5</v>
      </c>
      <c r="BH69" s="6">
        <v>-2.6983739999999999E-3</v>
      </c>
      <c r="BI69" s="6">
        <v>-2.9552720000000001E-3</v>
      </c>
      <c r="BJ69" s="6">
        <v>2.4009158878504692E-5</v>
      </c>
      <c r="BK69" s="6">
        <v>-2.358616E-3</v>
      </c>
      <c r="BL69" s="6">
        <v>-2.490417E-3</v>
      </c>
      <c r="BM69" s="6">
        <v>1.2317850467289718E-5</v>
      </c>
      <c r="BN69" s="6">
        <v>-3.6475790000000002E-3</v>
      </c>
      <c r="BO69" s="6">
        <v>-3.8433069999999998E-3</v>
      </c>
      <c r="BP69" s="6">
        <v>1.8292336448598094E-5</v>
      </c>
      <c r="BQ69" s="6">
        <v>-3.7897180000000001E-3</v>
      </c>
      <c r="BR69" s="6">
        <v>-3.984708E-3</v>
      </c>
      <c r="BS69" s="6">
        <v>1.8223364485981302E-5</v>
      </c>
      <c r="BT69" s="6">
        <v>-3.6730030000000002E-3</v>
      </c>
      <c r="BU69" s="6">
        <v>-3.8445229999999999E-3</v>
      </c>
      <c r="BV69" s="6">
        <v>1.6029906542056045E-5</v>
      </c>
      <c r="BW69" s="6">
        <v>-3.7749300000000001E-3</v>
      </c>
      <c r="BX69" s="6">
        <v>-3.9839799999999998E-3</v>
      </c>
      <c r="BY69" s="6">
        <v>1.9537383177570066E-5</v>
      </c>
      <c r="BZ69" s="6">
        <v>-3.579077E-3</v>
      </c>
      <c r="CA69" s="6">
        <v>-3.77912E-3</v>
      </c>
      <c r="CB69" s="6">
        <v>1.8695607476635516E-5</v>
      </c>
      <c r="CC69" s="6">
        <v>-3.4369370000000002E-3</v>
      </c>
      <c r="CD69" s="6">
        <v>-3.6377190000000002E-3</v>
      </c>
      <c r="CE69" s="6">
        <v>1.8764672897196268E-5</v>
      </c>
      <c r="CF69" s="6">
        <v>-3.5536529999999999E-3</v>
      </c>
      <c r="CG69" s="6">
        <v>-3.777903E-3</v>
      </c>
      <c r="CH69" s="6">
        <v>2.095794392523365E-5</v>
      </c>
      <c r="CI69" s="6">
        <v>-3.4517250000000001E-3</v>
      </c>
      <c r="CJ69" s="6">
        <v>-3.6384469999999999E-3</v>
      </c>
      <c r="CK69" s="6">
        <v>1.7450654205607463E-5</v>
      </c>
      <c r="CL69" s="6">
        <v>-2.5459829999999999E-3</v>
      </c>
      <c r="CM69" s="6">
        <v>-2.6972950000000002E-3</v>
      </c>
      <c r="CN69" s="6">
        <v>1.4141308411214977E-5</v>
      </c>
      <c r="CO69" s="6">
        <v>-2.6881219999999998E-3</v>
      </c>
      <c r="CP69" s="6">
        <v>-2.8386959999999999E-3</v>
      </c>
      <c r="CQ69" s="6">
        <v>1.4072336448598142E-5</v>
      </c>
      <c r="CR69" s="6">
        <v>-2.5714069999999999E-3</v>
      </c>
      <c r="CS69" s="6">
        <v>-2.6985109999999998E-3</v>
      </c>
      <c r="CT69" s="6">
        <v>1.1878878504672883E-5</v>
      </c>
      <c r="CU69" s="6">
        <v>-2.6733339999999999E-3</v>
      </c>
      <c r="CV69" s="6">
        <v>-2.8379669999999998E-3</v>
      </c>
      <c r="CW69" s="6">
        <v>1.5386261682242988E-5</v>
      </c>
      <c r="CX69" s="6">
        <v>-2.4774810000000001E-3</v>
      </c>
      <c r="CY69" s="6">
        <v>-2.633107E-3</v>
      </c>
      <c r="CZ69" s="6">
        <v>1.4544485981308398E-5</v>
      </c>
      <c r="DA69" s="6">
        <v>-2.3353419999999998E-3</v>
      </c>
      <c r="DB69" s="6">
        <v>-2.4917060000000002E-3</v>
      </c>
      <c r="DC69" s="6">
        <v>1.4613457943925274E-5</v>
      </c>
      <c r="DD69" s="6">
        <v>-2.4520570000000001E-3</v>
      </c>
      <c r="DE69" s="6">
        <v>-2.6318909999999999E-3</v>
      </c>
      <c r="DF69" s="6">
        <v>1.680691588785045E-5</v>
      </c>
      <c r="DG69" s="6">
        <v>-2.3501300000000002E-3</v>
      </c>
      <c r="DH69" s="6">
        <v>-2.492434E-3</v>
      </c>
      <c r="DI69" s="6">
        <v>1.3299439252336429E-5</v>
      </c>
    </row>
    <row r="70" spans="1:113" x14ac:dyDescent="0.3">
      <c r="A70" s="13" t="s">
        <v>416</v>
      </c>
      <c r="B70" s="13" t="s">
        <v>60</v>
      </c>
      <c r="C70" s="13" t="s">
        <v>95</v>
      </c>
      <c r="D70" s="13" t="s">
        <v>364</v>
      </c>
      <c r="E70" s="13">
        <v>8.3000000000000007</v>
      </c>
      <c r="F70" s="6">
        <v>-3.688729E-3</v>
      </c>
      <c r="G70" s="6">
        <v>-3.05099E-3</v>
      </c>
      <c r="H70" s="6">
        <v>7.6836024096385539E-5</v>
      </c>
      <c r="I70" s="6">
        <v>-4.516272E-3</v>
      </c>
      <c r="J70" s="6">
        <v>-4.3575890000000003E-3</v>
      </c>
      <c r="K70" s="6">
        <v>1.9118433734939728E-5</v>
      </c>
      <c r="L70" s="6">
        <v>-4.0622760000000001E-3</v>
      </c>
      <c r="M70" s="6">
        <v>-3.6629470000000002E-3</v>
      </c>
      <c r="N70" s="6">
        <v>4.8111927710843361E-5</v>
      </c>
      <c r="O70" s="6">
        <v>-4.8722490000000004E-3</v>
      </c>
      <c r="P70" s="6">
        <v>-4.940318E-3</v>
      </c>
      <c r="Q70" s="6">
        <v>8.2010843373493481E-6</v>
      </c>
      <c r="R70" s="6">
        <v>-5.1418009999999997E-3</v>
      </c>
      <c r="S70" s="6">
        <v>-4.807965E-3</v>
      </c>
      <c r="T70" s="6">
        <v>4.0221204819277065E-5</v>
      </c>
      <c r="U70" s="6">
        <v>-3.913522E-3</v>
      </c>
      <c r="V70" s="6">
        <v>-4.848682E-3</v>
      </c>
      <c r="W70" s="6">
        <v>1.1266987951807228E-4</v>
      </c>
      <c r="X70" s="6">
        <v>-5.1299079999999999E-3</v>
      </c>
      <c r="Y70" s="6">
        <v>-4.8248090000000002E-3</v>
      </c>
      <c r="Z70" s="6">
        <v>3.6758915662650557E-5</v>
      </c>
      <c r="AA70" s="6">
        <v>-3.8495080000000002E-3</v>
      </c>
      <c r="AB70" s="6">
        <v>-4.8440030000000004E-3</v>
      </c>
      <c r="AC70" s="6">
        <v>1.1981867469879519E-4</v>
      </c>
      <c r="AD70" s="6">
        <v>-4.7476430000000002E-3</v>
      </c>
      <c r="AE70" s="6">
        <v>-4.951525E-3</v>
      </c>
      <c r="AF70" s="6">
        <v>2.4564096385542147E-5</v>
      </c>
      <c r="AG70" s="6">
        <v>-6.0469080000000001E-3</v>
      </c>
      <c r="AH70" s="6">
        <v>-4.9089870000000001E-3</v>
      </c>
      <c r="AI70" s="6">
        <v>1.370989156626506E-4</v>
      </c>
      <c r="AJ70" s="6">
        <v>-4.759536E-3</v>
      </c>
      <c r="AK70" s="6">
        <v>-4.9346800000000003E-3</v>
      </c>
      <c r="AL70" s="6">
        <v>2.1101686746987992E-5</v>
      </c>
      <c r="AM70" s="6">
        <v>-6.0399370000000004E-3</v>
      </c>
      <c r="AN70" s="6">
        <v>-4.9154860000000002E-3</v>
      </c>
      <c r="AO70" s="6">
        <v>1.3547602409638557E-4</v>
      </c>
      <c r="AP70" s="6">
        <v>-4.6408710000000004E-3</v>
      </c>
      <c r="AQ70" s="6">
        <v>-4.346384E-3</v>
      </c>
      <c r="AR70" s="6">
        <v>3.5480361445783174E-5</v>
      </c>
      <c r="AS70" s="6">
        <v>-3.3416069999999999E-3</v>
      </c>
      <c r="AT70" s="6">
        <v>-4.3889209999999996E-3</v>
      </c>
      <c r="AU70" s="6">
        <v>1.2618240963855416E-4</v>
      </c>
      <c r="AV70" s="6">
        <v>-4.6289790000000001E-3</v>
      </c>
      <c r="AW70" s="6">
        <v>-4.3632289999999997E-3</v>
      </c>
      <c r="AX70" s="6">
        <v>3.2018072289156666E-5</v>
      </c>
      <c r="AY70" s="6">
        <v>-3.3485780000000001E-3</v>
      </c>
      <c r="AZ70" s="6">
        <v>-4.3824229999999999E-3</v>
      </c>
      <c r="BA70" s="6">
        <v>1.2455963855421683E-4</v>
      </c>
      <c r="BB70" s="6">
        <v>-4.2467140000000004E-3</v>
      </c>
      <c r="BC70" s="6">
        <v>-4.4899440000000001E-3</v>
      </c>
      <c r="BD70" s="6">
        <v>2.930481927710839E-5</v>
      </c>
      <c r="BE70" s="6">
        <v>-5.5459790000000004E-3</v>
      </c>
      <c r="BF70" s="6">
        <v>-4.4474069999999996E-3</v>
      </c>
      <c r="BG70" s="6">
        <v>1.3235807228915671E-4</v>
      </c>
      <c r="BH70" s="6">
        <v>-4.2586070000000002E-3</v>
      </c>
      <c r="BI70" s="6">
        <v>-4.4730990000000003E-3</v>
      </c>
      <c r="BJ70" s="6">
        <v>2.5842409638554232E-5</v>
      </c>
      <c r="BK70" s="6">
        <v>-5.5390070000000003E-3</v>
      </c>
      <c r="BL70" s="6">
        <v>-4.4539050000000002E-3</v>
      </c>
      <c r="BM70" s="6">
        <v>1.3073518072289158E-4</v>
      </c>
      <c r="BN70" s="6">
        <v>-5.5882630000000004E-3</v>
      </c>
      <c r="BO70" s="6">
        <v>-5.3967219999999996E-3</v>
      </c>
      <c r="BP70" s="6">
        <v>2.3077228915662745E-5</v>
      </c>
      <c r="BQ70" s="6">
        <v>-5.1984830000000003E-3</v>
      </c>
      <c r="BR70" s="6">
        <v>-5.4094829999999997E-3</v>
      </c>
      <c r="BS70" s="6">
        <v>2.5421686746987876E-5</v>
      </c>
      <c r="BT70" s="6">
        <v>-5.5846949999999998E-3</v>
      </c>
      <c r="BU70" s="6">
        <v>-5.4017750000000002E-3</v>
      </c>
      <c r="BV70" s="6">
        <v>2.2038554216867421E-5</v>
      </c>
      <c r="BW70" s="6">
        <v>-5.2005749999999998E-3</v>
      </c>
      <c r="BX70" s="6">
        <v>-5.407533E-3</v>
      </c>
      <c r="BY70" s="6">
        <v>2.4934698795180739E-5</v>
      </c>
      <c r="BZ70" s="6">
        <v>-5.4700160000000003E-3</v>
      </c>
      <c r="CA70" s="6">
        <v>-5.4397899999999999E-3</v>
      </c>
      <c r="CB70" s="6">
        <v>3.6416867469879976E-6</v>
      </c>
      <c r="CC70" s="6">
        <v>-5.8597950000000001E-3</v>
      </c>
      <c r="CD70" s="6">
        <v>-5.4270289999999999E-3</v>
      </c>
      <c r="CE70" s="6">
        <v>5.2140481927710865E-5</v>
      </c>
      <c r="CF70" s="6">
        <v>-5.4735829999999997E-3</v>
      </c>
      <c r="CG70" s="6">
        <v>-5.4347359999999999E-3</v>
      </c>
      <c r="CH70" s="6">
        <v>4.6803614457831132E-6</v>
      </c>
      <c r="CI70" s="6">
        <v>-5.857704E-3</v>
      </c>
      <c r="CJ70" s="6">
        <v>-5.4289780000000001E-3</v>
      </c>
      <c r="CK70" s="6">
        <v>5.1653734939759022E-5</v>
      </c>
      <c r="CL70" s="6">
        <v>-3.9184989999999998E-3</v>
      </c>
      <c r="CM70" s="6">
        <v>-3.8581190000000001E-3</v>
      </c>
      <c r="CN70" s="6">
        <v>7.274698795180678E-6</v>
      </c>
      <c r="CO70" s="6">
        <v>-3.528719E-3</v>
      </c>
      <c r="CP70" s="6">
        <v>-3.8708800000000002E-3</v>
      </c>
      <c r="CQ70" s="6">
        <v>4.1224216867469888E-5</v>
      </c>
      <c r="CR70" s="6">
        <v>-3.914931E-3</v>
      </c>
      <c r="CS70" s="6">
        <v>-3.8631730000000001E-3</v>
      </c>
      <c r="CT70" s="6">
        <v>6.2359036144578116E-6</v>
      </c>
      <c r="CU70" s="6">
        <v>-3.530811E-3</v>
      </c>
      <c r="CV70" s="6">
        <v>-3.8689309999999999E-3</v>
      </c>
      <c r="CW70" s="6">
        <v>4.0737349397590348E-5</v>
      </c>
      <c r="CX70" s="6">
        <v>-3.8002520000000001E-3</v>
      </c>
      <c r="CY70" s="6">
        <v>-3.901187E-3</v>
      </c>
      <c r="CZ70" s="6">
        <v>1.2160843373493965E-5</v>
      </c>
      <c r="DA70" s="6">
        <v>-4.1900310000000003E-3</v>
      </c>
      <c r="DB70" s="6">
        <v>-3.8884259999999999E-3</v>
      </c>
      <c r="DC70" s="6">
        <v>3.6337951807228954E-5</v>
      </c>
      <c r="DD70" s="6">
        <v>-3.803819E-3</v>
      </c>
      <c r="DE70" s="6">
        <v>-3.8961339999999999E-3</v>
      </c>
      <c r="DF70" s="6">
        <v>1.1122289156626497E-5</v>
      </c>
      <c r="DG70" s="6">
        <v>-4.1879400000000002E-3</v>
      </c>
      <c r="DH70" s="6">
        <v>-3.8903760000000001E-3</v>
      </c>
      <c r="DI70" s="6">
        <v>3.5851084337349414E-5</v>
      </c>
    </row>
    <row r="71" spans="1:113" x14ac:dyDescent="0.3">
      <c r="A71" s="13" t="s">
        <v>417</v>
      </c>
      <c r="B71" s="13" t="s">
        <v>95</v>
      </c>
      <c r="C71" s="13" t="s">
        <v>131</v>
      </c>
      <c r="D71" s="13" t="s">
        <v>364</v>
      </c>
      <c r="E71" s="13">
        <v>8.3000000000000007</v>
      </c>
      <c r="F71" s="6">
        <v>-3.05099E-3</v>
      </c>
      <c r="G71" s="6">
        <v>-3.4312180000000002E-3</v>
      </c>
      <c r="H71" s="6">
        <v>4.5810602409638581E-5</v>
      </c>
      <c r="I71" s="6">
        <v>-4.3575890000000003E-3</v>
      </c>
      <c r="J71" s="6">
        <v>-4.8036099999999998E-3</v>
      </c>
      <c r="K71" s="6">
        <v>5.3737469879518016E-5</v>
      </c>
      <c r="L71" s="6">
        <v>-3.6629470000000002E-3</v>
      </c>
      <c r="M71" s="6">
        <v>-4.0310509999999999E-3</v>
      </c>
      <c r="N71" s="6">
        <v>4.4349879518072255E-5</v>
      </c>
      <c r="O71" s="6">
        <v>-4.940318E-3</v>
      </c>
      <c r="P71" s="6">
        <v>-5.3748219999999996E-3</v>
      </c>
      <c r="Q71" s="6">
        <v>5.234987951807224E-5</v>
      </c>
      <c r="R71" s="6">
        <v>-4.807965E-3</v>
      </c>
      <c r="S71" s="6">
        <v>-5.2656960000000003E-3</v>
      </c>
      <c r="T71" s="6">
        <v>5.5148313253012079E-5</v>
      </c>
      <c r="U71" s="6">
        <v>-4.848682E-3</v>
      </c>
      <c r="V71" s="6">
        <v>-5.3371709999999999E-3</v>
      </c>
      <c r="W71" s="6">
        <v>5.8854096385542156E-5</v>
      </c>
      <c r="X71" s="6">
        <v>-4.8248090000000002E-3</v>
      </c>
      <c r="Y71" s="6">
        <v>-5.2731139999999998E-3</v>
      </c>
      <c r="Z71" s="6">
        <v>5.4012650602409577E-5</v>
      </c>
      <c r="AA71" s="6">
        <v>-4.8440030000000004E-3</v>
      </c>
      <c r="AB71" s="6">
        <v>-5.334297E-3</v>
      </c>
      <c r="AC71" s="6">
        <v>5.907156626506019E-5</v>
      </c>
      <c r="AD71" s="6">
        <v>-4.951525E-3</v>
      </c>
      <c r="AE71" s="6">
        <v>-5.4180549999999997E-3</v>
      </c>
      <c r="AF71" s="6">
        <v>5.6208433734939723E-5</v>
      </c>
      <c r="AG71" s="6">
        <v>-4.9089870000000001E-3</v>
      </c>
      <c r="AH71" s="6">
        <v>-5.3466440000000002E-3</v>
      </c>
      <c r="AI71" s="6">
        <v>5.2729759036144589E-5</v>
      </c>
      <c r="AJ71" s="6">
        <v>-4.9346800000000003E-3</v>
      </c>
      <c r="AK71" s="6">
        <v>-5.4106370000000003E-3</v>
      </c>
      <c r="AL71" s="6">
        <v>5.734421686746987E-5</v>
      </c>
      <c r="AM71" s="6">
        <v>-4.9154860000000002E-3</v>
      </c>
      <c r="AN71" s="6">
        <v>-5.349454E-3</v>
      </c>
      <c r="AO71" s="6">
        <v>5.2285301204819257E-5</v>
      </c>
      <c r="AP71" s="6">
        <v>-4.346384E-3</v>
      </c>
      <c r="AQ71" s="6">
        <v>-4.760378E-3</v>
      </c>
      <c r="AR71" s="6">
        <v>4.9878795180722889E-5</v>
      </c>
      <c r="AS71" s="6">
        <v>-4.3889209999999996E-3</v>
      </c>
      <c r="AT71" s="6">
        <v>-4.8317899999999999E-3</v>
      </c>
      <c r="AU71" s="6">
        <v>5.3357710843373521E-5</v>
      </c>
      <c r="AV71" s="6">
        <v>-4.3632289999999997E-3</v>
      </c>
      <c r="AW71" s="6">
        <v>-4.7677960000000004E-3</v>
      </c>
      <c r="AX71" s="6">
        <v>4.8743012048192844E-5</v>
      </c>
      <c r="AY71" s="6">
        <v>-4.3824229999999999E-3</v>
      </c>
      <c r="AZ71" s="6">
        <v>-4.8289789999999997E-3</v>
      </c>
      <c r="BA71" s="6">
        <v>5.3801927710843356E-5</v>
      </c>
      <c r="BB71" s="6">
        <v>-4.4899440000000001E-3</v>
      </c>
      <c r="BC71" s="6">
        <v>-4.9127370000000004E-3</v>
      </c>
      <c r="BD71" s="6">
        <v>5.0938915662650635E-5</v>
      </c>
      <c r="BE71" s="6">
        <v>-4.4474069999999996E-3</v>
      </c>
      <c r="BF71" s="6">
        <v>-4.841326E-3</v>
      </c>
      <c r="BG71" s="6">
        <v>4.7460120481927755E-5</v>
      </c>
      <c r="BH71" s="6">
        <v>-4.4730990000000003E-3</v>
      </c>
      <c r="BI71" s="6">
        <v>-4.905319E-3</v>
      </c>
      <c r="BJ71" s="6">
        <v>5.2074698795180679E-5</v>
      </c>
      <c r="BK71" s="6">
        <v>-4.4539050000000002E-3</v>
      </c>
      <c r="BL71" s="6">
        <v>-4.8441359999999998E-3</v>
      </c>
      <c r="BM71" s="6">
        <v>4.7015783132530066E-5</v>
      </c>
      <c r="BN71" s="6">
        <v>-5.3967219999999996E-3</v>
      </c>
      <c r="BO71" s="6">
        <v>-5.9085589999999999E-3</v>
      </c>
      <c r="BP71" s="6">
        <v>6.1667108433734964E-5</v>
      </c>
      <c r="BQ71" s="6">
        <v>-5.4094829999999997E-3</v>
      </c>
      <c r="BR71" s="6">
        <v>-5.9299829999999998E-3</v>
      </c>
      <c r="BS71" s="6">
        <v>6.2710843373493981E-5</v>
      </c>
      <c r="BT71" s="6">
        <v>-5.4017750000000002E-3</v>
      </c>
      <c r="BU71" s="6">
        <v>-5.9107839999999997E-3</v>
      </c>
      <c r="BV71" s="6">
        <v>6.1326385542168614E-5</v>
      </c>
      <c r="BW71" s="6">
        <v>-5.407533E-3</v>
      </c>
      <c r="BX71" s="6">
        <v>-5.9291389999999999E-3</v>
      </c>
      <c r="BY71" s="6">
        <v>6.2844096385542163E-5</v>
      </c>
      <c r="BZ71" s="6">
        <v>-5.4397899999999999E-3</v>
      </c>
      <c r="CA71" s="6">
        <v>-5.9542670000000001E-3</v>
      </c>
      <c r="CB71" s="6">
        <v>6.1985180722891578E-5</v>
      </c>
      <c r="CC71" s="6">
        <v>-5.4270289999999999E-3</v>
      </c>
      <c r="CD71" s="6">
        <v>-5.9328430000000001E-3</v>
      </c>
      <c r="CE71" s="6">
        <v>6.0941445783132553E-5</v>
      </c>
      <c r="CF71" s="6">
        <v>-5.4347359999999999E-3</v>
      </c>
      <c r="CG71" s="6">
        <v>-5.9520420000000003E-3</v>
      </c>
      <c r="CH71" s="6">
        <v>6.2326024096385585E-5</v>
      </c>
      <c r="CI71" s="6">
        <v>-5.4289780000000001E-3</v>
      </c>
      <c r="CJ71" s="6">
        <v>-5.933687E-3</v>
      </c>
      <c r="CK71" s="6">
        <v>6.0808313253012029E-5</v>
      </c>
      <c r="CL71" s="6">
        <v>-3.8581190000000001E-3</v>
      </c>
      <c r="CM71" s="6">
        <v>-4.2241659999999997E-3</v>
      </c>
      <c r="CN71" s="6">
        <v>4.4102048192771028E-5</v>
      </c>
      <c r="CO71" s="6">
        <v>-3.8708800000000002E-3</v>
      </c>
      <c r="CP71" s="6">
        <v>-4.2455890000000001E-3</v>
      </c>
      <c r="CQ71" s="6">
        <v>4.5145662650602402E-5</v>
      </c>
      <c r="CR71" s="6">
        <v>-3.8631730000000001E-3</v>
      </c>
      <c r="CS71" s="6">
        <v>-4.2263919999999998E-3</v>
      </c>
      <c r="CT71" s="6">
        <v>4.3761325301204779E-5</v>
      </c>
      <c r="CU71" s="6">
        <v>-3.8689309999999999E-3</v>
      </c>
      <c r="CV71" s="6">
        <v>-4.2447459999999998E-3</v>
      </c>
      <c r="CW71" s="6">
        <v>4.5278915662650577E-5</v>
      </c>
      <c r="CX71" s="6">
        <v>-3.901187E-3</v>
      </c>
      <c r="CY71" s="6">
        <v>-4.2698739999999999E-3</v>
      </c>
      <c r="CZ71" s="6">
        <v>4.4420120481927696E-5</v>
      </c>
      <c r="DA71" s="6">
        <v>-3.8884259999999999E-3</v>
      </c>
      <c r="DB71" s="6">
        <v>-4.2484510000000003E-3</v>
      </c>
      <c r="DC71" s="6">
        <v>4.3376506024096424E-5</v>
      </c>
      <c r="DD71" s="6">
        <v>-3.8961339999999999E-3</v>
      </c>
      <c r="DE71" s="6">
        <v>-4.2676479999999998E-3</v>
      </c>
      <c r="DF71" s="6">
        <v>4.4760722891566247E-5</v>
      </c>
      <c r="DG71" s="6">
        <v>-3.8903760000000001E-3</v>
      </c>
      <c r="DH71" s="6">
        <v>-4.2492930000000003E-3</v>
      </c>
      <c r="DI71" s="6">
        <v>4.3243012048192799E-5</v>
      </c>
    </row>
    <row r="72" spans="1:113" x14ac:dyDescent="0.3">
      <c r="A72" s="13" t="s">
        <v>418</v>
      </c>
      <c r="B72" s="13" t="s">
        <v>131</v>
      </c>
      <c r="C72" s="13" t="s">
        <v>168</v>
      </c>
      <c r="D72" s="13" t="s">
        <v>364</v>
      </c>
      <c r="E72" s="13">
        <v>8.3000000000000007</v>
      </c>
      <c r="F72" s="6">
        <v>-3.4312180000000002E-3</v>
      </c>
      <c r="G72" s="6">
        <v>-3.4896850000000002E-3</v>
      </c>
      <c r="H72" s="6">
        <v>7.0442168674698768E-6</v>
      </c>
      <c r="I72" s="6">
        <v>-4.8036099999999998E-3</v>
      </c>
      <c r="J72" s="6">
        <v>-4.8772340000000003E-3</v>
      </c>
      <c r="K72" s="6">
        <v>8.8703614457831832E-6</v>
      </c>
      <c r="L72" s="6">
        <v>-4.0310509999999999E-3</v>
      </c>
      <c r="M72" s="6">
        <v>-4.0893290000000001E-3</v>
      </c>
      <c r="N72" s="6">
        <v>7.0214457831325471E-6</v>
      </c>
      <c r="O72" s="6">
        <v>-5.3748219999999996E-3</v>
      </c>
      <c r="P72" s="6">
        <v>-5.4482740000000003E-3</v>
      </c>
      <c r="Q72" s="6">
        <v>8.8496385542169588E-6</v>
      </c>
      <c r="R72" s="6">
        <v>-5.2656960000000003E-3</v>
      </c>
      <c r="S72" s="6">
        <v>-5.3425089999999996E-3</v>
      </c>
      <c r="T72" s="6">
        <v>9.2545783132529341E-6</v>
      </c>
      <c r="U72" s="6">
        <v>-5.3371709999999999E-3</v>
      </c>
      <c r="V72" s="6">
        <v>-5.4278699999999996E-3</v>
      </c>
      <c r="W72" s="6">
        <v>1.092759036144574E-5</v>
      </c>
      <c r="X72" s="6">
        <v>-5.2731139999999998E-3</v>
      </c>
      <c r="Y72" s="6">
        <v>-5.3348809999999997E-3</v>
      </c>
      <c r="Z72" s="6">
        <v>7.4418072289156494E-6</v>
      </c>
      <c r="AA72" s="6">
        <v>-5.334297E-3</v>
      </c>
      <c r="AB72" s="6">
        <v>-5.4306550000000004E-3</v>
      </c>
      <c r="AC72" s="6">
        <v>1.1609397590361491E-5</v>
      </c>
      <c r="AD72" s="6">
        <v>-5.4180549999999997E-3</v>
      </c>
      <c r="AE72" s="6">
        <v>-5.4953040000000003E-3</v>
      </c>
      <c r="AF72" s="6">
        <v>9.3071084337350092E-6</v>
      </c>
      <c r="AG72" s="6">
        <v>-5.3466440000000002E-3</v>
      </c>
      <c r="AH72" s="6">
        <v>-5.4101339999999996E-3</v>
      </c>
      <c r="AI72" s="6">
        <v>7.6493975903613713E-6</v>
      </c>
      <c r="AJ72" s="6">
        <v>-5.4106370000000003E-3</v>
      </c>
      <c r="AK72" s="6">
        <v>-5.5029320000000003E-3</v>
      </c>
      <c r="AL72" s="6">
        <v>1.1119879518072294E-5</v>
      </c>
      <c r="AM72" s="6">
        <v>-5.349454E-3</v>
      </c>
      <c r="AN72" s="6">
        <v>-5.4071579999999996E-3</v>
      </c>
      <c r="AO72" s="6">
        <v>6.9522891566264532E-6</v>
      </c>
      <c r="AP72" s="6">
        <v>-4.760378E-3</v>
      </c>
      <c r="AQ72" s="6">
        <v>-4.8302040000000003E-3</v>
      </c>
      <c r="AR72" s="6">
        <v>8.4127710843373807E-6</v>
      </c>
      <c r="AS72" s="6">
        <v>-4.8317899999999999E-3</v>
      </c>
      <c r="AT72" s="6">
        <v>-4.9153740000000001E-3</v>
      </c>
      <c r="AU72" s="6">
        <v>1.0070361445783163E-5</v>
      </c>
      <c r="AV72" s="6">
        <v>-4.7677960000000004E-3</v>
      </c>
      <c r="AW72" s="6">
        <v>-4.8225760000000003E-3</v>
      </c>
      <c r="AX72" s="6">
        <v>6.599999999999991E-6</v>
      </c>
      <c r="AY72" s="6">
        <v>-4.8289789999999997E-3</v>
      </c>
      <c r="AZ72" s="6">
        <v>-4.9183500000000002E-3</v>
      </c>
      <c r="BA72" s="6">
        <v>1.0767590361445833E-5</v>
      </c>
      <c r="BB72" s="6">
        <v>-4.9127370000000004E-3</v>
      </c>
      <c r="BC72" s="6">
        <v>-4.9829990000000001E-3</v>
      </c>
      <c r="BD72" s="6">
        <v>8.4653012048192475E-6</v>
      </c>
      <c r="BE72" s="6">
        <v>-4.841326E-3</v>
      </c>
      <c r="BF72" s="6">
        <v>-4.8978290000000002E-3</v>
      </c>
      <c r="BG72" s="6">
        <v>6.8075903614458162E-6</v>
      </c>
      <c r="BH72" s="6">
        <v>-4.905319E-3</v>
      </c>
      <c r="BI72" s="6">
        <v>-4.9906280000000004E-3</v>
      </c>
      <c r="BJ72" s="6">
        <v>1.0278192771084388E-5</v>
      </c>
      <c r="BK72" s="6">
        <v>-4.8441359999999998E-3</v>
      </c>
      <c r="BL72" s="6">
        <v>-4.8948539999999997E-3</v>
      </c>
      <c r="BM72" s="6">
        <v>6.110602409638547E-6</v>
      </c>
      <c r="BN72" s="6">
        <v>-5.9085589999999999E-3</v>
      </c>
      <c r="BO72" s="6">
        <v>-5.9936759999999999E-3</v>
      </c>
      <c r="BP72" s="6">
        <v>1.0255060240963855E-5</v>
      </c>
      <c r="BQ72" s="6">
        <v>-5.9299829999999998E-3</v>
      </c>
      <c r="BR72" s="6">
        <v>-6.0192270000000003E-3</v>
      </c>
      <c r="BS72" s="6">
        <v>1.0752289156626562E-5</v>
      </c>
      <c r="BT72" s="6">
        <v>-5.9107839999999997E-3</v>
      </c>
      <c r="BU72" s="6">
        <v>-5.9913880000000003E-3</v>
      </c>
      <c r="BV72" s="6">
        <v>9.7113253012048921E-6</v>
      </c>
      <c r="BW72" s="6">
        <v>-5.9291389999999999E-3</v>
      </c>
      <c r="BX72" s="6">
        <v>-6.0201200000000003E-3</v>
      </c>
      <c r="BY72" s="6">
        <v>1.0961566265060288E-5</v>
      </c>
      <c r="BZ72" s="6">
        <v>-5.9542670000000001E-3</v>
      </c>
      <c r="CA72" s="6">
        <v>-6.0395149999999996E-3</v>
      </c>
      <c r="CB72" s="6">
        <v>1.0270843373493924E-5</v>
      </c>
      <c r="CC72" s="6">
        <v>-5.9328430000000001E-3</v>
      </c>
      <c r="CD72" s="6">
        <v>-6.0139640000000001E-3</v>
      </c>
      <c r="CE72" s="6">
        <v>9.7736144578313206E-6</v>
      </c>
      <c r="CF72" s="6">
        <v>-5.9520420000000003E-3</v>
      </c>
      <c r="CG72" s="6">
        <v>-6.0418030000000001E-3</v>
      </c>
      <c r="CH72" s="6">
        <v>1.081457831325299E-5</v>
      </c>
      <c r="CI72" s="6">
        <v>-5.933687E-3</v>
      </c>
      <c r="CJ72" s="6">
        <v>-6.013071E-3</v>
      </c>
      <c r="CK72" s="6">
        <v>9.5643373493975963E-6</v>
      </c>
      <c r="CL72" s="6">
        <v>-4.2241659999999997E-3</v>
      </c>
      <c r="CM72" s="6">
        <v>-4.2859939999999996E-3</v>
      </c>
      <c r="CN72" s="6">
        <v>7.4491566265060096E-6</v>
      </c>
      <c r="CO72" s="6">
        <v>-4.2455890000000001E-3</v>
      </c>
      <c r="CP72" s="6">
        <v>-4.3115439999999996E-3</v>
      </c>
      <c r="CQ72" s="6">
        <v>7.9463855421686114E-6</v>
      </c>
      <c r="CR72" s="6">
        <v>-4.2263919999999998E-3</v>
      </c>
      <c r="CS72" s="6">
        <v>-4.2837049999999996E-3</v>
      </c>
      <c r="CT72" s="6">
        <v>6.9051807228915425E-6</v>
      </c>
      <c r="CU72" s="6">
        <v>-4.2447459999999998E-3</v>
      </c>
      <c r="CV72" s="6">
        <v>-4.3124369999999997E-3</v>
      </c>
      <c r="CW72" s="6">
        <v>8.1555421686746903E-6</v>
      </c>
      <c r="CX72" s="6">
        <v>-4.2698739999999999E-3</v>
      </c>
      <c r="CY72" s="6">
        <v>-4.3318319999999999E-3</v>
      </c>
      <c r="CZ72" s="6">
        <v>7.4648192771084308E-6</v>
      </c>
      <c r="DA72" s="6">
        <v>-4.2484510000000003E-3</v>
      </c>
      <c r="DB72" s="6">
        <v>-4.3062810000000003E-3</v>
      </c>
      <c r="DC72" s="6">
        <v>6.9674698795180762E-6</v>
      </c>
      <c r="DD72" s="6">
        <v>-4.2676479999999998E-3</v>
      </c>
      <c r="DE72" s="6">
        <v>-4.3341209999999998E-3</v>
      </c>
      <c r="DF72" s="6">
        <v>8.0087951807228971E-6</v>
      </c>
      <c r="DG72" s="6">
        <v>-4.2492930000000003E-3</v>
      </c>
      <c r="DH72" s="6">
        <v>-4.3053880000000003E-3</v>
      </c>
      <c r="DI72" s="6">
        <v>6.7584337349397502E-6</v>
      </c>
    </row>
    <row r="73" spans="1:113" x14ac:dyDescent="0.3">
      <c r="A73" s="13" t="s">
        <v>419</v>
      </c>
      <c r="B73" s="13" t="s">
        <v>168</v>
      </c>
      <c r="C73" s="13" t="s">
        <v>209</v>
      </c>
      <c r="D73" s="13" t="s">
        <v>364</v>
      </c>
      <c r="E73" s="13">
        <v>8.3000000000000007</v>
      </c>
      <c r="F73" s="6">
        <v>-3.4896850000000002E-3</v>
      </c>
      <c r="G73" s="6">
        <v>-3.2360050000000001E-3</v>
      </c>
      <c r="H73" s="6">
        <v>3.0563855421686751E-5</v>
      </c>
      <c r="I73" s="6">
        <v>-4.8772340000000003E-3</v>
      </c>
      <c r="J73" s="6">
        <v>-4.5674890000000001E-3</v>
      </c>
      <c r="K73" s="6">
        <v>3.7318674698795196E-5</v>
      </c>
      <c r="L73" s="6">
        <v>-4.0893290000000001E-3</v>
      </c>
      <c r="M73" s="6">
        <v>-3.8354550000000002E-3</v>
      </c>
      <c r="N73" s="6">
        <v>3.0587228915662627E-5</v>
      </c>
      <c r="O73" s="6">
        <v>-5.4482740000000003E-3</v>
      </c>
      <c r="P73" s="6">
        <v>-5.1383360000000003E-3</v>
      </c>
      <c r="Q73" s="6">
        <v>3.7341927710843374E-5</v>
      </c>
      <c r="R73" s="6">
        <v>-5.3425089999999996E-3</v>
      </c>
      <c r="S73" s="6">
        <v>-5.0360479999999996E-3</v>
      </c>
      <c r="T73" s="6">
        <v>3.6923012048192778E-5</v>
      </c>
      <c r="U73" s="6">
        <v>-5.4278699999999996E-3</v>
      </c>
      <c r="V73" s="6">
        <v>-5.125325E-3</v>
      </c>
      <c r="W73" s="6">
        <v>3.6451204819277052E-5</v>
      </c>
      <c r="X73" s="6">
        <v>-5.3348809999999997E-3</v>
      </c>
      <c r="Y73" s="6">
        <v>-5.0209240000000004E-3</v>
      </c>
      <c r="Z73" s="6">
        <v>3.7826144578313162E-5</v>
      </c>
      <c r="AA73" s="6">
        <v>-5.4306550000000004E-3</v>
      </c>
      <c r="AB73" s="6">
        <v>-5.1309370000000003E-3</v>
      </c>
      <c r="AC73" s="6">
        <v>3.6110602409638555E-5</v>
      </c>
      <c r="AD73" s="6">
        <v>-5.4953040000000003E-3</v>
      </c>
      <c r="AE73" s="6">
        <v>-5.15161E-3</v>
      </c>
      <c r="AF73" s="6">
        <v>4.1408915662650636E-5</v>
      </c>
      <c r="AG73" s="6">
        <v>-5.4101339999999996E-3</v>
      </c>
      <c r="AH73" s="6">
        <v>-5.0622790000000003E-3</v>
      </c>
      <c r="AI73" s="6">
        <v>4.1910240963855338E-5</v>
      </c>
      <c r="AJ73" s="6">
        <v>-5.5029320000000003E-3</v>
      </c>
      <c r="AK73" s="6">
        <v>-5.1667340000000001E-3</v>
      </c>
      <c r="AL73" s="6">
        <v>4.0505783132530144E-5</v>
      </c>
      <c r="AM73" s="6">
        <v>-5.4071579999999996E-3</v>
      </c>
      <c r="AN73" s="6">
        <v>-5.0567210000000001E-3</v>
      </c>
      <c r="AO73" s="6">
        <v>4.222132530120475E-5</v>
      </c>
      <c r="AP73" s="6">
        <v>-4.8302040000000003E-3</v>
      </c>
      <c r="AQ73" s="6">
        <v>-4.5542150000000003E-3</v>
      </c>
      <c r="AR73" s="6">
        <v>3.3251686746987942E-5</v>
      </c>
      <c r="AS73" s="6">
        <v>-4.9153740000000001E-3</v>
      </c>
      <c r="AT73" s="6">
        <v>-4.6435460000000001E-3</v>
      </c>
      <c r="AU73" s="6">
        <v>3.2750361445783131E-5</v>
      </c>
      <c r="AV73" s="6">
        <v>-4.8225760000000003E-3</v>
      </c>
      <c r="AW73" s="6">
        <v>-4.5390910000000003E-3</v>
      </c>
      <c r="AX73" s="6">
        <v>3.4154819277108427E-5</v>
      </c>
      <c r="AY73" s="6">
        <v>-4.9183500000000002E-3</v>
      </c>
      <c r="AZ73" s="6">
        <v>-4.6491049999999997E-3</v>
      </c>
      <c r="BA73" s="6">
        <v>3.2439156626506075E-5</v>
      </c>
      <c r="BB73" s="6">
        <v>-4.9829990000000001E-3</v>
      </c>
      <c r="BC73" s="6">
        <v>-4.6697780000000003E-3</v>
      </c>
      <c r="BD73" s="6">
        <v>3.7737469879518048E-5</v>
      </c>
      <c r="BE73" s="6">
        <v>-4.8978290000000002E-3</v>
      </c>
      <c r="BF73" s="6">
        <v>-4.5804469999999996E-3</v>
      </c>
      <c r="BG73" s="6">
        <v>3.823879518072296E-5</v>
      </c>
      <c r="BH73" s="6">
        <v>-4.9906280000000004E-3</v>
      </c>
      <c r="BI73" s="6">
        <v>-4.6849020000000003E-3</v>
      </c>
      <c r="BJ73" s="6">
        <v>3.6834457831325308E-5</v>
      </c>
      <c r="BK73" s="6">
        <v>-4.8948539999999997E-3</v>
      </c>
      <c r="BL73" s="6">
        <v>-4.574888E-3</v>
      </c>
      <c r="BM73" s="6">
        <v>3.8550120481927666E-5</v>
      </c>
      <c r="BN73" s="6">
        <v>-5.9936759999999999E-3</v>
      </c>
      <c r="BO73" s="6">
        <v>-5.6386320000000002E-3</v>
      </c>
      <c r="BP73" s="6">
        <v>4.277638554216863E-5</v>
      </c>
      <c r="BQ73" s="6">
        <v>-6.0192270000000003E-3</v>
      </c>
      <c r="BR73" s="6">
        <v>-5.6654319999999998E-3</v>
      </c>
      <c r="BS73" s="6">
        <v>4.2625903614457889E-5</v>
      </c>
      <c r="BT73" s="6">
        <v>-5.9913880000000003E-3</v>
      </c>
      <c r="BU73" s="6">
        <v>-5.6340959999999999E-3</v>
      </c>
      <c r="BV73" s="6">
        <v>4.3047228915662694E-5</v>
      </c>
      <c r="BW73" s="6">
        <v>-6.0201200000000003E-3</v>
      </c>
      <c r="BX73" s="6">
        <v>-5.6670990000000001E-3</v>
      </c>
      <c r="BY73" s="6">
        <v>4.2532650602409666E-5</v>
      </c>
      <c r="BZ73" s="6">
        <v>-6.0395149999999996E-3</v>
      </c>
      <c r="CA73" s="6">
        <v>-5.6733010000000004E-3</v>
      </c>
      <c r="CB73" s="6">
        <v>4.4122168674698702E-5</v>
      </c>
      <c r="CC73" s="6">
        <v>-6.0139640000000001E-3</v>
      </c>
      <c r="CD73" s="6">
        <v>-5.6465020000000003E-3</v>
      </c>
      <c r="CE73" s="6">
        <v>4.4272530120481901E-5</v>
      </c>
      <c r="CF73" s="6">
        <v>-6.0418030000000001E-3</v>
      </c>
      <c r="CG73" s="6">
        <v>-5.6778380000000002E-3</v>
      </c>
      <c r="CH73" s="6">
        <v>4.3851204819277096E-5</v>
      </c>
      <c r="CI73" s="6">
        <v>-6.013071E-3</v>
      </c>
      <c r="CJ73" s="6">
        <v>-5.644835E-3</v>
      </c>
      <c r="CK73" s="6">
        <v>4.4365783132530124E-5</v>
      </c>
      <c r="CL73" s="6">
        <v>-4.2859939999999996E-3</v>
      </c>
      <c r="CM73" s="6">
        <v>-4.032524E-3</v>
      </c>
      <c r="CN73" s="6">
        <v>3.0538554216867418E-5</v>
      </c>
      <c r="CO73" s="6">
        <v>-4.3115439999999996E-3</v>
      </c>
      <c r="CP73" s="6">
        <v>-4.0593239999999996E-3</v>
      </c>
      <c r="CQ73" s="6">
        <v>3.0387951807228918E-5</v>
      </c>
      <c r="CR73" s="6">
        <v>-4.2837049999999996E-3</v>
      </c>
      <c r="CS73" s="6">
        <v>-4.0279870000000002E-3</v>
      </c>
      <c r="CT73" s="6">
        <v>3.0809397590361373E-5</v>
      </c>
      <c r="CU73" s="6">
        <v>-4.3124369999999997E-3</v>
      </c>
      <c r="CV73" s="6">
        <v>-4.0609909999999999E-3</v>
      </c>
      <c r="CW73" s="6">
        <v>3.0294698795180695E-5</v>
      </c>
      <c r="CX73" s="6">
        <v>-4.3318319999999999E-3</v>
      </c>
      <c r="CY73" s="6">
        <v>-4.0671930000000002E-3</v>
      </c>
      <c r="CZ73" s="6">
        <v>3.1884216867469839E-5</v>
      </c>
      <c r="DA73" s="6">
        <v>-4.3062810000000003E-3</v>
      </c>
      <c r="DB73" s="6">
        <v>-4.0403940000000001E-3</v>
      </c>
      <c r="DC73" s="6">
        <v>3.2034578313253038E-5</v>
      </c>
      <c r="DD73" s="6">
        <v>-4.3341209999999998E-3</v>
      </c>
      <c r="DE73" s="6">
        <v>-4.07173E-3</v>
      </c>
      <c r="DF73" s="6">
        <v>3.1613373493975883E-5</v>
      </c>
      <c r="DG73" s="6">
        <v>-4.3053880000000003E-3</v>
      </c>
      <c r="DH73" s="6">
        <v>-4.0387260000000003E-3</v>
      </c>
      <c r="DI73" s="6">
        <v>3.2127951807228911E-5</v>
      </c>
    </row>
    <row r="74" spans="1:113" x14ac:dyDescent="0.3">
      <c r="A74" s="13" t="s">
        <v>420</v>
      </c>
      <c r="B74" s="13" t="s">
        <v>209</v>
      </c>
      <c r="C74" s="13" t="s">
        <v>250</v>
      </c>
      <c r="D74" s="13" t="s">
        <v>364</v>
      </c>
      <c r="E74" s="13">
        <v>8.3000000000000007</v>
      </c>
      <c r="F74" s="6">
        <v>-3.2360050000000001E-3</v>
      </c>
      <c r="G74" s="6">
        <v>-2.9568120000000001E-3</v>
      </c>
      <c r="H74" s="6">
        <v>3.3637710843373499E-5</v>
      </c>
      <c r="I74" s="6">
        <v>-4.5674890000000001E-3</v>
      </c>
      <c r="J74" s="6">
        <v>-4.2027269999999999E-3</v>
      </c>
      <c r="K74" s="6">
        <v>4.3947228915662675E-5</v>
      </c>
      <c r="L74" s="6">
        <v>-3.8354550000000002E-3</v>
      </c>
      <c r="M74" s="6">
        <v>-3.5590190000000001E-3</v>
      </c>
      <c r="N74" s="6">
        <v>3.3305542168674709E-5</v>
      </c>
      <c r="O74" s="6">
        <v>-5.1383360000000003E-3</v>
      </c>
      <c r="P74" s="6">
        <v>-4.7762209999999998E-3</v>
      </c>
      <c r="Q74" s="6">
        <v>4.3628313253012108E-5</v>
      </c>
      <c r="R74" s="6">
        <v>-5.0360479999999996E-3</v>
      </c>
      <c r="S74" s="6">
        <v>-4.7903720000000002E-3</v>
      </c>
      <c r="T74" s="6">
        <v>2.9599518072289078E-5</v>
      </c>
      <c r="U74" s="6">
        <v>-5.125325E-3</v>
      </c>
      <c r="V74" s="6">
        <v>-4.7511979999999999E-3</v>
      </c>
      <c r="W74" s="6">
        <v>4.5075542168674713E-5</v>
      </c>
      <c r="X74" s="6">
        <v>-5.0209240000000004E-3</v>
      </c>
      <c r="Y74" s="6">
        <v>-4.8059899999999996E-3</v>
      </c>
      <c r="Z74" s="6">
        <v>2.5895662650602506E-5</v>
      </c>
      <c r="AA74" s="6">
        <v>-5.1309370000000003E-3</v>
      </c>
      <c r="AB74" s="6">
        <v>-4.7406890000000002E-3</v>
      </c>
      <c r="AC74" s="6">
        <v>4.7017831325301222E-5</v>
      </c>
      <c r="AD74" s="6">
        <v>-5.15161E-3</v>
      </c>
      <c r="AE74" s="6">
        <v>-4.6373359999999997E-3</v>
      </c>
      <c r="AF74" s="6">
        <v>6.1960722891566306E-5</v>
      </c>
      <c r="AG74" s="6">
        <v>-5.0622790000000003E-3</v>
      </c>
      <c r="AH74" s="6">
        <v>-4.6773550000000002E-3</v>
      </c>
      <c r="AI74" s="6">
        <v>4.6376385542168677E-5</v>
      </c>
      <c r="AJ74" s="6">
        <v>-5.1667340000000001E-3</v>
      </c>
      <c r="AK74" s="6">
        <v>-4.6217180000000004E-3</v>
      </c>
      <c r="AL74" s="6">
        <v>6.5664578313252972E-5</v>
      </c>
      <c r="AM74" s="6">
        <v>-5.0567210000000001E-3</v>
      </c>
      <c r="AN74" s="6">
        <v>-4.6870189999999997E-3</v>
      </c>
      <c r="AO74" s="6">
        <v>4.454240963855426E-5</v>
      </c>
      <c r="AP74" s="6">
        <v>-4.5542150000000003E-3</v>
      </c>
      <c r="AQ74" s="6">
        <v>-4.3416119999999999E-3</v>
      </c>
      <c r="AR74" s="6">
        <v>2.5614819277108485E-5</v>
      </c>
      <c r="AS74" s="6">
        <v>-4.6435460000000001E-3</v>
      </c>
      <c r="AT74" s="6">
        <v>-4.3015919999999999E-3</v>
      </c>
      <c r="AU74" s="6">
        <v>4.1199277108433757E-5</v>
      </c>
      <c r="AV74" s="6">
        <v>-4.5390910000000003E-3</v>
      </c>
      <c r="AW74" s="6">
        <v>-4.3572300000000001E-3</v>
      </c>
      <c r="AX74" s="6">
        <v>2.1910963855421707E-5</v>
      </c>
      <c r="AY74" s="6">
        <v>-4.6491049999999997E-3</v>
      </c>
      <c r="AZ74" s="6">
        <v>-4.2919280000000004E-3</v>
      </c>
      <c r="BA74" s="6">
        <v>4.3033373493975818E-5</v>
      </c>
      <c r="BB74" s="6">
        <v>-4.6697780000000003E-3</v>
      </c>
      <c r="BC74" s="6">
        <v>-4.1885760000000003E-3</v>
      </c>
      <c r="BD74" s="6">
        <v>5.7976144578313252E-5</v>
      </c>
      <c r="BE74" s="6">
        <v>-4.5804469999999996E-3</v>
      </c>
      <c r="BF74" s="6">
        <v>-4.2285949999999999E-3</v>
      </c>
      <c r="BG74" s="6">
        <v>4.2391807228915623E-5</v>
      </c>
      <c r="BH74" s="6">
        <v>-4.6849020000000003E-3</v>
      </c>
      <c r="BI74" s="6">
        <v>-4.172958E-3</v>
      </c>
      <c r="BJ74" s="6">
        <v>6.1680000000000033E-5</v>
      </c>
      <c r="BK74" s="6">
        <v>-4.574888E-3</v>
      </c>
      <c r="BL74" s="6">
        <v>-4.2382590000000003E-3</v>
      </c>
      <c r="BM74" s="6">
        <v>4.055771084337346E-5</v>
      </c>
      <c r="BN74" s="6">
        <v>-5.6386320000000002E-3</v>
      </c>
      <c r="BO74" s="6">
        <v>-5.2603629999999997E-3</v>
      </c>
      <c r="BP74" s="6">
        <v>4.5574578313253074E-5</v>
      </c>
      <c r="BQ74" s="6">
        <v>-5.6654319999999998E-3</v>
      </c>
      <c r="BR74" s="6">
        <v>-5.2483579999999998E-3</v>
      </c>
      <c r="BS74" s="6">
        <v>5.0249879518072277E-5</v>
      </c>
      <c r="BT74" s="6">
        <v>-5.6340959999999999E-3</v>
      </c>
      <c r="BU74" s="6">
        <v>-5.2650489999999999E-3</v>
      </c>
      <c r="BV74" s="6">
        <v>4.4463493975903602E-5</v>
      </c>
      <c r="BW74" s="6">
        <v>-5.6670990000000001E-3</v>
      </c>
      <c r="BX74" s="6">
        <v>-5.2454579999999997E-3</v>
      </c>
      <c r="BY74" s="6">
        <v>5.0800120481927754E-5</v>
      </c>
      <c r="BZ74" s="6">
        <v>-5.6733010000000004E-3</v>
      </c>
      <c r="CA74" s="6">
        <v>-5.2144519999999996E-3</v>
      </c>
      <c r="CB74" s="6">
        <v>5.528301204819286E-5</v>
      </c>
      <c r="CC74" s="6">
        <v>-5.6465020000000003E-3</v>
      </c>
      <c r="CD74" s="6">
        <v>-5.2264579999999998E-3</v>
      </c>
      <c r="CE74" s="6">
        <v>5.0607710843373549E-5</v>
      </c>
      <c r="CF74" s="6">
        <v>-5.6778380000000002E-3</v>
      </c>
      <c r="CG74" s="6">
        <v>-5.2097669999999997E-3</v>
      </c>
      <c r="CH74" s="6">
        <v>5.6394096385542216E-5</v>
      </c>
      <c r="CI74" s="6">
        <v>-5.644835E-3</v>
      </c>
      <c r="CJ74" s="6">
        <v>-5.2293569999999996E-3</v>
      </c>
      <c r="CK74" s="6">
        <v>5.0057590361445824E-5</v>
      </c>
      <c r="CL74" s="6">
        <v>-4.032524E-3</v>
      </c>
      <c r="CM74" s="6">
        <v>-3.7644950000000001E-3</v>
      </c>
      <c r="CN74" s="6">
        <v>3.2292650602409629E-5</v>
      </c>
      <c r="CO74" s="6">
        <v>-4.0593239999999996E-3</v>
      </c>
      <c r="CP74" s="6">
        <v>-3.7524899999999998E-3</v>
      </c>
      <c r="CQ74" s="6">
        <v>3.6967951807228885E-5</v>
      </c>
      <c r="CR74" s="6">
        <v>-4.0279870000000002E-3</v>
      </c>
      <c r="CS74" s="6">
        <v>-3.7691809999999999E-3</v>
      </c>
      <c r="CT74" s="6">
        <v>3.1181445783132567E-5</v>
      </c>
      <c r="CU74" s="6">
        <v>-4.0609909999999999E-3</v>
      </c>
      <c r="CV74" s="6">
        <v>-3.7495900000000001E-3</v>
      </c>
      <c r="CW74" s="6">
        <v>3.7518192771084308E-5</v>
      </c>
      <c r="CX74" s="6">
        <v>-4.0671930000000002E-3</v>
      </c>
      <c r="CY74" s="6">
        <v>-3.7185849999999999E-3</v>
      </c>
      <c r="CZ74" s="6">
        <v>4.2000963855421716E-5</v>
      </c>
      <c r="DA74" s="6">
        <v>-4.0403940000000001E-3</v>
      </c>
      <c r="DB74" s="6">
        <v>-3.7305900000000002E-3</v>
      </c>
      <c r="DC74" s="6">
        <v>3.7325783132530103E-5</v>
      </c>
      <c r="DD74" s="6">
        <v>-4.07173E-3</v>
      </c>
      <c r="DE74" s="6">
        <v>-3.7138990000000001E-3</v>
      </c>
      <c r="DF74" s="6">
        <v>4.3112168674698778E-5</v>
      </c>
      <c r="DG74" s="6">
        <v>-4.0387260000000003E-3</v>
      </c>
      <c r="DH74" s="6">
        <v>-3.733489E-3</v>
      </c>
      <c r="DI74" s="6">
        <v>3.6775542168674735E-5</v>
      </c>
    </row>
    <row r="75" spans="1:113" x14ac:dyDescent="0.3">
      <c r="A75" s="13" t="s">
        <v>421</v>
      </c>
      <c r="B75" s="13" t="s">
        <v>250</v>
      </c>
      <c r="C75" s="13" t="s">
        <v>290</v>
      </c>
      <c r="D75" s="13" t="s">
        <v>364</v>
      </c>
      <c r="E75" s="13">
        <v>8.3000000000000007</v>
      </c>
      <c r="F75" s="6">
        <v>-2.9568120000000001E-3</v>
      </c>
      <c r="G75" s="6">
        <v>-2.084799E-3</v>
      </c>
      <c r="H75" s="6">
        <v>1.0506180722891566E-4</v>
      </c>
      <c r="I75" s="6">
        <v>-4.2027269999999999E-3</v>
      </c>
      <c r="J75" s="6">
        <v>-2.952409E-3</v>
      </c>
      <c r="K75" s="6">
        <v>1.5064072289156622E-4</v>
      </c>
      <c r="L75" s="6">
        <v>-3.5590190000000001E-3</v>
      </c>
      <c r="M75" s="6">
        <v>-2.6849780000000002E-3</v>
      </c>
      <c r="N75" s="6">
        <v>1.0530614457831323E-4</v>
      </c>
      <c r="O75" s="6">
        <v>-4.7762209999999998E-3</v>
      </c>
      <c r="P75" s="6">
        <v>-3.5240050000000002E-3</v>
      </c>
      <c r="Q75" s="6">
        <v>1.5086939759036139E-4</v>
      </c>
      <c r="R75" s="6">
        <v>-4.7903720000000002E-3</v>
      </c>
      <c r="S75" s="6">
        <v>-3.5170879999999998E-3</v>
      </c>
      <c r="T75" s="6">
        <v>1.5340771084337352E-4</v>
      </c>
      <c r="U75" s="6">
        <v>-4.7511979999999999E-3</v>
      </c>
      <c r="V75" s="6">
        <v>-3.9895670000000003E-3</v>
      </c>
      <c r="W75" s="6">
        <v>9.1762771084337298E-5</v>
      </c>
      <c r="X75" s="6">
        <v>-4.8059899999999996E-3</v>
      </c>
      <c r="Y75" s="6">
        <v>-3.521143E-3</v>
      </c>
      <c r="Z75" s="6">
        <v>1.5480084337349392E-4</v>
      </c>
      <c r="AA75" s="6">
        <v>-4.7406890000000002E-3</v>
      </c>
      <c r="AB75" s="6">
        <v>-3.9859969999999998E-3</v>
      </c>
      <c r="AC75" s="6">
        <v>9.0926746987951844E-5</v>
      </c>
      <c r="AD75" s="6">
        <v>-4.6373359999999997E-3</v>
      </c>
      <c r="AE75" s="6">
        <v>-3.30313E-3</v>
      </c>
      <c r="AF75" s="6">
        <v>1.6074771084337343E-4</v>
      </c>
      <c r="AG75" s="6">
        <v>-4.6773550000000002E-3</v>
      </c>
      <c r="AH75" s="6">
        <v>-2.831793E-3</v>
      </c>
      <c r="AI75" s="6">
        <v>2.2235686746987954E-4</v>
      </c>
      <c r="AJ75" s="6">
        <v>-4.6217180000000004E-3</v>
      </c>
      <c r="AK75" s="6">
        <v>-3.2990749999999998E-3</v>
      </c>
      <c r="AL75" s="6">
        <v>1.5935457831325306E-4</v>
      </c>
      <c r="AM75" s="6">
        <v>-4.6870189999999997E-3</v>
      </c>
      <c r="AN75" s="6">
        <v>-2.834221E-3</v>
      </c>
      <c r="AO75" s="6">
        <v>2.2322867469879514E-4</v>
      </c>
      <c r="AP75" s="6">
        <v>-4.3416119999999999E-3</v>
      </c>
      <c r="AQ75" s="6">
        <v>-3.1732840000000002E-3</v>
      </c>
      <c r="AR75" s="6">
        <v>1.4076240963855418E-4</v>
      </c>
      <c r="AS75" s="6">
        <v>-4.3015919999999999E-3</v>
      </c>
      <c r="AT75" s="6">
        <v>-3.6446209999999998E-3</v>
      </c>
      <c r="AU75" s="6">
        <v>7.9153132530120483E-5</v>
      </c>
      <c r="AV75" s="6">
        <v>-4.3572300000000001E-3</v>
      </c>
      <c r="AW75" s="6">
        <v>-3.1773389999999999E-3</v>
      </c>
      <c r="AX75" s="6">
        <v>1.4215554216867471E-4</v>
      </c>
      <c r="AY75" s="6">
        <v>-4.2919280000000004E-3</v>
      </c>
      <c r="AZ75" s="6">
        <v>-3.6421940000000001E-3</v>
      </c>
      <c r="BA75" s="6">
        <v>7.8281204819277144E-5</v>
      </c>
      <c r="BB75" s="6">
        <v>-4.1885760000000003E-3</v>
      </c>
      <c r="BC75" s="6">
        <v>-2.9593269999999999E-3</v>
      </c>
      <c r="BD75" s="6">
        <v>1.4810228915662654E-4</v>
      </c>
      <c r="BE75" s="6">
        <v>-4.2285949999999999E-3</v>
      </c>
      <c r="BF75" s="6">
        <v>-2.4879889999999999E-3</v>
      </c>
      <c r="BG75" s="6">
        <v>2.0971156626506022E-4</v>
      </c>
      <c r="BH75" s="6">
        <v>-4.172958E-3</v>
      </c>
      <c r="BI75" s="6">
        <v>-2.9552720000000001E-3</v>
      </c>
      <c r="BJ75" s="6">
        <v>1.46709156626506E-4</v>
      </c>
      <c r="BK75" s="6">
        <v>-4.2382590000000003E-3</v>
      </c>
      <c r="BL75" s="6">
        <v>-2.490417E-3</v>
      </c>
      <c r="BM75" s="6">
        <v>2.1058337349397593E-4</v>
      </c>
      <c r="BN75" s="6">
        <v>-5.2603629999999997E-3</v>
      </c>
      <c r="BO75" s="6">
        <v>-3.8433069999999998E-3</v>
      </c>
      <c r="BP75" s="6">
        <v>1.7072963855421683E-4</v>
      </c>
      <c r="BQ75" s="6">
        <v>-5.2483579999999998E-3</v>
      </c>
      <c r="BR75" s="6">
        <v>-3.984708E-3</v>
      </c>
      <c r="BS75" s="6">
        <v>1.522469879518072E-4</v>
      </c>
      <c r="BT75" s="6">
        <v>-5.2650489999999999E-3</v>
      </c>
      <c r="BU75" s="6">
        <v>-3.8445229999999999E-3</v>
      </c>
      <c r="BV75" s="6">
        <v>1.711477108433735E-4</v>
      </c>
      <c r="BW75" s="6">
        <v>-5.2454579999999997E-3</v>
      </c>
      <c r="BX75" s="6">
        <v>-3.9839799999999998E-3</v>
      </c>
      <c r="BY75" s="6">
        <v>1.5198530120481924E-4</v>
      </c>
      <c r="BZ75" s="6">
        <v>-5.2144519999999996E-3</v>
      </c>
      <c r="CA75" s="6">
        <v>-3.77912E-3</v>
      </c>
      <c r="CB75" s="6">
        <v>1.7293156626506018E-4</v>
      </c>
      <c r="CC75" s="6">
        <v>-5.2264579999999998E-3</v>
      </c>
      <c r="CD75" s="6">
        <v>-3.6377190000000002E-3</v>
      </c>
      <c r="CE75" s="6">
        <v>1.9141433734939752E-4</v>
      </c>
      <c r="CF75" s="6">
        <v>-5.2097669999999997E-3</v>
      </c>
      <c r="CG75" s="6">
        <v>-3.777903E-3</v>
      </c>
      <c r="CH75" s="6">
        <v>1.7251373493975899E-4</v>
      </c>
      <c r="CI75" s="6">
        <v>-5.2293569999999996E-3</v>
      </c>
      <c r="CJ75" s="6">
        <v>-3.6384469999999999E-3</v>
      </c>
      <c r="CK75" s="6">
        <v>1.9167590361445776E-4</v>
      </c>
      <c r="CL75" s="6">
        <v>-3.7644950000000001E-3</v>
      </c>
      <c r="CM75" s="6">
        <v>-2.6972950000000002E-3</v>
      </c>
      <c r="CN75" s="6">
        <v>1.2857831325301203E-4</v>
      </c>
      <c r="CO75" s="6">
        <v>-3.7524899999999998E-3</v>
      </c>
      <c r="CP75" s="6">
        <v>-2.8386959999999999E-3</v>
      </c>
      <c r="CQ75" s="6">
        <v>1.1009566265060238E-4</v>
      </c>
      <c r="CR75" s="6">
        <v>-3.7691809999999999E-3</v>
      </c>
      <c r="CS75" s="6">
        <v>-2.6985109999999998E-3</v>
      </c>
      <c r="CT75" s="6">
        <v>1.2899638554216868E-4</v>
      </c>
      <c r="CU75" s="6">
        <v>-3.7495900000000001E-3</v>
      </c>
      <c r="CV75" s="6">
        <v>-2.8379669999999998E-3</v>
      </c>
      <c r="CW75" s="6">
        <v>1.098340963855422E-4</v>
      </c>
      <c r="CX75" s="6">
        <v>-3.7185849999999999E-3</v>
      </c>
      <c r="CY75" s="6">
        <v>-2.633107E-3</v>
      </c>
      <c r="CZ75" s="6">
        <v>1.3078048192771084E-4</v>
      </c>
      <c r="DA75" s="6">
        <v>-3.7305900000000002E-3</v>
      </c>
      <c r="DB75" s="6">
        <v>-2.4917060000000002E-3</v>
      </c>
      <c r="DC75" s="6">
        <v>1.4926313253012046E-4</v>
      </c>
      <c r="DD75" s="6">
        <v>-3.7138990000000001E-3</v>
      </c>
      <c r="DE75" s="6">
        <v>-2.6318909999999999E-3</v>
      </c>
      <c r="DF75" s="6">
        <v>1.3036240963855422E-4</v>
      </c>
      <c r="DG75" s="6">
        <v>-3.733489E-3</v>
      </c>
      <c r="DH75" s="6">
        <v>-2.492434E-3</v>
      </c>
      <c r="DI75" s="6">
        <v>1.4952469879518071E-4</v>
      </c>
    </row>
    <row r="76" spans="1:113" x14ac:dyDescent="0.3">
      <c r="A76" s="13" t="s">
        <v>422</v>
      </c>
      <c r="B76" s="13" t="s">
        <v>322</v>
      </c>
      <c r="C76" s="13" t="s">
        <v>324</v>
      </c>
      <c r="D76" s="13" t="s">
        <v>350</v>
      </c>
      <c r="E76" s="13">
        <v>10.7</v>
      </c>
      <c r="F76" s="6">
        <v>-1.4583479999999999E-3</v>
      </c>
      <c r="G76" s="6">
        <v>-1.4493100000000001E-3</v>
      </c>
      <c r="H76" s="6">
        <v>8.4467289719624693E-7</v>
      </c>
      <c r="I76" s="6">
        <v>-1.8308910000000001E-3</v>
      </c>
      <c r="J76" s="6">
        <v>-1.8071579999999999E-3</v>
      </c>
      <c r="K76" s="6">
        <v>2.2180373831775863E-6</v>
      </c>
      <c r="L76" s="6">
        <v>-1.85663E-3</v>
      </c>
      <c r="M76" s="6">
        <v>-1.8393369999999999E-3</v>
      </c>
      <c r="N76" s="6">
        <v>1.6161682242990691E-6</v>
      </c>
      <c r="O76" s="6">
        <v>-2.2102950000000001E-3</v>
      </c>
      <c r="P76" s="6">
        <v>-2.1786290000000001E-3</v>
      </c>
      <c r="Q76" s="6">
        <v>2.9594392523364555E-6</v>
      </c>
      <c r="R76" s="6">
        <v>-2.018826E-3</v>
      </c>
      <c r="S76" s="6">
        <v>-2.1817149999999999E-3</v>
      </c>
      <c r="T76" s="6">
        <v>1.5223271028037368E-5</v>
      </c>
      <c r="U76" s="6">
        <v>-2.3322989999999999E-3</v>
      </c>
      <c r="V76" s="6">
        <v>-2.3451380000000001E-3</v>
      </c>
      <c r="W76" s="6">
        <v>1.1999065420560905E-6</v>
      </c>
      <c r="X76" s="6">
        <v>-2.0160080000000001E-3</v>
      </c>
      <c r="Y76" s="6">
        <v>-2.1796160000000001E-3</v>
      </c>
      <c r="Z76" s="6">
        <v>1.5290467289719625E-5</v>
      </c>
      <c r="AA76" s="6">
        <v>-2.4073369999999998E-3</v>
      </c>
      <c r="AB76" s="6">
        <v>-2.3821250000000001E-3</v>
      </c>
      <c r="AC76" s="6">
        <v>2.3562616822429645E-6</v>
      </c>
      <c r="AD76" s="6">
        <v>-2.2594960000000002E-3</v>
      </c>
      <c r="AE76" s="6">
        <v>-2.0388329999999999E-3</v>
      </c>
      <c r="AF76" s="6">
        <v>2.0622710280373861E-5</v>
      </c>
      <c r="AG76" s="6">
        <v>-1.8726350000000001E-3</v>
      </c>
      <c r="AH76" s="6">
        <v>-1.8396420000000001E-3</v>
      </c>
      <c r="AI76" s="6">
        <v>3.0834579439252376E-6</v>
      </c>
      <c r="AJ76" s="6">
        <v>-2.2623140000000001E-3</v>
      </c>
      <c r="AK76" s="6">
        <v>-2.040933E-3</v>
      </c>
      <c r="AL76" s="6">
        <v>2.0689813084112159E-5</v>
      </c>
      <c r="AM76" s="6">
        <v>-1.8709849999999999E-3</v>
      </c>
      <c r="AN76" s="6">
        <v>-1.8384230000000001E-3</v>
      </c>
      <c r="AO76" s="6">
        <v>3.043177570093446E-6</v>
      </c>
      <c r="AP76" s="6">
        <v>-1.7816889999999999E-3</v>
      </c>
      <c r="AQ76" s="6">
        <v>-1.946953E-3</v>
      </c>
      <c r="AR76" s="6">
        <v>1.5445233644859816E-5</v>
      </c>
      <c r="AS76" s="6">
        <v>-2.16855E-3</v>
      </c>
      <c r="AT76" s="6">
        <v>-2.1461449999999999E-3</v>
      </c>
      <c r="AU76" s="6">
        <v>2.0939252336448677E-6</v>
      </c>
      <c r="AV76" s="6">
        <v>-1.778871E-3</v>
      </c>
      <c r="AW76" s="6">
        <v>-1.944854E-3</v>
      </c>
      <c r="AX76" s="6">
        <v>1.5512429906542053E-5</v>
      </c>
      <c r="AY76" s="6">
        <v>-2.1702000000000002E-3</v>
      </c>
      <c r="AZ76" s="6">
        <v>-2.1473629999999998E-3</v>
      </c>
      <c r="BA76" s="6">
        <v>2.1342990654205963E-6</v>
      </c>
      <c r="BB76" s="6">
        <v>-2.02236E-3</v>
      </c>
      <c r="BC76" s="6">
        <v>-1.804071E-3</v>
      </c>
      <c r="BD76" s="6">
        <v>2.0400841121495328E-5</v>
      </c>
      <c r="BE76" s="6">
        <v>-1.635498E-3</v>
      </c>
      <c r="BF76" s="6">
        <v>-1.6048799999999999E-3</v>
      </c>
      <c r="BG76" s="6">
        <v>2.8614953271028088E-6</v>
      </c>
      <c r="BH76" s="6">
        <v>-2.025177E-3</v>
      </c>
      <c r="BI76" s="6">
        <v>-1.8061710000000001E-3</v>
      </c>
      <c r="BJ76" s="6">
        <v>2.0467850467289711E-5</v>
      </c>
      <c r="BK76" s="6">
        <v>-1.633848E-3</v>
      </c>
      <c r="BL76" s="6">
        <v>-1.6036609999999999E-3</v>
      </c>
      <c r="BM76" s="6">
        <v>2.8212149532710371E-6</v>
      </c>
      <c r="BN76" s="6">
        <v>-2.379721E-3</v>
      </c>
      <c r="BO76" s="6">
        <v>-2.4055959999999999E-3</v>
      </c>
      <c r="BP76" s="6">
        <v>2.4182242990654072E-6</v>
      </c>
      <c r="BQ76" s="6">
        <v>-2.4957790000000001E-3</v>
      </c>
      <c r="BR76" s="6">
        <v>-2.465353E-3</v>
      </c>
      <c r="BS76" s="6">
        <v>2.843551401869165E-6</v>
      </c>
      <c r="BT76" s="6">
        <v>-2.3788749999999999E-3</v>
      </c>
      <c r="BU76" s="6">
        <v>-2.4049660000000001E-3</v>
      </c>
      <c r="BV76" s="6">
        <v>2.438411214953292E-6</v>
      </c>
      <c r="BW76" s="6">
        <v>-2.4962740000000001E-3</v>
      </c>
      <c r="BX76" s="6">
        <v>-2.4657189999999999E-3</v>
      </c>
      <c r="BY76" s="6">
        <v>2.855607476635538E-6</v>
      </c>
      <c r="BZ76" s="6">
        <v>-2.451922E-3</v>
      </c>
      <c r="CA76" s="6">
        <v>-2.3627309999999999E-3</v>
      </c>
      <c r="CB76" s="6">
        <v>8.3356074766355321E-6</v>
      </c>
      <c r="CC76" s="6">
        <v>-2.3358630000000001E-3</v>
      </c>
      <c r="CD76" s="6">
        <v>-2.3029740000000002E-3</v>
      </c>
      <c r="CE76" s="6">
        <v>3.0737383177570021E-6</v>
      </c>
      <c r="CF76" s="6">
        <v>-2.4527669999999998E-3</v>
      </c>
      <c r="CG76" s="6">
        <v>-2.363361E-3</v>
      </c>
      <c r="CH76" s="6">
        <v>8.3557009345794185E-6</v>
      </c>
      <c r="CI76" s="6">
        <v>-2.335368E-3</v>
      </c>
      <c r="CJ76" s="6">
        <v>-2.3026079999999998E-3</v>
      </c>
      <c r="CK76" s="6">
        <v>3.0616822429906703E-6</v>
      </c>
      <c r="CL76" s="6">
        <v>-1.589264E-3</v>
      </c>
      <c r="CM76" s="6">
        <v>-1.6230560000000001E-3</v>
      </c>
      <c r="CN76" s="6">
        <v>3.1581308411215097E-6</v>
      </c>
      <c r="CO76" s="6">
        <v>-1.705322E-3</v>
      </c>
      <c r="CP76" s="6">
        <v>-1.682813E-3</v>
      </c>
      <c r="CQ76" s="6">
        <v>2.1036448598130829E-6</v>
      </c>
      <c r="CR76" s="6">
        <v>-1.5884180000000001E-3</v>
      </c>
      <c r="CS76" s="6">
        <v>-1.6224259999999999E-3</v>
      </c>
      <c r="CT76" s="6">
        <v>3.1783177570093335E-6</v>
      </c>
      <c r="CU76" s="6">
        <v>-1.7058170000000001E-3</v>
      </c>
      <c r="CV76" s="6">
        <v>-1.6831789999999999E-3</v>
      </c>
      <c r="CW76" s="6">
        <v>2.1157009345794554E-6</v>
      </c>
      <c r="CX76" s="6">
        <v>-1.661465E-3</v>
      </c>
      <c r="CY76" s="6">
        <v>-1.5801910000000001E-3</v>
      </c>
      <c r="CZ76" s="6">
        <v>7.5957009345794292E-6</v>
      </c>
      <c r="DA76" s="6">
        <v>-1.5454069999999999E-3</v>
      </c>
      <c r="DB76" s="6">
        <v>-1.520434E-3</v>
      </c>
      <c r="DC76" s="6">
        <v>2.3339252336448569E-6</v>
      </c>
      <c r="DD76" s="6">
        <v>-1.66231E-3</v>
      </c>
      <c r="DE76" s="6">
        <v>-1.580821E-3</v>
      </c>
      <c r="DF76" s="6">
        <v>7.6157943925233562E-6</v>
      </c>
      <c r="DG76" s="6">
        <v>-1.5449120000000001E-3</v>
      </c>
      <c r="DH76" s="6">
        <v>-1.5200680000000001E-3</v>
      </c>
      <c r="DI76" s="6">
        <v>2.3218691588785043E-6</v>
      </c>
    </row>
    <row r="77" spans="1:113" x14ac:dyDescent="0.3">
      <c r="A77" s="13" t="s">
        <v>423</v>
      </c>
      <c r="B77" s="13" t="s">
        <v>290</v>
      </c>
      <c r="C77" s="13" t="s">
        <v>324</v>
      </c>
      <c r="D77" s="13" t="s">
        <v>364</v>
      </c>
      <c r="E77" s="13">
        <v>5.75</v>
      </c>
      <c r="F77" s="6">
        <v>-2.084799E-3</v>
      </c>
      <c r="G77" s="6">
        <v>-1.4493100000000001E-3</v>
      </c>
      <c r="H77" s="6">
        <v>1.1051982608695651E-4</v>
      </c>
      <c r="I77" s="6">
        <v>-2.952409E-3</v>
      </c>
      <c r="J77" s="6">
        <v>-1.8071579999999999E-3</v>
      </c>
      <c r="K77" s="6">
        <v>1.9917408695652175E-4</v>
      </c>
      <c r="L77" s="6">
        <v>-2.6849780000000002E-3</v>
      </c>
      <c r="M77" s="6">
        <v>-1.8393369999999999E-3</v>
      </c>
      <c r="N77" s="6">
        <v>1.4706800000000004E-4</v>
      </c>
      <c r="O77" s="6">
        <v>-3.5240050000000002E-3</v>
      </c>
      <c r="P77" s="6">
        <v>-2.1786290000000001E-3</v>
      </c>
      <c r="Q77" s="6">
        <v>2.3397843478260871E-4</v>
      </c>
      <c r="R77" s="6">
        <v>-3.5170879999999998E-3</v>
      </c>
      <c r="S77" s="6">
        <v>-2.1817149999999999E-3</v>
      </c>
      <c r="T77" s="6">
        <v>2.3223878260869563E-4</v>
      </c>
      <c r="U77" s="6">
        <v>-3.9895670000000003E-3</v>
      </c>
      <c r="V77" s="6">
        <v>-2.3451380000000001E-3</v>
      </c>
      <c r="W77" s="6">
        <v>2.859876521739131E-4</v>
      </c>
      <c r="X77" s="6">
        <v>-3.521143E-3</v>
      </c>
      <c r="Y77" s="6">
        <v>-2.1796160000000001E-3</v>
      </c>
      <c r="Z77" s="6">
        <v>2.3330904347826085E-4</v>
      </c>
      <c r="AA77" s="6">
        <v>-3.9859969999999998E-3</v>
      </c>
      <c r="AB77" s="6">
        <v>-2.3821250000000001E-3</v>
      </c>
      <c r="AC77" s="6">
        <v>2.7893426086956515E-4</v>
      </c>
      <c r="AD77" s="6">
        <v>-3.30313E-3</v>
      </c>
      <c r="AE77" s="6">
        <v>-2.0388329999999999E-3</v>
      </c>
      <c r="AF77" s="6">
        <v>2.198777391304348E-4</v>
      </c>
      <c r="AG77" s="6">
        <v>-2.831793E-3</v>
      </c>
      <c r="AH77" s="6">
        <v>-1.8396420000000001E-3</v>
      </c>
      <c r="AI77" s="6">
        <v>1.7254799999999999E-4</v>
      </c>
      <c r="AJ77" s="6">
        <v>-3.2990749999999998E-3</v>
      </c>
      <c r="AK77" s="6">
        <v>-2.040933E-3</v>
      </c>
      <c r="AL77" s="6">
        <v>2.1880730434782606E-4</v>
      </c>
      <c r="AM77" s="6">
        <v>-2.834221E-3</v>
      </c>
      <c r="AN77" s="6">
        <v>-1.8384230000000001E-3</v>
      </c>
      <c r="AO77" s="6">
        <v>1.731822608695652E-4</v>
      </c>
      <c r="AP77" s="6">
        <v>-3.1732840000000002E-3</v>
      </c>
      <c r="AQ77" s="6">
        <v>-1.946953E-3</v>
      </c>
      <c r="AR77" s="6">
        <v>2.1327495652173918E-4</v>
      </c>
      <c r="AS77" s="6">
        <v>-3.6446209999999998E-3</v>
      </c>
      <c r="AT77" s="6">
        <v>-2.1461449999999999E-3</v>
      </c>
      <c r="AU77" s="6">
        <v>2.6060452173913042E-4</v>
      </c>
      <c r="AV77" s="6">
        <v>-3.1773389999999999E-3</v>
      </c>
      <c r="AW77" s="6">
        <v>-1.944854E-3</v>
      </c>
      <c r="AX77" s="6">
        <v>2.1434521739130435E-4</v>
      </c>
      <c r="AY77" s="6">
        <v>-3.6421940000000001E-3</v>
      </c>
      <c r="AZ77" s="6">
        <v>-2.1473629999999998E-3</v>
      </c>
      <c r="BA77" s="6">
        <v>2.599706086956522E-4</v>
      </c>
      <c r="BB77" s="6">
        <v>-2.9593269999999999E-3</v>
      </c>
      <c r="BC77" s="6">
        <v>-1.804071E-3</v>
      </c>
      <c r="BD77" s="6">
        <v>2.0091408695652172E-4</v>
      </c>
      <c r="BE77" s="6">
        <v>-2.4879889999999999E-3</v>
      </c>
      <c r="BF77" s="6">
        <v>-1.6048799999999999E-3</v>
      </c>
      <c r="BG77" s="6">
        <v>1.5358417391304348E-4</v>
      </c>
      <c r="BH77" s="6">
        <v>-2.9552720000000001E-3</v>
      </c>
      <c r="BI77" s="6">
        <v>-1.8061710000000001E-3</v>
      </c>
      <c r="BJ77" s="6">
        <v>1.9984365217391305E-4</v>
      </c>
      <c r="BK77" s="6">
        <v>-2.490417E-3</v>
      </c>
      <c r="BL77" s="6">
        <v>-1.6036609999999999E-3</v>
      </c>
      <c r="BM77" s="6">
        <v>1.542184347826087E-4</v>
      </c>
      <c r="BN77" s="6">
        <v>-3.8433069999999998E-3</v>
      </c>
      <c r="BO77" s="6">
        <v>-2.4055959999999999E-3</v>
      </c>
      <c r="BP77" s="6">
        <v>2.5003669565217392E-4</v>
      </c>
      <c r="BQ77" s="6">
        <v>-3.984708E-3</v>
      </c>
      <c r="BR77" s="6">
        <v>-2.465353E-3</v>
      </c>
      <c r="BS77" s="6">
        <v>2.6423565217391305E-4</v>
      </c>
      <c r="BT77" s="6">
        <v>-3.8445229999999999E-3</v>
      </c>
      <c r="BU77" s="6">
        <v>-2.4049660000000001E-3</v>
      </c>
      <c r="BV77" s="6">
        <v>2.5035773913043474E-4</v>
      </c>
      <c r="BW77" s="6">
        <v>-3.9839799999999998E-3</v>
      </c>
      <c r="BX77" s="6">
        <v>-2.4657189999999999E-3</v>
      </c>
      <c r="BY77" s="6">
        <v>2.6404539130434784E-4</v>
      </c>
      <c r="BZ77" s="6">
        <v>-3.77912E-3</v>
      </c>
      <c r="CA77" s="6">
        <v>-2.3627309999999999E-3</v>
      </c>
      <c r="CB77" s="6">
        <v>2.4632852173913045E-4</v>
      </c>
      <c r="CC77" s="6">
        <v>-3.6377190000000002E-3</v>
      </c>
      <c r="CD77" s="6">
        <v>-2.3029740000000002E-3</v>
      </c>
      <c r="CE77" s="6">
        <v>2.3212956521739131E-4</v>
      </c>
      <c r="CF77" s="6">
        <v>-3.777903E-3</v>
      </c>
      <c r="CG77" s="6">
        <v>-2.363361E-3</v>
      </c>
      <c r="CH77" s="6">
        <v>2.4600730434782609E-4</v>
      </c>
      <c r="CI77" s="6">
        <v>-3.6384469999999999E-3</v>
      </c>
      <c r="CJ77" s="6">
        <v>-2.3026079999999998E-3</v>
      </c>
      <c r="CK77" s="6">
        <v>2.3231982608695655E-4</v>
      </c>
      <c r="CL77" s="6">
        <v>-2.6972950000000002E-3</v>
      </c>
      <c r="CM77" s="6">
        <v>-1.6230560000000001E-3</v>
      </c>
      <c r="CN77" s="6">
        <v>1.8682417391304348E-4</v>
      </c>
      <c r="CO77" s="6">
        <v>-2.8386959999999999E-3</v>
      </c>
      <c r="CP77" s="6">
        <v>-1.682813E-3</v>
      </c>
      <c r="CQ77" s="6">
        <v>2.0102313043478259E-4</v>
      </c>
      <c r="CR77" s="6">
        <v>-2.6985109999999998E-3</v>
      </c>
      <c r="CS77" s="6">
        <v>-1.6224259999999999E-3</v>
      </c>
      <c r="CT77" s="6">
        <v>1.8714521739130431E-4</v>
      </c>
      <c r="CU77" s="6">
        <v>-2.8379669999999998E-3</v>
      </c>
      <c r="CV77" s="6">
        <v>-1.6831789999999999E-3</v>
      </c>
      <c r="CW77" s="6">
        <v>2.008326956521739E-4</v>
      </c>
      <c r="CX77" s="6">
        <v>-2.633107E-3</v>
      </c>
      <c r="CY77" s="6">
        <v>-1.5801910000000001E-3</v>
      </c>
      <c r="CZ77" s="6">
        <v>1.8311582608695649E-4</v>
      </c>
      <c r="DA77" s="6">
        <v>-2.4917060000000002E-3</v>
      </c>
      <c r="DB77" s="6">
        <v>-1.520434E-3</v>
      </c>
      <c r="DC77" s="6">
        <v>1.6891686956521743E-4</v>
      </c>
      <c r="DD77" s="6">
        <v>-2.6318909999999999E-3</v>
      </c>
      <c r="DE77" s="6">
        <v>-1.580821E-3</v>
      </c>
      <c r="DF77" s="6">
        <v>1.8279478260869563E-4</v>
      </c>
      <c r="DG77" s="6">
        <v>-2.492434E-3</v>
      </c>
      <c r="DH77" s="6">
        <v>-1.5200680000000001E-3</v>
      </c>
      <c r="DI77" s="6">
        <v>1.691071304347826E-4</v>
      </c>
    </row>
    <row r="78" spans="1:113" x14ac:dyDescent="0.3">
      <c r="A78" s="13" t="s">
        <v>424</v>
      </c>
      <c r="B78" s="13" t="s">
        <v>76</v>
      </c>
      <c r="C78" s="13" t="s">
        <v>77</v>
      </c>
      <c r="D78" s="13" t="s">
        <v>347</v>
      </c>
      <c r="E78" s="13">
        <v>10.7</v>
      </c>
      <c r="F78" s="6">
        <v>-1.262024E-3</v>
      </c>
      <c r="G78" s="6">
        <v>-1.35962E-3</v>
      </c>
      <c r="H78" s="6">
        <v>9.1211214953270957E-6</v>
      </c>
      <c r="I78" s="6">
        <v>-1.8270090000000001E-3</v>
      </c>
      <c r="J78" s="6">
        <v>-1.9803749999999999E-3</v>
      </c>
      <c r="K78" s="6">
        <v>1.4333271028037368E-5</v>
      </c>
      <c r="L78" s="6">
        <v>-1.8408599999999999E-3</v>
      </c>
      <c r="M78" s="6">
        <v>-1.9404019999999999E-3</v>
      </c>
      <c r="N78" s="6">
        <v>9.302990654205607E-6</v>
      </c>
      <c r="O78" s="6">
        <v>-2.3792399999999999E-3</v>
      </c>
      <c r="P78" s="6">
        <v>-2.5334759999999998E-3</v>
      </c>
      <c r="Q78" s="6">
        <v>1.4414579439252325E-5</v>
      </c>
      <c r="R78" s="6">
        <v>-2.2582560000000002E-3</v>
      </c>
      <c r="S78" s="6">
        <v>-2.3805950000000001E-3</v>
      </c>
      <c r="T78" s="6">
        <v>1.1433551401869155E-5</v>
      </c>
      <c r="U78" s="6">
        <v>-2.0886559999999999E-3</v>
      </c>
      <c r="V78" s="6">
        <v>-2.2408570000000002E-3</v>
      </c>
      <c r="W78" s="6">
        <v>1.4224392523364509E-5</v>
      </c>
      <c r="X78" s="6">
        <v>-2.247663E-3</v>
      </c>
      <c r="Y78" s="6">
        <v>-2.38602E-3</v>
      </c>
      <c r="Z78" s="6">
        <v>1.293056074766355E-5</v>
      </c>
      <c r="AA78" s="6">
        <v>-2.0930229999999998E-3</v>
      </c>
      <c r="AB78" s="6">
        <v>-2.2325800000000001E-3</v>
      </c>
      <c r="AC78" s="6">
        <v>1.3042710280373854E-5</v>
      </c>
      <c r="AD78" s="6">
        <v>-2.189748E-3</v>
      </c>
      <c r="AE78" s="6">
        <v>-2.387012E-3</v>
      </c>
      <c r="AF78" s="6">
        <v>1.8435887850467285E-5</v>
      </c>
      <c r="AG78" s="6">
        <v>-2.361232E-3</v>
      </c>
      <c r="AH78" s="6">
        <v>-2.5331350000000002E-3</v>
      </c>
      <c r="AI78" s="6">
        <v>1.6065700934579455E-5</v>
      </c>
      <c r="AJ78" s="6">
        <v>-2.2003410000000002E-3</v>
      </c>
      <c r="AK78" s="6">
        <v>-2.3815870000000001E-3</v>
      </c>
      <c r="AL78" s="6">
        <v>1.693887850467289E-5</v>
      </c>
      <c r="AM78" s="6">
        <v>-2.35498E-3</v>
      </c>
      <c r="AN78" s="6">
        <v>-2.5350279999999999E-3</v>
      </c>
      <c r="AO78" s="6">
        <v>1.6826915887850463E-5</v>
      </c>
      <c r="AP78" s="6">
        <v>-2.016477E-3</v>
      </c>
      <c r="AQ78" s="6">
        <v>-2.1268400000000001E-3</v>
      </c>
      <c r="AR78" s="6">
        <v>1.0314299065420565E-5</v>
      </c>
      <c r="AS78" s="6">
        <v>-1.8449930000000001E-3</v>
      </c>
      <c r="AT78" s="6">
        <v>-1.9807169999999999E-3</v>
      </c>
      <c r="AU78" s="6">
        <v>1.2684485981308396E-5</v>
      </c>
      <c r="AV78" s="6">
        <v>-2.0058839999999999E-3</v>
      </c>
      <c r="AW78" s="6">
        <v>-2.132264E-3</v>
      </c>
      <c r="AX78" s="6">
        <v>1.1811214953271043E-5</v>
      </c>
      <c r="AY78" s="6">
        <v>-1.8512450000000001E-3</v>
      </c>
      <c r="AZ78" s="6">
        <v>-1.9788240000000001E-3</v>
      </c>
      <c r="BA78" s="6">
        <v>1.1923271028037389E-5</v>
      </c>
      <c r="BB78" s="6">
        <v>-1.9479689999999999E-3</v>
      </c>
      <c r="BC78" s="6">
        <v>-2.1332569999999999E-3</v>
      </c>
      <c r="BD78" s="6">
        <v>1.7316635514018697E-5</v>
      </c>
      <c r="BE78" s="6">
        <v>-2.1194540000000002E-3</v>
      </c>
      <c r="BF78" s="6">
        <v>-2.2793790000000002E-3</v>
      </c>
      <c r="BG78" s="6">
        <v>1.4946261682242992E-5</v>
      </c>
      <c r="BH78" s="6">
        <v>-1.958563E-3</v>
      </c>
      <c r="BI78" s="6">
        <v>-2.1278320000000001E-3</v>
      </c>
      <c r="BJ78" s="6">
        <v>1.5819532710280383E-5</v>
      </c>
      <c r="BK78" s="6">
        <v>-2.1132019999999998E-3</v>
      </c>
      <c r="BL78" s="6">
        <v>-2.281272E-3</v>
      </c>
      <c r="BM78" s="6">
        <v>1.5707476635514037E-5</v>
      </c>
      <c r="BN78" s="6">
        <v>-2.5163529999999998E-3</v>
      </c>
      <c r="BO78" s="6">
        <v>-2.6788889999999998E-3</v>
      </c>
      <c r="BP78" s="6">
        <v>1.5190280373831779E-5</v>
      </c>
      <c r="BQ78" s="6">
        <v>-2.4649070000000001E-3</v>
      </c>
      <c r="BR78" s="6">
        <v>-2.6350520000000001E-3</v>
      </c>
      <c r="BS78" s="6">
        <v>1.590140186915888E-5</v>
      </c>
      <c r="BT78" s="6">
        <v>-2.5131749999999999E-3</v>
      </c>
      <c r="BU78" s="6">
        <v>-2.6805169999999999E-3</v>
      </c>
      <c r="BV78" s="6">
        <v>1.5639439252336449E-5</v>
      </c>
      <c r="BW78" s="6">
        <v>-2.4667830000000002E-3</v>
      </c>
      <c r="BX78" s="6">
        <v>-2.6344850000000002E-3</v>
      </c>
      <c r="BY78" s="6">
        <v>1.5673084112149538E-5</v>
      </c>
      <c r="BZ78" s="6">
        <v>-2.4957999999999998E-3</v>
      </c>
      <c r="CA78" s="6">
        <v>-2.6808140000000001E-3</v>
      </c>
      <c r="CB78" s="6">
        <v>1.7291028037383204E-5</v>
      </c>
      <c r="CC78" s="6">
        <v>-2.547246E-3</v>
      </c>
      <c r="CD78" s="6">
        <v>-2.7246509999999998E-3</v>
      </c>
      <c r="CE78" s="6">
        <v>1.6579906542056061E-5</v>
      </c>
      <c r="CF78" s="6">
        <v>-2.4989779999999998E-3</v>
      </c>
      <c r="CG78" s="6">
        <v>-2.679187E-3</v>
      </c>
      <c r="CH78" s="6">
        <v>1.6841962616822448E-5</v>
      </c>
      <c r="CI78" s="6">
        <v>-2.5453699999999999E-3</v>
      </c>
      <c r="CJ78" s="6">
        <v>-2.7252190000000001E-3</v>
      </c>
      <c r="CK78" s="6">
        <v>1.680831775700936E-5</v>
      </c>
      <c r="CL78" s="6">
        <v>-1.710425E-3</v>
      </c>
      <c r="CM78" s="6">
        <v>-1.8330379999999999E-3</v>
      </c>
      <c r="CN78" s="6">
        <v>1.1459158878504667E-5</v>
      </c>
      <c r="CO78" s="6">
        <v>-1.6589790000000001E-3</v>
      </c>
      <c r="CP78" s="6">
        <v>-1.789201E-3</v>
      </c>
      <c r="CQ78" s="6">
        <v>1.217028037383177E-5</v>
      </c>
      <c r="CR78" s="6">
        <v>-1.7072470000000001E-3</v>
      </c>
      <c r="CS78" s="6">
        <v>-1.8346650000000001E-3</v>
      </c>
      <c r="CT78" s="6">
        <v>1.1908224299065424E-5</v>
      </c>
      <c r="CU78" s="6">
        <v>-1.6608549999999999E-3</v>
      </c>
      <c r="CV78" s="6">
        <v>-1.788633E-3</v>
      </c>
      <c r="CW78" s="6">
        <v>1.194186915887851E-5</v>
      </c>
      <c r="CX78" s="6">
        <v>-1.689872E-3</v>
      </c>
      <c r="CY78" s="6">
        <v>-1.834963E-3</v>
      </c>
      <c r="CZ78" s="6">
        <v>1.3559906542056073E-5</v>
      </c>
      <c r="DA78" s="6">
        <v>-1.741317E-3</v>
      </c>
      <c r="DB78" s="6">
        <v>-1.878799E-3</v>
      </c>
      <c r="DC78" s="6">
        <v>1.284878504672897E-5</v>
      </c>
      <c r="DD78" s="6">
        <v>-1.69305E-3</v>
      </c>
      <c r="DE78" s="6">
        <v>-1.833335E-3</v>
      </c>
      <c r="DF78" s="6">
        <v>1.3110747663551401E-5</v>
      </c>
      <c r="DG78" s="6">
        <v>-1.7394419999999999E-3</v>
      </c>
      <c r="DH78" s="6">
        <v>-1.8793670000000001E-3</v>
      </c>
      <c r="DI78" s="6">
        <v>1.3077102803738333E-5</v>
      </c>
    </row>
    <row r="79" spans="1:113" x14ac:dyDescent="0.3">
      <c r="A79" s="13" t="s">
        <v>425</v>
      </c>
      <c r="B79" s="13" t="s">
        <v>112</v>
      </c>
      <c r="C79" s="13" t="s">
        <v>113</v>
      </c>
      <c r="D79" s="13" t="s">
        <v>347</v>
      </c>
      <c r="E79" s="13">
        <v>10.7</v>
      </c>
      <c r="F79" s="6">
        <v>-1.7882169999999999E-3</v>
      </c>
      <c r="G79" s="6">
        <v>-2.0977050000000001E-3</v>
      </c>
      <c r="H79" s="6">
        <v>2.8924112149532722E-5</v>
      </c>
      <c r="I79" s="6">
        <v>-2.6068279999999998E-3</v>
      </c>
      <c r="J79" s="6">
        <v>-3.0417E-3</v>
      </c>
      <c r="K79" s="6">
        <v>4.0642242990654231E-5</v>
      </c>
      <c r="L79" s="6">
        <v>-2.3906890000000001E-3</v>
      </c>
      <c r="M79" s="6">
        <v>-2.70185E-3</v>
      </c>
      <c r="N79" s="6">
        <v>2.908046728971962E-5</v>
      </c>
      <c r="O79" s="6">
        <v>-3.1822909999999999E-3</v>
      </c>
      <c r="P79" s="6">
        <v>-3.6169980000000002E-3</v>
      </c>
      <c r="Q79" s="6">
        <v>4.0626822429906574E-5</v>
      </c>
      <c r="R79" s="6">
        <v>-3.1666929999999999E-3</v>
      </c>
      <c r="S79" s="6">
        <v>-3.443116E-3</v>
      </c>
      <c r="T79" s="6">
        <v>2.5833925233644865E-5</v>
      </c>
      <c r="U79" s="6">
        <v>-3.0614209999999999E-3</v>
      </c>
      <c r="V79" s="6">
        <v>-3.4914659999999999E-3</v>
      </c>
      <c r="W79" s="6">
        <v>4.0191121495327107E-5</v>
      </c>
      <c r="X79" s="6">
        <v>-3.1512329999999998E-3</v>
      </c>
      <c r="Y79" s="6">
        <v>-3.4531779999999999E-3</v>
      </c>
      <c r="Z79" s="6">
        <v>2.8219158878504681E-5</v>
      </c>
      <c r="AA79" s="6">
        <v>-3.0699659999999999E-3</v>
      </c>
      <c r="AB79" s="6">
        <v>-3.4879249999999998E-3</v>
      </c>
      <c r="AC79" s="6">
        <v>3.9061588785046716E-5</v>
      </c>
      <c r="AD79" s="6">
        <v>-2.9310260000000002E-3</v>
      </c>
      <c r="AE79" s="6">
        <v>-3.5615519999999999E-3</v>
      </c>
      <c r="AF79" s="6">
        <v>5.8927663551401847E-5</v>
      </c>
      <c r="AG79" s="6">
        <v>-3.0368679999999999E-3</v>
      </c>
      <c r="AH79" s="6">
        <v>-3.5126850000000002E-3</v>
      </c>
      <c r="AI79" s="6">
        <v>4.4468878504672933E-5</v>
      </c>
      <c r="AJ79" s="6">
        <v>-2.9464859999999999E-3</v>
      </c>
      <c r="AK79" s="6">
        <v>-3.55149E-3</v>
      </c>
      <c r="AL79" s="6">
        <v>5.6542429906542069E-5</v>
      </c>
      <c r="AM79" s="6">
        <v>-3.0277530000000002E-3</v>
      </c>
      <c r="AN79" s="6">
        <v>-3.5167430000000001E-3</v>
      </c>
      <c r="AO79" s="6">
        <v>4.5699999999999993E-5</v>
      </c>
      <c r="AP79" s="6">
        <v>-2.8580569999999998E-3</v>
      </c>
      <c r="AQ79" s="6">
        <v>-3.0971480000000001E-3</v>
      </c>
      <c r="AR79" s="6">
        <v>2.2344953271028068E-5</v>
      </c>
      <c r="AS79" s="6">
        <v>-2.7522139999999998E-3</v>
      </c>
      <c r="AT79" s="6">
        <v>-3.1460139999999999E-3</v>
      </c>
      <c r="AU79" s="6">
        <v>3.6803738317757023E-5</v>
      </c>
      <c r="AV79" s="6">
        <v>-2.8425960000000002E-3</v>
      </c>
      <c r="AW79" s="6">
        <v>-3.1072090000000001E-3</v>
      </c>
      <c r="AX79" s="6">
        <v>2.4730186915887843E-5</v>
      </c>
      <c r="AY79" s="6">
        <v>-2.7613300000000002E-3</v>
      </c>
      <c r="AZ79" s="6">
        <v>-3.1419569999999999E-3</v>
      </c>
      <c r="BA79" s="6">
        <v>3.5572616822429882E-5</v>
      </c>
      <c r="BB79" s="6">
        <v>-2.6223890000000001E-3</v>
      </c>
      <c r="BC79" s="6">
        <v>-3.2155840000000001E-3</v>
      </c>
      <c r="BD79" s="6">
        <v>5.5438785046728965E-5</v>
      </c>
      <c r="BE79" s="6">
        <v>-2.7282309999999998E-3</v>
      </c>
      <c r="BF79" s="6">
        <v>-3.1667169999999999E-3</v>
      </c>
      <c r="BG79" s="6">
        <v>4.0980000000000011E-5</v>
      </c>
      <c r="BH79" s="6">
        <v>-2.6378500000000002E-3</v>
      </c>
      <c r="BI79" s="6">
        <v>-3.2055220000000001E-3</v>
      </c>
      <c r="BJ79" s="6">
        <v>5.3053457943925234E-5</v>
      </c>
      <c r="BK79" s="6">
        <v>-2.7191160000000002E-3</v>
      </c>
      <c r="BL79" s="6">
        <v>-3.1707749999999998E-3</v>
      </c>
      <c r="BM79" s="6">
        <v>4.221112149532707E-5</v>
      </c>
      <c r="BN79" s="6">
        <v>-3.444286E-3</v>
      </c>
      <c r="BO79" s="6">
        <v>-3.8881979999999998E-3</v>
      </c>
      <c r="BP79" s="6">
        <v>4.1487102803738305E-5</v>
      </c>
      <c r="BQ79" s="6">
        <v>-3.4125330000000001E-3</v>
      </c>
      <c r="BR79" s="6">
        <v>-3.9028579999999999E-3</v>
      </c>
      <c r="BS79" s="6">
        <v>4.5824766355140168E-5</v>
      </c>
      <c r="BT79" s="6">
        <v>-3.4396470000000001E-3</v>
      </c>
      <c r="BU79" s="6">
        <v>-3.8912170000000002E-3</v>
      </c>
      <c r="BV79" s="6">
        <v>4.2202803738317769E-5</v>
      </c>
      <c r="BW79" s="6">
        <v>-3.4152679999999999E-3</v>
      </c>
      <c r="BX79" s="6">
        <v>-3.901641E-3</v>
      </c>
      <c r="BY79" s="6">
        <v>4.5455420560747669E-5</v>
      </c>
      <c r="BZ79" s="6">
        <v>-3.3735850000000001E-3</v>
      </c>
      <c r="CA79" s="6">
        <v>-3.9237289999999999E-3</v>
      </c>
      <c r="CB79" s="6">
        <v>5.1415327102803721E-5</v>
      </c>
      <c r="CC79" s="6">
        <v>-3.4053379999999999E-3</v>
      </c>
      <c r="CD79" s="6">
        <v>-3.9090690000000003E-3</v>
      </c>
      <c r="CE79" s="6">
        <v>4.7077663551401905E-5</v>
      </c>
      <c r="CF79" s="6">
        <v>-3.378224E-3</v>
      </c>
      <c r="CG79" s="6">
        <v>-3.9207110000000003E-3</v>
      </c>
      <c r="CH79" s="6">
        <v>5.0699719626168263E-5</v>
      </c>
      <c r="CI79" s="6">
        <v>-3.402604E-3</v>
      </c>
      <c r="CJ79" s="6">
        <v>-3.9102859999999998E-3</v>
      </c>
      <c r="CK79" s="6">
        <v>4.7446915887850444E-5</v>
      </c>
      <c r="CL79" s="6">
        <v>-2.415497E-3</v>
      </c>
      <c r="CM79" s="6">
        <v>-2.7349710000000001E-3</v>
      </c>
      <c r="CN79" s="6">
        <v>2.985738317757011E-5</v>
      </c>
      <c r="CO79" s="6">
        <v>-2.3837440000000001E-3</v>
      </c>
      <c r="CP79" s="6">
        <v>-2.7496310000000002E-3</v>
      </c>
      <c r="CQ79" s="6">
        <v>3.419504672897197E-5</v>
      </c>
      <c r="CR79" s="6">
        <v>-2.410859E-3</v>
      </c>
      <c r="CS79" s="6">
        <v>-2.7379890000000001E-3</v>
      </c>
      <c r="CT79" s="6">
        <v>3.05728971962617E-5</v>
      </c>
      <c r="CU79" s="6">
        <v>-2.3864789999999999E-3</v>
      </c>
      <c r="CV79" s="6">
        <v>-2.7484129999999999E-3</v>
      </c>
      <c r="CW79" s="6">
        <v>3.3825607476635512E-5</v>
      </c>
      <c r="CX79" s="6">
        <v>-2.344797E-3</v>
      </c>
      <c r="CY79" s="6">
        <v>-2.7705009999999999E-3</v>
      </c>
      <c r="CZ79" s="6">
        <v>3.9785420560747651E-5</v>
      </c>
      <c r="DA79" s="6">
        <v>-2.3765499999999998E-3</v>
      </c>
      <c r="DB79" s="6">
        <v>-2.7558410000000002E-3</v>
      </c>
      <c r="DC79" s="6">
        <v>3.5447757009345828E-5</v>
      </c>
      <c r="DD79" s="6">
        <v>-2.349435E-3</v>
      </c>
      <c r="DE79" s="6">
        <v>-2.7674829999999998E-3</v>
      </c>
      <c r="DF79" s="6">
        <v>3.9069906542056065E-5</v>
      </c>
      <c r="DG79" s="6">
        <v>-2.373815E-3</v>
      </c>
      <c r="DH79" s="6">
        <v>-2.7570590000000001E-3</v>
      </c>
      <c r="DI79" s="6">
        <v>3.5817196261682246E-5</v>
      </c>
    </row>
    <row r="80" spans="1:113" x14ac:dyDescent="0.3">
      <c r="A80" s="13" t="s">
        <v>426</v>
      </c>
      <c r="B80" s="13" t="s">
        <v>148</v>
      </c>
      <c r="C80" s="13" t="s">
        <v>149</v>
      </c>
      <c r="D80" s="13" t="s">
        <v>347</v>
      </c>
      <c r="E80" s="13">
        <v>10.7</v>
      </c>
      <c r="F80" s="6">
        <v>-1.77699E-3</v>
      </c>
      <c r="G80" s="6">
        <v>-2.1464800000000001E-3</v>
      </c>
      <c r="H80" s="6">
        <v>3.4531775700934589E-5</v>
      </c>
      <c r="I80" s="6">
        <v>-2.5824120000000001E-3</v>
      </c>
      <c r="J80" s="6">
        <v>-3.079474E-3</v>
      </c>
      <c r="K80" s="6">
        <v>4.6454392523364485E-5</v>
      </c>
      <c r="L80" s="6">
        <v>-2.3751639999999999E-3</v>
      </c>
      <c r="M80" s="6">
        <v>-2.7458000000000001E-3</v>
      </c>
      <c r="N80" s="6">
        <v>3.4638878504672914E-5</v>
      </c>
      <c r="O80" s="6">
        <v>-3.153107E-3</v>
      </c>
      <c r="P80" s="6">
        <v>-3.650206E-3</v>
      </c>
      <c r="Q80" s="6">
        <v>4.6457850467289718E-5</v>
      </c>
      <c r="R80" s="6">
        <v>-3.1273189999999999E-3</v>
      </c>
      <c r="S80" s="6">
        <v>-3.4831469999999998E-3</v>
      </c>
      <c r="T80" s="6">
        <v>3.325495327102803E-5</v>
      </c>
      <c r="U80" s="6">
        <v>-3.0252539999999998E-3</v>
      </c>
      <c r="V80" s="6">
        <v>-3.5410390000000002E-3</v>
      </c>
      <c r="W80" s="6">
        <v>4.8204205607476677E-5</v>
      </c>
      <c r="X80" s="6">
        <v>-3.122863E-3</v>
      </c>
      <c r="Y80" s="6">
        <v>-3.4834150000000001E-3</v>
      </c>
      <c r="Z80" s="6">
        <v>3.3696448598130855E-5</v>
      </c>
      <c r="AA80" s="6">
        <v>-3.0270150000000001E-3</v>
      </c>
      <c r="AB80" s="6">
        <v>-3.5407839999999999E-3</v>
      </c>
      <c r="AC80" s="6">
        <v>4.8015794392523354E-5</v>
      </c>
      <c r="AD80" s="6">
        <v>-2.9147909999999999E-3</v>
      </c>
      <c r="AE80" s="6">
        <v>-3.597603E-3</v>
      </c>
      <c r="AF80" s="6">
        <v>6.3814205607476651E-5</v>
      </c>
      <c r="AG80" s="6">
        <v>-3.0176930000000001E-3</v>
      </c>
      <c r="AH80" s="6">
        <v>-3.5398489999999999E-3</v>
      </c>
      <c r="AI80" s="6">
        <v>4.8799626168224278E-5</v>
      </c>
      <c r="AJ80" s="6">
        <v>-2.9192469999999998E-3</v>
      </c>
      <c r="AK80" s="6">
        <v>-3.5973350000000001E-3</v>
      </c>
      <c r="AL80" s="6">
        <v>6.3372710280373867E-5</v>
      </c>
      <c r="AM80" s="6">
        <v>-3.0150950000000002E-3</v>
      </c>
      <c r="AN80" s="6">
        <v>-3.5399659999999999E-3</v>
      </c>
      <c r="AO80" s="6">
        <v>4.9053364485981279E-5</v>
      </c>
      <c r="AP80" s="6">
        <v>-2.8207269999999999E-3</v>
      </c>
      <c r="AQ80" s="6">
        <v>-3.132077E-3</v>
      </c>
      <c r="AR80" s="6">
        <v>2.9098130841121512E-5</v>
      </c>
      <c r="AS80" s="6">
        <v>-2.7178250000000001E-3</v>
      </c>
      <c r="AT80" s="6">
        <v>-3.1898310000000002E-3</v>
      </c>
      <c r="AU80" s="6">
        <v>4.4112710280373844E-5</v>
      </c>
      <c r="AV80" s="6">
        <v>-2.816271E-3</v>
      </c>
      <c r="AW80" s="6">
        <v>-3.1323449999999999E-3</v>
      </c>
      <c r="AX80" s="6">
        <v>2.9539626168224296E-5</v>
      </c>
      <c r="AY80" s="6">
        <v>-2.720423E-3</v>
      </c>
      <c r="AZ80" s="6">
        <v>-3.1897140000000002E-3</v>
      </c>
      <c r="BA80" s="6">
        <v>4.3858971962616843E-5</v>
      </c>
      <c r="BB80" s="6">
        <v>-2.6081989999999998E-3</v>
      </c>
      <c r="BC80" s="6">
        <v>-3.2465329999999998E-3</v>
      </c>
      <c r="BD80" s="6">
        <v>5.9657383177570092E-5</v>
      </c>
      <c r="BE80" s="6">
        <v>-2.711101E-3</v>
      </c>
      <c r="BF80" s="6">
        <v>-3.18878E-3</v>
      </c>
      <c r="BG80" s="6">
        <v>4.4642897196261678E-5</v>
      </c>
      <c r="BH80" s="6">
        <v>-2.6126550000000002E-3</v>
      </c>
      <c r="BI80" s="6">
        <v>-3.2462649999999999E-3</v>
      </c>
      <c r="BJ80" s="6">
        <v>5.9215887850467267E-5</v>
      </c>
      <c r="BK80" s="6">
        <v>-2.7085030000000001E-3</v>
      </c>
      <c r="BL80" s="6">
        <v>-3.1888960000000001E-3</v>
      </c>
      <c r="BM80" s="6">
        <v>4.4896542056074768E-5</v>
      </c>
      <c r="BN80" s="6">
        <v>-3.410625E-3</v>
      </c>
      <c r="BO80" s="6">
        <v>-3.9327880000000004E-3</v>
      </c>
      <c r="BP80" s="6">
        <v>4.8800280373831818E-5</v>
      </c>
      <c r="BQ80" s="6">
        <v>-3.379754E-3</v>
      </c>
      <c r="BR80" s="6">
        <v>-3.9501140000000002E-3</v>
      </c>
      <c r="BS80" s="6">
        <v>5.3304672897196286E-5</v>
      </c>
      <c r="BT80" s="6">
        <v>-3.4092879999999999E-3</v>
      </c>
      <c r="BU80" s="6">
        <v>-3.932868E-3</v>
      </c>
      <c r="BV80" s="6">
        <v>4.8932710280373842E-5</v>
      </c>
      <c r="BW80" s="6">
        <v>-3.3805340000000001E-3</v>
      </c>
      <c r="BX80" s="6">
        <v>-3.9500789999999996E-3</v>
      </c>
      <c r="BY80" s="6">
        <v>5.3228504672897147E-5</v>
      </c>
      <c r="BZ80" s="6">
        <v>-3.346866E-3</v>
      </c>
      <c r="CA80" s="6">
        <v>-3.9671250000000002E-3</v>
      </c>
      <c r="CB80" s="6">
        <v>5.7968130841121518E-5</v>
      </c>
      <c r="CC80" s="6">
        <v>-3.377737E-3</v>
      </c>
      <c r="CD80" s="6">
        <v>-3.9497990000000004E-3</v>
      </c>
      <c r="CE80" s="6">
        <v>5.3463738317757043E-5</v>
      </c>
      <c r="CF80" s="6">
        <v>-3.3482030000000001E-3</v>
      </c>
      <c r="CG80" s="6">
        <v>-3.9670440000000003E-3</v>
      </c>
      <c r="CH80" s="6">
        <v>5.7835607476635534E-5</v>
      </c>
      <c r="CI80" s="6">
        <v>-3.3769569999999999E-3</v>
      </c>
      <c r="CJ80" s="6">
        <v>-3.9498340000000002E-3</v>
      </c>
      <c r="CK80" s="6">
        <v>5.3539906542056107E-5</v>
      </c>
      <c r="CL80" s="6">
        <v>-2.3886509999999999E-3</v>
      </c>
      <c r="CM80" s="6">
        <v>-2.7625560000000002E-3</v>
      </c>
      <c r="CN80" s="6">
        <v>3.4944392523364516E-5</v>
      </c>
      <c r="CO80" s="6">
        <v>-2.3577810000000002E-3</v>
      </c>
      <c r="CP80" s="6">
        <v>-2.779882E-3</v>
      </c>
      <c r="CQ80" s="6">
        <v>3.9448691588785032E-5</v>
      </c>
      <c r="CR80" s="6">
        <v>-2.3873150000000001E-3</v>
      </c>
      <c r="CS80" s="6">
        <v>-2.7626360000000002E-3</v>
      </c>
      <c r="CT80" s="6">
        <v>3.5076728971962628E-5</v>
      </c>
      <c r="CU80" s="6">
        <v>-2.35856E-3</v>
      </c>
      <c r="CV80" s="6">
        <v>-2.7798469999999998E-3</v>
      </c>
      <c r="CW80" s="6">
        <v>3.9372616822429886E-5</v>
      </c>
      <c r="CX80" s="6">
        <v>-2.3248930000000002E-3</v>
      </c>
      <c r="CY80" s="6">
        <v>-2.7968929999999999E-3</v>
      </c>
      <c r="CZ80" s="6">
        <v>4.4112149532710264E-5</v>
      </c>
      <c r="DA80" s="6">
        <v>-2.3557629999999999E-3</v>
      </c>
      <c r="DB80" s="6">
        <v>-2.7795659999999998E-3</v>
      </c>
      <c r="DC80" s="6">
        <v>3.9607757009345788E-5</v>
      </c>
      <c r="DD80" s="6">
        <v>-2.3262299999999999E-3</v>
      </c>
      <c r="DE80" s="6">
        <v>-2.7968120000000001E-3</v>
      </c>
      <c r="DF80" s="6">
        <v>4.3979626168224321E-5</v>
      </c>
      <c r="DG80" s="6">
        <v>-2.3549840000000001E-3</v>
      </c>
      <c r="DH80" s="6">
        <v>-2.779601E-3</v>
      </c>
      <c r="DI80" s="6">
        <v>3.9683831775700934E-5</v>
      </c>
    </row>
    <row r="81" spans="1:113" x14ac:dyDescent="0.3">
      <c r="A81" s="13" t="s">
        <v>427</v>
      </c>
      <c r="B81" s="13" t="s">
        <v>189</v>
      </c>
      <c r="C81" s="13" t="s">
        <v>190</v>
      </c>
      <c r="D81" s="13" t="s">
        <v>347</v>
      </c>
      <c r="E81" s="13">
        <v>10.7</v>
      </c>
      <c r="F81" s="6">
        <v>-1.7493229999999999E-3</v>
      </c>
      <c r="G81" s="6">
        <v>-2.5080620000000001E-3</v>
      </c>
      <c r="H81" s="6">
        <v>7.0910186915887875E-5</v>
      </c>
      <c r="I81" s="6">
        <v>-2.5460389999999999E-3</v>
      </c>
      <c r="J81" s="6">
        <v>-3.5733079999999999E-3</v>
      </c>
      <c r="K81" s="6">
        <v>9.6006448598130839E-5</v>
      </c>
      <c r="L81" s="6">
        <v>-2.3477709999999998E-3</v>
      </c>
      <c r="M81" s="6">
        <v>-3.1078630000000002E-3</v>
      </c>
      <c r="N81" s="6">
        <v>7.1036635514018731E-5</v>
      </c>
      <c r="O81" s="6">
        <v>-3.1170719999999998E-3</v>
      </c>
      <c r="P81" s="6">
        <v>-4.1444899999999998E-3</v>
      </c>
      <c r="Q81" s="6">
        <v>9.6020373831775708E-5</v>
      </c>
      <c r="R81" s="6">
        <v>-3.0856289999999999E-3</v>
      </c>
      <c r="S81" s="6">
        <v>-3.9986400000000004E-3</v>
      </c>
      <c r="T81" s="6">
        <v>8.5328130841121541E-5</v>
      </c>
      <c r="U81" s="6">
        <v>-2.9806350000000001E-3</v>
      </c>
      <c r="V81" s="6">
        <v>-4.0742230000000001E-3</v>
      </c>
      <c r="W81" s="6">
        <v>1.0220448598130842E-4</v>
      </c>
      <c r="X81" s="6">
        <v>-3.0907320000000001E-3</v>
      </c>
      <c r="Y81" s="6">
        <v>-3.9882659999999999E-3</v>
      </c>
      <c r="Z81" s="6">
        <v>8.3881682242990636E-5</v>
      </c>
      <c r="AA81" s="6">
        <v>-2.9767460000000002E-3</v>
      </c>
      <c r="AB81" s="6">
        <v>-4.0779170000000003E-3</v>
      </c>
      <c r="AC81" s="6">
        <v>1.0291317757009349E-4</v>
      </c>
      <c r="AD81" s="6">
        <v>-2.8808000000000002E-3</v>
      </c>
      <c r="AE81" s="6">
        <v>-4.113691E-3</v>
      </c>
      <c r="AF81" s="6">
        <v>1.1522345794392523E-4</v>
      </c>
      <c r="AG81" s="6">
        <v>-2.9866200000000002E-3</v>
      </c>
      <c r="AH81" s="6">
        <v>-4.0384660000000001E-3</v>
      </c>
      <c r="AI81" s="6">
        <v>9.8303364485981311E-5</v>
      </c>
      <c r="AJ81" s="6">
        <v>-2.875697E-3</v>
      </c>
      <c r="AK81" s="6">
        <v>-4.124066E-3</v>
      </c>
      <c r="AL81" s="6">
        <v>1.1667000000000001E-4</v>
      </c>
      <c r="AM81" s="6">
        <v>-2.9896829999999999E-3</v>
      </c>
      <c r="AN81" s="6">
        <v>-4.0344140000000001E-3</v>
      </c>
      <c r="AO81" s="6">
        <v>9.7638411214953286E-5</v>
      </c>
      <c r="AP81" s="6">
        <v>-2.782311E-3</v>
      </c>
      <c r="AQ81" s="6">
        <v>-3.6041060000000001E-3</v>
      </c>
      <c r="AR81" s="6">
        <v>7.6803271028037405E-5</v>
      </c>
      <c r="AS81" s="6">
        <v>-2.676491E-3</v>
      </c>
      <c r="AT81" s="6">
        <v>-3.679332E-3</v>
      </c>
      <c r="AU81" s="6">
        <v>9.3723457943925236E-5</v>
      </c>
      <c r="AV81" s="6">
        <v>-2.7874140000000002E-3</v>
      </c>
      <c r="AW81" s="6">
        <v>-3.5937310000000002E-3</v>
      </c>
      <c r="AX81" s="6">
        <v>7.5356728971962616E-5</v>
      </c>
      <c r="AY81" s="6">
        <v>-2.6734279999999998E-3</v>
      </c>
      <c r="AZ81" s="6">
        <v>-3.6833830000000001E-3</v>
      </c>
      <c r="BA81" s="6">
        <v>9.4388317757009376E-5</v>
      </c>
      <c r="BB81" s="6">
        <v>-2.5774819999999999E-3</v>
      </c>
      <c r="BC81" s="6">
        <v>-3.7191569999999998E-3</v>
      </c>
      <c r="BD81" s="6">
        <v>1.0669859813084112E-4</v>
      </c>
      <c r="BE81" s="6">
        <v>-2.6833030000000002E-3</v>
      </c>
      <c r="BF81" s="6">
        <v>-3.643931E-3</v>
      </c>
      <c r="BG81" s="6">
        <v>8.9778317757009337E-5</v>
      </c>
      <c r="BH81" s="6">
        <v>-2.5723790000000001E-3</v>
      </c>
      <c r="BI81" s="6">
        <v>-3.7295319999999998E-3</v>
      </c>
      <c r="BJ81" s="6">
        <v>1.0814514018691587E-4</v>
      </c>
      <c r="BK81" s="6">
        <v>-2.686365E-3</v>
      </c>
      <c r="BL81" s="6">
        <v>-3.6398799999999999E-3</v>
      </c>
      <c r="BM81" s="6">
        <v>8.911355140186915E-5</v>
      </c>
      <c r="BN81" s="6">
        <v>-3.3678089999999998E-3</v>
      </c>
      <c r="BO81" s="6">
        <v>-4.4991980000000003E-3</v>
      </c>
      <c r="BP81" s="6">
        <v>1.0573728971962621E-4</v>
      </c>
      <c r="BQ81" s="6">
        <v>-3.3360629999999998E-3</v>
      </c>
      <c r="BR81" s="6">
        <v>-4.521766E-3</v>
      </c>
      <c r="BS81" s="6">
        <v>1.1081336448598134E-4</v>
      </c>
      <c r="BT81" s="6">
        <v>-3.3693400000000002E-3</v>
      </c>
      <c r="BU81" s="6">
        <v>-4.4960859999999998E-3</v>
      </c>
      <c r="BV81" s="6">
        <v>1.0530336448598128E-4</v>
      </c>
      <c r="BW81" s="6">
        <v>-3.335144E-3</v>
      </c>
      <c r="BX81" s="6">
        <v>-4.5229809999999997E-3</v>
      </c>
      <c r="BY81" s="6">
        <v>1.1101280373831774E-4</v>
      </c>
      <c r="BZ81" s="6">
        <v>-3.3063609999999998E-3</v>
      </c>
      <c r="CA81" s="6">
        <v>-4.5337140000000003E-3</v>
      </c>
      <c r="CB81" s="6">
        <v>1.1470588785046735E-4</v>
      </c>
      <c r="CC81" s="6">
        <v>-3.3381069999999999E-3</v>
      </c>
      <c r="CD81" s="6">
        <v>-4.5111459999999997E-3</v>
      </c>
      <c r="CE81" s="6">
        <v>1.0962981308411214E-4</v>
      </c>
      <c r="CF81" s="6">
        <v>-3.3048299999999999E-3</v>
      </c>
      <c r="CG81" s="6">
        <v>-4.5368259999999999E-3</v>
      </c>
      <c r="CH81" s="6">
        <v>1.1513981308411215E-4</v>
      </c>
      <c r="CI81" s="6">
        <v>-3.3390260000000001E-3</v>
      </c>
      <c r="CJ81" s="6">
        <v>-4.5099299999999997E-3</v>
      </c>
      <c r="CK81" s="6">
        <v>1.0943028037383174E-4</v>
      </c>
      <c r="CL81" s="6">
        <v>-2.3567509999999998E-3</v>
      </c>
      <c r="CM81" s="6">
        <v>-3.1840839999999998E-3</v>
      </c>
      <c r="CN81" s="6">
        <v>7.7320841121495328E-5</v>
      </c>
      <c r="CO81" s="6">
        <v>-2.3250039999999999E-3</v>
      </c>
      <c r="CP81" s="6">
        <v>-3.2066519999999999E-3</v>
      </c>
      <c r="CQ81" s="6">
        <v>8.2397009345794406E-5</v>
      </c>
      <c r="CR81" s="6">
        <v>-2.3582820000000002E-3</v>
      </c>
      <c r="CS81" s="6">
        <v>-3.1809719999999998E-3</v>
      </c>
      <c r="CT81" s="6">
        <v>7.6886915887850433E-5</v>
      </c>
      <c r="CU81" s="6">
        <v>-2.3240859999999999E-3</v>
      </c>
      <c r="CV81" s="6">
        <v>-3.2078670000000001E-3</v>
      </c>
      <c r="CW81" s="6">
        <v>8.2596355140186932E-5</v>
      </c>
      <c r="CX81" s="6">
        <v>-2.2953019999999999E-3</v>
      </c>
      <c r="CY81" s="6">
        <v>-3.2185989999999999E-3</v>
      </c>
      <c r="CZ81" s="6">
        <v>8.6289439252336449E-5</v>
      </c>
      <c r="DA81" s="6">
        <v>-2.327048E-3</v>
      </c>
      <c r="DB81" s="6">
        <v>-3.1960320000000001E-3</v>
      </c>
      <c r="DC81" s="6">
        <v>8.1213457943925249E-5</v>
      </c>
      <c r="DD81" s="6">
        <v>-2.293771E-3</v>
      </c>
      <c r="DE81" s="6">
        <v>-3.2217119999999998E-3</v>
      </c>
      <c r="DF81" s="6">
        <v>8.6723457943925229E-5</v>
      </c>
      <c r="DG81" s="6">
        <v>-2.3279669999999998E-3</v>
      </c>
      <c r="DH81" s="6">
        <v>-3.1948160000000001E-3</v>
      </c>
      <c r="DI81" s="6">
        <v>8.1013925233644886E-5</v>
      </c>
    </row>
    <row r="82" spans="1:113" x14ac:dyDescent="0.3">
      <c r="A82" s="13" t="s">
        <v>428</v>
      </c>
      <c r="B82" s="13" t="s">
        <v>230</v>
      </c>
      <c r="C82" s="13" t="s">
        <v>231</v>
      </c>
      <c r="D82" s="13" t="s">
        <v>347</v>
      </c>
      <c r="E82" s="13">
        <v>10.7</v>
      </c>
      <c r="F82" s="6">
        <v>-1.796998E-3</v>
      </c>
      <c r="G82" s="6">
        <v>-1.914116E-3</v>
      </c>
      <c r="H82" s="6">
        <v>1.0945607476635519E-5</v>
      </c>
      <c r="I82" s="6">
        <v>-2.6110220000000002E-3</v>
      </c>
      <c r="J82" s="6">
        <v>-2.7933620000000002E-3</v>
      </c>
      <c r="K82" s="6">
        <v>1.7041121495327106E-5</v>
      </c>
      <c r="L82" s="6">
        <v>-2.3948210000000001E-3</v>
      </c>
      <c r="M82" s="6">
        <v>-2.5133080000000001E-3</v>
      </c>
      <c r="N82" s="6">
        <v>1.1073551401869162E-5</v>
      </c>
      <c r="O82" s="6">
        <v>-3.1815749999999999E-3</v>
      </c>
      <c r="P82" s="6">
        <v>-3.3639690000000001E-3</v>
      </c>
      <c r="Q82" s="6">
        <v>1.7046168224299087E-5</v>
      </c>
      <c r="R82" s="6">
        <v>-3.1485100000000002E-3</v>
      </c>
      <c r="S82" s="6">
        <v>-3.2416400000000001E-3</v>
      </c>
      <c r="T82" s="6">
        <v>8.7037383177569969E-6</v>
      </c>
      <c r="U82" s="6">
        <v>-3.0413229999999999E-3</v>
      </c>
      <c r="V82" s="6">
        <v>-3.2491519999999999E-3</v>
      </c>
      <c r="W82" s="6">
        <v>1.9423271028037392E-5</v>
      </c>
      <c r="X82" s="6">
        <v>-3.163571E-3</v>
      </c>
      <c r="Y82" s="6">
        <v>-3.241238E-3</v>
      </c>
      <c r="Z82" s="6">
        <v>7.2585981308411232E-6</v>
      </c>
      <c r="AA82" s="6">
        <v>-3.0318189999999998E-3</v>
      </c>
      <c r="AB82" s="6">
        <v>-3.2482980000000002E-3</v>
      </c>
      <c r="AC82" s="6">
        <v>2.0231682242990685E-5</v>
      </c>
      <c r="AD82" s="6">
        <v>-2.9530279999999999E-3</v>
      </c>
      <c r="AE82" s="6">
        <v>-3.2388569999999999E-3</v>
      </c>
      <c r="AF82" s="6">
        <v>2.6712990654205611E-5</v>
      </c>
      <c r="AG82" s="6">
        <v>-3.0608609999999998E-3</v>
      </c>
      <c r="AH82" s="6">
        <v>-3.2310920000000001E-3</v>
      </c>
      <c r="AI82" s="6">
        <v>1.5909439252336476E-5</v>
      </c>
      <c r="AJ82" s="6">
        <v>-2.9379670000000001E-3</v>
      </c>
      <c r="AK82" s="6">
        <v>-3.239259E-3</v>
      </c>
      <c r="AL82" s="6">
        <v>2.8158130841121487E-5</v>
      </c>
      <c r="AM82" s="6">
        <v>-3.0697200000000002E-3</v>
      </c>
      <c r="AN82" s="6">
        <v>-3.2321989999999998E-3</v>
      </c>
      <c r="AO82" s="6">
        <v>1.5184953271028006E-5</v>
      </c>
      <c r="AP82" s="6">
        <v>-2.8395650000000001E-3</v>
      </c>
      <c r="AQ82" s="6">
        <v>-2.918473E-3</v>
      </c>
      <c r="AR82" s="6">
        <v>7.3745794392523304E-6</v>
      </c>
      <c r="AS82" s="6">
        <v>-2.7317320000000002E-3</v>
      </c>
      <c r="AT82" s="6">
        <v>-2.9262390000000002E-3</v>
      </c>
      <c r="AU82" s="6">
        <v>1.8178224299065423E-5</v>
      </c>
      <c r="AV82" s="6">
        <v>-2.854625E-3</v>
      </c>
      <c r="AW82" s="6">
        <v>-2.9180719999999999E-3</v>
      </c>
      <c r="AX82" s="6">
        <v>5.9296261682242901E-6</v>
      </c>
      <c r="AY82" s="6">
        <v>-2.7228729999999998E-3</v>
      </c>
      <c r="AZ82" s="6">
        <v>-2.925132E-3</v>
      </c>
      <c r="BA82" s="6">
        <v>1.8902710280373854E-5</v>
      </c>
      <c r="BB82" s="6">
        <v>-2.6440830000000002E-3</v>
      </c>
      <c r="BC82" s="6">
        <v>-2.9156910000000002E-3</v>
      </c>
      <c r="BD82" s="6">
        <v>2.5383925233644861E-5</v>
      </c>
      <c r="BE82" s="6">
        <v>-2.7519150000000002E-3</v>
      </c>
      <c r="BF82" s="6">
        <v>-2.9079259999999999E-3</v>
      </c>
      <c r="BG82" s="6">
        <v>1.4580467289719602E-5</v>
      </c>
      <c r="BH82" s="6">
        <v>-2.629022E-3</v>
      </c>
      <c r="BI82" s="6">
        <v>-2.9160929999999998E-3</v>
      </c>
      <c r="BJ82" s="6">
        <v>2.6829065420560736E-5</v>
      </c>
      <c r="BK82" s="6">
        <v>-2.7607740000000001E-3</v>
      </c>
      <c r="BL82" s="6">
        <v>-2.9090330000000001E-3</v>
      </c>
      <c r="BM82" s="6">
        <v>1.3855981308411214E-5</v>
      </c>
      <c r="BN82" s="6">
        <v>-3.440528E-3</v>
      </c>
      <c r="BO82" s="6">
        <v>-3.617693E-3</v>
      </c>
      <c r="BP82" s="6">
        <v>1.6557476635514017E-5</v>
      </c>
      <c r="BQ82" s="6">
        <v>-3.408178E-3</v>
      </c>
      <c r="BR82" s="6">
        <v>-3.6200220000000001E-3</v>
      </c>
      <c r="BS82" s="6">
        <v>1.9798504672897208E-5</v>
      </c>
      <c r="BT82" s="6">
        <v>-3.4450459999999998E-3</v>
      </c>
      <c r="BU82" s="6">
        <v>-3.6175719999999999E-3</v>
      </c>
      <c r="BV82" s="6">
        <v>1.6123925233644872E-5</v>
      </c>
      <c r="BW82" s="6">
        <v>-3.40552E-3</v>
      </c>
      <c r="BX82" s="6">
        <v>-3.6196900000000001E-3</v>
      </c>
      <c r="BY82" s="6">
        <v>2.0015887850467297E-5</v>
      </c>
      <c r="BZ82" s="6">
        <v>-3.381883E-3</v>
      </c>
      <c r="CA82" s="6">
        <v>-3.6168580000000001E-3</v>
      </c>
      <c r="CB82" s="6">
        <v>2.1960280373831787E-5</v>
      </c>
      <c r="CC82" s="6">
        <v>-3.414233E-3</v>
      </c>
      <c r="CD82" s="6">
        <v>-3.6145280000000001E-3</v>
      </c>
      <c r="CE82" s="6">
        <v>1.871915887850468E-5</v>
      </c>
      <c r="CF82" s="6">
        <v>-3.3773649999999998E-3</v>
      </c>
      <c r="CG82" s="6">
        <v>-3.6169779999999999E-3</v>
      </c>
      <c r="CH82" s="6">
        <v>2.2393738317757017E-5</v>
      </c>
      <c r="CI82" s="6">
        <v>-3.416891E-3</v>
      </c>
      <c r="CJ82" s="6">
        <v>-3.6148600000000001E-3</v>
      </c>
      <c r="CK82" s="6">
        <v>1.8501775700934588E-5</v>
      </c>
      <c r="CL82" s="6">
        <v>-2.410709E-3</v>
      </c>
      <c r="CM82" s="6">
        <v>-2.5404730000000001E-3</v>
      </c>
      <c r="CN82" s="6">
        <v>1.2127476635514029E-5</v>
      </c>
      <c r="CO82" s="6">
        <v>-2.3783599999999999E-3</v>
      </c>
      <c r="CP82" s="6">
        <v>-2.5428030000000002E-3</v>
      </c>
      <c r="CQ82" s="6">
        <v>1.5368504672897218E-5</v>
      </c>
      <c r="CR82" s="6">
        <v>-2.4152269999999998E-3</v>
      </c>
      <c r="CS82" s="6">
        <v>-2.540353E-3</v>
      </c>
      <c r="CT82" s="6">
        <v>1.1694018691588799E-5</v>
      </c>
      <c r="CU82" s="6">
        <v>-2.3757019999999999E-3</v>
      </c>
      <c r="CV82" s="6">
        <v>-2.5424699999999998E-3</v>
      </c>
      <c r="CW82" s="6">
        <v>1.5585794392523354E-5</v>
      </c>
      <c r="CX82" s="6">
        <v>-2.352065E-3</v>
      </c>
      <c r="CY82" s="6">
        <v>-2.5396379999999999E-3</v>
      </c>
      <c r="CZ82" s="6">
        <v>1.7530186915887844E-5</v>
      </c>
      <c r="DA82" s="6">
        <v>-2.384415E-3</v>
      </c>
      <c r="DB82" s="6">
        <v>-2.5373079999999998E-3</v>
      </c>
      <c r="DC82" s="6">
        <v>1.4289065420560736E-5</v>
      </c>
      <c r="DD82" s="6">
        <v>-2.3475470000000002E-3</v>
      </c>
      <c r="DE82" s="6">
        <v>-2.5397589999999999E-3</v>
      </c>
      <c r="DF82" s="6">
        <v>1.796373831775699E-5</v>
      </c>
      <c r="DG82" s="6">
        <v>-2.3870720000000001E-3</v>
      </c>
      <c r="DH82" s="6">
        <v>-2.5376410000000002E-3</v>
      </c>
      <c r="DI82" s="6">
        <v>1.4071869158878519E-5</v>
      </c>
    </row>
    <row r="83" spans="1:113" x14ac:dyDescent="0.3">
      <c r="A83" s="13" t="s">
        <v>429</v>
      </c>
      <c r="B83" s="13" t="s">
        <v>268</v>
      </c>
      <c r="C83" s="13" t="s">
        <v>269</v>
      </c>
      <c r="D83" s="13" t="s">
        <v>347</v>
      </c>
      <c r="E83" s="13">
        <v>10.7</v>
      </c>
      <c r="F83" s="6">
        <v>-1.4655639999999999E-3</v>
      </c>
      <c r="G83" s="6">
        <v>-1.5377450000000001E-3</v>
      </c>
      <c r="H83" s="6">
        <v>6.7458878504673045E-6</v>
      </c>
      <c r="I83" s="6">
        <v>-2.1607620000000001E-3</v>
      </c>
      <c r="J83" s="6">
        <v>-2.2783669999999999E-3</v>
      </c>
      <c r="K83" s="6">
        <v>1.0991121495327085E-5</v>
      </c>
      <c r="L83" s="6">
        <v>-2.0787039999999998E-3</v>
      </c>
      <c r="M83" s="6">
        <v>-2.149485E-3</v>
      </c>
      <c r="N83" s="6">
        <v>6.6150467289719842E-6</v>
      </c>
      <c r="O83" s="6">
        <v>-2.7449280000000002E-3</v>
      </c>
      <c r="P83" s="6">
        <v>-2.860961E-3</v>
      </c>
      <c r="Q83" s="6">
        <v>1.0844205607476614E-5</v>
      </c>
      <c r="R83" s="6">
        <v>-2.684643E-3</v>
      </c>
      <c r="S83" s="6">
        <v>-2.7701539999999999E-3</v>
      </c>
      <c r="T83" s="6">
        <v>7.991682242990648E-6</v>
      </c>
      <c r="U83" s="6">
        <v>-2.8026829999999998E-3</v>
      </c>
      <c r="V83" s="6">
        <v>-2.9149110000000001E-3</v>
      </c>
      <c r="W83" s="6">
        <v>1.0488598130841145E-5</v>
      </c>
      <c r="X83" s="6">
        <v>-2.7280210000000002E-3</v>
      </c>
      <c r="Y83" s="6">
        <v>-2.776686E-3</v>
      </c>
      <c r="Z83" s="6">
        <v>4.548130841121479E-6</v>
      </c>
      <c r="AA83" s="6">
        <v>-2.7703210000000001E-3</v>
      </c>
      <c r="AB83" s="6">
        <v>-2.9072099999999999E-3</v>
      </c>
      <c r="AC83" s="6">
        <v>1.2793364485981294E-5</v>
      </c>
      <c r="AD83" s="6">
        <v>-2.4925730000000001E-3</v>
      </c>
      <c r="AE83" s="6">
        <v>-2.649134E-3</v>
      </c>
      <c r="AF83" s="6">
        <v>1.46318691588785E-5</v>
      </c>
      <c r="AG83" s="6">
        <v>-2.381635E-3</v>
      </c>
      <c r="AH83" s="6">
        <v>-2.5081359999999998E-3</v>
      </c>
      <c r="AI83" s="6">
        <v>1.1822523364485962E-5</v>
      </c>
      <c r="AJ83" s="6">
        <v>-2.449194E-3</v>
      </c>
      <c r="AK83" s="6">
        <v>-2.6426029999999999E-3</v>
      </c>
      <c r="AL83" s="6">
        <v>1.8075607476635502E-5</v>
      </c>
      <c r="AM83" s="6">
        <v>-2.4068940000000001E-3</v>
      </c>
      <c r="AN83" s="6">
        <v>-2.5120780000000001E-3</v>
      </c>
      <c r="AO83" s="6">
        <v>9.830280373831769E-6</v>
      </c>
      <c r="AP83" s="6">
        <v>-2.4131170000000002E-3</v>
      </c>
      <c r="AQ83" s="6">
        <v>-2.4901939999999998E-3</v>
      </c>
      <c r="AR83" s="6">
        <v>7.2034579439251982E-6</v>
      </c>
      <c r="AS83" s="6">
        <v>-2.524054E-3</v>
      </c>
      <c r="AT83" s="6">
        <v>-2.6311920000000001E-3</v>
      </c>
      <c r="AU83" s="6">
        <v>1.0012897196261693E-5</v>
      </c>
      <c r="AV83" s="6">
        <v>-2.4564949999999999E-3</v>
      </c>
      <c r="AW83" s="6">
        <v>-2.496725E-3</v>
      </c>
      <c r="AX83" s="6">
        <v>3.7598130841121535E-6</v>
      </c>
      <c r="AY83" s="6">
        <v>-2.4987949999999998E-3</v>
      </c>
      <c r="AZ83" s="6">
        <v>-2.6272499999999998E-3</v>
      </c>
      <c r="BA83" s="6">
        <v>1.2005140186915886E-5</v>
      </c>
      <c r="BB83" s="6">
        <v>-2.2210469999999999E-3</v>
      </c>
      <c r="BC83" s="6">
        <v>-2.3691739999999999E-3</v>
      </c>
      <c r="BD83" s="6">
        <v>1.3843644859813092E-5</v>
      </c>
      <c r="BE83" s="6">
        <v>-2.1101090000000002E-3</v>
      </c>
      <c r="BF83" s="6">
        <v>-2.2281760000000001E-3</v>
      </c>
      <c r="BG83" s="6">
        <v>1.1034299065420553E-5</v>
      </c>
      <c r="BH83" s="6">
        <v>-2.1776679999999998E-3</v>
      </c>
      <c r="BI83" s="6">
        <v>-2.3626419999999999E-3</v>
      </c>
      <c r="BJ83" s="6">
        <v>1.7287289719626178E-5</v>
      </c>
      <c r="BK83" s="6">
        <v>-2.1353689999999998E-3</v>
      </c>
      <c r="BL83" s="6">
        <v>-2.2321179999999999E-3</v>
      </c>
      <c r="BM83" s="6">
        <v>9.0419626168224435E-6</v>
      </c>
      <c r="BN83" s="6">
        <v>-2.9341979999999998E-3</v>
      </c>
      <c r="BO83" s="6">
        <v>-3.0544169999999998E-3</v>
      </c>
      <c r="BP83" s="6">
        <v>1.1235420560747662E-5</v>
      </c>
      <c r="BQ83" s="6">
        <v>-2.9674800000000002E-3</v>
      </c>
      <c r="BR83" s="6">
        <v>-3.0967170000000001E-3</v>
      </c>
      <c r="BS83" s="6">
        <v>1.2078224299065415E-5</v>
      </c>
      <c r="BT83" s="6">
        <v>-2.9472119999999998E-3</v>
      </c>
      <c r="BU83" s="6">
        <v>-3.0563769999999999E-3</v>
      </c>
      <c r="BV83" s="6">
        <v>1.0202336448598136E-5</v>
      </c>
      <c r="BW83" s="6">
        <v>-2.9599019999999999E-3</v>
      </c>
      <c r="BX83" s="6">
        <v>-3.095534E-3</v>
      </c>
      <c r="BY83" s="6">
        <v>1.2675887850467301E-5</v>
      </c>
      <c r="BZ83" s="6">
        <v>-2.876577E-3</v>
      </c>
      <c r="CA83" s="6">
        <v>-3.018111E-3</v>
      </c>
      <c r="CB83" s="6">
        <v>1.3227476635514022E-5</v>
      </c>
      <c r="CC83" s="6">
        <v>-2.8432959999999999E-3</v>
      </c>
      <c r="CD83" s="6">
        <v>-2.975812E-3</v>
      </c>
      <c r="CE83" s="6">
        <v>1.2384672897196268E-5</v>
      </c>
      <c r="CF83" s="6">
        <v>-2.8635639999999999E-3</v>
      </c>
      <c r="CG83" s="6">
        <v>-3.0161519999999998E-3</v>
      </c>
      <c r="CH83" s="6">
        <v>1.4260560747663547E-5</v>
      </c>
      <c r="CI83" s="6">
        <v>-2.8508740000000002E-3</v>
      </c>
      <c r="CJ83" s="6">
        <v>-2.9769950000000001E-3</v>
      </c>
      <c r="CK83" s="6">
        <v>1.1787009345794381E-5</v>
      </c>
      <c r="CL83" s="6">
        <v>-2.029112E-3</v>
      </c>
      <c r="CM83" s="6">
        <v>-2.1212169999999999E-3</v>
      </c>
      <c r="CN83" s="6">
        <v>8.6079439252336348E-6</v>
      </c>
      <c r="CO83" s="6">
        <v>-2.062393E-3</v>
      </c>
      <c r="CP83" s="6">
        <v>-2.1635159999999999E-3</v>
      </c>
      <c r="CQ83" s="6">
        <v>9.4507476635513869E-6</v>
      </c>
      <c r="CR83" s="6">
        <v>-2.0421250000000001E-3</v>
      </c>
      <c r="CS83" s="6">
        <v>-2.1231760000000001E-3</v>
      </c>
      <c r="CT83" s="6">
        <v>7.5748598130841086E-6</v>
      </c>
      <c r="CU83" s="6">
        <v>-2.0548150000000002E-3</v>
      </c>
      <c r="CV83" s="6">
        <v>-2.1623329999999998E-3</v>
      </c>
      <c r="CW83" s="6">
        <v>1.0048411214953234E-5</v>
      </c>
      <c r="CX83" s="6">
        <v>-1.9714910000000001E-3</v>
      </c>
      <c r="CY83" s="6">
        <v>-2.0849100000000001E-3</v>
      </c>
      <c r="CZ83" s="6">
        <v>1.0599906542056078E-5</v>
      </c>
      <c r="DA83" s="6">
        <v>-1.9382100000000001E-3</v>
      </c>
      <c r="DB83" s="6">
        <v>-2.0426110000000002E-3</v>
      </c>
      <c r="DC83" s="6">
        <v>9.7571028037383241E-6</v>
      </c>
      <c r="DD83" s="6">
        <v>-1.9584770000000001E-3</v>
      </c>
      <c r="DE83" s="6">
        <v>-2.082951E-3</v>
      </c>
      <c r="DF83" s="6">
        <v>1.163308411214952E-5</v>
      </c>
      <c r="DG83" s="6">
        <v>-1.945787E-3</v>
      </c>
      <c r="DH83" s="6">
        <v>-2.0437939999999998E-3</v>
      </c>
      <c r="DI83" s="6">
        <v>9.1595327102803539E-6</v>
      </c>
    </row>
    <row r="84" spans="1:113" x14ac:dyDescent="0.3">
      <c r="A84" s="13" t="s">
        <v>430</v>
      </c>
      <c r="B84" s="13" t="s">
        <v>289</v>
      </c>
      <c r="C84" s="13" t="s">
        <v>323</v>
      </c>
      <c r="D84" s="13" t="s">
        <v>347</v>
      </c>
      <c r="E84" s="13">
        <v>5.75</v>
      </c>
      <c r="F84" s="6">
        <v>-8.2939060000000004E-4</v>
      </c>
      <c r="G84" s="6">
        <v>-1.4354070000000001E-3</v>
      </c>
      <c r="H84" s="6">
        <v>1.0539415652173913E-4</v>
      </c>
      <c r="I84" s="6">
        <v>-1.3048459999999999E-3</v>
      </c>
      <c r="J84" s="6">
        <v>-1.7923010000000001E-3</v>
      </c>
      <c r="K84" s="6">
        <v>8.4774782608695675E-5</v>
      </c>
      <c r="L84" s="6">
        <v>-1.4380529999999999E-3</v>
      </c>
      <c r="M84" s="6">
        <v>-1.8285179999999999E-3</v>
      </c>
      <c r="N84" s="6">
        <v>6.7906956521739131E-5</v>
      </c>
      <c r="O84" s="6">
        <v>-1.884513E-3</v>
      </c>
      <c r="P84" s="6">
        <v>-2.1667359999999998E-3</v>
      </c>
      <c r="Q84" s="6">
        <v>4.9082260869565189E-5</v>
      </c>
      <c r="R84" s="6">
        <v>-1.773979E-3</v>
      </c>
      <c r="S84" s="6">
        <v>-2.0685909999999998E-3</v>
      </c>
      <c r="T84" s="6">
        <v>5.1236869565217367E-5</v>
      </c>
      <c r="U84" s="6">
        <v>-1.9849780000000001E-3</v>
      </c>
      <c r="V84" s="6">
        <v>-2.2987889999999999E-3</v>
      </c>
      <c r="W84" s="6">
        <v>5.4575826086956482E-5</v>
      </c>
      <c r="X84" s="6">
        <v>-1.803378E-3</v>
      </c>
      <c r="Y84" s="6">
        <v>-2.0658529999999999E-3</v>
      </c>
      <c r="Z84" s="6">
        <v>4.5647826086956495E-5</v>
      </c>
      <c r="AA84" s="6">
        <v>-1.9649699999999999E-3</v>
      </c>
      <c r="AB84" s="6">
        <v>-2.3535399999999999E-3</v>
      </c>
      <c r="AC84" s="6">
        <v>6.7577391304347818E-5</v>
      </c>
      <c r="AD84" s="6">
        <v>-1.609858E-3</v>
      </c>
      <c r="AE84" s="6">
        <v>-2.1240220000000001E-3</v>
      </c>
      <c r="AF84" s="6">
        <v>8.9419826086956536E-5</v>
      </c>
      <c r="AG84" s="6">
        <v>-1.4017509999999999E-3</v>
      </c>
      <c r="AH84" s="6">
        <v>-1.8406710000000001E-3</v>
      </c>
      <c r="AI84" s="6">
        <v>7.6333913043478296E-5</v>
      </c>
      <c r="AJ84" s="6">
        <v>-1.580459E-3</v>
      </c>
      <c r="AK84" s="6">
        <v>-2.1267600000000001E-3</v>
      </c>
      <c r="AL84" s="6">
        <v>9.5008869565217408E-5</v>
      </c>
      <c r="AM84" s="6">
        <v>-1.4188670000000001E-3</v>
      </c>
      <c r="AN84" s="6">
        <v>-1.839072E-3</v>
      </c>
      <c r="AO84" s="6">
        <v>7.3079130434782586E-5</v>
      </c>
      <c r="AP84" s="6">
        <v>-1.5795010000000001E-3</v>
      </c>
      <c r="AQ84" s="6">
        <v>-1.835015E-3</v>
      </c>
      <c r="AR84" s="6">
        <v>4.4437217391304328E-5</v>
      </c>
      <c r="AS84" s="6">
        <v>-1.787608E-3</v>
      </c>
      <c r="AT84" s="6">
        <v>-2.1183669999999999E-3</v>
      </c>
      <c r="AU84" s="6">
        <v>5.7523304347826073E-5</v>
      </c>
      <c r="AV84" s="6">
        <v>-1.6088999999999999E-3</v>
      </c>
      <c r="AW84" s="6">
        <v>-1.832277E-3</v>
      </c>
      <c r="AX84" s="6">
        <v>3.884817391304349E-5</v>
      </c>
      <c r="AY84" s="6">
        <v>-1.770492E-3</v>
      </c>
      <c r="AZ84" s="6">
        <v>-2.1199650000000001E-3</v>
      </c>
      <c r="BA84" s="6">
        <v>6.0777913043478278E-5</v>
      </c>
      <c r="BB84" s="6">
        <v>-1.4153799999999999E-3</v>
      </c>
      <c r="BC84" s="6">
        <v>-1.8904460000000001E-3</v>
      </c>
      <c r="BD84" s="6">
        <v>8.2620173913043504E-5</v>
      </c>
      <c r="BE84" s="6">
        <v>-1.207273E-3</v>
      </c>
      <c r="BF84" s="6">
        <v>-1.607095E-3</v>
      </c>
      <c r="BG84" s="6">
        <v>6.9534260869565209E-5</v>
      </c>
      <c r="BH84" s="6">
        <v>-1.3859810000000001E-3</v>
      </c>
      <c r="BI84" s="6">
        <v>-1.893184E-3</v>
      </c>
      <c r="BJ84" s="6">
        <v>8.8209217391304335E-5</v>
      </c>
      <c r="BK84" s="6">
        <v>-1.224389E-3</v>
      </c>
      <c r="BL84" s="6">
        <v>-1.605497E-3</v>
      </c>
      <c r="BM84" s="6">
        <v>6.6279652173913039E-5</v>
      </c>
      <c r="BN84" s="6">
        <v>-1.943427E-3</v>
      </c>
      <c r="BO84" s="6">
        <v>-2.360497E-3</v>
      </c>
      <c r="BP84" s="6">
        <v>7.2533913043478271E-5</v>
      </c>
      <c r="BQ84" s="6">
        <v>-2.005859E-3</v>
      </c>
      <c r="BR84" s="6">
        <v>-2.445502E-3</v>
      </c>
      <c r="BS84" s="6">
        <v>7.645965217391304E-5</v>
      </c>
      <c r="BT84" s="6">
        <v>-1.9522470000000001E-3</v>
      </c>
      <c r="BU84" s="6">
        <v>-2.3596749999999999E-3</v>
      </c>
      <c r="BV84" s="6">
        <v>7.0857043478260844E-5</v>
      </c>
      <c r="BW84" s="6">
        <v>-2.0007240000000002E-3</v>
      </c>
      <c r="BX84" s="6">
        <v>-2.4459820000000002E-3</v>
      </c>
      <c r="BY84" s="6">
        <v>7.743617391304348E-5</v>
      </c>
      <c r="BZ84" s="6">
        <v>-1.8941909999999999E-3</v>
      </c>
      <c r="CA84" s="6">
        <v>-2.3771259999999998E-3</v>
      </c>
      <c r="CB84" s="6">
        <v>8.3988695652173896E-5</v>
      </c>
      <c r="CC84" s="6">
        <v>-1.8317590000000001E-3</v>
      </c>
      <c r="CD84" s="6">
        <v>-2.2921209999999998E-3</v>
      </c>
      <c r="CE84" s="6">
        <v>8.0062956521739087E-5</v>
      </c>
      <c r="CF84" s="6">
        <v>-1.8853710000000001E-3</v>
      </c>
      <c r="CG84" s="6">
        <v>-2.377948E-3</v>
      </c>
      <c r="CH84" s="6">
        <v>8.5665565217391283E-5</v>
      </c>
      <c r="CI84" s="6">
        <v>-1.836893E-3</v>
      </c>
      <c r="CJ84" s="6">
        <v>-2.2916410000000001E-3</v>
      </c>
      <c r="CK84" s="6">
        <v>7.9086608695652186E-5</v>
      </c>
      <c r="CL84" s="6">
        <v>-1.295168E-3</v>
      </c>
      <c r="CM84" s="6">
        <v>-1.5819110000000001E-3</v>
      </c>
      <c r="CN84" s="6">
        <v>4.9868347826086975E-5</v>
      </c>
      <c r="CO84" s="6">
        <v>-1.3576E-3</v>
      </c>
      <c r="CP84" s="6">
        <v>-1.6669160000000001E-3</v>
      </c>
      <c r="CQ84" s="6">
        <v>5.3794086956521743E-5</v>
      </c>
      <c r="CR84" s="6">
        <v>-1.3039880000000001E-3</v>
      </c>
      <c r="CS84" s="6">
        <v>-1.5810889999999999E-3</v>
      </c>
      <c r="CT84" s="6">
        <v>4.819147826086954E-5</v>
      </c>
      <c r="CU84" s="6">
        <v>-1.3524660000000001E-3</v>
      </c>
      <c r="CV84" s="6">
        <v>-1.667396E-3</v>
      </c>
      <c r="CW84" s="6">
        <v>5.4770434782608685E-5</v>
      </c>
      <c r="CX84" s="6">
        <v>-1.2459319999999999E-3</v>
      </c>
      <c r="CY84" s="6">
        <v>-1.5985400000000001E-3</v>
      </c>
      <c r="CZ84" s="6">
        <v>6.1323130434782626E-5</v>
      </c>
      <c r="DA84" s="6">
        <v>-1.1835000000000001E-3</v>
      </c>
      <c r="DB84" s="6">
        <v>-1.5135350000000001E-3</v>
      </c>
      <c r="DC84" s="6">
        <v>5.7397391304347824E-5</v>
      </c>
      <c r="DD84" s="6">
        <v>-1.2371120000000001E-3</v>
      </c>
      <c r="DE84" s="6">
        <v>-1.599362E-3</v>
      </c>
      <c r="DF84" s="6">
        <v>6.2999999999999986E-5</v>
      </c>
      <c r="DG84" s="6">
        <v>-1.188635E-3</v>
      </c>
      <c r="DH84" s="6">
        <v>-1.5130549999999999E-3</v>
      </c>
      <c r="DI84" s="6">
        <v>5.6420869565217383E-5</v>
      </c>
    </row>
    <row r="85" spans="1:113" x14ac:dyDescent="0.3">
      <c r="A85" s="13" t="s">
        <v>431</v>
      </c>
      <c r="B85" s="13" t="s">
        <v>95</v>
      </c>
      <c r="C85" s="13" t="s">
        <v>97</v>
      </c>
      <c r="D85" s="13" t="s">
        <v>364</v>
      </c>
      <c r="E85" s="13">
        <v>11</v>
      </c>
      <c r="F85" s="6">
        <v>-3.05099E-3</v>
      </c>
      <c r="G85" s="6">
        <v>-2.4298470000000002E-3</v>
      </c>
      <c r="H85" s="6">
        <v>5.6467545454545436E-5</v>
      </c>
      <c r="I85" s="6">
        <v>-4.3575890000000003E-3</v>
      </c>
      <c r="J85" s="6">
        <v>-3.4692389999999998E-3</v>
      </c>
      <c r="K85" s="6">
        <v>8.0759090909090941E-5</v>
      </c>
      <c r="L85" s="6">
        <v>-3.6629470000000002E-3</v>
      </c>
      <c r="M85" s="6">
        <v>-3.0529279999999999E-3</v>
      </c>
      <c r="N85" s="6">
        <v>5.5456272727272751E-5</v>
      </c>
      <c r="O85" s="6">
        <v>-4.940318E-3</v>
      </c>
      <c r="P85" s="6">
        <v>-4.0626539999999997E-3</v>
      </c>
      <c r="Q85" s="6">
        <v>7.9787636363636387E-5</v>
      </c>
      <c r="R85" s="6">
        <v>-4.807965E-3</v>
      </c>
      <c r="S85" s="6">
        <v>-4.5538200000000001E-3</v>
      </c>
      <c r="T85" s="6">
        <v>2.3104090909090898E-5</v>
      </c>
      <c r="U85" s="6">
        <v>-4.848682E-3</v>
      </c>
      <c r="V85" s="6">
        <v>-4.0042360000000004E-3</v>
      </c>
      <c r="W85" s="6">
        <v>7.6767818181818146E-5</v>
      </c>
      <c r="X85" s="6">
        <v>-4.8248090000000002E-3</v>
      </c>
      <c r="Y85" s="6">
        <v>-4.4426450000000003E-3</v>
      </c>
      <c r="Z85" s="6">
        <v>3.4742181818181815E-5</v>
      </c>
      <c r="AA85" s="6">
        <v>-4.8440030000000004E-3</v>
      </c>
      <c r="AB85" s="6">
        <v>-4.0750029999999998E-3</v>
      </c>
      <c r="AC85" s="6">
        <v>6.9909090909090962E-5</v>
      </c>
      <c r="AD85" s="6">
        <v>-4.951525E-3</v>
      </c>
      <c r="AE85" s="6">
        <v>-3.3668539999999999E-3</v>
      </c>
      <c r="AF85" s="6">
        <v>1.4406100000000002E-4</v>
      </c>
      <c r="AG85" s="6">
        <v>-4.9089870000000001E-3</v>
      </c>
      <c r="AH85" s="6">
        <v>-3.906634E-3</v>
      </c>
      <c r="AI85" s="6">
        <v>9.1123000000000015E-5</v>
      </c>
      <c r="AJ85" s="6">
        <v>-4.9346800000000003E-3</v>
      </c>
      <c r="AK85" s="6">
        <v>-3.47803E-3</v>
      </c>
      <c r="AL85" s="6">
        <v>1.324227272727273E-4</v>
      </c>
      <c r="AM85" s="6">
        <v>-4.9154860000000002E-3</v>
      </c>
      <c r="AN85" s="6">
        <v>-3.8456710000000002E-3</v>
      </c>
      <c r="AO85" s="6">
        <v>9.7255909090909095E-5</v>
      </c>
      <c r="AP85" s="6">
        <v>-4.346384E-3</v>
      </c>
      <c r="AQ85" s="6">
        <v>-4.1650380000000002E-3</v>
      </c>
      <c r="AR85" s="6">
        <v>1.6485999999999977E-5</v>
      </c>
      <c r="AS85" s="6">
        <v>-4.3889209999999996E-3</v>
      </c>
      <c r="AT85" s="6">
        <v>-3.6252580000000001E-3</v>
      </c>
      <c r="AU85" s="6">
        <v>6.942390909090904E-5</v>
      </c>
      <c r="AV85" s="6">
        <v>-4.3632289999999997E-3</v>
      </c>
      <c r="AW85" s="6">
        <v>-4.0538620000000001E-3</v>
      </c>
      <c r="AX85" s="6">
        <v>2.8124272727272695E-5</v>
      </c>
      <c r="AY85" s="6">
        <v>-4.3824229999999999E-3</v>
      </c>
      <c r="AZ85" s="6">
        <v>-3.6862209999999999E-3</v>
      </c>
      <c r="BA85" s="6">
        <v>6.3291090909090898E-5</v>
      </c>
      <c r="BB85" s="6">
        <v>-4.4899440000000001E-3</v>
      </c>
      <c r="BC85" s="6">
        <v>-2.978072E-3</v>
      </c>
      <c r="BD85" s="6">
        <v>1.3744290909090909E-4</v>
      </c>
      <c r="BE85" s="6">
        <v>-4.4474069999999996E-3</v>
      </c>
      <c r="BF85" s="6">
        <v>-3.5178520000000001E-3</v>
      </c>
      <c r="BG85" s="6">
        <v>8.4504999999999951E-5</v>
      </c>
      <c r="BH85" s="6">
        <v>-4.4730990000000003E-3</v>
      </c>
      <c r="BI85" s="6">
        <v>-3.0892480000000002E-3</v>
      </c>
      <c r="BJ85" s="6">
        <v>1.2580463636363638E-4</v>
      </c>
      <c r="BK85" s="6">
        <v>-4.4539050000000002E-3</v>
      </c>
      <c r="BL85" s="6">
        <v>-3.4568889999999999E-3</v>
      </c>
      <c r="BM85" s="6">
        <v>9.0637818181818215E-5</v>
      </c>
      <c r="BN85" s="6">
        <v>-5.3967219999999996E-3</v>
      </c>
      <c r="BO85" s="6">
        <v>-4.5919619999999998E-3</v>
      </c>
      <c r="BP85" s="6">
        <v>7.3159999999999984E-5</v>
      </c>
      <c r="BQ85" s="6">
        <v>-5.4094829999999997E-3</v>
      </c>
      <c r="BR85" s="6">
        <v>-4.4300279999999999E-3</v>
      </c>
      <c r="BS85" s="6">
        <v>8.9041363636363618E-5</v>
      </c>
      <c r="BT85" s="6">
        <v>-5.4017750000000002E-3</v>
      </c>
      <c r="BU85" s="6">
        <v>-4.5586089999999999E-3</v>
      </c>
      <c r="BV85" s="6">
        <v>7.6651454545454561E-5</v>
      </c>
      <c r="BW85" s="6">
        <v>-5.407533E-3</v>
      </c>
      <c r="BX85" s="6">
        <v>-4.4483170000000002E-3</v>
      </c>
      <c r="BY85" s="6">
        <v>8.720145454545452E-5</v>
      </c>
      <c r="BZ85" s="6">
        <v>-5.4397899999999999E-3</v>
      </c>
      <c r="CA85" s="6">
        <v>-4.2358719999999999E-3</v>
      </c>
      <c r="CB85" s="6">
        <v>1.0944709090909091E-4</v>
      </c>
      <c r="CC85" s="6">
        <v>-5.4270289999999999E-3</v>
      </c>
      <c r="CD85" s="6">
        <v>-4.3978059999999998E-3</v>
      </c>
      <c r="CE85" s="6">
        <v>9.3565727272727287E-5</v>
      </c>
      <c r="CF85" s="6">
        <v>-5.4347359999999999E-3</v>
      </c>
      <c r="CG85" s="6">
        <v>-4.2692249999999998E-3</v>
      </c>
      <c r="CH85" s="6">
        <v>1.0595554545454547E-4</v>
      </c>
      <c r="CI85" s="6">
        <v>-5.4289780000000001E-3</v>
      </c>
      <c r="CJ85" s="6">
        <v>-4.3795170000000003E-3</v>
      </c>
      <c r="CK85" s="6">
        <v>9.5405545454545435E-5</v>
      </c>
      <c r="CL85" s="6">
        <v>-3.8581190000000001E-3</v>
      </c>
      <c r="CM85" s="6">
        <v>-3.2960200000000002E-3</v>
      </c>
      <c r="CN85" s="6">
        <v>5.1099909090909085E-5</v>
      </c>
      <c r="CO85" s="6">
        <v>-3.8708800000000002E-3</v>
      </c>
      <c r="CP85" s="6">
        <v>-3.1340859999999999E-3</v>
      </c>
      <c r="CQ85" s="6">
        <v>6.6981272727272746E-5</v>
      </c>
      <c r="CR85" s="6">
        <v>-3.8631730000000001E-3</v>
      </c>
      <c r="CS85" s="6">
        <v>-3.2626669999999999E-3</v>
      </c>
      <c r="CT85" s="6">
        <v>5.4591454545454566E-5</v>
      </c>
      <c r="CU85" s="6">
        <v>-3.8689309999999999E-3</v>
      </c>
      <c r="CV85" s="6">
        <v>-3.1523749999999998E-3</v>
      </c>
      <c r="CW85" s="6">
        <v>6.5141454545454558E-5</v>
      </c>
      <c r="CX85" s="6">
        <v>-3.901187E-3</v>
      </c>
      <c r="CY85" s="6">
        <v>-2.9399299999999999E-3</v>
      </c>
      <c r="CZ85" s="6">
        <v>8.7387000000000009E-5</v>
      </c>
      <c r="DA85" s="6">
        <v>-3.8884259999999999E-3</v>
      </c>
      <c r="DB85" s="6">
        <v>-3.1018640000000002E-3</v>
      </c>
      <c r="DC85" s="6">
        <v>7.1505636363636347E-5</v>
      </c>
      <c r="DD85" s="6">
        <v>-3.8961339999999999E-3</v>
      </c>
      <c r="DE85" s="6">
        <v>-2.9732830000000002E-3</v>
      </c>
      <c r="DF85" s="6">
        <v>8.3895545454545432E-5</v>
      </c>
      <c r="DG85" s="6">
        <v>-3.8903760000000001E-3</v>
      </c>
      <c r="DH85" s="6">
        <v>-3.0835749999999999E-3</v>
      </c>
      <c r="DI85" s="6">
        <v>7.3345545454545473E-5</v>
      </c>
    </row>
    <row r="86" spans="1:113" x14ac:dyDescent="0.3">
      <c r="A86" s="13" t="s">
        <v>432</v>
      </c>
      <c r="B86" s="13" t="s">
        <v>131</v>
      </c>
      <c r="C86" s="13" t="s">
        <v>133</v>
      </c>
      <c r="D86" s="13" t="s">
        <v>364</v>
      </c>
      <c r="E86" s="13">
        <v>11</v>
      </c>
      <c r="F86" s="6">
        <v>-3.4312180000000002E-3</v>
      </c>
      <c r="G86" s="6">
        <v>-2.9870460000000001E-3</v>
      </c>
      <c r="H86" s="6">
        <v>4.0379272727272732E-5</v>
      </c>
      <c r="I86" s="6">
        <v>-4.8036099999999998E-3</v>
      </c>
      <c r="J86" s="6">
        <v>-4.1254910000000002E-3</v>
      </c>
      <c r="K86" s="6">
        <v>6.1647181818181782E-5</v>
      </c>
      <c r="L86" s="6">
        <v>-4.0310509999999999E-3</v>
      </c>
      <c r="M86" s="6">
        <v>-3.5983569999999999E-3</v>
      </c>
      <c r="N86" s="6">
        <v>3.9335818181818176E-5</v>
      </c>
      <c r="O86" s="6">
        <v>-5.3748219999999996E-3</v>
      </c>
      <c r="P86" s="6">
        <v>-4.7076949999999996E-3</v>
      </c>
      <c r="Q86" s="6">
        <v>6.0647909090909089E-5</v>
      </c>
      <c r="R86" s="6">
        <v>-5.2656960000000003E-3</v>
      </c>
      <c r="S86" s="6">
        <v>-5.2529250000000003E-3</v>
      </c>
      <c r="T86" s="6">
        <v>1.1609999999999966E-6</v>
      </c>
      <c r="U86" s="6">
        <v>-5.3371709999999999E-3</v>
      </c>
      <c r="V86" s="6">
        <v>-4.6782760000000003E-3</v>
      </c>
      <c r="W86" s="6">
        <v>5.9899545454545419E-5</v>
      </c>
      <c r="X86" s="6">
        <v>-5.2731139999999998E-3</v>
      </c>
      <c r="Y86" s="6">
        <v>-5.1953119999999997E-3</v>
      </c>
      <c r="Z86" s="6">
        <v>7.0729090909090978E-6</v>
      </c>
      <c r="AA86" s="6">
        <v>-5.334297E-3</v>
      </c>
      <c r="AB86" s="6">
        <v>-4.7145670000000002E-3</v>
      </c>
      <c r="AC86" s="6">
        <v>5.6339090909090887E-5</v>
      </c>
      <c r="AD86" s="6">
        <v>-5.4180549999999997E-3</v>
      </c>
      <c r="AE86" s="6">
        <v>-4.0340710000000002E-3</v>
      </c>
      <c r="AF86" s="6">
        <v>1.2581672727272723E-4</v>
      </c>
      <c r="AG86" s="6">
        <v>-5.3466440000000002E-3</v>
      </c>
      <c r="AH86" s="6">
        <v>-4.6042610000000001E-3</v>
      </c>
      <c r="AI86" s="6">
        <v>6.7489363636363646E-5</v>
      </c>
      <c r="AJ86" s="6">
        <v>-5.4106370000000003E-3</v>
      </c>
      <c r="AK86" s="6">
        <v>-4.0916839999999999E-3</v>
      </c>
      <c r="AL86" s="6">
        <v>1.199048181818182E-4</v>
      </c>
      <c r="AM86" s="6">
        <v>-5.349454E-3</v>
      </c>
      <c r="AN86" s="6">
        <v>-4.5724290000000003E-3</v>
      </c>
      <c r="AO86" s="6">
        <v>7.0638636363636343E-5</v>
      </c>
      <c r="AP86" s="6">
        <v>-4.760378E-3</v>
      </c>
      <c r="AQ86" s="6">
        <v>-4.7991149999999996E-3</v>
      </c>
      <c r="AR86" s="6">
        <v>3.5215454545454206E-6</v>
      </c>
      <c r="AS86" s="6">
        <v>-4.8317899999999999E-3</v>
      </c>
      <c r="AT86" s="6">
        <v>-4.2289240000000002E-3</v>
      </c>
      <c r="AU86" s="6">
        <v>5.480599999999997E-5</v>
      </c>
      <c r="AV86" s="6">
        <v>-4.7677960000000004E-3</v>
      </c>
      <c r="AW86" s="6">
        <v>-4.7415019999999999E-3</v>
      </c>
      <c r="AX86" s="6">
        <v>2.390363636363681E-6</v>
      </c>
      <c r="AY86" s="6">
        <v>-4.8289789999999997E-3</v>
      </c>
      <c r="AZ86" s="6">
        <v>-4.2607570000000004E-3</v>
      </c>
      <c r="BA86" s="6">
        <v>5.165654545454539E-5</v>
      </c>
      <c r="BB86" s="6">
        <v>-4.9127370000000004E-3</v>
      </c>
      <c r="BC86" s="6">
        <v>-3.5802609999999999E-3</v>
      </c>
      <c r="BD86" s="6">
        <v>1.2113418181818186E-4</v>
      </c>
      <c r="BE86" s="6">
        <v>-4.841326E-3</v>
      </c>
      <c r="BF86" s="6">
        <v>-4.1504510000000003E-3</v>
      </c>
      <c r="BG86" s="6">
        <v>6.2806818181818149E-5</v>
      </c>
      <c r="BH86" s="6">
        <v>-4.905319E-3</v>
      </c>
      <c r="BI86" s="6">
        <v>-3.6378729999999998E-3</v>
      </c>
      <c r="BJ86" s="6">
        <v>1.1522236363636366E-4</v>
      </c>
      <c r="BK86" s="6">
        <v>-4.8441359999999998E-3</v>
      </c>
      <c r="BL86" s="6">
        <v>-4.1186189999999996E-3</v>
      </c>
      <c r="BM86" s="6">
        <v>6.5956090909090928E-5</v>
      </c>
      <c r="BN86" s="6">
        <v>-5.9085589999999999E-3</v>
      </c>
      <c r="BO86" s="6">
        <v>-5.3557709999999996E-3</v>
      </c>
      <c r="BP86" s="6">
        <v>5.0253454545454568E-5</v>
      </c>
      <c r="BQ86" s="6">
        <v>-5.9299829999999998E-3</v>
      </c>
      <c r="BR86" s="6">
        <v>-5.184714E-3</v>
      </c>
      <c r="BS86" s="6">
        <v>6.7751727272727253E-5</v>
      </c>
      <c r="BT86" s="6">
        <v>-5.9107839999999997E-3</v>
      </c>
      <c r="BU86" s="6">
        <v>-5.3384870000000003E-3</v>
      </c>
      <c r="BV86" s="6">
        <v>5.2026999999999948E-5</v>
      </c>
      <c r="BW86" s="6">
        <v>-5.9291389999999999E-3</v>
      </c>
      <c r="BX86" s="6">
        <v>-5.1942639999999997E-3</v>
      </c>
      <c r="BY86" s="6">
        <v>6.6806818181818205E-5</v>
      </c>
      <c r="BZ86" s="6">
        <v>-5.9542670000000001E-3</v>
      </c>
      <c r="CA86" s="6">
        <v>-4.9901149999999998E-3</v>
      </c>
      <c r="CB86" s="6">
        <v>8.7650181818181837E-5</v>
      </c>
      <c r="CC86" s="6">
        <v>-5.9328430000000001E-3</v>
      </c>
      <c r="CD86" s="6">
        <v>-5.1611720000000003E-3</v>
      </c>
      <c r="CE86" s="6">
        <v>7.0151909090909078E-5</v>
      </c>
      <c r="CF86" s="6">
        <v>-5.9520420000000003E-3</v>
      </c>
      <c r="CG86" s="6">
        <v>-5.0073990000000001E-3</v>
      </c>
      <c r="CH86" s="6">
        <v>8.587663636363639E-5</v>
      </c>
      <c r="CI86" s="6">
        <v>-5.933687E-3</v>
      </c>
      <c r="CJ86" s="6">
        <v>-5.1516219999999998E-3</v>
      </c>
      <c r="CK86" s="6">
        <v>7.1096818181818193E-5</v>
      </c>
      <c r="CL86" s="6">
        <v>-4.2241659999999997E-3</v>
      </c>
      <c r="CM86" s="6">
        <v>-3.8430700000000001E-3</v>
      </c>
      <c r="CN86" s="6">
        <v>3.4645090909090874E-5</v>
      </c>
      <c r="CO86" s="6">
        <v>-4.2455890000000001E-3</v>
      </c>
      <c r="CP86" s="6">
        <v>-3.6720139999999999E-3</v>
      </c>
      <c r="CQ86" s="6">
        <v>5.214318181818184E-5</v>
      </c>
      <c r="CR86" s="6">
        <v>-4.2263919999999998E-3</v>
      </c>
      <c r="CS86" s="6">
        <v>-3.8257870000000002E-3</v>
      </c>
      <c r="CT86" s="6">
        <v>3.6418636363636329E-5</v>
      </c>
      <c r="CU86" s="6">
        <v>-4.2447459999999998E-3</v>
      </c>
      <c r="CV86" s="6">
        <v>-3.6815630000000001E-3</v>
      </c>
      <c r="CW86" s="6">
        <v>5.1198454545454512E-5</v>
      </c>
      <c r="CX86" s="6">
        <v>-4.2698739999999999E-3</v>
      </c>
      <c r="CY86" s="6">
        <v>-3.4774139999999999E-3</v>
      </c>
      <c r="CZ86" s="6">
        <v>7.2041818181818192E-5</v>
      </c>
      <c r="DA86" s="6">
        <v>-4.2484510000000003E-3</v>
      </c>
      <c r="DB86" s="6">
        <v>-3.6484709999999999E-3</v>
      </c>
      <c r="DC86" s="6">
        <v>5.4543636363636397E-5</v>
      </c>
      <c r="DD86" s="6">
        <v>-4.2676479999999998E-3</v>
      </c>
      <c r="DE86" s="6">
        <v>-3.4946980000000001E-3</v>
      </c>
      <c r="DF86" s="6">
        <v>7.0268181818181793E-5</v>
      </c>
      <c r="DG86" s="6">
        <v>-4.2492930000000003E-3</v>
      </c>
      <c r="DH86" s="6">
        <v>-3.6389220000000002E-3</v>
      </c>
      <c r="DI86" s="6">
        <v>5.5488272727272746E-5</v>
      </c>
    </row>
    <row r="87" spans="1:113" x14ac:dyDescent="0.3">
      <c r="A87" s="13" t="s">
        <v>433</v>
      </c>
      <c r="B87" s="13" t="s">
        <v>168</v>
      </c>
      <c r="C87" s="13" t="s">
        <v>172</v>
      </c>
      <c r="D87" s="13" t="s">
        <v>364</v>
      </c>
      <c r="E87" s="13">
        <v>11</v>
      </c>
      <c r="F87" s="6">
        <v>-3.4896850000000002E-3</v>
      </c>
      <c r="G87" s="6">
        <v>-2.9707309999999999E-3</v>
      </c>
      <c r="H87" s="6">
        <v>4.7177636363636393E-5</v>
      </c>
      <c r="I87" s="6">
        <v>-4.8772340000000003E-3</v>
      </c>
      <c r="J87" s="6">
        <v>-4.1545729999999999E-3</v>
      </c>
      <c r="K87" s="6">
        <v>6.5696454545454569E-5</v>
      </c>
      <c r="L87" s="6">
        <v>-4.0893290000000001E-3</v>
      </c>
      <c r="M87" s="6">
        <v>-3.5818180000000001E-3</v>
      </c>
      <c r="N87" s="6">
        <v>4.6137363636363638E-5</v>
      </c>
      <c r="O87" s="6">
        <v>-5.4482740000000003E-3</v>
      </c>
      <c r="P87" s="6">
        <v>-4.7365619999999997E-3</v>
      </c>
      <c r="Q87" s="6">
        <v>6.4701090909090967E-5</v>
      </c>
      <c r="R87" s="6">
        <v>-5.3425089999999996E-3</v>
      </c>
      <c r="S87" s="6">
        <v>-5.2687819999999996E-3</v>
      </c>
      <c r="T87" s="6">
        <v>6.7024545454545445E-6</v>
      </c>
      <c r="U87" s="6">
        <v>-5.4278699999999996E-3</v>
      </c>
      <c r="V87" s="6">
        <v>-4.6761190000000003E-3</v>
      </c>
      <c r="W87" s="6">
        <v>6.8340999999999934E-5</v>
      </c>
      <c r="X87" s="6">
        <v>-5.3348809999999997E-3</v>
      </c>
      <c r="Y87" s="6">
        <v>-5.2797340000000003E-3</v>
      </c>
      <c r="Z87" s="6">
        <v>5.0133636363635744E-6</v>
      </c>
      <c r="AA87" s="6">
        <v>-5.4306550000000004E-3</v>
      </c>
      <c r="AB87" s="6">
        <v>-4.6732259999999999E-3</v>
      </c>
      <c r="AC87" s="6">
        <v>6.8857181818181857E-5</v>
      </c>
      <c r="AD87" s="6">
        <v>-5.4953040000000003E-3</v>
      </c>
      <c r="AE87" s="6">
        <v>-4.0741700000000002E-3</v>
      </c>
      <c r="AF87" s="6">
        <v>1.2919400000000001E-4</v>
      </c>
      <c r="AG87" s="6">
        <v>-5.4101339999999996E-3</v>
      </c>
      <c r="AH87" s="6">
        <v>-4.6649509999999996E-3</v>
      </c>
      <c r="AI87" s="6">
        <v>6.7743909090909083E-5</v>
      </c>
      <c r="AJ87" s="6">
        <v>-5.5029320000000003E-3</v>
      </c>
      <c r="AK87" s="6">
        <v>-4.0632180000000004E-3</v>
      </c>
      <c r="AL87" s="6">
        <v>1.308830909090909E-4</v>
      </c>
      <c r="AM87" s="6">
        <v>-5.4071579999999996E-3</v>
      </c>
      <c r="AN87" s="6">
        <v>-4.6697270000000003E-3</v>
      </c>
      <c r="AO87" s="6">
        <v>6.703918181818176E-5</v>
      </c>
      <c r="AP87" s="6">
        <v>-4.8302040000000003E-3</v>
      </c>
      <c r="AQ87" s="6">
        <v>-4.8169650000000003E-3</v>
      </c>
      <c r="AR87" s="6">
        <v>1.2035454545454508E-6</v>
      </c>
      <c r="AS87" s="6">
        <v>-4.9153740000000001E-3</v>
      </c>
      <c r="AT87" s="6">
        <v>-4.226184E-3</v>
      </c>
      <c r="AU87" s="6">
        <v>6.2653636363636372E-5</v>
      </c>
      <c r="AV87" s="6">
        <v>-4.8225760000000003E-3</v>
      </c>
      <c r="AW87" s="6">
        <v>-4.8279170000000001E-3</v>
      </c>
      <c r="AX87" s="6">
        <v>4.8554545454544113E-7</v>
      </c>
      <c r="AY87" s="6">
        <v>-4.9183500000000002E-3</v>
      </c>
      <c r="AZ87" s="6">
        <v>-4.2214089999999998E-3</v>
      </c>
      <c r="BA87" s="6">
        <v>6.3358272727272758E-5</v>
      </c>
      <c r="BB87" s="6">
        <v>-4.9829990000000001E-3</v>
      </c>
      <c r="BC87" s="6">
        <v>-3.622353E-3</v>
      </c>
      <c r="BD87" s="6">
        <v>1.2369509090909091E-4</v>
      </c>
      <c r="BE87" s="6">
        <v>-4.8978290000000002E-3</v>
      </c>
      <c r="BF87" s="6">
        <v>-4.2131340000000003E-3</v>
      </c>
      <c r="BG87" s="6">
        <v>6.2244999999999998E-5</v>
      </c>
      <c r="BH87" s="6">
        <v>-4.9906280000000004E-3</v>
      </c>
      <c r="BI87" s="6">
        <v>-3.6114010000000002E-3</v>
      </c>
      <c r="BJ87" s="6">
        <v>1.2538427272727274E-4</v>
      </c>
      <c r="BK87" s="6">
        <v>-4.8948539999999997E-3</v>
      </c>
      <c r="BL87" s="6">
        <v>-4.2179100000000001E-3</v>
      </c>
      <c r="BM87" s="6">
        <v>6.1540363636363598E-5</v>
      </c>
      <c r="BN87" s="6">
        <v>-5.9936759999999999E-3</v>
      </c>
      <c r="BO87" s="6">
        <v>-5.377789E-3</v>
      </c>
      <c r="BP87" s="6">
        <v>5.5989727272727259E-5</v>
      </c>
      <c r="BQ87" s="6">
        <v>-6.0192270000000003E-3</v>
      </c>
      <c r="BR87" s="6">
        <v>-5.2005539999999996E-3</v>
      </c>
      <c r="BS87" s="6">
        <v>7.442481818181824E-5</v>
      </c>
      <c r="BT87" s="6">
        <v>-5.9913880000000003E-3</v>
      </c>
      <c r="BU87" s="6">
        <v>-5.3810739999999996E-3</v>
      </c>
      <c r="BV87" s="6">
        <v>5.5483090909090969E-5</v>
      </c>
      <c r="BW87" s="6">
        <v>-6.0201200000000003E-3</v>
      </c>
      <c r="BX87" s="6">
        <v>-5.1991210000000001E-3</v>
      </c>
      <c r="BY87" s="6">
        <v>7.463627272727274E-5</v>
      </c>
      <c r="BZ87" s="6">
        <v>-6.0395149999999996E-3</v>
      </c>
      <c r="CA87" s="6">
        <v>-5.0194050000000002E-3</v>
      </c>
      <c r="CB87" s="6">
        <v>9.2737272727272681E-5</v>
      </c>
      <c r="CC87" s="6">
        <v>-6.0139640000000001E-3</v>
      </c>
      <c r="CD87" s="6">
        <v>-5.1966390000000003E-3</v>
      </c>
      <c r="CE87" s="6">
        <v>7.4302272727272712E-5</v>
      </c>
      <c r="CF87" s="6">
        <v>-6.0418030000000001E-3</v>
      </c>
      <c r="CG87" s="6">
        <v>-5.0161190000000003E-3</v>
      </c>
      <c r="CH87" s="6">
        <v>9.3243999999999977E-5</v>
      </c>
      <c r="CI87" s="6">
        <v>-6.013071E-3</v>
      </c>
      <c r="CJ87" s="6">
        <v>-5.1980719999999998E-3</v>
      </c>
      <c r="CK87" s="6">
        <v>7.4090818181818212E-5</v>
      </c>
      <c r="CL87" s="6">
        <v>-4.2859939999999996E-3</v>
      </c>
      <c r="CM87" s="6">
        <v>-3.8717309999999998E-3</v>
      </c>
      <c r="CN87" s="6">
        <v>3.7660272727272706E-5</v>
      </c>
      <c r="CO87" s="6">
        <v>-4.3115439999999996E-3</v>
      </c>
      <c r="CP87" s="6">
        <v>-3.6944959999999998E-3</v>
      </c>
      <c r="CQ87" s="6">
        <v>5.6095272727272709E-5</v>
      </c>
      <c r="CR87" s="6">
        <v>-4.2837049999999996E-3</v>
      </c>
      <c r="CS87" s="6">
        <v>-3.8750159999999998E-3</v>
      </c>
      <c r="CT87" s="6">
        <v>3.7153545454545438E-5</v>
      </c>
      <c r="CU87" s="6">
        <v>-4.3124369999999997E-3</v>
      </c>
      <c r="CV87" s="6">
        <v>-3.6930639999999998E-3</v>
      </c>
      <c r="CW87" s="6">
        <v>5.6306636363636353E-5</v>
      </c>
      <c r="CX87" s="6">
        <v>-4.3318319999999999E-3</v>
      </c>
      <c r="CY87" s="6">
        <v>-3.513347E-3</v>
      </c>
      <c r="CZ87" s="6">
        <v>7.4407727272727265E-5</v>
      </c>
      <c r="DA87" s="6">
        <v>-4.3062810000000003E-3</v>
      </c>
      <c r="DB87" s="6">
        <v>-3.690582E-3</v>
      </c>
      <c r="DC87" s="6">
        <v>5.59726363636364E-5</v>
      </c>
      <c r="DD87" s="6">
        <v>-4.3341209999999998E-3</v>
      </c>
      <c r="DE87" s="6">
        <v>-3.510062E-3</v>
      </c>
      <c r="DF87" s="6">
        <v>7.4914454545454534E-5</v>
      </c>
      <c r="DG87" s="6">
        <v>-4.3053880000000003E-3</v>
      </c>
      <c r="DH87" s="6">
        <v>-3.692014E-3</v>
      </c>
      <c r="DI87" s="6">
        <v>5.5761272727272756E-5</v>
      </c>
    </row>
    <row r="88" spans="1:113" x14ac:dyDescent="0.3">
      <c r="A88" s="13" t="s">
        <v>434</v>
      </c>
      <c r="B88" s="13" t="s">
        <v>209</v>
      </c>
      <c r="C88" s="13" t="s">
        <v>213</v>
      </c>
      <c r="D88" s="13" t="s">
        <v>364</v>
      </c>
      <c r="E88" s="13">
        <v>11</v>
      </c>
      <c r="F88" s="6">
        <v>-3.2360050000000001E-3</v>
      </c>
      <c r="G88" s="6">
        <v>-2.60166E-3</v>
      </c>
      <c r="H88" s="6">
        <v>5.7667727272727286E-5</v>
      </c>
      <c r="I88" s="6">
        <v>-4.5674890000000001E-3</v>
      </c>
      <c r="J88" s="6">
        <v>-3.7039410000000001E-3</v>
      </c>
      <c r="K88" s="6">
        <v>7.8504363636363634E-5</v>
      </c>
      <c r="L88" s="6">
        <v>-3.8354550000000002E-3</v>
      </c>
      <c r="M88" s="6">
        <v>-3.2125320000000001E-3</v>
      </c>
      <c r="N88" s="6">
        <v>5.6629363636363638E-5</v>
      </c>
      <c r="O88" s="6">
        <v>-5.1383360000000003E-3</v>
      </c>
      <c r="P88" s="6">
        <v>-4.2857260000000001E-3</v>
      </c>
      <c r="Q88" s="6">
        <v>7.7510000000000022E-5</v>
      </c>
      <c r="R88" s="6">
        <v>-5.0360479999999996E-3</v>
      </c>
      <c r="S88" s="6">
        <v>-4.7471609999999997E-3</v>
      </c>
      <c r="T88" s="6">
        <v>2.6262454545454529E-5</v>
      </c>
      <c r="U88" s="6">
        <v>-5.125325E-3</v>
      </c>
      <c r="V88" s="6">
        <v>-4.1891250000000001E-3</v>
      </c>
      <c r="W88" s="6">
        <v>8.5109090909090898E-5</v>
      </c>
      <c r="X88" s="6">
        <v>-5.0209240000000004E-3</v>
      </c>
      <c r="Y88" s="6">
        <v>-4.8196469999999998E-3</v>
      </c>
      <c r="Z88" s="6">
        <v>1.8297909090909144E-5</v>
      </c>
      <c r="AA88" s="6">
        <v>-5.1309370000000003E-3</v>
      </c>
      <c r="AB88" s="6">
        <v>-4.1521079999999998E-3</v>
      </c>
      <c r="AC88" s="6">
        <v>8.8984454545454594E-5</v>
      </c>
      <c r="AD88" s="6">
        <v>-5.15161E-3</v>
      </c>
      <c r="AE88" s="6">
        <v>-3.6500009999999999E-3</v>
      </c>
      <c r="AF88" s="6">
        <v>1.365099090909091E-4</v>
      </c>
      <c r="AG88" s="6">
        <v>-5.0622790000000003E-3</v>
      </c>
      <c r="AH88" s="6">
        <v>-4.2065610000000002E-3</v>
      </c>
      <c r="AI88" s="6">
        <v>7.7792545454545466E-5</v>
      </c>
      <c r="AJ88" s="6">
        <v>-5.1667340000000001E-3</v>
      </c>
      <c r="AK88" s="6">
        <v>-3.5775149999999999E-3</v>
      </c>
      <c r="AL88" s="6">
        <v>1.4447445454545457E-4</v>
      </c>
      <c r="AM88" s="6">
        <v>-5.0567210000000001E-3</v>
      </c>
      <c r="AN88" s="6">
        <v>-4.2450539999999998E-3</v>
      </c>
      <c r="AO88" s="6">
        <v>7.3787909090909122E-5</v>
      </c>
      <c r="AP88" s="6">
        <v>-4.5542150000000003E-3</v>
      </c>
      <c r="AQ88" s="6">
        <v>-4.3396659999999998E-3</v>
      </c>
      <c r="AR88" s="6">
        <v>1.9504454545454592E-5</v>
      </c>
      <c r="AS88" s="6">
        <v>-4.6435460000000001E-3</v>
      </c>
      <c r="AT88" s="6">
        <v>-3.7831060000000001E-3</v>
      </c>
      <c r="AU88" s="6">
        <v>7.822181818181819E-5</v>
      </c>
      <c r="AV88" s="6">
        <v>-4.5390910000000003E-3</v>
      </c>
      <c r="AW88" s="6">
        <v>-4.4121509999999996E-3</v>
      </c>
      <c r="AX88" s="6">
        <v>1.1540000000000067E-5</v>
      </c>
      <c r="AY88" s="6">
        <v>-4.6491049999999997E-3</v>
      </c>
      <c r="AZ88" s="6">
        <v>-3.7446129999999999E-3</v>
      </c>
      <c r="BA88" s="6">
        <v>8.2226545454545431E-5</v>
      </c>
      <c r="BB88" s="6">
        <v>-4.6697780000000003E-3</v>
      </c>
      <c r="BC88" s="6">
        <v>-3.2425050000000001E-3</v>
      </c>
      <c r="BD88" s="6">
        <v>1.2975209090909092E-4</v>
      </c>
      <c r="BE88" s="6">
        <v>-4.5804469999999996E-3</v>
      </c>
      <c r="BF88" s="6">
        <v>-3.7990649999999999E-3</v>
      </c>
      <c r="BG88" s="6">
        <v>7.1034727272727255E-5</v>
      </c>
      <c r="BH88" s="6">
        <v>-4.6849020000000003E-3</v>
      </c>
      <c r="BI88" s="6">
        <v>-3.17002E-3</v>
      </c>
      <c r="BJ88" s="6">
        <v>1.3771654545454548E-4</v>
      </c>
      <c r="BK88" s="6">
        <v>-4.574888E-3</v>
      </c>
      <c r="BL88" s="6">
        <v>-3.837558E-3</v>
      </c>
      <c r="BM88" s="6">
        <v>6.703E-5</v>
      </c>
      <c r="BN88" s="6">
        <v>-5.6386320000000002E-3</v>
      </c>
      <c r="BO88" s="6">
        <v>-4.8385659999999999E-3</v>
      </c>
      <c r="BP88" s="6">
        <v>7.2733272727272755E-5</v>
      </c>
      <c r="BQ88" s="6">
        <v>-5.6654319999999998E-3</v>
      </c>
      <c r="BR88" s="6">
        <v>-4.6715979999999999E-3</v>
      </c>
      <c r="BS88" s="6">
        <v>9.0348545454545446E-5</v>
      </c>
      <c r="BT88" s="6">
        <v>-5.6340959999999999E-3</v>
      </c>
      <c r="BU88" s="6">
        <v>-4.8603120000000003E-3</v>
      </c>
      <c r="BV88" s="6">
        <v>7.0343999999999962E-5</v>
      </c>
      <c r="BW88" s="6">
        <v>-5.6670990000000001E-3</v>
      </c>
      <c r="BX88" s="6">
        <v>-4.6600499999999998E-3</v>
      </c>
      <c r="BY88" s="6">
        <v>9.1549909090909119E-5</v>
      </c>
      <c r="BZ88" s="6">
        <v>-5.6733010000000004E-3</v>
      </c>
      <c r="CA88" s="6">
        <v>-4.5094180000000003E-3</v>
      </c>
      <c r="CB88" s="6">
        <v>1.0580754545454546E-4</v>
      </c>
      <c r="CC88" s="6">
        <v>-5.6465020000000003E-3</v>
      </c>
      <c r="CD88" s="6">
        <v>-4.6763860000000003E-3</v>
      </c>
      <c r="CE88" s="6">
        <v>8.8192363636363641E-5</v>
      </c>
      <c r="CF88" s="6">
        <v>-5.6778380000000002E-3</v>
      </c>
      <c r="CG88" s="6">
        <v>-4.4876719999999998E-3</v>
      </c>
      <c r="CH88" s="6">
        <v>1.0819690909090912E-4</v>
      </c>
      <c r="CI88" s="6">
        <v>-5.644835E-3</v>
      </c>
      <c r="CJ88" s="6">
        <v>-4.6879340000000004E-3</v>
      </c>
      <c r="CK88" s="6">
        <v>8.6990999999999967E-5</v>
      </c>
      <c r="CL88" s="6">
        <v>-4.032524E-3</v>
      </c>
      <c r="CM88" s="6">
        <v>-3.4802489999999999E-3</v>
      </c>
      <c r="CN88" s="6">
        <v>5.0206818181818188E-5</v>
      </c>
      <c r="CO88" s="6">
        <v>-4.0593239999999996E-3</v>
      </c>
      <c r="CP88" s="6">
        <v>-3.313281E-3</v>
      </c>
      <c r="CQ88" s="6">
        <v>6.7822090909090872E-5</v>
      </c>
      <c r="CR88" s="6">
        <v>-4.0279870000000002E-3</v>
      </c>
      <c r="CS88" s="6">
        <v>-3.501994E-3</v>
      </c>
      <c r="CT88" s="6">
        <v>4.7817545454545476E-5</v>
      </c>
      <c r="CU88" s="6">
        <v>-4.0609909999999999E-3</v>
      </c>
      <c r="CV88" s="6">
        <v>-3.3017329999999998E-3</v>
      </c>
      <c r="CW88" s="6">
        <v>6.9023454545454545E-5</v>
      </c>
      <c r="CX88" s="6">
        <v>-4.0671930000000002E-3</v>
      </c>
      <c r="CY88" s="6">
        <v>-3.1511E-3</v>
      </c>
      <c r="CZ88" s="6">
        <v>8.3281181818181839E-5</v>
      </c>
      <c r="DA88" s="6">
        <v>-4.0403940000000001E-3</v>
      </c>
      <c r="DB88" s="6">
        <v>-3.318068E-3</v>
      </c>
      <c r="DC88" s="6">
        <v>6.5666000000000018E-5</v>
      </c>
      <c r="DD88" s="6">
        <v>-4.07173E-3</v>
      </c>
      <c r="DE88" s="6">
        <v>-3.1293549999999999E-3</v>
      </c>
      <c r="DF88" s="6">
        <v>8.5670454545454551E-5</v>
      </c>
      <c r="DG88" s="6">
        <v>-4.0387260000000003E-3</v>
      </c>
      <c r="DH88" s="6">
        <v>-3.3296160000000001E-3</v>
      </c>
      <c r="DI88" s="6">
        <v>6.4464545454545475E-5</v>
      </c>
    </row>
    <row r="89" spans="1:113" x14ac:dyDescent="0.3">
      <c r="A89" s="13" t="s">
        <v>435</v>
      </c>
      <c r="B89" s="13" t="s">
        <v>290</v>
      </c>
      <c r="C89" s="13" t="s">
        <v>292</v>
      </c>
      <c r="D89" s="13" t="s">
        <v>364</v>
      </c>
      <c r="E89" s="13">
        <v>11</v>
      </c>
      <c r="F89" s="6">
        <v>-2.084799E-3</v>
      </c>
      <c r="G89" s="6">
        <v>-1.482787E-3</v>
      </c>
      <c r="H89" s="6">
        <v>5.4728363636363644E-5</v>
      </c>
      <c r="I89" s="6">
        <v>-2.952409E-3</v>
      </c>
      <c r="J89" s="6">
        <v>-2.192608E-3</v>
      </c>
      <c r="K89" s="6">
        <v>6.9072818181818187E-5</v>
      </c>
      <c r="L89" s="6">
        <v>-2.6849780000000002E-3</v>
      </c>
      <c r="M89" s="6">
        <v>-2.0920019999999999E-3</v>
      </c>
      <c r="N89" s="6">
        <v>5.3906909090909114E-5</v>
      </c>
      <c r="O89" s="6">
        <v>-3.5240050000000002E-3</v>
      </c>
      <c r="P89" s="6">
        <v>-2.7728129999999998E-3</v>
      </c>
      <c r="Q89" s="6">
        <v>6.8290181818181847E-5</v>
      </c>
      <c r="R89" s="6">
        <v>-3.5170879999999998E-3</v>
      </c>
      <c r="S89" s="6">
        <v>-2.9969390000000001E-3</v>
      </c>
      <c r="T89" s="6">
        <v>4.7286272727272699E-5</v>
      </c>
      <c r="U89" s="6">
        <v>-3.9895670000000003E-3</v>
      </c>
      <c r="V89" s="6">
        <v>-3.0957469999999998E-3</v>
      </c>
      <c r="W89" s="6">
        <v>8.1256363636363679E-5</v>
      </c>
      <c r="X89" s="6">
        <v>-3.521143E-3</v>
      </c>
      <c r="Y89" s="6">
        <v>-3.043231E-3</v>
      </c>
      <c r="Z89" s="6">
        <v>4.344654545454546E-5</v>
      </c>
      <c r="AA89" s="6">
        <v>-3.9859969999999998E-3</v>
      </c>
      <c r="AB89" s="6">
        <v>-3.0674439999999999E-3</v>
      </c>
      <c r="AC89" s="6">
        <v>8.3504818181818173E-5</v>
      </c>
      <c r="AD89" s="6">
        <v>-3.30313E-3</v>
      </c>
      <c r="AE89" s="6">
        <v>-2.2414539999999999E-3</v>
      </c>
      <c r="AF89" s="6">
        <v>9.6516000000000009E-5</v>
      </c>
      <c r="AG89" s="6">
        <v>-2.831793E-3</v>
      </c>
      <c r="AH89" s="6">
        <v>-2.1440999999999999E-3</v>
      </c>
      <c r="AI89" s="6">
        <v>6.2517545454545461E-5</v>
      </c>
      <c r="AJ89" s="6">
        <v>-3.2990749999999998E-3</v>
      </c>
      <c r="AK89" s="6">
        <v>-2.1951620000000001E-3</v>
      </c>
      <c r="AL89" s="6">
        <v>1.0035572727272725E-4</v>
      </c>
      <c r="AM89" s="6">
        <v>-2.834221E-3</v>
      </c>
      <c r="AN89" s="6">
        <v>-2.1709490000000001E-3</v>
      </c>
      <c r="AO89" s="6">
        <v>6.0297454545454535E-5</v>
      </c>
      <c r="AP89" s="6">
        <v>-3.1732840000000002E-3</v>
      </c>
      <c r="AQ89" s="6">
        <v>-2.7239669999999999E-3</v>
      </c>
      <c r="AR89" s="6">
        <v>4.0847000000000024E-5</v>
      </c>
      <c r="AS89" s="6">
        <v>-3.6446209999999998E-3</v>
      </c>
      <c r="AT89" s="6">
        <v>-2.8213209999999999E-3</v>
      </c>
      <c r="AU89" s="6">
        <v>7.4845454545454531E-5</v>
      </c>
      <c r="AV89" s="6">
        <v>-3.1773389999999999E-3</v>
      </c>
      <c r="AW89" s="6">
        <v>-2.7702590000000002E-3</v>
      </c>
      <c r="AX89" s="6">
        <v>3.7007272727272704E-5</v>
      </c>
      <c r="AY89" s="6">
        <v>-3.6421940000000001E-3</v>
      </c>
      <c r="AZ89" s="6">
        <v>-2.7944720000000001E-3</v>
      </c>
      <c r="BA89" s="6">
        <v>7.7065636363636355E-5</v>
      </c>
      <c r="BB89" s="6">
        <v>-2.9593269999999999E-3</v>
      </c>
      <c r="BC89" s="6">
        <v>-1.9684820000000001E-3</v>
      </c>
      <c r="BD89" s="6">
        <v>9.0076818181818164E-5</v>
      </c>
      <c r="BE89" s="6">
        <v>-2.4879889999999999E-3</v>
      </c>
      <c r="BF89" s="6">
        <v>-1.8711279999999999E-3</v>
      </c>
      <c r="BG89" s="6">
        <v>5.6078272727272726E-5</v>
      </c>
      <c r="BH89" s="6">
        <v>-2.9552720000000001E-3</v>
      </c>
      <c r="BI89" s="6">
        <v>-1.9221900000000001E-3</v>
      </c>
      <c r="BJ89" s="6">
        <v>9.3916545454545463E-5</v>
      </c>
      <c r="BK89" s="6">
        <v>-2.490417E-3</v>
      </c>
      <c r="BL89" s="6">
        <v>-1.8979769999999999E-3</v>
      </c>
      <c r="BM89" s="6">
        <v>5.3858181818181826E-5</v>
      </c>
      <c r="BN89" s="6">
        <v>-3.8433069999999998E-3</v>
      </c>
      <c r="BO89" s="6">
        <v>-3.0509869999999998E-3</v>
      </c>
      <c r="BP89" s="6">
        <v>7.2029090909090908E-5</v>
      </c>
      <c r="BQ89" s="6">
        <v>-3.984708E-3</v>
      </c>
      <c r="BR89" s="6">
        <v>-3.0801930000000002E-3</v>
      </c>
      <c r="BS89" s="6">
        <v>8.2228636363636346E-5</v>
      </c>
      <c r="BT89" s="6">
        <v>-3.8445229999999999E-3</v>
      </c>
      <c r="BU89" s="6">
        <v>-3.064874E-3</v>
      </c>
      <c r="BV89" s="6">
        <v>7.0877181818181813E-5</v>
      </c>
      <c r="BW89" s="6">
        <v>-3.9839799999999998E-3</v>
      </c>
      <c r="BX89" s="6">
        <v>-3.0721379999999999E-3</v>
      </c>
      <c r="BY89" s="6">
        <v>8.2894727272727267E-5</v>
      </c>
      <c r="BZ89" s="6">
        <v>-3.77912E-3</v>
      </c>
      <c r="CA89" s="6">
        <v>-2.8243410000000002E-3</v>
      </c>
      <c r="CB89" s="6">
        <v>8.6798090909090888E-5</v>
      </c>
      <c r="CC89" s="6">
        <v>-3.6377190000000002E-3</v>
      </c>
      <c r="CD89" s="6">
        <v>-2.7951349999999998E-3</v>
      </c>
      <c r="CE89" s="6">
        <v>7.6598545454545491E-5</v>
      </c>
      <c r="CF89" s="6">
        <v>-3.777903E-3</v>
      </c>
      <c r="CG89" s="6">
        <v>-2.810454E-3</v>
      </c>
      <c r="CH89" s="6">
        <v>8.7949909090909086E-5</v>
      </c>
      <c r="CI89" s="6">
        <v>-3.6384469999999999E-3</v>
      </c>
      <c r="CJ89" s="6">
        <v>-2.8031900000000001E-3</v>
      </c>
      <c r="CK89" s="6">
        <v>7.593245454545453E-5</v>
      </c>
      <c r="CL89" s="6">
        <v>-2.6972950000000002E-3</v>
      </c>
      <c r="CM89" s="6">
        <v>-2.1410800000000001E-3</v>
      </c>
      <c r="CN89" s="6">
        <v>5.0565000000000008E-5</v>
      </c>
      <c r="CO89" s="6">
        <v>-2.8386959999999999E-3</v>
      </c>
      <c r="CP89" s="6">
        <v>-2.170286E-3</v>
      </c>
      <c r="CQ89" s="6">
        <v>6.0764545454545446E-5</v>
      </c>
      <c r="CR89" s="6">
        <v>-2.6985109999999998E-3</v>
      </c>
      <c r="CS89" s="6">
        <v>-2.1549680000000002E-3</v>
      </c>
      <c r="CT89" s="6">
        <v>4.9412999999999969E-5</v>
      </c>
      <c r="CU89" s="6">
        <v>-2.8379669999999998E-3</v>
      </c>
      <c r="CV89" s="6">
        <v>-2.162232E-3</v>
      </c>
      <c r="CW89" s="6">
        <v>6.1430454545454525E-5</v>
      </c>
      <c r="CX89" s="6">
        <v>-2.633107E-3</v>
      </c>
      <c r="CY89" s="6">
        <v>-1.9144349999999999E-3</v>
      </c>
      <c r="CZ89" s="6">
        <v>6.5333818181818187E-5</v>
      </c>
      <c r="DA89" s="6">
        <v>-2.4917060000000002E-3</v>
      </c>
      <c r="DB89" s="6">
        <v>-1.8852280000000001E-3</v>
      </c>
      <c r="DC89" s="6">
        <v>5.5134363636363646E-5</v>
      </c>
      <c r="DD89" s="6">
        <v>-2.6318909999999999E-3</v>
      </c>
      <c r="DE89" s="6">
        <v>-1.900547E-3</v>
      </c>
      <c r="DF89" s="6">
        <v>6.6485818181818165E-5</v>
      </c>
      <c r="DG89" s="6">
        <v>-2.492434E-3</v>
      </c>
      <c r="DH89" s="6">
        <v>-1.8932829999999999E-3</v>
      </c>
      <c r="DI89" s="6">
        <v>5.4468272727272733E-5</v>
      </c>
    </row>
    <row r="90" spans="1:113" x14ac:dyDescent="0.3">
      <c r="A90" s="13" t="s">
        <v>436</v>
      </c>
      <c r="B90" s="13" t="s">
        <v>97</v>
      </c>
      <c r="C90" s="13" t="s">
        <v>133</v>
      </c>
      <c r="D90" s="13" t="s">
        <v>364</v>
      </c>
      <c r="E90" s="13">
        <v>8.3000000000000007</v>
      </c>
      <c r="F90" s="6">
        <v>-2.4298470000000002E-3</v>
      </c>
      <c r="G90" s="6">
        <v>-2.9870460000000001E-3</v>
      </c>
      <c r="H90" s="6">
        <v>6.7132409638554204E-5</v>
      </c>
      <c r="I90" s="6">
        <v>-3.4692389999999998E-3</v>
      </c>
      <c r="J90" s="6">
        <v>-4.1254910000000002E-3</v>
      </c>
      <c r="K90" s="6">
        <v>7.9066506024096423E-5</v>
      </c>
      <c r="L90" s="6">
        <v>-3.0529279999999999E-3</v>
      </c>
      <c r="M90" s="6">
        <v>-3.5983569999999999E-3</v>
      </c>
      <c r="N90" s="6">
        <v>6.5714337349397591E-5</v>
      </c>
      <c r="O90" s="6">
        <v>-4.0626539999999997E-3</v>
      </c>
      <c r="P90" s="6">
        <v>-4.7076949999999996E-3</v>
      </c>
      <c r="Q90" s="6">
        <v>7.7715783132530094E-5</v>
      </c>
      <c r="R90" s="6">
        <v>-4.5538200000000001E-3</v>
      </c>
      <c r="S90" s="6">
        <v>-5.2529250000000003E-3</v>
      </c>
      <c r="T90" s="6">
        <v>8.422951807228918E-5</v>
      </c>
      <c r="U90" s="6">
        <v>-4.0042360000000004E-3</v>
      </c>
      <c r="V90" s="6">
        <v>-4.6782760000000003E-3</v>
      </c>
      <c r="W90" s="6">
        <v>8.1209638554216842E-5</v>
      </c>
      <c r="X90" s="6">
        <v>-4.4426450000000003E-3</v>
      </c>
      <c r="Y90" s="6">
        <v>-5.1953119999999997E-3</v>
      </c>
      <c r="Z90" s="6">
        <v>9.0682771084337274E-5</v>
      </c>
      <c r="AA90" s="6">
        <v>-4.0750029999999998E-3</v>
      </c>
      <c r="AB90" s="6">
        <v>-4.7145670000000002E-3</v>
      </c>
      <c r="AC90" s="6">
        <v>7.7055903614457876E-5</v>
      </c>
      <c r="AD90" s="6">
        <v>-3.3668539999999999E-3</v>
      </c>
      <c r="AE90" s="6">
        <v>-4.0340710000000002E-3</v>
      </c>
      <c r="AF90" s="6">
        <v>8.038759036144582E-5</v>
      </c>
      <c r="AG90" s="6">
        <v>-3.906634E-3</v>
      </c>
      <c r="AH90" s="6">
        <v>-4.6042610000000001E-3</v>
      </c>
      <c r="AI90" s="6">
        <v>8.4051445783132534E-5</v>
      </c>
      <c r="AJ90" s="6">
        <v>-3.47803E-3</v>
      </c>
      <c r="AK90" s="6">
        <v>-4.0916839999999999E-3</v>
      </c>
      <c r="AL90" s="6">
        <v>7.3934216867469865E-5</v>
      </c>
      <c r="AM90" s="6">
        <v>-3.8456710000000002E-3</v>
      </c>
      <c r="AN90" s="6">
        <v>-4.5724290000000003E-3</v>
      </c>
      <c r="AO90" s="6">
        <v>8.7561204819277109E-5</v>
      </c>
      <c r="AP90" s="6">
        <v>-4.1650380000000002E-3</v>
      </c>
      <c r="AQ90" s="6">
        <v>-4.7991149999999996E-3</v>
      </c>
      <c r="AR90" s="6">
        <v>7.6394819277108354E-5</v>
      </c>
      <c r="AS90" s="6">
        <v>-3.6252580000000001E-3</v>
      </c>
      <c r="AT90" s="6">
        <v>-4.2289240000000002E-3</v>
      </c>
      <c r="AU90" s="6">
        <v>7.2730843373493983E-5</v>
      </c>
      <c r="AV90" s="6">
        <v>-4.0538620000000001E-3</v>
      </c>
      <c r="AW90" s="6">
        <v>-4.7415019999999999E-3</v>
      </c>
      <c r="AX90" s="6">
        <v>8.2848192771084309E-5</v>
      </c>
      <c r="AY90" s="6">
        <v>-3.6862209999999999E-3</v>
      </c>
      <c r="AZ90" s="6">
        <v>-4.2607570000000004E-3</v>
      </c>
      <c r="BA90" s="6">
        <v>6.922120481927716E-5</v>
      </c>
      <c r="BB90" s="6">
        <v>-2.978072E-3</v>
      </c>
      <c r="BC90" s="6">
        <v>-3.5802609999999999E-3</v>
      </c>
      <c r="BD90" s="6">
        <v>7.2552891566265049E-5</v>
      </c>
      <c r="BE90" s="6">
        <v>-3.5178520000000001E-3</v>
      </c>
      <c r="BF90" s="6">
        <v>-4.1504510000000003E-3</v>
      </c>
      <c r="BG90" s="6">
        <v>7.6216746987951817E-5</v>
      </c>
      <c r="BH90" s="6">
        <v>-3.0892480000000002E-3</v>
      </c>
      <c r="BI90" s="6">
        <v>-3.6378729999999998E-3</v>
      </c>
      <c r="BJ90" s="6">
        <v>6.6099397590361396E-5</v>
      </c>
      <c r="BK90" s="6">
        <v>-3.4568889999999999E-3</v>
      </c>
      <c r="BL90" s="6">
        <v>-4.1186189999999996E-3</v>
      </c>
      <c r="BM90" s="6">
        <v>7.9726506024096339E-5</v>
      </c>
      <c r="BN90" s="6">
        <v>-4.5919619999999998E-3</v>
      </c>
      <c r="BO90" s="6">
        <v>-5.3557709999999996E-3</v>
      </c>
      <c r="BP90" s="6">
        <v>9.2025180722891541E-5</v>
      </c>
      <c r="BQ90" s="6">
        <v>-4.4300279999999999E-3</v>
      </c>
      <c r="BR90" s="6">
        <v>-5.184714E-3</v>
      </c>
      <c r="BS90" s="6">
        <v>9.0926024096385548E-5</v>
      </c>
      <c r="BT90" s="6">
        <v>-4.5586089999999999E-3</v>
      </c>
      <c r="BU90" s="6">
        <v>-5.3384870000000003E-3</v>
      </c>
      <c r="BV90" s="6">
        <v>9.3961204819277143E-5</v>
      </c>
      <c r="BW90" s="6">
        <v>-4.4483170000000002E-3</v>
      </c>
      <c r="BX90" s="6">
        <v>-5.1942639999999997E-3</v>
      </c>
      <c r="BY90" s="6">
        <v>8.9873132530120408E-5</v>
      </c>
      <c r="BZ90" s="6">
        <v>-4.2358719999999999E-3</v>
      </c>
      <c r="CA90" s="6">
        <v>-4.9901149999999998E-3</v>
      </c>
      <c r="CB90" s="6">
        <v>9.0872650602409627E-5</v>
      </c>
      <c r="CC90" s="6">
        <v>-4.3978059999999998E-3</v>
      </c>
      <c r="CD90" s="6">
        <v>-5.1611720000000003E-3</v>
      </c>
      <c r="CE90" s="6">
        <v>9.1971807228915728E-5</v>
      </c>
      <c r="CF90" s="6">
        <v>-4.2692249999999998E-3</v>
      </c>
      <c r="CG90" s="6">
        <v>-5.0073990000000001E-3</v>
      </c>
      <c r="CH90" s="6">
        <v>8.8936626506024119E-5</v>
      </c>
      <c r="CI90" s="6">
        <v>-4.3795170000000003E-3</v>
      </c>
      <c r="CJ90" s="6">
        <v>-5.1516219999999998E-3</v>
      </c>
      <c r="CK90" s="6">
        <v>9.3024698795180652E-5</v>
      </c>
      <c r="CL90" s="6">
        <v>-3.2960200000000002E-3</v>
      </c>
      <c r="CM90" s="6">
        <v>-3.8430700000000001E-3</v>
      </c>
      <c r="CN90" s="6">
        <v>6.590963855421685E-5</v>
      </c>
      <c r="CO90" s="6">
        <v>-3.1340859999999999E-3</v>
      </c>
      <c r="CP90" s="6">
        <v>-3.6720139999999999E-3</v>
      </c>
      <c r="CQ90" s="6">
        <v>6.4810602409638555E-5</v>
      </c>
      <c r="CR90" s="6">
        <v>-3.2626669999999999E-3</v>
      </c>
      <c r="CS90" s="6">
        <v>-3.8257870000000002E-3</v>
      </c>
      <c r="CT90" s="6">
        <v>6.784578313253015E-5</v>
      </c>
      <c r="CU90" s="6">
        <v>-3.1523749999999998E-3</v>
      </c>
      <c r="CV90" s="6">
        <v>-3.6815630000000001E-3</v>
      </c>
      <c r="CW90" s="6">
        <v>6.3757590361445811E-5</v>
      </c>
      <c r="CX90" s="6">
        <v>-2.9399299999999999E-3</v>
      </c>
      <c r="CY90" s="6">
        <v>-3.4774139999999999E-3</v>
      </c>
      <c r="CZ90" s="6">
        <v>6.4757108433734936E-5</v>
      </c>
      <c r="DA90" s="6">
        <v>-3.1018640000000002E-3</v>
      </c>
      <c r="DB90" s="6">
        <v>-3.6484709999999999E-3</v>
      </c>
      <c r="DC90" s="6">
        <v>6.5856265060240928E-5</v>
      </c>
      <c r="DD90" s="6">
        <v>-2.9732830000000002E-3</v>
      </c>
      <c r="DE90" s="6">
        <v>-3.4946980000000001E-3</v>
      </c>
      <c r="DF90" s="6">
        <v>6.2821084337349374E-5</v>
      </c>
      <c r="DG90" s="6">
        <v>-3.0835749999999999E-3</v>
      </c>
      <c r="DH90" s="6">
        <v>-3.6389220000000002E-3</v>
      </c>
      <c r="DI90" s="6">
        <v>6.6909277108433767E-5</v>
      </c>
    </row>
    <row r="91" spans="1:113" x14ac:dyDescent="0.3">
      <c r="A91" s="13" t="s">
        <v>437</v>
      </c>
      <c r="B91" s="13" t="s">
        <v>133</v>
      </c>
      <c r="C91" s="13" t="s">
        <v>172</v>
      </c>
      <c r="D91" s="13" t="s">
        <v>364</v>
      </c>
      <c r="E91" s="13">
        <v>8.3000000000000007</v>
      </c>
      <c r="F91" s="6">
        <v>-2.9870460000000001E-3</v>
      </c>
      <c r="G91" s="6">
        <v>-2.9707309999999999E-3</v>
      </c>
      <c r="H91" s="6">
        <v>1.9656626506024398E-6</v>
      </c>
      <c r="I91" s="6">
        <v>-4.1254910000000002E-3</v>
      </c>
      <c r="J91" s="6">
        <v>-4.1545729999999999E-3</v>
      </c>
      <c r="K91" s="6">
        <v>3.5038554216867129E-6</v>
      </c>
      <c r="L91" s="6">
        <v>-3.5983569999999999E-3</v>
      </c>
      <c r="M91" s="6">
        <v>-3.5818180000000001E-3</v>
      </c>
      <c r="N91" s="6">
        <v>1.9926506024096236E-6</v>
      </c>
      <c r="O91" s="6">
        <v>-4.7076949999999996E-3</v>
      </c>
      <c r="P91" s="6">
        <v>-4.7365619999999997E-3</v>
      </c>
      <c r="Q91" s="6">
        <v>3.4779518072289307E-6</v>
      </c>
      <c r="R91" s="6">
        <v>-5.2529250000000003E-3</v>
      </c>
      <c r="S91" s="6">
        <v>-5.2687819999999996E-3</v>
      </c>
      <c r="T91" s="6">
        <v>1.9104819277107627E-6</v>
      </c>
      <c r="U91" s="6">
        <v>-4.6782760000000003E-3</v>
      </c>
      <c r="V91" s="6">
        <v>-4.6761190000000003E-3</v>
      </c>
      <c r="W91" s="6">
        <v>2.5987951807229238E-7</v>
      </c>
      <c r="X91" s="6">
        <v>-5.1953119999999997E-3</v>
      </c>
      <c r="Y91" s="6">
        <v>-5.2797340000000003E-3</v>
      </c>
      <c r="Z91" s="6">
        <v>1.0171325301204898E-5</v>
      </c>
      <c r="AA91" s="6">
        <v>-4.7145670000000002E-3</v>
      </c>
      <c r="AB91" s="6">
        <v>-4.6732259999999999E-3</v>
      </c>
      <c r="AC91" s="6">
        <v>4.9808433734940111E-6</v>
      </c>
      <c r="AD91" s="6">
        <v>-4.0340710000000002E-3</v>
      </c>
      <c r="AE91" s="6">
        <v>-4.0741700000000002E-3</v>
      </c>
      <c r="AF91" s="6">
        <v>4.8312048192771121E-6</v>
      </c>
      <c r="AG91" s="6">
        <v>-4.6042610000000001E-3</v>
      </c>
      <c r="AH91" s="6">
        <v>-4.6649509999999996E-3</v>
      </c>
      <c r="AI91" s="6">
        <v>7.3120481927710269E-6</v>
      </c>
      <c r="AJ91" s="6">
        <v>-4.0916839999999999E-3</v>
      </c>
      <c r="AK91" s="6">
        <v>-4.0632180000000004E-3</v>
      </c>
      <c r="AL91" s="6">
        <v>3.4296385542168142E-6</v>
      </c>
      <c r="AM91" s="6">
        <v>-4.5724290000000003E-3</v>
      </c>
      <c r="AN91" s="6">
        <v>-4.6697270000000003E-3</v>
      </c>
      <c r="AO91" s="6">
        <v>1.1722650602409638E-5</v>
      </c>
      <c r="AP91" s="6">
        <v>-4.7991149999999996E-3</v>
      </c>
      <c r="AQ91" s="6">
        <v>-4.8169650000000003E-3</v>
      </c>
      <c r="AR91" s="6">
        <v>2.1506024096386357E-6</v>
      </c>
      <c r="AS91" s="6">
        <v>-4.2289240000000002E-3</v>
      </c>
      <c r="AT91" s="6">
        <v>-4.226184E-3</v>
      </c>
      <c r="AU91" s="6">
        <v>3.301204819277358E-7</v>
      </c>
      <c r="AV91" s="6">
        <v>-4.7415019999999999E-3</v>
      </c>
      <c r="AW91" s="6">
        <v>-4.8279170000000001E-3</v>
      </c>
      <c r="AX91" s="6">
        <v>1.0411445783132563E-5</v>
      </c>
      <c r="AY91" s="6">
        <v>-4.2607570000000004E-3</v>
      </c>
      <c r="AZ91" s="6">
        <v>-4.2214089999999998E-3</v>
      </c>
      <c r="BA91" s="6">
        <v>4.7407228915663469E-6</v>
      </c>
      <c r="BB91" s="6">
        <v>-3.5802609999999999E-3</v>
      </c>
      <c r="BC91" s="6">
        <v>-3.622353E-3</v>
      </c>
      <c r="BD91" s="6">
        <v>5.0713253012048289E-6</v>
      </c>
      <c r="BE91" s="6">
        <v>-4.1504510000000003E-3</v>
      </c>
      <c r="BF91" s="6">
        <v>-4.2131340000000003E-3</v>
      </c>
      <c r="BG91" s="6">
        <v>7.5521686746987954E-6</v>
      </c>
      <c r="BH91" s="6">
        <v>-3.6378729999999998E-3</v>
      </c>
      <c r="BI91" s="6">
        <v>-3.6114010000000002E-3</v>
      </c>
      <c r="BJ91" s="6">
        <v>3.1893975903613983E-6</v>
      </c>
      <c r="BK91" s="6">
        <v>-4.1186189999999996E-3</v>
      </c>
      <c r="BL91" s="6">
        <v>-4.2179100000000001E-3</v>
      </c>
      <c r="BM91" s="6">
        <v>1.1962771084337406E-5</v>
      </c>
      <c r="BN91" s="6">
        <v>-5.3557709999999996E-3</v>
      </c>
      <c r="BO91" s="6">
        <v>-5.377789E-3</v>
      </c>
      <c r="BP91" s="6">
        <v>2.6527710843373956E-6</v>
      </c>
      <c r="BQ91" s="6">
        <v>-5.184714E-3</v>
      </c>
      <c r="BR91" s="6">
        <v>-5.2005539999999996E-3</v>
      </c>
      <c r="BS91" s="6">
        <v>1.908433734939711E-6</v>
      </c>
      <c r="BT91" s="6">
        <v>-5.3384870000000003E-3</v>
      </c>
      <c r="BU91" s="6">
        <v>-5.3810739999999996E-3</v>
      </c>
      <c r="BV91" s="6">
        <v>5.1309638554216034E-6</v>
      </c>
      <c r="BW91" s="6">
        <v>-5.1942639999999997E-3</v>
      </c>
      <c r="BX91" s="6">
        <v>-5.1991210000000001E-3</v>
      </c>
      <c r="BY91" s="6">
        <v>5.8518072289162307E-7</v>
      </c>
      <c r="BZ91" s="6">
        <v>-4.9901149999999998E-3</v>
      </c>
      <c r="CA91" s="6">
        <v>-5.0194050000000002E-3</v>
      </c>
      <c r="CB91" s="6">
        <v>3.5289156626506493E-6</v>
      </c>
      <c r="CC91" s="6">
        <v>-5.1611720000000003E-3</v>
      </c>
      <c r="CD91" s="6">
        <v>-5.1966390000000003E-3</v>
      </c>
      <c r="CE91" s="6">
        <v>4.2731325301204776E-6</v>
      </c>
      <c r="CF91" s="6">
        <v>-5.0073990000000001E-3</v>
      </c>
      <c r="CG91" s="6">
        <v>-5.0161190000000003E-3</v>
      </c>
      <c r="CH91" s="6">
        <v>1.0506024096385848E-6</v>
      </c>
      <c r="CI91" s="6">
        <v>-5.1516219999999998E-3</v>
      </c>
      <c r="CJ91" s="6">
        <v>-5.1980719999999998E-3</v>
      </c>
      <c r="CK91" s="6">
        <v>5.5963855421686694E-6</v>
      </c>
      <c r="CL91" s="6">
        <v>-3.8430700000000001E-3</v>
      </c>
      <c r="CM91" s="6">
        <v>-3.8717309999999998E-3</v>
      </c>
      <c r="CN91" s="6">
        <v>3.453132530120446E-6</v>
      </c>
      <c r="CO91" s="6">
        <v>-3.6720139999999999E-3</v>
      </c>
      <c r="CP91" s="6">
        <v>-3.6944959999999998E-3</v>
      </c>
      <c r="CQ91" s="6">
        <v>2.7086746987951665E-6</v>
      </c>
      <c r="CR91" s="6">
        <v>-3.8257870000000002E-3</v>
      </c>
      <c r="CS91" s="6">
        <v>-3.8750159999999998E-3</v>
      </c>
      <c r="CT91" s="6">
        <v>5.9312048192770584E-6</v>
      </c>
      <c r="CU91" s="6">
        <v>-3.6815630000000001E-3</v>
      </c>
      <c r="CV91" s="6">
        <v>-3.6930639999999998E-3</v>
      </c>
      <c r="CW91" s="6">
        <v>1.3856626506023732E-6</v>
      </c>
      <c r="CX91" s="6">
        <v>-3.4774139999999999E-3</v>
      </c>
      <c r="CY91" s="6">
        <v>-3.513347E-3</v>
      </c>
      <c r="CZ91" s="6">
        <v>4.3292771084337518E-6</v>
      </c>
      <c r="DA91" s="6">
        <v>-3.6484709999999999E-3</v>
      </c>
      <c r="DB91" s="6">
        <v>-3.690582E-3</v>
      </c>
      <c r="DC91" s="6">
        <v>5.0736144578313318E-6</v>
      </c>
      <c r="DD91" s="6">
        <v>-3.4946980000000001E-3</v>
      </c>
      <c r="DE91" s="6">
        <v>-3.510062E-3</v>
      </c>
      <c r="DF91" s="6">
        <v>1.8510843373493873E-6</v>
      </c>
      <c r="DG91" s="6">
        <v>-3.6389220000000002E-3</v>
      </c>
      <c r="DH91" s="6">
        <v>-3.692014E-3</v>
      </c>
      <c r="DI91" s="6">
        <v>6.3966265060240728E-6</v>
      </c>
    </row>
    <row r="92" spans="1:113" x14ac:dyDescent="0.3">
      <c r="A92" s="13" t="s">
        <v>438</v>
      </c>
      <c r="B92" s="13" t="s">
        <v>172</v>
      </c>
      <c r="C92" s="13" t="s">
        <v>213</v>
      </c>
      <c r="D92" s="13" t="s">
        <v>364</v>
      </c>
      <c r="E92" s="13">
        <v>8.3000000000000007</v>
      </c>
      <c r="F92" s="6">
        <v>-2.9707309999999999E-3</v>
      </c>
      <c r="G92" s="6">
        <v>-2.60166E-3</v>
      </c>
      <c r="H92" s="6">
        <v>4.4466385542168656E-5</v>
      </c>
      <c r="I92" s="6">
        <v>-4.1545729999999999E-3</v>
      </c>
      <c r="J92" s="6">
        <v>-3.7039410000000001E-3</v>
      </c>
      <c r="K92" s="6">
        <v>5.4293012048192749E-5</v>
      </c>
      <c r="L92" s="6">
        <v>-3.5818180000000001E-3</v>
      </c>
      <c r="M92" s="6">
        <v>-3.2125320000000001E-3</v>
      </c>
      <c r="N92" s="6">
        <v>4.4492289156626493E-5</v>
      </c>
      <c r="O92" s="6">
        <v>-4.7365619999999997E-3</v>
      </c>
      <c r="P92" s="6">
        <v>-4.2857260000000001E-3</v>
      </c>
      <c r="Q92" s="6">
        <v>5.4317590361445732E-5</v>
      </c>
      <c r="R92" s="6">
        <v>-5.2687819999999996E-3</v>
      </c>
      <c r="S92" s="6">
        <v>-4.7471609999999997E-3</v>
      </c>
      <c r="T92" s="6">
        <v>6.2845903614457807E-5</v>
      </c>
      <c r="U92" s="6">
        <v>-4.6761190000000003E-3</v>
      </c>
      <c r="V92" s="6">
        <v>-4.1891250000000001E-3</v>
      </c>
      <c r="W92" s="6">
        <v>5.867397590361447E-5</v>
      </c>
      <c r="X92" s="6">
        <v>-5.2797340000000003E-3</v>
      </c>
      <c r="Y92" s="6">
        <v>-4.8196469999999998E-3</v>
      </c>
      <c r="Z92" s="6">
        <v>5.5432168674698849E-5</v>
      </c>
      <c r="AA92" s="6">
        <v>-4.6732259999999999E-3</v>
      </c>
      <c r="AB92" s="6">
        <v>-4.1521079999999998E-3</v>
      </c>
      <c r="AC92" s="6">
        <v>6.2785301204819281E-5</v>
      </c>
      <c r="AD92" s="6">
        <v>-4.0741700000000002E-3</v>
      </c>
      <c r="AE92" s="6">
        <v>-3.6500009999999999E-3</v>
      </c>
      <c r="AF92" s="6">
        <v>5.1104698795180755E-5</v>
      </c>
      <c r="AG92" s="6">
        <v>-4.6649509999999996E-3</v>
      </c>
      <c r="AH92" s="6">
        <v>-4.2065610000000002E-3</v>
      </c>
      <c r="AI92" s="6">
        <v>5.5227710843373427E-5</v>
      </c>
      <c r="AJ92" s="6">
        <v>-4.0632180000000004E-3</v>
      </c>
      <c r="AK92" s="6">
        <v>-3.5775149999999999E-3</v>
      </c>
      <c r="AL92" s="6">
        <v>5.8518433734939814E-5</v>
      </c>
      <c r="AM92" s="6">
        <v>-4.6697270000000003E-3</v>
      </c>
      <c r="AN92" s="6">
        <v>-4.2450539999999998E-3</v>
      </c>
      <c r="AO92" s="6">
        <v>5.1165421686747033E-5</v>
      </c>
      <c r="AP92" s="6">
        <v>-4.8169650000000003E-3</v>
      </c>
      <c r="AQ92" s="6">
        <v>-4.3396659999999998E-3</v>
      </c>
      <c r="AR92" s="6">
        <v>5.7505903614457882E-5</v>
      </c>
      <c r="AS92" s="6">
        <v>-4.226184E-3</v>
      </c>
      <c r="AT92" s="6">
        <v>-3.7831060000000001E-3</v>
      </c>
      <c r="AU92" s="6">
        <v>5.3382891566265048E-5</v>
      </c>
      <c r="AV92" s="6">
        <v>-4.8279170000000001E-3</v>
      </c>
      <c r="AW92" s="6">
        <v>-4.4121509999999996E-3</v>
      </c>
      <c r="AX92" s="6">
        <v>5.0092289156626568E-5</v>
      </c>
      <c r="AY92" s="6">
        <v>-4.2214089999999998E-3</v>
      </c>
      <c r="AZ92" s="6">
        <v>-3.7446129999999999E-3</v>
      </c>
      <c r="BA92" s="6">
        <v>5.7445301204819248E-5</v>
      </c>
      <c r="BB92" s="6">
        <v>-3.622353E-3</v>
      </c>
      <c r="BC92" s="6">
        <v>-3.2425050000000001E-3</v>
      </c>
      <c r="BD92" s="6">
        <v>4.5764819277108419E-5</v>
      </c>
      <c r="BE92" s="6">
        <v>-4.2131340000000003E-3</v>
      </c>
      <c r="BF92" s="6">
        <v>-3.7990649999999999E-3</v>
      </c>
      <c r="BG92" s="6">
        <v>4.9887831325301254E-5</v>
      </c>
      <c r="BH92" s="6">
        <v>-3.6114010000000002E-3</v>
      </c>
      <c r="BI92" s="6">
        <v>-3.17002E-3</v>
      </c>
      <c r="BJ92" s="6">
        <v>5.3178433734939781E-5</v>
      </c>
      <c r="BK92" s="6">
        <v>-4.2179100000000001E-3</v>
      </c>
      <c r="BL92" s="6">
        <v>-3.837558E-3</v>
      </c>
      <c r="BM92" s="6">
        <v>4.5825542168674697E-5</v>
      </c>
      <c r="BN92" s="6">
        <v>-5.377789E-3</v>
      </c>
      <c r="BO92" s="6">
        <v>-4.8385659999999999E-3</v>
      </c>
      <c r="BP92" s="6">
        <v>6.4966626506024103E-5</v>
      </c>
      <c r="BQ92" s="6">
        <v>-5.2005539999999996E-3</v>
      </c>
      <c r="BR92" s="6">
        <v>-4.6715979999999999E-3</v>
      </c>
      <c r="BS92" s="6">
        <v>6.3729638554216826E-5</v>
      </c>
      <c r="BT92" s="6">
        <v>-5.3810739999999996E-3</v>
      </c>
      <c r="BU92" s="6">
        <v>-4.8603120000000003E-3</v>
      </c>
      <c r="BV92" s="6">
        <v>6.2742409638554119E-5</v>
      </c>
      <c r="BW92" s="6">
        <v>-5.1991210000000001E-3</v>
      </c>
      <c r="BX92" s="6">
        <v>-4.6600499999999998E-3</v>
      </c>
      <c r="BY92" s="6">
        <v>6.4948313253012087E-5</v>
      </c>
      <c r="BZ92" s="6">
        <v>-5.0194050000000002E-3</v>
      </c>
      <c r="CA92" s="6">
        <v>-4.5094180000000003E-3</v>
      </c>
      <c r="CB92" s="6">
        <v>6.1444216867469868E-5</v>
      </c>
      <c r="CC92" s="6">
        <v>-5.1966390000000003E-3</v>
      </c>
      <c r="CD92" s="6">
        <v>-4.6763860000000003E-3</v>
      </c>
      <c r="CE92" s="6">
        <v>6.2681084337349392E-5</v>
      </c>
      <c r="CF92" s="6">
        <v>-5.0161190000000003E-3</v>
      </c>
      <c r="CG92" s="6">
        <v>-4.4876719999999998E-3</v>
      </c>
      <c r="CH92" s="6">
        <v>6.3668313253012099E-5</v>
      </c>
      <c r="CI92" s="6">
        <v>-5.1980719999999998E-3</v>
      </c>
      <c r="CJ92" s="6">
        <v>-4.6879340000000004E-3</v>
      </c>
      <c r="CK92" s="6">
        <v>6.1462409638554132E-5</v>
      </c>
      <c r="CL92" s="6">
        <v>-3.8717309999999998E-3</v>
      </c>
      <c r="CM92" s="6">
        <v>-3.4802489999999999E-3</v>
      </c>
      <c r="CN92" s="6">
        <v>4.7166506024096366E-5</v>
      </c>
      <c r="CO92" s="6">
        <v>-3.6944959999999998E-3</v>
      </c>
      <c r="CP92" s="6">
        <v>-3.313281E-3</v>
      </c>
      <c r="CQ92" s="6">
        <v>4.5929518072289136E-5</v>
      </c>
      <c r="CR92" s="6">
        <v>-3.8750159999999998E-3</v>
      </c>
      <c r="CS92" s="6">
        <v>-3.501994E-3</v>
      </c>
      <c r="CT92" s="6">
        <v>4.4942409638554181E-5</v>
      </c>
      <c r="CU92" s="6">
        <v>-3.6930639999999998E-3</v>
      </c>
      <c r="CV92" s="6">
        <v>-3.3017329999999998E-3</v>
      </c>
      <c r="CW92" s="6">
        <v>4.7148313253012041E-5</v>
      </c>
      <c r="CX92" s="6">
        <v>-3.513347E-3</v>
      </c>
      <c r="CY92" s="6">
        <v>-3.1511E-3</v>
      </c>
      <c r="CZ92" s="6">
        <v>4.3644216867469875E-5</v>
      </c>
      <c r="DA92" s="6">
        <v>-3.690582E-3</v>
      </c>
      <c r="DB92" s="6">
        <v>-3.318068E-3</v>
      </c>
      <c r="DC92" s="6">
        <v>4.4881204819277105E-5</v>
      </c>
      <c r="DD92" s="6">
        <v>-3.510062E-3</v>
      </c>
      <c r="DE92" s="6">
        <v>-3.1293549999999999E-3</v>
      </c>
      <c r="DF92" s="6">
        <v>4.5868313253012053E-5</v>
      </c>
      <c r="DG92" s="6">
        <v>-3.692014E-3</v>
      </c>
      <c r="DH92" s="6">
        <v>-3.3296160000000001E-3</v>
      </c>
      <c r="DI92" s="6">
        <v>4.36624096385542E-5</v>
      </c>
    </row>
    <row r="93" spans="1:113" x14ac:dyDescent="0.3">
      <c r="A93" s="13" t="s">
        <v>439</v>
      </c>
      <c r="B93" s="13" t="s">
        <v>213</v>
      </c>
      <c r="C93" s="13" t="s">
        <v>251</v>
      </c>
      <c r="D93" s="13" t="s">
        <v>364</v>
      </c>
      <c r="E93" s="13">
        <v>8.3000000000000007</v>
      </c>
      <c r="F93" s="6">
        <v>-2.60166E-3</v>
      </c>
      <c r="G93" s="6">
        <v>-2.1207439999999999E-3</v>
      </c>
      <c r="H93" s="6">
        <v>5.7941686746987958E-5</v>
      </c>
      <c r="I93" s="6">
        <v>-3.7039410000000001E-3</v>
      </c>
      <c r="J93" s="6">
        <v>-3.0711319999999999E-3</v>
      </c>
      <c r="K93" s="6">
        <v>7.624204819277111E-5</v>
      </c>
      <c r="L93" s="6">
        <v>-3.2125320000000001E-3</v>
      </c>
      <c r="M93" s="6">
        <v>-2.734696E-3</v>
      </c>
      <c r="N93" s="6">
        <v>5.757060240963857E-5</v>
      </c>
      <c r="O93" s="6">
        <v>-4.2857260000000001E-3</v>
      </c>
      <c r="P93" s="6">
        <v>-3.65585E-3</v>
      </c>
      <c r="Q93" s="6">
        <v>7.5888674698795195E-5</v>
      </c>
      <c r="R93" s="6">
        <v>-4.7471609999999997E-3</v>
      </c>
      <c r="S93" s="6">
        <v>-3.913499E-3</v>
      </c>
      <c r="T93" s="6">
        <v>1.0044120481927707E-4</v>
      </c>
      <c r="U93" s="6">
        <v>-4.1891250000000001E-3</v>
      </c>
      <c r="V93" s="6">
        <v>-3.6384080000000001E-3</v>
      </c>
      <c r="W93" s="6">
        <v>6.6351445783132524E-5</v>
      </c>
      <c r="X93" s="6">
        <v>-4.8196469999999998E-3</v>
      </c>
      <c r="Y93" s="6">
        <v>-3.9790099999999998E-3</v>
      </c>
      <c r="Z93" s="6">
        <v>1.0128156626506023E-4</v>
      </c>
      <c r="AA93" s="6">
        <v>-4.1521079999999998E-3</v>
      </c>
      <c r="AB93" s="6">
        <v>-3.6012869999999999E-3</v>
      </c>
      <c r="AC93" s="6">
        <v>6.6363975903614445E-5</v>
      </c>
      <c r="AD93" s="6">
        <v>-3.6500009999999999E-3</v>
      </c>
      <c r="AE93" s="6">
        <v>-3.1637480000000001E-3</v>
      </c>
      <c r="AF93" s="6">
        <v>5.8584698795180703E-5</v>
      </c>
      <c r="AG93" s="6">
        <v>-4.2065610000000002E-3</v>
      </c>
      <c r="AH93" s="6">
        <v>-3.4386080000000001E-3</v>
      </c>
      <c r="AI93" s="6">
        <v>9.2524457831325298E-5</v>
      </c>
      <c r="AJ93" s="6">
        <v>-3.5775149999999999E-3</v>
      </c>
      <c r="AK93" s="6">
        <v>-3.0982380000000001E-3</v>
      </c>
      <c r="AL93" s="6">
        <v>5.7744216867469845E-5</v>
      </c>
      <c r="AM93" s="6">
        <v>-4.2450539999999998E-3</v>
      </c>
      <c r="AN93" s="6">
        <v>-3.4759610000000001E-3</v>
      </c>
      <c r="AO93" s="6">
        <v>9.2661807228915628E-5</v>
      </c>
      <c r="AP93" s="6">
        <v>-4.3396659999999998E-3</v>
      </c>
      <c r="AQ93" s="6">
        <v>-3.5632340000000002E-3</v>
      </c>
      <c r="AR93" s="6">
        <v>9.3546024096385493E-5</v>
      </c>
      <c r="AS93" s="6">
        <v>-3.7831060000000001E-3</v>
      </c>
      <c r="AT93" s="6">
        <v>-3.2883740000000002E-3</v>
      </c>
      <c r="AU93" s="6">
        <v>5.9606265060240946E-5</v>
      </c>
      <c r="AV93" s="6">
        <v>-4.4121509999999996E-3</v>
      </c>
      <c r="AW93" s="6">
        <v>-3.6287440000000002E-3</v>
      </c>
      <c r="AX93" s="6">
        <v>9.4386385542168599E-5</v>
      </c>
      <c r="AY93" s="6">
        <v>-3.7446129999999999E-3</v>
      </c>
      <c r="AZ93" s="6">
        <v>-3.2510210000000002E-3</v>
      </c>
      <c r="BA93" s="6">
        <v>5.9468915662650561E-5</v>
      </c>
      <c r="BB93" s="6">
        <v>-3.2425050000000001E-3</v>
      </c>
      <c r="BC93" s="6">
        <v>-2.813482E-3</v>
      </c>
      <c r="BD93" s="6">
        <v>5.1689518072289169E-5</v>
      </c>
      <c r="BE93" s="6">
        <v>-3.7990649999999999E-3</v>
      </c>
      <c r="BF93" s="6">
        <v>-3.088342E-3</v>
      </c>
      <c r="BG93" s="6">
        <v>8.5629277108433723E-5</v>
      </c>
      <c r="BH93" s="6">
        <v>-3.17002E-3</v>
      </c>
      <c r="BI93" s="6">
        <v>-2.747972E-3</v>
      </c>
      <c r="BJ93" s="6">
        <v>5.0849156626506016E-5</v>
      </c>
      <c r="BK93" s="6">
        <v>-3.837558E-3</v>
      </c>
      <c r="BL93" s="6">
        <v>-3.1256949999999999E-3</v>
      </c>
      <c r="BM93" s="6">
        <v>8.5766626506024094E-5</v>
      </c>
      <c r="BN93" s="6">
        <v>-4.8385659999999999E-3</v>
      </c>
      <c r="BO93" s="6">
        <v>-4.0597300000000001E-3</v>
      </c>
      <c r="BP93" s="6">
        <v>9.3835662650602371E-5</v>
      </c>
      <c r="BQ93" s="6">
        <v>-4.6715979999999999E-3</v>
      </c>
      <c r="BR93" s="6">
        <v>-3.9772719999999996E-3</v>
      </c>
      <c r="BS93" s="6">
        <v>8.3653734939759068E-5</v>
      </c>
      <c r="BT93" s="6">
        <v>-4.8603120000000003E-3</v>
      </c>
      <c r="BU93" s="6">
        <v>-4.0793829999999998E-3</v>
      </c>
      <c r="BV93" s="6">
        <v>9.4087831325301264E-5</v>
      </c>
      <c r="BW93" s="6">
        <v>-4.6600499999999998E-3</v>
      </c>
      <c r="BX93" s="6">
        <v>-3.9660659999999999E-3</v>
      </c>
      <c r="BY93" s="6">
        <v>8.3612530120481907E-5</v>
      </c>
      <c r="BZ93" s="6">
        <v>-4.5094180000000003E-3</v>
      </c>
      <c r="CA93" s="6">
        <v>-3.8348050000000002E-3</v>
      </c>
      <c r="CB93" s="6">
        <v>8.1278674698795182E-5</v>
      </c>
      <c r="CC93" s="6">
        <v>-4.6763860000000003E-3</v>
      </c>
      <c r="CD93" s="6">
        <v>-3.9172620000000003E-3</v>
      </c>
      <c r="CE93" s="6">
        <v>9.146072289156625E-5</v>
      </c>
      <c r="CF93" s="6">
        <v>-4.4876719999999998E-3</v>
      </c>
      <c r="CG93" s="6">
        <v>-3.815152E-3</v>
      </c>
      <c r="CH93" s="6">
        <v>8.1026506024096357E-5</v>
      </c>
      <c r="CI93" s="6">
        <v>-4.6879340000000004E-3</v>
      </c>
      <c r="CJ93" s="6">
        <v>-3.9284680000000001E-3</v>
      </c>
      <c r="CK93" s="6">
        <v>9.1501927710843398E-5</v>
      </c>
      <c r="CL93" s="6">
        <v>-3.4802489999999999E-3</v>
      </c>
      <c r="CM93" s="6">
        <v>-2.8921770000000001E-3</v>
      </c>
      <c r="CN93" s="6">
        <v>7.0852048192771055E-5</v>
      </c>
      <c r="CO93" s="6">
        <v>-3.313281E-3</v>
      </c>
      <c r="CP93" s="6">
        <v>-2.809719E-3</v>
      </c>
      <c r="CQ93" s="6">
        <v>6.0670120481927698E-5</v>
      </c>
      <c r="CR93" s="6">
        <v>-3.501994E-3</v>
      </c>
      <c r="CS93" s="6">
        <v>-2.9118299999999998E-3</v>
      </c>
      <c r="CT93" s="6">
        <v>7.1104096385542196E-5</v>
      </c>
      <c r="CU93" s="6">
        <v>-3.3017329999999998E-3</v>
      </c>
      <c r="CV93" s="6">
        <v>-2.7985129999999999E-3</v>
      </c>
      <c r="CW93" s="6">
        <v>6.0628915662650591E-5</v>
      </c>
      <c r="CX93" s="6">
        <v>-3.1511E-3</v>
      </c>
      <c r="CY93" s="6">
        <v>-2.6672509999999998E-3</v>
      </c>
      <c r="CZ93" s="6">
        <v>5.8295060240963873E-5</v>
      </c>
      <c r="DA93" s="6">
        <v>-3.318068E-3</v>
      </c>
      <c r="DB93" s="6">
        <v>-2.7497089999999999E-3</v>
      </c>
      <c r="DC93" s="6">
        <v>6.8476987951807223E-5</v>
      </c>
      <c r="DD93" s="6">
        <v>-3.1293549999999999E-3</v>
      </c>
      <c r="DE93" s="6">
        <v>-2.6475980000000001E-3</v>
      </c>
      <c r="DF93" s="6">
        <v>5.8043012048192738E-5</v>
      </c>
      <c r="DG93" s="6">
        <v>-3.3296160000000001E-3</v>
      </c>
      <c r="DH93" s="6">
        <v>-2.7609150000000001E-3</v>
      </c>
      <c r="DI93" s="6">
        <v>6.851819277108433E-5</v>
      </c>
    </row>
    <row r="94" spans="1:113" x14ac:dyDescent="0.3">
      <c r="A94" s="13" t="s">
        <v>440</v>
      </c>
      <c r="B94" s="13" t="s">
        <v>251</v>
      </c>
      <c r="C94" s="13" t="s">
        <v>292</v>
      </c>
      <c r="D94" s="13" t="s">
        <v>364</v>
      </c>
      <c r="E94" s="13">
        <v>8.3000000000000007</v>
      </c>
      <c r="F94" s="6">
        <v>-2.1207439999999999E-3</v>
      </c>
      <c r="G94" s="6">
        <v>-1.482787E-3</v>
      </c>
      <c r="H94" s="6">
        <v>7.6862289156626496E-5</v>
      </c>
      <c r="I94" s="6">
        <v>-3.0711319999999999E-3</v>
      </c>
      <c r="J94" s="6">
        <v>-2.192608E-3</v>
      </c>
      <c r="K94" s="6">
        <v>1.0584626506024094E-4</v>
      </c>
      <c r="L94" s="6">
        <v>-2.734696E-3</v>
      </c>
      <c r="M94" s="6">
        <v>-2.0920019999999999E-3</v>
      </c>
      <c r="N94" s="6">
        <v>7.7433012048192768E-5</v>
      </c>
      <c r="O94" s="6">
        <v>-3.65585E-3</v>
      </c>
      <c r="P94" s="6">
        <v>-2.7728129999999998E-3</v>
      </c>
      <c r="Q94" s="6">
        <v>1.0639E-4</v>
      </c>
      <c r="R94" s="6">
        <v>-3.913499E-3</v>
      </c>
      <c r="S94" s="6">
        <v>-2.9969390000000001E-3</v>
      </c>
      <c r="T94" s="6">
        <v>1.1042891566265058E-4</v>
      </c>
      <c r="U94" s="6">
        <v>-3.6384080000000001E-3</v>
      </c>
      <c r="V94" s="6">
        <v>-3.0957469999999998E-3</v>
      </c>
      <c r="W94" s="6">
        <v>6.5380843373494008E-5</v>
      </c>
      <c r="X94" s="6">
        <v>-3.9790099999999998E-3</v>
      </c>
      <c r="Y94" s="6">
        <v>-3.043231E-3</v>
      </c>
      <c r="Z94" s="6">
        <v>1.1274445783132528E-4</v>
      </c>
      <c r="AA94" s="6">
        <v>-3.6012869999999999E-3</v>
      </c>
      <c r="AB94" s="6">
        <v>-3.0674439999999999E-3</v>
      </c>
      <c r="AC94" s="6">
        <v>6.4318433734939759E-5</v>
      </c>
      <c r="AD94" s="6">
        <v>-3.1637480000000001E-3</v>
      </c>
      <c r="AE94" s="6">
        <v>-2.2414539999999999E-3</v>
      </c>
      <c r="AF94" s="6">
        <v>1.1111975903614458E-4</v>
      </c>
      <c r="AG94" s="6">
        <v>-3.4386080000000001E-3</v>
      </c>
      <c r="AH94" s="6">
        <v>-2.1440999999999999E-3</v>
      </c>
      <c r="AI94" s="6">
        <v>1.5596481927710845E-4</v>
      </c>
      <c r="AJ94" s="6">
        <v>-3.0982380000000001E-3</v>
      </c>
      <c r="AK94" s="6">
        <v>-2.1951620000000001E-3</v>
      </c>
      <c r="AL94" s="6">
        <v>1.0880433734939759E-4</v>
      </c>
      <c r="AM94" s="6">
        <v>-3.4759610000000001E-3</v>
      </c>
      <c r="AN94" s="6">
        <v>-2.1709490000000001E-3</v>
      </c>
      <c r="AO94" s="6">
        <v>1.5723036144578312E-4</v>
      </c>
      <c r="AP94" s="6">
        <v>-3.5632340000000002E-3</v>
      </c>
      <c r="AQ94" s="6">
        <v>-2.7239669999999999E-3</v>
      </c>
      <c r="AR94" s="6">
        <v>1.0111650602409642E-4</v>
      </c>
      <c r="AS94" s="6">
        <v>-3.2883740000000002E-3</v>
      </c>
      <c r="AT94" s="6">
        <v>-2.8213209999999999E-3</v>
      </c>
      <c r="AU94" s="6">
        <v>5.6271445783132559E-5</v>
      </c>
      <c r="AV94" s="6">
        <v>-3.6287440000000002E-3</v>
      </c>
      <c r="AW94" s="6">
        <v>-2.7702590000000002E-3</v>
      </c>
      <c r="AX94" s="6">
        <v>1.0343192771084336E-4</v>
      </c>
      <c r="AY94" s="6">
        <v>-3.2510210000000002E-3</v>
      </c>
      <c r="AZ94" s="6">
        <v>-2.7944720000000001E-3</v>
      </c>
      <c r="BA94" s="6">
        <v>5.5005903614457842E-5</v>
      </c>
      <c r="BB94" s="6">
        <v>-2.813482E-3</v>
      </c>
      <c r="BC94" s="6">
        <v>-1.9684820000000001E-3</v>
      </c>
      <c r="BD94" s="6">
        <v>1.0180722891566263E-4</v>
      </c>
      <c r="BE94" s="6">
        <v>-3.088342E-3</v>
      </c>
      <c r="BF94" s="6">
        <v>-1.8711279999999999E-3</v>
      </c>
      <c r="BG94" s="6">
        <v>1.466522891566265E-4</v>
      </c>
      <c r="BH94" s="6">
        <v>-2.747972E-3</v>
      </c>
      <c r="BI94" s="6">
        <v>-1.9221900000000001E-3</v>
      </c>
      <c r="BJ94" s="6">
        <v>9.9491807228915642E-5</v>
      </c>
      <c r="BK94" s="6">
        <v>-3.1256949999999999E-3</v>
      </c>
      <c r="BL94" s="6">
        <v>-1.8979769999999999E-3</v>
      </c>
      <c r="BM94" s="6">
        <v>1.479178313253012E-4</v>
      </c>
      <c r="BN94" s="6">
        <v>-4.0597300000000001E-3</v>
      </c>
      <c r="BO94" s="6">
        <v>-3.0509869999999998E-3</v>
      </c>
      <c r="BP94" s="6">
        <v>1.215353012048193E-4</v>
      </c>
      <c r="BQ94" s="6">
        <v>-3.9772719999999996E-3</v>
      </c>
      <c r="BR94" s="6">
        <v>-3.0801930000000002E-3</v>
      </c>
      <c r="BS94" s="6">
        <v>1.0808180722891559E-4</v>
      </c>
      <c r="BT94" s="6">
        <v>-4.0793829999999998E-3</v>
      </c>
      <c r="BU94" s="6">
        <v>-3.064874E-3</v>
      </c>
      <c r="BV94" s="6">
        <v>1.2222999999999997E-4</v>
      </c>
      <c r="BW94" s="6">
        <v>-3.9660659999999999E-3</v>
      </c>
      <c r="BX94" s="6">
        <v>-3.0721379999999999E-3</v>
      </c>
      <c r="BY94" s="6">
        <v>1.0770216867469878E-4</v>
      </c>
      <c r="BZ94" s="6">
        <v>-3.8348050000000002E-3</v>
      </c>
      <c r="CA94" s="6">
        <v>-2.8243410000000002E-3</v>
      </c>
      <c r="CB94" s="6">
        <v>1.2174265060240962E-4</v>
      </c>
      <c r="CC94" s="6">
        <v>-3.9172620000000003E-3</v>
      </c>
      <c r="CD94" s="6">
        <v>-2.7951349999999998E-3</v>
      </c>
      <c r="CE94" s="6">
        <v>1.3519602409638558E-4</v>
      </c>
      <c r="CF94" s="6">
        <v>-3.815152E-3</v>
      </c>
      <c r="CG94" s="6">
        <v>-2.810454E-3</v>
      </c>
      <c r="CH94" s="6">
        <v>1.2104795180722891E-4</v>
      </c>
      <c r="CI94" s="6">
        <v>-3.9284680000000001E-3</v>
      </c>
      <c r="CJ94" s="6">
        <v>-2.8031900000000001E-3</v>
      </c>
      <c r="CK94" s="6">
        <v>1.3557566265060239E-4</v>
      </c>
      <c r="CL94" s="6">
        <v>-2.8921770000000001E-3</v>
      </c>
      <c r="CM94" s="6">
        <v>-2.1410800000000001E-3</v>
      </c>
      <c r="CN94" s="6">
        <v>9.0493614457831325E-5</v>
      </c>
      <c r="CO94" s="6">
        <v>-2.809719E-3</v>
      </c>
      <c r="CP94" s="6">
        <v>-2.170286E-3</v>
      </c>
      <c r="CQ94" s="6">
        <v>7.7040120481927706E-5</v>
      </c>
      <c r="CR94" s="6">
        <v>-2.9118299999999998E-3</v>
      </c>
      <c r="CS94" s="6">
        <v>-2.1549680000000002E-3</v>
      </c>
      <c r="CT94" s="6">
        <v>9.1188192771084287E-5</v>
      </c>
      <c r="CU94" s="6">
        <v>-2.7985129999999999E-3</v>
      </c>
      <c r="CV94" s="6">
        <v>-2.162232E-3</v>
      </c>
      <c r="CW94" s="6">
        <v>7.6660361445783108E-5</v>
      </c>
      <c r="CX94" s="6">
        <v>-2.6672509999999998E-3</v>
      </c>
      <c r="CY94" s="6">
        <v>-1.9144349999999999E-3</v>
      </c>
      <c r="CZ94" s="6">
        <v>9.0700722891566251E-5</v>
      </c>
      <c r="DA94" s="6">
        <v>-2.7497089999999999E-3</v>
      </c>
      <c r="DB94" s="6">
        <v>-1.8852280000000001E-3</v>
      </c>
      <c r="DC94" s="6">
        <v>1.0415433734939757E-4</v>
      </c>
      <c r="DD94" s="6">
        <v>-2.6475980000000001E-3</v>
      </c>
      <c r="DE94" s="6">
        <v>-1.900547E-3</v>
      </c>
      <c r="DF94" s="6">
        <v>9.0006144578313262E-5</v>
      </c>
      <c r="DG94" s="6">
        <v>-2.7609150000000001E-3</v>
      </c>
      <c r="DH94" s="6">
        <v>-1.8932829999999999E-3</v>
      </c>
      <c r="DI94" s="6">
        <v>1.0453397590361447E-4</v>
      </c>
    </row>
    <row r="95" spans="1:113" x14ac:dyDescent="0.3">
      <c r="A95" s="13" t="s">
        <v>441</v>
      </c>
      <c r="B95" s="13" t="s">
        <v>250</v>
      </c>
      <c r="C95" s="13" t="s">
        <v>251</v>
      </c>
      <c r="D95" s="13" t="s">
        <v>364</v>
      </c>
      <c r="E95" s="13">
        <v>11</v>
      </c>
      <c r="F95" s="6">
        <v>-2.9568120000000001E-3</v>
      </c>
      <c r="G95" s="6">
        <v>-2.1207439999999999E-3</v>
      </c>
      <c r="H95" s="6">
        <v>7.6006181818181825E-5</v>
      </c>
      <c r="I95" s="6">
        <v>-4.2027269999999999E-3</v>
      </c>
      <c r="J95" s="6">
        <v>-3.0711319999999999E-3</v>
      </c>
      <c r="K95" s="6">
        <v>1.0287227272727273E-4</v>
      </c>
      <c r="L95" s="6">
        <v>-3.5590190000000001E-3</v>
      </c>
      <c r="M95" s="6">
        <v>-2.734696E-3</v>
      </c>
      <c r="N95" s="6">
        <v>7.4938454545454546E-5</v>
      </c>
      <c r="O95" s="6">
        <v>-4.7762209999999998E-3</v>
      </c>
      <c r="P95" s="6">
        <v>-3.65585E-3</v>
      </c>
      <c r="Q95" s="6">
        <v>1.0185190909090908E-4</v>
      </c>
      <c r="R95" s="6">
        <v>-4.7903720000000002E-3</v>
      </c>
      <c r="S95" s="6">
        <v>-3.913499E-3</v>
      </c>
      <c r="T95" s="6">
        <v>7.9715727272727289E-5</v>
      </c>
      <c r="U95" s="6">
        <v>-4.7511979999999999E-3</v>
      </c>
      <c r="V95" s="6">
        <v>-3.6384080000000001E-3</v>
      </c>
      <c r="W95" s="6">
        <v>1.0116272727272725E-4</v>
      </c>
      <c r="X95" s="6">
        <v>-4.8059899999999996E-3</v>
      </c>
      <c r="Y95" s="6">
        <v>-3.9790099999999998E-3</v>
      </c>
      <c r="Z95" s="6">
        <v>7.5179999999999982E-5</v>
      </c>
      <c r="AA95" s="6">
        <v>-4.7406890000000002E-3</v>
      </c>
      <c r="AB95" s="6">
        <v>-3.6012869999999999E-3</v>
      </c>
      <c r="AC95" s="6">
        <v>1.0358200000000003E-4</v>
      </c>
      <c r="AD95" s="6">
        <v>-4.6373359999999997E-3</v>
      </c>
      <c r="AE95" s="6">
        <v>-3.1637480000000001E-3</v>
      </c>
      <c r="AF95" s="6">
        <v>1.3396254545454541E-4</v>
      </c>
      <c r="AG95" s="6">
        <v>-4.6773550000000002E-3</v>
      </c>
      <c r="AH95" s="6">
        <v>-3.4386080000000001E-3</v>
      </c>
      <c r="AI95" s="6">
        <v>1.1261336363636364E-4</v>
      </c>
      <c r="AJ95" s="6">
        <v>-4.6217180000000004E-3</v>
      </c>
      <c r="AK95" s="6">
        <v>-3.0982380000000001E-3</v>
      </c>
      <c r="AL95" s="6">
        <v>1.3849818181818185E-4</v>
      </c>
      <c r="AM95" s="6">
        <v>-4.6870189999999997E-3</v>
      </c>
      <c r="AN95" s="6">
        <v>-3.4759610000000001E-3</v>
      </c>
      <c r="AO95" s="6">
        <v>1.1009618181818179E-4</v>
      </c>
      <c r="AP95" s="6">
        <v>-4.3416119999999999E-3</v>
      </c>
      <c r="AQ95" s="6">
        <v>-3.5632340000000002E-3</v>
      </c>
      <c r="AR95" s="6">
        <v>7.0761636363636342E-5</v>
      </c>
      <c r="AS95" s="6">
        <v>-4.3015919999999999E-3</v>
      </c>
      <c r="AT95" s="6">
        <v>-3.2883740000000002E-3</v>
      </c>
      <c r="AU95" s="6">
        <v>9.2110727272727254E-5</v>
      </c>
      <c r="AV95" s="6">
        <v>-4.3572300000000001E-3</v>
      </c>
      <c r="AW95" s="6">
        <v>-3.6287440000000002E-3</v>
      </c>
      <c r="AX95" s="6">
        <v>6.6225999999999999E-5</v>
      </c>
      <c r="AY95" s="6">
        <v>-4.2919280000000004E-3</v>
      </c>
      <c r="AZ95" s="6">
        <v>-3.2510210000000002E-3</v>
      </c>
      <c r="BA95" s="6">
        <v>9.4627909090909106E-5</v>
      </c>
      <c r="BB95" s="6">
        <v>-4.1885760000000003E-3</v>
      </c>
      <c r="BC95" s="6">
        <v>-2.813482E-3</v>
      </c>
      <c r="BD95" s="6">
        <v>1.2500854545454548E-4</v>
      </c>
      <c r="BE95" s="6">
        <v>-4.2285949999999999E-3</v>
      </c>
      <c r="BF95" s="6">
        <v>-3.088342E-3</v>
      </c>
      <c r="BG95" s="6">
        <v>1.0365936363636363E-4</v>
      </c>
      <c r="BH95" s="6">
        <v>-4.172958E-3</v>
      </c>
      <c r="BI95" s="6">
        <v>-2.747972E-3</v>
      </c>
      <c r="BJ95" s="6">
        <v>1.2954418181818181E-4</v>
      </c>
      <c r="BK95" s="6">
        <v>-4.2382590000000003E-3</v>
      </c>
      <c r="BL95" s="6">
        <v>-3.1256949999999999E-3</v>
      </c>
      <c r="BM95" s="6">
        <v>1.0114218181818185E-4</v>
      </c>
      <c r="BN95" s="6">
        <v>-5.2603629999999997E-3</v>
      </c>
      <c r="BO95" s="6">
        <v>-4.0597300000000001E-3</v>
      </c>
      <c r="BP95" s="6">
        <v>1.091484545454545E-4</v>
      </c>
      <c r="BQ95" s="6">
        <v>-5.2483579999999998E-3</v>
      </c>
      <c r="BR95" s="6">
        <v>-3.9772719999999996E-3</v>
      </c>
      <c r="BS95" s="6">
        <v>1.1555327272727275E-4</v>
      </c>
      <c r="BT95" s="6">
        <v>-5.2650489999999999E-3</v>
      </c>
      <c r="BU95" s="6">
        <v>-4.0793829999999998E-3</v>
      </c>
      <c r="BV95" s="6">
        <v>1.077878181818182E-4</v>
      </c>
      <c r="BW95" s="6">
        <v>-5.2454579999999997E-3</v>
      </c>
      <c r="BX95" s="6">
        <v>-3.9660659999999999E-3</v>
      </c>
      <c r="BY95" s="6">
        <v>1.1630836363636363E-4</v>
      </c>
      <c r="BZ95" s="6">
        <v>-5.2144519999999996E-3</v>
      </c>
      <c r="CA95" s="6">
        <v>-3.8348050000000002E-3</v>
      </c>
      <c r="CB95" s="6">
        <v>1.254224545454545E-4</v>
      </c>
      <c r="CC95" s="6">
        <v>-5.2264579999999998E-3</v>
      </c>
      <c r="CD95" s="6">
        <v>-3.9172620000000003E-3</v>
      </c>
      <c r="CE95" s="6">
        <v>1.1901781818181813E-4</v>
      </c>
      <c r="CF95" s="6">
        <v>-5.2097669999999997E-3</v>
      </c>
      <c r="CG95" s="6">
        <v>-3.815152E-3</v>
      </c>
      <c r="CH95" s="6">
        <v>1.2678318181818179E-4</v>
      </c>
      <c r="CI95" s="6">
        <v>-5.2293569999999996E-3</v>
      </c>
      <c r="CJ95" s="6">
        <v>-3.9284680000000001E-3</v>
      </c>
      <c r="CK95" s="6">
        <v>1.1826263636363632E-4</v>
      </c>
      <c r="CL95" s="6">
        <v>-3.7644950000000001E-3</v>
      </c>
      <c r="CM95" s="6">
        <v>-2.8921770000000001E-3</v>
      </c>
      <c r="CN95" s="6">
        <v>7.9301636363636365E-5</v>
      </c>
      <c r="CO95" s="6">
        <v>-3.7524899999999998E-3</v>
      </c>
      <c r="CP95" s="6">
        <v>-2.809719E-3</v>
      </c>
      <c r="CQ95" s="6">
        <v>8.5706454545454521E-5</v>
      </c>
      <c r="CR95" s="6">
        <v>-3.7691809999999999E-3</v>
      </c>
      <c r="CS95" s="6">
        <v>-2.9118299999999998E-3</v>
      </c>
      <c r="CT95" s="6">
        <v>7.7941000000000005E-5</v>
      </c>
      <c r="CU95" s="6">
        <v>-3.7495900000000001E-3</v>
      </c>
      <c r="CV95" s="6">
        <v>-2.7985129999999999E-3</v>
      </c>
      <c r="CW95" s="6">
        <v>8.6461545454545474E-5</v>
      </c>
      <c r="CX95" s="6">
        <v>-3.7185849999999999E-3</v>
      </c>
      <c r="CY95" s="6">
        <v>-2.6672509999999998E-3</v>
      </c>
      <c r="CZ95" s="6">
        <v>9.5575818181818187E-5</v>
      </c>
      <c r="DA95" s="6">
        <v>-3.7305900000000002E-3</v>
      </c>
      <c r="DB95" s="6">
        <v>-2.7497089999999999E-3</v>
      </c>
      <c r="DC95" s="6">
        <v>8.9171000000000031E-5</v>
      </c>
      <c r="DD95" s="6">
        <v>-3.7138990000000001E-3</v>
      </c>
      <c r="DE95" s="6">
        <v>-2.6475980000000001E-3</v>
      </c>
      <c r="DF95" s="6">
        <v>9.6936454545454547E-5</v>
      </c>
      <c r="DG95" s="6">
        <v>-3.733489E-3</v>
      </c>
      <c r="DH95" s="6">
        <v>-2.7609150000000001E-3</v>
      </c>
      <c r="DI95" s="6">
        <v>8.8415818181818181E-5</v>
      </c>
    </row>
    <row r="96" spans="1:113" x14ac:dyDescent="0.3">
      <c r="A96" s="13" t="s">
        <v>442</v>
      </c>
      <c r="B96" s="13" t="s">
        <v>60</v>
      </c>
      <c r="C96" s="13" t="s">
        <v>61</v>
      </c>
      <c r="D96" s="13" t="s">
        <v>350</v>
      </c>
      <c r="E96" s="13">
        <v>11</v>
      </c>
      <c r="F96" s="6">
        <v>-3.688729E-3</v>
      </c>
      <c r="G96" s="6">
        <v>-3.091782E-3</v>
      </c>
      <c r="H96" s="6">
        <v>5.4267909090909092E-5</v>
      </c>
      <c r="I96" s="6">
        <v>-4.516272E-3</v>
      </c>
      <c r="J96" s="6">
        <v>-3.7935989999999999E-3</v>
      </c>
      <c r="K96" s="6">
        <v>6.5697545454545454E-5</v>
      </c>
      <c r="L96" s="6">
        <v>-4.0622760000000001E-3</v>
      </c>
      <c r="M96" s="6">
        <v>-3.4678529999999999E-3</v>
      </c>
      <c r="N96" s="6">
        <v>5.4038454545454559E-5</v>
      </c>
      <c r="O96" s="6">
        <v>-4.8722490000000004E-3</v>
      </c>
      <c r="P96" s="6">
        <v>-4.1517380000000003E-3</v>
      </c>
      <c r="Q96" s="6">
        <v>6.5501000000000009E-5</v>
      </c>
      <c r="R96" s="6">
        <v>-5.1418009999999997E-3</v>
      </c>
      <c r="S96" s="6">
        <v>-4.7017659999999996E-3</v>
      </c>
      <c r="T96" s="6">
        <v>4.0003181818181824E-5</v>
      </c>
      <c r="U96" s="6">
        <v>-3.913522E-3</v>
      </c>
      <c r="V96" s="6">
        <v>-3.344938E-3</v>
      </c>
      <c r="W96" s="6">
        <v>5.1689454545454545E-5</v>
      </c>
      <c r="X96" s="6">
        <v>-5.1299079999999999E-3</v>
      </c>
      <c r="Y96" s="6">
        <v>-4.6807350000000001E-3</v>
      </c>
      <c r="Z96" s="6">
        <v>4.0833909090909072E-5</v>
      </c>
      <c r="AA96" s="6">
        <v>-3.8495080000000002E-3</v>
      </c>
      <c r="AB96" s="6">
        <v>-3.2302849999999998E-3</v>
      </c>
      <c r="AC96" s="6">
        <v>5.6293000000000032E-5</v>
      </c>
      <c r="AD96" s="6">
        <v>-4.7476430000000002E-3</v>
      </c>
      <c r="AE96" s="6">
        <v>-3.6732520000000001E-3</v>
      </c>
      <c r="AF96" s="6">
        <v>9.7671909090909099E-5</v>
      </c>
      <c r="AG96" s="6">
        <v>-6.0469080000000001E-3</v>
      </c>
      <c r="AH96" s="6">
        <v>-5.1569520000000002E-3</v>
      </c>
      <c r="AI96" s="6">
        <v>8.0905090909090896E-5</v>
      </c>
      <c r="AJ96" s="6">
        <v>-4.759536E-3</v>
      </c>
      <c r="AK96" s="6">
        <v>-3.6942839999999999E-3</v>
      </c>
      <c r="AL96" s="6">
        <v>9.6841090909090914E-5</v>
      </c>
      <c r="AM96" s="6">
        <v>-6.0399370000000004E-3</v>
      </c>
      <c r="AN96" s="6">
        <v>-5.1447330000000003E-3</v>
      </c>
      <c r="AO96" s="6">
        <v>8.1382181818181836E-5</v>
      </c>
      <c r="AP96" s="6">
        <v>-4.6408710000000004E-3</v>
      </c>
      <c r="AQ96" s="6">
        <v>-4.2720859999999996E-3</v>
      </c>
      <c r="AR96" s="6">
        <v>3.3525909090909168E-5</v>
      </c>
      <c r="AS96" s="6">
        <v>-3.3416069999999999E-3</v>
      </c>
      <c r="AT96" s="6">
        <v>-2.7883859999999999E-3</v>
      </c>
      <c r="AU96" s="6">
        <v>5.029281818181818E-5</v>
      </c>
      <c r="AV96" s="6">
        <v>-4.6289790000000001E-3</v>
      </c>
      <c r="AW96" s="6">
        <v>-4.2510539999999998E-3</v>
      </c>
      <c r="AX96" s="6">
        <v>3.4356818181818209E-5</v>
      </c>
      <c r="AY96" s="6">
        <v>-3.3485780000000001E-3</v>
      </c>
      <c r="AZ96" s="6">
        <v>-2.8006049999999998E-3</v>
      </c>
      <c r="BA96" s="6">
        <v>4.9815727272727294E-5</v>
      </c>
      <c r="BB96" s="6">
        <v>-4.2467140000000004E-3</v>
      </c>
      <c r="BC96" s="6">
        <v>-3.2435720000000001E-3</v>
      </c>
      <c r="BD96" s="6">
        <v>9.1194727272727292E-5</v>
      </c>
      <c r="BE96" s="6">
        <v>-5.5459790000000004E-3</v>
      </c>
      <c r="BF96" s="6">
        <v>-4.7272720000000002E-3</v>
      </c>
      <c r="BG96" s="6">
        <v>7.4427909090909103E-5</v>
      </c>
      <c r="BH96" s="6">
        <v>-4.2586070000000002E-3</v>
      </c>
      <c r="BI96" s="6">
        <v>-3.264603E-3</v>
      </c>
      <c r="BJ96" s="6">
        <v>9.0364000000000018E-5</v>
      </c>
      <c r="BK96" s="6">
        <v>-5.5390070000000003E-3</v>
      </c>
      <c r="BL96" s="6">
        <v>-4.7150530000000003E-3</v>
      </c>
      <c r="BM96" s="6">
        <v>7.4904909090909091E-5</v>
      </c>
      <c r="BN96" s="6">
        <v>-5.5882630000000004E-3</v>
      </c>
      <c r="BO96" s="6">
        <v>-4.8430790000000001E-3</v>
      </c>
      <c r="BP96" s="6">
        <v>6.7744000000000021E-5</v>
      </c>
      <c r="BQ96" s="6">
        <v>-5.1984830000000003E-3</v>
      </c>
      <c r="BR96" s="6">
        <v>-4.3979689999999998E-3</v>
      </c>
      <c r="BS96" s="6">
        <v>7.2774000000000046E-5</v>
      </c>
      <c r="BT96" s="6">
        <v>-5.5846949999999998E-3</v>
      </c>
      <c r="BU96" s="6">
        <v>-4.8367699999999998E-3</v>
      </c>
      <c r="BV96" s="6">
        <v>6.7993181818181819E-5</v>
      </c>
      <c r="BW96" s="6">
        <v>-5.2005749999999998E-3</v>
      </c>
      <c r="BX96" s="6">
        <v>-4.4016350000000001E-3</v>
      </c>
      <c r="BY96" s="6">
        <v>7.2630909090909065E-5</v>
      </c>
      <c r="BZ96" s="6">
        <v>-5.4700160000000003E-3</v>
      </c>
      <c r="CA96" s="6">
        <v>-4.5345250000000002E-3</v>
      </c>
      <c r="CB96" s="6">
        <v>8.5044636363636368E-5</v>
      </c>
      <c r="CC96" s="6">
        <v>-5.8597950000000001E-3</v>
      </c>
      <c r="CD96" s="6">
        <v>-4.979636E-3</v>
      </c>
      <c r="CE96" s="6">
        <v>8.0014454545454563E-5</v>
      </c>
      <c r="CF96" s="6">
        <v>-5.4735829999999997E-3</v>
      </c>
      <c r="CG96" s="6">
        <v>-4.540835E-3</v>
      </c>
      <c r="CH96" s="6">
        <v>8.4795272727272708E-5</v>
      </c>
      <c r="CI96" s="6">
        <v>-5.857704E-3</v>
      </c>
      <c r="CJ96" s="6">
        <v>-4.9759690000000002E-3</v>
      </c>
      <c r="CK96" s="6">
        <v>8.0157727272727256E-5</v>
      </c>
      <c r="CL96" s="6">
        <v>-3.9184989999999998E-3</v>
      </c>
      <c r="CM96" s="6">
        <v>-3.410813E-3</v>
      </c>
      <c r="CN96" s="6">
        <v>4.6153272727272708E-5</v>
      </c>
      <c r="CO96" s="6">
        <v>-3.528719E-3</v>
      </c>
      <c r="CP96" s="6">
        <v>-2.9657030000000001E-3</v>
      </c>
      <c r="CQ96" s="6">
        <v>5.1183272727272726E-5</v>
      </c>
      <c r="CR96" s="6">
        <v>-3.914931E-3</v>
      </c>
      <c r="CS96" s="6">
        <v>-3.4045030000000001E-3</v>
      </c>
      <c r="CT96" s="6">
        <v>4.6402545454545437E-5</v>
      </c>
      <c r="CU96" s="6">
        <v>-3.530811E-3</v>
      </c>
      <c r="CV96" s="6">
        <v>-2.9693689999999999E-3</v>
      </c>
      <c r="CW96" s="6">
        <v>5.1040181818181827E-5</v>
      </c>
      <c r="CX96" s="6">
        <v>-3.8002520000000001E-3</v>
      </c>
      <c r="CY96" s="6">
        <v>-3.102259E-3</v>
      </c>
      <c r="CZ96" s="6">
        <v>6.3453909090909096E-5</v>
      </c>
      <c r="DA96" s="6">
        <v>-4.1900310000000003E-3</v>
      </c>
      <c r="DB96" s="6">
        <v>-3.5473689999999999E-3</v>
      </c>
      <c r="DC96" s="6">
        <v>5.8423818181818221E-5</v>
      </c>
      <c r="DD96" s="6">
        <v>-3.803819E-3</v>
      </c>
      <c r="DE96" s="6">
        <v>-3.1085679999999999E-3</v>
      </c>
      <c r="DF96" s="6">
        <v>6.320463636363636E-5</v>
      </c>
      <c r="DG96" s="6">
        <v>-4.1879400000000002E-3</v>
      </c>
      <c r="DH96" s="6">
        <v>-3.543703E-3</v>
      </c>
      <c r="DI96" s="6">
        <v>5.8567000000000017E-5</v>
      </c>
    </row>
    <row r="97" spans="1:113" x14ac:dyDescent="0.3">
      <c r="A97" s="13" t="s">
        <v>443</v>
      </c>
      <c r="B97" s="13" t="s">
        <v>324</v>
      </c>
      <c r="C97" s="13" t="s">
        <v>326</v>
      </c>
      <c r="D97" s="13" t="s">
        <v>350</v>
      </c>
      <c r="E97" s="13">
        <v>11</v>
      </c>
      <c r="F97" s="6">
        <v>-1.4493100000000001E-3</v>
      </c>
      <c r="G97" s="6">
        <v>-1.415468E-3</v>
      </c>
      <c r="H97" s="6">
        <v>3.0765454545454613E-6</v>
      </c>
      <c r="I97" s="6">
        <v>-1.8071579999999999E-3</v>
      </c>
      <c r="J97" s="6">
        <v>-1.771601E-3</v>
      </c>
      <c r="K97" s="6">
        <v>3.2324545454545328E-6</v>
      </c>
      <c r="L97" s="6">
        <v>-1.8393369999999999E-3</v>
      </c>
      <c r="M97" s="6">
        <v>-1.802309E-3</v>
      </c>
      <c r="N97" s="6">
        <v>3.3661818181818118E-6</v>
      </c>
      <c r="O97" s="6">
        <v>-2.1786290000000001E-3</v>
      </c>
      <c r="P97" s="6">
        <v>-2.1400159999999998E-3</v>
      </c>
      <c r="Q97" s="6">
        <v>3.5102727272727522E-6</v>
      </c>
      <c r="R97" s="6">
        <v>-2.1817149999999999E-3</v>
      </c>
      <c r="S97" s="6">
        <v>-2.3349249999999998E-3</v>
      </c>
      <c r="T97" s="6">
        <v>1.3928181818181815E-5</v>
      </c>
      <c r="U97" s="6">
        <v>-2.3451380000000001E-3</v>
      </c>
      <c r="V97" s="6">
        <v>-2.3959020000000001E-3</v>
      </c>
      <c r="W97" s="6">
        <v>4.6149090909090927E-6</v>
      </c>
      <c r="X97" s="6">
        <v>-2.1796160000000001E-3</v>
      </c>
      <c r="Y97" s="6">
        <v>-2.3336849999999998E-3</v>
      </c>
      <c r="Z97" s="6">
        <v>1.4006272727272704E-5</v>
      </c>
      <c r="AA97" s="6">
        <v>-2.3821250000000001E-3</v>
      </c>
      <c r="AB97" s="6">
        <v>-2.407008E-3</v>
      </c>
      <c r="AC97" s="6">
        <v>2.2620909090908954E-6</v>
      </c>
      <c r="AD97" s="6">
        <v>-2.0388329999999999E-3</v>
      </c>
      <c r="AE97" s="6">
        <v>-1.806895E-3</v>
      </c>
      <c r="AF97" s="6">
        <v>2.1085272727272717E-5</v>
      </c>
      <c r="AG97" s="6">
        <v>-1.8396420000000001E-3</v>
      </c>
      <c r="AH97" s="6">
        <v>-1.735508E-3</v>
      </c>
      <c r="AI97" s="6">
        <v>9.4667272727272796E-6</v>
      </c>
      <c r="AJ97" s="6">
        <v>-2.040933E-3</v>
      </c>
      <c r="AK97" s="6">
        <v>-1.808135E-3</v>
      </c>
      <c r="AL97" s="6">
        <v>2.1163454545454543E-5</v>
      </c>
      <c r="AM97" s="6">
        <v>-1.8384230000000001E-3</v>
      </c>
      <c r="AN97" s="6">
        <v>-1.7348120000000001E-3</v>
      </c>
      <c r="AO97" s="6">
        <v>9.4191818181818168E-6</v>
      </c>
      <c r="AP97" s="6">
        <v>-1.946953E-3</v>
      </c>
      <c r="AQ97" s="6">
        <v>-2.1047219999999998E-3</v>
      </c>
      <c r="AR97" s="6">
        <v>1.4342636363636353E-5</v>
      </c>
      <c r="AS97" s="6">
        <v>-2.1461449999999999E-3</v>
      </c>
      <c r="AT97" s="6">
        <v>-2.1761089999999999E-3</v>
      </c>
      <c r="AU97" s="6">
        <v>2.723999999999995E-6</v>
      </c>
      <c r="AV97" s="6">
        <v>-1.944854E-3</v>
      </c>
      <c r="AW97" s="6">
        <v>-2.1034819999999998E-3</v>
      </c>
      <c r="AX97" s="6">
        <v>1.442072727272726E-5</v>
      </c>
      <c r="AY97" s="6">
        <v>-2.1473629999999998E-3</v>
      </c>
      <c r="AZ97" s="6">
        <v>-2.176805E-3</v>
      </c>
      <c r="BA97" s="6">
        <v>2.6765454545454711E-6</v>
      </c>
      <c r="BB97" s="6">
        <v>-1.804071E-3</v>
      </c>
      <c r="BC97" s="6">
        <v>-1.576692E-3</v>
      </c>
      <c r="BD97" s="6">
        <v>2.0670818181818181E-5</v>
      </c>
      <c r="BE97" s="6">
        <v>-1.6048799999999999E-3</v>
      </c>
      <c r="BF97" s="6">
        <v>-1.5053040000000001E-3</v>
      </c>
      <c r="BG97" s="6">
        <v>9.0523636363636242E-6</v>
      </c>
      <c r="BH97" s="6">
        <v>-1.8061710000000001E-3</v>
      </c>
      <c r="BI97" s="6">
        <v>-1.577932E-3</v>
      </c>
      <c r="BJ97" s="6">
        <v>2.0749000000000008E-5</v>
      </c>
      <c r="BK97" s="6">
        <v>-1.6036609999999999E-3</v>
      </c>
      <c r="BL97" s="6">
        <v>-1.5046090000000001E-3</v>
      </c>
      <c r="BM97" s="6">
        <v>9.004727272727261E-6</v>
      </c>
      <c r="BN97" s="6">
        <v>-2.4055959999999999E-3</v>
      </c>
      <c r="BO97" s="6">
        <v>-2.4186849999999998E-3</v>
      </c>
      <c r="BP97" s="6">
        <v>1.1899090909090893E-6</v>
      </c>
      <c r="BQ97" s="6">
        <v>-2.465353E-3</v>
      </c>
      <c r="BR97" s="6">
        <v>-2.4401010000000001E-3</v>
      </c>
      <c r="BS97" s="6">
        <v>2.2956363636363559E-6</v>
      </c>
      <c r="BT97" s="6">
        <v>-2.4049660000000001E-3</v>
      </c>
      <c r="BU97" s="6">
        <v>-2.4183130000000001E-3</v>
      </c>
      <c r="BV97" s="6">
        <v>1.2133636363636295E-6</v>
      </c>
      <c r="BW97" s="6">
        <v>-2.4657189999999999E-3</v>
      </c>
      <c r="BX97" s="6">
        <v>-2.4403099999999998E-3</v>
      </c>
      <c r="BY97" s="6">
        <v>2.3099090909091008E-6</v>
      </c>
      <c r="BZ97" s="6">
        <v>-2.3627309999999999E-3</v>
      </c>
      <c r="CA97" s="6">
        <v>-2.2602759999999999E-3</v>
      </c>
      <c r="CB97" s="6">
        <v>9.3140909090909081E-6</v>
      </c>
      <c r="CC97" s="6">
        <v>-2.3029740000000002E-3</v>
      </c>
      <c r="CD97" s="6">
        <v>-2.2388600000000001E-3</v>
      </c>
      <c r="CE97" s="6">
        <v>5.8285454545454631E-6</v>
      </c>
      <c r="CF97" s="6">
        <v>-2.363361E-3</v>
      </c>
      <c r="CG97" s="6">
        <v>-2.2606480000000001E-3</v>
      </c>
      <c r="CH97" s="6">
        <v>9.3375454545454484E-6</v>
      </c>
      <c r="CI97" s="6">
        <v>-2.3026079999999998E-3</v>
      </c>
      <c r="CJ97" s="6">
        <v>-2.2386509999999999E-3</v>
      </c>
      <c r="CK97" s="6">
        <v>5.8142727272727186E-6</v>
      </c>
      <c r="CL97" s="6">
        <v>-1.6230560000000001E-3</v>
      </c>
      <c r="CM97" s="6">
        <v>-1.651341E-3</v>
      </c>
      <c r="CN97" s="6">
        <v>2.5713636363636231E-6</v>
      </c>
      <c r="CO97" s="6">
        <v>-1.682813E-3</v>
      </c>
      <c r="CP97" s="6">
        <v>-1.672757E-3</v>
      </c>
      <c r="CQ97" s="6">
        <v>9.1418181818182184E-7</v>
      </c>
      <c r="CR97" s="6">
        <v>-1.6224259999999999E-3</v>
      </c>
      <c r="CS97" s="6">
        <v>-1.650969E-3</v>
      </c>
      <c r="CT97" s="6">
        <v>2.5948181818181833E-6</v>
      </c>
      <c r="CU97" s="6">
        <v>-1.6831789999999999E-3</v>
      </c>
      <c r="CV97" s="6">
        <v>-1.6729659999999999E-3</v>
      </c>
      <c r="CW97" s="6">
        <v>9.2845454545454716E-7</v>
      </c>
      <c r="CX97" s="6">
        <v>-1.5801910000000001E-3</v>
      </c>
      <c r="CY97" s="6">
        <v>-1.492932E-3</v>
      </c>
      <c r="CZ97" s="6">
        <v>7.932636363636375E-6</v>
      </c>
      <c r="DA97" s="6">
        <v>-1.520434E-3</v>
      </c>
      <c r="DB97" s="6">
        <v>-1.471516E-3</v>
      </c>
      <c r="DC97" s="6">
        <v>4.4470909090909096E-6</v>
      </c>
      <c r="DD97" s="6">
        <v>-1.580821E-3</v>
      </c>
      <c r="DE97" s="6">
        <v>-1.493304E-3</v>
      </c>
      <c r="DF97" s="6">
        <v>7.9560909090909153E-6</v>
      </c>
      <c r="DG97" s="6">
        <v>-1.5200680000000001E-3</v>
      </c>
      <c r="DH97" s="6">
        <v>-1.471307E-3</v>
      </c>
      <c r="DI97" s="6">
        <v>4.4328181818181846E-6</v>
      </c>
    </row>
    <row r="98" spans="1:113" x14ac:dyDescent="0.3">
      <c r="A98" s="13" t="s">
        <v>444</v>
      </c>
      <c r="B98" s="13" t="s">
        <v>61</v>
      </c>
      <c r="C98" s="13" t="s">
        <v>97</v>
      </c>
      <c r="D98" s="13" t="s">
        <v>364</v>
      </c>
      <c r="E98" s="13">
        <v>8.3000000000000007</v>
      </c>
      <c r="F98" s="6">
        <v>-3.091782E-3</v>
      </c>
      <c r="G98" s="6">
        <v>-2.4298470000000002E-3</v>
      </c>
      <c r="H98" s="6">
        <v>7.9751204819277074E-5</v>
      </c>
      <c r="I98" s="6">
        <v>-3.7935989999999999E-3</v>
      </c>
      <c r="J98" s="6">
        <v>-3.4692389999999998E-3</v>
      </c>
      <c r="K98" s="6">
        <v>3.9079518072289166E-5</v>
      </c>
      <c r="L98" s="6">
        <v>-3.4678529999999999E-3</v>
      </c>
      <c r="M98" s="6">
        <v>-3.0529279999999999E-3</v>
      </c>
      <c r="N98" s="6">
        <v>4.9990963855421685E-5</v>
      </c>
      <c r="O98" s="6">
        <v>-4.1517380000000003E-3</v>
      </c>
      <c r="P98" s="6">
        <v>-4.0626539999999997E-3</v>
      </c>
      <c r="Q98" s="6">
        <v>1.0733012048192837E-5</v>
      </c>
      <c r="R98" s="6">
        <v>-4.7017659999999996E-3</v>
      </c>
      <c r="S98" s="6">
        <v>-4.5538200000000001E-3</v>
      </c>
      <c r="T98" s="6">
        <v>1.7824819277108371E-5</v>
      </c>
      <c r="U98" s="6">
        <v>-3.344938E-3</v>
      </c>
      <c r="V98" s="6">
        <v>-4.0042360000000004E-3</v>
      </c>
      <c r="W98" s="6">
        <v>7.9433493975903662E-5</v>
      </c>
      <c r="X98" s="6">
        <v>-4.6807350000000001E-3</v>
      </c>
      <c r="Y98" s="6">
        <v>-4.4426450000000003E-3</v>
      </c>
      <c r="Z98" s="6">
        <v>2.8685542168674675E-5</v>
      </c>
      <c r="AA98" s="6">
        <v>-3.2302849999999998E-3</v>
      </c>
      <c r="AB98" s="6">
        <v>-4.0750029999999998E-3</v>
      </c>
      <c r="AC98" s="6">
        <v>1.0177325301204818E-4</v>
      </c>
      <c r="AD98" s="6">
        <v>-3.6732520000000001E-3</v>
      </c>
      <c r="AE98" s="6">
        <v>-3.3668539999999999E-3</v>
      </c>
      <c r="AF98" s="6">
        <v>3.6915421686747019E-5</v>
      </c>
      <c r="AG98" s="6">
        <v>-5.1569520000000002E-3</v>
      </c>
      <c r="AH98" s="6">
        <v>-3.906634E-3</v>
      </c>
      <c r="AI98" s="6">
        <v>1.5064072289156628E-4</v>
      </c>
      <c r="AJ98" s="6">
        <v>-3.6942839999999999E-3</v>
      </c>
      <c r="AK98" s="6">
        <v>-3.47803E-3</v>
      </c>
      <c r="AL98" s="6">
        <v>2.6054698795180712E-5</v>
      </c>
      <c r="AM98" s="6">
        <v>-5.1447330000000003E-3</v>
      </c>
      <c r="AN98" s="6">
        <v>-3.8456710000000002E-3</v>
      </c>
      <c r="AO98" s="6">
        <v>1.5651349397590361E-4</v>
      </c>
      <c r="AP98" s="6">
        <v>-4.2720859999999996E-3</v>
      </c>
      <c r="AQ98" s="6">
        <v>-4.1650380000000002E-3</v>
      </c>
      <c r="AR98" s="6">
        <v>1.2897349397590281E-5</v>
      </c>
      <c r="AS98" s="6">
        <v>-2.7883859999999999E-3</v>
      </c>
      <c r="AT98" s="6">
        <v>-3.6252580000000001E-3</v>
      </c>
      <c r="AU98" s="6">
        <v>1.0082795180722893E-4</v>
      </c>
      <c r="AV98" s="6">
        <v>-4.2510539999999998E-3</v>
      </c>
      <c r="AW98" s="6">
        <v>-4.0538620000000001E-3</v>
      </c>
      <c r="AX98" s="6">
        <v>2.3758072289156586E-5</v>
      </c>
      <c r="AY98" s="6">
        <v>-2.8006049999999998E-3</v>
      </c>
      <c r="AZ98" s="6">
        <v>-3.6862209999999999E-3</v>
      </c>
      <c r="BA98" s="6">
        <v>1.0670072289156627E-4</v>
      </c>
      <c r="BB98" s="6">
        <v>-3.2435720000000001E-3</v>
      </c>
      <c r="BC98" s="6">
        <v>-2.978072E-3</v>
      </c>
      <c r="BD98" s="6">
        <v>3.1987951807228923E-5</v>
      </c>
      <c r="BE98" s="6">
        <v>-4.7272720000000002E-3</v>
      </c>
      <c r="BF98" s="6">
        <v>-3.5178520000000001E-3</v>
      </c>
      <c r="BG98" s="6">
        <v>1.4571325301204819E-4</v>
      </c>
      <c r="BH98" s="6">
        <v>-3.264603E-3</v>
      </c>
      <c r="BI98" s="6">
        <v>-3.0892480000000002E-3</v>
      </c>
      <c r="BJ98" s="6">
        <v>2.1127108433734921E-5</v>
      </c>
      <c r="BK98" s="6">
        <v>-4.7150530000000003E-3</v>
      </c>
      <c r="BL98" s="6">
        <v>-3.4568889999999999E-3</v>
      </c>
      <c r="BM98" s="6">
        <v>1.5158602409638558E-4</v>
      </c>
      <c r="BN98" s="6">
        <v>-4.8430790000000001E-3</v>
      </c>
      <c r="BO98" s="6">
        <v>-4.5919619999999998E-3</v>
      </c>
      <c r="BP98" s="6">
        <v>3.0255060240963894E-5</v>
      </c>
      <c r="BQ98" s="6">
        <v>-4.3979689999999998E-3</v>
      </c>
      <c r="BR98" s="6">
        <v>-4.4300279999999999E-3</v>
      </c>
      <c r="BS98" s="6">
        <v>3.862530120481937E-6</v>
      </c>
      <c r="BT98" s="6">
        <v>-4.8367699999999998E-3</v>
      </c>
      <c r="BU98" s="6">
        <v>-4.5586089999999999E-3</v>
      </c>
      <c r="BV98" s="6">
        <v>3.3513373493975882E-5</v>
      </c>
      <c r="BW98" s="6">
        <v>-4.4016350000000001E-3</v>
      </c>
      <c r="BX98" s="6">
        <v>-4.4483170000000002E-3</v>
      </c>
      <c r="BY98" s="6">
        <v>5.6243373493976078E-6</v>
      </c>
      <c r="BZ98" s="6">
        <v>-4.5345250000000002E-3</v>
      </c>
      <c r="CA98" s="6">
        <v>-4.2358719999999999E-3</v>
      </c>
      <c r="CB98" s="6">
        <v>3.5982289156626535E-5</v>
      </c>
      <c r="CC98" s="6">
        <v>-4.979636E-3</v>
      </c>
      <c r="CD98" s="6">
        <v>-4.3978059999999998E-3</v>
      </c>
      <c r="CE98" s="6">
        <v>7.0100000000000023E-5</v>
      </c>
      <c r="CF98" s="6">
        <v>-4.540835E-3</v>
      </c>
      <c r="CG98" s="6">
        <v>-4.2692249999999998E-3</v>
      </c>
      <c r="CH98" s="6">
        <v>3.2724096385542194E-5</v>
      </c>
      <c r="CI98" s="6">
        <v>-4.9759690000000002E-3</v>
      </c>
      <c r="CJ98" s="6">
        <v>-4.3795170000000003E-3</v>
      </c>
      <c r="CK98" s="6">
        <v>7.186168674698794E-5</v>
      </c>
      <c r="CL98" s="6">
        <v>-3.410813E-3</v>
      </c>
      <c r="CM98" s="6">
        <v>-3.2960200000000002E-3</v>
      </c>
      <c r="CN98" s="6">
        <v>1.3830481927710812E-5</v>
      </c>
      <c r="CO98" s="6">
        <v>-2.9657030000000001E-3</v>
      </c>
      <c r="CP98" s="6">
        <v>-3.1340859999999999E-3</v>
      </c>
      <c r="CQ98" s="6">
        <v>2.0287108433734916E-5</v>
      </c>
      <c r="CR98" s="6">
        <v>-3.4045030000000001E-3</v>
      </c>
      <c r="CS98" s="6">
        <v>-3.2626669999999999E-3</v>
      </c>
      <c r="CT98" s="6">
        <v>1.7088674698795205E-5</v>
      </c>
      <c r="CU98" s="6">
        <v>-2.9693689999999999E-3</v>
      </c>
      <c r="CV98" s="6">
        <v>-3.1523749999999998E-3</v>
      </c>
      <c r="CW98" s="6">
        <v>2.2048915662650588E-5</v>
      </c>
      <c r="CX98" s="6">
        <v>-3.102259E-3</v>
      </c>
      <c r="CY98" s="6">
        <v>-2.9399299999999999E-3</v>
      </c>
      <c r="CZ98" s="6">
        <v>1.9557710843373506E-5</v>
      </c>
      <c r="DA98" s="6">
        <v>-3.5473689999999999E-3</v>
      </c>
      <c r="DB98" s="6">
        <v>-3.1018640000000002E-3</v>
      </c>
      <c r="DC98" s="6">
        <v>5.3675301204819235E-5</v>
      </c>
      <c r="DD98" s="6">
        <v>-3.1085679999999999E-3</v>
      </c>
      <c r="DE98" s="6">
        <v>-2.9732830000000002E-3</v>
      </c>
      <c r="DF98" s="6">
        <v>1.6299397590361412E-5</v>
      </c>
      <c r="DG98" s="6">
        <v>-3.543703E-3</v>
      </c>
      <c r="DH98" s="6">
        <v>-3.0835749999999999E-3</v>
      </c>
      <c r="DI98" s="6">
        <v>5.5437108433734957E-5</v>
      </c>
    </row>
    <row r="99" spans="1:113" x14ac:dyDescent="0.3">
      <c r="A99" s="13" t="s">
        <v>445</v>
      </c>
      <c r="B99" s="13" t="s">
        <v>292</v>
      </c>
      <c r="C99" s="13" t="s">
        <v>326</v>
      </c>
      <c r="D99" s="13" t="s">
        <v>364</v>
      </c>
      <c r="E99" s="13">
        <v>5.75</v>
      </c>
      <c r="F99" s="6">
        <v>-1.482787E-3</v>
      </c>
      <c r="G99" s="6">
        <v>-1.415468E-3</v>
      </c>
      <c r="H99" s="6">
        <v>1.1707652173913032E-5</v>
      </c>
      <c r="I99" s="6">
        <v>-2.192608E-3</v>
      </c>
      <c r="J99" s="6">
        <v>-1.771601E-3</v>
      </c>
      <c r="K99" s="6">
        <v>7.3218608695652167E-5</v>
      </c>
      <c r="L99" s="6">
        <v>-2.0920019999999999E-3</v>
      </c>
      <c r="M99" s="6">
        <v>-1.802309E-3</v>
      </c>
      <c r="N99" s="6">
        <v>5.0381391304347815E-5</v>
      </c>
      <c r="O99" s="6">
        <v>-2.7728129999999998E-3</v>
      </c>
      <c r="P99" s="6">
        <v>-2.1400159999999998E-3</v>
      </c>
      <c r="Q99" s="6">
        <v>1.1005165217391305E-4</v>
      </c>
      <c r="R99" s="6">
        <v>-2.9969390000000001E-3</v>
      </c>
      <c r="S99" s="6">
        <v>-2.3349249999999998E-3</v>
      </c>
      <c r="T99" s="6">
        <v>1.1513286956521743E-4</v>
      </c>
      <c r="U99" s="6">
        <v>-3.0957469999999998E-3</v>
      </c>
      <c r="V99" s="6">
        <v>-2.3959020000000001E-3</v>
      </c>
      <c r="W99" s="6">
        <v>1.2171217391304343E-4</v>
      </c>
      <c r="X99" s="6">
        <v>-3.043231E-3</v>
      </c>
      <c r="Y99" s="6">
        <v>-2.3336849999999998E-3</v>
      </c>
      <c r="Z99" s="6">
        <v>1.233993043478261E-4</v>
      </c>
      <c r="AA99" s="6">
        <v>-3.0674439999999999E-3</v>
      </c>
      <c r="AB99" s="6">
        <v>-2.407008E-3</v>
      </c>
      <c r="AC99" s="6">
        <v>1.1485843478260868E-4</v>
      </c>
      <c r="AD99" s="6">
        <v>-2.2414539999999999E-3</v>
      </c>
      <c r="AE99" s="6">
        <v>-1.806895E-3</v>
      </c>
      <c r="AF99" s="6">
        <v>7.5575478260869554E-5</v>
      </c>
      <c r="AG99" s="6">
        <v>-2.1440999999999999E-3</v>
      </c>
      <c r="AH99" s="6">
        <v>-1.735508E-3</v>
      </c>
      <c r="AI99" s="6">
        <v>7.1059478260869559E-5</v>
      </c>
      <c r="AJ99" s="6">
        <v>-2.1951620000000001E-3</v>
      </c>
      <c r="AK99" s="6">
        <v>-1.808135E-3</v>
      </c>
      <c r="AL99" s="6">
        <v>6.7309043478260884E-5</v>
      </c>
      <c r="AM99" s="6">
        <v>-2.1709490000000001E-3</v>
      </c>
      <c r="AN99" s="6">
        <v>-1.7348120000000001E-3</v>
      </c>
      <c r="AO99" s="6">
        <v>7.5849913043478278E-5</v>
      </c>
      <c r="AP99" s="6">
        <v>-2.7239669999999999E-3</v>
      </c>
      <c r="AQ99" s="6">
        <v>-2.1047219999999998E-3</v>
      </c>
      <c r="AR99" s="6">
        <v>1.0769478260869567E-4</v>
      </c>
      <c r="AS99" s="6">
        <v>-2.8213209999999999E-3</v>
      </c>
      <c r="AT99" s="6">
        <v>-2.1761089999999999E-3</v>
      </c>
      <c r="AU99" s="6">
        <v>1.1221078260869566E-4</v>
      </c>
      <c r="AV99" s="6">
        <v>-2.7702590000000002E-3</v>
      </c>
      <c r="AW99" s="6">
        <v>-2.1034819999999998E-3</v>
      </c>
      <c r="AX99" s="6">
        <v>1.159612173913044E-4</v>
      </c>
      <c r="AY99" s="6">
        <v>-2.7944720000000001E-3</v>
      </c>
      <c r="AZ99" s="6">
        <v>-2.176805E-3</v>
      </c>
      <c r="BA99" s="6">
        <v>1.0742034782608698E-4</v>
      </c>
      <c r="BB99" s="6">
        <v>-1.9684820000000001E-3</v>
      </c>
      <c r="BC99" s="6">
        <v>-1.576692E-3</v>
      </c>
      <c r="BD99" s="6">
        <v>6.8137391304347853E-5</v>
      </c>
      <c r="BE99" s="6">
        <v>-1.8711279999999999E-3</v>
      </c>
      <c r="BF99" s="6">
        <v>-1.5053040000000001E-3</v>
      </c>
      <c r="BG99" s="6">
        <v>6.3621565217391275E-5</v>
      </c>
      <c r="BH99" s="6">
        <v>-1.9221900000000001E-3</v>
      </c>
      <c r="BI99" s="6">
        <v>-1.577932E-3</v>
      </c>
      <c r="BJ99" s="6">
        <v>5.9870956521739142E-5</v>
      </c>
      <c r="BK99" s="6">
        <v>-1.8979769999999999E-3</v>
      </c>
      <c r="BL99" s="6">
        <v>-1.5046090000000001E-3</v>
      </c>
      <c r="BM99" s="6">
        <v>6.8411826086956496E-5</v>
      </c>
      <c r="BN99" s="6">
        <v>-3.0509869999999998E-3</v>
      </c>
      <c r="BO99" s="6">
        <v>-2.4186849999999998E-3</v>
      </c>
      <c r="BP99" s="6">
        <v>1.0996556521739129E-4</v>
      </c>
      <c r="BQ99" s="6">
        <v>-3.0801930000000002E-3</v>
      </c>
      <c r="BR99" s="6">
        <v>-2.4401010000000001E-3</v>
      </c>
      <c r="BS99" s="6">
        <v>1.1132034782608697E-4</v>
      </c>
      <c r="BT99" s="6">
        <v>-3.064874E-3</v>
      </c>
      <c r="BU99" s="6">
        <v>-2.4183130000000001E-3</v>
      </c>
      <c r="BV99" s="6">
        <v>1.1244539130434781E-4</v>
      </c>
      <c r="BW99" s="6">
        <v>-3.0721379999999999E-3</v>
      </c>
      <c r="BX99" s="6">
        <v>-2.4403099999999998E-3</v>
      </c>
      <c r="BY99" s="6">
        <v>1.0988313043478262E-4</v>
      </c>
      <c r="BZ99" s="6">
        <v>-2.8243410000000002E-3</v>
      </c>
      <c r="CA99" s="6">
        <v>-2.2602759999999999E-3</v>
      </c>
      <c r="CB99" s="6">
        <v>9.809826086956527E-5</v>
      </c>
      <c r="CC99" s="6">
        <v>-2.7951349999999998E-3</v>
      </c>
      <c r="CD99" s="6">
        <v>-2.2388600000000001E-3</v>
      </c>
      <c r="CE99" s="6">
        <v>9.6743478260869525E-5</v>
      </c>
      <c r="CF99" s="6">
        <v>-2.810454E-3</v>
      </c>
      <c r="CG99" s="6">
        <v>-2.2606480000000001E-3</v>
      </c>
      <c r="CH99" s="6">
        <v>9.5618434782608684E-5</v>
      </c>
      <c r="CI99" s="6">
        <v>-2.8031900000000001E-3</v>
      </c>
      <c r="CJ99" s="6">
        <v>-2.2386509999999999E-3</v>
      </c>
      <c r="CK99" s="6">
        <v>9.8180695652173939E-5</v>
      </c>
      <c r="CL99" s="6">
        <v>-2.1410800000000001E-3</v>
      </c>
      <c r="CM99" s="6">
        <v>-1.651341E-3</v>
      </c>
      <c r="CN99" s="6">
        <v>8.5172000000000017E-5</v>
      </c>
      <c r="CO99" s="6">
        <v>-2.170286E-3</v>
      </c>
      <c r="CP99" s="6">
        <v>-1.672757E-3</v>
      </c>
      <c r="CQ99" s="6">
        <v>8.6526782608695654E-5</v>
      </c>
      <c r="CR99" s="6">
        <v>-2.1549680000000002E-3</v>
      </c>
      <c r="CS99" s="6">
        <v>-1.650969E-3</v>
      </c>
      <c r="CT99" s="6">
        <v>8.7652000000000034E-5</v>
      </c>
      <c r="CU99" s="6">
        <v>-2.162232E-3</v>
      </c>
      <c r="CV99" s="6">
        <v>-1.6729659999999999E-3</v>
      </c>
      <c r="CW99" s="6">
        <v>8.5089739130434806E-5</v>
      </c>
      <c r="CX99" s="6">
        <v>-1.9144349999999999E-3</v>
      </c>
      <c r="CY99" s="6">
        <v>-1.492932E-3</v>
      </c>
      <c r="CZ99" s="6">
        <v>7.3304869565217386E-5</v>
      </c>
      <c r="DA99" s="6">
        <v>-1.8852280000000001E-3</v>
      </c>
      <c r="DB99" s="6">
        <v>-1.471516E-3</v>
      </c>
      <c r="DC99" s="6">
        <v>7.1949913043478278E-5</v>
      </c>
      <c r="DD99" s="6">
        <v>-1.900547E-3</v>
      </c>
      <c r="DE99" s="6">
        <v>-1.493304E-3</v>
      </c>
      <c r="DF99" s="6">
        <v>7.0824869565217397E-5</v>
      </c>
      <c r="DG99" s="6">
        <v>-1.8932829999999999E-3</v>
      </c>
      <c r="DH99" s="6">
        <v>-1.471307E-3</v>
      </c>
      <c r="DI99" s="6">
        <v>7.3387130434782597E-5</v>
      </c>
    </row>
    <row r="100" spans="1:113" x14ac:dyDescent="0.3">
      <c r="A100" s="13" t="s">
        <v>446</v>
      </c>
      <c r="B100" s="13" t="s">
        <v>77</v>
      </c>
      <c r="C100" s="13" t="s">
        <v>78</v>
      </c>
      <c r="D100" s="13" t="s">
        <v>347</v>
      </c>
      <c r="E100" s="13">
        <v>11</v>
      </c>
      <c r="F100" s="6">
        <v>-1.35962E-3</v>
      </c>
      <c r="G100" s="6">
        <v>-1.040734E-3</v>
      </c>
      <c r="H100" s="6">
        <v>2.8989636363636363E-5</v>
      </c>
      <c r="I100" s="6">
        <v>-1.9803749999999999E-3</v>
      </c>
      <c r="J100" s="6">
        <v>-1.5630170000000001E-3</v>
      </c>
      <c r="K100" s="6">
        <v>3.7941636363636348E-5</v>
      </c>
      <c r="L100" s="6">
        <v>-1.9404019999999999E-3</v>
      </c>
      <c r="M100" s="6">
        <v>-1.6288019999999999E-3</v>
      </c>
      <c r="N100" s="6">
        <v>2.8327272727272726E-5</v>
      </c>
      <c r="O100" s="6">
        <v>-2.5334759999999998E-3</v>
      </c>
      <c r="P100" s="6">
        <v>-2.1230789999999999E-3</v>
      </c>
      <c r="Q100" s="6">
        <v>3.730881818181817E-5</v>
      </c>
      <c r="R100" s="6">
        <v>-2.3805950000000001E-3</v>
      </c>
      <c r="S100" s="6">
        <v>-2.2293740000000001E-3</v>
      </c>
      <c r="T100" s="6">
        <v>1.3747363636363636E-5</v>
      </c>
      <c r="U100" s="6">
        <v>-2.2408570000000002E-3</v>
      </c>
      <c r="V100" s="6">
        <v>-1.8680739999999999E-3</v>
      </c>
      <c r="W100" s="6">
        <v>3.3889363636363656E-5</v>
      </c>
      <c r="X100" s="6">
        <v>-2.38602E-3</v>
      </c>
      <c r="Y100" s="6">
        <v>-2.1848000000000002E-3</v>
      </c>
      <c r="Z100" s="6">
        <v>1.8292727272727254E-5</v>
      </c>
      <c r="AA100" s="6">
        <v>-2.2325800000000001E-3</v>
      </c>
      <c r="AB100" s="6">
        <v>-1.8837420000000001E-3</v>
      </c>
      <c r="AC100" s="6">
        <v>3.1712545454545454E-5</v>
      </c>
      <c r="AD100" s="6">
        <v>-2.387012E-3</v>
      </c>
      <c r="AE100" s="6">
        <v>-1.6733480000000001E-3</v>
      </c>
      <c r="AF100" s="6">
        <v>6.4878545454545447E-5</v>
      </c>
      <c r="AG100" s="6">
        <v>-2.5331350000000002E-3</v>
      </c>
      <c r="AH100" s="6">
        <v>-2.0434889999999999E-3</v>
      </c>
      <c r="AI100" s="6">
        <v>4.4513272727272751E-5</v>
      </c>
      <c r="AJ100" s="6">
        <v>-2.3815870000000001E-3</v>
      </c>
      <c r="AK100" s="6">
        <v>-1.717922E-3</v>
      </c>
      <c r="AL100" s="6">
        <v>6.0333181818181828E-5</v>
      </c>
      <c r="AM100" s="6">
        <v>-2.5350279999999999E-3</v>
      </c>
      <c r="AN100" s="6">
        <v>-2.0189800000000001E-3</v>
      </c>
      <c r="AO100" s="6">
        <v>4.6913454545454535E-5</v>
      </c>
      <c r="AP100" s="6">
        <v>-2.1268400000000001E-3</v>
      </c>
      <c r="AQ100" s="6">
        <v>-2.012748E-3</v>
      </c>
      <c r="AR100" s="6">
        <v>1.0372000000000008E-5</v>
      </c>
      <c r="AS100" s="6">
        <v>-1.9807169999999999E-3</v>
      </c>
      <c r="AT100" s="6">
        <v>-1.642606E-3</v>
      </c>
      <c r="AU100" s="6">
        <v>3.0737363636363622E-5</v>
      </c>
      <c r="AV100" s="6">
        <v>-2.132264E-3</v>
      </c>
      <c r="AW100" s="6">
        <v>-1.9681740000000001E-3</v>
      </c>
      <c r="AX100" s="6">
        <v>1.4917272727272726E-5</v>
      </c>
      <c r="AY100" s="6">
        <v>-1.9788240000000001E-3</v>
      </c>
      <c r="AZ100" s="6">
        <v>-1.667115E-3</v>
      </c>
      <c r="BA100" s="6">
        <v>2.8337181818181824E-5</v>
      </c>
      <c r="BB100" s="6">
        <v>-2.1332569999999999E-3</v>
      </c>
      <c r="BC100" s="6">
        <v>-1.456721E-3</v>
      </c>
      <c r="BD100" s="6">
        <v>6.1503272727272715E-5</v>
      </c>
      <c r="BE100" s="6">
        <v>-2.2793790000000002E-3</v>
      </c>
      <c r="BF100" s="6">
        <v>-1.826863E-3</v>
      </c>
      <c r="BG100" s="6">
        <v>4.1137818181818204E-5</v>
      </c>
      <c r="BH100" s="6">
        <v>-2.1278320000000001E-3</v>
      </c>
      <c r="BI100" s="6">
        <v>-1.5012949999999999E-3</v>
      </c>
      <c r="BJ100" s="6">
        <v>5.6957909090909102E-5</v>
      </c>
      <c r="BK100" s="6">
        <v>-2.281272E-3</v>
      </c>
      <c r="BL100" s="6">
        <v>-1.802353E-3</v>
      </c>
      <c r="BM100" s="6">
        <v>4.3538090909090906E-5</v>
      </c>
      <c r="BN100" s="6">
        <v>-2.6788889999999998E-3</v>
      </c>
      <c r="BO100" s="6">
        <v>-2.287496E-3</v>
      </c>
      <c r="BP100" s="6">
        <v>3.5581181818181804E-5</v>
      </c>
      <c r="BQ100" s="6">
        <v>-2.6350520000000001E-3</v>
      </c>
      <c r="BR100" s="6">
        <v>-2.1764530000000001E-3</v>
      </c>
      <c r="BS100" s="6">
        <v>4.169081818181819E-5</v>
      </c>
      <c r="BT100" s="6">
        <v>-2.6805169999999999E-3</v>
      </c>
      <c r="BU100" s="6">
        <v>-2.2741240000000002E-3</v>
      </c>
      <c r="BV100" s="6">
        <v>3.6944818181818151E-5</v>
      </c>
      <c r="BW100" s="6">
        <v>-2.6344850000000002E-3</v>
      </c>
      <c r="BX100" s="6">
        <v>-2.1838059999999999E-3</v>
      </c>
      <c r="BY100" s="6">
        <v>4.0970818181818204E-5</v>
      </c>
      <c r="BZ100" s="6">
        <v>-2.6808140000000001E-3</v>
      </c>
      <c r="CA100" s="6">
        <v>-2.1206879999999999E-3</v>
      </c>
      <c r="CB100" s="6">
        <v>5.092054545454547E-5</v>
      </c>
      <c r="CC100" s="6">
        <v>-2.7246509999999998E-3</v>
      </c>
      <c r="CD100" s="6">
        <v>-2.2317299999999999E-3</v>
      </c>
      <c r="CE100" s="6">
        <v>4.4810999999999988E-5</v>
      </c>
      <c r="CF100" s="6">
        <v>-2.679187E-3</v>
      </c>
      <c r="CG100" s="6">
        <v>-2.1340600000000001E-3</v>
      </c>
      <c r="CH100" s="6">
        <v>4.9556999999999986E-5</v>
      </c>
      <c r="CI100" s="6">
        <v>-2.7252190000000001E-3</v>
      </c>
      <c r="CJ100" s="6">
        <v>-2.2243779999999999E-3</v>
      </c>
      <c r="CK100" s="6">
        <v>4.5531000000000015E-5</v>
      </c>
      <c r="CL100" s="6">
        <v>-1.8330379999999999E-3</v>
      </c>
      <c r="CM100" s="6">
        <v>-1.565407E-3</v>
      </c>
      <c r="CN100" s="6">
        <v>2.4330090909090903E-5</v>
      </c>
      <c r="CO100" s="6">
        <v>-1.789201E-3</v>
      </c>
      <c r="CP100" s="6">
        <v>-1.454365E-3</v>
      </c>
      <c r="CQ100" s="6">
        <v>3.0439636363636368E-5</v>
      </c>
      <c r="CR100" s="6">
        <v>-1.8346650000000001E-3</v>
      </c>
      <c r="CS100" s="6">
        <v>-1.552035E-3</v>
      </c>
      <c r="CT100" s="6">
        <v>2.569363636363637E-5</v>
      </c>
      <c r="CU100" s="6">
        <v>-1.788633E-3</v>
      </c>
      <c r="CV100" s="6">
        <v>-1.4617180000000001E-3</v>
      </c>
      <c r="CW100" s="6">
        <v>2.9719545454545444E-5</v>
      </c>
      <c r="CX100" s="6">
        <v>-1.834963E-3</v>
      </c>
      <c r="CY100" s="6">
        <v>-1.3985989999999999E-3</v>
      </c>
      <c r="CZ100" s="6">
        <v>3.9669454545454548E-5</v>
      </c>
      <c r="DA100" s="6">
        <v>-1.878799E-3</v>
      </c>
      <c r="DB100" s="6">
        <v>-1.5096420000000001E-3</v>
      </c>
      <c r="DC100" s="6">
        <v>3.3559727272727266E-5</v>
      </c>
      <c r="DD100" s="6">
        <v>-1.833335E-3</v>
      </c>
      <c r="DE100" s="6">
        <v>-1.4119720000000001E-3</v>
      </c>
      <c r="DF100" s="6">
        <v>3.8305727272727264E-5</v>
      </c>
      <c r="DG100" s="6">
        <v>-1.8793670000000001E-3</v>
      </c>
      <c r="DH100" s="6">
        <v>-1.502289E-3</v>
      </c>
      <c r="DI100" s="6">
        <v>3.427981818181819E-5</v>
      </c>
    </row>
    <row r="101" spans="1:113" x14ac:dyDescent="0.3">
      <c r="A101" s="13" t="s">
        <v>447</v>
      </c>
      <c r="B101" s="13" t="s">
        <v>113</v>
      </c>
      <c r="C101" s="13" t="s">
        <v>115</v>
      </c>
      <c r="D101" s="13" t="s">
        <v>347</v>
      </c>
      <c r="E101" s="13">
        <v>11</v>
      </c>
      <c r="F101" s="6">
        <v>-2.0977050000000001E-3</v>
      </c>
      <c r="G101" s="6">
        <v>-1.781166E-3</v>
      </c>
      <c r="H101" s="6">
        <v>2.8776272727272728E-5</v>
      </c>
      <c r="I101" s="6">
        <v>-3.0417E-3</v>
      </c>
      <c r="J101" s="6">
        <v>-2.5458120000000002E-3</v>
      </c>
      <c r="K101" s="6">
        <v>4.5080727272727259E-5</v>
      </c>
      <c r="L101" s="6">
        <v>-2.70185E-3</v>
      </c>
      <c r="M101" s="6">
        <v>-2.3972659999999999E-3</v>
      </c>
      <c r="N101" s="6">
        <v>2.7689454545454555E-5</v>
      </c>
      <c r="O101" s="6">
        <v>-3.6169980000000002E-3</v>
      </c>
      <c r="P101" s="6">
        <v>-3.132578E-3</v>
      </c>
      <c r="Q101" s="6">
        <v>4.4038181818181835E-5</v>
      </c>
      <c r="R101" s="6">
        <v>-3.443116E-3</v>
      </c>
      <c r="S101" s="6">
        <v>-3.404785E-3</v>
      </c>
      <c r="T101" s="6">
        <v>3.4846363636363597E-6</v>
      </c>
      <c r="U101" s="6">
        <v>-3.4914659999999999E-3</v>
      </c>
      <c r="V101" s="6">
        <v>-3.0329799999999998E-3</v>
      </c>
      <c r="W101" s="6">
        <v>4.1680545454545464E-5</v>
      </c>
      <c r="X101" s="6">
        <v>-3.4531779999999999E-3</v>
      </c>
      <c r="Y101" s="6">
        <v>-3.3437860000000001E-3</v>
      </c>
      <c r="Z101" s="6">
        <v>9.9447272727272571E-6</v>
      </c>
      <c r="AA101" s="6">
        <v>-3.4879249999999998E-3</v>
      </c>
      <c r="AB101" s="6">
        <v>-3.074158E-3</v>
      </c>
      <c r="AC101" s="6">
        <v>3.7615181818181799E-5</v>
      </c>
      <c r="AD101" s="6">
        <v>-3.5615519999999999E-3</v>
      </c>
      <c r="AE101" s="6">
        <v>-2.5834569999999999E-3</v>
      </c>
      <c r="AF101" s="6">
        <v>8.8917727272727273E-5</v>
      </c>
      <c r="AG101" s="6">
        <v>-3.5126850000000002E-3</v>
      </c>
      <c r="AH101" s="6">
        <v>-2.947557E-3</v>
      </c>
      <c r="AI101" s="6">
        <v>5.1375272727272747E-5</v>
      </c>
      <c r="AJ101" s="6">
        <v>-3.55149E-3</v>
      </c>
      <c r="AK101" s="6">
        <v>-2.6444559999999999E-3</v>
      </c>
      <c r="AL101" s="6">
        <v>8.2457636363636374E-5</v>
      </c>
      <c r="AM101" s="6">
        <v>-3.5167430000000001E-3</v>
      </c>
      <c r="AN101" s="6">
        <v>-2.9140839999999999E-3</v>
      </c>
      <c r="AO101" s="6">
        <v>5.4787181818181837E-5</v>
      </c>
      <c r="AP101" s="6">
        <v>-3.0971480000000001E-3</v>
      </c>
      <c r="AQ101" s="6">
        <v>-3.0949329999999998E-3</v>
      </c>
      <c r="AR101" s="6">
        <v>2.013636363636627E-7</v>
      </c>
      <c r="AS101" s="6">
        <v>-3.1460139999999999E-3</v>
      </c>
      <c r="AT101" s="6">
        <v>-2.7308340000000001E-3</v>
      </c>
      <c r="AU101" s="6">
        <v>3.7743636363636348E-5</v>
      </c>
      <c r="AV101" s="6">
        <v>-3.1072090000000001E-3</v>
      </c>
      <c r="AW101" s="6">
        <v>-3.0339339999999998E-3</v>
      </c>
      <c r="AX101" s="6">
        <v>6.6613636363636593E-6</v>
      </c>
      <c r="AY101" s="6">
        <v>-3.1419569999999999E-3</v>
      </c>
      <c r="AZ101" s="6">
        <v>-2.7643059999999998E-3</v>
      </c>
      <c r="BA101" s="6">
        <v>3.4331909090909099E-5</v>
      </c>
      <c r="BB101" s="6">
        <v>-3.2155840000000001E-3</v>
      </c>
      <c r="BC101" s="6">
        <v>-2.2736060000000001E-3</v>
      </c>
      <c r="BD101" s="6">
        <v>8.5634363636363642E-5</v>
      </c>
      <c r="BE101" s="6">
        <v>-3.1667169999999999E-3</v>
      </c>
      <c r="BF101" s="6">
        <v>-2.6377050000000002E-3</v>
      </c>
      <c r="BG101" s="6">
        <v>4.8091999999999973E-5</v>
      </c>
      <c r="BH101" s="6">
        <v>-3.2055220000000001E-3</v>
      </c>
      <c r="BI101" s="6">
        <v>-2.334605E-3</v>
      </c>
      <c r="BJ101" s="6">
        <v>7.9174272727272743E-5</v>
      </c>
      <c r="BK101" s="6">
        <v>-3.1707749999999998E-3</v>
      </c>
      <c r="BL101" s="6">
        <v>-2.6042320000000002E-3</v>
      </c>
      <c r="BM101" s="6">
        <v>5.1503909090909056E-5</v>
      </c>
      <c r="BN101" s="6">
        <v>-3.8881979999999998E-3</v>
      </c>
      <c r="BO101" s="6">
        <v>-3.4788140000000002E-3</v>
      </c>
      <c r="BP101" s="6">
        <v>3.7216727272727241E-5</v>
      </c>
      <c r="BQ101" s="6">
        <v>-3.9028579999999999E-3</v>
      </c>
      <c r="BR101" s="6">
        <v>-3.3695840000000001E-3</v>
      </c>
      <c r="BS101" s="6">
        <v>4.8479454545454527E-5</v>
      </c>
      <c r="BT101" s="6">
        <v>-3.8912170000000002E-3</v>
      </c>
      <c r="BU101" s="6">
        <v>-3.460514E-3</v>
      </c>
      <c r="BV101" s="6">
        <v>3.91548181818182E-5</v>
      </c>
      <c r="BW101" s="6">
        <v>-3.901641E-3</v>
      </c>
      <c r="BX101" s="6">
        <v>-3.3796260000000002E-3</v>
      </c>
      <c r="BY101" s="6">
        <v>4.745590909090907E-5</v>
      </c>
      <c r="BZ101" s="6">
        <v>-3.9237289999999999E-3</v>
      </c>
      <c r="CA101" s="6">
        <v>-3.2324160000000001E-3</v>
      </c>
      <c r="CB101" s="6">
        <v>6.2846636363636348E-5</v>
      </c>
      <c r="CC101" s="6">
        <v>-3.9090690000000003E-3</v>
      </c>
      <c r="CD101" s="6">
        <v>-3.3416449999999999E-3</v>
      </c>
      <c r="CE101" s="6">
        <v>5.1584000000000033E-5</v>
      </c>
      <c r="CF101" s="6">
        <v>-3.9207110000000003E-3</v>
      </c>
      <c r="CG101" s="6">
        <v>-3.2507149999999999E-3</v>
      </c>
      <c r="CH101" s="6">
        <v>6.0908727272727312E-5</v>
      </c>
      <c r="CI101" s="6">
        <v>-3.9102859999999998E-3</v>
      </c>
      <c r="CJ101" s="6">
        <v>-3.3316029999999998E-3</v>
      </c>
      <c r="CK101" s="6">
        <v>5.2607545454545449E-5</v>
      </c>
      <c r="CL101" s="6">
        <v>-2.7349710000000001E-3</v>
      </c>
      <c r="CM101" s="6">
        <v>-2.445975E-3</v>
      </c>
      <c r="CN101" s="6">
        <v>2.6272363636363647E-5</v>
      </c>
      <c r="CO101" s="6">
        <v>-2.7496310000000002E-3</v>
      </c>
      <c r="CP101" s="6">
        <v>-2.3367449999999999E-3</v>
      </c>
      <c r="CQ101" s="6">
        <v>3.7535090909090937E-5</v>
      </c>
      <c r="CR101" s="6">
        <v>-2.7379890000000001E-3</v>
      </c>
      <c r="CS101" s="6">
        <v>-2.4276749999999998E-3</v>
      </c>
      <c r="CT101" s="6">
        <v>2.8210363636363668E-5</v>
      </c>
      <c r="CU101" s="6">
        <v>-2.7484129999999999E-3</v>
      </c>
      <c r="CV101" s="6">
        <v>-2.3467869999999999E-3</v>
      </c>
      <c r="CW101" s="6">
        <v>3.6511454545454542E-5</v>
      </c>
      <c r="CX101" s="6">
        <v>-2.7705009999999999E-3</v>
      </c>
      <c r="CY101" s="6">
        <v>-2.1995769999999999E-3</v>
      </c>
      <c r="CZ101" s="6">
        <v>5.190218181818182E-5</v>
      </c>
      <c r="DA101" s="6">
        <v>-2.7558410000000002E-3</v>
      </c>
      <c r="DB101" s="6">
        <v>-2.3088060000000001E-3</v>
      </c>
      <c r="DC101" s="6">
        <v>4.0639545454545465E-5</v>
      </c>
      <c r="DD101" s="6">
        <v>-2.7674829999999998E-3</v>
      </c>
      <c r="DE101" s="6">
        <v>-2.2178760000000001E-3</v>
      </c>
      <c r="DF101" s="6">
        <v>4.9964272727272702E-5</v>
      </c>
      <c r="DG101" s="6">
        <v>-2.7570590000000001E-3</v>
      </c>
      <c r="DH101" s="6">
        <v>-2.2987649999999999E-3</v>
      </c>
      <c r="DI101" s="6">
        <v>4.1663090909090921E-5</v>
      </c>
    </row>
    <row r="102" spans="1:113" x14ac:dyDescent="0.3">
      <c r="A102" s="13" t="s">
        <v>448</v>
      </c>
      <c r="B102" s="13" t="s">
        <v>149</v>
      </c>
      <c r="C102" s="13" t="s">
        <v>150</v>
      </c>
      <c r="D102" s="13" t="s">
        <v>347</v>
      </c>
      <c r="E102" s="13">
        <v>11</v>
      </c>
      <c r="F102" s="6">
        <v>-2.1464800000000001E-3</v>
      </c>
      <c r="G102" s="6">
        <v>-1.8116269999999999E-3</v>
      </c>
      <c r="H102" s="6">
        <v>3.0441181818181837E-5</v>
      </c>
      <c r="I102" s="6">
        <v>-3.079474E-3</v>
      </c>
      <c r="J102" s="6">
        <v>-2.6046580000000001E-3</v>
      </c>
      <c r="K102" s="6">
        <v>4.3165090909090895E-5</v>
      </c>
      <c r="L102" s="6">
        <v>-2.7458000000000001E-3</v>
      </c>
      <c r="M102" s="6">
        <v>-2.422221E-3</v>
      </c>
      <c r="N102" s="6">
        <v>2.9416272727272732E-5</v>
      </c>
      <c r="O102" s="6">
        <v>-3.650206E-3</v>
      </c>
      <c r="P102" s="6">
        <v>-3.186178E-3</v>
      </c>
      <c r="Q102" s="6">
        <v>4.2184363636363637E-5</v>
      </c>
      <c r="R102" s="6">
        <v>-3.4831469999999998E-3</v>
      </c>
      <c r="S102" s="6">
        <v>-3.449517E-3</v>
      </c>
      <c r="T102" s="6">
        <v>3.0572727272727063E-6</v>
      </c>
      <c r="U102" s="6">
        <v>-3.5410390000000002E-3</v>
      </c>
      <c r="V102" s="6">
        <v>-3.0651580000000001E-3</v>
      </c>
      <c r="W102" s="6">
        <v>4.3261909090909096E-5</v>
      </c>
      <c r="X102" s="6">
        <v>-3.4834150000000001E-3</v>
      </c>
      <c r="Y102" s="6">
        <v>-3.4336280000000002E-3</v>
      </c>
      <c r="Z102" s="6">
        <v>4.5260909090909016E-6</v>
      </c>
      <c r="AA102" s="6">
        <v>-3.5407839999999999E-3</v>
      </c>
      <c r="AB102" s="6">
        <v>-3.0761780000000002E-3</v>
      </c>
      <c r="AC102" s="6">
        <v>4.2236909090909072E-5</v>
      </c>
      <c r="AD102" s="6">
        <v>-3.597603E-3</v>
      </c>
      <c r="AE102" s="6">
        <v>-2.6539659999999998E-3</v>
      </c>
      <c r="AF102" s="6">
        <v>8.5785181818181841E-5</v>
      </c>
      <c r="AG102" s="6">
        <v>-3.5398489999999999E-3</v>
      </c>
      <c r="AH102" s="6">
        <v>-3.0364950000000002E-3</v>
      </c>
      <c r="AI102" s="6">
        <v>4.5759454545454519E-5</v>
      </c>
      <c r="AJ102" s="6">
        <v>-3.5973350000000001E-3</v>
      </c>
      <c r="AK102" s="6">
        <v>-2.6698550000000001E-3</v>
      </c>
      <c r="AL102" s="6">
        <v>8.4316363636363639E-5</v>
      </c>
      <c r="AM102" s="6">
        <v>-3.5399659999999999E-3</v>
      </c>
      <c r="AN102" s="6">
        <v>-3.0273050000000001E-3</v>
      </c>
      <c r="AO102" s="6">
        <v>4.6605545454545435E-5</v>
      </c>
      <c r="AP102" s="6">
        <v>-3.132077E-3</v>
      </c>
      <c r="AQ102" s="6">
        <v>-3.136869E-3</v>
      </c>
      <c r="AR102" s="6">
        <v>4.3563636363636277E-7</v>
      </c>
      <c r="AS102" s="6">
        <v>-3.1898310000000002E-3</v>
      </c>
      <c r="AT102" s="6">
        <v>-2.7543400000000001E-3</v>
      </c>
      <c r="AU102" s="6">
        <v>3.9590090909090916E-5</v>
      </c>
      <c r="AV102" s="6">
        <v>-3.1323449999999999E-3</v>
      </c>
      <c r="AW102" s="6">
        <v>-3.1209800000000002E-3</v>
      </c>
      <c r="AX102" s="6">
        <v>1.0331818181817932E-6</v>
      </c>
      <c r="AY102" s="6">
        <v>-3.1897140000000002E-3</v>
      </c>
      <c r="AZ102" s="6">
        <v>-2.7635300000000002E-3</v>
      </c>
      <c r="BA102" s="6">
        <v>3.8744E-5</v>
      </c>
      <c r="BB102" s="6">
        <v>-3.2465329999999998E-3</v>
      </c>
      <c r="BC102" s="6">
        <v>-2.3413179999999998E-3</v>
      </c>
      <c r="BD102" s="6">
        <v>8.2292272727272722E-5</v>
      </c>
      <c r="BE102" s="6">
        <v>-3.18878E-3</v>
      </c>
      <c r="BF102" s="6">
        <v>-2.7238470000000002E-3</v>
      </c>
      <c r="BG102" s="6">
        <v>4.2266636363636352E-5</v>
      </c>
      <c r="BH102" s="6">
        <v>-3.2462649999999999E-3</v>
      </c>
      <c r="BI102" s="6">
        <v>-2.3572070000000001E-3</v>
      </c>
      <c r="BJ102" s="6">
        <v>8.0823454545454534E-5</v>
      </c>
      <c r="BK102" s="6">
        <v>-3.1888960000000001E-3</v>
      </c>
      <c r="BL102" s="6">
        <v>-2.7146570000000001E-3</v>
      </c>
      <c r="BM102" s="6">
        <v>4.3112636363636363E-5</v>
      </c>
      <c r="BN102" s="6">
        <v>-3.9327880000000004E-3</v>
      </c>
      <c r="BO102" s="6">
        <v>-3.5358299999999998E-3</v>
      </c>
      <c r="BP102" s="6">
        <v>3.6087090909090967E-5</v>
      </c>
      <c r="BQ102" s="6">
        <v>-3.9501140000000002E-3</v>
      </c>
      <c r="BR102" s="6">
        <v>-3.4210709999999999E-3</v>
      </c>
      <c r="BS102" s="6">
        <v>4.8094818181818212E-5</v>
      </c>
      <c r="BT102" s="6">
        <v>-3.932868E-3</v>
      </c>
      <c r="BU102" s="6">
        <v>-3.531064E-3</v>
      </c>
      <c r="BV102" s="6">
        <v>3.6527636363636358E-5</v>
      </c>
      <c r="BW102" s="6">
        <v>-3.9500789999999996E-3</v>
      </c>
      <c r="BX102" s="6">
        <v>-3.4238290000000002E-3</v>
      </c>
      <c r="BY102" s="6">
        <v>4.7840909090909033E-5</v>
      </c>
      <c r="BZ102" s="6">
        <v>-3.9671250000000002E-3</v>
      </c>
      <c r="CA102" s="6">
        <v>-3.2971649999999999E-3</v>
      </c>
      <c r="CB102" s="6">
        <v>6.0905454545454567E-5</v>
      </c>
      <c r="CC102" s="6">
        <v>-3.9497990000000004E-3</v>
      </c>
      <c r="CD102" s="6">
        <v>-3.4119240000000002E-3</v>
      </c>
      <c r="CE102" s="6">
        <v>4.8897727272727287E-5</v>
      </c>
      <c r="CF102" s="6">
        <v>-3.9670440000000003E-3</v>
      </c>
      <c r="CG102" s="6">
        <v>-3.301932E-3</v>
      </c>
      <c r="CH102" s="6">
        <v>6.0464727272727293E-5</v>
      </c>
      <c r="CI102" s="6">
        <v>-3.9498340000000002E-3</v>
      </c>
      <c r="CJ102" s="6">
        <v>-3.4091669999999998E-3</v>
      </c>
      <c r="CK102" s="6">
        <v>4.9151545454545481E-5</v>
      </c>
      <c r="CL102" s="6">
        <v>-2.7625560000000002E-3</v>
      </c>
      <c r="CM102" s="6">
        <v>-2.4936699999999999E-3</v>
      </c>
      <c r="CN102" s="6">
        <v>2.4444181818181847E-5</v>
      </c>
      <c r="CO102" s="6">
        <v>-2.779882E-3</v>
      </c>
      <c r="CP102" s="6">
        <v>-2.378911E-3</v>
      </c>
      <c r="CQ102" s="6">
        <v>3.6451909090909085E-5</v>
      </c>
      <c r="CR102" s="6">
        <v>-2.7626360000000002E-3</v>
      </c>
      <c r="CS102" s="6">
        <v>-2.4889030000000002E-3</v>
      </c>
      <c r="CT102" s="6">
        <v>2.4884818181818179E-5</v>
      </c>
      <c r="CU102" s="6">
        <v>-2.7798469999999998E-3</v>
      </c>
      <c r="CV102" s="6">
        <v>-2.381668E-3</v>
      </c>
      <c r="CW102" s="6">
        <v>3.6198090909090892E-5</v>
      </c>
      <c r="CX102" s="6">
        <v>-2.7968929999999999E-3</v>
      </c>
      <c r="CY102" s="6">
        <v>-2.255005E-3</v>
      </c>
      <c r="CZ102" s="6">
        <v>4.9262545454545447E-5</v>
      </c>
      <c r="DA102" s="6">
        <v>-2.7795659999999998E-3</v>
      </c>
      <c r="DB102" s="6">
        <v>-2.3697639999999999E-3</v>
      </c>
      <c r="DC102" s="6">
        <v>3.7254727272727263E-5</v>
      </c>
      <c r="DD102" s="6">
        <v>-2.7968120000000001E-3</v>
      </c>
      <c r="DE102" s="6">
        <v>-2.2597720000000002E-3</v>
      </c>
      <c r="DF102" s="6">
        <v>4.8821818181818173E-5</v>
      </c>
      <c r="DG102" s="6">
        <v>-2.779601E-3</v>
      </c>
      <c r="DH102" s="6">
        <v>-2.367007E-3</v>
      </c>
      <c r="DI102" s="6">
        <v>3.7508545454545464E-5</v>
      </c>
    </row>
    <row r="103" spans="1:113" x14ac:dyDescent="0.3">
      <c r="A103" s="13" t="s">
        <v>449</v>
      </c>
      <c r="B103" s="13" t="s">
        <v>231</v>
      </c>
      <c r="C103" s="13" t="s">
        <v>232</v>
      </c>
      <c r="D103" s="13" t="s">
        <v>347</v>
      </c>
      <c r="E103" s="13">
        <v>11</v>
      </c>
      <c r="F103" s="6">
        <v>-1.914116E-3</v>
      </c>
      <c r="G103" s="6">
        <v>-1.4108860000000001E-3</v>
      </c>
      <c r="H103" s="6">
        <v>4.5748181818181811E-5</v>
      </c>
      <c r="I103" s="6">
        <v>-2.7933620000000002E-3</v>
      </c>
      <c r="J103" s="6">
        <v>-2.1139510000000002E-3</v>
      </c>
      <c r="K103" s="6">
        <v>6.176463636363636E-5</v>
      </c>
      <c r="L103" s="6">
        <v>-2.5133080000000001E-3</v>
      </c>
      <c r="M103" s="6">
        <v>-2.021396E-3</v>
      </c>
      <c r="N103" s="6">
        <v>4.4719272727272742E-5</v>
      </c>
      <c r="O103" s="6">
        <v>-3.3639690000000001E-3</v>
      </c>
      <c r="P103" s="6">
        <v>-2.6953900000000002E-3</v>
      </c>
      <c r="Q103" s="6">
        <v>6.077990909090908E-5</v>
      </c>
      <c r="R103" s="6">
        <v>-3.2416400000000001E-3</v>
      </c>
      <c r="S103" s="6">
        <v>-2.8379709999999999E-3</v>
      </c>
      <c r="T103" s="6">
        <v>3.6697181818181832E-5</v>
      </c>
      <c r="U103" s="6">
        <v>-3.2491519999999999E-3</v>
      </c>
      <c r="V103" s="6">
        <v>-2.5568990000000001E-3</v>
      </c>
      <c r="W103" s="6">
        <v>6.2932090909090897E-5</v>
      </c>
      <c r="X103" s="6">
        <v>-3.241238E-3</v>
      </c>
      <c r="Y103" s="6">
        <v>-2.8859609999999998E-3</v>
      </c>
      <c r="Z103" s="6">
        <v>3.2297909090909111E-5</v>
      </c>
      <c r="AA103" s="6">
        <v>-3.2482980000000002E-3</v>
      </c>
      <c r="AB103" s="6">
        <v>-2.5328490000000002E-3</v>
      </c>
      <c r="AC103" s="6">
        <v>6.5040818181818182E-5</v>
      </c>
      <c r="AD103" s="6">
        <v>-3.2388569999999999E-3</v>
      </c>
      <c r="AE103" s="6">
        <v>-2.2359160000000001E-3</v>
      </c>
      <c r="AF103" s="6">
        <v>9.1176454545454535E-5</v>
      </c>
      <c r="AG103" s="6">
        <v>-3.2310920000000001E-3</v>
      </c>
      <c r="AH103" s="6">
        <v>-2.514685E-3</v>
      </c>
      <c r="AI103" s="6">
        <v>6.5127909090909093E-5</v>
      </c>
      <c r="AJ103" s="6">
        <v>-3.239259E-3</v>
      </c>
      <c r="AK103" s="6">
        <v>-2.1879270000000001E-3</v>
      </c>
      <c r="AL103" s="6">
        <v>9.5575636363636352E-5</v>
      </c>
      <c r="AM103" s="6">
        <v>-3.2321989999999998E-3</v>
      </c>
      <c r="AN103" s="6">
        <v>-2.5410390000000001E-3</v>
      </c>
      <c r="AO103" s="6">
        <v>6.2832727272727241E-5</v>
      </c>
      <c r="AP103" s="6">
        <v>-2.918473E-3</v>
      </c>
      <c r="AQ103" s="6">
        <v>-2.5734249999999998E-3</v>
      </c>
      <c r="AR103" s="6">
        <v>3.1368000000000015E-5</v>
      </c>
      <c r="AS103" s="6">
        <v>-2.9262390000000002E-3</v>
      </c>
      <c r="AT103" s="6">
        <v>-2.2946569999999999E-3</v>
      </c>
      <c r="AU103" s="6">
        <v>5.7416545454545484E-5</v>
      </c>
      <c r="AV103" s="6">
        <v>-2.9180719999999999E-3</v>
      </c>
      <c r="AW103" s="6">
        <v>-2.6214150000000002E-3</v>
      </c>
      <c r="AX103" s="6">
        <v>2.6968818181818151E-5</v>
      </c>
      <c r="AY103" s="6">
        <v>-2.925132E-3</v>
      </c>
      <c r="AZ103" s="6">
        <v>-2.2683030000000002E-3</v>
      </c>
      <c r="BA103" s="6">
        <v>5.9711727272727255E-5</v>
      </c>
      <c r="BB103" s="6">
        <v>-2.9156910000000002E-3</v>
      </c>
      <c r="BC103" s="6">
        <v>-1.971371E-3</v>
      </c>
      <c r="BD103" s="6">
        <v>8.5847272727272752E-5</v>
      </c>
      <c r="BE103" s="6">
        <v>-2.9079259999999999E-3</v>
      </c>
      <c r="BF103" s="6">
        <v>-2.250139E-3</v>
      </c>
      <c r="BG103" s="6">
        <v>5.979881818181818E-5</v>
      </c>
      <c r="BH103" s="6">
        <v>-2.9160929999999998E-3</v>
      </c>
      <c r="BI103" s="6">
        <v>-1.923381E-3</v>
      </c>
      <c r="BJ103" s="6">
        <v>9.0246545454545439E-5</v>
      </c>
      <c r="BK103" s="6">
        <v>-2.9090330000000001E-3</v>
      </c>
      <c r="BL103" s="6">
        <v>-2.2764930000000001E-3</v>
      </c>
      <c r="BM103" s="6">
        <v>5.7503636363636362E-5</v>
      </c>
      <c r="BN103" s="6">
        <v>-3.617693E-3</v>
      </c>
      <c r="BO103" s="6">
        <v>-2.9358890000000001E-3</v>
      </c>
      <c r="BP103" s="6">
        <v>6.1982181818181798E-5</v>
      </c>
      <c r="BQ103" s="6">
        <v>-3.6200220000000001E-3</v>
      </c>
      <c r="BR103" s="6">
        <v>-2.8522589999999998E-3</v>
      </c>
      <c r="BS103" s="6">
        <v>6.9796636363636395E-5</v>
      </c>
      <c r="BT103" s="6">
        <v>-3.6175719999999999E-3</v>
      </c>
      <c r="BU103" s="6">
        <v>-2.9502859999999999E-3</v>
      </c>
      <c r="BV103" s="6">
        <v>6.0662363636363638E-5</v>
      </c>
      <c r="BW103" s="6">
        <v>-3.6196900000000001E-3</v>
      </c>
      <c r="BX103" s="6">
        <v>-2.8443520000000001E-3</v>
      </c>
      <c r="BY103" s="6">
        <v>7.0485272727272732E-5</v>
      </c>
      <c r="BZ103" s="6">
        <v>-3.6168580000000001E-3</v>
      </c>
      <c r="CA103" s="6">
        <v>-2.755272E-3</v>
      </c>
      <c r="CB103" s="6">
        <v>7.8326000000000009E-5</v>
      </c>
      <c r="CC103" s="6">
        <v>-3.6145280000000001E-3</v>
      </c>
      <c r="CD103" s="6">
        <v>-2.8389029999999998E-3</v>
      </c>
      <c r="CE103" s="6">
        <v>7.0511363636363659E-5</v>
      </c>
      <c r="CF103" s="6">
        <v>-3.6169779999999999E-3</v>
      </c>
      <c r="CG103" s="6">
        <v>-2.7408760000000002E-3</v>
      </c>
      <c r="CH103" s="6">
        <v>7.9645636363636334E-5</v>
      </c>
      <c r="CI103" s="6">
        <v>-3.6148600000000001E-3</v>
      </c>
      <c r="CJ103" s="6">
        <v>-2.8468090000000001E-3</v>
      </c>
      <c r="CK103" s="6">
        <v>6.9822818181818191E-5</v>
      </c>
      <c r="CL103" s="6">
        <v>-2.5404730000000001E-3</v>
      </c>
      <c r="CM103" s="6">
        <v>-2.0540689999999999E-3</v>
      </c>
      <c r="CN103" s="6">
        <v>4.4218545454545472E-5</v>
      </c>
      <c r="CO103" s="6">
        <v>-2.5428030000000002E-3</v>
      </c>
      <c r="CP103" s="6">
        <v>-1.970439E-3</v>
      </c>
      <c r="CQ103" s="6">
        <v>5.2033090909090919E-5</v>
      </c>
      <c r="CR103" s="6">
        <v>-2.540353E-3</v>
      </c>
      <c r="CS103" s="6">
        <v>-2.0684660000000001E-3</v>
      </c>
      <c r="CT103" s="6">
        <v>4.2898818181818169E-5</v>
      </c>
      <c r="CU103" s="6">
        <v>-2.5424699999999998E-3</v>
      </c>
      <c r="CV103" s="6">
        <v>-1.9625329999999998E-3</v>
      </c>
      <c r="CW103" s="6">
        <v>5.2721545454545455E-5</v>
      </c>
      <c r="CX103" s="6">
        <v>-2.5396379999999999E-3</v>
      </c>
      <c r="CY103" s="6">
        <v>-1.873453E-3</v>
      </c>
      <c r="CZ103" s="6">
        <v>6.0562272727272719E-5</v>
      </c>
      <c r="DA103" s="6">
        <v>-2.5373079999999998E-3</v>
      </c>
      <c r="DB103" s="6">
        <v>-1.9570830000000001E-3</v>
      </c>
      <c r="DC103" s="6">
        <v>5.2747727272727252E-5</v>
      </c>
      <c r="DD103" s="6">
        <v>-2.5397589999999999E-3</v>
      </c>
      <c r="DE103" s="6">
        <v>-1.859056E-3</v>
      </c>
      <c r="DF103" s="6">
        <v>6.1882090909090898E-5</v>
      </c>
      <c r="DG103" s="6">
        <v>-2.5376410000000002E-3</v>
      </c>
      <c r="DH103" s="6">
        <v>-1.9649899999999998E-3</v>
      </c>
      <c r="DI103" s="6">
        <v>5.2059181818181852E-5</v>
      </c>
    </row>
    <row r="104" spans="1:113" x14ac:dyDescent="0.3">
      <c r="A104" s="13" t="s">
        <v>450</v>
      </c>
      <c r="B104" s="13" t="s">
        <v>269</v>
      </c>
      <c r="C104" s="13" t="s">
        <v>270</v>
      </c>
      <c r="D104" s="13" t="s">
        <v>347</v>
      </c>
      <c r="E104" s="13">
        <v>11</v>
      </c>
      <c r="F104" s="6">
        <v>-1.5377450000000001E-3</v>
      </c>
      <c r="G104" s="6">
        <v>-1.0130639999999999E-3</v>
      </c>
      <c r="H104" s="6">
        <v>4.7698272727272741E-5</v>
      </c>
      <c r="I104" s="6">
        <v>-2.2783669999999999E-3</v>
      </c>
      <c r="J104" s="6">
        <v>-1.594924E-3</v>
      </c>
      <c r="K104" s="6">
        <v>6.2131181818181813E-5</v>
      </c>
      <c r="L104" s="6">
        <v>-2.149485E-3</v>
      </c>
      <c r="M104" s="6">
        <v>-1.637028E-3</v>
      </c>
      <c r="N104" s="6">
        <v>4.6587E-5</v>
      </c>
      <c r="O104" s="6">
        <v>-2.860961E-3</v>
      </c>
      <c r="P104" s="6">
        <v>-2.189177E-3</v>
      </c>
      <c r="Q104" s="6">
        <v>6.1071272727272717E-5</v>
      </c>
      <c r="R104" s="6">
        <v>-2.7701539999999999E-3</v>
      </c>
      <c r="S104" s="6">
        <v>-2.242267E-3</v>
      </c>
      <c r="T104" s="6">
        <v>4.7989727272727261E-5</v>
      </c>
      <c r="U104" s="6">
        <v>-2.9149110000000001E-3</v>
      </c>
      <c r="V104" s="6">
        <v>-2.1847730000000001E-3</v>
      </c>
      <c r="W104" s="6">
        <v>6.637618181818181E-5</v>
      </c>
      <c r="X104" s="6">
        <v>-2.776686E-3</v>
      </c>
      <c r="Y104" s="6">
        <v>-2.2811020000000001E-3</v>
      </c>
      <c r="Z104" s="6">
        <v>4.5053090909090894E-5</v>
      </c>
      <c r="AA104" s="6">
        <v>-2.9072099999999999E-3</v>
      </c>
      <c r="AB104" s="6">
        <v>-2.1599089999999998E-3</v>
      </c>
      <c r="AC104" s="6">
        <v>6.7936454545454561E-5</v>
      </c>
      <c r="AD104" s="6">
        <v>-2.649134E-3</v>
      </c>
      <c r="AE104" s="6">
        <v>-1.7607409999999999E-3</v>
      </c>
      <c r="AF104" s="6">
        <v>8.0763000000000013E-5</v>
      </c>
      <c r="AG104" s="6">
        <v>-2.5081359999999998E-3</v>
      </c>
      <c r="AH104" s="6">
        <v>-1.820707E-3</v>
      </c>
      <c r="AI104" s="6">
        <v>6.2493545454545436E-5</v>
      </c>
      <c r="AJ104" s="6">
        <v>-2.6426029999999999E-3</v>
      </c>
      <c r="AK104" s="6">
        <v>-1.7219049999999999E-3</v>
      </c>
      <c r="AL104" s="6">
        <v>8.3699818181818181E-5</v>
      </c>
      <c r="AM104" s="6">
        <v>-2.5120780000000001E-3</v>
      </c>
      <c r="AN104" s="6">
        <v>-1.843098E-3</v>
      </c>
      <c r="AO104" s="6">
        <v>6.0816363636363637E-5</v>
      </c>
      <c r="AP104" s="6">
        <v>-2.4901939999999998E-3</v>
      </c>
      <c r="AQ104" s="6">
        <v>-2.0233600000000001E-3</v>
      </c>
      <c r="AR104" s="6">
        <v>4.2439454545454524E-5</v>
      </c>
      <c r="AS104" s="6">
        <v>-2.6311920000000001E-3</v>
      </c>
      <c r="AT104" s="6">
        <v>-1.9633939999999998E-3</v>
      </c>
      <c r="AU104" s="6">
        <v>6.0708909090909114E-5</v>
      </c>
      <c r="AV104" s="6">
        <v>-2.496725E-3</v>
      </c>
      <c r="AW104" s="6">
        <v>-2.0621960000000001E-3</v>
      </c>
      <c r="AX104" s="6">
        <v>3.9502636363636356E-5</v>
      </c>
      <c r="AY104" s="6">
        <v>-2.6272499999999998E-3</v>
      </c>
      <c r="AZ104" s="6">
        <v>-1.941003E-3</v>
      </c>
      <c r="BA104" s="6">
        <v>6.2386090909090892E-5</v>
      </c>
      <c r="BB104" s="6">
        <v>-2.3691739999999999E-3</v>
      </c>
      <c r="BC104" s="6">
        <v>-1.541834E-3</v>
      </c>
      <c r="BD104" s="6">
        <v>7.5212727272727268E-5</v>
      </c>
      <c r="BE104" s="6">
        <v>-2.2281760000000001E-3</v>
      </c>
      <c r="BF104" s="6">
        <v>-1.6018009999999999E-3</v>
      </c>
      <c r="BG104" s="6">
        <v>5.6943181818181835E-5</v>
      </c>
      <c r="BH104" s="6">
        <v>-2.3626419999999999E-3</v>
      </c>
      <c r="BI104" s="6">
        <v>-1.5029990000000001E-3</v>
      </c>
      <c r="BJ104" s="6">
        <v>7.8149363636363615E-5</v>
      </c>
      <c r="BK104" s="6">
        <v>-2.2321179999999999E-3</v>
      </c>
      <c r="BL104" s="6">
        <v>-1.624192E-3</v>
      </c>
      <c r="BM104" s="6">
        <v>5.5265999999999996E-5</v>
      </c>
      <c r="BN104" s="6">
        <v>-3.0544169999999998E-3</v>
      </c>
      <c r="BO104" s="6">
        <v>-2.3291229999999998E-3</v>
      </c>
      <c r="BP104" s="6">
        <v>6.5935818181818179E-5</v>
      </c>
      <c r="BQ104" s="6">
        <v>-3.0967170000000001E-3</v>
      </c>
      <c r="BR104" s="6">
        <v>-2.3111329999999999E-3</v>
      </c>
      <c r="BS104" s="6">
        <v>7.1416727272727293E-5</v>
      </c>
      <c r="BT104" s="6">
        <v>-3.0563769999999999E-3</v>
      </c>
      <c r="BU104" s="6">
        <v>-2.3407739999999999E-3</v>
      </c>
      <c r="BV104" s="6">
        <v>6.5054818181818185E-5</v>
      </c>
      <c r="BW104" s="6">
        <v>-3.095534E-3</v>
      </c>
      <c r="BX104" s="6">
        <v>-2.3044160000000001E-3</v>
      </c>
      <c r="BY104" s="6">
        <v>7.1919818181818182E-5</v>
      </c>
      <c r="BZ104" s="6">
        <v>-3.018111E-3</v>
      </c>
      <c r="CA104" s="6">
        <v>-2.1846650000000001E-3</v>
      </c>
      <c r="CB104" s="6">
        <v>7.5767818181818162E-5</v>
      </c>
      <c r="CC104" s="6">
        <v>-2.975812E-3</v>
      </c>
      <c r="CD104" s="6">
        <v>-2.202655E-3</v>
      </c>
      <c r="CE104" s="6">
        <v>7.0287E-5</v>
      </c>
      <c r="CF104" s="6">
        <v>-3.0161519999999998E-3</v>
      </c>
      <c r="CG104" s="6">
        <v>-2.1730149999999999E-3</v>
      </c>
      <c r="CH104" s="6">
        <v>7.664881818181817E-5</v>
      </c>
      <c r="CI104" s="6">
        <v>-2.9769950000000001E-3</v>
      </c>
      <c r="CJ104" s="6">
        <v>-2.2093719999999998E-3</v>
      </c>
      <c r="CK104" s="6">
        <v>6.9783909090909111E-5</v>
      </c>
      <c r="CL104" s="6">
        <v>-2.1212169999999999E-3</v>
      </c>
      <c r="CM104" s="6">
        <v>-1.5994360000000001E-3</v>
      </c>
      <c r="CN104" s="6">
        <v>4.7434636363636347E-5</v>
      </c>
      <c r="CO104" s="6">
        <v>-2.1635159999999999E-3</v>
      </c>
      <c r="CP104" s="6">
        <v>-1.581446E-3</v>
      </c>
      <c r="CQ104" s="6">
        <v>5.291545454545453E-5</v>
      </c>
      <c r="CR104" s="6">
        <v>-2.1231760000000001E-3</v>
      </c>
      <c r="CS104" s="6">
        <v>-1.6110860000000001E-3</v>
      </c>
      <c r="CT104" s="6">
        <v>4.655363636363636E-5</v>
      </c>
      <c r="CU104" s="6">
        <v>-2.1623329999999998E-3</v>
      </c>
      <c r="CV104" s="6">
        <v>-1.574729E-3</v>
      </c>
      <c r="CW104" s="6">
        <v>5.3418545454545439E-5</v>
      </c>
      <c r="CX104" s="6">
        <v>-2.0849100000000001E-3</v>
      </c>
      <c r="CY104" s="6">
        <v>-1.454978E-3</v>
      </c>
      <c r="CZ104" s="6">
        <v>5.7266545454545467E-5</v>
      </c>
      <c r="DA104" s="6">
        <v>-2.0426110000000002E-3</v>
      </c>
      <c r="DB104" s="6">
        <v>-1.4729680000000001E-3</v>
      </c>
      <c r="DC104" s="6">
        <v>5.1785727272727284E-5</v>
      </c>
      <c r="DD104" s="6">
        <v>-2.082951E-3</v>
      </c>
      <c r="DE104" s="6">
        <v>-1.443328E-3</v>
      </c>
      <c r="DF104" s="6">
        <v>5.8147545454545454E-5</v>
      </c>
      <c r="DG104" s="6">
        <v>-2.0437939999999998E-3</v>
      </c>
      <c r="DH104" s="6">
        <v>-1.4796849999999999E-3</v>
      </c>
      <c r="DI104" s="6">
        <v>5.1282636363636355E-5</v>
      </c>
    </row>
    <row r="105" spans="1:113" x14ac:dyDescent="0.3">
      <c r="A105" s="13" t="s">
        <v>451</v>
      </c>
      <c r="B105" s="13" t="s">
        <v>170</v>
      </c>
      <c r="C105" s="13" t="s">
        <v>211</v>
      </c>
      <c r="D105" s="13" t="s">
        <v>347</v>
      </c>
      <c r="E105" s="13">
        <v>8.3000000000000007</v>
      </c>
      <c r="F105" s="6">
        <v>-1.390372E-3</v>
      </c>
      <c r="G105" s="6">
        <v>-1.2250360000000001E-3</v>
      </c>
      <c r="H105" s="6">
        <v>1.9919999999999982E-5</v>
      </c>
      <c r="I105" s="6">
        <v>-2.053582E-3</v>
      </c>
      <c r="J105" s="6">
        <v>-1.8518460000000001E-3</v>
      </c>
      <c r="K105" s="6">
        <v>2.4305542168674683E-5</v>
      </c>
      <c r="L105" s="6">
        <v>-1.992377E-3</v>
      </c>
      <c r="M105" s="6">
        <v>-1.826919E-3</v>
      </c>
      <c r="N105" s="6">
        <v>1.9934698795180726E-5</v>
      </c>
      <c r="O105" s="6">
        <v>-2.6269150000000001E-3</v>
      </c>
      <c r="P105" s="6">
        <v>-2.4250589999999998E-3</v>
      </c>
      <c r="Q105" s="6">
        <v>2.4320000000000028E-5</v>
      </c>
      <c r="R105" s="6">
        <v>-2.5987139999999998E-3</v>
      </c>
      <c r="S105" s="6">
        <v>-2.3792399999999999E-3</v>
      </c>
      <c r="T105" s="6">
        <v>2.6442650602409622E-5</v>
      </c>
      <c r="U105" s="6">
        <v>-2.4750689999999999E-3</v>
      </c>
      <c r="V105" s="6">
        <v>-2.266466E-3</v>
      </c>
      <c r="W105" s="6">
        <v>2.5132891566265049E-5</v>
      </c>
      <c r="X105" s="6">
        <v>-2.5986920000000001E-3</v>
      </c>
      <c r="Y105" s="6">
        <v>-2.3933259999999999E-3</v>
      </c>
      <c r="Z105" s="6">
        <v>2.4742891566265085E-5</v>
      </c>
      <c r="AA105" s="6">
        <v>-2.4732920000000002E-3</v>
      </c>
      <c r="AB105" s="6">
        <v>-2.2567279999999999E-3</v>
      </c>
      <c r="AC105" s="6">
        <v>2.6092048192771114E-5</v>
      </c>
      <c r="AD105" s="6">
        <v>-2.3425400000000002E-3</v>
      </c>
      <c r="AE105" s="6">
        <v>-2.138563E-3</v>
      </c>
      <c r="AF105" s="6">
        <v>2.4575542168674716E-5</v>
      </c>
      <c r="AG105" s="6">
        <v>-2.4679979999999999E-3</v>
      </c>
      <c r="AH105" s="6">
        <v>-2.2529759999999999E-3</v>
      </c>
      <c r="AI105" s="6">
        <v>2.5906265060240967E-5</v>
      </c>
      <c r="AJ105" s="6">
        <v>-2.3425609999999999E-3</v>
      </c>
      <c r="AK105" s="6">
        <v>-2.1244760000000001E-3</v>
      </c>
      <c r="AL105" s="6">
        <v>2.6275301204819253E-5</v>
      </c>
      <c r="AM105" s="6">
        <v>-2.4679620000000002E-3</v>
      </c>
      <c r="AN105" s="6">
        <v>-2.261075E-3</v>
      </c>
      <c r="AO105" s="6">
        <v>2.4926144578313278E-5</v>
      </c>
      <c r="AP105" s="6">
        <v>-2.3379569999999999E-3</v>
      </c>
      <c r="AQ105" s="6">
        <v>-2.1383420000000001E-3</v>
      </c>
      <c r="AR105" s="6">
        <v>2.4049999999999971E-5</v>
      </c>
      <c r="AS105" s="6">
        <v>-2.2124979999999998E-3</v>
      </c>
      <c r="AT105" s="6">
        <v>-2.0239300000000002E-3</v>
      </c>
      <c r="AU105" s="6">
        <v>2.2719036144578267E-5</v>
      </c>
      <c r="AV105" s="6">
        <v>-2.3379350000000002E-3</v>
      </c>
      <c r="AW105" s="6">
        <v>-2.152429E-3</v>
      </c>
      <c r="AX105" s="6">
        <v>2.2350120481927733E-5</v>
      </c>
      <c r="AY105" s="6">
        <v>-2.2125349999999998E-3</v>
      </c>
      <c r="AZ105" s="6">
        <v>-2.015831E-3</v>
      </c>
      <c r="BA105" s="6">
        <v>2.3699277108433708E-5</v>
      </c>
      <c r="BB105" s="6">
        <v>-2.0817829999999998E-3</v>
      </c>
      <c r="BC105" s="6">
        <v>-1.8976659999999999E-3</v>
      </c>
      <c r="BD105" s="6">
        <v>2.2182771084337337E-5</v>
      </c>
      <c r="BE105" s="6">
        <v>-2.207241E-3</v>
      </c>
      <c r="BF105" s="6">
        <v>-2.012078E-3</v>
      </c>
      <c r="BG105" s="6">
        <v>2.3513614457831316E-5</v>
      </c>
      <c r="BH105" s="6">
        <v>-2.081804E-3</v>
      </c>
      <c r="BI105" s="6">
        <v>-1.883579E-3</v>
      </c>
      <c r="BJ105" s="6">
        <v>2.3882530120481925E-5</v>
      </c>
      <c r="BK105" s="6">
        <v>-2.2072049999999998E-3</v>
      </c>
      <c r="BL105" s="6">
        <v>-2.0201770000000002E-3</v>
      </c>
      <c r="BM105" s="6">
        <v>2.2533493975903573E-5</v>
      </c>
      <c r="BN105" s="6">
        <v>-2.8132700000000001E-3</v>
      </c>
      <c r="BO105" s="6">
        <v>-2.5760499999999999E-3</v>
      </c>
      <c r="BP105" s="6">
        <v>2.858072289156629E-5</v>
      </c>
      <c r="BQ105" s="6">
        <v>-2.7756320000000001E-3</v>
      </c>
      <c r="BR105" s="6">
        <v>-2.5417270000000001E-3</v>
      </c>
      <c r="BS105" s="6">
        <v>2.8181325301204813E-5</v>
      </c>
      <c r="BT105" s="6">
        <v>-2.8132629999999999E-3</v>
      </c>
      <c r="BU105" s="6">
        <v>-2.5802759999999998E-3</v>
      </c>
      <c r="BV105" s="6">
        <v>2.8070722891566266E-5</v>
      </c>
      <c r="BW105" s="6">
        <v>-2.7756429999999999E-3</v>
      </c>
      <c r="BX105" s="6">
        <v>-2.5392969999999998E-3</v>
      </c>
      <c r="BY105" s="6">
        <v>2.8475421686747001E-5</v>
      </c>
      <c r="BZ105" s="6">
        <v>-2.7364170000000001E-3</v>
      </c>
      <c r="CA105" s="6">
        <v>-2.503847E-3</v>
      </c>
      <c r="CB105" s="6">
        <v>2.8020481927710852E-5</v>
      </c>
      <c r="CC105" s="6">
        <v>-2.7740550000000001E-3</v>
      </c>
      <c r="CD105" s="6">
        <v>-2.5381710000000001E-3</v>
      </c>
      <c r="CE105" s="6">
        <v>2.8419759036144576E-5</v>
      </c>
      <c r="CF105" s="6">
        <v>-2.7364239999999999E-3</v>
      </c>
      <c r="CG105" s="6">
        <v>-2.499621E-3</v>
      </c>
      <c r="CH105" s="6">
        <v>2.8530481927710822E-5</v>
      </c>
      <c r="CI105" s="6">
        <v>-2.7740439999999998E-3</v>
      </c>
      <c r="CJ105" s="6">
        <v>-2.540601E-3</v>
      </c>
      <c r="CK105" s="6">
        <v>2.8125662650602388E-5</v>
      </c>
      <c r="CL105" s="6">
        <v>-1.944079E-3</v>
      </c>
      <c r="CM105" s="6">
        <v>-1.7730580000000001E-3</v>
      </c>
      <c r="CN105" s="6">
        <v>2.0604939759036134E-5</v>
      </c>
      <c r="CO105" s="6">
        <v>-1.9064419999999999E-3</v>
      </c>
      <c r="CP105" s="6">
        <v>-1.738734E-3</v>
      </c>
      <c r="CQ105" s="6">
        <v>2.0205783132530108E-5</v>
      </c>
      <c r="CR105" s="6">
        <v>-1.9440729999999999E-3</v>
      </c>
      <c r="CS105" s="6">
        <v>-1.7772840000000001E-3</v>
      </c>
      <c r="CT105" s="6">
        <v>2.0095060240963839E-5</v>
      </c>
      <c r="CU105" s="6">
        <v>-1.906453E-3</v>
      </c>
      <c r="CV105" s="6">
        <v>-1.7363039999999999E-3</v>
      </c>
      <c r="CW105" s="6">
        <v>2.0499879518072296E-5</v>
      </c>
      <c r="CX105" s="6">
        <v>-1.8672269999999999E-3</v>
      </c>
      <c r="CY105" s="6">
        <v>-1.700855E-3</v>
      </c>
      <c r="CZ105" s="6">
        <v>2.0044819277108421E-5</v>
      </c>
      <c r="DA105" s="6">
        <v>-1.904864E-3</v>
      </c>
      <c r="DB105" s="6">
        <v>-1.7351790000000001E-3</v>
      </c>
      <c r="DC105" s="6">
        <v>2.0443975903614448E-5</v>
      </c>
      <c r="DD105" s="6">
        <v>-1.867233E-3</v>
      </c>
      <c r="DE105" s="6">
        <v>-1.6966290000000001E-3</v>
      </c>
      <c r="DF105" s="6">
        <v>2.055469879518072E-5</v>
      </c>
      <c r="DG105" s="6">
        <v>-1.9048540000000001E-3</v>
      </c>
      <c r="DH105" s="6">
        <v>-1.7376080000000001E-3</v>
      </c>
      <c r="DI105" s="6">
        <v>2.015012048192771E-5</v>
      </c>
    </row>
    <row r="106" spans="1:113" x14ac:dyDescent="0.3">
      <c r="A106" s="13" t="s">
        <v>452</v>
      </c>
      <c r="B106" s="13" t="s">
        <v>291</v>
      </c>
      <c r="C106" s="13" t="s">
        <v>325</v>
      </c>
      <c r="D106" s="13" t="s">
        <v>347</v>
      </c>
      <c r="E106" s="13">
        <v>5.75</v>
      </c>
      <c r="F106" s="6">
        <v>-6.8234410000000002E-4</v>
      </c>
      <c r="G106" s="6">
        <v>-1.413032E-3</v>
      </c>
      <c r="H106" s="6">
        <v>1.2707615652173915E-4</v>
      </c>
      <c r="I106" s="6">
        <v>-1.127837E-3</v>
      </c>
      <c r="J106" s="6">
        <v>-1.761952E-3</v>
      </c>
      <c r="K106" s="6">
        <v>1.1028086956521739E-4</v>
      </c>
      <c r="L106" s="6">
        <v>-1.2938349999999999E-3</v>
      </c>
      <c r="M106" s="6">
        <v>-1.80061E-3</v>
      </c>
      <c r="N106" s="6">
        <v>8.813478260869567E-5</v>
      </c>
      <c r="O106" s="6">
        <v>-1.71021E-3</v>
      </c>
      <c r="P106" s="6">
        <v>-2.1310750000000001E-3</v>
      </c>
      <c r="Q106" s="6">
        <v>7.3193913043478282E-5</v>
      </c>
      <c r="R106" s="6">
        <v>-1.624236E-3</v>
      </c>
      <c r="S106" s="6">
        <v>-2.2323130000000001E-3</v>
      </c>
      <c r="T106" s="6">
        <v>1.0575252173913044E-4</v>
      </c>
      <c r="U106" s="6">
        <v>-1.7705900000000001E-3</v>
      </c>
      <c r="V106" s="6">
        <v>-2.3339110000000001E-3</v>
      </c>
      <c r="W106" s="6">
        <v>9.7968869565217406E-5</v>
      </c>
      <c r="X106" s="6">
        <v>-1.6361069999999999E-3</v>
      </c>
      <c r="Y106" s="6">
        <v>-2.2306140000000001E-3</v>
      </c>
      <c r="Z106" s="6">
        <v>1.0339252173913047E-4</v>
      </c>
      <c r="AA106" s="6">
        <v>-1.7620559999999999E-3</v>
      </c>
      <c r="AB106" s="6">
        <v>-2.3557750000000001E-3</v>
      </c>
      <c r="AC106" s="6">
        <v>1.0325547826086959E-4</v>
      </c>
      <c r="AD106" s="6">
        <v>-1.391085E-3</v>
      </c>
      <c r="AE106" s="6">
        <v>-1.8907399999999999E-3</v>
      </c>
      <c r="AF106" s="6">
        <v>8.6896521739130418E-5</v>
      </c>
      <c r="AG106" s="6">
        <v>-1.246362E-3</v>
      </c>
      <c r="AH106" s="6">
        <v>-1.768253E-3</v>
      </c>
      <c r="AI106" s="6">
        <v>9.0763652173913044E-5</v>
      </c>
      <c r="AJ106" s="6">
        <v>-1.3792139999999999E-3</v>
      </c>
      <c r="AK106" s="6">
        <v>-1.8924390000000001E-3</v>
      </c>
      <c r="AL106" s="6">
        <v>8.925652173913047E-5</v>
      </c>
      <c r="AM106" s="6">
        <v>-1.2532649999999999E-3</v>
      </c>
      <c r="AN106" s="6">
        <v>-1.7672779999999999E-3</v>
      </c>
      <c r="AO106" s="6">
        <v>8.9393565217391313E-5</v>
      </c>
      <c r="AP106" s="6">
        <v>-1.446962E-3</v>
      </c>
      <c r="AQ106" s="6">
        <v>-2.0022870000000002E-3</v>
      </c>
      <c r="AR106" s="6">
        <v>9.6578260869565244E-5</v>
      </c>
      <c r="AS106" s="6">
        <v>-1.591685E-3</v>
      </c>
      <c r="AT106" s="6">
        <v>-2.1247739999999998E-3</v>
      </c>
      <c r="AU106" s="6">
        <v>9.2711130434782577E-5</v>
      </c>
      <c r="AV106" s="6">
        <v>-1.4588330000000001E-3</v>
      </c>
      <c r="AW106" s="6">
        <v>-2.0005880000000002E-3</v>
      </c>
      <c r="AX106" s="6">
        <v>9.4218260869565233E-5</v>
      </c>
      <c r="AY106" s="6">
        <v>-1.5847820000000001E-3</v>
      </c>
      <c r="AZ106" s="6">
        <v>-2.1257490000000001E-3</v>
      </c>
      <c r="BA106" s="6">
        <v>9.4081217391304362E-5</v>
      </c>
      <c r="BB106" s="6">
        <v>-1.213811E-3</v>
      </c>
      <c r="BC106" s="6">
        <v>-1.660714E-3</v>
      </c>
      <c r="BD106" s="6">
        <v>7.772226086956522E-5</v>
      </c>
      <c r="BE106" s="6">
        <v>-1.0690879999999999E-3</v>
      </c>
      <c r="BF106" s="6">
        <v>-1.5382270000000001E-3</v>
      </c>
      <c r="BG106" s="6">
        <v>8.1589391304347846E-5</v>
      </c>
      <c r="BH106" s="6">
        <v>-1.2019400000000001E-3</v>
      </c>
      <c r="BI106" s="6">
        <v>-1.662413E-3</v>
      </c>
      <c r="BJ106" s="6">
        <v>8.008226086956519E-5</v>
      </c>
      <c r="BK106" s="6">
        <v>-1.0759910000000001E-3</v>
      </c>
      <c r="BL106" s="6">
        <v>-1.537252E-3</v>
      </c>
      <c r="BM106" s="6">
        <v>8.0219304347826074E-5</v>
      </c>
      <c r="BN106" s="6">
        <v>-1.749453E-3</v>
      </c>
      <c r="BO106" s="6">
        <v>-2.3811259999999999E-3</v>
      </c>
      <c r="BP106" s="6">
        <v>1.0985617391304346E-4</v>
      </c>
      <c r="BQ106" s="6">
        <v>-1.79287E-3</v>
      </c>
      <c r="BR106" s="6">
        <v>-2.4178720000000002E-3</v>
      </c>
      <c r="BS106" s="6">
        <v>1.0869600000000003E-4</v>
      </c>
      <c r="BT106" s="6">
        <v>-1.753014E-3</v>
      </c>
      <c r="BU106" s="6">
        <v>-2.3806159999999999E-3</v>
      </c>
      <c r="BV106" s="6">
        <v>1.0914817391304346E-4</v>
      </c>
      <c r="BW106" s="6">
        <v>-1.790799E-3</v>
      </c>
      <c r="BX106" s="6">
        <v>-2.4181649999999999E-3</v>
      </c>
      <c r="BY106" s="6">
        <v>1.0910713043478259E-4</v>
      </c>
      <c r="BZ106" s="6">
        <v>-1.6795079999999999E-3</v>
      </c>
      <c r="CA106" s="6">
        <v>-2.2786540000000002E-3</v>
      </c>
      <c r="CB106" s="6">
        <v>1.0419930434782614E-4</v>
      </c>
      <c r="CC106" s="6">
        <v>-1.6360910000000001E-3</v>
      </c>
      <c r="CD106" s="6">
        <v>-2.2419079999999999E-3</v>
      </c>
      <c r="CE106" s="6">
        <v>1.0535947826086954E-4</v>
      </c>
      <c r="CF106" s="6">
        <v>-1.675946E-3</v>
      </c>
      <c r="CG106" s="6">
        <v>-2.2791640000000002E-3</v>
      </c>
      <c r="CH106" s="6">
        <v>1.049074782608696E-4</v>
      </c>
      <c r="CI106" s="6">
        <v>-1.6381620000000001E-3</v>
      </c>
      <c r="CJ106" s="6">
        <v>-2.2416150000000002E-3</v>
      </c>
      <c r="CK106" s="6">
        <v>1.0494834782608697E-4</v>
      </c>
      <c r="CL106" s="6">
        <v>-1.15854E-3</v>
      </c>
      <c r="CM106" s="6">
        <v>-1.614372E-3</v>
      </c>
      <c r="CN106" s="6">
        <v>7.9275130434782606E-5</v>
      </c>
      <c r="CO106" s="6">
        <v>-1.201957E-3</v>
      </c>
      <c r="CP106" s="6">
        <v>-1.6511189999999999E-3</v>
      </c>
      <c r="CQ106" s="6">
        <v>7.8115130434782597E-5</v>
      </c>
      <c r="CR106" s="6">
        <v>-1.162101E-3</v>
      </c>
      <c r="CS106" s="6">
        <v>-1.6138630000000001E-3</v>
      </c>
      <c r="CT106" s="6">
        <v>7.8567304347826097E-5</v>
      </c>
      <c r="CU106" s="6">
        <v>-1.1998860000000001E-3</v>
      </c>
      <c r="CV106" s="6">
        <v>-1.651411E-3</v>
      </c>
      <c r="CW106" s="6">
        <v>7.8526086956521722E-5</v>
      </c>
      <c r="CX106" s="6">
        <v>-1.088594E-3</v>
      </c>
      <c r="CY106" s="6">
        <v>-1.511901E-3</v>
      </c>
      <c r="CZ106" s="6">
        <v>7.3618608695652163E-5</v>
      </c>
      <c r="DA106" s="6">
        <v>-1.0451779999999999E-3</v>
      </c>
      <c r="DB106" s="6">
        <v>-1.475154E-3</v>
      </c>
      <c r="DC106" s="6">
        <v>7.4778434782608714E-5</v>
      </c>
      <c r="DD106" s="6">
        <v>-1.085033E-3</v>
      </c>
      <c r="DE106" s="6">
        <v>-1.5124100000000001E-3</v>
      </c>
      <c r="DF106" s="6">
        <v>7.4326434782608699E-5</v>
      </c>
      <c r="DG106" s="6">
        <v>-1.047248E-3</v>
      </c>
      <c r="DH106" s="6">
        <v>-1.474862E-3</v>
      </c>
      <c r="DI106" s="6">
        <v>7.4367652173913047E-5</v>
      </c>
    </row>
    <row r="107" spans="1:113" x14ac:dyDescent="0.3">
      <c r="A107" s="13" t="s">
        <v>453</v>
      </c>
      <c r="B107" s="13" t="s">
        <v>61</v>
      </c>
      <c r="C107" s="13" t="s">
        <v>62</v>
      </c>
      <c r="D107" s="13" t="s">
        <v>350</v>
      </c>
      <c r="E107" s="13">
        <v>9.9</v>
      </c>
      <c r="F107" s="6">
        <v>-3.091782E-3</v>
      </c>
      <c r="G107" s="6">
        <v>-2.5450970000000001E-3</v>
      </c>
      <c r="H107" s="6">
        <v>5.5220707070707055E-5</v>
      </c>
      <c r="I107" s="6">
        <v>-3.7935989999999999E-3</v>
      </c>
      <c r="J107" s="6">
        <v>-3.1289180000000001E-3</v>
      </c>
      <c r="K107" s="6">
        <v>6.7139494949494932E-5</v>
      </c>
      <c r="L107" s="6">
        <v>-3.4678529999999999E-3</v>
      </c>
      <c r="M107" s="6">
        <v>-2.9227799999999998E-3</v>
      </c>
      <c r="N107" s="6">
        <v>5.5057878787878795E-5</v>
      </c>
      <c r="O107" s="6">
        <v>-4.1517380000000003E-3</v>
      </c>
      <c r="P107" s="6">
        <v>-3.4885609999999998E-3</v>
      </c>
      <c r="Q107" s="6">
        <v>6.6987575757575799E-5</v>
      </c>
      <c r="R107" s="6">
        <v>-4.7017659999999996E-3</v>
      </c>
      <c r="S107" s="6">
        <v>-4.0654009999999997E-3</v>
      </c>
      <c r="T107" s="6">
        <v>6.4279292929292909E-5</v>
      </c>
      <c r="U107" s="6">
        <v>-3.344938E-3</v>
      </c>
      <c r="V107" s="6">
        <v>-2.8337129999999999E-3</v>
      </c>
      <c r="W107" s="6">
        <v>5.1638888888888903E-5</v>
      </c>
      <c r="X107" s="6">
        <v>-4.6807350000000001E-3</v>
      </c>
      <c r="Y107" s="6">
        <v>-4.0487209999999999E-3</v>
      </c>
      <c r="Z107" s="6">
        <v>6.3839797979797999E-5</v>
      </c>
      <c r="AA107" s="6">
        <v>-3.2302849999999998E-3</v>
      </c>
      <c r="AB107" s="6">
        <v>-2.6840639999999999E-3</v>
      </c>
      <c r="AC107" s="6">
        <v>5.5173838383838375E-5</v>
      </c>
      <c r="AD107" s="6">
        <v>-3.6732520000000001E-3</v>
      </c>
      <c r="AE107" s="6">
        <v>-2.9164080000000001E-3</v>
      </c>
      <c r="AF107" s="6">
        <v>7.6448888888888884E-5</v>
      </c>
      <c r="AG107" s="6">
        <v>-5.1569520000000002E-3</v>
      </c>
      <c r="AH107" s="6">
        <v>-4.3074799999999998E-3</v>
      </c>
      <c r="AI107" s="6">
        <v>8.5805252525252563E-5</v>
      </c>
      <c r="AJ107" s="6">
        <v>-3.6942839999999999E-3</v>
      </c>
      <c r="AK107" s="6">
        <v>-2.9330879999999999E-3</v>
      </c>
      <c r="AL107" s="6">
        <v>7.6888484848484847E-5</v>
      </c>
      <c r="AM107" s="6">
        <v>-5.1447330000000003E-3</v>
      </c>
      <c r="AN107" s="6">
        <v>-4.297744E-3</v>
      </c>
      <c r="AO107" s="6">
        <v>8.5554444444444465E-5</v>
      </c>
      <c r="AP107" s="6">
        <v>-4.2720859999999996E-3</v>
      </c>
      <c r="AQ107" s="6">
        <v>-3.701073E-3</v>
      </c>
      <c r="AR107" s="6">
        <v>5.7678080808080759E-5</v>
      </c>
      <c r="AS107" s="6">
        <v>-2.7883859999999999E-3</v>
      </c>
      <c r="AT107" s="6">
        <v>-2.3100009999999999E-3</v>
      </c>
      <c r="AU107" s="6">
        <v>4.8321717171717168E-5</v>
      </c>
      <c r="AV107" s="6">
        <v>-4.2510539999999998E-3</v>
      </c>
      <c r="AW107" s="6">
        <v>-3.6843930000000002E-3</v>
      </c>
      <c r="AX107" s="6">
        <v>5.7238484848484803E-5</v>
      </c>
      <c r="AY107" s="6">
        <v>-2.8006049999999998E-3</v>
      </c>
      <c r="AZ107" s="6">
        <v>-2.3197360000000002E-3</v>
      </c>
      <c r="BA107" s="6">
        <v>4.8572626262626225E-5</v>
      </c>
      <c r="BB107" s="6">
        <v>-3.2435720000000001E-3</v>
      </c>
      <c r="BC107" s="6">
        <v>-2.55208E-3</v>
      </c>
      <c r="BD107" s="6">
        <v>6.9847676767676782E-5</v>
      </c>
      <c r="BE107" s="6">
        <v>-4.7272720000000002E-3</v>
      </c>
      <c r="BF107" s="6">
        <v>-3.9431520000000001E-3</v>
      </c>
      <c r="BG107" s="6">
        <v>7.920404040404042E-5</v>
      </c>
      <c r="BH107" s="6">
        <v>-3.264603E-3</v>
      </c>
      <c r="BI107" s="6">
        <v>-2.5687589999999999E-3</v>
      </c>
      <c r="BJ107" s="6">
        <v>7.0287272727272745E-5</v>
      </c>
      <c r="BK107" s="6">
        <v>-4.7150530000000003E-3</v>
      </c>
      <c r="BL107" s="6">
        <v>-3.9334160000000003E-3</v>
      </c>
      <c r="BM107" s="6">
        <v>7.8953232323232322E-5</v>
      </c>
      <c r="BN107" s="6">
        <v>-4.8430790000000001E-3</v>
      </c>
      <c r="BO107" s="6">
        <v>-4.0883029999999997E-3</v>
      </c>
      <c r="BP107" s="6">
        <v>7.6240000000000043E-5</v>
      </c>
      <c r="BQ107" s="6">
        <v>-4.3979689999999998E-3</v>
      </c>
      <c r="BR107" s="6">
        <v>-3.6709809999999998E-3</v>
      </c>
      <c r="BS107" s="6">
        <v>7.3433131313131307E-5</v>
      </c>
      <c r="BT107" s="6">
        <v>-4.8367699999999998E-3</v>
      </c>
      <c r="BU107" s="6">
        <v>-4.0832990000000003E-3</v>
      </c>
      <c r="BV107" s="6">
        <v>7.6108181818181764E-5</v>
      </c>
      <c r="BW107" s="6">
        <v>-4.4016350000000001E-3</v>
      </c>
      <c r="BX107" s="6">
        <v>-3.6739020000000002E-3</v>
      </c>
      <c r="BY107" s="6">
        <v>7.3508383838383836E-5</v>
      </c>
      <c r="BZ107" s="6">
        <v>-4.5345250000000002E-3</v>
      </c>
      <c r="CA107" s="6">
        <v>-3.7436050000000001E-3</v>
      </c>
      <c r="CB107" s="6">
        <v>7.9890909090909101E-5</v>
      </c>
      <c r="CC107" s="6">
        <v>-4.979636E-3</v>
      </c>
      <c r="CD107" s="6">
        <v>-4.1609259999999997E-3</v>
      </c>
      <c r="CE107" s="6">
        <v>8.2697979797979822E-5</v>
      </c>
      <c r="CF107" s="6">
        <v>-4.540835E-3</v>
      </c>
      <c r="CG107" s="6">
        <v>-3.748609E-3</v>
      </c>
      <c r="CH107" s="6">
        <v>8.0022828282828284E-5</v>
      </c>
      <c r="CI107" s="6">
        <v>-4.9759690000000002E-3</v>
      </c>
      <c r="CJ107" s="6">
        <v>-4.1580059999999997E-3</v>
      </c>
      <c r="CK107" s="6">
        <v>8.2622525252525308E-5</v>
      </c>
      <c r="CL107" s="6">
        <v>-3.410813E-3</v>
      </c>
      <c r="CM107" s="6">
        <v>-2.873876E-3</v>
      </c>
      <c r="CN107" s="6">
        <v>5.4236060606060596E-5</v>
      </c>
      <c r="CO107" s="6">
        <v>-2.9657030000000001E-3</v>
      </c>
      <c r="CP107" s="6">
        <v>-2.4565540000000001E-3</v>
      </c>
      <c r="CQ107" s="6">
        <v>5.1429191919191915E-5</v>
      </c>
      <c r="CR107" s="6">
        <v>-3.4045030000000001E-3</v>
      </c>
      <c r="CS107" s="6">
        <v>-2.8688720000000002E-3</v>
      </c>
      <c r="CT107" s="6">
        <v>5.4104141414141406E-5</v>
      </c>
      <c r="CU107" s="6">
        <v>-2.9693689999999999E-3</v>
      </c>
      <c r="CV107" s="6">
        <v>-2.459475E-3</v>
      </c>
      <c r="CW107" s="6">
        <v>5.150444444444443E-5</v>
      </c>
      <c r="CX107" s="6">
        <v>-3.102259E-3</v>
      </c>
      <c r="CY107" s="6">
        <v>-2.529178E-3</v>
      </c>
      <c r="CZ107" s="6">
        <v>5.7886969696969695E-5</v>
      </c>
      <c r="DA107" s="6">
        <v>-3.5473689999999999E-3</v>
      </c>
      <c r="DB107" s="6">
        <v>-2.9464999999999999E-3</v>
      </c>
      <c r="DC107" s="6">
        <v>6.0693838383838376E-5</v>
      </c>
      <c r="DD107" s="6">
        <v>-3.1085679999999999E-3</v>
      </c>
      <c r="DE107" s="6">
        <v>-2.5341819999999998E-3</v>
      </c>
      <c r="DF107" s="6">
        <v>5.8018787878787886E-5</v>
      </c>
      <c r="DG107" s="6">
        <v>-3.543703E-3</v>
      </c>
      <c r="DH107" s="6">
        <v>-2.943579E-3</v>
      </c>
      <c r="DI107" s="6">
        <v>6.0618585858585862E-5</v>
      </c>
    </row>
    <row r="108" spans="1:113" x14ac:dyDescent="0.3">
      <c r="A108" s="13" t="s">
        <v>454</v>
      </c>
      <c r="B108" s="13" t="s">
        <v>62</v>
      </c>
      <c r="C108" s="13" t="s">
        <v>98</v>
      </c>
      <c r="D108" s="13" t="s">
        <v>350</v>
      </c>
      <c r="E108" s="13">
        <v>8.3000000000000007</v>
      </c>
      <c r="F108" s="6">
        <v>-2.5450970000000001E-3</v>
      </c>
      <c r="G108" s="6">
        <v>-2.3073249999999998E-3</v>
      </c>
      <c r="H108" s="6">
        <v>2.8647228915662676E-5</v>
      </c>
      <c r="I108" s="6">
        <v>-3.1289180000000001E-3</v>
      </c>
      <c r="J108" s="6">
        <v>-2.8493720000000002E-3</v>
      </c>
      <c r="K108" s="6">
        <v>3.3680240963855405E-5</v>
      </c>
      <c r="L108" s="6">
        <v>-2.9227799999999998E-3</v>
      </c>
      <c r="M108" s="6">
        <v>-2.6936659999999999E-3</v>
      </c>
      <c r="N108" s="6">
        <v>2.7604096385542152E-5</v>
      </c>
      <c r="O108" s="6">
        <v>-3.4885609999999998E-3</v>
      </c>
      <c r="P108" s="6">
        <v>-3.217283E-3</v>
      </c>
      <c r="Q108" s="6">
        <v>3.268409638554214E-5</v>
      </c>
      <c r="R108" s="6">
        <v>-4.0654009999999997E-3</v>
      </c>
      <c r="S108" s="6">
        <v>-3.6806080000000001E-3</v>
      </c>
      <c r="T108" s="6">
        <v>4.63606024096385E-5</v>
      </c>
      <c r="U108" s="6">
        <v>-2.8337129999999999E-3</v>
      </c>
      <c r="V108" s="6">
        <v>-2.6862879999999998E-3</v>
      </c>
      <c r="W108" s="6">
        <v>1.776204819277109E-5</v>
      </c>
      <c r="X108" s="6">
        <v>-4.0487209999999999E-3</v>
      </c>
      <c r="Y108" s="6">
        <v>-3.6696419999999999E-3</v>
      </c>
      <c r="Z108" s="6">
        <v>4.5672168674698794E-5</v>
      </c>
      <c r="AA108" s="6">
        <v>-2.6840639999999999E-3</v>
      </c>
      <c r="AB108" s="6">
        <v>-2.5503520000000001E-3</v>
      </c>
      <c r="AC108" s="6">
        <v>1.6109879518072265E-5</v>
      </c>
      <c r="AD108" s="6">
        <v>-2.9164080000000001E-3</v>
      </c>
      <c r="AE108" s="6">
        <v>-2.7231960000000002E-3</v>
      </c>
      <c r="AF108" s="6">
        <v>2.3278554216867457E-5</v>
      </c>
      <c r="AG108" s="6">
        <v>-4.3074799999999998E-3</v>
      </c>
      <c r="AH108" s="6">
        <v>-3.8599099999999998E-3</v>
      </c>
      <c r="AI108" s="6">
        <v>5.3924096385542167E-5</v>
      </c>
      <c r="AJ108" s="6">
        <v>-2.9330879999999999E-3</v>
      </c>
      <c r="AK108" s="6">
        <v>-2.7341610000000001E-3</v>
      </c>
      <c r="AL108" s="6">
        <v>2.3967108433734911E-5</v>
      </c>
      <c r="AM108" s="6">
        <v>-4.297744E-3</v>
      </c>
      <c r="AN108" s="6">
        <v>-3.8534509999999999E-3</v>
      </c>
      <c r="AO108" s="6">
        <v>5.3529277108433742E-5</v>
      </c>
      <c r="AP108" s="6">
        <v>-3.701073E-3</v>
      </c>
      <c r="AQ108" s="6">
        <v>-3.3434609999999998E-3</v>
      </c>
      <c r="AR108" s="6">
        <v>4.3085783132530143E-5</v>
      </c>
      <c r="AS108" s="6">
        <v>-2.3100009999999999E-3</v>
      </c>
      <c r="AT108" s="6">
        <v>-2.2067469999999998E-3</v>
      </c>
      <c r="AU108" s="6">
        <v>1.2440240963855434E-5</v>
      </c>
      <c r="AV108" s="6">
        <v>-3.6843930000000002E-3</v>
      </c>
      <c r="AW108" s="6">
        <v>-3.332495E-3</v>
      </c>
      <c r="AX108" s="6">
        <v>4.2397349397590383E-5</v>
      </c>
      <c r="AY108" s="6">
        <v>-2.3197360000000002E-3</v>
      </c>
      <c r="AZ108" s="6">
        <v>-2.2132050000000002E-3</v>
      </c>
      <c r="BA108" s="6">
        <v>1.2835060240963852E-5</v>
      </c>
      <c r="BB108" s="6">
        <v>-2.55208E-3</v>
      </c>
      <c r="BC108" s="6">
        <v>-2.3860489999999999E-3</v>
      </c>
      <c r="BD108" s="6">
        <v>2.0003734939759043E-5</v>
      </c>
      <c r="BE108" s="6">
        <v>-3.9431520000000001E-3</v>
      </c>
      <c r="BF108" s="6">
        <v>-3.5227629999999999E-3</v>
      </c>
      <c r="BG108" s="6">
        <v>5.064927710843375E-5</v>
      </c>
      <c r="BH108" s="6">
        <v>-2.5687589999999999E-3</v>
      </c>
      <c r="BI108" s="6">
        <v>-2.3970139999999998E-3</v>
      </c>
      <c r="BJ108" s="6">
        <v>2.0692168674698799E-5</v>
      </c>
      <c r="BK108" s="6">
        <v>-3.9334160000000003E-3</v>
      </c>
      <c r="BL108" s="6">
        <v>-3.516305E-3</v>
      </c>
      <c r="BM108" s="6">
        <v>5.0254337349397634E-5</v>
      </c>
      <c r="BN108" s="6">
        <v>-4.0883029999999997E-3</v>
      </c>
      <c r="BO108" s="6">
        <v>-3.738852E-3</v>
      </c>
      <c r="BP108" s="6">
        <v>4.2102530120481893E-5</v>
      </c>
      <c r="BQ108" s="6">
        <v>-3.6709809999999998E-3</v>
      </c>
      <c r="BR108" s="6">
        <v>-3.3978379999999998E-3</v>
      </c>
      <c r="BS108" s="6">
        <v>3.2908795180722887E-5</v>
      </c>
      <c r="BT108" s="6">
        <v>-4.0832990000000003E-3</v>
      </c>
      <c r="BU108" s="6">
        <v>-3.735562E-3</v>
      </c>
      <c r="BV108" s="6">
        <v>4.1896024096385572E-5</v>
      </c>
      <c r="BW108" s="6">
        <v>-3.6739020000000002E-3</v>
      </c>
      <c r="BX108" s="6">
        <v>-3.3997749999999998E-3</v>
      </c>
      <c r="BY108" s="6">
        <v>3.3027349397590396E-5</v>
      </c>
      <c r="BZ108" s="6">
        <v>-3.7436050000000001E-3</v>
      </c>
      <c r="CA108" s="6">
        <v>-3.451628E-3</v>
      </c>
      <c r="CB108" s="6">
        <v>3.5177951807228925E-5</v>
      </c>
      <c r="CC108" s="6">
        <v>-4.1609259999999997E-3</v>
      </c>
      <c r="CD108" s="6">
        <v>-3.7926420000000001E-3</v>
      </c>
      <c r="CE108" s="6">
        <v>4.4371566265060185E-5</v>
      </c>
      <c r="CF108" s="6">
        <v>-3.748609E-3</v>
      </c>
      <c r="CG108" s="6">
        <v>-3.454918E-3</v>
      </c>
      <c r="CH108" s="6">
        <v>3.5384457831325299E-5</v>
      </c>
      <c r="CI108" s="6">
        <v>-4.1580059999999997E-3</v>
      </c>
      <c r="CJ108" s="6">
        <v>-3.7907050000000001E-3</v>
      </c>
      <c r="CK108" s="6">
        <v>4.4253132530120428E-5</v>
      </c>
      <c r="CL108" s="6">
        <v>-2.873876E-3</v>
      </c>
      <c r="CM108" s="6">
        <v>-2.6150290000000001E-3</v>
      </c>
      <c r="CN108" s="6">
        <v>3.1186385542168668E-5</v>
      </c>
      <c r="CO108" s="6">
        <v>-2.4565540000000001E-3</v>
      </c>
      <c r="CP108" s="6">
        <v>-2.274014E-3</v>
      </c>
      <c r="CQ108" s="6">
        <v>2.1992771084337364E-5</v>
      </c>
      <c r="CR108" s="6">
        <v>-2.8688720000000002E-3</v>
      </c>
      <c r="CS108" s="6">
        <v>-2.6117390000000001E-3</v>
      </c>
      <c r="CT108" s="6">
        <v>3.09798795180723E-5</v>
      </c>
      <c r="CU108" s="6">
        <v>-2.459475E-3</v>
      </c>
      <c r="CV108" s="6">
        <v>-2.2759519999999999E-3</v>
      </c>
      <c r="CW108" s="6">
        <v>2.2111204819277118E-5</v>
      </c>
      <c r="CX108" s="6">
        <v>-2.529178E-3</v>
      </c>
      <c r="CY108" s="6">
        <v>-2.3278050000000001E-3</v>
      </c>
      <c r="CZ108" s="6">
        <v>2.4261807228915649E-5</v>
      </c>
      <c r="DA108" s="6">
        <v>-2.9464999999999999E-3</v>
      </c>
      <c r="DB108" s="6">
        <v>-2.6688189999999998E-3</v>
      </c>
      <c r="DC108" s="6">
        <v>3.3455542168674712E-5</v>
      </c>
      <c r="DD108" s="6">
        <v>-2.5341819999999998E-3</v>
      </c>
      <c r="DE108" s="6">
        <v>-2.331095E-3</v>
      </c>
      <c r="DF108" s="6">
        <v>2.4468313253012021E-5</v>
      </c>
      <c r="DG108" s="6">
        <v>-2.943579E-3</v>
      </c>
      <c r="DH108" s="6">
        <v>-2.6668820000000002E-3</v>
      </c>
      <c r="DI108" s="6">
        <v>3.3336987951807203E-5</v>
      </c>
    </row>
    <row r="109" spans="1:113" x14ac:dyDescent="0.3">
      <c r="A109" s="13" t="s">
        <v>455</v>
      </c>
      <c r="B109" s="13" t="s">
        <v>98</v>
      </c>
      <c r="C109" s="13" t="s">
        <v>134</v>
      </c>
      <c r="D109" s="13" t="s">
        <v>350</v>
      </c>
      <c r="E109" s="13">
        <v>8.3000000000000007</v>
      </c>
      <c r="F109" s="6">
        <v>-2.3073249999999998E-3</v>
      </c>
      <c r="G109" s="6">
        <v>-1.9674330000000002E-3</v>
      </c>
      <c r="H109" s="6">
        <v>4.0950843373493925E-5</v>
      </c>
      <c r="I109" s="6">
        <v>-2.8493720000000002E-3</v>
      </c>
      <c r="J109" s="6">
        <v>-2.466902E-3</v>
      </c>
      <c r="K109" s="6">
        <v>4.6080722891566288E-5</v>
      </c>
      <c r="L109" s="6">
        <v>-2.6936659999999999E-3</v>
      </c>
      <c r="M109" s="6">
        <v>-2.3595719999999999E-3</v>
      </c>
      <c r="N109" s="6">
        <v>4.0252289156626506E-5</v>
      </c>
      <c r="O109" s="6">
        <v>-3.217283E-3</v>
      </c>
      <c r="P109" s="6">
        <v>-2.8403529999999999E-3</v>
      </c>
      <c r="Q109" s="6">
        <v>4.5413253012048209E-5</v>
      </c>
      <c r="R109" s="6">
        <v>-3.6806080000000001E-3</v>
      </c>
      <c r="S109" s="6">
        <v>-3.10867E-3</v>
      </c>
      <c r="T109" s="6">
        <v>6.8908192771084345E-5</v>
      </c>
      <c r="U109" s="6">
        <v>-2.6862879999999998E-3</v>
      </c>
      <c r="V109" s="6">
        <v>-2.5127940000000001E-3</v>
      </c>
      <c r="W109" s="6">
        <v>2.0902891566265027E-5</v>
      </c>
      <c r="X109" s="6">
        <v>-3.6696419999999999E-3</v>
      </c>
      <c r="Y109" s="6">
        <v>-3.1026040000000001E-3</v>
      </c>
      <c r="Z109" s="6">
        <v>6.8317831325301163E-5</v>
      </c>
      <c r="AA109" s="6">
        <v>-2.5503520000000001E-3</v>
      </c>
      <c r="AB109" s="6">
        <v>-2.4217840000000002E-3</v>
      </c>
      <c r="AC109" s="6">
        <v>1.54901204819277E-5</v>
      </c>
      <c r="AD109" s="6">
        <v>-2.7231960000000002E-3</v>
      </c>
      <c r="AE109" s="6">
        <v>-2.49585E-3</v>
      </c>
      <c r="AF109" s="6">
        <v>2.7391084337349424E-5</v>
      </c>
      <c r="AG109" s="6">
        <v>-3.8599099999999998E-3</v>
      </c>
      <c r="AH109" s="6">
        <v>-3.1862879999999998E-3</v>
      </c>
      <c r="AI109" s="6">
        <v>8.1159277108433734E-5</v>
      </c>
      <c r="AJ109" s="6">
        <v>-2.7341610000000001E-3</v>
      </c>
      <c r="AK109" s="6">
        <v>-2.5019159999999999E-3</v>
      </c>
      <c r="AL109" s="6">
        <v>2.7981325301204849E-5</v>
      </c>
      <c r="AM109" s="6">
        <v>-3.8534509999999999E-3</v>
      </c>
      <c r="AN109" s="6">
        <v>-3.1827359999999998E-3</v>
      </c>
      <c r="AO109" s="6">
        <v>8.0809036144578316E-5</v>
      </c>
      <c r="AP109" s="6">
        <v>-3.3434609999999998E-3</v>
      </c>
      <c r="AQ109" s="6">
        <v>-2.8114049999999999E-3</v>
      </c>
      <c r="AR109" s="6">
        <v>6.410313253012047E-5</v>
      </c>
      <c r="AS109" s="6">
        <v>-2.2067469999999998E-3</v>
      </c>
      <c r="AT109" s="6">
        <v>-2.1209670000000001E-3</v>
      </c>
      <c r="AU109" s="6">
        <v>1.0334939759036109E-5</v>
      </c>
      <c r="AV109" s="6">
        <v>-3.332495E-3</v>
      </c>
      <c r="AW109" s="6">
        <v>-2.805339E-3</v>
      </c>
      <c r="AX109" s="6">
        <v>6.3512771084337343E-5</v>
      </c>
      <c r="AY109" s="6">
        <v>-2.2132050000000002E-3</v>
      </c>
      <c r="AZ109" s="6">
        <v>-2.1245190000000001E-3</v>
      </c>
      <c r="BA109" s="6">
        <v>1.0685060240963873E-5</v>
      </c>
      <c r="BB109" s="6">
        <v>-2.3860489999999999E-3</v>
      </c>
      <c r="BC109" s="6">
        <v>-2.1985849999999999E-3</v>
      </c>
      <c r="BD109" s="6">
        <v>2.2586024096385545E-5</v>
      </c>
      <c r="BE109" s="6">
        <v>-3.5227629999999999E-3</v>
      </c>
      <c r="BF109" s="6">
        <v>-2.8890230000000001E-3</v>
      </c>
      <c r="BG109" s="6">
        <v>7.6354216867469845E-5</v>
      </c>
      <c r="BH109" s="6">
        <v>-2.3970139999999998E-3</v>
      </c>
      <c r="BI109" s="6">
        <v>-2.2046510000000002E-3</v>
      </c>
      <c r="BJ109" s="6">
        <v>2.317626506024092E-5</v>
      </c>
      <c r="BK109" s="6">
        <v>-3.516305E-3</v>
      </c>
      <c r="BL109" s="6">
        <v>-2.8854699999999998E-3</v>
      </c>
      <c r="BM109" s="6">
        <v>7.6004216867469891E-5</v>
      </c>
      <c r="BN109" s="6">
        <v>-3.738852E-3</v>
      </c>
      <c r="BO109" s="6">
        <v>-3.2409930000000002E-3</v>
      </c>
      <c r="BP109" s="6">
        <v>5.9983012048192744E-5</v>
      </c>
      <c r="BQ109" s="6">
        <v>-3.3978379999999998E-3</v>
      </c>
      <c r="BR109" s="6">
        <v>-3.0338610000000001E-3</v>
      </c>
      <c r="BS109" s="6">
        <v>4.3852650602409599E-5</v>
      </c>
      <c r="BT109" s="6">
        <v>-3.735562E-3</v>
      </c>
      <c r="BU109" s="6">
        <v>-3.2391730000000001E-3</v>
      </c>
      <c r="BV109" s="6">
        <v>5.9805903614457809E-5</v>
      </c>
      <c r="BW109" s="6">
        <v>-3.3997749999999998E-3</v>
      </c>
      <c r="BX109" s="6">
        <v>-3.0349270000000002E-3</v>
      </c>
      <c r="BY109" s="6">
        <v>4.3957590361445737E-5</v>
      </c>
      <c r="BZ109" s="6">
        <v>-3.451628E-3</v>
      </c>
      <c r="CA109" s="6">
        <v>-3.0571460000000002E-3</v>
      </c>
      <c r="CB109" s="6">
        <v>4.7527951807228893E-5</v>
      </c>
      <c r="CC109" s="6">
        <v>-3.7926420000000001E-3</v>
      </c>
      <c r="CD109" s="6">
        <v>-3.2642779999999998E-3</v>
      </c>
      <c r="CE109" s="6">
        <v>6.3658313253012091E-5</v>
      </c>
      <c r="CF109" s="6">
        <v>-3.454918E-3</v>
      </c>
      <c r="CG109" s="6">
        <v>-3.0589660000000002E-3</v>
      </c>
      <c r="CH109" s="6">
        <v>4.770506024096382E-5</v>
      </c>
      <c r="CI109" s="6">
        <v>-3.7907050000000001E-3</v>
      </c>
      <c r="CJ109" s="6">
        <v>-3.2632120000000001E-3</v>
      </c>
      <c r="CK109" s="6">
        <v>6.3553373493975893E-5</v>
      </c>
      <c r="CL109" s="6">
        <v>-2.6150290000000001E-3</v>
      </c>
      <c r="CM109" s="6">
        <v>-2.2501090000000001E-3</v>
      </c>
      <c r="CN109" s="6">
        <v>4.3966265060240953E-5</v>
      </c>
      <c r="CO109" s="6">
        <v>-2.274014E-3</v>
      </c>
      <c r="CP109" s="6">
        <v>-2.0429770000000001E-3</v>
      </c>
      <c r="CQ109" s="6">
        <v>2.7835783132530108E-5</v>
      </c>
      <c r="CR109" s="6">
        <v>-2.6117390000000001E-3</v>
      </c>
      <c r="CS109" s="6">
        <v>-2.2482890000000001E-3</v>
      </c>
      <c r="CT109" s="6">
        <v>4.3789156626506019E-5</v>
      </c>
      <c r="CU109" s="6">
        <v>-2.2759519999999999E-3</v>
      </c>
      <c r="CV109" s="6">
        <v>-2.0440430000000002E-3</v>
      </c>
      <c r="CW109" s="6">
        <v>2.7940843373493946E-5</v>
      </c>
      <c r="CX109" s="6">
        <v>-2.3278050000000001E-3</v>
      </c>
      <c r="CY109" s="6">
        <v>-2.066263E-3</v>
      </c>
      <c r="CZ109" s="6">
        <v>3.1511084337349398E-5</v>
      </c>
      <c r="DA109" s="6">
        <v>-2.6688189999999998E-3</v>
      </c>
      <c r="DB109" s="6">
        <v>-2.2733940000000002E-3</v>
      </c>
      <c r="DC109" s="6">
        <v>4.7641566265060186E-5</v>
      </c>
      <c r="DD109" s="6">
        <v>-2.331095E-3</v>
      </c>
      <c r="DE109" s="6">
        <v>-2.0680830000000001E-3</v>
      </c>
      <c r="DF109" s="6">
        <v>3.1688192771084332E-5</v>
      </c>
      <c r="DG109" s="6">
        <v>-2.6668820000000002E-3</v>
      </c>
      <c r="DH109" s="6">
        <v>-2.2723280000000001E-3</v>
      </c>
      <c r="DI109" s="6">
        <v>4.7536626506024102E-5</v>
      </c>
    </row>
    <row r="110" spans="1:113" x14ac:dyDescent="0.3">
      <c r="A110" s="13" t="s">
        <v>456</v>
      </c>
      <c r="B110" s="13" t="s">
        <v>134</v>
      </c>
      <c r="C110" s="13" t="s">
        <v>173</v>
      </c>
      <c r="D110" s="13" t="s">
        <v>350</v>
      </c>
      <c r="E110" s="13">
        <v>8.3000000000000007</v>
      </c>
      <c r="F110" s="6">
        <v>-1.9674330000000002E-3</v>
      </c>
      <c r="G110" s="6">
        <v>-1.6907350000000001E-3</v>
      </c>
      <c r="H110" s="6">
        <v>3.3337108433734955E-5</v>
      </c>
      <c r="I110" s="6">
        <v>-2.466902E-3</v>
      </c>
      <c r="J110" s="6">
        <v>-2.1698920000000001E-3</v>
      </c>
      <c r="K110" s="6">
        <v>3.5784337349397577E-5</v>
      </c>
      <c r="L110" s="6">
        <v>-2.3595719999999999E-3</v>
      </c>
      <c r="M110" s="6">
        <v>-2.0858230000000001E-3</v>
      </c>
      <c r="N110" s="6">
        <v>3.298180722891563E-5</v>
      </c>
      <c r="O110" s="6">
        <v>-2.8403529999999999E-3</v>
      </c>
      <c r="P110" s="6">
        <v>-2.5461619999999998E-3</v>
      </c>
      <c r="Q110" s="6">
        <v>3.5444698795180725E-5</v>
      </c>
      <c r="R110" s="6">
        <v>-3.10867E-3</v>
      </c>
      <c r="S110" s="6">
        <v>-2.680768E-3</v>
      </c>
      <c r="T110" s="6">
        <v>5.1554457831325295E-5</v>
      </c>
      <c r="U110" s="6">
        <v>-2.5127940000000001E-3</v>
      </c>
      <c r="V110" s="6">
        <v>-2.4103520000000002E-3</v>
      </c>
      <c r="W110" s="6">
        <v>1.2342409638554204E-5</v>
      </c>
      <c r="X110" s="6">
        <v>-3.1026040000000001E-3</v>
      </c>
      <c r="Y110" s="6">
        <v>-2.6762930000000002E-3</v>
      </c>
      <c r="Z110" s="6">
        <v>5.1362771084337339E-5</v>
      </c>
      <c r="AA110" s="6">
        <v>-2.4217840000000002E-3</v>
      </c>
      <c r="AB110" s="6">
        <v>-2.362346E-3</v>
      </c>
      <c r="AC110" s="6">
        <v>7.1612048192771322E-6</v>
      </c>
      <c r="AD110" s="6">
        <v>-2.49585E-3</v>
      </c>
      <c r="AE110" s="6">
        <v>-2.299808E-3</v>
      </c>
      <c r="AF110" s="6">
        <v>2.3619518072289155E-5</v>
      </c>
      <c r="AG110" s="6">
        <v>-3.1862879999999998E-3</v>
      </c>
      <c r="AH110" s="6">
        <v>-2.6207240000000001E-3</v>
      </c>
      <c r="AI110" s="6">
        <v>6.814024096385539E-5</v>
      </c>
      <c r="AJ110" s="6">
        <v>-2.5019159999999999E-3</v>
      </c>
      <c r="AK110" s="6">
        <v>-2.3042829999999999E-3</v>
      </c>
      <c r="AL110" s="6">
        <v>2.3811204819277108E-5</v>
      </c>
      <c r="AM110" s="6">
        <v>-3.1827359999999998E-3</v>
      </c>
      <c r="AN110" s="6">
        <v>-2.61823E-3</v>
      </c>
      <c r="AO110" s="6">
        <v>6.8012771084337317E-5</v>
      </c>
      <c r="AP110" s="6">
        <v>-2.8114049999999999E-3</v>
      </c>
      <c r="AQ110" s="6">
        <v>-2.4162459999999999E-3</v>
      </c>
      <c r="AR110" s="6">
        <v>4.7609518072289147E-5</v>
      </c>
      <c r="AS110" s="6">
        <v>-2.1209670000000001E-3</v>
      </c>
      <c r="AT110" s="6">
        <v>-2.0953299999999998E-3</v>
      </c>
      <c r="AU110" s="6">
        <v>3.0887951807229188E-6</v>
      </c>
      <c r="AV110" s="6">
        <v>-2.805339E-3</v>
      </c>
      <c r="AW110" s="6">
        <v>-2.4117710000000001E-3</v>
      </c>
      <c r="AX110" s="6">
        <v>4.7417831325301198E-5</v>
      </c>
      <c r="AY110" s="6">
        <v>-2.1245190000000001E-3</v>
      </c>
      <c r="AZ110" s="6">
        <v>-2.0978239999999999E-3</v>
      </c>
      <c r="BA110" s="6">
        <v>3.2162650602409867E-6</v>
      </c>
      <c r="BB110" s="6">
        <v>-2.1985849999999999E-3</v>
      </c>
      <c r="BC110" s="6">
        <v>-2.0352859999999999E-3</v>
      </c>
      <c r="BD110" s="6">
        <v>1.967457831325301E-5</v>
      </c>
      <c r="BE110" s="6">
        <v>-2.8890230000000001E-3</v>
      </c>
      <c r="BF110" s="6">
        <v>-2.3562019999999999E-3</v>
      </c>
      <c r="BG110" s="6">
        <v>6.4195301204819297E-5</v>
      </c>
      <c r="BH110" s="6">
        <v>-2.2046510000000002E-3</v>
      </c>
      <c r="BI110" s="6">
        <v>-2.0397610000000002E-3</v>
      </c>
      <c r="BJ110" s="6">
        <v>1.9866265060240964E-5</v>
      </c>
      <c r="BK110" s="6">
        <v>-2.8854699999999998E-3</v>
      </c>
      <c r="BL110" s="6">
        <v>-2.3537079999999999E-3</v>
      </c>
      <c r="BM110" s="6">
        <v>6.4067710843373471E-5</v>
      </c>
      <c r="BN110" s="6">
        <v>-3.2409930000000002E-3</v>
      </c>
      <c r="BO110" s="6">
        <v>-2.8560410000000001E-3</v>
      </c>
      <c r="BP110" s="6">
        <v>4.6379759036144577E-5</v>
      </c>
      <c r="BQ110" s="6">
        <v>-3.0338610000000001E-3</v>
      </c>
      <c r="BR110" s="6">
        <v>-2.7597659999999999E-3</v>
      </c>
      <c r="BS110" s="6">
        <v>3.3023493975903637E-5</v>
      </c>
      <c r="BT110" s="6">
        <v>-3.2391730000000001E-3</v>
      </c>
      <c r="BU110" s="6">
        <v>-2.8546980000000001E-3</v>
      </c>
      <c r="BV110" s="6">
        <v>4.6322289156626501E-5</v>
      </c>
      <c r="BW110" s="6">
        <v>-3.0349270000000002E-3</v>
      </c>
      <c r="BX110" s="6">
        <v>-2.7605139999999999E-3</v>
      </c>
      <c r="BY110" s="6">
        <v>3.306180722891569E-5</v>
      </c>
      <c r="BZ110" s="6">
        <v>-3.0571460000000002E-3</v>
      </c>
      <c r="CA110" s="6">
        <v>-2.7417520000000001E-3</v>
      </c>
      <c r="CB110" s="6">
        <v>3.799927710843374E-5</v>
      </c>
      <c r="CC110" s="6">
        <v>-3.2642779999999998E-3</v>
      </c>
      <c r="CD110" s="6">
        <v>-2.8380269999999999E-3</v>
      </c>
      <c r="CE110" s="6">
        <v>5.135554216867468E-5</v>
      </c>
      <c r="CF110" s="6">
        <v>-3.0589660000000002E-3</v>
      </c>
      <c r="CG110" s="6">
        <v>-2.7430950000000001E-3</v>
      </c>
      <c r="CH110" s="6">
        <v>3.8056746987951817E-5</v>
      </c>
      <c r="CI110" s="6">
        <v>-3.2632120000000001E-3</v>
      </c>
      <c r="CJ110" s="6">
        <v>-2.8372789999999998E-3</v>
      </c>
      <c r="CK110" s="6">
        <v>5.1317228915662681E-5</v>
      </c>
      <c r="CL110" s="6">
        <v>-2.2501090000000001E-3</v>
      </c>
      <c r="CM110" s="6">
        <v>-1.9743009999999999E-3</v>
      </c>
      <c r="CN110" s="6">
        <v>3.3229879518072314E-5</v>
      </c>
      <c r="CO110" s="6">
        <v>-2.0429770000000001E-3</v>
      </c>
      <c r="CP110" s="6">
        <v>-1.8780260000000001E-3</v>
      </c>
      <c r="CQ110" s="6">
        <v>1.987361445783132E-5</v>
      </c>
      <c r="CR110" s="6">
        <v>-2.2482890000000001E-3</v>
      </c>
      <c r="CS110" s="6">
        <v>-1.9729589999999998E-3</v>
      </c>
      <c r="CT110" s="6">
        <v>3.317228915662654E-5</v>
      </c>
      <c r="CU110" s="6">
        <v>-2.0440430000000002E-3</v>
      </c>
      <c r="CV110" s="6">
        <v>-1.8787750000000001E-3</v>
      </c>
      <c r="CW110" s="6">
        <v>1.9911807228915672E-5</v>
      </c>
      <c r="CX110" s="6">
        <v>-2.066263E-3</v>
      </c>
      <c r="CY110" s="6">
        <v>-1.860013E-3</v>
      </c>
      <c r="CZ110" s="6">
        <v>2.4849397590361451E-5</v>
      </c>
      <c r="DA110" s="6">
        <v>-2.2733940000000002E-3</v>
      </c>
      <c r="DB110" s="6">
        <v>-1.956288E-3</v>
      </c>
      <c r="DC110" s="6">
        <v>3.8205542168674713E-5</v>
      </c>
      <c r="DD110" s="6">
        <v>-2.0680830000000001E-3</v>
      </c>
      <c r="DE110" s="6">
        <v>-1.861356E-3</v>
      </c>
      <c r="DF110" s="6">
        <v>2.4906867469879527E-5</v>
      </c>
      <c r="DG110" s="6">
        <v>-2.2723280000000001E-3</v>
      </c>
      <c r="DH110" s="6">
        <v>-1.95554E-3</v>
      </c>
      <c r="DI110" s="6">
        <v>3.8167228915662666E-5</v>
      </c>
    </row>
    <row r="111" spans="1:113" x14ac:dyDescent="0.3">
      <c r="A111" s="13" t="s">
        <v>457</v>
      </c>
      <c r="B111" s="13" t="s">
        <v>173</v>
      </c>
      <c r="C111" s="13" t="s">
        <v>214</v>
      </c>
      <c r="D111" s="13" t="s">
        <v>350</v>
      </c>
      <c r="E111" s="13">
        <v>8.3000000000000007</v>
      </c>
      <c r="F111" s="6">
        <v>-1.6907350000000001E-3</v>
      </c>
      <c r="G111" s="6">
        <v>-1.54882E-3</v>
      </c>
      <c r="H111" s="6">
        <v>1.7098192771084341E-5</v>
      </c>
      <c r="I111" s="6">
        <v>-2.1698920000000001E-3</v>
      </c>
      <c r="J111" s="6">
        <v>-2.0063400000000001E-3</v>
      </c>
      <c r="K111" s="6">
        <v>1.9705060240963851E-5</v>
      </c>
      <c r="L111" s="6">
        <v>-2.0858230000000001E-3</v>
      </c>
      <c r="M111" s="6">
        <v>-1.944065E-3</v>
      </c>
      <c r="N111" s="6">
        <v>1.7079277108433744E-5</v>
      </c>
      <c r="O111" s="6">
        <v>-2.5461619999999998E-3</v>
      </c>
      <c r="P111" s="6">
        <v>-2.382763E-3</v>
      </c>
      <c r="Q111" s="6">
        <v>1.9686626506024076E-5</v>
      </c>
      <c r="R111" s="6">
        <v>-2.680768E-3</v>
      </c>
      <c r="S111" s="6">
        <v>-2.4945029999999999E-3</v>
      </c>
      <c r="T111" s="6">
        <v>2.2441566265060254E-5</v>
      </c>
      <c r="U111" s="6">
        <v>-2.4103520000000002E-3</v>
      </c>
      <c r="V111" s="6">
        <v>-2.4139470000000001E-3</v>
      </c>
      <c r="W111" s="6">
        <v>4.3313253012046988E-7</v>
      </c>
      <c r="X111" s="6">
        <v>-2.6762930000000002E-3</v>
      </c>
      <c r="Y111" s="6">
        <v>-2.4902510000000002E-3</v>
      </c>
      <c r="Z111" s="6">
        <v>2.2414698795180719E-5</v>
      </c>
      <c r="AA111" s="6">
        <v>-2.362346E-3</v>
      </c>
      <c r="AB111" s="6">
        <v>-2.3946900000000001E-3</v>
      </c>
      <c r="AC111" s="6">
        <v>3.8968674698795323E-6</v>
      </c>
      <c r="AD111" s="6">
        <v>-2.299808E-3</v>
      </c>
      <c r="AE111" s="6">
        <v>-2.1421159999999999E-3</v>
      </c>
      <c r="AF111" s="6">
        <v>1.899903614457832E-5</v>
      </c>
      <c r="AG111" s="6">
        <v>-2.6207240000000001E-3</v>
      </c>
      <c r="AH111" s="6">
        <v>-2.2442199999999999E-3</v>
      </c>
      <c r="AI111" s="6">
        <v>4.5361927710843389E-5</v>
      </c>
      <c r="AJ111" s="6">
        <v>-2.3042829999999999E-3</v>
      </c>
      <c r="AK111" s="6">
        <v>-2.146369E-3</v>
      </c>
      <c r="AL111" s="6">
        <v>1.9025783132530106E-5</v>
      </c>
      <c r="AM111" s="6">
        <v>-2.61823E-3</v>
      </c>
      <c r="AN111" s="6">
        <v>-2.2419300000000001E-3</v>
      </c>
      <c r="AO111" s="6">
        <v>4.5337349397590358E-5</v>
      </c>
      <c r="AP111" s="6">
        <v>-2.4162459999999999E-3</v>
      </c>
      <c r="AQ111" s="6">
        <v>-2.2469870000000002E-3</v>
      </c>
      <c r="AR111" s="6">
        <v>2.0392650602409604E-5</v>
      </c>
      <c r="AS111" s="6">
        <v>-2.0953299999999998E-3</v>
      </c>
      <c r="AT111" s="6">
        <v>-2.1448830000000002E-3</v>
      </c>
      <c r="AU111" s="6">
        <v>5.970240963855464E-6</v>
      </c>
      <c r="AV111" s="6">
        <v>-2.4117710000000001E-3</v>
      </c>
      <c r="AW111" s="6">
        <v>-2.2427340000000001E-3</v>
      </c>
      <c r="AX111" s="6">
        <v>2.0365903614457821E-5</v>
      </c>
      <c r="AY111" s="6">
        <v>-2.0978239999999999E-3</v>
      </c>
      <c r="AZ111" s="6">
        <v>-2.147174E-3</v>
      </c>
      <c r="BA111" s="6">
        <v>5.9457831325301309E-6</v>
      </c>
      <c r="BB111" s="6">
        <v>-2.0352859999999999E-3</v>
      </c>
      <c r="BC111" s="6">
        <v>-1.8946E-3</v>
      </c>
      <c r="BD111" s="6">
        <v>1.6950120481927697E-5</v>
      </c>
      <c r="BE111" s="6">
        <v>-2.3562019999999999E-3</v>
      </c>
      <c r="BF111" s="6">
        <v>-1.9967029999999998E-3</v>
      </c>
      <c r="BG111" s="6">
        <v>4.3313132530120488E-5</v>
      </c>
      <c r="BH111" s="6">
        <v>-2.0397610000000002E-3</v>
      </c>
      <c r="BI111" s="6">
        <v>-1.8988519999999999E-3</v>
      </c>
      <c r="BJ111" s="6">
        <v>1.6976987951807258E-5</v>
      </c>
      <c r="BK111" s="6">
        <v>-2.3537079999999999E-3</v>
      </c>
      <c r="BL111" s="6">
        <v>-1.994413E-3</v>
      </c>
      <c r="BM111" s="6">
        <v>4.3288554216867457E-5</v>
      </c>
      <c r="BN111" s="6">
        <v>-2.8560410000000001E-3</v>
      </c>
      <c r="BO111" s="6">
        <v>-2.6599369999999998E-3</v>
      </c>
      <c r="BP111" s="6">
        <v>2.3626987951807267E-5</v>
      </c>
      <c r="BQ111" s="6">
        <v>-2.7597659999999999E-3</v>
      </c>
      <c r="BR111" s="6">
        <v>-2.6293060000000001E-3</v>
      </c>
      <c r="BS111" s="6">
        <v>1.5718072289156599E-5</v>
      </c>
      <c r="BT111" s="6">
        <v>-2.8546980000000001E-3</v>
      </c>
      <c r="BU111" s="6">
        <v>-2.6586610000000001E-3</v>
      </c>
      <c r="BV111" s="6">
        <v>2.3618915662650605E-5</v>
      </c>
      <c r="BW111" s="6">
        <v>-2.7605139999999999E-3</v>
      </c>
      <c r="BX111" s="6">
        <v>-2.6299930000000002E-3</v>
      </c>
      <c r="BY111" s="6">
        <v>1.5725421686746959E-5</v>
      </c>
      <c r="BZ111" s="6">
        <v>-2.7417520000000001E-3</v>
      </c>
      <c r="CA111" s="6">
        <v>-2.5542210000000002E-3</v>
      </c>
      <c r="CB111" s="6">
        <v>2.2594096385542154E-5</v>
      </c>
      <c r="CC111" s="6">
        <v>-2.8380269999999999E-3</v>
      </c>
      <c r="CD111" s="6">
        <v>-2.5848519999999999E-3</v>
      </c>
      <c r="CE111" s="6">
        <v>3.0503012048192772E-5</v>
      </c>
      <c r="CF111" s="6">
        <v>-2.7430950000000001E-3</v>
      </c>
      <c r="CG111" s="6">
        <v>-2.5554969999999999E-3</v>
      </c>
      <c r="CH111" s="6">
        <v>2.2602168674698816E-5</v>
      </c>
      <c r="CI111" s="6">
        <v>-2.8372789999999998E-3</v>
      </c>
      <c r="CJ111" s="6">
        <v>-2.5841649999999998E-3</v>
      </c>
      <c r="CK111" s="6">
        <v>3.0495662650602411E-5</v>
      </c>
      <c r="CL111" s="6">
        <v>-1.9743009999999999E-3</v>
      </c>
      <c r="CM111" s="6">
        <v>-1.8348819999999999E-3</v>
      </c>
      <c r="CN111" s="6">
        <v>1.6797469879518072E-5</v>
      </c>
      <c r="CO111" s="6">
        <v>-1.8780260000000001E-3</v>
      </c>
      <c r="CP111" s="6">
        <v>-1.804251E-3</v>
      </c>
      <c r="CQ111" s="6">
        <v>8.888554216867481E-6</v>
      </c>
      <c r="CR111" s="6">
        <v>-1.9729589999999998E-3</v>
      </c>
      <c r="CS111" s="6">
        <v>-1.833606E-3</v>
      </c>
      <c r="CT111" s="6">
        <v>1.6789518072289134E-5</v>
      </c>
      <c r="CU111" s="6">
        <v>-1.8787750000000001E-3</v>
      </c>
      <c r="CV111" s="6">
        <v>-1.8049380000000001E-3</v>
      </c>
      <c r="CW111" s="6">
        <v>8.8960240963855408E-6</v>
      </c>
      <c r="CX111" s="6">
        <v>-1.860013E-3</v>
      </c>
      <c r="CY111" s="6">
        <v>-1.7291660000000001E-3</v>
      </c>
      <c r="CZ111" s="6">
        <v>1.576469879518071E-5</v>
      </c>
      <c r="DA111" s="6">
        <v>-1.956288E-3</v>
      </c>
      <c r="DB111" s="6">
        <v>-1.759797E-3</v>
      </c>
      <c r="DC111" s="6">
        <v>2.3673614457831328E-5</v>
      </c>
      <c r="DD111" s="6">
        <v>-1.861356E-3</v>
      </c>
      <c r="DE111" s="6">
        <v>-1.730442E-3</v>
      </c>
      <c r="DF111" s="6">
        <v>1.5772771084337346E-5</v>
      </c>
      <c r="DG111" s="6">
        <v>-1.95554E-3</v>
      </c>
      <c r="DH111" s="6">
        <v>-1.7591099999999999E-3</v>
      </c>
      <c r="DI111" s="6">
        <v>2.3666265060240968E-5</v>
      </c>
    </row>
    <row r="112" spans="1:113" x14ac:dyDescent="0.3">
      <c r="A112" s="13" t="s">
        <v>458</v>
      </c>
      <c r="B112" s="13" t="s">
        <v>214</v>
      </c>
      <c r="C112" s="13" t="s">
        <v>252</v>
      </c>
      <c r="D112" s="13" t="s">
        <v>350</v>
      </c>
      <c r="E112" s="13">
        <v>8.3000000000000007</v>
      </c>
      <c r="F112" s="6">
        <v>-1.54882E-3</v>
      </c>
      <c r="G112" s="6">
        <v>-1.491673E-3</v>
      </c>
      <c r="H112" s="6">
        <v>6.8851807228915673E-6</v>
      </c>
      <c r="I112" s="6">
        <v>-2.0063400000000001E-3</v>
      </c>
      <c r="J112" s="6">
        <v>-1.922792E-3</v>
      </c>
      <c r="K112" s="6">
        <v>1.0066024096385557E-5</v>
      </c>
      <c r="L112" s="6">
        <v>-1.944065E-3</v>
      </c>
      <c r="M112" s="6">
        <v>-1.884553E-3</v>
      </c>
      <c r="N112" s="6">
        <v>7.1701204819277182E-6</v>
      </c>
      <c r="O112" s="6">
        <v>-2.382763E-3</v>
      </c>
      <c r="P112" s="6">
        <v>-2.296963E-3</v>
      </c>
      <c r="Q112" s="6">
        <v>1.0337349397590363E-5</v>
      </c>
      <c r="R112" s="6">
        <v>-2.4945029999999999E-3</v>
      </c>
      <c r="S112" s="6">
        <v>-2.4762159999999998E-3</v>
      </c>
      <c r="T112" s="6">
        <v>2.2032530120482021E-6</v>
      </c>
      <c r="U112" s="6">
        <v>-2.4139470000000001E-3</v>
      </c>
      <c r="V112" s="6">
        <v>-2.4762809999999999E-3</v>
      </c>
      <c r="W112" s="6">
        <v>7.5101204819276895E-6</v>
      </c>
      <c r="X112" s="6">
        <v>-2.4902510000000002E-3</v>
      </c>
      <c r="Y112" s="6">
        <v>-2.4731050000000002E-3</v>
      </c>
      <c r="Z112" s="6">
        <v>2.0657831325301206E-6</v>
      </c>
      <c r="AA112" s="6">
        <v>-2.3946900000000001E-3</v>
      </c>
      <c r="AB112" s="6">
        <v>-2.4720229999999998E-3</v>
      </c>
      <c r="AC112" s="6">
        <v>9.3172289156626189E-6</v>
      </c>
      <c r="AD112" s="6">
        <v>-2.1421159999999999E-3</v>
      </c>
      <c r="AE112" s="6">
        <v>-1.9838289999999999E-3</v>
      </c>
      <c r="AF112" s="6">
        <v>1.9070722891566264E-5</v>
      </c>
      <c r="AG112" s="6">
        <v>-2.2442199999999999E-3</v>
      </c>
      <c r="AH112" s="6">
        <v>-1.9896979999999998E-3</v>
      </c>
      <c r="AI112" s="6">
        <v>3.0665301204819284E-5</v>
      </c>
      <c r="AJ112" s="6">
        <v>-2.146369E-3</v>
      </c>
      <c r="AK112" s="6">
        <v>-1.9869390000000001E-3</v>
      </c>
      <c r="AL112" s="6">
        <v>1.9208433734939745E-5</v>
      </c>
      <c r="AM112" s="6">
        <v>-2.2419300000000001E-3</v>
      </c>
      <c r="AN112" s="6">
        <v>-1.9880219999999999E-3</v>
      </c>
      <c r="AO112" s="6">
        <v>3.0591325301204836E-5</v>
      </c>
      <c r="AP112" s="6">
        <v>-2.2469870000000002E-3</v>
      </c>
      <c r="AQ112" s="6">
        <v>-2.2359260000000001E-3</v>
      </c>
      <c r="AR112" s="6">
        <v>1.3326506024096558E-6</v>
      </c>
      <c r="AS112" s="6">
        <v>-2.1448830000000002E-3</v>
      </c>
      <c r="AT112" s="6">
        <v>-2.2300570000000001E-3</v>
      </c>
      <c r="AU112" s="6">
        <v>1.0261927710843364E-5</v>
      </c>
      <c r="AV112" s="6">
        <v>-2.2427340000000001E-3</v>
      </c>
      <c r="AW112" s="6">
        <v>-2.232815E-3</v>
      </c>
      <c r="AX112" s="6">
        <v>1.1950602409638746E-6</v>
      </c>
      <c r="AY112" s="6">
        <v>-2.147174E-3</v>
      </c>
      <c r="AZ112" s="6">
        <v>-2.2317330000000001E-3</v>
      </c>
      <c r="BA112" s="6">
        <v>1.0187831325301217E-5</v>
      </c>
      <c r="BB112" s="6">
        <v>-1.8946E-3</v>
      </c>
      <c r="BC112" s="6">
        <v>-1.7435389999999999E-3</v>
      </c>
      <c r="BD112" s="6">
        <v>1.820012048192772E-5</v>
      </c>
      <c r="BE112" s="6">
        <v>-1.9967029999999998E-3</v>
      </c>
      <c r="BF112" s="6">
        <v>-1.749408E-3</v>
      </c>
      <c r="BG112" s="6">
        <v>2.9794578313252985E-5</v>
      </c>
      <c r="BH112" s="6">
        <v>-1.8988519999999999E-3</v>
      </c>
      <c r="BI112" s="6">
        <v>-1.74665E-3</v>
      </c>
      <c r="BJ112" s="6">
        <v>1.8337590361445775E-5</v>
      </c>
      <c r="BK112" s="6">
        <v>-1.994413E-3</v>
      </c>
      <c r="BL112" s="6">
        <v>-1.7477320000000001E-3</v>
      </c>
      <c r="BM112" s="6">
        <v>2.972060240963854E-5</v>
      </c>
      <c r="BN112" s="6">
        <v>-2.6599369999999998E-3</v>
      </c>
      <c r="BO112" s="6">
        <v>-2.584219E-3</v>
      </c>
      <c r="BP112" s="6">
        <v>9.1226506024096134E-6</v>
      </c>
      <c r="BQ112" s="6">
        <v>-2.6293060000000001E-3</v>
      </c>
      <c r="BR112" s="6">
        <v>-2.5824580000000001E-3</v>
      </c>
      <c r="BS112" s="6">
        <v>5.644337349397583E-6</v>
      </c>
      <c r="BT112" s="6">
        <v>-2.6586610000000001E-3</v>
      </c>
      <c r="BU112" s="6">
        <v>-2.5832860000000002E-3</v>
      </c>
      <c r="BV112" s="6">
        <v>9.0813253012048083E-6</v>
      </c>
      <c r="BW112" s="6">
        <v>-2.6299930000000002E-3</v>
      </c>
      <c r="BX112" s="6">
        <v>-2.5829609999999999E-3</v>
      </c>
      <c r="BY112" s="6">
        <v>5.6665060240964132E-6</v>
      </c>
      <c r="BZ112" s="6">
        <v>-2.5542210000000002E-3</v>
      </c>
      <c r="CA112" s="6">
        <v>-2.436503E-3</v>
      </c>
      <c r="CB112" s="6">
        <v>1.4182891566265079E-5</v>
      </c>
      <c r="CC112" s="6">
        <v>-2.5848519999999999E-3</v>
      </c>
      <c r="CD112" s="6">
        <v>-2.438263E-3</v>
      </c>
      <c r="CE112" s="6">
        <v>1.7661325301204809E-5</v>
      </c>
      <c r="CF112" s="6">
        <v>-2.5554969999999999E-3</v>
      </c>
      <c r="CG112" s="6">
        <v>-2.4374359999999999E-3</v>
      </c>
      <c r="CH112" s="6">
        <v>1.4224216867469883E-5</v>
      </c>
      <c r="CI112" s="6">
        <v>-2.5841649999999998E-3</v>
      </c>
      <c r="CJ112" s="6">
        <v>-2.4377610000000001E-3</v>
      </c>
      <c r="CK112" s="6">
        <v>1.7639036144578279E-5</v>
      </c>
      <c r="CL112" s="6">
        <v>-1.8348819999999999E-3</v>
      </c>
      <c r="CM112" s="6">
        <v>-1.7832519999999999E-3</v>
      </c>
      <c r="CN112" s="6">
        <v>6.2204819277108421E-6</v>
      </c>
      <c r="CO112" s="6">
        <v>-1.804251E-3</v>
      </c>
      <c r="CP112" s="6">
        <v>-1.781492E-3</v>
      </c>
      <c r="CQ112" s="6">
        <v>2.7420481927710864E-6</v>
      </c>
      <c r="CR112" s="6">
        <v>-1.833606E-3</v>
      </c>
      <c r="CS112" s="6">
        <v>-1.7823190000000001E-3</v>
      </c>
      <c r="CT112" s="6">
        <v>6.1791566265060116E-6</v>
      </c>
      <c r="CU112" s="6">
        <v>-1.8049380000000001E-3</v>
      </c>
      <c r="CV112" s="6">
        <v>-1.7819940000000001E-3</v>
      </c>
      <c r="CW112" s="6">
        <v>2.7643373493975903E-6</v>
      </c>
      <c r="CX112" s="6">
        <v>-1.7291660000000001E-3</v>
      </c>
      <c r="CY112" s="6">
        <v>-1.6355359999999999E-3</v>
      </c>
      <c r="CZ112" s="6">
        <v>1.1280722891566281E-5</v>
      </c>
      <c r="DA112" s="6">
        <v>-1.759797E-3</v>
      </c>
      <c r="DB112" s="6">
        <v>-1.637297E-3</v>
      </c>
      <c r="DC112" s="6">
        <v>1.4759036144578311E-5</v>
      </c>
      <c r="DD112" s="6">
        <v>-1.730442E-3</v>
      </c>
      <c r="DE112" s="6">
        <v>-1.636469E-3</v>
      </c>
      <c r="DF112" s="6">
        <v>1.1322048192771086E-5</v>
      </c>
      <c r="DG112" s="6">
        <v>-1.7591099999999999E-3</v>
      </c>
      <c r="DH112" s="6">
        <v>-1.636794E-3</v>
      </c>
      <c r="DI112" s="6">
        <v>1.4736867469879507E-5</v>
      </c>
    </row>
    <row r="113" spans="1:113" x14ac:dyDescent="0.3">
      <c r="A113" s="13" t="s">
        <v>459</v>
      </c>
      <c r="B113" s="13" t="s">
        <v>252</v>
      </c>
      <c r="C113" s="13" t="s">
        <v>294</v>
      </c>
      <c r="D113" s="13" t="s">
        <v>350</v>
      </c>
      <c r="E113" s="13">
        <v>8.3000000000000007</v>
      </c>
      <c r="F113" s="6">
        <v>-1.491673E-3</v>
      </c>
      <c r="G113" s="6">
        <v>-1.427296E-3</v>
      </c>
      <c r="H113" s="6">
        <v>7.7562650602409644E-6</v>
      </c>
      <c r="I113" s="6">
        <v>-1.922792E-3</v>
      </c>
      <c r="J113" s="6">
        <v>-1.8152400000000001E-3</v>
      </c>
      <c r="K113" s="6">
        <v>1.2958072289156615E-5</v>
      </c>
      <c r="L113" s="6">
        <v>-1.884553E-3</v>
      </c>
      <c r="M113" s="6">
        <v>-1.815784E-3</v>
      </c>
      <c r="N113" s="6">
        <v>8.2854216867469861E-6</v>
      </c>
      <c r="O113" s="6">
        <v>-2.296963E-3</v>
      </c>
      <c r="P113" s="6">
        <v>-2.1852239999999999E-3</v>
      </c>
      <c r="Q113" s="6">
        <v>1.346253012048193E-5</v>
      </c>
      <c r="R113" s="6">
        <v>-2.4762159999999998E-3</v>
      </c>
      <c r="S113" s="6">
        <v>-2.4440030000000001E-3</v>
      </c>
      <c r="T113" s="6">
        <v>3.8810843373493598E-6</v>
      </c>
      <c r="U113" s="6">
        <v>-2.4762809999999999E-3</v>
      </c>
      <c r="V113" s="6">
        <v>-2.4691969999999998E-3</v>
      </c>
      <c r="W113" s="6">
        <v>8.534939759036244E-7</v>
      </c>
      <c r="X113" s="6">
        <v>-2.4731050000000002E-3</v>
      </c>
      <c r="Y113" s="6">
        <v>-2.4424989999999999E-3</v>
      </c>
      <c r="Z113" s="6">
        <v>3.6874698795181076E-6</v>
      </c>
      <c r="AA113" s="6">
        <v>-2.4720229999999998E-3</v>
      </c>
      <c r="AB113" s="6">
        <v>-2.4712039999999998E-3</v>
      </c>
      <c r="AC113" s="6">
        <v>9.8674698795179911E-8</v>
      </c>
      <c r="AD113" s="6">
        <v>-1.9838289999999999E-3</v>
      </c>
      <c r="AE113" s="6">
        <v>-1.7883409999999999E-3</v>
      </c>
      <c r="AF113" s="6">
        <v>2.3552771084337342E-5</v>
      </c>
      <c r="AG113" s="6">
        <v>-1.9896979999999998E-3</v>
      </c>
      <c r="AH113" s="6">
        <v>-1.7619459999999999E-3</v>
      </c>
      <c r="AI113" s="6">
        <v>2.7439999999999985E-5</v>
      </c>
      <c r="AJ113" s="6">
        <v>-1.9869390000000001E-3</v>
      </c>
      <c r="AK113" s="6">
        <v>-1.7898440000000001E-3</v>
      </c>
      <c r="AL113" s="6">
        <v>2.3746385542168672E-5</v>
      </c>
      <c r="AM113" s="6">
        <v>-1.9880219999999999E-3</v>
      </c>
      <c r="AN113" s="6">
        <v>-1.7611390000000001E-3</v>
      </c>
      <c r="AO113" s="6">
        <v>2.7335301204819246E-5</v>
      </c>
      <c r="AP113" s="6">
        <v>-2.2359260000000001E-3</v>
      </c>
      <c r="AQ113" s="6">
        <v>-2.2121229999999999E-3</v>
      </c>
      <c r="AR113" s="6">
        <v>2.8678313253012277E-6</v>
      </c>
      <c r="AS113" s="6">
        <v>-2.2300570000000001E-3</v>
      </c>
      <c r="AT113" s="6">
        <v>-2.2385180000000001E-3</v>
      </c>
      <c r="AU113" s="6">
        <v>1.0193975903614424E-6</v>
      </c>
      <c r="AV113" s="6">
        <v>-2.232815E-3</v>
      </c>
      <c r="AW113" s="6">
        <v>-2.2106199999999999E-3</v>
      </c>
      <c r="AX113" s="6">
        <v>2.6740963855421717E-6</v>
      </c>
      <c r="AY113" s="6">
        <v>-2.2317330000000001E-3</v>
      </c>
      <c r="AZ113" s="6">
        <v>-2.2393249999999999E-3</v>
      </c>
      <c r="BA113" s="6">
        <v>9.1469879518070376E-7</v>
      </c>
      <c r="BB113" s="6">
        <v>-1.7435389999999999E-3</v>
      </c>
      <c r="BC113" s="6">
        <v>-1.5564610000000001E-3</v>
      </c>
      <c r="BD113" s="6">
        <v>2.2539518072289132E-5</v>
      </c>
      <c r="BE113" s="6">
        <v>-1.749408E-3</v>
      </c>
      <c r="BF113" s="6">
        <v>-1.5300660000000001E-3</v>
      </c>
      <c r="BG113" s="6">
        <v>2.6426746987951801E-5</v>
      </c>
      <c r="BH113" s="6">
        <v>-1.74665E-3</v>
      </c>
      <c r="BI113" s="6">
        <v>-1.5579649999999999E-3</v>
      </c>
      <c r="BJ113" s="6">
        <v>2.2733132530120488E-5</v>
      </c>
      <c r="BK113" s="6">
        <v>-1.7477320000000001E-3</v>
      </c>
      <c r="BL113" s="6">
        <v>-1.52926E-3</v>
      </c>
      <c r="BM113" s="6">
        <v>2.6321927710843388E-5</v>
      </c>
      <c r="BN113" s="6">
        <v>-2.584219E-3</v>
      </c>
      <c r="BO113" s="6">
        <v>-2.4850470000000002E-3</v>
      </c>
      <c r="BP113" s="6">
        <v>1.1948433734939734E-5</v>
      </c>
      <c r="BQ113" s="6">
        <v>-2.5824580000000001E-3</v>
      </c>
      <c r="BR113" s="6">
        <v>-2.4929660000000001E-3</v>
      </c>
      <c r="BS113" s="6">
        <v>1.0782168674698799E-5</v>
      </c>
      <c r="BT113" s="6">
        <v>-2.5832860000000002E-3</v>
      </c>
      <c r="BU113" s="6">
        <v>-2.4845959999999999E-3</v>
      </c>
      <c r="BV113" s="6">
        <v>1.1890361445783159E-5</v>
      </c>
      <c r="BW113" s="6">
        <v>-2.5829609999999999E-3</v>
      </c>
      <c r="BX113" s="6">
        <v>-2.4932079999999998E-3</v>
      </c>
      <c r="BY113" s="6">
        <v>1.0813614457831341E-5</v>
      </c>
      <c r="BZ113" s="6">
        <v>-2.436503E-3</v>
      </c>
      <c r="CA113" s="6">
        <v>-2.2883489999999999E-3</v>
      </c>
      <c r="CB113" s="6">
        <v>1.7849879518072309E-5</v>
      </c>
      <c r="CC113" s="6">
        <v>-2.438263E-3</v>
      </c>
      <c r="CD113" s="6">
        <v>-2.28043E-3</v>
      </c>
      <c r="CE113" s="6">
        <v>1.9016024096385544E-5</v>
      </c>
      <c r="CF113" s="6">
        <v>-2.4374359999999999E-3</v>
      </c>
      <c r="CG113" s="6">
        <v>-2.2888000000000001E-3</v>
      </c>
      <c r="CH113" s="6">
        <v>1.7907951807228882E-5</v>
      </c>
      <c r="CI113" s="6">
        <v>-2.4377610000000001E-3</v>
      </c>
      <c r="CJ113" s="6">
        <v>-2.2801879999999998E-3</v>
      </c>
      <c r="CK113" s="6">
        <v>1.8984698795180754E-5</v>
      </c>
      <c r="CL113" s="6">
        <v>-1.7832519999999999E-3</v>
      </c>
      <c r="CM113" s="6">
        <v>-1.7121149999999999E-3</v>
      </c>
      <c r="CN113" s="6">
        <v>8.5707228915662611E-6</v>
      </c>
      <c r="CO113" s="6">
        <v>-1.781492E-3</v>
      </c>
      <c r="CP113" s="6">
        <v>-1.7200340000000001E-3</v>
      </c>
      <c r="CQ113" s="6">
        <v>7.4045783132530009E-6</v>
      </c>
      <c r="CR113" s="6">
        <v>-1.7823190000000001E-3</v>
      </c>
      <c r="CS113" s="6">
        <v>-1.7116639999999999E-3</v>
      </c>
      <c r="CT113" s="6">
        <v>8.5126506024096616E-6</v>
      </c>
      <c r="CU113" s="6">
        <v>-1.7819940000000001E-3</v>
      </c>
      <c r="CV113" s="6">
        <v>-1.720276E-3</v>
      </c>
      <c r="CW113" s="6">
        <v>7.4359036144578433E-6</v>
      </c>
      <c r="CX113" s="6">
        <v>-1.6355359999999999E-3</v>
      </c>
      <c r="CY113" s="6">
        <v>-1.515417E-3</v>
      </c>
      <c r="CZ113" s="6">
        <v>1.4472168674698782E-5</v>
      </c>
      <c r="DA113" s="6">
        <v>-1.637297E-3</v>
      </c>
      <c r="DB113" s="6">
        <v>-1.5074979999999999E-3</v>
      </c>
      <c r="DC113" s="6">
        <v>1.5638433734939771E-5</v>
      </c>
      <c r="DD113" s="6">
        <v>-1.636469E-3</v>
      </c>
      <c r="DE113" s="6">
        <v>-1.5158680000000001E-3</v>
      </c>
      <c r="DF113" s="6">
        <v>1.4530240963855409E-5</v>
      </c>
      <c r="DG113" s="6">
        <v>-1.636794E-3</v>
      </c>
      <c r="DH113" s="6">
        <v>-1.507256E-3</v>
      </c>
      <c r="DI113" s="6">
        <v>1.5606987951807229E-5</v>
      </c>
    </row>
    <row r="114" spans="1:113" x14ac:dyDescent="0.3">
      <c r="A114" s="13" t="s">
        <v>460</v>
      </c>
      <c r="B114" s="13" t="s">
        <v>294</v>
      </c>
      <c r="C114" s="13" t="s">
        <v>328</v>
      </c>
      <c r="D114" s="13" t="s">
        <v>350</v>
      </c>
      <c r="E114" s="13">
        <v>5.75</v>
      </c>
      <c r="F114" s="6">
        <v>-1.427296E-3</v>
      </c>
      <c r="G114" s="6">
        <v>-1.387887E-3</v>
      </c>
      <c r="H114" s="6">
        <v>6.853739130434785E-6</v>
      </c>
      <c r="I114" s="6">
        <v>-1.8152400000000001E-3</v>
      </c>
      <c r="J114" s="6">
        <v>-1.748358E-3</v>
      </c>
      <c r="K114" s="6">
        <v>1.163165217391306E-5</v>
      </c>
      <c r="L114" s="6">
        <v>-1.815784E-3</v>
      </c>
      <c r="M114" s="6">
        <v>-1.7717640000000001E-3</v>
      </c>
      <c r="N114" s="6">
        <v>7.6556521739130205E-6</v>
      </c>
      <c r="O114" s="6">
        <v>-2.1852239999999999E-3</v>
      </c>
      <c r="P114" s="6">
        <v>-2.1139489999999999E-3</v>
      </c>
      <c r="Q114" s="6">
        <v>1.2395652173913041E-5</v>
      </c>
      <c r="R114" s="6">
        <v>-2.4440030000000001E-3</v>
      </c>
      <c r="S114" s="6">
        <v>-2.3873309999999999E-3</v>
      </c>
      <c r="T114" s="6">
        <v>9.8560000000000408E-6</v>
      </c>
      <c r="U114" s="6">
        <v>-2.4691969999999998E-3</v>
      </c>
      <c r="V114" s="6">
        <v>-2.4158510000000001E-3</v>
      </c>
      <c r="W114" s="6">
        <v>9.2775652173912499E-6</v>
      </c>
      <c r="X114" s="6">
        <v>-2.4424989999999999E-3</v>
      </c>
      <c r="Y114" s="6">
        <v>-2.3863489999999998E-3</v>
      </c>
      <c r="Z114" s="6">
        <v>9.7652173913043535E-6</v>
      </c>
      <c r="AA114" s="6">
        <v>-2.4712039999999998E-3</v>
      </c>
      <c r="AB114" s="6">
        <v>-2.4185299999999999E-3</v>
      </c>
      <c r="AC114" s="6">
        <v>9.1606956521739036E-6</v>
      </c>
      <c r="AD114" s="6">
        <v>-1.7883409999999999E-3</v>
      </c>
      <c r="AE114" s="6">
        <v>-1.7014059999999999E-3</v>
      </c>
      <c r="AF114" s="6">
        <v>1.5119130434782609E-5</v>
      </c>
      <c r="AG114" s="6">
        <v>-1.7619459999999999E-3</v>
      </c>
      <c r="AH114" s="6">
        <v>-1.670731E-3</v>
      </c>
      <c r="AI114" s="6">
        <v>1.5863478260869557E-5</v>
      </c>
      <c r="AJ114" s="6">
        <v>-1.7898440000000001E-3</v>
      </c>
      <c r="AK114" s="6">
        <v>-1.702388E-3</v>
      </c>
      <c r="AL114" s="6">
        <v>1.5209739130434796E-5</v>
      </c>
      <c r="AM114" s="6">
        <v>-1.7611390000000001E-3</v>
      </c>
      <c r="AN114" s="6">
        <v>-1.6702069999999999E-3</v>
      </c>
      <c r="AO114" s="6">
        <v>1.5814260869565246E-5</v>
      </c>
      <c r="AP114" s="6">
        <v>-2.2121229999999999E-3</v>
      </c>
      <c r="AQ114" s="6">
        <v>-2.1608999999999999E-3</v>
      </c>
      <c r="AR114" s="6">
        <v>8.9083478260869534E-6</v>
      </c>
      <c r="AS114" s="6">
        <v>-2.2385180000000001E-3</v>
      </c>
      <c r="AT114" s="6">
        <v>-2.1915749999999999E-3</v>
      </c>
      <c r="AU114" s="6">
        <v>8.1640000000000425E-6</v>
      </c>
      <c r="AV114" s="6">
        <v>-2.2106199999999999E-3</v>
      </c>
      <c r="AW114" s="6">
        <v>-2.1599179999999998E-3</v>
      </c>
      <c r="AX114" s="6">
        <v>8.8177391304348038E-6</v>
      </c>
      <c r="AY114" s="6">
        <v>-2.2393249999999999E-3</v>
      </c>
      <c r="AZ114" s="6">
        <v>-2.1920989999999999E-3</v>
      </c>
      <c r="BA114" s="6">
        <v>8.2132173913043538E-6</v>
      </c>
      <c r="BB114" s="6">
        <v>-1.5564610000000001E-3</v>
      </c>
      <c r="BC114" s="6">
        <v>-1.4749749999999999E-3</v>
      </c>
      <c r="BD114" s="6">
        <v>1.4171478260869598E-5</v>
      </c>
      <c r="BE114" s="6">
        <v>-1.5300660000000001E-3</v>
      </c>
      <c r="BF114" s="6">
        <v>-1.4442999999999999E-3</v>
      </c>
      <c r="BG114" s="6">
        <v>1.4915826086956546E-5</v>
      </c>
      <c r="BH114" s="6">
        <v>-1.5579649999999999E-3</v>
      </c>
      <c r="BI114" s="6">
        <v>-1.475957E-3</v>
      </c>
      <c r="BJ114" s="6">
        <v>1.4262260869565209E-5</v>
      </c>
      <c r="BK114" s="6">
        <v>-1.52926E-3</v>
      </c>
      <c r="BL114" s="6">
        <v>-1.4437759999999999E-3</v>
      </c>
      <c r="BM114" s="6">
        <v>1.4866782608695659E-5</v>
      </c>
      <c r="BN114" s="6">
        <v>-2.4850470000000002E-3</v>
      </c>
      <c r="BO114" s="6">
        <v>-2.4114269999999998E-3</v>
      </c>
      <c r="BP114" s="6">
        <v>1.2803478260869629E-5</v>
      </c>
      <c r="BQ114" s="6">
        <v>-2.4929660000000001E-3</v>
      </c>
      <c r="BR114" s="6">
        <v>-2.42063E-3</v>
      </c>
      <c r="BS114" s="6">
        <v>1.2580173913043495E-5</v>
      </c>
      <c r="BT114" s="6">
        <v>-2.4845959999999999E-3</v>
      </c>
      <c r="BU114" s="6">
        <v>-2.4111319999999999E-3</v>
      </c>
      <c r="BV114" s="6">
        <v>1.2776347826086971E-5</v>
      </c>
      <c r="BW114" s="6">
        <v>-2.4932079999999998E-3</v>
      </c>
      <c r="BX114" s="6">
        <v>-2.4207870000000002E-3</v>
      </c>
      <c r="BY114" s="6">
        <v>1.259495652173906E-5</v>
      </c>
      <c r="BZ114" s="6">
        <v>-2.2883489999999999E-3</v>
      </c>
      <c r="CA114" s="6">
        <v>-2.2056490000000001E-3</v>
      </c>
      <c r="CB114" s="6">
        <v>1.4382608695652137E-5</v>
      </c>
      <c r="CC114" s="6">
        <v>-2.28043E-3</v>
      </c>
      <c r="CD114" s="6">
        <v>-2.1964469999999998E-3</v>
      </c>
      <c r="CE114" s="6">
        <v>1.4605739130434808E-5</v>
      </c>
      <c r="CF114" s="6">
        <v>-2.2888000000000001E-3</v>
      </c>
      <c r="CG114" s="6">
        <v>-2.205944E-3</v>
      </c>
      <c r="CH114" s="6">
        <v>1.4409739130434795E-5</v>
      </c>
      <c r="CI114" s="6">
        <v>-2.2801879999999998E-3</v>
      </c>
      <c r="CJ114" s="6">
        <v>-2.19629E-3</v>
      </c>
      <c r="CK114" s="6">
        <v>1.4590956521739093E-5</v>
      </c>
      <c r="CL114" s="6">
        <v>-1.7121149999999999E-3</v>
      </c>
      <c r="CM114" s="6">
        <v>-1.656657E-3</v>
      </c>
      <c r="CN114" s="6">
        <v>9.6448695652173878E-6</v>
      </c>
      <c r="CO114" s="6">
        <v>-1.7200340000000001E-3</v>
      </c>
      <c r="CP114" s="6">
        <v>-1.6658599999999999E-3</v>
      </c>
      <c r="CQ114" s="6">
        <v>9.4215652173913301E-6</v>
      </c>
      <c r="CR114" s="6">
        <v>-1.7116639999999999E-3</v>
      </c>
      <c r="CS114" s="6">
        <v>-1.656362E-3</v>
      </c>
      <c r="CT114" s="6">
        <v>9.6177391304347673E-6</v>
      </c>
      <c r="CU114" s="6">
        <v>-1.720276E-3</v>
      </c>
      <c r="CV114" s="6">
        <v>-1.6660170000000001E-3</v>
      </c>
      <c r="CW114" s="6">
        <v>9.4363478260869321E-6</v>
      </c>
      <c r="CX114" s="6">
        <v>-1.515417E-3</v>
      </c>
      <c r="CY114" s="6">
        <v>-1.450879E-3</v>
      </c>
      <c r="CZ114" s="6">
        <v>1.122400000000001E-5</v>
      </c>
      <c r="DA114" s="6">
        <v>-1.5074979999999999E-3</v>
      </c>
      <c r="DB114" s="6">
        <v>-1.4416769999999999E-3</v>
      </c>
      <c r="DC114" s="6">
        <v>1.1447130434782604E-5</v>
      </c>
      <c r="DD114" s="6">
        <v>-1.5158680000000001E-3</v>
      </c>
      <c r="DE114" s="6">
        <v>-1.451174E-3</v>
      </c>
      <c r="DF114" s="6">
        <v>1.125113043478263E-5</v>
      </c>
      <c r="DG114" s="6">
        <v>-1.507256E-3</v>
      </c>
      <c r="DH114" s="6">
        <v>-1.44152E-3</v>
      </c>
      <c r="DI114" s="6">
        <v>1.1432347826086965E-5</v>
      </c>
    </row>
    <row r="115" spans="1:113" x14ac:dyDescent="0.3">
      <c r="A115" s="13" t="s">
        <v>461</v>
      </c>
      <c r="B115" s="13" t="s">
        <v>326</v>
      </c>
      <c r="C115" s="13" t="s">
        <v>328</v>
      </c>
      <c r="D115" s="13" t="s">
        <v>350</v>
      </c>
      <c r="E115" s="13">
        <v>9.9</v>
      </c>
      <c r="F115" s="6">
        <v>-1.415468E-3</v>
      </c>
      <c r="G115" s="6">
        <v>-1.387887E-3</v>
      </c>
      <c r="H115" s="6">
        <v>2.7859595959596004E-6</v>
      </c>
      <c r="I115" s="6">
        <v>-1.771601E-3</v>
      </c>
      <c r="J115" s="6">
        <v>-1.748358E-3</v>
      </c>
      <c r="K115" s="6">
        <v>2.3477777777777825E-6</v>
      </c>
      <c r="L115" s="6">
        <v>-1.802309E-3</v>
      </c>
      <c r="M115" s="6">
        <v>-1.7717640000000001E-3</v>
      </c>
      <c r="N115" s="6">
        <v>3.085353535353523E-6</v>
      </c>
      <c r="O115" s="6">
        <v>-2.1400159999999998E-3</v>
      </c>
      <c r="P115" s="6">
        <v>-2.1139489999999999E-3</v>
      </c>
      <c r="Q115" s="6">
        <v>2.6330303030302873E-6</v>
      </c>
      <c r="R115" s="6">
        <v>-2.3349249999999998E-3</v>
      </c>
      <c r="S115" s="6">
        <v>-2.3873309999999999E-3</v>
      </c>
      <c r="T115" s="6">
        <v>5.2935353535353604E-6</v>
      </c>
      <c r="U115" s="6">
        <v>-2.3959020000000001E-3</v>
      </c>
      <c r="V115" s="6">
        <v>-2.4158510000000001E-3</v>
      </c>
      <c r="W115" s="6">
        <v>2.0150505050505059E-6</v>
      </c>
      <c r="X115" s="6">
        <v>-2.3336849999999998E-3</v>
      </c>
      <c r="Y115" s="6">
        <v>-2.3863489999999998E-3</v>
      </c>
      <c r="Z115" s="6">
        <v>5.3195959595959606E-6</v>
      </c>
      <c r="AA115" s="6">
        <v>-2.407008E-3</v>
      </c>
      <c r="AB115" s="6">
        <v>-2.4185299999999999E-3</v>
      </c>
      <c r="AC115" s="6">
        <v>1.1638383838383758E-6</v>
      </c>
      <c r="AD115" s="6">
        <v>-1.806895E-3</v>
      </c>
      <c r="AE115" s="6">
        <v>-1.7014059999999999E-3</v>
      </c>
      <c r="AF115" s="6">
        <v>1.0655454545454551E-5</v>
      </c>
      <c r="AG115" s="6">
        <v>-1.735508E-3</v>
      </c>
      <c r="AH115" s="6">
        <v>-1.670731E-3</v>
      </c>
      <c r="AI115" s="6">
        <v>6.5431313131313152E-6</v>
      </c>
      <c r="AJ115" s="6">
        <v>-1.808135E-3</v>
      </c>
      <c r="AK115" s="6">
        <v>-1.702388E-3</v>
      </c>
      <c r="AL115" s="6">
        <v>1.0681515151515152E-5</v>
      </c>
      <c r="AM115" s="6">
        <v>-1.7348120000000001E-3</v>
      </c>
      <c r="AN115" s="6">
        <v>-1.6702069999999999E-3</v>
      </c>
      <c r="AO115" s="6">
        <v>6.525757575757589E-6</v>
      </c>
      <c r="AP115" s="6">
        <v>-2.1047219999999998E-3</v>
      </c>
      <c r="AQ115" s="6">
        <v>-2.1608999999999999E-3</v>
      </c>
      <c r="AR115" s="6">
        <v>5.6745454545454591E-6</v>
      </c>
      <c r="AS115" s="6">
        <v>-2.1761089999999999E-3</v>
      </c>
      <c r="AT115" s="6">
        <v>-2.1915749999999999E-3</v>
      </c>
      <c r="AU115" s="6">
        <v>1.5622222222222227E-6</v>
      </c>
      <c r="AV115" s="6">
        <v>-2.1034819999999998E-3</v>
      </c>
      <c r="AW115" s="6">
        <v>-2.1599179999999998E-3</v>
      </c>
      <c r="AX115" s="6">
        <v>5.7006060606060593E-6</v>
      </c>
      <c r="AY115" s="6">
        <v>-2.176805E-3</v>
      </c>
      <c r="AZ115" s="6">
        <v>-2.1920989999999999E-3</v>
      </c>
      <c r="BA115" s="6">
        <v>1.5448484848484745E-6</v>
      </c>
      <c r="BB115" s="6">
        <v>-1.576692E-3</v>
      </c>
      <c r="BC115" s="6">
        <v>-1.4749749999999999E-3</v>
      </c>
      <c r="BD115" s="6">
        <v>1.0274444444444452E-5</v>
      </c>
      <c r="BE115" s="6">
        <v>-1.5053040000000001E-3</v>
      </c>
      <c r="BF115" s="6">
        <v>-1.4442999999999999E-3</v>
      </c>
      <c r="BG115" s="6">
        <v>6.162020202020216E-6</v>
      </c>
      <c r="BH115" s="6">
        <v>-1.577932E-3</v>
      </c>
      <c r="BI115" s="6">
        <v>-1.475957E-3</v>
      </c>
      <c r="BJ115" s="6">
        <v>1.0300505050505052E-5</v>
      </c>
      <c r="BK115" s="6">
        <v>-1.5046090000000001E-3</v>
      </c>
      <c r="BL115" s="6">
        <v>-1.4437759999999999E-3</v>
      </c>
      <c r="BM115" s="6">
        <v>6.1447474747474903E-6</v>
      </c>
      <c r="BN115" s="6">
        <v>-2.4186849999999998E-3</v>
      </c>
      <c r="BO115" s="6">
        <v>-2.4114269999999998E-3</v>
      </c>
      <c r="BP115" s="6">
        <v>7.3313131313131351E-7</v>
      </c>
      <c r="BQ115" s="6">
        <v>-2.4401010000000001E-3</v>
      </c>
      <c r="BR115" s="6">
        <v>-2.42063E-3</v>
      </c>
      <c r="BS115" s="6">
        <v>1.9667676767676838E-6</v>
      </c>
      <c r="BT115" s="6">
        <v>-2.4183130000000001E-3</v>
      </c>
      <c r="BU115" s="6">
        <v>-2.4111319999999999E-3</v>
      </c>
      <c r="BV115" s="6">
        <v>7.2535353535355566E-7</v>
      </c>
      <c r="BW115" s="6">
        <v>-2.4403099999999998E-3</v>
      </c>
      <c r="BX115" s="6">
        <v>-2.4207870000000002E-3</v>
      </c>
      <c r="BY115" s="6">
        <v>1.9720202020201604E-6</v>
      </c>
      <c r="BZ115" s="6">
        <v>-2.2602759999999999E-3</v>
      </c>
      <c r="CA115" s="6">
        <v>-2.2056490000000001E-3</v>
      </c>
      <c r="CB115" s="6">
        <v>5.5178787878787674E-6</v>
      </c>
      <c r="CC115" s="6">
        <v>-2.2388600000000001E-3</v>
      </c>
      <c r="CD115" s="6">
        <v>-2.1964469999999998E-3</v>
      </c>
      <c r="CE115" s="6">
        <v>4.28414141414144E-6</v>
      </c>
      <c r="CF115" s="6">
        <v>-2.2606480000000001E-3</v>
      </c>
      <c r="CG115" s="6">
        <v>-2.205944E-3</v>
      </c>
      <c r="CH115" s="6">
        <v>5.5256565656565693E-6</v>
      </c>
      <c r="CI115" s="6">
        <v>-2.2386509999999999E-3</v>
      </c>
      <c r="CJ115" s="6">
        <v>-2.19629E-3</v>
      </c>
      <c r="CK115" s="6">
        <v>4.2788888888888757E-6</v>
      </c>
      <c r="CL115" s="6">
        <v>-1.651341E-3</v>
      </c>
      <c r="CM115" s="6">
        <v>-1.656657E-3</v>
      </c>
      <c r="CN115" s="6">
        <v>5.3696969696969706E-7</v>
      </c>
      <c r="CO115" s="6">
        <v>-1.672757E-3</v>
      </c>
      <c r="CP115" s="6">
        <v>-1.6658599999999999E-3</v>
      </c>
      <c r="CQ115" s="6">
        <v>6.966666666666733E-7</v>
      </c>
      <c r="CR115" s="6">
        <v>-1.650969E-3</v>
      </c>
      <c r="CS115" s="6">
        <v>-1.656362E-3</v>
      </c>
      <c r="CT115" s="6">
        <v>5.4474747474747682E-7</v>
      </c>
      <c r="CU115" s="6">
        <v>-1.6729659999999999E-3</v>
      </c>
      <c r="CV115" s="6">
        <v>-1.6660170000000001E-3</v>
      </c>
      <c r="CW115" s="6">
        <v>7.0191919191917173E-7</v>
      </c>
      <c r="CX115" s="6">
        <v>-1.492932E-3</v>
      </c>
      <c r="CY115" s="6">
        <v>-1.450879E-3</v>
      </c>
      <c r="CZ115" s="6">
        <v>4.2477777777777791E-6</v>
      </c>
      <c r="DA115" s="6">
        <v>-1.471516E-3</v>
      </c>
      <c r="DB115" s="6">
        <v>-1.4416769999999999E-3</v>
      </c>
      <c r="DC115" s="6">
        <v>3.0140404040404076E-6</v>
      </c>
      <c r="DD115" s="6">
        <v>-1.493304E-3</v>
      </c>
      <c r="DE115" s="6">
        <v>-1.451174E-3</v>
      </c>
      <c r="DF115" s="6">
        <v>4.255555555555559E-6</v>
      </c>
      <c r="DG115" s="6">
        <v>-1.471307E-3</v>
      </c>
      <c r="DH115" s="6">
        <v>-1.44152E-3</v>
      </c>
      <c r="DI115" s="6">
        <v>3.0087878787878874E-6</v>
      </c>
    </row>
    <row r="116" spans="1:113" x14ac:dyDescent="0.3">
      <c r="A116" s="13" t="s">
        <v>462</v>
      </c>
      <c r="B116" s="13" t="s">
        <v>97</v>
      </c>
      <c r="C116" s="13" t="s">
        <v>98</v>
      </c>
      <c r="D116" s="13" t="s">
        <v>364</v>
      </c>
      <c r="E116" s="13">
        <v>9.9</v>
      </c>
      <c r="F116" s="6">
        <v>-2.4298470000000002E-3</v>
      </c>
      <c r="G116" s="6">
        <v>-2.3073249999999998E-3</v>
      </c>
      <c r="H116" s="6">
        <v>1.237595959595963E-5</v>
      </c>
      <c r="I116" s="6">
        <v>-3.4692389999999998E-3</v>
      </c>
      <c r="J116" s="6">
        <v>-2.8493720000000002E-3</v>
      </c>
      <c r="K116" s="6">
        <v>6.2612828282828246E-5</v>
      </c>
      <c r="L116" s="6">
        <v>-3.0529279999999999E-3</v>
      </c>
      <c r="M116" s="6">
        <v>-2.6936659999999999E-3</v>
      </c>
      <c r="N116" s="6">
        <v>3.6289090909090901E-5</v>
      </c>
      <c r="O116" s="6">
        <v>-4.0626539999999997E-3</v>
      </c>
      <c r="P116" s="6">
        <v>-3.217283E-3</v>
      </c>
      <c r="Q116" s="6">
        <v>8.5391010101010072E-5</v>
      </c>
      <c r="R116" s="6">
        <v>-4.5538200000000001E-3</v>
      </c>
      <c r="S116" s="6">
        <v>-3.6806080000000001E-3</v>
      </c>
      <c r="T116" s="6">
        <v>8.8203232323232316E-5</v>
      </c>
      <c r="U116" s="6">
        <v>-4.0042360000000004E-3</v>
      </c>
      <c r="V116" s="6">
        <v>-2.6862879999999998E-3</v>
      </c>
      <c r="W116" s="6">
        <v>1.3312606060606066E-4</v>
      </c>
      <c r="X116" s="6">
        <v>-4.4426450000000003E-3</v>
      </c>
      <c r="Y116" s="6">
        <v>-3.6696419999999999E-3</v>
      </c>
      <c r="Z116" s="6">
        <v>7.8081111111111143E-5</v>
      </c>
      <c r="AA116" s="6">
        <v>-4.0750029999999998E-3</v>
      </c>
      <c r="AB116" s="6">
        <v>-2.5503520000000001E-3</v>
      </c>
      <c r="AC116" s="6">
        <v>1.5400515151515147E-4</v>
      </c>
      <c r="AD116" s="6">
        <v>-3.3668539999999999E-3</v>
      </c>
      <c r="AE116" s="6">
        <v>-2.7231960000000002E-3</v>
      </c>
      <c r="AF116" s="6">
        <v>6.5015959595959551E-5</v>
      </c>
      <c r="AG116" s="6">
        <v>-3.906634E-3</v>
      </c>
      <c r="AH116" s="6">
        <v>-3.8599099999999998E-3</v>
      </c>
      <c r="AI116" s="6">
        <v>4.7195959595959757E-6</v>
      </c>
      <c r="AJ116" s="6">
        <v>-3.47803E-3</v>
      </c>
      <c r="AK116" s="6">
        <v>-2.7341610000000001E-3</v>
      </c>
      <c r="AL116" s="6">
        <v>7.5138282828282819E-5</v>
      </c>
      <c r="AM116" s="6">
        <v>-3.8456710000000002E-3</v>
      </c>
      <c r="AN116" s="6">
        <v>-3.8534509999999999E-3</v>
      </c>
      <c r="AO116" s="6">
        <v>7.858585858585622E-7</v>
      </c>
      <c r="AP116" s="6">
        <v>-4.1650380000000002E-3</v>
      </c>
      <c r="AQ116" s="6">
        <v>-3.3434609999999998E-3</v>
      </c>
      <c r="AR116" s="6">
        <v>8.2987575757575795E-5</v>
      </c>
      <c r="AS116" s="6">
        <v>-3.6252580000000001E-3</v>
      </c>
      <c r="AT116" s="6">
        <v>-2.2067469999999998E-3</v>
      </c>
      <c r="AU116" s="6">
        <v>1.4328393939393942E-4</v>
      </c>
      <c r="AV116" s="6">
        <v>-4.0538620000000001E-3</v>
      </c>
      <c r="AW116" s="6">
        <v>-3.332495E-3</v>
      </c>
      <c r="AX116" s="6">
        <v>7.2865353535353541E-5</v>
      </c>
      <c r="AY116" s="6">
        <v>-3.6862209999999999E-3</v>
      </c>
      <c r="AZ116" s="6">
        <v>-2.2132050000000002E-3</v>
      </c>
      <c r="BA116" s="6">
        <v>1.4878949494949491E-4</v>
      </c>
      <c r="BB116" s="6">
        <v>-2.978072E-3</v>
      </c>
      <c r="BC116" s="6">
        <v>-2.3860489999999999E-3</v>
      </c>
      <c r="BD116" s="6">
        <v>5.9800303030303043E-5</v>
      </c>
      <c r="BE116" s="6">
        <v>-3.5178520000000001E-3</v>
      </c>
      <c r="BF116" s="6">
        <v>-3.5227629999999999E-3</v>
      </c>
      <c r="BG116" s="6">
        <v>4.9606060606058629E-7</v>
      </c>
      <c r="BH116" s="6">
        <v>-3.0892480000000002E-3</v>
      </c>
      <c r="BI116" s="6">
        <v>-2.3970139999999998E-3</v>
      </c>
      <c r="BJ116" s="6">
        <v>6.9922626262626297E-5</v>
      </c>
      <c r="BK116" s="6">
        <v>-3.4568889999999999E-3</v>
      </c>
      <c r="BL116" s="6">
        <v>-3.516305E-3</v>
      </c>
      <c r="BM116" s="6">
        <v>6.0016161616161681E-6</v>
      </c>
      <c r="BN116" s="6">
        <v>-4.5919619999999998E-3</v>
      </c>
      <c r="BO116" s="6">
        <v>-3.738852E-3</v>
      </c>
      <c r="BP116" s="6">
        <v>8.6172727272727245E-5</v>
      </c>
      <c r="BQ116" s="6">
        <v>-4.4300279999999999E-3</v>
      </c>
      <c r="BR116" s="6">
        <v>-3.3978379999999998E-3</v>
      </c>
      <c r="BS116" s="6">
        <v>1.0426161616161616E-4</v>
      </c>
      <c r="BT116" s="6">
        <v>-4.5586089999999999E-3</v>
      </c>
      <c r="BU116" s="6">
        <v>-3.735562E-3</v>
      </c>
      <c r="BV116" s="6">
        <v>8.3136060606060601E-5</v>
      </c>
      <c r="BW116" s="6">
        <v>-4.4483170000000002E-3</v>
      </c>
      <c r="BX116" s="6">
        <v>-3.3997749999999998E-3</v>
      </c>
      <c r="BY116" s="6">
        <v>1.0591333333333338E-4</v>
      </c>
      <c r="BZ116" s="6">
        <v>-4.2358719999999999E-3</v>
      </c>
      <c r="CA116" s="6">
        <v>-3.451628E-3</v>
      </c>
      <c r="CB116" s="6">
        <v>7.921656565656565E-5</v>
      </c>
      <c r="CC116" s="6">
        <v>-4.3978059999999998E-3</v>
      </c>
      <c r="CD116" s="6">
        <v>-3.7926420000000001E-3</v>
      </c>
      <c r="CE116" s="6">
        <v>6.112767676767673E-5</v>
      </c>
      <c r="CF116" s="6">
        <v>-4.2692249999999998E-3</v>
      </c>
      <c r="CG116" s="6">
        <v>-3.454918E-3</v>
      </c>
      <c r="CH116" s="6">
        <v>8.2253232323232294E-5</v>
      </c>
      <c r="CI116" s="6">
        <v>-4.3795170000000003E-3</v>
      </c>
      <c r="CJ116" s="6">
        <v>-3.7907050000000001E-3</v>
      </c>
      <c r="CK116" s="6">
        <v>5.9475959595959614E-5</v>
      </c>
      <c r="CL116" s="6">
        <v>-3.2960200000000002E-3</v>
      </c>
      <c r="CM116" s="6">
        <v>-2.6150290000000001E-3</v>
      </c>
      <c r="CN116" s="6">
        <v>6.8786969696969709E-5</v>
      </c>
      <c r="CO116" s="6">
        <v>-3.1340859999999999E-3</v>
      </c>
      <c r="CP116" s="6">
        <v>-2.274014E-3</v>
      </c>
      <c r="CQ116" s="6">
        <v>8.6875959595959589E-5</v>
      </c>
      <c r="CR116" s="6">
        <v>-3.2626669999999999E-3</v>
      </c>
      <c r="CS116" s="6">
        <v>-2.6117390000000001E-3</v>
      </c>
      <c r="CT116" s="6">
        <v>6.5750303030303011E-5</v>
      </c>
      <c r="CU116" s="6">
        <v>-3.1523749999999998E-3</v>
      </c>
      <c r="CV116" s="6">
        <v>-2.2759519999999999E-3</v>
      </c>
      <c r="CW116" s="6">
        <v>8.8527575757575745E-5</v>
      </c>
      <c r="CX116" s="6">
        <v>-2.9399299999999999E-3</v>
      </c>
      <c r="CY116" s="6">
        <v>-2.3278050000000001E-3</v>
      </c>
      <c r="CZ116" s="6">
        <v>6.1830808080808061E-5</v>
      </c>
      <c r="DA116" s="6">
        <v>-3.1018640000000002E-3</v>
      </c>
      <c r="DB116" s="6">
        <v>-2.6688189999999998E-3</v>
      </c>
      <c r="DC116" s="6">
        <v>4.3741919191919228E-5</v>
      </c>
      <c r="DD116" s="6">
        <v>-2.9732830000000002E-3</v>
      </c>
      <c r="DE116" s="6">
        <v>-2.331095E-3</v>
      </c>
      <c r="DF116" s="6">
        <v>6.4867474747474759E-5</v>
      </c>
      <c r="DG116" s="6">
        <v>-3.0835749999999999E-3</v>
      </c>
      <c r="DH116" s="6">
        <v>-2.6668820000000002E-3</v>
      </c>
      <c r="DI116" s="6">
        <v>4.2090202020201984E-5</v>
      </c>
    </row>
    <row r="117" spans="1:113" x14ac:dyDescent="0.3">
      <c r="A117" s="13" t="s">
        <v>463</v>
      </c>
      <c r="B117" s="13" t="s">
        <v>133</v>
      </c>
      <c r="C117" s="13" t="s">
        <v>134</v>
      </c>
      <c r="D117" s="13" t="s">
        <v>364</v>
      </c>
      <c r="E117" s="13">
        <v>9.9</v>
      </c>
      <c r="F117" s="6">
        <v>-2.9870460000000001E-3</v>
      </c>
      <c r="G117" s="6">
        <v>-1.9674330000000002E-3</v>
      </c>
      <c r="H117" s="6">
        <v>1.0299121212121211E-4</v>
      </c>
      <c r="I117" s="6">
        <v>-4.1254910000000002E-3</v>
      </c>
      <c r="J117" s="6">
        <v>-2.466902E-3</v>
      </c>
      <c r="K117" s="6">
        <v>1.6753424242424244E-4</v>
      </c>
      <c r="L117" s="6">
        <v>-3.5983569999999999E-3</v>
      </c>
      <c r="M117" s="6">
        <v>-2.3595719999999999E-3</v>
      </c>
      <c r="N117" s="6">
        <v>1.2512979797979799E-4</v>
      </c>
      <c r="O117" s="6">
        <v>-4.7076949999999996E-3</v>
      </c>
      <c r="P117" s="6">
        <v>-2.8403529999999999E-3</v>
      </c>
      <c r="Q117" s="6">
        <v>1.8862040404040399E-4</v>
      </c>
      <c r="R117" s="6">
        <v>-5.2529250000000003E-3</v>
      </c>
      <c r="S117" s="6">
        <v>-3.10867E-3</v>
      </c>
      <c r="T117" s="6">
        <v>2.1659141414141417E-4</v>
      </c>
      <c r="U117" s="6">
        <v>-4.6782760000000003E-3</v>
      </c>
      <c r="V117" s="6">
        <v>-2.5127940000000001E-3</v>
      </c>
      <c r="W117" s="6">
        <v>2.1873555555555556E-4</v>
      </c>
      <c r="X117" s="6">
        <v>-5.1953119999999997E-3</v>
      </c>
      <c r="Y117" s="6">
        <v>-3.1026040000000001E-3</v>
      </c>
      <c r="Z117" s="6">
        <v>2.1138464646464642E-4</v>
      </c>
      <c r="AA117" s="6">
        <v>-4.7145670000000002E-3</v>
      </c>
      <c r="AB117" s="6">
        <v>-2.4217840000000002E-3</v>
      </c>
      <c r="AC117" s="6">
        <v>2.3159424242424242E-4</v>
      </c>
      <c r="AD117" s="6">
        <v>-4.0340710000000002E-3</v>
      </c>
      <c r="AE117" s="6">
        <v>-2.49585E-3</v>
      </c>
      <c r="AF117" s="6">
        <v>1.553758585858586E-4</v>
      </c>
      <c r="AG117" s="6">
        <v>-4.6042610000000001E-3</v>
      </c>
      <c r="AH117" s="6">
        <v>-3.1862879999999998E-3</v>
      </c>
      <c r="AI117" s="6">
        <v>1.43229595959596E-4</v>
      </c>
      <c r="AJ117" s="6">
        <v>-4.0916839999999999E-3</v>
      </c>
      <c r="AK117" s="6">
        <v>-2.5019159999999999E-3</v>
      </c>
      <c r="AL117" s="6">
        <v>1.6058262626262627E-4</v>
      </c>
      <c r="AM117" s="6">
        <v>-4.5724290000000003E-3</v>
      </c>
      <c r="AN117" s="6">
        <v>-3.1827359999999998E-3</v>
      </c>
      <c r="AO117" s="6">
        <v>1.4037303030303035E-4</v>
      </c>
      <c r="AP117" s="6">
        <v>-4.7991149999999996E-3</v>
      </c>
      <c r="AQ117" s="6">
        <v>-2.8114049999999999E-3</v>
      </c>
      <c r="AR117" s="6">
        <v>2.0077878787878785E-4</v>
      </c>
      <c r="AS117" s="6">
        <v>-4.2289240000000002E-3</v>
      </c>
      <c r="AT117" s="6">
        <v>-2.1209670000000001E-3</v>
      </c>
      <c r="AU117" s="6">
        <v>2.1292494949494951E-4</v>
      </c>
      <c r="AV117" s="6">
        <v>-4.7415019999999999E-3</v>
      </c>
      <c r="AW117" s="6">
        <v>-2.805339E-3</v>
      </c>
      <c r="AX117" s="6">
        <v>1.9557202020202018E-4</v>
      </c>
      <c r="AY117" s="6">
        <v>-4.2607570000000004E-3</v>
      </c>
      <c r="AZ117" s="6">
        <v>-2.1245190000000001E-3</v>
      </c>
      <c r="BA117" s="6">
        <v>2.1578161616161618E-4</v>
      </c>
      <c r="BB117" s="6">
        <v>-3.5802609999999999E-3</v>
      </c>
      <c r="BC117" s="6">
        <v>-2.1985849999999999E-3</v>
      </c>
      <c r="BD117" s="6">
        <v>1.3956323232323234E-4</v>
      </c>
      <c r="BE117" s="6">
        <v>-4.1504510000000003E-3</v>
      </c>
      <c r="BF117" s="6">
        <v>-2.8890230000000001E-3</v>
      </c>
      <c r="BG117" s="6">
        <v>1.2741696969696971E-4</v>
      </c>
      <c r="BH117" s="6">
        <v>-3.6378729999999998E-3</v>
      </c>
      <c r="BI117" s="6">
        <v>-2.2046510000000002E-3</v>
      </c>
      <c r="BJ117" s="6">
        <v>1.4476989898989896E-4</v>
      </c>
      <c r="BK117" s="6">
        <v>-4.1186189999999996E-3</v>
      </c>
      <c r="BL117" s="6">
        <v>-2.8854699999999998E-3</v>
      </c>
      <c r="BM117" s="6">
        <v>1.2456050505050501E-4</v>
      </c>
      <c r="BN117" s="6">
        <v>-5.3557709999999996E-3</v>
      </c>
      <c r="BO117" s="6">
        <v>-3.2409930000000002E-3</v>
      </c>
      <c r="BP117" s="6">
        <v>2.1361393939393932E-4</v>
      </c>
      <c r="BQ117" s="6">
        <v>-5.184714E-3</v>
      </c>
      <c r="BR117" s="6">
        <v>-3.0338610000000001E-3</v>
      </c>
      <c r="BS117" s="6">
        <v>2.1725787878787878E-4</v>
      </c>
      <c r="BT117" s="6">
        <v>-5.3384870000000003E-3</v>
      </c>
      <c r="BU117" s="6">
        <v>-3.2391730000000001E-3</v>
      </c>
      <c r="BV117" s="6">
        <v>2.1205191919191919E-4</v>
      </c>
      <c r="BW117" s="6">
        <v>-5.1942639999999997E-3</v>
      </c>
      <c r="BX117" s="6">
        <v>-3.0349270000000002E-3</v>
      </c>
      <c r="BY117" s="6">
        <v>2.1811484848484843E-4</v>
      </c>
      <c r="BZ117" s="6">
        <v>-4.9901149999999998E-3</v>
      </c>
      <c r="CA117" s="6">
        <v>-3.0571460000000002E-3</v>
      </c>
      <c r="CB117" s="6">
        <v>1.952493939393939E-4</v>
      </c>
      <c r="CC117" s="6">
        <v>-5.1611720000000003E-3</v>
      </c>
      <c r="CD117" s="6">
        <v>-3.2642779999999998E-3</v>
      </c>
      <c r="CE117" s="6">
        <v>1.916054545454546E-4</v>
      </c>
      <c r="CF117" s="6">
        <v>-5.0073990000000001E-3</v>
      </c>
      <c r="CG117" s="6">
        <v>-3.0589660000000002E-3</v>
      </c>
      <c r="CH117" s="6">
        <v>1.9681141414141411E-4</v>
      </c>
      <c r="CI117" s="6">
        <v>-5.1516219999999998E-3</v>
      </c>
      <c r="CJ117" s="6">
        <v>-3.2632120000000001E-3</v>
      </c>
      <c r="CK117" s="6">
        <v>1.9074848484848482E-4</v>
      </c>
      <c r="CL117" s="6">
        <v>-3.8430700000000001E-3</v>
      </c>
      <c r="CM117" s="6">
        <v>-2.2501090000000001E-3</v>
      </c>
      <c r="CN117" s="6">
        <v>1.609051515151515E-4</v>
      </c>
      <c r="CO117" s="6">
        <v>-3.6720139999999999E-3</v>
      </c>
      <c r="CP117" s="6">
        <v>-2.0429770000000001E-3</v>
      </c>
      <c r="CQ117" s="6">
        <v>1.6454919191919191E-4</v>
      </c>
      <c r="CR117" s="6">
        <v>-3.8257870000000002E-3</v>
      </c>
      <c r="CS117" s="6">
        <v>-2.2482890000000001E-3</v>
      </c>
      <c r="CT117" s="6">
        <v>1.5934323232323232E-4</v>
      </c>
      <c r="CU117" s="6">
        <v>-3.6815630000000001E-3</v>
      </c>
      <c r="CV117" s="6">
        <v>-2.0440430000000002E-3</v>
      </c>
      <c r="CW117" s="6">
        <v>1.6540606060606058E-4</v>
      </c>
      <c r="CX117" s="6">
        <v>-3.4774139999999999E-3</v>
      </c>
      <c r="CY117" s="6">
        <v>-2.066263E-3</v>
      </c>
      <c r="CZ117" s="6">
        <v>1.4254050505050503E-4</v>
      </c>
      <c r="DA117" s="6">
        <v>-3.6484709999999999E-3</v>
      </c>
      <c r="DB117" s="6">
        <v>-2.2733940000000002E-3</v>
      </c>
      <c r="DC117" s="6">
        <v>1.3889666666666662E-4</v>
      </c>
      <c r="DD117" s="6">
        <v>-3.4946980000000001E-3</v>
      </c>
      <c r="DE117" s="6">
        <v>-2.0680830000000001E-3</v>
      </c>
      <c r="DF117" s="6">
        <v>1.4410252525252524E-4</v>
      </c>
      <c r="DG117" s="6">
        <v>-3.6389220000000002E-3</v>
      </c>
      <c r="DH117" s="6">
        <v>-2.2723280000000001E-3</v>
      </c>
      <c r="DI117" s="6">
        <v>1.3803979797979797E-4</v>
      </c>
    </row>
    <row r="118" spans="1:113" x14ac:dyDescent="0.3">
      <c r="A118" s="13" t="s">
        <v>464</v>
      </c>
      <c r="B118" s="13" t="s">
        <v>172</v>
      </c>
      <c r="C118" s="13" t="s">
        <v>173</v>
      </c>
      <c r="D118" s="13" t="s">
        <v>364</v>
      </c>
      <c r="E118" s="13">
        <v>9.9</v>
      </c>
      <c r="F118" s="6">
        <v>-2.9707309999999999E-3</v>
      </c>
      <c r="G118" s="6">
        <v>-1.6907350000000001E-3</v>
      </c>
      <c r="H118" s="6">
        <v>1.2929252525252524E-4</v>
      </c>
      <c r="I118" s="6">
        <v>-4.1545729999999999E-3</v>
      </c>
      <c r="J118" s="6">
        <v>-2.1698920000000001E-3</v>
      </c>
      <c r="K118" s="6">
        <v>2.0047282828282827E-4</v>
      </c>
      <c r="L118" s="6">
        <v>-3.5818180000000001E-3</v>
      </c>
      <c r="M118" s="6">
        <v>-2.0858230000000001E-3</v>
      </c>
      <c r="N118" s="6">
        <v>1.5111060606060606E-4</v>
      </c>
      <c r="O118" s="6">
        <v>-4.7365619999999997E-3</v>
      </c>
      <c r="P118" s="6">
        <v>-2.5461619999999998E-3</v>
      </c>
      <c r="Q118" s="6">
        <v>2.2125252525252525E-4</v>
      </c>
      <c r="R118" s="6">
        <v>-5.2687819999999996E-3</v>
      </c>
      <c r="S118" s="6">
        <v>-2.680768E-3</v>
      </c>
      <c r="T118" s="6">
        <v>2.6141555555555553E-4</v>
      </c>
      <c r="U118" s="6">
        <v>-4.6761190000000003E-3</v>
      </c>
      <c r="V118" s="6">
        <v>-2.4103520000000002E-3</v>
      </c>
      <c r="W118" s="6">
        <v>2.2886535353535355E-4</v>
      </c>
      <c r="X118" s="6">
        <v>-5.2797340000000003E-3</v>
      </c>
      <c r="Y118" s="6">
        <v>-2.6762930000000002E-3</v>
      </c>
      <c r="Z118" s="6">
        <v>2.6297383838383838E-4</v>
      </c>
      <c r="AA118" s="6">
        <v>-4.6732259999999999E-3</v>
      </c>
      <c r="AB118" s="6">
        <v>-2.362346E-3</v>
      </c>
      <c r="AC118" s="6">
        <v>2.3342222222222221E-4</v>
      </c>
      <c r="AD118" s="6">
        <v>-4.0741700000000002E-3</v>
      </c>
      <c r="AE118" s="6">
        <v>-2.299808E-3</v>
      </c>
      <c r="AF118" s="6">
        <v>1.7922848484848487E-4</v>
      </c>
      <c r="AG118" s="6">
        <v>-4.6649509999999996E-3</v>
      </c>
      <c r="AH118" s="6">
        <v>-2.6207240000000001E-3</v>
      </c>
      <c r="AI118" s="6">
        <v>2.0648757575757572E-4</v>
      </c>
      <c r="AJ118" s="6">
        <v>-4.0632180000000004E-3</v>
      </c>
      <c r="AK118" s="6">
        <v>-2.3042829999999999E-3</v>
      </c>
      <c r="AL118" s="6">
        <v>1.7767020202020208E-4</v>
      </c>
      <c r="AM118" s="6">
        <v>-4.6697270000000003E-3</v>
      </c>
      <c r="AN118" s="6">
        <v>-2.61823E-3</v>
      </c>
      <c r="AO118" s="6">
        <v>2.0722191919191919E-4</v>
      </c>
      <c r="AP118" s="6">
        <v>-4.8169650000000003E-3</v>
      </c>
      <c r="AQ118" s="6">
        <v>-2.4162459999999999E-3</v>
      </c>
      <c r="AR118" s="6">
        <v>2.4249686868686873E-4</v>
      </c>
      <c r="AS118" s="6">
        <v>-4.226184E-3</v>
      </c>
      <c r="AT118" s="6">
        <v>-2.0953299999999998E-3</v>
      </c>
      <c r="AU118" s="6">
        <v>2.152377777777778E-4</v>
      </c>
      <c r="AV118" s="6">
        <v>-4.8279170000000001E-3</v>
      </c>
      <c r="AW118" s="6">
        <v>-2.4117710000000001E-3</v>
      </c>
      <c r="AX118" s="6">
        <v>2.4405515151515152E-4</v>
      </c>
      <c r="AY118" s="6">
        <v>-4.2214089999999998E-3</v>
      </c>
      <c r="AZ118" s="6">
        <v>-2.0978239999999999E-3</v>
      </c>
      <c r="BA118" s="6">
        <v>2.1450353535353532E-4</v>
      </c>
      <c r="BB118" s="6">
        <v>-3.622353E-3</v>
      </c>
      <c r="BC118" s="6">
        <v>-2.0352859999999999E-3</v>
      </c>
      <c r="BD118" s="6">
        <v>1.6030979797979799E-4</v>
      </c>
      <c r="BE118" s="6">
        <v>-4.2131340000000003E-3</v>
      </c>
      <c r="BF118" s="6">
        <v>-2.3562019999999999E-3</v>
      </c>
      <c r="BG118" s="6">
        <v>1.8756888888888892E-4</v>
      </c>
      <c r="BH118" s="6">
        <v>-3.6114010000000002E-3</v>
      </c>
      <c r="BI118" s="6">
        <v>-2.0397610000000002E-3</v>
      </c>
      <c r="BJ118" s="6">
        <v>1.5875151515151514E-4</v>
      </c>
      <c r="BK118" s="6">
        <v>-4.2179100000000001E-3</v>
      </c>
      <c r="BL118" s="6">
        <v>-2.3537079999999999E-3</v>
      </c>
      <c r="BM118" s="6">
        <v>1.8830323232323234E-4</v>
      </c>
      <c r="BN118" s="6">
        <v>-5.377789E-3</v>
      </c>
      <c r="BO118" s="6">
        <v>-2.8560410000000001E-3</v>
      </c>
      <c r="BP118" s="6">
        <v>2.5472202020202016E-4</v>
      </c>
      <c r="BQ118" s="6">
        <v>-5.2005539999999996E-3</v>
      </c>
      <c r="BR118" s="6">
        <v>-2.7597659999999999E-3</v>
      </c>
      <c r="BS118" s="6">
        <v>2.4654424242424237E-4</v>
      </c>
      <c r="BT118" s="6">
        <v>-5.3810739999999996E-3</v>
      </c>
      <c r="BU118" s="6">
        <v>-2.8546980000000001E-3</v>
      </c>
      <c r="BV118" s="6">
        <v>2.5518949494949487E-4</v>
      </c>
      <c r="BW118" s="6">
        <v>-5.1991210000000001E-3</v>
      </c>
      <c r="BX118" s="6">
        <v>-2.7605139999999999E-3</v>
      </c>
      <c r="BY118" s="6">
        <v>2.4632393939393938E-4</v>
      </c>
      <c r="BZ118" s="6">
        <v>-5.0194050000000002E-3</v>
      </c>
      <c r="CA118" s="6">
        <v>-2.7417520000000001E-3</v>
      </c>
      <c r="CB118" s="6">
        <v>2.3006595959595961E-4</v>
      </c>
      <c r="CC118" s="6">
        <v>-5.1966390000000003E-3</v>
      </c>
      <c r="CD118" s="6">
        <v>-2.8380269999999999E-3</v>
      </c>
      <c r="CE118" s="6">
        <v>2.3824363636363639E-4</v>
      </c>
      <c r="CF118" s="6">
        <v>-5.0161190000000003E-3</v>
      </c>
      <c r="CG118" s="6">
        <v>-2.7430950000000001E-3</v>
      </c>
      <c r="CH118" s="6">
        <v>2.2959838383838384E-4</v>
      </c>
      <c r="CI118" s="6">
        <v>-5.1980719999999998E-3</v>
      </c>
      <c r="CJ118" s="6">
        <v>-2.8372789999999998E-3</v>
      </c>
      <c r="CK118" s="6">
        <v>2.3846393939393938E-4</v>
      </c>
      <c r="CL118" s="6">
        <v>-3.8717309999999998E-3</v>
      </c>
      <c r="CM118" s="6">
        <v>-1.9743009999999999E-3</v>
      </c>
      <c r="CN118" s="6">
        <v>1.9165959595959594E-4</v>
      </c>
      <c r="CO118" s="6">
        <v>-3.6944959999999998E-3</v>
      </c>
      <c r="CP118" s="6">
        <v>-1.8780260000000001E-3</v>
      </c>
      <c r="CQ118" s="6">
        <v>1.8348181818181815E-4</v>
      </c>
      <c r="CR118" s="6">
        <v>-3.8750159999999998E-3</v>
      </c>
      <c r="CS118" s="6">
        <v>-1.9729589999999998E-3</v>
      </c>
      <c r="CT118" s="6">
        <v>1.9212696969696968E-4</v>
      </c>
      <c r="CU118" s="6">
        <v>-3.6930639999999998E-3</v>
      </c>
      <c r="CV118" s="6">
        <v>-1.8787750000000001E-3</v>
      </c>
      <c r="CW118" s="6">
        <v>1.8326151515151511E-4</v>
      </c>
      <c r="CX118" s="6">
        <v>-3.513347E-3</v>
      </c>
      <c r="CY118" s="6">
        <v>-1.860013E-3</v>
      </c>
      <c r="CZ118" s="6">
        <v>1.6700343434343433E-4</v>
      </c>
      <c r="DA118" s="6">
        <v>-3.690582E-3</v>
      </c>
      <c r="DB118" s="6">
        <v>-1.956288E-3</v>
      </c>
      <c r="DC118" s="6">
        <v>1.7518121212121212E-4</v>
      </c>
      <c r="DD118" s="6">
        <v>-3.510062E-3</v>
      </c>
      <c r="DE118" s="6">
        <v>-1.861356E-3</v>
      </c>
      <c r="DF118" s="6">
        <v>1.665359595959596E-4</v>
      </c>
      <c r="DG118" s="6">
        <v>-3.692014E-3</v>
      </c>
      <c r="DH118" s="6">
        <v>-1.95554E-3</v>
      </c>
      <c r="DI118" s="6">
        <v>1.7540141414141414E-4</v>
      </c>
    </row>
    <row r="119" spans="1:113" x14ac:dyDescent="0.3">
      <c r="A119" s="13" t="s">
        <v>465</v>
      </c>
      <c r="B119" s="13" t="s">
        <v>213</v>
      </c>
      <c r="C119" s="13" t="s">
        <v>214</v>
      </c>
      <c r="D119" s="13" t="s">
        <v>364</v>
      </c>
      <c r="E119" s="13">
        <v>9.9</v>
      </c>
      <c r="F119" s="6">
        <v>-2.60166E-3</v>
      </c>
      <c r="G119" s="6">
        <v>-1.54882E-3</v>
      </c>
      <c r="H119" s="6">
        <v>1.0634747474747475E-4</v>
      </c>
      <c r="I119" s="6">
        <v>-3.7039410000000001E-3</v>
      </c>
      <c r="J119" s="6">
        <v>-2.0063400000000001E-3</v>
      </c>
      <c r="K119" s="6">
        <v>1.7147484848484848E-4</v>
      </c>
      <c r="L119" s="6">
        <v>-3.2125320000000001E-3</v>
      </c>
      <c r="M119" s="6">
        <v>-1.944065E-3</v>
      </c>
      <c r="N119" s="6">
        <v>1.281279797979798E-4</v>
      </c>
      <c r="O119" s="6">
        <v>-4.2857260000000001E-3</v>
      </c>
      <c r="P119" s="6">
        <v>-2.382763E-3</v>
      </c>
      <c r="Q119" s="6">
        <v>1.9221848484848484E-4</v>
      </c>
      <c r="R119" s="6">
        <v>-4.7471609999999997E-3</v>
      </c>
      <c r="S119" s="6">
        <v>-2.4945029999999999E-3</v>
      </c>
      <c r="T119" s="6">
        <v>2.2754121212121208E-4</v>
      </c>
      <c r="U119" s="6">
        <v>-4.1891250000000001E-3</v>
      </c>
      <c r="V119" s="6">
        <v>-2.4139470000000001E-3</v>
      </c>
      <c r="W119" s="6">
        <v>1.7931090909090909E-4</v>
      </c>
      <c r="X119" s="6">
        <v>-4.8196469999999998E-3</v>
      </c>
      <c r="Y119" s="6">
        <v>-2.4902510000000002E-3</v>
      </c>
      <c r="Z119" s="6">
        <v>2.3529252525252521E-4</v>
      </c>
      <c r="AA119" s="6">
        <v>-4.1521079999999998E-3</v>
      </c>
      <c r="AB119" s="6">
        <v>-2.3946900000000001E-3</v>
      </c>
      <c r="AC119" s="6">
        <v>1.7751696969696965E-4</v>
      </c>
      <c r="AD119" s="6">
        <v>-3.6500009999999999E-3</v>
      </c>
      <c r="AE119" s="6">
        <v>-2.1421159999999999E-3</v>
      </c>
      <c r="AF119" s="6">
        <v>1.5231161616161617E-4</v>
      </c>
      <c r="AG119" s="6">
        <v>-4.2065610000000002E-3</v>
      </c>
      <c r="AH119" s="6">
        <v>-2.2442199999999999E-3</v>
      </c>
      <c r="AI119" s="6">
        <v>1.9821626262626264E-4</v>
      </c>
      <c r="AJ119" s="6">
        <v>-3.5775149999999999E-3</v>
      </c>
      <c r="AK119" s="6">
        <v>-2.146369E-3</v>
      </c>
      <c r="AL119" s="6">
        <v>1.4456020202020201E-4</v>
      </c>
      <c r="AM119" s="6">
        <v>-4.2450539999999998E-3</v>
      </c>
      <c r="AN119" s="6">
        <v>-2.2419300000000001E-3</v>
      </c>
      <c r="AO119" s="6">
        <v>2.0233575757575754E-4</v>
      </c>
      <c r="AP119" s="6">
        <v>-4.3396659999999998E-3</v>
      </c>
      <c r="AQ119" s="6">
        <v>-2.2469870000000002E-3</v>
      </c>
      <c r="AR119" s="6">
        <v>2.1138171717171713E-4</v>
      </c>
      <c r="AS119" s="6">
        <v>-3.7831060000000001E-3</v>
      </c>
      <c r="AT119" s="6">
        <v>-2.1448830000000002E-3</v>
      </c>
      <c r="AU119" s="6">
        <v>1.6547707070707068E-4</v>
      </c>
      <c r="AV119" s="6">
        <v>-4.4121509999999996E-3</v>
      </c>
      <c r="AW119" s="6">
        <v>-2.2427340000000001E-3</v>
      </c>
      <c r="AX119" s="6">
        <v>2.1913303030303023E-4</v>
      </c>
      <c r="AY119" s="6">
        <v>-3.7446129999999999E-3</v>
      </c>
      <c r="AZ119" s="6">
        <v>-2.147174E-3</v>
      </c>
      <c r="BA119" s="6">
        <v>1.6135747474747475E-4</v>
      </c>
      <c r="BB119" s="6">
        <v>-3.2425050000000001E-3</v>
      </c>
      <c r="BC119" s="6">
        <v>-1.8946E-3</v>
      </c>
      <c r="BD119" s="6">
        <v>1.3615202020202021E-4</v>
      </c>
      <c r="BE119" s="6">
        <v>-3.7990649999999999E-3</v>
      </c>
      <c r="BF119" s="6">
        <v>-1.9967029999999998E-3</v>
      </c>
      <c r="BG119" s="6">
        <v>1.8205676767676769E-4</v>
      </c>
      <c r="BH119" s="6">
        <v>-3.17002E-3</v>
      </c>
      <c r="BI119" s="6">
        <v>-1.8988519999999999E-3</v>
      </c>
      <c r="BJ119" s="6">
        <v>1.2840080808080808E-4</v>
      </c>
      <c r="BK119" s="6">
        <v>-3.837558E-3</v>
      </c>
      <c r="BL119" s="6">
        <v>-1.994413E-3</v>
      </c>
      <c r="BM119" s="6">
        <v>1.8617626262626262E-4</v>
      </c>
      <c r="BN119" s="6">
        <v>-4.8385659999999999E-3</v>
      </c>
      <c r="BO119" s="6">
        <v>-2.6599369999999998E-3</v>
      </c>
      <c r="BP119" s="6">
        <v>2.2006353535353534E-4</v>
      </c>
      <c r="BQ119" s="6">
        <v>-4.6715979999999999E-3</v>
      </c>
      <c r="BR119" s="6">
        <v>-2.6293060000000001E-3</v>
      </c>
      <c r="BS119" s="6">
        <v>2.0629212121212119E-4</v>
      </c>
      <c r="BT119" s="6">
        <v>-4.8603120000000003E-3</v>
      </c>
      <c r="BU119" s="6">
        <v>-2.6586610000000001E-3</v>
      </c>
      <c r="BV119" s="6">
        <v>2.2238898989898991E-4</v>
      </c>
      <c r="BW119" s="6">
        <v>-4.6600499999999998E-3</v>
      </c>
      <c r="BX119" s="6">
        <v>-2.6299930000000002E-3</v>
      </c>
      <c r="BY119" s="6">
        <v>2.0505626262626257E-4</v>
      </c>
      <c r="BZ119" s="6">
        <v>-4.5094180000000003E-3</v>
      </c>
      <c r="CA119" s="6">
        <v>-2.5542210000000002E-3</v>
      </c>
      <c r="CB119" s="6">
        <v>1.9749464646464648E-4</v>
      </c>
      <c r="CC119" s="6">
        <v>-4.6763860000000003E-3</v>
      </c>
      <c r="CD119" s="6">
        <v>-2.5848519999999999E-3</v>
      </c>
      <c r="CE119" s="6">
        <v>2.1126606060606064E-4</v>
      </c>
      <c r="CF119" s="6">
        <v>-4.4876719999999998E-3</v>
      </c>
      <c r="CG119" s="6">
        <v>-2.5554969999999999E-3</v>
      </c>
      <c r="CH119" s="6">
        <v>1.9516919191919191E-4</v>
      </c>
      <c r="CI119" s="6">
        <v>-4.6879340000000004E-3</v>
      </c>
      <c r="CJ119" s="6">
        <v>-2.5841649999999998E-3</v>
      </c>
      <c r="CK119" s="6">
        <v>2.1250191919191925E-4</v>
      </c>
      <c r="CL119" s="6">
        <v>-3.4802489999999999E-3</v>
      </c>
      <c r="CM119" s="6">
        <v>-1.8348819999999999E-3</v>
      </c>
      <c r="CN119" s="6">
        <v>1.6619868686868687E-4</v>
      </c>
      <c r="CO119" s="6">
        <v>-3.313281E-3</v>
      </c>
      <c r="CP119" s="6">
        <v>-1.804251E-3</v>
      </c>
      <c r="CQ119" s="6">
        <v>1.5242727272727271E-4</v>
      </c>
      <c r="CR119" s="6">
        <v>-3.501994E-3</v>
      </c>
      <c r="CS119" s="6">
        <v>-1.833606E-3</v>
      </c>
      <c r="CT119" s="6">
        <v>1.6852404040404041E-4</v>
      </c>
      <c r="CU119" s="6">
        <v>-3.3017329999999998E-3</v>
      </c>
      <c r="CV119" s="6">
        <v>-1.8049380000000001E-3</v>
      </c>
      <c r="CW119" s="6">
        <v>1.5119141414141412E-4</v>
      </c>
      <c r="CX119" s="6">
        <v>-3.1511E-3</v>
      </c>
      <c r="CY119" s="6">
        <v>-1.7291660000000001E-3</v>
      </c>
      <c r="CZ119" s="6">
        <v>1.4362969696969695E-4</v>
      </c>
      <c r="DA119" s="6">
        <v>-3.318068E-3</v>
      </c>
      <c r="DB119" s="6">
        <v>-1.759797E-3</v>
      </c>
      <c r="DC119" s="6">
        <v>1.5740111111111111E-4</v>
      </c>
      <c r="DD119" s="6">
        <v>-3.1293549999999999E-3</v>
      </c>
      <c r="DE119" s="6">
        <v>-1.730442E-3</v>
      </c>
      <c r="DF119" s="6">
        <v>1.4130434343434341E-4</v>
      </c>
      <c r="DG119" s="6">
        <v>-3.3296160000000001E-3</v>
      </c>
      <c r="DH119" s="6">
        <v>-1.7591099999999999E-3</v>
      </c>
      <c r="DI119" s="6">
        <v>1.586369696969697E-4</v>
      </c>
    </row>
    <row r="120" spans="1:113" x14ac:dyDescent="0.3">
      <c r="A120" s="13" t="s">
        <v>466</v>
      </c>
      <c r="B120" s="13" t="s">
        <v>251</v>
      </c>
      <c r="C120" s="13" t="s">
        <v>252</v>
      </c>
      <c r="D120" s="13" t="s">
        <v>364</v>
      </c>
      <c r="E120" s="13">
        <v>9.9</v>
      </c>
      <c r="F120" s="6">
        <v>-2.1207439999999999E-3</v>
      </c>
      <c r="G120" s="6">
        <v>-1.491673E-3</v>
      </c>
      <c r="H120" s="6">
        <v>6.354252525252524E-5</v>
      </c>
      <c r="I120" s="6">
        <v>-3.0711319999999999E-3</v>
      </c>
      <c r="J120" s="6">
        <v>-1.922792E-3</v>
      </c>
      <c r="K120" s="6">
        <v>1.1599393939393937E-4</v>
      </c>
      <c r="L120" s="6">
        <v>-2.734696E-3</v>
      </c>
      <c r="M120" s="6">
        <v>-1.884553E-3</v>
      </c>
      <c r="N120" s="6">
        <v>8.5873030303030304E-5</v>
      </c>
      <c r="O120" s="6">
        <v>-3.65585E-3</v>
      </c>
      <c r="P120" s="6">
        <v>-2.296963E-3</v>
      </c>
      <c r="Q120" s="6">
        <v>1.3726131313131313E-4</v>
      </c>
      <c r="R120" s="6">
        <v>-3.913499E-3</v>
      </c>
      <c r="S120" s="6">
        <v>-2.4762159999999998E-3</v>
      </c>
      <c r="T120" s="6">
        <v>1.4518010101010102E-4</v>
      </c>
      <c r="U120" s="6">
        <v>-3.6384080000000001E-3</v>
      </c>
      <c r="V120" s="6">
        <v>-2.4762809999999999E-3</v>
      </c>
      <c r="W120" s="6">
        <v>1.1738656565656567E-4</v>
      </c>
      <c r="X120" s="6">
        <v>-3.9790099999999998E-3</v>
      </c>
      <c r="Y120" s="6">
        <v>-2.4731050000000002E-3</v>
      </c>
      <c r="Z120" s="6">
        <v>1.5211161616161611E-4</v>
      </c>
      <c r="AA120" s="6">
        <v>-3.6012869999999999E-3</v>
      </c>
      <c r="AB120" s="6">
        <v>-2.4720229999999998E-3</v>
      </c>
      <c r="AC120" s="6">
        <v>1.1406707070707071E-4</v>
      </c>
      <c r="AD120" s="6">
        <v>-3.1637480000000001E-3</v>
      </c>
      <c r="AE120" s="6">
        <v>-1.9838289999999999E-3</v>
      </c>
      <c r="AF120" s="6">
        <v>1.1918373737373739E-4</v>
      </c>
      <c r="AG120" s="6">
        <v>-3.4386080000000001E-3</v>
      </c>
      <c r="AH120" s="6">
        <v>-1.9896979999999998E-3</v>
      </c>
      <c r="AI120" s="6">
        <v>1.4635454545454548E-4</v>
      </c>
      <c r="AJ120" s="6">
        <v>-3.0982380000000001E-3</v>
      </c>
      <c r="AK120" s="6">
        <v>-1.9869390000000001E-3</v>
      </c>
      <c r="AL120" s="6">
        <v>1.1225242424242424E-4</v>
      </c>
      <c r="AM120" s="6">
        <v>-3.4759610000000001E-3</v>
      </c>
      <c r="AN120" s="6">
        <v>-1.9880219999999999E-3</v>
      </c>
      <c r="AO120" s="6">
        <v>1.5029686868686871E-4</v>
      </c>
      <c r="AP120" s="6">
        <v>-3.5632340000000002E-3</v>
      </c>
      <c r="AQ120" s="6">
        <v>-2.2359260000000001E-3</v>
      </c>
      <c r="AR120" s="6">
        <v>1.3407151515151515E-4</v>
      </c>
      <c r="AS120" s="6">
        <v>-3.2883740000000002E-3</v>
      </c>
      <c r="AT120" s="6">
        <v>-2.2300570000000001E-3</v>
      </c>
      <c r="AU120" s="6">
        <v>1.0690070707070708E-4</v>
      </c>
      <c r="AV120" s="6">
        <v>-3.6287440000000002E-3</v>
      </c>
      <c r="AW120" s="6">
        <v>-2.232815E-3</v>
      </c>
      <c r="AX120" s="6">
        <v>1.410029292929293E-4</v>
      </c>
      <c r="AY120" s="6">
        <v>-3.2510210000000002E-3</v>
      </c>
      <c r="AZ120" s="6">
        <v>-2.2317330000000001E-3</v>
      </c>
      <c r="BA120" s="6">
        <v>1.0295838383838385E-4</v>
      </c>
      <c r="BB120" s="6">
        <v>-2.813482E-3</v>
      </c>
      <c r="BC120" s="6">
        <v>-1.7435389999999999E-3</v>
      </c>
      <c r="BD120" s="6">
        <v>1.0807505050505051E-4</v>
      </c>
      <c r="BE120" s="6">
        <v>-3.088342E-3</v>
      </c>
      <c r="BF120" s="6">
        <v>-1.749408E-3</v>
      </c>
      <c r="BG120" s="6">
        <v>1.3524585858585859E-4</v>
      </c>
      <c r="BH120" s="6">
        <v>-2.747972E-3</v>
      </c>
      <c r="BI120" s="6">
        <v>-1.74665E-3</v>
      </c>
      <c r="BJ120" s="6">
        <v>1.0114363636363636E-4</v>
      </c>
      <c r="BK120" s="6">
        <v>-3.1256949999999999E-3</v>
      </c>
      <c r="BL120" s="6">
        <v>-1.7477320000000001E-3</v>
      </c>
      <c r="BM120" s="6">
        <v>1.3918818181818179E-4</v>
      </c>
      <c r="BN120" s="6">
        <v>-4.0597300000000001E-3</v>
      </c>
      <c r="BO120" s="6">
        <v>-2.584219E-3</v>
      </c>
      <c r="BP120" s="6">
        <v>1.4904151515151515E-4</v>
      </c>
      <c r="BQ120" s="6">
        <v>-3.9772719999999996E-3</v>
      </c>
      <c r="BR120" s="6">
        <v>-2.5824580000000001E-3</v>
      </c>
      <c r="BS120" s="6">
        <v>1.4089030303030296E-4</v>
      </c>
      <c r="BT120" s="6">
        <v>-4.0793829999999998E-3</v>
      </c>
      <c r="BU120" s="6">
        <v>-2.5832860000000002E-3</v>
      </c>
      <c r="BV120" s="6">
        <v>1.5112090909090905E-4</v>
      </c>
      <c r="BW120" s="6">
        <v>-3.9660659999999999E-3</v>
      </c>
      <c r="BX120" s="6">
        <v>-2.5829609999999999E-3</v>
      </c>
      <c r="BY120" s="6">
        <v>1.3970757575757574E-4</v>
      </c>
      <c r="BZ120" s="6">
        <v>-3.8348050000000002E-3</v>
      </c>
      <c r="CA120" s="6">
        <v>-2.436503E-3</v>
      </c>
      <c r="CB120" s="6">
        <v>1.4124262626262626E-4</v>
      </c>
      <c r="CC120" s="6">
        <v>-3.9172620000000003E-3</v>
      </c>
      <c r="CD120" s="6">
        <v>-2.438263E-3</v>
      </c>
      <c r="CE120" s="6">
        <v>1.4939383838383842E-4</v>
      </c>
      <c r="CF120" s="6">
        <v>-3.815152E-3</v>
      </c>
      <c r="CG120" s="6">
        <v>-2.4374359999999999E-3</v>
      </c>
      <c r="CH120" s="6">
        <v>1.3916323232323233E-4</v>
      </c>
      <c r="CI120" s="6">
        <v>-3.9284680000000001E-3</v>
      </c>
      <c r="CJ120" s="6">
        <v>-2.4377610000000001E-3</v>
      </c>
      <c r="CK120" s="6">
        <v>1.5057646464646464E-4</v>
      </c>
      <c r="CL120" s="6">
        <v>-2.8921770000000001E-3</v>
      </c>
      <c r="CM120" s="6">
        <v>-1.7832519999999999E-3</v>
      </c>
      <c r="CN120" s="6">
        <v>1.1201262626262628E-4</v>
      </c>
      <c r="CO120" s="6">
        <v>-2.809719E-3</v>
      </c>
      <c r="CP120" s="6">
        <v>-1.781492E-3</v>
      </c>
      <c r="CQ120" s="6">
        <v>1.0386131313131313E-4</v>
      </c>
      <c r="CR120" s="6">
        <v>-2.9118299999999998E-3</v>
      </c>
      <c r="CS120" s="6">
        <v>-1.7823190000000001E-3</v>
      </c>
      <c r="CT120" s="6">
        <v>1.1409202020202017E-4</v>
      </c>
      <c r="CU120" s="6">
        <v>-2.7985129999999999E-3</v>
      </c>
      <c r="CV120" s="6">
        <v>-1.7819940000000001E-3</v>
      </c>
      <c r="CW120" s="6">
        <v>1.0267868686868684E-4</v>
      </c>
      <c r="CX120" s="6">
        <v>-2.6672509999999998E-3</v>
      </c>
      <c r="CY120" s="6">
        <v>-1.6355359999999999E-3</v>
      </c>
      <c r="CZ120" s="6">
        <v>1.0421363636363635E-4</v>
      </c>
      <c r="DA120" s="6">
        <v>-2.7497089999999999E-3</v>
      </c>
      <c r="DB120" s="6">
        <v>-1.637297E-3</v>
      </c>
      <c r="DC120" s="6">
        <v>1.1236484848484847E-4</v>
      </c>
      <c r="DD120" s="6">
        <v>-2.6475980000000001E-3</v>
      </c>
      <c r="DE120" s="6">
        <v>-1.636469E-3</v>
      </c>
      <c r="DF120" s="6">
        <v>1.0213424242424243E-4</v>
      </c>
      <c r="DG120" s="6">
        <v>-2.7609150000000001E-3</v>
      </c>
      <c r="DH120" s="6">
        <v>-1.636794E-3</v>
      </c>
      <c r="DI120" s="6">
        <v>1.1354757575757576E-4</v>
      </c>
    </row>
    <row r="121" spans="1:113" x14ac:dyDescent="0.3">
      <c r="A121" s="13" t="s">
        <v>467</v>
      </c>
      <c r="B121" s="13" t="s">
        <v>292</v>
      </c>
      <c r="C121" s="13" t="s">
        <v>294</v>
      </c>
      <c r="D121" s="13" t="s">
        <v>364</v>
      </c>
      <c r="E121" s="13">
        <v>9.9</v>
      </c>
      <c r="F121" s="6">
        <v>-1.482787E-3</v>
      </c>
      <c r="G121" s="6">
        <v>-1.427296E-3</v>
      </c>
      <c r="H121" s="6">
        <v>5.605151515151511E-6</v>
      </c>
      <c r="I121" s="6">
        <v>-2.192608E-3</v>
      </c>
      <c r="J121" s="6">
        <v>-1.8152400000000001E-3</v>
      </c>
      <c r="K121" s="6">
        <v>3.8117979797979784E-5</v>
      </c>
      <c r="L121" s="6">
        <v>-2.0920019999999999E-3</v>
      </c>
      <c r="M121" s="6">
        <v>-1.815784E-3</v>
      </c>
      <c r="N121" s="6">
        <v>2.7900808080808076E-5</v>
      </c>
      <c r="O121" s="6">
        <v>-2.7728129999999998E-3</v>
      </c>
      <c r="P121" s="6">
        <v>-2.1852239999999999E-3</v>
      </c>
      <c r="Q121" s="6">
        <v>5.9352424242424228E-5</v>
      </c>
      <c r="R121" s="6">
        <v>-2.9969390000000001E-3</v>
      </c>
      <c r="S121" s="6">
        <v>-2.4440030000000001E-3</v>
      </c>
      <c r="T121" s="6">
        <v>5.5852121212121205E-5</v>
      </c>
      <c r="U121" s="6">
        <v>-3.0957469999999998E-3</v>
      </c>
      <c r="V121" s="6">
        <v>-2.4691969999999998E-3</v>
      </c>
      <c r="W121" s="6">
        <v>6.3287878787878789E-5</v>
      </c>
      <c r="X121" s="6">
        <v>-3.043231E-3</v>
      </c>
      <c r="Y121" s="6">
        <v>-2.4424989999999999E-3</v>
      </c>
      <c r="Z121" s="6">
        <v>6.0680000000000009E-5</v>
      </c>
      <c r="AA121" s="6">
        <v>-3.0674439999999999E-3</v>
      </c>
      <c r="AB121" s="6">
        <v>-2.4712039999999998E-3</v>
      </c>
      <c r="AC121" s="6">
        <v>6.0226262626262631E-5</v>
      </c>
      <c r="AD121" s="6">
        <v>-2.2414539999999999E-3</v>
      </c>
      <c r="AE121" s="6">
        <v>-1.7883409999999999E-3</v>
      </c>
      <c r="AF121" s="6">
        <v>4.5768989898989899E-5</v>
      </c>
      <c r="AG121" s="6">
        <v>-2.1440999999999999E-3</v>
      </c>
      <c r="AH121" s="6">
        <v>-1.7619459999999999E-3</v>
      </c>
      <c r="AI121" s="6">
        <v>3.860141414141414E-5</v>
      </c>
      <c r="AJ121" s="6">
        <v>-2.1951620000000001E-3</v>
      </c>
      <c r="AK121" s="6">
        <v>-1.7898440000000001E-3</v>
      </c>
      <c r="AL121" s="6">
        <v>4.0941212121212122E-5</v>
      </c>
      <c r="AM121" s="6">
        <v>-2.1709490000000001E-3</v>
      </c>
      <c r="AN121" s="6">
        <v>-1.7611390000000001E-3</v>
      </c>
      <c r="AO121" s="6">
        <v>4.1394949494949499E-5</v>
      </c>
      <c r="AP121" s="6">
        <v>-2.7239669999999999E-3</v>
      </c>
      <c r="AQ121" s="6">
        <v>-2.2121229999999999E-3</v>
      </c>
      <c r="AR121" s="6">
        <v>5.170141414141414E-5</v>
      </c>
      <c r="AS121" s="6">
        <v>-2.8213209999999999E-3</v>
      </c>
      <c r="AT121" s="6">
        <v>-2.2385180000000001E-3</v>
      </c>
      <c r="AU121" s="6">
        <v>5.8868989898989879E-5</v>
      </c>
      <c r="AV121" s="6">
        <v>-2.7702590000000002E-3</v>
      </c>
      <c r="AW121" s="6">
        <v>-2.2106199999999999E-3</v>
      </c>
      <c r="AX121" s="6">
        <v>5.6529191919191938E-5</v>
      </c>
      <c r="AY121" s="6">
        <v>-2.7944720000000001E-3</v>
      </c>
      <c r="AZ121" s="6">
        <v>-2.2393249999999999E-3</v>
      </c>
      <c r="BA121" s="6">
        <v>5.607545454545456E-5</v>
      </c>
      <c r="BB121" s="6">
        <v>-1.9684820000000001E-3</v>
      </c>
      <c r="BC121" s="6">
        <v>-1.5564610000000001E-3</v>
      </c>
      <c r="BD121" s="6">
        <v>4.1618282828282835E-5</v>
      </c>
      <c r="BE121" s="6">
        <v>-1.8711279999999999E-3</v>
      </c>
      <c r="BF121" s="6">
        <v>-1.5300660000000001E-3</v>
      </c>
      <c r="BG121" s="6">
        <v>3.4450707070707056E-5</v>
      </c>
      <c r="BH121" s="6">
        <v>-1.9221900000000001E-3</v>
      </c>
      <c r="BI121" s="6">
        <v>-1.5579649999999999E-3</v>
      </c>
      <c r="BJ121" s="6">
        <v>3.6790404040404051E-5</v>
      </c>
      <c r="BK121" s="6">
        <v>-1.8979769999999999E-3</v>
      </c>
      <c r="BL121" s="6">
        <v>-1.52926E-3</v>
      </c>
      <c r="BM121" s="6">
        <v>3.7244141414141408E-5</v>
      </c>
      <c r="BN121" s="6">
        <v>-3.0509869999999998E-3</v>
      </c>
      <c r="BO121" s="6">
        <v>-2.4850470000000002E-3</v>
      </c>
      <c r="BP121" s="6">
        <v>5.7165656565656524E-5</v>
      </c>
      <c r="BQ121" s="6">
        <v>-3.0801930000000002E-3</v>
      </c>
      <c r="BR121" s="6">
        <v>-2.4929660000000001E-3</v>
      </c>
      <c r="BS121" s="6">
        <v>5.9315858585858589E-5</v>
      </c>
      <c r="BT121" s="6">
        <v>-3.064874E-3</v>
      </c>
      <c r="BU121" s="6">
        <v>-2.4845959999999999E-3</v>
      </c>
      <c r="BV121" s="6">
        <v>5.8613939393939396E-5</v>
      </c>
      <c r="BW121" s="6">
        <v>-3.0721379999999999E-3</v>
      </c>
      <c r="BX121" s="6">
        <v>-2.4932079999999998E-3</v>
      </c>
      <c r="BY121" s="6">
        <v>5.847777777777778E-5</v>
      </c>
      <c r="BZ121" s="6">
        <v>-2.8243410000000002E-3</v>
      </c>
      <c r="CA121" s="6">
        <v>-2.2883489999999999E-3</v>
      </c>
      <c r="CB121" s="6">
        <v>5.4140606060606093E-5</v>
      </c>
      <c r="CC121" s="6">
        <v>-2.7951349999999998E-3</v>
      </c>
      <c r="CD121" s="6">
        <v>-2.28043E-3</v>
      </c>
      <c r="CE121" s="6">
        <v>5.1990404040404021E-5</v>
      </c>
      <c r="CF121" s="6">
        <v>-2.810454E-3</v>
      </c>
      <c r="CG121" s="6">
        <v>-2.2888000000000001E-3</v>
      </c>
      <c r="CH121" s="6">
        <v>5.2692323232323214E-5</v>
      </c>
      <c r="CI121" s="6">
        <v>-2.8031900000000001E-3</v>
      </c>
      <c r="CJ121" s="6">
        <v>-2.2801879999999998E-3</v>
      </c>
      <c r="CK121" s="6">
        <v>5.2828484848484877E-5</v>
      </c>
      <c r="CL121" s="6">
        <v>-2.1410800000000001E-3</v>
      </c>
      <c r="CM121" s="6">
        <v>-1.7121149999999999E-3</v>
      </c>
      <c r="CN121" s="6">
        <v>4.3329797979797987E-5</v>
      </c>
      <c r="CO121" s="6">
        <v>-2.170286E-3</v>
      </c>
      <c r="CP121" s="6">
        <v>-1.7200340000000001E-3</v>
      </c>
      <c r="CQ121" s="6">
        <v>4.5479999999999991E-5</v>
      </c>
      <c r="CR121" s="6">
        <v>-2.1549680000000002E-3</v>
      </c>
      <c r="CS121" s="6">
        <v>-1.7116639999999999E-3</v>
      </c>
      <c r="CT121" s="6">
        <v>4.4778181818181845E-5</v>
      </c>
      <c r="CU121" s="6">
        <v>-2.162232E-3</v>
      </c>
      <c r="CV121" s="6">
        <v>-1.720276E-3</v>
      </c>
      <c r="CW121" s="6">
        <v>4.4642020202020209E-5</v>
      </c>
      <c r="CX121" s="6">
        <v>-1.9144349999999999E-3</v>
      </c>
      <c r="CY121" s="6">
        <v>-1.515417E-3</v>
      </c>
      <c r="CZ121" s="6">
        <v>4.0304848484848475E-5</v>
      </c>
      <c r="DA121" s="6">
        <v>-1.8852280000000001E-3</v>
      </c>
      <c r="DB121" s="6">
        <v>-1.5074979999999999E-3</v>
      </c>
      <c r="DC121" s="6">
        <v>3.8154545454545471E-5</v>
      </c>
      <c r="DD121" s="6">
        <v>-1.900547E-3</v>
      </c>
      <c r="DE121" s="6">
        <v>-1.5158680000000001E-3</v>
      </c>
      <c r="DF121" s="6">
        <v>3.8856464646464644E-5</v>
      </c>
      <c r="DG121" s="6">
        <v>-1.8932829999999999E-3</v>
      </c>
      <c r="DH121" s="6">
        <v>-1.507256E-3</v>
      </c>
      <c r="DI121" s="6">
        <v>3.8992626262626253E-5</v>
      </c>
    </row>
    <row r="122" spans="1:113" x14ac:dyDescent="0.3">
      <c r="A122" s="13" t="s">
        <v>468</v>
      </c>
      <c r="B122" s="13" t="s">
        <v>78</v>
      </c>
      <c r="C122" s="13" t="s">
        <v>80</v>
      </c>
      <c r="D122" s="13" t="s">
        <v>347</v>
      </c>
      <c r="E122" s="13">
        <v>9.9</v>
      </c>
      <c r="F122" s="6">
        <v>-1.040734E-3</v>
      </c>
      <c r="G122" s="6">
        <v>-2.4288809999999999E-3</v>
      </c>
      <c r="H122" s="6">
        <v>1.4021686868686867E-4</v>
      </c>
      <c r="I122" s="6">
        <v>-1.5630170000000001E-3</v>
      </c>
      <c r="J122" s="6">
        <v>-2.9916970000000002E-3</v>
      </c>
      <c r="K122" s="6">
        <v>1.4431111111111111E-4</v>
      </c>
      <c r="L122" s="6">
        <v>-1.6288019999999999E-3</v>
      </c>
      <c r="M122" s="6">
        <v>-2.8113650000000001E-3</v>
      </c>
      <c r="N122" s="6">
        <v>1.194508080808081E-4</v>
      </c>
      <c r="O122" s="6">
        <v>-2.1230789999999999E-3</v>
      </c>
      <c r="P122" s="6">
        <v>-3.3559229999999998E-3</v>
      </c>
      <c r="Q122" s="6">
        <v>1.2452969696969695E-4</v>
      </c>
      <c r="R122" s="6">
        <v>-2.2293740000000001E-3</v>
      </c>
      <c r="S122" s="6">
        <v>-3.8891500000000001E-3</v>
      </c>
      <c r="T122" s="6">
        <v>1.676541414141414E-4</v>
      </c>
      <c r="U122" s="6">
        <v>-1.8680739999999999E-3</v>
      </c>
      <c r="V122" s="6">
        <v>-2.749025E-3</v>
      </c>
      <c r="W122" s="6">
        <v>8.8984949494949503E-5</v>
      </c>
      <c r="X122" s="6">
        <v>-2.1848000000000002E-3</v>
      </c>
      <c r="Y122" s="6">
        <v>-3.875131E-3</v>
      </c>
      <c r="Z122" s="6">
        <v>1.7074050505050503E-4</v>
      </c>
      <c r="AA122" s="6">
        <v>-1.8837420000000001E-3</v>
      </c>
      <c r="AB122" s="6">
        <v>-2.6019260000000001E-3</v>
      </c>
      <c r="AC122" s="6">
        <v>7.2543838383838373E-5</v>
      </c>
      <c r="AD122" s="6">
        <v>-1.6733480000000001E-3</v>
      </c>
      <c r="AE122" s="6">
        <v>-2.8096029999999999E-3</v>
      </c>
      <c r="AF122" s="6">
        <v>1.147732323232323E-4</v>
      </c>
      <c r="AG122" s="6">
        <v>-2.0434889999999999E-3</v>
      </c>
      <c r="AH122" s="6">
        <v>-4.1050440000000004E-3</v>
      </c>
      <c r="AI122" s="6">
        <v>2.0823787878787884E-4</v>
      </c>
      <c r="AJ122" s="6">
        <v>-1.717922E-3</v>
      </c>
      <c r="AK122" s="6">
        <v>-2.823622E-3</v>
      </c>
      <c r="AL122" s="6">
        <v>1.1168686868686868E-4</v>
      </c>
      <c r="AM122" s="6">
        <v>-2.0189800000000001E-3</v>
      </c>
      <c r="AN122" s="6">
        <v>-4.0968259999999996E-3</v>
      </c>
      <c r="AO122" s="6">
        <v>2.0988343434343428E-4</v>
      </c>
      <c r="AP122" s="6">
        <v>-2.012748E-3</v>
      </c>
      <c r="AQ122" s="6">
        <v>-3.538018E-3</v>
      </c>
      <c r="AR122" s="6">
        <v>1.5406767676767676E-4</v>
      </c>
      <c r="AS122" s="6">
        <v>-1.642606E-3</v>
      </c>
      <c r="AT122" s="6">
        <v>-2.2425769999999999E-3</v>
      </c>
      <c r="AU122" s="6">
        <v>6.0603131313131303E-5</v>
      </c>
      <c r="AV122" s="6">
        <v>-1.9681740000000001E-3</v>
      </c>
      <c r="AW122" s="6">
        <v>-3.5239989999999999E-3</v>
      </c>
      <c r="AX122" s="6">
        <v>1.5715404040404039E-4</v>
      </c>
      <c r="AY122" s="6">
        <v>-1.667115E-3</v>
      </c>
      <c r="AZ122" s="6">
        <v>-2.2507949999999999E-3</v>
      </c>
      <c r="BA122" s="6">
        <v>5.8957575757575735E-5</v>
      </c>
      <c r="BB122" s="6">
        <v>-1.456721E-3</v>
      </c>
      <c r="BC122" s="6">
        <v>-2.4584709999999998E-3</v>
      </c>
      <c r="BD122" s="6">
        <v>1.0118686868686867E-4</v>
      </c>
      <c r="BE122" s="6">
        <v>-1.826863E-3</v>
      </c>
      <c r="BF122" s="6">
        <v>-3.7539119999999999E-3</v>
      </c>
      <c r="BG122" s="6">
        <v>1.9465141414141412E-4</v>
      </c>
      <c r="BH122" s="6">
        <v>-1.5012949999999999E-3</v>
      </c>
      <c r="BI122" s="6">
        <v>-2.4724899999999999E-3</v>
      </c>
      <c r="BJ122" s="6">
        <v>9.8100505050505052E-5</v>
      </c>
      <c r="BK122" s="6">
        <v>-1.802353E-3</v>
      </c>
      <c r="BL122" s="6">
        <v>-3.7456949999999998E-3</v>
      </c>
      <c r="BM122" s="6">
        <v>1.9629717171717169E-4</v>
      </c>
      <c r="BN122" s="6">
        <v>-2.287496E-3</v>
      </c>
      <c r="BO122" s="6">
        <v>-3.9209620000000001E-3</v>
      </c>
      <c r="BP122" s="6">
        <v>1.6499656565656566E-4</v>
      </c>
      <c r="BQ122" s="6">
        <v>-2.1764530000000001E-3</v>
      </c>
      <c r="BR122" s="6">
        <v>-3.5323289999999999E-3</v>
      </c>
      <c r="BS122" s="6">
        <v>1.369571717171717E-4</v>
      </c>
      <c r="BT122" s="6">
        <v>-2.2741240000000002E-3</v>
      </c>
      <c r="BU122" s="6">
        <v>-3.9167560000000004E-3</v>
      </c>
      <c r="BV122" s="6">
        <v>1.6592242424242425E-4</v>
      </c>
      <c r="BW122" s="6">
        <v>-2.1838059999999999E-3</v>
      </c>
      <c r="BX122" s="6">
        <v>-3.5347949999999999E-3</v>
      </c>
      <c r="BY122" s="6">
        <v>1.3646353535353534E-4</v>
      </c>
      <c r="BZ122" s="6">
        <v>-2.1206879999999999E-3</v>
      </c>
      <c r="CA122" s="6">
        <v>-3.597098E-3</v>
      </c>
      <c r="CB122" s="6">
        <v>1.4913232323232324E-4</v>
      </c>
      <c r="CC122" s="6">
        <v>-2.2317299999999999E-3</v>
      </c>
      <c r="CD122" s="6">
        <v>-3.9857299999999998E-3</v>
      </c>
      <c r="CE122" s="6">
        <v>1.7717171717171717E-4</v>
      </c>
      <c r="CF122" s="6">
        <v>-2.1340600000000001E-3</v>
      </c>
      <c r="CG122" s="6">
        <v>-3.6013030000000001E-3</v>
      </c>
      <c r="CH122" s="6">
        <v>1.4820636363636363E-4</v>
      </c>
      <c r="CI122" s="6">
        <v>-2.2243779999999999E-3</v>
      </c>
      <c r="CJ122" s="6">
        <v>-3.9832649999999997E-3</v>
      </c>
      <c r="CK122" s="6">
        <v>1.776653535353535E-4</v>
      </c>
      <c r="CL122" s="6">
        <v>-1.565407E-3</v>
      </c>
      <c r="CM122" s="6">
        <v>-2.7505229999999999E-3</v>
      </c>
      <c r="CN122" s="6">
        <v>1.1970868686868686E-4</v>
      </c>
      <c r="CO122" s="6">
        <v>-1.454365E-3</v>
      </c>
      <c r="CP122" s="6">
        <v>-2.3618910000000001E-3</v>
      </c>
      <c r="CQ122" s="6">
        <v>9.1669292929292929E-5</v>
      </c>
      <c r="CR122" s="6">
        <v>-1.552035E-3</v>
      </c>
      <c r="CS122" s="6">
        <v>-2.7463180000000002E-3</v>
      </c>
      <c r="CT122" s="6">
        <v>1.2063464646464647E-4</v>
      </c>
      <c r="CU122" s="6">
        <v>-1.4617180000000001E-3</v>
      </c>
      <c r="CV122" s="6">
        <v>-2.3643560000000002E-3</v>
      </c>
      <c r="CW122" s="6">
        <v>9.1175555555555559E-5</v>
      </c>
      <c r="CX122" s="6">
        <v>-1.3985989999999999E-3</v>
      </c>
      <c r="CY122" s="6">
        <v>-2.4266589999999998E-3</v>
      </c>
      <c r="CZ122" s="6">
        <v>1.0384444444444443E-4</v>
      </c>
      <c r="DA122" s="6">
        <v>-1.5096420000000001E-3</v>
      </c>
      <c r="DB122" s="6">
        <v>-2.8152920000000001E-3</v>
      </c>
      <c r="DC122" s="6">
        <v>1.3188383838383838E-4</v>
      </c>
      <c r="DD122" s="6">
        <v>-1.4119720000000001E-3</v>
      </c>
      <c r="DE122" s="6">
        <v>-2.4308649999999999E-3</v>
      </c>
      <c r="DF122" s="6">
        <v>1.0291848484848483E-4</v>
      </c>
      <c r="DG122" s="6">
        <v>-1.502289E-3</v>
      </c>
      <c r="DH122" s="6">
        <v>-2.812826E-3</v>
      </c>
      <c r="DI122" s="6">
        <v>1.3237747474747474E-4</v>
      </c>
    </row>
    <row r="123" spans="1:113" x14ac:dyDescent="0.3">
      <c r="A123" s="13" t="s">
        <v>469</v>
      </c>
      <c r="B123" s="13" t="s">
        <v>115</v>
      </c>
      <c r="C123" s="13" t="s">
        <v>116</v>
      </c>
      <c r="D123" s="13" t="s">
        <v>347</v>
      </c>
      <c r="E123" s="13">
        <v>9.9</v>
      </c>
      <c r="F123" s="6">
        <v>-1.781166E-3</v>
      </c>
      <c r="G123" s="6">
        <v>-2.1285620000000001E-3</v>
      </c>
      <c r="H123" s="6">
        <v>3.509050505050505E-5</v>
      </c>
      <c r="I123" s="6">
        <v>-2.5458120000000002E-3</v>
      </c>
      <c r="J123" s="6">
        <v>-2.6411579999999998E-3</v>
      </c>
      <c r="K123" s="6">
        <v>9.630909090909052E-6</v>
      </c>
      <c r="L123" s="6">
        <v>-2.3972659999999999E-3</v>
      </c>
      <c r="M123" s="6">
        <v>-2.518073E-3</v>
      </c>
      <c r="N123" s="6">
        <v>1.2202727272727284E-5</v>
      </c>
      <c r="O123" s="6">
        <v>-3.132578E-3</v>
      </c>
      <c r="P123" s="6">
        <v>-3.0120979999999999E-3</v>
      </c>
      <c r="Q123" s="6">
        <v>1.2169696969696976E-5</v>
      </c>
      <c r="R123" s="6">
        <v>-3.404785E-3</v>
      </c>
      <c r="S123" s="6">
        <v>-3.374906E-3</v>
      </c>
      <c r="T123" s="6">
        <v>3.0180808080808097E-6</v>
      </c>
      <c r="U123" s="6">
        <v>-3.0329799999999998E-3</v>
      </c>
      <c r="V123" s="6">
        <v>-2.5806430000000001E-3</v>
      </c>
      <c r="W123" s="6">
        <v>4.569060606060603E-5</v>
      </c>
      <c r="X123" s="6">
        <v>-3.3437860000000001E-3</v>
      </c>
      <c r="Y123" s="6">
        <v>-3.3668840000000001E-3</v>
      </c>
      <c r="Z123" s="6">
        <v>2.3331313131313174E-6</v>
      </c>
      <c r="AA123" s="6">
        <v>-3.074158E-3</v>
      </c>
      <c r="AB123" s="6">
        <v>-2.466008E-3</v>
      </c>
      <c r="AC123" s="6">
        <v>6.1429292929292934E-5</v>
      </c>
      <c r="AD123" s="6">
        <v>-2.5834569999999999E-3</v>
      </c>
      <c r="AE123" s="6">
        <v>-2.5945410000000001E-3</v>
      </c>
      <c r="AF123" s="6">
        <v>1.1195959595959778E-6</v>
      </c>
      <c r="AG123" s="6">
        <v>-2.947557E-3</v>
      </c>
      <c r="AH123" s="6">
        <v>-3.5081740000000002E-3</v>
      </c>
      <c r="AI123" s="6">
        <v>5.6627979797979822E-5</v>
      </c>
      <c r="AJ123" s="6">
        <v>-2.6444559999999999E-3</v>
      </c>
      <c r="AK123" s="6">
        <v>-2.602563E-3</v>
      </c>
      <c r="AL123" s="6">
        <v>4.2316161616161495E-6</v>
      </c>
      <c r="AM123" s="6">
        <v>-2.9140839999999999E-3</v>
      </c>
      <c r="AN123" s="6">
        <v>-3.5034390000000001E-3</v>
      </c>
      <c r="AO123" s="6">
        <v>5.9530808080808093E-5</v>
      </c>
      <c r="AP123" s="6">
        <v>-3.0949329999999998E-3</v>
      </c>
      <c r="AQ123" s="6">
        <v>-3.058715E-3</v>
      </c>
      <c r="AR123" s="6">
        <v>3.6583838383838135E-6</v>
      </c>
      <c r="AS123" s="6">
        <v>-2.7308340000000001E-3</v>
      </c>
      <c r="AT123" s="6">
        <v>-2.145082E-3</v>
      </c>
      <c r="AU123" s="6">
        <v>5.9166868686868697E-5</v>
      </c>
      <c r="AV123" s="6">
        <v>-3.0339339999999998E-3</v>
      </c>
      <c r="AW123" s="6">
        <v>-3.0506930000000002E-3</v>
      </c>
      <c r="AX123" s="6">
        <v>1.6928282828283135E-6</v>
      </c>
      <c r="AY123" s="6">
        <v>-2.7643059999999998E-3</v>
      </c>
      <c r="AZ123" s="6">
        <v>-2.149818E-3</v>
      </c>
      <c r="BA123" s="6">
        <v>6.2069494949494928E-5</v>
      </c>
      <c r="BB123" s="6">
        <v>-2.2736060000000001E-3</v>
      </c>
      <c r="BC123" s="6">
        <v>-2.2783510000000001E-3</v>
      </c>
      <c r="BD123" s="6">
        <v>4.7929292929293023E-7</v>
      </c>
      <c r="BE123" s="6">
        <v>-2.6377050000000002E-3</v>
      </c>
      <c r="BF123" s="6">
        <v>-3.1919840000000001E-3</v>
      </c>
      <c r="BG123" s="6">
        <v>5.5987777777777775E-5</v>
      </c>
      <c r="BH123" s="6">
        <v>-2.334605E-3</v>
      </c>
      <c r="BI123" s="6">
        <v>-2.286373E-3</v>
      </c>
      <c r="BJ123" s="6">
        <v>4.8719191919191965E-6</v>
      </c>
      <c r="BK123" s="6">
        <v>-2.6042320000000002E-3</v>
      </c>
      <c r="BL123" s="6">
        <v>-3.1872490000000001E-3</v>
      </c>
      <c r="BM123" s="6">
        <v>5.8890606060606052E-5</v>
      </c>
      <c r="BN123" s="6">
        <v>-3.4788140000000002E-3</v>
      </c>
      <c r="BO123" s="6">
        <v>-3.4706670000000002E-3</v>
      </c>
      <c r="BP123" s="6">
        <v>8.229292929292944E-7</v>
      </c>
      <c r="BQ123" s="6">
        <v>-3.3695840000000001E-3</v>
      </c>
      <c r="BR123" s="6">
        <v>-3.1965769999999999E-3</v>
      </c>
      <c r="BS123" s="6">
        <v>1.7475454545454564E-5</v>
      </c>
      <c r="BT123" s="6">
        <v>-3.460514E-3</v>
      </c>
      <c r="BU123" s="6">
        <v>-3.4682599999999999E-3</v>
      </c>
      <c r="BV123" s="6">
        <v>7.8242424242423039E-7</v>
      </c>
      <c r="BW123" s="6">
        <v>-3.3796260000000002E-3</v>
      </c>
      <c r="BX123" s="6">
        <v>-3.1979970000000002E-3</v>
      </c>
      <c r="BY123" s="6">
        <v>1.8346363636363636E-5</v>
      </c>
      <c r="BZ123" s="6">
        <v>-3.2324160000000001E-3</v>
      </c>
      <c r="CA123" s="6">
        <v>-3.2365570000000001E-3</v>
      </c>
      <c r="CB123" s="6">
        <v>4.1828282828283235E-7</v>
      </c>
      <c r="CC123" s="6">
        <v>-3.3416449999999999E-3</v>
      </c>
      <c r="CD123" s="6">
        <v>-3.510647E-3</v>
      </c>
      <c r="CE123" s="6">
        <v>1.7070909090909103E-5</v>
      </c>
      <c r="CF123" s="6">
        <v>-3.2507149999999999E-3</v>
      </c>
      <c r="CG123" s="6">
        <v>-3.238964E-3</v>
      </c>
      <c r="CH123" s="6">
        <v>1.1869696969696918E-6</v>
      </c>
      <c r="CI123" s="6">
        <v>-3.3316029999999998E-3</v>
      </c>
      <c r="CJ123" s="6">
        <v>-3.5092270000000002E-3</v>
      </c>
      <c r="CK123" s="6">
        <v>1.7941818181818218E-5</v>
      </c>
      <c r="CL123" s="6">
        <v>-2.445975E-3</v>
      </c>
      <c r="CM123" s="6">
        <v>-2.416699E-3</v>
      </c>
      <c r="CN123" s="6">
        <v>2.9571717171717127E-6</v>
      </c>
      <c r="CO123" s="6">
        <v>-2.3367449999999999E-3</v>
      </c>
      <c r="CP123" s="6">
        <v>-2.1426090000000002E-3</v>
      </c>
      <c r="CQ123" s="6">
        <v>1.960969696969694E-5</v>
      </c>
      <c r="CR123" s="6">
        <v>-2.4276749999999998E-3</v>
      </c>
      <c r="CS123" s="6">
        <v>-2.4142930000000001E-3</v>
      </c>
      <c r="CT123" s="6">
        <v>1.351717171717143E-6</v>
      </c>
      <c r="CU123" s="6">
        <v>-2.3467869999999999E-3</v>
      </c>
      <c r="CV123" s="6">
        <v>-2.1440299999999999E-3</v>
      </c>
      <c r="CW123" s="6">
        <v>2.0480505050505053E-5</v>
      </c>
      <c r="CX123" s="6">
        <v>-2.1995769999999999E-3</v>
      </c>
      <c r="CY123" s="6">
        <v>-2.1825899999999999E-3</v>
      </c>
      <c r="CZ123" s="6">
        <v>1.715858585858585E-6</v>
      </c>
      <c r="DA123" s="6">
        <v>-2.3088060000000001E-3</v>
      </c>
      <c r="DB123" s="6">
        <v>-2.4566800000000001E-3</v>
      </c>
      <c r="DC123" s="6">
        <v>1.4936767676767685E-5</v>
      </c>
      <c r="DD123" s="6">
        <v>-2.2178760000000001E-3</v>
      </c>
      <c r="DE123" s="6">
        <v>-2.1849970000000002E-3</v>
      </c>
      <c r="DF123" s="6">
        <v>3.3211111111111091E-6</v>
      </c>
      <c r="DG123" s="6">
        <v>-2.2987649999999999E-3</v>
      </c>
      <c r="DH123" s="6">
        <v>-2.455259E-3</v>
      </c>
      <c r="DI123" s="6">
        <v>1.5807474747474754E-5</v>
      </c>
    </row>
    <row r="124" spans="1:113" x14ac:dyDescent="0.3">
      <c r="A124" s="13" t="s">
        <v>470</v>
      </c>
      <c r="B124" s="13" t="s">
        <v>150</v>
      </c>
      <c r="C124" s="13" t="s">
        <v>151</v>
      </c>
      <c r="D124" s="13" t="s">
        <v>347</v>
      </c>
      <c r="E124" s="13">
        <v>9.9</v>
      </c>
      <c r="F124" s="6">
        <v>-1.8116269999999999E-3</v>
      </c>
      <c r="G124" s="6">
        <v>-1.8041089999999999E-3</v>
      </c>
      <c r="H124" s="6">
        <v>7.5939393939393715E-7</v>
      </c>
      <c r="I124" s="6">
        <v>-2.6046580000000001E-3</v>
      </c>
      <c r="J124" s="6">
        <v>-2.2900759999999998E-3</v>
      </c>
      <c r="K124" s="6">
        <v>3.1775959595959625E-5</v>
      </c>
      <c r="L124" s="6">
        <v>-2.422221E-3</v>
      </c>
      <c r="M124" s="6">
        <v>-2.1980599999999999E-3</v>
      </c>
      <c r="N124" s="6">
        <v>2.2642525252525259E-5</v>
      </c>
      <c r="O124" s="6">
        <v>-3.186178E-3</v>
      </c>
      <c r="P124" s="6">
        <v>-2.6652580000000002E-3</v>
      </c>
      <c r="Q124" s="6">
        <v>5.2618181818181797E-5</v>
      </c>
      <c r="R124" s="6">
        <v>-3.449517E-3</v>
      </c>
      <c r="S124" s="6">
        <v>-2.8529039999999999E-3</v>
      </c>
      <c r="T124" s="6">
        <v>6.0263939393939409E-5</v>
      </c>
      <c r="U124" s="6">
        <v>-3.0651580000000001E-3</v>
      </c>
      <c r="V124" s="6">
        <v>-2.43648E-3</v>
      </c>
      <c r="W124" s="6">
        <v>6.35028282828283E-5</v>
      </c>
      <c r="X124" s="6">
        <v>-3.4336280000000002E-3</v>
      </c>
      <c r="Y124" s="6">
        <v>-2.8479949999999999E-3</v>
      </c>
      <c r="Z124" s="6">
        <v>5.9154848484848519E-5</v>
      </c>
      <c r="AA124" s="6">
        <v>-3.0761780000000002E-3</v>
      </c>
      <c r="AB124" s="6">
        <v>-2.3684589999999998E-3</v>
      </c>
      <c r="AC124" s="6">
        <v>7.1486767676767708E-5</v>
      </c>
      <c r="AD124" s="6">
        <v>-2.6539659999999998E-3</v>
      </c>
      <c r="AE124" s="6">
        <v>-2.3803790000000002E-3</v>
      </c>
      <c r="AF124" s="6">
        <v>2.7635050505050465E-5</v>
      </c>
      <c r="AG124" s="6">
        <v>-3.0364950000000002E-3</v>
      </c>
      <c r="AH124" s="6">
        <v>-2.867639E-3</v>
      </c>
      <c r="AI124" s="6">
        <v>1.7056161616161637E-5</v>
      </c>
      <c r="AJ124" s="6">
        <v>-2.6698550000000001E-3</v>
      </c>
      <c r="AK124" s="6">
        <v>-2.3852880000000002E-3</v>
      </c>
      <c r="AL124" s="6">
        <v>2.8744141414141401E-5</v>
      </c>
      <c r="AM124" s="6">
        <v>-3.0273050000000001E-3</v>
      </c>
      <c r="AN124" s="6">
        <v>-2.8648240000000002E-3</v>
      </c>
      <c r="AO124" s="6">
        <v>1.6412222222222213E-5</v>
      </c>
      <c r="AP124" s="6">
        <v>-3.136869E-3</v>
      </c>
      <c r="AQ124" s="6">
        <v>-2.5749549999999999E-3</v>
      </c>
      <c r="AR124" s="6">
        <v>5.6758989898989914E-5</v>
      </c>
      <c r="AS124" s="6">
        <v>-2.7543400000000001E-3</v>
      </c>
      <c r="AT124" s="6">
        <v>-2.0876950000000001E-3</v>
      </c>
      <c r="AU124" s="6">
        <v>6.7337878787878779E-5</v>
      </c>
      <c r="AV124" s="6">
        <v>-3.1209800000000002E-3</v>
      </c>
      <c r="AW124" s="6">
        <v>-2.5700459999999999E-3</v>
      </c>
      <c r="AX124" s="6">
        <v>5.5649898989899018E-5</v>
      </c>
      <c r="AY124" s="6">
        <v>-2.7635300000000002E-3</v>
      </c>
      <c r="AZ124" s="6">
        <v>-2.0905099999999999E-3</v>
      </c>
      <c r="BA124" s="6">
        <v>6.7981818181818207E-5</v>
      </c>
      <c r="BB124" s="6">
        <v>-2.3413179999999998E-3</v>
      </c>
      <c r="BC124" s="6">
        <v>-2.1024300000000002E-3</v>
      </c>
      <c r="BD124" s="6">
        <v>2.413010101010097E-5</v>
      </c>
      <c r="BE124" s="6">
        <v>-2.7238470000000002E-3</v>
      </c>
      <c r="BF124" s="6">
        <v>-2.58969E-3</v>
      </c>
      <c r="BG124" s="6">
        <v>1.355121212121214E-5</v>
      </c>
      <c r="BH124" s="6">
        <v>-2.3572070000000001E-3</v>
      </c>
      <c r="BI124" s="6">
        <v>-2.1073390000000002E-3</v>
      </c>
      <c r="BJ124" s="6">
        <v>2.5239191919191907E-5</v>
      </c>
      <c r="BK124" s="6">
        <v>-2.7146570000000001E-3</v>
      </c>
      <c r="BL124" s="6">
        <v>-2.5868750000000002E-3</v>
      </c>
      <c r="BM124" s="6">
        <v>1.2907272727272717E-5</v>
      </c>
      <c r="BN124" s="6">
        <v>-3.5358299999999998E-3</v>
      </c>
      <c r="BO124" s="6">
        <v>-3.0117939999999999E-3</v>
      </c>
      <c r="BP124" s="6">
        <v>5.2932929292929277E-5</v>
      </c>
      <c r="BQ124" s="6">
        <v>-3.4210709999999999E-3</v>
      </c>
      <c r="BR124" s="6">
        <v>-2.8656160000000001E-3</v>
      </c>
      <c r="BS124" s="6">
        <v>5.6106565656565636E-5</v>
      </c>
      <c r="BT124" s="6">
        <v>-3.531064E-3</v>
      </c>
      <c r="BU124" s="6">
        <v>-3.0103209999999998E-3</v>
      </c>
      <c r="BV124" s="6">
        <v>5.2600303030303044E-5</v>
      </c>
      <c r="BW124" s="6">
        <v>-3.4238290000000002E-3</v>
      </c>
      <c r="BX124" s="6">
        <v>-2.8664609999999998E-3</v>
      </c>
      <c r="BY124" s="6">
        <v>5.6299797979798014E-5</v>
      </c>
      <c r="BZ124" s="6">
        <v>-3.2971649999999999E-3</v>
      </c>
      <c r="CA124" s="6">
        <v>-2.8700370000000002E-3</v>
      </c>
      <c r="CB124" s="6">
        <v>4.3144242424242395E-5</v>
      </c>
      <c r="CC124" s="6">
        <v>-3.4119240000000002E-3</v>
      </c>
      <c r="CD124" s="6">
        <v>-3.016215E-3</v>
      </c>
      <c r="CE124" s="6">
        <v>3.9970606060606078E-5</v>
      </c>
      <c r="CF124" s="6">
        <v>-3.301932E-3</v>
      </c>
      <c r="CG124" s="6">
        <v>-2.871509E-3</v>
      </c>
      <c r="CH124" s="6">
        <v>4.3477070707070716E-5</v>
      </c>
      <c r="CI124" s="6">
        <v>-3.4091669999999998E-3</v>
      </c>
      <c r="CJ124" s="6">
        <v>-3.0153699999999999E-3</v>
      </c>
      <c r="CK124" s="6">
        <v>3.9777474747474747E-5</v>
      </c>
      <c r="CL124" s="6">
        <v>-2.4936699999999999E-3</v>
      </c>
      <c r="CM124" s="6">
        <v>-2.0852969999999998E-3</v>
      </c>
      <c r="CN124" s="6">
        <v>4.1249797979797987E-5</v>
      </c>
      <c r="CO124" s="6">
        <v>-2.378911E-3</v>
      </c>
      <c r="CP124" s="6">
        <v>-1.939119E-3</v>
      </c>
      <c r="CQ124" s="6">
        <v>4.4423434343434345E-5</v>
      </c>
      <c r="CR124" s="6">
        <v>-2.4889030000000002E-3</v>
      </c>
      <c r="CS124" s="6">
        <v>-2.0838240000000002E-3</v>
      </c>
      <c r="CT124" s="6">
        <v>4.0917070707070707E-5</v>
      </c>
      <c r="CU124" s="6">
        <v>-2.381668E-3</v>
      </c>
      <c r="CV124" s="6">
        <v>-1.939964E-3</v>
      </c>
      <c r="CW124" s="6">
        <v>4.4616565656565656E-5</v>
      </c>
      <c r="CX124" s="6">
        <v>-2.255005E-3</v>
      </c>
      <c r="CY124" s="6">
        <v>-1.9435399999999999E-3</v>
      </c>
      <c r="CZ124" s="6">
        <v>3.1461111111111125E-5</v>
      </c>
      <c r="DA124" s="6">
        <v>-2.3697639999999999E-3</v>
      </c>
      <c r="DB124" s="6">
        <v>-2.089718E-3</v>
      </c>
      <c r="DC124" s="6">
        <v>2.828747474747474E-5</v>
      </c>
      <c r="DD124" s="6">
        <v>-2.2597720000000002E-3</v>
      </c>
      <c r="DE124" s="6">
        <v>-1.945013E-3</v>
      </c>
      <c r="DF124" s="6">
        <v>3.1793838383838399E-5</v>
      </c>
      <c r="DG124" s="6">
        <v>-2.367007E-3</v>
      </c>
      <c r="DH124" s="6">
        <v>-2.0888730000000002E-3</v>
      </c>
      <c r="DI124" s="6">
        <v>2.8094343434343409E-5</v>
      </c>
    </row>
    <row r="125" spans="1:113" x14ac:dyDescent="0.3">
      <c r="A125" s="13" t="s">
        <v>471</v>
      </c>
      <c r="B125" s="13" t="s">
        <v>191</v>
      </c>
      <c r="C125" s="13" t="s">
        <v>192</v>
      </c>
      <c r="D125" s="13" t="s">
        <v>347</v>
      </c>
      <c r="E125" s="13">
        <v>9.9</v>
      </c>
      <c r="F125" s="6">
        <v>-2.0637379999999999E-3</v>
      </c>
      <c r="G125" s="6">
        <v>-1.5951050000000001E-3</v>
      </c>
      <c r="H125" s="6">
        <v>4.7336666666666643E-5</v>
      </c>
      <c r="I125" s="6">
        <v>-2.9686949999999999E-3</v>
      </c>
      <c r="J125" s="6">
        <v>-2.060044E-3</v>
      </c>
      <c r="K125" s="6">
        <v>9.178292929292928E-5</v>
      </c>
      <c r="L125" s="6">
        <v>-2.6760270000000001E-3</v>
      </c>
      <c r="M125" s="6">
        <v>-1.9905690000000002E-3</v>
      </c>
      <c r="N125" s="6">
        <v>6.9238181818181811E-5</v>
      </c>
      <c r="O125" s="6">
        <v>-3.5518289999999998E-3</v>
      </c>
      <c r="P125" s="6">
        <v>-2.4366739999999998E-3</v>
      </c>
      <c r="Q125" s="6">
        <v>1.1264191919191919E-4</v>
      </c>
      <c r="R125" s="6">
        <v>-3.875426E-3</v>
      </c>
      <c r="S125" s="6">
        <v>-2.5446990000000001E-3</v>
      </c>
      <c r="T125" s="6">
        <v>1.3441686868686866E-4</v>
      </c>
      <c r="U125" s="6">
        <v>-3.4266320000000002E-3</v>
      </c>
      <c r="V125" s="6">
        <v>-2.3862309999999999E-3</v>
      </c>
      <c r="W125" s="6">
        <v>1.0509101010101012E-4</v>
      </c>
      <c r="X125" s="6">
        <v>-3.9097239999999998E-3</v>
      </c>
      <c r="Y125" s="6">
        <v>-2.5403069999999999E-3</v>
      </c>
      <c r="Z125" s="6">
        <v>1.3832494949494949E-4</v>
      </c>
      <c r="AA125" s="6">
        <v>-3.410906E-3</v>
      </c>
      <c r="AB125" s="6">
        <v>-2.354582E-3</v>
      </c>
      <c r="AC125" s="6">
        <v>1.0669939393939394E-4</v>
      </c>
      <c r="AD125" s="6">
        <v>-2.988264E-3</v>
      </c>
      <c r="AE125" s="6">
        <v>-2.2051240000000001E-3</v>
      </c>
      <c r="AF125" s="6">
        <v>7.9105050505050495E-5</v>
      </c>
      <c r="AG125" s="6">
        <v>-3.4350470000000001E-3</v>
      </c>
      <c r="AH125" s="6">
        <v>-2.397634E-3</v>
      </c>
      <c r="AI125" s="6">
        <v>1.0478919191919193E-4</v>
      </c>
      <c r="AJ125" s="6">
        <v>-2.9539660000000001E-3</v>
      </c>
      <c r="AK125" s="6">
        <v>-2.2095159999999999E-3</v>
      </c>
      <c r="AL125" s="6">
        <v>7.5196969696969724E-5</v>
      </c>
      <c r="AM125" s="6">
        <v>-3.452784E-3</v>
      </c>
      <c r="AN125" s="6">
        <v>-2.3952410000000002E-3</v>
      </c>
      <c r="AO125" s="6">
        <v>1.0682252525252522E-4</v>
      </c>
      <c r="AP125" s="6">
        <v>-3.5322610000000001E-3</v>
      </c>
      <c r="AQ125" s="6">
        <v>-2.291595E-3</v>
      </c>
      <c r="AR125" s="6">
        <v>1.2531979797979797E-4</v>
      </c>
      <c r="AS125" s="6">
        <v>-3.085478E-3</v>
      </c>
      <c r="AT125" s="6">
        <v>-2.0990850000000001E-3</v>
      </c>
      <c r="AU125" s="6">
        <v>9.9635656565656556E-5</v>
      </c>
      <c r="AV125" s="6">
        <v>-3.566559E-3</v>
      </c>
      <c r="AW125" s="6">
        <v>-2.2872019999999999E-3</v>
      </c>
      <c r="AX125" s="6">
        <v>1.292279797979798E-4</v>
      </c>
      <c r="AY125" s="6">
        <v>-3.0677399999999998E-3</v>
      </c>
      <c r="AZ125" s="6">
        <v>-2.101477E-3</v>
      </c>
      <c r="BA125" s="6">
        <v>9.7602323232323209E-5</v>
      </c>
      <c r="BB125" s="6">
        <v>-2.6450979999999998E-3</v>
      </c>
      <c r="BC125" s="6">
        <v>-1.9520189999999999E-3</v>
      </c>
      <c r="BD125" s="6">
        <v>7.0007979797979779E-5</v>
      </c>
      <c r="BE125" s="6">
        <v>-3.0918809999999999E-3</v>
      </c>
      <c r="BF125" s="6">
        <v>-2.1445290000000001E-3</v>
      </c>
      <c r="BG125" s="6">
        <v>9.5692121212121196E-5</v>
      </c>
      <c r="BH125" s="6">
        <v>-2.6107999999999999E-3</v>
      </c>
      <c r="BI125" s="6">
        <v>-1.9564109999999999E-3</v>
      </c>
      <c r="BJ125" s="6">
        <v>6.6099898989898994E-5</v>
      </c>
      <c r="BK125" s="6">
        <v>-3.1096180000000002E-3</v>
      </c>
      <c r="BL125" s="6">
        <v>-2.1421360000000002E-3</v>
      </c>
      <c r="BM125" s="6">
        <v>9.7725454545454543E-5</v>
      </c>
      <c r="BN125" s="6">
        <v>-3.9652799999999998E-3</v>
      </c>
      <c r="BO125" s="6">
        <v>-2.7211370000000002E-3</v>
      </c>
      <c r="BP125" s="6">
        <v>1.2567101010101006E-4</v>
      </c>
      <c r="BQ125" s="6">
        <v>-3.8312440000000001E-3</v>
      </c>
      <c r="BR125" s="6">
        <v>-2.663384E-3</v>
      </c>
      <c r="BS125" s="6">
        <v>1.1796565656565658E-4</v>
      </c>
      <c r="BT125" s="6">
        <v>-3.975569E-3</v>
      </c>
      <c r="BU125" s="6">
        <v>-2.7198190000000001E-3</v>
      </c>
      <c r="BV125" s="6">
        <v>1.2684343434343434E-4</v>
      </c>
      <c r="BW125" s="6">
        <v>-3.8259230000000002E-3</v>
      </c>
      <c r="BX125" s="6">
        <v>-2.6641019999999998E-3</v>
      </c>
      <c r="BY125" s="6">
        <v>1.173556565656566E-4</v>
      </c>
      <c r="BZ125" s="6">
        <v>-3.699131E-3</v>
      </c>
      <c r="CA125" s="6">
        <v>-2.6192640000000001E-3</v>
      </c>
      <c r="CB125" s="6">
        <v>1.0907747474747474E-4</v>
      </c>
      <c r="CC125" s="6">
        <v>-3.8331659999999998E-3</v>
      </c>
      <c r="CD125" s="6">
        <v>-2.6770169999999999E-3</v>
      </c>
      <c r="CE125" s="6">
        <v>1.1678272727272726E-4</v>
      </c>
      <c r="CF125" s="6">
        <v>-3.688841E-3</v>
      </c>
      <c r="CG125" s="6">
        <v>-2.6205820000000002E-3</v>
      </c>
      <c r="CH125" s="6">
        <v>1.0790494949494946E-4</v>
      </c>
      <c r="CI125" s="6">
        <v>-3.8384869999999998E-3</v>
      </c>
      <c r="CJ125" s="6">
        <v>-2.676299E-3</v>
      </c>
      <c r="CK125" s="6">
        <v>1.1739272727272725E-4</v>
      </c>
      <c r="CL125" s="6">
        <v>-2.8213940000000001E-3</v>
      </c>
      <c r="CM125" s="6">
        <v>-1.877454E-3</v>
      </c>
      <c r="CN125" s="6">
        <v>9.5347474747474752E-5</v>
      </c>
      <c r="CO125" s="6">
        <v>-2.6873589999999998E-3</v>
      </c>
      <c r="CP125" s="6">
        <v>-1.819701E-3</v>
      </c>
      <c r="CQ125" s="6">
        <v>8.7642222222222203E-5</v>
      </c>
      <c r="CR125" s="6">
        <v>-2.8316830000000002E-3</v>
      </c>
      <c r="CS125" s="6">
        <v>-1.876136E-3</v>
      </c>
      <c r="CT125" s="6">
        <v>9.6519898989899005E-5</v>
      </c>
      <c r="CU125" s="6">
        <v>-2.6820379999999999E-3</v>
      </c>
      <c r="CV125" s="6">
        <v>-1.820419E-3</v>
      </c>
      <c r="CW125" s="6">
        <v>8.7032222222222208E-5</v>
      </c>
      <c r="CX125" s="6">
        <v>-2.5552449999999998E-3</v>
      </c>
      <c r="CY125" s="6">
        <v>-1.775581E-3</v>
      </c>
      <c r="CZ125" s="6">
        <v>7.8753939393939369E-5</v>
      </c>
      <c r="DA125" s="6">
        <v>-2.6892800000000001E-3</v>
      </c>
      <c r="DB125" s="6">
        <v>-1.833334E-3</v>
      </c>
      <c r="DC125" s="6">
        <v>8.6459191919191917E-5</v>
      </c>
      <c r="DD125" s="6">
        <v>-2.5449560000000001E-3</v>
      </c>
      <c r="DE125" s="6">
        <v>-1.776899E-3</v>
      </c>
      <c r="DF125" s="6">
        <v>7.758151515151517E-5</v>
      </c>
      <c r="DG125" s="6">
        <v>-2.694601E-3</v>
      </c>
      <c r="DH125" s="6">
        <v>-1.832616E-3</v>
      </c>
      <c r="DI125" s="6">
        <v>8.7069191919191913E-5</v>
      </c>
    </row>
    <row r="126" spans="1:113" x14ac:dyDescent="0.3">
      <c r="A126" s="13" t="s">
        <v>472</v>
      </c>
      <c r="B126" s="13" t="s">
        <v>232</v>
      </c>
      <c r="C126" s="13" t="s">
        <v>233</v>
      </c>
      <c r="D126" s="13" t="s">
        <v>347</v>
      </c>
      <c r="E126" s="13">
        <v>9.9</v>
      </c>
      <c r="F126" s="6">
        <v>-1.4108860000000001E-3</v>
      </c>
      <c r="G126" s="6">
        <v>-1.5067780000000001E-3</v>
      </c>
      <c r="H126" s="6">
        <v>9.6860606060606043E-6</v>
      </c>
      <c r="I126" s="6">
        <v>-2.1139510000000002E-3</v>
      </c>
      <c r="J126" s="6">
        <v>-1.9493620000000001E-3</v>
      </c>
      <c r="K126" s="6">
        <v>1.6625151515151527E-5</v>
      </c>
      <c r="L126" s="6">
        <v>-2.021396E-3</v>
      </c>
      <c r="M126" s="6">
        <v>-1.9011099999999999E-3</v>
      </c>
      <c r="N126" s="6">
        <v>1.2150101010101014E-5</v>
      </c>
      <c r="O126" s="6">
        <v>-2.6953900000000002E-3</v>
      </c>
      <c r="P126" s="6">
        <v>-2.3249149999999999E-3</v>
      </c>
      <c r="Q126" s="6">
        <v>3.7421717171717202E-5</v>
      </c>
      <c r="R126" s="6">
        <v>-2.8379709999999999E-3</v>
      </c>
      <c r="S126" s="6">
        <v>-2.4617129999999999E-3</v>
      </c>
      <c r="T126" s="6">
        <v>3.8005858585858585E-5</v>
      </c>
      <c r="U126" s="6">
        <v>-2.5568990000000001E-3</v>
      </c>
      <c r="V126" s="6">
        <v>-2.432184E-3</v>
      </c>
      <c r="W126" s="6">
        <v>1.2597474747474754E-5</v>
      </c>
      <c r="X126" s="6">
        <v>-2.8859609999999998E-3</v>
      </c>
      <c r="Y126" s="6">
        <v>-2.4578529999999999E-3</v>
      </c>
      <c r="Z126" s="6">
        <v>4.324323232323232E-5</v>
      </c>
      <c r="AA126" s="6">
        <v>-2.5328490000000002E-3</v>
      </c>
      <c r="AB126" s="6">
        <v>-2.4218870000000002E-3</v>
      </c>
      <c r="AC126" s="6">
        <v>1.1208282828282833E-5</v>
      </c>
      <c r="AD126" s="6">
        <v>-2.2359160000000001E-3</v>
      </c>
      <c r="AE126" s="6">
        <v>-2.0548939999999998E-3</v>
      </c>
      <c r="AF126" s="6">
        <v>1.8285050505050536E-5</v>
      </c>
      <c r="AG126" s="6">
        <v>-2.514685E-3</v>
      </c>
      <c r="AH126" s="6">
        <v>-2.0967949999999998E-3</v>
      </c>
      <c r="AI126" s="6">
        <v>4.2211111111111129E-5</v>
      </c>
      <c r="AJ126" s="6">
        <v>-2.1879270000000001E-3</v>
      </c>
      <c r="AK126" s="6">
        <v>-2.058753E-3</v>
      </c>
      <c r="AL126" s="6">
        <v>1.3047878787878801E-5</v>
      </c>
      <c r="AM126" s="6">
        <v>-2.5410390000000001E-3</v>
      </c>
      <c r="AN126" s="6">
        <v>-2.0947190000000001E-3</v>
      </c>
      <c r="AO126" s="6">
        <v>4.5082828282828284E-5</v>
      </c>
      <c r="AP126" s="6">
        <v>-2.5734249999999998E-3</v>
      </c>
      <c r="AQ126" s="6">
        <v>-2.219384E-3</v>
      </c>
      <c r="AR126" s="6">
        <v>3.5761717171717153E-5</v>
      </c>
      <c r="AS126" s="6">
        <v>-2.2946569999999999E-3</v>
      </c>
      <c r="AT126" s="6">
        <v>-2.1774820000000001E-3</v>
      </c>
      <c r="AU126" s="6">
        <v>1.1835858585858559E-5</v>
      </c>
      <c r="AV126" s="6">
        <v>-2.6214150000000002E-3</v>
      </c>
      <c r="AW126" s="6">
        <v>-2.215524E-3</v>
      </c>
      <c r="AX126" s="6">
        <v>4.0999090909090929E-5</v>
      </c>
      <c r="AY126" s="6">
        <v>-2.2683030000000002E-3</v>
      </c>
      <c r="AZ126" s="6">
        <v>-2.1795579999999998E-3</v>
      </c>
      <c r="BA126" s="6">
        <v>8.9641414141414451E-6</v>
      </c>
      <c r="BB126" s="6">
        <v>-1.971371E-3</v>
      </c>
      <c r="BC126" s="6">
        <v>-1.8125649999999999E-3</v>
      </c>
      <c r="BD126" s="6">
        <v>1.6041010101010107E-5</v>
      </c>
      <c r="BE126" s="6">
        <v>-2.250139E-3</v>
      </c>
      <c r="BF126" s="6">
        <v>-1.8544659999999999E-3</v>
      </c>
      <c r="BG126" s="6">
        <v>3.9966969696969697E-5</v>
      </c>
      <c r="BH126" s="6">
        <v>-1.923381E-3</v>
      </c>
      <c r="BI126" s="6">
        <v>-1.8164240000000001E-3</v>
      </c>
      <c r="BJ126" s="6">
        <v>1.0803737373737371E-5</v>
      </c>
      <c r="BK126" s="6">
        <v>-2.2764930000000001E-3</v>
      </c>
      <c r="BL126" s="6">
        <v>-1.85239E-3</v>
      </c>
      <c r="BM126" s="6">
        <v>4.2838686868686879E-5</v>
      </c>
      <c r="BN126" s="6">
        <v>-2.9358890000000001E-3</v>
      </c>
      <c r="BO126" s="6">
        <v>-2.6020430000000001E-3</v>
      </c>
      <c r="BP126" s="6">
        <v>3.3721818181818186E-5</v>
      </c>
      <c r="BQ126" s="6">
        <v>-2.8522589999999998E-3</v>
      </c>
      <c r="BR126" s="6">
        <v>-2.5894730000000001E-3</v>
      </c>
      <c r="BS126" s="6">
        <v>2.6544040404040369E-5</v>
      </c>
      <c r="BT126" s="6">
        <v>-2.9502859999999999E-3</v>
      </c>
      <c r="BU126" s="6">
        <v>-2.6008849999999998E-3</v>
      </c>
      <c r="BV126" s="6">
        <v>3.5293030303030304E-5</v>
      </c>
      <c r="BW126" s="6">
        <v>-2.8443520000000001E-3</v>
      </c>
      <c r="BX126" s="6">
        <v>-2.5900960000000001E-3</v>
      </c>
      <c r="BY126" s="6">
        <v>2.5682424242424244E-5</v>
      </c>
      <c r="BZ126" s="6">
        <v>-2.755272E-3</v>
      </c>
      <c r="CA126" s="6">
        <v>-2.4799969999999998E-3</v>
      </c>
      <c r="CB126" s="6">
        <v>2.7805555555555571E-5</v>
      </c>
      <c r="CC126" s="6">
        <v>-2.8389029999999998E-3</v>
      </c>
      <c r="CD126" s="6">
        <v>-2.4925680000000001E-3</v>
      </c>
      <c r="CE126" s="6">
        <v>3.49833333333333E-5</v>
      </c>
      <c r="CF126" s="6">
        <v>-2.7408760000000002E-3</v>
      </c>
      <c r="CG126" s="6">
        <v>-2.4811550000000001E-3</v>
      </c>
      <c r="CH126" s="6">
        <v>2.6234444444444453E-5</v>
      </c>
      <c r="CI126" s="6">
        <v>-2.8468090000000001E-3</v>
      </c>
      <c r="CJ126" s="6">
        <v>-2.4919450000000002E-3</v>
      </c>
      <c r="CK126" s="6">
        <v>3.5844848484848473E-5</v>
      </c>
      <c r="CL126" s="6">
        <v>-2.0540689999999999E-3</v>
      </c>
      <c r="CM126" s="6">
        <v>-1.7942800000000001E-3</v>
      </c>
      <c r="CN126" s="6">
        <v>2.6241313131313117E-5</v>
      </c>
      <c r="CO126" s="6">
        <v>-1.970439E-3</v>
      </c>
      <c r="CP126" s="6">
        <v>-1.781709E-3</v>
      </c>
      <c r="CQ126" s="6">
        <v>1.9063636363636364E-5</v>
      </c>
      <c r="CR126" s="6">
        <v>-2.0684660000000001E-3</v>
      </c>
      <c r="CS126" s="6">
        <v>-1.7931220000000001E-3</v>
      </c>
      <c r="CT126" s="6">
        <v>2.7812525252525258E-5</v>
      </c>
      <c r="CU126" s="6">
        <v>-1.9625329999999998E-3</v>
      </c>
      <c r="CV126" s="6">
        <v>-1.782332E-3</v>
      </c>
      <c r="CW126" s="6">
        <v>1.8202121212121194E-5</v>
      </c>
      <c r="CX126" s="6">
        <v>-1.873453E-3</v>
      </c>
      <c r="CY126" s="6">
        <v>-1.6722340000000001E-3</v>
      </c>
      <c r="CZ126" s="6">
        <v>2.0325151515151502E-5</v>
      </c>
      <c r="DA126" s="6">
        <v>-1.9570830000000001E-3</v>
      </c>
      <c r="DB126" s="6">
        <v>-1.684804E-3</v>
      </c>
      <c r="DC126" s="6">
        <v>2.7502929292929299E-5</v>
      </c>
      <c r="DD126" s="6">
        <v>-1.859056E-3</v>
      </c>
      <c r="DE126" s="6">
        <v>-1.6733919999999999E-3</v>
      </c>
      <c r="DF126" s="6">
        <v>1.8753939393939405E-5</v>
      </c>
      <c r="DG126" s="6">
        <v>-1.9649899999999998E-3</v>
      </c>
      <c r="DH126" s="6">
        <v>-1.684182E-3</v>
      </c>
      <c r="DI126" s="6">
        <v>2.8364444444444424E-5</v>
      </c>
    </row>
    <row r="127" spans="1:113" x14ac:dyDescent="0.3">
      <c r="A127" s="13" t="s">
        <v>473</v>
      </c>
      <c r="B127" s="13" t="s">
        <v>270</v>
      </c>
      <c r="C127" s="13" t="s">
        <v>271</v>
      </c>
      <c r="D127" s="13" t="s">
        <v>347</v>
      </c>
      <c r="E127" s="13">
        <v>9.9</v>
      </c>
      <c r="F127" s="6">
        <v>-1.0130639999999999E-3</v>
      </c>
      <c r="G127" s="6">
        <v>-1.4493279999999999E-3</v>
      </c>
      <c r="H127" s="6">
        <v>4.4067070707070709E-5</v>
      </c>
      <c r="I127" s="6">
        <v>-1.594924E-3</v>
      </c>
      <c r="J127" s="6">
        <v>-1.8559959999999999E-3</v>
      </c>
      <c r="K127" s="6">
        <v>2.6370909090909088E-5</v>
      </c>
      <c r="L127" s="6">
        <v>-1.637028E-3</v>
      </c>
      <c r="M127" s="6">
        <v>-1.8401839999999999E-3</v>
      </c>
      <c r="N127" s="6">
        <v>2.0520808080808072E-5</v>
      </c>
      <c r="O127" s="6">
        <v>-2.189177E-3</v>
      </c>
      <c r="P127" s="6">
        <v>-2.228238E-3</v>
      </c>
      <c r="Q127" s="6">
        <v>3.9455555555555509E-6</v>
      </c>
      <c r="R127" s="6">
        <v>-2.242267E-3</v>
      </c>
      <c r="S127" s="6">
        <v>-2.447781E-3</v>
      </c>
      <c r="T127" s="6">
        <v>2.0758989898989893E-5</v>
      </c>
      <c r="U127" s="6">
        <v>-2.1847730000000001E-3</v>
      </c>
      <c r="V127" s="6">
        <v>-2.46488E-3</v>
      </c>
      <c r="W127" s="6">
        <v>2.8293636363636355E-5</v>
      </c>
      <c r="X127" s="6">
        <v>-2.2811020000000001E-3</v>
      </c>
      <c r="Y127" s="6">
        <v>-2.4454059999999998E-3</v>
      </c>
      <c r="Z127" s="6">
        <v>1.6596363636363603E-5</v>
      </c>
      <c r="AA127" s="6">
        <v>-2.1599089999999998E-3</v>
      </c>
      <c r="AB127" s="6">
        <v>-2.4646630000000002E-3</v>
      </c>
      <c r="AC127" s="6">
        <v>3.0783232323232361E-5</v>
      </c>
      <c r="AD127" s="6">
        <v>-1.7607409999999999E-3</v>
      </c>
      <c r="AE127" s="6">
        <v>-1.8713460000000001E-3</v>
      </c>
      <c r="AF127" s="6">
        <v>1.1172222222222239E-5</v>
      </c>
      <c r="AG127" s="6">
        <v>-1.820707E-3</v>
      </c>
      <c r="AH127" s="6">
        <v>-1.855747E-3</v>
      </c>
      <c r="AI127" s="6">
        <v>3.5393939393939466E-6</v>
      </c>
      <c r="AJ127" s="6">
        <v>-1.7219049999999999E-3</v>
      </c>
      <c r="AK127" s="6">
        <v>-1.8737210000000001E-3</v>
      </c>
      <c r="AL127" s="6">
        <v>1.5334949494949508E-5</v>
      </c>
      <c r="AM127" s="6">
        <v>-1.843098E-3</v>
      </c>
      <c r="AN127" s="6">
        <v>-1.854463E-3</v>
      </c>
      <c r="AO127" s="6">
        <v>1.1479797979797922E-6</v>
      </c>
      <c r="AP127" s="6">
        <v>-2.0233600000000001E-3</v>
      </c>
      <c r="AQ127" s="6">
        <v>-2.2128880000000001E-3</v>
      </c>
      <c r="AR127" s="6">
        <v>1.9144242424242425E-5</v>
      </c>
      <c r="AS127" s="6">
        <v>-1.9633939999999998E-3</v>
      </c>
      <c r="AT127" s="6">
        <v>-2.2284869999999999E-3</v>
      </c>
      <c r="AU127" s="6">
        <v>2.6777070707070717E-5</v>
      </c>
      <c r="AV127" s="6">
        <v>-2.0621960000000001E-3</v>
      </c>
      <c r="AW127" s="6">
        <v>-2.2105129999999999E-3</v>
      </c>
      <c r="AX127" s="6">
        <v>1.4981515151515131E-5</v>
      </c>
      <c r="AY127" s="6">
        <v>-1.941003E-3</v>
      </c>
      <c r="AZ127" s="6">
        <v>-2.2297699999999998E-3</v>
      </c>
      <c r="BA127" s="6">
        <v>2.9168383838383826E-5</v>
      </c>
      <c r="BB127" s="6">
        <v>-1.541834E-3</v>
      </c>
      <c r="BC127" s="6">
        <v>-1.636453E-3</v>
      </c>
      <c r="BD127" s="6">
        <v>9.5574747474747462E-6</v>
      </c>
      <c r="BE127" s="6">
        <v>-1.6018009999999999E-3</v>
      </c>
      <c r="BF127" s="6">
        <v>-1.6208539999999999E-3</v>
      </c>
      <c r="BG127" s="6">
        <v>1.9245454545454539E-6</v>
      </c>
      <c r="BH127" s="6">
        <v>-1.5029990000000001E-3</v>
      </c>
      <c r="BI127" s="6">
        <v>-1.6388279999999999E-3</v>
      </c>
      <c r="BJ127" s="6">
        <v>1.3720101010100995E-5</v>
      </c>
      <c r="BK127" s="6">
        <v>-1.624192E-3</v>
      </c>
      <c r="BL127" s="6">
        <v>-1.619571E-3</v>
      </c>
      <c r="BM127" s="6">
        <v>4.6676767676767764E-7</v>
      </c>
      <c r="BN127" s="6">
        <v>-2.3291229999999998E-3</v>
      </c>
      <c r="BO127" s="6">
        <v>-2.5200700000000001E-3</v>
      </c>
      <c r="BP127" s="6">
        <v>1.9287575757575792E-5</v>
      </c>
      <c r="BQ127" s="6">
        <v>-2.3111329999999999E-3</v>
      </c>
      <c r="BR127" s="6">
        <v>-2.5247500000000001E-3</v>
      </c>
      <c r="BS127" s="6">
        <v>2.1577474747474762E-5</v>
      </c>
      <c r="BT127" s="6">
        <v>-2.3407739999999999E-3</v>
      </c>
      <c r="BU127" s="6">
        <v>-2.5193580000000002E-3</v>
      </c>
      <c r="BV127" s="6">
        <v>1.8038787878787909E-5</v>
      </c>
      <c r="BW127" s="6">
        <v>-2.3044160000000001E-3</v>
      </c>
      <c r="BX127" s="6">
        <v>-2.525135E-3</v>
      </c>
      <c r="BY127" s="6">
        <v>2.2294848484848469E-5</v>
      </c>
      <c r="BZ127" s="6">
        <v>-2.1846650000000001E-3</v>
      </c>
      <c r="CA127" s="6">
        <v>-2.3471400000000002E-3</v>
      </c>
      <c r="CB127" s="6">
        <v>1.6411616161616164E-5</v>
      </c>
      <c r="CC127" s="6">
        <v>-2.202655E-3</v>
      </c>
      <c r="CD127" s="6">
        <v>-2.3424600000000002E-3</v>
      </c>
      <c r="CE127" s="6">
        <v>1.4121717171717194E-5</v>
      </c>
      <c r="CF127" s="6">
        <v>-2.1730149999999999E-3</v>
      </c>
      <c r="CG127" s="6">
        <v>-2.3478520000000001E-3</v>
      </c>
      <c r="CH127" s="6">
        <v>1.7660303030303047E-5</v>
      </c>
      <c r="CI127" s="6">
        <v>-2.2093719999999998E-3</v>
      </c>
      <c r="CJ127" s="6">
        <v>-2.3420749999999999E-3</v>
      </c>
      <c r="CK127" s="6">
        <v>1.3404343434343441E-5</v>
      </c>
      <c r="CL127" s="6">
        <v>-1.5994360000000001E-3</v>
      </c>
      <c r="CM127" s="6">
        <v>-1.737094E-3</v>
      </c>
      <c r="CN127" s="6">
        <v>1.3904848484848477E-5</v>
      </c>
      <c r="CO127" s="6">
        <v>-1.581446E-3</v>
      </c>
      <c r="CP127" s="6">
        <v>-1.741774E-3</v>
      </c>
      <c r="CQ127" s="6">
        <v>1.619474747474747E-5</v>
      </c>
      <c r="CR127" s="6">
        <v>-1.6110860000000001E-3</v>
      </c>
      <c r="CS127" s="6">
        <v>-1.7363820000000001E-3</v>
      </c>
      <c r="CT127" s="6">
        <v>1.2656161616161616E-5</v>
      </c>
      <c r="CU127" s="6">
        <v>-1.574729E-3</v>
      </c>
      <c r="CV127" s="6">
        <v>-1.7421590000000001E-3</v>
      </c>
      <c r="CW127" s="6">
        <v>1.6912121212121222E-5</v>
      </c>
      <c r="CX127" s="6">
        <v>-1.454978E-3</v>
      </c>
      <c r="CY127" s="6">
        <v>-1.564164E-3</v>
      </c>
      <c r="CZ127" s="6">
        <v>1.1028888888888893E-5</v>
      </c>
      <c r="DA127" s="6">
        <v>-1.4729680000000001E-3</v>
      </c>
      <c r="DB127" s="6">
        <v>-1.5594840000000001E-3</v>
      </c>
      <c r="DC127" s="6">
        <v>8.7389898989899012E-6</v>
      </c>
      <c r="DD127" s="6">
        <v>-1.443328E-3</v>
      </c>
      <c r="DE127" s="6">
        <v>-1.564876E-3</v>
      </c>
      <c r="DF127" s="6">
        <v>1.2277575757575754E-5</v>
      </c>
      <c r="DG127" s="6">
        <v>-1.4796849999999999E-3</v>
      </c>
      <c r="DH127" s="6">
        <v>-1.559099E-3</v>
      </c>
      <c r="DI127" s="6">
        <v>8.0216161616161699E-6</v>
      </c>
    </row>
    <row r="128" spans="1:113" x14ac:dyDescent="0.3">
      <c r="A128" s="13" t="s">
        <v>474</v>
      </c>
      <c r="B128" s="13" t="s">
        <v>293</v>
      </c>
      <c r="C128" s="13" t="s">
        <v>327</v>
      </c>
      <c r="D128" s="13" t="s">
        <v>347</v>
      </c>
      <c r="E128" s="13">
        <v>5.75</v>
      </c>
      <c r="F128" s="6">
        <v>-3.7497970000000002E-4</v>
      </c>
      <c r="G128" s="6">
        <v>-1.3793799999999999E-3</v>
      </c>
      <c r="H128" s="6">
        <v>1.7467831304347826E-4</v>
      </c>
      <c r="I128" s="6">
        <v>-6.9620629999999999E-4</v>
      </c>
      <c r="J128" s="6">
        <v>-1.731841E-3</v>
      </c>
      <c r="K128" s="6">
        <v>1.8011038260869563E-4</v>
      </c>
      <c r="L128" s="6">
        <v>-9.6568089999999999E-4</v>
      </c>
      <c r="M128" s="6">
        <v>-1.7650999999999999E-3</v>
      </c>
      <c r="N128" s="6">
        <v>1.3902940869565215E-4</v>
      </c>
      <c r="O128" s="6">
        <v>-1.258779E-3</v>
      </c>
      <c r="P128" s="6">
        <v>-2.0991849999999999E-3</v>
      </c>
      <c r="Q128" s="6">
        <v>1.4615756521739129E-4</v>
      </c>
      <c r="R128" s="6">
        <v>-1.2010129999999999E-3</v>
      </c>
      <c r="S128" s="6">
        <v>-2.3433299999999998E-3</v>
      </c>
      <c r="T128" s="6">
        <v>1.9866382608695651E-4</v>
      </c>
      <c r="U128" s="6">
        <v>-1.229511E-3</v>
      </c>
      <c r="V128" s="6">
        <v>-2.3797089999999998E-3</v>
      </c>
      <c r="W128" s="6">
        <v>2.0003443478260868E-4</v>
      </c>
      <c r="X128" s="6">
        <v>-1.216504E-3</v>
      </c>
      <c r="Y128" s="6">
        <v>-2.3422439999999998E-3</v>
      </c>
      <c r="Z128" s="6">
        <v>1.9578086956521736E-4</v>
      </c>
      <c r="AA128" s="6">
        <v>-1.218245E-3</v>
      </c>
      <c r="AB128" s="6">
        <v>-2.384611E-3</v>
      </c>
      <c r="AC128" s="6">
        <v>2.0284626086956522E-4</v>
      </c>
      <c r="AD128" s="6">
        <v>-8.9111940000000003E-4</v>
      </c>
      <c r="AE128" s="6">
        <v>-1.713394E-3</v>
      </c>
      <c r="AF128" s="6">
        <v>1.4300427826086958E-4</v>
      </c>
      <c r="AG128" s="6">
        <v>-8.6489740000000002E-4</v>
      </c>
      <c r="AH128" s="6">
        <v>-1.6727070000000001E-3</v>
      </c>
      <c r="AI128" s="6">
        <v>1.4048862608695653E-4</v>
      </c>
      <c r="AJ128" s="6">
        <v>-8.756282E-4</v>
      </c>
      <c r="AK128" s="6">
        <v>-1.71448E-3</v>
      </c>
      <c r="AL128" s="6">
        <v>1.4588726956521738E-4</v>
      </c>
      <c r="AM128" s="6">
        <v>-8.7388720000000002E-4</v>
      </c>
      <c r="AN128" s="6">
        <v>-1.672113E-3</v>
      </c>
      <c r="AO128" s="6">
        <v>1.3882187826086957E-4</v>
      </c>
      <c r="AP128" s="6">
        <v>-1.0638659999999999E-3</v>
      </c>
      <c r="AQ128" s="6">
        <v>-2.1176319999999999E-3</v>
      </c>
      <c r="AR128" s="6">
        <v>1.8326365217391304E-4</v>
      </c>
      <c r="AS128" s="6">
        <v>-1.0900879999999999E-3</v>
      </c>
      <c r="AT128" s="6">
        <v>-2.15832E-3</v>
      </c>
      <c r="AU128" s="6">
        <v>1.8577947826086959E-4</v>
      </c>
      <c r="AV128" s="6">
        <v>-1.079357E-3</v>
      </c>
      <c r="AW128" s="6">
        <v>-2.116546E-3</v>
      </c>
      <c r="AX128" s="6">
        <v>1.8038069565217392E-4</v>
      </c>
      <c r="AY128" s="6">
        <v>-1.081098E-3</v>
      </c>
      <c r="AZ128" s="6">
        <v>-2.1589130000000002E-3</v>
      </c>
      <c r="BA128" s="6">
        <v>1.8744608695652178E-4</v>
      </c>
      <c r="BB128" s="6">
        <v>-7.5397240000000003E-4</v>
      </c>
      <c r="BC128" s="6">
        <v>-1.4876959999999999E-3</v>
      </c>
      <c r="BD128" s="6">
        <v>1.2760410434782608E-4</v>
      </c>
      <c r="BE128" s="6">
        <v>-7.2775050000000005E-4</v>
      </c>
      <c r="BF128" s="6">
        <v>-1.447009E-3</v>
      </c>
      <c r="BG128" s="6">
        <v>1.2508843478260868E-4</v>
      </c>
      <c r="BH128" s="6">
        <v>-7.3848130000000003E-4</v>
      </c>
      <c r="BI128" s="6">
        <v>-1.4887819999999999E-3</v>
      </c>
      <c r="BJ128" s="6">
        <v>1.3048707826086953E-4</v>
      </c>
      <c r="BK128" s="6">
        <v>-7.3674030000000004E-4</v>
      </c>
      <c r="BL128" s="6">
        <v>-1.4464149999999999E-3</v>
      </c>
      <c r="BM128" s="6">
        <v>1.2342168695652172E-4</v>
      </c>
      <c r="BN128" s="6">
        <v>-1.252555E-3</v>
      </c>
      <c r="BO128" s="6">
        <v>-2.3861659999999999E-3</v>
      </c>
      <c r="BP128" s="6">
        <v>1.9714973913043476E-4</v>
      </c>
      <c r="BQ128" s="6">
        <v>-1.2604210000000001E-3</v>
      </c>
      <c r="BR128" s="6">
        <v>-2.3983720000000002E-3</v>
      </c>
      <c r="BS128" s="6">
        <v>1.9790452173913046E-4</v>
      </c>
      <c r="BT128" s="6">
        <v>-1.257202E-3</v>
      </c>
      <c r="BU128" s="6">
        <v>-2.3858410000000001E-3</v>
      </c>
      <c r="BV128" s="6">
        <v>1.9628504347826088E-4</v>
      </c>
      <c r="BW128" s="6">
        <v>-1.257724E-3</v>
      </c>
      <c r="BX128" s="6">
        <v>-2.3985510000000001E-3</v>
      </c>
      <c r="BY128" s="6">
        <v>1.9840469565217392E-4</v>
      </c>
      <c r="BZ128" s="6">
        <v>-1.1595869999999999E-3</v>
      </c>
      <c r="CA128" s="6">
        <v>-2.1971859999999998E-3</v>
      </c>
      <c r="CB128" s="6">
        <v>1.80452E-4</v>
      </c>
      <c r="CC128" s="6">
        <v>-1.15172E-3</v>
      </c>
      <c r="CD128" s="6">
        <v>-2.1849790000000001E-3</v>
      </c>
      <c r="CE128" s="6">
        <v>1.7969721739130438E-4</v>
      </c>
      <c r="CF128" s="6">
        <v>-1.154939E-3</v>
      </c>
      <c r="CG128" s="6">
        <v>-2.1975110000000001E-3</v>
      </c>
      <c r="CH128" s="6">
        <v>1.8131686956521741E-4</v>
      </c>
      <c r="CI128" s="6">
        <v>-1.154417E-3</v>
      </c>
      <c r="CJ128" s="6">
        <v>-2.1848010000000001E-3</v>
      </c>
      <c r="CK128" s="6">
        <v>1.7919721739130437E-4</v>
      </c>
      <c r="CL128" s="6">
        <v>-7.953983E-4</v>
      </c>
      <c r="CM128" s="6">
        <v>-1.633841E-3</v>
      </c>
      <c r="CN128" s="6">
        <v>1.4581612173913044E-4</v>
      </c>
      <c r="CO128" s="6">
        <v>-8.0326479999999999E-4</v>
      </c>
      <c r="CP128" s="6">
        <v>-1.6460470000000001E-3</v>
      </c>
      <c r="CQ128" s="6">
        <v>1.4657081739130436E-4</v>
      </c>
      <c r="CR128" s="6">
        <v>-8.0004559999999998E-4</v>
      </c>
      <c r="CS128" s="6">
        <v>-1.6335150000000001E-3</v>
      </c>
      <c r="CT128" s="6">
        <v>1.4495120000000003E-4</v>
      </c>
      <c r="CU128" s="6">
        <v>-8.0056789999999995E-4</v>
      </c>
      <c r="CV128" s="6">
        <v>-1.6462250000000001E-3</v>
      </c>
      <c r="CW128" s="6">
        <v>1.4707080000000001E-4</v>
      </c>
      <c r="CX128" s="6">
        <v>-7.0243029999999998E-4</v>
      </c>
      <c r="CY128" s="6">
        <v>-1.4448600000000001E-3</v>
      </c>
      <c r="CZ128" s="6">
        <v>1.2911820869565218E-4</v>
      </c>
      <c r="DA128" s="6">
        <v>-6.9456369999999995E-4</v>
      </c>
      <c r="DB128" s="6">
        <v>-1.432654E-3</v>
      </c>
      <c r="DC128" s="6">
        <v>1.2836353043478262E-4</v>
      </c>
      <c r="DD128" s="6">
        <v>-6.97783E-4</v>
      </c>
      <c r="DE128" s="6">
        <v>-1.445186E-3</v>
      </c>
      <c r="DF128" s="6">
        <v>1.299831304347826E-4</v>
      </c>
      <c r="DG128" s="6">
        <v>-6.9726070000000002E-4</v>
      </c>
      <c r="DH128" s="6">
        <v>-1.432476E-3</v>
      </c>
      <c r="DI128" s="6">
        <v>1.2786353043478261E-4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11">
    <tabColor theme="9"/>
  </sheetPr>
  <dimension ref="B2:C35"/>
  <sheetViews>
    <sheetView showGridLines="0" topLeftCell="A13" workbookViewId="0">
      <selection activeCell="B32" sqref="B32:C33"/>
    </sheetView>
  </sheetViews>
  <sheetFormatPr defaultColWidth="9" defaultRowHeight="15.6" x14ac:dyDescent="0.3"/>
  <cols>
    <col min="1" max="1" width="9" style="18"/>
    <col min="2" max="2" width="13.6640625" style="18" customWidth="1"/>
    <col min="3" max="16384" width="9" style="18"/>
  </cols>
  <sheetData>
    <row r="2" spans="2:3" x14ac:dyDescent="0.3">
      <c r="B2" s="28" t="s">
        <v>541</v>
      </c>
      <c r="C2" s="30" t="s">
        <v>545</v>
      </c>
    </row>
    <row r="3" spans="2:3" x14ac:dyDescent="0.3">
      <c r="B3" s="28" t="s">
        <v>542</v>
      </c>
      <c r="C3" s="25">
        <v>1.4</v>
      </c>
    </row>
    <row r="4" spans="2:3" x14ac:dyDescent="0.3">
      <c r="B4" s="28" t="s">
        <v>543</v>
      </c>
      <c r="C4" s="26">
        <v>1.4</v>
      </c>
    </row>
    <row r="6" spans="2:3" x14ac:dyDescent="0.3">
      <c r="B6" s="29" t="s">
        <v>544</v>
      </c>
    </row>
    <row r="7" spans="2:3" s="27" customFormat="1" x14ac:dyDescent="0.3"/>
    <row r="8" spans="2:3" x14ac:dyDescent="0.3">
      <c r="B8" s="28" t="str">
        <f>"Welcome to the version "&amp;C3&amp;" release of "&amp;C2&amp;". There are a number of significant updates in this version that we hope you will like, some of the key highlights include:"</f>
        <v>Welcome to the version 1.4 release of angle-change. There are a number of significant updates in this version that we hope you will like, some of the key highlights include:</v>
      </c>
    </row>
    <row r="10" spans="2:3" x14ac:dyDescent="0.3">
      <c r="B10" s="18">
        <v>1</v>
      </c>
      <c r="C10" s="28" t="s">
        <v>576</v>
      </c>
    </row>
    <row r="11" spans="2:3" x14ac:dyDescent="0.3">
      <c r="B11" s="18">
        <v>2</v>
      </c>
      <c r="C11" s="28" t="s">
        <v>577</v>
      </c>
    </row>
    <row r="12" spans="2:3" x14ac:dyDescent="0.3">
      <c r="B12" s="18">
        <v>3</v>
      </c>
      <c r="C12" s="28" t="s">
        <v>578</v>
      </c>
    </row>
    <row r="13" spans="2:3" s="19" customFormat="1" ht="16.2" thickBot="1" x14ac:dyDescent="0.35"/>
    <row r="14" spans="2:3" ht="16.2" thickTop="1" x14ac:dyDescent="0.3">
      <c r="B14" s="28" t="s">
        <v>550</v>
      </c>
    </row>
    <row r="16" spans="2:3" x14ac:dyDescent="0.3">
      <c r="B16" s="18">
        <v>1</v>
      </c>
      <c r="C16" s="28" t="s">
        <v>579</v>
      </c>
    </row>
    <row r="17" spans="2:3" x14ac:dyDescent="0.3">
      <c r="B17" s="18">
        <v>2</v>
      </c>
      <c r="C17" s="28" t="s">
        <v>575</v>
      </c>
    </row>
    <row r="18" spans="2:3" s="19" customFormat="1" ht="16.2" thickBot="1" x14ac:dyDescent="0.35"/>
    <row r="19" spans="2:3" ht="16.2" thickTop="1" x14ac:dyDescent="0.3">
      <c r="B19" s="28" t="s">
        <v>548</v>
      </c>
    </row>
    <row r="21" spans="2:3" x14ac:dyDescent="0.3">
      <c r="B21" s="18">
        <v>1</v>
      </c>
      <c r="C21" s="28" t="s">
        <v>580</v>
      </c>
    </row>
    <row r="23" spans="2:3" s="19" customFormat="1" ht="16.2" thickBot="1" x14ac:dyDescent="0.35"/>
    <row r="24" spans="2:3" ht="16.2" thickTop="1" x14ac:dyDescent="0.3">
      <c r="B24" s="28" t="s">
        <v>547</v>
      </c>
    </row>
    <row r="26" spans="2:3" x14ac:dyDescent="0.3">
      <c r="B26" s="18">
        <v>1</v>
      </c>
      <c r="C26" s="28" t="s">
        <v>581</v>
      </c>
    </row>
    <row r="27" spans="2:3" x14ac:dyDescent="0.3">
      <c r="B27" s="18">
        <v>2</v>
      </c>
      <c r="C27" s="28" t="s">
        <v>582</v>
      </c>
    </row>
    <row r="28" spans="2:3" x14ac:dyDescent="0.3">
      <c r="C28" s="28"/>
    </row>
    <row r="29" spans="2:3" s="19" customFormat="1" ht="16.2" thickBot="1" x14ac:dyDescent="0.35">
      <c r="C29" s="31"/>
    </row>
    <row r="30" spans="2:3" ht="16.2" thickTop="1" x14ac:dyDescent="0.3">
      <c r="B30" s="28" t="s">
        <v>546</v>
      </c>
      <c r="C30" s="28"/>
    </row>
    <row r="31" spans="2:3" x14ac:dyDescent="0.3">
      <c r="C31" s="28"/>
    </row>
    <row r="32" spans="2:3" x14ac:dyDescent="0.3">
      <c r="B32" s="18">
        <v>1</v>
      </c>
      <c r="C32" s="28" t="s">
        <v>583</v>
      </c>
    </row>
    <row r="33" spans="2:3" x14ac:dyDescent="0.3">
      <c r="B33" s="18">
        <v>2</v>
      </c>
      <c r="C33" s="28" t="s">
        <v>584</v>
      </c>
    </row>
    <row r="34" spans="2:3" x14ac:dyDescent="0.3">
      <c r="C34" s="28"/>
    </row>
    <row r="35" spans="2:3" x14ac:dyDescent="0.3">
      <c r="C35" s="28"/>
    </row>
  </sheetData>
  <phoneticPr fontId="2" type="noConversion"/>
  <hyperlinks>
    <hyperlink ref="B6" r:id="rId1" xr:uid="{00000000-0004-0000-0700-000000000000}"/>
  </hyperlinks>
  <pageMargins left="0.7" right="0.7" top="0.75" bottom="0.75" header="0.3" footer="0.3"/>
  <pageSetup paperSize="9"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09B26-97B2-4D1F-892D-1D4153276AF8}">
  <sheetPr codeName="工作表8">
    <tabColor theme="9" tint="0.39997558519241921"/>
  </sheetPr>
  <dimension ref="B2:E27"/>
  <sheetViews>
    <sheetView tabSelected="1" workbookViewId="0">
      <selection activeCell="C28" sqref="C28"/>
    </sheetView>
  </sheetViews>
  <sheetFormatPr defaultColWidth="8.6640625" defaultRowHeight="15.6" x14ac:dyDescent="0.3"/>
  <cols>
    <col min="1" max="1" width="8.6640625" style="53"/>
    <col min="2" max="2" width="13.6640625" style="55" customWidth="1"/>
    <col min="3" max="4" width="8.6640625" style="55"/>
    <col min="5" max="16384" width="8.6640625" style="53"/>
  </cols>
  <sheetData>
    <row r="2" spans="2:5" x14ac:dyDescent="0.3">
      <c r="B2" s="53" t="s">
        <v>541</v>
      </c>
      <c r="C2" s="54" t="s">
        <v>585</v>
      </c>
    </row>
    <row r="3" spans="2:5" x14ac:dyDescent="0.3">
      <c r="B3" s="53" t="s">
        <v>542</v>
      </c>
      <c r="C3" s="56" t="s">
        <v>586</v>
      </c>
    </row>
    <row r="4" spans="2:5" x14ac:dyDescent="0.3">
      <c r="C4" s="55" t="s">
        <v>587</v>
      </c>
    </row>
    <row r="5" spans="2:5" x14ac:dyDescent="0.3">
      <c r="B5" s="57"/>
    </row>
    <row r="6" spans="2:5" s="59" customFormat="1" ht="16.2" thickBot="1" x14ac:dyDescent="0.35">
      <c r="B6" s="58"/>
      <c r="C6" s="58"/>
      <c r="D6" s="58"/>
    </row>
    <row r="7" spans="2:5" ht="16.2" thickTop="1" x14ac:dyDescent="0.3"/>
    <row r="8" spans="2:5" x14ac:dyDescent="0.3">
      <c r="B8" s="60">
        <v>43283</v>
      </c>
      <c r="C8" s="55" t="s">
        <v>586</v>
      </c>
      <c r="D8" s="55">
        <v>1</v>
      </c>
      <c r="E8" s="53" t="s">
        <v>588</v>
      </c>
    </row>
    <row r="9" spans="2:5" s="62" customFormat="1" x14ac:dyDescent="0.3">
      <c r="B9" s="61"/>
      <c r="C9" s="61"/>
      <c r="D9" s="61"/>
    </row>
    <row r="10" spans="2:5" s="64" customFormat="1" x14ac:dyDescent="0.3">
      <c r="B10" s="63"/>
      <c r="C10" s="63"/>
      <c r="D10" s="63"/>
    </row>
    <row r="11" spans="2:5" x14ac:dyDescent="0.3">
      <c r="C11" s="55">
        <v>1.4</v>
      </c>
      <c r="D11" s="18">
        <v>1</v>
      </c>
      <c r="E11" s="28" t="s">
        <v>576</v>
      </c>
    </row>
    <row r="12" spans="2:5" x14ac:dyDescent="0.3">
      <c r="D12" s="18">
        <v>2</v>
      </c>
      <c r="E12" s="28" t="s">
        <v>577</v>
      </c>
    </row>
    <row r="13" spans="2:5" x14ac:dyDescent="0.3">
      <c r="D13" s="18">
        <v>3</v>
      </c>
      <c r="E13" s="28" t="s">
        <v>578</v>
      </c>
    </row>
    <row r="15" spans="2:5" s="64" customFormat="1" x14ac:dyDescent="0.3">
      <c r="B15" s="63"/>
      <c r="C15" s="63"/>
      <c r="D15" s="63"/>
    </row>
    <row r="16" spans="2:5" x14ac:dyDescent="0.3">
      <c r="C16" s="55">
        <v>1.3</v>
      </c>
      <c r="D16" s="18">
        <v>1</v>
      </c>
      <c r="E16" s="28" t="s">
        <v>579</v>
      </c>
    </row>
    <row r="17" spans="2:5" x14ac:dyDescent="0.3">
      <c r="D17" s="18">
        <v>2</v>
      </c>
      <c r="E17" s="28" t="s">
        <v>575</v>
      </c>
    </row>
    <row r="19" spans="2:5" s="64" customFormat="1" x14ac:dyDescent="0.3">
      <c r="B19" s="63"/>
      <c r="C19" s="63"/>
      <c r="D19" s="63"/>
    </row>
    <row r="20" spans="2:5" x14ac:dyDescent="0.3">
      <c r="C20" s="55">
        <v>1.2</v>
      </c>
      <c r="D20" s="18">
        <v>1</v>
      </c>
      <c r="E20" s="28" t="s">
        <v>580</v>
      </c>
    </row>
    <row r="22" spans="2:5" s="64" customFormat="1" x14ac:dyDescent="0.3">
      <c r="B22" s="63"/>
      <c r="C22" s="63"/>
      <c r="D22" s="63"/>
    </row>
    <row r="23" spans="2:5" x14ac:dyDescent="0.3">
      <c r="C23" s="55">
        <v>1.1000000000000001</v>
      </c>
      <c r="D23" s="18">
        <v>1</v>
      </c>
      <c r="E23" s="28" t="s">
        <v>581</v>
      </c>
    </row>
    <row r="24" spans="2:5" x14ac:dyDescent="0.3">
      <c r="D24" s="18">
        <v>2</v>
      </c>
      <c r="E24" s="28" t="s">
        <v>582</v>
      </c>
    </row>
    <row r="25" spans="2:5" s="64" customFormat="1" x14ac:dyDescent="0.3">
      <c r="B25" s="63"/>
      <c r="C25" s="63"/>
      <c r="D25" s="63"/>
    </row>
    <row r="26" spans="2:5" x14ac:dyDescent="0.3">
      <c r="C26" s="55">
        <v>1</v>
      </c>
      <c r="D26" s="18">
        <v>1</v>
      </c>
      <c r="E26" s="28" t="s">
        <v>583</v>
      </c>
    </row>
    <row r="27" spans="2:5" x14ac:dyDescent="0.3">
      <c r="D27" s="18">
        <v>2</v>
      </c>
      <c r="E27" s="28" t="s">
        <v>584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說明</vt:lpstr>
      <vt:lpstr>Nodal Displacements-v8</vt:lpstr>
      <vt:lpstr>Lines-v8</vt:lpstr>
      <vt:lpstr>Nodal Displacements-v12</vt:lpstr>
      <vt:lpstr>Lines-v12</vt:lpstr>
      <vt:lpstr>Result-v12</vt:lpstr>
      <vt:lpstr>old</vt:lpstr>
      <vt:lpstr>版本資訊</vt:lpstr>
      <vt:lpstr>Release Notes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elementspublic</dc:creator>
  <cp:lastModifiedBy>elementspublic</cp:lastModifiedBy>
  <dcterms:created xsi:type="dcterms:W3CDTF">2018-02-05T08:34:37Z</dcterms:created>
  <dcterms:modified xsi:type="dcterms:W3CDTF">2018-07-02T06:04:07Z</dcterms:modified>
</cp:coreProperties>
</file>