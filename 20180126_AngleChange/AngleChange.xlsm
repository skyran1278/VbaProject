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80126_AngleChange\"/>
    </mc:Choice>
  </mc:AlternateContent>
  <xr:revisionPtr revIDLastSave="0" documentId="13_ncr:1_{4B088F94-5654-4029-81BD-B4E5FFBAF6CF}" xr6:coauthVersionLast="45" xr6:coauthVersionMax="45" xr10:uidLastSave="{00000000-0000-0000-0000-000000000000}"/>
  <bookViews>
    <workbookView xWindow="28680" yWindow="-120" windowWidth="29040" windowHeight="15840" activeTab="7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Release Notes" sheetId="9" r:id="rId8"/>
  </sheets>
  <functionGroups builtInGroupCount="19"/>
  <definedNames>
    <definedName name="_xlnm._FilterDatabase" localSheetId="3" hidden="1">'Nodal Displacements-v12'!$A$1:$J$311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4" i="6" l="1"/>
  <c r="O13" i="6"/>
  <c r="O12" i="6"/>
  <c r="O11" i="6"/>
  <c r="O10" i="6"/>
  <c r="O9" i="6"/>
  <c r="O8" i="6"/>
  <c r="O7" i="6"/>
  <c r="O6" i="6"/>
  <c r="BH1" i="2" l="1"/>
  <c r="BK1" i="2"/>
  <c r="BN1" i="2"/>
  <c r="BQ1" i="2"/>
  <c r="BT1" i="2"/>
  <c r="BW1" i="2"/>
  <c r="BZ1" i="2"/>
  <c r="CC1" i="2"/>
  <c r="CF1" i="2"/>
  <c r="CI1" i="2"/>
  <c r="CL1" i="2"/>
  <c r="CO1" i="2"/>
  <c r="CR1" i="2"/>
  <c r="CU1" i="2"/>
  <c r="CX1" i="2"/>
  <c r="DA1" i="2"/>
  <c r="DD1" i="2"/>
  <c r="DG1" i="2"/>
  <c r="BE1" i="2"/>
  <c r="BB1" i="2"/>
  <c r="AY1" i="2"/>
  <c r="AV1" i="2"/>
  <c r="AS1" i="2"/>
  <c r="AP1" i="2"/>
  <c r="AM1" i="2"/>
  <c r="AJ1" i="2"/>
  <c r="AG1" i="2"/>
  <c r="AD1" i="2"/>
  <c r="AA1" i="2"/>
  <c r="X1" i="2"/>
  <c r="U1" i="2"/>
  <c r="R1" i="2"/>
  <c r="O1" i="2"/>
  <c r="L1" i="2"/>
  <c r="I1" i="2"/>
  <c r="F1" i="2"/>
  <c r="K1" i="3" l="1"/>
  <c r="DL6" i="3" s="1"/>
  <c r="N1" i="3"/>
  <c r="DL7" i="3" s="1"/>
  <c r="Q1" i="3"/>
  <c r="DL8" i="3" s="1"/>
  <c r="T1" i="3"/>
  <c r="DL9" i="3" s="1"/>
  <c r="W1" i="3"/>
  <c r="DL10" i="3" s="1"/>
  <c r="Z1" i="3"/>
  <c r="DL11" i="3"/>
  <c r="DO11" i="3" s="1"/>
  <c r="AC1" i="3"/>
  <c r="DL12" i="3"/>
  <c r="DO12" i="3" s="1"/>
  <c r="AF1" i="3"/>
  <c r="DL13" i="3"/>
  <c r="DO13" i="3" s="1"/>
  <c r="AI1" i="3"/>
  <c r="DL14" i="3" s="1"/>
  <c r="AL1" i="3"/>
  <c r="DL15" i="3" s="1"/>
  <c r="AO1" i="3"/>
  <c r="DL16" i="3" s="1"/>
  <c r="AR1" i="3"/>
  <c r="DL17" i="3" s="1"/>
  <c r="AU1" i="3"/>
  <c r="DL18" i="3" s="1"/>
  <c r="AX1" i="3"/>
  <c r="DL19" i="3"/>
  <c r="DO19" i="3" s="1"/>
  <c r="BA1" i="3"/>
  <c r="DL20" i="3"/>
  <c r="DO20" i="3" s="1"/>
  <c r="BD1" i="3"/>
  <c r="DL21" i="3"/>
  <c r="DO21" i="3" s="1"/>
  <c r="BG1" i="3"/>
  <c r="DL22" i="3" s="1"/>
  <c r="BJ1" i="3"/>
  <c r="DL23" i="3" s="1"/>
  <c r="BM1" i="3"/>
  <c r="DL24" i="3" s="1"/>
  <c r="BP1" i="3"/>
  <c r="DL25" i="3" s="1"/>
  <c r="BS1" i="3"/>
  <c r="DL26" i="3" s="1"/>
  <c r="BV1" i="3"/>
  <c r="DL27" i="3"/>
  <c r="DO27" i="3" s="1"/>
  <c r="BY1" i="3"/>
  <c r="DL28" i="3"/>
  <c r="DO28" i="3" s="1"/>
  <c r="CB1" i="3"/>
  <c r="DL29" i="3"/>
  <c r="DO29" i="3" s="1"/>
  <c r="CE1" i="3"/>
  <c r="DL30" i="3" s="1"/>
  <c r="CH1" i="3"/>
  <c r="DL31" i="3" s="1"/>
  <c r="CK1" i="3"/>
  <c r="DL32" i="3" s="1"/>
  <c r="CN1" i="3"/>
  <c r="DL33" i="3" s="1"/>
  <c r="CQ1" i="3"/>
  <c r="DL34" i="3" s="1"/>
  <c r="CT1" i="3"/>
  <c r="DL35" i="3"/>
  <c r="DO35" i="3" s="1"/>
  <c r="CW1" i="3"/>
  <c r="DL36" i="3"/>
  <c r="DO36" i="3" s="1"/>
  <c r="CZ1" i="3"/>
  <c r="DL37" i="3"/>
  <c r="DO37" i="3" s="1"/>
  <c r="DC1" i="3"/>
  <c r="DL38" i="3" s="1"/>
  <c r="DF1" i="3"/>
  <c r="DL39" i="3" s="1"/>
  <c r="DI1" i="3"/>
  <c r="DL40" i="3" s="1"/>
  <c r="H1" i="3"/>
  <c r="DL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36" i="3"/>
  <c r="DM35" i="3"/>
  <c r="DM28" i="3"/>
  <c r="DM20" i="3"/>
  <c r="DM12" i="3"/>
  <c r="DL40" i="2"/>
  <c r="DL39" i="2"/>
  <c r="DN39" i="3" s="1"/>
  <c r="DL38" i="2"/>
  <c r="DL37" i="2"/>
  <c r="DL36" i="2"/>
  <c r="DL35" i="2"/>
  <c r="DL34" i="2"/>
  <c r="DL33" i="2"/>
  <c r="DL32" i="2"/>
  <c r="DL31" i="2"/>
  <c r="DN31" i="3" s="1"/>
  <c r="DL30" i="2"/>
  <c r="DL29" i="2"/>
  <c r="DL28" i="2"/>
  <c r="DL27" i="2"/>
  <c r="DL26" i="2"/>
  <c r="DL25" i="2"/>
  <c r="DL24" i="2"/>
  <c r="DL23" i="2"/>
  <c r="DL22" i="2"/>
  <c r="DL21" i="2"/>
  <c r="DM21" i="2" s="1"/>
  <c r="DL20" i="2"/>
  <c r="DL19" i="2"/>
  <c r="DL18" i="2"/>
  <c r="DL17" i="2"/>
  <c r="DL16" i="2"/>
  <c r="DL15" i="2"/>
  <c r="DN15" i="3" s="1"/>
  <c r="DL14" i="2"/>
  <c r="DN14" i="3" s="1"/>
  <c r="DL13" i="2"/>
  <c r="DM13" i="2" s="1"/>
  <c r="DN13" i="3"/>
  <c r="DL12" i="2"/>
  <c r="DL11" i="2"/>
  <c r="DL10" i="2"/>
  <c r="DM10" i="2" s="1"/>
  <c r="DL9" i="2"/>
  <c r="DL8" i="2"/>
  <c r="DL7" i="2"/>
  <c r="DN7" i="3" s="1"/>
  <c r="DL6" i="2"/>
  <c r="DN6" i="3" s="1"/>
  <c r="DL5" i="2"/>
  <c r="DM5" i="2" s="1"/>
  <c r="DM14" i="2"/>
  <c r="DM22" i="2"/>
  <c r="DM18" i="2"/>
  <c r="DN21" i="3" l="1"/>
  <c r="DM31" i="2"/>
  <c r="DM24" i="2"/>
  <c r="DN24" i="3"/>
  <c r="DO18" i="3"/>
  <c r="DM18" i="3"/>
  <c r="DN18" i="3"/>
  <c r="DM32" i="2"/>
  <c r="DN32" i="3"/>
  <c r="DM11" i="2"/>
  <c r="DN11" i="3"/>
  <c r="DN33" i="3"/>
  <c r="DM33" i="2"/>
  <c r="DO39" i="3"/>
  <c r="DM39" i="3"/>
  <c r="DM16" i="3"/>
  <c r="DO16" i="3"/>
  <c r="DM16" i="2"/>
  <c r="DN16" i="3"/>
  <c r="DN10" i="3"/>
  <c r="DO10" i="3"/>
  <c r="DM10" i="3"/>
  <c r="DN17" i="3"/>
  <c r="DM17" i="2"/>
  <c r="DN28" i="3"/>
  <c r="DM28" i="2"/>
  <c r="DM35" i="2"/>
  <c r="DN35" i="3"/>
  <c r="DM32" i="3"/>
  <c r="DO32" i="3"/>
  <c r="DO14" i="3"/>
  <c r="DM14" i="3"/>
  <c r="DO9" i="3"/>
  <c r="DM9" i="3"/>
  <c r="DM23" i="3"/>
  <c r="DO23" i="3"/>
  <c r="DM25" i="2"/>
  <c r="DN25" i="3"/>
  <c r="DO17" i="3"/>
  <c r="DM17" i="3"/>
  <c r="DN40" i="3"/>
  <c r="DM40" i="2"/>
  <c r="DM34" i="3"/>
  <c r="DO34" i="3"/>
  <c r="DN12" i="3"/>
  <c r="DM12" i="2"/>
  <c r="DM27" i="2"/>
  <c r="DN27" i="3"/>
  <c r="DM33" i="3"/>
  <c r="DO33" i="3"/>
  <c r="DM29" i="2"/>
  <c r="DN29" i="3"/>
  <c r="DN36" i="3"/>
  <c r="DM36" i="2"/>
  <c r="DM31" i="3"/>
  <c r="DO31" i="3"/>
  <c r="DM26" i="3"/>
  <c r="DO26" i="3"/>
  <c r="DO8" i="3"/>
  <c r="DM8" i="3"/>
  <c r="DM40" i="3"/>
  <c r="DO40" i="3"/>
  <c r="DO22" i="3"/>
  <c r="DM22" i="3"/>
  <c r="DN22" i="3"/>
  <c r="DN34" i="3"/>
  <c r="DM34" i="2"/>
  <c r="DO38" i="3"/>
  <c r="DM38" i="3"/>
  <c r="DM15" i="3"/>
  <c r="DO15" i="3"/>
  <c r="DM8" i="2"/>
  <c r="DN8" i="3"/>
  <c r="DN23" i="3"/>
  <c r="DM30" i="2"/>
  <c r="DN30" i="3"/>
  <c r="DM37" i="2"/>
  <c r="DN37" i="3"/>
  <c r="DO30" i="3"/>
  <c r="DM30" i="3"/>
  <c r="DM25" i="3"/>
  <c r="DO25" i="3"/>
  <c r="DM7" i="3"/>
  <c r="DO7" i="3"/>
  <c r="DN20" i="3"/>
  <c r="DM20" i="2"/>
  <c r="DO5" i="3"/>
  <c r="DM5" i="3"/>
  <c r="DN5" i="3"/>
  <c r="DM26" i="2"/>
  <c r="DN26" i="3"/>
  <c r="DM9" i="2"/>
  <c r="DN9" i="3"/>
  <c r="DM19" i="2"/>
  <c r="DN19" i="3"/>
  <c r="DM38" i="2"/>
  <c r="DN38" i="3"/>
  <c r="DO24" i="3"/>
  <c r="DM24" i="3"/>
  <c r="DO6" i="3"/>
  <c r="DM6" i="3"/>
  <c r="DM27" i="3"/>
  <c r="DM19" i="3"/>
  <c r="DM15" i="2"/>
  <c r="DM7" i="2"/>
  <c r="DM6" i="2"/>
  <c r="DM11" i="3"/>
  <c r="DM23" i="2"/>
  <c r="DM39" i="2"/>
</calcChain>
</file>

<file path=xl/sharedStrings.xml><?xml version="1.0" encoding="utf-8"?>
<sst xmlns="http://schemas.openxmlformats.org/spreadsheetml/2006/main" count="3630" uniqueCount="595">
  <si>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</si>
  <si>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</si>
  <si>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</si>
  <si>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</si>
  <si>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</si>
  <si>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</si>
  <si>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</si>
  <si>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</si>
  <si>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</si>
  <si>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</si>
  <si>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</si>
  <si>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</si>
  <si>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</si>
  <si>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</si>
  <si>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</si>
  <si>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</si>
  <si>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</si>
  <si>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</si>
  <si>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</si>
  <si>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</si>
  <si>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</si>
  <si>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</si>
  <si>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</si>
  <si>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</si>
  <si>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</si>
  <si>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</si>
  <si>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</si>
  <si>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</si>
  <si>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</si>
  <si>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</si>
  <si>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</si>
  <si>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</si>
  <si>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</si>
  <si>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</si>
  <si>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</si>
  <si>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</si>
  <si>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</si>
  <si>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</si>
  <si>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</si>
  <si>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</si>
  <si>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</si>
  <si>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</si>
  <si>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</si>
  <si>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</si>
  <si>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</si>
  <si>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</si>
  <si>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</si>
  <si>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</si>
  <si>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</si>
  <si>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</si>
  <si>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</si>
  <si>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</si>
  <si>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</si>
  <si>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</si>
  <si>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</si>
  <si>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</si>
  <si>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</si>
  <si>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</si>
  <si>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</si>
  <si>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</si>
  <si>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</si>
  <si>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</si>
  <si>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</si>
  <si>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</si>
  <si>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</si>
  <si>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</si>
  <si>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</si>
  <si>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</si>
  <si>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</si>
  <si>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</si>
  <si>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</si>
  <si>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</si>
  <si>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</si>
  <si>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</si>
  <si>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</si>
  <si>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</si>
  <si>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</si>
  <si>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</si>
  <si>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</si>
  <si>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</si>
  <si>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</si>
  <si>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</si>
  <si>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</si>
  <si>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</si>
  <si>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</si>
  <si>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</si>
  <si>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</si>
  <si>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</si>
  <si>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</si>
  <si>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</si>
  <si>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</si>
  <si>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</si>
  <si>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</si>
  <si>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</si>
  <si>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</si>
  <si>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</si>
  <si>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</si>
  <si>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</si>
  <si>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</si>
  <si>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</si>
  <si>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</si>
  <si>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</si>
  <si>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</si>
  <si>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</si>
  <si>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</si>
  <si>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</si>
  <si>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</si>
  <si>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</si>
  <si>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</si>
  <si>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</si>
  <si>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</si>
  <si>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</si>
  <si>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</si>
  <si>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</si>
  <si>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</si>
  <si>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</si>
  <si>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</si>
  <si>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</si>
  <si>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</si>
  <si>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</si>
  <si>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</si>
  <si>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</si>
  <si>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</si>
  <si>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</si>
  <si>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</si>
  <si>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</si>
  <si>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</si>
  <si>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</si>
  <si>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</si>
  <si>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</si>
  <si>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</si>
  <si>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</si>
  <si>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</si>
  <si>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</si>
  <si>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</si>
  <si>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</si>
  <si>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</si>
  <si>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</si>
  <si>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</si>
  <si>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</si>
  <si>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</si>
  <si>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</si>
  <si>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</si>
  <si>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</si>
  <si>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</si>
  <si>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</si>
  <si>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</si>
  <si>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</si>
  <si>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</si>
  <si>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</si>
  <si>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</si>
  <si>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</si>
  <si>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</si>
  <si>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</si>
  <si>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</si>
  <si>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</si>
  <si>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</si>
  <si>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</si>
  <si>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</si>
  <si>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</si>
  <si>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</si>
  <si>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</si>
  <si>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</si>
  <si>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</si>
  <si>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</si>
  <si>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</si>
  <si>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</si>
  <si>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</si>
  <si>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</si>
  <si>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</si>
  <si>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</si>
  <si>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</si>
  <si>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</si>
  <si>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</si>
  <si>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</si>
  <si>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</si>
  <si>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</si>
  <si>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</si>
  <si>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</si>
  <si>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</si>
  <si>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</si>
  <si>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</si>
  <si>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</si>
  <si>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</si>
  <si>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</si>
  <si>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</si>
  <si>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</si>
  <si>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</si>
  <si>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</si>
  <si>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</si>
  <si>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</si>
  <si>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</si>
  <si>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</si>
  <si>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</si>
  <si>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</si>
  <si>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</si>
  <si>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</si>
  <si>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</si>
  <si>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</si>
  <si>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</si>
  <si>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</si>
  <si>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</si>
  <si>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</si>
  <si>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</si>
  <si>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</si>
  <si>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</si>
  <si>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</si>
  <si>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</si>
  <si>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</si>
  <si>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</si>
  <si>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</si>
  <si>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</si>
  <si>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</si>
  <si>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</si>
  <si>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</si>
  <si>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</si>
  <si>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</si>
  <si>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</si>
  <si>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</si>
  <si>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</si>
  <si>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</si>
  <si>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</si>
  <si>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</si>
  <si>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</si>
  <si>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</si>
  <si>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</si>
  <si>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</si>
  <si>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</si>
  <si>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</si>
  <si>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</si>
  <si>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</si>
  <si>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</si>
  <si>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</si>
  <si>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</si>
  <si>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</si>
  <si>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</si>
  <si>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</si>
  <si>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</si>
  <si>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</si>
  <si>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</si>
  <si>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</si>
  <si>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</si>
  <si>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</si>
  <si>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</si>
  <si>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</si>
  <si>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</si>
  <si>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</si>
  <si>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</si>
  <si>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</si>
  <si>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</si>
  <si>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</si>
  <si>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</si>
  <si>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</si>
  <si>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</si>
  <si>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</si>
  <si>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</si>
  <si>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</si>
  <si>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</si>
  <si>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</si>
  <si>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</si>
  <si>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</si>
  <si>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</si>
  <si>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</si>
  <si>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</si>
  <si>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</si>
  <si>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</si>
  <si>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</si>
  <si>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</si>
  <si>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</si>
  <si>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</si>
  <si>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</si>
  <si>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</si>
  <si>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</si>
  <si>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</si>
  <si>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</si>
  <si>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</si>
  <si>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</si>
  <si>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</si>
  <si>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</si>
  <si>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</si>
  <si>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</si>
  <si>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</si>
  <si>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</si>
  <si>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</si>
  <si>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</si>
  <si>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</si>
  <si>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</si>
  <si>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</si>
  <si>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</si>
  <si>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</si>
  <si>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</si>
  <si>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</si>
  <si>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</si>
  <si>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</si>
  <si>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</si>
  <si>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</si>
  <si>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</si>
  <si>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</si>
  <si>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</si>
  <si>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</si>
  <si>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</si>
  <si>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</si>
  <si>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</si>
  <si>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</si>
  <si>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</si>
  <si>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</si>
  <si>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</si>
  <si>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</si>
  <si>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</si>
  <si>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</si>
  <si>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</si>
  <si>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</si>
  <si>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</si>
  <si>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</si>
  <si>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</si>
  <si>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</si>
  <si>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</si>
  <si>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</si>
  <si>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</si>
  <si>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</si>
  <si>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</si>
  <si>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</si>
  <si>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</si>
  <si>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</si>
  <si>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</si>
  <si>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</si>
  <si>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</si>
  <si>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</si>
  <si>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</si>
  <si>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</si>
  <si>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</si>
  <si>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</si>
  <si>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</si>
  <si>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</si>
  <si>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</si>
  <si>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</si>
  <si>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</si>
  <si>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</si>
  <si>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</si>
  <si>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</si>
  <si>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</si>
  <si>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</si>
  <si>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</si>
  <si>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</si>
  <si>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</si>
  <si>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</si>
  <si>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</si>
  <si>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</si>
  <si>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</si>
  <si>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</si>
  <si>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</si>
  <si>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</si>
  <si>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</si>
  <si>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</si>
  <si>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</si>
  <si>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</si>
  <si>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</si>
  <si>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</si>
  <si>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</si>
  <si>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</si>
  <si>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</si>
  <si>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</si>
  <si>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</si>
  <si>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</si>
  <si>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</si>
  <si>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</si>
  <si>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</si>
  <si>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</si>
  <si>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</si>
  <si>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</si>
  <si>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</si>
  <si>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</si>
  <si>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</si>
  <si>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</si>
  <si>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</si>
  <si>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</si>
  <si>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</si>
  <si>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</si>
  <si>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</si>
  <si>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</si>
  <si>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</si>
  <si>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</si>
  <si>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</si>
  <si>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</si>
  <si>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</si>
  <si>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</si>
  <si>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</si>
  <si>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</si>
  <si>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</si>
  <si>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</si>
  <si>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</si>
  <si>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</si>
  <si>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</si>
  <si>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</si>
  <si>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</si>
  <si>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</si>
  <si>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</si>
  <si>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</si>
  <si>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</si>
  <si>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</si>
  <si>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</si>
  <si>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</si>
  <si>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</si>
  <si>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</si>
  <si>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</si>
  <si>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</si>
  <si>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</si>
  <si>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</si>
  <si>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</si>
  <si>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</si>
  <si>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</si>
  <si>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</si>
  <si>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</si>
  <si>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</si>
  <si>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</si>
  <si>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</si>
  <si>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</si>
  <si>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</si>
  <si>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</si>
  <si>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</si>
  <si>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</si>
  <si>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</si>
  <si>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</si>
  <si>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</si>
  <si>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</si>
  <si>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</si>
  <si>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</si>
  <si>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</si>
  <si>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</si>
  <si>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</si>
  <si>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</si>
  <si>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</si>
  <si>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</si>
  <si>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</si>
  <si>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</si>
  <si>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</si>
  <si>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</si>
  <si>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</si>
  <si>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</si>
  <si>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</si>
  <si>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</si>
  <si>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</si>
  <si>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</si>
  <si>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</si>
  <si>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</si>
  <si>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</si>
  <si>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</si>
  <si>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</si>
  <si>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</si>
  <si>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</si>
  <si>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</si>
  <si>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</si>
  <si>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</si>
  <si>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</si>
  <si>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</si>
  <si>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</si>
  <si>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</si>
  <si>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</si>
  <si>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</si>
  <si>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</si>
  <si>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</si>
  <si>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</si>
  <si>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</si>
  <si>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</si>
  <si>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</si>
  <si>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</si>
  <si>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</si>
  <si>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</si>
  <si>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</si>
  <si>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</si>
  <si>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</si>
  <si>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</si>
  <si>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</si>
  <si>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</si>
  <si>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</si>
  <si>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</si>
  <si>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</si>
  <si>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</si>
  <si>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</si>
  <si>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</si>
  <si>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</si>
  <si>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</si>
  <si>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</si>
  <si>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</si>
  <si>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</si>
  <si>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</si>
  <si>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</si>
  <si>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</si>
  <si>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</si>
  <si>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</si>
  <si>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</si>
  <si>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</si>
  <si>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</si>
  <si>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</si>
  <si>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</si>
  <si>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</si>
  <si>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</si>
  <si>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</si>
  <si>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</si>
  <si>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</si>
  <si>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</si>
  <si>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</si>
  <si>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</si>
  <si>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</si>
  <si>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</si>
  <si>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</si>
  <si>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</si>
  <si>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</si>
  <si>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</si>
  <si>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</si>
  <si>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</si>
  <si>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</si>
  <si>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</si>
  <si>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</si>
  <si>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</si>
  <si>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</si>
  <si>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</si>
  <si>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</si>
  <si>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</si>
  <si>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</si>
  <si>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</si>
  <si>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</si>
  <si>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</si>
  <si>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</si>
  <si>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</si>
  <si>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</si>
  <si>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</si>
  <si>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</si>
  <si>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</si>
  <si>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</si>
  <si>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</si>
  <si>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</si>
  <si>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</si>
  <si>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</si>
  <si>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</si>
  <si>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</si>
  <si>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</si>
  <si>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</si>
  <si>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</si>
  <si>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</si>
  <si>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</si>
  <si>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</si>
  <si>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</si>
  <si>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angle-change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</si>
  <si>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</si>
  <si>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</si>
  <si>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</si>
  <si>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</si>
  <si>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</si>
  <si>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</si>
  <si>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</si>
  <si>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</si>
  <si>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</si>
  <si>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</si>
  <si>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</si>
  <si>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</si>
  <si>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</si>
  <si>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</si>
  <si>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</si>
  <si>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</si>
  <si>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</si>
  <si>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</si>
  <si>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</si>
  <si>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</si>
  <si>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</si>
  <si>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</si>
  <si>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</si>
  <si>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</si>
  <si>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</si>
  <si>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</si>
  <si>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</si>
  <si>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</si>
  <si>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</si>
  <si>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</si>
  <si>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</si>
  <si>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</si>
  <si>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</si>
  <si>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</si>
  <si>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</si>
  <si>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</si>
  <si>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</si>
  <si>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</si>
  <si>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2.1.0</t>
    <phoneticPr fontId="2" type="noConversion"/>
  </si>
  <si>
    <r>
      <t xml:space="preserve">v8 </t>
    </r>
    <r>
      <rPr>
        <sz val="12"/>
        <color theme="1"/>
        <rFont val="微軟正黑體"/>
        <family val="2"/>
        <charset val="136"/>
      </rPr>
      <t>取最大角變量的錯誤修正</t>
    </r>
    <phoneticPr fontId="2" type="noConversion"/>
  </si>
  <si>
    <r>
      <rPr>
        <sz val="12"/>
        <color theme="1"/>
        <rFont val="微軟正黑體"/>
        <family val="2"/>
        <charset val="136"/>
      </rPr>
      <t>更新版本提示</t>
    </r>
    <phoneticPr fontId="2" type="noConversion"/>
  </si>
  <si>
    <t>3.1.0</t>
    <phoneticPr fontId="2" type="noConversion"/>
  </si>
  <si>
    <r>
      <rPr>
        <sz val="12"/>
        <color theme="1"/>
        <rFont val="微軟正黑體"/>
        <family val="2"/>
        <charset val="136"/>
      </rPr>
      <t>顯示前</t>
    </r>
    <r>
      <rPr>
        <sz val="12"/>
        <color theme="1"/>
        <rFont val="Calibri"/>
        <family val="2"/>
      </rPr>
      <t xml:space="preserve"> 10 </t>
    </r>
    <r>
      <rPr>
        <sz val="12"/>
        <color theme="1"/>
        <rFont val="微軟正黑體"/>
        <family val="2"/>
        <charset val="136"/>
      </rPr>
      <t>個最大的角變量</t>
    </r>
    <phoneticPr fontId="2" type="noConversion"/>
  </si>
  <si>
    <r>
      <rPr>
        <sz val="12"/>
        <color theme="1"/>
        <rFont val="微軟正黑體"/>
        <family val="2"/>
        <charset val="136"/>
      </rPr>
      <t>更新版本檢查</t>
    </r>
    <phoneticPr fontId="2" type="noConversion"/>
  </si>
  <si>
    <t>Line</t>
    <phoneticPr fontId="2" type="noConversion"/>
  </si>
  <si>
    <t>角變量 分數</t>
    <phoneticPr fontId="2" type="noConversion"/>
  </si>
  <si>
    <t>Point_I</t>
    <phoneticPr fontId="2" type="noConversion"/>
  </si>
  <si>
    <t>Point_J</t>
    <phoneticPr fontId="2" type="noConversion"/>
  </si>
  <si>
    <t>Point_I Uz</t>
    <phoneticPr fontId="2" type="noConversion"/>
  </si>
  <si>
    <t>Point_J Uz</t>
    <phoneticPr fontId="2" type="noConversion"/>
  </si>
  <si>
    <r>
      <rPr>
        <sz val="12"/>
        <color theme="1"/>
        <rFont val="微軟正黑體"/>
        <family val="2"/>
        <charset val="136"/>
      </rPr>
      <t>若資料量太大，可僅檢查單個</t>
    </r>
    <r>
      <rPr>
        <sz val="12"/>
        <color theme="1"/>
        <rFont val="Calibri"/>
        <family val="2"/>
      </rPr>
      <t xml:space="preserve"> ASD Combo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</si>
</sst>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3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8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77" fontId="9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 tint="0.59999389629810485"/>
  </sheetPr>
  <dimension ref="A1:R25"/>
  <sheetViews>
    <sheetView workbookViewId="0"/>
  </sheetViews>
  <sheetFormatPr defaultColWidth="8.875" defaultRowHeight="15.75" x14ac:dyDescent="0.25"/>
  <cols>
    <col min="1" max="1" width="8.875" style="44"/>
    <col min="2" max="2" width="17.75" style="44" bestFit="1" customWidth="1"/>
    <col min="3" max="3" width="8.875" style="44"/>
    <col min="4" max="4" width="9" style="44" bestFit="1" customWidth="1"/>
    <col min="5" max="11" width="8.875" style="44"/>
    <col min="12" max="13" width="12.625" style="44" bestFit="1" customWidth="1"/>
    <col min="14" max="14" width="17.125" style="44" bestFit="1" customWidth="1"/>
    <col min="15" max="15" width="14" style="44" bestFit="1" customWidth="1"/>
    <col min="16" max="16" width="11.375" style="44" bestFit="1" customWidth="1"/>
    <col min="17" max="17" width="9" style="44" bestFit="1" customWidth="1"/>
    <col min="18" max="18" width="12.625" style="44" bestFit="1" customWidth="1"/>
    <col min="19" max="16384" width="8.875" style="44"/>
  </cols>
  <sheetData>
    <row r="1" spans="1:18" x14ac:dyDescent="0.25">
      <c r="A1" s="44" t="s">
        <v>545</v>
      </c>
      <c r="B1" s="45">
        <v>43137</v>
      </c>
    </row>
    <row r="2" spans="1:18" x14ac:dyDescent="0.25">
      <c r="A2" s="44" t="s">
        <v>546</v>
      </c>
      <c r="B2" s="44" t="s">
        <v>552</v>
      </c>
    </row>
    <row r="3" spans="1:18" x14ac:dyDescent="0.25">
      <c r="A3" s="44" t="s">
        <v>547</v>
      </c>
      <c r="B3" s="44" t="s">
        <v>553</v>
      </c>
    </row>
    <row r="4" spans="1:18" ht="16.5" thickBot="1" x14ac:dyDescent="0.3"/>
    <row r="5" spans="1:18" ht="16.149999999999999" customHeight="1" thickBot="1" x14ac:dyDescent="0.3">
      <c r="D5" s="61" t="s">
        <v>564</v>
      </c>
      <c r="E5" s="62"/>
      <c r="F5" s="62"/>
      <c r="G5" s="62"/>
      <c r="H5" s="62"/>
      <c r="I5" s="63"/>
      <c r="L5" s="61" t="s">
        <v>565</v>
      </c>
      <c r="M5" s="62"/>
      <c r="N5" s="62"/>
      <c r="O5" s="62"/>
      <c r="P5" s="62"/>
      <c r="Q5" s="62"/>
      <c r="R5" s="63"/>
    </row>
    <row r="6" spans="1:18" ht="16.5" thickTop="1" x14ac:dyDescent="0.25">
      <c r="D6" s="64" t="s">
        <v>549</v>
      </c>
      <c r="E6" s="65"/>
      <c r="F6" s="65"/>
      <c r="G6" s="65"/>
      <c r="H6" s="65"/>
      <c r="I6" s="66"/>
      <c r="L6" s="58" t="s">
        <v>566</v>
      </c>
      <c r="M6" s="59"/>
      <c r="N6" s="59"/>
      <c r="O6" s="59"/>
      <c r="P6" s="59"/>
      <c r="Q6" s="59"/>
      <c r="R6" s="60"/>
    </row>
    <row r="7" spans="1:18" x14ac:dyDescent="0.25">
      <c r="D7" s="27">
        <v>1</v>
      </c>
      <c r="E7" s="28" t="s">
        <v>554</v>
      </c>
      <c r="F7" s="29"/>
      <c r="G7" s="29"/>
      <c r="H7" s="29"/>
      <c r="I7" s="30"/>
      <c r="L7" s="39" t="s">
        <v>548</v>
      </c>
      <c r="M7" s="29"/>
      <c r="N7" s="29"/>
      <c r="O7" s="29"/>
      <c r="P7" s="29"/>
      <c r="Q7" s="29"/>
      <c r="R7" s="30"/>
    </row>
    <row r="8" spans="1:18" x14ac:dyDescent="0.25">
      <c r="D8" s="27">
        <v>2</v>
      </c>
      <c r="E8" s="28" t="s">
        <v>555</v>
      </c>
      <c r="F8" s="29"/>
      <c r="G8" s="29"/>
      <c r="H8" s="29"/>
      <c r="I8" s="30"/>
      <c r="L8" s="27" t="s">
        <v>534</v>
      </c>
      <c r="M8" s="29" t="s">
        <v>535</v>
      </c>
      <c r="N8" s="29" t="s">
        <v>536</v>
      </c>
      <c r="O8" s="29" t="s">
        <v>537</v>
      </c>
      <c r="P8" s="29" t="s">
        <v>538</v>
      </c>
      <c r="Q8" s="29" t="s">
        <v>345</v>
      </c>
      <c r="R8" s="30"/>
    </row>
    <row r="9" spans="1:18" x14ac:dyDescent="0.25">
      <c r="D9" s="27">
        <v>3</v>
      </c>
      <c r="E9" s="28" t="s">
        <v>556</v>
      </c>
      <c r="F9" s="29"/>
      <c r="G9" s="29"/>
      <c r="H9" s="29"/>
      <c r="I9" s="30"/>
      <c r="L9" s="27" t="s">
        <v>489</v>
      </c>
      <c r="M9" s="29" t="s">
        <v>489</v>
      </c>
      <c r="N9" s="29" t="s">
        <v>489</v>
      </c>
      <c r="O9" s="29" t="s">
        <v>489</v>
      </c>
      <c r="P9" s="29" t="s">
        <v>489</v>
      </c>
      <c r="Q9" s="29" t="s">
        <v>490</v>
      </c>
      <c r="R9" s="30"/>
    </row>
    <row r="10" spans="1:18" x14ac:dyDescent="0.25">
      <c r="D10" s="31">
        <v>4</v>
      </c>
      <c r="E10" s="32" t="s">
        <v>557</v>
      </c>
      <c r="F10" s="33"/>
      <c r="G10" s="33"/>
      <c r="H10" s="33"/>
      <c r="I10" s="34"/>
      <c r="L10" s="27" t="s">
        <v>346</v>
      </c>
      <c r="M10" s="29" t="s">
        <v>169</v>
      </c>
      <c r="N10" s="29" t="s">
        <v>210</v>
      </c>
      <c r="O10" s="29" t="s">
        <v>539</v>
      </c>
      <c r="P10" s="29" t="s">
        <v>540</v>
      </c>
      <c r="Q10" s="29">
        <v>8.3000000000000007</v>
      </c>
      <c r="R10" s="30"/>
    </row>
    <row r="11" spans="1:18" x14ac:dyDescent="0.25">
      <c r="D11" s="67" t="s">
        <v>551</v>
      </c>
      <c r="E11" s="68"/>
      <c r="F11" s="68"/>
      <c r="G11" s="68"/>
      <c r="H11" s="68"/>
      <c r="I11" s="69"/>
      <c r="L11" s="39" t="s">
        <v>550</v>
      </c>
      <c r="M11" s="29"/>
      <c r="N11" s="29"/>
      <c r="O11" s="29"/>
      <c r="P11" s="29"/>
      <c r="Q11" s="29"/>
      <c r="R11" s="30"/>
    </row>
    <row r="12" spans="1:18" x14ac:dyDescent="0.25">
      <c r="D12" s="27">
        <v>1</v>
      </c>
      <c r="E12" s="28" t="s">
        <v>554</v>
      </c>
      <c r="F12" s="29"/>
      <c r="G12" s="29"/>
      <c r="H12" s="29"/>
      <c r="I12" s="30"/>
      <c r="L12" s="27" t="s">
        <v>479</v>
      </c>
      <c r="M12" s="29" t="s">
        <v>480</v>
      </c>
      <c r="N12" s="29" t="s">
        <v>481</v>
      </c>
      <c r="O12" s="29" t="s">
        <v>482</v>
      </c>
      <c r="P12" s="29" t="s">
        <v>483</v>
      </c>
      <c r="Q12" s="29" t="s">
        <v>484</v>
      </c>
      <c r="R12" s="30" t="s">
        <v>485</v>
      </c>
    </row>
    <row r="13" spans="1:18" x14ac:dyDescent="0.25">
      <c r="D13" s="27">
        <v>2</v>
      </c>
      <c r="E13" s="28" t="s">
        <v>555</v>
      </c>
      <c r="F13" s="29"/>
      <c r="G13" s="29"/>
      <c r="H13" s="29"/>
      <c r="I13" s="30"/>
      <c r="L13" s="27" t="s">
        <v>489</v>
      </c>
      <c r="M13" s="29" t="s">
        <v>489</v>
      </c>
      <c r="N13" s="29" t="s">
        <v>489</v>
      </c>
      <c r="O13" s="29" t="s">
        <v>489</v>
      </c>
      <c r="P13" s="29" t="s">
        <v>490</v>
      </c>
      <c r="Q13" s="29" t="s">
        <v>490</v>
      </c>
      <c r="R13" s="30" t="s">
        <v>490</v>
      </c>
    </row>
    <row r="14" spans="1:18" x14ac:dyDescent="0.25">
      <c r="D14" s="27">
        <v>3</v>
      </c>
      <c r="E14" s="28" t="s">
        <v>556</v>
      </c>
      <c r="F14" s="29"/>
      <c r="G14" s="29"/>
      <c r="H14" s="29"/>
      <c r="I14" s="30"/>
      <c r="L14" s="27" t="s">
        <v>169</v>
      </c>
      <c r="M14" s="29" t="s">
        <v>169</v>
      </c>
      <c r="N14" s="29" t="s">
        <v>11</v>
      </c>
      <c r="O14" s="29" t="s">
        <v>492</v>
      </c>
      <c r="P14" s="29">
        <v>0</v>
      </c>
      <c r="Q14" s="29">
        <v>0</v>
      </c>
      <c r="R14" s="40">
        <v>-2.3500000000000001E-3</v>
      </c>
    </row>
    <row r="15" spans="1:18" ht="16.5" thickBot="1" x14ac:dyDescent="0.3">
      <c r="D15" s="35">
        <v>4</v>
      </c>
      <c r="E15" s="36" t="s">
        <v>561</v>
      </c>
      <c r="F15" s="37"/>
      <c r="G15" s="37"/>
      <c r="H15" s="37"/>
      <c r="I15" s="38"/>
      <c r="L15" s="31" t="s">
        <v>210</v>
      </c>
      <c r="M15" s="33" t="s">
        <v>210</v>
      </c>
      <c r="N15" s="33" t="s">
        <v>11</v>
      </c>
      <c r="O15" s="33" t="s">
        <v>492</v>
      </c>
      <c r="P15" s="33">
        <v>0</v>
      </c>
      <c r="Q15" s="33">
        <v>0</v>
      </c>
      <c r="R15" s="34">
        <v>-2.1559999999999999E-3</v>
      </c>
    </row>
    <row r="16" spans="1:18" x14ac:dyDescent="0.25">
      <c r="L16" s="58" t="s">
        <v>567</v>
      </c>
      <c r="M16" s="59"/>
      <c r="N16" s="59"/>
      <c r="O16" s="59"/>
      <c r="P16" s="59"/>
      <c r="Q16" s="59"/>
      <c r="R16" s="60"/>
    </row>
    <row r="17" spans="12:18" x14ac:dyDescent="0.25">
      <c r="L17" s="27">
        <v>1</v>
      </c>
      <c r="M17" s="28" t="s">
        <v>558</v>
      </c>
      <c r="N17" s="29"/>
      <c r="O17" s="29"/>
      <c r="P17" s="29"/>
      <c r="Q17" s="29"/>
      <c r="R17" s="30"/>
    </row>
    <row r="18" spans="12:18" x14ac:dyDescent="0.25">
      <c r="L18" s="27">
        <v>2</v>
      </c>
      <c r="M18" s="28" t="s">
        <v>559</v>
      </c>
      <c r="N18" s="29"/>
      <c r="O18" s="29"/>
      <c r="P18" s="29"/>
      <c r="Q18" s="29"/>
      <c r="R18" s="30"/>
    </row>
    <row r="19" spans="12:18" x14ac:dyDescent="0.25">
      <c r="L19" s="31">
        <v>3</v>
      </c>
      <c r="M19" s="32" t="s">
        <v>560</v>
      </c>
      <c r="N19" s="33"/>
      <c r="O19" s="33"/>
      <c r="P19" s="33"/>
      <c r="Q19" s="33"/>
      <c r="R19" s="34"/>
    </row>
    <row r="20" spans="12:18" x14ac:dyDescent="0.25">
      <c r="L20" s="58" t="s">
        <v>568</v>
      </c>
      <c r="M20" s="59"/>
      <c r="N20" s="59"/>
      <c r="O20" s="59"/>
      <c r="P20" s="59"/>
      <c r="Q20" s="59"/>
      <c r="R20" s="60"/>
    </row>
    <row r="21" spans="12:18" x14ac:dyDescent="0.25">
      <c r="L21" s="27" t="s">
        <v>342</v>
      </c>
      <c r="M21" s="29" t="s">
        <v>343</v>
      </c>
      <c r="N21" s="29" t="s">
        <v>544</v>
      </c>
      <c r="O21" s="29"/>
      <c r="P21" s="29"/>
      <c r="Q21" s="29"/>
      <c r="R21" s="30"/>
    </row>
    <row r="22" spans="12:18" x14ac:dyDescent="0.25">
      <c r="L22" s="41">
        <v>-2.3500000000000001E-3</v>
      </c>
      <c r="M22" s="42">
        <v>-2.1559999999999999E-3</v>
      </c>
      <c r="N22" s="29">
        <v>2.3373493975903599E-5</v>
      </c>
      <c r="O22" s="29"/>
      <c r="P22" s="29"/>
      <c r="Q22" s="29"/>
      <c r="R22" s="30"/>
    </row>
    <row r="23" spans="12:18" x14ac:dyDescent="0.25">
      <c r="L23" s="39" t="s">
        <v>563</v>
      </c>
      <c r="M23" s="29"/>
      <c r="N23" s="29"/>
      <c r="O23" s="29"/>
      <c r="P23" s="29"/>
      <c r="Q23" s="29"/>
      <c r="R23" s="30"/>
    </row>
    <row r="24" spans="12:18" ht="16.5" thickBot="1" x14ac:dyDescent="0.3">
      <c r="L24" s="43" t="s">
        <v>562</v>
      </c>
      <c r="M24" s="37"/>
      <c r="N24" s="37"/>
      <c r="O24" s="37"/>
      <c r="P24" s="37"/>
      <c r="Q24" s="37"/>
      <c r="R24" s="38"/>
    </row>
    <row r="25" spans="12:18" x14ac:dyDescent="0.25">
      <c r="M25" s="46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/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workbookViewId="0">
      <selection activeCell="F1" sqref="F1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F1" s="6">
        <f>1/MAX(H:H)</f>
        <v>2875.7116390201645</v>
      </c>
      <c r="I1" s="6">
        <f>1/MAX(K:K)</f>
        <v>2531.4284991438703</v>
      </c>
      <c r="L1" s="6">
        <f>1/MAX(N:N)</f>
        <v>3220.9444903590729</v>
      </c>
      <c r="O1" s="6">
        <f>1/MAX(Q:Q)</f>
        <v>2708.344101448436</v>
      </c>
      <c r="R1" s="6">
        <f>1/MAX(T:T)</f>
        <v>2866.0438718802425</v>
      </c>
      <c r="U1" s="6">
        <f>1/MAX(W:W)</f>
        <v>3257.5198570364805</v>
      </c>
      <c r="X1" s="6">
        <f>1/MAX(Z:Z)</f>
        <v>2856.2704410456663</v>
      </c>
      <c r="AA1" s="6">
        <f>1/MAX(AC:AC)</f>
        <v>3265.2404804372559</v>
      </c>
      <c r="AD1" s="6">
        <f>1/MAX(AF:AF)</f>
        <v>2215.4710561251959</v>
      </c>
      <c r="AG1" s="6">
        <f>1/MAX(AI:AI)</f>
        <v>2027.0028528233522</v>
      </c>
      <c r="AJ1" s="6">
        <f>1/MAX(AL:AL)</f>
        <v>2221.3465894019873</v>
      </c>
      <c r="AM1" s="6">
        <f>1/MAX(AO:AO)</f>
        <v>2024.1762242943339</v>
      </c>
      <c r="AP1" s="6">
        <f>1/MAX(AR:AR)</f>
        <v>3198.7503445882717</v>
      </c>
      <c r="AS1" s="6">
        <f>1/MAX(AU:AU)</f>
        <v>3694.75237880845</v>
      </c>
      <c r="AV1" s="6">
        <f>1/MAX(AX:AX)</f>
        <v>3186.5809161581387</v>
      </c>
      <c r="AY1" s="6">
        <f>1/MAX(BA:BA)</f>
        <v>3704.180900056157</v>
      </c>
      <c r="BB1" s="6">
        <f>1/MAX(BD:BD)</f>
        <v>2409.1721770916874</v>
      </c>
      <c r="BE1" s="6">
        <f>1/MAX(BG:BG)</f>
        <v>2187.9526162219345</v>
      </c>
      <c r="BH1" s="6">
        <f>1/MAX(BJ:BJ)</f>
        <v>2416.121644447323</v>
      </c>
      <c r="BK1" s="6">
        <f>1/MAX(BM:BM)</f>
        <v>2184.6596463462438</v>
      </c>
      <c r="BN1" s="6">
        <f>1/MAX(BP:BP)</f>
        <v>2341.30137428749</v>
      </c>
      <c r="BQ1" s="6">
        <f>1/MAX(BS:BS)</f>
        <v>2412.4148799028662</v>
      </c>
      <c r="BT1" s="6">
        <f>1/MAX(BV:BV)</f>
        <v>2339.3400445523089</v>
      </c>
      <c r="BW1" s="6">
        <f>1/MAX(BY:BY)</f>
        <v>2413.617782744855</v>
      </c>
      <c r="BZ1" s="6">
        <f>1/MAX(CB:CB)</f>
        <v>2184.1198853405481</v>
      </c>
      <c r="CC1" s="6">
        <f>1/MAX(CE:CE)</f>
        <v>2125.6664828776161</v>
      </c>
      <c r="CF1" s="6">
        <f>1/MAX(CH:CH)</f>
        <v>2185.8300538201402</v>
      </c>
      <c r="CI1" s="6">
        <f>1/MAX(CK:CK)</f>
        <v>2124.7334227530382</v>
      </c>
      <c r="CL1" s="6">
        <f>1/MAX(CN:CN)</f>
        <v>3266.4469935149618</v>
      </c>
      <c r="CO1" s="6">
        <f>1/MAX(CQ:CQ)</f>
        <v>3406.5437900327897</v>
      </c>
      <c r="CR1" s="6">
        <f>1/MAX(CT:CT)</f>
        <v>3262.6294025645998</v>
      </c>
      <c r="CU1" s="6">
        <f>1/MAX(CW:CW)</f>
        <v>3408.94426474699</v>
      </c>
      <c r="CX1" s="6">
        <f>1/MAX(CZ:CZ)</f>
        <v>2968.4119128592997</v>
      </c>
      <c r="DA1" s="6">
        <f>1/MAX(DC:DC)</f>
        <v>2861.4681558758239</v>
      </c>
      <c r="DD1" s="6">
        <f>1/MAX(DF:DF)</f>
        <v>2971.570625802392</v>
      </c>
      <c r="DG1" s="6">
        <f>1/MAX(DI:DI)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F1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I1</f>
        <v>2531.4284991438703</v>
      </c>
      <c r="DM6" s="5" t="str">
        <f t="shared" ref="DM6:DM40" si="0">IF(DL6&gt;250,"OK","N.G")</f>
        <v>OK</v>
      </c>
    </row>
    <row r="7" spans="1:117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L1</f>
        <v>3220.9444903590729</v>
      </c>
      <c r="DM7" s="5" t="str">
        <f t="shared" si="0"/>
        <v>OK</v>
      </c>
    </row>
    <row r="8" spans="1:117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O1</f>
        <v>2708.344101448436</v>
      </c>
      <c r="DM8" s="5" t="str">
        <f t="shared" si="0"/>
        <v>OK</v>
      </c>
    </row>
    <row r="9" spans="1:117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R1</f>
        <v>2866.0438718802425</v>
      </c>
      <c r="DM9" s="5" t="str">
        <f t="shared" si="0"/>
        <v>OK</v>
      </c>
    </row>
    <row r="10" spans="1:117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U1</f>
        <v>3257.5198570364805</v>
      </c>
      <c r="DM10" s="5" t="str">
        <f t="shared" si="0"/>
        <v>OK</v>
      </c>
    </row>
    <row r="11" spans="1:117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X1</f>
        <v>2856.2704410456663</v>
      </c>
      <c r="DM11" s="5" t="str">
        <f t="shared" si="0"/>
        <v>OK</v>
      </c>
    </row>
    <row r="12" spans="1:117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AA1</f>
        <v>3265.2404804372559</v>
      </c>
      <c r="DM12" s="5" t="str">
        <f t="shared" si="0"/>
        <v>OK</v>
      </c>
    </row>
    <row r="13" spans="1:117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AD1</f>
        <v>2215.4710561251959</v>
      </c>
      <c r="DM13" s="5" t="str">
        <f t="shared" si="0"/>
        <v>OK</v>
      </c>
    </row>
    <row r="14" spans="1:117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AG1</f>
        <v>2027.0028528233522</v>
      </c>
      <c r="DM14" s="5" t="str">
        <f t="shared" si="0"/>
        <v>OK</v>
      </c>
    </row>
    <row r="15" spans="1:117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AJ1</f>
        <v>2221.3465894019873</v>
      </c>
      <c r="DM15" s="5" t="str">
        <f t="shared" si="0"/>
        <v>OK</v>
      </c>
    </row>
    <row r="16" spans="1:117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AM1</f>
        <v>2024.1762242943339</v>
      </c>
      <c r="DM16" s="5" t="str">
        <f t="shared" si="0"/>
        <v>OK</v>
      </c>
    </row>
    <row r="17" spans="1:117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AP1</f>
        <v>3198.7503445882717</v>
      </c>
      <c r="DM17" s="5" t="str">
        <f t="shared" si="0"/>
        <v>OK</v>
      </c>
    </row>
    <row r="18" spans="1:117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AS1</f>
        <v>3694.75237880845</v>
      </c>
      <c r="DM18" s="5" t="str">
        <f t="shared" si="0"/>
        <v>OK</v>
      </c>
    </row>
    <row r="19" spans="1:117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AV1</f>
        <v>3186.5809161581387</v>
      </c>
      <c r="DM19" s="5" t="str">
        <f t="shared" si="0"/>
        <v>OK</v>
      </c>
    </row>
    <row r="20" spans="1:117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AY1</f>
        <v>3704.180900056157</v>
      </c>
      <c r="DM20" s="5" t="str">
        <f t="shared" si="0"/>
        <v>OK</v>
      </c>
    </row>
    <row r="21" spans="1:117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BB1</f>
        <v>2409.1721770916874</v>
      </c>
      <c r="DM21" s="5" t="str">
        <f t="shared" si="0"/>
        <v>OK</v>
      </c>
    </row>
    <row r="22" spans="1:117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BE1</f>
        <v>2187.9526162219345</v>
      </c>
      <c r="DM22" s="5" t="str">
        <f t="shared" si="0"/>
        <v>OK</v>
      </c>
    </row>
    <row r="23" spans="1:117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BH1</f>
        <v>2416.121644447323</v>
      </c>
      <c r="DM23" s="5" t="str">
        <f t="shared" si="0"/>
        <v>OK</v>
      </c>
    </row>
    <row r="24" spans="1:117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BK1</f>
        <v>2184.6596463462438</v>
      </c>
      <c r="DM24" s="5" t="str">
        <f t="shared" si="0"/>
        <v>OK</v>
      </c>
    </row>
    <row r="25" spans="1:117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BN1</f>
        <v>2341.30137428749</v>
      </c>
      <c r="DM25" s="5" t="str">
        <f t="shared" si="0"/>
        <v>OK</v>
      </c>
    </row>
    <row r="26" spans="1:117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BQ1</f>
        <v>2412.4148799028662</v>
      </c>
      <c r="DM26" s="5" t="str">
        <f t="shared" si="0"/>
        <v>OK</v>
      </c>
    </row>
    <row r="27" spans="1:117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BT1</f>
        <v>2339.3400445523089</v>
      </c>
      <c r="DM27" s="5" t="str">
        <f t="shared" si="0"/>
        <v>OK</v>
      </c>
    </row>
    <row r="28" spans="1:117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BW1</f>
        <v>2413.617782744855</v>
      </c>
      <c r="DM28" s="5" t="str">
        <f t="shared" si="0"/>
        <v>OK</v>
      </c>
    </row>
    <row r="29" spans="1:117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BZ1</f>
        <v>2184.1198853405481</v>
      </c>
      <c r="DM29" s="5" t="str">
        <f t="shared" si="0"/>
        <v>OK</v>
      </c>
    </row>
    <row r="30" spans="1:117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CC1</f>
        <v>2125.6664828776161</v>
      </c>
      <c r="DM30" s="5" t="str">
        <f t="shared" si="0"/>
        <v>OK</v>
      </c>
    </row>
    <row r="31" spans="1:117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CF1</f>
        <v>2185.8300538201402</v>
      </c>
      <c r="DM31" s="5" t="str">
        <f t="shared" si="0"/>
        <v>OK</v>
      </c>
    </row>
    <row r="32" spans="1:117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CI1</f>
        <v>2124.7334227530382</v>
      </c>
      <c r="DM32" s="5" t="str">
        <f t="shared" si="0"/>
        <v>OK</v>
      </c>
    </row>
    <row r="33" spans="1:117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CL1</f>
        <v>3266.4469935149618</v>
      </c>
      <c r="DM33" s="5" t="str">
        <f t="shared" si="0"/>
        <v>OK</v>
      </c>
    </row>
    <row r="34" spans="1:117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CO1</f>
        <v>3406.5437900327897</v>
      </c>
      <c r="DM34" s="5" t="str">
        <f t="shared" si="0"/>
        <v>OK</v>
      </c>
    </row>
    <row r="35" spans="1:117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CR1</f>
        <v>3262.6294025645998</v>
      </c>
      <c r="DM35" s="5" t="str">
        <f t="shared" si="0"/>
        <v>OK</v>
      </c>
    </row>
    <row r="36" spans="1:117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CU1</f>
        <v>3408.94426474699</v>
      </c>
      <c r="DM36" s="5" t="str">
        <f t="shared" si="0"/>
        <v>OK</v>
      </c>
    </row>
    <row r="37" spans="1:117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CX1</f>
        <v>2968.4119128592997</v>
      </c>
      <c r="DM37" s="5" t="str">
        <f t="shared" si="0"/>
        <v>OK</v>
      </c>
    </row>
    <row r="38" spans="1:117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DA1</f>
        <v>2861.4681558758239</v>
      </c>
      <c r="DM38" s="5" t="str">
        <f t="shared" si="0"/>
        <v>OK</v>
      </c>
    </row>
    <row r="39" spans="1:117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DD1</f>
        <v>2971.570625802392</v>
      </c>
      <c r="DM39" s="5" t="str">
        <f t="shared" si="0"/>
        <v>OK</v>
      </c>
    </row>
    <row r="40" spans="1:117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DG1</f>
        <v>2859.7774948397382</v>
      </c>
      <c r="DM40" s="5" t="str">
        <f t="shared" si="0"/>
        <v>OK</v>
      </c>
    </row>
    <row r="41" spans="1:117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workbookViewId="0"/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x14ac:dyDescent="0.25">
      <c r="A1" s="26" t="s">
        <v>550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19" t="s">
        <v>479</v>
      </c>
      <c r="B2" s="19" t="s">
        <v>480</v>
      </c>
      <c r="C2" s="19" t="s">
        <v>481</v>
      </c>
      <c r="D2" s="19" t="s">
        <v>482</v>
      </c>
      <c r="E2" s="19" t="s">
        <v>483</v>
      </c>
      <c r="F2" s="19" t="s">
        <v>484</v>
      </c>
      <c r="G2" s="19" t="s">
        <v>485</v>
      </c>
      <c r="H2" s="19" t="s">
        <v>486</v>
      </c>
      <c r="I2" s="19" t="s">
        <v>487</v>
      </c>
      <c r="J2" s="19" t="s">
        <v>488</v>
      </c>
    </row>
    <row r="3" spans="1:10" x14ac:dyDescent="0.25">
      <c r="A3" s="20" t="s">
        <v>489</v>
      </c>
      <c r="B3" s="20" t="s">
        <v>489</v>
      </c>
      <c r="C3" s="20" t="s">
        <v>489</v>
      </c>
      <c r="D3" s="20" t="s">
        <v>489</v>
      </c>
      <c r="E3" s="20" t="s">
        <v>490</v>
      </c>
      <c r="F3" s="20" t="s">
        <v>490</v>
      </c>
      <c r="G3" s="20" t="s">
        <v>490</v>
      </c>
      <c r="H3" s="20" t="s">
        <v>491</v>
      </c>
      <c r="I3" s="20" t="s">
        <v>491</v>
      </c>
      <c r="J3" s="20" t="s">
        <v>491</v>
      </c>
    </row>
    <row r="4" spans="1:10" x14ac:dyDescent="0.25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25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25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25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25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25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25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25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25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25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25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25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25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25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25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25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25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25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25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25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25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25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25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25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25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25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25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25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25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25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25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25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25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25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25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25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25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25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25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25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25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25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25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25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25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25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25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25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25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25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25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25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25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25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25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25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25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25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25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25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25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25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25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25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25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25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25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25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25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25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25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25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25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25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25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25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25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25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25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25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25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25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25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25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25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25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25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25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25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25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25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25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25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25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25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25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25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25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25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25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25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25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25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25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25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25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25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25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25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25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25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25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25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25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25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25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25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25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25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25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25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25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25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25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25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25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25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25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25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25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25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25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25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25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25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25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25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25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25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25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25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25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25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25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25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25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25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25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25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25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25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25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25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25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25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25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25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25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25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25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25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25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25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25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25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25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25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25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25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25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25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25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25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25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25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25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25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25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25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25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25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25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25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25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25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25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25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25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25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25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25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25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25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25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25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25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25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25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25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25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25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25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25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25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25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25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25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25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25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25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25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25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25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25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25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25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25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25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25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25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25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25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25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25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25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25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25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25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25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25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25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25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25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25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25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25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25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25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25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25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25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25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25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25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25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25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25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25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25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25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25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25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25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25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25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25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25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25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25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25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25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25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25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25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25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25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25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25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25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25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25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25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25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25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25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25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25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25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25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25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25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25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25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25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25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25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25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25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25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25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25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25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25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25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25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25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25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25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25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25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25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25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25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25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25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25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25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25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/>
  </sheetViews>
  <sheetFormatPr defaultColWidth="8.875" defaultRowHeight="15.75" x14ac:dyDescent="0.25"/>
  <cols>
    <col min="1" max="16384" width="8.875" style="6"/>
  </cols>
  <sheetData>
    <row r="1" spans="1:6" x14ac:dyDescent="0.25">
      <c r="A1" s="26" t="s">
        <v>548</v>
      </c>
      <c r="B1" s="21"/>
      <c r="C1" s="21"/>
      <c r="D1" s="21"/>
      <c r="E1" s="21"/>
      <c r="F1" s="21"/>
    </row>
    <row r="2" spans="1:6" x14ac:dyDescent="0.25">
      <c r="A2" s="22" t="s">
        <v>534</v>
      </c>
      <c r="B2" s="22" t="s">
        <v>535</v>
      </c>
      <c r="C2" s="22" t="s">
        <v>536</v>
      </c>
      <c r="D2" s="19" t="s">
        <v>537</v>
      </c>
      <c r="E2" s="19" t="s">
        <v>538</v>
      </c>
      <c r="F2" s="19" t="s">
        <v>345</v>
      </c>
    </row>
    <row r="3" spans="1:6" x14ac:dyDescent="0.25">
      <c r="A3" s="23" t="s">
        <v>489</v>
      </c>
      <c r="B3" s="23" t="s">
        <v>489</v>
      </c>
      <c r="C3" s="23" t="s">
        <v>489</v>
      </c>
      <c r="D3" s="20" t="s">
        <v>489</v>
      </c>
      <c r="E3" s="20" t="s">
        <v>489</v>
      </c>
      <c r="F3" s="20" t="s">
        <v>490</v>
      </c>
    </row>
    <row r="4" spans="1:6" x14ac:dyDescent="0.25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25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25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25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25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25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25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25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25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25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25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25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25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25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25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25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25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25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25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25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25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25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25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25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25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25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25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25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25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25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25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25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25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25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25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25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25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25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25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25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25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25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25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25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25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25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25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25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25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25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25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25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25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25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25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25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25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25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25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25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25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25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25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25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25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25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25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25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25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25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25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25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25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25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25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25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25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25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25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25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25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25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25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25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25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25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25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25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25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25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25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25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25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25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25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25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25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25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25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25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25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25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25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25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25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25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25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25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25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25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25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25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25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25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25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25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25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25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25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25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25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25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25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25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25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T41"/>
  <sheetViews>
    <sheetView workbookViewId="0"/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7.875" style="6" bestFit="1" customWidth="1"/>
    <col min="6" max="6" width="11.5" style="6" bestFit="1" customWidth="1"/>
    <col min="7" max="14" width="8.875" style="6"/>
    <col min="15" max="15" width="13" style="6" bestFit="1" customWidth="1"/>
    <col min="16" max="16" width="8.875" style="6"/>
    <col min="17" max="19" width="9.5" style="6" bestFit="1" customWidth="1"/>
    <col min="20" max="21" width="12.375" style="6" bestFit="1" customWidth="1"/>
    <col min="22" max="22" width="9.5" style="6" bestFit="1" customWidth="1"/>
    <col min="23" max="24" width="9" style="6" bestFit="1" customWidth="1"/>
    <col min="25" max="25" width="9.5" style="6" bestFit="1" customWidth="1"/>
    <col min="26" max="27" width="9" style="6" bestFit="1" customWidth="1"/>
    <col min="28" max="28" width="9.5" style="6" bestFit="1" customWidth="1"/>
    <col min="29" max="30" width="9" style="6" bestFit="1" customWidth="1"/>
    <col min="31" max="31" width="9.5" style="6" bestFit="1" customWidth="1"/>
    <col min="32" max="33" width="9" style="6" bestFit="1" customWidth="1"/>
    <col min="34" max="34" width="9.5" style="6" bestFit="1" customWidth="1"/>
    <col min="35" max="36" width="9" style="6" bestFit="1" customWidth="1"/>
    <col min="37" max="37" width="9.5" style="6" bestFit="1" customWidth="1"/>
    <col min="38" max="39" width="9" style="6" bestFit="1" customWidth="1"/>
    <col min="40" max="40" width="9.5" style="6" bestFit="1" customWidth="1"/>
    <col min="41" max="42" width="9" style="6" bestFit="1" customWidth="1"/>
    <col min="43" max="43" width="9.5" style="6" bestFit="1" customWidth="1"/>
    <col min="44" max="45" width="9" style="6" bestFit="1" customWidth="1"/>
    <col min="46" max="46" width="9.5" style="6" bestFit="1" customWidth="1"/>
    <col min="47" max="48" width="9" style="6" bestFit="1" customWidth="1"/>
    <col min="49" max="49" width="9.5" style="6" bestFit="1" customWidth="1"/>
    <col min="50" max="51" width="9" style="6" bestFit="1" customWidth="1"/>
    <col min="52" max="52" width="9.5" style="6" bestFit="1" customWidth="1"/>
    <col min="53" max="54" width="9" style="6" bestFit="1" customWidth="1"/>
    <col min="55" max="55" width="9.5" style="6" bestFit="1" customWidth="1"/>
    <col min="56" max="57" width="9" style="6" bestFit="1" customWidth="1"/>
    <col min="58" max="58" width="9.5" style="6" bestFit="1" customWidth="1"/>
    <col min="59" max="60" width="9" style="6" bestFit="1" customWidth="1"/>
    <col min="61" max="61" width="9.5" style="6" bestFit="1" customWidth="1"/>
    <col min="62" max="63" width="9" style="6" bestFit="1" customWidth="1"/>
    <col min="64" max="64" width="9.5" style="6" bestFit="1" customWidth="1"/>
    <col min="65" max="66" width="9" style="6" bestFit="1" customWidth="1"/>
    <col min="67" max="67" width="9.5" style="6" bestFit="1" customWidth="1"/>
    <col min="68" max="69" width="9" style="6" bestFit="1" customWidth="1"/>
    <col min="70" max="70" width="9.5" style="6" bestFit="1" customWidth="1"/>
    <col min="71" max="72" width="9" style="6" bestFit="1" customWidth="1"/>
    <col min="73" max="73" width="9.5" style="6" bestFit="1" customWidth="1"/>
    <col min="74" max="75" width="9" style="6" bestFit="1" customWidth="1"/>
    <col min="76" max="76" width="9.5" style="6" bestFit="1" customWidth="1"/>
    <col min="77" max="78" width="9" style="6" bestFit="1" customWidth="1"/>
    <col min="79" max="79" width="9.5" style="6" bestFit="1" customWidth="1"/>
    <col min="80" max="81" width="9" style="6" bestFit="1" customWidth="1"/>
    <col min="82" max="82" width="9.5" style="6" bestFit="1" customWidth="1"/>
    <col min="83" max="84" width="9" style="6" bestFit="1" customWidth="1"/>
    <col min="85" max="85" width="9.5" style="6" bestFit="1" customWidth="1"/>
    <col min="86" max="87" width="9" style="6" bestFit="1" customWidth="1"/>
    <col min="88" max="88" width="9.5" style="6" bestFit="1" customWidth="1"/>
    <col min="89" max="90" width="9" style="6" bestFit="1" customWidth="1"/>
    <col min="91" max="91" width="9.5" style="6" bestFit="1" customWidth="1"/>
    <col min="92" max="93" width="9" style="6" bestFit="1" customWidth="1"/>
    <col min="94" max="94" width="9.5" style="6" bestFit="1" customWidth="1"/>
    <col min="95" max="96" width="9" style="6" bestFit="1" customWidth="1"/>
    <col min="97" max="97" width="9.5" style="6" bestFit="1" customWidth="1"/>
    <col min="98" max="99" width="9" style="6" bestFit="1" customWidth="1"/>
    <col min="100" max="100" width="9.5" style="6" bestFit="1" customWidth="1"/>
    <col min="101" max="102" width="9" style="6" bestFit="1" customWidth="1"/>
    <col min="103" max="103" width="9.5" style="6" bestFit="1" customWidth="1"/>
    <col min="104" max="105" width="9" style="6" bestFit="1" customWidth="1"/>
    <col min="106" max="106" width="9.5" style="6" bestFit="1" customWidth="1"/>
    <col min="107" max="108" width="9" style="6" bestFit="1" customWidth="1"/>
    <col min="109" max="109" width="9.5" style="6" bestFit="1" customWidth="1"/>
    <col min="110" max="111" width="9" style="6" bestFit="1" customWidth="1"/>
    <col min="112" max="112" width="9.5" style="6" bestFit="1" customWidth="1"/>
    <col min="113" max="114" width="9" style="6" bestFit="1" customWidth="1"/>
    <col min="115" max="115" width="9.5" style="6" bestFit="1" customWidth="1"/>
    <col min="116" max="117" width="9" style="6" bestFit="1" customWidth="1"/>
    <col min="118" max="118" width="9.5" style="6" bestFit="1" customWidth="1"/>
    <col min="119" max="120" width="9" style="6" bestFit="1" customWidth="1"/>
    <col min="121" max="121" width="9.5" style="6" bestFit="1" customWidth="1"/>
    <col min="122" max="123" width="9" style="6" bestFit="1" customWidth="1"/>
    <col min="124" max="124" width="9.5" style="6" bestFit="1" customWidth="1"/>
    <col min="125" max="16384" width="8.875" style="6"/>
  </cols>
  <sheetData>
    <row r="4" spans="4:124" ht="16.5" thickBot="1" x14ac:dyDescent="0.3">
      <c r="Q4" s="6" t="s">
        <v>11</v>
      </c>
      <c r="T4" s="6" t="s">
        <v>12</v>
      </c>
      <c r="W4" s="6" t="s">
        <v>13</v>
      </c>
      <c r="Z4" s="6" t="s">
        <v>14</v>
      </c>
      <c r="AC4" s="6" t="s">
        <v>15</v>
      </c>
      <c r="AF4" s="6" t="s">
        <v>16</v>
      </c>
      <c r="AI4" s="6" t="s">
        <v>17</v>
      </c>
      <c r="AL4" s="6" t="s">
        <v>18</v>
      </c>
      <c r="AO4" s="6" t="s">
        <v>19</v>
      </c>
      <c r="AR4" s="6" t="s">
        <v>20</v>
      </c>
      <c r="AU4" s="6" t="s">
        <v>21</v>
      </c>
      <c r="AX4" s="6" t="s">
        <v>22</v>
      </c>
      <c r="BA4" s="6" t="s">
        <v>23</v>
      </c>
      <c r="BD4" s="6" t="s">
        <v>24</v>
      </c>
      <c r="BG4" s="6" t="s">
        <v>25</v>
      </c>
      <c r="BJ4" s="6" t="s">
        <v>26</v>
      </c>
      <c r="BM4" s="6" t="s">
        <v>27</v>
      </c>
      <c r="BP4" s="6" t="s">
        <v>28</v>
      </c>
      <c r="BS4" s="6" t="s">
        <v>29</v>
      </c>
      <c r="BV4" s="6" t="s">
        <v>30</v>
      </c>
      <c r="BY4" s="6" t="s">
        <v>31</v>
      </c>
      <c r="CB4" s="6" t="s">
        <v>32</v>
      </c>
      <c r="CE4" s="6" t="s">
        <v>33</v>
      </c>
      <c r="CH4" s="6" t="s">
        <v>34</v>
      </c>
      <c r="CK4" s="6" t="s">
        <v>35</v>
      </c>
      <c r="CN4" s="6" t="s">
        <v>36</v>
      </c>
      <c r="CQ4" s="6" t="s">
        <v>37</v>
      </c>
      <c r="CT4" s="6" t="s">
        <v>38</v>
      </c>
      <c r="CW4" s="6" t="s">
        <v>39</v>
      </c>
      <c r="CZ4" s="6" t="s">
        <v>40</v>
      </c>
      <c r="DC4" s="6" t="s">
        <v>41</v>
      </c>
      <c r="DF4" s="6" t="s">
        <v>42</v>
      </c>
      <c r="DI4" s="6" t="s">
        <v>43</v>
      </c>
      <c r="DL4" s="6" t="s">
        <v>44</v>
      </c>
      <c r="DO4" s="6" t="s">
        <v>45</v>
      </c>
      <c r="DR4" s="6" t="s">
        <v>46</v>
      </c>
    </row>
    <row r="5" spans="4:124" ht="16.5" thickBot="1" x14ac:dyDescent="0.3">
      <c r="D5" s="1" t="s">
        <v>476</v>
      </c>
      <c r="E5" s="2" t="s">
        <v>477</v>
      </c>
      <c r="F5" s="2" t="s">
        <v>478</v>
      </c>
      <c r="H5" s="70" t="s">
        <v>588</v>
      </c>
      <c r="I5" s="70" t="s">
        <v>590</v>
      </c>
      <c r="J5" s="70" t="s">
        <v>591</v>
      </c>
      <c r="K5" s="6" t="s">
        <v>476</v>
      </c>
      <c r="L5" s="70" t="s">
        <v>592</v>
      </c>
      <c r="M5" s="70" t="s">
        <v>593</v>
      </c>
      <c r="N5" s="6" t="s">
        <v>544</v>
      </c>
      <c r="O5" s="72" t="s">
        <v>589</v>
      </c>
      <c r="Q5" s="6" t="s">
        <v>342</v>
      </c>
      <c r="R5" s="6" t="s">
        <v>343</v>
      </c>
      <c r="S5" s="6" t="s">
        <v>544</v>
      </c>
      <c r="T5" s="6" t="s">
        <v>342</v>
      </c>
      <c r="U5" s="6" t="s">
        <v>343</v>
      </c>
      <c r="V5" s="6" t="s">
        <v>544</v>
      </c>
      <c r="W5" s="6" t="s">
        <v>342</v>
      </c>
      <c r="X5" s="6" t="s">
        <v>343</v>
      </c>
      <c r="Y5" s="6" t="s">
        <v>544</v>
      </c>
      <c r="Z5" s="6" t="s">
        <v>342</v>
      </c>
      <c r="AA5" s="6" t="s">
        <v>343</v>
      </c>
      <c r="AB5" s="6" t="s">
        <v>544</v>
      </c>
      <c r="AC5" s="6" t="s">
        <v>342</v>
      </c>
      <c r="AD5" s="6" t="s">
        <v>343</v>
      </c>
      <c r="AE5" s="6" t="s">
        <v>544</v>
      </c>
      <c r="AF5" s="6" t="s">
        <v>342</v>
      </c>
      <c r="AG5" s="6" t="s">
        <v>343</v>
      </c>
      <c r="AH5" s="6" t="s">
        <v>544</v>
      </c>
      <c r="AI5" s="6" t="s">
        <v>342</v>
      </c>
      <c r="AJ5" s="6" t="s">
        <v>343</v>
      </c>
      <c r="AK5" s="6" t="s">
        <v>544</v>
      </c>
      <c r="AL5" s="6" t="s">
        <v>342</v>
      </c>
      <c r="AM5" s="6" t="s">
        <v>343</v>
      </c>
      <c r="AN5" s="6" t="s">
        <v>544</v>
      </c>
      <c r="AO5" s="6" t="s">
        <v>342</v>
      </c>
      <c r="AP5" s="6" t="s">
        <v>343</v>
      </c>
      <c r="AQ5" s="6" t="s">
        <v>544</v>
      </c>
      <c r="AR5" s="6" t="s">
        <v>342</v>
      </c>
      <c r="AS5" s="6" t="s">
        <v>343</v>
      </c>
      <c r="AT5" s="6" t="s">
        <v>544</v>
      </c>
      <c r="AU5" s="6" t="s">
        <v>342</v>
      </c>
      <c r="AV5" s="6" t="s">
        <v>343</v>
      </c>
      <c r="AW5" s="6" t="s">
        <v>544</v>
      </c>
      <c r="AX5" s="6" t="s">
        <v>342</v>
      </c>
      <c r="AY5" s="6" t="s">
        <v>343</v>
      </c>
      <c r="AZ5" s="6" t="s">
        <v>544</v>
      </c>
      <c r="BA5" s="6" t="s">
        <v>342</v>
      </c>
      <c r="BB5" s="6" t="s">
        <v>343</v>
      </c>
      <c r="BC5" s="6" t="s">
        <v>544</v>
      </c>
      <c r="BD5" s="6" t="s">
        <v>342</v>
      </c>
      <c r="BE5" s="6" t="s">
        <v>343</v>
      </c>
      <c r="BF5" s="6" t="s">
        <v>544</v>
      </c>
      <c r="BG5" s="6" t="s">
        <v>342</v>
      </c>
      <c r="BH5" s="6" t="s">
        <v>343</v>
      </c>
      <c r="BI5" s="6" t="s">
        <v>544</v>
      </c>
      <c r="BJ5" s="6" t="s">
        <v>342</v>
      </c>
      <c r="BK5" s="6" t="s">
        <v>343</v>
      </c>
      <c r="BL5" s="6" t="s">
        <v>544</v>
      </c>
      <c r="BM5" s="6" t="s">
        <v>342</v>
      </c>
      <c r="BN5" s="6" t="s">
        <v>343</v>
      </c>
      <c r="BO5" s="6" t="s">
        <v>544</v>
      </c>
      <c r="BP5" s="6" t="s">
        <v>342</v>
      </c>
      <c r="BQ5" s="6" t="s">
        <v>343</v>
      </c>
      <c r="BR5" s="6" t="s">
        <v>544</v>
      </c>
      <c r="BS5" s="6" t="s">
        <v>342</v>
      </c>
      <c r="BT5" s="6" t="s">
        <v>343</v>
      </c>
      <c r="BU5" s="6" t="s">
        <v>544</v>
      </c>
      <c r="BV5" s="6" t="s">
        <v>342</v>
      </c>
      <c r="BW5" s="6" t="s">
        <v>343</v>
      </c>
      <c r="BX5" s="6" t="s">
        <v>544</v>
      </c>
      <c r="BY5" s="6" t="s">
        <v>342</v>
      </c>
      <c r="BZ5" s="6" t="s">
        <v>343</v>
      </c>
      <c r="CA5" s="6" t="s">
        <v>544</v>
      </c>
      <c r="CB5" s="6" t="s">
        <v>342</v>
      </c>
      <c r="CC5" s="6" t="s">
        <v>343</v>
      </c>
      <c r="CD5" s="6" t="s">
        <v>544</v>
      </c>
      <c r="CE5" s="6" t="s">
        <v>342</v>
      </c>
      <c r="CF5" s="6" t="s">
        <v>343</v>
      </c>
      <c r="CG5" s="6" t="s">
        <v>544</v>
      </c>
      <c r="CH5" s="6" t="s">
        <v>342</v>
      </c>
      <c r="CI5" s="6" t="s">
        <v>343</v>
      </c>
      <c r="CJ5" s="6" t="s">
        <v>544</v>
      </c>
      <c r="CK5" s="6" t="s">
        <v>342</v>
      </c>
      <c r="CL5" s="6" t="s">
        <v>343</v>
      </c>
      <c r="CM5" s="6" t="s">
        <v>544</v>
      </c>
      <c r="CN5" s="6" t="s">
        <v>342</v>
      </c>
      <c r="CO5" s="6" t="s">
        <v>343</v>
      </c>
      <c r="CP5" s="6" t="s">
        <v>544</v>
      </c>
      <c r="CQ5" s="6" t="s">
        <v>342</v>
      </c>
      <c r="CR5" s="6" t="s">
        <v>343</v>
      </c>
      <c r="CS5" s="6" t="s">
        <v>544</v>
      </c>
      <c r="CT5" s="6" t="s">
        <v>342</v>
      </c>
      <c r="CU5" s="6" t="s">
        <v>343</v>
      </c>
      <c r="CV5" s="6" t="s">
        <v>544</v>
      </c>
      <c r="CW5" s="6" t="s">
        <v>342</v>
      </c>
      <c r="CX5" s="6" t="s">
        <v>343</v>
      </c>
      <c r="CY5" s="6" t="s">
        <v>544</v>
      </c>
      <c r="CZ5" s="6" t="s">
        <v>342</v>
      </c>
      <c r="DA5" s="6" t="s">
        <v>343</v>
      </c>
      <c r="DB5" s="6" t="s">
        <v>544</v>
      </c>
      <c r="DC5" s="6" t="s">
        <v>342</v>
      </c>
      <c r="DD5" s="6" t="s">
        <v>343</v>
      </c>
      <c r="DE5" s="6" t="s">
        <v>544</v>
      </c>
      <c r="DF5" s="6" t="s">
        <v>342</v>
      </c>
      <c r="DG5" s="6" t="s">
        <v>343</v>
      </c>
      <c r="DH5" s="6" t="s">
        <v>544</v>
      </c>
      <c r="DI5" s="6" t="s">
        <v>342</v>
      </c>
      <c r="DJ5" s="6" t="s">
        <v>343</v>
      </c>
      <c r="DK5" s="6" t="s">
        <v>544</v>
      </c>
      <c r="DL5" s="6" t="s">
        <v>342</v>
      </c>
      <c r="DM5" s="6" t="s">
        <v>343</v>
      </c>
      <c r="DN5" s="6" t="s">
        <v>544</v>
      </c>
      <c r="DO5" s="6" t="s">
        <v>342</v>
      </c>
      <c r="DP5" s="6" t="s">
        <v>343</v>
      </c>
      <c r="DQ5" s="6" t="s">
        <v>544</v>
      </c>
      <c r="DR5" s="6" t="s">
        <v>342</v>
      </c>
      <c r="DS5" s="6" t="s">
        <v>343</v>
      </c>
      <c r="DT5" s="6" t="s">
        <v>544</v>
      </c>
    </row>
    <row r="6" spans="4:124" ht="16.5" thickBot="1" x14ac:dyDescent="0.3">
      <c r="D6" s="3" t="s">
        <v>11</v>
      </c>
      <c r="E6" s="4"/>
      <c r="F6" s="5" t="str">
        <f>IF(E6&gt;250,"OK","N.G")</f>
        <v>N.G</v>
      </c>
      <c r="O6" s="71" t="str">
        <f>IF(N6&gt;0,1/N6,"")</f>
        <v/>
      </c>
    </row>
    <row r="7" spans="4:124" ht="16.5" thickBot="1" x14ac:dyDescent="0.3">
      <c r="D7" s="3" t="s">
        <v>12</v>
      </c>
      <c r="E7" s="4"/>
      <c r="F7" s="5" t="str">
        <f t="shared" ref="F7:F41" si="0">IF(E7&gt;250,"OK","N.G")</f>
        <v>N.G</v>
      </c>
      <c r="O7" s="71" t="str">
        <f t="shared" ref="O7:O14" si="1">IF(N7&gt;0,1/N7,"")</f>
        <v/>
      </c>
    </row>
    <row r="8" spans="4:124" ht="16.5" thickBot="1" x14ac:dyDescent="0.3">
      <c r="D8" s="3" t="s">
        <v>13</v>
      </c>
      <c r="E8" s="4"/>
      <c r="F8" s="5" t="str">
        <f t="shared" si="0"/>
        <v>N.G</v>
      </c>
      <c r="O8" s="71" t="str">
        <f t="shared" si="1"/>
        <v/>
      </c>
    </row>
    <row r="9" spans="4:124" ht="16.5" thickBot="1" x14ac:dyDescent="0.3">
      <c r="D9" s="3" t="s">
        <v>14</v>
      </c>
      <c r="E9" s="4"/>
      <c r="F9" s="5" t="str">
        <f t="shared" si="0"/>
        <v>N.G</v>
      </c>
      <c r="O9" s="71" t="str">
        <f t="shared" si="1"/>
        <v/>
      </c>
    </row>
    <row r="10" spans="4:124" ht="16.5" thickBot="1" x14ac:dyDescent="0.3">
      <c r="D10" s="3" t="s">
        <v>15</v>
      </c>
      <c r="E10" s="4"/>
      <c r="F10" s="5" t="str">
        <f t="shared" si="0"/>
        <v>N.G</v>
      </c>
      <c r="O10" s="71" t="str">
        <f t="shared" si="1"/>
        <v/>
      </c>
    </row>
    <row r="11" spans="4:124" ht="16.5" thickBot="1" x14ac:dyDescent="0.3">
      <c r="D11" s="3" t="s">
        <v>16</v>
      </c>
      <c r="E11" s="4"/>
      <c r="F11" s="5" t="str">
        <f t="shared" si="0"/>
        <v>N.G</v>
      </c>
      <c r="O11" s="71" t="str">
        <f t="shared" si="1"/>
        <v/>
      </c>
    </row>
    <row r="12" spans="4:124" ht="16.5" thickBot="1" x14ac:dyDescent="0.3">
      <c r="D12" s="3" t="s">
        <v>17</v>
      </c>
      <c r="E12" s="4"/>
      <c r="F12" s="5" t="str">
        <f t="shared" si="0"/>
        <v>N.G</v>
      </c>
      <c r="O12" s="71" t="str">
        <f t="shared" si="1"/>
        <v/>
      </c>
    </row>
    <row r="13" spans="4:124" ht="16.5" thickBot="1" x14ac:dyDescent="0.3">
      <c r="D13" s="3" t="s">
        <v>18</v>
      </c>
      <c r="E13" s="4"/>
      <c r="F13" s="5" t="str">
        <f t="shared" si="0"/>
        <v>N.G</v>
      </c>
      <c r="O13" s="71" t="str">
        <f t="shared" si="1"/>
        <v/>
      </c>
    </row>
    <row r="14" spans="4:124" ht="16.5" thickBot="1" x14ac:dyDescent="0.3">
      <c r="D14" s="3" t="s">
        <v>19</v>
      </c>
      <c r="E14" s="4"/>
      <c r="F14" s="5" t="str">
        <f t="shared" si="0"/>
        <v>N.G</v>
      </c>
      <c r="O14" s="71" t="str">
        <f t="shared" si="1"/>
        <v/>
      </c>
    </row>
    <row r="15" spans="4:124" ht="16.5" thickBot="1" x14ac:dyDescent="0.3">
      <c r="D15" s="3" t="s">
        <v>20</v>
      </c>
      <c r="E15" s="4"/>
      <c r="F15" s="5" t="str">
        <f t="shared" si="0"/>
        <v>N.G</v>
      </c>
    </row>
    <row r="16" spans="4:124" ht="16.5" thickBot="1" x14ac:dyDescent="0.3">
      <c r="D16" s="3" t="s">
        <v>21</v>
      </c>
      <c r="E16" s="4"/>
      <c r="F16" s="5" t="str">
        <f t="shared" si="0"/>
        <v>N.G</v>
      </c>
    </row>
    <row r="17" spans="4:6" ht="16.5" thickBot="1" x14ac:dyDescent="0.3">
      <c r="D17" s="3" t="s">
        <v>22</v>
      </c>
      <c r="E17" s="4"/>
      <c r="F17" s="5" t="str">
        <f t="shared" si="0"/>
        <v>N.G</v>
      </c>
    </row>
    <row r="18" spans="4:6" ht="16.5" thickBot="1" x14ac:dyDescent="0.3">
      <c r="D18" s="3" t="s">
        <v>23</v>
      </c>
      <c r="E18" s="4"/>
      <c r="F18" s="5" t="str">
        <f t="shared" si="0"/>
        <v>N.G</v>
      </c>
    </row>
    <row r="19" spans="4:6" ht="16.5" thickBot="1" x14ac:dyDescent="0.3">
      <c r="D19" s="3" t="s">
        <v>24</v>
      </c>
      <c r="E19" s="4"/>
      <c r="F19" s="5" t="str">
        <f t="shared" si="0"/>
        <v>N.G</v>
      </c>
    </row>
    <row r="20" spans="4:6" ht="16.5" thickBot="1" x14ac:dyDescent="0.3">
      <c r="D20" s="3" t="s">
        <v>25</v>
      </c>
      <c r="E20" s="4"/>
      <c r="F20" s="5" t="str">
        <f t="shared" si="0"/>
        <v>N.G</v>
      </c>
    </row>
    <row r="21" spans="4:6" ht="16.5" thickBot="1" x14ac:dyDescent="0.3">
      <c r="D21" s="3" t="s">
        <v>26</v>
      </c>
      <c r="E21" s="4"/>
      <c r="F21" s="5" t="str">
        <f t="shared" si="0"/>
        <v>N.G</v>
      </c>
    </row>
    <row r="22" spans="4:6" ht="16.5" thickBot="1" x14ac:dyDescent="0.3">
      <c r="D22" s="3" t="s">
        <v>27</v>
      </c>
      <c r="E22" s="4"/>
      <c r="F22" s="5" t="str">
        <f t="shared" si="0"/>
        <v>N.G</v>
      </c>
    </row>
    <row r="23" spans="4:6" ht="16.5" thickBot="1" x14ac:dyDescent="0.3">
      <c r="D23" s="3" t="s">
        <v>28</v>
      </c>
      <c r="E23" s="4"/>
      <c r="F23" s="5" t="str">
        <f t="shared" si="0"/>
        <v>N.G</v>
      </c>
    </row>
    <row r="24" spans="4:6" ht="16.5" thickBot="1" x14ac:dyDescent="0.3">
      <c r="D24" s="3" t="s">
        <v>29</v>
      </c>
      <c r="E24" s="4"/>
      <c r="F24" s="5" t="str">
        <f t="shared" si="0"/>
        <v>N.G</v>
      </c>
    </row>
    <row r="25" spans="4:6" ht="16.5" thickBot="1" x14ac:dyDescent="0.3">
      <c r="D25" s="3" t="s">
        <v>30</v>
      </c>
      <c r="E25" s="4"/>
      <c r="F25" s="5" t="str">
        <f t="shared" si="0"/>
        <v>N.G</v>
      </c>
    </row>
    <row r="26" spans="4:6" ht="16.5" thickBot="1" x14ac:dyDescent="0.3">
      <c r="D26" s="3" t="s">
        <v>31</v>
      </c>
      <c r="E26" s="4"/>
      <c r="F26" s="5" t="str">
        <f t="shared" si="0"/>
        <v>N.G</v>
      </c>
    </row>
    <row r="27" spans="4:6" ht="16.5" thickBot="1" x14ac:dyDescent="0.3">
      <c r="D27" s="3" t="s">
        <v>32</v>
      </c>
      <c r="E27" s="4"/>
      <c r="F27" s="5" t="str">
        <f t="shared" si="0"/>
        <v>N.G</v>
      </c>
    </row>
    <row r="28" spans="4:6" ht="16.5" thickBot="1" x14ac:dyDescent="0.3">
      <c r="D28" s="3" t="s">
        <v>33</v>
      </c>
      <c r="E28" s="4"/>
      <c r="F28" s="5" t="str">
        <f t="shared" si="0"/>
        <v>N.G</v>
      </c>
    </row>
    <row r="29" spans="4:6" ht="16.5" thickBot="1" x14ac:dyDescent="0.3">
      <c r="D29" s="3" t="s">
        <v>34</v>
      </c>
      <c r="E29" s="4"/>
      <c r="F29" s="5" t="str">
        <f t="shared" si="0"/>
        <v>N.G</v>
      </c>
    </row>
    <row r="30" spans="4:6" ht="16.5" thickBot="1" x14ac:dyDescent="0.3">
      <c r="D30" s="3" t="s">
        <v>35</v>
      </c>
      <c r="E30" s="4"/>
      <c r="F30" s="5" t="str">
        <f t="shared" si="0"/>
        <v>N.G</v>
      </c>
    </row>
    <row r="31" spans="4:6" ht="16.5" thickBot="1" x14ac:dyDescent="0.3">
      <c r="D31" s="3" t="s">
        <v>36</v>
      </c>
      <c r="E31" s="4"/>
      <c r="F31" s="5" t="str">
        <f t="shared" si="0"/>
        <v>N.G</v>
      </c>
    </row>
    <row r="32" spans="4:6" ht="16.5" thickBot="1" x14ac:dyDescent="0.3">
      <c r="D32" s="3" t="s">
        <v>37</v>
      </c>
      <c r="E32" s="4"/>
      <c r="F32" s="5" t="str">
        <f t="shared" si="0"/>
        <v>N.G</v>
      </c>
    </row>
    <row r="33" spans="4:6" ht="16.5" thickBot="1" x14ac:dyDescent="0.3">
      <c r="D33" s="3" t="s">
        <v>38</v>
      </c>
      <c r="E33" s="4"/>
      <c r="F33" s="5" t="str">
        <f t="shared" si="0"/>
        <v>N.G</v>
      </c>
    </row>
    <row r="34" spans="4:6" ht="16.5" thickBot="1" x14ac:dyDescent="0.3">
      <c r="D34" s="3" t="s">
        <v>39</v>
      </c>
      <c r="E34" s="4"/>
      <c r="F34" s="5" t="str">
        <f t="shared" si="0"/>
        <v>N.G</v>
      </c>
    </row>
    <row r="35" spans="4:6" ht="16.5" thickBot="1" x14ac:dyDescent="0.3">
      <c r="D35" s="3" t="s">
        <v>40</v>
      </c>
      <c r="E35" s="4"/>
      <c r="F35" s="5" t="str">
        <f t="shared" si="0"/>
        <v>N.G</v>
      </c>
    </row>
    <row r="36" spans="4:6" ht="16.5" thickBot="1" x14ac:dyDescent="0.3">
      <c r="D36" s="3" t="s">
        <v>41</v>
      </c>
      <c r="E36" s="4"/>
      <c r="F36" s="5" t="str">
        <f t="shared" si="0"/>
        <v>N.G</v>
      </c>
    </row>
    <row r="37" spans="4:6" ht="16.5" thickBot="1" x14ac:dyDescent="0.3">
      <c r="D37" s="3" t="s">
        <v>42</v>
      </c>
      <c r="E37" s="4"/>
      <c r="F37" s="5" t="str">
        <f t="shared" si="0"/>
        <v>N.G</v>
      </c>
    </row>
    <row r="38" spans="4:6" ht="16.5" thickBot="1" x14ac:dyDescent="0.3">
      <c r="D38" s="3" t="s">
        <v>43</v>
      </c>
      <c r="E38" s="4"/>
      <c r="F38" s="5" t="str">
        <f t="shared" si="0"/>
        <v>N.G</v>
      </c>
    </row>
    <row r="39" spans="4:6" ht="16.5" thickBot="1" x14ac:dyDescent="0.3">
      <c r="D39" s="3" t="s">
        <v>44</v>
      </c>
      <c r="E39" s="4"/>
      <c r="F39" s="5" t="str">
        <f t="shared" si="0"/>
        <v>N.G</v>
      </c>
    </row>
    <row r="40" spans="4:6" ht="16.5" thickBot="1" x14ac:dyDescent="0.3">
      <c r="D40" s="3" t="s">
        <v>45</v>
      </c>
      <c r="E40" s="4"/>
      <c r="F40" s="5" t="str">
        <f t="shared" si="0"/>
        <v>N.G</v>
      </c>
    </row>
    <row r="41" spans="4:6" ht="16.5" thickBot="1" x14ac:dyDescent="0.3">
      <c r="D41" s="3" t="s">
        <v>46</v>
      </c>
      <c r="E41" s="4"/>
      <c r="F41" s="5" t="str">
        <f t="shared" si="0"/>
        <v>N.G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/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59999389629810485"/>
  </sheetPr>
  <dimension ref="B2:E35"/>
  <sheetViews>
    <sheetView tabSelected="1" workbookViewId="0"/>
  </sheetViews>
  <sheetFormatPr defaultColWidth="8.625" defaultRowHeight="15.75" x14ac:dyDescent="0.25"/>
  <cols>
    <col min="1" max="1" width="8.625" style="47"/>
    <col min="2" max="2" width="13.625" style="48" customWidth="1"/>
    <col min="3" max="4" width="8.625" style="48"/>
    <col min="5" max="16384" width="8.625" style="47"/>
  </cols>
  <sheetData>
    <row r="2" spans="2:5" x14ac:dyDescent="0.25">
      <c r="B2" s="47" t="s">
        <v>541</v>
      </c>
      <c r="C2" s="25" t="s">
        <v>543</v>
      </c>
    </row>
    <row r="3" spans="2:5" x14ac:dyDescent="0.25">
      <c r="B3" s="47" t="s">
        <v>542</v>
      </c>
      <c r="C3" s="49" t="s">
        <v>585</v>
      </c>
    </row>
    <row r="4" spans="2:5" x14ac:dyDescent="0.25">
      <c r="C4" s="48" t="s">
        <v>580</v>
      </c>
    </row>
    <row r="5" spans="2:5" x14ac:dyDescent="0.25">
      <c r="B5" s="50"/>
    </row>
    <row r="6" spans="2:5" s="52" customFormat="1" ht="16.5" thickBot="1" x14ac:dyDescent="0.3">
      <c r="B6" s="51"/>
      <c r="C6" s="51"/>
      <c r="D6" s="51"/>
    </row>
    <row r="7" spans="2:5" ht="16.5" thickTop="1" x14ac:dyDescent="0.25"/>
    <row r="8" spans="2:5" x14ac:dyDescent="0.25">
      <c r="B8" s="53">
        <v>44033</v>
      </c>
      <c r="C8" s="48" t="s">
        <v>585</v>
      </c>
      <c r="D8" s="48">
        <v>1</v>
      </c>
      <c r="E8" s="47" t="s">
        <v>586</v>
      </c>
    </row>
    <row r="9" spans="2:5" x14ac:dyDescent="0.25">
      <c r="D9" s="48">
        <v>2</v>
      </c>
      <c r="E9" s="47" t="s">
        <v>587</v>
      </c>
    </row>
    <row r="10" spans="2:5" x14ac:dyDescent="0.25">
      <c r="D10" s="48">
        <v>3</v>
      </c>
      <c r="E10" s="47" t="s">
        <v>594</v>
      </c>
    </row>
    <row r="11" spans="2:5" s="57" customFormat="1" x14ac:dyDescent="0.25">
      <c r="B11" s="56"/>
      <c r="C11" s="56"/>
      <c r="D11" s="56"/>
    </row>
    <row r="12" spans="2:5" x14ac:dyDescent="0.25">
      <c r="B12" s="53">
        <v>43427</v>
      </c>
      <c r="C12" s="48" t="s">
        <v>582</v>
      </c>
      <c r="D12" s="48">
        <v>1</v>
      </c>
      <c r="E12" s="47" t="s">
        <v>584</v>
      </c>
    </row>
    <row r="13" spans="2:5" x14ac:dyDescent="0.25">
      <c r="D13" s="48">
        <v>2</v>
      </c>
      <c r="E13" s="47" t="s">
        <v>583</v>
      </c>
    </row>
    <row r="15" spans="2:5" s="57" customFormat="1" x14ac:dyDescent="0.25">
      <c r="B15" s="56"/>
      <c r="C15" s="56"/>
      <c r="D15" s="56"/>
    </row>
    <row r="16" spans="2:5" x14ac:dyDescent="0.25">
      <c r="B16" s="53">
        <v>43283</v>
      </c>
      <c r="C16" s="48" t="s">
        <v>579</v>
      </c>
      <c r="D16" s="48">
        <v>1</v>
      </c>
      <c r="E16" s="47" t="s">
        <v>581</v>
      </c>
    </row>
    <row r="17" spans="2:5" s="55" customFormat="1" x14ac:dyDescent="0.25">
      <c r="B17" s="54"/>
      <c r="C17" s="54"/>
      <c r="D17" s="54"/>
    </row>
    <row r="18" spans="2:5" s="57" customFormat="1" x14ac:dyDescent="0.25">
      <c r="B18" s="56"/>
      <c r="C18" s="56"/>
      <c r="D18" s="56"/>
    </row>
    <row r="19" spans="2:5" x14ac:dyDescent="0.25">
      <c r="C19" s="48">
        <v>1.4</v>
      </c>
      <c r="D19" s="18">
        <v>1</v>
      </c>
      <c r="E19" s="24" t="s">
        <v>570</v>
      </c>
    </row>
    <row r="20" spans="2:5" x14ac:dyDescent="0.25">
      <c r="D20" s="18">
        <v>2</v>
      </c>
      <c r="E20" s="24" t="s">
        <v>571</v>
      </c>
    </row>
    <row r="21" spans="2:5" x14ac:dyDescent="0.25">
      <c r="D21" s="18">
        <v>3</v>
      </c>
      <c r="E21" s="24" t="s">
        <v>572</v>
      </c>
    </row>
    <row r="23" spans="2:5" s="57" customFormat="1" x14ac:dyDescent="0.25">
      <c r="B23" s="56"/>
      <c r="C23" s="56"/>
      <c r="D23" s="56"/>
    </row>
    <row r="24" spans="2:5" x14ac:dyDescent="0.25">
      <c r="C24" s="48">
        <v>1.3</v>
      </c>
      <c r="D24" s="18">
        <v>1</v>
      </c>
      <c r="E24" s="24" t="s">
        <v>573</v>
      </c>
    </row>
    <row r="25" spans="2:5" x14ac:dyDescent="0.25">
      <c r="D25" s="18">
        <v>2</v>
      </c>
      <c r="E25" s="24" t="s">
        <v>569</v>
      </c>
    </row>
    <row r="27" spans="2:5" s="57" customFormat="1" x14ac:dyDescent="0.25">
      <c r="B27" s="56"/>
      <c r="C27" s="56"/>
      <c r="D27" s="56"/>
    </row>
    <row r="28" spans="2:5" x14ac:dyDescent="0.25">
      <c r="C28" s="48">
        <v>1.2</v>
      </c>
      <c r="D28" s="18">
        <v>1</v>
      </c>
      <c r="E28" s="24" t="s">
        <v>574</v>
      </c>
    </row>
    <row r="30" spans="2:5" s="57" customFormat="1" x14ac:dyDescent="0.25">
      <c r="B30" s="56"/>
      <c r="C30" s="56"/>
      <c r="D30" s="56"/>
    </row>
    <row r="31" spans="2:5" x14ac:dyDescent="0.25">
      <c r="C31" s="48">
        <v>1.1000000000000001</v>
      </c>
      <c r="D31" s="18">
        <v>1</v>
      </c>
      <c r="E31" s="24" t="s">
        <v>575</v>
      </c>
    </row>
    <row r="32" spans="2:5" x14ac:dyDescent="0.25">
      <c r="D32" s="18">
        <v>2</v>
      </c>
      <c r="E32" s="24" t="s">
        <v>576</v>
      </c>
    </row>
    <row r="33" spans="2:5" s="57" customFormat="1" x14ac:dyDescent="0.25">
      <c r="B33" s="56"/>
      <c r="C33" s="56"/>
      <c r="D33" s="56"/>
    </row>
    <row r="34" spans="2:5" x14ac:dyDescent="0.25">
      <c r="C34" s="48">
        <v>1</v>
      </c>
      <c r="D34" s="18">
        <v>1</v>
      </c>
      <c r="E34" s="24" t="s">
        <v>577</v>
      </c>
    </row>
    <row r="35" spans="2:5" x14ac:dyDescent="0.25">
      <c r="D35" s="18">
        <v>2</v>
      </c>
      <c r="E35" s="24" t="s">
        <v>578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PAUL</cp:lastModifiedBy>
  <dcterms:created xsi:type="dcterms:W3CDTF">2018-02-05T08:34:37Z</dcterms:created>
  <dcterms:modified xsi:type="dcterms:W3CDTF">2020-07-21T10:10:07Z</dcterms:modified>
</cp:coreProperties>
</file>