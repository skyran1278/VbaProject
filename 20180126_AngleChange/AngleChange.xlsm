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VbaProject\20180126_AngleChange\"/>
    </mc:Choice>
  </mc:AlternateContent>
  <xr:revisionPtr revIDLastSave="0" documentId="13_ncr:1_{2F2BC0CF-D658-481A-8AED-7DD6AB9F202E}" xr6:coauthVersionLast="38" xr6:coauthVersionMax="38" xr10:uidLastSave="{00000000-0000-0000-0000-000000000000}"/>
  <bookViews>
    <workbookView xWindow="0" yWindow="0" windowWidth="23040" windowHeight="8985" activeTab="7" xr2:uid="{00000000-000D-0000-FFFF-FFFF00000000}"/>
  </bookViews>
  <sheets>
    <sheet name="說明" sheetId="8" r:id="rId1"/>
    <sheet name="Nodal Displacements-v8" sheetId="1" r:id="rId2"/>
    <sheet name="Lines-v8" sheetId="2" r:id="rId3"/>
    <sheet name="Nodal Displacements-v12" sheetId="4" r:id="rId4"/>
    <sheet name="Lines-v12" sheetId="5" r:id="rId5"/>
    <sheet name="Result-v12" sheetId="6" r:id="rId6"/>
    <sheet name="old" sheetId="3" r:id="rId7"/>
    <sheet name="Release Notes" sheetId="9" r:id="rId8"/>
  </sheets>
  <functionGroups builtInGroupCount="19"/>
  <definedNames>
    <definedName name="_xlnm._FilterDatabase" localSheetId="3" hidden="1">'Nodal Displacements-v12'!$A$1:$J$311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H1" i="2" l="1"/>
  <c r="BK1" i="2"/>
  <c r="BN1" i="2"/>
  <c r="BQ1" i="2"/>
  <c r="BT1" i="2"/>
  <c r="BW1" i="2"/>
  <c r="BZ1" i="2"/>
  <c r="CC1" i="2"/>
  <c r="CF1" i="2"/>
  <c r="CI1" i="2"/>
  <c r="CL1" i="2"/>
  <c r="CO1" i="2"/>
  <c r="CR1" i="2"/>
  <c r="CU1" i="2"/>
  <c r="CX1" i="2"/>
  <c r="DA1" i="2"/>
  <c r="DD1" i="2"/>
  <c r="DG1" i="2"/>
  <c r="BE1" i="2"/>
  <c r="BB1" i="2"/>
  <c r="AY1" i="2"/>
  <c r="AV1" i="2"/>
  <c r="AS1" i="2"/>
  <c r="AP1" i="2"/>
  <c r="AM1" i="2"/>
  <c r="AJ1" i="2"/>
  <c r="AG1" i="2"/>
  <c r="AD1" i="2"/>
  <c r="AA1" i="2"/>
  <c r="X1" i="2"/>
  <c r="U1" i="2"/>
  <c r="R1" i="2"/>
  <c r="O1" i="2"/>
  <c r="L1" i="2"/>
  <c r="I1" i="2"/>
  <c r="F1" i="2"/>
  <c r="K1" i="3" l="1"/>
  <c r="DL6" i="3" s="1"/>
  <c r="N1" i="3"/>
  <c r="DL7" i="3" s="1"/>
  <c r="Q1" i="3"/>
  <c r="DL8" i="3" s="1"/>
  <c r="T1" i="3"/>
  <c r="DL9" i="3" s="1"/>
  <c r="W1" i="3"/>
  <c r="DL10" i="3" s="1"/>
  <c r="Z1" i="3"/>
  <c r="DL11" i="3"/>
  <c r="DO11" i="3" s="1"/>
  <c r="AC1" i="3"/>
  <c r="DL12" i="3"/>
  <c r="DO12" i="3" s="1"/>
  <c r="AF1" i="3"/>
  <c r="DL13" i="3"/>
  <c r="DO13" i="3" s="1"/>
  <c r="AI1" i="3"/>
  <c r="DL14" i="3" s="1"/>
  <c r="AL1" i="3"/>
  <c r="DL15" i="3" s="1"/>
  <c r="AO1" i="3"/>
  <c r="DL16" i="3" s="1"/>
  <c r="AR1" i="3"/>
  <c r="DL17" i="3" s="1"/>
  <c r="AU1" i="3"/>
  <c r="DL18" i="3" s="1"/>
  <c r="AX1" i="3"/>
  <c r="DL19" i="3"/>
  <c r="DO19" i="3" s="1"/>
  <c r="BA1" i="3"/>
  <c r="DL20" i="3"/>
  <c r="DO20" i="3" s="1"/>
  <c r="BD1" i="3"/>
  <c r="DL21" i="3"/>
  <c r="DO21" i="3" s="1"/>
  <c r="BG1" i="3"/>
  <c r="DL22" i="3" s="1"/>
  <c r="BJ1" i="3"/>
  <c r="DL23" i="3" s="1"/>
  <c r="BM1" i="3"/>
  <c r="DL24" i="3" s="1"/>
  <c r="BP1" i="3"/>
  <c r="DL25" i="3" s="1"/>
  <c r="BS1" i="3"/>
  <c r="DL26" i="3" s="1"/>
  <c r="BV1" i="3"/>
  <c r="DL27" i="3"/>
  <c r="DO27" i="3" s="1"/>
  <c r="BY1" i="3"/>
  <c r="DL28" i="3"/>
  <c r="DO28" i="3" s="1"/>
  <c r="CB1" i="3"/>
  <c r="DL29" i="3"/>
  <c r="DO29" i="3" s="1"/>
  <c r="CE1" i="3"/>
  <c r="DL30" i="3" s="1"/>
  <c r="CH1" i="3"/>
  <c r="DL31" i="3" s="1"/>
  <c r="CK1" i="3"/>
  <c r="DL32" i="3" s="1"/>
  <c r="CN1" i="3"/>
  <c r="DL33" i="3" s="1"/>
  <c r="CQ1" i="3"/>
  <c r="DL34" i="3" s="1"/>
  <c r="CT1" i="3"/>
  <c r="DL35" i="3"/>
  <c r="DO35" i="3" s="1"/>
  <c r="CW1" i="3"/>
  <c r="DL36" i="3"/>
  <c r="DO36" i="3" s="1"/>
  <c r="CZ1" i="3"/>
  <c r="DL37" i="3"/>
  <c r="DO37" i="3" s="1"/>
  <c r="DC1" i="3"/>
  <c r="DL38" i="3" s="1"/>
  <c r="DF1" i="3"/>
  <c r="DL39" i="3" s="1"/>
  <c r="DI1" i="3"/>
  <c r="DL40" i="3" s="1"/>
  <c r="H1" i="3"/>
  <c r="DL5" i="3" s="1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DM37" i="3"/>
  <c r="DM29" i="3"/>
  <c r="DM21" i="3"/>
  <c r="DM13" i="3"/>
  <c r="DM36" i="3"/>
  <c r="DM35" i="3"/>
  <c r="DM28" i="3"/>
  <c r="DM20" i="3"/>
  <c r="DM12" i="3"/>
  <c r="DL40" i="2"/>
  <c r="DL39" i="2"/>
  <c r="DN39" i="3" s="1"/>
  <c r="DL38" i="2"/>
  <c r="DL37" i="2"/>
  <c r="DL36" i="2"/>
  <c r="DL35" i="2"/>
  <c r="DL34" i="2"/>
  <c r="DL33" i="2"/>
  <c r="DL32" i="2"/>
  <c r="DL31" i="2"/>
  <c r="DN31" i="3" s="1"/>
  <c r="DL30" i="2"/>
  <c r="DL29" i="2"/>
  <c r="DL28" i="2"/>
  <c r="DL27" i="2"/>
  <c r="DL26" i="2"/>
  <c r="DL25" i="2"/>
  <c r="DL24" i="2"/>
  <c r="DL23" i="2"/>
  <c r="DL22" i="2"/>
  <c r="DL21" i="2"/>
  <c r="DM21" i="2" s="1"/>
  <c r="DL20" i="2"/>
  <c r="DL19" i="2"/>
  <c r="DL18" i="2"/>
  <c r="DL17" i="2"/>
  <c r="DL16" i="2"/>
  <c r="DL15" i="2"/>
  <c r="DN15" i="3" s="1"/>
  <c r="DL14" i="2"/>
  <c r="DN14" i="3" s="1"/>
  <c r="DL13" i="2"/>
  <c r="DM13" i="2" s="1"/>
  <c r="DN13" i="3"/>
  <c r="DL12" i="2"/>
  <c r="DL11" i="2"/>
  <c r="DL10" i="2"/>
  <c r="DM10" i="2" s="1"/>
  <c r="DL9" i="2"/>
  <c r="DL8" i="2"/>
  <c r="DL7" i="2"/>
  <c r="DN7" i="3" s="1"/>
  <c r="DL6" i="2"/>
  <c r="DN6" i="3" s="1"/>
  <c r="DL5" i="2"/>
  <c r="DM5" i="2" s="1"/>
  <c r="DM14" i="2"/>
  <c r="DM22" i="2"/>
  <c r="DM18" i="2"/>
  <c r="DN21" i="3" l="1"/>
  <c r="DM31" i="2"/>
  <c r="DM24" i="2"/>
  <c r="DN24" i="3"/>
  <c r="DO18" i="3"/>
  <c r="DM18" i="3"/>
  <c r="DN18" i="3"/>
  <c r="DM32" i="2"/>
  <c r="DN32" i="3"/>
  <c r="DM11" i="2"/>
  <c r="DN11" i="3"/>
  <c r="DN33" i="3"/>
  <c r="DM33" i="2"/>
  <c r="DO39" i="3"/>
  <c r="DM39" i="3"/>
  <c r="DM16" i="3"/>
  <c r="DO16" i="3"/>
  <c r="DM16" i="2"/>
  <c r="DN16" i="3"/>
  <c r="DN10" i="3"/>
  <c r="DO10" i="3"/>
  <c r="DM10" i="3"/>
  <c r="DN17" i="3"/>
  <c r="DM17" i="2"/>
  <c r="DN28" i="3"/>
  <c r="DM28" i="2"/>
  <c r="DM35" i="2"/>
  <c r="DN35" i="3"/>
  <c r="DM32" i="3"/>
  <c r="DO32" i="3"/>
  <c r="DO14" i="3"/>
  <c r="DM14" i="3"/>
  <c r="DO9" i="3"/>
  <c r="DM9" i="3"/>
  <c r="DM23" i="3"/>
  <c r="DO23" i="3"/>
  <c r="DM25" i="2"/>
  <c r="DN25" i="3"/>
  <c r="DO17" i="3"/>
  <c r="DM17" i="3"/>
  <c r="DN40" i="3"/>
  <c r="DM40" i="2"/>
  <c r="DM34" i="3"/>
  <c r="DO34" i="3"/>
  <c r="DN12" i="3"/>
  <c r="DM12" i="2"/>
  <c r="DM27" i="2"/>
  <c r="DN27" i="3"/>
  <c r="DM33" i="3"/>
  <c r="DO33" i="3"/>
  <c r="DM29" i="2"/>
  <c r="DN29" i="3"/>
  <c r="DN36" i="3"/>
  <c r="DM36" i="2"/>
  <c r="DM31" i="3"/>
  <c r="DO31" i="3"/>
  <c r="DM26" i="3"/>
  <c r="DO26" i="3"/>
  <c r="DO8" i="3"/>
  <c r="DM8" i="3"/>
  <c r="DM40" i="3"/>
  <c r="DO40" i="3"/>
  <c r="DO22" i="3"/>
  <c r="DM22" i="3"/>
  <c r="DN22" i="3"/>
  <c r="DN34" i="3"/>
  <c r="DM34" i="2"/>
  <c r="DO38" i="3"/>
  <c r="DM38" i="3"/>
  <c r="DM15" i="3"/>
  <c r="DO15" i="3"/>
  <c r="DM8" i="2"/>
  <c r="DN8" i="3"/>
  <c r="DN23" i="3"/>
  <c r="DM30" i="2"/>
  <c r="DN30" i="3"/>
  <c r="DM37" i="2"/>
  <c r="DN37" i="3"/>
  <c r="DO30" i="3"/>
  <c r="DM30" i="3"/>
  <c r="DM25" i="3"/>
  <c r="DO25" i="3"/>
  <c r="DM7" i="3"/>
  <c r="DO7" i="3"/>
  <c r="DN20" i="3"/>
  <c r="DM20" i="2"/>
  <c r="DO5" i="3"/>
  <c r="DM5" i="3"/>
  <c r="DN5" i="3"/>
  <c r="DM26" i="2"/>
  <c r="DN26" i="3"/>
  <c r="DM9" i="2"/>
  <c r="DN9" i="3"/>
  <c r="DM19" i="2"/>
  <c r="DN19" i="3"/>
  <c r="DM38" i="2"/>
  <c r="DN38" i="3"/>
  <c r="DO24" i="3"/>
  <c r="DM24" i="3"/>
  <c r="DO6" i="3"/>
  <c r="DM6" i="3"/>
  <c r="DM27" i="3"/>
  <c r="DM19" i="3"/>
  <c r="DM15" i="2"/>
  <c r="DM7" i="2"/>
  <c r="DM6" i="2"/>
  <c r="DM11" i="3"/>
  <c r="DM23" i="2"/>
  <c r="DM39" i="2"/>
</calcChain>
</file>

<file path=xl/sharedStrings.xml><?xml version="1.0" encoding="utf-8"?>
<sst xmlns="http://schemas.openxmlformats.org/spreadsheetml/2006/main" count="3618" uniqueCount="586">
  <si>
    <t>Point_ID</t>
  </si>
  <si>
    <t>Grid_I</t>
  </si>
  <si>
    <t>Grid_J</t>
  </si>
  <si>
    <t>Load</t>
  </si>
  <si>
    <t>UZ</t>
  </si>
  <si>
    <t>RX</t>
  </si>
  <si>
    <t>RY</t>
  </si>
  <si>
    <t>UZ_Cracked</t>
  </si>
  <si>
    <t>RX_Cracked</t>
  </si>
  <si>
    <t>RY_Cracked</t>
  </si>
  <si>
    <t>232</t>
  </si>
  <si>
    <t>ASD01</t>
  </si>
  <si>
    <t>ASD02</t>
  </si>
  <si>
    <t>ASD03</t>
  </si>
  <si>
    <t>ASD04</t>
  </si>
  <si>
    <t>ASD05</t>
  </si>
  <si>
    <t>ASD06</t>
  </si>
  <si>
    <t>ASD07</t>
  </si>
  <si>
    <t>ASD08</t>
  </si>
  <si>
    <t>ASD09</t>
  </si>
  <si>
    <t>ASD10</t>
  </si>
  <si>
    <t>ASD11</t>
  </si>
  <si>
    <t>ASD12</t>
  </si>
  <si>
    <t>ASD13</t>
  </si>
  <si>
    <t>ASD14</t>
  </si>
  <si>
    <t>ASD15</t>
  </si>
  <si>
    <t>ASD16</t>
  </si>
  <si>
    <t>ASD17</t>
  </si>
  <si>
    <t>ASD18</t>
  </si>
  <si>
    <t>ASD19</t>
  </si>
  <si>
    <t>ASD20</t>
  </si>
  <si>
    <t>ASD21</t>
  </si>
  <si>
    <t>ASD22</t>
  </si>
  <si>
    <t>ASD23</t>
  </si>
  <si>
    <t>ASD24</t>
  </si>
  <si>
    <t>ASD25</t>
  </si>
  <si>
    <t>ASD26</t>
  </si>
  <si>
    <t>ASD27</t>
  </si>
  <si>
    <t>ASD28</t>
  </si>
  <si>
    <t>ASD29</t>
  </si>
  <si>
    <t>ASD30</t>
  </si>
  <si>
    <t>ASD31</t>
  </si>
  <si>
    <t>ASD32</t>
  </si>
  <si>
    <t>ASD33</t>
  </si>
  <si>
    <t>ASD34</t>
  </si>
  <si>
    <t>ASD35</t>
  </si>
  <si>
    <t>ASD36</t>
  </si>
  <si>
    <t>233</t>
  </si>
  <si>
    <t>228</t>
  </si>
  <si>
    <t>229</t>
  </si>
  <si>
    <t>224</t>
  </si>
  <si>
    <t>225</t>
  </si>
  <si>
    <t>220</t>
  </si>
  <si>
    <t>221</t>
  </si>
  <si>
    <t>236</t>
  </si>
  <si>
    <t>237</t>
  </si>
  <si>
    <t>1</t>
  </si>
  <si>
    <t>23</t>
  </si>
  <si>
    <t>614</t>
  </si>
  <si>
    <t>242</t>
  </si>
  <si>
    <t>642</t>
  </si>
  <si>
    <t>675</t>
  </si>
  <si>
    <t>697</t>
  </si>
  <si>
    <t>239</t>
  </si>
  <si>
    <t>238</t>
  </si>
  <si>
    <t>235</t>
  </si>
  <si>
    <t>234</t>
  </si>
  <si>
    <t>231</t>
  </si>
  <si>
    <t>230</t>
  </si>
  <si>
    <t>227</t>
  </si>
  <si>
    <t>226</t>
  </si>
  <si>
    <t>223</t>
  </si>
  <si>
    <t>222</t>
  </si>
  <si>
    <t>61</t>
  </si>
  <si>
    <t>102</t>
  </si>
  <si>
    <t>620</t>
  </si>
  <si>
    <t>248</t>
  </si>
  <si>
    <t>648</t>
  </si>
  <si>
    <t>677</t>
  </si>
  <si>
    <t>719</t>
  </si>
  <si>
    <t>705</t>
  </si>
  <si>
    <t>156</t>
  </si>
  <si>
    <t>157</t>
  </si>
  <si>
    <t>176</t>
  </si>
  <si>
    <t>177</t>
  </si>
  <si>
    <t>212</t>
  </si>
  <si>
    <t>213</t>
  </si>
  <si>
    <t>216</t>
  </si>
  <si>
    <t>217</t>
  </si>
  <si>
    <t>257</t>
  </si>
  <si>
    <t>258</t>
  </si>
  <si>
    <t>10</t>
  </si>
  <si>
    <t>24</t>
  </si>
  <si>
    <t>612</t>
  </si>
  <si>
    <t>240</t>
  </si>
  <si>
    <t>640</t>
  </si>
  <si>
    <t>115</t>
  </si>
  <si>
    <t>669</t>
  </si>
  <si>
    <t>698</t>
  </si>
  <si>
    <t>260</t>
  </si>
  <si>
    <t>259</t>
  </si>
  <si>
    <t>159</t>
  </si>
  <si>
    <t>158</t>
  </si>
  <si>
    <t>179</t>
  </si>
  <si>
    <t>178</t>
  </si>
  <si>
    <t>215</t>
  </si>
  <si>
    <t>214</t>
  </si>
  <si>
    <t>219</t>
  </si>
  <si>
    <t>218</t>
  </si>
  <si>
    <t>67</t>
  </si>
  <si>
    <t>103</t>
  </si>
  <si>
    <t>621</t>
  </si>
  <si>
    <t>249</t>
  </si>
  <si>
    <t>649</t>
  </si>
  <si>
    <t>113</t>
  </si>
  <si>
    <t>678</t>
  </si>
  <si>
    <t>706</t>
  </si>
  <si>
    <t>152</t>
  </si>
  <si>
    <t>153</t>
  </si>
  <si>
    <t>172</t>
  </si>
  <si>
    <t>173</t>
  </si>
  <si>
    <t>208</t>
  </si>
  <si>
    <t>209</t>
  </si>
  <si>
    <t>204</t>
  </si>
  <si>
    <t>205</t>
  </si>
  <si>
    <t>261</t>
  </si>
  <si>
    <t>262</t>
  </si>
  <si>
    <t>11</t>
  </si>
  <si>
    <t>25</t>
  </si>
  <si>
    <t>613</t>
  </si>
  <si>
    <t>241</t>
  </si>
  <si>
    <t>641</t>
  </si>
  <si>
    <t>114</t>
  </si>
  <si>
    <t>670</t>
  </si>
  <si>
    <t>699</t>
  </si>
  <si>
    <t>264</t>
  </si>
  <si>
    <t>263</t>
  </si>
  <si>
    <t>155</t>
  </si>
  <si>
    <t>154</t>
  </si>
  <si>
    <t>175</t>
  </si>
  <si>
    <t>174</t>
  </si>
  <si>
    <t>211</t>
  </si>
  <si>
    <t>210</t>
  </si>
  <si>
    <t>207</t>
  </si>
  <si>
    <t>206</t>
  </si>
  <si>
    <t>73</t>
  </si>
  <si>
    <t>104</t>
  </si>
  <si>
    <t>622</t>
  </si>
  <si>
    <t>250</t>
  </si>
  <si>
    <t>650</t>
  </si>
  <si>
    <t>679</t>
  </si>
  <si>
    <t>707</t>
  </si>
  <si>
    <t>148</t>
  </si>
  <si>
    <t>149</t>
  </si>
  <si>
    <t>168</t>
  </si>
  <si>
    <t>169</t>
  </si>
  <si>
    <t>196</t>
  </si>
  <si>
    <t>197</t>
  </si>
  <si>
    <t>200</t>
  </si>
  <si>
    <t>201</t>
  </si>
  <si>
    <t>265</t>
  </si>
  <si>
    <t>266</t>
  </si>
  <si>
    <t>317</t>
  </si>
  <si>
    <t>318</t>
  </si>
  <si>
    <t>12</t>
  </si>
  <si>
    <t>26</t>
  </si>
  <si>
    <t>615</t>
  </si>
  <si>
    <t>243</t>
  </si>
  <si>
    <t>643</t>
  </si>
  <si>
    <t>109</t>
  </si>
  <si>
    <t>686</t>
  </si>
  <si>
    <t>111</t>
  </si>
  <si>
    <t>671</t>
  </si>
  <si>
    <t>700</t>
  </si>
  <si>
    <t>268</t>
  </si>
  <si>
    <t>267</t>
  </si>
  <si>
    <t>320</t>
  </si>
  <si>
    <t>319</t>
  </si>
  <si>
    <t>151</t>
  </si>
  <si>
    <t>150</t>
  </si>
  <si>
    <t>171</t>
  </si>
  <si>
    <t>170</t>
  </si>
  <si>
    <t>199</t>
  </si>
  <si>
    <t>198</t>
  </si>
  <si>
    <t>203</t>
  </si>
  <si>
    <t>202</t>
  </si>
  <si>
    <t>79</t>
  </si>
  <si>
    <t>105</t>
  </si>
  <si>
    <t>623</t>
  </si>
  <si>
    <t>251</t>
  </si>
  <si>
    <t>651</t>
  </si>
  <si>
    <t>680</t>
  </si>
  <si>
    <t>708</t>
  </si>
  <si>
    <t>144</t>
  </si>
  <si>
    <t>145</t>
  </si>
  <si>
    <t>164</t>
  </si>
  <si>
    <t>165</t>
  </si>
  <si>
    <t>188</t>
  </si>
  <si>
    <t>189</t>
  </si>
  <si>
    <t>192</t>
  </si>
  <si>
    <t>193</t>
  </si>
  <si>
    <t>269</t>
  </si>
  <si>
    <t>270</t>
  </si>
  <si>
    <t>313</t>
  </si>
  <si>
    <t>314</t>
  </si>
  <si>
    <t>13</t>
  </si>
  <si>
    <t>27</t>
  </si>
  <si>
    <t>616</t>
  </si>
  <si>
    <t>244</t>
  </si>
  <si>
    <t>644</t>
  </si>
  <si>
    <t>110</t>
  </si>
  <si>
    <t>687</t>
  </si>
  <si>
    <t>112</t>
  </si>
  <si>
    <t>672</t>
  </si>
  <si>
    <t>701</t>
  </si>
  <si>
    <t>272</t>
  </si>
  <si>
    <t>271</t>
  </si>
  <si>
    <t>316</t>
  </si>
  <si>
    <t>315</t>
  </si>
  <si>
    <t>147</t>
  </si>
  <si>
    <t>146</t>
  </si>
  <si>
    <t>167</t>
  </si>
  <si>
    <t>166</t>
  </si>
  <si>
    <t>191</t>
  </si>
  <si>
    <t>190</t>
  </si>
  <si>
    <t>195</t>
  </si>
  <si>
    <t>194</t>
  </si>
  <si>
    <t>85</t>
  </si>
  <si>
    <t>106</t>
  </si>
  <si>
    <t>624</t>
  </si>
  <si>
    <t>252</t>
  </si>
  <si>
    <t>652</t>
  </si>
  <si>
    <t>681</t>
  </si>
  <si>
    <t>709</t>
  </si>
  <si>
    <t>140</t>
  </si>
  <si>
    <t>141</t>
  </si>
  <si>
    <t>160</t>
  </si>
  <si>
    <t>161</t>
  </si>
  <si>
    <t>180</t>
  </si>
  <si>
    <t>181</t>
  </si>
  <si>
    <t>184</t>
  </si>
  <si>
    <t>185</t>
  </si>
  <si>
    <t>273</t>
  </si>
  <si>
    <t>274</t>
  </si>
  <si>
    <t>309</t>
  </si>
  <si>
    <t>310</t>
  </si>
  <si>
    <t>14</t>
  </si>
  <si>
    <t>28</t>
  </si>
  <si>
    <t>617</t>
  </si>
  <si>
    <t>245</t>
  </si>
  <si>
    <t>645</t>
  </si>
  <si>
    <t>673</t>
  </si>
  <si>
    <t>702</t>
  </si>
  <si>
    <t>276</t>
  </si>
  <si>
    <t>275</t>
  </si>
  <si>
    <t>312</t>
  </si>
  <si>
    <t>311</t>
  </si>
  <si>
    <t>143</t>
  </si>
  <si>
    <t>142</t>
  </si>
  <si>
    <t>163</t>
  </si>
  <si>
    <t>162</t>
  </si>
  <si>
    <t>183</t>
  </si>
  <si>
    <t>182</t>
  </si>
  <si>
    <t>187</t>
  </si>
  <si>
    <t>186</t>
  </si>
  <si>
    <t>91</t>
  </si>
  <si>
    <t>101</t>
  </si>
  <si>
    <t>625</t>
  </si>
  <si>
    <t>253</t>
  </si>
  <si>
    <t>653</t>
  </si>
  <si>
    <t>682</t>
  </si>
  <si>
    <t>710</t>
  </si>
  <si>
    <t>124</t>
  </si>
  <si>
    <t>125</t>
  </si>
  <si>
    <t>128</t>
  </si>
  <si>
    <t>129</t>
  </si>
  <si>
    <t>132</t>
  </si>
  <si>
    <t>133</t>
  </si>
  <si>
    <t>136</t>
  </si>
  <si>
    <t>137</t>
  </si>
  <si>
    <t>277</t>
  </si>
  <si>
    <t>278</t>
  </si>
  <si>
    <t>305</t>
  </si>
  <si>
    <t>306</t>
  </si>
  <si>
    <t>15</t>
  </si>
  <si>
    <t>16</t>
  </si>
  <si>
    <t>619</t>
  </si>
  <si>
    <t>632</t>
  </si>
  <si>
    <t>246</t>
  </si>
  <si>
    <t>661</t>
  </si>
  <si>
    <t>646</t>
  </si>
  <si>
    <t>689</t>
  </si>
  <si>
    <t>674</t>
  </si>
  <si>
    <t>717</t>
  </si>
  <si>
    <t>703</t>
  </si>
  <si>
    <t>280</t>
  </si>
  <si>
    <t>279</t>
  </si>
  <si>
    <t>308</t>
  </si>
  <si>
    <t>307</t>
  </si>
  <si>
    <t>127</t>
  </si>
  <si>
    <t>126</t>
  </si>
  <si>
    <t>131</t>
  </si>
  <si>
    <t>130</t>
  </si>
  <si>
    <t>135</t>
  </si>
  <si>
    <t>134</t>
  </si>
  <si>
    <t>139</t>
  </si>
  <si>
    <t>138</t>
  </si>
  <si>
    <t>281</t>
  </si>
  <si>
    <t>282</t>
  </si>
  <si>
    <t>285</t>
  </si>
  <si>
    <t>286</t>
  </si>
  <si>
    <t>289</t>
  </si>
  <si>
    <t>290</t>
  </si>
  <si>
    <t>293</t>
  </si>
  <si>
    <t>294</t>
  </si>
  <si>
    <t>297</t>
  </si>
  <si>
    <t>298</t>
  </si>
  <si>
    <t>301</t>
  </si>
  <si>
    <t>302</t>
  </si>
  <si>
    <t>603</t>
  </si>
  <si>
    <t>618</t>
  </si>
  <si>
    <t>633</t>
  </si>
  <si>
    <t>605</t>
  </si>
  <si>
    <t>662</t>
  </si>
  <si>
    <t>647</t>
  </si>
  <si>
    <t>690</t>
  </si>
  <si>
    <t>676</t>
  </si>
  <si>
    <t>718</t>
  </si>
  <si>
    <t>704</t>
  </si>
  <si>
    <t>284</t>
  </si>
  <si>
    <t>283</t>
  </si>
  <si>
    <t>288</t>
  </si>
  <si>
    <t>287</t>
  </si>
  <si>
    <t>292</t>
  </si>
  <si>
    <t>291</t>
  </si>
  <si>
    <t>296</t>
  </si>
  <si>
    <t>295</t>
  </si>
  <si>
    <t>300</t>
  </si>
  <si>
    <t>299</t>
  </si>
  <si>
    <t>304</t>
  </si>
  <si>
    <t>303</t>
  </si>
  <si>
    <t>Line_ID</t>
  </si>
  <si>
    <t>Point_1</t>
  </si>
  <si>
    <t>Point_2</t>
  </si>
  <si>
    <t>Section</t>
  </si>
  <si>
    <t>Length</t>
  </si>
  <si>
    <t>B5</t>
  </si>
  <si>
    <t>FSB50X240</t>
  </si>
  <si>
    <t>B6</t>
  </si>
  <si>
    <t>B11</t>
  </si>
  <si>
    <t>W40-W</t>
  </si>
  <si>
    <t>B12</t>
  </si>
  <si>
    <t>B13</t>
  </si>
  <si>
    <t>B15</t>
  </si>
  <si>
    <t>B16</t>
  </si>
  <si>
    <t>B17</t>
  </si>
  <si>
    <t>B18</t>
  </si>
  <si>
    <t>B45</t>
  </si>
  <si>
    <t>B46</t>
  </si>
  <si>
    <t>B48</t>
  </si>
  <si>
    <t>B49</t>
  </si>
  <si>
    <t>B50</t>
  </si>
  <si>
    <t>B51</t>
  </si>
  <si>
    <t>B170</t>
  </si>
  <si>
    <t>FB70X240</t>
  </si>
  <si>
    <t>B171</t>
  </si>
  <si>
    <t>B173</t>
  </si>
  <si>
    <t>B175</t>
  </si>
  <si>
    <t>B178</t>
  </si>
  <si>
    <t>B180</t>
  </si>
  <si>
    <t>B279</t>
  </si>
  <si>
    <t>B286</t>
  </si>
  <si>
    <t>B293</t>
  </si>
  <si>
    <t>B294</t>
  </si>
  <si>
    <t>B295</t>
  </si>
  <si>
    <t>B296</t>
  </si>
  <si>
    <t>B297</t>
  </si>
  <si>
    <t>B298</t>
  </si>
  <si>
    <t>B299</t>
  </si>
  <si>
    <t>B300</t>
  </si>
  <si>
    <t>B301</t>
  </si>
  <si>
    <t xml:space="preserve">                                                                                    </t>
    <phoneticPr fontId="2" type="noConversion"/>
  </si>
  <si>
    <t>B302</t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</si>
  <si>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</si>
  <si>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</si>
  <si>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</si>
  <si>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</si>
  <si>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</si>
  <si>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</si>
  <si>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</si>
  <si>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</si>
  <si>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</si>
  <si>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B312</t>
  </si>
  <si>
    <t>B313</t>
  </si>
  <si>
    <t>B314</t>
  </si>
  <si>
    <t>B315</t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</si>
  <si>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</si>
  <si>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</si>
  <si>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</si>
  <si>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</si>
  <si>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</si>
  <si>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</si>
  <si>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</si>
  <si>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</si>
  <si>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</si>
  <si>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B325</t>
  </si>
  <si>
    <t>B326</t>
  </si>
  <si>
    <t>B327</t>
  </si>
  <si>
    <t>B334</t>
  </si>
  <si>
    <t>B335</t>
  </si>
  <si>
    <t>B337</t>
  </si>
  <si>
    <t>B339</t>
  </si>
  <si>
    <t>B340</t>
  </si>
  <si>
    <t>B342</t>
  </si>
  <si>
    <t>B344</t>
  </si>
  <si>
    <t>B346</t>
  </si>
  <si>
    <t>B347</t>
  </si>
  <si>
    <t>B348</t>
  </si>
  <si>
    <t>B349</t>
  </si>
  <si>
    <t>B350</t>
  </si>
  <si>
    <t>B351</t>
  </si>
  <si>
    <t>B352</t>
  </si>
  <si>
    <t>B355</t>
  </si>
  <si>
    <t>B357</t>
  </si>
  <si>
    <t>B358</t>
  </si>
  <si>
    <t>B360</t>
  </si>
  <si>
    <t>B362</t>
  </si>
  <si>
    <t>B364</t>
  </si>
  <si>
    <t>B366</t>
  </si>
  <si>
    <t>B368</t>
  </si>
  <si>
    <t>B379</t>
  </si>
  <si>
    <t>B380</t>
  </si>
  <si>
    <t>B381</t>
  </si>
  <si>
    <t>B382</t>
  </si>
  <si>
    <t>B383</t>
  </si>
  <si>
    <t>B384</t>
  </si>
  <si>
    <t>B385</t>
  </si>
  <si>
    <t>B386</t>
  </si>
  <si>
    <t>B387</t>
  </si>
  <si>
    <t>B388</t>
  </si>
  <si>
    <t>B389</t>
  </si>
  <si>
    <t>B390</t>
  </si>
  <si>
    <t>B391</t>
  </si>
  <si>
    <t>B393</t>
  </si>
  <si>
    <t>B401</t>
  </si>
  <si>
    <t>B402</t>
  </si>
  <si>
    <t>B403</t>
  </si>
  <si>
    <t>B405</t>
  </si>
  <si>
    <t>B407</t>
  </si>
  <si>
    <t>B411</t>
  </si>
  <si>
    <t>B413</t>
  </si>
  <si>
    <t>B418</t>
  </si>
  <si>
    <t>B421</t>
  </si>
  <si>
    <t>B422</t>
  </si>
  <si>
    <t>B423</t>
  </si>
  <si>
    <t>B424</t>
  </si>
  <si>
    <t>B425</t>
  </si>
  <si>
    <t>B426</t>
  </si>
  <si>
    <t>B427</t>
  </si>
  <si>
    <t>B428</t>
  </si>
  <si>
    <t>B429</t>
  </si>
  <si>
    <t>B430</t>
  </si>
  <si>
    <t>B431</t>
  </si>
  <si>
    <t>B432</t>
  </si>
  <si>
    <t>B433</t>
  </si>
  <si>
    <t>B434</t>
  </si>
  <si>
    <t>B435</t>
  </si>
  <si>
    <t>B436</t>
  </si>
  <si>
    <t>B437</t>
  </si>
  <si>
    <t>B438</t>
  </si>
  <si>
    <t>B439</t>
  </si>
  <si>
    <t>B440</t>
  </si>
  <si>
    <t>B441</t>
  </si>
  <si>
    <t>B442</t>
  </si>
  <si>
    <t>B449</t>
  </si>
  <si>
    <r>
      <rPr>
        <sz val="12"/>
        <color indexed="8"/>
        <rFont val="微軟正黑體"/>
        <family val="2"/>
        <charset val="136"/>
      </rPr>
      <t>角變量</t>
    </r>
    <phoneticPr fontId="4" type="noConversion"/>
  </si>
  <si>
    <r>
      <rPr>
        <sz val="12"/>
        <rFont val="微軟正黑體"/>
        <family val="2"/>
        <charset val="136"/>
      </rPr>
      <t>載重組合</t>
    </r>
  </si>
  <si>
    <r>
      <rPr>
        <sz val="12"/>
        <rFont val="微軟正黑體"/>
        <family val="2"/>
        <charset val="136"/>
      </rPr>
      <t>基礎最大角變量</t>
    </r>
  </si>
  <si>
    <r>
      <rPr>
        <sz val="12"/>
        <rFont val="微軟正黑體"/>
        <family val="2"/>
        <charset val="136"/>
      </rPr>
      <t>小於</t>
    </r>
    <r>
      <rPr>
        <sz val="12"/>
        <rFont val="Calibri"/>
        <family val="2"/>
      </rPr>
      <t>1/250</t>
    </r>
  </si>
  <si>
    <t>Node</t>
  </si>
  <si>
    <t>Point</t>
  </si>
  <si>
    <t>OutputCase</t>
  </si>
  <si>
    <t>CaseType</t>
  </si>
  <si>
    <t>Ux</t>
  </si>
  <si>
    <t>Uy</t>
  </si>
  <si>
    <t>Uz</t>
  </si>
  <si>
    <t>Rx</t>
  </si>
  <si>
    <t>Ry</t>
  </si>
  <si>
    <t>Rz</t>
  </si>
  <si>
    <t>Text</t>
  </si>
  <si>
    <t>m</t>
  </si>
  <si>
    <t>Radians</t>
  </si>
  <si>
    <t>Combination</t>
  </si>
  <si>
    <t>70</t>
  </si>
  <si>
    <t>71</t>
  </si>
  <si>
    <t>72</t>
  </si>
  <si>
    <t>74</t>
  </si>
  <si>
    <t>75</t>
  </si>
  <si>
    <t>76</t>
  </si>
  <si>
    <t>77</t>
  </si>
  <si>
    <t>78</t>
  </si>
  <si>
    <t>80</t>
  </si>
  <si>
    <t>81</t>
  </si>
  <si>
    <t>82</t>
  </si>
  <si>
    <t>83</t>
  </si>
  <si>
    <t>84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</si>
  <si>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</si>
  <si>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</si>
  <si>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</si>
  <si>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</si>
  <si>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</si>
  <si>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</si>
  <si>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</si>
  <si>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</si>
  <si>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</si>
  <si>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</si>
  <si>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</si>
  <si>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</si>
  <si>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</si>
  <si>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</si>
  <si>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107</t>
  </si>
  <si>
    <t>108</t>
  </si>
  <si>
    <t>116</t>
  </si>
  <si>
    <t>117</t>
  </si>
  <si>
    <t>118</t>
  </si>
  <si>
    <t>119</t>
  </si>
  <si>
    <t>120</t>
  </si>
  <si>
    <t>121</t>
  </si>
  <si>
    <t>122</t>
  </si>
  <si>
    <t>123</t>
  </si>
  <si>
    <t>247</t>
  </si>
  <si>
    <t>254</t>
  </si>
  <si>
    <t>255</t>
  </si>
  <si>
    <t>256</t>
  </si>
  <si>
    <t>Line</t>
  </si>
  <si>
    <t>PointI</t>
  </si>
  <si>
    <t>PointJ</t>
  </si>
  <si>
    <t>LineType</t>
  </si>
  <si>
    <t>CurveType</t>
  </si>
  <si>
    <t>Beam</t>
  </si>
  <si>
    <t>Straight</t>
  </si>
  <si>
    <t>Project</t>
    <phoneticPr fontId="2" type="noConversion"/>
  </si>
  <si>
    <t>Current version</t>
    <phoneticPr fontId="2" type="noConversion"/>
  </si>
  <si>
    <t>angle-change</t>
    <phoneticPr fontId="2" type="noConversion"/>
  </si>
  <si>
    <r>
      <rPr>
        <sz val="12"/>
        <color theme="1"/>
        <rFont val="微軟正黑體"/>
        <family val="2"/>
        <charset val="136"/>
      </rPr>
      <t>角變量</t>
    </r>
  </si>
  <si>
    <t>UPDATE</t>
    <phoneticPr fontId="2" type="noConversion"/>
  </si>
  <si>
    <t>PROJECT</t>
    <phoneticPr fontId="2" type="noConversion"/>
  </si>
  <si>
    <t>SUBJECT</t>
    <phoneticPr fontId="2" type="noConversion"/>
  </si>
  <si>
    <t>TABLE:  Object Geometry - Lines 01 - General</t>
    <phoneticPr fontId="2" type="noConversion"/>
  </si>
  <si>
    <t>v12</t>
    <phoneticPr fontId="2" type="noConversion"/>
  </si>
  <si>
    <t>TABLE:  Nodal Displacements</t>
    <phoneticPr fontId="2" type="noConversion"/>
  </si>
  <si>
    <t>v8</t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</si>
  <si>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phoneticPr fontId="2" type="noConversion"/>
  </si>
  <si>
    <r>
      <rPr>
        <sz val="12"/>
        <color theme="1"/>
        <rFont val="微軟正黑體"/>
        <family val="2"/>
        <charset val="136"/>
      </rPr>
      <t>使用說明及算例</t>
    </r>
    <phoneticPr fontId="2" type="noConversion"/>
  </si>
  <si>
    <r>
      <rPr>
        <sz val="12"/>
        <color theme="1"/>
        <rFont val="微軟正黑體"/>
        <family val="2"/>
        <charset val="136"/>
      </rPr>
      <t>清空舊有的資料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</si>
  <si>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Object Geometry - Lines 01 - General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</si>
  <si>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Nodal Displacements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</si>
  <si>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V12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</si>
  <si>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PointI 109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-0.00235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</si>
  <si>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PointJ 110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-0.002156</t>
    </r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</si>
  <si>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= abs(-0.00235-(-0.002156)) / 8.3 = 0.0000233734939759036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</si>
  <si>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V8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</si>
  <si>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最終結果為</t>
    </r>
    <r>
      <rPr>
        <sz val="12"/>
        <color theme="1"/>
        <rFont val="Calibri"/>
        <family val="2"/>
      </rPr>
      <t xml:space="preserve"> 1 /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) &gt; 250 =&gt; OK, </t>
    </r>
    <r>
      <rPr>
        <sz val="12"/>
        <color theme="1"/>
        <rFont val="微軟正黑體"/>
        <family val="2"/>
        <charset val="136"/>
      </rPr>
      <t>或是說</t>
    </r>
    <r>
      <rPr>
        <sz val="12"/>
        <color theme="1"/>
        <rFont val="Calibri"/>
        <family val="2"/>
      </rPr>
      <t xml:space="preserve"> 1 / 250 &gt;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>) =&gt; OK</t>
    </r>
    <phoneticPr fontId="2" type="noConversion"/>
  </si>
  <si>
    <r>
      <rPr>
        <sz val="12"/>
        <color theme="1"/>
        <rFont val="微軟正黑體"/>
        <family val="2"/>
        <charset val="136"/>
      </rPr>
      <t>依此類推，算出每個角變量後。</t>
    </r>
    <phoneticPr fontId="2" type="noConversion"/>
  </si>
  <si>
    <r>
      <rPr>
        <sz val="12"/>
        <color rgb="FF9C5700"/>
        <rFont val="微軟正黑體"/>
        <family val="2"/>
        <charset val="136"/>
      </rPr>
      <t>使用說明</t>
    </r>
    <phoneticPr fontId="2" type="noConversion"/>
  </si>
  <si>
    <r>
      <rPr>
        <sz val="12"/>
        <color rgb="FF9C5700"/>
        <rFont val="微軟正黑體"/>
        <family val="2"/>
        <charset val="136"/>
      </rPr>
      <t>算例：以</t>
    </r>
    <r>
      <rPr>
        <sz val="12"/>
        <color rgb="FF9C5700"/>
        <rFont val="Calibri"/>
        <family val="2"/>
      </rPr>
      <t xml:space="preserve"> B5 ASD01 </t>
    </r>
    <r>
      <rPr>
        <sz val="12"/>
        <color rgb="FF9C5700"/>
        <rFont val="微軟正黑體"/>
        <family val="2"/>
        <charset val="136"/>
      </rPr>
      <t>為例</t>
    </r>
    <phoneticPr fontId="2" type="noConversion"/>
  </si>
  <si>
    <r>
      <rPr>
        <sz val="12"/>
        <color rgb="FF9C0006"/>
        <rFont val="微軟正黑體"/>
        <family val="2"/>
        <charset val="136"/>
      </rPr>
      <t>原始資料</t>
    </r>
    <phoneticPr fontId="2" type="noConversion"/>
  </si>
  <si>
    <r>
      <rPr>
        <sz val="12"/>
        <color rgb="FF9C0006"/>
        <rFont val="微軟正黑體"/>
        <family val="2"/>
        <charset val="136"/>
      </rPr>
      <t>計算過程</t>
    </r>
    <phoneticPr fontId="2" type="noConversion"/>
  </si>
  <si>
    <r>
      <rPr>
        <sz val="12"/>
        <color rgb="FF9C0006"/>
        <rFont val="微軟正黑體"/>
        <family val="2"/>
        <charset val="136"/>
      </rPr>
      <t>輸出結果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</si>
  <si>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28 </t>
    </r>
    <r>
      <rPr>
        <sz val="12"/>
        <color theme="1"/>
        <rFont val="微軟正黑體"/>
        <family val="2"/>
        <charset val="136"/>
      </rPr>
      <t>秒，降低到</t>
    </r>
    <r>
      <rPr>
        <sz val="12"/>
        <color theme="1"/>
        <rFont val="Calibri"/>
        <family val="2"/>
      </rPr>
      <t xml:space="preserve"> 0.48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52 </t>
    </r>
    <r>
      <rPr>
        <sz val="12"/>
        <color theme="1"/>
        <rFont val="微軟正黑體"/>
        <family val="2"/>
        <charset val="136"/>
      </rPr>
      <t>倍。</t>
    </r>
  </si>
  <si>
    <r>
      <rPr>
        <sz val="12"/>
        <color theme="1"/>
        <rFont val="微軟正黑體"/>
        <family val="2"/>
        <charset val="136"/>
      </rPr>
      <t>新增使用說明</t>
    </r>
    <phoneticPr fontId="2" type="noConversion"/>
  </si>
  <si>
    <r>
      <rPr>
        <sz val="12"/>
        <color theme="1"/>
        <rFont val="微軟正黑體"/>
        <family val="2"/>
        <charset val="136"/>
      </rPr>
      <t>新增算例</t>
    </r>
    <phoneticPr fontId="2" type="noConversion"/>
  </si>
  <si>
    <r>
      <rPr>
        <sz val="12"/>
        <color theme="1"/>
        <rFont val="微軟正黑體"/>
        <family val="2"/>
        <charset val="136"/>
      </rPr>
      <t>刪除測試資料，縮小檔案大小</t>
    </r>
    <phoneticPr fontId="2" type="noConversion"/>
  </si>
  <si>
    <r>
      <rPr>
        <sz val="12"/>
        <color theme="1"/>
        <rFont val="微軟正黑體"/>
        <family val="2"/>
        <charset val="136"/>
      </rPr>
      <t>取消格式化每個</t>
    </r>
    <r>
      <rPr>
        <sz val="12"/>
        <color theme="1"/>
        <rFont val="Calibri"/>
        <family val="2"/>
      </rPr>
      <t xml:space="preserve"> sheet</t>
    </r>
    <r>
      <rPr>
        <sz val="12"/>
        <color theme="1"/>
        <rFont val="微軟正黑體"/>
        <family val="2"/>
        <charset val="136"/>
      </rPr>
      <t>，優化效能。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</si>
  <si>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8 </t>
    </r>
    <r>
      <rPr>
        <sz val="12"/>
        <color theme="1"/>
        <rFont val="微軟正黑體"/>
        <family val="2"/>
        <charset val="136"/>
      </rPr>
      <t>版延伸支援到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版。</t>
    </r>
    <phoneticPr fontId="2" type="noConversion"/>
  </si>
  <si>
    <r>
      <rPr>
        <sz val="12"/>
        <color theme="1"/>
        <rFont val="微軟正黑體"/>
        <family val="2"/>
        <charset val="136"/>
      </rPr>
      <t>不使用</t>
    </r>
    <r>
      <rPr>
        <sz val="12"/>
        <color theme="1"/>
        <rFont val="Calibri"/>
        <family val="2"/>
      </rPr>
      <t xml:space="preserve"> EXCEL </t>
    </r>
    <r>
      <rPr>
        <sz val="12"/>
        <color theme="1"/>
        <rFont val="微軟正黑體"/>
        <family val="2"/>
        <charset val="136"/>
      </rPr>
      <t>內建的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，自己實作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</si>
  <si>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分鐘，降低到</t>
    </r>
    <r>
      <rPr>
        <sz val="12"/>
        <color theme="1"/>
        <rFont val="Calibri"/>
        <family val="2"/>
      </rPr>
      <t xml:space="preserve"> 25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48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</si>
  <si>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r>
      <rPr>
        <sz val="12"/>
        <color theme="1"/>
        <rFont val="微軟正黑體"/>
        <family val="2"/>
        <charset val="136"/>
      </rPr>
      <t>減少</t>
    </r>
    <r>
      <rPr>
        <sz val="12"/>
        <color theme="1"/>
        <rFont val="Calibri"/>
        <family val="2"/>
      </rPr>
      <t xml:space="preserve"> DOM </t>
    </r>
    <r>
      <rPr>
        <sz val="12"/>
        <color theme="1"/>
        <rFont val="微軟正黑體"/>
        <family val="2"/>
        <charset val="136"/>
      </rPr>
      <t>的交互運作，提升效能。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</si>
  <si>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4 </t>
    </r>
    <r>
      <rPr>
        <sz val="12"/>
        <color theme="1"/>
        <rFont val="微軟正黑體"/>
        <family val="2"/>
        <charset val="136"/>
      </rPr>
      <t>小時，降低到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分鐘。速度提升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</si>
  <si>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t>2.0.0</t>
    <phoneticPr fontId="2" type="noConversion"/>
  </si>
  <si>
    <t xml:space="preserve"> </t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</si>
  <si>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</si>
  <si>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2.1.0</t>
    <phoneticPr fontId="2" type="noConversion"/>
  </si>
  <si>
    <t>2.1.0</t>
    <phoneticPr fontId="2" type="noConversion"/>
  </si>
  <si>
    <r>
      <t xml:space="preserve">v8 </t>
    </r>
    <r>
      <rPr>
        <sz val="12"/>
        <color theme="1"/>
        <rFont val="微軟正黑體"/>
        <family val="2"/>
        <charset val="136"/>
      </rPr>
      <t>取最大角變量的錯誤修正</t>
    </r>
    <phoneticPr fontId="2" type="noConversion"/>
  </si>
  <si>
    <r>
      <rPr>
        <sz val="12"/>
        <color theme="1"/>
        <rFont val="微軟正黑體"/>
        <family val="2"/>
        <charset val="136"/>
      </rPr>
      <t>更新版本提示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</si>
</sst>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-&quot;$&quot;* #,##0_-;\-&quot;$&quot;* #,##0_-;_-&quot;$&quot;* &quot;-&quot;_-;_-@_-"/>
    <numFmt numFmtId="177" formatCode="#,##0_ "/>
    <numFmt numFmtId="178" formatCode="&quot;1/&quot;####"/>
    <numFmt numFmtId="179" formatCode="0.0"/>
    <numFmt numFmtId="180" formatCode="0.00000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2"/>
      <color theme="1"/>
      <name val="Calibri"/>
      <family val="2"/>
    </font>
    <font>
      <sz val="12"/>
      <color indexed="8"/>
      <name val="Calibri"/>
      <family val="2"/>
    </font>
    <font>
      <sz val="12"/>
      <name val="Calibri"/>
      <family val="2"/>
    </font>
    <font>
      <sz val="9"/>
      <color indexed="8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微軟正黑體"/>
      <family val="2"/>
      <charset val="136"/>
    </font>
    <font>
      <b/>
      <sz val="12"/>
      <color theme="1"/>
      <name val="Calibri"/>
      <family val="2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sz val="12"/>
      <color rgb="FF006100"/>
      <name val="Calibri"/>
      <family val="2"/>
    </font>
    <font>
      <sz val="12"/>
      <color rgb="FF9C5700"/>
      <name val="Calibri"/>
      <family val="2"/>
    </font>
    <font>
      <sz val="12"/>
      <color rgb="FF9C0006"/>
      <name val="微軟正黑體"/>
      <family val="2"/>
      <charset val="136"/>
    </font>
    <font>
      <sz val="12"/>
      <color rgb="FF9C0006"/>
      <name val="Calibri"/>
      <family val="2"/>
    </font>
    <font>
      <sz val="12"/>
      <color theme="1"/>
      <name val="Times New Roman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8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24" fillId="0" borderId="0">
      <alignment vertical="center"/>
    </xf>
  </cellStyleXfs>
  <cellXfs count="70">
    <xf numFmtId="0" fontId="0" fillId="0" borderId="0" xfId="0">
      <alignment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178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1" fontId="9" fillId="0" borderId="0" xfId="0" applyNumberFormat="1" applyFont="1" applyAlignment="1">
      <alignment horizontal="center" vertical="center"/>
    </xf>
    <xf numFmtId="0" fontId="8" fillId="3" borderId="3" xfId="3" applyFont="1" applyFill="1" applyBorder="1" applyAlignment="1">
      <alignment horizontal="center" vertical="center" wrapText="1"/>
    </xf>
    <xf numFmtId="0" fontId="8" fillId="3" borderId="4" xfId="3" applyFont="1" applyFill="1" applyBorder="1" applyAlignment="1">
      <alignment horizontal="center" vertical="center" wrapText="1"/>
    </xf>
    <xf numFmtId="0" fontId="10" fillId="2" borderId="1" xfId="4" applyFont="1" applyFill="1" applyBorder="1" applyAlignment="1">
      <alignment horizontal="center" vertical="center"/>
    </xf>
    <xf numFmtId="0" fontId="8" fillId="2" borderId="1" xfId="5" applyFont="1" applyFill="1" applyBorder="1" applyAlignment="1">
      <alignment horizontal="center" vertical="center"/>
    </xf>
    <xf numFmtId="11" fontId="8" fillId="2" borderId="1" xfId="5" applyNumberFormat="1" applyFont="1" applyFill="1" applyBorder="1" applyAlignment="1">
      <alignment horizontal="center" vertical="center"/>
    </xf>
    <xf numFmtId="0" fontId="10" fillId="0" borderId="2" xfId="4" applyFont="1" applyFill="1" applyBorder="1" applyAlignment="1">
      <alignment horizontal="center" vertical="center" wrapText="1"/>
    </xf>
    <xf numFmtId="177" fontId="7" fillId="0" borderId="0" xfId="1" applyNumberFormat="1" applyFont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10" fillId="0" borderId="2" xfId="2" applyFont="1" applyFill="1" applyBorder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left" vertical="center"/>
    </xf>
    <xf numFmtId="0" fontId="7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21" xfId="0" applyFont="1" applyFill="1" applyBorder="1" applyAlignment="1">
      <alignment horizontal="center" vertical="center"/>
    </xf>
    <xf numFmtId="0" fontId="7" fillId="11" borderId="22" xfId="0" applyFont="1" applyFill="1" applyBorder="1" applyAlignment="1">
      <alignment horizontal="left" vertical="center"/>
    </xf>
    <xf numFmtId="0" fontId="7" fillId="11" borderId="22" xfId="0" applyFont="1" applyFill="1" applyBorder="1" applyAlignment="1">
      <alignment horizontal="center" vertical="center"/>
    </xf>
    <xf numFmtId="0" fontId="7" fillId="11" borderId="23" xfId="0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4" xfId="0" applyFont="1" applyFill="1" applyBorder="1" applyAlignment="1">
      <alignment horizontal="left" vertical="center"/>
    </xf>
    <xf numFmtId="0" fontId="7" fillId="11" borderId="14" xfId="0" applyFont="1" applyFill="1" applyBorder="1" applyAlignment="1">
      <alignment horizontal="center" vertical="center"/>
    </xf>
    <xf numFmtId="0" fontId="7" fillId="11" borderId="8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left" vertical="center"/>
    </xf>
    <xf numFmtId="180" fontId="7" fillId="11" borderId="12" xfId="0" applyNumberFormat="1" applyFont="1" applyFill="1" applyBorder="1" applyAlignment="1">
      <alignment horizontal="center" vertical="center"/>
    </xf>
    <xf numFmtId="180" fontId="7" fillId="11" borderId="11" xfId="0" applyNumberFormat="1" applyFont="1" applyFill="1" applyBorder="1" applyAlignment="1">
      <alignment horizontal="center" vertical="center"/>
    </xf>
    <xf numFmtId="180" fontId="7" fillId="11" borderId="0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left" vertical="center"/>
    </xf>
    <xf numFmtId="0" fontId="7" fillId="11" borderId="0" xfId="0" applyFont="1" applyFill="1" applyAlignment="1">
      <alignment horizontal="center" vertical="center"/>
    </xf>
    <xf numFmtId="14" fontId="7" fillId="11" borderId="0" xfId="0" applyNumberFormat="1" applyFont="1" applyFill="1" applyAlignment="1">
      <alignment horizontal="center" vertical="center"/>
    </xf>
    <xf numFmtId="0" fontId="7" fillId="11" borderId="0" xfId="0" applyFont="1" applyFill="1" applyAlignment="1">
      <alignment horizontal="left" vertical="center"/>
    </xf>
    <xf numFmtId="0" fontId="7" fillId="7" borderId="0" xfId="10" applyFont="1" applyFill="1" applyAlignment="1">
      <alignment horizontal="left" vertical="center"/>
    </xf>
    <xf numFmtId="0" fontId="7" fillId="7" borderId="0" xfId="10" applyFont="1" applyFill="1" applyAlignment="1">
      <alignment horizontal="center" vertical="center"/>
    </xf>
    <xf numFmtId="179" fontId="12" fillId="7" borderId="0" xfId="10" applyNumberFormat="1" applyFont="1" applyFill="1" applyAlignment="1">
      <alignment horizontal="left" vertical="center"/>
    </xf>
    <xf numFmtId="0" fontId="13" fillId="7" borderId="0" xfId="6" applyFont="1" applyFill="1" applyAlignment="1">
      <alignment horizontal="center" vertical="center"/>
    </xf>
    <xf numFmtId="0" fontId="7" fillId="7" borderId="10" xfId="10" applyFont="1" applyFill="1" applyBorder="1" applyAlignment="1">
      <alignment horizontal="center" vertical="center"/>
    </xf>
    <xf numFmtId="0" fontId="7" fillId="7" borderId="10" xfId="10" applyFont="1" applyFill="1" applyBorder="1" applyAlignment="1">
      <alignment horizontal="left" vertical="center"/>
    </xf>
    <xf numFmtId="14" fontId="7" fillId="7" borderId="0" xfId="10" applyNumberFormat="1" applyFont="1" applyFill="1" applyAlignment="1">
      <alignment horizontal="center" vertical="center"/>
    </xf>
    <xf numFmtId="0" fontId="7" fillId="7" borderId="0" xfId="11" applyFont="1" applyFill="1" applyAlignment="1">
      <alignment horizontal="center" vertical="center"/>
    </xf>
    <xf numFmtId="0" fontId="7" fillId="7" borderId="0" xfId="11" applyFont="1" applyFill="1" applyAlignment="1">
      <alignment horizontal="left" vertical="center"/>
    </xf>
    <xf numFmtId="0" fontId="7" fillId="7" borderId="22" xfId="10" applyFont="1" applyFill="1" applyBorder="1" applyAlignment="1">
      <alignment horizontal="center" vertical="center"/>
    </xf>
    <xf numFmtId="0" fontId="7" fillId="7" borderId="22" xfId="10" applyFont="1" applyFill="1" applyBorder="1" applyAlignment="1">
      <alignment horizontal="left" vertical="center"/>
    </xf>
    <xf numFmtId="0" fontId="23" fillId="9" borderId="11" xfId="8" applyFont="1" applyBorder="1" applyAlignment="1">
      <alignment horizontal="center" vertical="center"/>
    </xf>
    <xf numFmtId="0" fontId="23" fillId="9" borderId="0" xfId="8" applyFont="1" applyBorder="1" applyAlignment="1">
      <alignment horizontal="center" vertical="center"/>
    </xf>
    <xf numFmtId="0" fontId="23" fillId="9" borderId="12" xfId="8" applyFont="1" applyBorder="1" applyAlignment="1">
      <alignment horizontal="center" vertical="center"/>
    </xf>
    <xf numFmtId="0" fontId="21" fillId="10" borderId="15" xfId="9" applyFont="1" applyBorder="1" applyAlignment="1">
      <alignment horizontal="center" vertical="center"/>
    </xf>
    <xf numFmtId="0" fontId="21" fillId="10" borderId="16" xfId="9" applyFont="1" applyBorder="1" applyAlignment="1">
      <alignment horizontal="center" vertical="center"/>
    </xf>
    <xf numFmtId="0" fontId="21" fillId="10" borderId="17" xfId="9" applyFont="1" applyBorder="1" applyAlignment="1">
      <alignment horizontal="center" vertical="center"/>
    </xf>
    <xf numFmtId="0" fontId="20" fillId="8" borderId="18" xfId="7" applyFont="1" applyBorder="1" applyAlignment="1">
      <alignment horizontal="center" vertical="center"/>
    </xf>
    <xf numFmtId="0" fontId="20" fillId="8" borderId="19" xfId="7" applyFont="1" applyBorder="1" applyAlignment="1">
      <alignment horizontal="center" vertical="center"/>
    </xf>
    <xf numFmtId="0" fontId="20" fillId="8" borderId="20" xfId="7" applyFont="1" applyBorder="1" applyAlignment="1">
      <alignment horizontal="center" vertical="center"/>
    </xf>
    <xf numFmtId="0" fontId="20" fillId="8" borderId="11" xfId="7" applyFont="1" applyBorder="1" applyAlignment="1">
      <alignment horizontal="center" vertical="center"/>
    </xf>
    <xf numFmtId="0" fontId="20" fillId="8" borderId="0" xfId="7" applyFont="1" applyBorder="1" applyAlignment="1">
      <alignment horizontal="center" vertical="center"/>
    </xf>
    <xf numFmtId="0" fontId="20" fillId="8" borderId="12" xfId="7" applyFont="1" applyBorder="1" applyAlignment="1">
      <alignment horizontal="center" vertical="center"/>
    </xf>
  </cellXfs>
  <cellStyles count="12">
    <cellStyle name="一般" xfId="0" builtinId="0"/>
    <cellStyle name="一般 2" xfId="10" xr:uid="{6D088D2E-1E38-4ECC-A2AA-3DFBD68E5669}"/>
    <cellStyle name="一般 2 2" xfId="11" xr:uid="{6A1EC482-2670-4B3D-8C69-C6247A94824A}"/>
    <cellStyle name="一般_data" xfId="2" xr:uid="{00000000-0005-0000-0000-000001000000}"/>
    <cellStyle name="一般_P9851_1" xfId="4" xr:uid="{00000000-0005-0000-0000-000002000000}"/>
    <cellStyle name="一般_Sheet1" xfId="3" xr:uid="{00000000-0005-0000-0000-000003000000}"/>
    <cellStyle name="一般_Sheet2" xfId="5" xr:uid="{00000000-0005-0000-0000-000004000000}"/>
    <cellStyle name="中等" xfId="9" builtinId="28"/>
    <cellStyle name="壞" xfId="8" builtinId="27"/>
    <cellStyle name="好" xfId="7" builtinId="26"/>
    <cellStyle name="貨幣 [0]" xfId="1" builtinId="7"/>
    <cellStyle name="超連結" xfId="6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v8.Main" textlink="">
      <xdr:nvSpPr>
        <xdr:cNvPr id="2" name="矩形 1">
          <a:extLst>
            <a:ext uri="{FF2B5EF4-FFF2-40B4-BE49-F238E27FC236}">
              <a16:creationId xmlns:a16="http://schemas.microsoft.com/office/drawing/2014/main" id="{E0C332C1-C4E9-40AA-87F9-1E6E43DE511C}"/>
            </a:ext>
          </a:extLst>
        </xdr:cNvPr>
        <xdr:cNvSpPr/>
      </xdr:nvSpPr>
      <xdr:spPr>
        <a:xfrm>
          <a:off x="0" y="0"/>
          <a:ext cx="3063240" cy="39624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</a:t>
          </a:r>
          <a:r>
            <a:rPr lang="en-US" altLang="zh-TW" sz="1400" baseline="0"/>
            <a:t> </a:t>
          </a:r>
          <a:r>
            <a:rPr lang="en-US" altLang="zh-TW" sz="1400"/>
            <a:t>V8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4</xdr:row>
      <xdr:rowOff>0</xdr:rowOff>
    </xdr:to>
    <xdr:sp macro="[0]!V12.Main" textlink="">
      <xdr:nvSpPr>
        <xdr:cNvPr id="2" name="矩形 1">
          <a:extLst>
            <a:ext uri="{FF2B5EF4-FFF2-40B4-BE49-F238E27FC236}">
              <a16:creationId xmlns:a16="http://schemas.microsoft.com/office/drawing/2014/main" id="{785819BF-FAB2-46F9-8BA6-DA1A467F8152}"/>
            </a:ext>
          </a:extLst>
        </xdr:cNvPr>
        <xdr:cNvSpPr/>
      </xdr:nvSpPr>
      <xdr:spPr>
        <a:xfrm>
          <a:off x="0" y="0"/>
          <a:ext cx="1828800" cy="83058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 </a:t>
          </a:r>
          <a:r>
            <a:rPr lang="en-US" altLang="zh-TW" sz="1400"/>
            <a:t>V12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7">
    <tabColor theme="4"/>
  </sheetPr>
  <dimension ref="A1:R25"/>
  <sheetViews>
    <sheetView workbookViewId="0"/>
  </sheetViews>
  <sheetFormatPr defaultColWidth="8.875" defaultRowHeight="15.75" x14ac:dyDescent="0.25"/>
  <cols>
    <col min="1" max="1" width="8.875" style="44"/>
    <col min="2" max="2" width="17.75" style="44" bestFit="1" customWidth="1"/>
    <col min="3" max="3" width="8.875" style="44"/>
    <col min="4" max="4" width="9" style="44" bestFit="1" customWidth="1"/>
    <col min="5" max="11" width="8.875" style="44"/>
    <col min="12" max="13" width="12.625" style="44" bestFit="1" customWidth="1"/>
    <col min="14" max="14" width="17.125" style="44" bestFit="1" customWidth="1"/>
    <col min="15" max="15" width="14" style="44" bestFit="1" customWidth="1"/>
    <col min="16" max="16" width="11.375" style="44" bestFit="1" customWidth="1"/>
    <col min="17" max="17" width="9" style="44" bestFit="1" customWidth="1"/>
    <col min="18" max="18" width="12.625" style="44" bestFit="1" customWidth="1"/>
    <col min="19" max="16384" width="8.875" style="44"/>
  </cols>
  <sheetData>
    <row r="1" spans="1:18" x14ac:dyDescent="0.25">
      <c r="A1" s="44" t="s">
        <v>545</v>
      </c>
      <c r="B1" s="45">
        <v>43137</v>
      </c>
    </row>
    <row r="2" spans="1:18" x14ac:dyDescent="0.25">
      <c r="A2" s="44" t="s">
        <v>546</v>
      </c>
      <c r="B2" s="44" t="s">
        <v>552</v>
      </c>
    </row>
    <row r="3" spans="1:18" x14ac:dyDescent="0.25">
      <c r="A3" s="44" t="s">
        <v>547</v>
      </c>
      <c r="B3" s="44" t="s">
        <v>553</v>
      </c>
    </row>
    <row r="4" spans="1:18" ht="16.5" thickBot="1" x14ac:dyDescent="0.3"/>
    <row r="5" spans="1:18" ht="16.149999999999999" customHeight="1" thickBot="1" x14ac:dyDescent="0.3">
      <c r="D5" s="61" t="s">
        <v>564</v>
      </c>
      <c r="E5" s="62"/>
      <c r="F5" s="62"/>
      <c r="G5" s="62"/>
      <c r="H5" s="62"/>
      <c r="I5" s="63"/>
      <c r="L5" s="61" t="s">
        <v>565</v>
      </c>
      <c r="M5" s="62"/>
      <c r="N5" s="62"/>
      <c r="O5" s="62"/>
      <c r="P5" s="62"/>
      <c r="Q5" s="62"/>
      <c r="R5" s="63"/>
    </row>
    <row r="6" spans="1:18" ht="16.5" thickTop="1" x14ac:dyDescent="0.25">
      <c r="D6" s="64" t="s">
        <v>549</v>
      </c>
      <c r="E6" s="65"/>
      <c r="F6" s="65"/>
      <c r="G6" s="65"/>
      <c r="H6" s="65"/>
      <c r="I6" s="66"/>
      <c r="L6" s="58" t="s">
        <v>566</v>
      </c>
      <c r="M6" s="59"/>
      <c r="N6" s="59"/>
      <c r="O6" s="59"/>
      <c r="P6" s="59"/>
      <c r="Q6" s="59"/>
      <c r="R6" s="60"/>
    </row>
    <row r="7" spans="1:18" x14ac:dyDescent="0.25">
      <c r="D7" s="27">
        <v>1</v>
      </c>
      <c r="E7" s="28" t="s">
        <v>554</v>
      </c>
      <c r="F7" s="29"/>
      <c r="G7" s="29"/>
      <c r="H7" s="29"/>
      <c r="I7" s="30"/>
      <c r="L7" s="39" t="s">
        <v>548</v>
      </c>
      <c r="M7" s="29"/>
      <c r="N7" s="29"/>
      <c r="O7" s="29"/>
      <c r="P7" s="29"/>
      <c r="Q7" s="29"/>
      <c r="R7" s="30"/>
    </row>
    <row r="8" spans="1:18" x14ac:dyDescent="0.25">
      <c r="D8" s="27">
        <v>2</v>
      </c>
      <c r="E8" s="28" t="s">
        <v>555</v>
      </c>
      <c r="F8" s="29"/>
      <c r="G8" s="29"/>
      <c r="H8" s="29"/>
      <c r="I8" s="30"/>
      <c r="L8" s="27" t="s">
        <v>534</v>
      </c>
      <c r="M8" s="29" t="s">
        <v>535</v>
      </c>
      <c r="N8" s="29" t="s">
        <v>536</v>
      </c>
      <c r="O8" s="29" t="s">
        <v>537</v>
      </c>
      <c r="P8" s="29" t="s">
        <v>538</v>
      </c>
      <c r="Q8" s="29" t="s">
        <v>345</v>
      </c>
      <c r="R8" s="30"/>
    </row>
    <row r="9" spans="1:18" x14ac:dyDescent="0.25">
      <c r="D9" s="27">
        <v>3</v>
      </c>
      <c r="E9" s="28" t="s">
        <v>556</v>
      </c>
      <c r="F9" s="29"/>
      <c r="G9" s="29"/>
      <c r="H9" s="29"/>
      <c r="I9" s="30"/>
      <c r="L9" s="27" t="s">
        <v>489</v>
      </c>
      <c r="M9" s="29" t="s">
        <v>489</v>
      </c>
      <c r="N9" s="29" t="s">
        <v>489</v>
      </c>
      <c r="O9" s="29" t="s">
        <v>489</v>
      </c>
      <c r="P9" s="29" t="s">
        <v>489</v>
      </c>
      <c r="Q9" s="29" t="s">
        <v>490</v>
      </c>
      <c r="R9" s="30"/>
    </row>
    <row r="10" spans="1:18" x14ac:dyDescent="0.25">
      <c r="D10" s="31">
        <v>4</v>
      </c>
      <c r="E10" s="32" t="s">
        <v>557</v>
      </c>
      <c r="F10" s="33"/>
      <c r="G10" s="33"/>
      <c r="H10" s="33"/>
      <c r="I10" s="34"/>
      <c r="L10" s="27" t="s">
        <v>346</v>
      </c>
      <c r="M10" s="29" t="s">
        <v>169</v>
      </c>
      <c r="N10" s="29" t="s">
        <v>210</v>
      </c>
      <c r="O10" s="29" t="s">
        <v>539</v>
      </c>
      <c r="P10" s="29" t="s">
        <v>540</v>
      </c>
      <c r="Q10" s="29">
        <v>8.3000000000000007</v>
      </c>
      <c r="R10" s="30"/>
    </row>
    <row r="11" spans="1:18" x14ac:dyDescent="0.25">
      <c r="D11" s="67" t="s">
        <v>551</v>
      </c>
      <c r="E11" s="68"/>
      <c r="F11" s="68"/>
      <c r="G11" s="68"/>
      <c r="H11" s="68"/>
      <c r="I11" s="69"/>
      <c r="L11" s="39" t="s">
        <v>550</v>
      </c>
      <c r="M11" s="29"/>
      <c r="N11" s="29"/>
      <c r="O11" s="29"/>
      <c r="P11" s="29"/>
      <c r="Q11" s="29"/>
      <c r="R11" s="30"/>
    </row>
    <row r="12" spans="1:18" x14ac:dyDescent="0.25">
      <c r="D12" s="27">
        <v>1</v>
      </c>
      <c r="E12" s="28" t="s">
        <v>554</v>
      </c>
      <c r="F12" s="29"/>
      <c r="G12" s="29"/>
      <c r="H12" s="29"/>
      <c r="I12" s="30"/>
      <c r="L12" s="27" t="s">
        <v>479</v>
      </c>
      <c r="M12" s="29" t="s">
        <v>480</v>
      </c>
      <c r="N12" s="29" t="s">
        <v>481</v>
      </c>
      <c r="O12" s="29" t="s">
        <v>482</v>
      </c>
      <c r="P12" s="29" t="s">
        <v>483</v>
      </c>
      <c r="Q12" s="29" t="s">
        <v>484</v>
      </c>
      <c r="R12" s="30" t="s">
        <v>485</v>
      </c>
    </row>
    <row r="13" spans="1:18" x14ac:dyDescent="0.25">
      <c r="D13" s="27">
        <v>2</v>
      </c>
      <c r="E13" s="28" t="s">
        <v>555</v>
      </c>
      <c r="F13" s="29"/>
      <c r="G13" s="29"/>
      <c r="H13" s="29"/>
      <c r="I13" s="30"/>
      <c r="L13" s="27" t="s">
        <v>489</v>
      </c>
      <c r="M13" s="29" t="s">
        <v>489</v>
      </c>
      <c r="N13" s="29" t="s">
        <v>489</v>
      </c>
      <c r="O13" s="29" t="s">
        <v>489</v>
      </c>
      <c r="P13" s="29" t="s">
        <v>490</v>
      </c>
      <c r="Q13" s="29" t="s">
        <v>490</v>
      </c>
      <c r="R13" s="30" t="s">
        <v>490</v>
      </c>
    </row>
    <row r="14" spans="1:18" x14ac:dyDescent="0.25">
      <c r="D14" s="27">
        <v>3</v>
      </c>
      <c r="E14" s="28" t="s">
        <v>556</v>
      </c>
      <c r="F14" s="29"/>
      <c r="G14" s="29"/>
      <c r="H14" s="29"/>
      <c r="I14" s="30"/>
      <c r="L14" s="27" t="s">
        <v>169</v>
      </c>
      <c r="M14" s="29" t="s">
        <v>169</v>
      </c>
      <c r="N14" s="29" t="s">
        <v>11</v>
      </c>
      <c r="O14" s="29" t="s">
        <v>492</v>
      </c>
      <c r="P14" s="29">
        <v>0</v>
      </c>
      <c r="Q14" s="29">
        <v>0</v>
      </c>
      <c r="R14" s="40">
        <v>-2.3500000000000001E-3</v>
      </c>
    </row>
    <row r="15" spans="1:18" ht="16.5" thickBot="1" x14ac:dyDescent="0.3">
      <c r="D15" s="35">
        <v>4</v>
      </c>
      <c r="E15" s="36" t="s">
        <v>561</v>
      </c>
      <c r="F15" s="37"/>
      <c r="G15" s="37"/>
      <c r="H15" s="37"/>
      <c r="I15" s="38"/>
      <c r="L15" s="31" t="s">
        <v>210</v>
      </c>
      <c r="M15" s="33" t="s">
        <v>210</v>
      </c>
      <c r="N15" s="33" t="s">
        <v>11</v>
      </c>
      <c r="O15" s="33" t="s">
        <v>492</v>
      </c>
      <c r="P15" s="33">
        <v>0</v>
      </c>
      <c r="Q15" s="33">
        <v>0</v>
      </c>
      <c r="R15" s="34">
        <v>-2.1559999999999999E-3</v>
      </c>
    </row>
    <row r="16" spans="1:18" x14ac:dyDescent="0.25">
      <c r="L16" s="58" t="s">
        <v>567</v>
      </c>
      <c r="M16" s="59"/>
      <c r="N16" s="59"/>
      <c r="O16" s="59"/>
      <c r="P16" s="59"/>
      <c r="Q16" s="59"/>
      <c r="R16" s="60"/>
    </row>
    <row r="17" spans="12:18" x14ac:dyDescent="0.25">
      <c r="L17" s="27">
        <v>1</v>
      </c>
      <c r="M17" s="28" t="s">
        <v>558</v>
      </c>
      <c r="N17" s="29"/>
      <c r="O17" s="29"/>
      <c r="P17" s="29"/>
      <c r="Q17" s="29"/>
      <c r="R17" s="30"/>
    </row>
    <row r="18" spans="12:18" x14ac:dyDescent="0.25">
      <c r="L18" s="27">
        <v>2</v>
      </c>
      <c r="M18" s="28" t="s">
        <v>559</v>
      </c>
      <c r="N18" s="29"/>
      <c r="O18" s="29"/>
      <c r="P18" s="29"/>
      <c r="Q18" s="29"/>
      <c r="R18" s="30"/>
    </row>
    <row r="19" spans="12:18" x14ac:dyDescent="0.25">
      <c r="L19" s="31">
        <v>3</v>
      </c>
      <c r="M19" s="32" t="s">
        <v>560</v>
      </c>
      <c r="N19" s="33"/>
      <c r="O19" s="33"/>
      <c r="P19" s="33"/>
      <c r="Q19" s="33"/>
      <c r="R19" s="34"/>
    </row>
    <row r="20" spans="12:18" x14ac:dyDescent="0.25">
      <c r="L20" s="58" t="s">
        <v>568</v>
      </c>
      <c r="M20" s="59"/>
      <c r="N20" s="59"/>
      <c r="O20" s="59"/>
      <c r="P20" s="59"/>
      <c r="Q20" s="59"/>
      <c r="R20" s="60"/>
    </row>
    <row r="21" spans="12:18" x14ac:dyDescent="0.25">
      <c r="L21" s="27" t="s">
        <v>342</v>
      </c>
      <c r="M21" s="29" t="s">
        <v>343</v>
      </c>
      <c r="N21" s="29" t="s">
        <v>544</v>
      </c>
      <c r="O21" s="29"/>
      <c r="P21" s="29"/>
      <c r="Q21" s="29"/>
      <c r="R21" s="30"/>
    </row>
    <row r="22" spans="12:18" x14ac:dyDescent="0.25">
      <c r="L22" s="41">
        <v>-2.3500000000000001E-3</v>
      </c>
      <c r="M22" s="42">
        <v>-2.1559999999999999E-3</v>
      </c>
      <c r="N22" s="29">
        <v>2.3373493975903599E-5</v>
      </c>
      <c r="O22" s="29"/>
      <c r="P22" s="29"/>
      <c r="Q22" s="29"/>
      <c r="R22" s="30"/>
    </row>
    <row r="23" spans="12:18" x14ac:dyDescent="0.25">
      <c r="L23" s="39" t="s">
        <v>563</v>
      </c>
      <c r="M23" s="29"/>
      <c r="N23" s="29"/>
      <c r="O23" s="29"/>
      <c r="P23" s="29"/>
      <c r="Q23" s="29"/>
      <c r="R23" s="30"/>
    </row>
    <row r="24" spans="12:18" ht="16.5" thickBot="1" x14ac:dyDescent="0.3">
      <c r="L24" s="43" t="s">
        <v>562</v>
      </c>
      <c r="M24" s="37"/>
      <c r="N24" s="37"/>
      <c r="O24" s="37"/>
      <c r="P24" s="37"/>
      <c r="Q24" s="37"/>
      <c r="R24" s="38"/>
    </row>
    <row r="25" spans="12:18" x14ac:dyDescent="0.25">
      <c r="M25" s="46"/>
    </row>
  </sheetData>
  <mergeCells count="7">
    <mergeCell ref="L20:R20"/>
    <mergeCell ref="D5:I5"/>
    <mergeCell ref="D6:I6"/>
    <mergeCell ref="D11:I11"/>
    <mergeCell ref="L5:R5"/>
    <mergeCell ref="L6:R6"/>
    <mergeCell ref="L16:R16"/>
  </mergeCells>
  <phoneticPr fontId="2" type="noConversion"/>
  <pageMargins left="0.7" right="0.7" top="0.75" bottom="0.75" header="0.3" footer="0.3"/>
  <ignoredErrors>
    <ignoredError sqref="M10:N10 L14:M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J37"/>
  <sheetViews>
    <sheetView workbookViewId="0">
      <selection activeCell="D41" sqref="D41"/>
    </sheetView>
  </sheetViews>
  <sheetFormatPr defaultColWidth="8.875" defaultRowHeight="15.75" x14ac:dyDescent="0.25"/>
  <cols>
    <col min="1" max="1" width="8.875" style="14"/>
    <col min="2" max="3" width="9" style="6" bestFit="1" customWidth="1"/>
    <col min="4" max="4" width="8.875" style="6"/>
    <col min="5" max="7" width="12.75" style="6" bestFit="1" customWidth="1"/>
    <col min="8" max="16384" width="8.875" style="6"/>
  </cols>
  <sheetData>
    <row r="1" spans="1:10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</row>
    <row r="2" spans="1:10" x14ac:dyDescent="0.25">
      <c r="A2" s="16" t="s">
        <v>10</v>
      </c>
      <c r="B2" s="16">
        <v>21</v>
      </c>
      <c r="C2" s="16">
        <v>1</v>
      </c>
      <c r="D2" s="16" t="s">
        <v>11</v>
      </c>
      <c r="E2" s="16">
        <v>-3.5793259999999999E-3</v>
      </c>
      <c r="F2" s="16">
        <v>7.6989980000000005E-4</v>
      </c>
      <c r="G2" s="16">
        <v>4.7432660000000001E-5</v>
      </c>
      <c r="H2" s="17"/>
      <c r="I2" s="17"/>
      <c r="J2" s="17"/>
    </row>
    <row r="3" spans="1:10" x14ac:dyDescent="0.25">
      <c r="A3" s="16" t="s">
        <v>10</v>
      </c>
      <c r="B3" s="16">
        <v>21</v>
      </c>
      <c r="C3" s="16">
        <v>1</v>
      </c>
      <c r="D3" s="16" t="s">
        <v>12</v>
      </c>
      <c r="E3" s="16">
        <v>-4.3743929999999999E-3</v>
      </c>
      <c r="F3" s="16">
        <v>8.8121800000000002E-4</v>
      </c>
      <c r="G3" s="16">
        <v>5.6027240000000001E-5</v>
      </c>
      <c r="H3" s="17"/>
      <c r="I3" s="17"/>
      <c r="J3" s="17"/>
    </row>
    <row r="4" spans="1:10" x14ac:dyDescent="0.25">
      <c r="A4" s="16" t="s">
        <v>10</v>
      </c>
      <c r="B4" s="16">
        <v>21</v>
      </c>
      <c r="C4" s="16">
        <v>1</v>
      </c>
      <c r="D4" s="16" t="s">
        <v>13</v>
      </c>
      <c r="E4" s="16">
        <v>-3.92567E-3</v>
      </c>
      <c r="F4" s="16">
        <v>7.0593770000000004E-4</v>
      </c>
      <c r="G4" s="16">
        <v>4.7232389999999998E-5</v>
      </c>
      <c r="H4" s="17"/>
      <c r="I4" s="17"/>
      <c r="J4" s="17"/>
    </row>
    <row r="5" spans="1:10" x14ac:dyDescent="0.25">
      <c r="A5" s="16" t="s">
        <v>10</v>
      </c>
      <c r="B5" s="16">
        <v>21</v>
      </c>
      <c r="C5" s="16">
        <v>1</v>
      </c>
      <c r="D5" s="16" t="s">
        <v>14</v>
      </c>
      <c r="E5" s="16">
        <v>-4.7067289999999998E-3</v>
      </c>
      <c r="F5" s="16">
        <v>8.2198410000000003E-4</v>
      </c>
      <c r="G5" s="16">
        <v>5.5777340000000002E-5</v>
      </c>
      <c r="H5" s="17"/>
      <c r="I5" s="17"/>
      <c r="J5" s="17"/>
    </row>
    <row r="6" spans="1:10" x14ac:dyDescent="0.25">
      <c r="A6" s="16" t="s">
        <v>10</v>
      </c>
      <c r="B6" s="16">
        <v>21</v>
      </c>
      <c r="C6" s="16">
        <v>1</v>
      </c>
      <c r="D6" s="16" t="s">
        <v>15</v>
      </c>
      <c r="E6" s="16">
        <v>-4.2913300000000003E-3</v>
      </c>
      <c r="F6" s="16">
        <v>8.3117369999999996E-4</v>
      </c>
      <c r="G6" s="16">
        <v>7.6863260000000004E-5</v>
      </c>
      <c r="H6" s="17"/>
      <c r="I6" s="17"/>
      <c r="J6" s="17"/>
    </row>
    <row r="7" spans="1:10" x14ac:dyDescent="0.25">
      <c r="A7" s="16" t="s">
        <v>10</v>
      </c>
      <c r="B7" s="16">
        <v>21</v>
      </c>
      <c r="C7" s="16">
        <v>1</v>
      </c>
      <c r="D7" s="16" t="s">
        <v>16</v>
      </c>
      <c r="E7" s="16">
        <v>-3.7173829999999999E-3</v>
      </c>
      <c r="F7" s="16">
        <v>6.525465E-4</v>
      </c>
      <c r="G7" s="16">
        <v>4.490832E-5</v>
      </c>
      <c r="H7" s="17"/>
      <c r="I7" s="17"/>
      <c r="J7" s="17"/>
    </row>
    <row r="8" spans="1:10" x14ac:dyDescent="0.25">
      <c r="A8" s="16" t="s">
        <v>10</v>
      </c>
      <c r="B8" s="16">
        <v>21</v>
      </c>
      <c r="C8" s="16">
        <v>1</v>
      </c>
      <c r="D8" s="16" t="s">
        <v>17</v>
      </c>
      <c r="E8" s="16">
        <v>-4.3131580000000001E-3</v>
      </c>
      <c r="F8" s="16">
        <v>8.280071E-4</v>
      </c>
      <c r="G8" s="16">
        <v>7.5862309999999994E-5</v>
      </c>
      <c r="H8" s="17"/>
      <c r="I8" s="17"/>
      <c r="J8" s="17"/>
    </row>
    <row r="9" spans="1:10" x14ac:dyDescent="0.25">
      <c r="A9" s="16" t="s">
        <v>10</v>
      </c>
      <c r="B9" s="16">
        <v>21</v>
      </c>
      <c r="C9" s="16">
        <v>1</v>
      </c>
      <c r="D9" s="16" t="s">
        <v>18</v>
      </c>
      <c r="E9" s="16">
        <v>-3.694073E-3</v>
      </c>
      <c r="F9" s="16">
        <v>6.4870300000000004E-4</v>
      </c>
      <c r="G9" s="16">
        <v>4.3521420000000001E-5</v>
      </c>
      <c r="H9" s="17"/>
      <c r="I9" s="17"/>
      <c r="J9" s="17"/>
    </row>
    <row r="10" spans="1:10" x14ac:dyDescent="0.25">
      <c r="A10" s="16" t="s">
        <v>10</v>
      </c>
      <c r="B10" s="16">
        <v>21</v>
      </c>
      <c r="C10" s="16">
        <v>1</v>
      </c>
      <c r="D10" s="16" t="s">
        <v>19</v>
      </c>
      <c r="E10" s="16">
        <v>-5.2733700000000003E-3</v>
      </c>
      <c r="F10" s="16">
        <v>9.5446579999999999E-4</v>
      </c>
      <c r="G10" s="16">
        <v>4.0601559999999998E-5</v>
      </c>
      <c r="H10" s="17"/>
      <c r="I10" s="17"/>
      <c r="J10" s="17"/>
    </row>
    <row r="11" spans="1:10" x14ac:dyDescent="0.25">
      <c r="A11" s="16" t="s">
        <v>10</v>
      </c>
      <c r="B11" s="16">
        <v>21</v>
      </c>
      <c r="C11" s="16">
        <v>1</v>
      </c>
      <c r="D11" s="16" t="s">
        <v>20</v>
      </c>
      <c r="E11" s="16">
        <v>-5.858004E-3</v>
      </c>
      <c r="F11" s="16">
        <v>1.1387909999999999E-3</v>
      </c>
      <c r="G11" s="16">
        <v>7.4526850000000003E-5</v>
      </c>
      <c r="H11" s="17"/>
      <c r="I11" s="17"/>
      <c r="J11" s="17"/>
    </row>
    <row r="12" spans="1:10" x14ac:dyDescent="0.25">
      <c r="A12" s="16" t="s">
        <v>10</v>
      </c>
      <c r="B12" s="16">
        <v>21</v>
      </c>
      <c r="C12" s="16">
        <v>1</v>
      </c>
      <c r="D12" s="16" t="s">
        <v>21</v>
      </c>
      <c r="E12" s="16">
        <v>-5.251543E-3</v>
      </c>
      <c r="F12" s="16">
        <v>9.5763230000000003E-4</v>
      </c>
      <c r="G12" s="16">
        <v>4.1602510000000001E-5</v>
      </c>
      <c r="H12" s="17"/>
      <c r="I12" s="17"/>
      <c r="J12" s="17"/>
    </row>
    <row r="13" spans="1:10" x14ac:dyDescent="0.25">
      <c r="A13" s="16" t="s">
        <v>10</v>
      </c>
      <c r="B13" s="16">
        <v>21</v>
      </c>
      <c r="C13" s="16">
        <v>1</v>
      </c>
      <c r="D13" s="16" t="s">
        <v>22</v>
      </c>
      <c r="E13" s="16">
        <v>-5.8706280000000001E-3</v>
      </c>
      <c r="F13" s="16">
        <v>1.1369360000000001E-3</v>
      </c>
      <c r="G13" s="16">
        <v>7.3943399999999994E-5</v>
      </c>
      <c r="H13" s="17"/>
      <c r="I13" s="17"/>
      <c r="J13" s="17"/>
    </row>
    <row r="14" spans="1:10" x14ac:dyDescent="0.25">
      <c r="A14" s="16" t="s">
        <v>10</v>
      </c>
      <c r="B14" s="16">
        <v>21</v>
      </c>
      <c r="C14" s="16">
        <v>1</v>
      </c>
      <c r="D14" s="16" t="s">
        <v>23</v>
      </c>
      <c r="E14" s="16">
        <v>-3.8076849999999999E-3</v>
      </c>
      <c r="F14" s="16">
        <v>7.4869879999999995E-4</v>
      </c>
      <c r="G14" s="16">
        <v>7.1204889999999999E-5</v>
      </c>
      <c r="H14" s="17"/>
      <c r="I14" s="17"/>
      <c r="J14" s="17"/>
    </row>
    <row r="15" spans="1:10" x14ac:dyDescent="0.25">
      <c r="A15" s="16" t="s">
        <v>10</v>
      </c>
      <c r="B15" s="16">
        <v>21</v>
      </c>
      <c r="C15" s="16">
        <v>1</v>
      </c>
      <c r="D15" s="16" t="s">
        <v>24</v>
      </c>
      <c r="E15" s="16">
        <v>-3.2230520000000001E-3</v>
      </c>
      <c r="F15" s="16">
        <v>5.6437339999999999E-4</v>
      </c>
      <c r="G15" s="16">
        <v>3.7279610000000002E-5</v>
      </c>
      <c r="H15" s="17"/>
      <c r="I15" s="17"/>
      <c r="J15" s="17"/>
    </row>
    <row r="16" spans="1:10" x14ac:dyDescent="0.25">
      <c r="A16" s="16" t="s">
        <v>10</v>
      </c>
      <c r="B16" s="16">
        <v>21</v>
      </c>
      <c r="C16" s="16">
        <v>1</v>
      </c>
      <c r="D16" s="16" t="s">
        <v>25</v>
      </c>
      <c r="E16" s="16">
        <v>-3.8295130000000001E-3</v>
      </c>
      <c r="F16" s="16">
        <v>7.4553219999999999E-4</v>
      </c>
      <c r="G16" s="16">
        <v>7.0203930000000003E-5</v>
      </c>
      <c r="H16" s="17"/>
      <c r="I16" s="17"/>
      <c r="J16" s="17"/>
    </row>
    <row r="17" spans="1:10" x14ac:dyDescent="0.25">
      <c r="A17" s="16" t="s">
        <v>10</v>
      </c>
      <c r="B17" s="16">
        <v>21</v>
      </c>
      <c r="C17" s="16">
        <v>1</v>
      </c>
      <c r="D17" s="16" t="s">
        <v>26</v>
      </c>
      <c r="E17" s="16">
        <v>-3.210428E-3</v>
      </c>
      <c r="F17" s="16">
        <v>5.6622810000000003E-4</v>
      </c>
      <c r="G17" s="16">
        <v>3.7863050000000003E-5</v>
      </c>
      <c r="H17" s="17"/>
      <c r="I17" s="17"/>
      <c r="J17" s="17"/>
    </row>
    <row r="18" spans="1:10" x14ac:dyDescent="0.25">
      <c r="A18" s="16" t="s">
        <v>10</v>
      </c>
      <c r="B18" s="16">
        <v>21</v>
      </c>
      <c r="C18" s="16">
        <v>1</v>
      </c>
      <c r="D18" s="16" t="s">
        <v>27</v>
      </c>
      <c r="E18" s="16">
        <v>-4.7897249999999999E-3</v>
      </c>
      <c r="F18" s="16">
        <v>8.7199089999999999E-4</v>
      </c>
      <c r="G18" s="16">
        <v>3.494319E-5</v>
      </c>
      <c r="H18" s="17"/>
      <c r="I18" s="17"/>
      <c r="J18" s="17"/>
    </row>
    <row r="19" spans="1:10" x14ac:dyDescent="0.25">
      <c r="A19" s="16" t="s">
        <v>10</v>
      </c>
      <c r="B19" s="16">
        <v>21</v>
      </c>
      <c r="C19" s="16">
        <v>1</v>
      </c>
      <c r="D19" s="16" t="s">
        <v>28</v>
      </c>
      <c r="E19" s="16">
        <v>-5.3743580000000001E-3</v>
      </c>
      <c r="F19" s="16">
        <v>1.0563160000000001E-3</v>
      </c>
      <c r="G19" s="16">
        <v>6.8868469999999998E-5</v>
      </c>
      <c r="H19" s="17"/>
      <c r="I19" s="17"/>
      <c r="J19" s="17"/>
    </row>
    <row r="20" spans="1:10" x14ac:dyDescent="0.25">
      <c r="A20" s="16" t="s">
        <v>10</v>
      </c>
      <c r="B20" s="16">
        <v>21</v>
      </c>
      <c r="C20" s="16">
        <v>1</v>
      </c>
      <c r="D20" s="16" t="s">
        <v>29</v>
      </c>
      <c r="E20" s="16">
        <v>-4.7678970000000001E-3</v>
      </c>
      <c r="F20" s="16">
        <v>8.7515740000000002E-4</v>
      </c>
      <c r="G20" s="16">
        <v>3.5944149999999997E-5</v>
      </c>
      <c r="H20" s="17"/>
      <c r="I20" s="17"/>
      <c r="J20" s="17"/>
    </row>
    <row r="21" spans="1:10" x14ac:dyDescent="0.25">
      <c r="A21" s="16" t="s">
        <v>10</v>
      </c>
      <c r="B21" s="16">
        <v>21</v>
      </c>
      <c r="C21" s="16">
        <v>1</v>
      </c>
      <c r="D21" s="16" t="s">
        <v>30</v>
      </c>
      <c r="E21" s="16">
        <v>-5.3869829999999997E-3</v>
      </c>
      <c r="F21" s="16">
        <v>1.054461E-3</v>
      </c>
      <c r="G21" s="16">
        <v>6.8285030000000003E-5</v>
      </c>
      <c r="H21" s="17"/>
      <c r="I21" s="17"/>
      <c r="J21" s="17"/>
    </row>
    <row r="22" spans="1:10" x14ac:dyDescent="0.25">
      <c r="A22" s="16" t="s">
        <v>10</v>
      </c>
      <c r="B22" s="16">
        <v>21</v>
      </c>
      <c r="C22" s="16">
        <v>1</v>
      </c>
      <c r="D22" s="16" t="s">
        <v>31</v>
      </c>
      <c r="E22" s="16">
        <v>-5.1992970000000003E-3</v>
      </c>
      <c r="F22" s="16">
        <v>9.7054659999999996E-4</v>
      </c>
      <c r="G22" s="16">
        <v>7.0773090000000001E-5</v>
      </c>
      <c r="H22" s="17"/>
      <c r="I22" s="17"/>
      <c r="J22" s="17"/>
    </row>
    <row r="23" spans="1:10" x14ac:dyDescent="0.25">
      <c r="A23" s="16" t="s">
        <v>10</v>
      </c>
      <c r="B23" s="16">
        <v>21</v>
      </c>
      <c r="C23" s="16">
        <v>1</v>
      </c>
      <c r="D23" s="16" t="s">
        <v>32</v>
      </c>
      <c r="E23" s="16">
        <v>-5.0239070000000002E-3</v>
      </c>
      <c r="F23" s="16">
        <v>9.1524909999999996E-4</v>
      </c>
      <c r="G23" s="16">
        <v>6.059551E-5</v>
      </c>
      <c r="H23" s="17"/>
      <c r="I23" s="17"/>
      <c r="J23" s="17"/>
    </row>
    <row r="24" spans="1:10" x14ac:dyDescent="0.25">
      <c r="A24" s="16" t="s">
        <v>10</v>
      </c>
      <c r="B24" s="16">
        <v>21</v>
      </c>
      <c r="C24" s="16">
        <v>1</v>
      </c>
      <c r="D24" s="16" t="s">
        <v>33</v>
      </c>
      <c r="E24" s="16">
        <v>-5.2058449999999997E-3</v>
      </c>
      <c r="F24" s="16">
        <v>9.695967E-4</v>
      </c>
      <c r="G24" s="16">
        <v>7.0472810000000001E-5</v>
      </c>
      <c r="H24" s="17"/>
      <c r="I24" s="17"/>
      <c r="J24" s="17"/>
    </row>
    <row r="25" spans="1:10" x14ac:dyDescent="0.25">
      <c r="A25" s="16" t="s">
        <v>10</v>
      </c>
      <c r="B25" s="16">
        <v>21</v>
      </c>
      <c r="C25" s="16">
        <v>1</v>
      </c>
      <c r="D25" s="16" t="s">
        <v>34</v>
      </c>
      <c r="E25" s="16">
        <v>-5.0201200000000003E-3</v>
      </c>
      <c r="F25" s="16">
        <v>9.1580549999999996E-4</v>
      </c>
      <c r="G25" s="16">
        <v>6.077054E-5</v>
      </c>
      <c r="H25" s="17"/>
      <c r="I25" s="17"/>
      <c r="J25" s="17"/>
    </row>
    <row r="26" spans="1:10" x14ac:dyDescent="0.25">
      <c r="A26" s="16" t="s">
        <v>10</v>
      </c>
      <c r="B26" s="16">
        <v>21</v>
      </c>
      <c r="C26" s="16">
        <v>1</v>
      </c>
      <c r="D26" s="16" t="s">
        <v>35</v>
      </c>
      <c r="E26" s="16">
        <v>-5.4939089999999999E-3</v>
      </c>
      <c r="F26" s="16">
        <v>1.007534E-3</v>
      </c>
      <c r="G26" s="16">
        <v>5.9894579999999999E-5</v>
      </c>
      <c r="H26" s="17"/>
      <c r="I26" s="17"/>
      <c r="J26" s="17"/>
    </row>
    <row r="27" spans="1:10" x14ac:dyDescent="0.25">
      <c r="A27" s="16" t="s">
        <v>10</v>
      </c>
      <c r="B27" s="16">
        <v>21</v>
      </c>
      <c r="C27" s="16">
        <v>1</v>
      </c>
      <c r="D27" s="16" t="s">
        <v>36</v>
      </c>
      <c r="E27" s="16">
        <v>-5.669299E-3</v>
      </c>
      <c r="F27" s="16">
        <v>1.0628320000000001E-3</v>
      </c>
      <c r="G27" s="16">
        <v>7.0072170000000001E-5</v>
      </c>
      <c r="H27" s="17"/>
      <c r="I27" s="17"/>
      <c r="J27" s="17"/>
    </row>
    <row r="28" spans="1:10" x14ac:dyDescent="0.25">
      <c r="A28" s="16" t="s">
        <v>10</v>
      </c>
      <c r="B28" s="16">
        <v>21</v>
      </c>
      <c r="C28" s="16">
        <v>1</v>
      </c>
      <c r="D28" s="16" t="s">
        <v>37</v>
      </c>
      <c r="E28" s="16">
        <v>-5.4873609999999996E-3</v>
      </c>
      <c r="F28" s="16">
        <v>1.008484E-3</v>
      </c>
      <c r="G28" s="16">
        <v>6.019487E-5</v>
      </c>
      <c r="H28" s="17"/>
      <c r="I28" s="17"/>
      <c r="J28" s="17"/>
    </row>
    <row r="29" spans="1:10" x14ac:dyDescent="0.25">
      <c r="A29" s="16" t="s">
        <v>10</v>
      </c>
      <c r="B29" s="16">
        <v>21</v>
      </c>
      <c r="C29" s="16">
        <v>1</v>
      </c>
      <c r="D29" s="16" t="s">
        <v>38</v>
      </c>
      <c r="E29" s="16">
        <v>-5.6730859999999999E-3</v>
      </c>
      <c r="F29" s="16">
        <v>1.0622749999999999E-3</v>
      </c>
      <c r="G29" s="16">
        <v>6.9897139999999995E-5</v>
      </c>
      <c r="H29" s="17"/>
      <c r="I29" s="17"/>
      <c r="J29" s="17"/>
    </row>
    <row r="30" spans="1:10" x14ac:dyDescent="0.25">
      <c r="A30" s="16" t="s">
        <v>10</v>
      </c>
      <c r="B30" s="16">
        <v>21</v>
      </c>
      <c r="C30" s="16">
        <v>1</v>
      </c>
      <c r="D30" s="16" t="s">
        <v>39</v>
      </c>
      <c r="E30" s="16">
        <v>-3.5871459999999998E-3</v>
      </c>
      <c r="F30" s="16">
        <v>6.9563030000000003E-4</v>
      </c>
      <c r="G30" s="16">
        <v>5.1911869999999998E-5</v>
      </c>
      <c r="H30" s="17"/>
      <c r="I30" s="17"/>
      <c r="J30" s="17"/>
    </row>
    <row r="31" spans="1:10" x14ac:dyDescent="0.25">
      <c r="A31" s="16" t="s">
        <v>10</v>
      </c>
      <c r="B31" s="16">
        <v>21</v>
      </c>
      <c r="C31" s="16">
        <v>1</v>
      </c>
      <c r="D31" s="16" t="s">
        <v>40</v>
      </c>
      <c r="E31" s="16">
        <v>-3.4117560000000002E-3</v>
      </c>
      <c r="F31" s="16">
        <v>6.4033269999999999E-4</v>
      </c>
      <c r="G31" s="16">
        <v>4.1734280000000003E-5</v>
      </c>
      <c r="H31" s="17"/>
      <c r="I31" s="17"/>
      <c r="J31" s="17"/>
    </row>
    <row r="32" spans="1:10" x14ac:dyDescent="0.25">
      <c r="A32" s="16" t="s">
        <v>10</v>
      </c>
      <c r="B32" s="16">
        <v>21</v>
      </c>
      <c r="C32" s="16">
        <v>1</v>
      </c>
      <c r="D32" s="16" t="s">
        <v>41</v>
      </c>
      <c r="E32" s="16">
        <v>-3.593695E-3</v>
      </c>
      <c r="F32" s="16">
        <v>6.9468030000000003E-4</v>
      </c>
      <c r="G32" s="16">
        <v>5.1611579999999998E-5</v>
      </c>
      <c r="H32" s="17"/>
      <c r="I32" s="17"/>
      <c r="J32" s="17"/>
    </row>
    <row r="33" spans="1:10" x14ac:dyDescent="0.25">
      <c r="A33" s="16" t="s">
        <v>10</v>
      </c>
      <c r="B33" s="16">
        <v>21</v>
      </c>
      <c r="C33" s="16">
        <v>1</v>
      </c>
      <c r="D33" s="16" t="s">
        <v>42</v>
      </c>
      <c r="E33" s="16">
        <v>-3.4079689999999998E-3</v>
      </c>
      <c r="F33" s="16">
        <v>6.4088909999999999E-4</v>
      </c>
      <c r="G33" s="16">
        <v>4.1909310000000003E-5</v>
      </c>
      <c r="H33" s="17"/>
      <c r="I33" s="17"/>
      <c r="J33" s="17"/>
    </row>
    <row r="34" spans="1:10" x14ac:dyDescent="0.25">
      <c r="A34" s="16" t="s">
        <v>10</v>
      </c>
      <c r="B34" s="16">
        <v>21</v>
      </c>
      <c r="C34" s="16">
        <v>1</v>
      </c>
      <c r="D34" s="16" t="s">
        <v>43</v>
      </c>
      <c r="E34" s="16">
        <v>-3.8817579999999999E-3</v>
      </c>
      <c r="F34" s="16">
        <v>7.3261789999999995E-4</v>
      </c>
      <c r="G34" s="16">
        <v>4.1033360000000003E-5</v>
      </c>
      <c r="H34" s="17"/>
      <c r="I34" s="17"/>
      <c r="J34" s="17"/>
    </row>
    <row r="35" spans="1:10" x14ac:dyDescent="0.25">
      <c r="A35" s="16" t="s">
        <v>10</v>
      </c>
      <c r="B35" s="16">
        <v>21</v>
      </c>
      <c r="C35" s="16">
        <v>1</v>
      </c>
      <c r="D35" s="16" t="s">
        <v>44</v>
      </c>
      <c r="E35" s="16">
        <v>-4.057148E-3</v>
      </c>
      <c r="F35" s="16">
        <v>7.8791549999999999E-4</v>
      </c>
      <c r="G35" s="16">
        <v>5.1210939999999997E-5</v>
      </c>
      <c r="H35" s="17"/>
      <c r="I35" s="17"/>
      <c r="J35" s="17"/>
    </row>
    <row r="36" spans="1:10" x14ac:dyDescent="0.25">
      <c r="A36" s="16" t="s">
        <v>10</v>
      </c>
      <c r="B36" s="16">
        <v>21</v>
      </c>
      <c r="C36" s="16">
        <v>1</v>
      </c>
      <c r="D36" s="16" t="s">
        <v>45</v>
      </c>
      <c r="E36" s="16">
        <v>-3.87521E-3</v>
      </c>
      <c r="F36" s="16">
        <v>7.3356789999999995E-4</v>
      </c>
      <c r="G36" s="16">
        <v>4.1333640000000003E-5</v>
      </c>
      <c r="H36" s="17"/>
      <c r="I36" s="17"/>
      <c r="J36" s="17"/>
    </row>
    <row r="37" spans="1:10" x14ac:dyDescent="0.25">
      <c r="A37" s="16" t="s">
        <v>10</v>
      </c>
      <c r="B37" s="16">
        <v>21</v>
      </c>
      <c r="C37" s="16">
        <v>1</v>
      </c>
      <c r="D37" s="16" t="s">
        <v>46</v>
      </c>
      <c r="E37" s="16">
        <v>-4.0609349999999999E-3</v>
      </c>
      <c r="F37" s="16">
        <v>7.8735909999999999E-4</v>
      </c>
      <c r="G37" s="16">
        <v>5.1035909999999998E-5</v>
      </c>
      <c r="H37" s="17"/>
      <c r="I37" s="17"/>
      <c r="J37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DM128"/>
  <sheetViews>
    <sheetView workbookViewId="0">
      <selection activeCell="F1" sqref="F1"/>
    </sheetView>
  </sheetViews>
  <sheetFormatPr defaultRowHeight="15.75" x14ac:dyDescent="0.25"/>
  <cols>
    <col min="1" max="4" width="8.875" style="6"/>
    <col min="5" max="5" width="9.25" style="6" bestFit="1" customWidth="1"/>
    <col min="6" max="113" width="9" style="6" customWidth="1"/>
    <col min="114" max="114" width="8.875" style="6"/>
    <col min="115" max="115" width="10.375" style="6" bestFit="1" customWidth="1"/>
    <col min="116" max="116" width="18.125" style="6" bestFit="1" customWidth="1"/>
    <col min="117" max="117" width="11.375" style="6" bestFit="1" customWidth="1"/>
    <col min="118" max="118" width="9" style="6" bestFit="1" customWidth="1"/>
    <col min="119" max="269" width="8.875" style="6"/>
    <col min="270" max="270" width="11.75" style="6" bestFit="1" customWidth="1"/>
    <col min="271" max="293" width="8.875" style="6"/>
    <col min="294" max="294" width="12.25" style="6" bestFit="1" customWidth="1"/>
    <col min="295" max="525" width="8.875" style="6"/>
    <col min="526" max="526" width="11.75" style="6" bestFit="1" customWidth="1"/>
    <col min="527" max="549" width="8.875" style="6"/>
    <col min="550" max="550" width="12.25" style="6" bestFit="1" customWidth="1"/>
    <col min="551" max="781" width="8.875" style="6"/>
    <col min="782" max="782" width="11.75" style="6" bestFit="1" customWidth="1"/>
    <col min="783" max="805" width="8.875" style="6"/>
    <col min="806" max="806" width="12.25" style="6" bestFit="1" customWidth="1"/>
    <col min="807" max="1037" width="8.875" style="6"/>
    <col min="1038" max="1038" width="11.75" style="6" bestFit="1" customWidth="1"/>
    <col min="1039" max="1061" width="8.875" style="6"/>
    <col min="1062" max="1062" width="12.25" style="6" bestFit="1" customWidth="1"/>
    <col min="1063" max="1293" width="8.875" style="6"/>
    <col min="1294" max="1294" width="11.75" style="6" bestFit="1" customWidth="1"/>
    <col min="1295" max="1317" width="8.875" style="6"/>
    <col min="1318" max="1318" width="12.25" style="6" bestFit="1" customWidth="1"/>
    <col min="1319" max="1549" width="8.875" style="6"/>
    <col min="1550" max="1550" width="11.75" style="6" bestFit="1" customWidth="1"/>
    <col min="1551" max="1573" width="8.875" style="6"/>
    <col min="1574" max="1574" width="12.25" style="6" bestFit="1" customWidth="1"/>
    <col min="1575" max="1805" width="8.875" style="6"/>
    <col min="1806" max="1806" width="11.75" style="6" bestFit="1" customWidth="1"/>
    <col min="1807" max="1829" width="8.875" style="6"/>
    <col min="1830" max="1830" width="12.25" style="6" bestFit="1" customWidth="1"/>
    <col min="1831" max="2061" width="8.875" style="6"/>
    <col min="2062" max="2062" width="11.75" style="6" bestFit="1" customWidth="1"/>
    <col min="2063" max="2085" width="8.875" style="6"/>
    <col min="2086" max="2086" width="12.25" style="6" bestFit="1" customWidth="1"/>
    <col min="2087" max="2317" width="8.875" style="6"/>
    <col min="2318" max="2318" width="11.75" style="6" bestFit="1" customWidth="1"/>
    <col min="2319" max="2341" width="8.875" style="6"/>
    <col min="2342" max="2342" width="12.25" style="6" bestFit="1" customWidth="1"/>
    <col min="2343" max="2573" width="8.875" style="6"/>
    <col min="2574" max="2574" width="11.75" style="6" bestFit="1" customWidth="1"/>
    <col min="2575" max="2597" width="8.875" style="6"/>
    <col min="2598" max="2598" width="12.25" style="6" bestFit="1" customWidth="1"/>
    <col min="2599" max="2829" width="8.875" style="6"/>
    <col min="2830" max="2830" width="11.75" style="6" bestFit="1" customWidth="1"/>
    <col min="2831" max="2853" width="8.875" style="6"/>
    <col min="2854" max="2854" width="12.25" style="6" bestFit="1" customWidth="1"/>
    <col min="2855" max="3085" width="8.875" style="6"/>
    <col min="3086" max="3086" width="11.75" style="6" bestFit="1" customWidth="1"/>
    <col min="3087" max="3109" width="8.875" style="6"/>
    <col min="3110" max="3110" width="12.25" style="6" bestFit="1" customWidth="1"/>
    <col min="3111" max="3341" width="8.875" style="6"/>
    <col min="3342" max="3342" width="11.75" style="6" bestFit="1" customWidth="1"/>
    <col min="3343" max="3365" width="8.875" style="6"/>
    <col min="3366" max="3366" width="12.25" style="6" bestFit="1" customWidth="1"/>
    <col min="3367" max="3597" width="8.875" style="6"/>
    <col min="3598" max="3598" width="11.75" style="6" bestFit="1" customWidth="1"/>
    <col min="3599" max="3621" width="8.875" style="6"/>
    <col min="3622" max="3622" width="12.25" style="6" bestFit="1" customWidth="1"/>
    <col min="3623" max="3853" width="8.875" style="6"/>
    <col min="3854" max="3854" width="11.75" style="6" bestFit="1" customWidth="1"/>
    <col min="3855" max="3877" width="8.875" style="6"/>
    <col min="3878" max="3878" width="12.25" style="6" bestFit="1" customWidth="1"/>
    <col min="3879" max="4109" width="8.875" style="6"/>
    <col min="4110" max="4110" width="11.75" style="6" bestFit="1" customWidth="1"/>
    <col min="4111" max="4133" width="8.875" style="6"/>
    <col min="4134" max="4134" width="12.25" style="6" bestFit="1" customWidth="1"/>
    <col min="4135" max="4365" width="8.875" style="6"/>
    <col min="4366" max="4366" width="11.75" style="6" bestFit="1" customWidth="1"/>
    <col min="4367" max="4389" width="8.875" style="6"/>
    <col min="4390" max="4390" width="12.25" style="6" bestFit="1" customWidth="1"/>
    <col min="4391" max="4621" width="8.875" style="6"/>
    <col min="4622" max="4622" width="11.75" style="6" bestFit="1" customWidth="1"/>
    <col min="4623" max="4645" width="8.875" style="6"/>
    <col min="4646" max="4646" width="12.25" style="6" bestFit="1" customWidth="1"/>
    <col min="4647" max="4877" width="8.875" style="6"/>
    <col min="4878" max="4878" width="11.75" style="6" bestFit="1" customWidth="1"/>
    <col min="4879" max="4901" width="8.875" style="6"/>
    <col min="4902" max="4902" width="12.25" style="6" bestFit="1" customWidth="1"/>
    <col min="4903" max="5133" width="8.875" style="6"/>
    <col min="5134" max="5134" width="11.75" style="6" bestFit="1" customWidth="1"/>
    <col min="5135" max="5157" width="8.875" style="6"/>
    <col min="5158" max="5158" width="12.25" style="6" bestFit="1" customWidth="1"/>
    <col min="5159" max="5389" width="8.875" style="6"/>
    <col min="5390" max="5390" width="11.75" style="6" bestFit="1" customWidth="1"/>
    <col min="5391" max="5413" width="8.875" style="6"/>
    <col min="5414" max="5414" width="12.25" style="6" bestFit="1" customWidth="1"/>
    <col min="5415" max="5645" width="8.875" style="6"/>
    <col min="5646" max="5646" width="11.75" style="6" bestFit="1" customWidth="1"/>
    <col min="5647" max="5669" width="8.875" style="6"/>
    <col min="5670" max="5670" width="12.25" style="6" bestFit="1" customWidth="1"/>
    <col min="5671" max="5901" width="8.875" style="6"/>
    <col min="5902" max="5902" width="11.75" style="6" bestFit="1" customWidth="1"/>
    <col min="5903" max="5925" width="8.875" style="6"/>
    <col min="5926" max="5926" width="12.25" style="6" bestFit="1" customWidth="1"/>
    <col min="5927" max="6157" width="8.875" style="6"/>
    <col min="6158" max="6158" width="11.75" style="6" bestFit="1" customWidth="1"/>
    <col min="6159" max="6181" width="8.875" style="6"/>
    <col min="6182" max="6182" width="12.25" style="6" bestFit="1" customWidth="1"/>
    <col min="6183" max="6413" width="8.875" style="6"/>
    <col min="6414" max="6414" width="11.75" style="6" bestFit="1" customWidth="1"/>
    <col min="6415" max="6437" width="8.875" style="6"/>
    <col min="6438" max="6438" width="12.25" style="6" bestFit="1" customWidth="1"/>
    <col min="6439" max="6669" width="8.875" style="6"/>
    <col min="6670" max="6670" width="11.75" style="6" bestFit="1" customWidth="1"/>
    <col min="6671" max="6693" width="8.875" style="6"/>
    <col min="6694" max="6694" width="12.25" style="6" bestFit="1" customWidth="1"/>
    <col min="6695" max="6925" width="8.875" style="6"/>
    <col min="6926" max="6926" width="11.75" style="6" bestFit="1" customWidth="1"/>
    <col min="6927" max="6949" width="8.875" style="6"/>
    <col min="6950" max="6950" width="12.25" style="6" bestFit="1" customWidth="1"/>
    <col min="6951" max="7181" width="8.875" style="6"/>
    <col min="7182" max="7182" width="11.75" style="6" bestFit="1" customWidth="1"/>
    <col min="7183" max="7205" width="8.875" style="6"/>
    <col min="7206" max="7206" width="12.25" style="6" bestFit="1" customWidth="1"/>
    <col min="7207" max="7437" width="8.875" style="6"/>
    <col min="7438" max="7438" width="11.75" style="6" bestFit="1" customWidth="1"/>
    <col min="7439" max="7461" width="8.875" style="6"/>
    <col min="7462" max="7462" width="12.25" style="6" bestFit="1" customWidth="1"/>
    <col min="7463" max="7693" width="8.875" style="6"/>
    <col min="7694" max="7694" width="11.75" style="6" bestFit="1" customWidth="1"/>
    <col min="7695" max="7717" width="8.875" style="6"/>
    <col min="7718" max="7718" width="12.25" style="6" bestFit="1" customWidth="1"/>
    <col min="7719" max="7949" width="8.875" style="6"/>
    <col min="7950" max="7950" width="11.75" style="6" bestFit="1" customWidth="1"/>
    <col min="7951" max="7973" width="8.875" style="6"/>
    <col min="7974" max="7974" width="12.25" style="6" bestFit="1" customWidth="1"/>
    <col min="7975" max="8205" width="8.875" style="6"/>
    <col min="8206" max="8206" width="11.75" style="6" bestFit="1" customWidth="1"/>
    <col min="8207" max="8229" width="8.875" style="6"/>
    <col min="8230" max="8230" width="12.25" style="6" bestFit="1" customWidth="1"/>
    <col min="8231" max="8461" width="8.875" style="6"/>
    <col min="8462" max="8462" width="11.75" style="6" bestFit="1" customWidth="1"/>
    <col min="8463" max="8485" width="8.875" style="6"/>
    <col min="8486" max="8486" width="12.25" style="6" bestFit="1" customWidth="1"/>
    <col min="8487" max="8717" width="8.875" style="6"/>
    <col min="8718" max="8718" width="11.75" style="6" bestFit="1" customWidth="1"/>
    <col min="8719" max="8741" width="8.875" style="6"/>
    <col min="8742" max="8742" width="12.25" style="6" bestFit="1" customWidth="1"/>
    <col min="8743" max="8973" width="8.875" style="6"/>
    <col min="8974" max="8974" width="11.75" style="6" bestFit="1" customWidth="1"/>
    <col min="8975" max="8997" width="8.875" style="6"/>
    <col min="8998" max="8998" width="12.25" style="6" bestFit="1" customWidth="1"/>
    <col min="8999" max="9229" width="8.875" style="6"/>
    <col min="9230" max="9230" width="11.75" style="6" bestFit="1" customWidth="1"/>
    <col min="9231" max="9253" width="8.875" style="6"/>
    <col min="9254" max="9254" width="12.25" style="6" bestFit="1" customWidth="1"/>
    <col min="9255" max="9485" width="8.875" style="6"/>
    <col min="9486" max="9486" width="11.75" style="6" bestFit="1" customWidth="1"/>
    <col min="9487" max="9509" width="8.875" style="6"/>
    <col min="9510" max="9510" width="12.25" style="6" bestFit="1" customWidth="1"/>
    <col min="9511" max="9741" width="8.875" style="6"/>
    <col min="9742" max="9742" width="11.75" style="6" bestFit="1" customWidth="1"/>
    <col min="9743" max="9765" width="8.875" style="6"/>
    <col min="9766" max="9766" width="12.25" style="6" bestFit="1" customWidth="1"/>
    <col min="9767" max="9997" width="8.875" style="6"/>
    <col min="9998" max="9998" width="11.75" style="6" bestFit="1" customWidth="1"/>
    <col min="9999" max="10021" width="8.875" style="6"/>
    <col min="10022" max="10022" width="12.25" style="6" bestFit="1" customWidth="1"/>
    <col min="10023" max="10253" width="8.875" style="6"/>
    <col min="10254" max="10254" width="11.75" style="6" bestFit="1" customWidth="1"/>
    <col min="10255" max="10277" width="8.875" style="6"/>
    <col min="10278" max="10278" width="12.25" style="6" bestFit="1" customWidth="1"/>
    <col min="10279" max="10509" width="8.875" style="6"/>
    <col min="10510" max="10510" width="11.75" style="6" bestFit="1" customWidth="1"/>
    <col min="10511" max="10533" width="8.875" style="6"/>
    <col min="10534" max="10534" width="12.25" style="6" bestFit="1" customWidth="1"/>
    <col min="10535" max="10765" width="8.875" style="6"/>
    <col min="10766" max="10766" width="11.75" style="6" bestFit="1" customWidth="1"/>
    <col min="10767" max="10789" width="8.875" style="6"/>
    <col min="10790" max="10790" width="12.25" style="6" bestFit="1" customWidth="1"/>
    <col min="10791" max="11021" width="8.875" style="6"/>
    <col min="11022" max="11022" width="11.75" style="6" bestFit="1" customWidth="1"/>
    <col min="11023" max="11045" width="8.875" style="6"/>
    <col min="11046" max="11046" width="12.25" style="6" bestFit="1" customWidth="1"/>
    <col min="11047" max="11277" width="8.875" style="6"/>
    <col min="11278" max="11278" width="11.75" style="6" bestFit="1" customWidth="1"/>
    <col min="11279" max="11301" width="8.875" style="6"/>
    <col min="11302" max="11302" width="12.25" style="6" bestFit="1" customWidth="1"/>
    <col min="11303" max="11533" width="8.875" style="6"/>
    <col min="11534" max="11534" width="11.75" style="6" bestFit="1" customWidth="1"/>
    <col min="11535" max="11557" width="8.875" style="6"/>
    <col min="11558" max="11558" width="12.25" style="6" bestFit="1" customWidth="1"/>
    <col min="11559" max="11789" width="8.875" style="6"/>
    <col min="11790" max="11790" width="11.75" style="6" bestFit="1" customWidth="1"/>
    <col min="11791" max="11813" width="8.875" style="6"/>
    <col min="11814" max="11814" width="12.25" style="6" bestFit="1" customWidth="1"/>
    <col min="11815" max="12045" width="8.875" style="6"/>
    <col min="12046" max="12046" width="11.75" style="6" bestFit="1" customWidth="1"/>
    <col min="12047" max="12069" width="8.875" style="6"/>
    <col min="12070" max="12070" width="12.25" style="6" bestFit="1" customWidth="1"/>
    <col min="12071" max="12301" width="8.875" style="6"/>
    <col min="12302" max="12302" width="11.75" style="6" bestFit="1" customWidth="1"/>
    <col min="12303" max="12325" width="8.875" style="6"/>
    <col min="12326" max="12326" width="12.25" style="6" bestFit="1" customWidth="1"/>
    <col min="12327" max="12557" width="8.875" style="6"/>
    <col min="12558" max="12558" width="11.75" style="6" bestFit="1" customWidth="1"/>
    <col min="12559" max="12581" width="8.875" style="6"/>
    <col min="12582" max="12582" width="12.25" style="6" bestFit="1" customWidth="1"/>
    <col min="12583" max="12813" width="8.875" style="6"/>
    <col min="12814" max="12814" width="11.75" style="6" bestFit="1" customWidth="1"/>
    <col min="12815" max="12837" width="8.875" style="6"/>
    <col min="12838" max="12838" width="12.25" style="6" bestFit="1" customWidth="1"/>
    <col min="12839" max="13069" width="8.875" style="6"/>
    <col min="13070" max="13070" width="11.75" style="6" bestFit="1" customWidth="1"/>
    <col min="13071" max="13093" width="8.875" style="6"/>
    <col min="13094" max="13094" width="12.25" style="6" bestFit="1" customWidth="1"/>
    <col min="13095" max="13325" width="8.875" style="6"/>
    <col min="13326" max="13326" width="11.75" style="6" bestFit="1" customWidth="1"/>
    <col min="13327" max="13349" width="8.875" style="6"/>
    <col min="13350" max="13350" width="12.25" style="6" bestFit="1" customWidth="1"/>
    <col min="13351" max="13581" width="8.875" style="6"/>
    <col min="13582" max="13582" width="11.75" style="6" bestFit="1" customWidth="1"/>
    <col min="13583" max="13605" width="8.875" style="6"/>
    <col min="13606" max="13606" width="12.25" style="6" bestFit="1" customWidth="1"/>
    <col min="13607" max="13837" width="8.875" style="6"/>
    <col min="13838" max="13838" width="11.75" style="6" bestFit="1" customWidth="1"/>
    <col min="13839" max="13861" width="8.875" style="6"/>
    <col min="13862" max="13862" width="12.25" style="6" bestFit="1" customWidth="1"/>
    <col min="13863" max="14093" width="8.875" style="6"/>
    <col min="14094" max="14094" width="11.75" style="6" bestFit="1" customWidth="1"/>
    <col min="14095" max="14117" width="8.875" style="6"/>
    <col min="14118" max="14118" width="12.25" style="6" bestFit="1" customWidth="1"/>
    <col min="14119" max="14349" width="8.875" style="6"/>
    <col min="14350" max="14350" width="11.75" style="6" bestFit="1" customWidth="1"/>
    <col min="14351" max="14373" width="8.875" style="6"/>
    <col min="14374" max="14374" width="12.25" style="6" bestFit="1" customWidth="1"/>
    <col min="14375" max="14605" width="8.875" style="6"/>
    <col min="14606" max="14606" width="11.75" style="6" bestFit="1" customWidth="1"/>
    <col min="14607" max="14629" width="8.875" style="6"/>
    <col min="14630" max="14630" width="12.25" style="6" bestFit="1" customWidth="1"/>
    <col min="14631" max="14861" width="8.875" style="6"/>
    <col min="14862" max="14862" width="11.75" style="6" bestFit="1" customWidth="1"/>
    <col min="14863" max="14885" width="8.875" style="6"/>
    <col min="14886" max="14886" width="12.25" style="6" bestFit="1" customWidth="1"/>
    <col min="14887" max="15117" width="8.875" style="6"/>
    <col min="15118" max="15118" width="11.75" style="6" bestFit="1" customWidth="1"/>
    <col min="15119" max="15141" width="8.875" style="6"/>
    <col min="15142" max="15142" width="12.25" style="6" bestFit="1" customWidth="1"/>
    <col min="15143" max="15373" width="8.875" style="6"/>
    <col min="15374" max="15374" width="11.75" style="6" bestFit="1" customWidth="1"/>
    <col min="15375" max="15397" width="8.875" style="6"/>
    <col min="15398" max="15398" width="12.25" style="6" bestFit="1" customWidth="1"/>
    <col min="15399" max="15629" width="8.875" style="6"/>
    <col min="15630" max="15630" width="11.75" style="6" bestFit="1" customWidth="1"/>
    <col min="15631" max="15653" width="8.875" style="6"/>
    <col min="15654" max="15654" width="12.25" style="6" bestFit="1" customWidth="1"/>
    <col min="15655" max="15885" width="8.875" style="6"/>
    <col min="15886" max="15886" width="11.75" style="6" bestFit="1" customWidth="1"/>
    <col min="15887" max="15909" width="8.875" style="6"/>
    <col min="15910" max="15910" width="12.25" style="6" bestFit="1" customWidth="1"/>
    <col min="15911" max="16141" width="8.875" style="6"/>
    <col min="16142" max="16142" width="11.75" style="6" bestFit="1" customWidth="1"/>
    <col min="16143" max="16165" width="8.875" style="6"/>
    <col min="16166" max="16166" width="12.25" style="6" bestFit="1" customWidth="1"/>
    <col min="16167" max="16384" width="8.875" style="6"/>
  </cols>
  <sheetData>
    <row r="1" spans="1:117" x14ac:dyDescent="0.25">
      <c r="F1" s="6">
        <f>1/MAX(H:H)</f>
        <v>2875.7116390201645</v>
      </c>
      <c r="I1" s="6">
        <f>1/MAX(K:K)</f>
        <v>2531.4284991438703</v>
      </c>
      <c r="L1" s="6">
        <f>1/MAX(N:N)</f>
        <v>3220.9444903590729</v>
      </c>
      <c r="O1" s="6">
        <f>1/MAX(Q:Q)</f>
        <v>2708.344101448436</v>
      </c>
      <c r="R1" s="6">
        <f>1/MAX(T:T)</f>
        <v>2866.0438718802425</v>
      </c>
      <c r="U1" s="6">
        <f>1/MAX(W:W)</f>
        <v>3257.5198570364805</v>
      </c>
      <c r="X1" s="6">
        <f>1/MAX(Z:Z)</f>
        <v>2856.2704410456663</v>
      </c>
      <c r="AA1" s="6">
        <f>1/MAX(AC:AC)</f>
        <v>3265.2404804372559</v>
      </c>
      <c r="AD1" s="6">
        <f>1/MAX(AF:AF)</f>
        <v>2215.4710561251959</v>
      </c>
      <c r="AG1" s="6">
        <f>1/MAX(AI:AI)</f>
        <v>2027.0028528233522</v>
      </c>
      <c r="AJ1" s="6">
        <f>1/MAX(AL:AL)</f>
        <v>2221.3465894019873</v>
      </c>
      <c r="AM1" s="6">
        <f>1/MAX(AO:AO)</f>
        <v>2024.1762242943339</v>
      </c>
      <c r="AP1" s="6">
        <f>1/MAX(AR:AR)</f>
        <v>3198.7503445882717</v>
      </c>
      <c r="AS1" s="6">
        <f>1/MAX(AU:AU)</f>
        <v>3694.75237880845</v>
      </c>
      <c r="AV1" s="6">
        <f>1/MAX(AX:AX)</f>
        <v>3186.5809161581387</v>
      </c>
      <c r="AY1" s="6">
        <f>1/MAX(BA:BA)</f>
        <v>3704.180900056157</v>
      </c>
      <c r="BB1" s="6">
        <f>1/MAX(BD:BD)</f>
        <v>2409.1721770916874</v>
      </c>
      <c r="BE1" s="6">
        <f>1/MAX(BG:BG)</f>
        <v>2187.9526162219345</v>
      </c>
      <c r="BH1" s="6">
        <f>1/MAX(BJ:BJ)</f>
        <v>2416.121644447323</v>
      </c>
      <c r="BK1" s="6">
        <f>1/MAX(BM:BM)</f>
        <v>2184.6596463462438</v>
      </c>
      <c r="BN1" s="6">
        <f>1/MAX(BP:BP)</f>
        <v>2341.30137428749</v>
      </c>
      <c r="BQ1" s="6">
        <f>1/MAX(BS:BS)</f>
        <v>2412.4148799028662</v>
      </c>
      <c r="BT1" s="6">
        <f>1/MAX(BV:BV)</f>
        <v>2339.3400445523089</v>
      </c>
      <c r="BW1" s="6">
        <f>1/MAX(BY:BY)</f>
        <v>2413.617782744855</v>
      </c>
      <c r="BZ1" s="6">
        <f>1/MAX(CB:CB)</f>
        <v>2184.1198853405481</v>
      </c>
      <c r="CC1" s="6">
        <f>1/MAX(CE:CE)</f>
        <v>2125.6664828776161</v>
      </c>
      <c r="CF1" s="6">
        <f>1/MAX(CH:CH)</f>
        <v>2185.8300538201402</v>
      </c>
      <c r="CI1" s="6">
        <f>1/MAX(CK:CK)</f>
        <v>2124.7334227530382</v>
      </c>
      <c r="CL1" s="6">
        <f>1/MAX(CN:CN)</f>
        <v>3266.4469935149618</v>
      </c>
      <c r="CO1" s="6">
        <f>1/MAX(CQ:CQ)</f>
        <v>3406.5437900327897</v>
      </c>
      <c r="CR1" s="6">
        <f>1/MAX(CT:CT)</f>
        <v>3262.6294025645998</v>
      </c>
      <c r="CU1" s="6">
        <f>1/MAX(CW:CW)</f>
        <v>3408.94426474699</v>
      </c>
      <c r="CX1" s="6">
        <f>1/MAX(CZ:CZ)</f>
        <v>2968.4119128592997</v>
      </c>
      <c r="DA1" s="6">
        <f>1/MAX(DC:DC)</f>
        <v>2861.4681558758239</v>
      </c>
      <c r="DD1" s="6">
        <f>1/MAX(DF:DF)</f>
        <v>2971.570625802392</v>
      </c>
      <c r="DG1" s="6">
        <f>1/MAX(DI:DI)</f>
        <v>2859.7774948397382</v>
      </c>
    </row>
    <row r="2" spans="1:117" x14ac:dyDescent="0.25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7" ht="16.5" thickBot="1" x14ac:dyDescent="0.3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7" ht="16.5" customHeight="1" thickBot="1" x14ac:dyDescent="0.3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7" ht="16.5" thickBot="1" x14ac:dyDescent="0.3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F1</f>
        <v>2875.7116390201645</v>
      </c>
      <c r="DM5" s="5" t="str">
        <f>IF(DL5&gt;250,"OK","N.G")</f>
        <v>OK</v>
      </c>
    </row>
    <row r="6" spans="1:117" ht="16.5" thickBot="1" x14ac:dyDescent="0.3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I1</f>
        <v>2531.4284991438703</v>
      </c>
      <c r="DM6" s="5" t="str">
        <f t="shared" ref="DM6:DM40" si="0">IF(DL6&gt;250,"OK","N.G")</f>
        <v>OK</v>
      </c>
    </row>
    <row r="7" spans="1:117" ht="16.5" thickBot="1" x14ac:dyDescent="0.3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L1</f>
        <v>3220.9444903590729</v>
      </c>
      <c r="DM7" s="5" t="str">
        <f t="shared" si="0"/>
        <v>OK</v>
      </c>
    </row>
    <row r="8" spans="1:117" ht="16.5" thickBot="1" x14ac:dyDescent="0.3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O1</f>
        <v>2708.344101448436</v>
      </c>
      <c r="DM8" s="5" t="str">
        <f t="shared" si="0"/>
        <v>OK</v>
      </c>
    </row>
    <row r="9" spans="1:117" ht="16.5" thickBot="1" x14ac:dyDescent="0.3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R1</f>
        <v>2866.0438718802425</v>
      </c>
      <c r="DM9" s="5" t="str">
        <f t="shared" si="0"/>
        <v>OK</v>
      </c>
    </row>
    <row r="10" spans="1:117" ht="16.5" thickBot="1" x14ac:dyDescent="0.3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U1</f>
        <v>3257.5198570364805</v>
      </c>
      <c r="DM10" s="5" t="str">
        <f t="shared" si="0"/>
        <v>OK</v>
      </c>
    </row>
    <row r="11" spans="1:117" ht="16.5" thickBot="1" x14ac:dyDescent="0.3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X1</f>
        <v>2856.2704410456663</v>
      </c>
      <c r="DM11" s="5" t="str">
        <f t="shared" si="0"/>
        <v>OK</v>
      </c>
    </row>
    <row r="12" spans="1:117" ht="16.5" thickBot="1" x14ac:dyDescent="0.3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AA1</f>
        <v>3265.2404804372559</v>
      </c>
      <c r="DM12" s="5" t="str">
        <f t="shared" si="0"/>
        <v>OK</v>
      </c>
    </row>
    <row r="13" spans="1:117" ht="16.5" thickBot="1" x14ac:dyDescent="0.3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AD1</f>
        <v>2215.4710561251959</v>
      </c>
      <c r="DM13" s="5" t="str">
        <f t="shared" si="0"/>
        <v>OK</v>
      </c>
    </row>
    <row r="14" spans="1:117" ht="16.5" thickBot="1" x14ac:dyDescent="0.3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AG1</f>
        <v>2027.0028528233522</v>
      </c>
      <c r="DM14" s="5" t="str">
        <f t="shared" si="0"/>
        <v>OK</v>
      </c>
    </row>
    <row r="15" spans="1:117" ht="16.5" thickBot="1" x14ac:dyDescent="0.3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AJ1</f>
        <v>2221.3465894019873</v>
      </c>
      <c r="DM15" s="5" t="str">
        <f t="shared" si="0"/>
        <v>OK</v>
      </c>
    </row>
    <row r="16" spans="1:117" ht="16.5" thickBot="1" x14ac:dyDescent="0.3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AM1</f>
        <v>2024.1762242943339</v>
      </c>
      <c r="DM16" s="5" t="str">
        <f t="shared" si="0"/>
        <v>OK</v>
      </c>
    </row>
    <row r="17" spans="1:117" ht="16.5" thickBot="1" x14ac:dyDescent="0.3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AP1</f>
        <v>3198.7503445882717</v>
      </c>
      <c r="DM17" s="5" t="str">
        <f t="shared" si="0"/>
        <v>OK</v>
      </c>
    </row>
    <row r="18" spans="1:117" ht="16.5" thickBot="1" x14ac:dyDescent="0.3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AS1</f>
        <v>3694.75237880845</v>
      </c>
      <c r="DM18" s="5" t="str">
        <f t="shared" si="0"/>
        <v>OK</v>
      </c>
    </row>
    <row r="19" spans="1:117" ht="16.5" thickBot="1" x14ac:dyDescent="0.3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AV1</f>
        <v>3186.5809161581387</v>
      </c>
      <c r="DM19" s="5" t="str">
        <f t="shared" si="0"/>
        <v>OK</v>
      </c>
    </row>
    <row r="20" spans="1:117" ht="16.5" thickBot="1" x14ac:dyDescent="0.3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AY1</f>
        <v>3704.180900056157</v>
      </c>
      <c r="DM20" s="5" t="str">
        <f t="shared" si="0"/>
        <v>OK</v>
      </c>
    </row>
    <row r="21" spans="1:117" ht="16.5" thickBot="1" x14ac:dyDescent="0.3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BB1</f>
        <v>2409.1721770916874</v>
      </c>
      <c r="DM21" s="5" t="str">
        <f t="shared" si="0"/>
        <v>OK</v>
      </c>
    </row>
    <row r="22" spans="1:117" ht="16.5" thickBot="1" x14ac:dyDescent="0.3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BE1</f>
        <v>2187.9526162219345</v>
      </c>
      <c r="DM22" s="5" t="str">
        <f t="shared" si="0"/>
        <v>OK</v>
      </c>
    </row>
    <row r="23" spans="1:117" ht="16.5" thickBot="1" x14ac:dyDescent="0.3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BH1</f>
        <v>2416.121644447323</v>
      </c>
      <c r="DM23" s="5" t="str">
        <f t="shared" si="0"/>
        <v>OK</v>
      </c>
    </row>
    <row r="24" spans="1:117" ht="16.5" thickBot="1" x14ac:dyDescent="0.3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BK1</f>
        <v>2184.6596463462438</v>
      </c>
      <c r="DM24" s="5" t="str">
        <f t="shared" si="0"/>
        <v>OK</v>
      </c>
    </row>
    <row r="25" spans="1:117" ht="16.5" thickBot="1" x14ac:dyDescent="0.3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BN1</f>
        <v>2341.30137428749</v>
      </c>
      <c r="DM25" s="5" t="str">
        <f t="shared" si="0"/>
        <v>OK</v>
      </c>
    </row>
    <row r="26" spans="1:117" ht="16.5" thickBot="1" x14ac:dyDescent="0.3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BQ1</f>
        <v>2412.4148799028662</v>
      </c>
      <c r="DM26" s="5" t="str">
        <f t="shared" si="0"/>
        <v>OK</v>
      </c>
    </row>
    <row r="27" spans="1:117" ht="16.5" thickBot="1" x14ac:dyDescent="0.3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BT1</f>
        <v>2339.3400445523089</v>
      </c>
      <c r="DM27" s="5" t="str">
        <f t="shared" si="0"/>
        <v>OK</v>
      </c>
    </row>
    <row r="28" spans="1:117" ht="16.5" thickBot="1" x14ac:dyDescent="0.3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BW1</f>
        <v>2413.617782744855</v>
      </c>
      <c r="DM28" s="5" t="str">
        <f t="shared" si="0"/>
        <v>OK</v>
      </c>
    </row>
    <row r="29" spans="1:117" ht="16.5" thickBot="1" x14ac:dyDescent="0.3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BZ1</f>
        <v>2184.1198853405481</v>
      </c>
      <c r="DM29" s="5" t="str">
        <f t="shared" si="0"/>
        <v>OK</v>
      </c>
    </row>
    <row r="30" spans="1:117" ht="18" customHeight="1" thickBot="1" x14ac:dyDescent="0.3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CC1</f>
        <v>2125.6664828776161</v>
      </c>
      <c r="DM30" s="5" t="str">
        <f t="shared" si="0"/>
        <v>OK</v>
      </c>
    </row>
    <row r="31" spans="1:117" ht="16.5" thickBot="1" x14ac:dyDescent="0.3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CF1</f>
        <v>2185.8300538201402</v>
      </c>
      <c r="DM31" s="5" t="str">
        <f t="shared" si="0"/>
        <v>OK</v>
      </c>
    </row>
    <row r="32" spans="1:117" ht="16.5" thickBot="1" x14ac:dyDescent="0.3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CI1</f>
        <v>2124.7334227530382</v>
      </c>
      <c r="DM32" s="5" t="str">
        <f t="shared" si="0"/>
        <v>OK</v>
      </c>
    </row>
    <row r="33" spans="1:117" ht="16.5" thickBot="1" x14ac:dyDescent="0.3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CL1</f>
        <v>3266.4469935149618</v>
      </c>
      <c r="DM33" s="5" t="str">
        <f t="shared" si="0"/>
        <v>OK</v>
      </c>
    </row>
    <row r="34" spans="1:117" ht="16.5" thickBot="1" x14ac:dyDescent="0.3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CO1</f>
        <v>3406.5437900327897</v>
      </c>
      <c r="DM34" s="5" t="str">
        <f t="shared" si="0"/>
        <v>OK</v>
      </c>
    </row>
    <row r="35" spans="1:117" ht="16.5" thickBot="1" x14ac:dyDescent="0.3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>
        <v>-2.4694840000000001E-3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CR1</f>
        <v>3262.6294025645998</v>
      </c>
      <c r="DM35" s="5" t="str">
        <f t="shared" si="0"/>
        <v>OK</v>
      </c>
    </row>
    <row r="36" spans="1:117" ht="16.5" thickBot="1" x14ac:dyDescent="0.3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CU1</f>
        <v>3408.94426474699</v>
      </c>
      <c r="DM36" s="5" t="str">
        <f t="shared" si="0"/>
        <v>OK</v>
      </c>
    </row>
    <row r="37" spans="1:117" ht="16.5" thickBot="1" x14ac:dyDescent="0.3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CX1</f>
        <v>2968.4119128592997</v>
      </c>
      <c r="DM37" s="5" t="str">
        <f t="shared" si="0"/>
        <v>OK</v>
      </c>
    </row>
    <row r="38" spans="1:117" ht="16.5" thickBot="1" x14ac:dyDescent="0.3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DA1</f>
        <v>2861.4681558758239</v>
      </c>
      <c r="DM38" s="5" t="str">
        <f t="shared" si="0"/>
        <v>OK</v>
      </c>
    </row>
    <row r="39" spans="1:117" ht="16.5" thickBot="1" x14ac:dyDescent="0.3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DD1</f>
        <v>2971.570625802392</v>
      </c>
      <c r="DM39" s="5" t="str">
        <f t="shared" si="0"/>
        <v>OK</v>
      </c>
    </row>
    <row r="40" spans="1:117" ht="16.5" thickBot="1" x14ac:dyDescent="0.3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DG1</f>
        <v>2859.7774948397382</v>
      </c>
      <c r="DM40" s="5" t="str">
        <f t="shared" si="0"/>
        <v>OK</v>
      </c>
    </row>
    <row r="41" spans="1:117" x14ac:dyDescent="0.25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7" x14ac:dyDescent="0.25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7" x14ac:dyDescent="0.25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7" x14ac:dyDescent="0.25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7" x14ac:dyDescent="0.25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7" x14ac:dyDescent="0.25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7" x14ac:dyDescent="0.25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7" x14ac:dyDescent="0.25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25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25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25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25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25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25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25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25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25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25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25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25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25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25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25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25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25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25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25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25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25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25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25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25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25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25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25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25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25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25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25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25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25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25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25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25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25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25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25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25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25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25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25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25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25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25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25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25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25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25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25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25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25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25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25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25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25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25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25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25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25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25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25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25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25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25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25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25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25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25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25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25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25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25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25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25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25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25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25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25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J311"/>
  <sheetViews>
    <sheetView workbookViewId="0">
      <selection activeCell="E9" sqref="E9"/>
    </sheetView>
  </sheetViews>
  <sheetFormatPr defaultColWidth="8.875" defaultRowHeight="15.75" x14ac:dyDescent="0.25"/>
  <cols>
    <col min="1" max="1" width="8.875" style="14"/>
    <col min="2" max="3" width="9" style="6" bestFit="1" customWidth="1"/>
    <col min="4" max="4" width="8.875" style="6"/>
    <col min="5" max="5" width="12.875" style="6" bestFit="1" customWidth="1"/>
    <col min="6" max="6" width="15.25" style="6" bestFit="1" customWidth="1"/>
    <col min="7" max="7" width="14.125" style="6" bestFit="1" customWidth="1"/>
    <col min="8" max="9" width="9" style="6" bestFit="1" customWidth="1"/>
    <col min="10" max="10" width="15.25" style="6" bestFit="1" customWidth="1"/>
    <col min="11" max="16384" width="8.875" style="6"/>
  </cols>
  <sheetData>
    <row r="1" spans="1:10" x14ac:dyDescent="0.25">
      <c r="A1" s="26" t="s">
        <v>550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25">
      <c r="A2" s="19" t="s">
        <v>479</v>
      </c>
      <c r="B2" s="19" t="s">
        <v>480</v>
      </c>
      <c r="C2" s="19" t="s">
        <v>481</v>
      </c>
      <c r="D2" s="19" t="s">
        <v>482</v>
      </c>
      <c r="E2" s="19" t="s">
        <v>483</v>
      </c>
      <c r="F2" s="19" t="s">
        <v>484</v>
      </c>
      <c r="G2" s="19" t="s">
        <v>485</v>
      </c>
      <c r="H2" s="19" t="s">
        <v>486</v>
      </c>
      <c r="I2" s="19" t="s">
        <v>487</v>
      </c>
      <c r="J2" s="19" t="s">
        <v>488</v>
      </c>
    </row>
    <row r="3" spans="1:10" x14ac:dyDescent="0.25">
      <c r="A3" s="20" t="s">
        <v>489</v>
      </c>
      <c r="B3" s="20" t="s">
        <v>489</v>
      </c>
      <c r="C3" s="20" t="s">
        <v>489</v>
      </c>
      <c r="D3" s="20" t="s">
        <v>489</v>
      </c>
      <c r="E3" s="20" t="s">
        <v>490</v>
      </c>
      <c r="F3" s="20" t="s">
        <v>490</v>
      </c>
      <c r="G3" s="20" t="s">
        <v>490</v>
      </c>
      <c r="H3" s="20" t="s">
        <v>491</v>
      </c>
      <c r="I3" s="20" t="s">
        <v>491</v>
      </c>
      <c r="J3" s="20" t="s">
        <v>491</v>
      </c>
    </row>
    <row r="4" spans="1:10" x14ac:dyDescent="0.25">
      <c r="A4" s="6" t="s">
        <v>56</v>
      </c>
      <c r="B4" s="6" t="s">
        <v>56</v>
      </c>
      <c r="C4" s="6" t="s">
        <v>11</v>
      </c>
      <c r="D4" s="6" t="s">
        <v>492</v>
      </c>
      <c r="E4" s="6">
        <v>0</v>
      </c>
      <c r="F4" s="6">
        <v>0</v>
      </c>
      <c r="G4" s="6">
        <v>-2.519E-3</v>
      </c>
      <c r="H4" s="6">
        <v>0</v>
      </c>
      <c r="I4" s="6">
        <v>0</v>
      </c>
      <c r="J4" s="6">
        <v>0</v>
      </c>
    </row>
    <row r="5" spans="1:10" x14ac:dyDescent="0.25">
      <c r="A5" s="6" t="s">
        <v>91</v>
      </c>
      <c r="B5" s="6" t="s">
        <v>91</v>
      </c>
      <c r="C5" s="6" t="s">
        <v>11</v>
      </c>
      <c r="D5" s="6" t="s">
        <v>492</v>
      </c>
      <c r="E5" s="6">
        <v>0</v>
      </c>
      <c r="F5" s="6">
        <v>0</v>
      </c>
      <c r="G5" s="6">
        <v>-2.4450000000000001E-3</v>
      </c>
      <c r="H5" s="6">
        <v>1.2E-5</v>
      </c>
      <c r="I5" s="6">
        <v>-7.5199999999999996E-4</v>
      </c>
      <c r="J5" s="6">
        <v>0</v>
      </c>
    </row>
    <row r="6" spans="1:10" x14ac:dyDescent="0.25">
      <c r="A6" s="6" t="s">
        <v>127</v>
      </c>
      <c r="B6" s="6" t="s">
        <v>127</v>
      </c>
      <c r="C6" s="6" t="s">
        <v>11</v>
      </c>
      <c r="D6" s="6" t="s">
        <v>492</v>
      </c>
      <c r="E6" s="6">
        <v>0</v>
      </c>
      <c r="F6" s="6">
        <v>0</v>
      </c>
      <c r="G6" s="6">
        <v>-2.2690000000000002E-3</v>
      </c>
      <c r="H6" s="6">
        <v>1.9000000000000001E-5</v>
      </c>
      <c r="I6" s="6">
        <v>-6.6600000000000003E-4</v>
      </c>
      <c r="J6" s="6">
        <v>0</v>
      </c>
    </row>
    <row r="7" spans="1:10" x14ac:dyDescent="0.25">
      <c r="A7" s="6" t="s">
        <v>164</v>
      </c>
      <c r="B7" s="6" t="s">
        <v>164</v>
      </c>
      <c r="C7" s="6" t="s">
        <v>11</v>
      </c>
      <c r="D7" s="6" t="s">
        <v>492</v>
      </c>
      <c r="E7" s="6">
        <v>0</v>
      </c>
      <c r="F7" s="6">
        <v>0</v>
      </c>
      <c r="G7" s="6">
        <v>-2.0839999999999999E-3</v>
      </c>
      <c r="H7" s="6">
        <v>2.0999999999999999E-5</v>
      </c>
      <c r="I7" s="6">
        <v>-6.2E-4</v>
      </c>
      <c r="J7" s="6">
        <v>0</v>
      </c>
    </row>
    <row r="8" spans="1:10" x14ac:dyDescent="0.25">
      <c r="A8" s="6" t="s">
        <v>205</v>
      </c>
      <c r="B8" s="6" t="s">
        <v>205</v>
      </c>
      <c r="C8" s="6" t="s">
        <v>11</v>
      </c>
      <c r="D8" s="6" t="s">
        <v>492</v>
      </c>
      <c r="E8" s="6">
        <v>0</v>
      </c>
      <c r="F8" s="6">
        <v>0</v>
      </c>
      <c r="G8" s="6">
        <v>-1.8990000000000001E-3</v>
      </c>
      <c r="H8" s="6">
        <v>2.1999999999999999E-5</v>
      </c>
      <c r="I8" s="6">
        <v>-5.7899999999999998E-4</v>
      </c>
      <c r="J8" s="6">
        <v>0</v>
      </c>
    </row>
    <row r="9" spans="1:10" x14ac:dyDescent="0.25">
      <c r="A9" s="6" t="s">
        <v>246</v>
      </c>
      <c r="B9" s="6" t="s">
        <v>246</v>
      </c>
      <c r="C9" s="6" t="s">
        <v>11</v>
      </c>
      <c r="D9" s="6" t="s">
        <v>492</v>
      </c>
      <c r="E9" s="6">
        <v>0</v>
      </c>
      <c r="F9" s="6">
        <v>0</v>
      </c>
      <c r="G9" s="6">
        <v>-1.689E-3</v>
      </c>
      <c r="H9" s="6">
        <v>1.9000000000000001E-5</v>
      </c>
      <c r="I9" s="6">
        <v>-5.2499999999999997E-4</v>
      </c>
      <c r="J9" s="6">
        <v>0</v>
      </c>
    </row>
    <row r="10" spans="1:10" x14ac:dyDescent="0.25">
      <c r="A10" s="6" t="s">
        <v>284</v>
      </c>
      <c r="B10" s="6" t="s">
        <v>284</v>
      </c>
      <c r="C10" s="6" t="s">
        <v>11</v>
      </c>
      <c r="D10" s="6" t="s">
        <v>492</v>
      </c>
      <c r="E10" s="6">
        <v>0</v>
      </c>
      <c r="F10" s="6">
        <v>0</v>
      </c>
      <c r="G10" s="6">
        <v>-1.4790000000000001E-3</v>
      </c>
      <c r="H10" s="6">
        <v>0</v>
      </c>
      <c r="I10" s="6">
        <v>0</v>
      </c>
      <c r="J10" s="6">
        <v>0</v>
      </c>
    </row>
    <row r="11" spans="1:10" x14ac:dyDescent="0.25">
      <c r="A11" s="6" t="s">
        <v>285</v>
      </c>
      <c r="B11" s="6" t="s">
        <v>285</v>
      </c>
      <c r="C11" s="6" t="s">
        <v>11</v>
      </c>
      <c r="D11" s="6" t="s">
        <v>492</v>
      </c>
      <c r="E11" s="6">
        <v>0</v>
      </c>
      <c r="F11" s="6">
        <v>0</v>
      </c>
      <c r="G11" s="6">
        <v>-1.3799999999999999E-3</v>
      </c>
      <c r="H11" s="6">
        <v>0</v>
      </c>
      <c r="I11" s="6">
        <v>0</v>
      </c>
      <c r="J11" s="6">
        <v>0</v>
      </c>
    </row>
    <row r="12" spans="1:10" x14ac:dyDescent="0.25">
      <c r="A12" s="6" t="s">
        <v>57</v>
      </c>
      <c r="B12" s="6" t="s">
        <v>57</v>
      </c>
      <c r="C12" s="6" t="s">
        <v>11</v>
      </c>
      <c r="D12" s="6" t="s">
        <v>492</v>
      </c>
      <c r="E12" s="6">
        <v>0</v>
      </c>
      <c r="F12" s="6">
        <v>0</v>
      </c>
      <c r="G12" s="6">
        <v>-2.6619999999999999E-3</v>
      </c>
      <c r="H12" s="6">
        <v>8.3900000000000001E-4</v>
      </c>
      <c r="I12" s="6">
        <v>3.6000000000000001E-5</v>
      </c>
      <c r="J12" s="6">
        <v>0</v>
      </c>
    </row>
    <row r="13" spans="1:10" x14ac:dyDescent="0.25">
      <c r="A13" s="6" t="s">
        <v>73</v>
      </c>
      <c r="B13" s="6" t="s">
        <v>73</v>
      </c>
      <c r="C13" s="6" t="s">
        <v>11</v>
      </c>
      <c r="D13" s="6" t="s">
        <v>492</v>
      </c>
      <c r="E13" s="6">
        <v>0</v>
      </c>
      <c r="F13" s="6">
        <v>0</v>
      </c>
      <c r="G13" s="6">
        <v>-2.48E-3</v>
      </c>
      <c r="H13" s="6">
        <v>6.4999999999999996E-6</v>
      </c>
      <c r="I13" s="6">
        <v>-6.8099999999999996E-4</v>
      </c>
      <c r="J13" s="6">
        <v>0</v>
      </c>
    </row>
    <row r="14" spans="1:10" x14ac:dyDescent="0.25">
      <c r="A14" s="6" t="s">
        <v>109</v>
      </c>
      <c r="B14" s="6" t="s">
        <v>109</v>
      </c>
      <c r="C14" s="6" t="s">
        <v>11</v>
      </c>
      <c r="D14" s="6" t="s">
        <v>492</v>
      </c>
      <c r="E14" s="6">
        <v>0</v>
      </c>
      <c r="F14" s="6">
        <v>0</v>
      </c>
      <c r="G14" s="6">
        <v>-2.3509999999999998E-3</v>
      </c>
      <c r="H14" s="6">
        <v>1.7E-5</v>
      </c>
      <c r="I14" s="6">
        <v>-7.1699999999999997E-4</v>
      </c>
      <c r="J14" s="6">
        <v>0</v>
      </c>
    </row>
    <row r="15" spans="1:10" x14ac:dyDescent="0.25">
      <c r="A15" s="6" t="s">
        <v>493</v>
      </c>
      <c r="B15" s="6" t="s">
        <v>493</v>
      </c>
      <c r="C15" s="6" t="s">
        <v>11</v>
      </c>
      <c r="D15" s="6" t="s">
        <v>492</v>
      </c>
      <c r="E15" s="6">
        <v>0</v>
      </c>
      <c r="F15" s="6">
        <v>0</v>
      </c>
      <c r="G15" s="6">
        <v>3.0400000000000002E-4</v>
      </c>
      <c r="H15" s="6">
        <v>-1.0000000000000001E-5</v>
      </c>
      <c r="I15" s="6">
        <v>-5.3000000000000001E-5</v>
      </c>
      <c r="J15" s="6">
        <v>0</v>
      </c>
    </row>
    <row r="16" spans="1:10" x14ac:dyDescent="0.25">
      <c r="A16" s="6" t="s">
        <v>494</v>
      </c>
      <c r="B16" s="6" t="s">
        <v>494</v>
      </c>
      <c r="C16" s="6" t="s">
        <v>11</v>
      </c>
      <c r="D16" s="6" t="s">
        <v>492</v>
      </c>
      <c r="E16" s="6">
        <v>0</v>
      </c>
      <c r="F16" s="6">
        <v>0</v>
      </c>
      <c r="G16" s="6">
        <v>8.7999999999999998E-5</v>
      </c>
      <c r="H16" s="6">
        <v>-8.9420000000000001E-6</v>
      </c>
      <c r="I16" s="6">
        <v>-2.5000000000000001E-5</v>
      </c>
      <c r="J16" s="6">
        <v>0</v>
      </c>
    </row>
    <row r="17" spans="1:10" x14ac:dyDescent="0.25">
      <c r="A17" s="6" t="s">
        <v>495</v>
      </c>
      <c r="B17" s="6" t="s">
        <v>495</v>
      </c>
      <c r="C17" s="6" t="s">
        <v>11</v>
      </c>
      <c r="D17" s="6" t="s">
        <v>492</v>
      </c>
      <c r="E17" s="6">
        <v>0</v>
      </c>
      <c r="F17" s="6">
        <v>0</v>
      </c>
      <c r="G17" s="6">
        <v>8.6000000000000003E-5</v>
      </c>
      <c r="H17" s="6">
        <v>1.359E-6</v>
      </c>
      <c r="I17" s="6">
        <v>-1.1E-5</v>
      </c>
      <c r="J17" s="6">
        <v>0</v>
      </c>
    </row>
    <row r="18" spans="1:10" x14ac:dyDescent="0.25">
      <c r="A18" s="6" t="s">
        <v>145</v>
      </c>
      <c r="B18" s="6" t="s">
        <v>145</v>
      </c>
      <c r="C18" s="6" t="s">
        <v>11</v>
      </c>
      <c r="D18" s="6" t="s">
        <v>492</v>
      </c>
      <c r="E18" s="6">
        <v>0</v>
      </c>
      <c r="F18" s="6">
        <v>0</v>
      </c>
      <c r="G18" s="6">
        <v>-2.1649999999999998E-3</v>
      </c>
      <c r="H18" s="6">
        <v>2.0999999999999999E-5</v>
      </c>
      <c r="I18" s="6">
        <v>-6.4899999999999995E-4</v>
      </c>
      <c r="J18" s="6">
        <v>0</v>
      </c>
    </row>
    <row r="19" spans="1:10" x14ac:dyDescent="0.25">
      <c r="A19" s="6" t="s">
        <v>496</v>
      </c>
      <c r="B19" s="6" t="s">
        <v>496</v>
      </c>
      <c r="C19" s="6" t="s">
        <v>11</v>
      </c>
      <c r="D19" s="6" t="s">
        <v>492</v>
      </c>
      <c r="E19" s="6">
        <v>0</v>
      </c>
      <c r="F19" s="6">
        <v>0</v>
      </c>
      <c r="G19" s="6">
        <v>1.12E-4</v>
      </c>
      <c r="H19" s="6">
        <v>8.2940000000000006E-6</v>
      </c>
      <c r="I19" s="6">
        <v>2.8159999999999998E-6</v>
      </c>
      <c r="J19" s="6">
        <v>0</v>
      </c>
    </row>
    <row r="20" spans="1:10" x14ac:dyDescent="0.25">
      <c r="A20" s="6" t="s">
        <v>497</v>
      </c>
      <c r="B20" s="6" t="s">
        <v>497</v>
      </c>
      <c r="C20" s="6" t="s">
        <v>11</v>
      </c>
      <c r="D20" s="6" t="s">
        <v>492</v>
      </c>
      <c r="E20" s="6">
        <v>0</v>
      </c>
      <c r="F20" s="6">
        <v>0</v>
      </c>
      <c r="G20" s="6">
        <v>1.2300000000000001E-4</v>
      </c>
      <c r="H20" s="6">
        <v>-4.8000000000000001E-5</v>
      </c>
      <c r="I20" s="6">
        <v>1.5E-5</v>
      </c>
      <c r="J20" s="6">
        <v>0</v>
      </c>
    </row>
    <row r="21" spans="1:10" x14ac:dyDescent="0.25">
      <c r="A21" s="6" t="s">
        <v>498</v>
      </c>
      <c r="B21" s="6" t="s">
        <v>498</v>
      </c>
      <c r="C21" s="6" t="s">
        <v>11</v>
      </c>
      <c r="D21" s="6" t="s">
        <v>492</v>
      </c>
      <c r="E21" s="6">
        <v>0</v>
      </c>
      <c r="F21" s="6">
        <v>0</v>
      </c>
      <c r="G21" s="6">
        <v>-1.2639999999999999E-3</v>
      </c>
      <c r="H21" s="6">
        <v>8.7000000000000001E-5</v>
      </c>
      <c r="I21" s="6">
        <v>6.9999999999999994E-5</v>
      </c>
      <c r="J21" s="6">
        <v>0</v>
      </c>
    </row>
    <row r="22" spans="1:10" x14ac:dyDescent="0.25">
      <c r="A22" s="6" t="s">
        <v>499</v>
      </c>
      <c r="B22" s="6" t="s">
        <v>499</v>
      </c>
      <c r="C22" s="6" t="s">
        <v>11</v>
      </c>
      <c r="D22" s="6" t="s">
        <v>492</v>
      </c>
      <c r="E22" s="6">
        <v>0</v>
      </c>
      <c r="F22" s="6">
        <v>0</v>
      </c>
      <c r="G22" s="6">
        <v>-8.4900000000000004E-4</v>
      </c>
      <c r="H22" s="6">
        <v>3.4999999999999997E-5</v>
      </c>
      <c r="I22" s="6">
        <v>2.1999999999999999E-5</v>
      </c>
      <c r="J22" s="6">
        <v>0</v>
      </c>
    </row>
    <row r="23" spans="1:10" x14ac:dyDescent="0.25">
      <c r="A23" s="6" t="s">
        <v>500</v>
      </c>
      <c r="B23" s="6" t="s">
        <v>500</v>
      </c>
      <c r="C23" s="6" t="s">
        <v>11</v>
      </c>
      <c r="D23" s="6" t="s">
        <v>492</v>
      </c>
      <c r="E23" s="6">
        <v>0</v>
      </c>
      <c r="F23" s="6">
        <v>0</v>
      </c>
      <c r="G23" s="6">
        <v>-1.436E-3</v>
      </c>
      <c r="H23" s="6">
        <v>2.1599999999999999E-4</v>
      </c>
      <c r="I23" s="6">
        <v>-5.3999999999999998E-5</v>
      </c>
      <c r="J23" s="6">
        <v>0</v>
      </c>
    </row>
    <row r="24" spans="1:10" x14ac:dyDescent="0.25">
      <c r="A24" s="6" t="s">
        <v>186</v>
      </c>
      <c r="B24" s="6" t="s">
        <v>186</v>
      </c>
      <c r="C24" s="6" t="s">
        <v>11</v>
      </c>
      <c r="D24" s="6" t="s">
        <v>492</v>
      </c>
      <c r="E24" s="6">
        <v>0</v>
      </c>
      <c r="F24" s="6">
        <v>0</v>
      </c>
      <c r="G24" s="6">
        <v>-1.983E-3</v>
      </c>
      <c r="H24" s="6">
        <v>2.1999999999999999E-5</v>
      </c>
      <c r="I24" s="6">
        <v>-6.0400000000000004E-4</v>
      </c>
      <c r="J24" s="6">
        <v>0</v>
      </c>
    </row>
    <row r="25" spans="1:10" x14ac:dyDescent="0.25">
      <c r="A25" s="6" t="s">
        <v>501</v>
      </c>
      <c r="B25" s="6" t="s">
        <v>501</v>
      </c>
      <c r="C25" s="6" t="s">
        <v>11</v>
      </c>
      <c r="D25" s="6" t="s">
        <v>492</v>
      </c>
      <c r="E25" s="6">
        <v>0</v>
      </c>
      <c r="F25" s="6">
        <v>0</v>
      </c>
      <c r="G25" s="6">
        <v>-1.2669999999999999E-3</v>
      </c>
      <c r="H25" s="6">
        <v>-1.8000000000000001E-4</v>
      </c>
      <c r="I25" s="6">
        <v>-6.7000000000000002E-5</v>
      </c>
      <c r="J25" s="6">
        <v>0</v>
      </c>
    </row>
    <row r="26" spans="1:10" x14ac:dyDescent="0.25">
      <c r="A26" s="6" t="s">
        <v>502</v>
      </c>
      <c r="B26" s="6" t="s">
        <v>502</v>
      </c>
      <c r="C26" s="6" t="s">
        <v>11</v>
      </c>
      <c r="D26" s="6" t="s">
        <v>492</v>
      </c>
      <c r="E26" s="6">
        <v>0</v>
      </c>
      <c r="F26" s="6">
        <v>0</v>
      </c>
      <c r="G26" s="6">
        <v>-6.9800000000000005E-4</v>
      </c>
      <c r="H26" s="6">
        <v>1.2999999999999999E-5</v>
      </c>
      <c r="I26" s="6">
        <v>-6.3E-5</v>
      </c>
      <c r="J26" s="6">
        <v>0</v>
      </c>
    </row>
    <row r="27" spans="1:10" x14ac:dyDescent="0.25">
      <c r="A27" s="6" t="s">
        <v>503</v>
      </c>
      <c r="B27" s="6" t="s">
        <v>503</v>
      </c>
      <c r="C27" s="6" t="s">
        <v>11</v>
      </c>
      <c r="D27" s="6" t="s">
        <v>492</v>
      </c>
      <c r="E27" s="6">
        <v>0</v>
      </c>
      <c r="F27" s="6">
        <v>0</v>
      </c>
      <c r="G27" s="6">
        <v>-3.5500000000000001E-4</v>
      </c>
      <c r="H27" s="6">
        <v>-3.1999999999999999E-5</v>
      </c>
      <c r="I27" s="6">
        <v>-6.6000000000000005E-5</v>
      </c>
      <c r="J27" s="6">
        <v>0</v>
      </c>
    </row>
    <row r="28" spans="1:10" x14ac:dyDescent="0.25">
      <c r="A28" s="6" t="s">
        <v>504</v>
      </c>
      <c r="B28" s="6" t="s">
        <v>504</v>
      </c>
      <c r="C28" s="6" t="s">
        <v>11</v>
      </c>
      <c r="D28" s="6" t="s">
        <v>492</v>
      </c>
      <c r="E28" s="6">
        <v>0</v>
      </c>
      <c r="F28" s="6">
        <v>0</v>
      </c>
      <c r="G28" s="6">
        <v>-1E-3</v>
      </c>
      <c r="H28" s="6">
        <v>1E-4</v>
      </c>
      <c r="I28" s="6">
        <v>6.7999999999999999E-5</v>
      </c>
      <c r="J28" s="6">
        <v>0</v>
      </c>
    </row>
    <row r="29" spans="1:10" x14ac:dyDescent="0.25">
      <c r="A29" s="6" t="s">
        <v>505</v>
      </c>
      <c r="B29" s="6" t="s">
        <v>505</v>
      </c>
      <c r="C29" s="6" t="s">
        <v>11</v>
      </c>
      <c r="D29" s="6" t="s">
        <v>492</v>
      </c>
      <c r="E29" s="6">
        <v>0</v>
      </c>
      <c r="F29" s="6">
        <v>0</v>
      </c>
      <c r="G29" s="6">
        <v>-1.3159999999999999E-3</v>
      </c>
      <c r="H29" s="6">
        <v>6.0999999999999999E-5</v>
      </c>
      <c r="I29" s="6">
        <v>-4.6E-5</v>
      </c>
      <c r="J29" s="6">
        <v>0</v>
      </c>
    </row>
    <row r="30" spans="1:10" x14ac:dyDescent="0.25">
      <c r="A30" s="6" t="s">
        <v>227</v>
      </c>
      <c r="B30" s="6" t="s">
        <v>227</v>
      </c>
      <c r="C30" s="6" t="s">
        <v>11</v>
      </c>
      <c r="D30" s="6" t="s">
        <v>492</v>
      </c>
      <c r="E30" s="6">
        <v>0</v>
      </c>
      <c r="F30" s="6">
        <v>0</v>
      </c>
      <c r="G30" s="6">
        <v>-1.787E-3</v>
      </c>
      <c r="H30" s="6">
        <v>2.0999999999999999E-5</v>
      </c>
      <c r="I30" s="6">
        <v>-5.6700000000000001E-4</v>
      </c>
      <c r="J30" s="6">
        <v>0</v>
      </c>
    </row>
    <row r="31" spans="1:10" x14ac:dyDescent="0.25">
      <c r="A31" s="6" t="s">
        <v>506</v>
      </c>
      <c r="B31" s="6" t="s">
        <v>506</v>
      </c>
      <c r="C31" s="6" t="s">
        <v>11</v>
      </c>
      <c r="D31" s="6" t="s">
        <v>492</v>
      </c>
      <c r="E31" s="6">
        <v>0</v>
      </c>
      <c r="F31" s="6">
        <v>0</v>
      </c>
      <c r="G31" s="6">
        <v>-1.4220000000000001E-3</v>
      </c>
      <c r="H31" s="6">
        <v>1.5E-5</v>
      </c>
      <c r="I31" s="6">
        <v>-4.8879999999999998E-7</v>
      </c>
      <c r="J31" s="6">
        <v>0</v>
      </c>
    </row>
    <row r="32" spans="1:10" x14ac:dyDescent="0.25">
      <c r="A32" s="6" t="s">
        <v>507</v>
      </c>
      <c r="B32" s="6" t="s">
        <v>507</v>
      </c>
      <c r="C32" s="6" t="s">
        <v>11</v>
      </c>
      <c r="D32" s="6" t="s">
        <v>492</v>
      </c>
      <c r="E32" s="6">
        <v>0</v>
      </c>
      <c r="F32" s="6">
        <v>0</v>
      </c>
      <c r="G32" s="6">
        <v>-1.0549999999999999E-3</v>
      </c>
      <c r="H32" s="6">
        <v>3.3000000000000003E-5</v>
      </c>
      <c r="I32" s="6">
        <v>1.2E-5</v>
      </c>
      <c r="J32" s="6">
        <v>0</v>
      </c>
    </row>
    <row r="33" spans="1:10" x14ac:dyDescent="0.25">
      <c r="A33" s="6" t="s">
        <v>508</v>
      </c>
      <c r="B33" s="6" t="s">
        <v>508</v>
      </c>
      <c r="C33" s="6" t="s">
        <v>11</v>
      </c>
      <c r="D33" s="6" t="s">
        <v>492</v>
      </c>
      <c r="E33" s="6">
        <v>0</v>
      </c>
      <c r="F33" s="6">
        <v>0</v>
      </c>
      <c r="G33" s="6">
        <v>-1.31E-3</v>
      </c>
      <c r="H33" s="6">
        <v>-1.9000000000000001E-5</v>
      </c>
      <c r="I33" s="6">
        <v>1.13E-4</v>
      </c>
      <c r="J33" s="6">
        <v>0</v>
      </c>
    </row>
    <row r="34" spans="1:10" x14ac:dyDescent="0.25">
      <c r="A34" s="6" t="s">
        <v>509</v>
      </c>
      <c r="B34" s="6" t="s">
        <v>509</v>
      </c>
      <c r="C34" s="6" t="s">
        <v>11</v>
      </c>
      <c r="D34" s="6" t="s">
        <v>492</v>
      </c>
      <c r="E34" s="6">
        <v>0</v>
      </c>
      <c r="F34" s="6">
        <v>0</v>
      </c>
      <c r="G34" s="6">
        <v>-1.7979999999999999E-3</v>
      </c>
      <c r="H34" s="6">
        <v>-1.5999999999999999E-5</v>
      </c>
      <c r="I34" s="6">
        <v>-5.1E-5</v>
      </c>
      <c r="J34" s="6">
        <v>0</v>
      </c>
    </row>
    <row r="35" spans="1:10" x14ac:dyDescent="0.25">
      <c r="A35" s="6" t="s">
        <v>510</v>
      </c>
      <c r="B35" s="6" t="s">
        <v>510</v>
      </c>
      <c r="C35" s="6" t="s">
        <v>11</v>
      </c>
      <c r="D35" s="6" t="s">
        <v>492</v>
      </c>
      <c r="E35" s="6">
        <v>0</v>
      </c>
      <c r="F35" s="6">
        <v>0</v>
      </c>
      <c r="G35" s="6">
        <v>-2.1059999999999998E-3</v>
      </c>
      <c r="H35" s="6">
        <v>-4.5000000000000003E-5</v>
      </c>
      <c r="I35" s="6">
        <v>1.5719999999999999E-6</v>
      </c>
      <c r="J35" s="6">
        <v>0</v>
      </c>
    </row>
    <row r="36" spans="1:10" x14ac:dyDescent="0.25">
      <c r="A36" s="6" t="s">
        <v>265</v>
      </c>
      <c r="B36" s="6" t="s">
        <v>265</v>
      </c>
      <c r="C36" s="6" t="s">
        <v>11</v>
      </c>
      <c r="D36" s="6" t="s">
        <v>492</v>
      </c>
      <c r="E36" s="6">
        <v>0</v>
      </c>
      <c r="F36" s="6">
        <v>0</v>
      </c>
      <c r="G36" s="6">
        <v>-1.5590000000000001E-3</v>
      </c>
      <c r="H36" s="6">
        <v>1.2999999999999999E-5</v>
      </c>
      <c r="I36" s="6">
        <v>-3.8699999999999997E-4</v>
      </c>
      <c r="J36" s="6">
        <v>0</v>
      </c>
    </row>
    <row r="37" spans="1:10" x14ac:dyDescent="0.25">
      <c r="A37" s="6" t="s">
        <v>511</v>
      </c>
      <c r="B37" s="6" t="s">
        <v>511</v>
      </c>
      <c r="C37" s="6" t="s">
        <v>11</v>
      </c>
      <c r="D37" s="6" t="s">
        <v>492</v>
      </c>
      <c r="E37" s="6">
        <v>0</v>
      </c>
      <c r="F37" s="6">
        <v>0</v>
      </c>
      <c r="G37" s="6">
        <v>-1.7730000000000001E-3</v>
      </c>
      <c r="H37" s="6">
        <v>-8.1000000000000004E-5</v>
      </c>
      <c r="I37" s="6">
        <v>-7.4769999999999997E-6</v>
      </c>
      <c r="J37" s="6">
        <v>0</v>
      </c>
    </row>
    <row r="38" spans="1:10" x14ac:dyDescent="0.25">
      <c r="A38" s="6" t="s">
        <v>512</v>
      </c>
      <c r="B38" s="6" t="s">
        <v>512</v>
      </c>
      <c r="C38" s="6" t="s">
        <v>11</v>
      </c>
      <c r="D38" s="6" t="s">
        <v>492</v>
      </c>
      <c r="E38" s="6">
        <v>0</v>
      </c>
      <c r="F38" s="6">
        <v>0</v>
      </c>
      <c r="G38" s="6">
        <v>-1.333E-3</v>
      </c>
      <c r="H38" s="6">
        <v>-5.2050000000000004E-7</v>
      </c>
      <c r="I38" s="6">
        <v>1.0399999999999999E-4</v>
      </c>
      <c r="J38" s="6">
        <v>0</v>
      </c>
    </row>
    <row r="39" spans="1:10" x14ac:dyDescent="0.25">
      <c r="A39" s="6" t="s">
        <v>513</v>
      </c>
      <c r="B39" s="6" t="s">
        <v>513</v>
      </c>
      <c r="C39" s="6" t="s">
        <v>11</v>
      </c>
      <c r="D39" s="6" t="s">
        <v>492</v>
      </c>
      <c r="E39" s="6">
        <v>0</v>
      </c>
      <c r="F39" s="6">
        <v>0</v>
      </c>
      <c r="G39" s="6">
        <v>-1.7910000000000001E-3</v>
      </c>
      <c r="H39" s="6">
        <v>1.4529999999999999E-6</v>
      </c>
      <c r="I39" s="6">
        <v>-5.0000000000000002E-5</v>
      </c>
      <c r="J39" s="6">
        <v>0</v>
      </c>
    </row>
    <row r="40" spans="1:10" x14ac:dyDescent="0.25">
      <c r="A40" s="6" t="s">
        <v>514</v>
      </c>
      <c r="B40" s="6" t="s">
        <v>514</v>
      </c>
      <c r="C40" s="6" t="s">
        <v>11</v>
      </c>
      <c r="D40" s="6" t="s">
        <v>492</v>
      </c>
      <c r="E40" s="6">
        <v>0</v>
      </c>
      <c r="F40" s="6">
        <v>0</v>
      </c>
      <c r="G40" s="6">
        <v>-2.101E-3</v>
      </c>
      <c r="H40" s="6">
        <v>-1.4389999999999999E-6</v>
      </c>
      <c r="I40" s="6">
        <v>-2.0000000000000002E-5</v>
      </c>
      <c r="J40" s="6">
        <v>0</v>
      </c>
    </row>
    <row r="41" spans="1:10" x14ac:dyDescent="0.25">
      <c r="A41" s="6" t="s">
        <v>515</v>
      </c>
      <c r="B41" s="6" t="s">
        <v>515</v>
      </c>
      <c r="C41" s="6" t="s">
        <v>11</v>
      </c>
      <c r="D41" s="6" t="s">
        <v>492</v>
      </c>
      <c r="E41" s="6">
        <v>0</v>
      </c>
      <c r="F41" s="6">
        <v>0</v>
      </c>
      <c r="G41" s="6">
        <v>-1.7719999999999999E-3</v>
      </c>
      <c r="H41" s="6">
        <v>6.0220000000000001E-6</v>
      </c>
      <c r="I41" s="6">
        <v>-3.1200000000000002E-6</v>
      </c>
      <c r="J41" s="6">
        <v>0</v>
      </c>
    </row>
    <row r="42" spans="1:10" x14ac:dyDescent="0.25">
      <c r="A42" s="6" t="s">
        <v>516</v>
      </c>
      <c r="B42" s="6" t="s">
        <v>516</v>
      </c>
      <c r="C42" s="6" t="s">
        <v>11</v>
      </c>
      <c r="D42" s="6" t="s">
        <v>492</v>
      </c>
      <c r="E42" s="6">
        <v>0</v>
      </c>
      <c r="F42" s="6">
        <v>0</v>
      </c>
      <c r="G42" s="6">
        <v>-1.34E-3</v>
      </c>
      <c r="H42" s="6">
        <v>-1.2669999999999999E-6</v>
      </c>
      <c r="I42" s="6">
        <v>1.03E-4</v>
      </c>
      <c r="J42" s="6">
        <v>0</v>
      </c>
    </row>
    <row r="43" spans="1:10" x14ac:dyDescent="0.25">
      <c r="A43" s="6" t="s">
        <v>517</v>
      </c>
      <c r="B43" s="6" t="s">
        <v>517</v>
      </c>
      <c r="C43" s="6" t="s">
        <v>11</v>
      </c>
      <c r="D43" s="6" t="s">
        <v>492</v>
      </c>
      <c r="E43" s="6">
        <v>0</v>
      </c>
      <c r="F43" s="6">
        <v>0</v>
      </c>
      <c r="G43" s="6">
        <v>-1.7600000000000001E-3</v>
      </c>
      <c r="H43" s="6">
        <v>1.189E-6</v>
      </c>
      <c r="I43" s="6">
        <v>-6.7999999999999999E-5</v>
      </c>
      <c r="J43" s="6">
        <v>0</v>
      </c>
    </row>
    <row r="44" spans="1:10" x14ac:dyDescent="0.25">
      <c r="A44" s="6" t="s">
        <v>518</v>
      </c>
      <c r="B44" s="6" t="s">
        <v>518</v>
      </c>
      <c r="C44" s="6" t="s">
        <v>11</v>
      </c>
      <c r="D44" s="6" t="s">
        <v>492</v>
      </c>
      <c r="E44" s="6">
        <v>0</v>
      </c>
      <c r="F44" s="6">
        <v>0</v>
      </c>
      <c r="G44" s="6">
        <v>-2.5639999999999999E-3</v>
      </c>
      <c r="H44" s="6">
        <v>3.4E-5</v>
      </c>
      <c r="I44" s="6">
        <v>4.66E-4</v>
      </c>
      <c r="J44" s="6">
        <v>0</v>
      </c>
    </row>
    <row r="45" spans="1:10" x14ac:dyDescent="0.25">
      <c r="A45" s="6" t="s">
        <v>519</v>
      </c>
      <c r="B45" s="6" t="s">
        <v>519</v>
      </c>
      <c r="C45" s="6" t="s">
        <v>11</v>
      </c>
      <c r="D45" s="6" t="s">
        <v>492</v>
      </c>
      <c r="E45" s="6">
        <v>0</v>
      </c>
      <c r="F45" s="6">
        <v>0</v>
      </c>
      <c r="G45" s="6">
        <v>-2.1150000000000001E-3</v>
      </c>
      <c r="H45" s="6">
        <v>5.0000000000000002E-5</v>
      </c>
      <c r="I45" s="6">
        <v>-4.26E-4</v>
      </c>
      <c r="J45" s="6">
        <v>0</v>
      </c>
    </row>
    <row r="46" spans="1:10" x14ac:dyDescent="0.25">
      <c r="A46" s="6" t="s">
        <v>266</v>
      </c>
      <c r="B46" s="6" t="s">
        <v>266</v>
      </c>
      <c r="C46" s="6" t="s">
        <v>11</v>
      </c>
      <c r="D46" s="6" t="s">
        <v>492</v>
      </c>
      <c r="E46" s="6">
        <v>0</v>
      </c>
      <c r="F46" s="6">
        <v>0</v>
      </c>
      <c r="G46" s="6">
        <v>-1.346E-3</v>
      </c>
      <c r="H46" s="6">
        <v>3.0350000000000002E-6</v>
      </c>
      <c r="I46" s="6">
        <v>1.07E-4</v>
      </c>
      <c r="J46" s="6">
        <v>0</v>
      </c>
    </row>
    <row r="47" spans="1:10" x14ac:dyDescent="0.25">
      <c r="A47" s="6" t="s">
        <v>74</v>
      </c>
      <c r="B47" s="6" t="s">
        <v>74</v>
      </c>
      <c r="C47" s="6" t="s">
        <v>11</v>
      </c>
      <c r="D47" s="6" t="s">
        <v>492</v>
      </c>
      <c r="E47" s="6">
        <v>0</v>
      </c>
      <c r="F47" s="6">
        <v>0</v>
      </c>
      <c r="G47" s="6">
        <v>-1.8129999999999999E-3</v>
      </c>
      <c r="H47" s="6">
        <v>-2.8650000000000001E-6</v>
      </c>
      <c r="I47" s="6">
        <v>-5.1999999999999997E-5</v>
      </c>
      <c r="J47" s="6">
        <v>0</v>
      </c>
    </row>
    <row r="48" spans="1:10" x14ac:dyDescent="0.25">
      <c r="A48" s="6" t="s">
        <v>110</v>
      </c>
      <c r="B48" s="6" t="s">
        <v>110</v>
      </c>
      <c r="C48" s="6" t="s">
        <v>11</v>
      </c>
      <c r="D48" s="6" t="s">
        <v>492</v>
      </c>
      <c r="E48" s="6">
        <v>0</v>
      </c>
      <c r="F48" s="6">
        <v>0</v>
      </c>
      <c r="G48" s="6">
        <v>-1.8699999999999999E-3</v>
      </c>
      <c r="H48" s="6">
        <v>3.1000000000000001E-5</v>
      </c>
      <c r="I48" s="6">
        <v>-2.5999999999999998E-5</v>
      </c>
      <c r="J48" s="6">
        <v>0</v>
      </c>
    </row>
    <row r="49" spans="1:10" x14ac:dyDescent="0.25">
      <c r="A49" s="6" t="s">
        <v>146</v>
      </c>
      <c r="B49" s="6" t="s">
        <v>146</v>
      </c>
      <c r="C49" s="6" t="s">
        <v>11</v>
      </c>
      <c r="D49" s="6" t="s">
        <v>492</v>
      </c>
      <c r="E49" s="6">
        <v>0</v>
      </c>
      <c r="F49" s="6">
        <v>0</v>
      </c>
      <c r="G49" s="6">
        <v>-1.372E-3</v>
      </c>
      <c r="H49" s="6">
        <v>6.0000000000000002E-5</v>
      </c>
      <c r="I49" s="6">
        <v>2.8309999999999999E-7</v>
      </c>
      <c r="J49" s="6">
        <v>0</v>
      </c>
    </row>
    <row r="50" spans="1:10" x14ac:dyDescent="0.25">
      <c r="A50" s="6" t="s">
        <v>187</v>
      </c>
      <c r="B50" s="6" t="s">
        <v>187</v>
      </c>
      <c r="C50" s="6" t="s">
        <v>11</v>
      </c>
      <c r="D50" s="6" t="s">
        <v>492</v>
      </c>
      <c r="E50" s="6">
        <v>0</v>
      </c>
      <c r="F50" s="6">
        <v>0</v>
      </c>
      <c r="G50" s="6">
        <v>-1.08E-3</v>
      </c>
      <c r="H50" s="6">
        <v>8.5000000000000006E-5</v>
      </c>
      <c r="I50" s="6">
        <v>5.1999999999999997E-5</v>
      </c>
      <c r="J50" s="6">
        <v>0</v>
      </c>
    </row>
    <row r="51" spans="1:10" x14ac:dyDescent="0.25">
      <c r="A51" s="6" t="s">
        <v>228</v>
      </c>
      <c r="B51" s="6" t="s">
        <v>228</v>
      </c>
      <c r="C51" s="6" t="s">
        <v>11</v>
      </c>
      <c r="D51" s="6" t="s">
        <v>492</v>
      </c>
      <c r="E51" s="6">
        <v>0</v>
      </c>
      <c r="F51" s="6">
        <v>0</v>
      </c>
      <c r="G51" s="6">
        <v>-1.436E-3</v>
      </c>
      <c r="H51" s="6">
        <v>1.22E-4</v>
      </c>
      <c r="I51" s="6">
        <v>-4.3999999999999999E-5</v>
      </c>
      <c r="J51" s="6">
        <v>0</v>
      </c>
    </row>
    <row r="52" spans="1:10" x14ac:dyDescent="0.25">
      <c r="A52" s="6" t="s">
        <v>520</v>
      </c>
      <c r="B52" s="6" t="s">
        <v>520</v>
      </c>
      <c r="C52" s="6" t="s">
        <v>11</v>
      </c>
      <c r="D52" s="6" t="s">
        <v>492</v>
      </c>
      <c r="E52" s="6">
        <v>0</v>
      </c>
      <c r="F52" s="6">
        <v>0</v>
      </c>
      <c r="G52" s="6">
        <v>-1.5020000000000001E-3</v>
      </c>
      <c r="H52" s="6">
        <v>1.21E-4</v>
      </c>
      <c r="I52" s="6">
        <v>-2.6989999999999999E-6</v>
      </c>
      <c r="J52" s="6">
        <v>0</v>
      </c>
    </row>
    <row r="53" spans="1:10" x14ac:dyDescent="0.25">
      <c r="A53" s="6" t="s">
        <v>521</v>
      </c>
      <c r="B53" s="6" t="s">
        <v>521</v>
      </c>
      <c r="C53" s="6" t="s">
        <v>11</v>
      </c>
      <c r="D53" s="6" t="s">
        <v>492</v>
      </c>
      <c r="E53" s="6">
        <v>0</v>
      </c>
      <c r="F53" s="6">
        <v>0</v>
      </c>
      <c r="G53" s="6">
        <v>-9.6900000000000003E-4</v>
      </c>
      <c r="H53" s="6">
        <v>9.2E-5</v>
      </c>
      <c r="I53" s="6">
        <v>-2.6999999999999999E-5</v>
      </c>
      <c r="J53" s="6">
        <v>0</v>
      </c>
    </row>
    <row r="54" spans="1:10" x14ac:dyDescent="0.25">
      <c r="A54" s="6" t="s">
        <v>169</v>
      </c>
      <c r="B54" s="6" t="s">
        <v>169</v>
      </c>
      <c r="C54" s="6" t="s">
        <v>11</v>
      </c>
      <c r="D54" s="6" t="s">
        <v>492</v>
      </c>
      <c r="E54" s="6">
        <v>0</v>
      </c>
      <c r="F54" s="6">
        <v>0</v>
      </c>
      <c r="G54" s="6">
        <v>-2.3500000000000001E-3</v>
      </c>
      <c r="H54" s="6">
        <v>2.81E-4</v>
      </c>
      <c r="I54" s="6">
        <v>-3.9800000000000002E-4</v>
      </c>
      <c r="J54" s="6">
        <v>0</v>
      </c>
    </row>
    <row r="55" spans="1:10" x14ac:dyDescent="0.25">
      <c r="A55" s="6" t="s">
        <v>210</v>
      </c>
      <c r="B55" s="6" t="s">
        <v>210</v>
      </c>
      <c r="C55" s="6" t="s">
        <v>11</v>
      </c>
      <c r="D55" s="6" t="s">
        <v>492</v>
      </c>
      <c r="E55" s="6">
        <v>0</v>
      </c>
      <c r="F55" s="6">
        <v>0</v>
      </c>
      <c r="G55" s="6">
        <v>-2.1559999999999999E-3</v>
      </c>
      <c r="H55" s="6">
        <v>-2.3900000000000001E-4</v>
      </c>
      <c r="I55" s="6">
        <v>-3.8200000000000002E-4</v>
      </c>
      <c r="J55" s="6">
        <v>0</v>
      </c>
    </row>
    <row r="56" spans="1:10" x14ac:dyDescent="0.25">
      <c r="A56" s="6" t="s">
        <v>171</v>
      </c>
      <c r="B56" s="6" t="s">
        <v>171</v>
      </c>
      <c r="C56" s="6" t="s">
        <v>11</v>
      </c>
      <c r="D56" s="6" t="s">
        <v>492</v>
      </c>
      <c r="E56" s="6">
        <v>0</v>
      </c>
      <c r="F56" s="6">
        <v>0</v>
      </c>
      <c r="G56" s="6">
        <v>-2.0470000000000002E-3</v>
      </c>
      <c r="H56" s="6">
        <v>2.5599999999999999E-4</v>
      </c>
      <c r="I56" s="6">
        <v>3.0299999999999999E-4</v>
      </c>
      <c r="J56" s="6">
        <v>0</v>
      </c>
    </row>
    <row r="57" spans="1:10" x14ac:dyDescent="0.25">
      <c r="A57" s="6" t="s">
        <v>212</v>
      </c>
      <c r="B57" s="6" t="s">
        <v>212</v>
      </c>
      <c r="C57" s="6" t="s">
        <v>11</v>
      </c>
      <c r="D57" s="6" t="s">
        <v>492</v>
      </c>
      <c r="E57" s="6">
        <v>0</v>
      </c>
      <c r="F57" s="6">
        <v>0</v>
      </c>
      <c r="G57" s="6">
        <v>-1.781E-3</v>
      </c>
      <c r="H57" s="6">
        <v>-1.9799999999999999E-4</v>
      </c>
      <c r="I57" s="6">
        <v>2.6499999999999999E-4</v>
      </c>
      <c r="J57" s="6">
        <v>0</v>
      </c>
    </row>
    <row r="58" spans="1:10" x14ac:dyDescent="0.25">
      <c r="A58" s="6" t="s">
        <v>114</v>
      </c>
      <c r="B58" s="6" t="s">
        <v>114</v>
      </c>
      <c r="C58" s="6" t="s">
        <v>11</v>
      </c>
      <c r="D58" s="6" t="s">
        <v>492</v>
      </c>
      <c r="E58" s="6">
        <v>0</v>
      </c>
      <c r="F58" s="6">
        <v>0</v>
      </c>
      <c r="G58" s="6">
        <v>-3.4600000000000001E-4</v>
      </c>
      <c r="H58" s="6">
        <v>-2.3499999999999999E-4</v>
      </c>
      <c r="I58" s="6">
        <v>-3.4999999999999997E-5</v>
      </c>
      <c r="J58" s="6">
        <v>0</v>
      </c>
    </row>
    <row r="59" spans="1:10" x14ac:dyDescent="0.25">
      <c r="A59" s="6" t="s">
        <v>132</v>
      </c>
      <c r="B59" s="6" t="s">
        <v>132</v>
      </c>
      <c r="C59" s="6" t="s">
        <v>11</v>
      </c>
      <c r="D59" s="6" t="s">
        <v>492</v>
      </c>
      <c r="E59" s="6">
        <v>0</v>
      </c>
      <c r="F59" s="6">
        <v>0</v>
      </c>
      <c r="G59" s="6">
        <v>-6.0999999999999999E-5</v>
      </c>
      <c r="H59" s="6">
        <v>3.1300000000000002E-4</v>
      </c>
      <c r="I59" s="6">
        <v>-1.15E-4</v>
      </c>
      <c r="J59" s="6">
        <v>0</v>
      </c>
    </row>
    <row r="60" spans="1:10" x14ac:dyDescent="0.25">
      <c r="A60" s="6" t="s">
        <v>96</v>
      </c>
      <c r="B60" s="6" t="s">
        <v>96</v>
      </c>
      <c r="C60" s="6" t="s">
        <v>11</v>
      </c>
      <c r="D60" s="6" t="s">
        <v>492</v>
      </c>
      <c r="E60" s="6">
        <v>0</v>
      </c>
      <c r="F60" s="6">
        <v>0</v>
      </c>
      <c r="G60" s="6">
        <v>2.3800000000000001E-4</v>
      </c>
      <c r="H60" s="6">
        <v>-3.3000000000000003E-5</v>
      </c>
      <c r="I60" s="6">
        <v>-8.3999999999999995E-5</v>
      </c>
      <c r="J60" s="6">
        <v>0</v>
      </c>
    </row>
    <row r="61" spans="1:10" x14ac:dyDescent="0.25">
      <c r="A61" s="6" t="s">
        <v>522</v>
      </c>
      <c r="B61" s="6" t="s">
        <v>522</v>
      </c>
      <c r="C61" s="6" t="s">
        <v>11</v>
      </c>
      <c r="D61" s="6" t="s">
        <v>492</v>
      </c>
      <c r="E61" s="6">
        <v>0</v>
      </c>
      <c r="F61" s="6">
        <v>0</v>
      </c>
      <c r="G61" s="6">
        <v>1.45E-4</v>
      </c>
      <c r="H61" s="6">
        <v>1.4100000000000001E-6</v>
      </c>
      <c r="I61" s="6">
        <v>-6.7999999999999999E-5</v>
      </c>
      <c r="J61" s="6">
        <v>0</v>
      </c>
    </row>
    <row r="62" spans="1:10" x14ac:dyDescent="0.25">
      <c r="A62" s="6" t="s">
        <v>523</v>
      </c>
      <c r="B62" s="6" t="s">
        <v>523</v>
      </c>
      <c r="C62" s="6" t="s">
        <v>11</v>
      </c>
      <c r="D62" s="6" t="s">
        <v>492</v>
      </c>
      <c r="E62" s="6">
        <v>0</v>
      </c>
      <c r="F62" s="6">
        <v>0</v>
      </c>
      <c r="G62" s="6">
        <v>1.5699999999999999E-4</v>
      </c>
      <c r="H62" s="6">
        <v>2.2859999999999998E-6</v>
      </c>
      <c r="I62" s="6">
        <v>-5.5999999999999999E-5</v>
      </c>
      <c r="J62" s="6">
        <v>0</v>
      </c>
    </row>
    <row r="63" spans="1:10" x14ac:dyDescent="0.25">
      <c r="A63" s="6" t="s">
        <v>524</v>
      </c>
      <c r="B63" s="6" t="s">
        <v>524</v>
      </c>
      <c r="C63" s="6" t="s">
        <v>11</v>
      </c>
      <c r="D63" s="6" t="s">
        <v>492</v>
      </c>
      <c r="E63" s="6">
        <v>0</v>
      </c>
      <c r="F63" s="6">
        <v>0</v>
      </c>
      <c r="G63" s="6">
        <v>2.23E-4</v>
      </c>
      <c r="H63" s="6">
        <v>1.0000000000000001E-5</v>
      </c>
      <c r="I63" s="6">
        <v>-4.3000000000000002E-5</v>
      </c>
      <c r="J63" s="6">
        <v>0</v>
      </c>
    </row>
    <row r="64" spans="1:10" x14ac:dyDescent="0.25">
      <c r="A64" s="6" t="s">
        <v>525</v>
      </c>
      <c r="B64" s="6" t="s">
        <v>525</v>
      </c>
      <c r="C64" s="6" t="s">
        <v>11</v>
      </c>
      <c r="D64" s="6" t="s">
        <v>492</v>
      </c>
      <c r="E64" s="6">
        <v>0</v>
      </c>
      <c r="F64" s="6">
        <v>0</v>
      </c>
      <c r="G64" s="6">
        <v>-6.6699999999999995E-4</v>
      </c>
      <c r="H64" s="6">
        <v>-3.6000000000000001E-5</v>
      </c>
      <c r="I64" s="6">
        <v>-3.1000000000000001E-5</v>
      </c>
      <c r="J64" s="6">
        <v>0</v>
      </c>
    </row>
    <row r="65" spans="1:10" x14ac:dyDescent="0.25">
      <c r="A65" s="6" t="s">
        <v>526</v>
      </c>
      <c r="B65" s="6" t="s">
        <v>526</v>
      </c>
      <c r="C65" s="6" t="s">
        <v>11</v>
      </c>
      <c r="D65" s="6" t="s">
        <v>492</v>
      </c>
      <c r="E65" s="6">
        <v>0</v>
      </c>
      <c r="F65" s="6">
        <v>0</v>
      </c>
      <c r="G65" s="6">
        <v>-1.655E-3</v>
      </c>
      <c r="H65" s="6">
        <v>2.0660000000000002E-6</v>
      </c>
      <c r="I65" s="6">
        <v>-4.3000000000000002E-5</v>
      </c>
      <c r="J65" s="6">
        <v>0</v>
      </c>
    </row>
    <row r="66" spans="1:10" x14ac:dyDescent="0.25">
      <c r="A66" s="6" t="s">
        <v>527</v>
      </c>
      <c r="B66" s="6" t="s">
        <v>527</v>
      </c>
      <c r="C66" s="6" t="s">
        <v>11</v>
      </c>
      <c r="D66" s="6" t="s">
        <v>492</v>
      </c>
      <c r="E66" s="6">
        <v>0</v>
      </c>
      <c r="F66" s="6">
        <v>0</v>
      </c>
      <c r="G66" s="6">
        <v>-1.3649999999999999E-3</v>
      </c>
      <c r="H66" s="6">
        <v>-4.1999999999999998E-5</v>
      </c>
      <c r="I66" s="6">
        <v>-6.7999999999999999E-5</v>
      </c>
      <c r="J66" s="6">
        <v>0</v>
      </c>
    </row>
    <row r="67" spans="1:10" x14ac:dyDescent="0.25">
      <c r="A67" s="6" t="s">
        <v>528</v>
      </c>
      <c r="B67" s="6" t="s">
        <v>528</v>
      </c>
      <c r="C67" s="6" t="s">
        <v>11</v>
      </c>
      <c r="D67" s="6" t="s">
        <v>492</v>
      </c>
      <c r="E67" s="6">
        <v>0</v>
      </c>
      <c r="F67" s="6">
        <v>0</v>
      </c>
      <c r="G67" s="6">
        <v>-1.4610000000000001E-3</v>
      </c>
      <c r="H67" s="6">
        <v>-1.47E-4</v>
      </c>
      <c r="I67" s="6">
        <v>1.36E-4</v>
      </c>
      <c r="J67" s="6">
        <v>0</v>
      </c>
    </row>
    <row r="68" spans="1:10" x14ac:dyDescent="0.25">
      <c r="A68" s="6" t="s">
        <v>529</v>
      </c>
      <c r="B68" s="6" t="s">
        <v>529</v>
      </c>
      <c r="C68" s="6" t="s">
        <v>11</v>
      </c>
      <c r="D68" s="6" t="s">
        <v>492</v>
      </c>
      <c r="E68" s="6">
        <v>0</v>
      </c>
      <c r="F68" s="6">
        <v>0</v>
      </c>
      <c r="G68" s="6">
        <v>-1.5089999999999999E-3</v>
      </c>
      <c r="H68" s="6">
        <v>-2.5000000000000001E-5</v>
      </c>
      <c r="I68" s="6">
        <v>1.4E-5</v>
      </c>
      <c r="J68" s="6">
        <v>0</v>
      </c>
    </row>
    <row r="69" spans="1:10" x14ac:dyDescent="0.25">
      <c r="A69" s="6" t="s">
        <v>272</v>
      </c>
      <c r="B69" s="6" t="s">
        <v>272</v>
      </c>
      <c r="C69" s="6" t="s">
        <v>11</v>
      </c>
      <c r="D69" s="6" t="s">
        <v>492</v>
      </c>
      <c r="E69" s="6">
        <v>0</v>
      </c>
      <c r="F69" s="6">
        <v>0</v>
      </c>
      <c r="G69" s="6">
        <v>-1.5020000000000001E-3</v>
      </c>
      <c r="H69" s="6">
        <v>9.2E-5</v>
      </c>
      <c r="I69" s="6">
        <v>-1.11E-4</v>
      </c>
      <c r="J69" s="6">
        <v>0</v>
      </c>
    </row>
    <row r="70" spans="1:10" x14ac:dyDescent="0.25">
      <c r="A70" s="6" t="s">
        <v>273</v>
      </c>
      <c r="B70" s="6" t="s">
        <v>273</v>
      </c>
      <c r="C70" s="6" t="s">
        <v>11</v>
      </c>
      <c r="D70" s="6" t="s">
        <v>492</v>
      </c>
      <c r="E70" s="6">
        <v>0</v>
      </c>
      <c r="F70" s="6">
        <v>0</v>
      </c>
      <c r="G70" s="6">
        <v>-1.5219999999999999E-3</v>
      </c>
      <c r="H70" s="6">
        <v>-2.4000000000000001E-5</v>
      </c>
      <c r="I70" s="6">
        <v>1.5E-5</v>
      </c>
      <c r="J70" s="6">
        <v>0</v>
      </c>
    </row>
    <row r="71" spans="1:10" x14ac:dyDescent="0.25">
      <c r="A71" s="6" t="s">
        <v>300</v>
      </c>
      <c r="B71" s="6" t="s">
        <v>300</v>
      </c>
      <c r="C71" s="6" t="s">
        <v>11</v>
      </c>
      <c r="D71" s="6" t="s">
        <v>492</v>
      </c>
      <c r="E71" s="6">
        <v>0</v>
      </c>
      <c r="F71" s="6">
        <v>0</v>
      </c>
      <c r="G71" s="6">
        <v>-1.9400000000000001E-3</v>
      </c>
      <c r="H71" s="6">
        <v>-1.2E-5</v>
      </c>
      <c r="I71" s="6">
        <v>-4.1999999999999998E-5</v>
      </c>
      <c r="J71" s="6">
        <v>0</v>
      </c>
    </row>
    <row r="72" spans="1:10" x14ac:dyDescent="0.25">
      <c r="A72" s="6" t="s">
        <v>299</v>
      </c>
      <c r="B72" s="6" t="s">
        <v>299</v>
      </c>
      <c r="C72" s="6" t="s">
        <v>11</v>
      </c>
      <c r="D72" s="6" t="s">
        <v>492</v>
      </c>
      <c r="E72" s="6">
        <v>0</v>
      </c>
      <c r="F72" s="6">
        <v>0</v>
      </c>
      <c r="G72" s="6">
        <v>-1.8979999999999999E-3</v>
      </c>
      <c r="H72" s="6">
        <v>-1.2E-5</v>
      </c>
      <c r="I72" s="6">
        <v>-4.1999999999999998E-5</v>
      </c>
      <c r="J72" s="6">
        <v>0</v>
      </c>
    </row>
    <row r="73" spans="1:10" x14ac:dyDescent="0.25">
      <c r="A73" s="6" t="s">
        <v>274</v>
      </c>
      <c r="B73" s="6" t="s">
        <v>274</v>
      </c>
      <c r="C73" s="6" t="s">
        <v>11</v>
      </c>
      <c r="D73" s="6" t="s">
        <v>492</v>
      </c>
      <c r="E73" s="6">
        <v>0</v>
      </c>
      <c r="F73" s="6">
        <v>0</v>
      </c>
      <c r="G73" s="6">
        <v>-1.9120000000000001E-3</v>
      </c>
      <c r="H73" s="6">
        <v>-1.2E-5</v>
      </c>
      <c r="I73" s="6">
        <v>-4.1999999999999998E-5</v>
      </c>
      <c r="J73" s="6">
        <v>0</v>
      </c>
    </row>
    <row r="74" spans="1:10" x14ac:dyDescent="0.25">
      <c r="A74" s="6" t="s">
        <v>275</v>
      </c>
      <c r="B74" s="6" t="s">
        <v>275</v>
      </c>
      <c r="C74" s="6" t="s">
        <v>11</v>
      </c>
      <c r="D74" s="6" t="s">
        <v>492</v>
      </c>
      <c r="E74" s="6">
        <v>0</v>
      </c>
      <c r="F74" s="6">
        <v>0</v>
      </c>
      <c r="G74" s="6">
        <v>-1.9530000000000001E-3</v>
      </c>
      <c r="H74" s="6">
        <v>-1.2E-5</v>
      </c>
      <c r="I74" s="6">
        <v>-4.1999999999999998E-5</v>
      </c>
      <c r="J74" s="6">
        <v>0</v>
      </c>
    </row>
    <row r="75" spans="1:10" x14ac:dyDescent="0.25">
      <c r="A75" s="6" t="s">
        <v>302</v>
      </c>
      <c r="B75" s="6" t="s">
        <v>302</v>
      </c>
      <c r="C75" s="6" t="s">
        <v>11</v>
      </c>
      <c r="D75" s="6" t="s">
        <v>492</v>
      </c>
      <c r="E75" s="6">
        <v>0</v>
      </c>
      <c r="F75" s="6">
        <v>0</v>
      </c>
      <c r="G75" s="6">
        <v>-2.0339999999999998E-3</v>
      </c>
      <c r="H75" s="6">
        <v>-6.533E-6</v>
      </c>
      <c r="I75" s="6">
        <v>-6.1550000000000004E-6</v>
      </c>
      <c r="J75" s="6">
        <v>0</v>
      </c>
    </row>
    <row r="76" spans="1:10" x14ac:dyDescent="0.25">
      <c r="A76" s="6" t="s">
        <v>301</v>
      </c>
      <c r="B76" s="6" t="s">
        <v>301</v>
      </c>
      <c r="C76" s="6" t="s">
        <v>11</v>
      </c>
      <c r="D76" s="6" t="s">
        <v>492</v>
      </c>
      <c r="E76" s="6">
        <v>0</v>
      </c>
      <c r="F76" s="6">
        <v>0</v>
      </c>
      <c r="G76" s="6">
        <v>-2.0279999999999999E-3</v>
      </c>
      <c r="H76" s="6">
        <v>-6.5320000000000003E-6</v>
      </c>
      <c r="I76" s="6">
        <v>-6.2020000000000001E-6</v>
      </c>
      <c r="J76" s="6">
        <v>0</v>
      </c>
    </row>
    <row r="77" spans="1:10" x14ac:dyDescent="0.25">
      <c r="A77" s="6" t="s">
        <v>276</v>
      </c>
      <c r="B77" s="6" t="s">
        <v>276</v>
      </c>
      <c r="C77" s="6" t="s">
        <v>11</v>
      </c>
      <c r="D77" s="6" t="s">
        <v>492</v>
      </c>
      <c r="E77" s="6">
        <v>0</v>
      </c>
      <c r="F77" s="6">
        <v>0</v>
      </c>
      <c r="G77" s="6">
        <v>-2.0349999999999999E-3</v>
      </c>
      <c r="H77" s="6">
        <v>-6.4849999999999997E-6</v>
      </c>
      <c r="I77" s="6">
        <v>-6.2009999999999996E-6</v>
      </c>
      <c r="J77" s="6">
        <v>0</v>
      </c>
    </row>
    <row r="78" spans="1:10" x14ac:dyDescent="0.25">
      <c r="A78" s="6" t="s">
        <v>277</v>
      </c>
      <c r="B78" s="6" t="s">
        <v>277</v>
      </c>
      <c r="C78" s="6" t="s">
        <v>11</v>
      </c>
      <c r="D78" s="6" t="s">
        <v>492</v>
      </c>
      <c r="E78" s="6">
        <v>0</v>
      </c>
      <c r="F78" s="6">
        <v>0</v>
      </c>
      <c r="G78" s="6">
        <v>-2.042E-3</v>
      </c>
      <c r="H78" s="6">
        <v>-6.4840000000000001E-6</v>
      </c>
      <c r="I78" s="6">
        <v>-6.1569999999999997E-6</v>
      </c>
      <c r="J78" s="6">
        <v>0</v>
      </c>
    </row>
    <row r="79" spans="1:10" x14ac:dyDescent="0.25">
      <c r="A79" s="6" t="s">
        <v>304</v>
      </c>
      <c r="B79" s="6" t="s">
        <v>304</v>
      </c>
      <c r="C79" s="6" t="s">
        <v>11</v>
      </c>
      <c r="D79" s="6" t="s">
        <v>492</v>
      </c>
      <c r="E79" s="6">
        <v>0</v>
      </c>
      <c r="F79" s="6">
        <v>0</v>
      </c>
      <c r="G79" s="6">
        <v>-1.428E-3</v>
      </c>
      <c r="H79" s="6">
        <v>-3.6999999999999998E-5</v>
      </c>
      <c r="I79" s="6">
        <v>-2.9E-5</v>
      </c>
      <c r="J79" s="6">
        <v>0</v>
      </c>
    </row>
    <row r="80" spans="1:10" x14ac:dyDescent="0.25">
      <c r="A80" s="6" t="s">
        <v>303</v>
      </c>
      <c r="B80" s="6" t="s">
        <v>303</v>
      </c>
      <c r="C80" s="6" t="s">
        <v>11</v>
      </c>
      <c r="D80" s="6" t="s">
        <v>492</v>
      </c>
      <c r="E80" s="6">
        <v>0</v>
      </c>
      <c r="F80" s="6">
        <v>0</v>
      </c>
      <c r="G80" s="6">
        <v>-1.3990000000000001E-3</v>
      </c>
      <c r="H80" s="6">
        <v>-3.6999999999999998E-5</v>
      </c>
      <c r="I80" s="6">
        <v>-2.9E-5</v>
      </c>
      <c r="J80" s="6">
        <v>0</v>
      </c>
    </row>
    <row r="81" spans="1:10" x14ac:dyDescent="0.25">
      <c r="A81" s="6" t="s">
        <v>278</v>
      </c>
      <c r="B81" s="6" t="s">
        <v>278</v>
      </c>
      <c r="C81" s="6" t="s">
        <v>11</v>
      </c>
      <c r="D81" s="6" t="s">
        <v>492</v>
      </c>
      <c r="E81" s="6">
        <v>0</v>
      </c>
      <c r="F81" s="6">
        <v>0</v>
      </c>
      <c r="G81" s="6">
        <v>-1.4400000000000001E-3</v>
      </c>
      <c r="H81" s="6">
        <v>-3.6999999999999998E-5</v>
      </c>
      <c r="I81" s="6">
        <v>-2.9E-5</v>
      </c>
      <c r="J81" s="6">
        <v>0</v>
      </c>
    </row>
    <row r="82" spans="1:10" x14ac:dyDescent="0.25">
      <c r="A82" s="6" t="s">
        <v>279</v>
      </c>
      <c r="B82" s="6" t="s">
        <v>279</v>
      </c>
      <c r="C82" s="6" t="s">
        <v>11</v>
      </c>
      <c r="D82" s="6" t="s">
        <v>492</v>
      </c>
      <c r="E82" s="6">
        <v>0</v>
      </c>
      <c r="F82" s="6">
        <v>0</v>
      </c>
      <c r="G82" s="6">
        <v>-1.469E-3</v>
      </c>
      <c r="H82" s="6">
        <v>-3.6999999999999998E-5</v>
      </c>
      <c r="I82" s="6">
        <v>-2.9E-5</v>
      </c>
      <c r="J82" s="6">
        <v>0</v>
      </c>
    </row>
    <row r="83" spans="1:10" x14ac:dyDescent="0.25">
      <c r="A83" s="6" t="s">
        <v>306</v>
      </c>
      <c r="B83" s="6" t="s">
        <v>306</v>
      </c>
      <c r="C83" s="6" t="s">
        <v>11</v>
      </c>
      <c r="D83" s="6" t="s">
        <v>492</v>
      </c>
      <c r="E83" s="6">
        <v>0</v>
      </c>
      <c r="F83" s="6">
        <v>0</v>
      </c>
      <c r="G83" s="6">
        <v>-1.9880000000000002E-3</v>
      </c>
      <c r="H83" s="6">
        <v>2.5999999999999998E-5</v>
      </c>
      <c r="I83" s="6">
        <v>1.47E-4</v>
      </c>
      <c r="J83" s="6">
        <v>0</v>
      </c>
    </row>
    <row r="84" spans="1:10" x14ac:dyDescent="0.25">
      <c r="A84" s="6" t="s">
        <v>305</v>
      </c>
      <c r="B84" s="6" t="s">
        <v>305</v>
      </c>
      <c r="C84" s="6" t="s">
        <v>11</v>
      </c>
      <c r="D84" s="6" t="s">
        <v>492</v>
      </c>
      <c r="E84" s="6">
        <v>0</v>
      </c>
      <c r="F84" s="6">
        <v>0</v>
      </c>
      <c r="G84" s="6">
        <v>-2.15E-3</v>
      </c>
      <c r="H84" s="6">
        <v>2.5999999999999998E-5</v>
      </c>
      <c r="I84" s="6">
        <v>1.47E-4</v>
      </c>
      <c r="J84" s="6">
        <v>0</v>
      </c>
    </row>
    <row r="85" spans="1:10" x14ac:dyDescent="0.25">
      <c r="A85" s="6" t="s">
        <v>234</v>
      </c>
      <c r="B85" s="6" t="s">
        <v>234</v>
      </c>
      <c r="C85" s="6" t="s">
        <v>11</v>
      </c>
      <c r="D85" s="6" t="s">
        <v>492</v>
      </c>
      <c r="E85" s="6">
        <v>0</v>
      </c>
      <c r="F85" s="6">
        <v>0</v>
      </c>
      <c r="G85" s="6">
        <v>-2.124E-3</v>
      </c>
      <c r="H85" s="6">
        <v>2.5999999999999998E-5</v>
      </c>
      <c r="I85" s="6">
        <v>1.47E-4</v>
      </c>
      <c r="J85" s="6">
        <v>0</v>
      </c>
    </row>
    <row r="86" spans="1:10" x14ac:dyDescent="0.25">
      <c r="A86" s="6" t="s">
        <v>235</v>
      </c>
      <c r="B86" s="6" t="s">
        <v>235</v>
      </c>
      <c r="C86" s="6" t="s">
        <v>11</v>
      </c>
      <c r="D86" s="6" t="s">
        <v>492</v>
      </c>
      <c r="E86" s="6">
        <v>0</v>
      </c>
      <c r="F86" s="6">
        <v>0</v>
      </c>
      <c r="G86" s="6">
        <v>-1.9620000000000002E-3</v>
      </c>
      <c r="H86" s="6">
        <v>2.5999999999999998E-5</v>
      </c>
      <c r="I86" s="6">
        <v>1.47E-4</v>
      </c>
      <c r="J86" s="6">
        <v>0</v>
      </c>
    </row>
    <row r="87" spans="1:10" x14ac:dyDescent="0.25">
      <c r="A87" s="6" t="s">
        <v>258</v>
      </c>
      <c r="B87" s="6" t="s">
        <v>258</v>
      </c>
      <c r="C87" s="6" t="s">
        <v>11</v>
      </c>
      <c r="D87" s="6" t="s">
        <v>492</v>
      </c>
      <c r="E87" s="6">
        <v>0</v>
      </c>
      <c r="F87" s="6">
        <v>0</v>
      </c>
      <c r="G87" s="6">
        <v>-2.019E-3</v>
      </c>
      <c r="H87" s="6">
        <v>4.3560000000000001E-8</v>
      </c>
      <c r="I87" s="6">
        <v>1.5100000000000001E-4</v>
      </c>
      <c r="J87" s="6">
        <v>0</v>
      </c>
    </row>
    <row r="88" spans="1:10" x14ac:dyDescent="0.25">
      <c r="A88" s="6" t="s">
        <v>257</v>
      </c>
      <c r="B88" s="6" t="s">
        <v>257</v>
      </c>
      <c r="C88" s="6" t="s">
        <v>11</v>
      </c>
      <c r="D88" s="6" t="s">
        <v>492</v>
      </c>
      <c r="E88" s="6">
        <v>0</v>
      </c>
      <c r="F88" s="6">
        <v>0</v>
      </c>
      <c r="G88" s="6">
        <v>-2.1849999999999999E-3</v>
      </c>
      <c r="H88" s="6">
        <v>3.3960000000000001E-8</v>
      </c>
      <c r="I88" s="6">
        <v>1.5100000000000001E-4</v>
      </c>
      <c r="J88" s="6">
        <v>0</v>
      </c>
    </row>
    <row r="89" spans="1:10" x14ac:dyDescent="0.25">
      <c r="A89" s="6" t="s">
        <v>193</v>
      </c>
      <c r="B89" s="6" t="s">
        <v>193</v>
      </c>
      <c r="C89" s="6" t="s">
        <v>11</v>
      </c>
      <c r="D89" s="6" t="s">
        <v>492</v>
      </c>
      <c r="E89" s="6">
        <v>0</v>
      </c>
      <c r="F89" s="6">
        <v>0</v>
      </c>
      <c r="G89" s="6">
        <v>-2.1849999999999999E-3</v>
      </c>
      <c r="H89" s="6">
        <v>5.5530000000000002E-8</v>
      </c>
      <c r="I89" s="6">
        <v>1.5100000000000001E-4</v>
      </c>
      <c r="J89" s="6">
        <v>0</v>
      </c>
    </row>
    <row r="90" spans="1:10" x14ac:dyDescent="0.25">
      <c r="A90" s="6" t="s">
        <v>194</v>
      </c>
      <c r="B90" s="6" t="s">
        <v>194</v>
      </c>
      <c r="C90" s="6" t="s">
        <v>11</v>
      </c>
      <c r="D90" s="6" t="s">
        <v>492</v>
      </c>
      <c r="E90" s="6">
        <v>0</v>
      </c>
      <c r="F90" s="6">
        <v>0</v>
      </c>
      <c r="G90" s="6">
        <v>-2.019E-3</v>
      </c>
      <c r="H90" s="6">
        <v>4.6199999999999997E-8</v>
      </c>
      <c r="I90" s="6">
        <v>1.5100000000000001E-4</v>
      </c>
      <c r="J90" s="6">
        <v>0</v>
      </c>
    </row>
    <row r="91" spans="1:10" x14ac:dyDescent="0.25">
      <c r="A91" s="6" t="s">
        <v>220</v>
      </c>
      <c r="B91" s="6" t="s">
        <v>220</v>
      </c>
      <c r="C91" s="6" t="s">
        <v>11</v>
      </c>
      <c r="D91" s="6" t="s">
        <v>492</v>
      </c>
      <c r="E91" s="6">
        <v>0</v>
      </c>
      <c r="F91" s="6">
        <v>0</v>
      </c>
      <c r="G91" s="6">
        <v>-2.0110000000000002E-3</v>
      </c>
      <c r="H91" s="6">
        <v>1.2949999999999999E-7</v>
      </c>
      <c r="I91" s="6">
        <v>1.5100000000000001E-4</v>
      </c>
      <c r="J91" s="6">
        <v>0</v>
      </c>
    </row>
    <row r="92" spans="1:10" x14ac:dyDescent="0.25">
      <c r="A92" s="6" t="s">
        <v>219</v>
      </c>
      <c r="B92" s="6" t="s">
        <v>219</v>
      </c>
      <c r="C92" s="6" t="s">
        <v>11</v>
      </c>
      <c r="D92" s="6" t="s">
        <v>492</v>
      </c>
      <c r="E92" s="6">
        <v>0</v>
      </c>
      <c r="F92" s="6">
        <v>0</v>
      </c>
      <c r="G92" s="6">
        <v>-2.1779999999999998E-3</v>
      </c>
      <c r="H92" s="6">
        <v>1.201E-7</v>
      </c>
      <c r="I92" s="6">
        <v>1.5100000000000001E-4</v>
      </c>
      <c r="J92" s="6">
        <v>0</v>
      </c>
    </row>
    <row r="93" spans="1:10" x14ac:dyDescent="0.25">
      <c r="A93" s="6" t="s">
        <v>152</v>
      </c>
      <c r="B93" s="6" t="s">
        <v>152</v>
      </c>
      <c r="C93" s="6" t="s">
        <v>11</v>
      </c>
      <c r="D93" s="6" t="s">
        <v>492</v>
      </c>
      <c r="E93" s="6">
        <v>0</v>
      </c>
      <c r="F93" s="6">
        <v>0</v>
      </c>
      <c r="G93" s="6">
        <v>-2.1770000000000001E-3</v>
      </c>
      <c r="H93" s="6">
        <v>1.424E-7</v>
      </c>
      <c r="I93" s="6">
        <v>1.5100000000000001E-4</v>
      </c>
      <c r="J93" s="6">
        <v>0</v>
      </c>
    </row>
    <row r="94" spans="1:10" x14ac:dyDescent="0.25">
      <c r="A94" s="6" t="s">
        <v>153</v>
      </c>
      <c r="B94" s="6" t="s">
        <v>153</v>
      </c>
      <c r="C94" s="6" t="s">
        <v>11</v>
      </c>
      <c r="D94" s="6" t="s">
        <v>492</v>
      </c>
      <c r="E94" s="6">
        <v>0</v>
      </c>
      <c r="F94" s="6">
        <v>0</v>
      </c>
      <c r="G94" s="6">
        <v>-2.0110000000000002E-3</v>
      </c>
      <c r="H94" s="6">
        <v>1.3290000000000001E-7</v>
      </c>
      <c r="I94" s="6">
        <v>1.5100000000000001E-4</v>
      </c>
      <c r="J94" s="6">
        <v>0</v>
      </c>
    </row>
    <row r="95" spans="1:10" x14ac:dyDescent="0.25">
      <c r="A95" s="6" t="s">
        <v>179</v>
      </c>
      <c r="B95" s="6" t="s">
        <v>179</v>
      </c>
      <c r="C95" s="6" t="s">
        <v>11</v>
      </c>
      <c r="D95" s="6" t="s">
        <v>492</v>
      </c>
      <c r="E95" s="6">
        <v>0</v>
      </c>
      <c r="F95" s="6">
        <v>0</v>
      </c>
      <c r="G95" s="6">
        <v>-2.0070000000000001E-3</v>
      </c>
      <c r="H95" s="6">
        <v>1.4049999999999999E-7</v>
      </c>
      <c r="I95" s="6">
        <v>1.54E-4</v>
      </c>
      <c r="J95" s="6">
        <v>0</v>
      </c>
    </row>
    <row r="96" spans="1:10" x14ac:dyDescent="0.25">
      <c r="A96" s="6" t="s">
        <v>178</v>
      </c>
      <c r="B96" s="6" t="s">
        <v>178</v>
      </c>
      <c r="C96" s="6" t="s">
        <v>11</v>
      </c>
      <c r="D96" s="6" t="s">
        <v>492</v>
      </c>
      <c r="E96" s="6">
        <v>0</v>
      </c>
      <c r="F96" s="6">
        <v>0</v>
      </c>
      <c r="G96" s="6">
        <v>-2.176E-3</v>
      </c>
      <c r="H96" s="6">
        <v>1.3150000000000001E-7</v>
      </c>
      <c r="I96" s="6">
        <v>1.54E-4</v>
      </c>
      <c r="J96" s="6">
        <v>0</v>
      </c>
    </row>
    <row r="97" spans="1:10" x14ac:dyDescent="0.25">
      <c r="A97" s="6" t="s">
        <v>117</v>
      </c>
      <c r="B97" s="6" t="s">
        <v>117</v>
      </c>
      <c r="C97" s="6" t="s">
        <v>11</v>
      </c>
      <c r="D97" s="6" t="s">
        <v>492</v>
      </c>
      <c r="E97" s="6">
        <v>0</v>
      </c>
      <c r="F97" s="6">
        <v>0</v>
      </c>
      <c r="G97" s="6">
        <v>-2.176E-3</v>
      </c>
      <c r="H97" s="6">
        <v>1.5340000000000001E-7</v>
      </c>
      <c r="I97" s="6">
        <v>1.54E-4</v>
      </c>
      <c r="J97" s="6">
        <v>0</v>
      </c>
    </row>
    <row r="98" spans="1:10" x14ac:dyDescent="0.25">
      <c r="A98" s="6" t="s">
        <v>118</v>
      </c>
      <c r="B98" s="6" t="s">
        <v>118</v>
      </c>
      <c r="C98" s="6" t="s">
        <v>11</v>
      </c>
      <c r="D98" s="6" t="s">
        <v>492</v>
      </c>
      <c r="E98" s="6">
        <v>0</v>
      </c>
      <c r="F98" s="6">
        <v>0</v>
      </c>
      <c r="G98" s="6">
        <v>-2.006E-3</v>
      </c>
      <c r="H98" s="6">
        <v>1.4359999999999999E-7</v>
      </c>
      <c r="I98" s="6">
        <v>1.54E-4</v>
      </c>
      <c r="J98" s="6">
        <v>0</v>
      </c>
    </row>
    <row r="99" spans="1:10" x14ac:dyDescent="0.25">
      <c r="A99" s="6" t="s">
        <v>138</v>
      </c>
      <c r="B99" s="6" t="s">
        <v>138</v>
      </c>
      <c r="C99" s="6" t="s">
        <v>11</v>
      </c>
      <c r="D99" s="6" t="s">
        <v>492</v>
      </c>
      <c r="E99" s="6">
        <v>0</v>
      </c>
      <c r="F99" s="6">
        <v>0</v>
      </c>
      <c r="G99" s="6">
        <v>-1.799E-3</v>
      </c>
      <c r="H99" s="6">
        <v>-5.1999999999999997E-5</v>
      </c>
      <c r="I99" s="6">
        <v>1.64E-4</v>
      </c>
      <c r="J99" s="6">
        <v>0</v>
      </c>
    </row>
    <row r="100" spans="1:10" x14ac:dyDescent="0.25">
      <c r="A100" s="6" t="s">
        <v>137</v>
      </c>
      <c r="B100" s="6" t="s">
        <v>137</v>
      </c>
      <c r="C100" s="6" t="s">
        <v>11</v>
      </c>
      <c r="D100" s="6" t="s">
        <v>492</v>
      </c>
      <c r="E100" s="6">
        <v>0</v>
      </c>
      <c r="F100" s="6">
        <v>0</v>
      </c>
      <c r="G100" s="6">
        <v>-1.98E-3</v>
      </c>
      <c r="H100" s="6">
        <v>-5.1999999999999997E-5</v>
      </c>
      <c r="I100" s="6">
        <v>1.64E-4</v>
      </c>
      <c r="J100" s="6">
        <v>0</v>
      </c>
    </row>
    <row r="101" spans="1:10" x14ac:dyDescent="0.25">
      <c r="A101" s="6" t="s">
        <v>81</v>
      </c>
      <c r="B101" s="6" t="s">
        <v>81</v>
      </c>
      <c r="C101" s="6" t="s">
        <v>11</v>
      </c>
      <c r="D101" s="6" t="s">
        <v>492</v>
      </c>
      <c r="E101" s="6">
        <v>0</v>
      </c>
      <c r="F101" s="6">
        <v>0</v>
      </c>
      <c r="G101" s="6">
        <v>-2.032E-3</v>
      </c>
      <c r="H101" s="6">
        <v>-5.1999999999999997E-5</v>
      </c>
      <c r="I101" s="6">
        <v>1.64E-4</v>
      </c>
      <c r="J101" s="6">
        <v>0</v>
      </c>
    </row>
    <row r="102" spans="1:10" x14ac:dyDescent="0.25">
      <c r="A102" s="6" t="s">
        <v>82</v>
      </c>
      <c r="B102" s="6" t="s">
        <v>82</v>
      </c>
      <c r="C102" s="6" t="s">
        <v>11</v>
      </c>
      <c r="D102" s="6" t="s">
        <v>492</v>
      </c>
      <c r="E102" s="6">
        <v>0</v>
      </c>
      <c r="F102" s="6">
        <v>0</v>
      </c>
      <c r="G102" s="6">
        <v>-1.851E-3</v>
      </c>
      <c r="H102" s="6">
        <v>-5.1999999999999997E-5</v>
      </c>
      <c r="I102" s="6">
        <v>1.64E-4</v>
      </c>
      <c r="J102" s="6">
        <v>0</v>
      </c>
    </row>
    <row r="103" spans="1:10" x14ac:dyDescent="0.25">
      <c r="A103" s="6" t="s">
        <v>102</v>
      </c>
      <c r="B103" s="6" t="s">
        <v>102</v>
      </c>
      <c r="C103" s="6" t="s">
        <v>11</v>
      </c>
      <c r="D103" s="6" t="s">
        <v>492</v>
      </c>
      <c r="E103" s="6">
        <v>0</v>
      </c>
      <c r="F103" s="6">
        <v>0</v>
      </c>
      <c r="G103" s="6">
        <v>-2.7920000000000002E-3</v>
      </c>
      <c r="H103" s="6">
        <v>3.8000000000000002E-5</v>
      </c>
      <c r="I103" s="6">
        <v>-6.7999999999999999E-5</v>
      </c>
      <c r="J103" s="6">
        <v>0</v>
      </c>
    </row>
    <row r="104" spans="1:10" x14ac:dyDescent="0.25">
      <c r="A104" s="6" t="s">
        <v>101</v>
      </c>
      <c r="B104" s="6" t="s">
        <v>101</v>
      </c>
      <c r="C104" s="6" t="s">
        <v>11</v>
      </c>
      <c r="D104" s="6" t="s">
        <v>492</v>
      </c>
      <c r="E104" s="6">
        <v>0</v>
      </c>
      <c r="F104" s="6">
        <v>0</v>
      </c>
      <c r="G104" s="6">
        <v>-2.7169999999999998E-3</v>
      </c>
      <c r="H104" s="6">
        <v>3.8000000000000002E-5</v>
      </c>
      <c r="I104" s="6">
        <v>-6.7999999999999999E-5</v>
      </c>
      <c r="J104" s="6">
        <v>0</v>
      </c>
    </row>
    <row r="105" spans="1:10" x14ac:dyDescent="0.25">
      <c r="A105" s="6" t="s">
        <v>236</v>
      </c>
      <c r="B105" s="6" t="s">
        <v>236</v>
      </c>
      <c r="C105" s="6" t="s">
        <v>11</v>
      </c>
      <c r="D105" s="6" t="s">
        <v>492</v>
      </c>
      <c r="E105" s="6">
        <v>0</v>
      </c>
      <c r="F105" s="6">
        <v>0</v>
      </c>
      <c r="G105" s="6">
        <v>-2.679E-3</v>
      </c>
      <c r="H105" s="6">
        <v>3.8000000000000002E-5</v>
      </c>
      <c r="I105" s="6">
        <v>-6.7999999999999999E-5</v>
      </c>
      <c r="J105" s="6">
        <v>0</v>
      </c>
    </row>
    <row r="106" spans="1:10" x14ac:dyDescent="0.25">
      <c r="A106" s="6" t="s">
        <v>237</v>
      </c>
      <c r="B106" s="6" t="s">
        <v>237</v>
      </c>
      <c r="C106" s="6" t="s">
        <v>11</v>
      </c>
      <c r="D106" s="6" t="s">
        <v>492</v>
      </c>
      <c r="E106" s="6">
        <v>0</v>
      </c>
      <c r="F106" s="6">
        <v>0</v>
      </c>
      <c r="G106" s="6">
        <v>-2.7539999999999999E-3</v>
      </c>
      <c r="H106" s="6">
        <v>3.8000000000000002E-5</v>
      </c>
      <c r="I106" s="6">
        <v>-6.7999999999999999E-5</v>
      </c>
      <c r="J106" s="6">
        <v>0</v>
      </c>
    </row>
    <row r="107" spans="1:10" x14ac:dyDescent="0.25">
      <c r="A107" s="6" t="s">
        <v>260</v>
      </c>
      <c r="B107" s="6" t="s">
        <v>260</v>
      </c>
      <c r="C107" s="6" t="s">
        <v>11</v>
      </c>
      <c r="D107" s="6" t="s">
        <v>492</v>
      </c>
      <c r="E107" s="6">
        <v>0</v>
      </c>
      <c r="F107" s="6">
        <v>0</v>
      </c>
      <c r="G107" s="6">
        <v>-2.7880000000000001E-3</v>
      </c>
      <c r="H107" s="6">
        <v>-6.9260000000000003E-6</v>
      </c>
      <c r="I107" s="6">
        <v>-7.7000000000000001E-5</v>
      </c>
      <c r="J107" s="6">
        <v>0</v>
      </c>
    </row>
    <row r="108" spans="1:10" x14ac:dyDescent="0.25">
      <c r="A108" s="6" t="s">
        <v>259</v>
      </c>
      <c r="B108" s="6" t="s">
        <v>259</v>
      </c>
      <c r="C108" s="6" t="s">
        <v>11</v>
      </c>
      <c r="D108" s="6" t="s">
        <v>492</v>
      </c>
      <c r="E108" s="6">
        <v>0</v>
      </c>
      <c r="F108" s="6">
        <v>0</v>
      </c>
      <c r="G108" s="6">
        <v>-2.7039999999999998E-3</v>
      </c>
      <c r="H108" s="6">
        <v>-6.9260000000000003E-6</v>
      </c>
      <c r="I108" s="6">
        <v>-7.7000000000000001E-5</v>
      </c>
      <c r="J108" s="6">
        <v>0</v>
      </c>
    </row>
    <row r="109" spans="1:10" x14ac:dyDescent="0.25">
      <c r="A109" s="6" t="s">
        <v>195</v>
      </c>
      <c r="B109" s="6" t="s">
        <v>195</v>
      </c>
      <c r="C109" s="6" t="s">
        <v>11</v>
      </c>
      <c r="D109" s="6" t="s">
        <v>492</v>
      </c>
      <c r="E109" s="6">
        <v>0</v>
      </c>
      <c r="F109" s="6">
        <v>0</v>
      </c>
      <c r="G109" s="6">
        <v>-2.7109999999999999E-3</v>
      </c>
      <c r="H109" s="6">
        <v>-6.9029999999999998E-6</v>
      </c>
      <c r="I109" s="6">
        <v>-7.7000000000000001E-5</v>
      </c>
      <c r="J109" s="6">
        <v>0</v>
      </c>
    </row>
    <row r="110" spans="1:10" x14ac:dyDescent="0.25">
      <c r="A110" s="6" t="s">
        <v>196</v>
      </c>
      <c r="B110" s="6" t="s">
        <v>196</v>
      </c>
      <c r="C110" s="6" t="s">
        <v>11</v>
      </c>
      <c r="D110" s="6" t="s">
        <v>492</v>
      </c>
      <c r="E110" s="6">
        <v>0</v>
      </c>
      <c r="F110" s="6">
        <v>0</v>
      </c>
      <c r="G110" s="6">
        <v>-2.7950000000000002E-3</v>
      </c>
      <c r="H110" s="6">
        <v>-6.9009999999999997E-6</v>
      </c>
      <c r="I110" s="6">
        <v>-7.7000000000000001E-5</v>
      </c>
      <c r="J110" s="6">
        <v>0</v>
      </c>
    </row>
    <row r="111" spans="1:10" x14ac:dyDescent="0.25">
      <c r="A111" s="6" t="s">
        <v>222</v>
      </c>
      <c r="B111" s="6" t="s">
        <v>222</v>
      </c>
      <c r="C111" s="6" t="s">
        <v>11</v>
      </c>
      <c r="D111" s="6" t="s">
        <v>492</v>
      </c>
      <c r="E111" s="6">
        <v>0</v>
      </c>
      <c r="F111" s="6">
        <v>0</v>
      </c>
      <c r="G111" s="6">
        <v>-2.7989999999999998E-3</v>
      </c>
      <c r="H111" s="6">
        <v>5.4650000000000002E-6</v>
      </c>
      <c r="I111" s="6">
        <v>-7.3999999999999996E-5</v>
      </c>
      <c r="J111" s="6">
        <v>0</v>
      </c>
    </row>
    <row r="112" spans="1:10" x14ac:dyDescent="0.25">
      <c r="A112" s="6" t="s">
        <v>221</v>
      </c>
      <c r="B112" s="6" t="s">
        <v>221</v>
      </c>
      <c r="C112" s="6" t="s">
        <v>11</v>
      </c>
      <c r="D112" s="6" t="s">
        <v>492</v>
      </c>
      <c r="E112" s="6">
        <v>0</v>
      </c>
      <c r="F112" s="6">
        <v>0</v>
      </c>
      <c r="G112" s="6">
        <v>-2.7179999999999999E-3</v>
      </c>
      <c r="H112" s="6">
        <v>5.4659999999999998E-6</v>
      </c>
      <c r="I112" s="6">
        <v>-7.3999999999999996E-5</v>
      </c>
      <c r="J112" s="6">
        <v>0</v>
      </c>
    </row>
    <row r="113" spans="1:10" x14ac:dyDescent="0.25">
      <c r="A113" s="6" t="s">
        <v>154</v>
      </c>
      <c r="B113" s="6" t="s">
        <v>154</v>
      </c>
      <c r="C113" s="6" t="s">
        <v>11</v>
      </c>
      <c r="D113" s="6" t="s">
        <v>492</v>
      </c>
      <c r="E113" s="6">
        <v>0</v>
      </c>
      <c r="F113" s="6">
        <v>0</v>
      </c>
      <c r="G113" s="6">
        <v>-2.712E-3</v>
      </c>
      <c r="H113" s="6">
        <v>5.4929999999999998E-6</v>
      </c>
      <c r="I113" s="6">
        <v>-7.3999999999999996E-5</v>
      </c>
      <c r="J113" s="6">
        <v>0</v>
      </c>
    </row>
    <row r="114" spans="1:10" x14ac:dyDescent="0.25">
      <c r="A114" s="6" t="s">
        <v>155</v>
      </c>
      <c r="B114" s="6" t="s">
        <v>155</v>
      </c>
      <c r="C114" s="6" t="s">
        <v>11</v>
      </c>
      <c r="D114" s="6" t="s">
        <v>492</v>
      </c>
      <c r="E114" s="6">
        <v>0</v>
      </c>
      <c r="F114" s="6">
        <v>0</v>
      </c>
      <c r="G114" s="6">
        <v>-2.794E-3</v>
      </c>
      <c r="H114" s="6">
        <v>5.4920000000000001E-6</v>
      </c>
      <c r="I114" s="6">
        <v>-7.3999999999999996E-5</v>
      </c>
      <c r="J114" s="6">
        <v>0</v>
      </c>
    </row>
    <row r="115" spans="1:10" x14ac:dyDescent="0.25">
      <c r="A115" s="6" t="s">
        <v>181</v>
      </c>
      <c r="B115" s="6" t="s">
        <v>181</v>
      </c>
      <c r="C115" s="6" t="s">
        <v>11</v>
      </c>
      <c r="D115" s="6" t="s">
        <v>492</v>
      </c>
      <c r="E115" s="6">
        <v>0</v>
      </c>
      <c r="F115" s="6">
        <v>0</v>
      </c>
      <c r="G115" s="6">
        <v>-2.8170000000000001E-3</v>
      </c>
      <c r="H115" s="6">
        <v>3.535E-6</v>
      </c>
      <c r="I115" s="6">
        <v>-7.3999999999999996E-5</v>
      </c>
      <c r="J115" s="6">
        <v>0</v>
      </c>
    </row>
    <row r="116" spans="1:10" x14ac:dyDescent="0.25">
      <c r="A116" s="6" t="s">
        <v>180</v>
      </c>
      <c r="B116" s="6" t="s">
        <v>180</v>
      </c>
      <c r="C116" s="6" t="s">
        <v>11</v>
      </c>
      <c r="D116" s="6" t="s">
        <v>492</v>
      </c>
      <c r="E116" s="6">
        <v>0</v>
      </c>
      <c r="F116" s="6">
        <v>0</v>
      </c>
      <c r="G116" s="6">
        <v>-2.7360000000000002E-3</v>
      </c>
      <c r="H116" s="6">
        <v>3.5360000000000001E-6</v>
      </c>
      <c r="I116" s="6">
        <v>-7.3999999999999996E-5</v>
      </c>
      <c r="J116" s="6">
        <v>0</v>
      </c>
    </row>
    <row r="117" spans="1:10" x14ac:dyDescent="0.25">
      <c r="A117" s="6" t="s">
        <v>119</v>
      </c>
      <c r="B117" s="6" t="s">
        <v>119</v>
      </c>
      <c r="C117" s="6" t="s">
        <v>11</v>
      </c>
      <c r="D117" s="6" t="s">
        <v>492</v>
      </c>
      <c r="E117" s="6">
        <v>0</v>
      </c>
      <c r="F117" s="6">
        <v>0</v>
      </c>
      <c r="G117" s="6">
        <v>-2.7320000000000001E-3</v>
      </c>
      <c r="H117" s="6">
        <v>3.5590000000000001E-6</v>
      </c>
      <c r="I117" s="6">
        <v>-7.3999999999999996E-5</v>
      </c>
      <c r="J117" s="6">
        <v>0</v>
      </c>
    </row>
    <row r="118" spans="1:10" x14ac:dyDescent="0.25">
      <c r="A118" s="6" t="s">
        <v>120</v>
      </c>
      <c r="B118" s="6" t="s">
        <v>120</v>
      </c>
      <c r="C118" s="6" t="s">
        <v>11</v>
      </c>
      <c r="D118" s="6" t="s">
        <v>492</v>
      </c>
      <c r="E118" s="6">
        <v>0</v>
      </c>
      <c r="F118" s="6">
        <v>0</v>
      </c>
      <c r="G118" s="6">
        <v>-2.8140000000000001E-3</v>
      </c>
      <c r="H118" s="6">
        <v>3.5599999999999998E-6</v>
      </c>
      <c r="I118" s="6">
        <v>-7.3999999999999996E-5</v>
      </c>
      <c r="J118" s="6">
        <v>0</v>
      </c>
    </row>
    <row r="119" spans="1:10" x14ac:dyDescent="0.25">
      <c r="A119" s="6" t="s">
        <v>140</v>
      </c>
      <c r="B119" s="6" t="s">
        <v>140</v>
      </c>
      <c r="C119" s="6" t="s">
        <v>11</v>
      </c>
      <c r="D119" s="6" t="s">
        <v>492</v>
      </c>
      <c r="E119" s="6">
        <v>0</v>
      </c>
      <c r="F119" s="6">
        <v>0</v>
      </c>
      <c r="G119" s="6">
        <v>-2.604E-3</v>
      </c>
      <c r="H119" s="6">
        <v>-7.1000000000000005E-5</v>
      </c>
      <c r="I119" s="6">
        <v>-7.2999999999999999E-5</v>
      </c>
      <c r="J119" s="6">
        <v>0</v>
      </c>
    </row>
    <row r="120" spans="1:10" x14ac:dyDescent="0.25">
      <c r="A120" s="6" t="s">
        <v>139</v>
      </c>
      <c r="B120" s="6" t="s">
        <v>139</v>
      </c>
      <c r="C120" s="6" t="s">
        <v>11</v>
      </c>
      <c r="D120" s="6" t="s">
        <v>492</v>
      </c>
      <c r="E120" s="6">
        <v>0</v>
      </c>
      <c r="F120" s="6">
        <v>0</v>
      </c>
      <c r="G120" s="6">
        <v>-2.5240000000000002E-3</v>
      </c>
      <c r="H120" s="6">
        <v>-7.1000000000000005E-5</v>
      </c>
      <c r="I120" s="6">
        <v>-7.2999999999999999E-5</v>
      </c>
      <c r="J120" s="6">
        <v>0</v>
      </c>
    </row>
    <row r="121" spans="1:10" x14ac:dyDescent="0.25">
      <c r="A121" s="6" t="s">
        <v>83</v>
      </c>
      <c r="B121" s="6" t="s">
        <v>83</v>
      </c>
      <c r="C121" s="6" t="s">
        <v>11</v>
      </c>
      <c r="D121" s="6" t="s">
        <v>492</v>
      </c>
      <c r="E121" s="6">
        <v>0</v>
      </c>
      <c r="F121" s="6">
        <v>0</v>
      </c>
      <c r="G121" s="6">
        <v>-2.5950000000000001E-3</v>
      </c>
      <c r="H121" s="6">
        <v>-7.1000000000000005E-5</v>
      </c>
      <c r="I121" s="6">
        <v>-7.2999999999999999E-5</v>
      </c>
      <c r="J121" s="6">
        <v>0</v>
      </c>
    </row>
    <row r="122" spans="1:10" x14ac:dyDescent="0.25">
      <c r="A122" s="6" t="s">
        <v>84</v>
      </c>
      <c r="B122" s="6" t="s">
        <v>84</v>
      </c>
      <c r="C122" s="6" t="s">
        <v>11</v>
      </c>
      <c r="D122" s="6" t="s">
        <v>492</v>
      </c>
      <c r="E122" s="6">
        <v>0</v>
      </c>
      <c r="F122" s="6">
        <v>0</v>
      </c>
      <c r="G122" s="6">
        <v>-2.6749999999999999E-3</v>
      </c>
      <c r="H122" s="6">
        <v>-7.1000000000000005E-5</v>
      </c>
      <c r="I122" s="6">
        <v>-7.2999999999999999E-5</v>
      </c>
      <c r="J122" s="6">
        <v>0</v>
      </c>
    </row>
    <row r="123" spans="1:10" x14ac:dyDescent="0.25">
      <c r="A123" s="6" t="s">
        <v>104</v>
      </c>
      <c r="B123" s="6" t="s">
        <v>104</v>
      </c>
      <c r="C123" s="6" t="s">
        <v>11</v>
      </c>
      <c r="D123" s="6" t="s">
        <v>492</v>
      </c>
      <c r="E123" s="6">
        <v>0</v>
      </c>
      <c r="F123" s="6">
        <v>0</v>
      </c>
      <c r="G123" s="6">
        <v>-2.8630000000000001E-3</v>
      </c>
      <c r="H123" s="6">
        <v>3.3000000000000003E-5</v>
      </c>
      <c r="I123" s="6">
        <v>-6.9569999999999996E-6</v>
      </c>
      <c r="J123" s="6">
        <v>0</v>
      </c>
    </row>
    <row r="124" spans="1:10" x14ac:dyDescent="0.25">
      <c r="A124" s="6" t="s">
        <v>103</v>
      </c>
      <c r="B124" s="6" t="s">
        <v>103</v>
      </c>
      <c r="C124" s="6" t="s">
        <v>11</v>
      </c>
      <c r="D124" s="6" t="s">
        <v>492</v>
      </c>
      <c r="E124" s="6">
        <v>0</v>
      </c>
      <c r="F124" s="6">
        <v>0</v>
      </c>
      <c r="G124" s="6">
        <v>-2.856E-3</v>
      </c>
      <c r="H124" s="6">
        <v>3.3000000000000003E-5</v>
      </c>
      <c r="I124" s="6">
        <v>-7.097E-6</v>
      </c>
      <c r="J124" s="6">
        <v>0</v>
      </c>
    </row>
    <row r="125" spans="1:10" x14ac:dyDescent="0.25">
      <c r="A125" s="6" t="s">
        <v>238</v>
      </c>
      <c r="B125" s="6" t="s">
        <v>238</v>
      </c>
      <c r="C125" s="6" t="s">
        <v>11</v>
      </c>
      <c r="D125" s="6" t="s">
        <v>492</v>
      </c>
      <c r="E125" s="6">
        <v>0</v>
      </c>
      <c r="F125" s="6">
        <v>0</v>
      </c>
      <c r="G125" s="6">
        <v>-2.823E-3</v>
      </c>
      <c r="H125" s="6">
        <v>3.3000000000000003E-5</v>
      </c>
      <c r="I125" s="6">
        <v>-7.0940000000000002E-6</v>
      </c>
      <c r="J125" s="6">
        <v>0</v>
      </c>
    </row>
    <row r="126" spans="1:10" x14ac:dyDescent="0.25">
      <c r="A126" s="6" t="s">
        <v>239</v>
      </c>
      <c r="B126" s="6" t="s">
        <v>239</v>
      </c>
      <c r="C126" s="6" t="s">
        <v>11</v>
      </c>
      <c r="D126" s="6" t="s">
        <v>492</v>
      </c>
      <c r="E126" s="6">
        <v>0</v>
      </c>
      <c r="F126" s="6">
        <v>0</v>
      </c>
      <c r="G126" s="6">
        <v>-2.8310000000000002E-3</v>
      </c>
      <c r="H126" s="6">
        <v>3.3000000000000003E-5</v>
      </c>
      <c r="I126" s="6">
        <v>-6.9600000000000003E-6</v>
      </c>
      <c r="J126" s="6">
        <v>0</v>
      </c>
    </row>
    <row r="127" spans="1:10" x14ac:dyDescent="0.25">
      <c r="A127" s="6" t="s">
        <v>262</v>
      </c>
      <c r="B127" s="6" t="s">
        <v>262</v>
      </c>
      <c r="C127" s="6" t="s">
        <v>11</v>
      </c>
      <c r="D127" s="6" t="s">
        <v>492</v>
      </c>
      <c r="E127" s="6">
        <v>0</v>
      </c>
      <c r="F127" s="6">
        <v>0</v>
      </c>
      <c r="G127" s="6">
        <v>-2.0660000000000001E-3</v>
      </c>
      <c r="H127" s="6">
        <v>3.8000000000000002E-5</v>
      </c>
      <c r="I127" s="6">
        <v>-3.3000000000000003E-5</v>
      </c>
      <c r="J127" s="6">
        <v>0</v>
      </c>
    </row>
    <row r="128" spans="1:10" x14ac:dyDescent="0.25">
      <c r="A128" s="6" t="s">
        <v>261</v>
      </c>
      <c r="B128" s="6" t="s">
        <v>261</v>
      </c>
      <c r="C128" s="6" t="s">
        <v>11</v>
      </c>
      <c r="D128" s="6" t="s">
        <v>492</v>
      </c>
      <c r="E128" s="6">
        <v>0</v>
      </c>
      <c r="F128" s="6">
        <v>0</v>
      </c>
      <c r="G128" s="6">
        <v>-2.0300000000000001E-3</v>
      </c>
      <c r="H128" s="6">
        <v>3.8000000000000002E-5</v>
      </c>
      <c r="I128" s="6">
        <v>-3.3000000000000003E-5</v>
      </c>
      <c r="J128" s="6">
        <v>0</v>
      </c>
    </row>
    <row r="129" spans="1:10" x14ac:dyDescent="0.25">
      <c r="A129" s="6" t="s">
        <v>240</v>
      </c>
      <c r="B129" s="6" t="s">
        <v>240</v>
      </c>
      <c r="C129" s="6" t="s">
        <v>11</v>
      </c>
      <c r="D129" s="6" t="s">
        <v>492</v>
      </c>
      <c r="E129" s="6">
        <v>0</v>
      </c>
      <c r="F129" s="6">
        <v>0</v>
      </c>
      <c r="G129" s="6">
        <v>-1.9919999999999998E-3</v>
      </c>
      <c r="H129" s="6">
        <v>3.8000000000000002E-5</v>
      </c>
      <c r="I129" s="6">
        <v>-3.3000000000000003E-5</v>
      </c>
      <c r="J129" s="6">
        <v>0</v>
      </c>
    </row>
    <row r="130" spans="1:10" x14ac:dyDescent="0.25">
      <c r="A130" s="6" t="s">
        <v>241</v>
      </c>
      <c r="B130" s="6" t="s">
        <v>241</v>
      </c>
      <c r="C130" s="6" t="s">
        <v>11</v>
      </c>
      <c r="D130" s="6" t="s">
        <v>492</v>
      </c>
      <c r="E130" s="6">
        <v>0</v>
      </c>
      <c r="F130" s="6">
        <v>0</v>
      </c>
      <c r="G130" s="6">
        <v>-2.029E-3</v>
      </c>
      <c r="H130" s="6">
        <v>3.8000000000000002E-5</v>
      </c>
      <c r="I130" s="6">
        <v>-3.3000000000000003E-5</v>
      </c>
      <c r="J130" s="6">
        <v>0</v>
      </c>
    </row>
    <row r="131" spans="1:10" x14ac:dyDescent="0.25">
      <c r="A131" s="6" t="s">
        <v>264</v>
      </c>
      <c r="B131" s="6" t="s">
        <v>264</v>
      </c>
      <c r="C131" s="6" t="s">
        <v>11</v>
      </c>
      <c r="D131" s="6" t="s">
        <v>492</v>
      </c>
      <c r="E131" s="6">
        <v>0</v>
      </c>
      <c r="F131" s="6">
        <v>0</v>
      </c>
      <c r="G131" s="6">
        <v>-3.2209999999999999E-3</v>
      </c>
      <c r="H131" s="6">
        <v>8.3999999999999995E-5</v>
      </c>
      <c r="I131" s="6">
        <v>5.8189999999999997E-6</v>
      </c>
      <c r="J131" s="6">
        <v>0</v>
      </c>
    </row>
    <row r="132" spans="1:10" x14ac:dyDescent="0.25">
      <c r="A132" s="6" t="s">
        <v>263</v>
      </c>
      <c r="B132" s="6" t="s">
        <v>263</v>
      </c>
      <c r="C132" s="6" t="s">
        <v>11</v>
      </c>
      <c r="D132" s="6" t="s">
        <v>492</v>
      </c>
      <c r="E132" s="6">
        <v>0</v>
      </c>
      <c r="F132" s="6">
        <v>0</v>
      </c>
      <c r="G132" s="6">
        <v>-3.1470000000000001E-3</v>
      </c>
      <c r="H132" s="6">
        <v>-1.93E-4</v>
      </c>
      <c r="I132" s="6">
        <v>-2.9100000000000003E-4</v>
      </c>
      <c r="J132" s="6">
        <v>0</v>
      </c>
    </row>
    <row r="133" spans="1:10" x14ac:dyDescent="0.25">
      <c r="A133" s="6" t="s">
        <v>197</v>
      </c>
      <c r="B133" s="6" t="s">
        <v>197</v>
      </c>
      <c r="C133" s="6" t="s">
        <v>11</v>
      </c>
      <c r="D133" s="6" t="s">
        <v>492</v>
      </c>
      <c r="E133" s="6">
        <v>0</v>
      </c>
      <c r="F133" s="6">
        <v>0</v>
      </c>
      <c r="G133" s="6">
        <v>-3.1410000000000001E-3</v>
      </c>
      <c r="H133" s="6">
        <v>8.5000000000000006E-5</v>
      </c>
      <c r="I133" s="6">
        <v>3.568E-6</v>
      </c>
      <c r="J133" s="6">
        <v>0</v>
      </c>
    </row>
    <row r="134" spans="1:10" x14ac:dyDescent="0.25">
      <c r="A134" s="6" t="s">
        <v>198</v>
      </c>
      <c r="B134" s="6" t="s">
        <v>198</v>
      </c>
      <c r="C134" s="6" t="s">
        <v>11</v>
      </c>
      <c r="D134" s="6" t="s">
        <v>492</v>
      </c>
      <c r="E134" s="6">
        <v>0</v>
      </c>
      <c r="F134" s="6">
        <v>0</v>
      </c>
      <c r="G134" s="6">
        <v>-3.0620000000000001E-3</v>
      </c>
      <c r="H134" s="6">
        <v>3.57E-4</v>
      </c>
      <c r="I134" s="6">
        <v>2.7300000000000002E-4</v>
      </c>
      <c r="J134" s="6">
        <v>0</v>
      </c>
    </row>
    <row r="135" spans="1:10" x14ac:dyDescent="0.25">
      <c r="A135" s="6" t="s">
        <v>224</v>
      </c>
      <c r="B135" s="6" t="s">
        <v>224</v>
      </c>
      <c r="C135" s="6" t="s">
        <v>11</v>
      </c>
      <c r="D135" s="6" t="s">
        <v>492</v>
      </c>
      <c r="E135" s="6">
        <v>0</v>
      </c>
      <c r="F135" s="6">
        <v>0</v>
      </c>
      <c r="G135" s="6">
        <v>-2.5469999999999998E-3</v>
      </c>
      <c r="H135" s="6">
        <v>-1.4899999999999999E-4</v>
      </c>
      <c r="I135" s="6">
        <v>2.22E-4</v>
      </c>
      <c r="J135" s="6">
        <v>0</v>
      </c>
    </row>
    <row r="136" spans="1:10" x14ac:dyDescent="0.25">
      <c r="A136" s="6" t="s">
        <v>223</v>
      </c>
      <c r="B136" s="6" t="s">
        <v>223</v>
      </c>
      <c r="C136" s="6" t="s">
        <v>11</v>
      </c>
      <c r="D136" s="6" t="s">
        <v>492</v>
      </c>
      <c r="E136" s="6">
        <v>0</v>
      </c>
      <c r="F136" s="6">
        <v>0</v>
      </c>
      <c r="G136" s="6">
        <v>-2.5829999999999998E-3</v>
      </c>
      <c r="H136" s="6">
        <v>8.3999999999999995E-5</v>
      </c>
      <c r="I136" s="6">
        <v>-2.9E-5</v>
      </c>
      <c r="J136" s="6">
        <v>0</v>
      </c>
    </row>
    <row r="137" spans="1:10" x14ac:dyDescent="0.25">
      <c r="A137" s="6" t="s">
        <v>199</v>
      </c>
      <c r="B137" s="6" t="s">
        <v>199</v>
      </c>
      <c r="C137" s="6" t="s">
        <v>11</v>
      </c>
      <c r="D137" s="6" t="s">
        <v>492</v>
      </c>
      <c r="E137" s="6">
        <v>0</v>
      </c>
      <c r="F137" s="6">
        <v>0</v>
      </c>
      <c r="G137" s="6">
        <v>-2.4369999999999999E-3</v>
      </c>
      <c r="H137" s="6">
        <v>3.1E-4</v>
      </c>
      <c r="I137" s="6">
        <v>-2.5300000000000002E-4</v>
      </c>
      <c r="J137" s="6">
        <v>0</v>
      </c>
    </row>
    <row r="138" spans="1:10" x14ac:dyDescent="0.25">
      <c r="A138" s="6" t="s">
        <v>200</v>
      </c>
      <c r="B138" s="6" t="s">
        <v>200</v>
      </c>
      <c r="C138" s="6" t="s">
        <v>11</v>
      </c>
      <c r="D138" s="6" t="s">
        <v>492</v>
      </c>
      <c r="E138" s="6">
        <v>0</v>
      </c>
      <c r="F138" s="6">
        <v>0</v>
      </c>
      <c r="G138" s="6">
        <v>-2.529E-3</v>
      </c>
      <c r="H138" s="6">
        <v>8.5000000000000006E-5</v>
      </c>
      <c r="I138" s="6">
        <v>-2.6999999999999999E-5</v>
      </c>
      <c r="J138" s="6">
        <v>0</v>
      </c>
    </row>
    <row r="139" spans="1:10" x14ac:dyDescent="0.25">
      <c r="A139" s="6" t="s">
        <v>226</v>
      </c>
      <c r="B139" s="6" t="s">
        <v>226</v>
      </c>
      <c r="C139" s="6" t="s">
        <v>11</v>
      </c>
      <c r="D139" s="6" t="s">
        <v>492</v>
      </c>
      <c r="E139" s="6">
        <v>0</v>
      </c>
      <c r="F139" s="6">
        <v>0</v>
      </c>
      <c r="G139" s="6">
        <v>-3.3089999999999999E-3</v>
      </c>
      <c r="H139" s="6">
        <v>-3.6000000000000002E-4</v>
      </c>
      <c r="I139" s="6">
        <v>2.9999999999999997E-4</v>
      </c>
      <c r="J139" s="6">
        <v>0</v>
      </c>
    </row>
    <row r="140" spans="1:10" x14ac:dyDescent="0.25">
      <c r="A140" s="6" t="s">
        <v>225</v>
      </c>
      <c r="B140" s="6" t="s">
        <v>225</v>
      </c>
      <c r="C140" s="6" t="s">
        <v>11</v>
      </c>
      <c r="D140" s="6" t="s">
        <v>492</v>
      </c>
      <c r="E140" s="6">
        <v>0</v>
      </c>
      <c r="F140" s="6">
        <v>0</v>
      </c>
      <c r="G140" s="6">
        <v>-3.4009999999999999E-3</v>
      </c>
      <c r="H140" s="6">
        <v>-6.3E-5</v>
      </c>
      <c r="I140" s="6">
        <v>9.2450000000000004E-6</v>
      </c>
      <c r="J140" s="6">
        <v>0</v>
      </c>
    </row>
    <row r="141" spans="1:10" x14ac:dyDescent="0.25">
      <c r="A141" s="6" t="s">
        <v>156</v>
      </c>
      <c r="B141" s="6" t="s">
        <v>156</v>
      </c>
      <c r="C141" s="6" t="s">
        <v>11</v>
      </c>
      <c r="D141" s="6" t="s">
        <v>492</v>
      </c>
      <c r="E141" s="6">
        <v>0</v>
      </c>
      <c r="F141" s="6">
        <v>0</v>
      </c>
      <c r="G141" s="6">
        <v>-3.3790000000000001E-3</v>
      </c>
      <c r="H141" s="6">
        <v>2.3699999999999999E-4</v>
      </c>
      <c r="I141" s="6">
        <v>-3.0600000000000001E-4</v>
      </c>
      <c r="J141" s="6">
        <v>0</v>
      </c>
    </row>
    <row r="142" spans="1:10" x14ac:dyDescent="0.25">
      <c r="A142" s="6" t="s">
        <v>157</v>
      </c>
      <c r="B142" s="6" t="s">
        <v>157</v>
      </c>
      <c r="C142" s="6" t="s">
        <v>11</v>
      </c>
      <c r="D142" s="6" t="s">
        <v>492</v>
      </c>
      <c r="E142" s="6">
        <v>0</v>
      </c>
      <c r="F142" s="6">
        <v>0</v>
      </c>
      <c r="G142" s="6">
        <v>-3.4520000000000002E-3</v>
      </c>
      <c r="H142" s="6">
        <v>-6.2000000000000003E-5</v>
      </c>
      <c r="I142" s="6">
        <v>1.2E-5</v>
      </c>
      <c r="J142" s="6">
        <v>0</v>
      </c>
    </row>
    <row r="143" spans="1:10" x14ac:dyDescent="0.25">
      <c r="A143" s="6" t="s">
        <v>183</v>
      </c>
      <c r="B143" s="6" t="s">
        <v>183</v>
      </c>
      <c r="C143" s="6" t="s">
        <v>11</v>
      </c>
      <c r="D143" s="6" t="s">
        <v>492</v>
      </c>
      <c r="E143" s="6">
        <v>0</v>
      </c>
      <c r="F143" s="6">
        <v>0</v>
      </c>
      <c r="G143" s="6">
        <v>-2.9099999999999998E-3</v>
      </c>
      <c r="H143" s="6">
        <v>-4.6999999999999997E-5</v>
      </c>
      <c r="I143" s="6">
        <v>-3.0000000000000001E-5</v>
      </c>
      <c r="J143" s="6">
        <v>0</v>
      </c>
    </row>
    <row r="144" spans="1:10" x14ac:dyDescent="0.25">
      <c r="A144" s="6" t="s">
        <v>182</v>
      </c>
      <c r="B144" s="6" t="s">
        <v>182</v>
      </c>
      <c r="C144" s="6" t="s">
        <v>11</v>
      </c>
      <c r="D144" s="6" t="s">
        <v>492</v>
      </c>
      <c r="E144" s="6">
        <v>0</v>
      </c>
      <c r="F144" s="6">
        <v>0</v>
      </c>
      <c r="G144" s="6">
        <v>-2.8050000000000002E-3</v>
      </c>
      <c r="H144" s="6">
        <v>-3.1E-4</v>
      </c>
      <c r="I144" s="6">
        <v>-2.9E-4</v>
      </c>
      <c r="J144" s="6">
        <v>0</v>
      </c>
    </row>
    <row r="145" spans="1:10" x14ac:dyDescent="0.25">
      <c r="A145" s="6" t="s">
        <v>158</v>
      </c>
      <c r="B145" s="6" t="s">
        <v>158</v>
      </c>
      <c r="C145" s="6" t="s">
        <v>11</v>
      </c>
      <c r="D145" s="6" t="s">
        <v>492</v>
      </c>
      <c r="E145" s="6">
        <v>0</v>
      </c>
      <c r="F145" s="6">
        <v>0</v>
      </c>
      <c r="G145" s="6">
        <v>-2.9220000000000001E-3</v>
      </c>
      <c r="H145" s="6">
        <v>-4.6E-5</v>
      </c>
      <c r="I145" s="6">
        <v>-3.1999999999999999E-5</v>
      </c>
      <c r="J145" s="6">
        <v>0</v>
      </c>
    </row>
    <row r="146" spans="1:10" x14ac:dyDescent="0.25">
      <c r="A146" s="6" t="s">
        <v>159</v>
      </c>
      <c r="B146" s="6" t="s">
        <v>159</v>
      </c>
      <c r="C146" s="6" t="s">
        <v>11</v>
      </c>
      <c r="D146" s="6" t="s">
        <v>492</v>
      </c>
      <c r="E146" s="6">
        <v>0</v>
      </c>
      <c r="F146" s="6">
        <v>0</v>
      </c>
      <c r="G146" s="6">
        <v>-2.8830000000000001E-3</v>
      </c>
      <c r="H146" s="6">
        <v>2.1499999999999999E-4</v>
      </c>
      <c r="I146" s="6">
        <v>2.4600000000000002E-4</v>
      </c>
      <c r="J146" s="6">
        <v>0</v>
      </c>
    </row>
    <row r="147" spans="1:10" x14ac:dyDescent="0.25">
      <c r="A147" s="6" t="s">
        <v>185</v>
      </c>
      <c r="B147" s="6" t="s">
        <v>185</v>
      </c>
      <c r="C147" s="6" t="s">
        <v>11</v>
      </c>
      <c r="D147" s="6" t="s">
        <v>492</v>
      </c>
      <c r="E147" s="6">
        <v>0</v>
      </c>
      <c r="F147" s="6">
        <v>0</v>
      </c>
      <c r="G147" s="6">
        <v>-2.892E-3</v>
      </c>
      <c r="H147" s="6">
        <v>-2.63E-4</v>
      </c>
      <c r="I147" s="6">
        <v>2.02E-4</v>
      </c>
      <c r="J147" s="6">
        <v>0</v>
      </c>
    </row>
    <row r="148" spans="1:10" x14ac:dyDescent="0.25">
      <c r="A148" s="6" t="s">
        <v>184</v>
      </c>
      <c r="B148" s="6" t="s">
        <v>184</v>
      </c>
      <c r="C148" s="6" t="s">
        <v>11</v>
      </c>
      <c r="D148" s="6" t="s">
        <v>492</v>
      </c>
      <c r="E148" s="6">
        <v>0</v>
      </c>
      <c r="F148" s="6">
        <v>0</v>
      </c>
      <c r="G148" s="6">
        <v>-2.8960000000000001E-3</v>
      </c>
      <c r="H148" s="6">
        <v>1.2999999999999999E-5</v>
      </c>
      <c r="I148" s="6">
        <v>-6.4999999999999994E-5</v>
      </c>
      <c r="J148" s="6">
        <v>0</v>
      </c>
    </row>
    <row r="149" spans="1:10" x14ac:dyDescent="0.25">
      <c r="A149" s="6" t="s">
        <v>123</v>
      </c>
      <c r="B149" s="6" t="s">
        <v>123</v>
      </c>
      <c r="C149" s="6" t="s">
        <v>11</v>
      </c>
      <c r="D149" s="6" t="s">
        <v>492</v>
      </c>
      <c r="E149" s="6">
        <v>0</v>
      </c>
      <c r="F149" s="6">
        <v>0</v>
      </c>
      <c r="G149" s="6">
        <v>-2.81E-3</v>
      </c>
      <c r="H149" s="6">
        <v>2.8499999999999999E-4</v>
      </c>
      <c r="I149" s="6">
        <v>-3.21E-4</v>
      </c>
      <c r="J149" s="6">
        <v>0</v>
      </c>
    </row>
    <row r="150" spans="1:10" x14ac:dyDescent="0.25">
      <c r="A150" s="6" t="s">
        <v>124</v>
      </c>
      <c r="B150" s="6" t="s">
        <v>124</v>
      </c>
      <c r="C150" s="6" t="s">
        <v>11</v>
      </c>
      <c r="D150" s="6" t="s">
        <v>492</v>
      </c>
      <c r="E150" s="6">
        <v>0</v>
      </c>
      <c r="F150" s="6">
        <v>0</v>
      </c>
      <c r="G150" s="6">
        <v>-2.9529999999999999E-3</v>
      </c>
      <c r="H150" s="6">
        <v>1.4E-5</v>
      </c>
      <c r="I150" s="6">
        <v>-6.3E-5</v>
      </c>
      <c r="J150" s="6">
        <v>0</v>
      </c>
    </row>
    <row r="151" spans="1:10" x14ac:dyDescent="0.25">
      <c r="A151" s="6" t="s">
        <v>144</v>
      </c>
      <c r="B151" s="6" t="s">
        <v>144</v>
      </c>
      <c r="C151" s="6" t="s">
        <v>11</v>
      </c>
      <c r="D151" s="6" t="s">
        <v>492</v>
      </c>
      <c r="E151" s="6">
        <v>0</v>
      </c>
      <c r="F151" s="6">
        <v>0</v>
      </c>
      <c r="G151" s="6">
        <v>-3.3430000000000001E-3</v>
      </c>
      <c r="H151" s="6">
        <v>5.7699999999999998E-6</v>
      </c>
      <c r="I151" s="6">
        <v>4.0000000000000003E-5</v>
      </c>
      <c r="J151" s="6">
        <v>0</v>
      </c>
    </row>
    <row r="152" spans="1:10" x14ac:dyDescent="0.25">
      <c r="A152" s="6" t="s">
        <v>143</v>
      </c>
      <c r="B152" s="6" t="s">
        <v>143</v>
      </c>
      <c r="C152" s="6" t="s">
        <v>11</v>
      </c>
      <c r="D152" s="6" t="s">
        <v>492</v>
      </c>
      <c r="E152" s="6">
        <v>0</v>
      </c>
      <c r="F152" s="6">
        <v>0</v>
      </c>
      <c r="G152" s="6">
        <v>-3.3010000000000001E-3</v>
      </c>
      <c r="H152" s="6">
        <v>-3.1E-4</v>
      </c>
      <c r="I152" s="6">
        <v>-2.6499999999999999E-4</v>
      </c>
      <c r="J152" s="6">
        <v>0</v>
      </c>
    </row>
    <row r="153" spans="1:10" x14ac:dyDescent="0.25">
      <c r="A153" s="6" t="s">
        <v>121</v>
      </c>
      <c r="B153" s="6" t="s">
        <v>121</v>
      </c>
      <c r="C153" s="6" t="s">
        <v>11</v>
      </c>
      <c r="D153" s="6" t="s">
        <v>492</v>
      </c>
      <c r="E153" s="6">
        <v>0</v>
      </c>
      <c r="F153" s="6">
        <v>0</v>
      </c>
      <c r="G153" s="6">
        <v>-3.3800000000000002E-3</v>
      </c>
      <c r="H153" s="6">
        <v>7.2620000000000001E-6</v>
      </c>
      <c r="I153" s="6">
        <v>3.8000000000000002E-5</v>
      </c>
      <c r="J153" s="6">
        <v>0</v>
      </c>
    </row>
    <row r="154" spans="1:10" x14ac:dyDescent="0.25">
      <c r="A154" s="6" t="s">
        <v>122</v>
      </c>
      <c r="B154" s="6" t="s">
        <v>122</v>
      </c>
      <c r="C154" s="6" t="s">
        <v>11</v>
      </c>
      <c r="D154" s="6" t="s">
        <v>492</v>
      </c>
      <c r="E154" s="6">
        <v>0</v>
      </c>
      <c r="F154" s="6">
        <v>0</v>
      </c>
      <c r="G154" s="6">
        <v>-3.2550000000000001E-3</v>
      </c>
      <c r="H154" s="6">
        <v>3.1199999999999999E-4</v>
      </c>
      <c r="I154" s="6">
        <v>3.2699999999999998E-4</v>
      </c>
      <c r="J154" s="6">
        <v>0</v>
      </c>
    </row>
    <row r="155" spans="1:10" x14ac:dyDescent="0.25">
      <c r="A155" s="6" t="s">
        <v>142</v>
      </c>
      <c r="B155" s="6" t="s">
        <v>142</v>
      </c>
      <c r="C155" s="6" t="s">
        <v>11</v>
      </c>
      <c r="D155" s="6" t="s">
        <v>492</v>
      </c>
      <c r="E155" s="6">
        <v>0</v>
      </c>
      <c r="F155" s="6">
        <v>0</v>
      </c>
      <c r="G155" s="6">
        <v>-2.8990000000000001E-3</v>
      </c>
      <c r="H155" s="6">
        <v>-8.8999999999999995E-5</v>
      </c>
      <c r="I155" s="6">
        <v>3.1000000000000001E-5</v>
      </c>
      <c r="J155" s="6">
        <v>0</v>
      </c>
    </row>
    <row r="156" spans="1:10" x14ac:dyDescent="0.25">
      <c r="A156" s="6" t="s">
        <v>141</v>
      </c>
      <c r="B156" s="6" t="s">
        <v>141</v>
      </c>
      <c r="C156" s="6" t="s">
        <v>11</v>
      </c>
      <c r="D156" s="6" t="s">
        <v>492</v>
      </c>
      <c r="E156" s="6">
        <v>0</v>
      </c>
      <c r="F156" s="6">
        <v>0</v>
      </c>
      <c r="G156" s="6">
        <v>-2.9329999999999998E-3</v>
      </c>
      <c r="H156" s="6">
        <v>-8.8999999999999995E-5</v>
      </c>
      <c r="I156" s="6">
        <v>3.1000000000000001E-5</v>
      </c>
      <c r="J156" s="6">
        <v>0</v>
      </c>
    </row>
    <row r="157" spans="1:10" x14ac:dyDescent="0.25">
      <c r="A157" s="6" t="s">
        <v>85</v>
      </c>
      <c r="B157" s="6" t="s">
        <v>85</v>
      </c>
      <c r="C157" s="6" t="s">
        <v>11</v>
      </c>
      <c r="D157" s="6" t="s">
        <v>492</v>
      </c>
      <c r="E157" s="6">
        <v>0</v>
      </c>
      <c r="F157" s="6">
        <v>0</v>
      </c>
      <c r="G157" s="6">
        <v>-3.0209999999999998E-3</v>
      </c>
      <c r="H157" s="6">
        <v>-8.8999999999999995E-5</v>
      </c>
      <c r="I157" s="6">
        <v>3.1000000000000001E-5</v>
      </c>
      <c r="J157" s="6">
        <v>0</v>
      </c>
    </row>
    <row r="158" spans="1:10" x14ac:dyDescent="0.25">
      <c r="A158" s="6" t="s">
        <v>86</v>
      </c>
      <c r="B158" s="6" t="s">
        <v>86</v>
      </c>
      <c r="C158" s="6" t="s">
        <v>11</v>
      </c>
      <c r="D158" s="6" t="s">
        <v>492</v>
      </c>
      <c r="E158" s="6">
        <v>0</v>
      </c>
      <c r="F158" s="6">
        <v>0</v>
      </c>
      <c r="G158" s="6">
        <v>-2.9880000000000002E-3</v>
      </c>
      <c r="H158" s="6">
        <v>-8.8999999999999995E-5</v>
      </c>
      <c r="I158" s="6">
        <v>3.1000000000000001E-5</v>
      </c>
      <c r="J158" s="6">
        <v>0</v>
      </c>
    </row>
    <row r="159" spans="1:10" x14ac:dyDescent="0.25">
      <c r="A159" s="6" t="s">
        <v>106</v>
      </c>
      <c r="B159" s="6" t="s">
        <v>106</v>
      </c>
      <c r="C159" s="6" t="s">
        <v>11</v>
      </c>
      <c r="D159" s="6" t="s">
        <v>492</v>
      </c>
      <c r="E159" s="6">
        <v>0</v>
      </c>
      <c r="F159" s="6">
        <v>0</v>
      </c>
      <c r="G159" s="6">
        <v>-2.3040000000000001E-3</v>
      </c>
      <c r="H159" s="6">
        <v>-9.3999999999999994E-5</v>
      </c>
      <c r="I159" s="6">
        <v>-7.4999999999999993E-5</v>
      </c>
      <c r="J159" s="6">
        <v>0</v>
      </c>
    </row>
    <row r="160" spans="1:10" x14ac:dyDescent="0.25">
      <c r="A160" s="6" t="s">
        <v>105</v>
      </c>
      <c r="B160" s="6" t="s">
        <v>105</v>
      </c>
      <c r="C160" s="6" t="s">
        <v>11</v>
      </c>
      <c r="D160" s="6" t="s">
        <v>492</v>
      </c>
      <c r="E160" s="6">
        <v>0</v>
      </c>
      <c r="F160" s="6">
        <v>0</v>
      </c>
      <c r="G160" s="6">
        <v>-2.222E-3</v>
      </c>
      <c r="H160" s="6">
        <v>-9.3999999999999994E-5</v>
      </c>
      <c r="I160" s="6">
        <v>-7.4999999999999993E-5</v>
      </c>
      <c r="J160" s="6">
        <v>0</v>
      </c>
    </row>
    <row r="161" spans="1:10" x14ac:dyDescent="0.25">
      <c r="A161" s="6" t="s">
        <v>87</v>
      </c>
      <c r="B161" s="6" t="s">
        <v>87</v>
      </c>
      <c r="C161" s="6" t="s">
        <v>11</v>
      </c>
      <c r="D161" s="6" t="s">
        <v>492</v>
      </c>
      <c r="E161" s="6">
        <v>0</v>
      </c>
      <c r="F161" s="6">
        <v>0</v>
      </c>
      <c r="G161" s="6">
        <v>-2.3159999999999999E-3</v>
      </c>
      <c r="H161" s="6">
        <v>-9.3999999999999994E-5</v>
      </c>
      <c r="I161" s="6">
        <v>-7.4999999999999993E-5</v>
      </c>
      <c r="J161" s="6">
        <v>0</v>
      </c>
    </row>
    <row r="162" spans="1:10" x14ac:dyDescent="0.25">
      <c r="A162" s="6" t="s">
        <v>88</v>
      </c>
      <c r="B162" s="6" t="s">
        <v>88</v>
      </c>
      <c r="C162" s="6" t="s">
        <v>11</v>
      </c>
      <c r="D162" s="6" t="s">
        <v>492</v>
      </c>
      <c r="E162" s="6">
        <v>0</v>
      </c>
      <c r="F162" s="6">
        <v>0</v>
      </c>
      <c r="G162" s="6">
        <v>-2.398E-3</v>
      </c>
      <c r="H162" s="6">
        <v>-9.3999999999999994E-5</v>
      </c>
      <c r="I162" s="6">
        <v>-7.4999999999999993E-5</v>
      </c>
      <c r="J162" s="6">
        <v>0</v>
      </c>
    </row>
    <row r="163" spans="1:10" x14ac:dyDescent="0.25">
      <c r="A163" s="6" t="s">
        <v>108</v>
      </c>
      <c r="B163" s="6" t="s">
        <v>108</v>
      </c>
      <c r="C163" s="6" t="s">
        <v>11</v>
      </c>
      <c r="D163" s="6" t="s">
        <v>492</v>
      </c>
      <c r="E163" s="6">
        <v>0</v>
      </c>
      <c r="F163" s="6">
        <v>0</v>
      </c>
      <c r="G163" s="6">
        <v>-3.62E-3</v>
      </c>
      <c r="H163" s="6">
        <v>7.3200000000000001E-4</v>
      </c>
      <c r="I163" s="6">
        <v>-4.3000000000000002E-5</v>
      </c>
      <c r="J163" s="6">
        <v>0</v>
      </c>
    </row>
    <row r="164" spans="1:10" x14ac:dyDescent="0.25">
      <c r="A164" s="6" t="s">
        <v>107</v>
      </c>
      <c r="B164" s="6" t="s">
        <v>107</v>
      </c>
      <c r="C164" s="6" t="s">
        <v>11</v>
      </c>
      <c r="D164" s="6" t="s">
        <v>492</v>
      </c>
      <c r="E164" s="6">
        <v>0</v>
      </c>
      <c r="F164" s="6">
        <v>0</v>
      </c>
      <c r="G164" s="6">
        <v>-3.5720000000000001E-3</v>
      </c>
      <c r="H164" s="6">
        <v>7.3200000000000001E-4</v>
      </c>
      <c r="I164" s="6">
        <v>-4.3000000000000002E-5</v>
      </c>
      <c r="J164" s="6">
        <v>0</v>
      </c>
    </row>
    <row r="165" spans="1:10" x14ac:dyDescent="0.25">
      <c r="A165" s="6" t="s">
        <v>52</v>
      </c>
      <c r="B165" s="6" t="s">
        <v>52</v>
      </c>
      <c r="C165" s="6" t="s">
        <v>11</v>
      </c>
      <c r="D165" s="6" t="s">
        <v>492</v>
      </c>
      <c r="E165" s="6">
        <v>0</v>
      </c>
      <c r="F165" s="6">
        <v>0</v>
      </c>
      <c r="G165" s="6">
        <v>-2.8400000000000001E-3</v>
      </c>
      <c r="H165" s="6">
        <v>7.3200000000000001E-4</v>
      </c>
      <c r="I165" s="6">
        <v>-4.3000000000000002E-5</v>
      </c>
      <c r="J165" s="6">
        <v>0</v>
      </c>
    </row>
    <row r="166" spans="1:10" x14ac:dyDescent="0.25">
      <c r="A166" s="6" t="s">
        <v>53</v>
      </c>
      <c r="B166" s="6" t="s">
        <v>53</v>
      </c>
      <c r="C166" s="6" t="s">
        <v>11</v>
      </c>
      <c r="D166" s="6" t="s">
        <v>492</v>
      </c>
      <c r="E166" s="6">
        <v>0</v>
      </c>
      <c r="F166" s="6">
        <v>0</v>
      </c>
      <c r="G166" s="6">
        <v>-2.8879999999999999E-3</v>
      </c>
      <c r="H166" s="6">
        <v>7.3200000000000001E-4</v>
      </c>
      <c r="I166" s="6">
        <v>-4.3000000000000002E-5</v>
      </c>
      <c r="J166" s="6">
        <v>0</v>
      </c>
    </row>
    <row r="167" spans="1:10" x14ac:dyDescent="0.25">
      <c r="A167" s="6" t="s">
        <v>72</v>
      </c>
      <c r="B167" s="6" t="s">
        <v>72</v>
      </c>
      <c r="C167" s="6" t="s">
        <v>11</v>
      </c>
      <c r="D167" s="6" t="s">
        <v>492</v>
      </c>
      <c r="E167" s="6">
        <v>0</v>
      </c>
      <c r="F167" s="6">
        <v>0</v>
      </c>
      <c r="G167" s="6">
        <v>-4.3090000000000003E-3</v>
      </c>
      <c r="H167" s="6">
        <v>8.3500000000000002E-4</v>
      </c>
      <c r="I167" s="6">
        <v>-2.1999999999999999E-5</v>
      </c>
      <c r="J167" s="6">
        <v>0</v>
      </c>
    </row>
    <row r="168" spans="1:10" x14ac:dyDescent="0.25">
      <c r="A168" s="6" t="s">
        <v>71</v>
      </c>
      <c r="B168" s="6" t="s">
        <v>71</v>
      </c>
      <c r="C168" s="6" t="s">
        <v>11</v>
      </c>
      <c r="D168" s="6" t="s">
        <v>492</v>
      </c>
      <c r="E168" s="6">
        <v>0</v>
      </c>
      <c r="F168" s="6">
        <v>0</v>
      </c>
      <c r="G168" s="6">
        <v>-4.2839999999999996E-3</v>
      </c>
      <c r="H168" s="6">
        <v>8.3500000000000002E-4</v>
      </c>
      <c r="I168" s="6">
        <v>-2.1999999999999999E-5</v>
      </c>
      <c r="J168" s="6">
        <v>0</v>
      </c>
    </row>
    <row r="169" spans="1:10" x14ac:dyDescent="0.25">
      <c r="A169" s="6" t="s">
        <v>50</v>
      </c>
      <c r="B169" s="6" t="s">
        <v>50</v>
      </c>
      <c r="C169" s="6" t="s">
        <v>11</v>
      </c>
      <c r="D169" s="6" t="s">
        <v>492</v>
      </c>
      <c r="E169" s="6">
        <v>0</v>
      </c>
      <c r="F169" s="6">
        <v>0</v>
      </c>
      <c r="G169" s="6">
        <v>-3.4499999999999999E-3</v>
      </c>
      <c r="H169" s="6">
        <v>8.34E-4</v>
      </c>
      <c r="I169" s="6">
        <v>-2.1999999999999999E-5</v>
      </c>
      <c r="J169" s="6">
        <v>0</v>
      </c>
    </row>
    <row r="170" spans="1:10" x14ac:dyDescent="0.25">
      <c r="A170" s="6" t="s">
        <v>51</v>
      </c>
      <c r="B170" s="6" t="s">
        <v>51</v>
      </c>
      <c r="C170" s="6" t="s">
        <v>11</v>
      </c>
      <c r="D170" s="6" t="s">
        <v>492</v>
      </c>
      <c r="E170" s="6">
        <v>0</v>
      </c>
      <c r="F170" s="6">
        <v>0</v>
      </c>
      <c r="G170" s="6">
        <v>-3.4740000000000001E-3</v>
      </c>
      <c r="H170" s="6">
        <v>8.34E-4</v>
      </c>
      <c r="I170" s="6">
        <v>-2.1999999999999999E-5</v>
      </c>
      <c r="J170" s="6">
        <v>0</v>
      </c>
    </row>
    <row r="171" spans="1:10" x14ac:dyDescent="0.25">
      <c r="A171" s="6" t="s">
        <v>70</v>
      </c>
      <c r="B171" s="6" t="s">
        <v>70</v>
      </c>
      <c r="C171" s="6" t="s">
        <v>11</v>
      </c>
      <c r="D171" s="6" t="s">
        <v>492</v>
      </c>
      <c r="E171" s="6">
        <v>0</v>
      </c>
      <c r="F171" s="6">
        <v>0</v>
      </c>
      <c r="G171" s="6">
        <v>-4.2420000000000001E-3</v>
      </c>
      <c r="H171" s="6">
        <v>8.3799999999999999E-4</v>
      </c>
      <c r="I171" s="6">
        <v>2.5000000000000001E-5</v>
      </c>
      <c r="J171" s="6">
        <v>0</v>
      </c>
    </row>
    <row r="172" spans="1:10" x14ac:dyDescent="0.25">
      <c r="A172" s="6" t="s">
        <v>69</v>
      </c>
      <c r="B172" s="6" t="s">
        <v>69</v>
      </c>
      <c r="C172" s="6" t="s">
        <v>11</v>
      </c>
      <c r="D172" s="6" t="s">
        <v>492</v>
      </c>
      <c r="E172" s="6">
        <v>0</v>
      </c>
      <c r="F172" s="6">
        <v>0</v>
      </c>
      <c r="G172" s="6">
        <v>-4.2690000000000002E-3</v>
      </c>
      <c r="H172" s="6">
        <v>8.3799999999999999E-4</v>
      </c>
      <c r="I172" s="6">
        <v>2.5000000000000001E-5</v>
      </c>
      <c r="J172" s="6">
        <v>0</v>
      </c>
    </row>
    <row r="173" spans="1:10" x14ac:dyDescent="0.25">
      <c r="A173" s="6" t="s">
        <v>48</v>
      </c>
      <c r="B173" s="6" t="s">
        <v>48</v>
      </c>
      <c r="C173" s="6" t="s">
        <v>11</v>
      </c>
      <c r="D173" s="6" t="s">
        <v>492</v>
      </c>
      <c r="E173" s="6">
        <v>0</v>
      </c>
      <c r="F173" s="6">
        <v>0</v>
      </c>
      <c r="G173" s="6">
        <v>-3.431E-3</v>
      </c>
      <c r="H173" s="6">
        <v>8.3799999999999999E-4</v>
      </c>
      <c r="I173" s="6">
        <v>2.5000000000000001E-5</v>
      </c>
      <c r="J173" s="6">
        <v>0</v>
      </c>
    </row>
    <row r="174" spans="1:10" x14ac:dyDescent="0.25">
      <c r="A174" s="6" t="s">
        <v>49</v>
      </c>
      <c r="B174" s="6" t="s">
        <v>49</v>
      </c>
      <c r="C174" s="6" t="s">
        <v>11</v>
      </c>
      <c r="D174" s="6" t="s">
        <v>492</v>
      </c>
      <c r="E174" s="6">
        <v>0</v>
      </c>
      <c r="F174" s="6">
        <v>0</v>
      </c>
      <c r="G174" s="6">
        <v>-3.4030000000000002E-3</v>
      </c>
      <c r="H174" s="6">
        <v>8.3799999999999999E-4</v>
      </c>
      <c r="I174" s="6">
        <v>2.5000000000000001E-5</v>
      </c>
      <c r="J174" s="6">
        <v>0</v>
      </c>
    </row>
    <row r="175" spans="1:10" x14ac:dyDescent="0.25">
      <c r="A175" s="6" t="s">
        <v>68</v>
      </c>
      <c r="B175" s="6" t="s">
        <v>68</v>
      </c>
      <c r="C175" s="6" t="s">
        <v>11</v>
      </c>
      <c r="D175" s="6" t="s">
        <v>492</v>
      </c>
      <c r="E175" s="6">
        <v>0</v>
      </c>
      <c r="F175" s="6">
        <v>0</v>
      </c>
      <c r="G175" s="6">
        <v>-3.6870000000000002E-3</v>
      </c>
      <c r="H175" s="6">
        <v>7.6000000000000004E-4</v>
      </c>
      <c r="I175" s="6">
        <v>5.3000000000000001E-5</v>
      </c>
      <c r="J175" s="6">
        <v>0</v>
      </c>
    </row>
    <row r="176" spans="1:10" x14ac:dyDescent="0.25">
      <c r="A176" s="6" t="s">
        <v>67</v>
      </c>
      <c r="B176" s="6" t="s">
        <v>67</v>
      </c>
      <c r="C176" s="6" t="s">
        <v>11</v>
      </c>
      <c r="D176" s="6" t="s">
        <v>492</v>
      </c>
      <c r="E176" s="6">
        <v>0</v>
      </c>
      <c r="F176" s="6">
        <v>0</v>
      </c>
      <c r="G176" s="6">
        <v>-3.7460000000000002E-3</v>
      </c>
      <c r="H176" s="6">
        <v>7.6000000000000004E-4</v>
      </c>
      <c r="I176" s="6">
        <v>5.3000000000000001E-5</v>
      </c>
      <c r="J176" s="6">
        <v>0</v>
      </c>
    </row>
    <row r="177" spans="1:10" x14ac:dyDescent="0.25">
      <c r="A177" s="6" t="s">
        <v>10</v>
      </c>
      <c r="B177" s="6" t="s">
        <v>10</v>
      </c>
      <c r="C177" s="6" t="s">
        <v>11</v>
      </c>
      <c r="D177" s="6" t="s">
        <v>492</v>
      </c>
      <c r="E177" s="6">
        <v>0</v>
      </c>
      <c r="F177" s="6">
        <v>0</v>
      </c>
      <c r="G177" s="6">
        <v>-2.9859999999999999E-3</v>
      </c>
      <c r="H177" s="6">
        <v>7.6000000000000004E-4</v>
      </c>
      <c r="I177" s="6">
        <v>5.3000000000000001E-5</v>
      </c>
      <c r="J177" s="6">
        <v>0</v>
      </c>
    </row>
    <row r="178" spans="1:10" x14ac:dyDescent="0.25">
      <c r="A178" s="6" t="s">
        <v>47</v>
      </c>
      <c r="B178" s="6" t="s">
        <v>47</v>
      </c>
      <c r="C178" s="6" t="s">
        <v>11</v>
      </c>
      <c r="D178" s="6" t="s">
        <v>492</v>
      </c>
      <c r="E178" s="6">
        <v>0</v>
      </c>
      <c r="F178" s="6">
        <v>0</v>
      </c>
      <c r="G178" s="6">
        <v>-2.928E-3</v>
      </c>
      <c r="H178" s="6">
        <v>7.6000000000000004E-4</v>
      </c>
      <c r="I178" s="6">
        <v>5.3000000000000001E-5</v>
      </c>
      <c r="J178" s="6">
        <v>0</v>
      </c>
    </row>
    <row r="179" spans="1:10" x14ac:dyDescent="0.25">
      <c r="A179" s="6" t="s">
        <v>66</v>
      </c>
      <c r="B179" s="6" t="s">
        <v>66</v>
      </c>
      <c r="C179" s="6" t="s">
        <v>11</v>
      </c>
      <c r="D179" s="6" t="s">
        <v>492</v>
      </c>
      <c r="E179" s="6">
        <v>0</v>
      </c>
      <c r="F179" s="6">
        <v>0</v>
      </c>
      <c r="G179" s="6">
        <v>-2.519E-3</v>
      </c>
      <c r="H179" s="6">
        <v>5.7919999999999999E-9</v>
      </c>
      <c r="I179" s="6">
        <v>1.212E-7</v>
      </c>
      <c r="J179" s="6">
        <v>0</v>
      </c>
    </row>
    <row r="180" spans="1:10" x14ac:dyDescent="0.25">
      <c r="A180" s="6" t="s">
        <v>65</v>
      </c>
      <c r="B180" s="6" t="s">
        <v>65</v>
      </c>
      <c r="C180" s="6" t="s">
        <v>11</v>
      </c>
      <c r="D180" s="6" t="s">
        <v>492</v>
      </c>
      <c r="E180" s="6">
        <v>0</v>
      </c>
      <c r="F180" s="6">
        <v>0</v>
      </c>
      <c r="G180" s="6">
        <v>-2.5200000000000001E-3</v>
      </c>
      <c r="H180" s="6">
        <v>-1.213E-8</v>
      </c>
      <c r="I180" s="6">
        <v>2.0340000000000001E-7</v>
      </c>
      <c r="J180" s="6">
        <v>0</v>
      </c>
    </row>
    <row r="181" spans="1:10" x14ac:dyDescent="0.25">
      <c r="A181" s="6" t="s">
        <v>54</v>
      </c>
      <c r="B181" s="6" t="s">
        <v>54</v>
      </c>
      <c r="C181" s="6" t="s">
        <v>11</v>
      </c>
      <c r="D181" s="6" t="s">
        <v>492</v>
      </c>
      <c r="E181" s="6">
        <v>0</v>
      </c>
      <c r="F181" s="6">
        <v>0</v>
      </c>
      <c r="G181" s="6">
        <v>-2.5200000000000001E-3</v>
      </c>
      <c r="H181" s="6">
        <v>2.2499999999999999E-7</v>
      </c>
      <c r="I181" s="6">
        <v>1.3960000000000001E-7</v>
      </c>
      <c r="J181" s="6">
        <v>0</v>
      </c>
    </row>
    <row r="182" spans="1:10" x14ac:dyDescent="0.25">
      <c r="A182" s="6" t="s">
        <v>55</v>
      </c>
      <c r="B182" s="6" t="s">
        <v>55</v>
      </c>
      <c r="C182" s="6" t="s">
        <v>11</v>
      </c>
      <c r="D182" s="6" t="s">
        <v>492</v>
      </c>
      <c r="E182" s="6">
        <v>0</v>
      </c>
      <c r="F182" s="6">
        <v>0</v>
      </c>
      <c r="G182" s="6">
        <v>-2.519E-3</v>
      </c>
      <c r="H182" s="6">
        <v>1.2700000000000001E-7</v>
      </c>
      <c r="I182" s="6">
        <v>1.094E-7</v>
      </c>
      <c r="J182" s="6">
        <v>0</v>
      </c>
    </row>
    <row r="183" spans="1:10" x14ac:dyDescent="0.25">
      <c r="A183" s="6" t="s">
        <v>64</v>
      </c>
      <c r="B183" s="6" t="s">
        <v>64</v>
      </c>
      <c r="C183" s="6" t="s">
        <v>11</v>
      </c>
      <c r="D183" s="6" t="s">
        <v>492</v>
      </c>
      <c r="E183" s="6">
        <v>0</v>
      </c>
      <c r="F183" s="6">
        <v>0</v>
      </c>
      <c r="G183" s="6">
        <v>-2.712E-3</v>
      </c>
      <c r="H183" s="6">
        <v>1.2E-5</v>
      </c>
      <c r="I183" s="6">
        <v>-7.5199999999999996E-4</v>
      </c>
      <c r="J183" s="6">
        <v>0</v>
      </c>
    </row>
    <row r="184" spans="1:10" x14ac:dyDescent="0.25">
      <c r="A184" s="6" t="s">
        <v>63</v>
      </c>
      <c r="B184" s="6" t="s">
        <v>63</v>
      </c>
      <c r="C184" s="6" t="s">
        <v>11</v>
      </c>
      <c r="D184" s="6" t="s">
        <v>492</v>
      </c>
      <c r="E184" s="6">
        <v>0</v>
      </c>
      <c r="F184" s="6">
        <v>0</v>
      </c>
      <c r="G184" s="6">
        <v>-2.186E-3</v>
      </c>
      <c r="H184" s="6">
        <v>1.2E-5</v>
      </c>
      <c r="I184" s="6">
        <v>-7.5199999999999996E-4</v>
      </c>
      <c r="J184" s="6">
        <v>0</v>
      </c>
    </row>
    <row r="185" spans="1:10" x14ac:dyDescent="0.25">
      <c r="A185" s="6" t="s">
        <v>94</v>
      </c>
      <c r="B185" s="6" t="s">
        <v>94</v>
      </c>
      <c r="C185" s="6" t="s">
        <v>11</v>
      </c>
      <c r="D185" s="6" t="s">
        <v>492</v>
      </c>
      <c r="E185" s="6">
        <v>0</v>
      </c>
      <c r="F185" s="6">
        <v>0</v>
      </c>
      <c r="G185" s="6">
        <v>-2.5999999999999999E-3</v>
      </c>
      <c r="H185" s="6">
        <v>-7.1000000000000005E-5</v>
      </c>
      <c r="I185" s="6">
        <v>-7.2999999999999999E-5</v>
      </c>
      <c r="J185" s="6">
        <v>0</v>
      </c>
    </row>
    <row r="186" spans="1:10" x14ac:dyDescent="0.25">
      <c r="A186" s="6" t="s">
        <v>130</v>
      </c>
      <c r="B186" s="6" t="s">
        <v>130</v>
      </c>
      <c r="C186" s="6" t="s">
        <v>11</v>
      </c>
      <c r="D186" s="6" t="s">
        <v>492</v>
      </c>
      <c r="E186" s="6">
        <v>0</v>
      </c>
      <c r="F186" s="6">
        <v>0</v>
      </c>
      <c r="G186" s="6">
        <v>-2.7750000000000001E-3</v>
      </c>
      <c r="H186" s="6">
        <v>3.5480000000000002E-6</v>
      </c>
      <c r="I186" s="6">
        <v>-7.3999999999999996E-5</v>
      </c>
      <c r="J186" s="6">
        <v>0</v>
      </c>
    </row>
    <row r="187" spans="1:10" x14ac:dyDescent="0.25">
      <c r="A187" s="6" t="s">
        <v>59</v>
      </c>
      <c r="B187" s="6" t="s">
        <v>59</v>
      </c>
      <c r="C187" s="6" t="s">
        <v>11</v>
      </c>
      <c r="D187" s="6" t="s">
        <v>492</v>
      </c>
      <c r="E187" s="6">
        <v>0</v>
      </c>
      <c r="F187" s="6">
        <v>0</v>
      </c>
      <c r="G187" s="6">
        <v>-3.836E-3</v>
      </c>
      <c r="H187" s="6">
        <v>8.3799999999999999E-4</v>
      </c>
      <c r="I187" s="6">
        <v>2.5000000000000001E-5</v>
      </c>
      <c r="J187" s="6">
        <v>0</v>
      </c>
    </row>
    <row r="188" spans="1:10" x14ac:dyDescent="0.25">
      <c r="A188" s="6" t="s">
        <v>167</v>
      </c>
      <c r="B188" s="6" t="s">
        <v>167</v>
      </c>
      <c r="C188" s="6" t="s">
        <v>11</v>
      </c>
      <c r="D188" s="6" t="s">
        <v>492</v>
      </c>
      <c r="E188" s="6">
        <v>0</v>
      </c>
      <c r="F188" s="6">
        <v>0</v>
      </c>
      <c r="G188" s="6">
        <v>-2.7560000000000002E-3</v>
      </c>
      <c r="H188" s="6">
        <v>5.48E-6</v>
      </c>
      <c r="I188" s="6">
        <v>-7.3999999999999996E-5</v>
      </c>
      <c r="J188" s="6">
        <v>0</v>
      </c>
    </row>
    <row r="189" spans="1:10" x14ac:dyDescent="0.25">
      <c r="A189" s="6" t="s">
        <v>208</v>
      </c>
      <c r="B189" s="6" t="s">
        <v>208</v>
      </c>
      <c r="C189" s="6" t="s">
        <v>11</v>
      </c>
      <c r="D189" s="6" t="s">
        <v>492</v>
      </c>
      <c r="E189" s="6">
        <v>0</v>
      </c>
      <c r="F189" s="6">
        <v>0</v>
      </c>
      <c r="G189" s="6">
        <v>-2.7499999999999998E-3</v>
      </c>
      <c r="H189" s="6">
        <v>-6.9129999999999997E-6</v>
      </c>
      <c r="I189" s="6">
        <v>-7.7000000000000001E-5</v>
      </c>
      <c r="J189" s="6">
        <v>0</v>
      </c>
    </row>
    <row r="190" spans="1:10" x14ac:dyDescent="0.25">
      <c r="A190" s="6" t="s">
        <v>249</v>
      </c>
      <c r="B190" s="6" t="s">
        <v>249</v>
      </c>
      <c r="C190" s="6" t="s">
        <v>11</v>
      </c>
      <c r="D190" s="6" t="s">
        <v>492</v>
      </c>
      <c r="E190" s="6">
        <v>0</v>
      </c>
      <c r="F190" s="6">
        <v>0</v>
      </c>
      <c r="G190" s="6">
        <v>-2.7360000000000002E-3</v>
      </c>
      <c r="H190" s="6">
        <v>3.8000000000000002E-5</v>
      </c>
      <c r="I190" s="6">
        <v>-6.7999999999999999E-5</v>
      </c>
      <c r="J190" s="6">
        <v>0</v>
      </c>
    </row>
    <row r="191" spans="1:10" x14ac:dyDescent="0.25">
      <c r="A191" s="6" t="s">
        <v>288</v>
      </c>
      <c r="B191" s="6" t="s">
        <v>288</v>
      </c>
      <c r="C191" s="6" t="s">
        <v>11</v>
      </c>
      <c r="D191" s="6" t="s">
        <v>492</v>
      </c>
      <c r="E191" s="6">
        <v>0</v>
      </c>
      <c r="F191" s="6">
        <v>0</v>
      </c>
      <c r="G191" s="6">
        <v>-1.926E-3</v>
      </c>
      <c r="H191" s="6">
        <v>-1.2E-5</v>
      </c>
      <c r="I191" s="6">
        <v>-4.1999999999999998E-5</v>
      </c>
      <c r="J191" s="6">
        <v>0</v>
      </c>
    </row>
    <row r="192" spans="1:10" x14ac:dyDescent="0.25">
      <c r="A192" s="6" t="s">
        <v>530</v>
      </c>
      <c r="B192" s="6" t="s">
        <v>530</v>
      </c>
      <c r="C192" s="6" t="s">
        <v>11</v>
      </c>
      <c r="D192" s="6" t="s">
        <v>492</v>
      </c>
      <c r="E192" s="6">
        <v>0</v>
      </c>
      <c r="F192" s="6">
        <v>0</v>
      </c>
      <c r="G192" s="6">
        <v>-2.1770000000000001E-3</v>
      </c>
      <c r="H192" s="6">
        <v>1.2E-5</v>
      </c>
      <c r="I192" s="6">
        <v>-7.5199999999999996E-4</v>
      </c>
      <c r="J192" s="6">
        <v>0</v>
      </c>
    </row>
    <row r="193" spans="1:10" x14ac:dyDescent="0.25">
      <c r="A193" s="6" t="s">
        <v>76</v>
      </c>
      <c r="B193" s="6" t="s">
        <v>76</v>
      </c>
      <c r="C193" s="6" t="s">
        <v>11</v>
      </c>
      <c r="D193" s="6" t="s">
        <v>492</v>
      </c>
      <c r="E193" s="6">
        <v>0</v>
      </c>
      <c r="F193" s="6">
        <v>0</v>
      </c>
      <c r="G193" s="6">
        <v>-2.7039999999999998E-3</v>
      </c>
      <c r="H193" s="6">
        <v>1.2E-5</v>
      </c>
      <c r="I193" s="6">
        <v>-7.5199999999999996E-4</v>
      </c>
      <c r="J193" s="6">
        <v>0</v>
      </c>
    </row>
    <row r="194" spans="1:10" x14ac:dyDescent="0.25">
      <c r="A194" s="6" t="s">
        <v>112</v>
      </c>
      <c r="B194" s="6" t="s">
        <v>112</v>
      </c>
      <c r="C194" s="6" t="s">
        <v>11</v>
      </c>
      <c r="D194" s="6" t="s">
        <v>492</v>
      </c>
      <c r="E194" s="6">
        <v>0</v>
      </c>
      <c r="F194" s="6">
        <v>0</v>
      </c>
      <c r="G194" s="6">
        <v>-2.5089999999999999E-3</v>
      </c>
      <c r="H194" s="6">
        <v>1.9000000000000001E-5</v>
      </c>
      <c r="I194" s="6">
        <v>-6.6600000000000003E-4</v>
      </c>
      <c r="J194" s="6">
        <v>0</v>
      </c>
    </row>
    <row r="195" spans="1:10" x14ac:dyDescent="0.25">
      <c r="A195" s="6" t="s">
        <v>148</v>
      </c>
      <c r="B195" s="6" t="s">
        <v>148</v>
      </c>
      <c r="C195" s="6" t="s">
        <v>11</v>
      </c>
      <c r="D195" s="6" t="s">
        <v>492</v>
      </c>
      <c r="E195" s="6">
        <v>0</v>
      </c>
      <c r="F195" s="6">
        <v>0</v>
      </c>
      <c r="G195" s="6">
        <v>-2.0430000000000001E-3</v>
      </c>
      <c r="H195" s="6">
        <v>1.9000000000000001E-5</v>
      </c>
      <c r="I195" s="6">
        <v>-6.6600000000000003E-4</v>
      </c>
      <c r="J195" s="6">
        <v>0</v>
      </c>
    </row>
    <row r="196" spans="1:10" x14ac:dyDescent="0.25">
      <c r="A196" s="6" t="s">
        <v>189</v>
      </c>
      <c r="B196" s="6" t="s">
        <v>189</v>
      </c>
      <c r="C196" s="6" t="s">
        <v>11</v>
      </c>
      <c r="D196" s="6" t="s">
        <v>492</v>
      </c>
      <c r="E196" s="6">
        <v>0</v>
      </c>
      <c r="F196" s="6">
        <v>0</v>
      </c>
      <c r="G196" s="6">
        <v>-2.029E-3</v>
      </c>
      <c r="H196" s="6">
        <v>1.9000000000000001E-5</v>
      </c>
      <c r="I196" s="6">
        <v>-6.6600000000000003E-4</v>
      </c>
      <c r="J196" s="6">
        <v>0</v>
      </c>
    </row>
    <row r="197" spans="1:10" x14ac:dyDescent="0.25">
      <c r="A197" s="6" t="s">
        <v>230</v>
      </c>
      <c r="B197" s="6" t="s">
        <v>230</v>
      </c>
      <c r="C197" s="6" t="s">
        <v>11</v>
      </c>
      <c r="D197" s="6" t="s">
        <v>492</v>
      </c>
      <c r="E197" s="6">
        <v>0</v>
      </c>
      <c r="F197" s="6">
        <v>0</v>
      </c>
      <c r="G197" s="6">
        <v>-2.4949999999999998E-3</v>
      </c>
      <c r="H197" s="6">
        <v>1.9000000000000001E-5</v>
      </c>
      <c r="I197" s="6">
        <v>-6.6600000000000003E-4</v>
      </c>
      <c r="J197" s="6">
        <v>0</v>
      </c>
    </row>
    <row r="198" spans="1:10" x14ac:dyDescent="0.25">
      <c r="A198" s="6" t="s">
        <v>268</v>
      </c>
      <c r="B198" s="6" t="s">
        <v>268</v>
      </c>
      <c r="C198" s="6" t="s">
        <v>11</v>
      </c>
      <c r="D198" s="6" t="s">
        <v>492</v>
      </c>
      <c r="E198" s="6">
        <v>0</v>
      </c>
      <c r="F198" s="6">
        <v>0</v>
      </c>
      <c r="G198" s="6">
        <v>-2.3080000000000002E-3</v>
      </c>
      <c r="H198" s="6">
        <v>2.0999999999999999E-5</v>
      </c>
      <c r="I198" s="6">
        <v>-6.2E-4</v>
      </c>
      <c r="J198" s="6">
        <v>0</v>
      </c>
    </row>
    <row r="199" spans="1:10" x14ac:dyDescent="0.25">
      <c r="A199" s="6" t="s">
        <v>531</v>
      </c>
      <c r="B199" s="6" t="s">
        <v>531</v>
      </c>
      <c r="C199" s="6" t="s">
        <v>11</v>
      </c>
      <c r="D199" s="6" t="s">
        <v>492</v>
      </c>
      <c r="E199" s="6">
        <v>0</v>
      </c>
      <c r="F199" s="6">
        <v>0</v>
      </c>
      <c r="G199" s="6">
        <v>-1.8749999999999999E-3</v>
      </c>
      <c r="H199" s="6">
        <v>2.0999999999999999E-5</v>
      </c>
      <c r="I199" s="6">
        <v>-6.2E-4</v>
      </c>
      <c r="J199" s="6">
        <v>0</v>
      </c>
    </row>
    <row r="200" spans="1:10" x14ac:dyDescent="0.25">
      <c r="A200" s="6" t="s">
        <v>532</v>
      </c>
      <c r="B200" s="6" t="s">
        <v>532</v>
      </c>
      <c r="C200" s="6" t="s">
        <v>11</v>
      </c>
      <c r="D200" s="6" t="s">
        <v>492</v>
      </c>
      <c r="E200" s="6">
        <v>0</v>
      </c>
      <c r="F200" s="6">
        <v>0</v>
      </c>
      <c r="G200" s="6">
        <v>-1.8600000000000001E-3</v>
      </c>
      <c r="H200" s="6">
        <v>2.0999999999999999E-5</v>
      </c>
      <c r="I200" s="6">
        <v>-6.2E-4</v>
      </c>
      <c r="J200" s="6">
        <v>0</v>
      </c>
    </row>
    <row r="201" spans="1:10" x14ac:dyDescent="0.25">
      <c r="A201" s="6" t="s">
        <v>533</v>
      </c>
      <c r="B201" s="6" t="s">
        <v>533</v>
      </c>
      <c r="C201" s="6" t="s">
        <v>11</v>
      </c>
      <c r="D201" s="6" t="s">
        <v>492</v>
      </c>
      <c r="E201" s="6">
        <v>0</v>
      </c>
      <c r="F201" s="6">
        <v>0</v>
      </c>
      <c r="G201" s="6">
        <v>-2.294E-3</v>
      </c>
      <c r="H201" s="6">
        <v>2.0999999999999999E-5</v>
      </c>
      <c r="I201" s="6">
        <v>-6.2E-4</v>
      </c>
      <c r="J201" s="6">
        <v>0</v>
      </c>
    </row>
    <row r="202" spans="1:10" x14ac:dyDescent="0.25">
      <c r="A202" s="6" t="s">
        <v>89</v>
      </c>
      <c r="B202" s="6" t="s">
        <v>89</v>
      </c>
      <c r="C202" s="6" t="s">
        <v>11</v>
      </c>
      <c r="D202" s="6" t="s">
        <v>492</v>
      </c>
      <c r="E202" s="6">
        <v>0</v>
      </c>
      <c r="F202" s="6">
        <v>0</v>
      </c>
      <c r="G202" s="6">
        <v>-2.1099999999999999E-3</v>
      </c>
      <c r="H202" s="6">
        <v>2.1999999999999999E-5</v>
      </c>
      <c r="I202" s="6">
        <v>-5.7899999999999998E-4</v>
      </c>
      <c r="J202" s="6">
        <v>0</v>
      </c>
    </row>
    <row r="203" spans="1:10" x14ac:dyDescent="0.25">
      <c r="A203" s="6" t="s">
        <v>90</v>
      </c>
      <c r="B203" s="6" t="s">
        <v>90</v>
      </c>
      <c r="C203" s="6" t="s">
        <v>11</v>
      </c>
      <c r="D203" s="6" t="s">
        <v>492</v>
      </c>
      <c r="E203" s="6">
        <v>0</v>
      </c>
      <c r="F203" s="6">
        <v>0</v>
      </c>
      <c r="G203" s="6">
        <v>-1.7049999999999999E-3</v>
      </c>
      <c r="H203" s="6">
        <v>2.1999999999999999E-5</v>
      </c>
      <c r="I203" s="6">
        <v>-5.7899999999999998E-4</v>
      </c>
      <c r="J203" s="6">
        <v>0</v>
      </c>
    </row>
    <row r="204" spans="1:10" x14ac:dyDescent="0.25">
      <c r="A204" s="6" t="s">
        <v>100</v>
      </c>
      <c r="B204" s="6" t="s">
        <v>100</v>
      </c>
      <c r="C204" s="6" t="s">
        <v>11</v>
      </c>
      <c r="D204" s="6" t="s">
        <v>492</v>
      </c>
      <c r="E204" s="6">
        <v>0</v>
      </c>
      <c r="F204" s="6">
        <v>0</v>
      </c>
      <c r="G204" s="6">
        <v>-1.689E-3</v>
      </c>
      <c r="H204" s="6">
        <v>2.1999999999999999E-5</v>
      </c>
      <c r="I204" s="6">
        <v>-5.7899999999999998E-4</v>
      </c>
      <c r="J204" s="6">
        <v>0</v>
      </c>
    </row>
    <row r="205" spans="1:10" x14ac:dyDescent="0.25">
      <c r="A205" s="6" t="s">
        <v>99</v>
      </c>
      <c r="B205" s="6" t="s">
        <v>99</v>
      </c>
      <c r="C205" s="6" t="s">
        <v>11</v>
      </c>
      <c r="D205" s="6" t="s">
        <v>492</v>
      </c>
      <c r="E205" s="6">
        <v>0</v>
      </c>
      <c r="F205" s="6">
        <v>0</v>
      </c>
      <c r="G205" s="6">
        <v>-2.0939999999999999E-3</v>
      </c>
      <c r="H205" s="6">
        <v>2.1999999999999999E-5</v>
      </c>
      <c r="I205" s="6">
        <v>-5.7899999999999998E-4</v>
      </c>
      <c r="J205" s="6">
        <v>0</v>
      </c>
    </row>
    <row r="206" spans="1:10" x14ac:dyDescent="0.25">
      <c r="A206" s="6" t="s">
        <v>125</v>
      </c>
      <c r="B206" s="6" t="s">
        <v>125</v>
      </c>
      <c r="C206" s="6" t="s">
        <v>11</v>
      </c>
      <c r="D206" s="6" t="s">
        <v>492</v>
      </c>
      <c r="E206" s="6">
        <v>0</v>
      </c>
      <c r="F206" s="6">
        <v>0</v>
      </c>
      <c r="G206" s="6">
        <v>-1.879E-3</v>
      </c>
      <c r="H206" s="6">
        <v>1.9000000000000001E-5</v>
      </c>
      <c r="I206" s="6">
        <v>-5.2499999999999997E-4</v>
      </c>
      <c r="J206" s="6">
        <v>0</v>
      </c>
    </row>
    <row r="207" spans="1:10" x14ac:dyDescent="0.25">
      <c r="A207" s="6" t="s">
        <v>126</v>
      </c>
      <c r="B207" s="6" t="s">
        <v>126</v>
      </c>
      <c r="C207" s="6" t="s">
        <v>11</v>
      </c>
      <c r="D207" s="6" t="s">
        <v>492</v>
      </c>
      <c r="E207" s="6">
        <v>0</v>
      </c>
      <c r="F207" s="6">
        <v>0</v>
      </c>
      <c r="G207" s="6">
        <v>-1.5120000000000001E-3</v>
      </c>
      <c r="H207" s="6">
        <v>1.9000000000000001E-5</v>
      </c>
      <c r="I207" s="6">
        <v>-5.2499999999999997E-4</v>
      </c>
      <c r="J207" s="6">
        <v>0</v>
      </c>
    </row>
    <row r="208" spans="1:10" x14ac:dyDescent="0.25">
      <c r="A208" s="6" t="s">
        <v>136</v>
      </c>
      <c r="B208" s="6" t="s">
        <v>136</v>
      </c>
      <c r="C208" s="6" t="s">
        <v>11</v>
      </c>
      <c r="D208" s="6" t="s">
        <v>492</v>
      </c>
      <c r="E208" s="6">
        <v>0</v>
      </c>
      <c r="F208" s="6">
        <v>0</v>
      </c>
      <c r="G208" s="6">
        <v>-1.498E-3</v>
      </c>
      <c r="H208" s="6">
        <v>1.9000000000000001E-5</v>
      </c>
      <c r="I208" s="6">
        <v>-5.2499999999999997E-4</v>
      </c>
      <c r="J208" s="6">
        <v>0</v>
      </c>
    </row>
    <row r="209" spans="1:10" x14ac:dyDescent="0.25">
      <c r="A209" s="6" t="s">
        <v>135</v>
      </c>
      <c r="B209" s="6" t="s">
        <v>135</v>
      </c>
      <c r="C209" s="6" t="s">
        <v>11</v>
      </c>
      <c r="D209" s="6" t="s">
        <v>492</v>
      </c>
      <c r="E209" s="6">
        <v>0</v>
      </c>
      <c r="F209" s="6">
        <v>0</v>
      </c>
      <c r="G209" s="6">
        <v>-1.866E-3</v>
      </c>
      <c r="H209" s="6">
        <v>1.9000000000000001E-5</v>
      </c>
      <c r="I209" s="6">
        <v>-5.2499999999999997E-4</v>
      </c>
      <c r="J209" s="6">
        <v>0</v>
      </c>
    </row>
    <row r="210" spans="1:10" x14ac:dyDescent="0.25">
      <c r="A210" s="6" t="s">
        <v>160</v>
      </c>
      <c r="B210" s="6" t="s">
        <v>160</v>
      </c>
      <c r="C210" s="6" t="s">
        <v>11</v>
      </c>
      <c r="D210" s="6" t="s">
        <v>492</v>
      </c>
      <c r="E210" s="6">
        <v>0</v>
      </c>
      <c r="F210" s="6">
        <v>0</v>
      </c>
      <c r="G210" s="6">
        <v>-1.4790000000000001E-3</v>
      </c>
      <c r="H210" s="6">
        <v>1.192E-7</v>
      </c>
      <c r="I210" s="6">
        <v>1.7510000000000001E-9</v>
      </c>
      <c r="J210" s="6">
        <v>0</v>
      </c>
    </row>
    <row r="211" spans="1:10" x14ac:dyDescent="0.25">
      <c r="A211" s="6" t="s">
        <v>161</v>
      </c>
      <c r="B211" s="6" t="s">
        <v>161</v>
      </c>
      <c r="C211" s="6" t="s">
        <v>11</v>
      </c>
      <c r="D211" s="6" t="s">
        <v>492</v>
      </c>
      <c r="E211" s="6">
        <v>0</v>
      </c>
      <c r="F211" s="6">
        <v>0</v>
      </c>
      <c r="G211" s="6">
        <v>-1.4790000000000001E-3</v>
      </c>
      <c r="H211" s="6">
        <v>8.2160000000000002E-8</v>
      </c>
      <c r="I211" s="6">
        <v>-1.3619999999999999E-7</v>
      </c>
      <c r="J211" s="6">
        <v>0</v>
      </c>
    </row>
    <row r="212" spans="1:10" x14ac:dyDescent="0.25">
      <c r="A212" s="6" t="s">
        <v>175</v>
      </c>
      <c r="B212" s="6" t="s">
        <v>175</v>
      </c>
      <c r="C212" s="6" t="s">
        <v>11</v>
      </c>
      <c r="D212" s="6" t="s">
        <v>492</v>
      </c>
      <c r="E212" s="6">
        <v>0</v>
      </c>
      <c r="F212" s="6">
        <v>0</v>
      </c>
      <c r="G212" s="6">
        <v>-1.4790000000000001E-3</v>
      </c>
      <c r="H212" s="6">
        <v>5.9179999999999998E-8</v>
      </c>
      <c r="I212" s="6">
        <v>-8.05E-8</v>
      </c>
      <c r="J212" s="6">
        <v>0</v>
      </c>
    </row>
    <row r="213" spans="1:10" x14ac:dyDescent="0.25">
      <c r="A213" s="6" t="s">
        <v>174</v>
      </c>
      <c r="B213" s="6" t="s">
        <v>174</v>
      </c>
      <c r="C213" s="6" t="s">
        <v>11</v>
      </c>
      <c r="D213" s="6" t="s">
        <v>492</v>
      </c>
      <c r="E213" s="6">
        <v>0</v>
      </c>
      <c r="F213" s="6">
        <v>0</v>
      </c>
      <c r="G213" s="6">
        <v>-1.4790000000000001E-3</v>
      </c>
      <c r="H213" s="6">
        <v>6.6349999999999995E-8</v>
      </c>
      <c r="I213" s="6">
        <v>-8.0269999999999997E-9</v>
      </c>
      <c r="J213" s="6">
        <v>0</v>
      </c>
    </row>
    <row r="214" spans="1:10" x14ac:dyDescent="0.25">
      <c r="A214" s="6" t="s">
        <v>201</v>
      </c>
      <c r="B214" s="6" t="s">
        <v>201</v>
      </c>
      <c r="C214" s="6" t="s">
        <v>11</v>
      </c>
      <c r="D214" s="6" t="s">
        <v>492</v>
      </c>
      <c r="E214" s="6">
        <v>0</v>
      </c>
      <c r="F214" s="6">
        <v>0</v>
      </c>
      <c r="G214" s="6">
        <v>-1.4300000000000001E-3</v>
      </c>
      <c r="H214" s="6">
        <v>-3.5859999999999998E-8</v>
      </c>
      <c r="I214" s="6">
        <v>-1.1749999999999999E-8</v>
      </c>
      <c r="J214" s="6">
        <v>0</v>
      </c>
    </row>
    <row r="215" spans="1:10" x14ac:dyDescent="0.25">
      <c r="A215" s="6" t="s">
        <v>202</v>
      </c>
      <c r="B215" s="6" t="s">
        <v>202</v>
      </c>
      <c r="C215" s="6" t="s">
        <v>11</v>
      </c>
      <c r="D215" s="6" t="s">
        <v>492</v>
      </c>
      <c r="E215" s="6">
        <v>0</v>
      </c>
      <c r="F215" s="6">
        <v>0</v>
      </c>
      <c r="G215" s="6">
        <v>-1.4300000000000001E-3</v>
      </c>
      <c r="H215" s="6">
        <v>-8.8739999999999999E-8</v>
      </c>
      <c r="I215" s="6">
        <v>-3.0659999999999998E-8</v>
      </c>
      <c r="J215" s="6">
        <v>0</v>
      </c>
    </row>
    <row r="216" spans="1:10" x14ac:dyDescent="0.25">
      <c r="A216" s="6" t="s">
        <v>216</v>
      </c>
      <c r="B216" s="6" t="s">
        <v>216</v>
      </c>
      <c r="C216" s="6" t="s">
        <v>11</v>
      </c>
      <c r="D216" s="6" t="s">
        <v>492</v>
      </c>
      <c r="E216" s="6">
        <v>0</v>
      </c>
      <c r="F216" s="6">
        <v>0</v>
      </c>
      <c r="G216" s="6">
        <v>-1.4300000000000001E-3</v>
      </c>
      <c r="H216" s="6">
        <v>-2.599E-8</v>
      </c>
      <c r="I216" s="6">
        <v>1.4950000000000002E-8</v>
      </c>
      <c r="J216" s="6">
        <v>0</v>
      </c>
    </row>
    <row r="217" spans="1:10" x14ac:dyDescent="0.25">
      <c r="A217" s="6" t="s">
        <v>215</v>
      </c>
      <c r="B217" s="6" t="s">
        <v>215</v>
      </c>
      <c r="C217" s="6" t="s">
        <v>11</v>
      </c>
      <c r="D217" s="6" t="s">
        <v>492</v>
      </c>
      <c r="E217" s="6">
        <v>0</v>
      </c>
      <c r="F217" s="6">
        <v>0</v>
      </c>
      <c r="G217" s="6">
        <v>-1.4300000000000001E-3</v>
      </c>
      <c r="H217" s="6">
        <v>-2.4220000000000001E-8</v>
      </c>
      <c r="I217" s="6">
        <v>-5.8470000000000002E-9</v>
      </c>
      <c r="J217" s="6">
        <v>0</v>
      </c>
    </row>
    <row r="218" spans="1:10" x14ac:dyDescent="0.25">
      <c r="A218" s="6" t="s">
        <v>242</v>
      </c>
      <c r="B218" s="6" t="s">
        <v>242</v>
      </c>
      <c r="C218" s="6" t="s">
        <v>11</v>
      </c>
      <c r="D218" s="6" t="s">
        <v>492</v>
      </c>
      <c r="E218" s="6">
        <v>0</v>
      </c>
      <c r="F218" s="6">
        <v>0</v>
      </c>
      <c r="G218" s="6">
        <v>-1.438E-3</v>
      </c>
      <c r="H218" s="6">
        <v>-1.13E-4</v>
      </c>
      <c r="I218" s="6">
        <v>1.9259999999999999E-6</v>
      </c>
      <c r="J218" s="6">
        <v>0</v>
      </c>
    </row>
    <row r="219" spans="1:10" x14ac:dyDescent="0.25">
      <c r="A219" s="6" t="s">
        <v>243</v>
      </c>
      <c r="B219" s="6" t="s">
        <v>243</v>
      </c>
      <c r="C219" s="6" t="s">
        <v>11</v>
      </c>
      <c r="D219" s="6" t="s">
        <v>492</v>
      </c>
      <c r="E219" s="6">
        <v>0</v>
      </c>
      <c r="F219" s="6">
        <v>0</v>
      </c>
      <c r="G219" s="6">
        <v>-1.439E-3</v>
      </c>
      <c r="H219" s="6">
        <v>-1.13E-4</v>
      </c>
      <c r="I219" s="6">
        <v>1.854E-6</v>
      </c>
      <c r="J219" s="6">
        <v>0</v>
      </c>
    </row>
    <row r="220" spans="1:10" x14ac:dyDescent="0.25">
      <c r="A220" s="6" t="s">
        <v>254</v>
      </c>
      <c r="B220" s="6" t="s">
        <v>254</v>
      </c>
      <c r="C220" s="6" t="s">
        <v>11</v>
      </c>
      <c r="D220" s="6" t="s">
        <v>492</v>
      </c>
      <c r="E220" s="6">
        <v>0</v>
      </c>
      <c r="F220" s="6">
        <v>0</v>
      </c>
      <c r="G220" s="6">
        <v>-1.518E-3</v>
      </c>
      <c r="H220" s="6">
        <v>-1.13E-4</v>
      </c>
      <c r="I220" s="6">
        <v>1.875E-6</v>
      </c>
      <c r="J220" s="6">
        <v>0</v>
      </c>
    </row>
    <row r="221" spans="1:10" x14ac:dyDescent="0.25">
      <c r="A221" s="6" t="s">
        <v>253</v>
      </c>
      <c r="B221" s="6" t="s">
        <v>253</v>
      </c>
      <c r="C221" s="6" t="s">
        <v>11</v>
      </c>
      <c r="D221" s="6" t="s">
        <v>492</v>
      </c>
      <c r="E221" s="6">
        <v>0</v>
      </c>
      <c r="F221" s="6">
        <v>0</v>
      </c>
      <c r="G221" s="6">
        <v>-1.5169999999999999E-3</v>
      </c>
      <c r="H221" s="6">
        <v>-1.13E-4</v>
      </c>
      <c r="I221" s="6">
        <v>1.891E-6</v>
      </c>
      <c r="J221" s="6">
        <v>0</v>
      </c>
    </row>
    <row r="222" spans="1:10" x14ac:dyDescent="0.25">
      <c r="A222" s="6" t="s">
        <v>280</v>
      </c>
      <c r="B222" s="6" t="s">
        <v>280</v>
      </c>
      <c r="C222" s="6" t="s">
        <v>11</v>
      </c>
      <c r="D222" s="6" t="s">
        <v>492</v>
      </c>
      <c r="E222" s="6">
        <v>0</v>
      </c>
      <c r="F222" s="6">
        <v>0</v>
      </c>
      <c r="G222" s="6">
        <v>-1.487E-3</v>
      </c>
      <c r="H222" s="6">
        <v>-3.0000000000000001E-5</v>
      </c>
      <c r="I222" s="6">
        <v>-6.1880000000000001E-7</v>
      </c>
      <c r="J222" s="6">
        <v>0</v>
      </c>
    </row>
    <row r="223" spans="1:10" x14ac:dyDescent="0.25">
      <c r="A223" s="6" t="s">
        <v>281</v>
      </c>
      <c r="B223" s="6" t="s">
        <v>281</v>
      </c>
      <c r="C223" s="6" t="s">
        <v>11</v>
      </c>
      <c r="D223" s="6" t="s">
        <v>492</v>
      </c>
      <c r="E223" s="6">
        <v>0</v>
      </c>
      <c r="F223" s="6">
        <v>0</v>
      </c>
      <c r="G223" s="6">
        <v>-1.4859999999999999E-3</v>
      </c>
      <c r="H223" s="6">
        <v>-3.0000000000000001E-5</v>
      </c>
      <c r="I223" s="6">
        <v>-6.9400000000000005E-7</v>
      </c>
      <c r="J223" s="6">
        <v>0</v>
      </c>
    </row>
    <row r="224" spans="1:10" x14ac:dyDescent="0.25">
      <c r="A224" s="6" t="s">
        <v>296</v>
      </c>
      <c r="B224" s="6" t="s">
        <v>296</v>
      </c>
      <c r="C224" s="6" t="s">
        <v>11</v>
      </c>
      <c r="D224" s="6" t="s">
        <v>492</v>
      </c>
      <c r="E224" s="6">
        <v>0</v>
      </c>
      <c r="F224" s="6">
        <v>0</v>
      </c>
      <c r="G224" s="6">
        <v>-1.508E-3</v>
      </c>
      <c r="H224" s="6">
        <v>-3.0000000000000001E-5</v>
      </c>
      <c r="I224" s="6">
        <v>-6.6130000000000003E-7</v>
      </c>
      <c r="J224" s="6">
        <v>0</v>
      </c>
    </row>
    <row r="225" spans="1:10" x14ac:dyDescent="0.25">
      <c r="A225" s="6" t="s">
        <v>295</v>
      </c>
      <c r="B225" s="6" t="s">
        <v>295</v>
      </c>
      <c r="C225" s="6" t="s">
        <v>11</v>
      </c>
      <c r="D225" s="6" t="s">
        <v>492</v>
      </c>
      <c r="E225" s="6">
        <v>0</v>
      </c>
      <c r="F225" s="6">
        <v>0</v>
      </c>
      <c r="G225" s="6">
        <v>-1.508E-3</v>
      </c>
      <c r="H225" s="6">
        <v>-3.0000000000000001E-5</v>
      </c>
      <c r="I225" s="6">
        <v>-6.4249999999999999E-7</v>
      </c>
      <c r="J225" s="6">
        <v>0</v>
      </c>
    </row>
    <row r="226" spans="1:10" x14ac:dyDescent="0.25">
      <c r="A226" s="6" t="s">
        <v>307</v>
      </c>
      <c r="B226" s="6" t="s">
        <v>307</v>
      </c>
      <c r="C226" s="6" t="s">
        <v>11</v>
      </c>
      <c r="D226" s="6" t="s">
        <v>492</v>
      </c>
      <c r="E226" s="6">
        <v>0</v>
      </c>
      <c r="F226" s="6">
        <v>0</v>
      </c>
      <c r="G226" s="6">
        <v>-1.485E-3</v>
      </c>
      <c r="H226" s="6">
        <v>-1.1E-5</v>
      </c>
      <c r="I226" s="6">
        <v>-1.8220000000000001E-6</v>
      </c>
      <c r="J226" s="6">
        <v>0</v>
      </c>
    </row>
    <row r="227" spans="1:10" x14ac:dyDescent="0.25">
      <c r="A227" s="6" t="s">
        <v>308</v>
      </c>
      <c r="B227" s="6" t="s">
        <v>308</v>
      </c>
      <c r="C227" s="6" t="s">
        <v>11</v>
      </c>
      <c r="D227" s="6" t="s">
        <v>492</v>
      </c>
      <c r="E227" s="6">
        <v>0</v>
      </c>
      <c r="F227" s="6">
        <v>0</v>
      </c>
      <c r="G227" s="6">
        <v>-1.4829999999999999E-3</v>
      </c>
      <c r="H227" s="6">
        <v>-1.1E-5</v>
      </c>
      <c r="I227" s="6">
        <v>-1.9039999999999999E-6</v>
      </c>
      <c r="J227" s="6">
        <v>0</v>
      </c>
    </row>
    <row r="228" spans="1:10" x14ac:dyDescent="0.25">
      <c r="A228" s="6" t="s">
        <v>330</v>
      </c>
      <c r="B228" s="6" t="s">
        <v>330</v>
      </c>
      <c r="C228" s="6" t="s">
        <v>11</v>
      </c>
      <c r="D228" s="6" t="s">
        <v>492</v>
      </c>
      <c r="E228" s="6">
        <v>0</v>
      </c>
      <c r="F228" s="6">
        <v>0</v>
      </c>
      <c r="G228" s="6">
        <v>-1.4909999999999999E-3</v>
      </c>
      <c r="H228" s="6">
        <v>-1.2E-5</v>
      </c>
      <c r="I228" s="6">
        <v>-1.8729999999999999E-6</v>
      </c>
      <c r="J228" s="6">
        <v>0</v>
      </c>
    </row>
    <row r="229" spans="1:10" x14ac:dyDescent="0.25">
      <c r="A229" s="6" t="s">
        <v>329</v>
      </c>
      <c r="B229" s="6" t="s">
        <v>329</v>
      </c>
      <c r="C229" s="6" t="s">
        <v>11</v>
      </c>
      <c r="D229" s="6" t="s">
        <v>492</v>
      </c>
      <c r="E229" s="6">
        <v>0</v>
      </c>
      <c r="F229" s="6">
        <v>0</v>
      </c>
      <c r="G229" s="6">
        <v>-1.493E-3</v>
      </c>
      <c r="H229" s="6">
        <v>-1.2E-5</v>
      </c>
      <c r="I229" s="6">
        <v>-1.8530000000000001E-6</v>
      </c>
      <c r="J229" s="6">
        <v>0</v>
      </c>
    </row>
    <row r="230" spans="1:10" x14ac:dyDescent="0.25">
      <c r="A230" s="6" t="s">
        <v>309</v>
      </c>
      <c r="B230" s="6" t="s">
        <v>309</v>
      </c>
      <c r="C230" s="6" t="s">
        <v>11</v>
      </c>
      <c r="D230" s="6" t="s">
        <v>492</v>
      </c>
      <c r="E230" s="6">
        <v>0</v>
      </c>
      <c r="F230" s="6">
        <v>0</v>
      </c>
      <c r="G230" s="6">
        <v>-1.4139999999999999E-3</v>
      </c>
      <c r="H230" s="6">
        <v>-1.17E-4</v>
      </c>
      <c r="I230" s="6">
        <v>-1.8619999999999999E-6</v>
      </c>
      <c r="J230" s="6">
        <v>0</v>
      </c>
    </row>
    <row r="231" spans="1:10" x14ac:dyDescent="0.25">
      <c r="A231" s="6" t="s">
        <v>310</v>
      </c>
      <c r="B231" s="6" t="s">
        <v>310</v>
      </c>
      <c r="C231" s="6" t="s">
        <v>11</v>
      </c>
      <c r="D231" s="6" t="s">
        <v>492</v>
      </c>
      <c r="E231" s="6">
        <v>0</v>
      </c>
      <c r="F231" s="6">
        <v>0</v>
      </c>
      <c r="G231" s="6">
        <v>-1.4120000000000001E-3</v>
      </c>
      <c r="H231" s="6">
        <v>-1.17E-4</v>
      </c>
      <c r="I231" s="6">
        <v>-1.933E-6</v>
      </c>
      <c r="J231" s="6">
        <v>0</v>
      </c>
    </row>
    <row r="232" spans="1:10" x14ac:dyDescent="0.25">
      <c r="A232" s="6" t="s">
        <v>332</v>
      </c>
      <c r="B232" s="6" t="s">
        <v>332</v>
      </c>
      <c r="C232" s="6" t="s">
        <v>11</v>
      </c>
      <c r="D232" s="6" t="s">
        <v>492</v>
      </c>
      <c r="E232" s="6">
        <v>0</v>
      </c>
      <c r="F232" s="6">
        <v>0</v>
      </c>
      <c r="G232" s="6">
        <v>-1.4940000000000001E-3</v>
      </c>
      <c r="H232" s="6">
        <v>-1.17E-4</v>
      </c>
      <c r="I232" s="6">
        <v>-1.906E-6</v>
      </c>
      <c r="J232" s="6">
        <v>0</v>
      </c>
    </row>
    <row r="233" spans="1:10" x14ac:dyDescent="0.25">
      <c r="A233" s="6" t="s">
        <v>331</v>
      </c>
      <c r="B233" s="6" t="s">
        <v>331</v>
      </c>
      <c r="C233" s="6" t="s">
        <v>11</v>
      </c>
      <c r="D233" s="6" t="s">
        <v>492</v>
      </c>
      <c r="E233" s="6">
        <v>0</v>
      </c>
      <c r="F233" s="6">
        <v>0</v>
      </c>
      <c r="G233" s="6">
        <v>-1.495E-3</v>
      </c>
      <c r="H233" s="6">
        <v>-1.17E-4</v>
      </c>
      <c r="I233" s="6">
        <v>-1.891E-6</v>
      </c>
      <c r="J233" s="6">
        <v>0</v>
      </c>
    </row>
    <row r="234" spans="1:10" x14ac:dyDescent="0.25">
      <c r="A234" s="6" t="s">
        <v>311</v>
      </c>
      <c r="B234" s="6" t="s">
        <v>311</v>
      </c>
      <c r="C234" s="6" t="s">
        <v>11</v>
      </c>
      <c r="D234" s="6" t="s">
        <v>492</v>
      </c>
      <c r="E234" s="6">
        <v>0</v>
      </c>
      <c r="F234" s="6">
        <v>0</v>
      </c>
      <c r="G234" s="6">
        <v>-1.4250000000000001E-3</v>
      </c>
      <c r="H234" s="6">
        <v>-2.4739999999999999E-8</v>
      </c>
      <c r="I234" s="6">
        <v>6.088E-8</v>
      </c>
      <c r="J234" s="6">
        <v>0</v>
      </c>
    </row>
    <row r="235" spans="1:10" x14ac:dyDescent="0.25">
      <c r="A235" s="6" t="s">
        <v>312</v>
      </c>
      <c r="B235" s="6" t="s">
        <v>312</v>
      </c>
      <c r="C235" s="6" t="s">
        <v>11</v>
      </c>
      <c r="D235" s="6" t="s">
        <v>492</v>
      </c>
      <c r="E235" s="6">
        <v>0</v>
      </c>
      <c r="F235" s="6">
        <v>0</v>
      </c>
      <c r="G235" s="6">
        <v>-1.4250000000000001E-3</v>
      </c>
      <c r="H235" s="6">
        <v>2.0520000000000001E-8</v>
      </c>
      <c r="I235" s="6">
        <v>1.9150000000000001E-9</v>
      </c>
      <c r="J235" s="6">
        <v>0</v>
      </c>
    </row>
    <row r="236" spans="1:10" x14ac:dyDescent="0.25">
      <c r="A236" s="6" t="s">
        <v>334</v>
      </c>
      <c r="B236" s="6" t="s">
        <v>334</v>
      </c>
      <c r="C236" s="6" t="s">
        <v>11</v>
      </c>
      <c r="D236" s="6" t="s">
        <v>492</v>
      </c>
      <c r="E236" s="6">
        <v>0</v>
      </c>
      <c r="F236" s="6">
        <v>0</v>
      </c>
      <c r="G236" s="6">
        <v>-1.4250000000000001E-3</v>
      </c>
      <c r="H236" s="6">
        <v>1.061E-8</v>
      </c>
      <c r="I236" s="6">
        <v>1.651E-9</v>
      </c>
      <c r="J236" s="6">
        <v>0</v>
      </c>
    </row>
    <row r="237" spans="1:10" x14ac:dyDescent="0.25">
      <c r="A237" s="6" t="s">
        <v>333</v>
      </c>
      <c r="B237" s="6" t="s">
        <v>333</v>
      </c>
      <c r="C237" s="6" t="s">
        <v>11</v>
      </c>
      <c r="D237" s="6" t="s">
        <v>492</v>
      </c>
      <c r="E237" s="6">
        <v>0</v>
      </c>
      <c r="F237" s="6">
        <v>0</v>
      </c>
      <c r="G237" s="6">
        <v>-1.4250000000000001E-3</v>
      </c>
      <c r="H237" s="6">
        <v>7.629E-9</v>
      </c>
      <c r="I237" s="6">
        <v>1.294E-8</v>
      </c>
      <c r="J237" s="6">
        <v>0</v>
      </c>
    </row>
    <row r="238" spans="1:10" x14ac:dyDescent="0.25">
      <c r="A238" s="6" t="s">
        <v>313</v>
      </c>
      <c r="B238" s="6" t="s">
        <v>313</v>
      </c>
      <c r="C238" s="6" t="s">
        <v>11</v>
      </c>
      <c r="D238" s="6" t="s">
        <v>492</v>
      </c>
      <c r="E238" s="6">
        <v>0</v>
      </c>
      <c r="F238" s="6">
        <v>0</v>
      </c>
      <c r="G238" s="6">
        <v>-1.3309999999999999E-3</v>
      </c>
      <c r="H238" s="6">
        <v>3.1990000000000002E-6</v>
      </c>
      <c r="I238" s="6">
        <v>3.9100000000000002E-4</v>
      </c>
      <c r="J238" s="6">
        <v>0</v>
      </c>
    </row>
    <row r="239" spans="1:10" x14ac:dyDescent="0.25">
      <c r="A239" s="6" t="s">
        <v>314</v>
      </c>
      <c r="B239" s="6" t="s">
        <v>314</v>
      </c>
      <c r="C239" s="6" t="s">
        <v>11</v>
      </c>
      <c r="D239" s="6" t="s">
        <v>492</v>
      </c>
      <c r="E239" s="6">
        <v>0</v>
      </c>
      <c r="F239" s="6">
        <v>0</v>
      </c>
      <c r="G239" s="6">
        <v>-1.6050000000000001E-3</v>
      </c>
      <c r="H239" s="6">
        <v>3.2210000000000002E-6</v>
      </c>
      <c r="I239" s="6">
        <v>3.9100000000000002E-4</v>
      </c>
      <c r="J239" s="6">
        <v>0</v>
      </c>
    </row>
    <row r="240" spans="1:10" x14ac:dyDescent="0.25">
      <c r="A240" s="6" t="s">
        <v>336</v>
      </c>
      <c r="B240" s="6" t="s">
        <v>336</v>
      </c>
      <c r="C240" s="6" t="s">
        <v>11</v>
      </c>
      <c r="D240" s="6" t="s">
        <v>492</v>
      </c>
      <c r="E240" s="6">
        <v>0</v>
      </c>
      <c r="F240" s="6">
        <v>0</v>
      </c>
      <c r="G240" s="6">
        <v>-1.603E-3</v>
      </c>
      <c r="H240" s="6">
        <v>3.2279999999999998E-6</v>
      </c>
      <c r="I240" s="6">
        <v>3.9100000000000002E-4</v>
      </c>
      <c r="J240" s="6">
        <v>0</v>
      </c>
    </row>
    <row r="241" spans="1:10" x14ac:dyDescent="0.25">
      <c r="A241" s="6" t="s">
        <v>335</v>
      </c>
      <c r="B241" s="6" t="s">
        <v>335</v>
      </c>
      <c r="C241" s="6" t="s">
        <v>11</v>
      </c>
      <c r="D241" s="6" t="s">
        <v>492</v>
      </c>
      <c r="E241" s="6">
        <v>0</v>
      </c>
      <c r="F241" s="6">
        <v>0</v>
      </c>
      <c r="G241" s="6">
        <v>-1.3290000000000001E-3</v>
      </c>
      <c r="H241" s="6">
        <v>3.2499999999999998E-6</v>
      </c>
      <c r="I241" s="6">
        <v>3.9100000000000002E-4</v>
      </c>
      <c r="J241" s="6">
        <v>0</v>
      </c>
    </row>
    <row r="242" spans="1:10" x14ac:dyDescent="0.25">
      <c r="A242" s="6" t="s">
        <v>315</v>
      </c>
      <c r="B242" s="6" t="s">
        <v>315</v>
      </c>
      <c r="C242" s="6" t="s">
        <v>11</v>
      </c>
      <c r="D242" s="6" t="s">
        <v>492</v>
      </c>
      <c r="E242" s="6">
        <v>0</v>
      </c>
      <c r="F242" s="6">
        <v>0</v>
      </c>
      <c r="G242" s="6">
        <v>-1.3929999999999999E-3</v>
      </c>
      <c r="H242" s="6">
        <v>5.8470000000000001E-6</v>
      </c>
      <c r="I242" s="6">
        <v>3.5799999999999997E-4</v>
      </c>
      <c r="J242" s="6">
        <v>0</v>
      </c>
    </row>
    <row r="243" spans="1:10" x14ac:dyDescent="0.25">
      <c r="A243" s="6" t="s">
        <v>316</v>
      </c>
      <c r="B243" s="6" t="s">
        <v>316</v>
      </c>
      <c r="C243" s="6" t="s">
        <v>11</v>
      </c>
      <c r="D243" s="6" t="s">
        <v>492</v>
      </c>
      <c r="E243" s="6">
        <v>0</v>
      </c>
      <c r="F243" s="6">
        <v>0</v>
      </c>
      <c r="G243" s="6">
        <v>-1.6429999999999999E-3</v>
      </c>
      <c r="H243" s="6">
        <v>5.8719999999999999E-6</v>
      </c>
      <c r="I243" s="6">
        <v>3.5799999999999997E-4</v>
      </c>
      <c r="J243" s="6">
        <v>0</v>
      </c>
    </row>
    <row r="244" spans="1:10" x14ac:dyDescent="0.25">
      <c r="A244" s="6" t="s">
        <v>338</v>
      </c>
      <c r="B244" s="6" t="s">
        <v>338</v>
      </c>
      <c r="C244" s="6" t="s">
        <v>11</v>
      </c>
      <c r="D244" s="6" t="s">
        <v>492</v>
      </c>
      <c r="E244" s="6">
        <v>0</v>
      </c>
      <c r="F244" s="6">
        <v>0</v>
      </c>
      <c r="G244" s="6">
        <v>-1.639E-3</v>
      </c>
      <c r="H244" s="6">
        <v>5.8839999999999999E-6</v>
      </c>
      <c r="I244" s="6">
        <v>3.5799999999999997E-4</v>
      </c>
      <c r="J244" s="6">
        <v>0</v>
      </c>
    </row>
    <row r="245" spans="1:10" x14ac:dyDescent="0.25">
      <c r="A245" s="6" t="s">
        <v>337</v>
      </c>
      <c r="B245" s="6" t="s">
        <v>337</v>
      </c>
      <c r="C245" s="6" t="s">
        <v>11</v>
      </c>
      <c r="D245" s="6" t="s">
        <v>492</v>
      </c>
      <c r="E245" s="6">
        <v>0</v>
      </c>
      <c r="F245" s="6">
        <v>0</v>
      </c>
      <c r="G245" s="6">
        <v>-1.389E-3</v>
      </c>
      <c r="H245" s="6">
        <v>5.9070000000000004E-6</v>
      </c>
      <c r="I245" s="6">
        <v>3.5799999999999997E-4</v>
      </c>
      <c r="J245" s="6">
        <v>0</v>
      </c>
    </row>
    <row r="246" spans="1:10" x14ac:dyDescent="0.25">
      <c r="A246" s="6" t="s">
        <v>317</v>
      </c>
      <c r="B246" s="6" t="s">
        <v>317</v>
      </c>
      <c r="C246" s="6" t="s">
        <v>11</v>
      </c>
      <c r="D246" s="6" t="s">
        <v>492</v>
      </c>
      <c r="E246" s="6">
        <v>0</v>
      </c>
      <c r="F246" s="6">
        <v>0</v>
      </c>
      <c r="G246" s="6">
        <v>-1.4270000000000001E-3</v>
      </c>
      <c r="H246" s="6">
        <v>1.1E-5</v>
      </c>
      <c r="I246" s="6">
        <v>3.5100000000000002E-4</v>
      </c>
      <c r="J246" s="6">
        <v>0</v>
      </c>
    </row>
    <row r="247" spans="1:10" x14ac:dyDescent="0.25">
      <c r="A247" s="6" t="s">
        <v>318</v>
      </c>
      <c r="B247" s="6" t="s">
        <v>318</v>
      </c>
      <c r="C247" s="6" t="s">
        <v>11</v>
      </c>
      <c r="D247" s="6" t="s">
        <v>492</v>
      </c>
      <c r="E247" s="6">
        <v>0</v>
      </c>
      <c r="F247" s="6">
        <v>0</v>
      </c>
      <c r="G247" s="6">
        <v>-1.6720000000000001E-3</v>
      </c>
      <c r="H247" s="6">
        <v>1.1E-5</v>
      </c>
      <c r="I247" s="6">
        <v>3.5100000000000002E-4</v>
      </c>
      <c r="J247" s="6">
        <v>0</v>
      </c>
    </row>
    <row r="248" spans="1:10" x14ac:dyDescent="0.25">
      <c r="A248" s="6" t="s">
        <v>340</v>
      </c>
      <c r="B248" s="6" t="s">
        <v>340</v>
      </c>
      <c r="C248" s="6" t="s">
        <v>11</v>
      </c>
      <c r="D248" s="6" t="s">
        <v>492</v>
      </c>
      <c r="E248" s="6">
        <v>0</v>
      </c>
      <c r="F248" s="6">
        <v>0</v>
      </c>
      <c r="G248" s="6">
        <v>-1.6639999999999999E-3</v>
      </c>
      <c r="H248" s="6">
        <v>1.1E-5</v>
      </c>
      <c r="I248" s="6">
        <v>3.5100000000000002E-4</v>
      </c>
      <c r="J248" s="6">
        <v>0</v>
      </c>
    </row>
    <row r="249" spans="1:10" x14ac:dyDescent="0.25">
      <c r="A249" s="6" t="s">
        <v>339</v>
      </c>
      <c r="B249" s="6" t="s">
        <v>339</v>
      </c>
      <c r="C249" s="6" t="s">
        <v>11</v>
      </c>
      <c r="D249" s="6" t="s">
        <v>492</v>
      </c>
      <c r="E249" s="6">
        <v>0</v>
      </c>
      <c r="F249" s="6">
        <v>0</v>
      </c>
      <c r="G249" s="6">
        <v>-1.4189999999999999E-3</v>
      </c>
      <c r="H249" s="6">
        <v>1.1E-5</v>
      </c>
      <c r="I249" s="6">
        <v>3.5100000000000002E-4</v>
      </c>
      <c r="J249" s="6">
        <v>0</v>
      </c>
    </row>
    <row r="250" spans="1:10" x14ac:dyDescent="0.25">
      <c r="A250" s="6" t="s">
        <v>282</v>
      </c>
      <c r="B250" s="6" t="s">
        <v>282</v>
      </c>
      <c r="C250" s="6" t="s">
        <v>11</v>
      </c>
      <c r="D250" s="6" t="s">
        <v>492</v>
      </c>
      <c r="E250" s="6">
        <v>0</v>
      </c>
      <c r="F250" s="6">
        <v>0</v>
      </c>
      <c r="G250" s="6">
        <v>-1.549E-3</v>
      </c>
      <c r="H250" s="6">
        <v>2.3E-5</v>
      </c>
      <c r="I250" s="6">
        <v>3.6600000000000001E-4</v>
      </c>
      <c r="J250" s="6">
        <v>0</v>
      </c>
    </row>
    <row r="251" spans="1:10" x14ac:dyDescent="0.25">
      <c r="A251" s="6" t="s">
        <v>283</v>
      </c>
      <c r="B251" s="6" t="s">
        <v>283</v>
      </c>
      <c r="C251" s="6" t="s">
        <v>11</v>
      </c>
      <c r="D251" s="6" t="s">
        <v>492</v>
      </c>
      <c r="E251" s="6">
        <v>0</v>
      </c>
      <c r="F251" s="6">
        <v>0</v>
      </c>
      <c r="G251" s="6">
        <v>-1.805E-3</v>
      </c>
      <c r="H251" s="6">
        <v>2.3E-5</v>
      </c>
      <c r="I251" s="6">
        <v>3.6600000000000001E-4</v>
      </c>
      <c r="J251" s="6">
        <v>0</v>
      </c>
    </row>
    <row r="252" spans="1:10" x14ac:dyDescent="0.25">
      <c r="A252" s="6" t="s">
        <v>298</v>
      </c>
      <c r="B252" s="6" t="s">
        <v>298</v>
      </c>
      <c r="C252" s="6" t="s">
        <v>11</v>
      </c>
      <c r="D252" s="6" t="s">
        <v>492</v>
      </c>
      <c r="E252" s="6">
        <v>0</v>
      </c>
      <c r="F252" s="6">
        <v>0</v>
      </c>
      <c r="G252" s="6">
        <v>-1.789E-3</v>
      </c>
      <c r="H252" s="6">
        <v>2.3E-5</v>
      </c>
      <c r="I252" s="6">
        <v>3.6600000000000001E-4</v>
      </c>
      <c r="J252" s="6">
        <v>0</v>
      </c>
    </row>
    <row r="253" spans="1:10" x14ac:dyDescent="0.25">
      <c r="A253" s="6" t="s">
        <v>297</v>
      </c>
      <c r="B253" s="6" t="s">
        <v>297</v>
      </c>
      <c r="C253" s="6" t="s">
        <v>11</v>
      </c>
      <c r="D253" s="6" t="s">
        <v>492</v>
      </c>
      <c r="E253" s="6">
        <v>0</v>
      </c>
      <c r="F253" s="6">
        <v>0</v>
      </c>
      <c r="G253" s="6">
        <v>-1.5330000000000001E-3</v>
      </c>
      <c r="H253" s="6">
        <v>2.4000000000000001E-5</v>
      </c>
      <c r="I253" s="6">
        <v>3.6600000000000001E-4</v>
      </c>
      <c r="J253" s="6">
        <v>0</v>
      </c>
    </row>
    <row r="254" spans="1:10" x14ac:dyDescent="0.25">
      <c r="A254" s="6" t="s">
        <v>244</v>
      </c>
      <c r="B254" s="6" t="s">
        <v>244</v>
      </c>
      <c r="C254" s="6" t="s">
        <v>11</v>
      </c>
      <c r="D254" s="6" t="s">
        <v>492</v>
      </c>
      <c r="E254" s="6">
        <v>0</v>
      </c>
      <c r="F254" s="6">
        <v>0</v>
      </c>
      <c r="G254" s="6">
        <v>-1.8190000000000001E-3</v>
      </c>
      <c r="H254" s="6">
        <v>3.4E-5</v>
      </c>
      <c r="I254" s="6">
        <v>4.1800000000000002E-4</v>
      </c>
      <c r="J254" s="6">
        <v>0</v>
      </c>
    </row>
    <row r="255" spans="1:10" x14ac:dyDescent="0.25">
      <c r="A255" s="6" t="s">
        <v>245</v>
      </c>
      <c r="B255" s="6" t="s">
        <v>245</v>
      </c>
      <c r="C255" s="6" t="s">
        <v>11</v>
      </c>
      <c r="D255" s="6" t="s">
        <v>492</v>
      </c>
      <c r="E255" s="6">
        <v>0</v>
      </c>
      <c r="F255" s="6">
        <v>0</v>
      </c>
      <c r="G255" s="6">
        <v>-2.1120000000000002E-3</v>
      </c>
      <c r="H255" s="6">
        <v>3.4E-5</v>
      </c>
      <c r="I255" s="6">
        <v>4.1800000000000002E-4</v>
      </c>
      <c r="J255" s="6">
        <v>0</v>
      </c>
    </row>
    <row r="256" spans="1:10" x14ac:dyDescent="0.25">
      <c r="A256" s="6" t="s">
        <v>256</v>
      </c>
      <c r="B256" s="6" t="s">
        <v>256</v>
      </c>
      <c r="C256" s="6" t="s">
        <v>11</v>
      </c>
      <c r="D256" s="6" t="s">
        <v>492</v>
      </c>
      <c r="E256" s="6">
        <v>0</v>
      </c>
      <c r="F256" s="6">
        <v>0</v>
      </c>
      <c r="G256" s="6">
        <v>-2.088E-3</v>
      </c>
      <c r="H256" s="6">
        <v>3.4E-5</v>
      </c>
      <c r="I256" s="6">
        <v>4.1800000000000002E-4</v>
      </c>
      <c r="J256" s="6">
        <v>0</v>
      </c>
    </row>
    <row r="257" spans="1:10" x14ac:dyDescent="0.25">
      <c r="A257" s="6" t="s">
        <v>255</v>
      </c>
      <c r="B257" s="6" t="s">
        <v>255</v>
      </c>
      <c r="C257" s="6" t="s">
        <v>11</v>
      </c>
      <c r="D257" s="6" t="s">
        <v>492</v>
      </c>
      <c r="E257" s="6">
        <v>0</v>
      </c>
      <c r="F257" s="6">
        <v>0</v>
      </c>
      <c r="G257" s="6">
        <v>-1.7960000000000001E-3</v>
      </c>
      <c r="H257" s="6">
        <v>3.4E-5</v>
      </c>
      <c r="I257" s="6">
        <v>4.1800000000000002E-4</v>
      </c>
      <c r="J257" s="6">
        <v>0</v>
      </c>
    </row>
    <row r="258" spans="1:10" x14ac:dyDescent="0.25">
      <c r="A258" s="6" t="s">
        <v>203</v>
      </c>
      <c r="B258" s="6" t="s">
        <v>203</v>
      </c>
      <c r="C258" s="6" t="s">
        <v>11</v>
      </c>
      <c r="D258" s="6" t="s">
        <v>492</v>
      </c>
      <c r="E258" s="6">
        <v>0</v>
      </c>
      <c r="F258" s="6">
        <v>0</v>
      </c>
      <c r="G258" s="6">
        <v>-2.1510000000000001E-3</v>
      </c>
      <c r="H258" s="6">
        <v>2.9E-5</v>
      </c>
      <c r="I258" s="6">
        <v>5.3399999999999997E-4</v>
      </c>
      <c r="J258" s="6">
        <v>0</v>
      </c>
    </row>
    <row r="259" spans="1:10" x14ac:dyDescent="0.25">
      <c r="A259" s="6" t="s">
        <v>204</v>
      </c>
      <c r="B259" s="6" t="s">
        <v>204</v>
      </c>
      <c r="C259" s="6" t="s">
        <v>11</v>
      </c>
      <c r="D259" s="6" t="s">
        <v>492</v>
      </c>
      <c r="E259" s="6">
        <v>0</v>
      </c>
      <c r="F259" s="6">
        <v>0</v>
      </c>
      <c r="G259" s="6">
        <v>-2.5249999999999999E-3</v>
      </c>
      <c r="H259" s="6">
        <v>2.9E-5</v>
      </c>
      <c r="I259" s="6">
        <v>5.3399999999999997E-4</v>
      </c>
      <c r="J259" s="6">
        <v>0</v>
      </c>
    </row>
    <row r="260" spans="1:10" x14ac:dyDescent="0.25">
      <c r="A260" s="6" t="s">
        <v>218</v>
      </c>
      <c r="B260" s="6" t="s">
        <v>218</v>
      </c>
      <c r="C260" s="6" t="s">
        <v>11</v>
      </c>
      <c r="D260" s="6" t="s">
        <v>492</v>
      </c>
      <c r="E260" s="6">
        <v>0</v>
      </c>
      <c r="F260" s="6">
        <v>0</v>
      </c>
      <c r="G260" s="6">
        <v>-2.5049999999999998E-3</v>
      </c>
      <c r="H260" s="6">
        <v>2.9E-5</v>
      </c>
      <c r="I260" s="6">
        <v>5.3399999999999997E-4</v>
      </c>
      <c r="J260" s="6">
        <v>0</v>
      </c>
    </row>
    <row r="261" spans="1:10" x14ac:dyDescent="0.25">
      <c r="A261" s="6" t="s">
        <v>217</v>
      </c>
      <c r="B261" s="6" t="s">
        <v>217</v>
      </c>
      <c r="C261" s="6" t="s">
        <v>11</v>
      </c>
      <c r="D261" s="6" t="s">
        <v>492</v>
      </c>
      <c r="E261" s="6">
        <v>0</v>
      </c>
      <c r="F261" s="6">
        <v>0</v>
      </c>
      <c r="G261" s="6">
        <v>-2.1310000000000001E-3</v>
      </c>
      <c r="H261" s="6">
        <v>2.9E-5</v>
      </c>
      <c r="I261" s="6">
        <v>5.3399999999999997E-4</v>
      </c>
      <c r="J261" s="6">
        <v>0</v>
      </c>
    </row>
    <row r="262" spans="1:10" x14ac:dyDescent="0.25">
      <c r="A262" s="6" t="s">
        <v>162</v>
      </c>
      <c r="B262" s="6" t="s">
        <v>162</v>
      </c>
      <c r="C262" s="6" t="s">
        <v>11</v>
      </c>
      <c r="D262" s="6" t="s">
        <v>492</v>
      </c>
      <c r="E262" s="6">
        <v>0</v>
      </c>
      <c r="F262" s="6">
        <v>0</v>
      </c>
      <c r="G262" s="6">
        <v>-2.6059999999999998E-3</v>
      </c>
      <c r="H262" s="6">
        <v>7.0739999999999997E-8</v>
      </c>
      <c r="I262" s="6">
        <v>-2.5040000000000002E-7</v>
      </c>
      <c r="J262" s="6">
        <v>0</v>
      </c>
    </row>
    <row r="263" spans="1:10" x14ac:dyDescent="0.25">
      <c r="A263" s="6" t="s">
        <v>163</v>
      </c>
      <c r="B263" s="6" t="s">
        <v>163</v>
      </c>
      <c r="C263" s="6" t="s">
        <v>11</v>
      </c>
      <c r="D263" s="6" t="s">
        <v>492</v>
      </c>
      <c r="E263" s="6">
        <v>0</v>
      </c>
      <c r="F263" s="6">
        <v>0</v>
      </c>
      <c r="G263" s="6">
        <v>-2.6050000000000001E-3</v>
      </c>
      <c r="H263" s="6">
        <v>8.9470000000000006E-8</v>
      </c>
      <c r="I263" s="6">
        <v>-9.9760000000000001E-8</v>
      </c>
      <c r="J263" s="6">
        <v>0</v>
      </c>
    </row>
    <row r="264" spans="1:10" x14ac:dyDescent="0.25">
      <c r="A264" s="6" t="s">
        <v>177</v>
      </c>
      <c r="B264" s="6" t="s">
        <v>177</v>
      </c>
      <c r="C264" s="6" t="s">
        <v>11</v>
      </c>
      <c r="D264" s="6" t="s">
        <v>492</v>
      </c>
      <c r="E264" s="6">
        <v>0</v>
      </c>
      <c r="F264" s="6">
        <v>0</v>
      </c>
      <c r="G264" s="6">
        <v>-2.6050000000000001E-3</v>
      </c>
      <c r="H264" s="6">
        <v>2.4690000000000002E-7</v>
      </c>
      <c r="I264" s="6">
        <v>-7.5409999999999998E-8</v>
      </c>
      <c r="J264" s="6">
        <v>0</v>
      </c>
    </row>
    <row r="265" spans="1:10" x14ac:dyDescent="0.25">
      <c r="A265" s="6" t="s">
        <v>176</v>
      </c>
      <c r="B265" s="6" t="s">
        <v>176</v>
      </c>
      <c r="C265" s="6" t="s">
        <v>11</v>
      </c>
      <c r="D265" s="6" t="s">
        <v>492</v>
      </c>
      <c r="E265" s="6">
        <v>0</v>
      </c>
      <c r="F265" s="6">
        <v>0</v>
      </c>
      <c r="G265" s="6">
        <v>-2.6050000000000001E-3</v>
      </c>
      <c r="H265" s="6">
        <v>3.6479999999999998E-7</v>
      </c>
      <c r="I265" s="6">
        <v>-1.909E-7</v>
      </c>
      <c r="J265" s="6">
        <v>0</v>
      </c>
    </row>
    <row r="266" spans="1:10" x14ac:dyDescent="0.25">
      <c r="A266" s="6" t="s">
        <v>319</v>
      </c>
      <c r="B266" s="6" t="s">
        <v>319</v>
      </c>
      <c r="C266" s="6" t="s">
        <v>11</v>
      </c>
      <c r="D266" s="6" t="s">
        <v>492</v>
      </c>
      <c r="E266" s="6">
        <v>0</v>
      </c>
      <c r="F266" s="6">
        <v>0</v>
      </c>
      <c r="G266" s="6">
        <v>-1.4300000000000001E-3</v>
      </c>
      <c r="H266" s="6">
        <v>0</v>
      </c>
      <c r="I266" s="6">
        <v>0</v>
      </c>
      <c r="J266" s="6">
        <v>0</v>
      </c>
    </row>
    <row r="267" spans="1:10" x14ac:dyDescent="0.25">
      <c r="A267" s="6" t="s">
        <v>322</v>
      </c>
      <c r="B267" s="6" t="s">
        <v>322</v>
      </c>
      <c r="C267" s="6" t="s">
        <v>11</v>
      </c>
      <c r="D267" s="6" t="s">
        <v>492</v>
      </c>
      <c r="E267" s="6">
        <v>0</v>
      </c>
      <c r="F267" s="6">
        <v>0</v>
      </c>
      <c r="G267" s="6">
        <v>-1.4970000000000001E-3</v>
      </c>
      <c r="H267" s="6">
        <v>-3.0000000000000001E-5</v>
      </c>
      <c r="I267" s="6">
        <v>-6.5570000000000003E-7</v>
      </c>
      <c r="J267" s="6">
        <v>0</v>
      </c>
    </row>
    <row r="268" spans="1:10" x14ac:dyDescent="0.25">
      <c r="A268" s="6" t="s">
        <v>93</v>
      </c>
      <c r="B268" s="6" t="s">
        <v>93</v>
      </c>
      <c r="C268" s="6" t="s">
        <v>11</v>
      </c>
      <c r="D268" s="6" t="s">
        <v>492</v>
      </c>
      <c r="E268" s="6">
        <v>0</v>
      </c>
      <c r="F268" s="6">
        <v>0</v>
      </c>
      <c r="G268" s="6">
        <v>-1.916E-3</v>
      </c>
      <c r="H268" s="6">
        <v>-5.1999999999999997E-5</v>
      </c>
      <c r="I268" s="6">
        <v>1.64E-4</v>
      </c>
      <c r="J268" s="6">
        <v>0</v>
      </c>
    </row>
    <row r="269" spans="1:10" x14ac:dyDescent="0.25">
      <c r="A269" s="6" t="s">
        <v>129</v>
      </c>
      <c r="B269" s="6" t="s">
        <v>129</v>
      </c>
      <c r="C269" s="6" t="s">
        <v>11</v>
      </c>
      <c r="D269" s="6" t="s">
        <v>492</v>
      </c>
      <c r="E269" s="6">
        <v>0</v>
      </c>
      <c r="F269" s="6">
        <v>0</v>
      </c>
      <c r="G269" s="6">
        <v>-2.091E-3</v>
      </c>
      <c r="H269" s="6">
        <v>1.431E-7</v>
      </c>
      <c r="I269" s="6">
        <v>1.54E-4</v>
      </c>
      <c r="J269" s="6">
        <v>0</v>
      </c>
    </row>
    <row r="270" spans="1:10" x14ac:dyDescent="0.25">
      <c r="A270" s="6" t="s">
        <v>58</v>
      </c>
      <c r="B270" s="6" t="s">
        <v>58</v>
      </c>
      <c r="C270" s="6" t="s">
        <v>11</v>
      </c>
      <c r="D270" s="6" t="s">
        <v>492</v>
      </c>
      <c r="E270" s="6">
        <v>0</v>
      </c>
      <c r="F270" s="6">
        <v>0</v>
      </c>
      <c r="G270" s="6">
        <v>-3.3370000000000001E-3</v>
      </c>
      <c r="H270" s="6">
        <v>7.6000000000000004E-4</v>
      </c>
      <c r="I270" s="6">
        <v>5.3000000000000001E-5</v>
      </c>
      <c r="J270" s="6">
        <v>0</v>
      </c>
    </row>
    <row r="271" spans="1:10" x14ac:dyDescent="0.25">
      <c r="A271" s="6" t="s">
        <v>166</v>
      </c>
      <c r="B271" s="6" t="s">
        <v>166</v>
      </c>
      <c r="C271" s="6" t="s">
        <v>11</v>
      </c>
      <c r="D271" s="6" t="s">
        <v>492</v>
      </c>
      <c r="E271" s="6">
        <v>0</v>
      </c>
      <c r="F271" s="6">
        <v>0</v>
      </c>
      <c r="G271" s="6">
        <v>-2.0939999999999999E-3</v>
      </c>
      <c r="H271" s="6">
        <v>1.3199999999999999E-7</v>
      </c>
      <c r="I271" s="6">
        <v>1.5100000000000001E-4</v>
      </c>
      <c r="J271" s="6">
        <v>0</v>
      </c>
    </row>
    <row r="272" spans="1:10" x14ac:dyDescent="0.25">
      <c r="A272" s="6" t="s">
        <v>207</v>
      </c>
      <c r="B272" s="6" t="s">
        <v>207</v>
      </c>
      <c r="C272" s="6" t="s">
        <v>11</v>
      </c>
      <c r="D272" s="6" t="s">
        <v>492</v>
      </c>
      <c r="E272" s="6">
        <v>0</v>
      </c>
      <c r="F272" s="6">
        <v>0</v>
      </c>
      <c r="G272" s="6">
        <v>-2.1020000000000001E-3</v>
      </c>
      <c r="H272" s="6">
        <v>4.5900000000000001E-8</v>
      </c>
      <c r="I272" s="6">
        <v>1.5100000000000001E-4</v>
      </c>
      <c r="J272" s="6">
        <v>0</v>
      </c>
    </row>
    <row r="273" spans="1:10" x14ac:dyDescent="0.25">
      <c r="A273" s="6" t="s">
        <v>248</v>
      </c>
      <c r="B273" s="6" t="s">
        <v>248</v>
      </c>
      <c r="C273" s="6" t="s">
        <v>11</v>
      </c>
      <c r="D273" s="6" t="s">
        <v>492</v>
      </c>
      <c r="E273" s="6">
        <v>0</v>
      </c>
      <c r="F273" s="6">
        <v>0</v>
      </c>
      <c r="G273" s="6">
        <v>-2.0560000000000001E-3</v>
      </c>
      <c r="H273" s="6">
        <v>2.5999999999999998E-5</v>
      </c>
      <c r="I273" s="6">
        <v>1.47E-4</v>
      </c>
      <c r="J273" s="6">
        <v>0</v>
      </c>
    </row>
    <row r="274" spans="1:10" x14ac:dyDescent="0.25">
      <c r="A274" s="6" t="s">
        <v>320</v>
      </c>
      <c r="B274" s="6" t="s">
        <v>320</v>
      </c>
      <c r="C274" s="6" t="s">
        <v>11</v>
      </c>
      <c r="D274" s="6" t="s">
        <v>492</v>
      </c>
      <c r="E274" s="6">
        <v>0</v>
      </c>
      <c r="F274" s="6">
        <v>0</v>
      </c>
      <c r="G274" s="6">
        <v>-1.4779999999999999E-3</v>
      </c>
      <c r="H274" s="6">
        <v>-1.13E-4</v>
      </c>
      <c r="I274" s="6">
        <v>1.8759999999999999E-6</v>
      </c>
      <c r="J274" s="6">
        <v>0</v>
      </c>
    </row>
    <row r="275" spans="1:10" x14ac:dyDescent="0.25">
      <c r="A275" s="6" t="s">
        <v>286</v>
      </c>
      <c r="B275" s="6" t="s">
        <v>286</v>
      </c>
      <c r="C275" s="6" t="s">
        <v>11</v>
      </c>
      <c r="D275" s="6" t="s">
        <v>492</v>
      </c>
      <c r="E275" s="6">
        <v>0</v>
      </c>
      <c r="F275" s="6">
        <v>0</v>
      </c>
      <c r="G275" s="6">
        <v>-1.516E-3</v>
      </c>
      <c r="H275" s="6">
        <v>-2.5000000000000001E-5</v>
      </c>
      <c r="I275" s="6">
        <v>1.5E-5</v>
      </c>
      <c r="J275" s="6">
        <v>0</v>
      </c>
    </row>
    <row r="276" spans="1:10" x14ac:dyDescent="0.25">
      <c r="A276" s="6" t="s">
        <v>321</v>
      </c>
      <c r="B276" s="6" t="s">
        <v>321</v>
      </c>
      <c r="C276" s="6" t="s">
        <v>11</v>
      </c>
      <c r="D276" s="6" t="s">
        <v>492</v>
      </c>
      <c r="E276" s="6">
        <v>0</v>
      </c>
      <c r="F276" s="6">
        <v>0</v>
      </c>
      <c r="G276" s="6">
        <v>-1.4779999999999999E-3</v>
      </c>
      <c r="H276" s="6">
        <v>-2.0900000000000001E-4</v>
      </c>
      <c r="I276" s="6">
        <v>1.0729999999999999E-6</v>
      </c>
      <c r="J276" s="6">
        <v>0</v>
      </c>
    </row>
    <row r="277" spans="1:10" x14ac:dyDescent="0.25">
      <c r="A277" s="6" t="s">
        <v>95</v>
      </c>
      <c r="B277" s="6" t="s">
        <v>95</v>
      </c>
      <c r="C277" s="6" t="s">
        <v>11</v>
      </c>
      <c r="D277" s="6" t="s">
        <v>492</v>
      </c>
      <c r="E277" s="6">
        <v>0</v>
      </c>
      <c r="F277" s="6">
        <v>0</v>
      </c>
      <c r="G277" s="6">
        <v>-2.96E-3</v>
      </c>
      <c r="H277" s="6">
        <v>-8.8999999999999995E-5</v>
      </c>
      <c r="I277" s="6">
        <v>3.1000000000000001E-5</v>
      </c>
      <c r="J277" s="6">
        <v>0</v>
      </c>
    </row>
    <row r="278" spans="1:10" x14ac:dyDescent="0.25">
      <c r="A278" s="6" t="s">
        <v>131</v>
      </c>
      <c r="B278" s="6" t="s">
        <v>131</v>
      </c>
      <c r="C278" s="6" t="s">
        <v>11</v>
      </c>
      <c r="D278" s="6" t="s">
        <v>492</v>
      </c>
      <c r="E278" s="6">
        <v>0</v>
      </c>
      <c r="F278" s="6">
        <v>0</v>
      </c>
      <c r="G278" s="6">
        <v>-3.3630000000000001E-3</v>
      </c>
      <c r="H278" s="6">
        <v>6.5209999999999999E-6</v>
      </c>
      <c r="I278" s="6">
        <v>3.8999999999999999E-5</v>
      </c>
      <c r="J278" s="6">
        <v>0</v>
      </c>
    </row>
    <row r="279" spans="1:10" x14ac:dyDescent="0.25">
      <c r="A279" s="6" t="s">
        <v>60</v>
      </c>
      <c r="B279" s="6" t="s">
        <v>60</v>
      </c>
      <c r="C279" s="6" t="s">
        <v>11</v>
      </c>
      <c r="D279" s="6" t="s">
        <v>492</v>
      </c>
      <c r="E279" s="6">
        <v>0</v>
      </c>
      <c r="F279" s="6">
        <v>0</v>
      </c>
      <c r="G279" s="6">
        <v>-3.8790000000000001E-3</v>
      </c>
      <c r="H279" s="6">
        <v>8.34E-4</v>
      </c>
      <c r="I279" s="6">
        <v>-2.1999999999999999E-5</v>
      </c>
      <c r="J279" s="6">
        <v>0</v>
      </c>
    </row>
    <row r="280" spans="1:10" x14ac:dyDescent="0.25">
      <c r="A280" s="6" t="s">
        <v>168</v>
      </c>
      <c r="B280" s="6" t="s">
        <v>168</v>
      </c>
      <c r="C280" s="6" t="s">
        <v>11</v>
      </c>
      <c r="D280" s="6" t="s">
        <v>492</v>
      </c>
      <c r="E280" s="6">
        <v>0</v>
      </c>
      <c r="F280" s="6">
        <v>0</v>
      </c>
      <c r="G280" s="6">
        <v>-3.4280000000000001E-3</v>
      </c>
      <c r="H280" s="6">
        <v>-6.2000000000000003E-5</v>
      </c>
      <c r="I280" s="6">
        <v>1.1E-5</v>
      </c>
      <c r="J280" s="6">
        <v>0</v>
      </c>
    </row>
    <row r="281" spans="1:10" x14ac:dyDescent="0.25">
      <c r="A281" s="6" t="s">
        <v>209</v>
      </c>
      <c r="B281" s="6" t="s">
        <v>209</v>
      </c>
      <c r="C281" s="6" t="s">
        <v>11</v>
      </c>
      <c r="D281" s="6" t="s">
        <v>492</v>
      </c>
      <c r="E281" s="6">
        <v>0</v>
      </c>
      <c r="F281" s="6">
        <v>0</v>
      </c>
      <c r="G281" s="6">
        <v>-3.1819999999999999E-3</v>
      </c>
      <c r="H281" s="6">
        <v>8.3999999999999995E-5</v>
      </c>
      <c r="I281" s="6">
        <v>4.7679999999999999E-6</v>
      </c>
      <c r="J281" s="6">
        <v>0</v>
      </c>
    </row>
    <row r="282" spans="1:10" x14ac:dyDescent="0.25">
      <c r="A282" s="6" t="s">
        <v>250</v>
      </c>
      <c r="B282" s="6" t="s">
        <v>250</v>
      </c>
      <c r="C282" s="6" t="s">
        <v>11</v>
      </c>
      <c r="D282" s="6" t="s">
        <v>492</v>
      </c>
      <c r="E282" s="6">
        <v>0</v>
      </c>
      <c r="F282" s="6">
        <v>0</v>
      </c>
      <c r="G282" s="6">
        <v>-2.843E-3</v>
      </c>
      <c r="H282" s="6">
        <v>3.3000000000000003E-5</v>
      </c>
      <c r="I282" s="6">
        <v>-7.0269999999999998E-6</v>
      </c>
      <c r="J282" s="6">
        <v>0</v>
      </c>
    </row>
    <row r="283" spans="1:10" x14ac:dyDescent="0.25">
      <c r="A283" s="6" t="s">
        <v>290</v>
      </c>
      <c r="B283" s="6" t="s">
        <v>290</v>
      </c>
      <c r="C283" s="6" t="s">
        <v>11</v>
      </c>
      <c r="D283" s="6" t="s">
        <v>492</v>
      </c>
      <c r="E283" s="6">
        <v>0</v>
      </c>
      <c r="F283" s="6">
        <v>0</v>
      </c>
      <c r="G283" s="6">
        <v>-2.0349999999999999E-3</v>
      </c>
      <c r="H283" s="6">
        <v>-6.4989999999999999E-6</v>
      </c>
      <c r="I283" s="6">
        <v>-6.1800000000000001E-6</v>
      </c>
      <c r="J283" s="6">
        <v>0</v>
      </c>
    </row>
    <row r="284" spans="1:10" x14ac:dyDescent="0.25">
      <c r="A284" s="6" t="s">
        <v>324</v>
      </c>
      <c r="B284" s="6" t="s">
        <v>324</v>
      </c>
      <c r="C284" s="6" t="s">
        <v>11</v>
      </c>
      <c r="D284" s="6" t="s">
        <v>492</v>
      </c>
      <c r="E284" s="6">
        <v>0</v>
      </c>
      <c r="F284" s="6">
        <v>0</v>
      </c>
      <c r="G284" s="6">
        <v>-1.488E-3</v>
      </c>
      <c r="H284" s="6">
        <v>-1.1E-5</v>
      </c>
      <c r="I284" s="6">
        <v>-1.863E-6</v>
      </c>
      <c r="J284" s="6">
        <v>0</v>
      </c>
    </row>
    <row r="285" spans="1:10" x14ac:dyDescent="0.25">
      <c r="A285" s="6" t="s">
        <v>323</v>
      </c>
      <c r="B285" s="6" t="s">
        <v>323</v>
      </c>
      <c r="C285" s="6" t="s">
        <v>11</v>
      </c>
      <c r="D285" s="6" t="s">
        <v>492</v>
      </c>
      <c r="E285" s="6">
        <v>0</v>
      </c>
      <c r="F285" s="6">
        <v>0</v>
      </c>
      <c r="G285" s="6">
        <v>-1.47E-3</v>
      </c>
      <c r="H285" s="6">
        <v>-2.9500000000000001E-4</v>
      </c>
      <c r="I285" s="6">
        <v>-1.1149999999999999E-6</v>
      </c>
      <c r="J285" s="6">
        <v>0</v>
      </c>
    </row>
    <row r="286" spans="1:10" x14ac:dyDescent="0.25">
      <c r="A286" s="6" t="s">
        <v>97</v>
      </c>
      <c r="B286" s="6" t="s">
        <v>97</v>
      </c>
      <c r="C286" s="6" t="s">
        <v>11</v>
      </c>
      <c r="D286" s="6" t="s">
        <v>492</v>
      </c>
      <c r="E286" s="6">
        <v>0</v>
      </c>
      <c r="F286" s="6">
        <v>0</v>
      </c>
      <c r="G286" s="6">
        <v>-2.31E-3</v>
      </c>
      <c r="H286" s="6">
        <v>-9.3999999999999994E-5</v>
      </c>
      <c r="I286" s="6">
        <v>-7.4999999999999993E-5</v>
      </c>
      <c r="J286" s="6">
        <v>0</v>
      </c>
    </row>
    <row r="287" spans="1:10" x14ac:dyDescent="0.25">
      <c r="A287" s="6" t="s">
        <v>133</v>
      </c>
      <c r="B287" s="6" t="s">
        <v>133</v>
      </c>
      <c r="C287" s="6" t="s">
        <v>11</v>
      </c>
      <c r="D287" s="6" t="s">
        <v>492</v>
      </c>
      <c r="E287" s="6">
        <v>0</v>
      </c>
      <c r="F287" s="6">
        <v>0</v>
      </c>
      <c r="G287" s="6">
        <v>-2.9250000000000001E-3</v>
      </c>
      <c r="H287" s="6">
        <v>1.4E-5</v>
      </c>
      <c r="I287" s="6">
        <v>-6.3999999999999997E-5</v>
      </c>
      <c r="J287" s="6">
        <v>0</v>
      </c>
    </row>
    <row r="288" spans="1:10" x14ac:dyDescent="0.25">
      <c r="A288" s="6" t="s">
        <v>172</v>
      </c>
      <c r="B288" s="6" t="s">
        <v>172</v>
      </c>
      <c r="C288" s="6" t="s">
        <v>11</v>
      </c>
      <c r="D288" s="6" t="s">
        <v>492</v>
      </c>
      <c r="E288" s="6">
        <v>0</v>
      </c>
      <c r="F288" s="6">
        <v>0</v>
      </c>
      <c r="G288" s="6">
        <v>-2.9169999999999999E-3</v>
      </c>
      <c r="H288" s="6">
        <v>-4.6E-5</v>
      </c>
      <c r="I288" s="6">
        <v>-3.1000000000000001E-5</v>
      </c>
      <c r="J288" s="6">
        <v>0</v>
      </c>
    </row>
    <row r="289" spans="1:10" x14ac:dyDescent="0.25">
      <c r="A289" s="6" t="s">
        <v>213</v>
      </c>
      <c r="B289" s="6" t="s">
        <v>213</v>
      </c>
      <c r="C289" s="6" t="s">
        <v>11</v>
      </c>
      <c r="D289" s="6" t="s">
        <v>492</v>
      </c>
      <c r="E289" s="6">
        <v>0</v>
      </c>
      <c r="F289" s="6">
        <v>0</v>
      </c>
      <c r="G289" s="6">
        <v>-2.5569999999999998E-3</v>
      </c>
      <c r="H289" s="6">
        <v>8.3999999999999995E-5</v>
      </c>
      <c r="I289" s="6">
        <v>-2.8E-5</v>
      </c>
      <c r="J289" s="6">
        <v>0</v>
      </c>
    </row>
    <row r="290" spans="1:10" x14ac:dyDescent="0.25">
      <c r="A290" s="6" t="s">
        <v>251</v>
      </c>
      <c r="B290" s="6" t="s">
        <v>251</v>
      </c>
      <c r="C290" s="6" t="s">
        <v>11</v>
      </c>
      <c r="D290" s="6" t="s">
        <v>492</v>
      </c>
      <c r="E290" s="6">
        <v>0</v>
      </c>
      <c r="F290" s="6">
        <v>0</v>
      </c>
      <c r="G290" s="6">
        <v>-2.029E-3</v>
      </c>
      <c r="H290" s="6">
        <v>3.8000000000000002E-5</v>
      </c>
      <c r="I290" s="6">
        <v>-3.3000000000000003E-5</v>
      </c>
      <c r="J290" s="6">
        <v>0</v>
      </c>
    </row>
    <row r="291" spans="1:10" x14ac:dyDescent="0.25">
      <c r="A291" s="6" t="s">
        <v>292</v>
      </c>
      <c r="B291" s="6" t="s">
        <v>292</v>
      </c>
      <c r="C291" s="6" t="s">
        <v>11</v>
      </c>
      <c r="D291" s="6" t="s">
        <v>492</v>
      </c>
      <c r="E291" s="6">
        <v>0</v>
      </c>
      <c r="F291" s="6">
        <v>0</v>
      </c>
      <c r="G291" s="6">
        <v>-1.4339999999999999E-3</v>
      </c>
      <c r="H291" s="6">
        <v>-3.6999999999999998E-5</v>
      </c>
      <c r="I291" s="6">
        <v>-2.9E-5</v>
      </c>
      <c r="J291" s="6">
        <v>0</v>
      </c>
    </row>
    <row r="292" spans="1:10" x14ac:dyDescent="0.25">
      <c r="A292" s="6" t="s">
        <v>61</v>
      </c>
      <c r="B292" s="6" t="s">
        <v>61</v>
      </c>
      <c r="C292" s="6" t="s">
        <v>11</v>
      </c>
      <c r="D292" s="6" t="s">
        <v>492</v>
      </c>
      <c r="E292" s="6">
        <v>0</v>
      </c>
      <c r="F292" s="6">
        <v>0</v>
      </c>
      <c r="G292" s="6">
        <v>-3.2299999999999998E-3</v>
      </c>
      <c r="H292" s="6">
        <v>7.3200000000000001E-4</v>
      </c>
      <c r="I292" s="6">
        <v>-4.3000000000000002E-5</v>
      </c>
      <c r="J292" s="6">
        <v>0</v>
      </c>
    </row>
    <row r="293" spans="1:10" x14ac:dyDescent="0.25">
      <c r="A293" s="6" t="s">
        <v>326</v>
      </c>
      <c r="B293" s="6" t="s">
        <v>326</v>
      </c>
      <c r="C293" s="6" t="s">
        <v>11</v>
      </c>
      <c r="D293" s="6" t="s">
        <v>492</v>
      </c>
      <c r="E293" s="6">
        <v>0</v>
      </c>
      <c r="F293" s="6">
        <v>0</v>
      </c>
      <c r="G293" s="6">
        <v>-1.454E-3</v>
      </c>
      <c r="H293" s="6">
        <v>-1.17E-4</v>
      </c>
      <c r="I293" s="6">
        <v>-1.8950000000000001E-6</v>
      </c>
      <c r="J293" s="6">
        <v>0</v>
      </c>
    </row>
    <row r="294" spans="1:10" x14ac:dyDescent="0.25">
      <c r="A294" s="6" t="s">
        <v>325</v>
      </c>
      <c r="B294" s="6" t="s">
        <v>325</v>
      </c>
      <c r="C294" s="6" t="s">
        <v>11</v>
      </c>
      <c r="D294" s="6" t="s">
        <v>492</v>
      </c>
      <c r="E294" s="6">
        <v>0</v>
      </c>
      <c r="F294" s="6">
        <v>0</v>
      </c>
      <c r="G294" s="6">
        <v>-1.4469999999999999E-3</v>
      </c>
      <c r="H294" s="6">
        <v>-3.1199999999999999E-4</v>
      </c>
      <c r="I294" s="6">
        <v>-2.2460000000000002E-6</v>
      </c>
      <c r="J294" s="6">
        <v>0</v>
      </c>
    </row>
    <row r="295" spans="1:10" x14ac:dyDescent="0.25">
      <c r="A295" s="6" t="s">
        <v>62</v>
      </c>
      <c r="B295" s="6" t="s">
        <v>62</v>
      </c>
      <c r="C295" s="6" t="s">
        <v>11</v>
      </c>
      <c r="D295" s="6" t="s">
        <v>492</v>
      </c>
      <c r="E295" s="6">
        <v>0</v>
      </c>
      <c r="F295" s="6">
        <v>0</v>
      </c>
      <c r="G295" s="6">
        <v>-2.6050000000000001E-3</v>
      </c>
      <c r="H295" s="6">
        <v>0</v>
      </c>
      <c r="I295" s="6">
        <v>0</v>
      </c>
      <c r="J295" s="6">
        <v>0</v>
      </c>
    </row>
    <row r="296" spans="1:10" x14ac:dyDescent="0.25">
      <c r="A296" s="6" t="s">
        <v>98</v>
      </c>
      <c r="B296" s="6" t="s">
        <v>98</v>
      </c>
      <c r="C296" s="6" t="s">
        <v>11</v>
      </c>
      <c r="D296" s="6" t="s">
        <v>492</v>
      </c>
      <c r="E296" s="6">
        <v>0</v>
      </c>
      <c r="F296" s="6">
        <v>0</v>
      </c>
      <c r="G296" s="6">
        <v>-2.3280000000000002E-3</v>
      </c>
      <c r="H296" s="6">
        <v>2.9E-5</v>
      </c>
      <c r="I296" s="6">
        <v>5.3399999999999997E-4</v>
      </c>
      <c r="J296" s="6">
        <v>0</v>
      </c>
    </row>
    <row r="297" spans="1:10" x14ac:dyDescent="0.25">
      <c r="A297" s="6" t="s">
        <v>134</v>
      </c>
      <c r="B297" s="6" t="s">
        <v>134</v>
      </c>
      <c r="C297" s="6" t="s">
        <v>11</v>
      </c>
      <c r="D297" s="6" t="s">
        <v>492</v>
      </c>
      <c r="E297" s="6">
        <v>0</v>
      </c>
      <c r="F297" s="6">
        <v>0</v>
      </c>
      <c r="G297" s="6">
        <v>-1.954E-3</v>
      </c>
      <c r="H297" s="6">
        <v>3.4E-5</v>
      </c>
      <c r="I297" s="6">
        <v>4.1800000000000002E-4</v>
      </c>
      <c r="J297" s="6">
        <v>0</v>
      </c>
    </row>
    <row r="298" spans="1:10" x14ac:dyDescent="0.25">
      <c r="A298" s="6" t="s">
        <v>173</v>
      </c>
      <c r="B298" s="6" t="s">
        <v>173</v>
      </c>
      <c r="C298" s="6" t="s">
        <v>11</v>
      </c>
      <c r="D298" s="6" t="s">
        <v>492</v>
      </c>
      <c r="E298" s="6">
        <v>0</v>
      </c>
      <c r="F298" s="6">
        <v>0</v>
      </c>
      <c r="G298" s="6">
        <v>-1.6689999999999999E-3</v>
      </c>
      <c r="H298" s="6">
        <v>2.3E-5</v>
      </c>
      <c r="I298" s="6">
        <v>3.6600000000000001E-4</v>
      </c>
      <c r="J298" s="6">
        <v>0</v>
      </c>
    </row>
    <row r="299" spans="1:10" x14ac:dyDescent="0.25">
      <c r="A299" s="6" t="s">
        <v>214</v>
      </c>
      <c r="B299" s="6" t="s">
        <v>214</v>
      </c>
      <c r="C299" s="6" t="s">
        <v>11</v>
      </c>
      <c r="D299" s="6" t="s">
        <v>492</v>
      </c>
      <c r="E299" s="6">
        <v>0</v>
      </c>
      <c r="F299" s="6">
        <v>0</v>
      </c>
      <c r="G299" s="6">
        <v>-1.5449999999999999E-3</v>
      </c>
      <c r="H299" s="6">
        <v>1.1E-5</v>
      </c>
      <c r="I299" s="6">
        <v>3.5100000000000002E-4</v>
      </c>
      <c r="J299" s="6">
        <v>0</v>
      </c>
    </row>
    <row r="300" spans="1:10" x14ac:dyDescent="0.25">
      <c r="A300" s="6" t="s">
        <v>252</v>
      </c>
      <c r="B300" s="6" t="s">
        <v>252</v>
      </c>
      <c r="C300" s="6" t="s">
        <v>11</v>
      </c>
      <c r="D300" s="6" t="s">
        <v>492</v>
      </c>
      <c r="E300" s="6">
        <v>0</v>
      </c>
      <c r="F300" s="6">
        <v>0</v>
      </c>
      <c r="G300" s="6">
        <v>-1.516E-3</v>
      </c>
      <c r="H300" s="6">
        <v>5.879E-6</v>
      </c>
      <c r="I300" s="6">
        <v>3.5799999999999997E-4</v>
      </c>
      <c r="J300" s="6">
        <v>0</v>
      </c>
    </row>
    <row r="301" spans="1:10" x14ac:dyDescent="0.25">
      <c r="A301" s="6" t="s">
        <v>294</v>
      </c>
      <c r="B301" s="6" t="s">
        <v>294</v>
      </c>
      <c r="C301" s="6" t="s">
        <v>11</v>
      </c>
      <c r="D301" s="6" t="s">
        <v>492</v>
      </c>
      <c r="E301" s="6">
        <v>0</v>
      </c>
      <c r="F301" s="6">
        <v>0</v>
      </c>
      <c r="G301" s="6">
        <v>-1.467E-3</v>
      </c>
      <c r="H301" s="6">
        <v>3.2169999999999999E-6</v>
      </c>
      <c r="I301" s="6">
        <v>3.9100000000000002E-4</v>
      </c>
      <c r="J301" s="6">
        <v>0</v>
      </c>
    </row>
    <row r="302" spans="1:10" x14ac:dyDescent="0.25">
      <c r="A302" s="6" t="s">
        <v>328</v>
      </c>
      <c r="B302" s="6" t="s">
        <v>328</v>
      </c>
      <c r="C302" s="6" t="s">
        <v>11</v>
      </c>
      <c r="D302" s="6" t="s">
        <v>492</v>
      </c>
      <c r="E302" s="6">
        <v>0</v>
      </c>
      <c r="F302" s="6">
        <v>0</v>
      </c>
      <c r="G302" s="6">
        <v>-1.4250000000000001E-3</v>
      </c>
      <c r="H302" s="6">
        <v>0</v>
      </c>
      <c r="I302" s="6">
        <v>0</v>
      </c>
      <c r="J302" s="6">
        <v>0</v>
      </c>
    </row>
    <row r="303" spans="1:10" x14ac:dyDescent="0.25">
      <c r="A303" s="6" t="s">
        <v>80</v>
      </c>
      <c r="B303" s="6" t="s">
        <v>80</v>
      </c>
      <c r="C303" s="6" t="s">
        <v>11</v>
      </c>
      <c r="D303" s="6" t="s">
        <v>492</v>
      </c>
      <c r="E303" s="6">
        <v>0</v>
      </c>
      <c r="F303" s="6">
        <v>0</v>
      </c>
      <c r="G303" s="6">
        <v>-2.4689999999999998E-3</v>
      </c>
      <c r="H303" s="6">
        <v>1.8E-5</v>
      </c>
      <c r="I303" s="6">
        <v>6.38E-4</v>
      </c>
      <c r="J303" s="6">
        <v>0</v>
      </c>
    </row>
    <row r="304" spans="1:10" x14ac:dyDescent="0.25">
      <c r="A304" s="6" t="s">
        <v>116</v>
      </c>
      <c r="B304" s="6" t="s">
        <v>116</v>
      </c>
      <c r="C304" s="6" t="s">
        <v>11</v>
      </c>
      <c r="D304" s="6" t="s">
        <v>492</v>
      </c>
      <c r="E304" s="6">
        <v>0</v>
      </c>
      <c r="F304" s="6">
        <v>0</v>
      </c>
      <c r="G304" s="6">
        <v>-2.127E-3</v>
      </c>
      <c r="H304" s="6">
        <v>3.4E-5</v>
      </c>
      <c r="I304" s="6">
        <v>5.2099999999999998E-4</v>
      </c>
      <c r="J304" s="6">
        <v>0</v>
      </c>
    </row>
    <row r="305" spans="1:10" x14ac:dyDescent="0.25">
      <c r="A305" s="6" t="s">
        <v>151</v>
      </c>
      <c r="B305" s="6" t="s">
        <v>151</v>
      </c>
      <c r="C305" s="6" t="s">
        <v>11</v>
      </c>
      <c r="D305" s="6" t="s">
        <v>492</v>
      </c>
      <c r="E305" s="6">
        <v>0</v>
      </c>
      <c r="F305" s="6">
        <v>0</v>
      </c>
      <c r="G305" s="6">
        <v>-1.781E-3</v>
      </c>
      <c r="H305" s="6">
        <v>3.0000000000000001E-5</v>
      </c>
      <c r="I305" s="6">
        <v>4.7800000000000002E-4</v>
      </c>
      <c r="J305" s="6">
        <v>0</v>
      </c>
    </row>
    <row r="306" spans="1:10" x14ac:dyDescent="0.25">
      <c r="A306" s="6" t="s">
        <v>192</v>
      </c>
      <c r="B306" s="6" t="s">
        <v>192</v>
      </c>
      <c r="C306" s="6" t="s">
        <v>11</v>
      </c>
      <c r="D306" s="6" t="s">
        <v>492</v>
      </c>
      <c r="E306" s="6">
        <v>0</v>
      </c>
      <c r="F306" s="6">
        <v>0</v>
      </c>
      <c r="G306" s="6">
        <v>-1.578E-3</v>
      </c>
      <c r="H306" s="6">
        <v>1.7E-5</v>
      </c>
      <c r="I306" s="6">
        <v>4.6500000000000003E-4</v>
      </c>
      <c r="J306" s="6">
        <v>0</v>
      </c>
    </row>
    <row r="307" spans="1:10" x14ac:dyDescent="0.25">
      <c r="A307" s="6" t="s">
        <v>233</v>
      </c>
      <c r="B307" s="6" t="s">
        <v>233</v>
      </c>
      <c r="C307" s="6" t="s">
        <v>11</v>
      </c>
      <c r="D307" s="6" t="s">
        <v>492</v>
      </c>
      <c r="E307" s="6">
        <v>0</v>
      </c>
      <c r="F307" s="6">
        <v>0</v>
      </c>
      <c r="G307" s="6">
        <v>-1.516E-3</v>
      </c>
      <c r="H307" s="6">
        <v>7.6199999999999999E-6</v>
      </c>
      <c r="I307" s="6">
        <v>4.2200000000000001E-4</v>
      </c>
      <c r="J307" s="6">
        <v>0</v>
      </c>
    </row>
    <row r="308" spans="1:10" x14ac:dyDescent="0.25">
      <c r="A308" s="6" t="s">
        <v>271</v>
      </c>
      <c r="B308" s="6" t="s">
        <v>271</v>
      </c>
      <c r="C308" s="6" t="s">
        <v>11</v>
      </c>
      <c r="D308" s="6" t="s">
        <v>492</v>
      </c>
      <c r="E308" s="6">
        <v>0</v>
      </c>
      <c r="F308" s="6">
        <v>0</v>
      </c>
      <c r="G308" s="6">
        <v>-1.4790000000000001E-3</v>
      </c>
      <c r="H308" s="6">
        <v>4.8709999999999996E-6</v>
      </c>
      <c r="I308" s="6">
        <v>4.4299999999999998E-4</v>
      </c>
      <c r="J308" s="6">
        <v>0</v>
      </c>
    </row>
    <row r="309" spans="1:10" x14ac:dyDescent="0.25">
      <c r="A309" s="6" t="s">
        <v>327</v>
      </c>
      <c r="B309" s="6" t="s">
        <v>327</v>
      </c>
      <c r="C309" s="6" t="s">
        <v>11</v>
      </c>
      <c r="D309" s="6" t="s">
        <v>492</v>
      </c>
      <c r="E309" s="6">
        <v>0</v>
      </c>
      <c r="F309" s="6">
        <v>0</v>
      </c>
      <c r="G309" s="6">
        <v>-1.4120000000000001E-3</v>
      </c>
      <c r="H309" s="6">
        <v>-3.5399999999999999E-4</v>
      </c>
      <c r="I309" s="6">
        <v>-1.6130000000000001E-6</v>
      </c>
      <c r="J309" s="6">
        <v>0</v>
      </c>
    </row>
    <row r="310" spans="1:10" x14ac:dyDescent="0.25">
      <c r="A310" s="6" t="s">
        <v>79</v>
      </c>
      <c r="B310" s="6" t="s">
        <v>79</v>
      </c>
      <c r="C310" s="6" t="s">
        <v>11</v>
      </c>
      <c r="D310" s="6" t="s">
        <v>492</v>
      </c>
      <c r="E310" s="6">
        <v>0</v>
      </c>
      <c r="F310" s="6">
        <v>0</v>
      </c>
      <c r="G310" s="6">
        <v>-4.1399999999999998E-4</v>
      </c>
      <c r="H310" s="6">
        <v>5.6779999999999997E-6</v>
      </c>
      <c r="I310" s="6">
        <v>6.3E-5</v>
      </c>
      <c r="J310" s="6">
        <v>0</v>
      </c>
    </row>
    <row r="311" spans="1:10" x14ac:dyDescent="0.25">
      <c r="A311" s="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F128"/>
  <sheetViews>
    <sheetView workbookViewId="0">
      <selection activeCell="H13" sqref="H13"/>
    </sheetView>
  </sheetViews>
  <sheetFormatPr defaultColWidth="8.875" defaultRowHeight="15.75" x14ac:dyDescent="0.25"/>
  <cols>
    <col min="1" max="16384" width="8.875" style="6"/>
  </cols>
  <sheetData>
    <row r="1" spans="1:6" x14ac:dyDescent="0.25">
      <c r="A1" s="26" t="s">
        <v>548</v>
      </c>
      <c r="B1" s="21"/>
      <c r="C1" s="21"/>
      <c r="D1" s="21"/>
      <c r="E1" s="21"/>
      <c r="F1" s="21"/>
    </row>
    <row r="2" spans="1:6" x14ac:dyDescent="0.25">
      <c r="A2" s="22" t="s">
        <v>534</v>
      </c>
      <c r="B2" s="22" t="s">
        <v>535</v>
      </c>
      <c r="C2" s="22" t="s">
        <v>536</v>
      </c>
      <c r="D2" s="19" t="s">
        <v>537</v>
      </c>
      <c r="E2" s="19" t="s">
        <v>538</v>
      </c>
      <c r="F2" s="19" t="s">
        <v>345</v>
      </c>
    </row>
    <row r="3" spans="1:6" x14ac:dyDescent="0.25">
      <c r="A3" s="23" t="s">
        <v>489</v>
      </c>
      <c r="B3" s="23" t="s">
        <v>489</v>
      </c>
      <c r="C3" s="23" t="s">
        <v>489</v>
      </c>
      <c r="D3" s="20" t="s">
        <v>489</v>
      </c>
      <c r="E3" s="20" t="s">
        <v>489</v>
      </c>
      <c r="F3" s="20" t="s">
        <v>490</v>
      </c>
    </row>
    <row r="4" spans="1:6" x14ac:dyDescent="0.25">
      <c r="A4" s="6" t="s">
        <v>346</v>
      </c>
      <c r="B4" s="6" t="s">
        <v>169</v>
      </c>
      <c r="C4" s="6" t="s">
        <v>210</v>
      </c>
      <c r="D4" s="6" t="s">
        <v>539</v>
      </c>
      <c r="E4" s="6" t="s">
        <v>540</v>
      </c>
      <c r="F4" s="6">
        <v>8.3000000000000007</v>
      </c>
    </row>
    <row r="5" spans="1:6" x14ac:dyDescent="0.25">
      <c r="A5" s="6" t="s">
        <v>348</v>
      </c>
      <c r="B5" s="6" t="s">
        <v>171</v>
      </c>
      <c r="C5" s="6" t="s">
        <v>212</v>
      </c>
      <c r="D5" s="6" t="s">
        <v>539</v>
      </c>
      <c r="E5" s="6" t="s">
        <v>540</v>
      </c>
      <c r="F5" s="6">
        <v>8.3000000000000007</v>
      </c>
    </row>
    <row r="6" spans="1:6" x14ac:dyDescent="0.25">
      <c r="A6" s="6" t="s">
        <v>349</v>
      </c>
      <c r="B6" s="6" t="s">
        <v>56</v>
      </c>
      <c r="C6" s="6" t="s">
        <v>91</v>
      </c>
      <c r="D6" s="6" t="s">
        <v>539</v>
      </c>
      <c r="E6" s="6" t="s">
        <v>540</v>
      </c>
      <c r="F6" s="6">
        <v>8.3000000000000007</v>
      </c>
    </row>
    <row r="7" spans="1:6" x14ac:dyDescent="0.25">
      <c r="A7" s="6" t="s">
        <v>351</v>
      </c>
      <c r="B7" s="6" t="s">
        <v>91</v>
      </c>
      <c r="C7" s="6" t="s">
        <v>127</v>
      </c>
      <c r="D7" s="6" t="s">
        <v>539</v>
      </c>
      <c r="E7" s="6" t="s">
        <v>540</v>
      </c>
      <c r="F7" s="6">
        <v>8.3000000000000007</v>
      </c>
    </row>
    <row r="8" spans="1:6" x14ac:dyDescent="0.25">
      <c r="A8" s="6" t="s">
        <v>352</v>
      </c>
      <c r="B8" s="6" t="s">
        <v>127</v>
      </c>
      <c r="C8" s="6" t="s">
        <v>164</v>
      </c>
      <c r="D8" s="6" t="s">
        <v>539</v>
      </c>
      <c r="E8" s="6" t="s">
        <v>540</v>
      </c>
      <c r="F8" s="6">
        <v>8.3000000000000007</v>
      </c>
    </row>
    <row r="9" spans="1:6" x14ac:dyDescent="0.25">
      <c r="A9" s="6" t="s">
        <v>353</v>
      </c>
      <c r="B9" s="6" t="s">
        <v>164</v>
      </c>
      <c r="C9" s="6" t="s">
        <v>205</v>
      </c>
      <c r="D9" s="6" t="s">
        <v>539</v>
      </c>
      <c r="E9" s="6" t="s">
        <v>540</v>
      </c>
      <c r="F9" s="6">
        <v>8.3000000000000007</v>
      </c>
    </row>
    <row r="10" spans="1:6" x14ac:dyDescent="0.25">
      <c r="A10" s="6" t="s">
        <v>354</v>
      </c>
      <c r="B10" s="6" t="s">
        <v>205</v>
      </c>
      <c r="C10" s="6" t="s">
        <v>246</v>
      </c>
      <c r="D10" s="6" t="s">
        <v>539</v>
      </c>
      <c r="E10" s="6" t="s">
        <v>540</v>
      </c>
      <c r="F10" s="6">
        <v>8.3000000000000007</v>
      </c>
    </row>
    <row r="11" spans="1:6" x14ac:dyDescent="0.25">
      <c r="A11" s="6" t="s">
        <v>355</v>
      </c>
      <c r="B11" s="6" t="s">
        <v>246</v>
      </c>
      <c r="C11" s="6" t="s">
        <v>284</v>
      </c>
      <c r="D11" s="6" t="s">
        <v>539</v>
      </c>
      <c r="E11" s="6" t="s">
        <v>540</v>
      </c>
      <c r="F11" s="6">
        <v>8.3000000000000007</v>
      </c>
    </row>
    <row r="12" spans="1:6" x14ac:dyDescent="0.25">
      <c r="A12" s="6" t="s">
        <v>356</v>
      </c>
      <c r="B12" s="6" t="s">
        <v>284</v>
      </c>
      <c r="C12" s="6" t="s">
        <v>285</v>
      </c>
      <c r="D12" s="6" t="s">
        <v>539</v>
      </c>
      <c r="E12" s="6" t="s">
        <v>540</v>
      </c>
      <c r="F12" s="6">
        <v>5.5</v>
      </c>
    </row>
    <row r="13" spans="1:6" x14ac:dyDescent="0.25">
      <c r="A13" s="6" t="s">
        <v>357</v>
      </c>
      <c r="B13" s="6" t="s">
        <v>57</v>
      </c>
      <c r="C13" s="6" t="s">
        <v>493</v>
      </c>
      <c r="D13" s="6" t="s">
        <v>539</v>
      </c>
      <c r="E13" s="6" t="s">
        <v>540</v>
      </c>
      <c r="F13" s="6">
        <v>8.3000000000000007</v>
      </c>
    </row>
    <row r="14" spans="1:6" x14ac:dyDescent="0.25">
      <c r="A14" s="6" t="s">
        <v>358</v>
      </c>
      <c r="B14" s="6" t="s">
        <v>493</v>
      </c>
      <c r="C14" s="6" t="s">
        <v>494</v>
      </c>
      <c r="D14" s="6" t="s">
        <v>539</v>
      </c>
      <c r="E14" s="6" t="s">
        <v>540</v>
      </c>
      <c r="F14" s="6">
        <v>8.3000000000000007</v>
      </c>
    </row>
    <row r="15" spans="1:6" x14ac:dyDescent="0.25">
      <c r="A15" s="6" t="s">
        <v>359</v>
      </c>
      <c r="B15" s="6" t="s">
        <v>494</v>
      </c>
      <c r="C15" s="6" t="s">
        <v>495</v>
      </c>
      <c r="D15" s="6" t="s">
        <v>539</v>
      </c>
      <c r="E15" s="6" t="s">
        <v>540</v>
      </c>
      <c r="F15" s="6">
        <v>8.3000000000000007</v>
      </c>
    </row>
    <row r="16" spans="1:6" x14ac:dyDescent="0.25">
      <c r="A16" s="6" t="s">
        <v>360</v>
      </c>
      <c r="B16" s="6" t="s">
        <v>495</v>
      </c>
      <c r="C16" s="6" t="s">
        <v>496</v>
      </c>
      <c r="D16" s="6" t="s">
        <v>539</v>
      </c>
      <c r="E16" s="6" t="s">
        <v>540</v>
      </c>
      <c r="F16" s="6">
        <v>8.3000000000000007</v>
      </c>
    </row>
    <row r="17" spans="1:6" x14ac:dyDescent="0.25">
      <c r="A17" s="6" t="s">
        <v>361</v>
      </c>
      <c r="B17" s="6" t="s">
        <v>496</v>
      </c>
      <c r="C17" s="6" t="s">
        <v>497</v>
      </c>
      <c r="D17" s="6" t="s">
        <v>539</v>
      </c>
      <c r="E17" s="6" t="s">
        <v>540</v>
      </c>
      <c r="F17" s="6">
        <v>8.3000000000000007</v>
      </c>
    </row>
    <row r="18" spans="1:6" x14ac:dyDescent="0.25">
      <c r="A18" s="6" t="s">
        <v>362</v>
      </c>
      <c r="B18" s="6" t="s">
        <v>497</v>
      </c>
      <c r="C18" s="6" t="s">
        <v>285</v>
      </c>
      <c r="D18" s="6" t="s">
        <v>539</v>
      </c>
      <c r="E18" s="6" t="s">
        <v>540</v>
      </c>
      <c r="F18" s="6">
        <v>8.3000000000000007</v>
      </c>
    </row>
    <row r="19" spans="1:6" x14ac:dyDescent="0.25">
      <c r="A19" s="6" t="s">
        <v>363</v>
      </c>
      <c r="B19" s="6" t="s">
        <v>59</v>
      </c>
      <c r="C19" s="6" t="s">
        <v>94</v>
      </c>
      <c r="D19" s="6" t="s">
        <v>539</v>
      </c>
      <c r="E19" s="6" t="s">
        <v>540</v>
      </c>
      <c r="F19" s="6">
        <v>8.3000000000000007</v>
      </c>
    </row>
    <row r="20" spans="1:6" x14ac:dyDescent="0.25">
      <c r="A20" s="6" t="s">
        <v>365</v>
      </c>
      <c r="B20" s="6" t="s">
        <v>94</v>
      </c>
      <c r="C20" s="6" t="s">
        <v>130</v>
      </c>
      <c r="D20" s="6" t="s">
        <v>539</v>
      </c>
      <c r="E20" s="6" t="s">
        <v>540</v>
      </c>
      <c r="F20" s="6">
        <v>8.3000000000000007</v>
      </c>
    </row>
    <row r="21" spans="1:6" x14ac:dyDescent="0.25">
      <c r="A21" s="6" t="s">
        <v>366</v>
      </c>
      <c r="B21" s="6" t="s">
        <v>130</v>
      </c>
      <c r="C21" s="6" t="s">
        <v>167</v>
      </c>
      <c r="D21" s="6" t="s">
        <v>539</v>
      </c>
      <c r="E21" s="6" t="s">
        <v>540</v>
      </c>
      <c r="F21" s="6">
        <v>8.3000000000000007</v>
      </c>
    </row>
    <row r="22" spans="1:6" x14ac:dyDescent="0.25">
      <c r="A22" s="6" t="s">
        <v>367</v>
      </c>
      <c r="B22" s="6" t="s">
        <v>167</v>
      </c>
      <c r="C22" s="6" t="s">
        <v>208</v>
      </c>
      <c r="D22" s="6" t="s">
        <v>539</v>
      </c>
      <c r="E22" s="6" t="s">
        <v>540</v>
      </c>
      <c r="F22" s="6">
        <v>8.3000000000000007</v>
      </c>
    </row>
    <row r="23" spans="1:6" x14ac:dyDescent="0.25">
      <c r="A23" s="6" t="s">
        <v>368</v>
      </c>
      <c r="B23" s="6" t="s">
        <v>208</v>
      </c>
      <c r="C23" s="6" t="s">
        <v>249</v>
      </c>
      <c r="D23" s="6" t="s">
        <v>539</v>
      </c>
      <c r="E23" s="6" t="s">
        <v>540</v>
      </c>
      <c r="F23" s="6">
        <v>8.3000000000000007</v>
      </c>
    </row>
    <row r="24" spans="1:6" x14ac:dyDescent="0.25">
      <c r="A24" s="6" t="s">
        <v>369</v>
      </c>
      <c r="B24" s="6" t="s">
        <v>249</v>
      </c>
      <c r="C24" s="6" t="s">
        <v>288</v>
      </c>
      <c r="D24" s="6" t="s">
        <v>539</v>
      </c>
      <c r="E24" s="6" t="s">
        <v>540</v>
      </c>
      <c r="F24" s="6">
        <v>8.3000000000000007</v>
      </c>
    </row>
    <row r="25" spans="1:6" x14ac:dyDescent="0.25">
      <c r="A25" s="6" t="s">
        <v>370</v>
      </c>
      <c r="B25" s="6" t="s">
        <v>285</v>
      </c>
      <c r="C25" s="6" t="s">
        <v>319</v>
      </c>
      <c r="D25" s="6" t="s">
        <v>539</v>
      </c>
      <c r="E25" s="6" t="s">
        <v>540</v>
      </c>
      <c r="F25" s="6">
        <v>5.75</v>
      </c>
    </row>
    <row r="26" spans="1:6" x14ac:dyDescent="0.25">
      <c r="A26" s="6" t="s">
        <v>371</v>
      </c>
      <c r="B26" s="6" t="s">
        <v>288</v>
      </c>
      <c r="C26" s="6" t="s">
        <v>322</v>
      </c>
      <c r="D26" s="6" t="s">
        <v>539</v>
      </c>
      <c r="E26" s="6" t="s">
        <v>540</v>
      </c>
      <c r="F26" s="6">
        <v>5.75</v>
      </c>
    </row>
    <row r="27" spans="1:6" x14ac:dyDescent="0.25">
      <c r="A27" s="6" t="s">
        <v>372</v>
      </c>
      <c r="B27" s="6" t="s">
        <v>93</v>
      </c>
      <c r="C27" s="6" t="s">
        <v>94</v>
      </c>
      <c r="D27" s="6" t="s">
        <v>539</v>
      </c>
      <c r="E27" s="6" t="s">
        <v>540</v>
      </c>
      <c r="F27" s="6">
        <v>8.3000000000000007</v>
      </c>
    </row>
    <row r="28" spans="1:6" x14ac:dyDescent="0.25">
      <c r="A28" s="6" t="s">
        <v>373</v>
      </c>
      <c r="B28" s="6" t="s">
        <v>129</v>
      </c>
      <c r="C28" s="6" t="s">
        <v>130</v>
      </c>
      <c r="D28" s="6" t="s">
        <v>539</v>
      </c>
      <c r="E28" s="6" t="s">
        <v>540</v>
      </c>
      <c r="F28" s="6">
        <v>8.3000000000000007</v>
      </c>
    </row>
    <row r="29" spans="1:6" x14ac:dyDescent="0.25">
      <c r="A29" s="6" t="s">
        <v>374</v>
      </c>
      <c r="B29" s="6" t="s">
        <v>58</v>
      </c>
      <c r="C29" s="6" t="s">
        <v>59</v>
      </c>
      <c r="D29" s="6" t="s">
        <v>539</v>
      </c>
      <c r="E29" s="6" t="s">
        <v>540</v>
      </c>
      <c r="F29" s="6">
        <v>8.3000000000000007</v>
      </c>
    </row>
    <row r="30" spans="1:6" x14ac:dyDescent="0.25">
      <c r="A30" s="6" t="s">
        <v>375</v>
      </c>
      <c r="B30" s="6" t="s">
        <v>166</v>
      </c>
      <c r="C30" s="6" t="s">
        <v>167</v>
      </c>
      <c r="D30" s="6" t="s">
        <v>539</v>
      </c>
      <c r="E30" s="6" t="s">
        <v>540</v>
      </c>
      <c r="F30" s="6">
        <v>8.3000000000000007</v>
      </c>
    </row>
    <row r="31" spans="1:6" x14ac:dyDescent="0.25">
      <c r="A31" s="6" t="s">
        <v>376</v>
      </c>
      <c r="B31" s="6" t="s">
        <v>207</v>
      </c>
      <c r="C31" s="6" t="s">
        <v>208</v>
      </c>
      <c r="D31" s="6" t="s">
        <v>539</v>
      </c>
      <c r="E31" s="6" t="s">
        <v>540</v>
      </c>
      <c r="F31" s="6">
        <v>8.3000000000000007</v>
      </c>
    </row>
    <row r="32" spans="1:6" x14ac:dyDescent="0.25">
      <c r="A32" s="6" t="s">
        <v>377</v>
      </c>
      <c r="B32" s="6" t="s">
        <v>248</v>
      </c>
      <c r="C32" s="6" t="s">
        <v>249</v>
      </c>
      <c r="D32" s="6" t="s">
        <v>539</v>
      </c>
      <c r="E32" s="6" t="s">
        <v>540</v>
      </c>
      <c r="F32" s="6">
        <v>8.3000000000000007</v>
      </c>
    </row>
    <row r="33" spans="1:6" x14ac:dyDescent="0.25">
      <c r="A33" s="6" t="s">
        <v>378</v>
      </c>
      <c r="B33" s="6" t="s">
        <v>58</v>
      </c>
      <c r="C33" s="6" t="s">
        <v>93</v>
      </c>
      <c r="D33" s="6" t="s">
        <v>539</v>
      </c>
      <c r="E33" s="6" t="s">
        <v>540</v>
      </c>
      <c r="F33" s="6">
        <v>8.3000000000000007</v>
      </c>
    </row>
    <row r="34" spans="1:6" x14ac:dyDescent="0.25">
      <c r="A34" s="6" t="s">
        <v>379</v>
      </c>
      <c r="B34" s="6" t="s">
        <v>93</v>
      </c>
      <c r="C34" s="6" t="s">
        <v>129</v>
      </c>
      <c r="D34" s="6" t="s">
        <v>539</v>
      </c>
      <c r="E34" s="6" t="s">
        <v>540</v>
      </c>
      <c r="F34" s="6">
        <v>8.3000000000000007</v>
      </c>
    </row>
    <row r="35" spans="1:6" x14ac:dyDescent="0.25">
      <c r="A35" s="6" t="s">
        <v>380</v>
      </c>
      <c r="B35" s="6" t="s">
        <v>129</v>
      </c>
      <c r="C35" s="6" t="s">
        <v>166</v>
      </c>
      <c r="D35" s="6" t="s">
        <v>539</v>
      </c>
      <c r="E35" s="6" t="s">
        <v>540</v>
      </c>
      <c r="F35" s="6">
        <v>8.3000000000000007</v>
      </c>
    </row>
    <row r="36" spans="1:6" x14ac:dyDescent="0.25">
      <c r="A36" s="6" t="s">
        <v>382</v>
      </c>
      <c r="B36" s="6" t="s">
        <v>166</v>
      </c>
      <c r="C36" s="6" t="s">
        <v>207</v>
      </c>
      <c r="D36" s="6" t="s">
        <v>539</v>
      </c>
      <c r="E36" s="6" t="s">
        <v>540</v>
      </c>
      <c r="F36" s="6">
        <v>8.3000000000000007</v>
      </c>
    </row>
    <row r="37" spans="1:6" x14ac:dyDescent="0.25">
      <c r="A37" s="6" t="s">
        <v>383</v>
      </c>
      <c r="B37" s="6" t="s">
        <v>207</v>
      </c>
      <c r="C37" s="6" t="s">
        <v>248</v>
      </c>
      <c r="D37" s="6" t="s">
        <v>539</v>
      </c>
      <c r="E37" s="6" t="s">
        <v>540</v>
      </c>
      <c r="F37" s="6">
        <v>8.3000000000000007</v>
      </c>
    </row>
    <row r="38" spans="1:6" x14ac:dyDescent="0.25">
      <c r="A38" s="6" t="s">
        <v>384</v>
      </c>
      <c r="B38" s="6" t="s">
        <v>56</v>
      </c>
      <c r="C38" s="6" t="s">
        <v>58</v>
      </c>
      <c r="D38" s="6" t="s">
        <v>539</v>
      </c>
      <c r="E38" s="6" t="s">
        <v>540</v>
      </c>
      <c r="F38" s="6">
        <v>12.6</v>
      </c>
    </row>
    <row r="39" spans="1:6" x14ac:dyDescent="0.25">
      <c r="A39" s="6" t="s">
        <v>385</v>
      </c>
      <c r="B39" s="6" t="s">
        <v>319</v>
      </c>
      <c r="C39" s="6" t="s">
        <v>320</v>
      </c>
      <c r="D39" s="6" t="s">
        <v>539</v>
      </c>
      <c r="E39" s="6" t="s">
        <v>540</v>
      </c>
      <c r="F39" s="6">
        <v>7.1</v>
      </c>
    </row>
    <row r="40" spans="1:6" x14ac:dyDescent="0.25">
      <c r="A40" s="6" t="s">
        <v>386</v>
      </c>
      <c r="B40" s="6" t="s">
        <v>320</v>
      </c>
      <c r="C40" s="6" t="s">
        <v>322</v>
      </c>
      <c r="D40" s="6" t="s">
        <v>539</v>
      </c>
      <c r="E40" s="6" t="s">
        <v>540</v>
      </c>
      <c r="F40" s="6">
        <v>8.3000000000000007</v>
      </c>
    </row>
    <row r="41" spans="1:6" x14ac:dyDescent="0.25">
      <c r="A41" s="6" t="s">
        <v>387</v>
      </c>
      <c r="B41" s="6" t="s">
        <v>91</v>
      </c>
      <c r="C41" s="6" t="s">
        <v>93</v>
      </c>
      <c r="D41" s="6" t="s">
        <v>539</v>
      </c>
      <c r="E41" s="6" t="s">
        <v>540</v>
      </c>
      <c r="F41" s="6">
        <v>12.6</v>
      </c>
    </row>
    <row r="42" spans="1:6" x14ac:dyDescent="0.25">
      <c r="A42" s="6" t="s">
        <v>388</v>
      </c>
      <c r="B42" s="6" t="s">
        <v>127</v>
      </c>
      <c r="C42" s="6" t="s">
        <v>129</v>
      </c>
      <c r="D42" s="6" t="s">
        <v>539</v>
      </c>
      <c r="E42" s="6" t="s">
        <v>540</v>
      </c>
      <c r="F42" s="6">
        <v>12.6</v>
      </c>
    </row>
    <row r="43" spans="1:6" x14ac:dyDescent="0.25">
      <c r="A43" s="6" t="s">
        <v>389</v>
      </c>
      <c r="B43" s="6" t="s">
        <v>164</v>
      </c>
      <c r="C43" s="6" t="s">
        <v>166</v>
      </c>
      <c r="D43" s="6" t="s">
        <v>539</v>
      </c>
      <c r="E43" s="6" t="s">
        <v>540</v>
      </c>
      <c r="F43" s="6">
        <v>12.6</v>
      </c>
    </row>
    <row r="44" spans="1:6" x14ac:dyDescent="0.25">
      <c r="A44" s="6" t="s">
        <v>390</v>
      </c>
      <c r="B44" s="6" t="s">
        <v>205</v>
      </c>
      <c r="C44" s="6" t="s">
        <v>207</v>
      </c>
      <c r="D44" s="6" t="s">
        <v>539</v>
      </c>
      <c r="E44" s="6" t="s">
        <v>540</v>
      </c>
      <c r="F44" s="6">
        <v>12.6</v>
      </c>
    </row>
    <row r="45" spans="1:6" x14ac:dyDescent="0.25">
      <c r="A45" s="6" t="s">
        <v>391</v>
      </c>
      <c r="B45" s="6" t="s">
        <v>246</v>
      </c>
      <c r="C45" s="6" t="s">
        <v>248</v>
      </c>
      <c r="D45" s="6" t="s">
        <v>539</v>
      </c>
      <c r="E45" s="6" t="s">
        <v>540</v>
      </c>
      <c r="F45" s="6">
        <v>12.6</v>
      </c>
    </row>
    <row r="46" spans="1:6" x14ac:dyDescent="0.25">
      <c r="A46" s="6" t="s">
        <v>392</v>
      </c>
      <c r="B46" s="6" t="s">
        <v>285</v>
      </c>
      <c r="C46" s="6" t="s">
        <v>286</v>
      </c>
      <c r="D46" s="6" t="s">
        <v>539</v>
      </c>
      <c r="E46" s="6" t="s">
        <v>540</v>
      </c>
      <c r="F46" s="6">
        <v>7.1</v>
      </c>
    </row>
    <row r="47" spans="1:6" x14ac:dyDescent="0.25">
      <c r="A47" s="6" t="s">
        <v>393</v>
      </c>
      <c r="B47" s="6" t="s">
        <v>286</v>
      </c>
      <c r="C47" s="6" t="s">
        <v>288</v>
      </c>
      <c r="D47" s="6" t="s">
        <v>539</v>
      </c>
      <c r="E47" s="6" t="s">
        <v>540</v>
      </c>
      <c r="F47" s="6">
        <v>8.3000000000000007</v>
      </c>
    </row>
    <row r="48" spans="1:6" x14ac:dyDescent="0.25">
      <c r="A48" s="6" t="s">
        <v>394</v>
      </c>
      <c r="B48" s="6" t="s">
        <v>248</v>
      </c>
      <c r="C48" s="6" t="s">
        <v>286</v>
      </c>
      <c r="D48" s="6" t="s">
        <v>539</v>
      </c>
      <c r="E48" s="6" t="s">
        <v>540</v>
      </c>
      <c r="F48" s="6">
        <v>8.3000000000000007</v>
      </c>
    </row>
    <row r="49" spans="1:6" x14ac:dyDescent="0.25">
      <c r="A49" s="6" t="s">
        <v>395</v>
      </c>
      <c r="B49" s="6" t="s">
        <v>286</v>
      </c>
      <c r="C49" s="6" t="s">
        <v>320</v>
      </c>
      <c r="D49" s="6" t="s">
        <v>539</v>
      </c>
      <c r="E49" s="6" t="s">
        <v>540</v>
      </c>
      <c r="F49" s="6">
        <v>5.75</v>
      </c>
    </row>
    <row r="50" spans="1:6" x14ac:dyDescent="0.25">
      <c r="A50" s="6" t="s">
        <v>396</v>
      </c>
      <c r="B50" s="6" t="s">
        <v>73</v>
      </c>
      <c r="C50" s="6" t="s">
        <v>504</v>
      </c>
      <c r="D50" s="6" t="s">
        <v>539</v>
      </c>
      <c r="E50" s="6" t="s">
        <v>540</v>
      </c>
      <c r="F50" s="6">
        <v>12.6</v>
      </c>
    </row>
    <row r="51" spans="1:6" x14ac:dyDescent="0.25">
      <c r="A51" s="6" t="s">
        <v>397</v>
      </c>
      <c r="B51" s="6" t="s">
        <v>504</v>
      </c>
      <c r="C51" s="6" t="s">
        <v>505</v>
      </c>
      <c r="D51" s="6" t="s">
        <v>539</v>
      </c>
      <c r="E51" s="6" t="s">
        <v>540</v>
      </c>
      <c r="F51" s="6">
        <v>8.3000000000000007</v>
      </c>
    </row>
    <row r="52" spans="1:6" x14ac:dyDescent="0.25">
      <c r="A52" s="6" t="s">
        <v>398</v>
      </c>
      <c r="B52" s="6" t="s">
        <v>109</v>
      </c>
      <c r="C52" s="6" t="s">
        <v>508</v>
      </c>
      <c r="D52" s="6" t="s">
        <v>539</v>
      </c>
      <c r="E52" s="6" t="s">
        <v>540</v>
      </c>
      <c r="F52" s="6">
        <v>12.6</v>
      </c>
    </row>
    <row r="53" spans="1:6" x14ac:dyDescent="0.25">
      <c r="A53" s="6" t="s">
        <v>399</v>
      </c>
      <c r="B53" s="6" t="s">
        <v>508</v>
      </c>
      <c r="C53" s="6" t="s">
        <v>509</v>
      </c>
      <c r="D53" s="6" t="s">
        <v>539</v>
      </c>
      <c r="E53" s="6" t="s">
        <v>540</v>
      </c>
      <c r="F53" s="6">
        <v>8.3000000000000007</v>
      </c>
    </row>
    <row r="54" spans="1:6" x14ac:dyDescent="0.25">
      <c r="A54" s="6" t="s">
        <v>400</v>
      </c>
      <c r="B54" s="6" t="s">
        <v>145</v>
      </c>
      <c r="C54" s="6" t="s">
        <v>512</v>
      </c>
      <c r="D54" s="6" t="s">
        <v>539</v>
      </c>
      <c r="E54" s="6" t="s">
        <v>540</v>
      </c>
      <c r="F54" s="6">
        <v>12.6</v>
      </c>
    </row>
    <row r="55" spans="1:6" x14ac:dyDescent="0.25">
      <c r="A55" s="6" t="s">
        <v>401</v>
      </c>
      <c r="B55" s="6" t="s">
        <v>512</v>
      </c>
      <c r="C55" s="6" t="s">
        <v>513</v>
      </c>
      <c r="D55" s="6" t="s">
        <v>539</v>
      </c>
      <c r="E55" s="6" t="s">
        <v>540</v>
      </c>
      <c r="F55" s="6">
        <v>8.3000000000000007</v>
      </c>
    </row>
    <row r="56" spans="1:6" x14ac:dyDescent="0.25">
      <c r="A56" s="6" t="s">
        <v>402</v>
      </c>
      <c r="B56" s="6" t="s">
        <v>186</v>
      </c>
      <c r="C56" s="6" t="s">
        <v>516</v>
      </c>
      <c r="D56" s="6" t="s">
        <v>539</v>
      </c>
      <c r="E56" s="6" t="s">
        <v>540</v>
      </c>
      <c r="F56" s="6">
        <v>12.6</v>
      </c>
    </row>
    <row r="57" spans="1:6" x14ac:dyDescent="0.25">
      <c r="A57" s="6" t="s">
        <v>403</v>
      </c>
      <c r="B57" s="6" t="s">
        <v>516</v>
      </c>
      <c r="C57" s="6" t="s">
        <v>517</v>
      </c>
      <c r="D57" s="6" t="s">
        <v>539</v>
      </c>
      <c r="E57" s="6" t="s">
        <v>540</v>
      </c>
      <c r="F57" s="6">
        <v>8.3000000000000007</v>
      </c>
    </row>
    <row r="58" spans="1:6" x14ac:dyDescent="0.25">
      <c r="A58" s="6" t="s">
        <v>404</v>
      </c>
      <c r="B58" s="6" t="s">
        <v>227</v>
      </c>
      <c r="C58" s="6" t="s">
        <v>266</v>
      </c>
      <c r="D58" s="6" t="s">
        <v>539</v>
      </c>
      <c r="E58" s="6" t="s">
        <v>540</v>
      </c>
      <c r="F58" s="6">
        <v>12.6</v>
      </c>
    </row>
    <row r="59" spans="1:6" x14ac:dyDescent="0.25">
      <c r="A59" s="6" t="s">
        <v>405</v>
      </c>
      <c r="B59" s="6" t="s">
        <v>266</v>
      </c>
      <c r="C59" s="6" t="s">
        <v>74</v>
      </c>
      <c r="D59" s="6" t="s">
        <v>539</v>
      </c>
      <c r="E59" s="6" t="s">
        <v>540</v>
      </c>
      <c r="F59" s="6">
        <v>8.3000000000000007</v>
      </c>
    </row>
    <row r="60" spans="1:6" x14ac:dyDescent="0.25">
      <c r="A60" s="6" t="s">
        <v>406</v>
      </c>
      <c r="B60" s="6" t="s">
        <v>265</v>
      </c>
      <c r="C60" s="6" t="s">
        <v>187</v>
      </c>
      <c r="D60" s="6" t="s">
        <v>539</v>
      </c>
      <c r="E60" s="6" t="s">
        <v>540</v>
      </c>
      <c r="F60" s="6">
        <v>12.6</v>
      </c>
    </row>
    <row r="61" spans="1:6" x14ac:dyDescent="0.25">
      <c r="A61" s="6" t="s">
        <v>407</v>
      </c>
      <c r="B61" s="6" t="s">
        <v>187</v>
      </c>
      <c r="C61" s="6" t="s">
        <v>228</v>
      </c>
      <c r="D61" s="6" t="s">
        <v>539</v>
      </c>
      <c r="E61" s="6" t="s">
        <v>540</v>
      </c>
      <c r="F61" s="6">
        <v>8.3000000000000007</v>
      </c>
    </row>
    <row r="62" spans="1:6" x14ac:dyDescent="0.25">
      <c r="A62" s="6" t="s">
        <v>408</v>
      </c>
      <c r="B62" s="6" t="s">
        <v>498</v>
      </c>
      <c r="C62" s="6" t="s">
        <v>321</v>
      </c>
      <c r="D62" s="6" t="s">
        <v>539</v>
      </c>
      <c r="E62" s="6" t="s">
        <v>540</v>
      </c>
      <c r="F62" s="6">
        <v>5.75</v>
      </c>
    </row>
    <row r="63" spans="1:6" x14ac:dyDescent="0.25">
      <c r="A63" s="6" t="s">
        <v>409</v>
      </c>
      <c r="B63" s="6" t="s">
        <v>94</v>
      </c>
      <c r="C63" s="6" t="s">
        <v>95</v>
      </c>
      <c r="D63" s="6" t="s">
        <v>539</v>
      </c>
      <c r="E63" s="6" t="s">
        <v>540</v>
      </c>
      <c r="F63" s="6">
        <v>10.7</v>
      </c>
    </row>
    <row r="64" spans="1:6" x14ac:dyDescent="0.25">
      <c r="A64" s="6" t="s">
        <v>410</v>
      </c>
      <c r="B64" s="6" t="s">
        <v>130</v>
      </c>
      <c r="C64" s="6" t="s">
        <v>131</v>
      </c>
      <c r="D64" s="6" t="s">
        <v>539</v>
      </c>
      <c r="E64" s="6" t="s">
        <v>540</v>
      </c>
      <c r="F64" s="6">
        <v>10.7</v>
      </c>
    </row>
    <row r="65" spans="1:6" x14ac:dyDescent="0.25">
      <c r="A65" s="6" t="s">
        <v>411</v>
      </c>
      <c r="B65" s="6" t="s">
        <v>59</v>
      </c>
      <c r="C65" s="6" t="s">
        <v>60</v>
      </c>
      <c r="D65" s="6" t="s">
        <v>539</v>
      </c>
      <c r="E65" s="6" t="s">
        <v>540</v>
      </c>
      <c r="F65" s="6">
        <v>10.7</v>
      </c>
    </row>
    <row r="66" spans="1:6" x14ac:dyDescent="0.25">
      <c r="A66" s="6" t="s">
        <v>412</v>
      </c>
      <c r="B66" s="6" t="s">
        <v>167</v>
      </c>
      <c r="C66" s="6" t="s">
        <v>168</v>
      </c>
      <c r="D66" s="6" t="s">
        <v>539</v>
      </c>
      <c r="E66" s="6" t="s">
        <v>540</v>
      </c>
      <c r="F66" s="6">
        <v>10.7</v>
      </c>
    </row>
    <row r="67" spans="1:6" x14ac:dyDescent="0.25">
      <c r="A67" s="6" t="s">
        <v>413</v>
      </c>
      <c r="B67" s="6" t="s">
        <v>208</v>
      </c>
      <c r="C67" s="6" t="s">
        <v>209</v>
      </c>
      <c r="D67" s="6" t="s">
        <v>539</v>
      </c>
      <c r="E67" s="6" t="s">
        <v>540</v>
      </c>
      <c r="F67" s="6">
        <v>10.7</v>
      </c>
    </row>
    <row r="68" spans="1:6" x14ac:dyDescent="0.25">
      <c r="A68" s="6" t="s">
        <v>414</v>
      </c>
      <c r="B68" s="6" t="s">
        <v>249</v>
      </c>
      <c r="C68" s="6" t="s">
        <v>250</v>
      </c>
      <c r="D68" s="6" t="s">
        <v>539</v>
      </c>
      <c r="E68" s="6" t="s">
        <v>540</v>
      </c>
      <c r="F68" s="6">
        <v>10.7</v>
      </c>
    </row>
    <row r="69" spans="1:6" x14ac:dyDescent="0.25">
      <c r="A69" s="6" t="s">
        <v>415</v>
      </c>
      <c r="B69" s="6" t="s">
        <v>288</v>
      </c>
      <c r="C69" s="6" t="s">
        <v>290</v>
      </c>
      <c r="D69" s="6" t="s">
        <v>539</v>
      </c>
      <c r="E69" s="6" t="s">
        <v>540</v>
      </c>
      <c r="F69" s="6">
        <v>10.7</v>
      </c>
    </row>
    <row r="70" spans="1:6" x14ac:dyDescent="0.25">
      <c r="A70" s="6" t="s">
        <v>416</v>
      </c>
      <c r="B70" s="6" t="s">
        <v>60</v>
      </c>
      <c r="C70" s="6" t="s">
        <v>95</v>
      </c>
      <c r="D70" s="6" t="s">
        <v>539</v>
      </c>
      <c r="E70" s="6" t="s">
        <v>540</v>
      </c>
      <c r="F70" s="6">
        <v>8.3000000000000007</v>
      </c>
    </row>
    <row r="71" spans="1:6" x14ac:dyDescent="0.25">
      <c r="A71" s="6" t="s">
        <v>417</v>
      </c>
      <c r="B71" s="6" t="s">
        <v>95</v>
      </c>
      <c r="C71" s="6" t="s">
        <v>131</v>
      </c>
      <c r="D71" s="6" t="s">
        <v>539</v>
      </c>
      <c r="E71" s="6" t="s">
        <v>540</v>
      </c>
      <c r="F71" s="6">
        <v>8.3000000000000007</v>
      </c>
    </row>
    <row r="72" spans="1:6" x14ac:dyDescent="0.25">
      <c r="A72" s="6" t="s">
        <v>418</v>
      </c>
      <c r="B72" s="6" t="s">
        <v>131</v>
      </c>
      <c r="C72" s="6" t="s">
        <v>168</v>
      </c>
      <c r="D72" s="6" t="s">
        <v>539</v>
      </c>
      <c r="E72" s="6" t="s">
        <v>540</v>
      </c>
      <c r="F72" s="6">
        <v>8.3000000000000007</v>
      </c>
    </row>
    <row r="73" spans="1:6" x14ac:dyDescent="0.25">
      <c r="A73" s="6" t="s">
        <v>419</v>
      </c>
      <c r="B73" s="6" t="s">
        <v>168</v>
      </c>
      <c r="C73" s="6" t="s">
        <v>209</v>
      </c>
      <c r="D73" s="6" t="s">
        <v>539</v>
      </c>
      <c r="E73" s="6" t="s">
        <v>540</v>
      </c>
      <c r="F73" s="6">
        <v>8.3000000000000007</v>
      </c>
    </row>
    <row r="74" spans="1:6" x14ac:dyDescent="0.25">
      <c r="A74" s="6" t="s">
        <v>420</v>
      </c>
      <c r="B74" s="6" t="s">
        <v>209</v>
      </c>
      <c r="C74" s="6" t="s">
        <v>250</v>
      </c>
      <c r="D74" s="6" t="s">
        <v>539</v>
      </c>
      <c r="E74" s="6" t="s">
        <v>540</v>
      </c>
      <c r="F74" s="6">
        <v>8.3000000000000007</v>
      </c>
    </row>
    <row r="75" spans="1:6" x14ac:dyDescent="0.25">
      <c r="A75" s="6" t="s">
        <v>421</v>
      </c>
      <c r="B75" s="6" t="s">
        <v>250</v>
      </c>
      <c r="C75" s="6" t="s">
        <v>290</v>
      </c>
      <c r="D75" s="6" t="s">
        <v>539</v>
      </c>
      <c r="E75" s="6" t="s">
        <v>540</v>
      </c>
      <c r="F75" s="6">
        <v>8.3000000000000007</v>
      </c>
    </row>
    <row r="76" spans="1:6" x14ac:dyDescent="0.25">
      <c r="A76" s="6" t="s">
        <v>422</v>
      </c>
      <c r="B76" s="6" t="s">
        <v>322</v>
      </c>
      <c r="C76" s="6" t="s">
        <v>324</v>
      </c>
      <c r="D76" s="6" t="s">
        <v>539</v>
      </c>
      <c r="E76" s="6" t="s">
        <v>540</v>
      </c>
      <c r="F76" s="6">
        <v>10.7</v>
      </c>
    </row>
    <row r="77" spans="1:6" x14ac:dyDescent="0.25">
      <c r="A77" s="6" t="s">
        <v>423</v>
      </c>
      <c r="B77" s="6" t="s">
        <v>290</v>
      </c>
      <c r="C77" s="6" t="s">
        <v>324</v>
      </c>
      <c r="D77" s="6" t="s">
        <v>539</v>
      </c>
      <c r="E77" s="6" t="s">
        <v>540</v>
      </c>
      <c r="F77" s="6">
        <v>5.75</v>
      </c>
    </row>
    <row r="78" spans="1:6" x14ac:dyDescent="0.25">
      <c r="A78" s="6" t="s">
        <v>424</v>
      </c>
      <c r="B78" s="6" t="s">
        <v>505</v>
      </c>
      <c r="C78" s="6" t="s">
        <v>506</v>
      </c>
      <c r="D78" s="6" t="s">
        <v>539</v>
      </c>
      <c r="E78" s="6" t="s">
        <v>540</v>
      </c>
      <c r="F78" s="6">
        <v>10.7</v>
      </c>
    </row>
    <row r="79" spans="1:6" x14ac:dyDescent="0.25">
      <c r="A79" s="6" t="s">
        <v>425</v>
      </c>
      <c r="B79" s="6" t="s">
        <v>509</v>
      </c>
      <c r="C79" s="6" t="s">
        <v>510</v>
      </c>
      <c r="D79" s="6" t="s">
        <v>539</v>
      </c>
      <c r="E79" s="6" t="s">
        <v>540</v>
      </c>
      <c r="F79" s="6">
        <v>10.7</v>
      </c>
    </row>
    <row r="80" spans="1:6" x14ac:dyDescent="0.25">
      <c r="A80" s="6" t="s">
        <v>426</v>
      </c>
      <c r="B80" s="6" t="s">
        <v>513</v>
      </c>
      <c r="C80" s="6" t="s">
        <v>514</v>
      </c>
      <c r="D80" s="6" t="s">
        <v>539</v>
      </c>
      <c r="E80" s="6" t="s">
        <v>540</v>
      </c>
      <c r="F80" s="6">
        <v>10.7</v>
      </c>
    </row>
    <row r="81" spans="1:6" x14ac:dyDescent="0.25">
      <c r="A81" s="6" t="s">
        <v>427</v>
      </c>
      <c r="B81" s="6" t="s">
        <v>517</v>
      </c>
      <c r="C81" s="6" t="s">
        <v>518</v>
      </c>
      <c r="D81" s="6" t="s">
        <v>539</v>
      </c>
      <c r="E81" s="6" t="s">
        <v>540</v>
      </c>
      <c r="F81" s="6">
        <v>10.7</v>
      </c>
    </row>
    <row r="82" spans="1:6" x14ac:dyDescent="0.25">
      <c r="A82" s="6" t="s">
        <v>428</v>
      </c>
      <c r="B82" s="6" t="s">
        <v>74</v>
      </c>
      <c r="C82" s="6" t="s">
        <v>110</v>
      </c>
      <c r="D82" s="6" t="s">
        <v>539</v>
      </c>
      <c r="E82" s="6" t="s">
        <v>540</v>
      </c>
      <c r="F82" s="6">
        <v>10.7</v>
      </c>
    </row>
    <row r="83" spans="1:6" x14ac:dyDescent="0.25">
      <c r="A83" s="6" t="s">
        <v>429</v>
      </c>
      <c r="B83" s="6" t="s">
        <v>228</v>
      </c>
      <c r="C83" s="6" t="s">
        <v>520</v>
      </c>
      <c r="D83" s="6" t="s">
        <v>539</v>
      </c>
      <c r="E83" s="6" t="s">
        <v>540</v>
      </c>
      <c r="F83" s="6">
        <v>10.7</v>
      </c>
    </row>
    <row r="84" spans="1:6" x14ac:dyDescent="0.25">
      <c r="A84" s="6" t="s">
        <v>430</v>
      </c>
      <c r="B84" s="6" t="s">
        <v>499</v>
      </c>
      <c r="C84" s="6" t="s">
        <v>323</v>
      </c>
      <c r="D84" s="6" t="s">
        <v>539</v>
      </c>
      <c r="E84" s="6" t="s">
        <v>540</v>
      </c>
      <c r="F84" s="6">
        <v>5.75</v>
      </c>
    </row>
    <row r="85" spans="1:6" x14ac:dyDescent="0.25">
      <c r="A85" s="6" t="s">
        <v>431</v>
      </c>
      <c r="B85" s="6" t="s">
        <v>95</v>
      </c>
      <c r="C85" s="6" t="s">
        <v>97</v>
      </c>
      <c r="D85" s="6" t="s">
        <v>539</v>
      </c>
      <c r="E85" s="6" t="s">
        <v>540</v>
      </c>
      <c r="F85" s="6">
        <v>11</v>
      </c>
    </row>
    <row r="86" spans="1:6" x14ac:dyDescent="0.25">
      <c r="A86" s="6" t="s">
        <v>432</v>
      </c>
      <c r="B86" s="6" t="s">
        <v>131</v>
      </c>
      <c r="C86" s="6" t="s">
        <v>133</v>
      </c>
      <c r="D86" s="6" t="s">
        <v>539</v>
      </c>
      <c r="E86" s="6" t="s">
        <v>540</v>
      </c>
      <c r="F86" s="6">
        <v>11</v>
      </c>
    </row>
    <row r="87" spans="1:6" x14ac:dyDescent="0.25">
      <c r="A87" s="6" t="s">
        <v>433</v>
      </c>
      <c r="B87" s="6" t="s">
        <v>168</v>
      </c>
      <c r="C87" s="6" t="s">
        <v>172</v>
      </c>
      <c r="D87" s="6" t="s">
        <v>539</v>
      </c>
      <c r="E87" s="6" t="s">
        <v>540</v>
      </c>
      <c r="F87" s="6">
        <v>11</v>
      </c>
    </row>
    <row r="88" spans="1:6" x14ac:dyDescent="0.25">
      <c r="A88" s="6" t="s">
        <v>434</v>
      </c>
      <c r="B88" s="6" t="s">
        <v>209</v>
      </c>
      <c r="C88" s="6" t="s">
        <v>213</v>
      </c>
      <c r="D88" s="6" t="s">
        <v>539</v>
      </c>
      <c r="E88" s="6" t="s">
        <v>540</v>
      </c>
      <c r="F88" s="6">
        <v>11</v>
      </c>
    </row>
    <row r="89" spans="1:6" x14ac:dyDescent="0.25">
      <c r="A89" s="6" t="s">
        <v>435</v>
      </c>
      <c r="B89" s="6" t="s">
        <v>290</v>
      </c>
      <c r="C89" s="6" t="s">
        <v>292</v>
      </c>
      <c r="D89" s="6" t="s">
        <v>539</v>
      </c>
      <c r="E89" s="6" t="s">
        <v>540</v>
      </c>
      <c r="F89" s="6">
        <v>11</v>
      </c>
    </row>
    <row r="90" spans="1:6" x14ac:dyDescent="0.25">
      <c r="A90" s="6" t="s">
        <v>436</v>
      </c>
      <c r="B90" s="6" t="s">
        <v>97</v>
      </c>
      <c r="C90" s="6" t="s">
        <v>133</v>
      </c>
      <c r="D90" s="6" t="s">
        <v>539</v>
      </c>
      <c r="E90" s="6" t="s">
        <v>540</v>
      </c>
      <c r="F90" s="6">
        <v>8.3000000000000007</v>
      </c>
    </row>
    <row r="91" spans="1:6" x14ac:dyDescent="0.25">
      <c r="A91" s="6" t="s">
        <v>437</v>
      </c>
      <c r="B91" s="6" t="s">
        <v>133</v>
      </c>
      <c r="C91" s="6" t="s">
        <v>172</v>
      </c>
      <c r="D91" s="6" t="s">
        <v>539</v>
      </c>
      <c r="E91" s="6" t="s">
        <v>540</v>
      </c>
      <c r="F91" s="6">
        <v>8.3000000000000007</v>
      </c>
    </row>
    <row r="92" spans="1:6" x14ac:dyDescent="0.25">
      <c r="A92" s="6" t="s">
        <v>438</v>
      </c>
      <c r="B92" s="6" t="s">
        <v>172</v>
      </c>
      <c r="C92" s="6" t="s">
        <v>213</v>
      </c>
      <c r="D92" s="6" t="s">
        <v>539</v>
      </c>
      <c r="E92" s="6" t="s">
        <v>540</v>
      </c>
      <c r="F92" s="6">
        <v>8.3000000000000007</v>
      </c>
    </row>
    <row r="93" spans="1:6" x14ac:dyDescent="0.25">
      <c r="A93" s="6" t="s">
        <v>439</v>
      </c>
      <c r="B93" s="6" t="s">
        <v>213</v>
      </c>
      <c r="C93" s="6" t="s">
        <v>251</v>
      </c>
      <c r="D93" s="6" t="s">
        <v>539</v>
      </c>
      <c r="E93" s="6" t="s">
        <v>540</v>
      </c>
      <c r="F93" s="6">
        <v>8.3000000000000007</v>
      </c>
    </row>
    <row r="94" spans="1:6" x14ac:dyDescent="0.25">
      <c r="A94" s="6" t="s">
        <v>440</v>
      </c>
      <c r="B94" s="6" t="s">
        <v>251</v>
      </c>
      <c r="C94" s="6" t="s">
        <v>292</v>
      </c>
      <c r="D94" s="6" t="s">
        <v>539</v>
      </c>
      <c r="E94" s="6" t="s">
        <v>540</v>
      </c>
      <c r="F94" s="6">
        <v>8.3000000000000007</v>
      </c>
    </row>
    <row r="95" spans="1:6" x14ac:dyDescent="0.25">
      <c r="A95" s="6" t="s">
        <v>441</v>
      </c>
      <c r="B95" s="6" t="s">
        <v>250</v>
      </c>
      <c r="C95" s="6" t="s">
        <v>251</v>
      </c>
      <c r="D95" s="6" t="s">
        <v>539</v>
      </c>
      <c r="E95" s="6" t="s">
        <v>540</v>
      </c>
      <c r="F95" s="6">
        <v>11</v>
      </c>
    </row>
    <row r="96" spans="1:6" x14ac:dyDescent="0.25">
      <c r="A96" s="6" t="s">
        <v>442</v>
      </c>
      <c r="B96" s="6" t="s">
        <v>60</v>
      </c>
      <c r="C96" s="6" t="s">
        <v>61</v>
      </c>
      <c r="D96" s="6" t="s">
        <v>539</v>
      </c>
      <c r="E96" s="6" t="s">
        <v>540</v>
      </c>
      <c r="F96" s="6">
        <v>11</v>
      </c>
    </row>
    <row r="97" spans="1:6" x14ac:dyDescent="0.25">
      <c r="A97" s="6" t="s">
        <v>443</v>
      </c>
      <c r="B97" s="6" t="s">
        <v>324</v>
      </c>
      <c r="C97" s="6" t="s">
        <v>326</v>
      </c>
      <c r="D97" s="6" t="s">
        <v>539</v>
      </c>
      <c r="E97" s="6" t="s">
        <v>540</v>
      </c>
      <c r="F97" s="6">
        <v>11</v>
      </c>
    </row>
    <row r="98" spans="1:6" x14ac:dyDescent="0.25">
      <c r="A98" s="6" t="s">
        <v>444</v>
      </c>
      <c r="B98" s="6" t="s">
        <v>61</v>
      </c>
      <c r="C98" s="6" t="s">
        <v>97</v>
      </c>
      <c r="D98" s="6" t="s">
        <v>539</v>
      </c>
      <c r="E98" s="6" t="s">
        <v>540</v>
      </c>
      <c r="F98" s="6">
        <v>8.3000000000000007</v>
      </c>
    </row>
    <row r="99" spans="1:6" x14ac:dyDescent="0.25">
      <c r="A99" s="6" t="s">
        <v>445</v>
      </c>
      <c r="B99" s="6" t="s">
        <v>292</v>
      </c>
      <c r="C99" s="6" t="s">
        <v>326</v>
      </c>
      <c r="D99" s="6" t="s">
        <v>539</v>
      </c>
      <c r="E99" s="6" t="s">
        <v>540</v>
      </c>
      <c r="F99" s="6">
        <v>5.75</v>
      </c>
    </row>
    <row r="100" spans="1:6" x14ac:dyDescent="0.25">
      <c r="A100" s="6" t="s">
        <v>446</v>
      </c>
      <c r="B100" s="6" t="s">
        <v>506</v>
      </c>
      <c r="C100" s="6" t="s">
        <v>507</v>
      </c>
      <c r="D100" s="6" t="s">
        <v>539</v>
      </c>
      <c r="E100" s="6" t="s">
        <v>540</v>
      </c>
      <c r="F100" s="6">
        <v>11</v>
      </c>
    </row>
    <row r="101" spans="1:6" x14ac:dyDescent="0.25">
      <c r="A101" s="6" t="s">
        <v>447</v>
      </c>
      <c r="B101" s="6" t="s">
        <v>510</v>
      </c>
      <c r="C101" s="6" t="s">
        <v>511</v>
      </c>
      <c r="D101" s="6" t="s">
        <v>539</v>
      </c>
      <c r="E101" s="6" t="s">
        <v>540</v>
      </c>
      <c r="F101" s="6">
        <v>11</v>
      </c>
    </row>
    <row r="102" spans="1:6" x14ac:dyDescent="0.25">
      <c r="A102" s="6" t="s">
        <v>448</v>
      </c>
      <c r="B102" s="6" t="s">
        <v>514</v>
      </c>
      <c r="C102" s="6" t="s">
        <v>515</v>
      </c>
      <c r="D102" s="6" t="s">
        <v>539</v>
      </c>
      <c r="E102" s="6" t="s">
        <v>540</v>
      </c>
      <c r="F102" s="6">
        <v>11</v>
      </c>
    </row>
    <row r="103" spans="1:6" x14ac:dyDescent="0.25">
      <c r="A103" s="6" t="s">
        <v>449</v>
      </c>
      <c r="B103" s="6" t="s">
        <v>110</v>
      </c>
      <c r="C103" s="6" t="s">
        <v>146</v>
      </c>
      <c r="D103" s="6" t="s">
        <v>539</v>
      </c>
      <c r="E103" s="6" t="s">
        <v>540</v>
      </c>
      <c r="F103" s="6">
        <v>11</v>
      </c>
    </row>
    <row r="104" spans="1:6" x14ac:dyDescent="0.25">
      <c r="A104" s="6" t="s">
        <v>450</v>
      </c>
      <c r="B104" s="6" t="s">
        <v>520</v>
      </c>
      <c r="C104" s="6" t="s">
        <v>521</v>
      </c>
      <c r="D104" s="6" t="s">
        <v>539</v>
      </c>
      <c r="E104" s="6" t="s">
        <v>540</v>
      </c>
      <c r="F104" s="6">
        <v>11</v>
      </c>
    </row>
    <row r="105" spans="1:6" x14ac:dyDescent="0.25">
      <c r="A105" s="6" t="s">
        <v>451</v>
      </c>
      <c r="B105" s="6" t="s">
        <v>500</v>
      </c>
      <c r="C105" s="6" t="s">
        <v>501</v>
      </c>
      <c r="D105" s="6" t="s">
        <v>539</v>
      </c>
      <c r="E105" s="6" t="s">
        <v>540</v>
      </c>
      <c r="F105" s="6">
        <v>8.3000000000000007</v>
      </c>
    </row>
    <row r="106" spans="1:6" x14ac:dyDescent="0.25">
      <c r="A106" s="6" t="s">
        <v>452</v>
      </c>
      <c r="B106" s="6" t="s">
        <v>502</v>
      </c>
      <c r="C106" s="6" t="s">
        <v>325</v>
      </c>
      <c r="D106" s="6" t="s">
        <v>539</v>
      </c>
      <c r="E106" s="6" t="s">
        <v>540</v>
      </c>
      <c r="F106" s="6">
        <v>5.75</v>
      </c>
    </row>
    <row r="107" spans="1:6" x14ac:dyDescent="0.25">
      <c r="A107" s="6" t="s">
        <v>453</v>
      </c>
      <c r="B107" s="6" t="s">
        <v>61</v>
      </c>
      <c r="C107" s="6" t="s">
        <v>62</v>
      </c>
      <c r="D107" s="6" t="s">
        <v>539</v>
      </c>
      <c r="E107" s="6" t="s">
        <v>540</v>
      </c>
      <c r="F107" s="6">
        <v>9.9</v>
      </c>
    </row>
    <row r="108" spans="1:6" x14ac:dyDescent="0.25">
      <c r="A108" s="6" t="s">
        <v>454</v>
      </c>
      <c r="B108" s="6" t="s">
        <v>62</v>
      </c>
      <c r="C108" s="6" t="s">
        <v>98</v>
      </c>
      <c r="D108" s="6" t="s">
        <v>539</v>
      </c>
      <c r="E108" s="6" t="s">
        <v>540</v>
      </c>
      <c r="F108" s="6">
        <v>8.3000000000000007</v>
      </c>
    </row>
    <row r="109" spans="1:6" x14ac:dyDescent="0.25">
      <c r="A109" s="6" t="s">
        <v>455</v>
      </c>
      <c r="B109" s="6" t="s">
        <v>98</v>
      </c>
      <c r="C109" s="6" t="s">
        <v>134</v>
      </c>
      <c r="D109" s="6" t="s">
        <v>539</v>
      </c>
      <c r="E109" s="6" t="s">
        <v>540</v>
      </c>
      <c r="F109" s="6">
        <v>8.3000000000000007</v>
      </c>
    </row>
    <row r="110" spans="1:6" x14ac:dyDescent="0.25">
      <c r="A110" s="6" t="s">
        <v>456</v>
      </c>
      <c r="B110" s="6" t="s">
        <v>134</v>
      </c>
      <c r="C110" s="6" t="s">
        <v>173</v>
      </c>
      <c r="D110" s="6" t="s">
        <v>539</v>
      </c>
      <c r="E110" s="6" t="s">
        <v>540</v>
      </c>
      <c r="F110" s="6">
        <v>8.3000000000000007</v>
      </c>
    </row>
    <row r="111" spans="1:6" x14ac:dyDescent="0.25">
      <c r="A111" s="6" t="s">
        <v>457</v>
      </c>
      <c r="B111" s="6" t="s">
        <v>173</v>
      </c>
      <c r="C111" s="6" t="s">
        <v>214</v>
      </c>
      <c r="D111" s="6" t="s">
        <v>539</v>
      </c>
      <c r="E111" s="6" t="s">
        <v>540</v>
      </c>
      <c r="F111" s="6">
        <v>8.3000000000000007</v>
      </c>
    </row>
    <row r="112" spans="1:6" x14ac:dyDescent="0.25">
      <c r="A112" s="6" t="s">
        <v>458</v>
      </c>
      <c r="B112" s="6" t="s">
        <v>214</v>
      </c>
      <c r="C112" s="6" t="s">
        <v>252</v>
      </c>
      <c r="D112" s="6" t="s">
        <v>539</v>
      </c>
      <c r="E112" s="6" t="s">
        <v>540</v>
      </c>
      <c r="F112" s="6">
        <v>8.3000000000000007</v>
      </c>
    </row>
    <row r="113" spans="1:6" x14ac:dyDescent="0.25">
      <c r="A113" s="6" t="s">
        <v>459</v>
      </c>
      <c r="B113" s="6" t="s">
        <v>252</v>
      </c>
      <c r="C113" s="6" t="s">
        <v>294</v>
      </c>
      <c r="D113" s="6" t="s">
        <v>539</v>
      </c>
      <c r="E113" s="6" t="s">
        <v>540</v>
      </c>
      <c r="F113" s="6">
        <v>8.3000000000000007</v>
      </c>
    </row>
    <row r="114" spans="1:6" x14ac:dyDescent="0.25">
      <c r="A114" s="6" t="s">
        <v>460</v>
      </c>
      <c r="B114" s="6" t="s">
        <v>294</v>
      </c>
      <c r="C114" s="6" t="s">
        <v>328</v>
      </c>
      <c r="D114" s="6" t="s">
        <v>539</v>
      </c>
      <c r="E114" s="6" t="s">
        <v>540</v>
      </c>
      <c r="F114" s="6">
        <v>5.75</v>
      </c>
    </row>
    <row r="115" spans="1:6" x14ac:dyDescent="0.25">
      <c r="A115" s="6" t="s">
        <v>461</v>
      </c>
      <c r="B115" s="6" t="s">
        <v>326</v>
      </c>
      <c r="C115" s="6" t="s">
        <v>328</v>
      </c>
      <c r="D115" s="6" t="s">
        <v>539</v>
      </c>
      <c r="E115" s="6" t="s">
        <v>540</v>
      </c>
      <c r="F115" s="6">
        <v>9.9</v>
      </c>
    </row>
    <row r="116" spans="1:6" x14ac:dyDescent="0.25">
      <c r="A116" s="6" t="s">
        <v>462</v>
      </c>
      <c r="B116" s="6" t="s">
        <v>97</v>
      </c>
      <c r="C116" s="6" t="s">
        <v>98</v>
      </c>
      <c r="D116" s="6" t="s">
        <v>539</v>
      </c>
      <c r="E116" s="6" t="s">
        <v>540</v>
      </c>
      <c r="F116" s="6">
        <v>9.9</v>
      </c>
    </row>
    <row r="117" spans="1:6" x14ac:dyDescent="0.25">
      <c r="A117" s="6" t="s">
        <v>463</v>
      </c>
      <c r="B117" s="6" t="s">
        <v>133</v>
      </c>
      <c r="C117" s="6" t="s">
        <v>134</v>
      </c>
      <c r="D117" s="6" t="s">
        <v>539</v>
      </c>
      <c r="E117" s="6" t="s">
        <v>540</v>
      </c>
      <c r="F117" s="6">
        <v>9.9</v>
      </c>
    </row>
    <row r="118" spans="1:6" x14ac:dyDescent="0.25">
      <c r="A118" s="6" t="s">
        <v>464</v>
      </c>
      <c r="B118" s="6" t="s">
        <v>172</v>
      </c>
      <c r="C118" s="6" t="s">
        <v>173</v>
      </c>
      <c r="D118" s="6" t="s">
        <v>539</v>
      </c>
      <c r="E118" s="6" t="s">
        <v>540</v>
      </c>
      <c r="F118" s="6">
        <v>9.9</v>
      </c>
    </row>
    <row r="119" spans="1:6" x14ac:dyDescent="0.25">
      <c r="A119" s="6" t="s">
        <v>465</v>
      </c>
      <c r="B119" s="6" t="s">
        <v>213</v>
      </c>
      <c r="C119" s="6" t="s">
        <v>214</v>
      </c>
      <c r="D119" s="6" t="s">
        <v>539</v>
      </c>
      <c r="E119" s="6" t="s">
        <v>540</v>
      </c>
      <c r="F119" s="6">
        <v>9.9</v>
      </c>
    </row>
    <row r="120" spans="1:6" x14ac:dyDescent="0.25">
      <c r="A120" s="6" t="s">
        <v>466</v>
      </c>
      <c r="B120" s="6" t="s">
        <v>251</v>
      </c>
      <c r="C120" s="6" t="s">
        <v>252</v>
      </c>
      <c r="D120" s="6" t="s">
        <v>539</v>
      </c>
      <c r="E120" s="6" t="s">
        <v>540</v>
      </c>
      <c r="F120" s="6">
        <v>9.9</v>
      </c>
    </row>
    <row r="121" spans="1:6" x14ac:dyDescent="0.25">
      <c r="A121" s="6" t="s">
        <v>467</v>
      </c>
      <c r="B121" s="6" t="s">
        <v>292</v>
      </c>
      <c r="C121" s="6" t="s">
        <v>294</v>
      </c>
      <c r="D121" s="6" t="s">
        <v>539</v>
      </c>
      <c r="E121" s="6" t="s">
        <v>540</v>
      </c>
      <c r="F121" s="6">
        <v>9.9</v>
      </c>
    </row>
    <row r="122" spans="1:6" x14ac:dyDescent="0.25">
      <c r="A122" s="6" t="s">
        <v>468</v>
      </c>
      <c r="B122" s="6" t="s">
        <v>507</v>
      </c>
      <c r="C122" s="6" t="s">
        <v>80</v>
      </c>
      <c r="D122" s="6" t="s">
        <v>539</v>
      </c>
      <c r="E122" s="6" t="s">
        <v>540</v>
      </c>
      <c r="F122" s="6">
        <v>9.9</v>
      </c>
    </row>
    <row r="123" spans="1:6" x14ac:dyDescent="0.25">
      <c r="A123" s="6" t="s">
        <v>469</v>
      </c>
      <c r="B123" s="6" t="s">
        <v>511</v>
      </c>
      <c r="C123" s="6" t="s">
        <v>116</v>
      </c>
      <c r="D123" s="6" t="s">
        <v>539</v>
      </c>
      <c r="E123" s="6" t="s">
        <v>540</v>
      </c>
      <c r="F123" s="6">
        <v>9.9</v>
      </c>
    </row>
    <row r="124" spans="1:6" x14ac:dyDescent="0.25">
      <c r="A124" s="6" t="s">
        <v>470</v>
      </c>
      <c r="B124" s="6" t="s">
        <v>515</v>
      </c>
      <c r="C124" s="6" t="s">
        <v>151</v>
      </c>
      <c r="D124" s="6" t="s">
        <v>539</v>
      </c>
      <c r="E124" s="6" t="s">
        <v>540</v>
      </c>
      <c r="F124" s="6">
        <v>9.9</v>
      </c>
    </row>
    <row r="125" spans="1:6" x14ac:dyDescent="0.25">
      <c r="A125" s="6" t="s">
        <v>471</v>
      </c>
      <c r="B125" s="6" t="s">
        <v>519</v>
      </c>
      <c r="C125" s="6" t="s">
        <v>192</v>
      </c>
      <c r="D125" s="6" t="s">
        <v>539</v>
      </c>
      <c r="E125" s="6" t="s">
        <v>540</v>
      </c>
      <c r="F125" s="6">
        <v>9.9</v>
      </c>
    </row>
    <row r="126" spans="1:6" x14ac:dyDescent="0.25">
      <c r="A126" s="6" t="s">
        <v>472</v>
      </c>
      <c r="B126" s="6" t="s">
        <v>146</v>
      </c>
      <c r="C126" s="6" t="s">
        <v>233</v>
      </c>
      <c r="D126" s="6" t="s">
        <v>539</v>
      </c>
      <c r="E126" s="6" t="s">
        <v>540</v>
      </c>
      <c r="F126" s="6">
        <v>9.9</v>
      </c>
    </row>
    <row r="127" spans="1:6" x14ac:dyDescent="0.25">
      <c r="A127" s="6" t="s">
        <v>473</v>
      </c>
      <c r="B127" s="6" t="s">
        <v>521</v>
      </c>
      <c r="C127" s="6" t="s">
        <v>271</v>
      </c>
      <c r="D127" s="6" t="s">
        <v>539</v>
      </c>
      <c r="E127" s="6" t="s">
        <v>540</v>
      </c>
      <c r="F127" s="6">
        <v>9.9</v>
      </c>
    </row>
    <row r="128" spans="1:6" x14ac:dyDescent="0.25">
      <c r="A128" s="6" t="s">
        <v>474</v>
      </c>
      <c r="B128" s="6" t="s">
        <v>503</v>
      </c>
      <c r="C128" s="6" t="s">
        <v>327</v>
      </c>
      <c r="D128" s="6" t="s">
        <v>539</v>
      </c>
      <c r="E128" s="6" t="s">
        <v>540</v>
      </c>
      <c r="F128" s="6">
        <v>5.75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D4:DK41"/>
  <sheetViews>
    <sheetView workbookViewId="0">
      <selection activeCell="H1" sqref="H1:H1048576"/>
    </sheetView>
  </sheetViews>
  <sheetFormatPr defaultColWidth="8.875" defaultRowHeight="15.75" x14ac:dyDescent="0.25"/>
  <cols>
    <col min="1" max="3" width="8.875" style="6"/>
    <col min="4" max="4" width="10.375" style="6" bestFit="1" customWidth="1"/>
    <col min="5" max="5" width="17.875" style="6" bestFit="1" customWidth="1"/>
    <col min="6" max="6" width="11.5" style="6" bestFit="1" customWidth="1"/>
    <col min="7" max="7" width="8.875" style="6"/>
    <col min="8" max="10" width="9.5" style="6" bestFit="1" customWidth="1"/>
    <col min="11" max="12" width="12.375" style="6" bestFit="1" customWidth="1"/>
    <col min="13" max="13" width="9.5" style="6" bestFit="1" customWidth="1"/>
    <col min="14" max="15" width="9" style="6" bestFit="1" customWidth="1"/>
    <col min="16" max="16" width="9.5" style="6" bestFit="1" customWidth="1"/>
    <col min="17" max="18" width="9" style="6" bestFit="1" customWidth="1"/>
    <col min="19" max="19" width="9.5" style="6" bestFit="1" customWidth="1"/>
    <col min="20" max="21" width="9" style="6" bestFit="1" customWidth="1"/>
    <col min="22" max="22" width="9.5" style="6" bestFit="1" customWidth="1"/>
    <col min="23" max="24" width="9" style="6" bestFit="1" customWidth="1"/>
    <col min="25" max="25" width="9.5" style="6" bestFit="1" customWidth="1"/>
    <col min="26" max="27" width="9" style="6" bestFit="1" customWidth="1"/>
    <col min="28" max="28" width="9.5" style="6" bestFit="1" customWidth="1"/>
    <col min="29" max="30" width="9" style="6" bestFit="1" customWidth="1"/>
    <col min="31" max="31" width="9.5" style="6" bestFit="1" customWidth="1"/>
    <col min="32" max="33" width="9" style="6" bestFit="1" customWidth="1"/>
    <col min="34" max="34" width="9.5" style="6" bestFit="1" customWidth="1"/>
    <col min="35" max="36" width="9" style="6" bestFit="1" customWidth="1"/>
    <col min="37" max="37" width="9.5" style="6" bestFit="1" customWidth="1"/>
    <col min="38" max="39" width="9" style="6" bestFit="1" customWidth="1"/>
    <col min="40" max="40" width="9.5" style="6" bestFit="1" customWidth="1"/>
    <col min="41" max="42" width="9" style="6" bestFit="1" customWidth="1"/>
    <col min="43" max="43" width="9.5" style="6" bestFit="1" customWidth="1"/>
    <col min="44" max="45" width="9" style="6" bestFit="1" customWidth="1"/>
    <col min="46" max="46" width="9.5" style="6" bestFit="1" customWidth="1"/>
    <col min="47" max="48" width="9" style="6" bestFit="1" customWidth="1"/>
    <col min="49" max="49" width="9.5" style="6" bestFit="1" customWidth="1"/>
    <col min="50" max="51" width="9" style="6" bestFit="1" customWidth="1"/>
    <col min="52" max="52" width="9.5" style="6" bestFit="1" customWidth="1"/>
    <col min="53" max="54" width="9" style="6" bestFit="1" customWidth="1"/>
    <col min="55" max="55" width="9.5" style="6" bestFit="1" customWidth="1"/>
    <col min="56" max="57" width="9" style="6" bestFit="1" customWidth="1"/>
    <col min="58" max="58" width="9.5" style="6" bestFit="1" customWidth="1"/>
    <col min="59" max="60" width="9" style="6" bestFit="1" customWidth="1"/>
    <col min="61" max="61" width="9.5" style="6" bestFit="1" customWidth="1"/>
    <col min="62" max="63" width="9" style="6" bestFit="1" customWidth="1"/>
    <col min="64" max="64" width="9.5" style="6" bestFit="1" customWidth="1"/>
    <col min="65" max="66" width="9" style="6" bestFit="1" customWidth="1"/>
    <col min="67" max="67" width="9.5" style="6" bestFit="1" customWidth="1"/>
    <col min="68" max="69" width="9" style="6" bestFit="1" customWidth="1"/>
    <col min="70" max="70" width="9.5" style="6" bestFit="1" customWidth="1"/>
    <col min="71" max="72" width="9" style="6" bestFit="1" customWidth="1"/>
    <col min="73" max="73" width="9.5" style="6" bestFit="1" customWidth="1"/>
    <col min="74" max="75" width="9" style="6" bestFit="1" customWidth="1"/>
    <col min="76" max="76" width="9.5" style="6" bestFit="1" customWidth="1"/>
    <col min="77" max="78" width="9" style="6" bestFit="1" customWidth="1"/>
    <col min="79" max="79" width="9.5" style="6" bestFit="1" customWidth="1"/>
    <col min="80" max="81" width="9" style="6" bestFit="1" customWidth="1"/>
    <col min="82" max="82" width="9.5" style="6" bestFit="1" customWidth="1"/>
    <col min="83" max="84" width="9" style="6" bestFit="1" customWidth="1"/>
    <col min="85" max="85" width="9.5" style="6" bestFit="1" customWidth="1"/>
    <col min="86" max="87" width="9" style="6" bestFit="1" customWidth="1"/>
    <col min="88" max="88" width="9.5" style="6" bestFit="1" customWidth="1"/>
    <col min="89" max="90" width="9" style="6" bestFit="1" customWidth="1"/>
    <col min="91" max="91" width="9.5" style="6" bestFit="1" customWidth="1"/>
    <col min="92" max="93" width="9" style="6" bestFit="1" customWidth="1"/>
    <col min="94" max="94" width="9.5" style="6" bestFit="1" customWidth="1"/>
    <col min="95" max="96" width="9" style="6" bestFit="1" customWidth="1"/>
    <col min="97" max="97" width="9.5" style="6" bestFit="1" customWidth="1"/>
    <col min="98" max="99" width="9" style="6" bestFit="1" customWidth="1"/>
    <col min="100" max="100" width="9.5" style="6" bestFit="1" customWidth="1"/>
    <col min="101" max="102" width="9" style="6" bestFit="1" customWidth="1"/>
    <col min="103" max="103" width="9.5" style="6" bestFit="1" customWidth="1"/>
    <col min="104" max="105" width="9" style="6" bestFit="1" customWidth="1"/>
    <col min="106" max="106" width="9.5" style="6" bestFit="1" customWidth="1"/>
    <col min="107" max="108" width="9" style="6" bestFit="1" customWidth="1"/>
    <col min="109" max="109" width="9.5" style="6" bestFit="1" customWidth="1"/>
    <col min="110" max="111" width="9" style="6" bestFit="1" customWidth="1"/>
    <col min="112" max="112" width="9.5" style="6" bestFit="1" customWidth="1"/>
    <col min="113" max="114" width="9" style="6" bestFit="1" customWidth="1"/>
    <col min="115" max="115" width="9.5" style="6" bestFit="1" customWidth="1"/>
    <col min="116" max="16384" width="8.875" style="6"/>
  </cols>
  <sheetData>
    <row r="4" spans="4:115" ht="16.5" thickBot="1" x14ac:dyDescent="0.3">
      <c r="H4" s="6" t="s">
        <v>11</v>
      </c>
      <c r="K4" s="6" t="s">
        <v>12</v>
      </c>
      <c r="N4" s="6" t="s">
        <v>13</v>
      </c>
      <c r="Q4" s="6" t="s">
        <v>14</v>
      </c>
      <c r="T4" s="6" t="s">
        <v>15</v>
      </c>
      <c r="W4" s="6" t="s">
        <v>16</v>
      </c>
      <c r="Z4" s="6" t="s">
        <v>17</v>
      </c>
      <c r="AC4" s="6" t="s">
        <v>18</v>
      </c>
      <c r="AF4" s="6" t="s">
        <v>19</v>
      </c>
      <c r="AI4" s="6" t="s">
        <v>20</v>
      </c>
      <c r="AL4" s="6" t="s">
        <v>21</v>
      </c>
      <c r="AO4" s="6" t="s">
        <v>22</v>
      </c>
      <c r="AR4" s="6" t="s">
        <v>23</v>
      </c>
      <c r="AU4" s="6" t="s">
        <v>24</v>
      </c>
      <c r="AX4" s="6" t="s">
        <v>25</v>
      </c>
      <c r="BA4" s="6" t="s">
        <v>26</v>
      </c>
      <c r="BD4" s="6" t="s">
        <v>27</v>
      </c>
      <c r="BG4" s="6" t="s">
        <v>28</v>
      </c>
      <c r="BJ4" s="6" t="s">
        <v>29</v>
      </c>
      <c r="BM4" s="6" t="s">
        <v>30</v>
      </c>
      <c r="BP4" s="6" t="s">
        <v>31</v>
      </c>
      <c r="BS4" s="6" t="s">
        <v>32</v>
      </c>
      <c r="BV4" s="6" t="s">
        <v>33</v>
      </c>
      <c r="BY4" s="6" t="s">
        <v>34</v>
      </c>
      <c r="CB4" s="6" t="s">
        <v>35</v>
      </c>
      <c r="CE4" s="6" t="s">
        <v>36</v>
      </c>
      <c r="CH4" s="6" t="s">
        <v>37</v>
      </c>
      <c r="CK4" s="6" t="s">
        <v>38</v>
      </c>
      <c r="CN4" s="6" t="s">
        <v>39</v>
      </c>
      <c r="CQ4" s="6" t="s">
        <v>40</v>
      </c>
      <c r="CT4" s="6" t="s">
        <v>41</v>
      </c>
      <c r="CW4" s="6" t="s">
        <v>42</v>
      </c>
      <c r="CZ4" s="6" t="s">
        <v>43</v>
      </c>
      <c r="DC4" s="6" t="s">
        <v>44</v>
      </c>
      <c r="DF4" s="6" t="s">
        <v>45</v>
      </c>
      <c r="DI4" s="6" t="s">
        <v>46</v>
      </c>
    </row>
    <row r="5" spans="4:115" ht="16.5" thickBot="1" x14ac:dyDescent="0.3">
      <c r="D5" s="1" t="s">
        <v>476</v>
      </c>
      <c r="E5" s="2" t="s">
        <v>477</v>
      </c>
      <c r="F5" s="2" t="s">
        <v>478</v>
      </c>
      <c r="H5" s="6" t="s">
        <v>342</v>
      </c>
      <c r="I5" s="6" t="s">
        <v>343</v>
      </c>
      <c r="J5" s="6" t="s">
        <v>544</v>
      </c>
      <c r="K5" s="6" t="s">
        <v>342</v>
      </c>
      <c r="L5" s="6" t="s">
        <v>343</v>
      </c>
      <c r="M5" s="6" t="s">
        <v>544</v>
      </c>
      <c r="N5" s="6" t="s">
        <v>342</v>
      </c>
      <c r="O5" s="6" t="s">
        <v>343</v>
      </c>
      <c r="P5" s="6" t="s">
        <v>544</v>
      </c>
      <c r="Q5" s="6" t="s">
        <v>342</v>
      </c>
      <c r="R5" s="6" t="s">
        <v>343</v>
      </c>
      <c r="S5" s="6" t="s">
        <v>544</v>
      </c>
      <c r="T5" s="6" t="s">
        <v>342</v>
      </c>
      <c r="U5" s="6" t="s">
        <v>343</v>
      </c>
      <c r="V5" s="6" t="s">
        <v>544</v>
      </c>
      <c r="W5" s="6" t="s">
        <v>342</v>
      </c>
      <c r="X5" s="6" t="s">
        <v>343</v>
      </c>
      <c r="Y5" s="6" t="s">
        <v>544</v>
      </c>
      <c r="Z5" s="6" t="s">
        <v>342</v>
      </c>
      <c r="AA5" s="6" t="s">
        <v>343</v>
      </c>
      <c r="AB5" s="6" t="s">
        <v>544</v>
      </c>
      <c r="AC5" s="6" t="s">
        <v>342</v>
      </c>
      <c r="AD5" s="6" t="s">
        <v>343</v>
      </c>
      <c r="AE5" s="6" t="s">
        <v>544</v>
      </c>
      <c r="AF5" s="6" t="s">
        <v>342</v>
      </c>
      <c r="AG5" s="6" t="s">
        <v>343</v>
      </c>
      <c r="AH5" s="6" t="s">
        <v>544</v>
      </c>
      <c r="AI5" s="6" t="s">
        <v>342</v>
      </c>
      <c r="AJ5" s="6" t="s">
        <v>343</v>
      </c>
      <c r="AK5" s="6" t="s">
        <v>544</v>
      </c>
      <c r="AL5" s="6" t="s">
        <v>342</v>
      </c>
      <c r="AM5" s="6" t="s">
        <v>343</v>
      </c>
      <c r="AN5" s="6" t="s">
        <v>544</v>
      </c>
      <c r="AO5" s="6" t="s">
        <v>342</v>
      </c>
      <c r="AP5" s="6" t="s">
        <v>343</v>
      </c>
      <c r="AQ5" s="6" t="s">
        <v>544</v>
      </c>
      <c r="AR5" s="6" t="s">
        <v>342</v>
      </c>
      <c r="AS5" s="6" t="s">
        <v>343</v>
      </c>
      <c r="AT5" s="6" t="s">
        <v>544</v>
      </c>
      <c r="AU5" s="6" t="s">
        <v>342</v>
      </c>
      <c r="AV5" s="6" t="s">
        <v>343</v>
      </c>
      <c r="AW5" s="6" t="s">
        <v>544</v>
      </c>
      <c r="AX5" s="6" t="s">
        <v>342</v>
      </c>
      <c r="AY5" s="6" t="s">
        <v>343</v>
      </c>
      <c r="AZ5" s="6" t="s">
        <v>544</v>
      </c>
      <c r="BA5" s="6" t="s">
        <v>342</v>
      </c>
      <c r="BB5" s="6" t="s">
        <v>343</v>
      </c>
      <c r="BC5" s="6" t="s">
        <v>544</v>
      </c>
      <c r="BD5" s="6" t="s">
        <v>342</v>
      </c>
      <c r="BE5" s="6" t="s">
        <v>343</v>
      </c>
      <c r="BF5" s="6" t="s">
        <v>544</v>
      </c>
      <c r="BG5" s="6" t="s">
        <v>342</v>
      </c>
      <c r="BH5" s="6" t="s">
        <v>343</v>
      </c>
      <c r="BI5" s="6" t="s">
        <v>544</v>
      </c>
      <c r="BJ5" s="6" t="s">
        <v>342</v>
      </c>
      <c r="BK5" s="6" t="s">
        <v>343</v>
      </c>
      <c r="BL5" s="6" t="s">
        <v>544</v>
      </c>
      <c r="BM5" s="6" t="s">
        <v>342</v>
      </c>
      <c r="BN5" s="6" t="s">
        <v>343</v>
      </c>
      <c r="BO5" s="6" t="s">
        <v>544</v>
      </c>
      <c r="BP5" s="6" t="s">
        <v>342</v>
      </c>
      <c r="BQ5" s="6" t="s">
        <v>343</v>
      </c>
      <c r="BR5" s="6" t="s">
        <v>544</v>
      </c>
      <c r="BS5" s="6" t="s">
        <v>342</v>
      </c>
      <c r="BT5" s="6" t="s">
        <v>343</v>
      </c>
      <c r="BU5" s="6" t="s">
        <v>544</v>
      </c>
      <c r="BV5" s="6" t="s">
        <v>342</v>
      </c>
      <c r="BW5" s="6" t="s">
        <v>343</v>
      </c>
      <c r="BX5" s="6" t="s">
        <v>544</v>
      </c>
      <c r="BY5" s="6" t="s">
        <v>342</v>
      </c>
      <c r="BZ5" s="6" t="s">
        <v>343</v>
      </c>
      <c r="CA5" s="6" t="s">
        <v>544</v>
      </c>
      <c r="CB5" s="6" t="s">
        <v>342</v>
      </c>
      <c r="CC5" s="6" t="s">
        <v>343</v>
      </c>
      <c r="CD5" s="6" t="s">
        <v>544</v>
      </c>
      <c r="CE5" s="6" t="s">
        <v>342</v>
      </c>
      <c r="CF5" s="6" t="s">
        <v>343</v>
      </c>
      <c r="CG5" s="6" t="s">
        <v>544</v>
      </c>
      <c r="CH5" s="6" t="s">
        <v>342</v>
      </c>
      <c r="CI5" s="6" t="s">
        <v>343</v>
      </c>
      <c r="CJ5" s="6" t="s">
        <v>544</v>
      </c>
      <c r="CK5" s="6" t="s">
        <v>342</v>
      </c>
      <c r="CL5" s="6" t="s">
        <v>343</v>
      </c>
      <c r="CM5" s="6" t="s">
        <v>544</v>
      </c>
      <c r="CN5" s="6" t="s">
        <v>342</v>
      </c>
      <c r="CO5" s="6" t="s">
        <v>343</v>
      </c>
      <c r="CP5" s="6" t="s">
        <v>544</v>
      </c>
      <c r="CQ5" s="6" t="s">
        <v>342</v>
      </c>
      <c r="CR5" s="6" t="s">
        <v>343</v>
      </c>
      <c r="CS5" s="6" t="s">
        <v>544</v>
      </c>
      <c r="CT5" s="6" t="s">
        <v>342</v>
      </c>
      <c r="CU5" s="6" t="s">
        <v>343</v>
      </c>
      <c r="CV5" s="6" t="s">
        <v>544</v>
      </c>
      <c r="CW5" s="6" t="s">
        <v>342</v>
      </c>
      <c r="CX5" s="6" t="s">
        <v>343</v>
      </c>
      <c r="CY5" s="6" t="s">
        <v>544</v>
      </c>
      <c r="CZ5" s="6" t="s">
        <v>342</v>
      </c>
      <c r="DA5" s="6" t="s">
        <v>343</v>
      </c>
      <c r="DB5" s="6" t="s">
        <v>544</v>
      </c>
      <c r="DC5" s="6" t="s">
        <v>342</v>
      </c>
      <c r="DD5" s="6" t="s">
        <v>343</v>
      </c>
      <c r="DE5" s="6" t="s">
        <v>544</v>
      </c>
      <c r="DF5" s="6" t="s">
        <v>342</v>
      </c>
      <c r="DG5" s="6" t="s">
        <v>343</v>
      </c>
      <c r="DH5" s="6" t="s">
        <v>544</v>
      </c>
      <c r="DI5" s="6" t="s">
        <v>342</v>
      </c>
      <c r="DJ5" s="6" t="s">
        <v>343</v>
      </c>
      <c r="DK5" s="6" t="s">
        <v>544</v>
      </c>
    </row>
    <row r="6" spans="4:115" ht="16.5" thickBot="1" x14ac:dyDescent="0.3">
      <c r="D6" s="3" t="s">
        <v>11</v>
      </c>
      <c r="E6" s="4">
        <v>2798.3816587997303</v>
      </c>
      <c r="F6" s="5" t="str">
        <f>IF(E6&gt;250,"OK","N.G")</f>
        <v>OK</v>
      </c>
    </row>
    <row r="7" spans="4:115" ht="16.5" thickBot="1" x14ac:dyDescent="0.3">
      <c r="D7" s="3" t="s">
        <v>12</v>
      </c>
      <c r="E7" s="4">
        <v>2480.5738194859537</v>
      </c>
      <c r="F7" s="5" t="str">
        <f t="shared" ref="F7:F41" si="0">IF(E7&gt;250,"OK","N.G")</f>
        <v>OK</v>
      </c>
    </row>
    <row r="8" spans="4:115" ht="16.5" thickBot="1" x14ac:dyDescent="0.3">
      <c r="D8" s="3" t="s">
        <v>13</v>
      </c>
      <c r="E8" s="4">
        <v>3157.0939520730312</v>
      </c>
      <c r="F8" s="5" t="str">
        <f t="shared" si="0"/>
        <v>OK</v>
      </c>
    </row>
    <row r="9" spans="4:115" ht="16.5" thickBot="1" x14ac:dyDescent="0.3">
      <c r="D9" s="3" t="s">
        <v>14</v>
      </c>
      <c r="E9" s="4">
        <v>2660.2564102564106</v>
      </c>
      <c r="F9" s="5" t="str">
        <f t="shared" si="0"/>
        <v>OK</v>
      </c>
    </row>
    <row r="10" spans="4:115" ht="16.5" thickBot="1" x14ac:dyDescent="0.3">
      <c r="D10" s="3" t="s">
        <v>15</v>
      </c>
      <c r="E10" s="4">
        <v>2843.4395340870165</v>
      </c>
      <c r="F10" s="5" t="str">
        <f t="shared" si="0"/>
        <v>OK</v>
      </c>
    </row>
    <row r="11" spans="4:115" ht="16.5" thickBot="1" x14ac:dyDescent="0.3">
      <c r="D11" s="3" t="s">
        <v>16</v>
      </c>
      <c r="E11" s="4">
        <v>3210.8317214700201</v>
      </c>
      <c r="F11" s="5" t="str">
        <f t="shared" si="0"/>
        <v>OK</v>
      </c>
    </row>
    <row r="12" spans="4:115" ht="16.5" thickBot="1" x14ac:dyDescent="0.3">
      <c r="D12" s="3" t="s">
        <v>17</v>
      </c>
      <c r="E12" s="4">
        <v>2830.8321964529332</v>
      </c>
      <c r="F12" s="5" t="str">
        <f t="shared" si="0"/>
        <v>OK</v>
      </c>
    </row>
    <row r="13" spans="4:115" ht="16.5" thickBot="1" x14ac:dyDescent="0.3">
      <c r="D13" s="3" t="s">
        <v>18</v>
      </c>
      <c r="E13" s="4">
        <v>3219.5500387897596</v>
      </c>
      <c r="F13" s="5" t="str">
        <f t="shared" si="0"/>
        <v>OK</v>
      </c>
    </row>
    <row r="14" spans="4:115" ht="16.5" thickBot="1" x14ac:dyDescent="0.3">
      <c r="D14" s="3" t="s">
        <v>19</v>
      </c>
      <c r="E14" s="4">
        <v>2157.5253444242267</v>
      </c>
      <c r="F14" s="5" t="str">
        <f t="shared" si="0"/>
        <v>OK</v>
      </c>
    </row>
    <row r="15" spans="4:115" ht="16.5" thickBot="1" x14ac:dyDescent="0.3">
      <c r="D15" s="3" t="s">
        <v>20</v>
      </c>
      <c r="E15" s="4">
        <v>1985.1710117196842</v>
      </c>
      <c r="F15" s="5" t="str">
        <f t="shared" si="0"/>
        <v>OK</v>
      </c>
    </row>
    <row r="16" spans="4:115" ht="16.5" thickBot="1" x14ac:dyDescent="0.3">
      <c r="D16" s="3" t="s">
        <v>21</v>
      </c>
      <c r="E16" s="4">
        <v>2164.2764015645371</v>
      </c>
      <c r="F16" s="5" t="str">
        <f t="shared" si="0"/>
        <v>OK</v>
      </c>
    </row>
    <row r="17" spans="4:6" ht="16.5" thickBot="1" x14ac:dyDescent="0.3">
      <c r="D17" s="3" t="s">
        <v>22</v>
      </c>
      <c r="E17" s="4">
        <v>1981.8529130850052</v>
      </c>
      <c r="F17" s="5" t="str">
        <f t="shared" si="0"/>
        <v>OK</v>
      </c>
    </row>
    <row r="18" spans="4:6" ht="16.5" thickBot="1" x14ac:dyDescent="0.3">
      <c r="D18" s="3" t="s">
        <v>23</v>
      </c>
      <c r="E18" s="4">
        <v>3177.6416539050542</v>
      </c>
      <c r="F18" s="5" t="str">
        <f t="shared" si="0"/>
        <v>OK</v>
      </c>
    </row>
    <row r="19" spans="4:6" ht="16.5" thickBot="1" x14ac:dyDescent="0.3">
      <c r="D19" s="3" t="s">
        <v>24</v>
      </c>
      <c r="E19" s="4">
        <v>3643.5469710272173</v>
      </c>
      <c r="F19" s="5" t="str">
        <f t="shared" si="0"/>
        <v>OK</v>
      </c>
    </row>
    <row r="20" spans="4:6" ht="16.5" thickBot="1" x14ac:dyDescent="0.3">
      <c r="D20" s="3" t="s">
        <v>25</v>
      </c>
      <c r="E20" s="4">
        <v>3161.9047619047628</v>
      </c>
      <c r="F20" s="5" t="str">
        <f t="shared" si="0"/>
        <v>OK</v>
      </c>
    </row>
    <row r="21" spans="4:6" ht="16.5" thickBot="1" x14ac:dyDescent="0.3">
      <c r="D21" s="3" t="s">
        <v>26</v>
      </c>
      <c r="E21" s="4">
        <v>3654.7776309995597</v>
      </c>
      <c r="F21" s="5" t="str">
        <f t="shared" si="0"/>
        <v>OK</v>
      </c>
    </row>
    <row r="22" spans="4:6" ht="16.5" thickBot="1" x14ac:dyDescent="0.3">
      <c r="D22" s="3" t="s">
        <v>27</v>
      </c>
      <c r="E22" s="4">
        <v>2344.6327683615818</v>
      </c>
      <c r="F22" s="5" t="str">
        <f t="shared" si="0"/>
        <v>OK</v>
      </c>
    </row>
    <row r="23" spans="4:6" ht="16.5" thickBot="1" x14ac:dyDescent="0.3">
      <c r="D23" s="3" t="s">
        <v>28</v>
      </c>
      <c r="E23" s="4">
        <v>2142.4883840991224</v>
      </c>
      <c r="F23" s="5" t="str">
        <f t="shared" si="0"/>
        <v>OK</v>
      </c>
    </row>
    <row r="24" spans="4:6" ht="16.5" thickBot="1" x14ac:dyDescent="0.3">
      <c r="D24" s="3" t="s">
        <v>29</v>
      </c>
      <c r="E24" s="4">
        <v>2352.6077097505672</v>
      </c>
      <c r="F24" s="5" t="str">
        <f t="shared" si="0"/>
        <v>OK</v>
      </c>
    </row>
    <row r="25" spans="4:6" ht="16.5" thickBot="1" x14ac:dyDescent="0.3">
      <c r="D25" s="3" t="s">
        <v>30</v>
      </c>
      <c r="E25" s="4">
        <v>2138.6240659623813</v>
      </c>
      <c r="F25" s="5" t="str">
        <f t="shared" si="0"/>
        <v>OK</v>
      </c>
    </row>
    <row r="26" spans="4:6" ht="16.5" thickBot="1" x14ac:dyDescent="0.3">
      <c r="D26" s="3" t="s">
        <v>31</v>
      </c>
      <c r="E26" s="4">
        <v>2304.2754025541367</v>
      </c>
      <c r="F26" s="5" t="str">
        <f t="shared" si="0"/>
        <v>OK</v>
      </c>
    </row>
    <row r="27" spans="4:6" ht="16.5" thickBot="1" x14ac:dyDescent="0.3">
      <c r="D27" s="3" t="s">
        <v>32</v>
      </c>
      <c r="E27" s="4">
        <v>2370.074243289549</v>
      </c>
      <c r="F27" s="5" t="str">
        <f t="shared" si="0"/>
        <v>OK</v>
      </c>
    </row>
    <row r="28" spans="4:6" ht="16.5" thickBot="1" x14ac:dyDescent="0.3">
      <c r="D28" s="3" t="s">
        <v>33</v>
      </c>
      <c r="E28" s="4">
        <v>2301.7193566278429</v>
      </c>
      <c r="F28" s="5" t="str">
        <f t="shared" si="0"/>
        <v>OK</v>
      </c>
    </row>
    <row r="29" spans="4:6" ht="16.5" thickBot="1" x14ac:dyDescent="0.3">
      <c r="D29" s="3" t="s">
        <v>34</v>
      </c>
      <c r="E29" s="4">
        <v>2371.4285714285716</v>
      </c>
      <c r="F29" s="5" t="str">
        <f t="shared" si="0"/>
        <v>OK</v>
      </c>
    </row>
    <row r="30" spans="4:6" ht="16.5" thickBot="1" x14ac:dyDescent="0.3">
      <c r="D30" s="3" t="s">
        <v>35</v>
      </c>
      <c r="E30" s="4">
        <v>2139.1752577319589</v>
      </c>
      <c r="F30" s="5" t="str">
        <f t="shared" si="0"/>
        <v>OK</v>
      </c>
    </row>
    <row r="31" spans="4:6" ht="16.5" thickBot="1" x14ac:dyDescent="0.3">
      <c r="D31" s="3" t="s">
        <v>36</v>
      </c>
      <c r="E31" s="4">
        <v>2084.9032906304956</v>
      </c>
      <c r="F31" s="5" t="str">
        <f t="shared" si="0"/>
        <v>OK</v>
      </c>
    </row>
    <row r="32" spans="4:6" ht="16.5" thickBot="1" x14ac:dyDescent="0.3">
      <c r="D32" s="3" t="s">
        <v>37</v>
      </c>
      <c r="E32" s="4">
        <v>2140.8305390766054</v>
      </c>
      <c r="F32" s="5" t="str">
        <f t="shared" si="0"/>
        <v>OK</v>
      </c>
    </row>
    <row r="33" spans="4:6" ht="16.5" thickBot="1" x14ac:dyDescent="0.3">
      <c r="D33" s="3" t="s">
        <v>38</v>
      </c>
      <c r="E33" s="4">
        <v>2083.8563896560381</v>
      </c>
      <c r="F33" s="5" t="str">
        <f t="shared" si="0"/>
        <v>OK</v>
      </c>
    </row>
    <row r="34" spans="4:6" ht="16.5" thickBot="1" x14ac:dyDescent="0.3">
      <c r="D34" s="3" t="s">
        <v>39</v>
      </c>
      <c r="E34" s="4">
        <v>3218.3016673129123</v>
      </c>
      <c r="F34" s="5" t="str">
        <f t="shared" si="0"/>
        <v>OK</v>
      </c>
    </row>
    <row r="35" spans="4:6" ht="16.5" thickBot="1" x14ac:dyDescent="0.3">
      <c r="D35" s="3" t="s">
        <v>40</v>
      </c>
      <c r="E35" s="4">
        <v>3349.4753833736891</v>
      </c>
      <c r="F35" s="5" t="str">
        <f t="shared" si="0"/>
        <v>OK</v>
      </c>
    </row>
    <row r="36" spans="4:6" ht="16.5" thickBot="1" x14ac:dyDescent="0.3">
      <c r="D36" s="3" t="s">
        <v>41</v>
      </c>
      <c r="E36" s="4">
        <v>3213.3178474641895</v>
      </c>
      <c r="F36" s="5" t="str">
        <f t="shared" si="0"/>
        <v>OK</v>
      </c>
    </row>
    <row r="37" spans="4:6" ht="16.5" thickBot="1" x14ac:dyDescent="0.3">
      <c r="D37" s="3" t="s">
        <v>42</v>
      </c>
      <c r="E37" s="4">
        <v>3352.1809369951543</v>
      </c>
      <c r="F37" s="5" t="str">
        <f t="shared" si="0"/>
        <v>OK</v>
      </c>
    </row>
    <row r="38" spans="4:6" ht="16.5" thickBot="1" x14ac:dyDescent="0.3">
      <c r="D38" s="3" t="s">
        <v>43</v>
      </c>
      <c r="E38" s="4">
        <v>2906.1624649859946</v>
      </c>
      <c r="F38" s="5" t="str">
        <f t="shared" si="0"/>
        <v>OK</v>
      </c>
    </row>
    <row r="39" spans="4:6" ht="16.5" thickBot="1" x14ac:dyDescent="0.3">
      <c r="D39" s="3" t="s">
        <v>44</v>
      </c>
      <c r="E39" s="4">
        <v>2806.8988840040583</v>
      </c>
      <c r="F39" s="5" t="str">
        <f t="shared" si="0"/>
        <v>OK</v>
      </c>
    </row>
    <row r="40" spans="4:6" ht="16.5" thickBot="1" x14ac:dyDescent="0.3">
      <c r="D40" s="3" t="s">
        <v>45</v>
      </c>
      <c r="E40" s="4">
        <v>2909.2183666316164</v>
      </c>
      <c r="F40" s="5" t="str">
        <f t="shared" si="0"/>
        <v>OK</v>
      </c>
    </row>
    <row r="41" spans="4:6" ht="16.5" thickBot="1" x14ac:dyDescent="0.3">
      <c r="D41" s="3" t="s">
        <v>46</v>
      </c>
      <c r="E41" s="4">
        <v>2804.0540540540542</v>
      </c>
      <c r="F41" s="5" t="str">
        <f t="shared" si="0"/>
        <v>OK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:DO128"/>
  <sheetViews>
    <sheetView zoomScale="85" zoomScaleNormal="85" workbookViewId="0">
      <selection activeCell="DO7" sqref="DO7"/>
    </sheetView>
  </sheetViews>
  <sheetFormatPr defaultRowHeight="15.75" x14ac:dyDescent="0.25"/>
  <cols>
    <col min="1" max="4" width="8.875" style="6"/>
    <col min="5" max="5" width="9.375" style="6" bestFit="1" customWidth="1"/>
    <col min="6" max="7" width="9.875" style="6" bestFit="1" customWidth="1"/>
    <col min="8" max="8" width="9.375" style="6" bestFit="1" customWidth="1"/>
    <col min="9" max="10" width="18.25" style="6" bestFit="1" customWidth="1"/>
    <col min="11" max="11" width="9.375" style="6" bestFit="1" customWidth="1"/>
    <col min="12" max="13" width="10.5" style="6" bestFit="1" customWidth="1"/>
    <col min="14" max="14" width="12.25" style="6" bestFit="1" customWidth="1"/>
    <col min="15" max="16" width="10.5" style="6" bestFit="1" customWidth="1"/>
    <col min="17" max="17" width="9.375" style="6" bestFit="1" customWidth="1"/>
    <col min="18" max="19" width="10.5" style="6" bestFit="1" customWidth="1"/>
    <col min="20" max="20" width="9.375" style="6" bestFit="1" customWidth="1"/>
    <col min="21" max="22" width="10.5" style="6" bestFit="1" customWidth="1"/>
    <col min="23" max="23" width="9.375" style="6" bestFit="1" customWidth="1"/>
    <col min="24" max="25" width="10.5" style="6" bestFit="1" customWidth="1"/>
    <col min="26" max="26" width="9.375" style="6" bestFit="1" customWidth="1"/>
    <col min="27" max="28" width="10.5" style="6" bestFit="1" customWidth="1"/>
    <col min="29" max="29" width="9.375" style="6" bestFit="1" customWidth="1"/>
    <col min="30" max="31" width="10.5" style="6" bestFit="1" customWidth="1"/>
    <col min="32" max="32" width="9.375" style="6" bestFit="1" customWidth="1"/>
    <col min="33" max="34" width="10.5" style="6" bestFit="1" customWidth="1"/>
    <col min="35" max="35" width="9.375" style="6" bestFit="1" customWidth="1"/>
    <col min="36" max="37" width="10.5" style="6" bestFit="1" customWidth="1"/>
    <col min="38" max="38" width="9.375" style="6" bestFit="1" customWidth="1"/>
    <col min="39" max="40" width="10.5" style="6" bestFit="1" customWidth="1"/>
    <col min="41" max="41" width="9.375" style="6" bestFit="1" customWidth="1"/>
    <col min="42" max="43" width="10.5" style="6" bestFit="1" customWidth="1"/>
    <col min="44" max="44" width="9.375" style="6" bestFit="1" customWidth="1"/>
    <col min="45" max="46" width="10.5" style="6" bestFit="1" customWidth="1"/>
    <col min="47" max="47" width="9.375" style="6" bestFit="1" customWidth="1"/>
    <col min="48" max="49" width="10.5" style="6" bestFit="1" customWidth="1"/>
    <col min="50" max="50" width="9.375" style="6" bestFit="1" customWidth="1"/>
    <col min="51" max="52" width="10.5" style="6" bestFit="1" customWidth="1"/>
    <col min="53" max="53" width="9.375" style="6" bestFit="1" customWidth="1"/>
    <col min="54" max="55" width="10.5" style="6" bestFit="1" customWidth="1"/>
    <col min="56" max="56" width="9.375" style="6" bestFit="1" customWidth="1"/>
    <col min="57" max="58" width="10.5" style="6" bestFit="1" customWidth="1"/>
    <col min="59" max="59" width="9.375" style="6" bestFit="1" customWidth="1"/>
    <col min="60" max="61" width="10.5" style="6" bestFit="1" customWidth="1"/>
    <col min="62" max="62" width="9.375" style="6" bestFit="1" customWidth="1"/>
    <col min="63" max="64" width="10.5" style="6" bestFit="1" customWidth="1"/>
    <col min="65" max="65" width="9.375" style="6" bestFit="1" customWidth="1"/>
    <col min="66" max="67" width="10.5" style="6" bestFit="1" customWidth="1"/>
    <col min="68" max="68" width="9.375" style="6" bestFit="1" customWidth="1"/>
    <col min="69" max="70" width="10.5" style="6" bestFit="1" customWidth="1"/>
    <col min="71" max="71" width="9.375" style="6" bestFit="1" customWidth="1"/>
    <col min="72" max="73" width="10.5" style="6" bestFit="1" customWidth="1"/>
    <col min="74" max="74" width="9.375" style="6" bestFit="1" customWidth="1"/>
    <col min="75" max="76" width="10.5" style="6" bestFit="1" customWidth="1"/>
    <col min="77" max="77" width="9.375" style="6" bestFit="1" customWidth="1"/>
    <col min="78" max="79" width="10.5" style="6" bestFit="1" customWidth="1"/>
    <col min="80" max="80" width="9.375" style="6" bestFit="1" customWidth="1"/>
    <col min="81" max="82" width="10.5" style="6" bestFit="1" customWidth="1"/>
    <col min="83" max="83" width="9.375" style="6" bestFit="1" customWidth="1"/>
    <col min="84" max="85" width="10.5" style="6" bestFit="1" customWidth="1"/>
    <col min="86" max="86" width="9.375" style="6" bestFit="1" customWidth="1"/>
    <col min="87" max="88" width="10.5" style="6" bestFit="1" customWidth="1"/>
    <col min="89" max="89" width="9.375" style="6" bestFit="1" customWidth="1"/>
    <col min="90" max="91" width="10.5" style="6" bestFit="1" customWidth="1"/>
    <col min="92" max="92" width="9.375" style="6" bestFit="1" customWidth="1"/>
    <col min="93" max="94" width="10.5" style="6" bestFit="1" customWidth="1"/>
    <col min="95" max="95" width="9.375" style="6" bestFit="1" customWidth="1"/>
    <col min="96" max="97" width="10.5" style="6" bestFit="1" customWidth="1"/>
    <col min="98" max="98" width="9.375" style="6" bestFit="1" customWidth="1"/>
    <col min="99" max="100" width="10.5" style="6" bestFit="1" customWidth="1"/>
    <col min="101" max="101" width="9.375" style="6" bestFit="1" customWidth="1"/>
    <col min="102" max="103" width="10.5" style="6" bestFit="1" customWidth="1"/>
    <col min="104" max="104" width="9.375" style="6" bestFit="1" customWidth="1"/>
    <col min="105" max="106" width="10.5" style="6" bestFit="1" customWidth="1"/>
    <col min="107" max="107" width="9.375" style="6" bestFit="1" customWidth="1"/>
    <col min="108" max="109" width="10.5" style="6" bestFit="1" customWidth="1"/>
    <col min="110" max="110" width="9.375" style="6" bestFit="1" customWidth="1"/>
    <col min="111" max="112" width="10.5" style="6" bestFit="1" customWidth="1"/>
    <col min="113" max="113" width="9.375" style="6" bestFit="1" customWidth="1"/>
    <col min="114" max="114" width="8.875" style="6"/>
    <col min="115" max="115" width="10.375" style="6" bestFit="1" customWidth="1"/>
    <col min="116" max="116" width="18.25" style="6" bestFit="1" customWidth="1"/>
    <col min="117" max="117" width="11.25" style="6" bestFit="1" customWidth="1"/>
    <col min="118" max="269" width="8.875" style="6"/>
    <col min="270" max="270" width="11.75" style="6" bestFit="1" customWidth="1"/>
    <col min="271" max="293" width="8.875" style="6"/>
    <col min="294" max="294" width="12.25" style="6" bestFit="1" customWidth="1"/>
    <col min="295" max="525" width="8.875" style="6"/>
    <col min="526" max="526" width="11.75" style="6" bestFit="1" customWidth="1"/>
    <col min="527" max="549" width="8.875" style="6"/>
    <col min="550" max="550" width="12.25" style="6" bestFit="1" customWidth="1"/>
    <col min="551" max="781" width="8.875" style="6"/>
    <col min="782" max="782" width="11.75" style="6" bestFit="1" customWidth="1"/>
    <col min="783" max="805" width="8.875" style="6"/>
    <col min="806" max="806" width="12.25" style="6" bestFit="1" customWidth="1"/>
    <col min="807" max="1037" width="8.875" style="6"/>
    <col min="1038" max="1038" width="11.75" style="6" bestFit="1" customWidth="1"/>
    <col min="1039" max="1061" width="8.875" style="6"/>
    <col min="1062" max="1062" width="12.25" style="6" bestFit="1" customWidth="1"/>
    <col min="1063" max="1293" width="8.875" style="6"/>
    <col min="1294" max="1294" width="11.75" style="6" bestFit="1" customWidth="1"/>
    <col min="1295" max="1317" width="8.875" style="6"/>
    <col min="1318" max="1318" width="12.25" style="6" bestFit="1" customWidth="1"/>
    <col min="1319" max="1549" width="8.875" style="6"/>
    <col min="1550" max="1550" width="11.75" style="6" bestFit="1" customWidth="1"/>
    <col min="1551" max="1573" width="8.875" style="6"/>
    <col min="1574" max="1574" width="12.25" style="6" bestFit="1" customWidth="1"/>
    <col min="1575" max="1805" width="8.875" style="6"/>
    <col min="1806" max="1806" width="11.75" style="6" bestFit="1" customWidth="1"/>
    <col min="1807" max="1829" width="8.875" style="6"/>
    <col min="1830" max="1830" width="12.25" style="6" bestFit="1" customWidth="1"/>
    <col min="1831" max="2061" width="8.875" style="6"/>
    <col min="2062" max="2062" width="11.75" style="6" bestFit="1" customWidth="1"/>
    <col min="2063" max="2085" width="8.875" style="6"/>
    <col min="2086" max="2086" width="12.25" style="6" bestFit="1" customWidth="1"/>
    <col min="2087" max="2317" width="8.875" style="6"/>
    <col min="2318" max="2318" width="11.75" style="6" bestFit="1" customWidth="1"/>
    <col min="2319" max="2341" width="8.875" style="6"/>
    <col min="2342" max="2342" width="12.25" style="6" bestFit="1" customWidth="1"/>
    <col min="2343" max="2573" width="8.875" style="6"/>
    <col min="2574" max="2574" width="11.75" style="6" bestFit="1" customWidth="1"/>
    <col min="2575" max="2597" width="8.875" style="6"/>
    <col min="2598" max="2598" width="12.25" style="6" bestFit="1" customWidth="1"/>
    <col min="2599" max="2829" width="8.875" style="6"/>
    <col min="2830" max="2830" width="11.75" style="6" bestFit="1" customWidth="1"/>
    <col min="2831" max="2853" width="8.875" style="6"/>
    <col min="2854" max="2854" width="12.25" style="6" bestFit="1" customWidth="1"/>
    <col min="2855" max="3085" width="8.875" style="6"/>
    <col min="3086" max="3086" width="11.75" style="6" bestFit="1" customWidth="1"/>
    <col min="3087" max="3109" width="8.875" style="6"/>
    <col min="3110" max="3110" width="12.25" style="6" bestFit="1" customWidth="1"/>
    <col min="3111" max="3341" width="8.875" style="6"/>
    <col min="3342" max="3342" width="11.75" style="6" bestFit="1" customWidth="1"/>
    <col min="3343" max="3365" width="8.875" style="6"/>
    <col min="3366" max="3366" width="12.25" style="6" bestFit="1" customWidth="1"/>
    <col min="3367" max="3597" width="8.875" style="6"/>
    <col min="3598" max="3598" width="11.75" style="6" bestFit="1" customWidth="1"/>
    <col min="3599" max="3621" width="8.875" style="6"/>
    <col min="3622" max="3622" width="12.25" style="6" bestFit="1" customWidth="1"/>
    <col min="3623" max="3853" width="8.875" style="6"/>
    <col min="3854" max="3854" width="11.75" style="6" bestFit="1" customWidth="1"/>
    <col min="3855" max="3877" width="8.875" style="6"/>
    <col min="3878" max="3878" width="12.25" style="6" bestFit="1" customWidth="1"/>
    <col min="3879" max="4109" width="8.875" style="6"/>
    <col min="4110" max="4110" width="11.75" style="6" bestFit="1" customWidth="1"/>
    <col min="4111" max="4133" width="8.875" style="6"/>
    <col min="4134" max="4134" width="12.25" style="6" bestFit="1" customWidth="1"/>
    <col min="4135" max="4365" width="8.875" style="6"/>
    <col min="4366" max="4366" width="11.75" style="6" bestFit="1" customWidth="1"/>
    <col min="4367" max="4389" width="8.875" style="6"/>
    <col min="4390" max="4390" width="12.25" style="6" bestFit="1" customWidth="1"/>
    <col min="4391" max="4621" width="8.875" style="6"/>
    <col min="4622" max="4622" width="11.75" style="6" bestFit="1" customWidth="1"/>
    <col min="4623" max="4645" width="8.875" style="6"/>
    <col min="4646" max="4646" width="12.25" style="6" bestFit="1" customWidth="1"/>
    <col min="4647" max="4877" width="8.875" style="6"/>
    <col min="4878" max="4878" width="11.75" style="6" bestFit="1" customWidth="1"/>
    <col min="4879" max="4901" width="8.875" style="6"/>
    <col min="4902" max="4902" width="12.25" style="6" bestFit="1" customWidth="1"/>
    <col min="4903" max="5133" width="8.875" style="6"/>
    <col min="5134" max="5134" width="11.75" style="6" bestFit="1" customWidth="1"/>
    <col min="5135" max="5157" width="8.875" style="6"/>
    <col min="5158" max="5158" width="12.25" style="6" bestFit="1" customWidth="1"/>
    <col min="5159" max="5389" width="8.875" style="6"/>
    <col min="5390" max="5390" width="11.75" style="6" bestFit="1" customWidth="1"/>
    <col min="5391" max="5413" width="8.875" style="6"/>
    <col min="5414" max="5414" width="12.25" style="6" bestFit="1" customWidth="1"/>
    <col min="5415" max="5645" width="8.875" style="6"/>
    <col min="5646" max="5646" width="11.75" style="6" bestFit="1" customWidth="1"/>
    <col min="5647" max="5669" width="8.875" style="6"/>
    <col min="5670" max="5670" width="12.25" style="6" bestFit="1" customWidth="1"/>
    <col min="5671" max="5901" width="8.875" style="6"/>
    <col min="5902" max="5902" width="11.75" style="6" bestFit="1" customWidth="1"/>
    <col min="5903" max="5925" width="8.875" style="6"/>
    <col min="5926" max="5926" width="12.25" style="6" bestFit="1" customWidth="1"/>
    <col min="5927" max="6157" width="8.875" style="6"/>
    <col min="6158" max="6158" width="11.75" style="6" bestFit="1" customWidth="1"/>
    <col min="6159" max="6181" width="8.875" style="6"/>
    <col min="6182" max="6182" width="12.25" style="6" bestFit="1" customWidth="1"/>
    <col min="6183" max="6413" width="8.875" style="6"/>
    <col min="6414" max="6414" width="11.75" style="6" bestFit="1" customWidth="1"/>
    <col min="6415" max="6437" width="8.875" style="6"/>
    <col min="6438" max="6438" width="12.25" style="6" bestFit="1" customWidth="1"/>
    <col min="6439" max="6669" width="8.875" style="6"/>
    <col min="6670" max="6670" width="11.75" style="6" bestFit="1" customWidth="1"/>
    <col min="6671" max="6693" width="8.875" style="6"/>
    <col min="6694" max="6694" width="12.25" style="6" bestFit="1" customWidth="1"/>
    <col min="6695" max="6925" width="8.875" style="6"/>
    <col min="6926" max="6926" width="11.75" style="6" bestFit="1" customWidth="1"/>
    <col min="6927" max="6949" width="8.875" style="6"/>
    <col min="6950" max="6950" width="12.25" style="6" bestFit="1" customWidth="1"/>
    <col min="6951" max="7181" width="8.875" style="6"/>
    <col min="7182" max="7182" width="11.75" style="6" bestFit="1" customWidth="1"/>
    <col min="7183" max="7205" width="8.875" style="6"/>
    <col min="7206" max="7206" width="12.25" style="6" bestFit="1" customWidth="1"/>
    <col min="7207" max="7437" width="8.875" style="6"/>
    <col min="7438" max="7438" width="11.75" style="6" bestFit="1" customWidth="1"/>
    <col min="7439" max="7461" width="8.875" style="6"/>
    <col min="7462" max="7462" width="12.25" style="6" bestFit="1" customWidth="1"/>
    <col min="7463" max="7693" width="8.875" style="6"/>
    <col min="7694" max="7694" width="11.75" style="6" bestFit="1" customWidth="1"/>
    <col min="7695" max="7717" width="8.875" style="6"/>
    <col min="7718" max="7718" width="12.25" style="6" bestFit="1" customWidth="1"/>
    <col min="7719" max="7949" width="8.875" style="6"/>
    <col min="7950" max="7950" width="11.75" style="6" bestFit="1" customWidth="1"/>
    <col min="7951" max="7973" width="8.875" style="6"/>
    <col min="7974" max="7974" width="12.25" style="6" bestFit="1" customWidth="1"/>
    <col min="7975" max="8205" width="8.875" style="6"/>
    <col min="8206" max="8206" width="11.75" style="6" bestFit="1" customWidth="1"/>
    <col min="8207" max="8229" width="8.875" style="6"/>
    <col min="8230" max="8230" width="12.25" style="6" bestFit="1" customWidth="1"/>
    <col min="8231" max="8461" width="8.875" style="6"/>
    <col min="8462" max="8462" width="11.75" style="6" bestFit="1" customWidth="1"/>
    <col min="8463" max="8485" width="8.875" style="6"/>
    <col min="8486" max="8486" width="12.25" style="6" bestFit="1" customWidth="1"/>
    <col min="8487" max="8717" width="8.875" style="6"/>
    <col min="8718" max="8718" width="11.75" style="6" bestFit="1" customWidth="1"/>
    <col min="8719" max="8741" width="8.875" style="6"/>
    <col min="8742" max="8742" width="12.25" style="6" bestFit="1" customWidth="1"/>
    <col min="8743" max="8973" width="8.875" style="6"/>
    <col min="8974" max="8974" width="11.75" style="6" bestFit="1" customWidth="1"/>
    <col min="8975" max="8997" width="8.875" style="6"/>
    <col min="8998" max="8998" width="12.25" style="6" bestFit="1" customWidth="1"/>
    <col min="8999" max="9229" width="8.875" style="6"/>
    <col min="9230" max="9230" width="11.75" style="6" bestFit="1" customWidth="1"/>
    <col min="9231" max="9253" width="8.875" style="6"/>
    <col min="9254" max="9254" width="12.25" style="6" bestFit="1" customWidth="1"/>
    <col min="9255" max="9485" width="8.875" style="6"/>
    <col min="9486" max="9486" width="11.75" style="6" bestFit="1" customWidth="1"/>
    <col min="9487" max="9509" width="8.875" style="6"/>
    <col min="9510" max="9510" width="12.25" style="6" bestFit="1" customWidth="1"/>
    <col min="9511" max="9741" width="8.875" style="6"/>
    <col min="9742" max="9742" width="11.75" style="6" bestFit="1" customWidth="1"/>
    <col min="9743" max="9765" width="8.875" style="6"/>
    <col min="9766" max="9766" width="12.25" style="6" bestFit="1" customWidth="1"/>
    <col min="9767" max="9997" width="8.875" style="6"/>
    <col min="9998" max="9998" width="11.75" style="6" bestFit="1" customWidth="1"/>
    <col min="9999" max="10021" width="8.875" style="6"/>
    <col min="10022" max="10022" width="12.25" style="6" bestFit="1" customWidth="1"/>
    <col min="10023" max="10253" width="8.875" style="6"/>
    <col min="10254" max="10254" width="11.75" style="6" bestFit="1" customWidth="1"/>
    <col min="10255" max="10277" width="8.875" style="6"/>
    <col min="10278" max="10278" width="12.25" style="6" bestFit="1" customWidth="1"/>
    <col min="10279" max="10509" width="8.875" style="6"/>
    <col min="10510" max="10510" width="11.75" style="6" bestFit="1" customWidth="1"/>
    <col min="10511" max="10533" width="8.875" style="6"/>
    <col min="10534" max="10534" width="12.25" style="6" bestFit="1" customWidth="1"/>
    <col min="10535" max="10765" width="8.875" style="6"/>
    <col min="10766" max="10766" width="11.75" style="6" bestFit="1" customWidth="1"/>
    <col min="10767" max="10789" width="8.875" style="6"/>
    <col min="10790" max="10790" width="12.25" style="6" bestFit="1" customWidth="1"/>
    <col min="10791" max="11021" width="8.875" style="6"/>
    <col min="11022" max="11022" width="11.75" style="6" bestFit="1" customWidth="1"/>
    <col min="11023" max="11045" width="8.875" style="6"/>
    <col min="11046" max="11046" width="12.25" style="6" bestFit="1" customWidth="1"/>
    <col min="11047" max="11277" width="8.875" style="6"/>
    <col min="11278" max="11278" width="11.75" style="6" bestFit="1" customWidth="1"/>
    <col min="11279" max="11301" width="8.875" style="6"/>
    <col min="11302" max="11302" width="12.25" style="6" bestFit="1" customWidth="1"/>
    <col min="11303" max="11533" width="8.875" style="6"/>
    <col min="11534" max="11534" width="11.75" style="6" bestFit="1" customWidth="1"/>
    <col min="11535" max="11557" width="8.875" style="6"/>
    <col min="11558" max="11558" width="12.25" style="6" bestFit="1" customWidth="1"/>
    <col min="11559" max="11789" width="8.875" style="6"/>
    <col min="11790" max="11790" width="11.75" style="6" bestFit="1" customWidth="1"/>
    <col min="11791" max="11813" width="8.875" style="6"/>
    <col min="11814" max="11814" width="12.25" style="6" bestFit="1" customWidth="1"/>
    <col min="11815" max="12045" width="8.875" style="6"/>
    <col min="12046" max="12046" width="11.75" style="6" bestFit="1" customWidth="1"/>
    <col min="12047" max="12069" width="8.875" style="6"/>
    <col min="12070" max="12070" width="12.25" style="6" bestFit="1" customWidth="1"/>
    <col min="12071" max="12301" width="8.875" style="6"/>
    <col min="12302" max="12302" width="11.75" style="6" bestFit="1" customWidth="1"/>
    <col min="12303" max="12325" width="8.875" style="6"/>
    <col min="12326" max="12326" width="12.25" style="6" bestFit="1" customWidth="1"/>
    <col min="12327" max="12557" width="8.875" style="6"/>
    <col min="12558" max="12558" width="11.75" style="6" bestFit="1" customWidth="1"/>
    <col min="12559" max="12581" width="8.875" style="6"/>
    <col min="12582" max="12582" width="12.25" style="6" bestFit="1" customWidth="1"/>
    <col min="12583" max="12813" width="8.875" style="6"/>
    <col min="12814" max="12814" width="11.75" style="6" bestFit="1" customWidth="1"/>
    <col min="12815" max="12837" width="8.875" style="6"/>
    <col min="12838" max="12838" width="12.25" style="6" bestFit="1" customWidth="1"/>
    <col min="12839" max="13069" width="8.875" style="6"/>
    <col min="13070" max="13070" width="11.75" style="6" bestFit="1" customWidth="1"/>
    <col min="13071" max="13093" width="8.875" style="6"/>
    <col min="13094" max="13094" width="12.25" style="6" bestFit="1" customWidth="1"/>
    <col min="13095" max="13325" width="8.875" style="6"/>
    <col min="13326" max="13326" width="11.75" style="6" bestFit="1" customWidth="1"/>
    <col min="13327" max="13349" width="8.875" style="6"/>
    <col min="13350" max="13350" width="12.25" style="6" bestFit="1" customWidth="1"/>
    <col min="13351" max="13581" width="8.875" style="6"/>
    <col min="13582" max="13582" width="11.75" style="6" bestFit="1" customWidth="1"/>
    <col min="13583" max="13605" width="8.875" style="6"/>
    <col min="13606" max="13606" width="12.25" style="6" bestFit="1" customWidth="1"/>
    <col min="13607" max="13837" width="8.875" style="6"/>
    <col min="13838" max="13838" width="11.75" style="6" bestFit="1" customWidth="1"/>
    <col min="13839" max="13861" width="8.875" style="6"/>
    <col min="13862" max="13862" width="12.25" style="6" bestFit="1" customWidth="1"/>
    <col min="13863" max="14093" width="8.875" style="6"/>
    <col min="14094" max="14094" width="11.75" style="6" bestFit="1" customWidth="1"/>
    <col min="14095" max="14117" width="8.875" style="6"/>
    <col min="14118" max="14118" width="12.25" style="6" bestFit="1" customWidth="1"/>
    <col min="14119" max="14349" width="8.875" style="6"/>
    <col min="14350" max="14350" width="11.75" style="6" bestFit="1" customWidth="1"/>
    <col min="14351" max="14373" width="8.875" style="6"/>
    <col min="14374" max="14374" width="12.25" style="6" bestFit="1" customWidth="1"/>
    <col min="14375" max="14605" width="8.875" style="6"/>
    <col min="14606" max="14606" width="11.75" style="6" bestFit="1" customWidth="1"/>
    <col min="14607" max="14629" width="8.875" style="6"/>
    <col min="14630" max="14630" width="12.25" style="6" bestFit="1" customWidth="1"/>
    <col min="14631" max="14861" width="8.875" style="6"/>
    <col min="14862" max="14862" width="11.75" style="6" bestFit="1" customWidth="1"/>
    <col min="14863" max="14885" width="8.875" style="6"/>
    <col min="14886" max="14886" width="12.25" style="6" bestFit="1" customWidth="1"/>
    <col min="14887" max="15117" width="8.875" style="6"/>
    <col min="15118" max="15118" width="11.75" style="6" bestFit="1" customWidth="1"/>
    <col min="15119" max="15141" width="8.875" style="6"/>
    <col min="15142" max="15142" width="12.25" style="6" bestFit="1" customWidth="1"/>
    <col min="15143" max="15373" width="8.875" style="6"/>
    <col min="15374" max="15374" width="11.75" style="6" bestFit="1" customWidth="1"/>
    <col min="15375" max="15397" width="8.875" style="6"/>
    <col min="15398" max="15398" width="12.25" style="6" bestFit="1" customWidth="1"/>
    <col min="15399" max="15629" width="8.875" style="6"/>
    <col min="15630" max="15630" width="11.75" style="6" bestFit="1" customWidth="1"/>
    <col min="15631" max="15653" width="8.875" style="6"/>
    <col min="15654" max="15654" width="12.25" style="6" bestFit="1" customWidth="1"/>
    <col min="15655" max="15885" width="8.875" style="6"/>
    <col min="15886" max="15886" width="11.75" style="6" bestFit="1" customWidth="1"/>
    <col min="15887" max="15909" width="8.875" style="6"/>
    <col min="15910" max="15910" width="12.25" style="6" bestFit="1" customWidth="1"/>
    <col min="15911" max="16141" width="8.875" style="6"/>
    <col min="16142" max="16142" width="11.75" style="6" bestFit="1" customWidth="1"/>
    <col min="16143" max="16165" width="8.875" style="6"/>
    <col min="16166" max="16166" width="12.25" style="6" bestFit="1" customWidth="1"/>
    <col min="16167" max="16384" width="8.875" style="6"/>
  </cols>
  <sheetData>
    <row r="1" spans="1:119" x14ac:dyDescent="0.25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9" x14ac:dyDescent="0.25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9" ht="16.5" thickBot="1" x14ac:dyDescent="0.3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9" ht="16.5" customHeight="1" thickBot="1" x14ac:dyDescent="0.3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9" ht="16.5" thickBot="1" x14ac:dyDescent="0.3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  <c r="DN5" s="6">
        <f>IF('Lines-v8'!DL5=old!DL5,0,1)</f>
        <v>0</v>
      </c>
      <c r="DO5" s="6">
        <f>IF('Result-v12'!E6=old!DL5,0,1)</f>
        <v>1</v>
      </c>
    </row>
    <row r="6" spans="1:119" ht="16.5" thickBot="1" x14ac:dyDescent="0.3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  <c r="DN6" s="6">
        <f>IF('Lines-v8'!DL6=old!DL6,0,1)</f>
        <v>0</v>
      </c>
      <c r="DO6" s="6">
        <f>IF('Result-v12'!E7=old!DL6,0,1)</f>
        <v>1</v>
      </c>
    </row>
    <row r="7" spans="1:119" ht="16.5" thickBot="1" x14ac:dyDescent="0.3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  <c r="DN7" s="6">
        <f>IF('Lines-v8'!DL7=old!DL7,0,1)</f>
        <v>0</v>
      </c>
      <c r="DO7" s="6">
        <f>IF('Result-v12'!E8=old!DL7,0,1)</f>
        <v>1</v>
      </c>
    </row>
    <row r="8" spans="1:119" ht="16.5" thickBot="1" x14ac:dyDescent="0.3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  <c r="DN8" s="6">
        <f>IF('Lines-v8'!DL8=old!DL8,0,1)</f>
        <v>0</v>
      </c>
      <c r="DO8" s="6">
        <f>IF('Result-v12'!E9=old!DL8,0,1)</f>
        <v>1</v>
      </c>
    </row>
    <row r="9" spans="1:119" ht="16.5" thickBot="1" x14ac:dyDescent="0.3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  <c r="DN9" s="6">
        <f>IF('Lines-v8'!DL9=old!DL9,0,1)</f>
        <v>0</v>
      </c>
      <c r="DO9" s="6">
        <f>IF('Result-v12'!E10=old!DL9,0,1)</f>
        <v>1</v>
      </c>
    </row>
    <row r="10" spans="1:119" ht="16.5" thickBot="1" x14ac:dyDescent="0.3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  <c r="DN10" s="6">
        <f>IF('Lines-v8'!DL10=old!DL10,0,1)</f>
        <v>0</v>
      </c>
      <c r="DO10" s="6">
        <f>IF('Result-v12'!E11=old!DL10,0,1)</f>
        <v>1</v>
      </c>
    </row>
    <row r="11" spans="1:119" ht="16.5" thickBot="1" x14ac:dyDescent="0.3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  <c r="DN11" s="6">
        <f>IF('Lines-v8'!DL11=old!DL11,0,1)</f>
        <v>0</v>
      </c>
      <c r="DO11" s="6">
        <f>IF('Result-v12'!E12=old!DL11,0,1)</f>
        <v>1</v>
      </c>
    </row>
    <row r="12" spans="1:119" ht="16.5" thickBot="1" x14ac:dyDescent="0.3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  <c r="DN12" s="6">
        <f>IF('Lines-v8'!DL12=old!DL12,0,1)</f>
        <v>0</v>
      </c>
      <c r="DO12" s="6">
        <f>IF('Result-v12'!E13=old!DL12,0,1)</f>
        <v>1</v>
      </c>
    </row>
    <row r="13" spans="1:119" ht="16.5" thickBot="1" x14ac:dyDescent="0.3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  <c r="DN13" s="6">
        <f>IF('Lines-v8'!DL13=old!DL13,0,1)</f>
        <v>0</v>
      </c>
      <c r="DO13" s="6">
        <f>IF('Result-v12'!E14=old!DL13,0,1)</f>
        <v>1</v>
      </c>
    </row>
    <row r="14" spans="1:119" ht="16.5" thickBot="1" x14ac:dyDescent="0.3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  <c r="DN14" s="6">
        <f>IF('Lines-v8'!DL14=old!DL14,0,1)</f>
        <v>0</v>
      </c>
      <c r="DO14" s="6">
        <f>IF('Result-v12'!E15=old!DL14,0,1)</f>
        <v>1</v>
      </c>
    </row>
    <row r="15" spans="1:119" ht="16.5" thickBot="1" x14ac:dyDescent="0.3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  <c r="DN15" s="6">
        <f>IF('Lines-v8'!DL15=old!DL15,0,1)</f>
        <v>0</v>
      </c>
      <c r="DO15" s="6">
        <f>IF('Result-v12'!E16=old!DL15,0,1)</f>
        <v>1</v>
      </c>
    </row>
    <row r="16" spans="1:119" ht="16.5" thickBot="1" x14ac:dyDescent="0.3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  <c r="DN16" s="6">
        <f>IF('Lines-v8'!DL16=old!DL16,0,1)</f>
        <v>0</v>
      </c>
      <c r="DO16" s="6">
        <f>IF('Result-v12'!E17=old!DL16,0,1)</f>
        <v>1</v>
      </c>
    </row>
    <row r="17" spans="1:119" ht="16.5" thickBot="1" x14ac:dyDescent="0.3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  <c r="DN17" s="6">
        <f>IF('Lines-v8'!DL17=old!DL17,0,1)</f>
        <v>0</v>
      </c>
      <c r="DO17" s="6">
        <f>IF('Result-v12'!E18=old!DL17,0,1)</f>
        <v>1</v>
      </c>
    </row>
    <row r="18" spans="1:119" ht="16.5" thickBot="1" x14ac:dyDescent="0.3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  <c r="DN18" s="6">
        <f>IF('Lines-v8'!DL18=old!DL18,0,1)</f>
        <v>0</v>
      </c>
      <c r="DO18" s="6">
        <f>IF('Result-v12'!E19=old!DL18,0,1)</f>
        <v>1</v>
      </c>
    </row>
    <row r="19" spans="1:119" ht="16.5" thickBot="1" x14ac:dyDescent="0.3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  <c r="DN19" s="6">
        <f>IF('Lines-v8'!DL19=old!DL19,0,1)</f>
        <v>0</v>
      </c>
      <c r="DO19" s="6">
        <f>IF('Result-v12'!E20=old!DL19,0,1)</f>
        <v>1</v>
      </c>
    </row>
    <row r="20" spans="1:119" ht="16.5" thickBot="1" x14ac:dyDescent="0.3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  <c r="DN20" s="6">
        <f>IF('Lines-v8'!DL20=old!DL20,0,1)</f>
        <v>0</v>
      </c>
      <c r="DO20" s="6">
        <f>IF('Result-v12'!E21=old!DL20,0,1)</f>
        <v>1</v>
      </c>
    </row>
    <row r="21" spans="1:119" ht="16.5" thickBot="1" x14ac:dyDescent="0.3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  <c r="DN21" s="6">
        <f>IF('Lines-v8'!DL21=old!DL21,0,1)</f>
        <v>0</v>
      </c>
      <c r="DO21" s="6">
        <f>IF('Result-v12'!E22=old!DL21,0,1)</f>
        <v>1</v>
      </c>
    </row>
    <row r="22" spans="1:119" ht="16.5" thickBot="1" x14ac:dyDescent="0.3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  <c r="DN22" s="6">
        <f>IF('Lines-v8'!DL22=old!DL22,0,1)</f>
        <v>0</v>
      </c>
      <c r="DO22" s="6">
        <f>IF('Result-v12'!E23=old!DL22,0,1)</f>
        <v>1</v>
      </c>
    </row>
    <row r="23" spans="1:119" ht="16.5" thickBot="1" x14ac:dyDescent="0.3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  <c r="DN23" s="6">
        <f>IF('Lines-v8'!DL23=old!DL23,0,1)</f>
        <v>0</v>
      </c>
      <c r="DO23" s="6">
        <f>IF('Result-v12'!E24=old!DL23,0,1)</f>
        <v>1</v>
      </c>
    </row>
    <row r="24" spans="1:119" ht="16.5" thickBot="1" x14ac:dyDescent="0.3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  <c r="DN24" s="6">
        <f>IF('Lines-v8'!DL24=old!DL24,0,1)</f>
        <v>0</v>
      </c>
      <c r="DO24" s="6">
        <f>IF('Result-v12'!E25=old!DL24,0,1)</f>
        <v>1</v>
      </c>
    </row>
    <row r="25" spans="1:119" ht="16.5" thickBot="1" x14ac:dyDescent="0.3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  <c r="DN25" s="6">
        <f>IF('Lines-v8'!DL25=old!DL25,0,1)</f>
        <v>0</v>
      </c>
      <c r="DO25" s="6">
        <f>IF('Result-v12'!E26=old!DL25,0,1)</f>
        <v>1</v>
      </c>
    </row>
    <row r="26" spans="1:119" ht="16.5" thickBot="1" x14ac:dyDescent="0.3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  <c r="DN26" s="6">
        <f>IF('Lines-v8'!DL26=old!DL26,0,1)</f>
        <v>0</v>
      </c>
      <c r="DO26" s="6">
        <f>IF('Result-v12'!E27=old!DL26,0,1)</f>
        <v>1</v>
      </c>
    </row>
    <row r="27" spans="1:119" ht="16.5" thickBot="1" x14ac:dyDescent="0.3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  <c r="DN27" s="6">
        <f>IF('Lines-v8'!DL27=old!DL27,0,1)</f>
        <v>0</v>
      </c>
      <c r="DO27" s="6">
        <f>IF('Result-v12'!E28=old!DL27,0,1)</f>
        <v>1</v>
      </c>
    </row>
    <row r="28" spans="1:119" ht="16.5" thickBot="1" x14ac:dyDescent="0.3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  <c r="DN28" s="6">
        <f>IF('Lines-v8'!DL28=old!DL28,0,1)</f>
        <v>0</v>
      </c>
      <c r="DO28" s="6">
        <f>IF('Result-v12'!E29=old!DL28,0,1)</f>
        <v>1</v>
      </c>
    </row>
    <row r="29" spans="1:119" ht="16.5" thickBot="1" x14ac:dyDescent="0.3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  <c r="DN29" s="6">
        <f>IF('Lines-v8'!DL29=old!DL29,0,1)</f>
        <v>0</v>
      </c>
      <c r="DO29" s="6">
        <f>IF('Result-v12'!E30=old!DL29,0,1)</f>
        <v>1</v>
      </c>
    </row>
    <row r="30" spans="1:119" ht="18" customHeight="1" thickBot="1" x14ac:dyDescent="0.3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  <c r="DN30" s="6">
        <f>IF('Lines-v8'!DL30=old!DL30,0,1)</f>
        <v>0</v>
      </c>
      <c r="DO30" s="6">
        <f>IF('Result-v12'!E31=old!DL30,0,1)</f>
        <v>1</v>
      </c>
    </row>
    <row r="31" spans="1:119" ht="16.5" thickBot="1" x14ac:dyDescent="0.3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  <c r="DN31" s="6">
        <f>IF('Lines-v8'!DL31=old!DL31,0,1)</f>
        <v>0</v>
      </c>
      <c r="DO31" s="6">
        <f>IF('Result-v12'!E32=old!DL31,0,1)</f>
        <v>1</v>
      </c>
    </row>
    <row r="32" spans="1:119" ht="16.5" thickBot="1" x14ac:dyDescent="0.3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  <c r="DN32" s="6">
        <f>IF('Lines-v8'!DL32=old!DL32,0,1)</f>
        <v>0</v>
      </c>
      <c r="DO32" s="6">
        <f>IF('Result-v12'!E33=old!DL32,0,1)</f>
        <v>1</v>
      </c>
    </row>
    <row r="33" spans="1:119" ht="16.5" thickBot="1" x14ac:dyDescent="0.3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  <c r="DN33" s="6">
        <f>IF('Lines-v8'!DL33=old!DL33,0,1)</f>
        <v>0</v>
      </c>
      <c r="DO33" s="6">
        <f>IF('Result-v12'!E34=old!DL33,0,1)</f>
        <v>1</v>
      </c>
    </row>
    <row r="34" spans="1:119" ht="16.5" thickBot="1" x14ac:dyDescent="0.3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  <c r="DN34" s="6">
        <f>IF('Lines-v8'!DL34=old!DL34,0,1)</f>
        <v>0</v>
      </c>
      <c r="DO34" s="6">
        <f>IF('Result-v12'!E35=old!DL34,0,1)</f>
        <v>1</v>
      </c>
    </row>
    <row r="35" spans="1:119" ht="16.5" thickBot="1" x14ac:dyDescent="0.3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 t="s">
        <v>381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  <c r="DN35" s="6">
        <f>IF('Lines-v8'!DL35=old!DL35,0,1)</f>
        <v>0</v>
      </c>
      <c r="DO35" s="6">
        <f>IF('Result-v12'!E36=old!DL35,0,1)</f>
        <v>1</v>
      </c>
    </row>
    <row r="36" spans="1:119" ht="16.5" thickBot="1" x14ac:dyDescent="0.3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  <c r="DN36" s="6">
        <f>IF('Lines-v8'!DL36=old!DL36,0,1)</f>
        <v>0</v>
      </c>
      <c r="DO36" s="6">
        <f>IF('Result-v12'!E37=old!DL36,0,1)</f>
        <v>1</v>
      </c>
    </row>
    <row r="37" spans="1:119" ht="16.5" thickBot="1" x14ac:dyDescent="0.3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  <c r="DN37" s="6">
        <f>IF('Lines-v8'!DL37=old!DL37,0,1)</f>
        <v>0</v>
      </c>
      <c r="DO37" s="6">
        <f>IF('Result-v12'!E38=old!DL37,0,1)</f>
        <v>1</v>
      </c>
    </row>
    <row r="38" spans="1:119" ht="16.5" thickBot="1" x14ac:dyDescent="0.3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  <c r="DN38" s="6">
        <f>IF('Lines-v8'!DL38=old!DL38,0,1)</f>
        <v>0</v>
      </c>
      <c r="DO38" s="6">
        <f>IF('Result-v12'!E39=old!DL38,0,1)</f>
        <v>1</v>
      </c>
    </row>
    <row r="39" spans="1:119" ht="16.5" thickBot="1" x14ac:dyDescent="0.3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  <c r="DN39" s="6">
        <f>IF('Lines-v8'!DL39=old!DL39,0,1)</f>
        <v>0</v>
      </c>
      <c r="DO39" s="6">
        <f>IF('Result-v12'!E40=old!DL39,0,1)</f>
        <v>1</v>
      </c>
    </row>
    <row r="40" spans="1:119" ht="16.5" thickBot="1" x14ac:dyDescent="0.3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  <c r="DN40" s="6">
        <f>IF('Lines-v8'!DL40=old!DL40,0,1)</f>
        <v>0</v>
      </c>
      <c r="DO40" s="6">
        <f>IF('Result-v12'!E41=old!DL40,0,1)</f>
        <v>1</v>
      </c>
    </row>
    <row r="41" spans="1:119" x14ac:dyDescent="0.25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9" x14ac:dyDescent="0.25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9" x14ac:dyDescent="0.25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9" x14ac:dyDescent="0.25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9" x14ac:dyDescent="0.25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9" x14ac:dyDescent="0.25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9" x14ac:dyDescent="0.25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9" x14ac:dyDescent="0.25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25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25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25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25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25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25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25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25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25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25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25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25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25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25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25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25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25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25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25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25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25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25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25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25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25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25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25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25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25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25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25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25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25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25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25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25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25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25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25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25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25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25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25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25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25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25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25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25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25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25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25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25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25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25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25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25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25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25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25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25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25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25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25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25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25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25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25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25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25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25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25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25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25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25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25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25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25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25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25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25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9B26-97B2-4D1F-892D-1D4153276AF8}">
  <sheetPr codeName="工作表8">
    <tabColor theme="9" tint="0.39997558519241921"/>
  </sheetPr>
  <dimension ref="B2:E31"/>
  <sheetViews>
    <sheetView tabSelected="1" workbookViewId="0">
      <selection activeCell="E5" sqref="E5"/>
    </sheetView>
  </sheetViews>
  <sheetFormatPr defaultColWidth="8.625" defaultRowHeight="15.75" x14ac:dyDescent="0.25"/>
  <cols>
    <col min="1" max="1" width="8.625" style="47"/>
    <col min="2" max="2" width="13.625" style="48" customWidth="1"/>
    <col min="3" max="4" width="8.625" style="48"/>
    <col min="5" max="16384" width="8.625" style="47"/>
  </cols>
  <sheetData>
    <row r="2" spans="2:5" x14ac:dyDescent="0.25">
      <c r="B2" s="47" t="s">
        <v>541</v>
      </c>
      <c r="C2" s="25" t="s">
        <v>543</v>
      </c>
    </row>
    <row r="3" spans="2:5" x14ac:dyDescent="0.25">
      <c r="B3" s="47" t="s">
        <v>542</v>
      </c>
      <c r="C3" s="49" t="s">
        <v>583</v>
      </c>
    </row>
    <row r="4" spans="2:5" x14ac:dyDescent="0.25">
      <c r="C4" s="48" t="s">
        <v>580</v>
      </c>
    </row>
    <row r="5" spans="2:5" x14ac:dyDescent="0.25">
      <c r="B5" s="50"/>
    </row>
    <row r="6" spans="2:5" s="52" customFormat="1" ht="16.5" thickBot="1" x14ac:dyDescent="0.3">
      <c r="B6" s="51"/>
      <c r="C6" s="51"/>
      <c r="D6" s="51"/>
    </row>
    <row r="7" spans="2:5" ht="16.5" thickTop="1" x14ac:dyDescent="0.25"/>
    <row r="8" spans="2:5" x14ac:dyDescent="0.25">
      <c r="B8" s="53">
        <v>43427</v>
      </c>
      <c r="C8" s="48" t="s">
        <v>582</v>
      </c>
      <c r="D8" s="48">
        <v>1</v>
      </c>
      <c r="E8" s="47" t="s">
        <v>585</v>
      </c>
    </row>
    <row r="9" spans="2:5" x14ac:dyDescent="0.25">
      <c r="D9" s="48">
        <v>2</v>
      </c>
      <c r="E9" s="47" t="s">
        <v>584</v>
      </c>
    </row>
    <row r="11" spans="2:5" s="57" customFormat="1" x14ac:dyDescent="0.25">
      <c r="B11" s="56"/>
      <c r="C11" s="56"/>
      <c r="D11" s="56"/>
    </row>
    <row r="12" spans="2:5" x14ac:dyDescent="0.25">
      <c r="B12" s="53">
        <v>43283</v>
      </c>
      <c r="C12" s="48" t="s">
        <v>579</v>
      </c>
      <c r="D12" s="48">
        <v>1</v>
      </c>
      <c r="E12" s="47" t="s">
        <v>581</v>
      </c>
    </row>
    <row r="13" spans="2:5" s="55" customFormat="1" x14ac:dyDescent="0.25">
      <c r="B13" s="54"/>
      <c r="C13" s="54"/>
      <c r="D13" s="54"/>
    </row>
    <row r="14" spans="2:5" s="57" customFormat="1" x14ac:dyDescent="0.25">
      <c r="B14" s="56"/>
      <c r="C14" s="56"/>
      <c r="D14" s="56"/>
    </row>
    <row r="15" spans="2:5" x14ac:dyDescent="0.25">
      <c r="C15" s="48">
        <v>1.4</v>
      </c>
      <c r="D15" s="18">
        <v>1</v>
      </c>
      <c r="E15" s="24" t="s">
        <v>570</v>
      </c>
    </row>
    <row r="16" spans="2:5" x14ac:dyDescent="0.25">
      <c r="D16" s="18">
        <v>2</v>
      </c>
      <c r="E16" s="24" t="s">
        <v>571</v>
      </c>
    </row>
    <row r="17" spans="2:5" x14ac:dyDescent="0.25">
      <c r="D17" s="18">
        <v>3</v>
      </c>
      <c r="E17" s="24" t="s">
        <v>572</v>
      </c>
    </row>
    <row r="19" spans="2:5" s="57" customFormat="1" x14ac:dyDescent="0.25">
      <c r="B19" s="56"/>
      <c r="C19" s="56"/>
      <c r="D19" s="56"/>
    </row>
    <row r="20" spans="2:5" x14ac:dyDescent="0.25">
      <c r="C20" s="48">
        <v>1.3</v>
      </c>
      <c r="D20" s="18">
        <v>1</v>
      </c>
      <c r="E20" s="24" t="s">
        <v>573</v>
      </c>
    </row>
    <row r="21" spans="2:5" x14ac:dyDescent="0.25">
      <c r="D21" s="18">
        <v>2</v>
      </c>
      <c r="E21" s="24" t="s">
        <v>569</v>
      </c>
    </row>
    <row r="23" spans="2:5" s="57" customFormat="1" x14ac:dyDescent="0.25">
      <c r="B23" s="56"/>
      <c r="C23" s="56"/>
      <c r="D23" s="56"/>
    </row>
    <row r="24" spans="2:5" x14ac:dyDescent="0.25">
      <c r="C24" s="48">
        <v>1.2</v>
      </c>
      <c r="D24" s="18">
        <v>1</v>
      </c>
      <c r="E24" s="24" t="s">
        <v>574</v>
      </c>
    </row>
    <row r="26" spans="2:5" s="57" customFormat="1" x14ac:dyDescent="0.25">
      <c r="B26" s="56"/>
      <c r="C26" s="56"/>
      <c r="D26" s="56"/>
    </row>
    <row r="27" spans="2:5" x14ac:dyDescent="0.25">
      <c r="C27" s="48">
        <v>1.1000000000000001</v>
      </c>
      <c r="D27" s="18">
        <v>1</v>
      </c>
      <c r="E27" s="24" t="s">
        <v>575</v>
      </c>
    </row>
    <row r="28" spans="2:5" x14ac:dyDescent="0.25">
      <c r="D28" s="18">
        <v>2</v>
      </c>
      <c r="E28" s="24" t="s">
        <v>576</v>
      </c>
    </row>
    <row r="29" spans="2:5" s="57" customFormat="1" x14ac:dyDescent="0.25">
      <c r="B29" s="56"/>
      <c r="C29" s="56"/>
      <c r="D29" s="56"/>
    </row>
    <row r="30" spans="2:5" x14ac:dyDescent="0.25">
      <c r="C30" s="48">
        <v>1</v>
      </c>
      <c r="D30" s="18">
        <v>1</v>
      </c>
      <c r="E30" s="24" t="s">
        <v>577</v>
      </c>
    </row>
    <row r="31" spans="2:5" x14ac:dyDescent="0.25">
      <c r="D31" s="18">
        <v>2</v>
      </c>
      <c r="E31" s="24" t="s">
        <v>578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說明</vt:lpstr>
      <vt:lpstr>Nodal Displacements-v8</vt:lpstr>
      <vt:lpstr>Lines-v8</vt:lpstr>
      <vt:lpstr>Nodal Displacements-v12</vt:lpstr>
      <vt:lpstr>Lines-v12</vt:lpstr>
      <vt:lpstr>Result-v12</vt:lpstr>
      <vt:lpstr>old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bohao6</cp:lastModifiedBy>
  <dcterms:created xsi:type="dcterms:W3CDTF">2018-02-05T08:34:37Z</dcterms:created>
  <dcterms:modified xsi:type="dcterms:W3CDTF">2018-11-23T03:04:24Z</dcterms:modified>
</cp:coreProperties>
</file>